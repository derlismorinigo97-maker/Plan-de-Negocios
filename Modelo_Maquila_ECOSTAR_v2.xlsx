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3"/>
    <sheet name="Supuestos" sheetId="2" state="visible" r:id="rId4"/>
    <sheet name="Productos" sheetId="3" state="visible" r:id="rId5"/>
    <sheet name="Costos" sheetId="4" state="visible" r:id="rId6"/>
    <sheet name="Inversion" sheetId="5" state="visible" r:id="rId7"/>
    <sheet name="Reales" sheetId="6" state="visible" r:id="rId8"/>
    <sheet name="Calculo" sheetId="7" state="visible" r:id="rId9"/>
    <sheet name="Resultados" sheetId="8" state="visible" r:id="rId10"/>
    <sheet name="Control" sheetId="9" state="visible" r:id="rId11"/>
  </sheets>
  <definedNames>
    <definedName function="false" hidden="false" name="Ap_MesO" vbProcedure="false">Inversion!$C$50:$C$59</definedName>
    <definedName function="false" hidden="false" name="Ap_MesV" vbProcedure="false">Inversion!$E$50:$E$59</definedName>
    <definedName function="false" hidden="false" name="Ap_MontoO" vbProcedure="false">Inversion!$D$50:$D$59</definedName>
    <definedName function="false" hidden="false" name="Ap_MontoV" vbProcedure="false">Inversion!$F$50:$F$59</definedName>
    <definedName function="false" hidden="false" name="Cap_Amp" vbProcedure="false">Productos!$E$6:$E$30</definedName>
    <definedName function="false" hidden="false" name="Cap_Anio" vbProcedure="false">Productos!$F$6:$F$30</definedName>
    <definedName function="false" hidden="false" name="Cap_Ini" vbProcedure="false">Productos!$D$6:$D$30</definedName>
    <definedName function="false" hidden="false" name="Corte" vbProcedure="false">Supuestos!$D$119</definedName>
    <definedName function="false" hidden="false" name="c_Alertas" vbProcedure="false">Control!$C$22</definedName>
    <definedName function="false" hidden="false" name="c_CapExceso" vbProcedure="false">Productos!$N$92:$N$116</definedName>
    <definedName function="false" hidden="false" name="c_EscIdx" vbProcedure="false">Supuestos!$D$72</definedName>
    <definedName function="false" hidden="false" name="c_Modificados" vbProcedure="false">Control!$C$23</definedName>
    <definedName function="false" hidden="false" name="DiasMes" vbProcedure="false">Supuestos!$D$121</definedName>
    <definedName function="false" hidden="false" name="dMP_O" vbProcedure="false">Supuestos!$D$41:$M$41</definedName>
    <definedName function="false" hidden="false" name="dMP_V" vbProcedure="false">Supuestos!$D$53:$M$53</definedName>
    <definedName function="false" hidden="false" name="Dot_O" vbProcedure="false">Costos!$G$6:$P$35</definedName>
    <definedName function="false" hidden="false" name="Dot_V" vbProcedure="false">Costos!$G$41:$P$70</definedName>
    <definedName function="false" hidden="false" name="dOV_O" vbProcedure="false">Supuestos!$D$42:$M$42</definedName>
    <definedName function="false" hidden="false" name="dOV_V" vbProcedure="false">Supuestos!$D$54:$M$54</definedName>
    <definedName function="false" hidden="false" name="dPrecio_O" vbProcedure="false">Supuestos!$D$40:$M$40</definedName>
    <definedName function="false" hidden="false" name="dPrecio_V" vbProcedure="false">Supuestos!$D$52:$M$52</definedName>
    <definedName function="false" hidden="false" name="dSal_O" vbProcedure="false">Supuestos!$D$43:$M$43</definedName>
    <definedName function="false" hidden="false" name="dSal_V" vbProcedure="false">Supuestos!$D$55:$M$55</definedName>
    <definedName function="false" hidden="false" name="e_Atraso" vbProcedure="false">Supuestos!$G$68</definedName>
    <definedName function="false" hidden="false" name="e_dCapex" vbProcedure="false">Supuestos!$G$69</definedName>
    <definedName function="false" hidden="false" name="e_DInvEsc" vbProcedure="false">Supuestos!$G$71</definedName>
    <definedName function="false" hidden="false" name="e_dMat" vbProcedure="false">Supuestos!$G$66</definedName>
    <definedName function="false" hidden="false" name="e_dPrecio" vbProcedure="false">Supuestos!$G$65</definedName>
    <definedName function="false" hidden="false" name="e_DSOesc" vbProcedure="false">Supuestos!$G$70</definedName>
    <definedName function="false" hidden="false" name="e_dTC" vbProcedure="false">Supuestos!$G$67</definedName>
    <definedName function="false" hidden="false" name="e_dVol" vbProcedure="false">Supuestos!$G$64</definedName>
    <definedName function="false" hidden="false" name="FC_Base" vbProcedure="false">Costos!$J$75:$J$99</definedName>
    <definedName function="false" hidden="false" name="FC_Clase" vbProcedure="false">Costos!$C$75:$C$99</definedName>
    <definedName function="false" hidden="false" name="FC_Desde" vbProcedure="false">Costos!$H$75:$H$99</definedName>
    <definedName function="false" hidden="false" name="FC_g" vbProcedure="false">Costos!$G$75:$G$99</definedName>
    <definedName function="false" hidden="false" name="FC_IVA" vbProcedure="false">Costos!$I$75:$I$99</definedName>
    <definedName function="false" hidden="false" name="FC_Mon" vbProcedure="false">Costos!$D$75:$D$99</definedName>
    <definedName function="false" hidden="false" name="FC_O" vbProcedure="false">Costos!$E$75:$E$99</definedName>
    <definedName function="false" hidden="false" name="FC_V" vbProcedure="false">Costos!$F$75:$F$99</definedName>
    <definedName function="false" hidden="false" name="Fin" vbProcedure="false">Supuestos!$D$120</definedName>
    <definedName function="false" hidden="false" name="IdxMP_O" vbProcedure="false">Supuestos!$D$46:$M$46</definedName>
    <definedName function="false" hidden="false" name="IdxMP_V" vbProcedure="false">Supuestos!$D$58:$M$58</definedName>
    <definedName function="false" hidden="false" name="IdxOV_O" vbProcedure="false">Supuestos!$D$47:$M$47</definedName>
    <definedName function="false" hidden="false" name="IdxOV_V" vbProcedure="false">Supuestos!$D$59:$M$59</definedName>
    <definedName function="false" hidden="false" name="IdxPrecio_O" vbProcedure="false">Supuestos!$D$45:$M$45</definedName>
    <definedName function="false" hidden="false" name="IdxPrecio_V" vbProcedure="false">Supuestos!$D$57:$M$57</definedName>
    <definedName function="false" hidden="false" name="IdxSal_O" vbProcedure="false">Supuestos!$D$48:$M$48</definedName>
    <definedName function="false" hidden="false" name="IdxSal_V" vbProcedure="false">Supuestos!$D$60:$M$60</definedName>
    <definedName function="false" hidden="false" name="INS_O" vbProcedure="false">Productos!$K$6:$K$30</definedName>
    <definedName function="false" hidden="false" name="INS_V" vbProcedure="false">Productos!$L$6:$L$30</definedName>
    <definedName function="false" hidden="false" name="Inv_BaseV" vbProcedure="false">Inversion!$U$6:$U$25</definedName>
    <definedName function="false" hidden="false" name="Inv_CF" vbProcedure="false">Inversion!$N$6:$N$25</definedName>
    <definedName function="false" hidden="false" name="Inv_D" vbProcedure="false">Inversion!$D$6:$D$25</definedName>
    <definedName function="false" hidden="false" name="Inv_E" vbProcedure="false">Inversion!$E$6:$E$25</definedName>
    <definedName function="false" hidden="false" name="Inv_F" vbProcedure="false">Inversion!$F$6:$F$25</definedName>
    <definedName function="false" hidden="false" name="Inv_H" vbProcedure="false">Inversion!$H$6:$H$25</definedName>
    <definedName function="false" hidden="false" name="Inv_M" vbProcedure="false">Inversion!$M$6:$M$25</definedName>
    <definedName function="false" hidden="false" name="Inv_Q" vbProcedure="false">Inversion!$Q$6:$Q$25</definedName>
    <definedName function="false" hidden="false" name="Inv_R" vbProcedure="false">Inversion!$R$6:$R$25</definedName>
    <definedName function="false" hidden="false" name="Inv_SvcP" vbProcedure="false">Inversion!$S$6:$S$25</definedName>
    <definedName function="false" hidden="false" name="Inv_SvcV" vbProcedure="false">Inversion!$T$6:$T$25</definedName>
    <definedName function="false" hidden="false" name="i_CapexP" vbProcedure="false">Inversion!$D$26</definedName>
    <definedName function="false" hidden="false" name="i_CapexV" vbProcedure="false">Inversion!$N$26</definedName>
    <definedName function="false" hidden="false" name="i_Pagado" vbProcedure="false">Inversion!$H$26</definedName>
    <definedName function="false" hidden="false" name="MP_O" vbProcedure="false">Productos!$I$6:$I$30</definedName>
    <definedName function="false" hidden="false" name="MP_V" vbProcedure="false">Productos!$J$6:$J$30</definedName>
    <definedName function="false" hidden="false" name="n_Corte" vbProcedure="false">Inicio!$C$11</definedName>
    <definedName function="false" hidden="false" name="n_Escenario" vbProcedure="false">Inicio!$C$13</definedName>
    <definedName function="false" hidden="false" name="n_Etapa" vbProcedure="false">Inicio!$C$9</definedName>
    <definedName function="false" hidden="false" name="n_Fecha1" vbProcedure="false">Inicio!$C$10</definedName>
    <definedName function="false" hidden="false" name="n_InicioReal" vbProcedure="false">Inicio!$C$12</definedName>
    <definedName function="false" hidden="false" name="n_Negocio" vbProcedure="false">Inicio!$C$6</definedName>
    <definedName function="false" hidden="false" name="n_Producto" vbProcedure="false">Inicio!$C$8</definedName>
    <definedName function="false" hidden="false" name="n_Socios" vbProcedure="false">Inicio!$C$7</definedName>
    <definedName function="false" hidden="false" name="OV_O" vbProcedure="false">Productos!$M$6:$M$30</definedName>
    <definedName function="false" hidden="false" name="OV_V" vbProcedure="false">Productos!$N$6:$N$30</definedName>
    <definedName function="false" hidden="false" name="o_Alim" vbProcedure="false">Supuestos!$D$10</definedName>
    <definedName function="false" hidden="false" name="o_Anios" vbProcedure="false">Supuestos!$D$7</definedName>
    <definedName function="false" hidden="false" name="o_CajaMin" vbProcedure="false">Supuestos!$D$26</definedName>
    <definedName function="false" hidden="false" name="o_Cargas" vbProcedure="false">Supuestos!$D$9</definedName>
    <definedName function="false" hidden="false" name="o_ComV" vbProcedure="false">Supuestos!$D$19</definedName>
    <definedName function="false" hidden="false" name="o_Desp" vbProcedure="false">Supuestos!$D$13</definedName>
    <definedName function="false" hidden="false" name="o_DInv" vbProcedure="false">Supuestos!$D$22</definedName>
    <definedName function="false" hidden="false" name="o_DPOmp" vbProcedure="false">Supuestos!$D$24</definedName>
    <definedName function="false" hidden="false" name="o_DPOot" vbProcedure="false">Supuestos!$D$25</definedName>
    <definedName function="false" hidden="false" name="o_DPT" vbProcedure="false">Supuestos!$D$23</definedName>
    <definedName function="false" hidden="false" name="o_DSO" vbProcedure="false">Supuestos!$D$21</definedName>
    <definedName function="false" hidden="false" name="o_ImpA" vbProcedure="false">Supuestos!$D$16</definedName>
    <definedName function="false" hidden="false" name="o_ImpP" vbProcedure="false">Supuestos!$D$15</definedName>
    <definedName function="false" hidden="false" name="o_Inicio" vbProcedure="false">Supuestos!$D$6</definedName>
    <definedName function="false" hidden="false" name="o_IRE" vbProcedure="false">Supuestos!$D$20</definedName>
    <definedName function="false" hidden="false" name="o_IVAint" vbProcedure="false">Supuestos!$D$29</definedName>
    <definedName function="false" hidden="false" name="o_IVAmeses" vbProcedure="false">Supuestos!$D$28</definedName>
    <definedName function="false" hidden="false" name="o_IVArec" vbProcedure="false">Supuestos!$D$27</definedName>
    <definedName function="false" hidden="false" name="o_Ke" vbProcedure="false">Supuestos!$D$31</definedName>
    <definedName function="false" hidden="false" name="o_Merma" vbProcedure="false">Supuestos!$D$8</definedName>
    <definedName function="false" hidden="false" name="o_MesDiv" vbProcedure="false">Supuestos!$D$34</definedName>
    <definedName function="false" hidden="false" name="o_Pkg" vbProcedure="false">Supuestos!$D$14</definedName>
    <definedName function="false" hidden="false" name="o_PreDir" vbProcedure="false">Supuestos!$D$11</definedName>
    <definedName function="false" hidden="false" name="o_PreInd" vbProcedure="false">Supuestos!$D$12</definedName>
    <definedName function="false" hidden="false" name="o_RealAF" vbProcedure="false">Supuestos!$D$33</definedName>
    <definedName function="false" hidden="false" name="o_RealCT" vbProcedure="false">Supuestos!$D$32</definedName>
    <definedName function="false" hidden="false" name="o_SegV" vbProcedure="false">Supuestos!$D$18</definedName>
    <definedName function="false" hidden="false" name="o_Trib" vbProcedure="false">Supuestos!$D$17</definedName>
    <definedName function="false" hidden="false" name="o_WACC" vbProcedure="false">Supuestos!$D$30</definedName>
    <definedName function="false" hidden="false" name="Payout_O" vbProcedure="false">Supuestos!$D$44:$M$44</definedName>
    <definedName function="false" hidden="false" name="Payout_V" vbProcedure="false">Supuestos!$D$56:$M$56</definedName>
    <definedName function="false" hidden="false" name="Per_Clase" vbProcedure="false">Costos!$C$6:$C$35</definedName>
    <definedName function="false" hidden="false" name="Per_Mon" vbProcedure="false">Costos!$D$6:$D$35</definedName>
    <definedName function="false" hidden="false" name="Precio_O" vbProcedure="false">Productos!$G$6:$G$30</definedName>
    <definedName function="false" hidden="false" name="Precio_V" vbProcedure="false">Productos!$H$6:$H$30</definedName>
    <definedName function="false" hidden="false" name="Prod_Nombre" vbProcedure="false">Productos!$B$6:$B$30</definedName>
    <definedName function="false" hidden="false" name="pub_EBITDA" vbProcedure="false">Supuestos!$D$77:$M$77</definedName>
    <definedName function="false" hidden="false" name="pub_TIR" vbProcedure="false">Supuestos!$D$80</definedName>
    <definedName function="false" hidden="false" name="pub_Utilidad" vbProcedure="false">Supuestos!$D$78:$M$78</definedName>
    <definedName function="false" hidden="false" name="pub_VAN" vbProcedure="false">Supuestos!$D$79</definedName>
    <definedName function="false" hidden="false" name="pub_Ventas" vbProcedure="false">Supuestos!$D$76:$M$76</definedName>
    <definedName function="false" hidden="false" name="P_Alim" vbProcedure="false">Supuestos!$D$89</definedName>
    <definedName function="false" hidden="false" name="P_Anios" vbProcedure="false">Supuestos!$D$86</definedName>
    <definedName function="false" hidden="false" name="P_CajaMin" vbProcedure="false">Supuestos!$D$105</definedName>
    <definedName function="false" hidden="false" name="P_Cargas" vbProcedure="false">Supuestos!$D$88</definedName>
    <definedName function="false" hidden="false" name="P_ComV" vbProcedure="false">Supuestos!$D$98</definedName>
    <definedName function="false" hidden="false" name="P_dCapex" vbProcedure="false">Supuestos!$D$118</definedName>
    <definedName function="false" hidden="false" name="P_Desp" vbProcedure="false">Supuestos!$D$92</definedName>
    <definedName function="false" hidden="false" name="P_DInv" vbProcedure="false">Supuestos!$D$101</definedName>
    <definedName function="false" hidden="false" name="P_dMat" vbProcedure="false">Supuestos!$D$116</definedName>
    <definedName function="false" hidden="false" name="P_DPOmp" vbProcedure="false">Supuestos!$D$103</definedName>
    <definedName function="false" hidden="false" name="P_DPOot" vbProcedure="false">Supuestos!$D$104</definedName>
    <definedName function="false" hidden="false" name="P_dPrecio" vbProcedure="false">Supuestos!$D$115</definedName>
    <definedName function="false" hidden="false" name="P_DPT" vbProcedure="false">Supuestos!$D$102</definedName>
    <definedName function="false" hidden="false" name="P_DSO" vbProcedure="false">Supuestos!$D$100</definedName>
    <definedName function="false" hidden="false" name="P_dTC" vbProcedure="false">Supuestos!$D$117</definedName>
    <definedName function="false" hidden="false" name="P_dVol" vbProcedure="false">Supuestos!$D$114</definedName>
    <definedName function="false" hidden="false" name="P_ImpA" vbProcedure="false">Supuestos!$D$95</definedName>
    <definedName function="false" hidden="false" name="P_ImpP" vbProcedure="false">Supuestos!$D$94</definedName>
    <definedName function="false" hidden="false" name="P_Inicio" vbProcedure="false">Supuestos!$D$85</definedName>
    <definedName function="false" hidden="false" name="P_IRE" vbProcedure="false">Supuestos!$D$99</definedName>
    <definedName function="false" hidden="false" name="P_IVAint" vbProcedure="false">Supuestos!$D$108</definedName>
    <definedName function="false" hidden="false" name="P_IVAmeses" vbProcedure="false">Supuestos!$D$107</definedName>
    <definedName function="false" hidden="false" name="P_IVArec" vbProcedure="false">Supuestos!$D$106</definedName>
    <definedName function="false" hidden="false" name="P_Ke" vbProcedure="false">Supuestos!$D$110</definedName>
    <definedName function="false" hidden="false" name="P_L1_Cuotas" vbProcedure="false">Inversion!$D$36</definedName>
    <definedName function="false" hidden="false" name="P_L1_Gracia" vbProcedure="false">Inversion!$D$35</definedName>
    <definedName function="false" hidden="false" name="P_L1_Mes" vbProcedure="false">Inversion!$D$33</definedName>
    <definedName function="false" hidden="false" name="P_L1_Monto" vbProcedure="false">Inversion!$D$32</definedName>
    <definedName function="false" hidden="false" name="P_L1_Tasa" vbProcedure="false">Inversion!$D$34</definedName>
    <definedName function="false" hidden="false" name="P_L2_Cuotas" vbProcedure="false">Inversion!$F$36</definedName>
    <definedName function="false" hidden="false" name="P_L2_Gracia" vbProcedure="false">Inversion!$F$35</definedName>
    <definedName function="false" hidden="false" name="P_L2_Mes" vbProcedure="false">Inversion!$F$33</definedName>
    <definedName function="false" hidden="false" name="P_L2_Monto" vbProcedure="false">Inversion!$F$32</definedName>
    <definedName function="false" hidden="false" name="P_L2_Tasa" vbProcedure="false">Inversion!$F$34</definedName>
    <definedName function="false" hidden="false" name="P_L3_Cuotas" vbProcedure="false">Inversion!$H$36</definedName>
    <definedName function="false" hidden="false" name="P_L3_Gracia" vbProcedure="false">Inversion!$H$35</definedName>
    <definedName function="false" hidden="false" name="P_L3_Mes" vbProcedure="false">Inversion!$H$33</definedName>
    <definedName function="false" hidden="false" name="P_L3_Monto" vbProcedure="false">Inversion!$H$32</definedName>
    <definedName function="false" hidden="false" name="P_L3_Tasa" vbProcedure="false">Inversion!$H$34</definedName>
    <definedName function="false" hidden="false" name="P_LC_Desde" vbProcedure="false">Inversion!$D$43</definedName>
    <definedName function="false" hidden="false" name="P_LC_Hasta" vbProcedure="false">Inversion!$D$44</definedName>
    <definedName function="false" hidden="false" name="P_LC_Lim" vbProcedure="false">Inversion!$D$41</definedName>
    <definedName function="false" hidden="false" name="P_LC_Tasa" vbProcedure="false">Inversion!$D$42</definedName>
    <definedName function="false" hidden="false" name="P_Merma" vbProcedure="false">Supuestos!$D$87</definedName>
    <definedName function="false" hidden="false" name="P_MesDiv" vbProcedure="false">Supuestos!$D$113</definedName>
    <definedName function="false" hidden="false" name="P_Pkg" vbProcedure="false">Supuestos!$D$93</definedName>
    <definedName function="false" hidden="false" name="P_PreDir" vbProcedure="false">Supuestos!$D$90</definedName>
    <definedName function="false" hidden="false" name="P_PreInd" vbProcedure="false">Supuestos!$D$91</definedName>
    <definedName function="false" hidden="false" name="P_RealAF" vbProcedure="false">Supuestos!$D$112</definedName>
    <definedName function="false" hidden="false" name="P_RealCT" vbProcedure="false">Supuestos!$D$111</definedName>
    <definedName function="false" hidden="false" name="P_SegV" vbProcedure="false">Supuestos!$D$97</definedName>
    <definedName function="false" hidden="false" name="P_Trib" vbProcedure="false">Supuestos!$D$96</definedName>
    <definedName function="false" hidden="false" name="P_WACC" vbProcedure="false">Supuestos!$D$109</definedName>
    <definedName function="false" hidden="false" name="r_BrechaV" vbProcedure="false">Resultados!$D$22</definedName>
    <definedName function="false" hidden="false" name="r_ChkP" vbProcedure="false">Resultados!$C$30</definedName>
    <definedName function="false" hidden="false" name="r_ChkV" vbProcedure="false">Resultados!$D$30</definedName>
    <definedName function="false" hidden="false" name="r_DeudaFinP" vbProcedure="false">Control!$C$24</definedName>
    <definedName function="false" hidden="false" name="Sal_O" vbProcedure="false">Costos!$E$6:$E$35</definedName>
    <definedName function="false" hidden="false" name="Sal_V" vbProcedure="false">Costos!$F$6:$F$35</definedName>
    <definedName function="false" hidden="false" name="TC_O" vbProcedure="false">Supuestos!$D$39:$M$39</definedName>
    <definedName function="false" hidden="false" name="TC_V" vbProcedure="false">Supuestos!$D$51:$M$51</definedName>
    <definedName function="false" hidden="false" name="vg_Alim" vbProcedure="false">Supuestos!$E$10</definedName>
    <definedName function="false" hidden="false" name="vg_Anios" vbProcedure="false">Supuestos!$E$7</definedName>
    <definedName function="false" hidden="false" name="vg_CajaMin" vbProcedure="false">Supuestos!$E$26</definedName>
    <definedName function="false" hidden="false" name="vg_Cargas" vbProcedure="false">Supuestos!$E$9</definedName>
    <definedName function="false" hidden="false" name="vg_ComV" vbProcedure="false">Supuestos!$E$19</definedName>
    <definedName function="false" hidden="false" name="vg_Desp" vbProcedure="false">Supuestos!$E$13</definedName>
    <definedName function="false" hidden="false" name="vg_DInv" vbProcedure="false">Supuestos!$E$22</definedName>
    <definedName function="false" hidden="false" name="vg_DPOmp" vbProcedure="false">Supuestos!$E$24</definedName>
    <definedName function="false" hidden="false" name="vg_DPOot" vbProcedure="false">Supuestos!$E$25</definedName>
    <definedName function="false" hidden="false" name="vg_DPT" vbProcedure="false">Supuestos!$E$23</definedName>
    <definedName function="false" hidden="false" name="vg_DSO" vbProcedure="false">Supuestos!$E$21</definedName>
    <definedName function="false" hidden="false" name="vg_ImpA" vbProcedure="false">Supuestos!$E$16</definedName>
    <definedName function="false" hidden="false" name="vg_ImpP" vbProcedure="false">Supuestos!$E$15</definedName>
    <definedName function="false" hidden="false" name="vg_Inicio" vbProcedure="false">Supuestos!$E$6</definedName>
    <definedName function="false" hidden="false" name="vg_IRE" vbProcedure="false">Supuestos!$E$20</definedName>
    <definedName function="false" hidden="false" name="vg_IVAint" vbProcedure="false">Supuestos!$E$29</definedName>
    <definedName function="false" hidden="false" name="vg_IVAmeses" vbProcedure="false">Supuestos!$E$28</definedName>
    <definedName function="false" hidden="false" name="vg_IVArec" vbProcedure="false">Supuestos!$E$27</definedName>
    <definedName function="false" hidden="false" name="vg_Ke" vbProcedure="false">Supuestos!$E$31</definedName>
    <definedName function="false" hidden="false" name="vg_Merma" vbProcedure="false">Supuestos!$E$8</definedName>
    <definedName function="false" hidden="false" name="vg_MesDiv" vbProcedure="false">Supuestos!$E$34</definedName>
    <definedName function="false" hidden="false" name="vg_Pkg" vbProcedure="false">Supuestos!$E$14</definedName>
    <definedName function="false" hidden="false" name="vg_PreDir" vbProcedure="false">Supuestos!$E$11</definedName>
    <definedName function="false" hidden="false" name="vg_PreInd" vbProcedure="false">Supuestos!$E$12</definedName>
    <definedName function="false" hidden="false" name="vg_RealAF" vbProcedure="false">Supuestos!$E$33</definedName>
    <definedName function="false" hidden="false" name="vg_RealCT" vbProcedure="false">Supuestos!$E$32</definedName>
    <definedName function="false" hidden="false" name="vg_SegV" vbProcedure="false">Supuestos!$E$18</definedName>
    <definedName function="false" hidden="false" name="vg_Trib" vbProcedure="false">Supuestos!$E$17</definedName>
    <definedName function="false" hidden="false" name="vg_WACC" vbProcedure="false">Supuestos!$E$30</definedName>
    <definedName function="false" hidden="false" name="VolTot_O" vbProcedure="false">Productos!$N$34:$N$58</definedName>
    <definedName function="false" hidden="false" name="VolTot_V" vbProcedure="false">Productos!$N$63:$N$87</definedName>
    <definedName function="false" hidden="false" name="Vol_O" vbProcedure="false">Productos!$D$34:$M$58</definedName>
    <definedName function="false" hidden="false" name="Vol_V" vbProcedure="false">Productos!$D$63:$M$87</definedName>
    <definedName function="false" hidden="false" name="V_Alim" vbProcedure="false">Supuestos!$E$89</definedName>
    <definedName function="false" hidden="false" name="V_Anios" vbProcedure="false">Supuestos!$E$86</definedName>
    <definedName function="false" hidden="false" name="V_CajaMin" vbProcedure="false">Supuestos!$E$105</definedName>
    <definedName function="false" hidden="false" name="V_Cargas" vbProcedure="false">Supuestos!$E$88</definedName>
    <definedName function="false" hidden="false" name="V_ComV" vbProcedure="false">Supuestos!$E$98</definedName>
    <definedName function="false" hidden="false" name="V_dCapex" vbProcedure="false">Supuestos!$E$118</definedName>
    <definedName function="false" hidden="false" name="V_Desp" vbProcedure="false">Supuestos!$E$92</definedName>
    <definedName function="false" hidden="false" name="V_DInv" vbProcedure="false">Supuestos!$E$101</definedName>
    <definedName function="false" hidden="false" name="V_dMat" vbProcedure="false">Supuestos!$E$116</definedName>
    <definedName function="false" hidden="false" name="V_DPOmp" vbProcedure="false">Supuestos!$E$103</definedName>
    <definedName function="false" hidden="false" name="V_DPOot" vbProcedure="false">Supuestos!$E$104</definedName>
    <definedName function="false" hidden="false" name="V_dPrecio" vbProcedure="false">Supuestos!$E$115</definedName>
    <definedName function="false" hidden="false" name="V_DPT" vbProcedure="false">Supuestos!$E$102</definedName>
    <definedName function="false" hidden="false" name="V_DSO" vbProcedure="false">Supuestos!$E$100</definedName>
    <definedName function="false" hidden="false" name="V_dTC" vbProcedure="false">Supuestos!$E$117</definedName>
    <definedName function="false" hidden="false" name="V_dVol" vbProcedure="false">Supuestos!$E$114</definedName>
    <definedName function="false" hidden="false" name="V_ImpA" vbProcedure="false">Supuestos!$E$95</definedName>
    <definedName function="false" hidden="false" name="V_ImpP" vbProcedure="false">Supuestos!$E$94</definedName>
    <definedName function="false" hidden="false" name="V_Inicio" vbProcedure="false">Supuestos!$E$85</definedName>
    <definedName function="false" hidden="false" name="V_IRE" vbProcedure="false">Supuestos!$E$99</definedName>
    <definedName function="false" hidden="false" name="V_IVAint" vbProcedure="false">Supuestos!$E$108</definedName>
    <definedName function="false" hidden="false" name="V_IVAmeses" vbProcedure="false">Supuestos!$E$107</definedName>
    <definedName function="false" hidden="false" name="V_IVArec" vbProcedure="false">Supuestos!$E$106</definedName>
    <definedName function="false" hidden="false" name="V_Ke" vbProcedure="false">Supuestos!$E$110</definedName>
    <definedName function="false" hidden="false" name="V_L1_Cuotas" vbProcedure="false">Inversion!$E$36</definedName>
    <definedName function="false" hidden="false" name="V_L1_Gracia" vbProcedure="false">Inversion!$E$35</definedName>
    <definedName function="false" hidden="false" name="V_L1_Mes" vbProcedure="false">Inversion!$E$33</definedName>
    <definedName function="false" hidden="false" name="V_L1_Monto" vbProcedure="false">Inversion!$E$32</definedName>
    <definedName function="false" hidden="false" name="V_L1_Tasa" vbProcedure="false">Inversion!$E$34</definedName>
    <definedName function="false" hidden="false" name="V_L2_Cuotas" vbProcedure="false">Inversion!$G$36</definedName>
    <definedName function="false" hidden="false" name="V_L2_Gracia" vbProcedure="false">Inversion!$G$35</definedName>
    <definedName function="false" hidden="false" name="V_L2_Mes" vbProcedure="false">Inversion!$G$33</definedName>
    <definedName function="false" hidden="false" name="V_L2_Monto" vbProcedure="false">Inversion!$G$32</definedName>
    <definedName function="false" hidden="false" name="V_L2_Tasa" vbProcedure="false">Inversion!$G$34</definedName>
    <definedName function="false" hidden="false" name="V_L3_Cuotas" vbProcedure="false">Inversion!$I$36</definedName>
    <definedName function="false" hidden="false" name="V_L3_Gracia" vbProcedure="false">Inversion!$I$35</definedName>
    <definedName function="false" hidden="false" name="V_L3_Mes" vbProcedure="false">Inversion!$I$33</definedName>
    <definedName function="false" hidden="false" name="V_L3_Monto" vbProcedure="false">Inversion!$I$32</definedName>
    <definedName function="false" hidden="false" name="V_L3_Tasa" vbProcedure="false">Inversion!$I$34</definedName>
    <definedName function="false" hidden="false" name="V_LC_Desde" vbProcedure="false">Inversion!$E$43</definedName>
    <definedName function="false" hidden="false" name="V_LC_Hasta" vbProcedure="false">Inversion!$E$44</definedName>
    <definedName function="false" hidden="false" name="V_LC_Lim" vbProcedure="false">Inversion!$E$41</definedName>
    <definedName function="false" hidden="false" name="V_LC_Saldo0" vbProcedure="false">Inversion!$E$45</definedName>
    <definedName function="false" hidden="false" name="V_LC_Tasa" vbProcedure="false">Inversion!$E$42</definedName>
    <definedName function="false" hidden="false" name="V_Merma" vbProcedure="false">Supuestos!$E$87</definedName>
    <definedName function="false" hidden="false" name="V_MesDiv" vbProcedure="false">Supuestos!$E$113</definedName>
    <definedName function="false" hidden="false" name="V_Pkg" vbProcedure="false">Supuestos!$E$93</definedName>
    <definedName function="false" hidden="false" name="V_PreDir" vbProcedure="false">Supuestos!$E$90</definedName>
    <definedName function="false" hidden="false" name="V_PreInd" vbProcedure="false">Supuestos!$E$91</definedName>
    <definedName function="false" hidden="false" name="V_RealAF" vbProcedure="false">Supuestos!$E$112</definedName>
    <definedName function="false" hidden="false" name="V_RealCT" vbProcedure="false">Supuestos!$E$111</definedName>
    <definedName function="false" hidden="false" name="V_SegV" vbProcedure="false">Supuestos!$E$97</definedName>
    <definedName function="false" hidden="false" name="V_Trib" vbProcedure="false">Supuestos!$E$96</definedName>
    <definedName function="false" hidden="false" name="V_WACC" vbProcedure="false">Supuestos!$E$109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<sst xmlns="http://schemas.openxmlformats.org/spreadsheetml/2006/main" count="2046" uniqueCount="1186">
  <si>
    <t xml:space="preserve">Plantilla común v2: un archivo por negocio, misma estructura. Presupuesto original, ejecución real y proyección vigente separados.</t>
  </si>
  <si>
    <t xml:space="preserve">1. Configuración del negocio (completar)</t>
  </si>
  <si>
    <t xml:space="preserve">Dato</t>
  </si>
  <si>
    <t xml:space="preserve">Valor</t>
  </si>
  <si>
    <t xml:space="preserve">Instrucción</t>
  </si>
  <si>
    <t xml:space="preserve">Nombre del negocio</t>
  </si>
  <si>
    <t xml:space="preserve">ECOSTAR — Maquila CIE–PERG</t>
  </si>
  <si>
    <t xml:space="preserve">Texto libre.</t>
  </si>
  <si>
    <t xml:space="preserve">Socios / empresas</t>
  </si>
  <si>
    <t xml:space="preserve">CIE S.A. / PERG</t>
  </si>
  <si>
    <t xml:space="preserve">Actividad / productos</t>
  </si>
  <si>
    <t xml:space="preserve">Procesamiento de chapas: gabinetes metálicos (153 kg) y cajas metálicas (13 kg)</t>
  </si>
  <si>
    <t xml:space="preserve">Etapa del negocio</t>
  </si>
  <si>
    <t xml:space="preserve">Operación</t>
  </si>
  <si>
    <t xml:space="preserve">Implantación (aún sin operar) u Operación.</t>
  </si>
  <si>
    <t xml:space="preserve">Fecha del mes 1 del modelo</t>
  </si>
  <si>
    <t xml:space="preserve">Primer mes de implantación u operación. Se recomienda que sea enero para que los años coincidan con años calendario. Vacío = meses relativos.</t>
  </si>
  <si>
    <t xml:space="preserve">Último mes cerrado con datos reales (n° de mes)</t>
  </si>
  <si>
    <t xml:space="preserve">Los meses hasta este número usan solo la hoja Reales y no cambian con los escenarios. Vacío = sin datos reales.</t>
  </si>
  <si>
    <t xml:space="preserve">Mes real de inicio de operación (n° de mes)</t>
  </si>
  <si>
    <t xml:space="preserve">Cargar cuando la operación ya comenzó. Prevalece sobre el supuesto vigente y el atraso del escenario.</t>
  </si>
  <si>
    <t xml:space="preserve">Escenario para la proyección</t>
  </si>
  <si>
    <t xml:space="preserve">Vigente</t>
  </si>
  <si>
    <t xml:space="preserve">Vigente (sin ajustes), Conservador u Optimista. Solo afecta los meses posteriores al corte.</t>
  </si>
  <si>
    <t xml:space="preserve">Moneda de presentación</t>
  </si>
  <si>
    <t xml:space="preserve">USD (costos en Gs convertidos con el TC de cada año)</t>
  </si>
  <si>
    <t xml:space="preserve">2. Estado del modelo (automático)</t>
  </si>
  <si>
    <t xml:space="preserve">Fecha del último mes cerrado</t>
  </si>
  <si>
    <t xml:space="preserve">Inicio de operación (presupuesto / vigente)</t>
  </si>
  <si>
    <t xml:space="preserve">Fin del horizonte evaluado (fijo)</t>
  </si>
  <si>
    <t xml:space="preserve">Supuestos vigentes modificados respecto del presupuesto</t>
  </si>
  <si>
    <t xml:space="preserve">Controles con alerta (hoja Control)</t>
  </si>
  <si>
    <t xml:space="preserve">Brecha de caja máxima vigente (USD)</t>
  </si>
  <si>
    <t xml:space="preserve">3. Cómo cargar y actualizar</t>
  </si>
  <si>
    <t xml:space="preserve">Alta de un negocio</t>
  </si>
  <si>
    <t xml:space="preserve">Copiar el archivo vacío, completar la sección 1 y luego las hojas en este orden: Supuestos → Productos → Costos → Inversion.</t>
  </si>
  <si>
    <t xml:space="preserve">Presupuesto original</t>
  </si>
  <si>
    <t xml:space="preserve">Cargar en las columnas «Presupuesto original» los datos del plan aprobado. No se modifican después: son la referencia de comparación.</t>
  </si>
  <si>
    <t xml:space="preserve">Proyección vigente</t>
  </si>
  <si>
    <t xml:space="preserve">Las columnas «Vigente» heredan el presupuesto (gris). Sobrescribir solo lo que cambió; la celda pasa a azul/amarillo y Control lo cuenta.</t>
  </si>
  <si>
    <t xml:space="preserve">Cierre mensual</t>
  </si>
  <si>
    <t xml:space="preserve">1) Cargar en Reales el mes cerrado (unidades, ventas, costos, CAPEX, financiamiento). 2) Cargar los saldos al cierre en el mes de corte. 3) Actualizar «Último mes cerrado» arriba. 4) Revisar Control. 5) Ajustar la proyección vigente si cambió.</t>
  </si>
  <si>
    <t xml:space="preserve">Inversión</t>
  </si>
  <si>
    <t xml:space="preserve">En Inversion registrar por ítem lo ejecutado, pagado, comprometido y por contratar. El costo final estimado se calcula solo.</t>
  </si>
  <si>
    <t xml:space="preserve">Escenarios</t>
  </si>
  <si>
    <t xml:space="preserve">Elegir el escenario arriba. Los ajustes están en Supuestos sección C y solo afectan la proyección (nunca los meses reales).</t>
  </si>
  <si>
    <t xml:space="preserve">Lectura</t>
  </si>
  <si>
    <t xml:space="preserve">Resultados compara presupuesto original vs vigente (real + proyección). Control muestra los faltantes y las inconsistencias.</t>
  </si>
  <si>
    <t xml:space="preserve">4. Convenciones</t>
  </si>
  <si>
    <t xml:space="preserve">Ejemplo 1.234</t>
  </si>
  <si>
    <t xml:space="preserve">Celda para completar (dato de entrada).</t>
  </si>
  <si>
    <t xml:space="preserve">Vigente heredado del presupuesto (fórmula). Sobrescribir si el dato cambió.</t>
  </si>
  <si>
    <t xml:space="preserve">Fórmula: no editar.</t>
  </si>
  <si>
    <t xml:space="preserve">Presupuesto original (Resultados).</t>
  </si>
  <si>
    <t xml:space="preserve">Vigente: real + proyección (Resultados).</t>
  </si>
  <si>
    <t xml:space="preserve">Porcentajes como fracción (0,05 = 5%). Montos en USD salvo que la columna Moneda indique PYG.</t>
  </si>
  <si>
    <t xml:space="preserve">5. Hojas</t>
  </si>
  <si>
    <t xml:space="preserve">Supuestos</t>
  </si>
  <si>
    <t xml:space="preserve">Parámetros generales, supuestos por año, escenarios y referencia del plan publicado.</t>
  </si>
  <si>
    <t xml:space="preserve">Productos</t>
  </si>
  <si>
    <t xml:space="preserve">Hasta 25 productos: precio, costos unitarios, capacidad y volumen anual (presupuesto y vigente).</t>
  </si>
  <si>
    <t xml:space="preserve">Costos</t>
  </si>
  <si>
    <t xml:space="preserve">Personal por puesto (dotación por año) y costos fijos (moneda, crecimiento, inicio).</t>
  </si>
  <si>
    <t xml:space="preserve">Inversion</t>
  </si>
  <si>
    <t xml:space="preserve">CAPEX por ítem (presupuesto, ejecutado, comprometido, por contratar), préstamos y aportes.</t>
  </si>
  <si>
    <t xml:space="preserve">Reales</t>
  </si>
  <si>
    <t xml:space="preserve">Carga mensual de la ejecución y saldos al cierre (formato fijo: un dato por celda).</t>
  </si>
  <si>
    <t xml:space="preserve">Calculo</t>
  </si>
  <si>
    <t xml:space="preserve">Motor mensual automático (no editar). Bloque P = presupuesto; bloque V = vigente.</t>
  </si>
  <si>
    <t xml:space="preserve">Resultados</t>
  </si>
  <si>
    <t xml:space="preserve">Indicadores, resúmenes anuales, desvíos y gráficos.</t>
  </si>
  <si>
    <t xml:space="preserve">Control</t>
  </si>
  <si>
    <t xml:space="preserve">Validaciones y datos faltantes.</t>
  </si>
  <si>
    <t xml:space="preserve">6. Datos pendientes de este negocio (editable)</t>
  </si>
  <si>
    <t xml:space="preserve">1.</t>
  </si>
  <si>
    <t xml:space="preserve">Fecha calendario del mes 1 y mes real de inicio de operación.</t>
  </si>
  <si>
    <t xml:space="preserve">2.</t>
  </si>
  <si>
    <t xml:space="preserve">Ventas, costos, CAPEX, deuda y saldos reales desde octubre de 2025 (hoja Reales).</t>
  </si>
  <si>
    <t xml:space="preserve">3.</t>
  </si>
  <si>
    <t xml:space="preserve">CAPEX ejecutado, pagado, comprometido y por contratar por ítem (hoja Inversion).</t>
  </si>
  <si>
    <t xml:space="preserve">4.</t>
  </si>
  <si>
    <t xml:space="preserve">Contrato CIE–PERG: venta de producto o servicio de maquila; propiedad de materiales; logística de exportación.</t>
  </si>
  <si>
    <t xml:space="preserve">5.</t>
  </si>
  <si>
    <t xml:space="preserve">Régimen de la Ley 7547/2025 y Decreto 5714/2026: base del tributo y recuperación de IVA.</t>
  </si>
  <si>
    <t xml:space="preserve">6.</t>
  </si>
  <si>
    <t xml:space="preserve">Naturaleza del alquiler (pago real, relacionada o costo de oportunidad).</t>
  </si>
  <si>
    <t xml:space="preserve">7.</t>
  </si>
  <si>
    <t xml:space="preserve">Tasas vigentes (WACC, Ke) y tipo de cambio proyectado.</t>
  </si>
  <si>
    <t xml:space="preserve">8.</t>
  </si>
  <si>
    <t xml:space="preserve">Nómina actual y desglose de cargas sociales.</t>
  </si>
  <si>
    <t xml:space="preserve">9.</t>
  </si>
  <si>
    <t xml:space="preserve">10.</t>
  </si>
  <si>
    <t xml:space="preserve">Supuestos — presupuesto original y vigente</t>
  </si>
  <si>
    <t xml:space="preserve">Presupuesto original = plan aprobado (no se modifica). Vigente = hereda el presupuesto; sobrescribir solo lo que cambió.</t>
  </si>
  <si>
    <t xml:space="preserve">A. Parámetros generales</t>
  </si>
  <si>
    <t xml:space="preserve">Cód.</t>
  </si>
  <si>
    <t xml:space="preserve">Parámetro</t>
  </si>
  <si>
    <t xml:space="preserve">Unidad</t>
  </si>
  <si>
    <t xml:space="preserve">Nota / fuente</t>
  </si>
  <si>
    <t xml:space="preserve">G01</t>
  </si>
  <si>
    <t xml:space="preserve">Mes de inicio de la operación (n° de mes del modelo)</t>
  </si>
  <si>
    <t xml:space="preserve">mes</t>
  </si>
  <si>
    <t xml:space="preserve">PDF: inversión en el año 0 y operación desde el año 1 (mes 1 del modelo).</t>
  </si>
  <si>
    <t xml:space="preserve">G02</t>
  </si>
  <si>
    <t xml:space="preserve">Años de operación evaluados</t>
  </si>
  <si>
    <t xml:space="preserve">años</t>
  </si>
  <si>
    <t xml:space="preserve">PDF: 10 años de operación. Horizonte común a ambas versiones: se define solo en el presupuesto.</t>
  </si>
  <si>
    <t xml:space="preserve">G03</t>
  </si>
  <si>
    <t xml:space="preserve">Merma entre producción y venta</t>
  </si>
  <si>
    <t xml:space="preserve">%</t>
  </si>
  <si>
    <t xml:space="preserve">PDF: producción = ventas.</t>
  </si>
  <si>
    <t xml:space="preserve">G04</t>
  </si>
  <si>
    <t xml:space="preserve">Cargas sociales sobre salarios (aguinaldo, IPS, vacaciones)</t>
  </si>
  <si>
    <t xml:space="preserve">PDF p. 19: coeficiente del plan (no validado como tasa legal).</t>
  </si>
  <si>
    <t xml:space="preserve">G05</t>
  </si>
  <si>
    <t xml:space="preserve">Alimentación del personal</t>
  </si>
  <si>
    <t xml:space="preserve">Gs/persona/mes</t>
  </si>
  <si>
    <t xml:space="preserve">Inferido del PDF: USD 946,85/persona/año a Gs 7.300.</t>
  </si>
  <si>
    <t xml:space="preserve">G06</t>
  </si>
  <si>
    <t xml:space="preserve">Personal directo activo antes del inicio de operación</t>
  </si>
  <si>
    <t xml:space="preserve">% dotación año 1</t>
  </si>
  <si>
    <t xml:space="preserve">Supuesto provisional para meses de implantación (no aplica al plan original).</t>
  </si>
  <si>
    <t xml:space="preserve">G07</t>
  </si>
  <si>
    <t xml:space="preserve">Personal indirecto y administrativo activo antes del inicio</t>
  </si>
  <si>
    <t xml:space="preserve">Supuesto provisional para meses de implantación.</t>
  </si>
  <si>
    <t xml:space="preserve">G08</t>
  </si>
  <si>
    <t xml:space="preserve">Despacho y gastos de importación (s/ materia prima + insumos)</t>
  </si>
  <si>
    <t xml:space="preserve">PDF p. 19: 3% sobre materia prima + insumos.</t>
  </si>
  <si>
    <t xml:space="preserve">G09</t>
  </si>
  <si>
    <t xml:space="preserve">Packaging (s/ materiales, otros variables y personal directo)</t>
  </si>
  <si>
    <t xml:space="preserve">PDF p. 19: 1% sobre materiales, otros variables y personal directo.</t>
  </si>
  <si>
    <t xml:space="preserve">G10</t>
  </si>
  <si>
    <t xml:space="preserve">Imprevistos de producción (s/ costos de producción)</t>
  </si>
  <si>
    <t xml:space="preserve">PDF p. 19: 5% sobre costos de producción (excluye tributo).</t>
  </si>
  <si>
    <t xml:space="preserve">G11</t>
  </si>
  <si>
    <t xml:space="preserve">Imprevistos de administración (s/ gastos marcados como base)</t>
  </si>
  <si>
    <t xml:space="preserve">PDF p. 19: 5% sobre administración (excluye alquiler y expensas).</t>
  </si>
  <si>
    <t xml:space="preserve">G12</t>
  </si>
  <si>
    <t xml:space="preserve">Tributo de maquila (s/ ventas)</t>
  </si>
  <si>
    <t xml:space="preserve">PDF p. 7: 1% sobre el valor exportado (verificar Ley 7547/2025).</t>
  </si>
  <si>
    <t xml:space="preserve">G13</t>
  </si>
  <si>
    <t xml:space="preserve">Seguro de caución y otros cargos (s/ ventas)</t>
  </si>
  <si>
    <t xml:space="preserve">Seguro de caución: 0,1% de ventas (inferido del PDF).</t>
  </si>
  <si>
    <t xml:space="preserve">G14</t>
  </si>
  <si>
    <t xml:space="preserve">Comisiones y logística de venta (s/ ventas)</t>
  </si>
  <si>
    <t xml:space="preserve">PDF: sin gastos de venta (pendiente confirmar).</t>
  </si>
  <si>
    <t xml:space="preserve">G15</t>
  </si>
  <si>
    <t xml:space="preserve">Impuesto a la renta (s/ resultado)</t>
  </si>
  <si>
    <t xml:space="preserve">PDF: IRE no aplica bajo maquila (verificar).</t>
  </si>
  <si>
    <t xml:space="preserve">G16</t>
  </si>
  <si>
    <t xml:space="preserve">Días de cobro a clientes</t>
  </si>
  <si>
    <t xml:space="preserve">días</t>
  </si>
  <si>
    <t xml:space="preserve">PDF p. 8.</t>
  </si>
  <si>
    <t xml:space="preserve">G17</t>
  </si>
  <si>
    <t xml:space="preserve">Días de inventario de materiales</t>
  </si>
  <si>
    <t xml:space="preserve">PDF p. 8: materia prima e insumos.</t>
  </si>
  <si>
    <t xml:space="preserve">G18</t>
  </si>
  <si>
    <t xml:space="preserve">Días de producto terminado</t>
  </si>
  <si>
    <t xml:space="preserve">G19</t>
  </si>
  <si>
    <t xml:space="preserve">Días de pago a proveedores de materiales</t>
  </si>
  <si>
    <t xml:space="preserve">PDF p. 24.</t>
  </si>
  <si>
    <t xml:space="preserve">G20</t>
  </si>
  <si>
    <t xml:space="preserve">Días de pago a otros proveedores</t>
  </si>
  <si>
    <t xml:space="preserve">G21</t>
  </si>
  <si>
    <t xml:space="preserve">Caja mínima operativa</t>
  </si>
  <si>
    <t xml:space="preserve">días de ventas</t>
  </si>
  <si>
    <t xml:space="preserve">PDF cuadro 16: 3 días de ventas.</t>
  </si>
  <si>
    <t xml:space="preserve">G22</t>
  </si>
  <si>
    <t xml:space="preserve">IVA recuperable de los costos fijos gravados</t>
  </si>
  <si>
    <t xml:space="preserve">PDF: IVA considerado costo (criterio prudencial).</t>
  </si>
  <si>
    <t xml:space="preserve">G23</t>
  </si>
  <si>
    <t xml:space="preserve">Meses para recuperar el IVA</t>
  </si>
  <si>
    <t xml:space="preserve">meses</t>
  </si>
  <si>
    <t xml:space="preserve">Supuesto provisional.</t>
  </si>
  <si>
    <t xml:space="preserve">G24</t>
  </si>
  <si>
    <t xml:space="preserve">IVA sobre intereses</t>
  </si>
  <si>
    <t xml:space="preserve">PDF p. 4.</t>
  </si>
  <si>
    <t xml:space="preserve">G25</t>
  </si>
  <si>
    <t xml:space="preserve">Tasa de descuento del proyecto (WACC, anual)</t>
  </si>
  <si>
    <t xml:space="preserve">Tasa ponderada inicial del PDF (histórica: 93% deuda a 9%). Actualizar.</t>
  </si>
  <si>
    <t xml:space="preserve">G26</t>
  </si>
  <si>
    <t xml:space="preserve">Costo del capital propio (Ke, anual)</t>
  </si>
  <si>
    <t xml:space="preserve">PDF p. 9 (histórica).</t>
  </si>
  <si>
    <t xml:space="preserve">G27</t>
  </si>
  <si>
    <t xml:space="preserve">Recuperación del capital de trabajo al final del horizonte</t>
  </si>
  <si>
    <t xml:space="preserve">Supuesto provisional: recuperación total del capital de trabajo al final.</t>
  </si>
  <si>
    <t xml:space="preserve">G28</t>
  </si>
  <si>
    <t xml:space="preserve">Valor de realización del activo fijo al final (s/ valor contable)</t>
  </si>
  <si>
    <t xml:space="preserve">Supuesto provisional: valor contable = valor de realización (requiere tasación).</t>
  </si>
  <si>
    <t xml:space="preserve">G29</t>
  </si>
  <si>
    <t xml:space="preserve">Mes de pago de dividendos del año siguiente (1-12)</t>
  </si>
  <si>
    <t xml:space="preserve">Supuesto provisional: dividendos pagados en abril del año siguiente.</t>
  </si>
  <si>
    <t xml:space="preserve">B. Supuestos por año (año 1 = primer año de operación; el TC se aplica por año del modelo)</t>
  </si>
  <si>
    <t xml:space="preserve">Concepto</t>
  </si>
  <si>
    <t xml:space="preserve">Año 1</t>
  </si>
  <si>
    <t xml:space="preserve">Año 2</t>
  </si>
  <si>
    <t xml:space="preserve">Año 3</t>
  </si>
  <si>
    <t xml:space="preserve">Año 4</t>
  </si>
  <si>
    <t xml:space="preserve">Año 5</t>
  </si>
  <si>
    <t xml:space="preserve">Año 6</t>
  </si>
  <si>
    <t xml:space="preserve">Año 7</t>
  </si>
  <si>
    <t xml:space="preserve">Año 8</t>
  </si>
  <si>
    <t xml:space="preserve">Año 9</t>
  </si>
  <si>
    <t xml:space="preserve">Año 10</t>
  </si>
  <si>
    <t xml:space="preserve">Nota</t>
  </si>
  <si>
    <t xml:space="preserve">PRESUPUESTO ORIGINAL</t>
  </si>
  <si>
    <t xml:space="preserve">TC</t>
  </si>
  <si>
    <t xml:space="preserve">Tipo de cambio (Gs/USD) — por año del modelo</t>
  </si>
  <si>
    <t xml:space="preserve">Gs/USD</t>
  </si>
  <si>
    <t xml:space="preserve">dPrecio</t>
  </si>
  <si>
    <t xml:space="preserve">Variación de precios de venta (año de operación)</t>
  </si>
  <si>
    <t xml:space="preserve">dMP</t>
  </si>
  <si>
    <t xml:space="preserve">Variación del costo de materia prima</t>
  </si>
  <si>
    <t xml:space="preserve">dOV</t>
  </si>
  <si>
    <t xml:space="preserve">Variación de insumos y otros costos variables</t>
  </si>
  <si>
    <t xml:space="preserve">dSal</t>
  </si>
  <si>
    <t xml:space="preserve">Ajuste salarial</t>
  </si>
  <si>
    <t xml:space="preserve">Payout</t>
  </si>
  <si>
    <t xml:space="preserve">Dividendos (% del resultado del año)</t>
  </si>
  <si>
    <t xml:space="preserve">Índice acumulado de precios (cálculo)</t>
  </si>
  <si>
    <t xml:space="preserve">Índice acumulado de materia prima (cálculo)</t>
  </si>
  <si>
    <t xml:space="preserve">Índice acumulado de otros variables (cálculo)</t>
  </si>
  <si>
    <t xml:space="preserve">Índice acumulado de salarios (cálculo)</t>
  </si>
  <si>
    <t xml:space="preserve">VIGENTE (hereda el presupuesto)</t>
  </si>
  <si>
    <t xml:space="preserve">C. Escenarios (se aplican solo a la proyección vigente, después del último mes cerrado)</t>
  </si>
  <si>
    <t xml:space="preserve">Ajuste</t>
  </si>
  <si>
    <t xml:space="preserve">Conservador</t>
  </si>
  <si>
    <t xml:space="preserve">Optimista</t>
  </si>
  <si>
    <t xml:space="preserve">Aplicado</t>
  </si>
  <si>
    <t xml:space="preserve">E1</t>
  </si>
  <si>
    <t xml:space="preserve">Ajuste de volumen</t>
  </si>
  <si>
    <t xml:space="preserve">E2</t>
  </si>
  <si>
    <t xml:space="preserve">Ajuste de precio</t>
  </si>
  <si>
    <t xml:space="preserve">E3</t>
  </si>
  <si>
    <t xml:space="preserve">Ajuste de costo de materiales y variables</t>
  </si>
  <si>
    <t xml:space="preserve">E4</t>
  </si>
  <si>
    <t xml:space="preserve">Ajuste del tipo de cambio (+ = más Gs por USD)</t>
  </si>
  <si>
    <t xml:space="preserve">E5</t>
  </si>
  <si>
    <t xml:space="preserve">Atraso adicional del inicio de operación</t>
  </si>
  <si>
    <t xml:space="preserve">E6</t>
  </si>
  <si>
    <t xml:space="preserve">Sobrecosto sobre CAPEX pendiente</t>
  </si>
  <si>
    <t xml:space="preserve">E7</t>
  </si>
  <si>
    <t xml:space="preserve">Días de cobro (vacío = vigente)</t>
  </si>
  <si>
    <t xml:space="preserve">E8</t>
  </si>
  <si>
    <t xml:space="preserve">Días de inventario (vacío = vigente)</t>
  </si>
  <si>
    <t xml:space="preserve">Índice del escenario activo</t>
  </si>
  <si>
    <t xml:space="preserve">Conservador y Optimista son ajustes ILUSTRATIVOS editables, no premisas aprobadas.</t>
  </si>
  <si>
    <t xml:space="preserve">D. Referencia del plan publicado (opcional; solo para comparar)</t>
  </si>
  <si>
    <t xml:space="preserve">Ventas</t>
  </si>
  <si>
    <t xml:space="preserve">Ventas publicadas</t>
  </si>
  <si>
    <t xml:space="preserve">USD</t>
  </si>
  <si>
    <t xml:space="preserve">EBITDA</t>
  </si>
  <si>
    <t xml:space="preserve">EBITDA publicado</t>
  </si>
  <si>
    <t xml:space="preserve">Utilidad</t>
  </si>
  <si>
    <t xml:space="preserve">Resultado neto publicado</t>
  </si>
  <si>
    <t xml:space="preserve">VAN</t>
  </si>
  <si>
    <t xml:space="preserve">VAN publicado</t>
  </si>
  <si>
    <t xml:space="preserve">TIR</t>
  </si>
  <si>
    <t xml:space="preserve">TIR publicada</t>
  </si>
  <si>
    <t xml:space="preserve">Plan Oct-2025, cuadros 15 y 19. El VAN/TIR publicados mezclan flujo del proyecto y del accionista.</t>
  </si>
  <si>
    <t xml:space="preserve">E. Parámetros aplicados por versión (cálculo automático; no editar)</t>
  </si>
  <si>
    <t xml:space="preserve">Presupuesto (P)</t>
  </si>
  <si>
    <t xml:space="preserve">Vigente (V)</t>
  </si>
  <si>
    <t xml:space="preserve">Ajuste de materiales</t>
  </si>
  <si>
    <t xml:space="preserve">Ajuste de TC</t>
  </si>
  <si>
    <t xml:space="preserve">Sobrecosto CAPEX pendiente</t>
  </si>
  <si>
    <t xml:space="preserve">Último mes cerrado (0 = sin reales)</t>
  </si>
  <si>
    <t xml:space="preserve">Último mes del horizonte (fijo, según presupuesto)</t>
  </si>
  <si>
    <t xml:space="preserve">Días por mes</t>
  </si>
  <si>
    <t xml:space="preserve">Productos — precios, costos unitarios, capacidad y volúmenes (USD por unidad de venta)</t>
  </si>
  <si>
    <t xml:space="preserve">Hasta 25 productos. Las columnas «vigente» heredan el presupuesto; sobrescribir lo que cambió.</t>
  </si>
  <si>
    <t xml:space="preserve">A. Datos por producto</t>
  </si>
  <si>
    <t xml:space="preserve">#</t>
  </si>
  <si>
    <t xml:space="preserve">Producto</t>
  </si>
  <si>
    <t xml:space="preserve">Capacidad inicial (u/año)</t>
  </si>
  <si>
    <t xml:space="preserve">Capacidad ampliada (u/año)</t>
  </si>
  <si>
    <t xml:space="preserve">Desde año de operación</t>
  </si>
  <si>
    <t xml:space="preserve">Precio año 1 — presupuesto</t>
  </si>
  <si>
    <t xml:space="preserve">Precio año 1 — vigente</t>
  </si>
  <si>
    <t xml:space="preserve">Materia prima /u — presupuesto</t>
  </si>
  <si>
    <t xml:space="preserve">Materia prima /u — vigente</t>
  </si>
  <si>
    <t xml:space="preserve">Insumos /u — presupuesto</t>
  </si>
  <si>
    <t xml:space="preserve">Insumos /u — vigente</t>
  </si>
  <si>
    <t xml:space="preserve">Otros variables /u — presupuesto</t>
  </si>
  <si>
    <t xml:space="preserve">Otros variables /u — vigente</t>
  </si>
  <si>
    <t xml:space="preserve">Gabinetes metálicos 153 kg</t>
  </si>
  <si>
    <t xml:space="preserve">u</t>
  </si>
  <si>
    <t xml:space="preserve">Otros variables = consumibles 4,709 (inferido) + flete 23,20 (inferido del cuadro 10a).</t>
  </si>
  <si>
    <t xml:space="preserve">Cajas metálicas 13 kg</t>
  </si>
  <si>
    <t xml:space="preserve">Insumos = 339.570/70.000. Otros variables = consumibles 0,65 + flete 2,08 (inferido).</t>
  </si>
  <si>
    <t xml:space="preserve">B. Ventas en unidades por año de operación — PRESUPUESTO ORIGINAL</t>
  </si>
  <si>
    <t xml:space="preserve">Total</t>
  </si>
  <si>
    <t xml:space="preserve">C. Ventas en unidades por año de operación — VIGENTE (hereda; sobrescribir lo que cambió)</t>
  </si>
  <si>
    <t xml:space="preserve">D. Control de capacidad — unidades vigentes por encima de la capacidad (incluye merma)</t>
  </si>
  <si>
    <t xml:space="preserve">Años con exceso</t>
  </si>
  <si>
    <t xml:space="preserve">Capacidad 0 = no informada (no se controla).</t>
  </si>
  <si>
    <t xml:space="preserve">Costos — personal por puesto y costos fijos</t>
  </si>
  <si>
    <t xml:space="preserve">Salarios y costos fijos pueden cargarse en PYG o USD (columna Moneda). Se convierten con el TC de cada año.</t>
  </si>
  <si>
    <t xml:space="preserve">A. Personal por puesto — salario mensual y dotación por año de operación (PRESUPUESTO ORIGINAL; salario vigente al lado)</t>
  </si>
  <si>
    <t xml:space="preserve">Puesto</t>
  </si>
  <si>
    <t xml:space="preserve">Clase</t>
  </si>
  <si>
    <t xml:space="preserve">Moneda</t>
  </si>
  <si>
    <t xml:space="preserve">Salario mensual — presupuesto</t>
  </si>
  <si>
    <t xml:space="preserve">Salario mensual — vigente</t>
  </si>
  <si>
    <t xml:space="preserve">Dot. año 1</t>
  </si>
  <si>
    <t xml:space="preserve">Dot. año 2</t>
  </si>
  <si>
    <t xml:space="preserve">Dot. año 3</t>
  </si>
  <si>
    <t xml:space="preserve">Dot. año 4</t>
  </si>
  <si>
    <t xml:space="preserve">Dot. año 5</t>
  </si>
  <si>
    <t xml:space="preserve">Dot. año 6</t>
  </si>
  <si>
    <t xml:space="preserve">Dot. año 7</t>
  </si>
  <si>
    <t xml:space="preserve">Dot. año 8</t>
  </si>
  <si>
    <t xml:space="preserve">Dot. año 9</t>
  </si>
  <si>
    <t xml:space="preserve">Dot. año 10</t>
  </si>
  <si>
    <t xml:space="preserve">Operador láser</t>
  </si>
  <si>
    <t xml:space="preserve">Directo</t>
  </si>
  <si>
    <t xml:space="preserve">PYG</t>
  </si>
  <si>
    <t xml:space="preserve">Doblador</t>
  </si>
  <si>
    <t xml:space="preserve">Soldador</t>
  </si>
  <si>
    <t xml:space="preserve">Baño</t>
  </si>
  <si>
    <t xml:space="preserve">Pintor</t>
  </si>
  <si>
    <t xml:space="preserve">Montador</t>
  </si>
  <si>
    <t xml:space="preserve">Ayudante</t>
  </si>
  <si>
    <t xml:space="preserve">Gerente General</t>
  </si>
  <si>
    <t xml:space="preserve">Administración</t>
  </si>
  <si>
    <t xml:space="preserve">Gerente Industrial</t>
  </si>
  <si>
    <t xml:space="preserve">Indirecto</t>
  </si>
  <si>
    <t xml:space="preserve">Coord. Prod. Corte y Deformación</t>
  </si>
  <si>
    <t xml:space="preserve">Coord. Prod. Soldadura</t>
  </si>
  <si>
    <t xml:space="preserve">Coord. Prod. Trat. Sup. y Pintura</t>
  </si>
  <si>
    <t xml:space="preserve">Coord. Prod. Montaje</t>
  </si>
  <si>
    <t xml:space="preserve">Ingeniería</t>
  </si>
  <si>
    <t xml:space="preserve">Mantenimiento</t>
  </si>
  <si>
    <t xml:space="preserve">PCP</t>
  </si>
  <si>
    <t xml:space="preserve">Analista PCP</t>
  </si>
  <si>
    <t xml:space="preserve">Depósito</t>
  </si>
  <si>
    <t xml:space="preserve">Compras</t>
  </si>
  <si>
    <t xml:space="preserve">Logística/Comex</t>
  </si>
  <si>
    <t xml:space="preserve">Coord. Control Calidad</t>
  </si>
  <si>
    <t xml:space="preserve">Asistente Control Calidad</t>
  </si>
  <si>
    <t xml:space="preserve">Coord. Procesos</t>
  </si>
  <si>
    <t xml:space="preserve">Asistente Procesos</t>
  </si>
  <si>
    <t xml:space="preserve">Administrador</t>
  </si>
  <si>
    <t xml:space="preserve">Asistente Administrativo</t>
  </si>
  <si>
    <t xml:space="preserve">Totales de dotación</t>
  </si>
  <si>
    <t xml:space="preserve">Clase: Directo = mano de obra de producción; Indirecto = supervisión, calidad, mantenimiento, depósito (costo de producción); Administración = gerencia general y administración.</t>
  </si>
  <si>
    <t xml:space="preserve">B. Dotación VIGENTE por año de operación (hereda; sobrescribir lo que cambió)</t>
  </si>
  <si>
    <t xml:space="preserve">Totales de dotación vigente</t>
  </si>
  <si>
    <t xml:space="preserve">C. Costos fijos y gastos (monto mensual del año 1)</t>
  </si>
  <si>
    <t xml:space="preserve">Monto mensual — presupuesto</t>
  </si>
  <si>
    <t xml:space="preserve">Monto mensual — vigente</t>
  </si>
  <si>
    <t xml:space="preserve">Crecimiento anual</t>
  </si>
  <si>
    <t xml:space="preserve">Desde año de operación (0 = implantación)</t>
  </si>
  <si>
    <t xml:space="preserve">IVA incluido</t>
  </si>
  <si>
    <t xml:space="preserve">Base de imprevistos (1/0)</t>
  </si>
  <si>
    <t xml:space="preserve">Energía eléctrica planta</t>
  </si>
  <si>
    <t xml:space="preserve">Producción</t>
  </si>
  <si>
    <t xml:space="preserve">Gs 168 M/año (inferido del PDF).</t>
  </si>
  <si>
    <t xml:space="preserve">Mantenimiento y reparaciones planta</t>
  </si>
  <si>
    <t xml:space="preserve">USD 29.708/año; PDF crece 2% lineal (aquí 2% compuesto).</t>
  </si>
  <si>
    <t xml:space="preserve">Alquiler de nave (3.865 m2 x USD 4 + IVA)</t>
  </si>
  <si>
    <t xml:space="preserve">PDF: «costo de oportunidad». Confirmar si es pago real.</t>
  </si>
  <si>
    <t xml:space="preserve">Expensas (USD 0,20/m2)</t>
  </si>
  <si>
    <t xml:space="preserve">PDF p. 19.</t>
  </si>
  <si>
    <t xml:space="preserve">Agua, comunicaciones y electricidad</t>
  </si>
  <si>
    <t xml:space="preserve">Gs 9 M/año (inferido).</t>
  </si>
  <si>
    <t xml:space="preserve">Mantenimiento y reparaciones adm.</t>
  </si>
  <si>
    <t xml:space="preserve">Gs 36 M/año (inferido).</t>
  </si>
  <si>
    <t xml:space="preserve">Seguros sobre activos fijos</t>
  </si>
  <si>
    <t xml:space="preserve">Gs 60 M/año (inferido).</t>
  </si>
  <si>
    <t xml:space="preserve">Gastos generales</t>
  </si>
  <si>
    <t xml:space="preserve">USD 22.060/año.</t>
  </si>
  <si>
    <t xml:space="preserve">Honorarios y otros fijos</t>
  </si>
  <si>
    <t xml:space="preserve">Gs 182 M/año (inferido).</t>
  </si>
  <si>
    <t xml:space="preserve">Montos con IVA incluido cuando no es recuperable (criterio prudencial). Los imprevistos de producción se calculan sobre todos los costos de producción.</t>
  </si>
  <si>
    <t xml:space="preserve">Inversión y financiamiento — CAPEX por ítem, préstamos y aportes (USD)</t>
  </si>
  <si>
    <t xml:space="preserve">Costo final estimado = ejecutado + comprometido pendiente + por contratar. Los pendientes se pagan en el «mes de pago pendiente».</t>
  </si>
  <si>
    <t xml:space="preserve">A. Inversiones (CAPEX)</t>
  </si>
  <si>
    <t xml:space="preserve">Ítem</t>
  </si>
  <si>
    <t xml:space="preserve">Mes de pago (presup.)</t>
  </si>
  <si>
    <t xml:space="preserve">Vida útil (años)</t>
  </si>
  <si>
    <t xml:space="preserve">Ejecutado (devengado real)</t>
  </si>
  <si>
    <t xml:space="preserve">Pagado (real)</t>
  </si>
  <si>
    <t xml:space="preserve">Comprometido pendiente</t>
  </si>
  <si>
    <t xml:space="preserve">Por contratar (si difiere)</t>
  </si>
  <si>
    <t xml:space="preserve">Mes de pago pendiente (si difiere)</t>
  </si>
  <si>
    <t xml:space="preserve">Mes de puesta en servicio real</t>
  </si>
  <si>
    <t xml:space="preserve">Por contratar usado</t>
  </si>
  <si>
    <t xml:space="preserve">Costo final estimado</t>
  </si>
  <si>
    <t xml:space="preserve">Desvío vs presupuesto</t>
  </si>
  <si>
    <t xml:space="preserve">Avance financiero</t>
  </si>
  <si>
    <t xml:space="preserve">Mes de pago pendiente usado</t>
  </si>
  <si>
    <t xml:space="preserve">Pendiente devengado + comprometido</t>
  </si>
  <si>
    <t xml:space="preserve">Servicio (presup.)</t>
  </si>
  <si>
    <t xml:space="preserve">Servicio (vigente)</t>
  </si>
  <si>
    <t xml:space="preserve">Base depreciable vigente</t>
  </si>
  <si>
    <t xml:space="preserve">Adecuación de infraestructura</t>
  </si>
  <si>
    <t xml:space="preserve">Infraestructura</t>
  </si>
  <si>
    <t xml:space="preserve">Conjunto línea de pintura</t>
  </si>
  <si>
    <t xml:space="preserve">Maquinaria</t>
  </si>
  <si>
    <t xml:space="preserve">Cortadoras láser (2)</t>
  </si>
  <si>
    <t xml:space="preserve">Manipulador</t>
  </si>
  <si>
    <t xml:space="preserve">Dobladoras (4)</t>
  </si>
  <si>
    <t xml:space="preserve">Soldadoras (6)</t>
  </si>
  <si>
    <t xml:space="preserve">Lijadoras (4)</t>
  </si>
  <si>
    <t xml:space="preserve">Conjunto baño</t>
  </si>
  <si>
    <t xml:space="preserve">Línea de montaje</t>
  </si>
  <si>
    <t xml:space="preserve">Montacargas</t>
  </si>
  <si>
    <t xml:space="preserve">Soldadoras capacitivas (2)</t>
  </si>
  <si>
    <t xml:space="preserve">Software de gestión</t>
  </si>
  <si>
    <t xml:space="preserve">Intangible</t>
  </si>
  <si>
    <t xml:space="preserve">Mobiliario</t>
  </si>
  <si>
    <t xml:space="preserve">Inversión adicional año 2 (no desagregada)</t>
  </si>
  <si>
    <t xml:space="preserve">Pendiente</t>
  </si>
  <si>
    <t xml:space="preserve">TOTAL</t>
  </si>
  <si>
    <t xml:space="preserve">Maquinaria = CIF + despacho asignado (3% del CIF). Vida útil del ítem del año 2: provisional.</t>
  </si>
  <si>
    <t xml:space="preserve">B. Préstamos (sistema francés; desembolso al inicio del mes; tasa mensual = nominal anual / 12)</t>
  </si>
  <si>
    <t xml:space="preserve">Condición</t>
  </si>
  <si>
    <t xml:space="preserve">Préstamo 1 — presupuesto</t>
  </si>
  <si>
    <t xml:space="preserve">Préstamo 1 — vigente</t>
  </si>
  <si>
    <t xml:space="preserve">Préstamo 2 — presupuesto</t>
  </si>
  <si>
    <t xml:space="preserve">Préstamo 2 — vigente</t>
  </si>
  <si>
    <t xml:space="preserve">Préstamo 3 — presupuesto</t>
  </si>
  <si>
    <t xml:space="preserve">Préstamo 3 — vigente</t>
  </si>
  <si>
    <t xml:space="preserve">Nombre / banco</t>
  </si>
  <si>
    <t xml:space="preserve">Préstamo bancario inicial</t>
  </si>
  <si>
    <t xml:space="preserve">Monto</t>
  </si>
  <si>
    <t xml:space="preserve">Mes de desembolso</t>
  </si>
  <si>
    <t xml:space="preserve">Tasa nominal anual</t>
  </si>
  <si>
    <t xml:space="preserve">Meses de gracia (solo intereses)</t>
  </si>
  <si>
    <t xml:space="preserve">Cuotas de capital e interés</t>
  </si>
  <si>
    <t xml:space="preserve">cuotas</t>
  </si>
  <si>
    <t xml:space="preserve">Préstamo de corto plazo con cronograma (p. ej. 12 cuotas o pago único): cargarlo como préstamo 2 o 3.</t>
  </si>
  <si>
    <t xml:space="preserve">B2. Línea de crédito rotativa de corto plazo (capital de trabajo): se usa solo si la caja cae bajo el mínimo y se devuelve con el excedente</t>
  </si>
  <si>
    <t xml:space="preserve">Presupuesto</t>
  </si>
  <si>
    <t xml:space="preserve">Límite aprobado</t>
  </si>
  <si>
    <t xml:space="preserve">0 o vacío = sin línea.</t>
  </si>
  <si>
    <t xml:space="preserve">Tasa nominal anual (interés mensual sobre el saldo usado)</t>
  </si>
  <si>
    <t xml:space="preserve">Más IVA sobre intereses (Supuestos G24).</t>
  </si>
  <si>
    <t xml:space="preserve">Disponible desde el mes</t>
  </si>
  <si>
    <t xml:space="preserve">Vacío = desde el mes 1.</t>
  </si>
  <si>
    <t xml:space="preserve">Vencimiento: último mes de uso (luego se cancela el saldo)</t>
  </si>
  <si>
    <t xml:space="preserve">Vacío = fin del horizonte. Al vencer se paga todo el saldo aunque falte caja (riesgo de renovación).</t>
  </si>
  <si>
    <t xml:space="preserve">Saldo utilizado de la línea al último mes cerrado (solo vigente)</t>
  </si>
  <si>
    <t xml:space="preserve">Los usos y devoluciones reales se cargan en Reales (desembolsos / amortización); aquí solo el saldo al corte.</t>
  </si>
  <si>
    <t xml:space="preserve">Los dividendos solo se pagan con caja sobre el mínimo después de devolver la línea.</t>
  </si>
  <si>
    <t xml:space="preserve">C. Aportes de socios (efectivo o especie)</t>
  </si>
  <si>
    <t xml:space="preserve">Mes — presupuesto</t>
  </si>
  <si>
    <t xml:space="preserve">Monto — presupuesto</t>
  </si>
  <si>
    <t xml:space="preserve">Mes — vigente</t>
  </si>
  <si>
    <t xml:space="preserve">Monto — vigente</t>
  </si>
  <si>
    <t xml:space="preserve">Aporte propio inicial</t>
  </si>
  <si>
    <t xml:space="preserve">Aporte adicional año 1 (plan)</t>
  </si>
  <si>
    <t xml:space="preserve">Aporte adicional año 2 (plan)</t>
  </si>
  <si>
    <t xml:space="preserve">Reales — carga mensual de la ejecución (un dato por celda; solo meses cerrados)</t>
  </si>
  <si>
    <t xml:space="preserve">Montos en la moneda de la columna C (USD o PYG). Un mes cerrado sin datos se informa en Control (un faltante no equivale a cero).</t>
  </si>
  <si>
    <t xml:space="preserve">Mes n°</t>
  </si>
  <si>
    <t xml:space="preserve">Total cargado</t>
  </si>
  <si>
    <t xml:space="preserve">Fecha</t>
  </si>
  <si>
    <t xml:space="preserve">Año del modelo</t>
  </si>
  <si>
    <t xml:space="preserve">Estado</t>
  </si>
  <si>
    <t xml:space="preserve">Tipo de cambio</t>
  </si>
  <si>
    <t xml:space="preserve">Tipo de cambio real del mes (Gs/USD)</t>
  </si>
  <si>
    <t xml:space="preserve">Unidades vendidas por producto</t>
  </si>
  <si>
    <t xml:space="preserve">U1</t>
  </si>
  <si>
    <t xml:space="preserve">U2</t>
  </si>
  <si>
    <t xml:space="preserve">U3</t>
  </si>
  <si>
    <t xml:space="preserve">U4</t>
  </si>
  <si>
    <t xml:space="preserve">U5</t>
  </si>
  <si>
    <t xml:space="preserve">U6</t>
  </si>
  <si>
    <t xml:space="preserve">U7</t>
  </si>
  <si>
    <t xml:space="preserve">U8</t>
  </si>
  <si>
    <t xml:space="preserve">U9</t>
  </si>
  <si>
    <t xml:space="preserve">U10</t>
  </si>
  <si>
    <t xml:space="preserve">U11</t>
  </si>
  <si>
    <t xml:space="preserve">U12</t>
  </si>
  <si>
    <t xml:space="preserve">U13</t>
  </si>
  <si>
    <t xml:space="preserve">U14</t>
  </si>
  <si>
    <t xml:space="preserve">U15</t>
  </si>
  <si>
    <t xml:space="preserve">U16</t>
  </si>
  <si>
    <t xml:space="preserve">U17</t>
  </si>
  <si>
    <t xml:space="preserve">U18</t>
  </si>
  <si>
    <t xml:space="preserve">U19</t>
  </si>
  <si>
    <t xml:space="preserve">U20</t>
  </si>
  <si>
    <t xml:space="preserve">U21</t>
  </si>
  <si>
    <t xml:space="preserve">U22</t>
  </si>
  <si>
    <t xml:space="preserve">U23</t>
  </si>
  <si>
    <t xml:space="preserve">U24</t>
  </si>
  <si>
    <t xml:space="preserve">U25</t>
  </si>
  <si>
    <t xml:space="preserve">Ventas por producto (facturación neta)</t>
  </si>
  <si>
    <t xml:space="preserve">S1</t>
  </si>
  <si>
    <t xml:space="preserve">S2</t>
  </si>
  <si>
    <t xml:space="preserve">S3</t>
  </si>
  <si>
    <t xml:space="preserve">S4</t>
  </si>
  <si>
    <t xml:space="preserve">S5</t>
  </si>
  <si>
    <t xml:space="preserve">S6</t>
  </si>
  <si>
    <t xml:space="preserve">S7</t>
  </si>
  <si>
    <t xml:space="preserve">S8</t>
  </si>
  <si>
    <t xml:space="preserve">S9</t>
  </si>
  <si>
    <t xml:space="preserve">S10</t>
  </si>
  <si>
    <t xml:space="preserve">S11</t>
  </si>
  <si>
    <t xml:space="preserve">S12</t>
  </si>
  <si>
    <t xml:space="preserve">S13</t>
  </si>
  <si>
    <t xml:space="preserve">S14</t>
  </si>
  <si>
    <t xml:space="preserve">S15</t>
  </si>
  <si>
    <t xml:space="preserve">S16</t>
  </si>
  <si>
    <t xml:space="preserve">S17</t>
  </si>
  <si>
    <t xml:space="preserve">S18</t>
  </si>
  <si>
    <t xml:space="preserve">S19</t>
  </si>
  <si>
    <t xml:space="preserve">S20</t>
  </si>
  <si>
    <t xml:space="preserve">S21</t>
  </si>
  <si>
    <t xml:space="preserve">S22</t>
  </si>
  <si>
    <t xml:space="preserve">S23</t>
  </si>
  <si>
    <t xml:space="preserve">S24</t>
  </si>
  <si>
    <t xml:space="preserve">S25</t>
  </si>
  <si>
    <t xml:space="preserve">Costos y gastos devengados (sin IVA recuperable)</t>
  </si>
  <si>
    <t xml:space="preserve">MAT</t>
  </si>
  <si>
    <t xml:space="preserve">Materia prima e insumos consumidos</t>
  </si>
  <si>
    <t xml:space="preserve">OVAR</t>
  </si>
  <si>
    <t xml:space="preserve">Otros costos variables (flete, despacho, packaging, seguros, comisiones)</t>
  </si>
  <si>
    <t xml:space="preserve">PERP</t>
  </si>
  <si>
    <t xml:space="preserve">Personal de producción (directo e indirecto, con cargas)</t>
  </si>
  <si>
    <t xml:space="preserve">PERA</t>
  </si>
  <si>
    <t xml:space="preserve">Personal administrativo (con cargas)</t>
  </si>
  <si>
    <t xml:space="preserve">FIJP</t>
  </si>
  <si>
    <t xml:space="preserve">Costos fijos de producción (energía, mantenimiento, otros)</t>
  </si>
  <si>
    <t xml:space="preserve">ADM</t>
  </si>
  <si>
    <t xml:space="preserve">Gastos de administración (alquiler, servicios, honorarios, otros)</t>
  </si>
  <si>
    <t xml:space="preserve">TRIB</t>
  </si>
  <si>
    <t xml:space="preserve">Tributo de maquila</t>
  </si>
  <si>
    <t xml:space="preserve">Inversión y financiamiento (movimientos de caja)</t>
  </si>
  <si>
    <t xml:space="preserve">CAPEX</t>
  </si>
  <si>
    <t xml:space="preserve">CAPEX pagado</t>
  </si>
  <si>
    <t xml:space="preserve">DESEMB</t>
  </si>
  <si>
    <t xml:space="preserve">Desembolsos de préstamos recibidos (incluye línea rotativa)</t>
  </si>
  <si>
    <t xml:space="preserve">INT</t>
  </si>
  <si>
    <t xml:space="preserve">Intereses, IVA y comisiones pagados</t>
  </si>
  <si>
    <t xml:space="preserve">AMORT</t>
  </si>
  <si>
    <t xml:space="preserve">Amortización de préstamos pagada (incluye devoluciones de la línea)</t>
  </si>
  <si>
    <t xml:space="preserve">APORTE</t>
  </si>
  <si>
    <t xml:space="preserve">Aportes de socios recibidos</t>
  </si>
  <si>
    <t xml:space="preserve">DIV</t>
  </si>
  <si>
    <t xml:space="preserve">Dividendos pagados</t>
  </si>
  <si>
    <t xml:space="preserve">Saldos al cierre del mes (obligatorio en el último mes cerrado)</t>
  </si>
  <si>
    <t xml:space="preserve">S_CAJA</t>
  </si>
  <si>
    <t xml:space="preserve">Caja y bancos</t>
  </si>
  <si>
    <t xml:space="preserve">S_CXC</t>
  </si>
  <si>
    <t xml:space="preserve">Cuentas por cobrar a clientes</t>
  </si>
  <si>
    <t xml:space="preserve">S_INV</t>
  </si>
  <si>
    <t xml:space="preserve">Inventarios (materiales y producto terminado)</t>
  </si>
  <si>
    <t xml:space="preserve">S_IVA</t>
  </si>
  <si>
    <t xml:space="preserve">Crédito fiscal IVA por recuperar</t>
  </si>
  <si>
    <t xml:space="preserve">S_PROV</t>
  </si>
  <si>
    <t xml:space="preserve">Proveedores y cuentas por pagar</t>
  </si>
  <si>
    <t xml:space="preserve">S_DEUDA</t>
  </si>
  <si>
    <t xml:space="preserve">Deuda financiera (control)</t>
  </si>
  <si>
    <t xml:space="preserve">Cálculo — motor mensual (no editar)</t>
  </si>
  <si>
    <t xml:space="preserve">Bloque P = presupuesto original (solo supuestos originales). Bloque V = vigente: Reales hasta el último mes cerrado + proyección con escenario. Mismas fórmulas.</t>
  </si>
  <si>
    <t xml:space="preserve">m</t>
  </si>
  <si>
    <t xml:space="preserve">fecha</t>
  </si>
  <si>
    <t xml:space="preserve">anio</t>
  </si>
  <si>
    <t xml:space="preserve">Mes del año del modelo</t>
  </si>
  <si>
    <t xml:space="preserve">real</t>
  </si>
  <si>
    <t xml:space="preserve">Mes real cerrado (1/0)</t>
  </si>
  <si>
    <t xml:space="preserve">hor</t>
  </si>
  <si>
    <t xml:space="preserve">Dentro del horizonte (1/0)</t>
  </si>
  <si>
    <t xml:space="preserve">tcr</t>
  </si>
  <si>
    <t xml:space="preserve">TC para convertir reales (real del mes o vigente)</t>
  </si>
  <si>
    <t xml:space="preserve">BLOQUE P — PRESUPUESTO ORIGINAL</t>
  </si>
  <si>
    <t xml:space="preserve">Calendario de la versión</t>
  </si>
  <si>
    <t xml:space="preserve">P.aop</t>
  </si>
  <si>
    <t xml:space="preserve">Año de operación (0 = fuera de operación)</t>
  </si>
  <si>
    <t xml:space="preserve">n°</t>
  </si>
  <si>
    <t xml:space="preserve">P.op</t>
  </si>
  <si>
    <t xml:space="preserve">Operación (1/0)</t>
  </si>
  <si>
    <t xml:space="preserve">1/0</t>
  </si>
  <si>
    <t xml:space="preserve">P.pre</t>
  </si>
  <si>
    <t xml:space="preserve">Implantación: antes del inicio de operación (1/0)</t>
  </si>
  <si>
    <t xml:space="preserve">P.ya</t>
  </si>
  <si>
    <t xml:space="preserve">Índice de año para crecimientos (mín. 1)</t>
  </si>
  <si>
    <t xml:space="preserve">P.tc</t>
  </si>
  <si>
    <t xml:space="preserve">Tipo de cambio aplicado (Gs/USD)</t>
  </si>
  <si>
    <t xml:space="preserve">P.itc</t>
  </si>
  <si>
    <t xml:space="preserve">Inverso del TC (0 si falta el TC)</t>
  </si>
  <si>
    <t xml:space="preserve">P.u1</t>
  </si>
  <si>
    <t xml:space="preserve">P.u2</t>
  </si>
  <si>
    <t xml:space="preserve">P.u3</t>
  </si>
  <si>
    <t xml:space="preserve">P.u4</t>
  </si>
  <si>
    <t xml:space="preserve">P.u5</t>
  </si>
  <si>
    <t xml:space="preserve">P.u6</t>
  </si>
  <si>
    <t xml:space="preserve">P.u7</t>
  </si>
  <si>
    <t xml:space="preserve">P.u8</t>
  </si>
  <si>
    <t xml:space="preserve">P.u9</t>
  </si>
  <si>
    <t xml:space="preserve">P.u10</t>
  </si>
  <si>
    <t xml:space="preserve">P.u11</t>
  </si>
  <si>
    <t xml:space="preserve">P.u12</t>
  </si>
  <si>
    <t xml:space="preserve">P.u13</t>
  </si>
  <si>
    <t xml:space="preserve">P.u14</t>
  </si>
  <si>
    <t xml:space="preserve">P.u15</t>
  </si>
  <si>
    <t xml:space="preserve">P.u16</t>
  </si>
  <si>
    <t xml:space="preserve">P.u17</t>
  </si>
  <si>
    <t xml:space="preserve">P.u18</t>
  </si>
  <si>
    <t xml:space="preserve">P.u19</t>
  </si>
  <si>
    <t xml:space="preserve">P.u20</t>
  </si>
  <si>
    <t xml:space="preserve">P.u21</t>
  </si>
  <si>
    <t xml:space="preserve">P.u22</t>
  </si>
  <si>
    <t xml:space="preserve">P.u23</t>
  </si>
  <si>
    <t xml:space="preserve">P.u24</t>
  </si>
  <si>
    <t xml:space="preserve">P.u25</t>
  </si>
  <si>
    <t xml:space="preserve">P.s1</t>
  </si>
  <si>
    <t xml:space="preserve">P.s2</t>
  </si>
  <si>
    <t xml:space="preserve">P.s3</t>
  </si>
  <si>
    <t xml:space="preserve">P.s4</t>
  </si>
  <si>
    <t xml:space="preserve">P.s5</t>
  </si>
  <si>
    <t xml:space="preserve">P.s6</t>
  </si>
  <si>
    <t xml:space="preserve">P.s7</t>
  </si>
  <si>
    <t xml:space="preserve">P.s8</t>
  </si>
  <si>
    <t xml:space="preserve">P.s9</t>
  </si>
  <si>
    <t xml:space="preserve">P.s10</t>
  </si>
  <si>
    <t xml:space="preserve">P.s11</t>
  </si>
  <si>
    <t xml:space="preserve">P.s12</t>
  </si>
  <si>
    <t xml:space="preserve">P.s13</t>
  </si>
  <si>
    <t xml:space="preserve">P.s14</t>
  </si>
  <si>
    <t xml:space="preserve">P.s15</t>
  </si>
  <si>
    <t xml:space="preserve">P.s16</t>
  </si>
  <si>
    <t xml:space="preserve">P.s17</t>
  </si>
  <si>
    <t xml:space="preserve">P.s18</t>
  </si>
  <si>
    <t xml:space="preserve">P.s19</t>
  </si>
  <si>
    <t xml:space="preserve">P.s20</t>
  </si>
  <si>
    <t xml:space="preserve">P.s21</t>
  </si>
  <si>
    <t xml:space="preserve">P.s22</t>
  </si>
  <si>
    <t xml:space="preserve">P.s23</t>
  </si>
  <si>
    <t xml:space="preserve">P.s24</t>
  </si>
  <si>
    <t xml:space="preserve">P.s25</t>
  </si>
  <si>
    <t xml:space="preserve">P.vtas</t>
  </si>
  <si>
    <t xml:space="preserve">VENTAS TOTALES</t>
  </si>
  <si>
    <t xml:space="preserve">Costos de la proyección (en meses reales se reemplazan por Reales)</t>
  </si>
  <si>
    <t xml:space="preserve">P.mp_f</t>
  </si>
  <si>
    <t xml:space="preserve">Materia prima</t>
  </si>
  <si>
    <t xml:space="preserve">P.ins_f</t>
  </si>
  <si>
    <t xml:space="preserve">Insumos</t>
  </si>
  <si>
    <t xml:space="preserve">P.ov_f</t>
  </si>
  <si>
    <t xml:space="preserve">Otros costos variables por unidad</t>
  </si>
  <si>
    <t xml:space="preserve">P.desp_f</t>
  </si>
  <si>
    <t xml:space="preserve">Despacho de importación</t>
  </si>
  <si>
    <t xml:space="preserve">P.dir_n</t>
  </si>
  <si>
    <t xml:space="preserve">Personas activas — Directo</t>
  </si>
  <si>
    <t xml:space="preserve">pers.</t>
  </si>
  <si>
    <t xml:space="preserve">P.dir_f</t>
  </si>
  <si>
    <t xml:space="preserve">Personal — Directo (salarios, cargas y alimentación)</t>
  </si>
  <si>
    <t xml:space="preserve">P.ind_n</t>
  </si>
  <si>
    <t xml:space="preserve">Personas activas — Indirecto</t>
  </si>
  <si>
    <t xml:space="preserve">P.ind_f</t>
  </si>
  <si>
    <t xml:space="preserve">Personal — Indirecto (salarios, cargas y alimentación)</t>
  </si>
  <si>
    <t xml:space="preserve">P.adm_n</t>
  </si>
  <si>
    <t xml:space="preserve">Personas activas — Administración</t>
  </si>
  <si>
    <t xml:space="preserve">P.adm_f</t>
  </si>
  <si>
    <t xml:space="preserve">Personal — Administración (salarios, cargas y alimentación)</t>
  </si>
  <si>
    <t xml:space="preserve">P.pkg_f</t>
  </si>
  <si>
    <t xml:space="preserve">Packaging</t>
  </si>
  <si>
    <t xml:space="preserve">P.vs_f</t>
  </si>
  <si>
    <t xml:space="preserve">Seguro de caución, comisiones y logística de venta</t>
  </si>
  <si>
    <t xml:space="preserve">P.trib_f</t>
  </si>
  <si>
    <t xml:space="preserve">P.fp_f</t>
  </si>
  <si>
    <t xml:space="preserve">Costos fijos de producción</t>
  </si>
  <si>
    <t xml:space="preserve">P.fa_f</t>
  </si>
  <si>
    <t xml:space="preserve">Costos fijos de administración</t>
  </si>
  <si>
    <t xml:space="preserve">P.fab_f</t>
  </si>
  <si>
    <t xml:space="preserve">Costos fijos de administración en base de imprevistos</t>
  </si>
  <si>
    <t xml:space="preserve">P.impp_f</t>
  </si>
  <si>
    <t xml:space="preserve">Imprevistos de producción</t>
  </si>
  <si>
    <t xml:space="preserve">P.impa_f</t>
  </si>
  <si>
    <t xml:space="preserve">Imprevistos de administración</t>
  </si>
  <si>
    <t xml:space="preserve">P.ivac_f</t>
  </si>
  <si>
    <t xml:space="preserve">IVA contenido en costos fijos</t>
  </si>
  <si>
    <t xml:space="preserve">Estado de resultados</t>
  </si>
  <si>
    <t xml:space="preserve">P.MAT</t>
  </si>
  <si>
    <t xml:space="preserve">Materia prima e insumos</t>
  </si>
  <si>
    <t xml:space="preserve">P.OVAR</t>
  </si>
  <si>
    <t xml:space="preserve">Otros costos variables</t>
  </si>
  <si>
    <t xml:space="preserve">P.PERP</t>
  </si>
  <si>
    <t xml:space="preserve">Personal de producción</t>
  </si>
  <si>
    <t xml:space="preserve">P.FIJP</t>
  </si>
  <si>
    <t xml:space="preserve">Costos fijos de producción e imprevistos</t>
  </si>
  <si>
    <t xml:space="preserve">P.MB</t>
  </si>
  <si>
    <t xml:space="preserve">MARGEN BRUTO</t>
  </si>
  <si>
    <t xml:space="preserve">P.PERA</t>
  </si>
  <si>
    <t xml:space="preserve">Personal administrativo</t>
  </si>
  <si>
    <t xml:space="preserve">P.ADM</t>
  </si>
  <si>
    <t xml:space="preserve">Gastos de administración e imprevistos</t>
  </si>
  <si>
    <t xml:space="preserve">P.TRIB</t>
  </si>
  <si>
    <t xml:space="preserve">P.IVAR</t>
  </si>
  <si>
    <t xml:space="preserve">(+) IVA recuperable (reduce costos)</t>
  </si>
  <si>
    <t xml:space="preserve">P.EBITDA</t>
  </si>
  <si>
    <t xml:space="preserve">P.DEP</t>
  </si>
  <si>
    <t xml:space="preserve">Depreciación y amortización</t>
  </si>
  <si>
    <t xml:space="preserve">P.EBIT</t>
  </si>
  <si>
    <t xml:space="preserve">EBIT</t>
  </si>
  <si>
    <t xml:space="preserve">P.INT</t>
  </si>
  <si>
    <t xml:space="preserve">Intereses, IVA y comisiones</t>
  </si>
  <si>
    <t xml:space="preserve">P.IRE</t>
  </si>
  <si>
    <t xml:space="preserve">Impuesto a la renta</t>
  </si>
  <si>
    <t xml:space="preserve">P.NI</t>
  </si>
  <si>
    <t xml:space="preserve">RESULTADO NETO</t>
  </si>
  <si>
    <t xml:space="preserve">Capital de trabajo (saldos por días; en el mes de corte se usan los saldos reales)</t>
  </si>
  <si>
    <t xml:space="preserve">P.cxc</t>
  </si>
  <si>
    <t xml:space="preserve">Cuentas por cobrar</t>
  </si>
  <si>
    <t xml:space="preserve">P.inv</t>
  </si>
  <si>
    <t xml:space="preserve">P.ivab</t>
  </si>
  <si>
    <t xml:space="preserve">Crédito fiscal IVA</t>
  </si>
  <si>
    <t xml:space="preserve">P.prov</t>
  </si>
  <si>
    <t xml:space="preserve">Proveedores</t>
  </si>
  <si>
    <t xml:space="preserve">P.ctn</t>
  </si>
  <si>
    <t xml:space="preserve">CAPITAL DE TRABAJO NETO</t>
  </si>
  <si>
    <t xml:space="preserve">P.dct</t>
  </si>
  <si>
    <t xml:space="preserve">Variación del capital de trabajo</t>
  </si>
  <si>
    <t xml:space="preserve">Flujo de caja e inversión</t>
  </si>
  <si>
    <t xml:space="preserve">P.CFO</t>
  </si>
  <si>
    <t xml:space="preserve">FLUJO OPERATIVO (EBITDA - impuesto - Δ capital de trabajo)</t>
  </si>
  <si>
    <t xml:space="preserve">P.CAPEX</t>
  </si>
  <si>
    <t xml:space="preserve">P.AF</t>
  </si>
  <si>
    <t xml:space="preserve">Activo fijo neto (CAPEX acumulado - depreciación acumulada)</t>
  </si>
  <si>
    <t xml:space="preserve">P.VT</t>
  </si>
  <si>
    <t xml:space="preserve">Valor terminal (capital de trabajo y activo fijo realizables)</t>
  </si>
  <si>
    <t xml:space="preserve">P.FCFF</t>
  </si>
  <si>
    <t xml:space="preserve">FLUJO LIBRE DEL PROYECTO (FCFF)</t>
  </si>
  <si>
    <t xml:space="preserve">P.CUML</t>
  </si>
  <si>
    <t xml:space="preserve">Flujo acumulado antes de financiamiento (CFO - CAPEX)</t>
  </si>
  <si>
    <t xml:space="preserve">Préstamos (cronograma contractual)</t>
  </si>
  <si>
    <t xml:space="preserve">P.L1_des</t>
  </si>
  <si>
    <t xml:space="preserve">Préstamo 1: desembolso</t>
  </si>
  <si>
    <t xml:space="preserve">P.L1_int</t>
  </si>
  <si>
    <t xml:space="preserve">Préstamo 1: interés</t>
  </si>
  <si>
    <t xml:space="preserve">P.L1_am</t>
  </si>
  <si>
    <t xml:space="preserve">Préstamo 1: amortización</t>
  </si>
  <si>
    <t xml:space="preserve">P.L1_sal</t>
  </si>
  <si>
    <t xml:space="preserve">Préstamo 1: saldo</t>
  </si>
  <si>
    <t xml:space="preserve">P.L2_des</t>
  </si>
  <si>
    <t xml:space="preserve">Préstamo 2: desembolso</t>
  </si>
  <si>
    <t xml:space="preserve">P.L2_int</t>
  </si>
  <si>
    <t xml:space="preserve">Préstamo 2: interés</t>
  </si>
  <si>
    <t xml:space="preserve">P.L2_am</t>
  </si>
  <si>
    <t xml:space="preserve">Préstamo 2: amortización</t>
  </si>
  <si>
    <t xml:space="preserve">P.L2_sal</t>
  </si>
  <si>
    <t xml:space="preserve">Préstamo 2: saldo</t>
  </si>
  <si>
    <t xml:space="preserve">P.L3_des</t>
  </si>
  <si>
    <t xml:space="preserve">Préstamo 3: desembolso</t>
  </si>
  <si>
    <t xml:space="preserve">P.L3_int</t>
  </si>
  <si>
    <t xml:space="preserve">Préstamo 3: interés</t>
  </si>
  <si>
    <t xml:space="preserve">P.L3_am</t>
  </si>
  <si>
    <t xml:space="preserve">Préstamo 3: amortización</t>
  </si>
  <si>
    <t xml:space="preserve">P.L3_sal</t>
  </si>
  <si>
    <t xml:space="preserve">Préstamo 3: saldo</t>
  </si>
  <si>
    <t xml:space="preserve">Financiamiento y tesorería</t>
  </si>
  <si>
    <t xml:space="preserve">P.DESL</t>
  </si>
  <si>
    <t xml:space="preserve">Desembolsos de préstamos</t>
  </si>
  <si>
    <t xml:space="preserve">P.AML</t>
  </si>
  <si>
    <t xml:space="preserve">Amortización de préstamos (cronograma)</t>
  </si>
  <si>
    <t xml:space="preserve">P.APORTE</t>
  </si>
  <si>
    <t xml:space="preserve">Aportes de socios</t>
  </si>
  <si>
    <t xml:space="preserve">P.LCA</t>
  </si>
  <si>
    <t xml:space="preserve">Línea rotativa disponible (1/0)</t>
  </si>
  <si>
    <t xml:space="preserve">P.LCI</t>
  </si>
  <si>
    <t xml:space="preserve">Línea rotativa: interés del mes (sobre el saldo anterior)</t>
  </si>
  <si>
    <t xml:space="preserve">P.CAJA0</t>
  </si>
  <si>
    <t xml:space="preserve">Caja antes de línea rotativa y dividendos</t>
  </si>
  <si>
    <t xml:space="preserve">P.CMIN</t>
  </si>
  <si>
    <t xml:space="preserve">P.LCD</t>
  </si>
  <si>
    <t xml:space="preserve">Línea rotativa: uso</t>
  </si>
  <si>
    <t xml:space="preserve">P.LCR</t>
  </si>
  <si>
    <t xml:space="preserve">Línea rotativa: devolución (con excedente; total al vencer)</t>
  </si>
  <si>
    <t xml:space="preserve">P.LCS</t>
  </si>
  <si>
    <t xml:space="preserve">Línea rotativa: saldo</t>
  </si>
  <si>
    <t xml:space="preserve">P.DESEMB</t>
  </si>
  <si>
    <t xml:space="preserve">DESEMBOLSOS TOTALES (préstamos + línea)</t>
  </si>
  <si>
    <t xml:space="preserve">P.AMORT</t>
  </si>
  <si>
    <t xml:space="preserve">AMORTIZACIONES TOTALES (préstamos + línea)</t>
  </si>
  <si>
    <t xml:space="preserve">P.DEUDA</t>
  </si>
  <si>
    <t xml:space="preserve">DEUDA FINANCIERA (saldo)</t>
  </si>
  <si>
    <t xml:space="preserve">P.CAJA1</t>
  </si>
  <si>
    <t xml:space="preserve">Caja después de la línea rotativa</t>
  </si>
  <si>
    <t xml:space="preserve">P.NIY</t>
  </si>
  <si>
    <t xml:space="preserve">Resultado neto acumulado del año</t>
  </si>
  <si>
    <t xml:space="preserve">P.NIP</t>
  </si>
  <si>
    <t xml:space="preserve">Resultado neto del año anterior</t>
  </si>
  <si>
    <t xml:space="preserve">P.DIVD</t>
  </si>
  <si>
    <t xml:space="preserve">Dividendos según política (resultado del año anterior)</t>
  </si>
  <si>
    <t xml:space="preserve">P.DIV</t>
  </si>
  <si>
    <t xml:space="preserve">Dividendos pagados (solo con caja sobre el mínimo)</t>
  </si>
  <si>
    <t xml:space="preserve">P.CAJA</t>
  </si>
  <si>
    <t xml:space="preserve">CAJA FINAL</t>
  </si>
  <si>
    <t xml:space="preserve">P.AJ</t>
  </si>
  <si>
    <t xml:space="preserve">Ajuste de conciliación con la caja real</t>
  </si>
  <si>
    <t xml:space="preserve">P.BRECHA</t>
  </si>
  <si>
    <t xml:space="preserve">Brecha: caja por debajo de la caja mínima</t>
  </si>
  <si>
    <t xml:space="preserve">P.DEF</t>
  </si>
  <si>
    <t xml:space="preserve">Caja negativa a cubrir por los socios (aporte implícito acumulado)</t>
  </si>
  <si>
    <t xml:space="preserve">Valuación y control</t>
  </si>
  <si>
    <t xml:space="preserve">P.DFP</t>
  </si>
  <si>
    <t xml:space="preserve">Factor de descuento del proyecto</t>
  </si>
  <si>
    <t xml:space="preserve">P.DFE</t>
  </si>
  <si>
    <t xml:space="preserve">Factor de descuento de los socios</t>
  </si>
  <si>
    <t xml:space="preserve">P.EQ</t>
  </si>
  <si>
    <t xml:space="preserve">Flujo de los socios (-aportes - cobertura de caja negativa + dividendos + valor final)</t>
  </si>
  <si>
    <t xml:space="preserve">P.CUMF</t>
  </si>
  <si>
    <t xml:space="preserve">FCFF acumulado</t>
  </si>
  <si>
    <t xml:space="preserve">P.PB</t>
  </si>
  <si>
    <t xml:space="preserve">Recupero de la inversión (mes con interpolación)</t>
  </si>
  <si>
    <t xml:space="preserve">P.PAT</t>
  </si>
  <si>
    <t xml:space="preserve">Patrimonio (aportes + resultados - dividendos + ajustes)</t>
  </si>
  <si>
    <t xml:space="preserve">P.CHK</t>
  </si>
  <si>
    <t xml:space="preserve">CONTROL: activo - pasivo - patrimonio (0 = OK)</t>
  </si>
  <si>
    <t xml:space="preserve">BLOQUE V — VIGENTE: REAL HASTA EL CORTE + PROYECCIÓN</t>
  </si>
  <si>
    <t xml:space="preserve">V.aop</t>
  </si>
  <si>
    <t xml:space="preserve">V.op</t>
  </si>
  <si>
    <t xml:space="preserve">V.pre</t>
  </si>
  <si>
    <t xml:space="preserve">V.ya</t>
  </si>
  <si>
    <t xml:space="preserve">V.tc</t>
  </si>
  <si>
    <t xml:space="preserve">V.itc</t>
  </si>
  <si>
    <t xml:space="preserve">V.u1</t>
  </si>
  <si>
    <t xml:space="preserve">V.u2</t>
  </si>
  <si>
    <t xml:space="preserve">V.u3</t>
  </si>
  <si>
    <t xml:space="preserve">V.u4</t>
  </si>
  <si>
    <t xml:space="preserve">V.u5</t>
  </si>
  <si>
    <t xml:space="preserve">V.u6</t>
  </si>
  <si>
    <t xml:space="preserve">V.u7</t>
  </si>
  <si>
    <t xml:space="preserve">V.u8</t>
  </si>
  <si>
    <t xml:space="preserve">V.u9</t>
  </si>
  <si>
    <t xml:space="preserve">V.u10</t>
  </si>
  <si>
    <t xml:space="preserve">V.u11</t>
  </si>
  <si>
    <t xml:space="preserve">V.u12</t>
  </si>
  <si>
    <t xml:space="preserve">V.u13</t>
  </si>
  <si>
    <t xml:space="preserve">V.u14</t>
  </si>
  <si>
    <t xml:space="preserve">V.u15</t>
  </si>
  <si>
    <t xml:space="preserve">V.u16</t>
  </si>
  <si>
    <t xml:space="preserve">V.u17</t>
  </si>
  <si>
    <t xml:space="preserve">V.u18</t>
  </si>
  <si>
    <t xml:space="preserve">V.u19</t>
  </si>
  <si>
    <t xml:space="preserve">V.u20</t>
  </si>
  <si>
    <t xml:space="preserve">V.u21</t>
  </si>
  <si>
    <t xml:space="preserve">V.u22</t>
  </si>
  <si>
    <t xml:space="preserve">V.u23</t>
  </si>
  <si>
    <t xml:space="preserve">V.u24</t>
  </si>
  <si>
    <t xml:space="preserve">V.u25</t>
  </si>
  <si>
    <t xml:space="preserve">V.s1</t>
  </si>
  <si>
    <t xml:space="preserve">V.s2</t>
  </si>
  <si>
    <t xml:space="preserve">V.s3</t>
  </si>
  <si>
    <t xml:space="preserve">V.s4</t>
  </si>
  <si>
    <t xml:space="preserve">V.s5</t>
  </si>
  <si>
    <t xml:space="preserve">V.s6</t>
  </si>
  <si>
    <t xml:space="preserve">V.s7</t>
  </si>
  <si>
    <t xml:space="preserve">V.s8</t>
  </si>
  <si>
    <t xml:space="preserve">V.s9</t>
  </si>
  <si>
    <t xml:space="preserve">V.s10</t>
  </si>
  <si>
    <t xml:space="preserve">V.s11</t>
  </si>
  <si>
    <t xml:space="preserve">V.s12</t>
  </si>
  <si>
    <t xml:space="preserve">V.s13</t>
  </si>
  <si>
    <t xml:space="preserve">V.s14</t>
  </si>
  <si>
    <t xml:space="preserve">V.s15</t>
  </si>
  <si>
    <t xml:space="preserve">V.s16</t>
  </si>
  <si>
    <t xml:space="preserve">V.s17</t>
  </si>
  <si>
    <t xml:space="preserve">V.s18</t>
  </si>
  <si>
    <t xml:space="preserve">V.s19</t>
  </si>
  <si>
    <t xml:space="preserve">V.s20</t>
  </si>
  <si>
    <t xml:space="preserve">V.s21</t>
  </si>
  <si>
    <t xml:space="preserve">V.s22</t>
  </si>
  <si>
    <t xml:space="preserve">V.s23</t>
  </si>
  <si>
    <t xml:space="preserve">V.s24</t>
  </si>
  <si>
    <t xml:space="preserve">V.s25</t>
  </si>
  <si>
    <t xml:space="preserve">V.vtas</t>
  </si>
  <si>
    <t xml:space="preserve">V.mp_f</t>
  </si>
  <si>
    <t xml:space="preserve">V.ins_f</t>
  </si>
  <si>
    <t xml:space="preserve">V.ov_f</t>
  </si>
  <si>
    <t xml:space="preserve">V.desp_f</t>
  </si>
  <si>
    <t xml:space="preserve">V.dir_n</t>
  </si>
  <si>
    <t xml:space="preserve">V.dir_f</t>
  </si>
  <si>
    <t xml:space="preserve">V.ind_n</t>
  </si>
  <si>
    <t xml:space="preserve">V.ind_f</t>
  </si>
  <si>
    <t xml:space="preserve">V.adm_n</t>
  </si>
  <si>
    <t xml:space="preserve">V.adm_f</t>
  </si>
  <si>
    <t xml:space="preserve">V.pkg_f</t>
  </si>
  <si>
    <t xml:space="preserve">V.vs_f</t>
  </si>
  <si>
    <t xml:space="preserve">V.trib_f</t>
  </si>
  <si>
    <t xml:space="preserve">V.fp_f</t>
  </si>
  <si>
    <t xml:space="preserve">V.fa_f</t>
  </si>
  <si>
    <t xml:space="preserve">V.fab_f</t>
  </si>
  <si>
    <t xml:space="preserve">V.impp_f</t>
  </si>
  <si>
    <t xml:space="preserve">V.impa_f</t>
  </si>
  <si>
    <t xml:space="preserve">V.ivac_f</t>
  </si>
  <si>
    <t xml:space="preserve">V.MAT</t>
  </si>
  <si>
    <t xml:space="preserve">V.OVAR</t>
  </si>
  <si>
    <t xml:space="preserve">V.PERP</t>
  </si>
  <si>
    <t xml:space="preserve">V.FIJP</t>
  </si>
  <si>
    <t xml:space="preserve">V.MB</t>
  </si>
  <si>
    <t xml:space="preserve">V.PERA</t>
  </si>
  <si>
    <t xml:space="preserve">V.ADM</t>
  </si>
  <si>
    <t xml:space="preserve">V.TRIB</t>
  </si>
  <si>
    <t xml:space="preserve">V.IVAR</t>
  </si>
  <si>
    <t xml:space="preserve">V.EBITDA</t>
  </si>
  <si>
    <t xml:space="preserve">V.DEP</t>
  </si>
  <si>
    <t xml:space="preserve">V.EBIT</t>
  </si>
  <si>
    <t xml:space="preserve">V.INT</t>
  </si>
  <si>
    <t xml:space="preserve">V.IRE</t>
  </si>
  <si>
    <t xml:space="preserve">V.NI</t>
  </si>
  <si>
    <t xml:space="preserve">V.cxc</t>
  </si>
  <si>
    <t xml:space="preserve">V.inv</t>
  </si>
  <si>
    <t xml:space="preserve">V.ivab</t>
  </si>
  <si>
    <t xml:space="preserve">V.prov</t>
  </si>
  <si>
    <t xml:space="preserve">V.ctn</t>
  </si>
  <si>
    <t xml:space="preserve">V.dct</t>
  </si>
  <si>
    <t xml:space="preserve">V.CFO</t>
  </si>
  <si>
    <t xml:space="preserve">V.CAPEX</t>
  </si>
  <si>
    <t xml:space="preserve">V.AF</t>
  </si>
  <si>
    <t xml:space="preserve">V.VT</t>
  </si>
  <si>
    <t xml:space="preserve">V.FCFF</t>
  </si>
  <si>
    <t xml:space="preserve">V.CUML</t>
  </si>
  <si>
    <t xml:space="preserve">V.L1_des</t>
  </si>
  <si>
    <t xml:space="preserve">V.L1_int</t>
  </si>
  <si>
    <t xml:space="preserve">V.L1_am</t>
  </si>
  <si>
    <t xml:space="preserve">V.L1_sal</t>
  </si>
  <si>
    <t xml:space="preserve">V.L2_des</t>
  </si>
  <si>
    <t xml:space="preserve">V.L2_int</t>
  </si>
  <si>
    <t xml:space="preserve">V.L2_am</t>
  </si>
  <si>
    <t xml:space="preserve">V.L2_sal</t>
  </si>
  <si>
    <t xml:space="preserve">V.L3_des</t>
  </si>
  <si>
    <t xml:space="preserve">V.L3_int</t>
  </si>
  <si>
    <t xml:space="preserve">V.L3_am</t>
  </si>
  <si>
    <t xml:space="preserve">V.L3_sal</t>
  </si>
  <si>
    <t xml:space="preserve">V.DESL</t>
  </si>
  <si>
    <t xml:space="preserve">V.AML</t>
  </si>
  <si>
    <t xml:space="preserve">V.APORTE</t>
  </si>
  <si>
    <t xml:space="preserve">V.LCA</t>
  </si>
  <si>
    <t xml:space="preserve">V.LCI</t>
  </si>
  <si>
    <t xml:space="preserve">V.CAJA0</t>
  </si>
  <si>
    <t xml:space="preserve">V.CMIN</t>
  </si>
  <si>
    <t xml:space="preserve">V.LCD</t>
  </si>
  <si>
    <t xml:space="preserve">V.LCR</t>
  </si>
  <si>
    <t xml:space="preserve">V.LCS</t>
  </si>
  <si>
    <t xml:space="preserve">V.DESEMB</t>
  </si>
  <si>
    <t xml:space="preserve">V.AMORT</t>
  </si>
  <si>
    <t xml:space="preserve">V.DEUDA</t>
  </si>
  <si>
    <t xml:space="preserve">V.CAJA1</t>
  </si>
  <si>
    <t xml:space="preserve">V.NIY</t>
  </si>
  <si>
    <t xml:space="preserve">V.NIP</t>
  </si>
  <si>
    <t xml:space="preserve">V.DIVD</t>
  </si>
  <si>
    <t xml:space="preserve">V.DIV</t>
  </si>
  <si>
    <t xml:space="preserve">V.CAJA</t>
  </si>
  <si>
    <t xml:space="preserve">V.AJ</t>
  </si>
  <si>
    <t xml:space="preserve">V.BRECHA</t>
  </si>
  <si>
    <t xml:space="preserve">V.DEF</t>
  </si>
  <si>
    <t xml:space="preserve">V.DFP</t>
  </si>
  <si>
    <t xml:space="preserve">V.DFE</t>
  </si>
  <si>
    <t xml:space="preserve">V.EQ</t>
  </si>
  <si>
    <t xml:space="preserve">V.CUMF</t>
  </si>
  <si>
    <t xml:space="preserve">V.PB</t>
  </si>
  <si>
    <t xml:space="preserve">V.PAT</t>
  </si>
  <si>
    <t xml:space="preserve">V.CHK</t>
  </si>
  <si>
    <t xml:space="preserve">Resultados — presupuesto original vs vigente (real + proyección)</t>
  </si>
  <si>
    <t xml:space="preserve">A. Indicadores clave</t>
  </si>
  <si>
    <t xml:space="preserve">Indicador</t>
  </si>
  <si>
    <t xml:space="preserve">Vigente (real + proyección)</t>
  </si>
  <si>
    <t xml:space="preserve">Desvío</t>
  </si>
  <si>
    <t xml:space="preserve">Ventas del año 1 del modelo</t>
  </si>
  <si>
    <t xml:space="preserve">Ventas totales del horizonte</t>
  </si>
  <si>
    <t xml:space="preserve">EBITDA del año 1 del modelo</t>
  </si>
  <si>
    <t xml:space="preserve">EBITDA total del horizonte</t>
  </si>
  <si>
    <t xml:space="preserve">Margen EBITDA del horizonte</t>
  </si>
  <si>
    <t xml:space="preserve">Resultado neto total</t>
  </si>
  <si>
    <t xml:space="preserve">Inversión total (CAPEX)</t>
  </si>
  <si>
    <t xml:space="preserve">Vigente: real pagado + pendiente con escenario.</t>
  </si>
  <si>
    <t xml:space="preserve">Necesidad máxima de fondos antes de financiamiento</t>
  </si>
  <si>
    <t xml:space="preserve">Inversión + capital de trabajo + pérdidas iniciales que deben financiar socios y bancos.</t>
  </si>
  <si>
    <t xml:space="preserve">Mes de la necesidad máxima</t>
  </si>
  <si>
    <t xml:space="preserve">Aporte adicional necesario para no tener caja negativa</t>
  </si>
  <si>
    <t xml:space="preserve">Fondos no previstos que deberían aportar socios o bancos (máximo saldo de caja negativa).</t>
  </si>
  <si>
    <t xml:space="preserve">Deuda financiera máxima</t>
  </si>
  <si>
    <t xml:space="preserve">Préstamos + línea rotativa.</t>
  </si>
  <si>
    <t xml:space="preserve">Línea rotativa: uso máximo</t>
  </si>
  <si>
    <t xml:space="preserve">0 = no se usó o no hay línea.</t>
  </si>
  <si>
    <t xml:space="preserve">Intereses, IVA y comisiones totales</t>
  </si>
  <si>
    <t xml:space="preserve">Cancelación total de la deuda (años desde el mes 1)</t>
  </si>
  <si>
    <t xml:space="preserve">Último mes con saldo de deuda + 1, en años.</t>
  </si>
  <si>
    <t xml:space="preserve">Caja final mínima del horizonte</t>
  </si>
  <si>
    <t xml:space="preserve">Negativa = financiamiento no previsto.</t>
  </si>
  <si>
    <t xml:space="preserve">Brecha máxima bajo la caja mínima</t>
  </si>
  <si>
    <t xml:space="preserve">No se insertan fondos ficticios: la brecha queda visible.</t>
  </si>
  <si>
    <t xml:space="preserve">Meses con brecha</t>
  </si>
  <si>
    <t xml:space="preserve">DSCR mínimo desde el 2.º año de operación (flujo operativo / servicio de deuda)</t>
  </si>
  <si>
    <t xml:space="preserve">Servicio = intereses + cuotas de préstamos (sin devoluciones de la línea). &lt; 1 = la operación no alcanza a pagar la deuda ese año.</t>
  </si>
  <si>
    <t xml:space="preserve">VAN del proyecto (FCFF a WACC)</t>
  </si>
  <si>
    <t xml:space="preserve">Excluye préstamos, intereses, aportes y dividendos.</t>
  </si>
  <si>
    <t xml:space="preserve">TIR del proyecto (anual)</t>
  </si>
  <si>
    <t xml:space="preserve">VAN de los socios (a Ke)</t>
  </si>
  <si>
    <t xml:space="preserve">Aportes, dividendos pagados y valor final. La caja negativa se considera cubierta por los socios hasta que se recupera.</t>
  </si>
  <si>
    <t xml:space="preserve">TIR de los socios (anual)</t>
  </si>
  <si>
    <t xml:space="preserve">Recupero de la inversión del proyecto (años)</t>
  </si>
  <si>
    <t xml:space="preserve">Balance de control (0 = OK)</t>
  </si>
  <si>
    <t xml:space="preserve">Plan publicado (referencia): VAN / TIR</t>
  </si>
  <si>
    <t xml:space="preserve">Cifras del documento original, calculadas con su propia metodología.</t>
  </si>
  <si>
    <t xml:space="preserve">B. Vigente (real hasta el corte + proyección) — resumen anual</t>
  </si>
  <si>
    <t xml:space="preserve">Concepto (USD)</t>
  </si>
  <si>
    <t xml:space="preserve">Año 11</t>
  </si>
  <si>
    <t xml:space="preserve">Año 12</t>
  </si>
  <si>
    <t xml:space="preserve">Estado del año</t>
  </si>
  <si>
    <t xml:space="preserve">Año calendario</t>
  </si>
  <si>
    <t xml:space="preserve">V_vtas</t>
  </si>
  <si>
    <t xml:space="preserve">V_MAT</t>
  </si>
  <si>
    <t xml:space="preserve">V_OVAR</t>
  </si>
  <si>
    <t xml:space="preserve">V_PERP</t>
  </si>
  <si>
    <t xml:space="preserve">V_FIJP</t>
  </si>
  <si>
    <t xml:space="preserve">V_MB</t>
  </si>
  <si>
    <t xml:space="preserve">Margen bruto</t>
  </si>
  <si>
    <t xml:space="preserve">V_PERA</t>
  </si>
  <si>
    <t xml:space="preserve">V_ADM</t>
  </si>
  <si>
    <t xml:space="preserve">Gastos de administración</t>
  </si>
  <si>
    <t xml:space="preserve">V_TRIB</t>
  </si>
  <si>
    <t xml:space="preserve">V_IVAR</t>
  </si>
  <si>
    <t xml:space="preserve">(+) IVA recuperable</t>
  </si>
  <si>
    <t xml:space="preserve">V_EBITDA</t>
  </si>
  <si>
    <t xml:space="preserve">V_DEP</t>
  </si>
  <si>
    <t xml:space="preserve">Depreciación</t>
  </si>
  <si>
    <t xml:space="preserve">V_INT</t>
  </si>
  <si>
    <t xml:space="preserve">V_IRE</t>
  </si>
  <si>
    <t xml:space="preserve">V_NI</t>
  </si>
  <si>
    <t xml:space="preserve">Resultado neto</t>
  </si>
  <si>
    <t xml:space="preserve">V_CFO</t>
  </si>
  <si>
    <t xml:space="preserve">Flujo operativo</t>
  </si>
  <si>
    <t xml:space="preserve">V_CAPEX</t>
  </si>
  <si>
    <t xml:space="preserve">V_FCFF</t>
  </si>
  <si>
    <t xml:space="preserve">FCFF (incluye valor terminal)</t>
  </si>
  <si>
    <t xml:space="preserve">V_APORTE</t>
  </si>
  <si>
    <t xml:space="preserve">V_DESEMB</t>
  </si>
  <si>
    <t xml:space="preserve">V_AMORT</t>
  </si>
  <si>
    <t xml:space="preserve">Amortizaciones (préstamos + línea)</t>
  </si>
  <si>
    <t xml:space="preserve">V_AML</t>
  </si>
  <si>
    <t xml:space="preserve">   de las cuales: cuotas de préstamos</t>
  </si>
  <si>
    <t xml:space="preserve">V_DIV</t>
  </si>
  <si>
    <t xml:space="preserve">V_CAJA</t>
  </si>
  <si>
    <t xml:space="preserve">Caja al cierre</t>
  </si>
  <si>
    <t xml:space="preserve">V_DEUDA</t>
  </si>
  <si>
    <t xml:space="preserve">Deuda al cierre</t>
  </si>
  <si>
    <t xml:space="preserve">V_LCS</t>
  </si>
  <si>
    <t xml:space="preserve">   de la cual: línea rotativa</t>
  </si>
  <si>
    <t xml:space="preserve">V_CTN</t>
  </si>
  <si>
    <t xml:space="preserve">Capital de trabajo neto al cierre</t>
  </si>
  <si>
    <t xml:space="preserve">V_BRECHA</t>
  </si>
  <si>
    <t xml:space="preserve">Brecha máxima del año</t>
  </si>
  <si>
    <t xml:space="preserve">V_mg</t>
  </si>
  <si>
    <t xml:space="preserve">Margen EBITDA</t>
  </si>
  <si>
    <t xml:space="preserve">V_DS</t>
  </si>
  <si>
    <t xml:space="preserve">Servicio de deuda (intereses + amortización)</t>
  </si>
  <si>
    <t xml:space="preserve">V_DSCR</t>
  </si>
  <si>
    <t xml:space="preserve">DSCR (flujo operativo / servicio de deuda)</t>
  </si>
  <si>
    <t xml:space="preserve">YN</t>
  </si>
  <si>
    <t xml:space="preserve">Año n° (auxiliar)</t>
  </si>
  <si>
    <t xml:space="preserve">V_u1</t>
  </si>
  <si>
    <t xml:space="preserve">V_u2</t>
  </si>
  <si>
    <t xml:space="preserve">V_u3</t>
  </si>
  <si>
    <t xml:space="preserve">V_u4</t>
  </si>
  <si>
    <t xml:space="preserve">V_u5</t>
  </si>
  <si>
    <t xml:space="preserve">V_u6</t>
  </si>
  <si>
    <t xml:space="preserve">V_u7</t>
  </si>
  <si>
    <t xml:space="preserve">V_u8</t>
  </si>
  <si>
    <t xml:space="preserve">V_u9</t>
  </si>
  <si>
    <t xml:space="preserve">V_u10</t>
  </si>
  <si>
    <t xml:space="preserve">V_u11</t>
  </si>
  <si>
    <t xml:space="preserve">V_u12</t>
  </si>
  <si>
    <t xml:space="preserve">V_u13</t>
  </si>
  <si>
    <t xml:space="preserve">V_u14</t>
  </si>
  <si>
    <t xml:space="preserve">V_u15</t>
  </si>
  <si>
    <t xml:space="preserve">V_u16</t>
  </si>
  <si>
    <t xml:space="preserve">V_u17</t>
  </si>
  <si>
    <t xml:space="preserve">V_u18</t>
  </si>
  <si>
    <t xml:space="preserve">V_u19</t>
  </si>
  <si>
    <t xml:space="preserve">V_u20</t>
  </si>
  <si>
    <t xml:space="preserve">V_u21</t>
  </si>
  <si>
    <t xml:space="preserve">V_u22</t>
  </si>
  <si>
    <t xml:space="preserve">V_u23</t>
  </si>
  <si>
    <t xml:space="preserve">V_u24</t>
  </si>
  <si>
    <t xml:space="preserve">V_u25</t>
  </si>
  <si>
    <t xml:space="preserve">C. Presupuesto original — resumen anual</t>
  </si>
  <si>
    <t xml:space="preserve">P_vtas</t>
  </si>
  <si>
    <t xml:space="preserve">P_EBITDA</t>
  </si>
  <si>
    <t xml:space="preserve">P_NI</t>
  </si>
  <si>
    <t xml:space="preserve">P_CFO</t>
  </si>
  <si>
    <t xml:space="preserve">P_CAPEX</t>
  </si>
  <si>
    <t xml:space="preserve">P_FCFF</t>
  </si>
  <si>
    <t xml:space="preserve">P_APORTE</t>
  </si>
  <si>
    <t xml:space="preserve">P_INT</t>
  </si>
  <si>
    <t xml:space="preserve">P_AMORT</t>
  </si>
  <si>
    <t xml:space="preserve">P_AML</t>
  </si>
  <si>
    <t xml:space="preserve">P_CAJA</t>
  </si>
  <si>
    <t xml:space="preserve">P_DEUDA</t>
  </si>
  <si>
    <t xml:space="preserve">P_CTN</t>
  </si>
  <si>
    <t xml:space="preserve">P_DS</t>
  </si>
  <si>
    <t xml:space="preserve">Servicio de deuda</t>
  </si>
  <si>
    <t xml:space="preserve">P_DSCR</t>
  </si>
  <si>
    <t xml:space="preserve">DSCR</t>
  </si>
  <si>
    <t xml:space="preserve">P_u1</t>
  </si>
  <si>
    <t xml:space="preserve">P_u2</t>
  </si>
  <si>
    <t xml:space="preserve">P_u3</t>
  </si>
  <si>
    <t xml:space="preserve">P_u4</t>
  </si>
  <si>
    <t xml:space="preserve">P_u5</t>
  </si>
  <si>
    <t xml:space="preserve">P_u6</t>
  </si>
  <si>
    <t xml:space="preserve">P_u7</t>
  </si>
  <si>
    <t xml:space="preserve">P_u8</t>
  </si>
  <si>
    <t xml:space="preserve">P_u9</t>
  </si>
  <si>
    <t xml:space="preserve">P_u10</t>
  </si>
  <si>
    <t xml:space="preserve">P_u11</t>
  </si>
  <si>
    <t xml:space="preserve">P_u12</t>
  </si>
  <si>
    <t xml:space="preserve">P_u13</t>
  </si>
  <si>
    <t xml:space="preserve">P_u14</t>
  </si>
  <si>
    <t xml:space="preserve">P_u15</t>
  </si>
  <si>
    <t xml:space="preserve">P_u16</t>
  </si>
  <si>
    <t xml:space="preserve">P_u17</t>
  </si>
  <si>
    <t xml:space="preserve">P_u18</t>
  </si>
  <si>
    <t xml:space="preserve">P_u19</t>
  </si>
  <si>
    <t xml:space="preserve">P_u20</t>
  </si>
  <si>
    <t xml:space="preserve">P_u21</t>
  </si>
  <si>
    <t xml:space="preserve">P_u22</t>
  </si>
  <si>
    <t xml:space="preserve">P_u23</t>
  </si>
  <si>
    <t xml:space="preserve">P_u24</t>
  </si>
  <si>
    <t xml:space="preserve">P_u25</t>
  </si>
  <si>
    <t xml:space="preserve">D. Desvíos: vigente - presupuesto original</t>
  </si>
  <si>
    <t xml:space="preserve">FCFF</t>
  </si>
  <si>
    <t xml:space="preserve">Unidades totales</t>
  </si>
  <si>
    <t xml:space="preserve">% de desvío en ventas</t>
  </si>
  <si>
    <t xml:space="preserve">E. Plan publicado (referencia) vs presupuesto original del modelo — explica diferencias de metodología</t>
  </si>
  <si>
    <t xml:space="preserve">   Diferencia presupuesto del modelo - publicado</t>
  </si>
  <si>
    <t xml:space="preserve">Etiquetas de gráficos</t>
  </si>
  <si>
    <t xml:space="preserve">Control — validaciones y datos faltantes</t>
  </si>
  <si>
    <t xml:space="preserve">Estado OK cuando el valor está dentro de lo esperado. Revisar cada cierre.</t>
  </si>
  <si>
    <t xml:space="preserve">Esperado</t>
  </si>
  <si>
    <t xml:space="preserve">Qué hacer si no está OK</t>
  </si>
  <si>
    <t xml:space="preserve">C01</t>
  </si>
  <si>
    <t xml:space="preserve">Balance del presupuesto cuadra (activo - pasivo - patrimonio)</t>
  </si>
  <si>
    <t xml:space="preserve">Error de fórmula: no editar Calculo; revisar entradas en blanco.</t>
  </si>
  <si>
    <t xml:space="preserve">C02</t>
  </si>
  <si>
    <t xml:space="preserve">Balance vigente cuadra</t>
  </si>
  <si>
    <t xml:space="preserve">Idem.</t>
  </si>
  <si>
    <t xml:space="preserve">C03</t>
  </si>
  <si>
    <t xml:space="preserve">Meses cerrados sin ventas cargadas</t>
  </si>
  <si>
    <t xml:space="preserve">Cargar ventas reales del mes en Reales (si realmente no hubo ventas, cargar 0 explícito y documentarlo).</t>
  </si>
  <si>
    <t xml:space="preserve">C04</t>
  </si>
  <si>
    <t xml:space="preserve">Meses cerrados sin costos de materiales ni personal cargados</t>
  </si>
  <si>
    <t xml:space="preserve">Cargar costos reales del mes.</t>
  </si>
  <si>
    <t xml:space="preserve">C05</t>
  </si>
  <si>
    <t xml:space="preserve">Saldo de caja real cargado en el mes de corte</t>
  </si>
  <si>
    <t xml:space="preserve">Cargar el saldo de caja y bancos al cierre del último mes cerrado.</t>
  </si>
  <si>
    <t xml:space="preserve">C06</t>
  </si>
  <si>
    <t xml:space="preserve">Saldos de clientes, inventarios y proveedores cargados en el mes de corte</t>
  </si>
  <si>
    <t xml:space="preserve">Sin estos saldos el capital de trabajo se estima por días.</t>
  </si>
  <si>
    <t xml:space="preserve">C07</t>
  </si>
  <si>
    <t xml:space="preserve">Diferencia de deuda: real al corte - calculada</t>
  </si>
  <si>
    <t xml:space="preserve">Cargar desembolsos y amortizaciones reales o ajustar las condiciones vigentes del préstamo.</t>
  </si>
  <si>
    <t xml:space="preserve">C08</t>
  </si>
  <si>
    <t xml:space="preserve">CAPEX: pagado por ítem (Inversion) - CAPEX real mensual (Reales)</t>
  </si>
  <si>
    <t xml:space="preserve">Ambos registros deben conciliar.</t>
  </si>
  <si>
    <t xml:space="preserve">C09</t>
  </si>
  <si>
    <t xml:space="preserve">Tipo de cambio cargado en todos los años (presupuesto y vigente)</t>
  </si>
  <si>
    <t xml:space="preserve">Completar el TC por año en Supuestos B (los costos en PYG se convierten con él).</t>
  </si>
  <si>
    <t xml:space="preserve">C10</t>
  </si>
  <si>
    <t xml:space="preserve">Productos con volumen vigente por encima de la capacidad (años)</t>
  </si>
  <si>
    <t xml:space="preserve">Revisar volumen o registrar la ampliación de capacidad (Productos A).</t>
  </si>
  <si>
    <t xml:space="preserve">C11</t>
  </si>
  <si>
    <t xml:space="preserve">Productos con volumen y sin precio vigente</t>
  </si>
  <si>
    <t xml:space="preserve">Completar el precio.</t>
  </si>
  <si>
    <t xml:space="preserve">C12</t>
  </si>
  <si>
    <t xml:space="preserve">Préstamos del presupuesto cancelados dentro del horizonte</t>
  </si>
  <si>
    <t xml:space="preserve">Revisar plazo o el horizonte.</t>
  </si>
  <si>
    <t xml:space="preserve">C13</t>
  </si>
  <si>
    <t xml:space="preserve">Brecha de caja vigente (meses bajo la caja mínima)</t>
  </si>
  <si>
    <t xml:space="preserve">Definir aportes, financiamiento o mejoras de capital de trabajo (alerta, no error de fórmula).</t>
  </si>
  <si>
    <t xml:space="preserve">C14</t>
  </si>
  <si>
    <t xml:space="preserve">Negocio en operación: mes real de inicio y último mes cerrado cargados</t>
  </si>
  <si>
    <t xml:space="preserve">Completar en Inicio el mes real de inicio de operación y cargar los meses cerrados en Reales.</t>
  </si>
  <si>
    <t xml:space="preserve">C15</t>
  </si>
  <si>
    <t xml:space="preserve">Horizonte dentro de la rejilla de 144 meses (mes de inicio ≤ 25 con 10 años)</t>
  </si>
  <si>
    <t xml:space="preserve">Reducir los años evaluados o el mes de inicio (la rejilla tiene 144 meses).</t>
  </si>
  <si>
    <t xml:space="preserve">C16</t>
  </si>
  <si>
    <t xml:space="preserve">Supuestos vigentes modificados respecto del presupuesto (informativo)</t>
  </si>
  <si>
    <t xml:space="preserve">≥ 0</t>
  </si>
  <si>
    <t xml:space="preserve">Documentar en la nota de cada supuesto el motivo del cambio.</t>
  </si>
  <si>
    <t xml:space="preserve">Controles en REVISAR</t>
  </si>
  <si>
    <t xml:space="preserve">Celdas vigentes sobrescritas (difieren del presupuesto)</t>
  </si>
  <si>
    <t xml:space="preserve">Deuda del presupuesto al final del horizonte</t>
  </si>
</sst>
</file>

<file path=xl/styles.xml><?xml version="1.0" encoding="utf-8"?>
<styleSheet xmlns="http://schemas.openxmlformats.org/spreadsheetml/2006/main">
  <numFmts count="11">
    <numFmt numFmtId="164" formatCode="General"/>
    <numFmt numFmtId="165" formatCode="dd/mm/yyyy"/>
    <numFmt numFmtId="166" formatCode="0"/>
    <numFmt numFmtId="167" formatCode="#,##0;\(#,##0\);\-"/>
    <numFmt numFmtId="168" formatCode="0.00%;\(0.00%\);\-"/>
    <numFmt numFmtId="169" formatCode="0.0%;\(0.0%\);\-"/>
    <numFmt numFmtId="170" formatCode="#,##0.0000;\(#,##0.0000\);\-"/>
    <numFmt numFmtId="171" formatCode="#,##0.00;\(#,##0.00\);\-"/>
    <numFmt numFmtId="172" formatCode="mmm\-yy"/>
    <numFmt numFmtId="173" formatCode="0.00\x;\(0.00&quot;x)&quot;;\-"/>
    <numFmt numFmtId="174" formatCode="General"/>
  </numFmts>
  <fonts count="16">
    <font>
      <sz val="11"/>
      <color theme="1"/>
      <name val="Calibri"/>
      <family val="2"/>
      <charset val="1"/>
    </font>
    <font>
      <sz val="10"/>
      <name val="Arial"/>
      <family val="0"/>
    </font>
    <font>
      <sz val="10"/>
      <name val="Arial"/>
      <family val="0"/>
    </font>
    <font>
      <sz val="10"/>
      <name val="Arial"/>
      <family val="0"/>
    </font>
    <font>
      <b val="true"/>
      <sz val="13"/>
      <color rgb="FF1F3864"/>
      <name val="Arial"/>
      <family val="0"/>
      <charset val="1"/>
    </font>
    <font>
      <i val="true"/>
      <sz val="9"/>
      <color rgb="FF595959"/>
      <name val="Arial"/>
      <family val="0"/>
      <charset val="1"/>
    </font>
    <font>
      <b val="true"/>
      <sz val="10"/>
      <color rgb="FF1F3864"/>
      <name val="Arial"/>
      <family val="0"/>
      <charset val="1"/>
    </font>
    <font>
      <b val="true"/>
      <sz val="9"/>
      <color rgb="FFFFFFFF"/>
      <name val="Arial"/>
      <family val="0"/>
      <charset val="1"/>
    </font>
    <font>
      <sz val="9"/>
      <name val="Arial"/>
      <family val="0"/>
      <charset val="1"/>
    </font>
    <font>
      <sz val="9"/>
      <color rgb="FF0000FF"/>
      <name val="Arial"/>
      <family val="0"/>
      <charset val="1"/>
    </font>
    <font>
      <b val="true"/>
      <sz val="9"/>
      <name val="Arial"/>
      <family val="0"/>
      <charset val="1"/>
    </font>
    <font>
      <i val="true"/>
      <sz val="9"/>
      <color rgb="FF808080"/>
      <name val="Arial"/>
      <family val="0"/>
      <charset val="1"/>
    </font>
    <font>
      <sz val="9"/>
      <color rgb="FF008000"/>
      <name val="Arial"/>
      <family val="0"/>
      <charset val="1"/>
    </font>
    <font>
      <b val="true"/>
      <sz val="9"/>
      <color rgb="FFC00000"/>
      <name val="Arial"/>
      <family val="0"/>
      <charset val="1"/>
    </font>
    <font>
      <b val="true"/>
      <sz val="18"/>
      <color rgb="FF000000"/>
      <name val="Calibri"/>
      <family val="2"/>
    </font>
    <font>
      <sz val="10"/>
      <color rgb="FF000000"/>
      <name val="Calibri"/>
      <family val="2"/>
    </font>
  </fonts>
  <fills count="9">
    <fill>
      <patternFill patternType="none"/>
    </fill>
    <fill>
      <patternFill patternType="gray125"/>
    </fill>
    <fill>
      <patternFill patternType="solid">
        <fgColor rgb="FFD9E1F2"/>
        <bgColor rgb="FFD9D9D9"/>
      </patternFill>
    </fill>
    <fill>
      <patternFill patternType="solid">
        <fgColor rgb="FF1F3864"/>
        <bgColor rgb="FF333399"/>
      </patternFill>
    </fill>
    <fill>
      <patternFill patternType="solid">
        <fgColor rgb="FFFFF2CC"/>
        <bgColor rgb="FFFCE4D6"/>
      </patternFill>
    </fill>
    <fill>
      <patternFill patternType="solid">
        <fgColor rgb="FFF2F2F2"/>
        <bgColor rgb="FFEDEDED"/>
      </patternFill>
    </fill>
    <fill>
      <patternFill patternType="solid">
        <fgColor rgb="FFFCE4D6"/>
        <bgColor rgb="FFFFF2CC"/>
      </patternFill>
    </fill>
    <fill>
      <patternFill patternType="solid">
        <fgColor rgb="FFE2EFDA"/>
        <bgColor rgb="FFEDEDED"/>
      </patternFill>
    </fill>
    <fill>
      <patternFill patternType="solid">
        <fgColor rgb="FFEDEDED"/>
        <bgColor rgb="FFF2F2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5" fontId="9" fillId="4" borderId="0" xfId="0" applyFont="true" applyBorder="false" applyAlignment="false" applyProtection="false">
      <alignment horizontal="general" vertical="bottom" textRotation="0" wrapText="false" indent="0" shrinkToFit="false"/>
      <protection locked="true" hidden="false"/>
    </xf>
    <xf numFmtId="166" fontId="9" fillId="4"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true" applyAlignment="false" applyProtection="false">
      <alignment horizontal="general" vertical="bottom" textRotation="0" wrapText="false" indent="0" shrinkToFit="false"/>
      <protection locked="true" hidden="false"/>
    </xf>
    <xf numFmtId="164" fontId="7" fillId="3" borderId="0" xfId="0" applyFont="true" applyBorder="true" applyAlignment="true" applyProtection="false">
      <alignment horizontal="center" vertical="center" textRotation="0" wrapText="true" indent="0" shrinkToFit="false"/>
      <protection locked="true" hidden="false"/>
    </xf>
    <xf numFmtId="166" fontId="11" fillId="5"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9" fillId="4" borderId="0" xfId="0" applyFont="true" applyBorder="false" applyAlignment="false" applyProtection="false">
      <alignment horizontal="general" vertical="bottom" textRotation="0" wrapText="false" indent="0" shrinkToFit="false"/>
      <protection locked="true" hidden="false"/>
    </xf>
    <xf numFmtId="168" fontId="11" fillId="5" borderId="0" xfId="0" applyFont="true" applyBorder="false" applyAlignment="false" applyProtection="false">
      <alignment horizontal="general" vertical="bottom" textRotation="0" wrapText="false" indent="0" shrinkToFit="false"/>
      <protection locked="true" hidden="false"/>
    </xf>
    <xf numFmtId="167" fontId="9" fillId="4" borderId="0" xfId="0" applyFont="tru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9" fontId="9" fillId="4" borderId="0" xfId="0" applyFont="true" applyBorder="false" applyAlignment="false" applyProtection="false">
      <alignment horizontal="general" vertical="bottom" textRotation="0" wrapText="false" indent="0" shrinkToFit="false"/>
      <protection locked="true" hidden="false"/>
    </xf>
    <xf numFmtId="169" fontId="11" fillId="5"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10" fillId="7" borderId="0" xfId="0" applyFont="true" applyBorder="false" applyAlignment="false" applyProtection="false">
      <alignment horizontal="general" vertical="bottom" textRotation="0" wrapText="false" indent="0" shrinkToFit="false"/>
      <protection locked="true" hidden="false"/>
    </xf>
    <xf numFmtId="169" fontId="8" fillId="8"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6" fontId="8" fillId="8"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0" fontId="9" fillId="4" borderId="0" xfId="0" applyFont="true" applyBorder="false" applyAlignment="false" applyProtection="false">
      <alignment horizontal="general" vertical="bottom" textRotation="0" wrapText="false" indent="0" shrinkToFit="false"/>
      <protection locked="true" hidden="false"/>
    </xf>
    <xf numFmtId="170" fontId="11" fillId="5"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7" fontId="10" fillId="8" borderId="0" xfId="0" applyFont="true" applyBorder="false" applyAlignment="false" applyProtection="false">
      <alignment horizontal="general" vertical="bottom" textRotation="0" wrapText="false" indent="0" shrinkToFit="false"/>
      <protection locked="true" hidden="false"/>
    </xf>
    <xf numFmtId="171" fontId="9" fillId="4" borderId="0" xfId="0" applyFont="true" applyBorder="false" applyAlignment="false" applyProtection="false">
      <alignment horizontal="general" vertical="bottom" textRotation="0" wrapText="false" indent="0" shrinkToFit="false"/>
      <protection locked="true" hidden="false"/>
    </xf>
    <xf numFmtId="171" fontId="11" fillId="5"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72" fontId="7" fillId="3" borderId="0" xfId="0" applyFont="true" applyBorder="false" applyAlignment="true" applyProtection="false">
      <alignment horizontal="center" vertical="center" textRotation="0" wrapText="true" indent="0" shrinkToFit="false"/>
      <protection locked="true" hidden="false"/>
    </xf>
    <xf numFmtId="166" fontId="7" fillId="3" borderId="0" xfId="0" applyFont="true" applyBorder="false" applyAlignment="true" applyProtection="false">
      <alignment horizontal="center" vertical="center" textRotation="0" wrapText="tru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6" fontId="10" fillId="8" borderId="0" xfId="0" applyFont="true" applyBorder="false" applyAlignment="false" applyProtection="false">
      <alignment horizontal="general" vertical="bottom" textRotation="0" wrapText="false" indent="0" shrinkToFit="false"/>
      <protection locked="true" hidden="false"/>
    </xf>
    <xf numFmtId="164" fontId="10" fillId="8" borderId="0" xfId="0" applyFont="true" applyBorder="false" applyAlignment="false" applyProtection="false">
      <alignment horizontal="general" vertical="bottom" textRotation="0" wrapText="false" indent="0" shrinkToFit="false"/>
      <protection locked="true" hidden="false"/>
    </xf>
    <xf numFmtId="171" fontId="10" fillId="8"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7" fontId="10" fillId="7"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69" fontId="10" fillId="7" borderId="0" xfId="0" applyFont="true" applyBorder="false" applyAlignment="false" applyProtection="false">
      <alignment horizontal="general" vertical="bottom" textRotation="0" wrapText="false" indent="0" shrinkToFit="false"/>
      <protection locked="true" hidden="false"/>
    </xf>
    <xf numFmtId="166" fontId="10" fillId="6" borderId="0" xfId="0" applyFont="true" applyBorder="false" applyAlignment="false" applyProtection="false">
      <alignment horizontal="general" vertical="bottom" textRotation="0" wrapText="false" indent="0" shrinkToFit="false"/>
      <protection locked="true" hidden="false"/>
    </xf>
    <xf numFmtId="166" fontId="10" fillId="7" borderId="0" xfId="0" applyFont="true" applyBorder="false" applyAlignment="false" applyProtection="false">
      <alignment horizontal="general" vertical="bottom" textRotation="0" wrapText="false" indent="0" shrinkToFit="false"/>
      <protection locked="true" hidden="false"/>
    </xf>
    <xf numFmtId="171" fontId="10" fillId="6" borderId="0" xfId="0" applyFont="true" applyBorder="false" applyAlignment="false" applyProtection="false">
      <alignment horizontal="general" vertical="bottom" textRotation="0" wrapText="false" indent="0" shrinkToFit="false"/>
      <protection locked="true" hidden="false"/>
    </xf>
    <xf numFmtId="171" fontId="10" fillId="7" borderId="0" xfId="0" applyFont="true" applyBorder="false" applyAlignment="false" applyProtection="false">
      <alignment horizontal="general" vertical="bottom" textRotation="0" wrapText="false" indent="0" shrinkToFit="false"/>
      <protection locked="true" hidden="false"/>
    </xf>
    <xf numFmtId="173" fontId="10" fillId="6" borderId="0" xfId="0" applyFont="true" applyBorder="false" applyAlignment="false" applyProtection="false">
      <alignment horizontal="general" vertical="bottom" textRotation="0" wrapText="false" indent="0" shrinkToFit="false"/>
      <protection locked="true" hidden="false"/>
    </xf>
    <xf numFmtId="173" fontId="10" fillId="7"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8" fontId="10" fillId="6" borderId="0" xfId="0" applyFont="true" applyBorder="false" applyAlignment="false" applyProtection="false">
      <alignment horizontal="general" vertical="bottom" textRotation="0" wrapText="false" indent="0" shrinkToFit="false"/>
      <protection locked="true" hidden="false"/>
    </xf>
    <xf numFmtId="168" fontId="10" fillId="7"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5" fillId="0" borderId="0" xfId="0" applyFont="true" applyBorder="false" applyAlignment="true" applyProtection="false">
      <alignment horizontal="center" vertical="center" textRotation="0" wrapText="tru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0000FF"/>
        <sz val="9"/>
      </font>
      <fill>
        <patternFill>
          <bgColor rgb="FFFFF2CC"/>
        </patternFill>
      </fill>
    </dxf>
    <dxf>
      <font>
        <name val="Arial"/>
        <charset val="1"/>
        <family val="0"/>
        <b val="1"/>
        <color rgb="FF000000"/>
        <sz val="9"/>
      </font>
      <fill>
        <patternFill>
          <bgColor rgb="FFE2EFDA"/>
        </patternFill>
      </fill>
    </dxf>
    <dxf>
      <fill>
        <patternFill>
          <bgColor rgb="FFC6EFCE"/>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D9E1F2"/>
      <rgbColor rgb="FF808080"/>
      <rgbColor rgb="FF7F7F7F"/>
      <rgbColor rgb="FFBE4B48"/>
      <rgbColor rgb="FFFFF2CC"/>
      <rgbColor rgb="FFE2EFD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CE4D6"/>
      <rgbColor rgb="FFEDEDED"/>
      <rgbColor rgb="FFFF99CC"/>
      <rgbColor rgb="FFCC99FF"/>
      <rgbColor rgb="FFFFC7CE"/>
      <rgbColor rgb="FF4A7EBB"/>
      <rgbColor rgb="FF33CCCC"/>
      <rgbColor rgb="FF98B855"/>
      <rgbColor rgb="FFFFC000"/>
      <rgbColor rgb="FFFF9900"/>
      <rgbColor rgb="FFFF6600"/>
      <rgbColor rgb="FF7D5FA0"/>
      <rgbColor rgb="FF878787"/>
      <rgbColor rgb="FF1F3864"/>
      <rgbColor rgb="FF4F81BD"/>
      <rgbColor rgb="FF003300"/>
      <rgbColor rgb="FF333300"/>
      <rgbColor rgb="FF993300"/>
      <rgbColor rgb="FFC0504D"/>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Ventas: presupuesto vs vigente</a:t>
            </a:r>
          </a:p>
        </c:rich>
      </c:tx>
      <c:overlay val="0"/>
      <c:spPr>
        <a:noFill/>
        <a:ln w="0">
          <a:noFill/>
        </a:ln>
      </c:spPr>
    </c:title>
    <c:autoTitleDeleted val="0"/>
    <c:plotArea>
      <c:barChart>
        <c:barDir val="col"/>
        <c:grouping val="clustered"/>
        <c:varyColors val="0"/>
        <c:ser>
          <c:idx val="0"/>
          <c:order val="0"/>
          <c:tx>
            <c:strRef>
              <c:f>"Presupuesto"</c:f>
              <c:strCache>
                <c:ptCount val="1"/>
                <c:pt idx="0">
                  <c:v>Presupuesto</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Resultados!$D$101:$O$101</c:f>
              <c:numCache>
                <c:formatCode>#,##0;\(#,##0\);\-</c:formatCode>
                <c:ptCount val="12"/>
                <c:pt idx="0">
                  <c:v>4850000</c:v>
                </c:pt>
                <c:pt idx="1">
                  <c:v>6181200</c:v>
                </c:pt>
                <c:pt idx="2">
                  <c:v>7538539</c:v>
                </c:pt>
                <c:pt idx="3">
                  <c:v>8685437.43</c:v>
                </c:pt>
                <c:pt idx="4">
                  <c:v>8772291.8043</c:v>
                </c:pt>
                <c:pt idx="5">
                  <c:v>8860014.722343</c:v>
                </c:pt>
                <c:pt idx="6">
                  <c:v>8948614.86956643</c:v>
                </c:pt>
                <c:pt idx="7">
                  <c:v>9038101.01826209</c:v>
                </c:pt>
                <c:pt idx="8">
                  <c:v>9128482.02844472</c:v>
                </c:pt>
                <c:pt idx="9">
                  <c:v>9219766.84872916</c:v>
                </c:pt>
                <c:pt idx="10">
                  <c:v>0</c:v>
                </c:pt>
                <c:pt idx="11">
                  <c:v>0</c:v>
                </c:pt>
              </c:numCache>
            </c:numRef>
          </c:val>
        </c:ser>
        <c:ser>
          <c:idx val="1"/>
          <c:order val="1"/>
          <c:tx>
            <c:strRef>
              <c:f>"Vigente"</c:f>
              <c:strCache>
                <c:ptCount val="1"/>
                <c:pt idx="0">
                  <c:v>Vigente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Resultados!$D$38:$O$38</c:f>
              <c:numCache>
                <c:formatCode>#,##0;\(#,##0\);\-</c:formatCode>
                <c:ptCount val="12"/>
                <c:pt idx="0">
                  <c:v>4850000</c:v>
                </c:pt>
                <c:pt idx="1">
                  <c:v>6181200</c:v>
                </c:pt>
                <c:pt idx="2">
                  <c:v>7538539</c:v>
                </c:pt>
                <c:pt idx="3">
                  <c:v>8685437.43</c:v>
                </c:pt>
                <c:pt idx="4">
                  <c:v>8772291.8043</c:v>
                </c:pt>
                <c:pt idx="5">
                  <c:v>8860014.722343</c:v>
                </c:pt>
                <c:pt idx="6">
                  <c:v>8948614.86956643</c:v>
                </c:pt>
                <c:pt idx="7">
                  <c:v>9038101.01826209</c:v>
                </c:pt>
                <c:pt idx="8">
                  <c:v>9128482.02844472</c:v>
                </c:pt>
                <c:pt idx="9">
                  <c:v>9219766.84872916</c:v>
                </c:pt>
                <c:pt idx="10">
                  <c:v>0</c:v>
                </c:pt>
                <c:pt idx="11">
                  <c:v>0</c:v>
                </c:pt>
              </c:numCache>
            </c:numRef>
          </c:val>
        </c:ser>
        <c:gapWidth val="150"/>
        <c:overlap val="0"/>
        <c:axId val="37490860"/>
        <c:axId val="50749135"/>
      </c:barChart>
      <c:catAx>
        <c:axId val="3749086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749135"/>
        <c:crosses val="autoZero"/>
        <c:auto val="1"/>
        <c:lblAlgn val="ctr"/>
        <c:lblOffset val="100"/>
        <c:noMultiLvlLbl val="0"/>
      </c:catAx>
      <c:valAx>
        <c:axId val="50749135"/>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49086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EBITDA y caja al cierre</a:t>
            </a:r>
          </a:p>
        </c:rich>
      </c:tx>
      <c:overlay val="0"/>
      <c:spPr>
        <a:noFill/>
        <a:ln w="0">
          <a:noFill/>
        </a:ln>
      </c:spPr>
    </c:title>
    <c:autoTitleDeleted val="0"/>
    <c:plotArea>
      <c:lineChart>
        <c:grouping val="standard"/>
        <c:varyColors val="0"/>
        <c:ser>
          <c:idx val="0"/>
          <c:order val="0"/>
          <c:tx>
            <c:strRef>
              <c:f>"EBITDA presupuesto"</c:f>
              <c:strCache>
                <c:ptCount val="1"/>
                <c:pt idx="0">
                  <c:v>EBITDA presupuesto</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Resultados!$D$102:$O$102</c:f>
              <c:numCache>
                <c:formatCode>#,##0;\(#,##0\);\-</c:formatCode>
                <c:ptCount val="12"/>
                <c:pt idx="0">
                  <c:v>509970.005707077</c:v>
                </c:pt>
                <c:pt idx="1">
                  <c:v>965956.835927578</c:v>
                </c:pt>
                <c:pt idx="2">
                  <c:v>1405020.3703815</c:v>
                </c:pt>
                <c:pt idx="3">
                  <c:v>1798722.9585583</c:v>
                </c:pt>
                <c:pt idx="4">
                  <c:v>1814557.97851648</c:v>
                </c:pt>
                <c:pt idx="5">
                  <c:v>1863605.30157391</c:v>
                </c:pt>
                <c:pt idx="6">
                  <c:v>1912992.2698728</c:v>
                </c:pt>
                <c:pt idx="7">
                  <c:v>1962717.82255545</c:v>
                </c:pt>
                <c:pt idx="8">
                  <c:v>2012780.75578689</c:v>
                </c:pt>
                <c:pt idx="9">
                  <c:v>2063179.71738103</c:v>
                </c:pt>
                <c:pt idx="10">
                  <c:v>0</c:v>
                </c:pt>
                <c:pt idx="11">
                  <c:v>0</c:v>
                </c:pt>
              </c:numCache>
            </c:numRef>
          </c:val>
          <c:smooth val="0"/>
        </c:ser>
        <c:ser>
          <c:idx val="1"/>
          <c:order val="1"/>
          <c:tx>
            <c:strRef>
              <c:f>"EBITDA vigente"</c:f>
              <c:strCache>
                <c:ptCount val="1"/>
                <c:pt idx="0">
                  <c:v>EBITDA vigente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Resultados!$D$48:$O$48</c:f>
              <c:numCache>
                <c:formatCode>#,##0;\(#,##0\);\-</c:formatCode>
                <c:ptCount val="12"/>
                <c:pt idx="0">
                  <c:v>509970.005707077</c:v>
                </c:pt>
                <c:pt idx="1">
                  <c:v>965956.835927578</c:v>
                </c:pt>
                <c:pt idx="2">
                  <c:v>1405020.3703815</c:v>
                </c:pt>
                <c:pt idx="3">
                  <c:v>1798722.9585583</c:v>
                </c:pt>
                <c:pt idx="4">
                  <c:v>1814557.97851648</c:v>
                </c:pt>
                <c:pt idx="5">
                  <c:v>1863605.30157391</c:v>
                </c:pt>
                <c:pt idx="6">
                  <c:v>1912992.2698728</c:v>
                </c:pt>
                <c:pt idx="7">
                  <c:v>1962717.82255545</c:v>
                </c:pt>
                <c:pt idx="8">
                  <c:v>2012780.75578689</c:v>
                </c:pt>
                <c:pt idx="9">
                  <c:v>2063179.71738103</c:v>
                </c:pt>
                <c:pt idx="10">
                  <c:v>0</c:v>
                </c:pt>
                <c:pt idx="11">
                  <c:v>0</c:v>
                </c:pt>
              </c:numCache>
            </c:numRef>
          </c:val>
          <c:smooth val="0"/>
        </c:ser>
        <c:ser>
          <c:idx val="2"/>
          <c:order val="2"/>
          <c:tx>
            <c:strRef>
              <c:f>"Caja presupuesto"</c:f>
              <c:strCache>
                <c:ptCount val="1"/>
                <c:pt idx="0">
                  <c:v>Caja presupuesto</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Resultados!$D$111:$O$111</c:f>
              <c:numCache>
                <c:formatCode>#,##0;\(#,##0\);\-</c:formatCode>
                <c:ptCount val="12"/>
                <c:pt idx="0">
                  <c:v>497602.743558918</c:v>
                </c:pt>
                <c:pt idx="1">
                  <c:v>303049.269216285</c:v>
                </c:pt>
                <c:pt idx="2">
                  <c:v>268618.777743544</c:v>
                </c:pt>
                <c:pt idx="3">
                  <c:v>742062.551523509</c:v>
                </c:pt>
                <c:pt idx="4">
                  <c:v>953271.672459288</c:v>
                </c:pt>
                <c:pt idx="5">
                  <c:v>1315225.57319639</c:v>
                </c:pt>
                <c:pt idx="6">
                  <c:v>1395939.25727049</c:v>
                </c:pt>
                <c:pt idx="7">
                  <c:v>1476623.20125862</c:v>
                </c:pt>
                <c:pt idx="8">
                  <c:v>1557272.89154073</c:v>
                </c:pt>
                <c:pt idx="9">
                  <c:v>1637883.64417609</c:v>
                </c:pt>
                <c:pt idx="10">
                  <c:v>1637883.64417609</c:v>
                </c:pt>
                <c:pt idx="11">
                  <c:v>1637883.64417609</c:v>
                </c:pt>
              </c:numCache>
            </c:numRef>
          </c:val>
          <c:smooth val="0"/>
        </c:ser>
        <c:ser>
          <c:idx val="3"/>
          <c:order val="3"/>
          <c:tx>
            <c:strRef>
              <c:f>"Caja vigente"</c:f>
              <c:strCache>
                <c:ptCount val="1"/>
                <c:pt idx="0">
                  <c:v>Caja vigente</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Resultados!$D$168:$O$168</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Resultados!$D$61:$O$61</c:f>
              <c:numCache>
                <c:formatCode>#,##0;\(#,##0\);\-</c:formatCode>
                <c:ptCount val="12"/>
                <c:pt idx="0">
                  <c:v>497602.743558918</c:v>
                </c:pt>
                <c:pt idx="1">
                  <c:v>303049.269216285</c:v>
                </c:pt>
                <c:pt idx="2">
                  <c:v>268618.777743544</c:v>
                </c:pt>
                <c:pt idx="3">
                  <c:v>742062.551523509</c:v>
                </c:pt>
                <c:pt idx="4">
                  <c:v>953271.672459288</c:v>
                </c:pt>
                <c:pt idx="5">
                  <c:v>1315225.57319639</c:v>
                </c:pt>
                <c:pt idx="6">
                  <c:v>1395939.25727049</c:v>
                </c:pt>
                <c:pt idx="7">
                  <c:v>1476623.20125862</c:v>
                </c:pt>
                <c:pt idx="8">
                  <c:v>1557272.89154073</c:v>
                </c:pt>
                <c:pt idx="9">
                  <c:v>1637883.64417609</c:v>
                </c:pt>
                <c:pt idx="10">
                  <c:v>1637883.64417609</c:v>
                </c:pt>
                <c:pt idx="11">
                  <c:v>1637883.64417609</c:v>
                </c:pt>
              </c:numCache>
            </c:numRef>
          </c:val>
          <c:smooth val="0"/>
        </c:ser>
        <c:hiLowLines>
          <c:spPr>
            <a:ln w="0">
              <a:noFill/>
            </a:ln>
          </c:spPr>
        </c:hiLowLines>
        <c:marker val="0"/>
        <c:axId val="22206010"/>
        <c:axId val="89695992"/>
      </c:lineChart>
      <c:catAx>
        <c:axId val="22206010"/>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89695992"/>
        <c:crosses val="autoZero"/>
        <c:auto val="1"/>
        <c:lblAlgn val="ctr"/>
        <c:lblOffset val="100"/>
        <c:noMultiLvlLbl val="0"/>
      </c:catAx>
      <c:valAx>
        <c:axId val="8969599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20601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168</xdr:row>
      <xdr:rowOff>175680</xdr:rowOff>
    </xdr:from>
    <xdr:to>
      <xdr:col>2</xdr:col>
      <xdr:colOff>1141200</xdr:colOff>
      <xdr:row>183</xdr:row>
      <xdr:rowOff>18000</xdr:rowOff>
    </xdr:to>
    <xdr:graphicFrame>
      <xdr:nvGraphicFramePr>
        <xdr:cNvPr id="0" name="Chart 1"/>
        <xdr:cNvGraphicFramePr/>
      </xdr:nvGraphicFramePr>
      <xdr:xfrm>
        <a:off x="533520" y="32384880"/>
        <a:ext cx="61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168</xdr:row>
      <xdr:rowOff>175680</xdr:rowOff>
    </xdr:from>
    <xdr:to>
      <xdr:col>10</xdr:col>
      <xdr:colOff>340920</xdr:colOff>
      <xdr:row>183</xdr:row>
      <xdr:rowOff>18000</xdr:rowOff>
    </xdr:to>
    <xdr:graphicFrame>
      <xdr:nvGraphicFramePr>
        <xdr:cNvPr id="1" name="Chart 2"/>
        <xdr:cNvGraphicFramePr/>
      </xdr:nvGraphicFramePr>
      <xdr:xfrm>
        <a:off x="9245520" y="32384880"/>
        <a:ext cx="61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D6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34"/>
    <col collapsed="false" customWidth="true" hidden="false" outlineLevel="0" max="4" min="4" style="0" width="90"/>
  </cols>
  <sheetData>
    <row r="1" customFormat="false" ht="16.15" hidden="false" customHeight="false" outlineLevel="0" collapsed="false">
      <c r="A1" s="1" t="str">
        <f aca="false">"Modelo financiero de maquila — "&amp;IF(n_Negocio="","(completar nombre)",n_Negocio)</f>
        <v>Modelo financiero de maquila — ECOSTAR — Maquila CIE–PERG</v>
      </c>
    </row>
    <row r="2" customFormat="false" ht="15" hidden="false" customHeight="false" outlineLevel="0" collapsed="false">
      <c r="A2" s="2" t="s">
        <v>0</v>
      </c>
    </row>
    <row r="4" customFormat="false" ht="15" hidden="false" customHeight="false" outlineLevel="0" collapsed="false">
      <c r="A4" s="3" t="s">
        <v>1</v>
      </c>
      <c r="B4" s="4"/>
      <c r="C4" s="4"/>
      <c r="D4" s="4"/>
    </row>
    <row r="5" customFormat="false" ht="15" hidden="false" customHeight="false" outlineLevel="0" collapsed="false">
      <c r="A5" s="5"/>
      <c r="B5" s="5" t="s">
        <v>2</v>
      </c>
      <c r="C5" s="5" t="s">
        <v>3</v>
      </c>
      <c r="D5" s="5" t="s">
        <v>4</v>
      </c>
    </row>
    <row r="6" customFormat="false" ht="15" hidden="false" customHeight="false" outlineLevel="0" collapsed="false">
      <c r="B6" s="6" t="s">
        <v>5</v>
      </c>
      <c r="C6" s="7" t="s">
        <v>6</v>
      </c>
      <c r="D6" s="2" t="s">
        <v>7</v>
      </c>
    </row>
    <row r="7" customFormat="false" ht="15" hidden="false" customHeight="false" outlineLevel="0" collapsed="false">
      <c r="B7" s="6" t="s">
        <v>8</v>
      </c>
      <c r="C7" s="7" t="s">
        <v>9</v>
      </c>
      <c r="D7" s="2" t="s">
        <v>7</v>
      </c>
    </row>
    <row r="8" customFormat="false" ht="15" hidden="false" customHeight="false" outlineLevel="0" collapsed="false">
      <c r="B8" s="6" t="s">
        <v>10</v>
      </c>
      <c r="C8" s="7" t="s">
        <v>11</v>
      </c>
      <c r="D8" s="2" t="s">
        <v>7</v>
      </c>
    </row>
    <row r="9" customFormat="false" ht="15" hidden="false" customHeight="false" outlineLevel="0" collapsed="false">
      <c r="B9" s="6" t="s">
        <v>12</v>
      </c>
      <c r="C9" s="7" t="s">
        <v>13</v>
      </c>
      <c r="D9" s="2" t="s">
        <v>14</v>
      </c>
    </row>
    <row r="10" customFormat="false" ht="15" hidden="false" customHeight="false" outlineLevel="0" collapsed="false">
      <c r="B10" s="6" t="s">
        <v>15</v>
      </c>
      <c r="C10" s="8"/>
      <c r="D10" s="2" t="s">
        <v>16</v>
      </c>
    </row>
    <row r="11" customFormat="false" ht="15" hidden="false" customHeight="false" outlineLevel="0" collapsed="false">
      <c r="B11" s="6" t="s">
        <v>17</v>
      </c>
      <c r="C11" s="9"/>
      <c r="D11" s="2" t="s">
        <v>18</v>
      </c>
    </row>
    <row r="12" customFormat="false" ht="15" hidden="false" customHeight="false" outlineLevel="0" collapsed="false">
      <c r="B12" s="6" t="s">
        <v>19</v>
      </c>
      <c r="C12" s="9"/>
      <c r="D12" s="2" t="s">
        <v>20</v>
      </c>
    </row>
    <row r="13" customFormat="false" ht="15" hidden="false" customHeight="false" outlineLevel="0" collapsed="false">
      <c r="B13" s="6" t="s">
        <v>21</v>
      </c>
      <c r="C13" s="7" t="s">
        <v>22</v>
      </c>
      <c r="D13" s="2" t="s">
        <v>23</v>
      </c>
    </row>
    <row r="14" customFormat="false" ht="15" hidden="false" customHeight="false" outlineLevel="0" collapsed="false">
      <c r="B14" s="6" t="s">
        <v>24</v>
      </c>
      <c r="C14" s="6" t="s">
        <v>25</v>
      </c>
    </row>
    <row r="16" customFormat="false" ht="15" hidden="false" customHeight="false" outlineLevel="0" collapsed="false">
      <c r="A16" s="3" t="s">
        <v>26</v>
      </c>
      <c r="B16" s="4"/>
      <c r="C16" s="4"/>
      <c r="D16" s="4"/>
    </row>
    <row r="17" customFormat="false" ht="15" hidden="false" customHeight="false" outlineLevel="0" collapsed="false">
      <c r="B17" s="6" t="s">
        <v>27</v>
      </c>
      <c r="C17" s="10" t="str">
        <f aca="false">IF(Corte=0,"Sin datos reales",IF(n_Fecha1="","Mes "&amp;Corte,"Mes "&amp;Corte&amp;" ("&amp;TEXT(MONTH(EOMONTH(n_Fecha1,Corte-1)),"00")&amp;"/"&amp;YEAR(EOMONTH(n_Fecha1,Corte-1))&amp;")"))</f>
        <v>Sin datos reales</v>
      </c>
    </row>
    <row r="18" customFormat="false" ht="15" hidden="false" customHeight="false" outlineLevel="0" collapsed="false">
      <c r="B18" s="6" t="s">
        <v>28</v>
      </c>
      <c r="C18" s="10" t="str">
        <f aca="false">"Mes "&amp;P_Inicio&amp;" / mes "&amp;V_Inicio</f>
        <v>Mes 1 / mes 1</v>
      </c>
    </row>
    <row r="19" customFormat="false" ht="15" hidden="false" customHeight="false" outlineLevel="0" collapsed="false">
      <c r="B19" s="6" t="s">
        <v>29</v>
      </c>
      <c r="C19" s="10" t="str">
        <f aca="false">"Mes "&amp;Fin&amp;" ("&amp;P_Anios&amp;" años de operación desde el inicio presupuestado)"</f>
        <v>Mes 120 (10 años de operación desde el inicio presupuestado)</v>
      </c>
    </row>
    <row r="20" customFormat="false" ht="15" hidden="false" customHeight="false" outlineLevel="0" collapsed="false">
      <c r="B20" s="6" t="s">
        <v>30</v>
      </c>
      <c r="C20" s="10" t="n">
        <f aca="false">c_Modificados</f>
        <v>0</v>
      </c>
    </row>
    <row r="21" customFormat="false" ht="15" hidden="false" customHeight="false" outlineLevel="0" collapsed="false">
      <c r="B21" s="6" t="s">
        <v>31</v>
      </c>
      <c r="C21" s="10" t="n">
        <f aca="false">c_Alertas</f>
        <v>2</v>
      </c>
    </row>
    <row r="22" customFormat="false" ht="15" hidden="false" customHeight="false" outlineLevel="0" collapsed="false">
      <c r="B22" s="6" t="s">
        <v>32</v>
      </c>
      <c r="C22" s="10" t="n">
        <f aca="false">r_BrechaV</f>
        <v>373700.713193166</v>
      </c>
    </row>
    <row r="24" customFormat="false" ht="15" hidden="false" customHeight="false" outlineLevel="0" collapsed="false">
      <c r="A24" s="3" t="s">
        <v>33</v>
      </c>
      <c r="B24" s="4"/>
      <c r="C24" s="4"/>
      <c r="D24" s="4"/>
    </row>
    <row r="25" customFormat="false" ht="25.5" hidden="false" customHeight="true" outlineLevel="0" collapsed="false">
      <c r="B25" s="11" t="s">
        <v>34</v>
      </c>
      <c r="C25" s="12" t="s">
        <v>35</v>
      </c>
      <c r="D25" s="12"/>
    </row>
    <row r="26" customFormat="false" ht="25.5" hidden="false" customHeight="true" outlineLevel="0" collapsed="false">
      <c r="B26" s="11" t="s">
        <v>36</v>
      </c>
      <c r="C26" s="12" t="s">
        <v>37</v>
      </c>
      <c r="D26" s="12"/>
    </row>
    <row r="27" customFormat="false" ht="25.5" hidden="false" customHeight="true" outlineLevel="0" collapsed="false">
      <c r="B27" s="11" t="s">
        <v>38</v>
      </c>
      <c r="C27" s="12" t="s">
        <v>39</v>
      </c>
      <c r="D27" s="12"/>
    </row>
    <row r="28" customFormat="false" ht="25.5" hidden="false" customHeight="true" outlineLevel="0" collapsed="false">
      <c r="B28" s="11" t="s">
        <v>40</v>
      </c>
      <c r="C28" s="12" t="s">
        <v>41</v>
      </c>
      <c r="D28" s="12"/>
    </row>
    <row r="29" customFormat="false" ht="25.5" hidden="false" customHeight="true" outlineLevel="0" collapsed="false">
      <c r="B29" s="11" t="s">
        <v>42</v>
      </c>
      <c r="C29" s="12" t="s">
        <v>43</v>
      </c>
      <c r="D29" s="12"/>
    </row>
    <row r="30" customFormat="false" ht="25.5" hidden="false" customHeight="true" outlineLevel="0" collapsed="false">
      <c r="B30" s="11" t="s">
        <v>44</v>
      </c>
      <c r="C30" s="12" t="s">
        <v>45</v>
      </c>
      <c r="D30" s="12"/>
    </row>
    <row r="31" customFormat="false" ht="25.5" hidden="false" customHeight="true" outlineLevel="0" collapsed="false">
      <c r="B31" s="11" t="s">
        <v>46</v>
      </c>
      <c r="C31" s="12" t="s">
        <v>47</v>
      </c>
      <c r="D31" s="12"/>
    </row>
    <row r="33" customFormat="false" ht="15" hidden="false" customHeight="false" outlineLevel="0" collapsed="false">
      <c r="A33" s="3" t="s">
        <v>48</v>
      </c>
      <c r="B33" s="4"/>
      <c r="C33" s="4"/>
      <c r="D33" s="4"/>
    </row>
    <row r="34" customFormat="false" ht="15" hidden="false" customHeight="false" outlineLevel="0" collapsed="false">
      <c r="B34" s="7" t="s">
        <v>49</v>
      </c>
      <c r="C34" s="6" t="s">
        <v>50</v>
      </c>
    </row>
    <row r="35" customFormat="false" ht="15" hidden="false" customHeight="false" outlineLevel="0" collapsed="false">
      <c r="B35" s="13" t="s">
        <v>49</v>
      </c>
      <c r="C35" s="6" t="s">
        <v>51</v>
      </c>
    </row>
    <row r="36" customFormat="false" ht="15" hidden="false" customHeight="false" outlineLevel="0" collapsed="false">
      <c r="B36" s="6" t="s">
        <v>49</v>
      </c>
      <c r="C36" s="6" t="s">
        <v>52</v>
      </c>
    </row>
    <row r="37" customFormat="false" ht="15" hidden="false" customHeight="false" outlineLevel="0" collapsed="false">
      <c r="B37" s="14" t="s">
        <v>49</v>
      </c>
      <c r="C37" s="6" t="s">
        <v>53</v>
      </c>
    </row>
    <row r="38" customFormat="false" ht="15" hidden="false" customHeight="false" outlineLevel="0" collapsed="false">
      <c r="B38" s="15" t="s">
        <v>49</v>
      </c>
      <c r="C38" s="6" t="s">
        <v>54</v>
      </c>
    </row>
    <row r="39" customFormat="false" ht="15" hidden="false" customHeight="false" outlineLevel="0" collapsed="false">
      <c r="B39" s="2" t="s">
        <v>55</v>
      </c>
    </row>
    <row r="41" customFormat="false" ht="15" hidden="false" customHeight="false" outlineLevel="0" collapsed="false">
      <c r="A41" s="3" t="s">
        <v>56</v>
      </c>
      <c r="B41" s="4"/>
      <c r="C41" s="4"/>
      <c r="D41" s="4"/>
    </row>
    <row r="42" customFormat="false" ht="15" hidden="false" customHeight="false" outlineLevel="0" collapsed="false">
      <c r="B42" s="11" t="s">
        <v>57</v>
      </c>
      <c r="C42" s="6" t="s">
        <v>58</v>
      </c>
    </row>
    <row r="43" customFormat="false" ht="15" hidden="false" customHeight="false" outlineLevel="0" collapsed="false">
      <c r="B43" s="11" t="s">
        <v>59</v>
      </c>
      <c r="C43" s="6" t="s">
        <v>60</v>
      </c>
    </row>
    <row r="44" customFormat="false" ht="15" hidden="false" customHeight="false" outlineLevel="0" collapsed="false">
      <c r="B44" s="11" t="s">
        <v>61</v>
      </c>
      <c r="C44" s="6" t="s">
        <v>62</v>
      </c>
    </row>
    <row r="45" customFormat="false" ht="15" hidden="false" customHeight="false" outlineLevel="0" collapsed="false">
      <c r="B45" s="11" t="s">
        <v>63</v>
      </c>
      <c r="C45" s="6" t="s">
        <v>64</v>
      </c>
    </row>
    <row r="46" customFormat="false" ht="15" hidden="false" customHeight="false" outlineLevel="0" collapsed="false">
      <c r="B46" s="11" t="s">
        <v>65</v>
      </c>
      <c r="C46" s="6" t="s">
        <v>66</v>
      </c>
    </row>
    <row r="47" customFormat="false" ht="15" hidden="false" customHeight="false" outlineLevel="0" collapsed="false">
      <c r="B47" s="11" t="s">
        <v>67</v>
      </c>
      <c r="C47" s="6" t="s">
        <v>68</v>
      </c>
    </row>
    <row r="48" customFormat="false" ht="15" hidden="false" customHeight="false" outlineLevel="0" collapsed="false">
      <c r="B48" s="11" t="s">
        <v>69</v>
      </c>
      <c r="C48" s="6" t="s">
        <v>70</v>
      </c>
    </row>
    <row r="49" customFormat="false" ht="15" hidden="false" customHeight="false" outlineLevel="0" collapsed="false">
      <c r="B49" s="11" t="s">
        <v>71</v>
      </c>
      <c r="C49" s="6" t="s">
        <v>72</v>
      </c>
    </row>
    <row r="51" customFormat="false" ht="15" hidden="false" customHeight="false" outlineLevel="0" collapsed="false">
      <c r="A51" s="3" t="s">
        <v>73</v>
      </c>
      <c r="B51" s="4"/>
      <c r="C51" s="4"/>
      <c r="D51" s="4"/>
    </row>
    <row r="52" customFormat="false" ht="15" hidden="false" customHeight="false" outlineLevel="0" collapsed="false">
      <c r="B52" s="6" t="s">
        <v>74</v>
      </c>
      <c r="C52" s="16" t="s">
        <v>75</v>
      </c>
      <c r="D52" s="16"/>
    </row>
    <row r="53" customFormat="false" ht="15" hidden="false" customHeight="false" outlineLevel="0" collapsed="false">
      <c r="B53" s="6" t="s">
        <v>76</v>
      </c>
      <c r="C53" s="16" t="s">
        <v>77</v>
      </c>
      <c r="D53" s="16"/>
    </row>
    <row r="54" customFormat="false" ht="15" hidden="false" customHeight="false" outlineLevel="0" collapsed="false">
      <c r="B54" s="6" t="s">
        <v>78</v>
      </c>
      <c r="C54" s="16" t="s">
        <v>79</v>
      </c>
      <c r="D54" s="16"/>
    </row>
    <row r="55" customFormat="false" ht="15" hidden="false" customHeight="false" outlineLevel="0" collapsed="false">
      <c r="B55" s="6" t="s">
        <v>80</v>
      </c>
      <c r="C55" s="16" t="s">
        <v>81</v>
      </c>
      <c r="D55" s="16"/>
    </row>
    <row r="56" customFormat="false" ht="15" hidden="false" customHeight="false" outlineLevel="0" collapsed="false">
      <c r="B56" s="6" t="s">
        <v>82</v>
      </c>
      <c r="C56" s="16" t="s">
        <v>83</v>
      </c>
      <c r="D56" s="16"/>
    </row>
    <row r="57" customFormat="false" ht="15" hidden="false" customHeight="false" outlineLevel="0" collapsed="false">
      <c r="B57" s="6" t="s">
        <v>84</v>
      </c>
      <c r="C57" s="16" t="s">
        <v>85</v>
      </c>
      <c r="D57" s="16"/>
    </row>
    <row r="58" customFormat="false" ht="15" hidden="false" customHeight="false" outlineLevel="0" collapsed="false">
      <c r="B58" s="6" t="s">
        <v>86</v>
      </c>
      <c r="C58" s="16" t="s">
        <v>87</v>
      </c>
      <c r="D58" s="16"/>
    </row>
    <row r="59" customFormat="false" ht="15" hidden="false" customHeight="false" outlineLevel="0" collapsed="false">
      <c r="B59" s="6" t="s">
        <v>88</v>
      </c>
      <c r="C59" s="16" t="s">
        <v>89</v>
      </c>
      <c r="D59" s="16"/>
    </row>
    <row r="60" customFormat="false" ht="15" hidden="false" customHeight="false" outlineLevel="0" collapsed="false">
      <c r="B60" s="6" t="s">
        <v>90</v>
      </c>
      <c r="C60" s="16"/>
      <c r="D60" s="16"/>
    </row>
    <row r="61" customFormat="false" ht="15" hidden="false" customHeight="false" outlineLevel="0" collapsed="false">
      <c r="B61" s="6" t="s">
        <v>91</v>
      </c>
      <c r="C61" s="16"/>
      <c r="D61" s="16"/>
    </row>
  </sheetData>
  <mergeCells count="17">
    <mergeCell ref="C25:D25"/>
    <mergeCell ref="C26:D26"/>
    <mergeCell ref="C27:D27"/>
    <mergeCell ref="C28:D28"/>
    <mergeCell ref="C29:D29"/>
    <mergeCell ref="C30:D30"/>
    <mergeCell ref="C31:D31"/>
    <mergeCell ref="C52:D52"/>
    <mergeCell ref="C53:D53"/>
    <mergeCell ref="C54:D54"/>
    <mergeCell ref="C55:D55"/>
    <mergeCell ref="C56:D56"/>
    <mergeCell ref="C57:D57"/>
    <mergeCell ref="C58:D58"/>
    <mergeCell ref="C59:D59"/>
    <mergeCell ref="C60:D60"/>
    <mergeCell ref="C61:D61"/>
  </mergeCells>
  <dataValidations count="2">
    <dataValidation allowBlank="true" errorStyle="stop" operator="between" showDropDown="false" showErrorMessage="false" showInputMessage="false" sqref="C9" type="list">
      <formula1>"Implantación,Operación"</formula1>
      <formula2>0</formula2>
    </dataValidation>
    <dataValidation allowBlank="true" errorStyle="stop" operator="between" showDropDown="false" showErrorMessage="false" showInputMessage="false" sqref="C13" type="list">
      <formula1>"Vigente,Conservador,Optimista"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N1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8"/>
    <col collapsed="false" customWidth="true" hidden="false" outlineLevel="0" max="3" min="3" style="0" width="15"/>
    <col collapsed="false" customWidth="true" hidden="false" outlineLevel="0" max="7" min="4" style="0" width="14"/>
    <col collapsed="false" customWidth="true" hidden="false" outlineLevel="0" max="13" min="8" style="0" width="13"/>
    <col collapsed="false" customWidth="true" hidden="false" outlineLevel="0" max="14" min="14" style="0" width="60"/>
  </cols>
  <sheetData>
    <row r="1" customFormat="false" ht="16.15" hidden="false" customHeight="false" outlineLevel="0" collapsed="false">
      <c r="A1" s="1" t="s">
        <v>92</v>
      </c>
    </row>
    <row r="2" customFormat="false" ht="15" hidden="false" customHeight="false" outlineLevel="0" collapsed="false">
      <c r="A2" s="2" t="s">
        <v>93</v>
      </c>
    </row>
    <row r="4" customFormat="false" ht="15" hidden="false" customHeight="false" outlineLevel="0" collapsed="false">
      <c r="A4" s="3" t="s">
        <v>94</v>
      </c>
      <c r="B4" s="4"/>
      <c r="C4" s="4"/>
      <c r="D4" s="4"/>
      <c r="E4" s="4"/>
      <c r="F4" s="4"/>
      <c r="G4" s="4"/>
      <c r="H4" s="4"/>
      <c r="I4" s="4"/>
      <c r="J4" s="4"/>
      <c r="K4" s="4"/>
      <c r="L4" s="4"/>
      <c r="M4" s="4"/>
      <c r="N4" s="4"/>
    </row>
    <row r="5" customFormat="false" ht="30" hidden="false" customHeight="true" outlineLevel="0" collapsed="false">
      <c r="A5" s="5" t="s">
        <v>95</v>
      </c>
      <c r="B5" s="5" t="s">
        <v>96</v>
      </c>
      <c r="C5" s="5" t="s">
        <v>97</v>
      </c>
      <c r="D5" s="5" t="s">
        <v>36</v>
      </c>
      <c r="E5" s="5" t="s">
        <v>22</v>
      </c>
      <c r="F5" s="17" t="s">
        <v>98</v>
      </c>
      <c r="G5" s="17"/>
      <c r="H5" s="17"/>
      <c r="I5" s="17"/>
      <c r="J5" s="17"/>
      <c r="K5" s="17"/>
      <c r="L5" s="17"/>
      <c r="M5" s="17"/>
      <c r="N5" s="17"/>
    </row>
    <row r="6" customFormat="false" ht="15" hidden="false" customHeight="false" outlineLevel="0" collapsed="false">
      <c r="A6" s="6" t="s">
        <v>99</v>
      </c>
      <c r="B6" s="6" t="s">
        <v>100</v>
      </c>
      <c r="C6" s="6" t="s">
        <v>101</v>
      </c>
      <c r="D6" s="9" t="n">
        <v>1</v>
      </c>
      <c r="E6" s="18" t="n">
        <f aca="false">D6</f>
        <v>1</v>
      </c>
      <c r="F6" s="2" t="s">
        <v>102</v>
      </c>
    </row>
    <row r="7" customFormat="false" ht="15" hidden="false" customHeight="false" outlineLevel="0" collapsed="false">
      <c r="A7" s="6" t="s">
        <v>103</v>
      </c>
      <c r="B7" s="6" t="s">
        <v>104</v>
      </c>
      <c r="C7" s="6" t="s">
        <v>105</v>
      </c>
      <c r="D7" s="9" t="n">
        <v>10</v>
      </c>
      <c r="E7" s="19" t="n">
        <f aca="false">D7</f>
        <v>10</v>
      </c>
      <c r="F7" s="2" t="s">
        <v>106</v>
      </c>
    </row>
    <row r="8" customFormat="false" ht="15" hidden="false" customHeight="false" outlineLevel="0" collapsed="false">
      <c r="A8" s="6" t="s">
        <v>107</v>
      </c>
      <c r="B8" s="6" t="s">
        <v>108</v>
      </c>
      <c r="C8" s="6" t="s">
        <v>109</v>
      </c>
      <c r="D8" s="20" t="n">
        <v>0</v>
      </c>
      <c r="E8" s="21" t="n">
        <f aca="false">D8</f>
        <v>0</v>
      </c>
      <c r="F8" s="2" t="s">
        <v>110</v>
      </c>
    </row>
    <row r="9" customFormat="false" ht="15" hidden="false" customHeight="false" outlineLevel="0" collapsed="false">
      <c r="A9" s="6" t="s">
        <v>111</v>
      </c>
      <c r="B9" s="6" t="s">
        <v>112</v>
      </c>
      <c r="C9" s="6" t="s">
        <v>109</v>
      </c>
      <c r="D9" s="20" t="n">
        <v>0.4309</v>
      </c>
      <c r="E9" s="21" t="n">
        <f aca="false">D9</f>
        <v>0.4309</v>
      </c>
      <c r="F9" s="2" t="s">
        <v>113</v>
      </c>
    </row>
    <row r="10" customFormat="false" ht="15" hidden="false" customHeight="false" outlineLevel="0" collapsed="false">
      <c r="A10" s="6" t="s">
        <v>114</v>
      </c>
      <c r="B10" s="6" t="s">
        <v>115</v>
      </c>
      <c r="C10" s="6" t="s">
        <v>116</v>
      </c>
      <c r="D10" s="22" t="n">
        <v>576000</v>
      </c>
      <c r="E10" s="23" t="n">
        <f aca="false">D10</f>
        <v>576000</v>
      </c>
      <c r="F10" s="2" t="s">
        <v>117</v>
      </c>
    </row>
    <row r="11" customFormat="false" ht="15" hidden="false" customHeight="false" outlineLevel="0" collapsed="false">
      <c r="A11" s="6" t="s">
        <v>118</v>
      </c>
      <c r="B11" s="6" t="s">
        <v>119</v>
      </c>
      <c r="C11" s="6" t="s">
        <v>120</v>
      </c>
      <c r="D11" s="24" t="n">
        <v>0.5</v>
      </c>
      <c r="E11" s="25" t="n">
        <f aca="false">D11</f>
        <v>0.5</v>
      </c>
      <c r="F11" s="2" t="s">
        <v>121</v>
      </c>
    </row>
    <row r="12" customFormat="false" ht="15" hidden="false" customHeight="false" outlineLevel="0" collapsed="false">
      <c r="A12" s="6" t="s">
        <v>122</v>
      </c>
      <c r="B12" s="6" t="s">
        <v>123</v>
      </c>
      <c r="C12" s="6" t="s">
        <v>120</v>
      </c>
      <c r="D12" s="24" t="n">
        <v>1</v>
      </c>
      <c r="E12" s="25" t="n">
        <f aca="false">D12</f>
        <v>1</v>
      </c>
      <c r="F12" s="2" t="s">
        <v>124</v>
      </c>
    </row>
    <row r="13" customFormat="false" ht="15" hidden="false" customHeight="false" outlineLevel="0" collapsed="false">
      <c r="A13" s="6" t="s">
        <v>125</v>
      </c>
      <c r="B13" s="6" t="s">
        <v>126</v>
      </c>
      <c r="C13" s="6" t="s">
        <v>109</v>
      </c>
      <c r="D13" s="20" t="n">
        <v>0.03</v>
      </c>
      <c r="E13" s="21" t="n">
        <f aca="false">D13</f>
        <v>0.03</v>
      </c>
      <c r="F13" s="2" t="s">
        <v>127</v>
      </c>
    </row>
    <row r="14" customFormat="false" ht="15" hidden="false" customHeight="false" outlineLevel="0" collapsed="false">
      <c r="A14" s="6" t="s">
        <v>128</v>
      </c>
      <c r="B14" s="6" t="s">
        <v>129</v>
      </c>
      <c r="C14" s="6" t="s">
        <v>109</v>
      </c>
      <c r="D14" s="20" t="n">
        <v>0.01</v>
      </c>
      <c r="E14" s="21" t="n">
        <f aca="false">D14</f>
        <v>0.01</v>
      </c>
      <c r="F14" s="2" t="s">
        <v>130</v>
      </c>
    </row>
    <row r="15" customFormat="false" ht="15" hidden="false" customHeight="false" outlineLevel="0" collapsed="false">
      <c r="A15" s="6" t="s">
        <v>131</v>
      </c>
      <c r="B15" s="6" t="s">
        <v>132</v>
      </c>
      <c r="C15" s="6" t="s">
        <v>109</v>
      </c>
      <c r="D15" s="20" t="n">
        <v>0.05</v>
      </c>
      <c r="E15" s="21" t="n">
        <f aca="false">D15</f>
        <v>0.05</v>
      </c>
      <c r="F15" s="2" t="s">
        <v>133</v>
      </c>
    </row>
    <row r="16" customFormat="false" ht="15" hidden="false" customHeight="false" outlineLevel="0" collapsed="false">
      <c r="A16" s="6" t="s">
        <v>134</v>
      </c>
      <c r="B16" s="6" t="s">
        <v>135</v>
      </c>
      <c r="C16" s="6" t="s">
        <v>109</v>
      </c>
      <c r="D16" s="20" t="n">
        <v>0.05</v>
      </c>
      <c r="E16" s="21" t="n">
        <f aca="false">D16</f>
        <v>0.05</v>
      </c>
      <c r="F16" s="2" t="s">
        <v>136</v>
      </c>
    </row>
    <row r="17" customFormat="false" ht="15" hidden="false" customHeight="false" outlineLevel="0" collapsed="false">
      <c r="A17" s="6" t="s">
        <v>137</v>
      </c>
      <c r="B17" s="6" t="s">
        <v>138</v>
      </c>
      <c r="C17" s="6" t="s">
        <v>109</v>
      </c>
      <c r="D17" s="20" t="n">
        <v>0.01</v>
      </c>
      <c r="E17" s="21" t="n">
        <f aca="false">D17</f>
        <v>0.01</v>
      </c>
      <c r="F17" s="2" t="s">
        <v>139</v>
      </c>
    </row>
    <row r="18" customFormat="false" ht="15" hidden="false" customHeight="false" outlineLevel="0" collapsed="false">
      <c r="A18" s="6" t="s">
        <v>140</v>
      </c>
      <c r="B18" s="6" t="s">
        <v>141</v>
      </c>
      <c r="C18" s="6" t="s">
        <v>109</v>
      </c>
      <c r="D18" s="20" t="n">
        <v>0.001</v>
      </c>
      <c r="E18" s="21" t="n">
        <f aca="false">D18</f>
        <v>0.001</v>
      </c>
      <c r="F18" s="2" t="s">
        <v>142</v>
      </c>
    </row>
    <row r="19" customFormat="false" ht="15" hidden="false" customHeight="false" outlineLevel="0" collapsed="false">
      <c r="A19" s="6" t="s">
        <v>143</v>
      </c>
      <c r="B19" s="6" t="s">
        <v>144</v>
      </c>
      <c r="C19" s="6" t="s">
        <v>109</v>
      </c>
      <c r="D19" s="20" t="n">
        <v>0</v>
      </c>
      <c r="E19" s="21" t="n">
        <f aca="false">D19</f>
        <v>0</v>
      </c>
      <c r="F19" s="2" t="s">
        <v>145</v>
      </c>
    </row>
    <row r="20" customFormat="false" ht="15" hidden="false" customHeight="false" outlineLevel="0" collapsed="false">
      <c r="A20" s="6" t="s">
        <v>146</v>
      </c>
      <c r="B20" s="6" t="s">
        <v>147</v>
      </c>
      <c r="C20" s="6" t="s">
        <v>109</v>
      </c>
      <c r="D20" s="20" t="n">
        <v>0</v>
      </c>
      <c r="E20" s="21" t="n">
        <f aca="false">D20</f>
        <v>0</v>
      </c>
      <c r="F20" s="2" t="s">
        <v>148</v>
      </c>
    </row>
    <row r="21" customFormat="false" ht="15" hidden="false" customHeight="false" outlineLevel="0" collapsed="false">
      <c r="A21" s="6" t="s">
        <v>149</v>
      </c>
      <c r="B21" s="6" t="s">
        <v>150</v>
      </c>
      <c r="C21" s="6" t="s">
        <v>151</v>
      </c>
      <c r="D21" s="9" t="n">
        <v>120</v>
      </c>
      <c r="E21" s="18" t="n">
        <f aca="false">D21</f>
        <v>120</v>
      </c>
      <c r="F21" s="2" t="s">
        <v>152</v>
      </c>
    </row>
    <row r="22" customFormat="false" ht="15" hidden="false" customHeight="false" outlineLevel="0" collapsed="false">
      <c r="A22" s="6" t="s">
        <v>153</v>
      </c>
      <c r="B22" s="6" t="s">
        <v>154</v>
      </c>
      <c r="C22" s="6" t="s">
        <v>151</v>
      </c>
      <c r="D22" s="9" t="n">
        <v>120</v>
      </c>
      <c r="E22" s="18" t="n">
        <f aca="false">D22</f>
        <v>120</v>
      </c>
      <c r="F22" s="2" t="s">
        <v>155</v>
      </c>
    </row>
    <row r="23" customFormat="false" ht="15" hidden="false" customHeight="false" outlineLevel="0" collapsed="false">
      <c r="A23" s="6" t="s">
        <v>156</v>
      </c>
      <c r="B23" s="6" t="s">
        <v>157</v>
      </c>
      <c r="C23" s="6" t="s">
        <v>151</v>
      </c>
      <c r="D23" s="9" t="n">
        <v>10</v>
      </c>
      <c r="E23" s="18" t="n">
        <f aca="false">D23</f>
        <v>10</v>
      </c>
      <c r="F23" s="2" t="s">
        <v>152</v>
      </c>
    </row>
    <row r="24" customFormat="false" ht="15" hidden="false" customHeight="false" outlineLevel="0" collapsed="false">
      <c r="A24" s="6" t="s">
        <v>158</v>
      </c>
      <c r="B24" s="6" t="s">
        <v>159</v>
      </c>
      <c r="C24" s="6" t="s">
        <v>151</v>
      </c>
      <c r="D24" s="9" t="n">
        <v>0</v>
      </c>
      <c r="E24" s="18" t="n">
        <f aca="false">D24</f>
        <v>0</v>
      </c>
      <c r="F24" s="2" t="s">
        <v>160</v>
      </c>
    </row>
    <row r="25" customFormat="false" ht="15" hidden="false" customHeight="false" outlineLevel="0" collapsed="false">
      <c r="A25" s="6" t="s">
        <v>161</v>
      </c>
      <c r="B25" s="6" t="s">
        <v>162</v>
      </c>
      <c r="C25" s="6" t="s">
        <v>151</v>
      </c>
      <c r="D25" s="9" t="n">
        <v>30</v>
      </c>
      <c r="E25" s="18" t="n">
        <f aca="false">D25</f>
        <v>30</v>
      </c>
      <c r="F25" s="2" t="s">
        <v>152</v>
      </c>
    </row>
    <row r="26" customFormat="false" ht="15" hidden="false" customHeight="false" outlineLevel="0" collapsed="false">
      <c r="A26" s="6" t="s">
        <v>163</v>
      </c>
      <c r="B26" s="6" t="s">
        <v>164</v>
      </c>
      <c r="C26" s="6" t="s">
        <v>165</v>
      </c>
      <c r="D26" s="9" t="n">
        <v>3</v>
      </c>
      <c r="E26" s="18" t="n">
        <f aca="false">D26</f>
        <v>3</v>
      </c>
      <c r="F26" s="2" t="s">
        <v>166</v>
      </c>
    </row>
    <row r="27" customFormat="false" ht="15" hidden="false" customHeight="false" outlineLevel="0" collapsed="false">
      <c r="A27" s="6" t="s">
        <v>167</v>
      </c>
      <c r="B27" s="6" t="s">
        <v>168</v>
      </c>
      <c r="C27" s="6" t="s">
        <v>109</v>
      </c>
      <c r="D27" s="24" t="n">
        <v>0</v>
      </c>
      <c r="E27" s="25" t="n">
        <f aca="false">D27</f>
        <v>0</v>
      </c>
      <c r="F27" s="2" t="s">
        <v>169</v>
      </c>
    </row>
    <row r="28" customFormat="false" ht="15" hidden="false" customHeight="false" outlineLevel="0" collapsed="false">
      <c r="A28" s="6" t="s">
        <v>170</v>
      </c>
      <c r="B28" s="6" t="s">
        <v>171</v>
      </c>
      <c r="C28" s="6" t="s">
        <v>172</v>
      </c>
      <c r="D28" s="9" t="n">
        <v>6</v>
      </c>
      <c r="E28" s="18" t="n">
        <f aca="false">D28</f>
        <v>6</v>
      </c>
      <c r="F28" s="2" t="s">
        <v>173</v>
      </c>
    </row>
    <row r="29" customFormat="false" ht="15" hidden="false" customHeight="false" outlineLevel="0" collapsed="false">
      <c r="A29" s="6" t="s">
        <v>174</v>
      </c>
      <c r="B29" s="6" t="s">
        <v>175</v>
      </c>
      <c r="C29" s="6" t="s">
        <v>109</v>
      </c>
      <c r="D29" s="24" t="n">
        <v>0.1</v>
      </c>
      <c r="E29" s="25" t="n">
        <f aca="false">D29</f>
        <v>0.1</v>
      </c>
      <c r="F29" s="2" t="s">
        <v>176</v>
      </c>
    </row>
    <row r="30" customFormat="false" ht="15" hidden="false" customHeight="false" outlineLevel="0" collapsed="false">
      <c r="A30" s="6" t="s">
        <v>177</v>
      </c>
      <c r="B30" s="6" t="s">
        <v>178</v>
      </c>
      <c r="C30" s="6" t="s">
        <v>109</v>
      </c>
      <c r="D30" s="20" t="n">
        <v>0.0948937</v>
      </c>
      <c r="E30" s="21" t="n">
        <f aca="false">D30</f>
        <v>0.0948937</v>
      </c>
      <c r="F30" s="2" t="s">
        <v>179</v>
      </c>
    </row>
    <row r="31" customFormat="false" ht="15" hidden="false" customHeight="false" outlineLevel="0" collapsed="false">
      <c r="A31" s="6" t="s">
        <v>180</v>
      </c>
      <c r="B31" s="6" t="s">
        <v>181</v>
      </c>
      <c r="C31" s="6" t="s">
        <v>109</v>
      </c>
      <c r="D31" s="20" t="n">
        <v>0.1632</v>
      </c>
      <c r="E31" s="21" t="n">
        <f aca="false">D31</f>
        <v>0.1632</v>
      </c>
      <c r="F31" s="2" t="s">
        <v>182</v>
      </c>
    </row>
    <row r="32" customFormat="false" ht="15" hidden="false" customHeight="false" outlineLevel="0" collapsed="false">
      <c r="A32" s="6" t="s">
        <v>183</v>
      </c>
      <c r="B32" s="6" t="s">
        <v>184</v>
      </c>
      <c r="C32" s="6" t="s">
        <v>109</v>
      </c>
      <c r="D32" s="24" t="n">
        <v>1</v>
      </c>
      <c r="E32" s="25" t="n">
        <f aca="false">D32</f>
        <v>1</v>
      </c>
      <c r="F32" s="2" t="s">
        <v>185</v>
      </c>
    </row>
    <row r="33" customFormat="false" ht="15" hidden="false" customHeight="false" outlineLevel="0" collapsed="false">
      <c r="A33" s="6" t="s">
        <v>186</v>
      </c>
      <c r="B33" s="6" t="s">
        <v>187</v>
      </c>
      <c r="C33" s="6" t="s">
        <v>109</v>
      </c>
      <c r="D33" s="24" t="n">
        <v>1</v>
      </c>
      <c r="E33" s="25" t="n">
        <f aca="false">D33</f>
        <v>1</v>
      </c>
      <c r="F33" s="2" t="s">
        <v>188</v>
      </c>
    </row>
    <row r="34" customFormat="false" ht="15" hidden="false" customHeight="false" outlineLevel="0" collapsed="false">
      <c r="A34" s="6" t="s">
        <v>189</v>
      </c>
      <c r="B34" s="6" t="s">
        <v>190</v>
      </c>
      <c r="C34" s="6" t="s">
        <v>101</v>
      </c>
      <c r="D34" s="9" t="n">
        <v>4</v>
      </c>
      <c r="E34" s="18" t="n">
        <f aca="false">D34</f>
        <v>4</v>
      </c>
      <c r="F34" s="2" t="s">
        <v>191</v>
      </c>
    </row>
    <row r="36" customFormat="false" ht="15" hidden="false" customHeight="false" outlineLevel="0" collapsed="false">
      <c r="A36" s="3" t="s">
        <v>192</v>
      </c>
      <c r="B36" s="4"/>
      <c r="C36" s="4"/>
      <c r="D36" s="4"/>
      <c r="E36" s="4"/>
      <c r="F36" s="4"/>
      <c r="G36" s="4"/>
      <c r="H36" s="4"/>
      <c r="I36" s="4"/>
      <c r="J36" s="4"/>
      <c r="K36" s="4"/>
      <c r="L36" s="4"/>
      <c r="M36" s="4"/>
      <c r="N36" s="4"/>
    </row>
    <row r="37" customFormat="false" ht="15" hidden="false" customHeight="false" outlineLevel="0" collapsed="false">
      <c r="A37" s="5" t="s">
        <v>95</v>
      </c>
      <c r="B37" s="5" t="s">
        <v>193</v>
      </c>
      <c r="C37" s="5" t="s">
        <v>97</v>
      </c>
      <c r="D37" s="5" t="s">
        <v>194</v>
      </c>
      <c r="E37" s="5" t="s">
        <v>195</v>
      </c>
      <c r="F37" s="5" t="s">
        <v>196</v>
      </c>
      <c r="G37" s="5" t="s">
        <v>197</v>
      </c>
      <c r="H37" s="5" t="s">
        <v>198</v>
      </c>
      <c r="I37" s="5" t="s">
        <v>199</v>
      </c>
      <c r="J37" s="5" t="s">
        <v>200</v>
      </c>
      <c r="K37" s="5" t="s">
        <v>201</v>
      </c>
      <c r="L37" s="5" t="s">
        <v>202</v>
      </c>
      <c r="M37" s="5" t="s">
        <v>203</v>
      </c>
      <c r="N37" s="5" t="s">
        <v>204</v>
      </c>
    </row>
    <row r="38" customFormat="false" ht="15" hidden="false" customHeight="false" outlineLevel="0" collapsed="false">
      <c r="B38" s="26" t="s">
        <v>205</v>
      </c>
    </row>
    <row r="39" customFormat="false" ht="15" hidden="false" customHeight="false" outlineLevel="0" collapsed="false">
      <c r="A39" s="6" t="s">
        <v>206</v>
      </c>
      <c r="B39" s="6" t="s">
        <v>207</v>
      </c>
      <c r="C39" s="6" t="s">
        <v>208</v>
      </c>
      <c r="D39" s="22" t="n">
        <v>7300</v>
      </c>
      <c r="E39" s="22" t="n">
        <v>7300</v>
      </c>
      <c r="F39" s="22" t="n">
        <v>7300</v>
      </c>
      <c r="G39" s="22" t="n">
        <v>7300</v>
      </c>
      <c r="H39" s="22" t="n">
        <v>7300</v>
      </c>
      <c r="I39" s="22" t="n">
        <v>7300</v>
      </c>
      <c r="J39" s="22" t="n">
        <v>7300</v>
      </c>
      <c r="K39" s="22" t="n">
        <v>7300</v>
      </c>
      <c r="L39" s="22" t="n">
        <v>7300</v>
      </c>
      <c r="M39" s="22" t="n">
        <v>7300</v>
      </c>
    </row>
    <row r="40" customFormat="false" ht="15" hidden="false" customHeight="false" outlineLevel="0" collapsed="false">
      <c r="A40" s="6" t="s">
        <v>209</v>
      </c>
      <c r="B40" s="6" t="s">
        <v>210</v>
      </c>
      <c r="C40" s="6" t="s">
        <v>109</v>
      </c>
      <c r="D40" s="24" t="n">
        <v>0</v>
      </c>
      <c r="E40" s="24" t="n">
        <v>0.01</v>
      </c>
      <c r="F40" s="24" t="n">
        <v>0.01</v>
      </c>
      <c r="G40" s="24" t="n">
        <v>0.01</v>
      </c>
      <c r="H40" s="24" t="n">
        <v>0.01</v>
      </c>
      <c r="I40" s="24" t="n">
        <v>0.01</v>
      </c>
      <c r="J40" s="24" t="n">
        <v>0.01</v>
      </c>
      <c r="K40" s="24" t="n">
        <v>0.01</v>
      </c>
      <c r="L40" s="24" t="n">
        <v>0.01</v>
      </c>
      <c r="M40" s="24" t="n">
        <v>0.01</v>
      </c>
    </row>
    <row r="41" customFormat="false" ht="15" hidden="false" customHeight="false" outlineLevel="0" collapsed="false">
      <c r="A41" s="6" t="s">
        <v>211</v>
      </c>
      <c r="B41" s="6" t="s">
        <v>212</v>
      </c>
      <c r="C41" s="6" t="s">
        <v>109</v>
      </c>
      <c r="D41" s="24" t="n">
        <v>0</v>
      </c>
      <c r="E41" s="24" t="n">
        <v>0.01</v>
      </c>
      <c r="F41" s="24" t="n">
        <v>0.01</v>
      </c>
      <c r="G41" s="24" t="n">
        <v>0.01</v>
      </c>
      <c r="H41" s="24" t="n">
        <v>0.01</v>
      </c>
      <c r="I41" s="24" t="n">
        <v>0.01</v>
      </c>
      <c r="J41" s="24" t="n">
        <v>0.01</v>
      </c>
      <c r="K41" s="24" t="n">
        <v>0.01</v>
      </c>
      <c r="L41" s="24" t="n">
        <v>0.01</v>
      </c>
      <c r="M41" s="24" t="n">
        <v>0.01</v>
      </c>
    </row>
    <row r="42" customFormat="false" ht="15" hidden="false" customHeight="false" outlineLevel="0" collapsed="false">
      <c r="A42" s="6" t="s">
        <v>213</v>
      </c>
      <c r="B42" s="6" t="s">
        <v>214</v>
      </c>
      <c r="C42" s="6" t="s">
        <v>109</v>
      </c>
      <c r="D42" s="24" t="n">
        <v>0</v>
      </c>
      <c r="E42" s="24" t="n">
        <v>0</v>
      </c>
      <c r="F42" s="24" t="n">
        <v>0</v>
      </c>
      <c r="G42" s="24" t="n">
        <v>0</v>
      </c>
      <c r="H42" s="24" t="n">
        <v>0</v>
      </c>
      <c r="I42" s="24" t="n">
        <v>0</v>
      </c>
      <c r="J42" s="24" t="n">
        <v>0</v>
      </c>
      <c r="K42" s="24" t="n">
        <v>0</v>
      </c>
      <c r="L42" s="24" t="n">
        <v>0</v>
      </c>
      <c r="M42" s="24" t="n">
        <v>0</v>
      </c>
    </row>
    <row r="43" customFormat="false" ht="15" hidden="false" customHeight="false" outlineLevel="0" collapsed="false">
      <c r="A43" s="6" t="s">
        <v>215</v>
      </c>
      <c r="B43" s="6" t="s">
        <v>216</v>
      </c>
      <c r="C43" s="6" t="s">
        <v>109</v>
      </c>
      <c r="D43" s="24" t="n">
        <v>0</v>
      </c>
      <c r="E43" s="24" t="n">
        <v>0</v>
      </c>
      <c r="F43" s="24" t="n">
        <v>0</v>
      </c>
      <c r="G43" s="24" t="n">
        <v>0</v>
      </c>
      <c r="H43" s="24" t="n">
        <v>0</v>
      </c>
      <c r="I43" s="24" t="n">
        <v>0</v>
      </c>
      <c r="J43" s="24" t="n">
        <v>0</v>
      </c>
      <c r="K43" s="24" t="n">
        <v>0</v>
      </c>
      <c r="L43" s="24" t="n">
        <v>0</v>
      </c>
      <c r="M43" s="24" t="n">
        <v>0</v>
      </c>
    </row>
    <row r="44" customFormat="false" ht="15" hidden="false" customHeight="false" outlineLevel="0" collapsed="false">
      <c r="A44" s="6" t="s">
        <v>217</v>
      </c>
      <c r="B44" s="6" t="s">
        <v>218</v>
      </c>
      <c r="C44" s="6" t="s">
        <v>109</v>
      </c>
      <c r="D44" s="24" t="n">
        <v>0</v>
      </c>
      <c r="E44" s="24" t="n">
        <v>0</v>
      </c>
      <c r="F44" s="24" t="n">
        <v>0.3</v>
      </c>
      <c r="G44" s="24" t="n">
        <v>0.5</v>
      </c>
      <c r="H44" s="24" t="n">
        <v>1</v>
      </c>
      <c r="I44" s="24" t="n">
        <v>1</v>
      </c>
      <c r="J44" s="24" t="n">
        <v>1</v>
      </c>
      <c r="K44" s="24" t="n">
        <v>1</v>
      </c>
      <c r="L44" s="24" t="n">
        <v>1</v>
      </c>
      <c r="M44" s="24" t="n">
        <v>1</v>
      </c>
    </row>
    <row r="45" customFormat="false" ht="15" hidden="false" customHeight="false" outlineLevel="0" collapsed="false">
      <c r="B45" s="2" t="s">
        <v>219</v>
      </c>
      <c r="D45" s="27" t="n">
        <f aca="false">1</f>
        <v>1</v>
      </c>
      <c r="E45" s="27" t="n">
        <f aca="false">D45*(1+N(E40))</f>
        <v>1.01</v>
      </c>
      <c r="F45" s="27" t="n">
        <f aca="false">E45*(1+N(F40))</f>
        <v>1.0201</v>
      </c>
      <c r="G45" s="27" t="n">
        <f aca="false">F45*(1+N(G40))</f>
        <v>1.030301</v>
      </c>
      <c r="H45" s="27" t="n">
        <f aca="false">G45*(1+N(H40))</f>
        <v>1.04060401</v>
      </c>
      <c r="I45" s="27" t="n">
        <f aca="false">H45*(1+N(I40))</f>
        <v>1.0510100501</v>
      </c>
      <c r="J45" s="27" t="n">
        <f aca="false">I45*(1+N(J40))</f>
        <v>1.061520150601</v>
      </c>
      <c r="K45" s="27" t="n">
        <f aca="false">J45*(1+N(K40))</f>
        <v>1.07213535210701</v>
      </c>
      <c r="L45" s="27" t="n">
        <f aca="false">K45*(1+N(L40))</f>
        <v>1.08285670562808</v>
      </c>
      <c r="M45" s="27" t="n">
        <f aca="false">L45*(1+N(M40))</f>
        <v>1.09368527268436</v>
      </c>
    </row>
    <row r="46" customFormat="false" ht="15" hidden="false" customHeight="false" outlineLevel="0" collapsed="false">
      <c r="B46" s="2" t="s">
        <v>220</v>
      </c>
      <c r="D46" s="27" t="n">
        <f aca="false">1</f>
        <v>1</v>
      </c>
      <c r="E46" s="27" t="n">
        <f aca="false">D46*(1+N(E41))</f>
        <v>1.01</v>
      </c>
      <c r="F46" s="27" t="n">
        <f aca="false">E46*(1+N(F41))</f>
        <v>1.0201</v>
      </c>
      <c r="G46" s="27" t="n">
        <f aca="false">F46*(1+N(G41))</f>
        <v>1.030301</v>
      </c>
      <c r="H46" s="27" t="n">
        <f aca="false">G46*(1+N(H41))</f>
        <v>1.04060401</v>
      </c>
      <c r="I46" s="27" t="n">
        <f aca="false">H46*(1+N(I41))</f>
        <v>1.0510100501</v>
      </c>
      <c r="J46" s="27" t="n">
        <f aca="false">I46*(1+N(J41))</f>
        <v>1.061520150601</v>
      </c>
      <c r="K46" s="27" t="n">
        <f aca="false">J46*(1+N(K41))</f>
        <v>1.07213535210701</v>
      </c>
      <c r="L46" s="27" t="n">
        <f aca="false">K46*(1+N(L41))</f>
        <v>1.08285670562808</v>
      </c>
      <c r="M46" s="27" t="n">
        <f aca="false">L46*(1+N(M41))</f>
        <v>1.09368527268436</v>
      </c>
    </row>
    <row r="47" customFormat="false" ht="15" hidden="false" customHeight="false" outlineLevel="0" collapsed="false">
      <c r="B47" s="2" t="s">
        <v>221</v>
      </c>
      <c r="D47" s="27" t="n">
        <f aca="false">1</f>
        <v>1</v>
      </c>
      <c r="E47" s="27" t="n">
        <f aca="false">D47*(1+N(E42))</f>
        <v>1</v>
      </c>
      <c r="F47" s="27" t="n">
        <f aca="false">E47*(1+N(F42))</f>
        <v>1</v>
      </c>
      <c r="G47" s="27" t="n">
        <f aca="false">F47*(1+N(G42))</f>
        <v>1</v>
      </c>
      <c r="H47" s="27" t="n">
        <f aca="false">G47*(1+N(H42))</f>
        <v>1</v>
      </c>
      <c r="I47" s="27" t="n">
        <f aca="false">H47*(1+N(I42))</f>
        <v>1</v>
      </c>
      <c r="J47" s="27" t="n">
        <f aca="false">I47*(1+N(J42))</f>
        <v>1</v>
      </c>
      <c r="K47" s="27" t="n">
        <f aca="false">J47*(1+N(K42))</f>
        <v>1</v>
      </c>
      <c r="L47" s="27" t="n">
        <f aca="false">K47*(1+N(L42))</f>
        <v>1</v>
      </c>
      <c r="M47" s="27" t="n">
        <f aca="false">L47*(1+N(M42))</f>
        <v>1</v>
      </c>
    </row>
    <row r="48" customFormat="false" ht="15" hidden="false" customHeight="false" outlineLevel="0" collapsed="false">
      <c r="B48" s="2" t="s">
        <v>222</v>
      </c>
      <c r="D48" s="27" t="n">
        <f aca="false">1</f>
        <v>1</v>
      </c>
      <c r="E48" s="27" t="n">
        <f aca="false">D48*(1+N(E43))</f>
        <v>1</v>
      </c>
      <c r="F48" s="27" t="n">
        <f aca="false">E48*(1+N(F43))</f>
        <v>1</v>
      </c>
      <c r="G48" s="27" t="n">
        <f aca="false">F48*(1+N(G43))</f>
        <v>1</v>
      </c>
      <c r="H48" s="27" t="n">
        <f aca="false">G48*(1+N(H43))</f>
        <v>1</v>
      </c>
      <c r="I48" s="27" t="n">
        <f aca="false">H48*(1+N(I43))</f>
        <v>1</v>
      </c>
      <c r="J48" s="27" t="n">
        <f aca="false">I48*(1+N(J43))</f>
        <v>1</v>
      </c>
      <c r="K48" s="27" t="n">
        <f aca="false">J48*(1+N(K43))</f>
        <v>1</v>
      </c>
      <c r="L48" s="27" t="n">
        <f aca="false">K48*(1+N(L43))</f>
        <v>1</v>
      </c>
      <c r="M48" s="27" t="n">
        <f aca="false">L48*(1+N(M43))</f>
        <v>1</v>
      </c>
    </row>
    <row r="50" customFormat="false" ht="15" hidden="false" customHeight="false" outlineLevel="0" collapsed="false">
      <c r="B50" s="28" t="s">
        <v>223</v>
      </c>
    </row>
    <row r="51" customFormat="false" ht="15" hidden="false" customHeight="false" outlineLevel="0" collapsed="false">
      <c r="A51" s="6" t="s">
        <v>206</v>
      </c>
      <c r="B51" s="6" t="s">
        <v>207</v>
      </c>
      <c r="C51" s="6" t="s">
        <v>208</v>
      </c>
      <c r="D51" s="23" t="n">
        <f aca="false">D39</f>
        <v>7300</v>
      </c>
      <c r="E51" s="23" t="n">
        <f aca="false">E39</f>
        <v>7300</v>
      </c>
      <c r="F51" s="23" t="n">
        <f aca="false">F39</f>
        <v>7300</v>
      </c>
      <c r="G51" s="23" t="n">
        <f aca="false">G39</f>
        <v>7300</v>
      </c>
      <c r="H51" s="23" t="n">
        <f aca="false">H39</f>
        <v>7300</v>
      </c>
      <c r="I51" s="23" t="n">
        <f aca="false">I39</f>
        <v>7300</v>
      </c>
      <c r="J51" s="23" t="n">
        <f aca="false">J39</f>
        <v>7300</v>
      </c>
      <c r="K51" s="23" t="n">
        <f aca="false">K39</f>
        <v>7300</v>
      </c>
      <c r="L51" s="23" t="n">
        <f aca="false">L39</f>
        <v>7300</v>
      </c>
      <c r="M51" s="23" t="n">
        <f aca="false">M39</f>
        <v>7300</v>
      </c>
    </row>
    <row r="52" customFormat="false" ht="15" hidden="false" customHeight="false" outlineLevel="0" collapsed="false">
      <c r="A52" s="6" t="s">
        <v>209</v>
      </c>
      <c r="B52" s="6" t="s">
        <v>210</v>
      </c>
      <c r="C52" s="6" t="s">
        <v>109</v>
      </c>
      <c r="D52" s="25" t="n">
        <f aca="false">D40</f>
        <v>0</v>
      </c>
      <c r="E52" s="25" t="n">
        <f aca="false">E40</f>
        <v>0.01</v>
      </c>
      <c r="F52" s="25" t="n">
        <f aca="false">F40</f>
        <v>0.01</v>
      </c>
      <c r="G52" s="25" t="n">
        <f aca="false">G40</f>
        <v>0.01</v>
      </c>
      <c r="H52" s="25" t="n">
        <f aca="false">H40</f>
        <v>0.01</v>
      </c>
      <c r="I52" s="25" t="n">
        <f aca="false">I40</f>
        <v>0.01</v>
      </c>
      <c r="J52" s="25" t="n">
        <f aca="false">J40</f>
        <v>0.01</v>
      </c>
      <c r="K52" s="25" t="n">
        <f aca="false">K40</f>
        <v>0.01</v>
      </c>
      <c r="L52" s="25" t="n">
        <f aca="false">L40</f>
        <v>0.01</v>
      </c>
      <c r="M52" s="25" t="n">
        <f aca="false">M40</f>
        <v>0.01</v>
      </c>
    </row>
    <row r="53" customFormat="false" ht="15" hidden="false" customHeight="false" outlineLevel="0" collapsed="false">
      <c r="A53" s="6" t="s">
        <v>211</v>
      </c>
      <c r="B53" s="6" t="s">
        <v>212</v>
      </c>
      <c r="C53" s="6" t="s">
        <v>109</v>
      </c>
      <c r="D53" s="25" t="n">
        <f aca="false">D41</f>
        <v>0</v>
      </c>
      <c r="E53" s="25" t="n">
        <f aca="false">E41</f>
        <v>0.01</v>
      </c>
      <c r="F53" s="25" t="n">
        <f aca="false">F41</f>
        <v>0.01</v>
      </c>
      <c r="G53" s="25" t="n">
        <f aca="false">G41</f>
        <v>0.01</v>
      </c>
      <c r="H53" s="25" t="n">
        <f aca="false">H41</f>
        <v>0.01</v>
      </c>
      <c r="I53" s="25" t="n">
        <f aca="false">I41</f>
        <v>0.01</v>
      </c>
      <c r="J53" s="25" t="n">
        <f aca="false">J41</f>
        <v>0.01</v>
      </c>
      <c r="K53" s="25" t="n">
        <f aca="false">K41</f>
        <v>0.01</v>
      </c>
      <c r="L53" s="25" t="n">
        <f aca="false">L41</f>
        <v>0.01</v>
      </c>
      <c r="M53" s="25" t="n">
        <f aca="false">M41</f>
        <v>0.01</v>
      </c>
    </row>
    <row r="54" customFormat="false" ht="15" hidden="false" customHeight="false" outlineLevel="0" collapsed="false">
      <c r="A54" s="6" t="s">
        <v>213</v>
      </c>
      <c r="B54" s="6" t="s">
        <v>214</v>
      </c>
      <c r="C54" s="6" t="s">
        <v>109</v>
      </c>
      <c r="D54" s="25" t="n">
        <f aca="false">D42</f>
        <v>0</v>
      </c>
      <c r="E54" s="25" t="n">
        <f aca="false">E42</f>
        <v>0</v>
      </c>
      <c r="F54" s="25" t="n">
        <f aca="false">F42</f>
        <v>0</v>
      </c>
      <c r="G54" s="25" t="n">
        <f aca="false">G42</f>
        <v>0</v>
      </c>
      <c r="H54" s="25" t="n">
        <f aca="false">H42</f>
        <v>0</v>
      </c>
      <c r="I54" s="25" t="n">
        <f aca="false">I42</f>
        <v>0</v>
      </c>
      <c r="J54" s="25" t="n">
        <f aca="false">J42</f>
        <v>0</v>
      </c>
      <c r="K54" s="25" t="n">
        <f aca="false">K42</f>
        <v>0</v>
      </c>
      <c r="L54" s="25" t="n">
        <f aca="false">L42</f>
        <v>0</v>
      </c>
      <c r="M54" s="25" t="n">
        <f aca="false">M42</f>
        <v>0</v>
      </c>
    </row>
    <row r="55" customFormat="false" ht="15" hidden="false" customHeight="false" outlineLevel="0" collapsed="false">
      <c r="A55" s="6" t="s">
        <v>215</v>
      </c>
      <c r="B55" s="6" t="s">
        <v>216</v>
      </c>
      <c r="C55" s="6" t="s">
        <v>109</v>
      </c>
      <c r="D55" s="25" t="n">
        <f aca="false">D43</f>
        <v>0</v>
      </c>
      <c r="E55" s="25" t="n">
        <f aca="false">E43</f>
        <v>0</v>
      </c>
      <c r="F55" s="25" t="n">
        <f aca="false">F43</f>
        <v>0</v>
      </c>
      <c r="G55" s="25" t="n">
        <f aca="false">G43</f>
        <v>0</v>
      </c>
      <c r="H55" s="25" t="n">
        <f aca="false">H43</f>
        <v>0</v>
      </c>
      <c r="I55" s="25" t="n">
        <f aca="false">I43</f>
        <v>0</v>
      </c>
      <c r="J55" s="25" t="n">
        <f aca="false">J43</f>
        <v>0</v>
      </c>
      <c r="K55" s="25" t="n">
        <f aca="false">K43</f>
        <v>0</v>
      </c>
      <c r="L55" s="25" t="n">
        <f aca="false">L43</f>
        <v>0</v>
      </c>
      <c r="M55" s="25" t="n">
        <f aca="false">M43</f>
        <v>0</v>
      </c>
    </row>
    <row r="56" customFormat="false" ht="15" hidden="false" customHeight="false" outlineLevel="0" collapsed="false">
      <c r="A56" s="6" t="s">
        <v>217</v>
      </c>
      <c r="B56" s="6" t="s">
        <v>218</v>
      </c>
      <c r="C56" s="6" t="s">
        <v>109</v>
      </c>
      <c r="D56" s="25" t="n">
        <f aca="false">D44</f>
        <v>0</v>
      </c>
      <c r="E56" s="25" t="n">
        <f aca="false">E44</f>
        <v>0</v>
      </c>
      <c r="F56" s="25" t="n">
        <f aca="false">F44</f>
        <v>0.3</v>
      </c>
      <c r="G56" s="25" t="n">
        <f aca="false">G44</f>
        <v>0.5</v>
      </c>
      <c r="H56" s="25" t="n">
        <f aca="false">H44</f>
        <v>1</v>
      </c>
      <c r="I56" s="25" t="n">
        <f aca="false">I44</f>
        <v>1</v>
      </c>
      <c r="J56" s="25" t="n">
        <f aca="false">J44</f>
        <v>1</v>
      </c>
      <c r="K56" s="25" t="n">
        <f aca="false">K44</f>
        <v>1</v>
      </c>
      <c r="L56" s="25" t="n">
        <f aca="false">L44</f>
        <v>1</v>
      </c>
      <c r="M56" s="25" t="n">
        <f aca="false">M44</f>
        <v>1</v>
      </c>
    </row>
    <row r="57" customFormat="false" ht="15" hidden="false" customHeight="false" outlineLevel="0" collapsed="false">
      <c r="B57" s="2" t="s">
        <v>219</v>
      </c>
      <c r="D57" s="27" t="n">
        <f aca="false">1</f>
        <v>1</v>
      </c>
      <c r="E57" s="27" t="n">
        <f aca="false">D57*(1+N(E52))</f>
        <v>1.01</v>
      </c>
      <c r="F57" s="27" t="n">
        <f aca="false">E57*(1+N(F52))</f>
        <v>1.0201</v>
      </c>
      <c r="G57" s="27" t="n">
        <f aca="false">F57*(1+N(G52))</f>
        <v>1.030301</v>
      </c>
      <c r="H57" s="27" t="n">
        <f aca="false">G57*(1+N(H52))</f>
        <v>1.04060401</v>
      </c>
      <c r="I57" s="27" t="n">
        <f aca="false">H57*(1+N(I52))</f>
        <v>1.0510100501</v>
      </c>
      <c r="J57" s="27" t="n">
        <f aca="false">I57*(1+N(J52))</f>
        <v>1.061520150601</v>
      </c>
      <c r="K57" s="27" t="n">
        <f aca="false">J57*(1+N(K52))</f>
        <v>1.07213535210701</v>
      </c>
      <c r="L57" s="27" t="n">
        <f aca="false">K57*(1+N(L52))</f>
        <v>1.08285670562808</v>
      </c>
      <c r="M57" s="27" t="n">
        <f aca="false">L57*(1+N(M52))</f>
        <v>1.09368527268436</v>
      </c>
    </row>
    <row r="58" customFormat="false" ht="15" hidden="false" customHeight="false" outlineLevel="0" collapsed="false">
      <c r="B58" s="2" t="s">
        <v>220</v>
      </c>
      <c r="D58" s="27" t="n">
        <f aca="false">1</f>
        <v>1</v>
      </c>
      <c r="E58" s="27" t="n">
        <f aca="false">D58*(1+N(E53))</f>
        <v>1.01</v>
      </c>
      <c r="F58" s="27" t="n">
        <f aca="false">E58*(1+N(F53))</f>
        <v>1.0201</v>
      </c>
      <c r="G58" s="27" t="n">
        <f aca="false">F58*(1+N(G53))</f>
        <v>1.030301</v>
      </c>
      <c r="H58" s="27" t="n">
        <f aca="false">G58*(1+N(H53))</f>
        <v>1.04060401</v>
      </c>
      <c r="I58" s="27" t="n">
        <f aca="false">H58*(1+N(I53))</f>
        <v>1.0510100501</v>
      </c>
      <c r="J58" s="27" t="n">
        <f aca="false">I58*(1+N(J53))</f>
        <v>1.061520150601</v>
      </c>
      <c r="K58" s="27" t="n">
        <f aca="false">J58*(1+N(K53))</f>
        <v>1.07213535210701</v>
      </c>
      <c r="L58" s="27" t="n">
        <f aca="false">K58*(1+N(L53))</f>
        <v>1.08285670562808</v>
      </c>
      <c r="M58" s="27" t="n">
        <f aca="false">L58*(1+N(M53))</f>
        <v>1.09368527268436</v>
      </c>
    </row>
    <row r="59" customFormat="false" ht="15" hidden="false" customHeight="false" outlineLevel="0" collapsed="false">
      <c r="B59" s="2" t="s">
        <v>221</v>
      </c>
      <c r="D59" s="27" t="n">
        <f aca="false">1</f>
        <v>1</v>
      </c>
      <c r="E59" s="27" t="n">
        <f aca="false">D59*(1+N(E54))</f>
        <v>1</v>
      </c>
      <c r="F59" s="27" t="n">
        <f aca="false">E59*(1+N(F54))</f>
        <v>1</v>
      </c>
      <c r="G59" s="27" t="n">
        <f aca="false">F59*(1+N(G54))</f>
        <v>1</v>
      </c>
      <c r="H59" s="27" t="n">
        <f aca="false">G59*(1+N(H54))</f>
        <v>1</v>
      </c>
      <c r="I59" s="27" t="n">
        <f aca="false">H59*(1+N(I54))</f>
        <v>1</v>
      </c>
      <c r="J59" s="27" t="n">
        <f aca="false">I59*(1+N(J54))</f>
        <v>1</v>
      </c>
      <c r="K59" s="27" t="n">
        <f aca="false">J59*(1+N(K54))</f>
        <v>1</v>
      </c>
      <c r="L59" s="27" t="n">
        <f aca="false">K59*(1+N(L54))</f>
        <v>1</v>
      </c>
      <c r="M59" s="27" t="n">
        <f aca="false">L59*(1+N(M54))</f>
        <v>1</v>
      </c>
    </row>
    <row r="60" customFormat="false" ht="15" hidden="false" customHeight="false" outlineLevel="0" collapsed="false">
      <c r="B60" s="2" t="s">
        <v>222</v>
      </c>
      <c r="D60" s="27" t="n">
        <f aca="false">1</f>
        <v>1</v>
      </c>
      <c r="E60" s="27" t="n">
        <f aca="false">D60*(1+N(E55))</f>
        <v>1</v>
      </c>
      <c r="F60" s="27" t="n">
        <f aca="false">E60*(1+N(F55))</f>
        <v>1</v>
      </c>
      <c r="G60" s="27" t="n">
        <f aca="false">F60*(1+N(G55))</f>
        <v>1</v>
      </c>
      <c r="H60" s="27" t="n">
        <f aca="false">G60*(1+N(H55))</f>
        <v>1</v>
      </c>
      <c r="I60" s="27" t="n">
        <f aca="false">H60*(1+N(I55))</f>
        <v>1</v>
      </c>
      <c r="J60" s="27" t="n">
        <f aca="false">I60*(1+N(J55))</f>
        <v>1</v>
      </c>
      <c r="K60" s="27" t="n">
        <f aca="false">J60*(1+N(K55))</f>
        <v>1</v>
      </c>
      <c r="L60" s="27" t="n">
        <f aca="false">K60*(1+N(L55))</f>
        <v>1</v>
      </c>
      <c r="M60" s="27" t="n">
        <f aca="false">L60*(1+N(M55))</f>
        <v>1</v>
      </c>
    </row>
    <row r="62" customFormat="false" ht="15" hidden="false" customHeight="false" outlineLevel="0" collapsed="false">
      <c r="A62" s="3" t="s">
        <v>224</v>
      </c>
      <c r="B62" s="4"/>
      <c r="C62" s="4"/>
      <c r="D62" s="4"/>
      <c r="E62" s="4"/>
      <c r="F62" s="4"/>
      <c r="G62" s="4"/>
      <c r="H62" s="4"/>
      <c r="I62" s="4"/>
      <c r="J62" s="4"/>
      <c r="K62" s="4"/>
      <c r="L62" s="4"/>
      <c r="M62" s="4"/>
      <c r="N62" s="4"/>
    </row>
    <row r="63" customFormat="false" ht="30" hidden="false" customHeight="true" outlineLevel="0" collapsed="false">
      <c r="A63" s="5" t="s">
        <v>95</v>
      </c>
      <c r="B63" s="5" t="s">
        <v>225</v>
      </c>
      <c r="C63" s="5" t="s">
        <v>97</v>
      </c>
      <c r="D63" s="5" t="s">
        <v>22</v>
      </c>
      <c r="E63" s="5" t="s">
        <v>226</v>
      </c>
      <c r="F63" s="5" t="s">
        <v>227</v>
      </c>
      <c r="G63" s="5" t="s">
        <v>228</v>
      </c>
      <c r="H63" s="17" t="s">
        <v>204</v>
      </c>
      <c r="I63" s="17"/>
      <c r="J63" s="17"/>
      <c r="K63" s="17"/>
      <c r="L63" s="17"/>
      <c r="M63" s="17"/>
      <c r="N63" s="17"/>
    </row>
    <row r="64" customFormat="false" ht="15" hidden="false" customHeight="false" outlineLevel="0" collapsed="false">
      <c r="A64" s="6" t="s">
        <v>229</v>
      </c>
      <c r="B64" s="6" t="s">
        <v>230</v>
      </c>
      <c r="C64" s="6" t="s">
        <v>109</v>
      </c>
      <c r="D64" s="29" t="n">
        <v>0</v>
      </c>
      <c r="E64" s="24" t="n">
        <v>-0.1</v>
      </c>
      <c r="F64" s="24" t="n">
        <v>0.05</v>
      </c>
      <c r="G64" s="30" t="n">
        <f aca="false">IF(INDEX(D64:F64,1,c_EscIdx)="","",INDEX(D64:F64,1,c_EscIdx))</f>
        <v>0</v>
      </c>
    </row>
    <row r="65" customFormat="false" ht="15" hidden="false" customHeight="false" outlineLevel="0" collapsed="false">
      <c r="A65" s="6" t="s">
        <v>231</v>
      </c>
      <c r="B65" s="6" t="s">
        <v>232</v>
      </c>
      <c r="C65" s="6" t="s">
        <v>109</v>
      </c>
      <c r="D65" s="29" t="n">
        <v>0</v>
      </c>
      <c r="E65" s="24" t="n">
        <v>-0.05</v>
      </c>
      <c r="F65" s="24" t="n">
        <v>0.02</v>
      </c>
      <c r="G65" s="30" t="n">
        <f aca="false">IF(INDEX(D65:F65,1,c_EscIdx)="","",INDEX(D65:F65,1,c_EscIdx))</f>
        <v>0</v>
      </c>
    </row>
    <row r="66" customFormat="false" ht="15" hidden="false" customHeight="false" outlineLevel="0" collapsed="false">
      <c r="A66" s="6" t="s">
        <v>233</v>
      </c>
      <c r="B66" s="6" t="s">
        <v>234</v>
      </c>
      <c r="C66" s="6" t="s">
        <v>109</v>
      </c>
      <c r="D66" s="29" t="n">
        <v>0</v>
      </c>
      <c r="E66" s="24" t="n">
        <v>0.1</v>
      </c>
      <c r="F66" s="24" t="n">
        <v>-0.03</v>
      </c>
      <c r="G66" s="30" t="n">
        <f aca="false">IF(INDEX(D66:F66,1,c_EscIdx)="","",INDEX(D66:F66,1,c_EscIdx))</f>
        <v>0</v>
      </c>
    </row>
    <row r="67" customFormat="false" ht="15" hidden="false" customHeight="false" outlineLevel="0" collapsed="false">
      <c r="A67" s="6" t="s">
        <v>235</v>
      </c>
      <c r="B67" s="6" t="s">
        <v>236</v>
      </c>
      <c r="C67" s="6" t="s">
        <v>109</v>
      </c>
      <c r="D67" s="29" t="n">
        <v>0</v>
      </c>
      <c r="E67" s="24" t="n">
        <v>0</v>
      </c>
      <c r="F67" s="24" t="n">
        <v>0</v>
      </c>
      <c r="G67" s="30" t="n">
        <f aca="false">IF(INDEX(D67:F67,1,c_EscIdx)="","",INDEX(D67:F67,1,c_EscIdx))</f>
        <v>0</v>
      </c>
    </row>
    <row r="68" customFormat="false" ht="15" hidden="false" customHeight="false" outlineLevel="0" collapsed="false">
      <c r="A68" s="6" t="s">
        <v>237</v>
      </c>
      <c r="B68" s="6" t="s">
        <v>238</v>
      </c>
      <c r="C68" s="6" t="s">
        <v>172</v>
      </c>
      <c r="D68" s="31" t="n">
        <v>0</v>
      </c>
      <c r="E68" s="9" t="n">
        <v>3</v>
      </c>
      <c r="F68" s="9" t="n">
        <v>0</v>
      </c>
      <c r="G68" s="32" t="n">
        <f aca="false">IF(INDEX(D68:F68,1,c_EscIdx)="","",INDEX(D68:F68,1,c_EscIdx))</f>
        <v>0</v>
      </c>
    </row>
    <row r="69" customFormat="false" ht="15" hidden="false" customHeight="false" outlineLevel="0" collapsed="false">
      <c r="A69" s="6" t="s">
        <v>239</v>
      </c>
      <c r="B69" s="6" t="s">
        <v>240</v>
      </c>
      <c r="C69" s="6" t="s">
        <v>109</v>
      </c>
      <c r="D69" s="29" t="n">
        <v>0</v>
      </c>
      <c r="E69" s="24" t="n">
        <v>0.1</v>
      </c>
      <c r="F69" s="24" t="n">
        <v>0</v>
      </c>
      <c r="G69" s="30" t="n">
        <f aca="false">IF(INDEX(D69:F69,1,c_EscIdx)="","",INDEX(D69:F69,1,c_EscIdx))</f>
        <v>0</v>
      </c>
    </row>
    <row r="70" customFormat="false" ht="15" hidden="false" customHeight="false" outlineLevel="0" collapsed="false">
      <c r="A70" s="6" t="s">
        <v>241</v>
      </c>
      <c r="B70" s="6" t="s">
        <v>242</v>
      </c>
      <c r="C70" s="6" t="s">
        <v>151</v>
      </c>
      <c r="D70" s="31"/>
      <c r="E70" s="9" t="n">
        <v>150</v>
      </c>
      <c r="F70" s="9" t="n">
        <v>90</v>
      </c>
      <c r="G70" s="32" t="str">
        <f aca="false">IF(INDEX(D70:F70,1,c_EscIdx)="","",INDEX(D70:F70,1,c_EscIdx))</f>
        <v/>
      </c>
    </row>
    <row r="71" customFormat="false" ht="15" hidden="false" customHeight="false" outlineLevel="0" collapsed="false">
      <c r="A71" s="6" t="s">
        <v>243</v>
      </c>
      <c r="B71" s="6" t="s">
        <v>244</v>
      </c>
      <c r="C71" s="6" t="s">
        <v>151</v>
      </c>
      <c r="D71" s="31"/>
      <c r="E71" s="9"/>
      <c r="F71" s="9" t="n">
        <v>90</v>
      </c>
      <c r="G71" s="32" t="str">
        <f aca="false">IF(INDEX(D71:F71,1,c_EscIdx)="","",INDEX(D71:F71,1,c_EscIdx))</f>
        <v/>
      </c>
    </row>
    <row r="72" customFormat="false" ht="15" hidden="false" customHeight="false" outlineLevel="0" collapsed="false">
      <c r="B72" s="6" t="s">
        <v>245</v>
      </c>
      <c r="D72" s="19" t="n">
        <f aca="false">IF(n_Escenario="Conservador",2,IF(n_Escenario="Optimista",3,1))</f>
        <v>1</v>
      </c>
      <c r="H72" s="2" t="s">
        <v>246</v>
      </c>
    </row>
    <row r="74" customFormat="false" ht="15" hidden="false" customHeight="false" outlineLevel="0" collapsed="false">
      <c r="A74" s="3" t="s">
        <v>247</v>
      </c>
      <c r="B74" s="4"/>
      <c r="C74" s="4"/>
      <c r="D74" s="4"/>
      <c r="E74" s="4"/>
      <c r="F74" s="4"/>
      <c r="G74" s="4"/>
      <c r="H74" s="4"/>
      <c r="I74" s="4"/>
      <c r="J74" s="4"/>
      <c r="K74" s="4"/>
      <c r="L74" s="4"/>
      <c r="M74" s="4"/>
      <c r="N74" s="4"/>
    </row>
    <row r="75" customFormat="false" ht="15" hidden="false" customHeight="false" outlineLevel="0" collapsed="false">
      <c r="A75" s="5" t="s">
        <v>95</v>
      </c>
      <c r="B75" s="5" t="s">
        <v>193</v>
      </c>
      <c r="C75" s="5" t="s">
        <v>97</v>
      </c>
      <c r="D75" s="5" t="s">
        <v>194</v>
      </c>
      <c r="E75" s="5" t="s">
        <v>195</v>
      </c>
      <c r="F75" s="5" t="s">
        <v>196</v>
      </c>
      <c r="G75" s="5" t="s">
        <v>197</v>
      </c>
      <c r="H75" s="5" t="s">
        <v>198</v>
      </c>
      <c r="I75" s="5" t="s">
        <v>199</v>
      </c>
      <c r="J75" s="5" t="s">
        <v>200</v>
      </c>
      <c r="K75" s="5" t="s">
        <v>201</v>
      </c>
      <c r="L75" s="5" t="s">
        <v>202</v>
      </c>
      <c r="M75" s="5" t="s">
        <v>203</v>
      </c>
      <c r="N75" s="5" t="s">
        <v>204</v>
      </c>
    </row>
    <row r="76" customFormat="false" ht="15" hidden="false" customHeight="false" outlineLevel="0" collapsed="false">
      <c r="A76" s="6" t="s">
        <v>248</v>
      </c>
      <c r="B76" s="6" t="s">
        <v>249</v>
      </c>
      <c r="C76" s="6" t="s">
        <v>250</v>
      </c>
      <c r="D76" s="22" t="n">
        <v>4850000</v>
      </c>
      <c r="E76" s="22" t="n">
        <v>6181200</v>
      </c>
      <c r="F76" s="22" t="n">
        <v>7538539</v>
      </c>
      <c r="G76" s="22" t="n">
        <v>8685437</v>
      </c>
      <c r="H76" s="22" t="n">
        <v>8772292</v>
      </c>
      <c r="I76" s="22" t="n">
        <v>8860015</v>
      </c>
      <c r="J76" s="22" t="n">
        <v>8948615</v>
      </c>
      <c r="K76" s="22" t="n">
        <v>9038101</v>
      </c>
      <c r="L76" s="22" t="n">
        <v>9128482</v>
      </c>
      <c r="M76" s="22" t="n">
        <v>9219767</v>
      </c>
    </row>
    <row r="77" customFormat="false" ht="15" hidden="false" customHeight="false" outlineLevel="0" collapsed="false">
      <c r="A77" s="6" t="s">
        <v>251</v>
      </c>
      <c r="B77" s="6" t="s">
        <v>252</v>
      </c>
      <c r="C77" s="6" t="s">
        <v>250</v>
      </c>
      <c r="D77" s="22" t="n">
        <v>573024</v>
      </c>
      <c r="E77" s="22" t="n">
        <v>1029011</v>
      </c>
      <c r="F77" s="22" t="n">
        <v>1479759</v>
      </c>
      <c r="G77" s="22" t="n">
        <v>1886306</v>
      </c>
      <c r="H77" s="22" t="n">
        <v>1914796</v>
      </c>
      <c r="I77" s="22" t="n">
        <v>1973999</v>
      </c>
      <c r="J77" s="22" t="n">
        <v>2033657</v>
      </c>
      <c r="K77" s="22" t="n">
        <v>2093768</v>
      </c>
      <c r="L77" s="22" t="n">
        <v>2154335</v>
      </c>
      <c r="M77" s="22" t="n">
        <v>2215355</v>
      </c>
    </row>
    <row r="78" customFormat="false" ht="15" hidden="false" customHeight="false" outlineLevel="0" collapsed="false">
      <c r="A78" s="6" t="s">
        <v>253</v>
      </c>
      <c r="B78" s="6" t="s">
        <v>254</v>
      </c>
      <c r="C78" s="6" t="s">
        <v>250</v>
      </c>
      <c r="D78" s="22" t="n">
        <v>301922</v>
      </c>
      <c r="E78" s="22" t="n">
        <v>731144</v>
      </c>
      <c r="F78" s="22" t="n">
        <v>1238751</v>
      </c>
      <c r="G78" s="22" t="n">
        <v>1707489</v>
      </c>
      <c r="H78" s="22" t="n">
        <v>1804006</v>
      </c>
      <c r="I78" s="22" t="n">
        <v>1902407</v>
      </c>
      <c r="J78" s="22" t="n">
        <v>1974240</v>
      </c>
      <c r="K78" s="22" t="n">
        <v>2034352</v>
      </c>
      <c r="L78" s="22" t="n">
        <v>2094918</v>
      </c>
      <c r="M78" s="22" t="n">
        <v>2155939</v>
      </c>
    </row>
    <row r="79" customFormat="false" ht="15" hidden="false" customHeight="false" outlineLevel="0" collapsed="false">
      <c r="A79" s="6" t="s">
        <v>255</v>
      </c>
      <c r="B79" s="6" t="s">
        <v>256</v>
      </c>
      <c r="D79" s="22" t="n">
        <v>4588736</v>
      </c>
    </row>
    <row r="80" customFormat="false" ht="15" hidden="false" customHeight="false" outlineLevel="0" collapsed="false">
      <c r="A80" s="6" t="s">
        <v>257</v>
      </c>
      <c r="B80" s="6" t="s">
        <v>258</v>
      </c>
      <c r="D80" s="20" t="n">
        <v>0.2261</v>
      </c>
    </row>
    <row r="81" customFormat="false" ht="15" hidden="false" customHeight="false" outlineLevel="0" collapsed="false">
      <c r="B81" s="2" t="s">
        <v>259</v>
      </c>
    </row>
    <row r="83" customFormat="false" ht="15" hidden="false" customHeight="false" outlineLevel="0" collapsed="false">
      <c r="A83" s="3" t="s">
        <v>260</v>
      </c>
      <c r="B83" s="4"/>
      <c r="C83" s="4"/>
      <c r="D83" s="4"/>
      <c r="E83" s="4"/>
      <c r="F83" s="4"/>
      <c r="G83" s="4"/>
      <c r="H83" s="4"/>
      <c r="I83" s="4"/>
      <c r="J83" s="4"/>
      <c r="K83" s="4"/>
      <c r="L83" s="4"/>
      <c r="M83" s="4"/>
      <c r="N83" s="4"/>
    </row>
    <row r="84" customFormat="false" ht="15" hidden="false" customHeight="false" outlineLevel="0" collapsed="false">
      <c r="A84" s="5"/>
      <c r="B84" s="5" t="s">
        <v>96</v>
      </c>
      <c r="C84" s="5"/>
      <c r="D84" s="5" t="s">
        <v>261</v>
      </c>
      <c r="E84" s="5" t="s">
        <v>262</v>
      </c>
    </row>
    <row r="85" customFormat="false" ht="15" hidden="false" customHeight="false" outlineLevel="0" collapsed="false">
      <c r="B85" s="2" t="s">
        <v>100</v>
      </c>
      <c r="D85" s="19" t="n">
        <f aca="false">MAX(1,N(o_Inicio))</f>
        <v>1</v>
      </c>
      <c r="E85" s="19" t="n">
        <f aca="false">MAX(1,IF(ISNUMBER(n_InicioReal),n_InicioReal,IF(N(vg_Inicio)&lt;=Corte,N(vg_Inicio),N(vg_Inicio)+ROUND(N(e_Atraso),0))))</f>
        <v>1</v>
      </c>
    </row>
    <row r="86" customFormat="false" ht="15" hidden="false" customHeight="false" outlineLevel="0" collapsed="false">
      <c r="B86" s="2" t="s">
        <v>104</v>
      </c>
      <c r="D86" s="19" t="n">
        <f aca="false">N(o_Anios)</f>
        <v>10</v>
      </c>
      <c r="E86" s="19" t="n">
        <f aca="false">N(vg_Anios)</f>
        <v>10</v>
      </c>
    </row>
    <row r="87" customFormat="false" ht="15" hidden="false" customHeight="false" outlineLevel="0" collapsed="false">
      <c r="B87" s="2" t="s">
        <v>108</v>
      </c>
      <c r="D87" s="33" t="n">
        <f aca="false">N(o_Merma)</f>
        <v>0</v>
      </c>
      <c r="E87" s="33" t="n">
        <f aca="false">N(vg_Merma)</f>
        <v>0</v>
      </c>
    </row>
    <row r="88" customFormat="false" ht="15" hidden="false" customHeight="false" outlineLevel="0" collapsed="false">
      <c r="B88" s="2" t="s">
        <v>112</v>
      </c>
      <c r="D88" s="33" t="n">
        <f aca="false">N(o_Cargas)</f>
        <v>0.4309</v>
      </c>
      <c r="E88" s="33" t="n">
        <f aca="false">N(vg_Cargas)</f>
        <v>0.4309</v>
      </c>
    </row>
    <row r="89" customFormat="false" ht="15" hidden="false" customHeight="false" outlineLevel="0" collapsed="false">
      <c r="B89" s="2" t="s">
        <v>115</v>
      </c>
      <c r="D89" s="34" t="n">
        <f aca="false">N(o_Alim)</f>
        <v>576000</v>
      </c>
      <c r="E89" s="34" t="n">
        <f aca="false">N(vg_Alim)</f>
        <v>576000</v>
      </c>
    </row>
    <row r="90" customFormat="false" ht="15" hidden="false" customHeight="false" outlineLevel="0" collapsed="false">
      <c r="B90" s="2" t="s">
        <v>119</v>
      </c>
      <c r="D90" s="35" t="n">
        <f aca="false">N(o_PreDir)</f>
        <v>0.5</v>
      </c>
      <c r="E90" s="35" t="n">
        <f aca="false">N(vg_PreDir)</f>
        <v>0.5</v>
      </c>
    </row>
    <row r="91" customFormat="false" ht="15" hidden="false" customHeight="false" outlineLevel="0" collapsed="false">
      <c r="B91" s="2" t="s">
        <v>123</v>
      </c>
      <c r="D91" s="35" t="n">
        <f aca="false">N(o_PreInd)</f>
        <v>1</v>
      </c>
      <c r="E91" s="35" t="n">
        <f aca="false">N(vg_PreInd)</f>
        <v>1</v>
      </c>
    </row>
    <row r="92" customFormat="false" ht="15" hidden="false" customHeight="false" outlineLevel="0" collapsed="false">
      <c r="B92" s="2" t="s">
        <v>126</v>
      </c>
      <c r="D92" s="33" t="n">
        <f aca="false">N(o_Desp)</f>
        <v>0.03</v>
      </c>
      <c r="E92" s="33" t="n">
        <f aca="false">N(vg_Desp)</f>
        <v>0.03</v>
      </c>
    </row>
    <row r="93" customFormat="false" ht="15" hidden="false" customHeight="false" outlineLevel="0" collapsed="false">
      <c r="B93" s="2" t="s">
        <v>129</v>
      </c>
      <c r="D93" s="33" t="n">
        <f aca="false">N(o_Pkg)</f>
        <v>0.01</v>
      </c>
      <c r="E93" s="33" t="n">
        <f aca="false">N(vg_Pkg)</f>
        <v>0.01</v>
      </c>
    </row>
    <row r="94" customFormat="false" ht="15" hidden="false" customHeight="false" outlineLevel="0" collapsed="false">
      <c r="B94" s="2" t="s">
        <v>132</v>
      </c>
      <c r="D94" s="33" t="n">
        <f aca="false">N(o_ImpP)</f>
        <v>0.05</v>
      </c>
      <c r="E94" s="33" t="n">
        <f aca="false">N(vg_ImpP)</f>
        <v>0.05</v>
      </c>
    </row>
    <row r="95" customFormat="false" ht="15" hidden="false" customHeight="false" outlineLevel="0" collapsed="false">
      <c r="B95" s="2" t="s">
        <v>135</v>
      </c>
      <c r="D95" s="33" t="n">
        <f aca="false">N(o_ImpA)</f>
        <v>0.05</v>
      </c>
      <c r="E95" s="33" t="n">
        <f aca="false">N(vg_ImpA)</f>
        <v>0.05</v>
      </c>
    </row>
    <row r="96" customFormat="false" ht="15" hidden="false" customHeight="false" outlineLevel="0" collapsed="false">
      <c r="B96" s="2" t="s">
        <v>138</v>
      </c>
      <c r="D96" s="33" t="n">
        <f aca="false">N(o_Trib)</f>
        <v>0.01</v>
      </c>
      <c r="E96" s="33" t="n">
        <f aca="false">N(vg_Trib)</f>
        <v>0.01</v>
      </c>
    </row>
    <row r="97" customFormat="false" ht="15" hidden="false" customHeight="false" outlineLevel="0" collapsed="false">
      <c r="B97" s="2" t="s">
        <v>141</v>
      </c>
      <c r="D97" s="33" t="n">
        <f aca="false">N(o_SegV)</f>
        <v>0.001</v>
      </c>
      <c r="E97" s="33" t="n">
        <f aca="false">N(vg_SegV)</f>
        <v>0.001</v>
      </c>
    </row>
    <row r="98" customFormat="false" ht="15" hidden="false" customHeight="false" outlineLevel="0" collapsed="false">
      <c r="B98" s="2" t="s">
        <v>144</v>
      </c>
      <c r="D98" s="33" t="n">
        <f aca="false">N(o_ComV)</f>
        <v>0</v>
      </c>
      <c r="E98" s="33" t="n">
        <f aca="false">N(vg_ComV)</f>
        <v>0</v>
      </c>
    </row>
    <row r="99" customFormat="false" ht="15" hidden="false" customHeight="false" outlineLevel="0" collapsed="false">
      <c r="B99" s="2" t="s">
        <v>147</v>
      </c>
      <c r="D99" s="33" t="n">
        <f aca="false">N(o_IRE)</f>
        <v>0</v>
      </c>
      <c r="E99" s="33" t="n">
        <f aca="false">N(vg_IRE)</f>
        <v>0</v>
      </c>
    </row>
    <row r="100" customFormat="false" ht="15" hidden="false" customHeight="false" outlineLevel="0" collapsed="false">
      <c r="B100" s="2" t="s">
        <v>150</v>
      </c>
      <c r="D100" s="19" t="n">
        <f aca="false">N(o_DSO)</f>
        <v>120</v>
      </c>
      <c r="E100" s="19" t="n">
        <f aca="false">IF(e_DSOesc="",N(vg_DSO),e_DSOesc)</f>
        <v>120</v>
      </c>
    </row>
    <row r="101" customFormat="false" ht="15" hidden="false" customHeight="false" outlineLevel="0" collapsed="false">
      <c r="B101" s="2" t="s">
        <v>154</v>
      </c>
      <c r="D101" s="19" t="n">
        <f aca="false">N(o_DInv)</f>
        <v>120</v>
      </c>
      <c r="E101" s="19" t="n">
        <f aca="false">IF(e_DInvEsc="",N(vg_DInv),e_DInvEsc)</f>
        <v>120</v>
      </c>
    </row>
    <row r="102" customFormat="false" ht="15" hidden="false" customHeight="false" outlineLevel="0" collapsed="false">
      <c r="B102" s="2" t="s">
        <v>157</v>
      </c>
      <c r="D102" s="19" t="n">
        <f aca="false">N(o_DPT)</f>
        <v>10</v>
      </c>
      <c r="E102" s="19" t="n">
        <f aca="false">N(vg_DPT)</f>
        <v>10</v>
      </c>
    </row>
    <row r="103" customFormat="false" ht="15" hidden="false" customHeight="false" outlineLevel="0" collapsed="false">
      <c r="B103" s="2" t="s">
        <v>159</v>
      </c>
      <c r="D103" s="19" t="n">
        <f aca="false">N(o_DPOmp)</f>
        <v>0</v>
      </c>
      <c r="E103" s="19" t="n">
        <f aca="false">N(vg_DPOmp)</f>
        <v>0</v>
      </c>
    </row>
    <row r="104" customFormat="false" ht="15" hidden="false" customHeight="false" outlineLevel="0" collapsed="false">
      <c r="B104" s="2" t="s">
        <v>162</v>
      </c>
      <c r="D104" s="19" t="n">
        <f aca="false">N(o_DPOot)</f>
        <v>30</v>
      </c>
      <c r="E104" s="19" t="n">
        <f aca="false">N(vg_DPOot)</f>
        <v>30</v>
      </c>
    </row>
    <row r="105" customFormat="false" ht="15" hidden="false" customHeight="false" outlineLevel="0" collapsed="false">
      <c r="B105" s="2" t="s">
        <v>164</v>
      </c>
      <c r="D105" s="19" t="n">
        <f aca="false">N(o_CajaMin)</f>
        <v>3</v>
      </c>
      <c r="E105" s="19" t="n">
        <f aca="false">N(vg_CajaMin)</f>
        <v>3</v>
      </c>
    </row>
    <row r="106" customFormat="false" ht="15" hidden="false" customHeight="false" outlineLevel="0" collapsed="false">
      <c r="B106" s="2" t="s">
        <v>168</v>
      </c>
      <c r="D106" s="35" t="n">
        <f aca="false">N(o_IVArec)</f>
        <v>0</v>
      </c>
      <c r="E106" s="35" t="n">
        <f aca="false">N(vg_IVArec)</f>
        <v>0</v>
      </c>
    </row>
    <row r="107" customFormat="false" ht="15" hidden="false" customHeight="false" outlineLevel="0" collapsed="false">
      <c r="B107" s="2" t="s">
        <v>171</v>
      </c>
      <c r="D107" s="19" t="n">
        <f aca="false">N(o_IVAmeses)</f>
        <v>6</v>
      </c>
      <c r="E107" s="19" t="n">
        <f aca="false">N(vg_IVAmeses)</f>
        <v>6</v>
      </c>
    </row>
    <row r="108" customFormat="false" ht="15" hidden="false" customHeight="false" outlineLevel="0" collapsed="false">
      <c r="B108" s="2" t="s">
        <v>175</v>
      </c>
      <c r="D108" s="35" t="n">
        <f aca="false">N(o_IVAint)</f>
        <v>0.1</v>
      </c>
      <c r="E108" s="35" t="n">
        <f aca="false">N(vg_IVAint)</f>
        <v>0.1</v>
      </c>
    </row>
    <row r="109" customFormat="false" ht="15" hidden="false" customHeight="false" outlineLevel="0" collapsed="false">
      <c r="B109" s="2" t="s">
        <v>178</v>
      </c>
      <c r="D109" s="33" t="n">
        <f aca="false">N(o_WACC)</f>
        <v>0.0948937</v>
      </c>
      <c r="E109" s="33" t="n">
        <f aca="false">N(vg_WACC)</f>
        <v>0.0948937</v>
      </c>
    </row>
    <row r="110" customFormat="false" ht="15" hidden="false" customHeight="false" outlineLevel="0" collapsed="false">
      <c r="B110" s="2" t="s">
        <v>181</v>
      </c>
      <c r="D110" s="33" t="n">
        <f aca="false">N(o_Ke)</f>
        <v>0.1632</v>
      </c>
      <c r="E110" s="33" t="n">
        <f aca="false">N(vg_Ke)</f>
        <v>0.1632</v>
      </c>
    </row>
    <row r="111" customFormat="false" ht="15" hidden="false" customHeight="false" outlineLevel="0" collapsed="false">
      <c r="B111" s="2" t="s">
        <v>184</v>
      </c>
      <c r="D111" s="35" t="n">
        <f aca="false">N(o_RealCT)</f>
        <v>1</v>
      </c>
      <c r="E111" s="35" t="n">
        <f aca="false">N(vg_RealCT)</f>
        <v>1</v>
      </c>
    </row>
    <row r="112" customFormat="false" ht="15" hidden="false" customHeight="false" outlineLevel="0" collapsed="false">
      <c r="B112" s="2" t="s">
        <v>187</v>
      </c>
      <c r="D112" s="35" t="n">
        <f aca="false">N(o_RealAF)</f>
        <v>1</v>
      </c>
      <c r="E112" s="35" t="n">
        <f aca="false">N(vg_RealAF)</f>
        <v>1</v>
      </c>
    </row>
    <row r="113" customFormat="false" ht="15" hidden="false" customHeight="false" outlineLevel="0" collapsed="false">
      <c r="B113" s="2" t="s">
        <v>190</v>
      </c>
      <c r="D113" s="19" t="n">
        <f aca="false">N(o_MesDiv)</f>
        <v>4</v>
      </c>
      <c r="E113" s="19" t="n">
        <f aca="false">N(vg_MesDiv)</f>
        <v>4</v>
      </c>
    </row>
    <row r="114" customFormat="false" ht="15" hidden="false" customHeight="false" outlineLevel="0" collapsed="false">
      <c r="B114" s="2" t="s">
        <v>230</v>
      </c>
      <c r="D114" s="35" t="n">
        <v>0</v>
      </c>
      <c r="E114" s="35" t="n">
        <f aca="false">N(e_dVol)</f>
        <v>0</v>
      </c>
    </row>
    <row r="115" customFormat="false" ht="15" hidden="false" customHeight="false" outlineLevel="0" collapsed="false">
      <c r="B115" s="2" t="s">
        <v>232</v>
      </c>
      <c r="D115" s="35" t="n">
        <v>0</v>
      </c>
      <c r="E115" s="35" t="n">
        <f aca="false">N(e_dPrecio)</f>
        <v>0</v>
      </c>
    </row>
    <row r="116" customFormat="false" ht="15" hidden="false" customHeight="false" outlineLevel="0" collapsed="false">
      <c r="B116" s="2" t="s">
        <v>263</v>
      </c>
      <c r="D116" s="35" t="n">
        <v>0</v>
      </c>
      <c r="E116" s="35" t="n">
        <f aca="false">N(e_dMat)</f>
        <v>0</v>
      </c>
    </row>
    <row r="117" customFormat="false" ht="15" hidden="false" customHeight="false" outlineLevel="0" collapsed="false">
      <c r="B117" s="2" t="s">
        <v>264</v>
      </c>
      <c r="D117" s="35" t="n">
        <v>0</v>
      </c>
      <c r="E117" s="35" t="n">
        <f aca="false">N(e_dTC)</f>
        <v>0</v>
      </c>
    </row>
    <row r="118" customFormat="false" ht="15" hidden="false" customHeight="false" outlineLevel="0" collapsed="false">
      <c r="B118" s="2" t="s">
        <v>265</v>
      </c>
      <c r="D118" s="35" t="n">
        <v>0</v>
      </c>
      <c r="E118" s="35" t="n">
        <f aca="false">N(e_dCapex)</f>
        <v>0</v>
      </c>
    </row>
    <row r="119" customFormat="false" ht="15" hidden="false" customHeight="false" outlineLevel="0" collapsed="false">
      <c r="B119" s="2" t="s">
        <v>266</v>
      </c>
      <c r="D119" s="19" t="n">
        <f aca="false">IF(ISNUMBER(n_Corte),n_Corte,0)</f>
        <v>0</v>
      </c>
    </row>
    <row r="120" customFormat="false" ht="15" hidden="false" customHeight="false" outlineLevel="0" collapsed="false">
      <c r="B120" s="2" t="s">
        <v>267</v>
      </c>
      <c r="D120" s="19" t="n">
        <f aca="false">P_Inicio+12*P_Anios-1</f>
        <v>120</v>
      </c>
    </row>
    <row r="121" customFormat="false" ht="15" hidden="false" customHeight="false" outlineLevel="0" collapsed="false">
      <c r="B121" s="2" t="s">
        <v>268</v>
      </c>
      <c r="D121" s="36" t="n">
        <f aca="false">365/12</f>
        <v>30.4166666666667</v>
      </c>
    </row>
  </sheetData>
  <mergeCells count="2">
    <mergeCell ref="F5:N5"/>
    <mergeCell ref="H63:N63"/>
  </mergeCells>
  <conditionalFormatting sqref="E6:E34">
    <cfRule type="expression" priority="2" aboveAverage="0" equalAverage="0" bottom="0" percent="0" rank="0" text="" dxfId="0">
      <formula>E6&lt;&gt;D6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O11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8"/>
    <col collapsed="false" customWidth="true" hidden="false" outlineLevel="0" max="14" min="4" style="0" width="12.5"/>
    <col collapsed="false" customWidth="true" hidden="false" outlineLevel="0" max="15" min="15" style="0" width="50"/>
  </cols>
  <sheetData>
    <row r="1" customFormat="false" ht="16.15" hidden="false" customHeight="false" outlineLevel="0" collapsed="false">
      <c r="A1" s="1" t="s">
        <v>269</v>
      </c>
    </row>
    <row r="2" customFormat="false" ht="15" hidden="false" customHeight="false" outlineLevel="0" collapsed="false">
      <c r="A2" s="2" t="s">
        <v>270</v>
      </c>
    </row>
    <row r="4" customFormat="false" ht="15" hidden="false" customHeight="false" outlineLevel="0" collapsed="false">
      <c r="A4" s="3" t="s">
        <v>271</v>
      </c>
      <c r="B4" s="4"/>
      <c r="C4" s="4"/>
      <c r="D4" s="4"/>
      <c r="E4" s="4"/>
      <c r="F4" s="4"/>
      <c r="G4" s="4"/>
      <c r="H4" s="4"/>
      <c r="I4" s="4"/>
      <c r="J4" s="4"/>
      <c r="K4" s="4"/>
      <c r="L4" s="4"/>
      <c r="M4" s="4"/>
      <c r="N4" s="4"/>
      <c r="O4" s="4"/>
    </row>
    <row r="5" customFormat="false" ht="54" hidden="false" customHeight="true" outlineLevel="0" collapsed="false">
      <c r="A5" s="5" t="s">
        <v>272</v>
      </c>
      <c r="B5" s="5" t="s">
        <v>273</v>
      </c>
      <c r="C5" s="5" t="s">
        <v>97</v>
      </c>
      <c r="D5" s="5" t="s">
        <v>274</v>
      </c>
      <c r="E5" s="5" t="s">
        <v>275</v>
      </c>
      <c r="F5" s="5" t="s">
        <v>276</v>
      </c>
      <c r="G5" s="5" t="s">
        <v>277</v>
      </c>
      <c r="H5" s="5" t="s">
        <v>278</v>
      </c>
      <c r="I5" s="5" t="s">
        <v>279</v>
      </c>
      <c r="J5" s="5" t="s">
        <v>280</v>
      </c>
      <c r="K5" s="5" t="s">
        <v>281</v>
      </c>
      <c r="L5" s="5" t="s">
        <v>282</v>
      </c>
      <c r="M5" s="5" t="s">
        <v>283</v>
      </c>
      <c r="N5" s="5" t="s">
        <v>284</v>
      </c>
      <c r="O5" s="5" t="s">
        <v>204</v>
      </c>
    </row>
    <row r="6" customFormat="false" ht="15" hidden="false" customHeight="false" outlineLevel="0" collapsed="false">
      <c r="A6" s="6" t="n">
        <v>1</v>
      </c>
      <c r="B6" s="7" t="s">
        <v>285</v>
      </c>
      <c r="C6" s="7" t="s">
        <v>286</v>
      </c>
      <c r="D6" s="22" t="n">
        <v>15000</v>
      </c>
      <c r="E6" s="22" t="n">
        <v>22000</v>
      </c>
      <c r="F6" s="9" t="n">
        <v>3</v>
      </c>
      <c r="G6" s="37" t="n">
        <v>270</v>
      </c>
      <c r="H6" s="38" t="n">
        <f aca="false">G6</f>
        <v>270</v>
      </c>
      <c r="I6" s="37" t="n">
        <v>82.65</v>
      </c>
      <c r="J6" s="38" t="n">
        <f aca="false">I6</f>
        <v>82.65</v>
      </c>
      <c r="K6" s="37" t="n">
        <v>45</v>
      </c>
      <c r="L6" s="38" t="n">
        <f aca="false">K6</f>
        <v>45</v>
      </c>
      <c r="M6" s="37" t="n">
        <v>27.909333</v>
      </c>
      <c r="N6" s="38" t="n">
        <f aca="false">M6</f>
        <v>27.909333</v>
      </c>
      <c r="O6" s="2" t="s">
        <v>287</v>
      </c>
    </row>
    <row r="7" customFormat="false" ht="15" hidden="false" customHeight="false" outlineLevel="0" collapsed="false">
      <c r="A7" s="6" t="n">
        <v>2</v>
      </c>
      <c r="B7" s="7" t="s">
        <v>288</v>
      </c>
      <c r="C7" s="7" t="s">
        <v>286</v>
      </c>
      <c r="D7" s="22" t="n">
        <v>90000</v>
      </c>
      <c r="E7" s="22" t="n">
        <v>121000</v>
      </c>
      <c r="F7" s="9" t="n">
        <v>3</v>
      </c>
      <c r="G7" s="37" t="n">
        <v>23</v>
      </c>
      <c r="H7" s="38" t="n">
        <f aca="false">G7</f>
        <v>23</v>
      </c>
      <c r="I7" s="37" t="n">
        <v>7.41</v>
      </c>
      <c r="J7" s="38" t="n">
        <f aca="false">I7</f>
        <v>7.41</v>
      </c>
      <c r="K7" s="37" t="n">
        <v>4.851</v>
      </c>
      <c r="L7" s="38" t="n">
        <f aca="false">K7</f>
        <v>4.851</v>
      </c>
      <c r="M7" s="37" t="n">
        <v>2.73</v>
      </c>
      <c r="N7" s="38" t="n">
        <f aca="false">M7</f>
        <v>2.73</v>
      </c>
      <c r="O7" s="2" t="s">
        <v>289</v>
      </c>
    </row>
    <row r="8" customFormat="false" ht="15" hidden="false" customHeight="false" outlineLevel="0" collapsed="false">
      <c r="A8" s="6" t="n">
        <v>3</v>
      </c>
      <c r="B8" s="7"/>
      <c r="C8" s="7"/>
      <c r="D8" s="22"/>
      <c r="E8" s="22"/>
      <c r="F8" s="9"/>
      <c r="G8" s="37"/>
      <c r="H8" s="38" t="n">
        <f aca="false">G8</f>
        <v>0</v>
      </c>
      <c r="I8" s="37"/>
      <c r="J8" s="38" t="n">
        <f aca="false">I8</f>
        <v>0</v>
      </c>
      <c r="K8" s="37"/>
      <c r="L8" s="38" t="n">
        <f aca="false">K8</f>
        <v>0</v>
      </c>
      <c r="M8" s="37"/>
      <c r="N8" s="38" t="n">
        <f aca="false">M8</f>
        <v>0</v>
      </c>
      <c r="O8" s="2"/>
    </row>
    <row r="9" customFormat="false" ht="15" hidden="false" customHeight="false" outlineLevel="0" collapsed="false">
      <c r="A9" s="6" t="n">
        <v>4</v>
      </c>
      <c r="B9" s="7"/>
      <c r="C9" s="7"/>
      <c r="D9" s="22"/>
      <c r="E9" s="22"/>
      <c r="F9" s="9"/>
      <c r="G9" s="37"/>
      <c r="H9" s="38" t="n">
        <f aca="false">G9</f>
        <v>0</v>
      </c>
      <c r="I9" s="37"/>
      <c r="J9" s="38" t="n">
        <f aca="false">I9</f>
        <v>0</v>
      </c>
      <c r="K9" s="37"/>
      <c r="L9" s="38" t="n">
        <f aca="false">K9</f>
        <v>0</v>
      </c>
      <c r="M9" s="37"/>
      <c r="N9" s="38" t="n">
        <f aca="false">M9</f>
        <v>0</v>
      </c>
      <c r="O9" s="2"/>
    </row>
    <row r="10" customFormat="false" ht="15" hidden="false" customHeight="false" outlineLevel="0" collapsed="false">
      <c r="A10" s="6" t="n">
        <v>5</v>
      </c>
      <c r="B10" s="7"/>
      <c r="C10" s="7"/>
      <c r="D10" s="22"/>
      <c r="E10" s="22"/>
      <c r="F10" s="9"/>
      <c r="G10" s="37"/>
      <c r="H10" s="38" t="n">
        <f aca="false">G10</f>
        <v>0</v>
      </c>
      <c r="I10" s="37"/>
      <c r="J10" s="38" t="n">
        <f aca="false">I10</f>
        <v>0</v>
      </c>
      <c r="K10" s="37"/>
      <c r="L10" s="38" t="n">
        <f aca="false">K10</f>
        <v>0</v>
      </c>
      <c r="M10" s="37"/>
      <c r="N10" s="38" t="n">
        <f aca="false">M10</f>
        <v>0</v>
      </c>
      <c r="O10" s="2"/>
    </row>
    <row r="11" customFormat="false" ht="15" hidden="false" customHeight="false" outlineLevel="0" collapsed="false">
      <c r="A11" s="6" t="n">
        <v>6</v>
      </c>
      <c r="B11" s="7"/>
      <c r="C11" s="7"/>
      <c r="D11" s="22"/>
      <c r="E11" s="22"/>
      <c r="F11" s="9"/>
      <c r="G11" s="37"/>
      <c r="H11" s="38" t="n">
        <f aca="false">G11</f>
        <v>0</v>
      </c>
      <c r="I11" s="37"/>
      <c r="J11" s="38" t="n">
        <f aca="false">I11</f>
        <v>0</v>
      </c>
      <c r="K11" s="37"/>
      <c r="L11" s="38" t="n">
        <f aca="false">K11</f>
        <v>0</v>
      </c>
      <c r="M11" s="37"/>
      <c r="N11" s="38" t="n">
        <f aca="false">M11</f>
        <v>0</v>
      </c>
      <c r="O11" s="2"/>
    </row>
    <row r="12" customFormat="false" ht="15" hidden="false" customHeight="false" outlineLevel="0" collapsed="false">
      <c r="A12" s="6" t="n">
        <v>7</v>
      </c>
      <c r="B12" s="7"/>
      <c r="C12" s="7"/>
      <c r="D12" s="22"/>
      <c r="E12" s="22"/>
      <c r="F12" s="9"/>
      <c r="G12" s="37"/>
      <c r="H12" s="38" t="n">
        <f aca="false">G12</f>
        <v>0</v>
      </c>
      <c r="I12" s="37"/>
      <c r="J12" s="38" t="n">
        <f aca="false">I12</f>
        <v>0</v>
      </c>
      <c r="K12" s="37"/>
      <c r="L12" s="38" t="n">
        <f aca="false">K12</f>
        <v>0</v>
      </c>
      <c r="M12" s="37"/>
      <c r="N12" s="38" t="n">
        <f aca="false">M12</f>
        <v>0</v>
      </c>
      <c r="O12" s="2"/>
    </row>
    <row r="13" customFormat="false" ht="15" hidden="false" customHeight="false" outlineLevel="0" collapsed="false">
      <c r="A13" s="6" t="n">
        <v>8</v>
      </c>
      <c r="B13" s="7"/>
      <c r="C13" s="7"/>
      <c r="D13" s="22"/>
      <c r="E13" s="22"/>
      <c r="F13" s="9"/>
      <c r="G13" s="37"/>
      <c r="H13" s="38" t="n">
        <f aca="false">G13</f>
        <v>0</v>
      </c>
      <c r="I13" s="37"/>
      <c r="J13" s="38" t="n">
        <f aca="false">I13</f>
        <v>0</v>
      </c>
      <c r="K13" s="37"/>
      <c r="L13" s="38" t="n">
        <f aca="false">K13</f>
        <v>0</v>
      </c>
      <c r="M13" s="37"/>
      <c r="N13" s="38" t="n">
        <f aca="false">M13</f>
        <v>0</v>
      </c>
      <c r="O13" s="2"/>
    </row>
    <row r="14" customFormat="false" ht="15" hidden="false" customHeight="false" outlineLevel="0" collapsed="false">
      <c r="A14" s="6" t="n">
        <v>9</v>
      </c>
      <c r="B14" s="7"/>
      <c r="C14" s="7"/>
      <c r="D14" s="22"/>
      <c r="E14" s="22"/>
      <c r="F14" s="9"/>
      <c r="G14" s="37"/>
      <c r="H14" s="38" t="n">
        <f aca="false">G14</f>
        <v>0</v>
      </c>
      <c r="I14" s="37"/>
      <c r="J14" s="38" t="n">
        <f aca="false">I14</f>
        <v>0</v>
      </c>
      <c r="K14" s="37"/>
      <c r="L14" s="38" t="n">
        <f aca="false">K14</f>
        <v>0</v>
      </c>
      <c r="M14" s="37"/>
      <c r="N14" s="38" t="n">
        <f aca="false">M14</f>
        <v>0</v>
      </c>
      <c r="O14" s="2"/>
    </row>
    <row r="15" customFormat="false" ht="15" hidden="false" customHeight="false" outlineLevel="0" collapsed="false">
      <c r="A15" s="6" t="n">
        <v>10</v>
      </c>
      <c r="B15" s="7"/>
      <c r="C15" s="7"/>
      <c r="D15" s="22"/>
      <c r="E15" s="22"/>
      <c r="F15" s="9"/>
      <c r="G15" s="37"/>
      <c r="H15" s="38" t="n">
        <f aca="false">G15</f>
        <v>0</v>
      </c>
      <c r="I15" s="37"/>
      <c r="J15" s="38" t="n">
        <f aca="false">I15</f>
        <v>0</v>
      </c>
      <c r="K15" s="37"/>
      <c r="L15" s="38" t="n">
        <f aca="false">K15</f>
        <v>0</v>
      </c>
      <c r="M15" s="37"/>
      <c r="N15" s="38" t="n">
        <f aca="false">M15</f>
        <v>0</v>
      </c>
      <c r="O15" s="2"/>
    </row>
    <row r="16" customFormat="false" ht="15" hidden="false" customHeight="false" outlineLevel="0" collapsed="false">
      <c r="A16" s="6" t="n">
        <v>11</v>
      </c>
      <c r="B16" s="7"/>
      <c r="C16" s="7"/>
      <c r="D16" s="22"/>
      <c r="E16" s="22"/>
      <c r="F16" s="9"/>
      <c r="G16" s="37"/>
      <c r="H16" s="38" t="n">
        <f aca="false">G16</f>
        <v>0</v>
      </c>
      <c r="I16" s="37"/>
      <c r="J16" s="38" t="n">
        <f aca="false">I16</f>
        <v>0</v>
      </c>
      <c r="K16" s="37"/>
      <c r="L16" s="38" t="n">
        <f aca="false">K16</f>
        <v>0</v>
      </c>
      <c r="M16" s="37"/>
      <c r="N16" s="38" t="n">
        <f aca="false">M16</f>
        <v>0</v>
      </c>
      <c r="O16" s="2"/>
    </row>
    <row r="17" customFormat="false" ht="15" hidden="false" customHeight="false" outlineLevel="0" collapsed="false">
      <c r="A17" s="6" t="n">
        <v>12</v>
      </c>
      <c r="B17" s="7"/>
      <c r="C17" s="7"/>
      <c r="D17" s="22"/>
      <c r="E17" s="22"/>
      <c r="F17" s="9"/>
      <c r="G17" s="37"/>
      <c r="H17" s="38" t="n">
        <f aca="false">G17</f>
        <v>0</v>
      </c>
      <c r="I17" s="37"/>
      <c r="J17" s="38" t="n">
        <f aca="false">I17</f>
        <v>0</v>
      </c>
      <c r="K17" s="37"/>
      <c r="L17" s="38" t="n">
        <f aca="false">K17</f>
        <v>0</v>
      </c>
      <c r="M17" s="37"/>
      <c r="N17" s="38" t="n">
        <f aca="false">M17</f>
        <v>0</v>
      </c>
      <c r="O17" s="2"/>
    </row>
    <row r="18" customFormat="false" ht="15" hidden="false" customHeight="false" outlineLevel="0" collapsed="false">
      <c r="A18" s="6" t="n">
        <v>13</v>
      </c>
      <c r="B18" s="7"/>
      <c r="C18" s="7"/>
      <c r="D18" s="22"/>
      <c r="E18" s="22"/>
      <c r="F18" s="9"/>
      <c r="G18" s="37"/>
      <c r="H18" s="38" t="n">
        <f aca="false">G18</f>
        <v>0</v>
      </c>
      <c r="I18" s="37"/>
      <c r="J18" s="38" t="n">
        <f aca="false">I18</f>
        <v>0</v>
      </c>
      <c r="K18" s="37"/>
      <c r="L18" s="38" t="n">
        <f aca="false">K18</f>
        <v>0</v>
      </c>
      <c r="M18" s="37"/>
      <c r="N18" s="38" t="n">
        <f aca="false">M18</f>
        <v>0</v>
      </c>
      <c r="O18" s="2"/>
    </row>
    <row r="19" customFormat="false" ht="15" hidden="false" customHeight="false" outlineLevel="0" collapsed="false">
      <c r="A19" s="6" t="n">
        <v>14</v>
      </c>
      <c r="B19" s="7"/>
      <c r="C19" s="7"/>
      <c r="D19" s="22"/>
      <c r="E19" s="22"/>
      <c r="F19" s="9"/>
      <c r="G19" s="37"/>
      <c r="H19" s="38" t="n">
        <f aca="false">G19</f>
        <v>0</v>
      </c>
      <c r="I19" s="37"/>
      <c r="J19" s="38" t="n">
        <f aca="false">I19</f>
        <v>0</v>
      </c>
      <c r="K19" s="37"/>
      <c r="L19" s="38" t="n">
        <f aca="false">K19</f>
        <v>0</v>
      </c>
      <c r="M19" s="37"/>
      <c r="N19" s="38" t="n">
        <f aca="false">M19</f>
        <v>0</v>
      </c>
      <c r="O19" s="2"/>
    </row>
    <row r="20" customFormat="false" ht="15" hidden="false" customHeight="false" outlineLevel="0" collapsed="false">
      <c r="A20" s="6" t="n">
        <v>15</v>
      </c>
      <c r="B20" s="7"/>
      <c r="C20" s="7"/>
      <c r="D20" s="22"/>
      <c r="E20" s="22"/>
      <c r="F20" s="9"/>
      <c r="G20" s="37"/>
      <c r="H20" s="38" t="n">
        <f aca="false">G20</f>
        <v>0</v>
      </c>
      <c r="I20" s="37"/>
      <c r="J20" s="38" t="n">
        <f aca="false">I20</f>
        <v>0</v>
      </c>
      <c r="K20" s="37"/>
      <c r="L20" s="38" t="n">
        <f aca="false">K20</f>
        <v>0</v>
      </c>
      <c r="M20" s="37"/>
      <c r="N20" s="38" t="n">
        <f aca="false">M20</f>
        <v>0</v>
      </c>
      <c r="O20" s="2"/>
    </row>
    <row r="21" customFormat="false" ht="15" hidden="false" customHeight="false" outlineLevel="0" collapsed="false">
      <c r="A21" s="6" t="n">
        <v>16</v>
      </c>
      <c r="B21" s="7"/>
      <c r="C21" s="7"/>
      <c r="D21" s="22"/>
      <c r="E21" s="22"/>
      <c r="F21" s="9"/>
      <c r="G21" s="37"/>
      <c r="H21" s="38" t="n">
        <f aca="false">G21</f>
        <v>0</v>
      </c>
      <c r="I21" s="37"/>
      <c r="J21" s="38" t="n">
        <f aca="false">I21</f>
        <v>0</v>
      </c>
      <c r="K21" s="37"/>
      <c r="L21" s="38" t="n">
        <f aca="false">K21</f>
        <v>0</v>
      </c>
      <c r="M21" s="37"/>
      <c r="N21" s="38" t="n">
        <f aca="false">M21</f>
        <v>0</v>
      </c>
      <c r="O21" s="2"/>
    </row>
    <row r="22" customFormat="false" ht="15" hidden="false" customHeight="false" outlineLevel="0" collapsed="false">
      <c r="A22" s="6" t="n">
        <v>17</v>
      </c>
      <c r="B22" s="7"/>
      <c r="C22" s="7"/>
      <c r="D22" s="22"/>
      <c r="E22" s="22"/>
      <c r="F22" s="9"/>
      <c r="G22" s="37"/>
      <c r="H22" s="38" t="n">
        <f aca="false">G22</f>
        <v>0</v>
      </c>
      <c r="I22" s="37"/>
      <c r="J22" s="38" t="n">
        <f aca="false">I22</f>
        <v>0</v>
      </c>
      <c r="K22" s="37"/>
      <c r="L22" s="38" t="n">
        <f aca="false">K22</f>
        <v>0</v>
      </c>
      <c r="M22" s="37"/>
      <c r="N22" s="38" t="n">
        <f aca="false">M22</f>
        <v>0</v>
      </c>
      <c r="O22" s="2"/>
    </row>
    <row r="23" customFormat="false" ht="15" hidden="false" customHeight="false" outlineLevel="0" collapsed="false">
      <c r="A23" s="6" t="n">
        <v>18</v>
      </c>
      <c r="B23" s="7"/>
      <c r="C23" s="7"/>
      <c r="D23" s="22"/>
      <c r="E23" s="22"/>
      <c r="F23" s="9"/>
      <c r="G23" s="37"/>
      <c r="H23" s="38" t="n">
        <f aca="false">G23</f>
        <v>0</v>
      </c>
      <c r="I23" s="37"/>
      <c r="J23" s="38" t="n">
        <f aca="false">I23</f>
        <v>0</v>
      </c>
      <c r="K23" s="37"/>
      <c r="L23" s="38" t="n">
        <f aca="false">K23</f>
        <v>0</v>
      </c>
      <c r="M23" s="37"/>
      <c r="N23" s="38" t="n">
        <f aca="false">M23</f>
        <v>0</v>
      </c>
      <c r="O23" s="2"/>
    </row>
    <row r="24" customFormat="false" ht="15" hidden="false" customHeight="false" outlineLevel="0" collapsed="false">
      <c r="A24" s="6" t="n">
        <v>19</v>
      </c>
      <c r="B24" s="7"/>
      <c r="C24" s="7"/>
      <c r="D24" s="22"/>
      <c r="E24" s="22"/>
      <c r="F24" s="9"/>
      <c r="G24" s="37"/>
      <c r="H24" s="38" t="n">
        <f aca="false">G24</f>
        <v>0</v>
      </c>
      <c r="I24" s="37"/>
      <c r="J24" s="38" t="n">
        <f aca="false">I24</f>
        <v>0</v>
      </c>
      <c r="K24" s="37"/>
      <c r="L24" s="38" t="n">
        <f aca="false">K24</f>
        <v>0</v>
      </c>
      <c r="M24" s="37"/>
      <c r="N24" s="38" t="n">
        <f aca="false">M24</f>
        <v>0</v>
      </c>
      <c r="O24" s="2"/>
    </row>
    <row r="25" customFormat="false" ht="15" hidden="false" customHeight="false" outlineLevel="0" collapsed="false">
      <c r="A25" s="6" t="n">
        <v>20</v>
      </c>
      <c r="B25" s="7"/>
      <c r="C25" s="7"/>
      <c r="D25" s="22"/>
      <c r="E25" s="22"/>
      <c r="F25" s="9"/>
      <c r="G25" s="37"/>
      <c r="H25" s="38" t="n">
        <f aca="false">G25</f>
        <v>0</v>
      </c>
      <c r="I25" s="37"/>
      <c r="J25" s="38" t="n">
        <f aca="false">I25</f>
        <v>0</v>
      </c>
      <c r="K25" s="37"/>
      <c r="L25" s="38" t="n">
        <f aca="false">K25</f>
        <v>0</v>
      </c>
      <c r="M25" s="37"/>
      <c r="N25" s="38" t="n">
        <f aca="false">M25</f>
        <v>0</v>
      </c>
      <c r="O25" s="2"/>
    </row>
    <row r="26" customFormat="false" ht="15" hidden="false" customHeight="false" outlineLevel="0" collapsed="false">
      <c r="A26" s="6" t="n">
        <v>21</v>
      </c>
      <c r="B26" s="7"/>
      <c r="C26" s="7"/>
      <c r="D26" s="22"/>
      <c r="E26" s="22"/>
      <c r="F26" s="9"/>
      <c r="G26" s="37"/>
      <c r="H26" s="38" t="n">
        <f aca="false">G26</f>
        <v>0</v>
      </c>
      <c r="I26" s="37"/>
      <c r="J26" s="38" t="n">
        <f aca="false">I26</f>
        <v>0</v>
      </c>
      <c r="K26" s="37"/>
      <c r="L26" s="38" t="n">
        <f aca="false">K26</f>
        <v>0</v>
      </c>
      <c r="M26" s="37"/>
      <c r="N26" s="38" t="n">
        <f aca="false">M26</f>
        <v>0</v>
      </c>
      <c r="O26" s="2"/>
    </row>
    <row r="27" customFormat="false" ht="15" hidden="false" customHeight="false" outlineLevel="0" collapsed="false">
      <c r="A27" s="6" t="n">
        <v>22</v>
      </c>
      <c r="B27" s="7"/>
      <c r="C27" s="7"/>
      <c r="D27" s="22"/>
      <c r="E27" s="22"/>
      <c r="F27" s="9"/>
      <c r="G27" s="37"/>
      <c r="H27" s="38" t="n">
        <f aca="false">G27</f>
        <v>0</v>
      </c>
      <c r="I27" s="37"/>
      <c r="J27" s="38" t="n">
        <f aca="false">I27</f>
        <v>0</v>
      </c>
      <c r="K27" s="37"/>
      <c r="L27" s="38" t="n">
        <f aca="false">K27</f>
        <v>0</v>
      </c>
      <c r="M27" s="37"/>
      <c r="N27" s="38" t="n">
        <f aca="false">M27</f>
        <v>0</v>
      </c>
      <c r="O27" s="2"/>
    </row>
    <row r="28" customFormat="false" ht="15" hidden="false" customHeight="false" outlineLevel="0" collapsed="false">
      <c r="A28" s="6" t="n">
        <v>23</v>
      </c>
      <c r="B28" s="7"/>
      <c r="C28" s="7"/>
      <c r="D28" s="22"/>
      <c r="E28" s="22"/>
      <c r="F28" s="9"/>
      <c r="G28" s="37"/>
      <c r="H28" s="38" t="n">
        <f aca="false">G28</f>
        <v>0</v>
      </c>
      <c r="I28" s="37"/>
      <c r="J28" s="38" t="n">
        <f aca="false">I28</f>
        <v>0</v>
      </c>
      <c r="K28" s="37"/>
      <c r="L28" s="38" t="n">
        <f aca="false">K28</f>
        <v>0</v>
      </c>
      <c r="M28" s="37"/>
      <c r="N28" s="38" t="n">
        <f aca="false">M28</f>
        <v>0</v>
      </c>
      <c r="O28" s="2"/>
    </row>
    <row r="29" customFormat="false" ht="15" hidden="false" customHeight="false" outlineLevel="0" collapsed="false">
      <c r="A29" s="6" t="n">
        <v>24</v>
      </c>
      <c r="B29" s="7"/>
      <c r="C29" s="7"/>
      <c r="D29" s="22"/>
      <c r="E29" s="22"/>
      <c r="F29" s="9"/>
      <c r="G29" s="37"/>
      <c r="H29" s="38" t="n">
        <f aca="false">G29</f>
        <v>0</v>
      </c>
      <c r="I29" s="37"/>
      <c r="J29" s="38" t="n">
        <f aca="false">I29</f>
        <v>0</v>
      </c>
      <c r="K29" s="37"/>
      <c r="L29" s="38" t="n">
        <f aca="false">K29</f>
        <v>0</v>
      </c>
      <c r="M29" s="37"/>
      <c r="N29" s="38" t="n">
        <f aca="false">M29</f>
        <v>0</v>
      </c>
      <c r="O29" s="2"/>
    </row>
    <row r="30" customFormat="false" ht="15" hidden="false" customHeight="false" outlineLevel="0" collapsed="false">
      <c r="A30" s="6" t="n">
        <v>25</v>
      </c>
      <c r="B30" s="7"/>
      <c r="C30" s="7"/>
      <c r="D30" s="22"/>
      <c r="E30" s="22"/>
      <c r="F30" s="9"/>
      <c r="G30" s="37"/>
      <c r="H30" s="38" t="n">
        <f aca="false">G30</f>
        <v>0</v>
      </c>
      <c r="I30" s="37"/>
      <c r="J30" s="38" t="n">
        <f aca="false">I30</f>
        <v>0</v>
      </c>
      <c r="K30" s="37"/>
      <c r="L30" s="38" t="n">
        <f aca="false">K30</f>
        <v>0</v>
      </c>
      <c r="M30" s="37"/>
      <c r="N30" s="38" t="n">
        <f aca="false">M30</f>
        <v>0</v>
      </c>
      <c r="O30" s="2"/>
    </row>
    <row r="32" customFormat="false" ht="15" hidden="false" customHeight="false" outlineLevel="0" collapsed="false">
      <c r="A32" s="3" t="s">
        <v>290</v>
      </c>
      <c r="B32" s="4"/>
      <c r="C32" s="4"/>
      <c r="D32" s="4"/>
      <c r="E32" s="4"/>
      <c r="F32" s="4"/>
      <c r="G32" s="4"/>
      <c r="H32" s="4"/>
      <c r="I32" s="4"/>
      <c r="J32" s="4"/>
      <c r="K32" s="4"/>
      <c r="L32" s="4"/>
      <c r="M32" s="4"/>
      <c r="N32" s="4"/>
      <c r="O32" s="4"/>
    </row>
    <row r="33" customFormat="false" ht="15" hidden="false" customHeight="false" outlineLevel="0" collapsed="false">
      <c r="A33" s="5" t="s">
        <v>272</v>
      </c>
      <c r="B33" s="5" t="s">
        <v>273</v>
      </c>
      <c r="C33" s="5" t="s">
        <v>97</v>
      </c>
      <c r="D33" s="5" t="s">
        <v>194</v>
      </c>
      <c r="E33" s="5" t="s">
        <v>195</v>
      </c>
      <c r="F33" s="5" t="s">
        <v>196</v>
      </c>
      <c r="G33" s="5" t="s">
        <v>197</v>
      </c>
      <c r="H33" s="5" t="s">
        <v>198</v>
      </c>
      <c r="I33" s="5" t="s">
        <v>199</v>
      </c>
      <c r="J33" s="5" t="s">
        <v>200</v>
      </c>
      <c r="K33" s="5" t="s">
        <v>201</v>
      </c>
      <c r="L33" s="5" t="s">
        <v>202</v>
      </c>
      <c r="M33" s="5" t="s">
        <v>203</v>
      </c>
      <c r="N33" s="5" t="s">
        <v>291</v>
      </c>
    </row>
    <row r="34" customFormat="false" ht="15" hidden="false" customHeight="false" outlineLevel="0" collapsed="false">
      <c r="A34" s="6" t="n">
        <v>1</v>
      </c>
      <c r="B34" s="39" t="str">
        <f aca="false">IF(B6="","",B6)</f>
        <v>Gabinetes metálicos 153 kg</v>
      </c>
      <c r="C34" s="39" t="str">
        <f aca="false">IF(C6="","",C6)</f>
        <v>u</v>
      </c>
      <c r="D34" s="22" t="n">
        <v>12000</v>
      </c>
      <c r="E34" s="22" t="n">
        <v>15000</v>
      </c>
      <c r="F34" s="22" t="n">
        <v>18000</v>
      </c>
      <c r="G34" s="22" t="n">
        <v>21000</v>
      </c>
      <c r="H34" s="22" t="n">
        <v>21000</v>
      </c>
      <c r="I34" s="22" t="n">
        <v>21000</v>
      </c>
      <c r="J34" s="22" t="n">
        <v>21000</v>
      </c>
      <c r="K34" s="22" t="n">
        <v>21000</v>
      </c>
      <c r="L34" s="22" t="n">
        <v>21000</v>
      </c>
      <c r="M34" s="22" t="n">
        <v>21000</v>
      </c>
      <c r="N34" s="10" t="n">
        <f aca="false">SUM(D34:M34)</f>
        <v>192000</v>
      </c>
    </row>
    <row r="35" customFormat="false" ht="15" hidden="false" customHeight="false" outlineLevel="0" collapsed="false">
      <c r="A35" s="6" t="n">
        <v>2</v>
      </c>
      <c r="B35" s="39" t="str">
        <f aca="false">IF(B7="","",B7)</f>
        <v>Cajas metálicas 13 kg</v>
      </c>
      <c r="C35" s="39" t="str">
        <f aca="false">IF(C7="","",C7)</f>
        <v>u</v>
      </c>
      <c r="D35" s="22" t="n">
        <v>70000</v>
      </c>
      <c r="E35" s="22" t="n">
        <v>90000</v>
      </c>
      <c r="F35" s="22" t="n">
        <v>110000</v>
      </c>
      <c r="G35" s="22" t="n">
        <v>120000</v>
      </c>
      <c r="H35" s="22" t="n">
        <v>120000</v>
      </c>
      <c r="I35" s="22" t="n">
        <v>120000</v>
      </c>
      <c r="J35" s="22" t="n">
        <v>120000</v>
      </c>
      <c r="K35" s="22" t="n">
        <v>120000</v>
      </c>
      <c r="L35" s="22" t="n">
        <v>120000</v>
      </c>
      <c r="M35" s="22" t="n">
        <v>120000</v>
      </c>
      <c r="N35" s="10" t="n">
        <f aca="false">SUM(D35:M35)</f>
        <v>1110000</v>
      </c>
    </row>
    <row r="36" customFormat="false" ht="15" hidden="false" customHeight="false" outlineLevel="0" collapsed="false">
      <c r="A36" s="6" t="n">
        <v>3</v>
      </c>
      <c r="B36" s="39" t="str">
        <f aca="false">IF(B8="","",B8)</f>
        <v/>
      </c>
      <c r="C36" s="39" t="str">
        <f aca="false">IF(C8="","",C8)</f>
        <v/>
      </c>
      <c r="D36" s="22"/>
      <c r="E36" s="22"/>
      <c r="F36" s="22"/>
      <c r="G36" s="22"/>
      <c r="H36" s="22"/>
      <c r="I36" s="22"/>
      <c r="J36" s="22"/>
      <c r="K36" s="22"/>
      <c r="L36" s="22"/>
      <c r="M36" s="22"/>
      <c r="N36" s="10" t="n">
        <f aca="false">SUM(D36:M36)</f>
        <v>0</v>
      </c>
    </row>
    <row r="37" customFormat="false" ht="15" hidden="false" customHeight="false" outlineLevel="0" collapsed="false">
      <c r="A37" s="6" t="n">
        <v>4</v>
      </c>
      <c r="B37" s="39" t="str">
        <f aca="false">IF(B9="","",B9)</f>
        <v/>
      </c>
      <c r="C37" s="39" t="str">
        <f aca="false">IF(C9="","",C9)</f>
        <v/>
      </c>
      <c r="D37" s="22"/>
      <c r="E37" s="22"/>
      <c r="F37" s="22"/>
      <c r="G37" s="22"/>
      <c r="H37" s="22"/>
      <c r="I37" s="22"/>
      <c r="J37" s="22"/>
      <c r="K37" s="22"/>
      <c r="L37" s="22"/>
      <c r="M37" s="22"/>
      <c r="N37" s="10" t="n">
        <f aca="false">SUM(D37:M37)</f>
        <v>0</v>
      </c>
    </row>
    <row r="38" customFormat="false" ht="15" hidden="false" customHeight="false" outlineLevel="0" collapsed="false">
      <c r="A38" s="6" t="n">
        <v>5</v>
      </c>
      <c r="B38" s="39" t="str">
        <f aca="false">IF(B10="","",B10)</f>
        <v/>
      </c>
      <c r="C38" s="39" t="str">
        <f aca="false">IF(C10="","",C10)</f>
        <v/>
      </c>
      <c r="D38" s="22"/>
      <c r="E38" s="22"/>
      <c r="F38" s="22"/>
      <c r="G38" s="22"/>
      <c r="H38" s="22"/>
      <c r="I38" s="22"/>
      <c r="J38" s="22"/>
      <c r="K38" s="22"/>
      <c r="L38" s="22"/>
      <c r="M38" s="22"/>
      <c r="N38" s="10" t="n">
        <f aca="false">SUM(D38:M38)</f>
        <v>0</v>
      </c>
    </row>
    <row r="39" customFormat="false" ht="15" hidden="false" customHeight="false" outlineLevel="0" collapsed="false">
      <c r="A39" s="6" t="n">
        <v>6</v>
      </c>
      <c r="B39" s="39" t="str">
        <f aca="false">IF(B11="","",B11)</f>
        <v/>
      </c>
      <c r="C39" s="39" t="str">
        <f aca="false">IF(C11="","",C11)</f>
        <v/>
      </c>
      <c r="D39" s="22"/>
      <c r="E39" s="22"/>
      <c r="F39" s="22"/>
      <c r="G39" s="22"/>
      <c r="H39" s="22"/>
      <c r="I39" s="22"/>
      <c r="J39" s="22"/>
      <c r="K39" s="22"/>
      <c r="L39" s="22"/>
      <c r="M39" s="22"/>
      <c r="N39" s="10" t="n">
        <f aca="false">SUM(D39:M39)</f>
        <v>0</v>
      </c>
    </row>
    <row r="40" customFormat="false" ht="15" hidden="false" customHeight="false" outlineLevel="0" collapsed="false">
      <c r="A40" s="6" t="n">
        <v>7</v>
      </c>
      <c r="B40" s="39" t="str">
        <f aca="false">IF(B12="","",B12)</f>
        <v/>
      </c>
      <c r="C40" s="39" t="str">
        <f aca="false">IF(C12="","",C12)</f>
        <v/>
      </c>
      <c r="D40" s="22"/>
      <c r="E40" s="22"/>
      <c r="F40" s="22"/>
      <c r="G40" s="22"/>
      <c r="H40" s="22"/>
      <c r="I40" s="22"/>
      <c r="J40" s="22"/>
      <c r="K40" s="22"/>
      <c r="L40" s="22"/>
      <c r="M40" s="22"/>
      <c r="N40" s="10" t="n">
        <f aca="false">SUM(D40:M40)</f>
        <v>0</v>
      </c>
    </row>
    <row r="41" customFormat="false" ht="15" hidden="false" customHeight="false" outlineLevel="0" collapsed="false">
      <c r="A41" s="6" t="n">
        <v>8</v>
      </c>
      <c r="B41" s="39" t="str">
        <f aca="false">IF(B13="","",B13)</f>
        <v/>
      </c>
      <c r="C41" s="39" t="str">
        <f aca="false">IF(C13="","",C13)</f>
        <v/>
      </c>
      <c r="D41" s="22"/>
      <c r="E41" s="22"/>
      <c r="F41" s="22"/>
      <c r="G41" s="22"/>
      <c r="H41" s="22"/>
      <c r="I41" s="22"/>
      <c r="J41" s="22"/>
      <c r="K41" s="22"/>
      <c r="L41" s="22"/>
      <c r="M41" s="22"/>
      <c r="N41" s="10" t="n">
        <f aca="false">SUM(D41:M41)</f>
        <v>0</v>
      </c>
    </row>
    <row r="42" customFormat="false" ht="15" hidden="false" customHeight="false" outlineLevel="0" collapsed="false">
      <c r="A42" s="6" t="n">
        <v>9</v>
      </c>
      <c r="B42" s="39" t="str">
        <f aca="false">IF(B14="","",B14)</f>
        <v/>
      </c>
      <c r="C42" s="39" t="str">
        <f aca="false">IF(C14="","",C14)</f>
        <v/>
      </c>
      <c r="D42" s="22"/>
      <c r="E42" s="22"/>
      <c r="F42" s="22"/>
      <c r="G42" s="22"/>
      <c r="H42" s="22"/>
      <c r="I42" s="22"/>
      <c r="J42" s="22"/>
      <c r="K42" s="22"/>
      <c r="L42" s="22"/>
      <c r="M42" s="22"/>
      <c r="N42" s="10" t="n">
        <f aca="false">SUM(D42:M42)</f>
        <v>0</v>
      </c>
    </row>
    <row r="43" customFormat="false" ht="15" hidden="false" customHeight="false" outlineLevel="0" collapsed="false">
      <c r="A43" s="6" t="n">
        <v>10</v>
      </c>
      <c r="B43" s="39" t="str">
        <f aca="false">IF(B15="","",B15)</f>
        <v/>
      </c>
      <c r="C43" s="39" t="str">
        <f aca="false">IF(C15="","",C15)</f>
        <v/>
      </c>
      <c r="D43" s="22"/>
      <c r="E43" s="22"/>
      <c r="F43" s="22"/>
      <c r="G43" s="22"/>
      <c r="H43" s="22"/>
      <c r="I43" s="22"/>
      <c r="J43" s="22"/>
      <c r="K43" s="22"/>
      <c r="L43" s="22"/>
      <c r="M43" s="22"/>
      <c r="N43" s="10" t="n">
        <f aca="false">SUM(D43:M43)</f>
        <v>0</v>
      </c>
    </row>
    <row r="44" customFormat="false" ht="15" hidden="false" customHeight="false" outlineLevel="0" collapsed="false">
      <c r="A44" s="6" t="n">
        <v>11</v>
      </c>
      <c r="B44" s="39" t="str">
        <f aca="false">IF(B16="","",B16)</f>
        <v/>
      </c>
      <c r="C44" s="39" t="str">
        <f aca="false">IF(C16="","",C16)</f>
        <v/>
      </c>
      <c r="D44" s="22"/>
      <c r="E44" s="22"/>
      <c r="F44" s="22"/>
      <c r="G44" s="22"/>
      <c r="H44" s="22"/>
      <c r="I44" s="22"/>
      <c r="J44" s="22"/>
      <c r="K44" s="22"/>
      <c r="L44" s="22"/>
      <c r="M44" s="22"/>
      <c r="N44" s="10" t="n">
        <f aca="false">SUM(D44:M44)</f>
        <v>0</v>
      </c>
    </row>
    <row r="45" customFormat="false" ht="15" hidden="false" customHeight="false" outlineLevel="0" collapsed="false">
      <c r="A45" s="6" t="n">
        <v>12</v>
      </c>
      <c r="B45" s="39" t="str">
        <f aca="false">IF(B17="","",B17)</f>
        <v/>
      </c>
      <c r="C45" s="39" t="str">
        <f aca="false">IF(C17="","",C17)</f>
        <v/>
      </c>
      <c r="D45" s="22"/>
      <c r="E45" s="22"/>
      <c r="F45" s="22"/>
      <c r="G45" s="22"/>
      <c r="H45" s="22"/>
      <c r="I45" s="22"/>
      <c r="J45" s="22"/>
      <c r="K45" s="22"/>
      <c r="L45" s="22"/>
      <c r="M45" s="22"/>
      <c r="N45" s="10" t="n">
        <f aca="false">SUM(D45:M45)</f>
        <v>0</v>
      </c>
    </row>
    <row r="46" customFormat="false" ht="15" hidden="false" customHeight="false" outlineLevel="0" collapsed="false">
      <c r="A46" s="6" t="n">
        <v>13</v>
      </c>
      <c r="B46" s="39" t="str">
        <f aca="false">IF(B18="","",B18)</f>
        <v/>
      </c>
      <c r="C46" s="39" t="str">
        <f aca="false">IF(C18="","",C18)</f>
        <v/>
      </c>
      <c r="D46" s="22"/>
      <c r="E46" s="22"/>
      <c r="F46" s="22"/>
      <c r="G46" s="22"/>
      <c r="H46" s="22"/>
      <c r="I46" s="22"/>
      <c r="J46" s="22"/>
      <c r="K46" s="22"/>
      <c r="L46" s="22"/>
      <c r="M46" s="22"/>
      <c r="N46" s="10" t="n">
        <f aca="false">SUM(D46:M46)</f>
        <v>0</v>
      </c>
    </row>
    <row r="47" customFormat="false" ht="15" hidden="false" customHeight="false" outlineLevel="0" collapsed="false">
      <c r="A47" s="6" t="n">
        <v>14</v>
      </c>
      <c r="B47" s="39" t="str">
        <f aca="false">IF(B19="","",B19)</f>
        <v/>
      </c>
      <c r="C47" s="39" t="str">
        <f aca="false">IF(C19="","",C19)</f>
        <v/>
      </c>
      <c r="D47" s="22"/>
      <c r="E47" s="22"/>
      <c r="F47" s="22"/>
      <c r="G47" s="22"/>
      <c r="H47" s="22"/>
      <c r="I47" s="22"/>
      <c r="J47" s="22"/>
      <c r="K47" s="22"/>
      <c r="L47" s="22"/>
      <c r="M47" s="22"/>
      <c r="N47" s="10" t="n">
        <f aca="false">SUM(D47:M47)</f>
        <v>0</v>
      </c>
    </row>
    <row r="48" customFormat="false" ht="15" hidden="false" customHeight="false" outlineLevel="0" collapsed="false">
      <c r="A48" s="6" t="n">
        <v>15</v>
      </c>
      <c r="B48" s="39" t="str">
        <f aca="false">IF(B20="","",B20)</f>
        <v/>
      </c>
      <c r="C48" s="39" t="str">
        <f aca="false">IF(C20="","",C20)</f>
        <v/>
      </c>
      <c r="D48" s="22"/>
      <c r="E48" s="22"/>
      <c r="F48" s="22"/>
      <c r="G48" s="22"/>
      <c r="H48" s="22"/>
      <c r="I48" s="22"/>
      <c r="J48" s="22"/>
      <c r="K48" s="22"/>
      <c r="L48" s="22"/>
      <c r="M48" s="22"/>
      <c r="N48" s="10" t="n">
        <f aca="false">SUM(D48:M48)</f>
        <v>0</v>
      </c>
    </row>
    <row r="49" customFormat="false" ht="15" hidden="false" customHeight="false" outlineLevel="0" collapsed="false">
      <c r="A49" s="6" t="n">
        <v>16</v>
      </c>
      <c r="B49" s="39" t="str">
        <f aca="false">IF(B21="","",B21)</f>
        <v/>
      </c>
      <c r="C49" s="39" t="str">
        <f aca="false">IF(C21="","",C21)</f>
        <v/>
      </c>
      <c r="D49" s="22"/>
      <c r="E49" s="22"/>
      <c r="F49" s="22"/>
      <c r="G49" s="22"/>
      <c r="H49" s="22"/>
      <c r="I49" s="22"/>
      <c r="J49" s="22"/>
      <c r="K49" s="22"/>
      <c r="L49" s="22"/>
      <c r="M49" s="22"/>
      <c r="N49" s="10" t="n">
        <f aca="false">SUM(D49:M49)</f>
        <v>0</v>
      </c>
    </row>
    <row r="50" customFormat="false" ht="15" hidden="false" customHeight="false" outlineLevel="0" collapsed="false">
      <c r="A50" s="6" t="n">
        <v>17</v>
      </c>
      <c r="B50" s="39" t="str">
        <f aca="false">IF(B22="","",B22)</f>
        <v/>
      </c>
      <c r="C50" s="39" t="str">
        <f aca="false">IF(C22="","",C22)</f>
        <v/>
      </c>
      <c r="D50" s="22"/>
      <c r="E50" s="22"/>
      <c r="F50" s="22"/>
      <c r="G50" s="22"/>
      <c r="H50" s="22"/>
      <c r="I50" s="22"/>
      <c r="J50" s="22"/>
      <c r="K50" s="22"/>
      <c r="L50" s="22"/>
      <c r="M50" s="22"/>
      <c r="N50" s="10" t="n">
        <f aca="false">SUM(D50:M50)</f>
        <v>0</v>
      </c>
    </row>
    <row r="51" customFormat="false" ht="15" hidden="false" customHeight="false" outlineLevel="0" collapsed="false">
      <c r="A51" s="6" t="n">
        <v>18</v>
      </c>
      <c r="B51" s="39" t="str">
        <f aca="false">IF(B23="","",B23)</f>
        <v/>
      </c>
      <c r="C51" s="39" t="str">
        <f aca="false">IF(C23="","",C23)</f>
        <v/>
      </c>
      <c r="D51" s="22"/>
      <c r="E51" s="22"/>
      <c r="F51" s="22"/>
      <c r="G51" s="22"/>
      <c r="H51" s="22"/>
      <c r="I51" s="22"/>
      <c r="J51" s="22"/>
      <c r="K51" s="22"/>
      <c r="L51" s="22"/>
      <c r="M51" s="22"/>
      <c r="N51" s="10" t="n">
        <f aca="false">SUM(D51:M51)</f>
        <v>0</v>
      </c>
    </row>
    <row r="52" customFormat="false" ht="15" hidden="false" customHeight="false" outlineLevel="0" collapsed="false">
      <c r="A52" s="6" t="n">
        <v>19</v>
      </c>
      <c r="B52" s="39" t="str">
        <f aca="false">IF(B24="","",B24)</f>
        <v/>
      </c>
      <c r="C52" s="39" t="str">
        <f aca="false">IF(C24="","",C24)</f>
        <v/>
      </c>
      <c r="D52" s="22"/>
      <c r="E52" s="22"/>
      <c r="F52" s="22"/>
      <c r="G52" s="22"/>
      <c r="H52" s="22"/>
      <c r="I52" s="22"/>
      <c r="J52" s="22"/>
      <c r="K52" s="22"/>
      <c r="L52" s="22"/>
      <c r="M52" s="22"/>
      <c r="N52" s="10" t="n">
        <f aca="false">SUM(D52:M52)</f>
        <v>0</v>
      </c>
    </row>
    <row r="53" customFormat="false" ht="15" hidden="false" customHeight="false" outlineLevel="0" collapsed="false">
      <c r="A53" s="6" t="n">
        <v>20</v>
      </c>
      <c r="B53" s="39" t="str">
        <f aca="false">IF(B25="","",B25)</f>
        <v/>
      </c>
      <c r="C53" s="39" t="str">
        <f aca="false">IF(C25="","",C25)</f>
        <v/>
      </c>
      <c r="D53" s="22"/>
      <c r="E53" s="22"/>
      <c r="F53" s="22"/>
      <c r="G53" s="22"/>
      <c r="H53" s="22"/>
      <c r="I53" s="22"/>
      <c r="J53" s="22"/>
      <c r="K53" s="22"/>
      <c r="L53" s="22"/>
      <c r="M53" s="22"/>
      <c r="N53" s="10" t="n">
        <f aca="false">SUM(D53:M53)</f>
        <v>0</v>
      </c>
    </row>
    <row r="54" customFormat="false" ht="15" hidden="false" customHeight="false" outlineLevel="0" collapsed="false">
      <c r="A54" s="6" t="n">
        <v>21</v>
      </c>
      <c r="B54" s="39" t="str">
        <f aca="false">IF(B26="","",B26)</f>
        <v/>
      </c>
      <c r="C54" s="39" t="str">
        <f aca="false">IF(C26="","",C26)</f>
        <v/>
      </c>
      <c r="D54" s="22"/>
      <c r="E54" s="22"/>
      <c r="F54" s="22"/>
      <c r="G54" s="22"/>
      <c r="H54" s="22"/>
      <c r="I54" s="22"/>
      <c r="J54" s="22"/>
      <c r="K54" s="22"/>
      <c r="L54" s="22"/>
      <c r="M54" s="22"/>
      <c r="N54" s="10" t="n">
        <f aca="false">SUM(D54:M54)</f>
        <v>0</v>
      </c>
    </row>
    <row r="55" customFormat="false" ht="15" hidden="false" customHeight="false" outlineLevel="0" collapsed="false">
      <c r="A55" s="6" t="n">
        <v>22</v>
      </c>
      <c r="B55" s="39" t="str">
        <f aca="false">IF(B27="","",B27)</f>
        <v/>
      </c>
      <c r="C55" s="39" t="str">
        <f aca="false">IF(C27="","",C27)</f>
        <v/>
      </c>
      <c r="D55" s="22"/>
      <c r="E55" s="22"/>
      <c r="F55" s="22"/>
      <c r="G55" s="22"/>
      <c r="H55" s="22"/>
      <c r="I55" s="22"/>
      <c r="J55" s="22"/>
      <c r="K55" s="22"/>
      <c r="L55" s="22"/>
      <c r="M55" s="22"/>
      <c r="N55" s="10" t="n">
        <f aca="false">SUM(D55:M55)</f>
        <v>0</v>
      </c>
    </row>
    <row r="56" customFormat="false" ht="15" hidden="false" customHeight="false" outlineLevel="0" collapsed="false">
      <c r="A56" s="6" t="n">
        <v>23</v>
      </c>
      <c r="B56" s="39" t="str">
        <f aca="false">IF(B28="","",B28)</f>
        <v/>
      </c>
      <c r="C56" s="39" t="str">
        <f aca="false">IF(C28="","",C28)</f>
        <v/>
      </c>
      <c r="D56" s="22"/>
      <c r="E56" s="22"/>
      <c r="F56" s="22"/>
      <c r="G56" s="22"/>
      <c r="H56" s="22"/>
      <c r="I56" s="22"/>
      <c r="J56" s="22"/>
      <c r="K56" s="22"/>
      <c r="L56" s="22"/>
      <c r="M56" s="22"/>
      <c r="N56" s="10" t="n">
        <f aca="false">SUM(D56:M56)</f>
        <v>0</v>
      </c>
    </row>
    <row r="57" customFormat="false" ht="15" hidden="false" customHeight="false" outlineLevel="0" collapsed="false">
      <c r="A57" s="6" t="n">
        <v>24</v>
      </c>
      <c r="B57" s="39" t="str">
        <f aca="false">IF(B29="","",B29)</f>
        <v/>
      </c>
      <c r="C57" s="39" t="str">
        <f aca="false">IF(C29="","",C29)</f>
        <v/>
      </c>
      <c r="D57" s="22"/>
      <c r="E57" s="22"/>
      <c r="F57" s="22"/>
      <c r="G57" s="22"/>
      <c r="H57" s="22"/>
      <c r="I57" s="22"/>
      <c r="J57" s="22"/>
      <c r="K57" s="22"/>
      <c r="L57" s="22"/>
      <c r="M57" s="22"/>
      <c r="N57" s="10" t="n">
        <f aca="false">SUM(D57:M57)</f>
        <v>0</v>
      </c>
    </row>
    <row r="58" customFormat="false" ht="15" hidden="false" customHeight="false" outlineLevel="0" collapsed="false">
      <c r="A58" s="6" t="n">
        <v>25</v>
      </c>
      <c r="B58" s="39" t="str">
        <f aca="false">IF(B30="","",B30)</f>
        <v/>
      </c>
      <c r="C58" s="39" t="str">
        <f aca="false">IF(C30="","",C30)</f>
        <v/>
      </c>
      <c r="D58" s="22"/>
      <c r="E58" s="22"/>
      <c r="F58" s="22"/>
      <c r="G58" s="22"/>
      <c r="H58" s="22"/>
      <c r="I58" s="22"/>
      <c r="J58" s="22"/>
      <c r="K58" s="22"/>
      <c r="L58" s="22"/>
      <c r="M58" s="22"/>
      <c r="N58" s="10" t="n">
        <f aca="false">SUM(D58:M58)</f>
        <v>0</v>
      </c>
    </row>
    <row r="59" customFormat="false" ht="15" hidden="false" customHeight="false" outlineLevel="0" collapsed="false">
      <c r="B59" s="11" t="s">
        <v>291</v>
      </c>
      <c r="D59" s="40" t="n">
        <f aca="false">SUM(D34:D58)</f>
        <v>82000</v>
      </c>
      <c r="E59" s="40" t="n">
        <f aca="false">SUM(E34:E58)</f>
        <v>105000</v>
      </c>
      <c r="F59" s="40" t="n">
        <f aca="false">SUM(F34:F58)</f>
        <v>128000</v>
      </c>
      <c r="G59" s="40" t="n">
        <f aca="false">SUM(G34:G58)</f>
        <v>141000</v>
      </c>
      <c r="H59" s="40" t="n">
        <f aca="false">SUM(H34:H58)</f>
        <v>141000</v>
      </c>
      <c r="I59" s="40" t="n">
        <f aca="false">SUM(I34:I58)</f>
        <v>141000</v>
      </c>
      <c r="J59" s="40" t="n">
        <f aca="false">SUM(J34:J58)</f>
        <v>141000</v>
      </c>
      <c r="K59" s="40" t="n">
        <f aca="false">SUM(K34:K58)</f>
        <v>141000</v>
      </c>
      <c r="L59" s="40" t="n">
        <f aca="false">SUM(L34:L58)</f>
        <v>141000</v>
      </c>
      <c r="M59" s="40" t="n">
        <f aca="false">SUM(M34:M58)</f>
        <v>141000</v>
      </c>
      <c r="N59" s="40" t="n">
        <f aca="false">SUM(N34:N58)</f>
        <v>1302000</v>
      </c>
    </row>
    <row r="61" customFormat="false" ht="15" hidden="false" customHeight="false" outlineLevel="0" collapsed="false">
      <c r="A61" s="3" t="s">
        <v>292</v>
      </c>
      <c r="B61" s="4"/>
      <c r="C61" s="4"/>
      <c r="D61" s="4"/>
      <c r="E61" s="4"/>
      <c r="F61" s="4"/>
      <c r="G61" s="4"/>
      <c r="H61" s="4"/>
      <c r="I61" s="4"/>
      <c r="J61" s="4"/>
      <c r="K61" s="4"/>
      <c r="L61" s="4"/>
      <c r="M61" s="4"/>
      <c r="N61" s="4"/>
      <c r="O61" s="4"/>
    </row>
    <row r="62" customFormat="false" ht="15" hidden="false" customHeight="false" outlineLevel="0" collapsed="false">
      <c r="A62" s="5" t="s">
        <v>272</v>
      </c>
      <c r="B62" s="5" t="s">
        <v>273</v>
      </c>
      <c r="C62" s="5" t="s">
        <v>97</v>
      </c>
      <c r="D62" s="5" t="s">
        <v>194</v>
      </c>
      <c r="E62" s="5" t="s">
        <v>195</v>
      </c>
      <c r="F62" s="5" t="s">
        <v>196</v>
      </c>
      <c r="G62" s="5" t="s">
        <v>197</v>
      </c>
      <c r="H62" s="5" t="s">
        <v>198</v>
      </c>
      <c r="I62" s="5" t="s">
        <v>199</v>
      </c>
      <c r="J62" s="5" t="s">
        <v>200</v>
      </c>
      <c r="K62" s="5" t="s">
        <v>201</v>
      </c>
      <c r="L62" s="5" t="s">
        <v>202</v>
      </c>
      <c r="M62" s="5" t="s">
        <v>203</v>
      </c>
      <c r="N62" s="5" t="s">
        <v>291</v>
      </c>
    </row>
    <row r="63" customFormat="false" ht="15" hidden="false" customHeight="false" outlineLevel="0" collapsed="false">
      <c r="A63" s="6" t="n">
        <v>1</v>
      </c>
      <c r="B63" s="39" t="str">
        <f aca="false">IF(B6="","",B6)</f>
        <v>Gabinetes metálicos 153 kg</v>
      </c>
      <c r="C63" s="39" t="str">
        <f aca="false">IF(C6="","",C6)</f>
        <v>u</v>
      </c>
      <c r="D63" s="23" t="n">
        <f aca="false">D34</f>
        <v>12000</v>
      </c>
      <c r="E63" s="23" t="n">
        <f aca="false">E34</f>
        <v>15000</v>
      </c>
      <c r="F63" s="23" t="n">
        <f aca="false">F34</f>
        <v>18000</v>
      </c>
      <c r="G63" s="23" t="n">
        <f aca="false">G34</f>
        <v>21000</v>
      </c>
      <c r="H63" s="23" t="n">
        <f aca="false">H34</f>
        <v>21000</v>
      </c>
      <c r="I63" s="23" t="n">
        <f aca="false">I34</f>
        <v>21000</v>
      </c>
      <c r="J63" s="23" t="n">
        <f aca="false">J34</f>
        <v>21000</v>
      </c>
      <c r="K63" s="23" t="n">
        <f aca="false">K34</f>
        <v>21000</v>
      </c>
      <c r="L63" s="23" t="n">
        <f aca="false">L34</f>
        <v>21000</v>
      </c>
      <c r="M63" s="23" t="n">
        <f aca="false">M34</f>
        <v>21000</v>
      </c>
      <c r="N63" s="10" t="n">
        <f aca="false">SUM(D63:M63)</f>
        <v>192000</v>
      </c>
    </row>
    <row r="64" customFormat="false" ht="15" hidden="false" customHeight="false" outlineLevel="0" collapsed="false">
      <c r="A64" s="6" t="n">
        <v>2</v>
      </c>
      <c r="B64" s="39" t="str">
        <f aca="false">IF(B7="","",B7)</f>
        <v>Cajas metálicas 13 kg</v>
      </c>
      <c r="C64" s="39" t="str">
        <f aca="false">IF(C7="","",C7)</f>
        <v>u</v>
      </c>
      <c r="D64" s="23" t="n">
        <f aca="false">D35</f>
        <v>70000</v>
      </c>
      <c r="E64" s="23" t="n">
        <f aca="false">E35</f>
        <v>90000</v>
      </c>
      <c r="F64" s="23" t="n">
        <f aca="false">F35</f>
        <v>110000</v>
      </c>
      <c r="G64" s="23" t="n">
        <f aca="false">G35</f>
        <v>120000</v>
      </c>
      <c r="H64" s="23" t="n">
        <f aca="false">H35</f>
        <v>120000</v>
      </c>
      <c r="I64" s="23" t="n">
        <f aca="false">I35</f>
        <v>120000</v>
      </c>
      <c r="J64" s="23" t="n">
        <f aca="false">J35</f>
        <v>120000</v>
      </c>
      <c r="K64" s="23" t="n">
        <f aca="false">K35</f>
        <v>120000</v>
      </c>
      <c r="L64" s="23" t="n">
        <f aca="false">L35</f>
        <v>120000</v>
      </c>
      <c r="M64" s="23" t="n">
        <f aca="false">M35</f>
        <v>120000</v>
      </c>
      <c r="N64" s="10" t="n">
        <f aca="false">SUM(D64:M64)</f>
        <v>1110000</v>
      </c>
    </row>
    <row r="65" customFormat="false" ht="15" hidden="false" customHeight="false" outlineLevel="0" collapsed="false">
      <c r="A65" s="6" t="n">
        <v>3</v>
      </c>
      <c r="B65" s="39" t="str">
        <f aca="false">IF(B8="","",B8)</f>
        <v/>
      </c>
      <c r="C65" s="39" t="str">
        <f aca="false">IF(C8="","",C8)</f>
        <v/>
      </c>
      <c r="D65" s="23" t="n">
        <f aca="false">D36</f>
        <v>0</v>
      </c>
      <c r="E65" s="23" t="n">
        <f aca="false">E36</f>
        <v>0</v>
      </c>
      <c r="F65" s="23" t="n">
        <f aca="false">F36</f>
        <v>0</v>
      </c>
      <c r="G65" s="23" t="n">
        <f aca="false">G36</f>
        <v>0</v>
      </c>
      <c r="H65" s="23" t="n">
        <f aca="false">H36</f>
        <v>0</v>
      </c>
      <c r="I65" s="23" t="n">
        <f aca="false">I36</f>
        <v>0</v>
      </c>
      <c r="J65" s="23" t="n">
        <f aca="false">J36</f>
        <v>0</v>
      </c>
      <c r="K65" s="23" t="n">
        <f aca="false">K36</f>
        <v>0</v>
      </c>
      <c r="L65" s="23" t="n">
        <f aca="false">L36</f>
        <v>0</v>
      </c>
      <c r="M65" s="23" t="n">
        <f aca="false">M36</f>
        <v>0</v>
      </c>
      <c r="N65" s="10" t="n">
        <f aca="false">SUM(D65:M65)</f>
        <v>0</v>
      </c>
    </row>
    <row r="66" customFormat="false" ht="15" hidden="false" customHeight="false" outlineLevel="0" collapsed="false">
      <c r="A66" s="6" t="n">
        <v>4</v>
      </c>
      <c r="B66" s="39" t="str">
        <f aca="false">IF(B9="","",B9)</f>
        <v/>
      </c>
      <c r="C66" s="39" t="str">
        <f aca="false">IF(C9="","",C9)</f>
        <v/>
      </c>
      <c r="D66" s="23" t="n">
        <f aca="false">D37</f>
        <v>0</v>
      </c>
      <c r="E66" s="23" t="n">
        <f aca="false">E37</f>
        <v>0</v>
      </c>
      <c r="F66" s="23" t="n">
        <f aca="false">F37</f>
        <v>0</v>
      </c>
      <c r="G66" s="23" t="n">
        <f aca="false">G37</f>
        <v>0</v>
      </c>
      <c r="H66" s="23" t="n">
        <f aca="false">H37</f>
        <v>0</v>
      </c>
      <c r="I66" s="23" t="n">
        <f aca="false">I37</f>
        <v>0</v>
      </c>
      <c r="J66" s="23" t="n">
        <f aca="false">J37</f>
        <v>0</v>
      </c>
      <c r="K66" s="23" t="n">
        <f aca="false">K37</f>
        <v>0</v>
      </c>
      <c r="L66" s="23" t="n">
        <f aca="false">L37</f>
        <v>0</v>
      </c>
      <c r="M66" s="23" t="n">
        <f aca="false">M37</f>
        <v>0</v>
      </c>
      <c r="N66" s="10" t="n">
        <f aca="false">SUM(D66:M66)</f>
        <v>0</v>
      </c>
    </row>
    <row r="67" customFormat="false" ht="15" hidden="false" customHeight="false" outlineLevel="0" collapsed="false">
      <c r="A67" s="6" t="n">
        <v>5</v>
      </c>
      <c r="B67" s="39" t="str">
        <f aca="false">IF(B10="","",B10)</f>
        <v/>
      </c>
      <c r="C67" s="39" t="str">
        <f aca="false">IF(C10="","",C10)</f>
        <v/>
      </c>
      <c r="D67" s="23" t="n">
        <f aca="false">D38</f>
        <v>0</v>
      </c>
      <c r="E67" s="23" t="n">
        <f aca="false">E38</f>
        <v>0</v>
      </c>
      <c r="F67" s="23" t="n">
        <f aca="false">F38</f>
        <v>0</v>
      </c>
      <c r="G67" s="23" t="n">
        <f aca="false">G38</f>
        <v>0</v>
      </c>
      <c r="H67" s="23" t="n">
        <f aca="false">H38</f>
        <v>0</v>
      </c>
      <c r="I67" s="23" t="n">
        <f aca="false">I38</f>
        <v>0</v>
      </c>
      <c r="J67" s="23" t="n">
        <f aca="false">J38</f>
        <v>0</v>
      </c>
      <c r="K67" s="23" t="n">
        <f aca="false">K38</f>
        <v>0</v>
      </c>
      <c r="L67" s="23" t="n">
        <f aca="false">L38</f>
        <v>0</v>
      </c>
      <c r="M67" s="23" t="n">
        <f aca="false">M38</f>
        <v>0</v>
      </c>
      <c r="N67" s="10" t="n">
        <f aca="false">SUM(D67:M67)</f>
        <v>0</v>
      </c>
    </row>
    <row r="68" customFormat="false" ht="15" hidden="false" customHeight="false" outlineLevel="0" collapsed="false">
      <c r="A68" s="6" t="n">
        <v>6</v>
      </c>
      <c r="B68" s="39" t="str">
        <f aca="false">IF(B11="","",B11)</f>
        <v/>
      </c>
      <c r="C68" s="39" t="str">
        <f aca="false">IF(C11="","",C11)</f>
        <v/>
      </c>
      <c r="D68" s="23" t="n">
        <f aca="false">D39</f>
        <v>0</v>
      </c>
      <c r="E68" s="23" t="n">
        <f aca="false">E39</f>
        <v>0</v>
      </c>
      <c r="F68" s="23" t="n">
        <f aca="false">F39</f>
        <v>0</v>
      </c>
      <c r="G68" s="23" t="n">
        <f aca="false">G39</f>
        <v>0</v>
      </c>
      <c r="H68" s="23" t="n">
        <f aca="false">H39</f>
        <v>0</v>
      </c>
      <c r="I68" s="23" t="n">
        <f aca="false">I39</f>
        <v>0</v>
      </c>
      <c r="J68" s="23" t="n">
        <f aca="false">J39</f>
        <v>0</v>
      </c>
      <c r="K68" s="23" t="n">
        <f aca="false">K39</f>
        <v>0</v>
      </c>
      <c r="L68" s="23" t="n">
        <f aca="false">L39</f>
        <v>0</v>
      </c>
      <c r="M68" s="23" t="n">
        <f aca="false">M39</f>
        <v>0</v>
      </c>
      <c r="N68" s="10" t="n">
        <f aca="false">SUM(D68:M68)</f>
        <v>0</v>
      </c>
    </row>
    <row r="69" customFormat="false" ht="15" hidden="false" customHeight="false" outlineLevel="0" collapsed="false">
      <c r="A69" s="6" t="n">
        <v>7</v>
      </c>
      <c r="B69" s="39" t="str">
        <f aca="false">IF(B12="","",B12)</f>
        <v/>
      </c>
      <c r="C69" s="39" t="str">
        <f aca="false">IF(C12="","",C12)</f>
        <v/>
      </c>
      <c r="D69" s="23" t="n">
        <f aca="false">D40</f>
        <v>0</v>
      </c>
      <c r="E69" s="23" t="n">
        <f aca="false">E40</f>
        <v>0</v>
      </c>
      <c r="F69" s="23" t="n">
        <f aca="false">F40</f>
        <v>0</v>
      </c>
      <c r="G69" s="23" t="n">
        <f aca="false">G40</f>
        <v>0</v>
      </c>
      <c r="H69" s="23" t="n">
        <f aca="false">H40</f>
        <v>0</v>
      </c>
      <c r="I69" s="23" t="n">
        <f aca="false">I40</f>
        <v>0</v>
      </c>
      <c r="J69" s="23" t="n">
        <f aca="false">J40</f>
        <v>0</v>
      </c>
      <c r="K69" s="23" t="n">
        <f aca="false">K40</f>
        <v>0</v>
      </c>
      <c r="L69" s="23" t="n">
        <f aca="false">L40</f>
        <v>0</v>
      </c>
      <c r="M69" s="23" t="n">
        <f aca="false">M40</f>
        <v>0</v>
      </c>
      <c r="N69" s="10" t="n">
        <f aca="false">SUM(D69:M69)</f>
        <v>0</v>
      </c>
    </row>
    <row r="70" customFormat="false" ht="15" hidden="false" customHeight="false" outlineLevel="0" collapsed="false">
      <c r="A70" s="6" t="n">
        <v>8</v>
      </c>
      <c r="B70" s="39" t="str">
        <f aca="false">IF(B13="","",B13)</f>
        <v/>
      </c>
      <c r="C70" s="39" t="str">
        <f aca="false">IF(C13="","",C13)</f>
        <v/>
      </c>
      <c r="D70" s="23" t="n">
        <f aca="false">D41</f>
        <v>0</v>
      </c>
      <c r="E70" s="23" t="n">
        <f aca="false">E41</f>
        <v>0</v>
      </c>
      <c r="F70" s="23" t="n">
        <f aca="false">F41</f>
        <v>0</v>
      </c>
      <c r="G70" s="23" t="n">
        <f aca="false">G41</f>
        <v>0</v>
      </c>
      <c r="H70" s="23" t="n">
        <f aca="false">H41</f>
        <v>0</v>
      </c>
      <c r="I70" s="23" t="n">
        <f aca="false">I41</f>
        <v>0</v>
      </c>
      <c r="J70" s="23" t="n">
        <f aca="false">J41</f>
        <v>0</v>
      </c>
      <c r="K70" s="23" t="n">
        <f aca="false">K41</f>
        <v>0</v>
      </c>
      <c r="L70" s="23" t="n">
        <f aca="false">L41</f>
        <v>0</v>
      </c>
      <c r="M70" s="23" t="n">
        <f aca="false">M41</f>
        <v>0</v>
      </c>
      <c r="N70" s="10" t="n">
        <f aca="false">SUM(D70:M70)</f>
        <v>0</v>
      </c>
    </row>
    <row r="71" customFormat="false" ht="15" hidden="false" customHeight="false" outlineLevel="0" collapsed="false">
      <c r="A71" s="6" t="n">
        <v>9</v>
      </c>
      <c r="B71" s="39" t="str">
        <f aca="false">IF(B14="","",B14)</f>
        <v/>
      </c>
      <c r="C71" s="39" t="str">
        <f aca="false">IF(C14="","",C14)</f>
        <v/>
      </c>
      <c r="D71" s="23" t="n">
        <f aca="false">D42</f>
        <v>0</v>
      </c>
      <c r="E71" s="23" t="n">
        <f aca="false">E42</f>
        <v>0</v>
      </c>
      <c r="F71" s="23" t="n">
        <f aca="false">F42</f>
        <v>0</v>
      </c>
      <c r="G71" s="23" t="n">
        <f aca="false">G42</f>
        <v>0</v>
      </c>
      <c r="H71" s="23" t="n">
        <f aca="false">H42</f>
        <v>0</v>
      </c>
      <c r="I71" s="23" t="n">
        <f aca="false">I42</f>
        <v>0</v>
      </c>
      <c r="J71" s="23" t="n">
        <f aca="false">J42</f>
        <v>0</v>
      </c>
      <c r="K71" s="23" t="n">
        <f aca="false">K42</f>
        <v>0</v>
      </c>
      <c r="L71" s="23" t="n">
        <f aca="false">L42</f>
        <v>0</v>
      </c>
      <c r="M71" s="23" t="n">
        <f aca="false">M42</f>
        <v>0</v>
      </c>
      <c r="N71" s="10" t="n">
        <f aca="false">SUM(D71:M71)</f>
        <v>0</v>
      </c>
    </row>
    <row r="72" customFormat="false" ht="15" hidden="false" customHeight="false" outlineLevel="0" collapsed="false">
      <c r="A72" s="6" t="n">
        <v>10</v>
      </c>
      <c r="B72" s="39" t="str">
        <f aca="false">IF(B15="","",B15)</f>
        <v/>
      </c>
      <c r="C72" s="39" t="str">
        <f aca="false">IF(C15="","",C15)</f>
        <v/>
      </c>
      <c r="D72" s="23" t="n">
        <f aca="false">D43</f>
        <v>0</v>
      </c>
      <c r="E72" s="23" t="n">
        <f aca="false">E43</f>
        <v>0</v>
      </c>
      <c r="F72" s="23" t="n">
        <f aca="false">F43</f>
        <v>0</v>
      </c>
      <c r="G72" s="23" t="n">
        <f aca="false">G43</f>
        <v>0</v>
      </c>
      <c r="H72" s="23" t="n">
        <f aca="false">H43</f>
        <v>0</v>
      </c>
      <c r="I72" s="23" t="n">
        <f aca="false">I43</f>
        <v>0</v>
      </c>
      <c r="J72" s="23" t="n">
        <f aca="false">J43</f>
        <v>0</v>
      </c>
      <c r="K72" s="23" t="n">
        <f aca="false">K43</f>
        <v>0</v>
      </c>
      <c r="L72" s="23" t="n">
        <f aca="false">L43</f>
        <v>0</v>
      </c>
      <c r="M72" s="23" t="n">
        <f aca="false">M43</f>
        <v>0</v>
      </c>
      <c r="N72" s="10" t="n">
        <f aca="false">SUM(D72:M72)</f>
        <v>0</v>
      </c>
    </row>
    <row r="73" customFormat="false" ht="15" hidden="false" customHeight="false" outlineLevel="0" collapsed="false">
      <c r="A73" s="6" t="n">
        <v>11</v>
      </c>
      <c r="B73" s="39" t="str">
        <f aca="false">IF(B16="","",B16)</f>
        <v/>
      </c>
      <c r="C73" s="39" t="str">
        <f aca="false">IF(C16="","",C16)</f>
        <v/>
      </c>
      <c r="D73" s="23" t="n">
        <f aca="false">D44</f>
        <v>0</v>
      </c>
      <c r="E73" s="23" t="n">
        <f aca="false">E44</f>
        <v>0</v>
      </c>
      <c r="F73" s="23" t="n">
        <f aca="false">F44</f>
        <v>0</v>
      </c>
      <c r="G73" s="23" t="n">
        <f aca="false">G44</f>
        <v>0</v>
      </c>
      <c r="H73" s="23" t="n">
        <f aca="false">H44</f>
        <v>0</v>
      </c>
      <c r="I73" s="23" t="n">
        <f aca="false">I44</f>
        <v>0</v>
      </c>
      <c r="J73" s="23" t="n">
        <f aca="false">J44</f>
        <v>0</v>
      </c>
      <c r="K73" s="23" t="n">
        <f aca="false">K44</f>
        <v>0</v>
      </c>
      <c r="L73" s="23" t="n">
        <f aca="false">L44</f>
        <v>0</v>
      </c>
      <c r="M73" s="23" t="n">
        <f aca="false">M44</f>
        <v>0</v>
      </c>
      <c r="N73" s="10" t="n">
        <f aca="false">SUM(D73:M73)</f>
        <v>0</v>
      </c>
    </row>
    <row r="74" customFormat="false" ht="15" hidden="false" customHeight="false" outlineLevel="0" collapsed="false">
      <c r="A74" s="6" t="n">
        <v>12</v>
      </c>
      <c r="B74" s="39" t="str">
        <f aca="false">IF(B17="","",B17)</f>
        <v/>
      </c>
      <c r="C74" s="39" t="str">
        <f aca="false">IF(C17="","",C17)</f>
        <v/>
      </c>
      <c r="D74" s="23" t="n">
        <f aca="false">D45</f>
        <v>0</v>
      </c>
      <c r="E74" s="23" t="n">
        <f aca="false">E45</f>
        <v>0</v>
      </c>
      <c r="F74" s="23" t="n">
        <f aca="false">F45</f>
        <v>0</v>
      </c>
      <c r="G74" s="23" t="n">
        <f aca="false">G45</f>
        <v>0</v>
      </c>
      <c r="H74" s="23" t="n">
        <f aca="false">H45</f>
        <v>0</v>
      </c>
      <c r="I74" s="23" t="n">
        <f aca="false">I45</f>
        <v>0</v>
      </c>
      <c r="J74" s="23" t="n">
        <f aca="false">J45</f>
        <v>0</v>
      </c>
      <c r="K74" s="23" t="n">
        <f aca="false">K45</f>
        <v>0</v>
      </c>
      <c r="L74" s="23" t="n">
        <f aca="false">L45</f>
        <v>0</v>
      </c>
      <c r="M74" s="23" t="n">
        <f aca="false">M45</f>
        <v>0</v>
      </c>
      <c r="N74" s="10" t="n">
        <f aca="false">SUM(D74:M74)</f>
        <v>0</v>
      </c>
    </row>
    <row r="75" customFormat="false" ht="15" hidden="false" customHeight="false" outlineLevel="0" collapsed="false">
      <c r="A75" s="6" t="n">
        <v>13</v>
      </c>
      <c r="B75" s="39" t="str">
        <f aca="false">IF(B18="","",B18)</f>
        <v/>
      </c>
      <c r="C75" s="39" t="str">
        <f aca="false">IF(C18="","",C18)</f>
        <v/>
      </c>
      <c r="D75" s="23" t="n">
        <f aca="false">D46</f>
        <v>0</v>
      </c>
      <c r="E75" s="23" t="n">
        <f aca="false">E46</f>
        <v>0</v>
      </c>
      <c r="F75" s="23" t="n">
        <f aca="false">F46</f>
        <v>0</v>
      </c>
      <c r="G75" s="23" t="n">
        <f aca="false">G46</f>
        <v>0</v>
      </c>
      <c r="H75" s="23" t="n">
        <f aca="false">H46</f>
        <v>0</v>
      </c>
      <c r="I75" s="23" t="n">
        <f aca="false">I46</f>
        <v>0</v>
      </c>
      <c r="J75" s="23" t="n">
        <f aca="false">J46</f>
        <v>0</v>
      </c>
      <c r="K75" s="23" t="n">
        <f aca="false">K46</f>
        <v>0</v>
      </c>
      <c r="L75" s="23" t="n">
        <f aca="false">L46</f>
        <v>0</v>
      </c>
      <c r="M75" s="23" t="n">
        <f aca="false">M46</f>
        <v>0</v>
      </c>
      <c r="N75" s="10" t="n">
        <f aca="false">SUM(D75:M75)</f>
        <v>0</v>
      </c>
    </row>
    <row r="76" customFormat="false" ht="15" hidden="false" customHeight="false" outlineLevel="0" collapsed="false">
      <c r="A76" s="6" t="n">
        <v>14</v>
      </c>
      <c r="B76" s="39" t="str">
        <f aca="false">IF(B19="","",B19)</f>
        <v/>
      </c>
      <c r="C76" s="39" t="str">
        <f aca="false">IF(C19="","",C19)</f>
        <v/>
      </c>
      <c r="D76" s="23" t="n">
        <f aca="false">D47</f>
        <v>0</v>
      </c>
      <c r="E76" s="23" t="n">
        <f aca="false">E47</f>
        <v>0</v>
      </c>
      <c r="F76" s="23" t="n">
        <f aca="false">F47</f>
        <v>0</v>
      </c>
      <c r="G76" s="23" t="n">
        <f aca="false">G47</f>
        <v>0</v>
      </c>
      <c r="H76" s="23" t="n">
        <f aca="false">H47</f>
        <v>0</v>
      </c>
      <c r="I76" s="23" t="n">
        <f aca="false">I47</f>
        <v>0</v>
      </c>
      <c r="J76" s="23" t="n">
        <f aca="false">J47</f>
        <v>0</v>
      </c>
      <c r="K76" s="23" t="n">
        <f aca="false">K47</f>
        <v>0</v>
      </c>
      <c r="L76" s="23" t="n">
        <f aca="false">L47</f>
        <v>0</v>
      </c>
      <c r="M76" s="23" t="n">
        <f aca="false">M47</f>
        <v>0</v>
      </c>
      <c r="N76" s="10" t="n">
        <f aca="false">SUM(D76:M76)</f>
        <v>0</v>
      </c>
    </row>
    <row r="77" customFormat="false" ht="15" hidden="false" customHeight="false" outlineLevel="0" collapsed="false">
      <c r="A77" s="6" t="n">
        <v>15</v>
      </c>
      <c r="B77" s="39" t="str">
        <f aca="false">IF(B20="","",B20)</f>
        <v/>
      </c>
      <c r="C77" s="39" t="str">
        <f aca="false">IF(C20="","",C20)</f>
        <v/>
      </c>
      <c r="D77" s="23" t="n">
        <f aca="false">D48</f>
        <v>0</v>
      </c>
      <c r="E77" s="23" t="n">
        <f aca="false">E48</f>
        <v>0</v>
      </c>
      <c r="F77" s="23" t="n">
        <f aca="false">F48</f>
        <v>0</v>
      </c>
      <c r="G77" s="23" t="n">
        <f aca="false">G48</f>
        <v>0</v>
      </c>
      <c r="H77" s="23" t="n">
        <f aca="false">H48</f>
        <v>0</v>
      </c>
      <c r="I77" s="23" t="n">
        <f aca="false">I48</f>
        <v>0</v>
      </c>
      <c r="J77" s="23" t="n">
        <f aca="false">J48</f>
        <v>0</v>
      </c>
      <c r="K77" s="23" t="n">
        <f aca="false">K48</f>
        <v>0</v>
      </c>
      <c r="L77" s="23" t="n">
        <f aca="false">L48</f>
        <v>0</v>
      </c>
      <c r="M77" s="23" t="n">
        <f aca="false">M48</f>
        <v>0</v>
      </c>
      <c r="N77" s="10" t="n">
        <f aca="false">SUM(D77:M77)</f>
        <v>0</v>
      </c>
    </row>
    <row r="78" customFormat="false" ht="15" hidden="false" customHeight="false" outlineLevel="0" collapsed="false">
      <c r="A78" s="6" t="n">
        <v>16</v>
      </c>
      <c r="B78" s="39" t="str">
        <f aca="false">IF(B21="","",B21)</f>
        <v/>
      </c>
      <c r="C78" s="39" t="str">
        <f aca="false">IF(C21="","",C21)</f>
        <v/>
      </c>
      <c r="D78" s="23" t="n">
        <f aca="false">D49</f>
        <v>0</v>
      </c>
      <c r="E78" s="23" t="n">
        <f aca="false">E49</f>
        <v>0</v>
      </c>
      <c r="F78" s="23" t="n">
        <f aca="false">F49</f>
        <v>0</v>
      </c>
      <c r="G78" s="23" t="n">
        <f aca="false">G49</f>
        <v>0</v>
      </c>
      <c r="H78" s="23" t="n">
        <f aca="false">H49</f>
        <v>0</v>
      </c>
      <c r="I78" s="23" t="n">
        <f aca="false">I49</f>
        <v>0</v>
      </c>
      <c r="J78" s="23" t="n">
        <f aca="false">J49</f>
        <v>0</v>
      </c>
      <c r="K78" s="23" t="n">
        <f aca="false">K49</f>
        <v>0</v>
      </c>
      <c r="L78" s="23" t="n">
        <f aca="false">L49</f>
        <v>0</v>
      </c>
      <c r="M78" s="23" t="n">
        <f aca="false">M49</f>
        <v>0</v>
      </c>
      <c r="N78" s="10" t="n">
        <f aca="false">SUM(D78:M78)</f>
        <v>0</v>
      </c>
    </row>
    <row r="79" customFormat="false" ht="15" hidden="false" customHeight="false" outlineLevel="0" collapsed="false">
      <c r="A79" s="6" t="n">
        <v>17</v>
      </c>
      <c r="B79" s="39" t="str">
        <f aca="false">IF(B22="","",B22)</f>
        <v/>
      </c>
      <c r="C79" s="39" t="str">
        <f aca="false">IF(C22="","",C22)</f>
        <v/>
      </c>
      <c r="D79" s="23" t="n">
        <f aca="false">D50</f>
        <v>0</v>
      </c>
      <c r="E79" s="23" t="n">
        <f aca="false">E50</f>
        <v>0</v>
      </c>
      <c r="F79" s="23" t="n">
        <f aca="false">F50</f>
        <v>0</v>
      </c>
      <c r="G79" s="23" t="n">
        <f aca="false">G50</f>
        <v>0</v>
      </c>
      <c r="H79" s="23" t="n">
        <f aca="false">H50</f>
        <v>0</v>
      </c>
      <c r="I79" s="23" t="n">
        <f aca="false">I50</f>
        <v>0</v>
      </c>
      <c r="J79" s="23" t="n">
        <f aca="false">J50</f>
        <v>0</v>
      </c>
      <c r="K79" s="23" t="n">
        <f aca="false">K50</f>
        <v>0</v>
      </c>
      <c r="L79" s="23" t="n">
        <f aca="false">L50</f>
        <v>0</v>
      </c>
      <c r="M79" s="23" t="n">
        <f aca="false">M50</f>
        <v>0</v>
      </c>
      <c r="N79" s="10" t="n">
        <f aca="false">SUM(D79:M79)</f>
        <v>0</v>
      </c>
    </row>
    <row r="80" customFormat="false" ht="15" hidden="false" customHeight="false" outlineLevel="0" collapsed="false">
      <c r="A80" s="6" t="n">
        <v>18</v>
      </c>
      <c r="B80" s="39" t="str">
        <f aca="false">IF(B23="","",B23)</f>
        <v/>
      </c>
      <c r="C80" s="39" t="str">
        <f aca="false">IF(C23="","",C23)</f>
        <v/>
      </c>
      <c r="D80" s="23" t="n">
        <f aca="false">D51</f>
        <v>0</v>
      </c>
      <c r="E80" s="23" t="n">
        <f aca="false">E51</f>
        <v>0</v>
      </c>
      <c r="F80" s="23" t="n">
        <f aca="false">F51</f>
        <v>0</v>
      </c>
      <c r="G80" s="23" t="n">
        <f aca="false">G51</f>
        <v>0</v>
      </c>
      <c r="H80" s="23" t="n">
        <f aca="false">H51</f>
        <v>0</v>
      </c>
      <c r="I80" s="23" t="n">
        <f aca="false">I51</f>
        <v>0</v>
      </c>
      <c r="J80" s="23" t="n">
        <f aca="false">J51</f>
        <v>0</v>
      </c>
      <c r="K80" s="23" t="n">
        <f aca="false">K51</f>
        <v>0</v>
      </c>
      <c r="L80" s="23" t="n">
        <f aca="false">L51</f>
        <v>0</v>
      </c>
      <c r="M80" s="23" t="n">
        <f aca="false">M51</f>
        <v>0</v>
      </c>
      <c r="N80" s="10" t="n">
        <f aca="false">SUM(D80:M80)</f>
        <v>0</v>
      </c>
    </row>
    <row r="81" customFormat="false" ht="15" hidden="false" customHeight="false" outlineLevel="0" collapsed="false">
      <c r="A81" s="6" t="n">
        <v>19</v>
      </c>
      <c r="B81" s="39" t="str">
        <f aca="false">IF(B24="","",B24)</f>
        <v/>
      </c>
      <c r="C81" s="39" t="str">
        <f aca="false">IF(C24="","",C24)</f>
        <v/>
      </c>
      <c r="D81" s="23" t="n">
        <f aca="false">D52</f>
        <v>0</v>
      </c>
      <c r="E81" s="23" t="n">
        <f aca="false">E52</f>
        <v>0</v>
      </c>
      <c r="F81" s="23" t="n">
        <f aca="false">F52</f>
        <v>0</v>
      </c>
      <c r="G81" s="23" t="n">
        <f aca="false">G52</f>
        <v>0</v>
      </c>
      <c r="H81" s="23" t="n">
        <f aca="false">H52</f>
        <v>0</v>
      </c>
      <c r="I81" s="23" t="n">
        <f aca="false">I52</f>
        <v>0</v>
      </c>
      <c r="J81" s="23" t="n">
        <f aca="false">J52</f>
        <v>0</v>
      </c>
      <c r="K81" s="23" t="n">
        <f aca="false">K52</f>
        <v>0</v>
      </c>
      <c r="L81" s="23" t="n">
        <f aca="false">L52</f>
        <v>0</v>
      </c>
      <c r="M81" s="23" t="n">
        <f aca="false">M52</f>
        <v>0</v>
      </c>
      <c r="N81" s="10" t="n">
        <f aca="false">SUM(D81:M81)</f>
        <v>0</v>
      </c>
    </row>
    <row r="82" customFormat="false" ht="15" hidden="false" customHeight="false" outlineLevel="0" collapsed="false">
      <c r="A82" s="6" t="n">
        <v>20</v>
      </c>
      <c r="B82" s="39" t="str">
        <f aca="false">IF(B25="","",B25)</f>
        <v/>
      </c>
      <c r="C82" s="39" t="str">
        <f aca="false">IF(C25="","",C25)</f>
        <v/>
      </c>
      <c r="D82" s="23" t="n">
        <f aca="false">D53</f>
        <v>0</v>
      </c>
      <c r="E82" s="23" t="n">
        <f aca="false">E53</f>
        <v>0</v>
      </c>
      <c r="F82" s="23" t="n">
        <f aca="false">F53</f>
        <v>0</v>
      </c>
      <c r="G82" s="23" t="n">
        <f aca="false">G53</f>
        <v>0</v>
      </c>
      <c r="H82" s="23" t="n">
        <f aca="false">H53</f>
        <v>0</v>
      </c>
      <c r="I82" s="23" t="n">
        <f aca="false">I53</f>
        <v>0</v>
      </c>
      <c r="J82" s="23" t="n">
        <f aca="false">J53</f>
        <v>0</v>
      </c>
      <c r="K82" s="23" t="n">
        <f aca="false">K53</f>
        <v>0</v>
      </c>
      <c r="L82" s="23" t="n">
        <f aca="false">L53</f>
        <v>0</v>
      </c>
      <c r="M82" s="23" t="n">
        <f aca="false">M53</f>
        <v>0</v>
      </c>
      <c r="N82" s="10" t="n">
        <f aca="false">SUM(D82:M82)</f>
        <v>0</v>
      </c>
    </row>
    <row r="83" customFormat="false" ht="15" hidden="false" customHeight="false" outlineLevel="0" collapsed="false">
      <c r="A83" s="6" t="n">
        <v>21</v>
      </c>
      <c r="B83" s="39" t="str">
        <f aca="false">IF(B26="","",B26)</f>
        <v/>
      </c>
      <c r="C83" s="39" t="str">
        <f aca="false">IF(C26="","",C26)</f>
        <v/>
      </c>
      <c r="D83" s="23" t="n">
        <f aca="false">D54</f>
        <v>0</v>
      </c>
      <c r="E83" s="23" t="n">
        <f aca="false">E54</f>
        <v>0</v>
      </c>
      <c r="F83" s="23" t="n">
        <f aca="false">F54</f>
        <v>0</v>
      </c>
      <c r="G83" s="23" t="n">
        <f aca="false">G54</f>
        <v>0</v>
      </c>
      <c r="H83" s="23" t="n">
        <f aca="false">H54</f>
        <v>0</v>
      </c>
      <c r="I83" s="23" t="n">
        <f aca="false">I54</f>
        <v>0</v>
      </c>
      <c r="J83" s="23" t="n">
        <f aca="false">J54</f>
        <v>0</v>
      </c>
      <c r="K83" s="23" t="n">
        <f aca="false">K54</f>
        <v>0</v>
      </c>
      <c r="L83" s="23" t="n">
        <f aca="false">L54</f>
        <v>0</v>
      </c>
      <c r="M83" s="23" t="n">
        <f aca="false">M54</f>
        <v>0</v>
      </c>
      <c r="N83" s="10" t="n">
        <f aca="false">SUM(D83:M83)</f>
        <v>0</v>
      </c>
    </row>
    <row r="84" customFormat="false" ht="15" hidden="false" customHeight="false" outlineLevel="0" collapsed="false">
      <c r="A84" s="6" t="n">
        <v>22</v>
      </c>
      <c r="B84" s="39" t="str">
        <f aca="false">IF(B27="","",B27)</f>
        <v/>
      </c>
      <c r="C84" s="39" t="str">
        <f aca="false">IF(C27="","",C27)</f>
        <v/>
      </c>
      <c r="D84" s="23" t="n">
        <f aca="false">D55</f>
        <v>0</v>
      </c>
      <c r="E84" s="23" t="n">
        <f aca="false">E55</f>
        <v>0</v>
      </c>
      <c r="F84" s="23" t="n">
        <f aca="false">F55</f>
        <v>0</v>
      </c>
      <c r="G84" s="23" t="n">
        <f aca="false">G55</f>
        <v>0</v>
      </c>
      <c r="H84" s="23" t="n">
        <f aca="false">H55</f>
        <v>0</v>
      </c>
      <c r="I84" s="23" t="n">
        <f aca="false">I55</f>
        <v>0</v>
      </c>
      <c r="J84" s="23" t="n">
        <f aca="false">J55</f>
        <v>0</v>
      </c>
      <c r="K84" s="23" t="n">
        <f aca="false">K55</f>
        <v>0</v>
      </c>
      <c r="L84" s="23" t="n">
        <f aca="false">L55</f>
        <v>0</v>
      </c>
      <c r="M84" s="23" t="n">
        <f aca="false">M55</f>
        <v>0</v>
      </c>
      <c r="N84" s="10" t="n">
        <f aca="false">SUM(D84:M84)</f>
        <v>0</v>
      </c>
    </row>
    <row r="85" customFormat="false" ht="15" hidden="false" customHeight="false" outlineLevel="0" collapsed="false">
      <c r="A85" s="6" t="n">
        <v>23</v>
      </c>
      <c r="B85" s="39" t="str">
        <f aca="false">IF(B28="","",B28)</f>
        <v/>
      </c>
      <c r="C85" s="39" t="str">
        <f aca="false">IF(C28="","",C28)</f>
        <v/>
      </c>
      <c r="D85" s="23" t="n">
        <f aca="false">D56</f>
        <v>0</v>
      </c>
      <c r="E85" s="23" t="n">
        <f aca="false">E56</f>
        <v>0</v>
      </c>
      <c r="F85" s="23" t="n">
        <f aca="false">F56</f>
        <v>0</v>
      </c>
      <c r="G85" s="23" t="n">
        <f aca="false">G56</f>
        <v>0</v>
      </c>
      <c r="H85" s="23" t="n">
        <f aca="false">H56</f>
        <v>0</v>
      </c>
      <c r="I85" s="23" t="n">
        <f aca="false">I56</f>
        <v>0</v>
      </c>
      <c r="J85" s="23" t="n">
        <f aca="false">J56</f>
        <v>0</v>
      </c>
      <c r="K85" s="23" t="n">
        <f aca="false">K56</f>
        <v>0</v>
      </c>
      <c r="L85" s="23" t="n">
        <f aca="false">L56</f>
        <v>0</v>
      </c>
      <c r="M85" s="23" t="n">
        <f aca="false">M56</f>
        <v>0</v>
      </c>
      <c r="N85" s="10" t="n">
        <f aca="false">SUM(D85:M85)</f>
        <v>0</v>
      </c>
    </row>
    <row r="86" customFormat="false" ht="15" hidden="false" customHeight="false" outlineLevel="0" collapsed="false">
      <c r="A86" s="6" t="n">
        <v>24</v>
      </c>
      <c r="B86" s="39" t="str">
        <f aca="false">IF(B29="","",B29)</f>
        <v/>
      </c>
      <c r="C86" s="39" t="str">
        <f aca="false">IF(C29="","",C29)</f>
        <v/>
      </c>
      <c r="D86" s="23" t="n">
        <f aca="false">D57</f>
        <v>0</v>
      </c>
      <c r="E86" s="23" t="n">
        <f aca="false">E57</f>
        <v>0</v>
      </c>
      <c r="F86" s="23" t="n">
        <f aca="false">F57</f>
        <v>0</v>
      </c>
      <c r="G86" s="23" t="n">
        <f aca="false">G57</f>
        <v>0</v>
      </c>
      <c r="H86" s="23" t="n">
        <f aca="false">H57</f>
        <v>0</v>
      </c>
      <c r="I86" s="23" t="n">
        <f aca="false">I57</f>
        <v>0</v>
      </c>
      <c r="J86" s="23" t="n">
        <f aca="false">J57</f>
        <v>0</v>
      </c>
      <c r="K86" s="23" t="n">
        <f aca="false">K57</f>
        <v>0</v>
      </c>
      <c r="L86" s="23" t="n">
        <f aca="false">L57</f>
        <v>0</v>
      </c>
      <c r="M86" s="23" t="n">
        <f aca="false">M57</f>
        <v>0</v>
      </c>
      <c r="N86" s="10" t="n">
        <f aca="false">SUM(D86:M86)</f>
        <v>0</v>
      </c>
    </row>
    <row r="87" customFormat="false" ht="15" hidden="false" customHeight="false" outlineLevel="0" collapsed="false">
      <c r="A87" s="6" t="n">
        <v>25</v>
      </c>
      <c r="B87" s="39" t="str">
        <f aca="false">IF(B30="","",B30)</f>
        <v/>
      </c>
      <c r="C87" s="39" t="str">
        <f aca="false">IF(C30="","",C30)</f>
        <v/>
      </c>
      <c r="D87" s="23" t="n">
        <f aca="false">D58</f>
        <v>0</v>
      </c>
      <c r="E87" s="23" t="n">
        <f aca="false">E58</f>
        <v>0</v>
      </c>
      <c r="F87" s="23" t="n">
        <f aca="false">F58</f>
        <v>0</v>
      </c>
      <c r="G87" s="23" t="n">
        <f aca="false">G58</f>
        <v>0</v>
      </c>
      <c r="H87" s="23" t="n">
        <f aca="false">H58</f>
        <v>0</v>
      </c>
      <c r="I87" s="23" t="n">
        <f aca="false">I58</f>
        <v>0</v>
      </c>
      <c r="J87" s="23" t="n">
        <f aca="false">J58</f>
        <v>0</v>
      </c>
      <c r="K87" s="23" t="n">
        <f aca="false">K58</f>
        <v>0</v>
      </c>
      <c r="L87" s="23" t="n">
        <f aca="false">L58</f>
        <v>0</v>
      </c>
      <c r="M87" s="23" t="n">
        <f aca="false">M58</f>
        <v>0</v>
      </c>
      <c r="N87" s="10" t="n">
        <f aca="false">SUM(D87:M87)</f>
        <v>0</v>
      </c>
    </row>
    <row r="88" customFormat="false" ht="15" hidden="false" customHeight="false" outlineLevel="0" collapsed="false">
      <c r="B88" s="11" t="s">
        <v>291</v>
      </c>
      <c r="D88" s="40" t="n">
        <f aca="false">SUM(D63:D87)</f>
        <v>82000</v>
      </c>
      <c r="E88" s="40" t="n">
        <f aca="false">SUM(E63:E87)</f>
        <v>105000</v>
      </c>
      <c r="F88" s="40" t="n">
        <f aca="false">SUM(F63:F87)</f>
        <v>128000</v>
      </c>
      <c r="G88" s="40" t="n">
        <f aca="false">SUM(G63:G87)</f>
        <v>141000</v>
      </c>
      <c r="H88" s="40" t="n">
        <f aca="false">SUM(H63:H87)</f>
        <v>141000</v>
      </c>
      <c r="I88" s="40" t="n">
        <f aca="false">SUM(I63:I87)</f>
        <v>141000</v>
      </c>
      <c r="J88" s="40" t="n">
        <f aca="false">SUM(J63:J87)</f>
        <v>141000</v>
      </c>
      <c r="K88" s="40" t="n">
        <f aca="false">SUM(K63:K87)</f>
        <v>141000</v>
      </c>
      <c r="L88" s="40" t="n">
        <f aca="false">SUM(L63:L87)</f>
        <v>141000</v>
      </c>
      <c r="M88" s="40" t="n">
        <f aca="false">SUM(M63:M87)</f>
        <v>141000</v>
      </c>
      <c r="N88" s="40" t="n">
        <f aca="false">SUM(N63:N87)</f>
        <v>1302000</v>
      </c>
    </row>
    <row r="90" customFormat="false" ht="15" hidden="false" customHeight="false" outlineLevel="0" collapsed="false">
      <c r="A90" s="3" t="s">
        <v>293</v>
      </c>
      <c r="B90" s="4"/>
      <c r="C90" s="4"/>
      <c r="D90" s="4"/>
      <c r="E90" s="4"/>
      <c r="F90" s="4"/>
      <c r="G90" s="4"/>
      <c r="H90" s="4"/>
      <c r="I90" s="4"/>
      <c r="J90" s="4"/>
      <c r="K90" s="4"/>
      <c r="L90" s="4"/>
      <c r="M90" s="4"/>
      <c r="N90" s="4"/>
      <c r="O90" s="4"/>
    </row>
    <row r="91" customFormat="false" ht="15" hidden="false" customHeight="false" outlineLevel="0" collapsed="false">
      <c r="A91" s="5" t="s">
        <v>272</v>
      </c>
      <c r="B91" s="5" t="s">
        <v>273</v>
      </c>
      <c r="C91" s="5"/>
      <c r="D91" s="5" t="s">
        <v>194</v>
      </c>
      <c r="E91" s="5" t="s">
        <v>195</v>
      </c>
      <c r="F91" s="5" t="s">
        <v>196</v>
      </c>
      <c r="G91" s="5" t="s">
        <v>197</v>
      </c>
      <c r="H91" s="5" t="s">
        <v>198</v>
      </c>
      <c r="I91" s="5" t="s">
        <v>199</v>
      </c>
      <c r="J91" s="5" t="s">
        <v>200</v>
      </c>
      <c r="K91" s="5" t="s">
        <v>201</v>
      </c>
      <c r="L91" s="5" t="s">
        <v>202</v>
      </c>
      <c r="M91" s="5" t="s">
        <v>203</v>
      </c>
      <c r="N91" s="5" t="s">
        <v>294</v>
      </c>
    </row>
    <row r="92" customFormat="false" ht="15" hidden="false" customHeight="false" outlineLevel="0" collapsed="false">
      <c r="A92" s="6" t="n">
        <v>1</v>
      </c>
      <c r="B92" s="39" t="str">
        <f aca="false">IF(B6="","",B6)</f>
        <v>Gabinetes metálicos 153 kg</v>
      </c>
      <c r="D92" s="34" t="n">
        <f aca="false">IF(IF(AND(N($F6)&gt;0,1&gt;=$F6),N($E6),N($D6))=0,0,MAX(0,D63/(1-V_Merma)-IF(AND(N($F6)&gt;0,1&gt;=$F6),N($E6),N($D6))))</f>
        <v>0</v>
      </c>
      <c r="E92" s="34" t="n">
        <f aca="false">IF(IF(AND(N($F6)&gt;0,2&gt;=$F6),N($E6),N($D6))=0,0,MAX(0,E63/(1-V_Merma)-IF(AND(N($F6)&gt;0,2&gt;=$F6),N($E6),N($D6))))</f>
        <v>0</v>
      </c>
      <c r="F92" s="34" t="n">
        <f aca="false">IF(IF(AND(N($F6)&gt;0,3&gt;=$F6),N($E6),N($D6))=0,0,MAX(0,F63/(1-V_Merma)-IF(AND(N($F6)&gt;0,3&gt;=$F6),N($E6),N($D6))))</f>
        <v>0</v>
      </c>
      <c r="G92" s="34" t="n">
        <f aca="false">IF(IF(AND(N($F6)&gt;0,4&gt;=$F6),N($E6),N($D6))=0,0,MAX(0,G63/(1-V_Merma)-IF(AND(N($F6)&gt;0,4&gt;=$F6),N($E6),N($D6))))</f>
        <v>0</v>
      </c>
      <c r="H92" s="34" t="n">
        <f aca="false">IF(IF(AND(N($F6)&gt;0,5&gt;=$F6),N($E6),N($D6))=0,0,MAX(0,H63/(1-V_Merma)-IF(AND(N($F6)&gt;0,5&gt;=$F6),N($E6),N($D6))))</f>
        <v>0</v>
      </c>
      <c r="I92" s="34" t="n">
        <f aca="false">IF(IF(AND(N($F6)&gt;0,6&gt;=$F6),N($E6),N($D6))=0,0,MAX(0,I63/(1-V_Merma)-IF(AND(N($F6)&gt;0,6&gt;=$F6),N($E6),N($D6))))</f>
        <v>0</v>
      </c>
      <c r="J92" s="34" t="n">
        <f aca="false">IF(IF(AND(N($F6)&gt;0,7&gt;=$F6),N($E6),N($D6))=0,0,MAX(0,J63/(1-V_Merma)-IF(AND(N($F6)&gt;0,7&gt;=$F6),N($E6),N($D6))))</f>
        <v>0</v>
      </c>
      <c r="K92" s="34" t="n">
        <f aca="false">IF(IF(AND(N($F6)&gt;0,8&gt;=$F6),N($E6),N($D6))=0,0,MAX(0,K63/(1-V_Merma)-IF(AND(N($F6)&gt;0,8&gt;=$F6),N($E6),N($D6))))</f>
        <v>0</v>
      </c>
      <c r="L92" s="34" t="n">
        <f aca="false">IF(IF(AND(N($F6)&gt;0,9&gt;=$F6),N($E6),N($D6))=0,0,MAX(0,L63/(1-V_Merma)-IF(AND(N($F6)&gt;0,9&gt;=$F6),N($E6),N($D6))))</f>
        <v>0</v>
      </c>
      <c r="M92" s="34" t="n">
        <f aca="false">IF(IF(AND(N($F6)&gt;0,10&gt;=$F6),N($E6),N($D6))=0,0,MAX(0,M63/(1-V_Merma)-IF(AND(N($F6)&gt;0,10&gt;=$F6),N($E6),N($D6))))</f>
        <v>0</v>
      </c>
      <c r="N92" s="32" t="n">
        <f aca="false">SUMPRODUCT(--(D92:M92&gt;0.5))</f>
        <v>0</v>
      </c>
    </row>
    <row r="93" customFormat="false" ht="15" hidden="false" customHeight="false" outlineLevel="0" collapsed="false">
      <c r="A93" s="6" t="n">
        <v>2</v>
      </c>
      <c r="B93" s="39" t="str">
        <f aca="false">IF(B7="","",B7)</f>
        <v>Cajas metálicas 13 kg</v>
      </c>
      <c r="D93" s="34" t="n">
        <f aca="false">IF(IF(AND(N($F7)&gt;0,1&gt;=$F7),N($E7),N($D7))=0,0,MAX(0,D64/(1-V_Merma)-IF(AND(N($F7)&gt;0,1&gt;=$F7),N($E7),N($D7))))</f>
        <v>0</v>
      </c>
      <c r="E93" s="34" t="n">
        <f aca="false">IF(IF(AND(N($F7)&gt;0,2&gt;=$F7),N($E7),N($D7))=0,0,MAX(0,E64/(1-V_Merma)-IF(AND(N($F7)&gt;0,2&gt;=$F7),N($E7),N($D7))))</f>
        <v>0</v>
      </c>
      <c r="F93" s="34" t="n">
        <f aca="false">IF(IF(AND(N($F7)&gt;0,3&gt;=$F7),N($E7),N($D7))=0,0,MAX(0,F64/(1-V_Merma)-IF(AND(N($F7)&gt;0,3&gt;=$F7),N($E7),N($D7))))</f>
        <v>0</v>
      </c>
      <c r="G93" s="34" t="n">
        <f aca="false">IF(IF(AND(N($F7)&gt;0,4&gt;=$F7),N($E7),N($D7))=0,0,MAX(0,G64/(1-V_Merma)-IF(AND(N($F7)&gt;0,4&gt;=$F7),N($E7),N($D7))))</f>
        <v>0</v>
      </c>
      <c r="H93" s="34" t="n">
        <f aca="false">IF(IF(AND(N($F7)&gt;0,5&gt;=$F7),N($E7),N($D7))=0,0,MAX(0,H64/(1-V_Merma)-IF(AND(N($F7)&gt;0,5&gt;=$F7),N($E7),N($D7))))</f>
        <v>0</v>
      </c>
      <c r="I93" s="34" t="n">
        <f aca="false">IF(IF(AND(N($F7)&gt;0,6&gt;=$F7),N($E7),N($D7))=0,0,MAX(0,I64/(1-V_Merma)-IF(AND(N($F7)&gt;0,6&gt;=$F7),N($E7),N($D7))))</f>
        <v>0</v>
      </c>
      <c r="J93" s="34" t="n">
        <f aca="false">IF(IF(AND(N($F7)&gt;0,7&gt;=$F7),N($E7),N($D7))=0,0,MAX(0,J64/(1-V_Merma)-IF(AND(N($F7)&gt;0,7&gt;=$F7),N($E7),N($D7))))</f>
        <v>0</v>
      </c>
      <c r="K93" s="34" t="n">
        <f aca="false">IF(IF(AND(N($F7)&gt;0,8&gt;=$F7),N($E7),N($D7))=0,0,MAX(0,K64/(1-V_Merma)-IF(AND(N($F7)&gt;0,8&gt;=$F7),N($E7),N($D7))))</f>
        <v>0</v>
      </c>
      <c r="L93" s="34" t="n">
        <f aca="false">IF(IF(AND(N($F7)&gt;0,9&gt;=$F7),N($E7),N($D7))=0,0,MAX(0,L64/(1-V_Merma)-IF(AND(N($F7)&gt;0,9&gt;=$F7),N($E7),N($D7))))</f>
        <v>0</v>
      </c>
      <c r="M93" s="34" t="n">
        <f aca="false">IF(IF(AND(N($F7)&gt;0,10&gt;=$F7),N($E7),N($D7))=0,0,MAX(0,M64/(1-V_Merma)-IF(AND(N($F7)&gt;0,10&gt;=$F7),N($E7),N($D7))))</f>
        <v>0</v>
      </c>
      <c r="N93" s="32" t="n">
        <f aca="false">SUMPRODUCT(--(D93:M93&gt;0.5))</f>
        <v>0</v>
      </c>
    </row>
    <row r="94" customFormat="false" ht="15" hidden="false" customHeight="false" outlineLevel="0" collapsed="false">
      <c r="A94" s="6" t="n">
        <v>3</v>
      </c>
      <c r="B94" s="39" t="str">
        <f aca="false">IF(B8="","",B8)</f>
        <v/>
      </c>
      <c r="D94" s="34" t="n">
        <f aca="false">IF(IF(AND(N($F8)&gt;0,1&gt;=$F8),N($E8),N($D8))=0,0,MAX(0,D65/(1-V_Merma)-IF(AND(N($F8)&gt;0,1&gt;=$F8),N($E8),N($D8))))</f>
        <v>0</v>
      </c>
      <c r="E94" s="34" t="n">
        <f aca="false">IF(IF(AND(N($F8)&gt;0,2&gt;=$F8),N($E8),N($D8))=0,0,MAX(0,E65/(1-V_Merma)-IF(AND(N($F8)&gt;0,2&gt;=$F8),N($E8),N($D8))))</f>
        <v>0</v>
      </c>
      <c r="F94" s="34" t="n">
        <f aca="false">IF(IF(AND(N($F8)&gt;0,3&gt;=$F8),N($E8),N($D8))=0,0,MAX(0,F65/(1-V_Merma)-IF(AND(N($F8)&gt;0,3&gt;=$F8),N($E8),N($D8))))</f>
        <v>0</v>
      </c>
      <c r="G94" s="34" t="n">
        <f aca="false">IF(IF(AND(N($F8)&gt;0,4&gt;=$F8),N($E8),N($D8))=0,0,MAX(0,G65/(1-V_Merma)-IF(AND(N($F8)&gt;0,4&gt;=$F8),N($E8),N($D8))))</f>
        <v>0</v>
      </c>
      <c r="H94" s="34" t="n">
        <f aca="false">IF(IF(AND(N($F8)&gt;0,5&gt;=$F8),N($E8),N($D8))=0,0,MAX(0,H65/(1-V_Merma)-IF(AND(N($F8)&gt;0,5&gt;=$F8),N($E8),N($D8))))</f>
        <v>0</v>
      </c>
      <c r="I94" s="34" t="n">
        <f aca="false">IF(IF(AND(N($F8)&gt;0,6&gt;=$F8),N($E8),N($D8))=0,0,MAX(0,I65/(1-V_Merma)-IF(AND(N($F8)&gt;0,6&gt;=$F8),N($E8),N($D8))))</f>
        <v>0</v>
      </c>
      <c r="J94" s="34" t="n">
        <f aca="false">IF(IF(AND(N($F8)&gt;0,7&gt;=$F8),N($E8),N($D8))=0,0,MAX(0,J65/(1-V_Merma)-IF(AND(N($F8)&gt;0,7&gt;=$F8),N($E8),N($D8))))</f>
        <v>0</v>
      </c>
      <c r="K94" s="34" t="n">
        <f aca="false">IF(IF(AND(N($F8)&gt;0,8&gt;=$F8),N($E8),N($D8))=0,0,MAX(0,K65/(1-V_Merma)-IF(AND(N($F8)&gt;0,8&gt;=$F8),N($E8),N($D8))))</f>
        <v>0</v>
      </c>
      <c r="L94" s="34" t="n">
        <f aca="false">IF(IF(AND(N($F8)&gt;0,9&gt;=$F8),N($E8),N($D8))=0,0,MAX(0,L65/(1-V_Merma)-IF(AND(N($F8)&gt;0,9&gt;=$F8),N($E8),N($D8))))</f>
        <v>0</v>
      </c>
      <c r="M94" s="34" t="n">
        <f aca="false">IF(IF(AND(N($F8)&gt;0,10&gt;=$F8),N($E8),N($D8))=0,0,MAX(0,M65/(1-V_Merma)-IF(AND(N($F8)&gt;0,10&gt;=$F8),N($E8),N($D8))))</f>
        <v>0</v>
      </c>
      <c r="N94" s="32" t="n">
        <f aca="false">SUMPRODUCT(--(D94:M94&gt;0.5))</f>
        <v>0</v>
      </c>
    </row>
    <row r="95" customFormat="false" ht="15" hidden="false" customHeight="false" outlineLevel="0" collapsed="false">
      <c r="A95" s="6" t="n">
        <v>4</v>
      </c>
      <c r="B95" s="39" t="str">
        <f aca="false">IF(B9="","",B9)</f>
        <v/>
      </c>
      <c r="D95" s="34" t="n">
        <f aca="false">IF(IF(AND(N($F9)&gt;0,1&gt;=$F9),N($E9),N($D9))=0,0,MAX(0,D66/(1-V_Merma)-IF(AND(N($F9)&gt;0,1&gt;=$F9),N($E9),N($D9))))</f>
        <v>0</v>
      </c>
      <c r="E95" s="34" t="n">
        <f aca="false">IF(IF(AND(N($F9)&gt;0,2&gt;=$F9),N($E9),N($D9))=0,0,MAX(0,E66/(1-V_Merma)-IF(AND(N($F9)&gt;0,2&gt;=$F9),N($E9),N($D9))))</f>
        <v>0</v>
      </c>
      <c r="F95" s="34" t="n">
        <f aca="false">IF(IF(AND(N($F9)&gt;0,3&gt;=$F9),N($E9),N($D9))=0,0,MAX(0,F66/(1-V_Merma)-IF(AND(N($F9)&gt;0,3&gt;=$F9),N($E9),N($D9))))</f>
        <v>0</v>
      </c>
      <c r="G95" s="34" t="n">
        <f aca="false">IF(IF(AND(N($F9)&gt;0,4&gt;=$F9),N($E9),N($D9))=0,0,MAX(0,G66/(1-V_Merma)-IF(AND(N($F9)&gt;0,4&gt;=$F9),N($E9),N($D9))))</f>
        <v>0</v>
      </c>
      <c r="H95" s="34" t="n">
        <f aca="false">IF(IF(AND(N($F9)&gt;0,5&gt;=$F9),N($E9),N($D9))=0,0,MAX(0,H66/(1-V_Merma)-IF(AND(N($F9)&gt;0,5&gt;=$F9),N($E9),N($D9))))</f>
        <v>0</v>
      </c>
      <c r="I95" s="34" t="n">
        <f aca="false">IF(IF(AND(N($F9)&gt;0,6&gt;=$F9),N($E9),N($D9))=0,0,MAX(0,I66/(1-V_Merma)-IF(AND(N($F9)&gt;0,6&gt;=$F9),N($E9),N($D9))))</f>
        <v>0</v>
      </c>
      <c r="J95" s="34" t="n">
        <f aca="false">IF(IF(AND(N($F9)&gt;0,7&gt;=$F9),N($E9),N($D9))=0,0,MAX(0,J66/(1-V_Merma)-IF(AND(N($F9)&gt;0,7&gt;=$F9),N($E9),N($D9))))</f>
        <v>0</v>
      </c>
      <c r="K95" s="34" t="n">
        <f aca="false">IF(IF(AND(N($F9)&gt;0,8&gt;=$F9),N($E9),N($D9))=0,0,MAX(0,K66/(1-V_Merma)-IF(AND(N($F9)&gt;0,8&gt;=$F9),N($E9),N($D9))))</f>
        <v>0</v>
      </c>
      <c r="L95" s="34" t="n">
        <f aca="false">IF(IF(AND(N($F9)&gt;0,9&gt;=$F9),N($E9),N($D9))=0,0,MAX(0,L66/(1-V_Merma)-IF(AND(N($F9)&gt;0,9&gt;=$F9),N($E9),N($D9))))</f>
        <v>0</v>
      </c>
      <c r="M95" s="34" t="n">
        <f aca="false">IF(IF(AND(N($F9)&gt;0,10&gt;=$F9),N($E9),N($D9))=0,0,MAX(0,M66/(1-V_Merma)-IF(AND(N($F9)&gt;0,10&gt;=$F9),N($E9),N($D9))))</f>
        <v>0</v>
      </c>
      <c r="N95" s="32" t="n">
        <f aca="false">SUMPRODUCT(--(D95:M95&gt;0.5))</f>
        <v>0</v>
      </c>
    </row>
    <row r="96" customFormat="false" ht="15" hidden="false" customHeight="false" outlineLevel="0" collapsed="false">
      <c r="A96" s="6" t="n">
        <v>5</v>
      </c>
      <c r="B96" s="39" t="str">
        <f aca="false">IF(B10="","",B10)</f>
        <v/>
      </c>
      <c r="D96" s="34" t="n">
        <f aca="false">IF(IF(AND(N($F10)&gt;0,1&gt;=$F10),N($E10),N($D10))=0,0,MAX(0,D67/(1-V_Merma)-IF(AND(N($F10)&gt;0,1&gt;=$F10),N($E10),N($D10))))</f>
        <v>0</v>
      </c>
      <c r="E96" s="34" t="n">
        <f aca="false">IF(IF(AND(N($F10)&gt;0,2&gt;=$F10),N($E10),N($D10))=0,0,MAX(0,E67/(1-V_Merma)-IF(AND(N($F10)&gt;0,2&gt;=$F10),N($E10),N($D10))))</f>
        <v>0</v>
      </c>
      <c r="F96" s="34" t="n">
        <f aca="false">IF(IF(AND(N($F10)&gt;0,3&gt;=$F10),N($E10),N($D10))=0,0,MAX(0,F67/(1-V_Merma)-IF(AND(N($F10)&gt;0,3&gt;=$F10),N($E10),N($D10))))</f>
        <v>0</v>
      </c>
      <c r="G96" s="34" t="n">
        <f aca="false">IF(IF(AND(N($F10)&gt;0,4&gt;=$F10),N($E10),N($D10))=0,0,MAX(0,G67/(1-V_Merma)-IF(AND(N($F10)&gt;0,4&gt;=$F10),N($E10),N($D10))))</f>
        <v>0</v>
      </c>
      <c r="H96" s="34" t="n">
        <f aca="false">IF(IF(AND(N($F10)&gt;0,5&gt;=$F10),N($E10),N($D10))=0,0,MAX(0,H67/(1-V_Merma)-IF(AND(N($F10)&gt;0,5&gt;=$F10),N($E10),N($D10))))</f>
        <v>0</v>
      </c>
      <c r="I96" s="34" t="n">
        <f aca="false">IF(IF(AND(N($F10)&gt;0,6&gt;=$F10),N($E10),N($D10))=0,0,MAX(0,I67/(1-V_Merma)-IF(AND(N($F10)&gt;0,6&gt;=$F10),N($E10),N($D10))))</f>
        <v>0</v>
      </c>
      <c r="J96" s="34" t="n">
        <f aca="false">IF(IF(AND(N($F10)&gt;0,7&gt;=$F10),N($E10),N($D10))=0,0,MAX(0,J67/(1-V_Merma)-IF(AND(N($F10)&gt;0,7&gt;=$F10),N($E10),N($D10))))</f>
        <v>0</v>
      </c>
      <c r="K96" s="34" t="n">
        <f aca="false">IF(IF(AND(N($F10)&gt;0,8&gt;=$F10),N($E10),N($D10))=0,0,MAX(0,K67/(1-V_Merma)-IF(AND(N($F10)&gt;0,8&gt;=$F10),N($E10),N($D10))))</f>
        <v>0</v>
      </c>
      <c r="L96" s="34" t="n">
        <f aca="false">IF(IF(AND(N($F10)&gt;0,9&gt;=$F10),N($E10),N($D10))=0,0,MAX(0,L67/(1-V_Merma)-IF(AND(N($F10)&gt;0,9&gt;=$F10),N($E10),N($D10))))</f>
        <v>0</v>
      </c>
      <c r="M96" s="34" t="n">
        <f aca="false">IF(IF(AND(N($F10)&gt;0,10&gt;=$F10),N($E10),N($D10))=0,0,MAX(0,M67/(1-V_Merma)-IF(AND(N($F10)&gt;0,10&gt;=$F10),N($E10),N($D10))))</f>
        <v>0</v>
      </c>
      <c r="N96" s="32" t="n">
        <f aca="false">SUMPRODUCT(--(D96:M96&gt;0.5))</f>
        <v>0</v>
      </c>
    </row>
    <row r="97" customFormat="false" ht="15" hidden="false" customHeight="false" outlineLevel="0" collapsed="false">
      <c r="A97" s="6" t="n">
        <v>6</v>
      </c>
      <c r="B97" s="39" t="str">
        <f aca="false">IF(B11="","",B11)</f>
        <v/>
      </c>
      <c r="D97" s="34" t="n">
        <f aca="false">IF(IF(AND(N($F11)&gt;0,1&gt;=$F11),N($E11),N($D11))=0,0,MAX(0,D68/(1-V_Merma)-IF(AND(N($F11)&gt;0,1&gt;=$F11),N($E11),N($D11))))</f>
        <v>0</v>
      </c>
      <c r="E97" s="34" t="n">
        <f aca="false">IF(IF(AND(N($F11)&gt;0,2&gt;=$F11),N($E11),N($D11))=0,0,MAX(0,E68/(1-V_Merma)-IF(AND(N($F11)&gt;0,2&gt;=$F11),N($E11),N($D11))))</f>
        <v>0</v>
      </c>
      <c r="F97" s="34" t="n">
        <f aca="false">IF(IF(AND(N($F11)&gt;0,3&gt;=$F11),N($E11),N($D11))=0,0,MAX(0,F68/(1-V_Merma)-IF(AND(N($F11)&gt;0,3&gt;=$F11),N($E11),N($D11))))</f>
        <v>0</v>
      </c>
      <c r="G97" s="34" t="n">
        <f aca="false">IF(IF(AND(N($F11)&gt;0,4&gt;=$F11),N($E11),N($D11))=0,0,MAX(0,G68/(1-V_Merma)-IF(AND(N($F11)&gt;0,4&gt;=$F11),N($E11),N($D11))))</f>
        <v>0</v>
      </c>
      <c r="H97" s="34" t="n">
        <f aca="false">IF(IF(AND(N($F11)&gt;0,5&gt;=$F11),N($E11),N($D11))=0,0,MAX(0,H68/(1-V_Merma)-IF(AND(N($F11)&gt;0,5&gt;=$F11),N($E11),N($D11))))</f>
        <v>0</v>
      </c>
      <c r="I97" s="34" t="n">
        <f aca="false">IF(IF(AND(N($F11)&gt;0,6&gt;=$F11),N($E11),N($D11))=0,0,MAX(0,I68/(1-V_Merma)-IF(AND(N($F11)&gt;0,6&gt;=$F11),N($E11),N($D11))))</f>
        <v>0</v>
      </c>
      <c r="J97" s="34" t="n">
        <f aca="false">IF(IF(AND(N($F11)&gt;0,7&gt;=$F11),N($E11),N($D11))=0,0,MAX(0,J68/(1-V_Merma)-IF(AND(N($F11)&gt;0,7&gt;=$F11),N($E11),N($D11))))</f>
        <v>0</v>
      </c>
      <c r="K97" s="34" t="n">
        <f aca="false">IF(IF(AND(N($F11)&gt;0,8&gt;=$F11),N($E11),N($D11))=0,0,MAX(0,K68/(1-V_Merma)-IF(AND(N($F11)&gt;0,8&gt;=$F11),N($E11),N($D11))))</f>
        <v>0</v>
      </c>
      <c r="L97" s="34" t="n">
        <f aca="false">IF(IF(AND(N($F11)&gt;0,9&gt;=$F11),N($E11),N($D11))=0,0,MAX(0,L68/(1-V_Merma)-IF(AND(N($F11)&gt;0,9&gt;=$F11),N($E11),N($D11))))</f>
        <v>0</v>
      </c>
      <c r="M97" s="34" t="n">
        <f aca="false">IF(IF(AND(N($F11)&gt;0,10&gt;=$F11),N($E11),N($D11))=0,0,MAX(0,M68/(1-V_Merma)-IF(AND(N($F11)&gt;0,10&gt;=$F11),N($E11),N($D11))))</f>
        <v>0</v>
      </c>
      <c r="N97" s="32" t="n">
        <f aca="false">SUMPRODUCT(--(D97:M97&gt;0.5))</f>
        <v>0</v>
      </c>
    </row>
    <row r="98" customFormat="false" ht="15" hidden="false" customHeight="false" outlineLevel="0" collapsed="false">
      <c r="A98" s="6" t="n">
        <v>7</v>
      </c>
      <c r="B98" s="39" t="str">
        <f aca="false">IF(B12="","",B12)</f>
        <v/>
      </c>
      <c r="D98" s="34" t="n">
        <f aca="false">IF(IF(AND(N($F12)&gt;0,1&gt;=$F12),N($E12),N($D12))=0,0,MAX(0,D69/(1-V_Merma)-IF(AND(N($F12)&gt;0,1&gt;=$F12),N($E12),N($D12))))</f>
        <v>0</v>
      </c>
      <c r="E98" s="34" t="n">
        <f aca="false">IF(IF(AND(N($F12)&gt;0,2&gt;=$F12),N($E12),N($D12))=0,0,MAX(0,E69/(1-V_Merma)-IF(AND(N($F12)&gt;0,2&gt;=$F12),N($E12),N($D12))))</f>
        <v>0</v>
      </c>
      <c r="F98" s="34" t="n">
        <f aca="false">IF(IF(AND(N($F12)&gt;0,3&gt;=$F12),N($E12),N($D12))=0,0,MAX(0,F69/(1-V_Merma)-IF(AND(N($F12)&gt;0,3&gt;=$F12),N($E12),N($D12))))</f>
        <v>0</v>
      </c>
      <c r="G98" s="34" t="n">
        <f aca="false">IF(IF(AND(N($F12)&gt;0,4&gt;=$F12),N($E12),N($D12))=0,0,MAX(0,G69/(1-V_Merma)-IF(AND(N($F12)&gt;0,4&gt;=$F12),N($E12),N($D12))))</f>
        <v>0</v>
      </c>
      <c r="H98" s="34" t="n">
        <f aca="false">IF(IF(AND(N($F12)&gt;0,5&gt;=$F12),N($E12),N($D12))=0,0,MAX(0,H69/(1-V_Merma)-IF(AND(N($F12)&gt;0,5&gt;=$F12),N($E12),N($D12))))</f>
        <v>0</v>
      </c>
      <c r="I98" s="34" t="n">
        <f aca="false">IF(IF(AND(N($F12)&gt;0,6&gt;=$F12),N($E12),N($D12))=0,0,MAX(0,I69/(1-V_Merma)-IF(AND(N($F12)&gt;0,6&gt;=$F12),N($E12),N($D12))))</f>
        <v>0</v>
      </c>
      <c r="J98" s="34" t="n">
        <f aca="false">IF(IF(AND(N($F12)&gt;0,7&gt;=$F12),N($E12),N($D12))=0,0,MAX(0,J69/(1-V_Merma)-IF(AND(N($F12)&gt;0,7&gt;=$F12),N($E12),N($D12))))</f>
        <v>0</v>
      </c>
      <c r="K98" s="34" t="n">
        <f aca="false">IF(IF(AND(N($F12)&gt;0,8&gt;=$F12),N($E12),N($D12))=0,0,MAX(0,K69/(1-V_Merma)-IF(AND(N($F12)&gt;0,8&gt;=$F12),N($E12),N($D12))))</f>
        <v>0</v>
      </c>
      <c r="L98" s="34" t="n">
        <f aca="false">IF(IF(AND(N($F12)&gt;0,9&gt;=$F12),N($E12),N($D12))=0,0,MAX(0,L69/(1-V_Merma)-IF(AND(N($F12)&gt;0,9&gt;=$F12),N($E12),N($D12))))</f>
        <v>0</v>
      </c>
      <c r="M98" s="34" t="n">
        <f aca="false">IF(IF(AND(N($F12)&gt;0,10&gt;=$F12),N($E12),N($D12))=0,0,MAX(0,M69/(1-V_Merma)-IF(AND(N($F12)&gt;0,10&gt;=$F12),N($E12),N($D12))))</f>
        <v>0</v>
      </c>
      <c r="N98" s="32" t="n">
        <f aca="false">SUMPRODUCT(--(D98:M98&gt;0.5))</f>
        <v>0</v>
      </c>
    </row>
    <row r="99" customFormat="false" ht="15" hidden="false" customHeight="false" outlineLevel="0" collapsed="false">
      <c r="A99" s="6" t="n">
        <v>8</v>
      </c>
      <c r="B99" s="39" t="str">
        <f aca="false">IF(B13="","",B13)</f>
        <v/>
      </c>
      <c r="D99" s="34" t="n">
        <f aca="false">IF(IF(AND(N($F13)&gt;0,1&gt;=$F13),N($E13),N($D13))=0,0,MAX(0,D70/(1-V_Merma)-IF(AND(N($F13)&gt;0,1&gt;=$F13),N($E13),N($D13))))</f>
        <v>0</v>
      </c>
      <c r="E99" s="34" t="n">
        <f aca="false">IF(IF(AND(N($F13)&gt;0,2&gt;=$F13),N($E13),N($D13))=0,0,MAX(0,E70/(1-V_Merma)-IF(AND(N($F13)&gt;0,2&gt;=$F13),N($E13),N($D13))))</f>
        <v>0</v>
      </c>
      <c r="F99" s="34" t="n">
        <f aca="false">IF(IF(AND(N($F13)&gt;0,3&gt;=$F13),N($E13),N($D13))=0,0,MAX(0,F70/(1-V_Merma)-IF(AND(N($F13)&gt;0,3&gt;=$F13),N($E13),N($D13))))</f>
        <v>0</v>
      </c>
      <c r="G99" s="34" t="n">
        <f aca="false">IF(IF(AND(N($F13)&gt;0,4&gt;=$F13),N($E13),N($D13))=0,0,MAX(0,G70/(1-V_Merma)-IF(AND(N($F13)&gt;0,4&gt;=$F13),N($E13),N($D13))))</f>
        <v>0</v>
      </c>
      <c r="H99" s="34" t="n">
        <f aca="false">IF(IF(AND(N($F13)&gt;0,5&gt;=$F13),N($E13),N($D13))=0,0,MAX(0,H70/(1-V_Merma)-IF(AND(N($F13)&gt;0,5&gt;=$F13),N($E13),N($D13))))</f>
        <v>0</v>
      </c>
      <c r="I99" s="34" t="n">
        <f aca="false">IF(IF(AND(N($F13)&gt;0,6&gt;=$F13),N($E13),N($D13))=0,0,MAX(0,I70/(1-V_Merma)-IF(AND(N($F13)&gt;0,6&gt;=$F13),N($E13),N($D13))))</f>
        <v>0</v>
      </c>
      <c r="J99" s="34" t="n">
        <f aca="false">IF(IF(AND(N($F13)&gt;0,7&gt;=$F13),N($E13),N($D13))=0,0,MAX(0,J70/(1-V_Merma)-IF(AND(N($F13)&gt;0,7&gt;=$F13),N($E13),N($D13))))</f>
        <v>0</v>
      </c>
      <c r="K99" s="34" t="n">
        <f aca="false">IF(IF(AND(N($F13)&gt;0,8&gt;=$F13),N($E13),N($D13))=0,0,MAX(0,K70/(1-V_Merma)-IF(AND(N($F13)&gt;0,8&gt;=$F13),N($E13),N($D13))))</f>
        <v>0</v>
      </c>
      <c r="L99" s="34" t="n">
        <f aca="false">IF(IF(AND(N($F13)&gt;0,9&gt;=$F13),N($E13),N($D13))=0,0,MAX(0,L70/(1-V_Merma)-IF(AND(N($F13)&gt;0,9&gt;=$F13),N($E13),N($D13))))</f>
        <v>0</v>
      </c>
      <c r="M99" s="34" t="n">
        <f aca="false">IF(IF(AND(N($F13)&gt;0,10&gt;=$F13),N($E13),N($D13))=0,0,MAX(0,M70/(1-V_Merma)-IF(AND(N($F13)&gt;0,10&gt;=$F13),N($E13),N($D13))))</f>
        <v>0</v>
      </c>
      <c r="N99" s="32" t="n">
        <f aca="false">SUMPRODUCT(--(D99:M99&gt;0.5))</f>
        <v>0</v>
      </c>
    </row>
    <row r="100" customFormat="false" ht="15" hidden="false" customHeight="false" outlineLevel="0" collapsed="false">
      <c r="A100" s="6" t="n">
        <v>9</v>
      </c>
      <c r="B100" s="39" t="str">
        <f aca="false">IF(B14="","",B14)</f>
        <v/>
      </c>
      <c r="D100" s="34" t="n">
        <f aca="false">IF(IF(AND(N($F14)&gt;0,1&gt;=$F14),N($E14),N($D14))=0,0,MAX(0,D71/(1-V_Merma)-IF(AND(N($F14)&gt;0,1&gt;=$F14),N($E14),N($D14))))</f>
        <v>0</v>
      </c>
      <c r="E100" s="34" t="n">
        <f aca="false">IF(IF(AND(N($F14)&gt;0,2&gt;=$F14),N($E14),N($D14))=0,0,MAX(0,E71/(1-V_Merma)-IF(AND(N($F14)&gt;0,2&gt;=$F14),N($E14),N($D14))))</f>
        <v>0</v>
      </c>
      <c r="F100" s="34" t="n">
        <f aca="false">IF(IF(AND(N($F14)&gt;0,3&gt;=$F14),N($E14),N($D14))=0,0,MAX(0,F71/(1-V_Merma)-IF(AND(N($F14)&gt;0,3&gt;=$F14),N($E14),N($D14))))</f>
        <v>0</v>
      </c>
      <c r="G100" s="34" t="n">
        <f aca="false">IF(IF(AND(N($F14)&gt;0,4&gt;=$F14),N($E14),N($D14))=0,0,MAX(0,G71/(1-V_Merma)-IF(AND(N($F14)&gt;0,4&gt;=$F14),N($E14),N($D14))))</f>
        <v>0</v>
      </c>
      <c r="H100" s="34" t="n">
        <f aca="false">IF(IF(AND(N($F14)&gt;0,5&gt;=$F14),N($E14),N($D14))=0,0,MAX(0,H71/(1-V_Merma)-IF(AND(N($F14)&gt;0,5&gt;=$F14),N($E14),N($D14))))</f>
        <v>0</v>
      </c>
      <c r="I100" s="34" t="n">
        <f aca="false">IF(IF(AND(N($F14)&gt;0,6&gt;=$F14),N($E14),N($D14))=0,0,MAX(0,I71/(1-V_Merma)-IF(AND(N($F14)&gt;0,6&gt;=$F14),N($E14),N($D14))))</f>
        <v>0</v>
      </c>
      <c r="J100" s="34" t="n">
        <f aca="false">IF(IF(AND(N($F14)&gt;0,7&gt;=$F14),N($E14),N($D14))=0,0,MAX(0,J71/(1-V_Merma)-IF(AND(N($F14)&gt;0,7&gt;=$F14),N($E14),N($D14))))</f>
        <v>0</v>
      </c>
      <c r="K100" s="34" t="n">
        <f aca="false">IF(IF(AND(N($F14)&gt;0,8&gt;=$F14),N($E14),N($D14))=0,0,MAX(0,K71/(1-V_Merma)-IF(AND(N($F14)&gt;0,8&gt;=$F14),N($E14),N($D14))))</f>
        <v>0</v>
      </c>
      <c r="L100" s="34" t="n">
        <f aca="false">IF(IF(AND(N($F14)&gt;0,9&gt;=$F14),N($E14),N($D14))=0,0,MAX(0,L71/(1-V_Merma)-IF(AND(N($F14)&gt;0,9&gt;=$F14),N($E14),N($D14))))</f>
        <v>0</v>
      </c>
      <c r="M100" s="34" t="n">
        <f aca="false">IF(IF(AND(N($F14)&gt;0,10&gt;=$F14),N($E14),N($D14))=0,0,MAX(0,M71/(1-V_Merma)-IF(AND(N($F14)&gt;0,10&gt;=$F14),N($E14),N($D14))))</f>
        <v>0</v>
      </c>
      <c r="N100" s="32" t="n">
        <f aca="false">SUMPRODUCT(--(D100:M100&gt;0.5))</f>
        <v>0</v>
      </c>
    </row>
    <row r="101" customFormat="false" ht="15" hidden="false" customHeight="false" outlineLevel="0" collapsed="false">
      <c r="A101" s="6" t="n">
        <v>10</v>
      </c>
      <c r="B101" s="39" t="str">
        <f aca="false">IF(B15="","",B15)</f>
        <v/>
      </c>
      <c r="D101" s="34" t="n">
        <f aca="false">IF(IF(AND(N($F15)&gt;0,1&gt;=$F15),N($E15),N($D15))=0,0,MAX(0,D72/(1-V_Merma)-IF(AND(N($F15)&gt;0,1&gt;=$F15),N($E15),N($D15))))</f>
        <v>0</v>
      </c>
      <c r="E101" s="34" t="n">
        <f aca="false">IF(IF(AND(N($F15)&gt;0,2&gt;=$F15),N($E15),N($D15))=0,0,MAX(0,E72/(1-V_Merma)-IF(AND(N($F15)&gt;0,2&gt;=$F15),N($E15),N($D15))))</f>
        <v>0</v>
      </c>
      <c r="F101" s="34" t="n">
        <f aca="false">IF(IF(AND(N($F15)&gt;0,3&gt;=$F15),N($E15),N($D15))=0,0,MAX(0,F72/(1-V_Merma)-IF(AND(N($F15)&gt;0,3&gt;=$F15),N($E15),N($D15))))</f>
        <v>0</v>
      </c>
      <c r="G101" s="34" t="n">
        <f aca="false">IF(IF(AND(N($F15)&gt;0,4&gt;=$F15),N($E15),N($D15))=0,0,MAX(0,G72/(1-V_Merma)-IF(AND(N($F15)&gt;0,4&gt;=$F15),N($E15),N($D15))))</f>
        <v>0</v>
      </c>
      <c r="H101" s="34" t="n">
        <f aca="false">IF(IF(AND(N($F15)&gt;0,5&gt;=$F15),N($E15),N($D15))=0,0,MAX(0,H72/(1-V_Merma)-IF(AND(N($F15)&gt;0,5&gt;=$F15),N($E15),N($D15))))</f>
        <v>0</v>
      </c>
      <c r="I101" s="34" t="n">
        <f aca="false">IF(IF(AND(N($F15)&gt;0,6&gt;=$F15),N($E15),N($D15))=0,0,MAX(0,I72/(1-V_Merma)-IF(AND(N($F15)&gt;0,6&gt;=$F15),N($E15),N($D15))))</f>
        <v>0</v>
      </c>
      <c r="J101" s="34" t="n">
        <f aca="false">IF(IF(AND(N($F15)&gt;0,7&gt;=$F15),N($E15),N($D15))=0,0,MAX(0,J72/(1-V_Merma)-IF(AND(N($F15)&gt;0,7&gt;=$F15),N($E15),N($D15))))</f>
        <v>0</v>
      </c>
      <c r="K101" s="34" t="n">
        <f aca="false">IF(IF(AND(N($F15)&gt;0,8&gt;=$F15),N($E15),N($D15))=0,0,MAX(0,K72/(1-V_Merma)-IF(AND(N($F15)&gt;0,8&gt;=$F15),N($E15),N($D15))))</f>
        <v>0</v>
      </c>
      <c r="L101" s="34" t="n">
        <f aca="false">IF(IF(AND(N($F15)&gt;0,9&gt;=$F15),N($E15),N($D15))=0,0,MAX(0,L72/(1-V_Merma)-IF(AND(N($F15)&gt;0,9&gt;=$F15),N($E15),N($D15))))</f>
        <v>0</v>
      </c>
      <c r="M101" s="34" t="n">
        <f aca="false">IF(IF(AND(N($F15)&gt;0,10&gt;=$F15),N($E15),N($D15))=0,0,MAX(0,M72/(1-V_Merma)-IF(AND(N($F15)&gt;0,10&gt;=$F15),N($E15),N($D15))))</f>
        <v>0</v>
      </c>
      <c r="N101" s="32" t="n">
        <f aca="false">SUMPRODUCT(--(D101:M101&gt;0.5))</f>
        <v>0</v>
      </c>
    </row>
    <row r="102" customFormat="false" ht="15" hidden="false" customHeight="false" outlineLevel="0" collapsed="false">
      <c r="A102" s="6" t="n">
        <v>11</v>
      </c>
      <c r="B102" s="39" t="str">
        <f aca="false">IF(B16="","",B16)</f>
        <v/>
      </c>
      <c r="D102" s="34" t="n">
        <f aca="false">IF(IF(AND(N($F16)&gt;0,1&gt;=$F16),N($E16),N($D16))=0,0,MAX(0,D73/(1-V_Merma)-IF(AND(N($F16)&gt;0,1&gt;=$F16),N($E16),N($D16))))</f>
        <v>0</v>
      </c>
      <c r="E102" s="34" t="n">
        <f aca="false">IF(IF(AND(N($F16)&gt;0,2&gt;=$F16),N($E16),N($D16))=0,0,MAX(0,E73/(1-V_Merma)-IF(AND(N($F16)&gt;0,2&gt;=$F16),N($E16),N($D16))))</f>
        <v>0</v>
      </c>
      <c r="F102" s="34" t="n">
        <f aca="false">IF(IF(AND(N($F16)&gt;0,3&gt;=$F16),N($E16),N($D16))=0,0,MAX(0,F73/(1-V_Merma)-IF(AND(N($F16)&gt;0,3&gt;=$F16),N($E16),N($D16))))</f>
        <v>0</v>
      </c>
      <c r="G102" s="34" t="n">
        <f aca="false">IF(IF(AND(N($F16)&gt;0,4&gt;=$F16),N($E16),N($D16))=0,0,MAX(0,G73/(1-V_Merma)-IF(AND(N($F16)&gt;0,4&gt;=$F16),N($E16),N($D16))))</f>
        <v>0</v>
      </c>
      <c r="H102" s="34" t="n">
        <f aca="false">IF(IF(AND(N($F16)&gt;0,5&gt;=$F16),N($E16),N($D16))=0,0,MAX(0,H73/(1-V_Merma)-IF(AND(N($F16)&gt;0,5&gt;=$F16),N($E16),N($D16))))</f>
        <v>0</v>
      </c>
      <c r="I102" s="34" t="n">
        <f aca="false">IF(IF(AND(N($F16)&gt;0,6&gt;=$F16),N($E16),N($D16))=0,0,MAX(0,I73/(1-V_Merma)-IF(AND(N($F16)&gt;0,6&gt;=$F16),N($E16),N($D16))))</f>
        <v>0</v>
      </c>
      <c r="J102" s="34" t="n">
        <f aca="false">IF(IF(AND(N($F16)&gt;0,7&gt;=$F16),N($E16),N($D16))=0,0,MAX(0,J73/(1-V_Merma)-IF(AND(N($F16)&gt;0,7&gt;=$F16),N($E16),N($D16))))</f>
        <v>0</v>
      </c>
      <c r="K102" s="34" t="n">
        <f aca="false">IF(IF(AND(N($F16)&gt;0,8&gt;=$F16),N($E16),N($D16))=0,0,MAX(0,K73/(1-V_Merma)-IF(AND(N($F16)&gt;0,8&gt;=$F16),N($E16),N($D16))))</f>
        <v>0</v>
      </c>
      <c r="L102" s="34" t="n">
        <f aca="false">IF(IF(AND(N($F16)&gt;0,9&gt;=$F16),N($E16),N($D16))=0,0,MAX(0,L73/(1-V_Merma)-IF(AND(N($F16)&gt;0,9&gt;=$F16),N($E16),N($D16))))</f>
        <v>0</v>
      </c>
      <c r="M102" s="34" t="n">
        <f aca="false">IF(IF(AND(N($F16)&gt;0,10&gt;=$F16),N($E16),N($D16))=0,0,MAX(0,M73/(1-V_Merma)-IF(AND(N($F16)&gt;0,10&gt;=$F16),N($E16),N($D16))))</f>
        <v>0</v>
      </c>
      <c r="N102" s="32" t="n">
        <f aca="false">SUMPRODUCT(--(D102:M102&gt;0.5))</f>
        <v>0</v>
      </c>
    </row>
    <row r="103" customFormat="false" ht="15" hidden="false" customHeight="false" outlineLevel="0" collapsed="false">
      <c r="A103" s="6" t="n">
        <v>12</v>
      </c>
      <c r="B103" s="39" t="str">
        <f aca="false">IF(B17="","",B17)</f>
        <v/>
      </c>
      <c r="D103" s="34" t="n">
        <f aca="false">IF(IF(AND(N($F17)&gt;0,1&gt;=$F17),N($E17),N($D17))=0,0,MAX(0,D74/(1-V_Merma)-IF(AND(N($F17)&gt;0,1&gt;=$F17),N($E17),N($D17))))</f>
        <v>0</v>
      </c>
      <c r="E103" s="34" t="n">
        <f aca="false">IF(IF(AND(N($F17)&gt;0,2&gt;=$F17),N($E17),N($D17))=0,0,MAX(0,E74/(1-V_Merma)-IF(AND(N($F17)&gt;0,2&gt;=$F17),N($E17),N($D17))))</f>
        <v>0</v>
      </c>
      <c r="F103" s="34" t="n">
        <f aca="false">IF(IF(AND(N($F17)&gt;0,3&gt;=$F17),N($E17),N($D17))=0,0,MAX(0,F74/(1-V_Merma)-IF(AND(N($F17)&gt;0,3&gt;=$F17),N($E17),N($D17))))</f>
        <v>0</v>
      </c>
      <c r="G103" s="34" t="n">
        <f aca="false">IF(IF(AND(N($F17)&gt;0,4&gt;=$F17),N($E17),N($D17))=0,0,MAX(0,G74/(1-V_Merma)-IF(AND(N($F17)&gt;0,4&gt;=$F17),N($E17),N($D17))))</f>
        <v>0</v>
      </c>
      <c r="H103" s="34" t="n">
        <f aca="false">IF(IF(AND(N($F17)&gt;0,5&gt;=$F17),N($E17),N($D17))=0,0,MAX(0,H74/(1-V_Merma)-IF(AND(N($F17)&gt;0,5&gt;=$F17),N($E17),N($D17))))</f>
        <v>0</v>
      </c>
      <c r="I103" s="34" t="n">
        <f aca="false">IF(IF(AND(N($F17)&gt;0,6&gt;=$F17),N($E17),N($D17))=0,0,MAX(0,I74/(1-V_Merma)-IF(AND(N($F17)&gt;0,6&gt;=$F17),N($E17),N($D17))))</f>
        <v>0</v>
      </c>
      <c r="J103" s="34" t="n">
        <f aca="false">IF(IF(AND(N($F17)&gt;0,7&gt;=$F17),N($E17),N($D17))=0,0,MAX(0,J74/(1-V_Merma)-IF(AND(N($F17)&gt;0,7&gt;=$F17),N($E17),N($D17))))</f>
        <v>0</v>
      </c>
      <c r="K103" s="34" t="n">
        <f aca="false">IF(IF(AND(N($F17)&gt;0,8&gt;=$F17),N($E17),N($D17))=0,0,MAX(0,K74/(1-V_Merma)-IF(AND(N($F17)&gt;0,8&gt;=$F17),N($E17),N($D17))))</f>
        <v>0</v>
      </c>
      <c r="L103" s="34" t="n">
        <f aca="false">IF(IF(AND(N($F17)&gt;0,9&gt;=$F17),N($E17),N($D17))=0,0,MAX(0,L74/(1-V_Merma)-IF(AND(N($F17)&gt;0,9&gt;=$F17),N($E17),N($D17))))</f>
        <v>0</v>
      </c>
      <c r="M103" s="34" t="n">
        <f aca="false">IF(IF(AND(N($F17)&gt;0,10&gt;=$F17),N($E17),N($D17))=0,0,MAX(0,M74/(1-V_Merma)-IF(AND(N($F17)&gt;0,10&gt;=$F17),N($E17),N($D17))))</f>
        <v>0</v>
      </c>
      <c r="N103" s="32" t="n">
        <f aca="false">SUMPRODUCT(--(D103:M103&gt;0.5))</f>
        <v>0</v>
      </c>
    </row>
    <row r="104" customFormat="false" ht="15" hidden="false" customHeight="false" outlineLevel="0" collapsed="false">
      <c r="A104" s="6" t="n">
        <v>13</v>
      </c>
      <c r="B104" s="39" t="str">
        <f aca="false">IF(B18="","",B18)</f>
        <v/>
      </c>
      <c r="D104" s="34" t="n">
        <f aca="false">IF(IF(AND(N($F18)&gt;0,1&gt;=$F18),N($E18),N($D18))=0,0,MAX(0,D75/(1-V_Merma)-IF(AND(N($F18)&gt;0,1&gt;=$F18),N($E18),N($D18))))</f>
        <v>0</v>
      </c>
      <c r="E104" s="34" t="n">
        <f aca="false">IF(IF(AND(N($F18)&gt;0,2&gt;=$F18),N($E18),N($D18))=0,0,MAX(0,E75/(1-V_Merma)-IF(AND(N($F18)&gt;0,2&gt;=$F18),N($E18),N($D18))))</f>
        <v>0</v>
      </c>
      <c r="F104" s="34" t="n">
        <f aca="false">IF(IF(AND(N($F18)&gt;0,3&gt;=$F18),N($E18),N($D18))=0,0,MAX(0,F75/(1-V_Merma)-IF(AND(N($F18)&gt;0,3&gt;=$F18),N($E18),N($D18))))</f>
        <v>0</v>
      </c>
      <c r="G104" s="34" t="n">
        <f aca="false">IF(IF(AND(N($F18)&gt;0,4&gt;=$F18),N($E18),N($D18))=0,0,MAX(0,G75/(1-V_Merma)-IF(AND(N($F18)&gt;0,4&gt;=$F18),N($E18),N($D18))))</f>
        <v>0</v>
      </c>
      <c r="H104" s="34" t="n">
        <f aca="false">IF(IF(AND(N($F18)&gt;0,5&gt;=$F18),N($E18),N($D18))=0,0,MAX(0,H75/(1-V_Merma)-IF(AND(N($F18)&gt;0,5&gt;=$F18),N($E18),N($D18))))</f>
        <v>0</v>
      </c>
      <c r="I104" s="34" t="n">
        <f aca="false">IF(IF(AND(N($F18)&gt;0,6&gt;=$F18),N($E18),N($D18))=0,0,MAX(0,I75/(1-V_Merma)-IF(AND(N($F18)&gt;0,6&gt;=$F18),N($E18),N($D18))))</f>
        <v>0</v>
      </c>
      <c r="J104" s="34" t="n">
        <f aca="false">IF(IF(AND(N($F18)&gt;0,7&gt;=$F18),N($E18),N($D18))=0,0,MAX(0,J75/(1-V_Merma)-IF(AND(N($F18)&gt;0,7&gt;=$F18),N($E18),N($D18))))</f>
        <v>0</v>
      </c>
      <c r="K104" s="34" t="n">
        <f aca="false">IF(IF(AND(N($F18)&gt;0,8&gt;=$F18),N($E18),N($D18))=0,0,MAX(0,K75/(1-V_Merma)-IF(AND(N($F18)&gt;0,8&gt;=$F18),N($E18),N($D18))))</f>
        <v>0</v>
      </c>
      <c r="L104" s="34" t="n">
        <f aca="false">IF(IF(AND(N($F18)&gt;0,9&gt;=$F18),N($E18),N($D18))=0,0,MAX(0,L75/(1-V_Merma)-IF(AND(N($F18)&gt;0,9&gt;=$F18),N($E18),N($D18))))</f>
        <v>0</v>
      </c>
      <c r="M104" s="34" t="n">
        <f aca="false">IF(IF(AND(N($F18)&gt;0,10&gt;=$F18),N($E18),N($D18))=0,0,MAX(0,M75/(1-V_Merma)-IF(AND(N($F18)&gt;0,10&gt;=$F18),N($E18),N($D18))))</f>
        <v>0</v>
      </c>
      <c r="N104" s="32" t="n">
        <f aca="false">SUMPRODUCT(--(D104:M104&gt;0.5))</f>
        <v>0</v>
      </c>
    </row>
    <row r="105" customFormat="false" ht="15" hidden="false" customHeight="false" outlineLevel="0" collapsed="false">
      <c r="A105" s="6" t="n">
        <v>14</v>
      </c>
      <c r="B105" s="39" t="str">
        <f aca="false">IF(B19="","",B19)</f>
        <v/>
      </c>
      <c r="D105" s="34" t="n">
        <f aca="false">IF(IF(AND(N($F19)&gt;0,1&gt;=$F19),N($E19),N($D19))=0,0,MAX(0,D76/(1-V_Merma)-IF(AND(N($F19)&gt;0,1&gt;=$F19),N($E19),N($D19))))</f>
        <v>0</v>
      </c>
      <c r="E105" s="34" t="n">
        <f aca="false">IF(IF(AND(N($F19)&gt;0,2&gt;=$F19),N($E19),N($D19))=0,0,MAX(0,E76/(1-V_Merma)-IF(AND(N($F19)&gt;0,2&gt;=$F19),N($E19),N($D19))))</f>
        <v>0</v>
      </c>
      <c r="F105" s="34" t="n">
        <f aca="false">IF(IF(AND(N($F19)&gt;0,3&gt;=$F19),N($E19),N($D19))=0,0,MAX(0,F76/(1-V_Merma)-IF(AND(N($F19)&gt;0,3&gt;=$F19),N($E19),N($D19))))</f>
        <v>0</v>
      </c>
      <c r="G105" s="34" t="n">
        <f aca="false">IF(IF(AND(N($F19)&gt;0,4&gt;=$F19),N($E19),N($D19))=0,0,MAX(0,G76/(1-V_Merma)-IF(AND(N($F19)&gt;0,4&gt;=$F19),N($E19),N($D19))))</f>
        <v>0</v>
      </c>
      <c r="H105" s="34" t="n">
        <f aca="false">IF(IF(AND(N($F19)&gt;0,5&gt;=$F19),N($E19),N($D19))=0,0,MAX(0,H76/(1-V_Merma)-IF(AND(N($F19)&gt;0,5&gt;=$F19),N($E19),N($D19))))</f>
        <v>0</v>
      </c>
      <c r="I105" s="34" t="n">
        <f aca="false">IF(IF(AND(N($F19)&gt;0,6&gt;=$F19),N($E19),N($D19))=0,0,MAX(0,I76/(1-V_Merma)-IF(AND(N($F19)&gt;0,6&gt;=$F19),N($E19),N($D19))))</f>
        <v>0</v>
      </c>
      <c r="J105" s="34" t="n">
        <f aca="false">IF(IF(AND(N($F19)&gt;0,7&gt;=$F19),N($E19),N($D19))=0,0,MAX(0,J76/(1-V_Merma)-IF(AND(N($F19)&gt;0,7&gt;=$F19),N($E19),N($D19))))</f>
        <v>0</v>
      </c>
      <c r="K105" s="34" t="n">
        <f aca="false">IF(IF(AND(N($F19)&gt;0,8&gt;=$F19),N($E19),N($D19))=0,0,MAX(0,K76/(1-V_Merma)-IF(AND(N($F19)&gt;0,8&gt;=$F19),N($E19),N($D19))))</f>
        <v>0</v>
      </c>
      <c r="L105" s="34" t="n">
        <f aca="false">IF(IF(AND(N($F19)&gt;0,9&gt;=$F19),N($E19),N($D19))=0,0,MAX(0,L76/(1-V_Merma)-IF(AND(N($F19)&gt;0,9&gt;=$F19),N($E19),N($D19))))</f>
        <v>0</v>
      </c>
      <c r="M105" s="34" t="n">
        <f aca="false">IF(IF(AND(N($F19)&gt;0,10&gt;=$F19),N($E19),N($D19))=0,0,MAX(0,M76/(1-V_Merma)-IF(AND(N($F19)&gt;0,10&gt;=$F19),N($E19),N($D19))))</f>
        <v>0</v>
      </c>
      <c r="N105" s="32" t="n">
        <f aca="false">SUMPRODUCT(--(D105:M105&gt;0.5))</f>
        <v>0</v>
      </c>
    </row>
    <row r="106" customFormat="false" ht="15" hidden="false" customHeight="false" outlineLevel="0" collapsed="false">
      <c r="A106" s="6" t="n">
        <v>15</v>
      </c>
      <c r="B106" s="39" t="str">
        <f aca="false">IF(B20="","",B20)</f>
        <v/>
      </c>
      <c r="D106" s="34" t="n">
        <f aca="false">IF(IF(AND(N($F20)&gt;0,1&gt;=$F20),N($E20),N($D20))=0,0,MAX(0,D77/(1-V_Merma)-IF(AND(N($F20)&gt;0,1&gt;=$F20),N($E20),N($D20))))</f>
        <v>0</v>
      </c>
      <c r="E106" s="34" t="n">
        <f aca="false">IF(IF(AND(N($F20)&gt;0,2&gt;=$F20),N($E20),N($D20))=0,0,MAX(0,E77/(1-V_Merma)-IF(AND(N($F20)&gt;0,2&gt;=$F20),N($E20),N($D20))))</f>
        <v>0</v>
      </c>
      <c r="F106" s="34" t="n">
        <f aca="false">IF(IF(AND(N($F20)&gt;0,3&gt;=$F20),N($E20),N($D20))=0,0,MAX(0,F77/(1-V_Merma)-IF(AND(N($F20)&gt;0,3&gt;=$F20),N($E20),N($D20))))</f>
        <v>0</v>
      </c>
      <c r="G106" s="34" t="n">
        <f aca="false">IF(IF(AND(N($F20)&gt;0,4&gt;=$F20),N($E20),N($D20))=0,0,MAX(0,G77/(1-V_Merma)-IF(AND(N($F20)&gt;0,4&gt;=$F20),N($E20),N($D20))))</f>
        <v>0</v>
      </c>
      <c r="H106" s="34" t="n">
        <f aca="false">IF(IF(AND(N($F20)&gt;0,5&gt;=$F20),N($E20),N($D20))=0,0,MAX(0,H77/(1-V_Merma)-IF(AND(N($F20)&gt;0,5&gt;=$F20),N($E20),N($D20))))</f>
        <v>0</v>
      </c>
      <c r="I106" s="34" t="n">
        <f aca="false">IF(IF(AND(N($F20)&gt;0,6&gt;=$F20),N($E20),N($D20))=0,0,MAX(0,I77/(1-V_Merma)-IF(AND(N($F20)&gt;0,6&gt;=$F20),N($E20),N($D20))))</f>
        <v>0</v>
      </c>
      <c r="J106" s="34" t="n">
        <f aca="false">IF(IF(AND(N($F20)&gt;0,7&gt;=$F20),N($E20),N($D20))=0,0,MAX(0,J77/(1-V_Merma)-IF(AND(N($F20)&gt;0,7&gt;=$F20),N($E20),N($D20))))</f>
        <v>0</v>
      </c>
      <c r="K106" s="34" t="n">
        <f aca="false">IF(IF(AND(N($F20)&gt;0,8&gt;=$F20),N($E20),N($D20))=0,0,MAX(0,K77/(1-V_Merma)-IF(AND(N($F20)&gt;0,8&gt;=$F20),N($E20),N($D20))))</f>
        <v>0</v>
      </c>
      <c r="L106" s="34" t="n">
        <f aca="false">IF(IF(AND(N($F20)&gt;0,9&gt;=$F20),N($E20),N($D20))=0,0,MAX(0,L77/(1-V_Merma)-IF(AND(N($F20)&gt;0,9&gt;=$F20),N($E20),N($D20))))</f>
        <v>0</v>
      </c>
      <c r="M106" s="34" t="n">
        <f aca="false">IF(IF(AND(N($F20)&gt;0,10&gt;=$F20),N($E20),N($D20))=0,0,MAX(0,M77/(1-V_Merma)-IF(AND(N($F20)&gt;0,10&gt;=$F20),N($E20),N($D20))))</f>
        <v>0</v>
      </c>
      <c r="N106" s="32" t="n">
        <f aca="false">SUMPRODUCT(--(D106:M106&gt;0.5))</f>
        <v>0</v>
      </c>
    </row>
    <row r="107" customFormat="false" ht="15" hidden="false" customHeight="false" outlineLevel="0" collapsed="false">
      <c r="A107" s="6" t="n">
        <v>16</v>
      </c>
      <c r="B107" s="39" t="str">
        <f aca="false">IF(B21="","",B21)</f>
        <v/>
      </c>
      <c r="D107" s="34" t="n">
        <f aca="false">IF(IF(AND(N($F21)&gt;0,1&gt;=$F21),N($E21),N($D21))=0,0,MAX(0,D78/(1-V_Merma)-IF(AND(N($F21)&gt;0,1&gt;=$F21),N($E21),N($D21))))</f>
        <v>0</v>
      </c>
      <c r="E107" s="34" t="n">
        <f aca="false">IF(IF(AND(N($F21)&gt;0,2&gt;=$F21),N($E21),N($D21))=0,0,MAX(0,E78/(1-V_Merma)-IF(AND(N($F21)&gt;0,2&gt;=$F21),N($E21),N($D21))))</f>
        <v>0</v>
      </c>
      <c r="F107" s="34" t="n">
        <f aca="false">IF(IF(AND(N($F21)&gt;0,3&gt;=$F21),N($E21),N($D21))=0,0,MAX(0,F78/(1-V_Merma)-IF(AND(N($F21)&gt;0,3&gt;=$F21),N($E21),N($D21))))</f>
        <v>0</v>
      </c>
      <c r="G107" s="34" t="n">
        <f aca="false">IF(IF(AND(N($F21)&gt;0,4&gt;=$F21),N($E21),N($D21))=0,0,MAX(0,G78/(1-V_Merma)-IF(AND(N($F21)&gt;0,4&gt;=$F21),N($E21),N($D21))))</f>
        <v>0</v>
      </c>
      <c r="H107" s="34" t="n">
        <f aca="false">IF(IF(AND(N($F21)&gt;0,5&gt;=$F21),N($E21),N($D21))=0,0,MAX(0,H78/(1-V_Merma)-IF(AND(N($F21)&gt;0,5&gt;=$F21),N($E21),N($D21))))</f>
        <v>0</v>
      </c>
      <c r="I107" s="34" t="n">
        <f aca="false">IF(IF(AND(N($F21)&gt;0,6&gt;=$F21),N($E21),N($D21))=0,0,MAX(0,I78/(1-V_Merma)-IF(AND(N($F21)&gt;0,6&gt;=$F21),N($E21),N($D21))))</f>
        <v>0</v>
      </c>
      <c r="J107" s="34" t="n">
        <f aca="false">IF(IF(AND(N($F21)&gt;0,7&gt;=$F21),N($E21),N($D21))=0,0,MAX(0,J78/(1-V_Merma)-IF(AND(N($F21)&gt;0,7&gt;=$F21),N($E21),N($D21))))</f>
        <v>0</v>
      </c>
      <c r="K107" s="34" t="n">
        <f aca="false">IF(IF(AND(N($F21)&gt;0,8&gt;=$F21),N($E21),N($D21))=0,0,MAX(0,K78/(1-V_Merma)-IF(AND(N($F21)&gt;0,8&gt;=$F21),N($E21),N($D21))))</f>
        <v>0</v>
      </c>
      <c r="L107" s="34" t="n">
        <f aca="false">IF(IF(AND(N($F21)&gt;0,9&gt;=$F21),N($E21),N($D21))=0,0,MAX(0,L78/(1-V_Merma)-IF(AND(N($F21)&gt;0,9&gt;=$F21),N($E21),N($D21))))</f>
        <v>0</v>
      </c>
      <c r="M107" s="34" t="n">
        <f aca="false">IF(IF(AND(N($F21)&gt;0,10&gt;=$F21),N($E21),N($D21))=0,0,MAX(0,M78/(1-V_Merma)-IF(AND(N($F21)&gt;0,10&gt;=$F21),N($E21),N($D21))))</f>
        <v>0</v>
      </c>
      <c r="N107" s="32" t="n">
        <f aca="false">SUMPRODUCT(--(D107:M107&gt;0.5))</f>
        <v>0</v>
      </c>
    </row>
    <row r="108" customFormat="false" ht="15" hidden="false" customHeight="false" outlineLevel="0" collapsed="false">
      <c r="A108" s="6" t="n">
        <v>17</v>
      </c>
      <c r="B108" s="39" t="str">
        <f aca="false">IF(B22="","",B22)</f>
        <v/>
      </c>
      <c r="D108" s="34" t="n">
        <f aca="false">IF(IF(AND(N($F22)&gt;0,1&gt;=$F22),N($E22),N($D22))=0,0,MAX(0,D79/(1-V_Merma)-IF(AND(N($F22)&gt;0,1&gt;=$F22),N($E22),N($D22))))</f>
        <v>0</v>
      </c>
      <c r="E108" s="34" t="n">
        <f aca="false">IF(IF(AND(N($F22)&gt;0,2&gt;=$F22),N($E22),N($D22))=0,0,MAX(0,E79/(1-V_Merma)-IF(AND(N($F22)&gt;0,2&gt;=$F22),N($E22),N($D22))))</f>
        <v>0</v>
      </c>
      <c r="F108" s="34" t="n">
        <f aca="false">IF(IF(AND(N($F22)&gt;0,3&gt;=$F22),N($E22),N($D22))=0,0,MAX(0,F79/(1-V_Merma)-IF(AND(N($F22)&gt;0,3&gt;=$F22),N($E22),N($D22))))</f>
        <v>0</v>
      </c>
      <c r="G108" s="34" t="n">
        <f aca="false">IF(IF(AND(N($F22)&gt;0,4&gt;=$F22),N($E22),N($D22))=0,0,MAX(0,G79/(1-V_Merma)-IF(AND(N($F22)&gt;0,4&gt;=$F22),N($E22),N($D22))))</f>
        <v>0</v>
      </c>
      <c r="H108" s="34" t="n">
        <f aca="false">IF(IF(AND(N($F22)&gt;0,5&gt;=$F22),N($E22),N($D22))=0,0,MAX(0,H79/(1-V_Merma)-IF(AND(N($F22)&gt;0,5&gt;=$F22),N($E22),N($D22))))</f>
        <v>0</v>
      </c>
      <c r="I108" s="34" t="n">
        <f aca="false">IF(IF(AND(N($F22)&gt;0,6&gt;=$F22),N($E22),N($D22))=0,0,MAX(0,I79/(1-V_Merma)-IF(AND(N($F22)&gt;0,6&gt;=$F22),N($E22),N($D22))))</f>
        <v>0</v>
      </c>
      <c r="J108" s="34" t="n">
        <f aca="false">IF(IF(AND(N($F22)&gt;0,7&gt;=$F22),N($E22),N($D22))=0,0,MAX(0,J79/(1-V_Merma)-IF(AND(N($F22)&gt;0,7&gt;=$F22),N($E22),N($D22))))</f>
        <v>0</v>
      </c>
      <c r="K108" s="34" t="n">
        <f aca="false">IF(IF(AND(N($F22)&gt;0,8&gt;=$F22),N($E22),N($D22))=0,0,MAX(0,K79/(1-V_Merma)-IF(AND(N($F22)&gt;0,8&gt;=$F22),N($E22),N($D22))))</f>
        <v>0</v>
      </c>
      <c r="L108" s="34" t="n">
        <f aca="false">IF(IF(AND(N($F22)&gt;0,9&gt;=$F22),N($E22),N($D22))=0,0,MAX(0,L79/(1-V_Merma)-IF(AND(N($F22)&gt;0,9&gt;=$F22),N($E22),N($D22))))</f>
        <v>0</v>
      </c>
      <c r="M108" s="34" t="n">
        <f aca="false">IF(IF(AND(N($F22)&gt;0,10&gt;=$F22),N($E22),N($D22))=0,0,MAX(0,M79/(1-V_Merma)-IF(AND(N($F22)&gt;0,10&gt;=$F22),N($E22),N($D22))))</f>
        <v>0</v>
      </c>
      <c r="N108" s="32" t="n">
        <f aca="false">SUMPRODUCT(--(D108:M108&gt;0.5))</f>
        <v>0</v>
      </c>
    </row>
    <row r="109" customFormat="false" ht="15" hidden="false" customHeight="false" outlineLevel="0" collapsed="false">
      <c r="A109" s="6" t="n">
        <v>18</v>
      </c>
      <c r="B109" s="39" t="str">
        <f aca="false">IF(B23="","",B23)</f>
        <v/>
      </c>
      <c r="D109" s="34" t="n">
        <f aca="false">IF(IF(AND(N($F23)&gt;0,1&gt;=$F23),N($E23),N($D23))=0,0,MAX(0,D80/(1-V_Merma)-IF(AND(N($F23)&gt;0,1&gt;=$F23),N($E23),N($D23))))</f>
        <v>0</v>
      </c>
      <c r="E109" s="34" t="n">
        <f aca="false">IF(IF(AND(N($F23)&gt;0,2&gt;=$F23),N($E23),N($D23))=0,0,MAX(0,E80/(1-V_Merma)-IF(AND(N($F23)&gt;0,2&gt;=$F23),N($E23),N($D23))))</f>
        <v>0</v>
      </c>
      <c r="F109" s="34" t="n">
        <f aca="false">IF(IF(AND(N($F23)&gt;0,3&gt;=$F23),N($E23),N($D23))=0,0,MAX(0,F80/(1-V_Merma)-IF(AND(N($F23)&gt;0,3&gt;=$F23),N($E23),N($D23))))</f>
        <v>0</v>
      </c>
      <c r="G109" s="34" t="n">
        <f aca="false">IF(IF(AND(N($F23)&gt;0,4&gt;=$F23),N($E23),N($D23))=0,0,MAX(0,G80/(1-V_Merma)-IF(AND(N($F23)&gt;0,4&gt;=$F23),N($E23),N($D23))))</f>
        <v>0</v>
      </c>
      <c r="H109" s="34" t="n">
        <f aca="false">IF(IF(AND(N($F23)&gt;0,5&gt;=$F23),N($E23),N($D23))=0,0,MAX(0,H80/(1-V_Merma)-IF(AND(N($F23)&gt;0,5&gt;=$F23),N($E23),N($D23))))</f>
        <v>0</v>
      </c>
      <c r="I109" s="34" t="n">
        <f aca="false">IF(IF(AND(N($F23)&gt;0,6&gt;=$F23),N($E23),N($D23))=0,0,MAX(0,I80/(1-V_Merma)-IF(AND(N($F23)&gt;0,6&gt;=$F23),N($E23),N($D23))))</f>
        <v>0</v>
      </c>
      <c r="J109" s="34" t="n">
        <f aca="false">IF(IF(AND(N($F23)&gt;0,7&gt;=$F23),N($E23),N($D23))=0,0,MAX(0,J80/(1-V_Merma)-IF(AND(N($F23)&gt;0,7&gt;=$F23),N($E23),N($D23))))</f>
        <v>0</v>
      </c>
      <c r="K109" s="34" t="n">
        <f aca="false">IF(IF(AND(N($F23)&gt;0,8&gt;=$F23),N($E23),N($D23))=0,0,MAX(0,K80/(1-V_Merma)-IF(AND(N($F23)&gt;0,8&gt;=$F23),N($E23),N($D23))))</f>
        <v>0</v>
      </c>
      <c r="L109" s="34" t="n">
        <f aca="false">IF(IF(AND(N($F23)&gt;0,9&gt;=$F23),N($E23),N($D23))=0,0,MAX(0,L80/(1-V_Merma)-IF(AND(N($F23)&gt;0,9&gt;=$F23),N($E23),N($D23))))</f>
        <v>0</v>
      </c>
      <c r="M109" s="34" t="n">
        <f aca="false">IF(IF(AND(N($F23)&gt;0,10&gt;=$F23),N($E23),N($D23))=0,0,MAX(0,M80/(1-V_Merma)-IF(AND(N($F23)&gt;0,10&gt;=$F23),N($E23),N($D23))))</f>
        <v>0</v>
      </c>
      <c r="N109" s="32" t="n">
        <f aca="false">SUMPRODUCT(--(D109:M109&gt;0.5))</f>
        <v>0</v>
      </c>
    </row>
    <row r="110" customFormat="false" ht="15" hidden="false" customHeight="false" outlineLevel="0" collapsed="false">
      <c r="A110" s="6" t="n">
        <v>19</v>
      </c>
      <c r="B110" s="39" t="str">
        <f aca="false">IF(B24="","",B24)</f>
        <v/>
      </c>
      <c r="D110" s="34" t="n">
        <f aca="false">IF(IF(AND(N($F24)&gt;0,1&gt;=$F24),N($E24),N($D24))=0,0,MAX(0,D81/(1-V_Merma)-IF(AND(N($F24)&gt;0,1&gt;=$F24),N($E24),N($D24))))</f>
        <v>0</v>
      </c>
      <c r="E110" s="34" t="n">
        <f aca="false">IF(IF(AND(N($F24)&gt;0,2&gt;=$F24),N($E24),N($D24))=0,0,MAX(0,E81/(1-V_Merma)-IF(AND(N($F24)&gt;0,2&gt;=$F24),N($E24),N($D24))))</f>
        <v>0</v>
      </c>
      <c r="F110" s="34" t="n">
        <f aca="false">IF(IF(AND(N($F24)&gt;0,3&gt;=$F24),N($E24),N($D24))=0,0,MAX(0,F81/(1-V_Merma)-IF(AND(N($F24)&gt;0,3&gt;=$F24),N($E24),N($D24))))</f>
        <v>0</v>
      </c>
      <c r="G110" s="34" t="n">
        <f aca="false">IF(IF(AND(N($F24)&gt;0,4&gt;=$F24),N($E24),N($D24))=0,0,MAX(0,G81/(1-V_Merma)-IF(AND(N($F24)&gt;0,4&gt;=$F24),N($E24),N($D24))))</f>
        <v>0</v>
      </c>
      <c r="H110" s="34" t="n">
        <f aca="false">IF(IF(AND(N($F24)&gt;0,5&gt;=$F24),N($E24),N($D24))=0,0,MAX(0,H81/(1-V_Merma)-IF(AND(N($F24)&gt;0,5&gt;=$F24),N($E24),N($D24))))</f>
        <v>0</v>
      </c>
      <c r="I110" s="34" t="n">
        <f aca="false">IF(IF(AND(N($F24)&gt;0,6&gt;=$F24),N($E24),N($D24))=0,0,MAX(0,I81/(1-V_Merma)-IF(AND(N($F24)&gt;0,6&gt;=$F24),N($E24),N($D24))))</f>
        <v>0</v>
      </c>
      <c r="J110" s="34" t="n">
        <f aca="false">IF(IF(AND(N($F24)&gt;0,7&gt;=$F24),N($E24),N($D24))=0,0,MAX(0,J81/(1-V_Merma)-IF(AND(N($F24)&gt;0,7&gt;=$F24),N($E24),N($D24))))</f>
        <v>0</v>
      </c>
      <c r="K110" s="34" t="n">
        <f aca="false">IF(IF(AND(N($F24)&gt;0,8&gt;=$F24),N($E24),N($D24))=0,0,MAX(0,K81/(1-V_Merma)-IF(AND(N($F24)&gt;0,8&gt;=$F24),N($E24),N($D24))))</f>
        <v>0</v>
      </c>
      <c r="L110" s="34" t="n">
        <f aca="false">IF(IF(AND(N($F24)&gt;0,9&gt;=$F24),N($E24),N($D24))=0,0,MAX(0,L81/(1-V_Merma)-IF(AND(N($F24)&gt;0,9&gt;=$F24),N($E24),N($D24))))</f>
        <v>0</v>
      </c>
      <c r="M110" s="34" t="n">
        <f aca="false">IF(IF(AND(N($F24)&gt;0,10&gt;=$F24),N($E24),N($D24))=0,0,MAX(0,M81/(1-V_Merma)-IF(AND(N($F24)&gt;0,10&gt;=$F24),N($E24),N($D24))))</f>
        <v>0</v>
      </c>
      <c r="N110" s="32" t="n">
        <f aca="false">SUMPRODUCT(--(D110:M110&gt;0.5))</f>
        <v>0</v>
      </c>
    </row>
    <row r="111" customFormat="false" ht="15" hidden="false" customHeight="false" outlineLevel="0" collapsed="false">
      <c r="A111" s="6" t="n">
        <v>20</v>
      </c>
      <c r="B111" s="39" t="str">
        <f aca="false">IF(B25="","",B25)</f>
        <v/>
      </c>
      <c r="D111" s="34" t="n">
        <f aca="false">IF(IF(AND(N($F25)&gt;0,1&gt;=$F25),N($E25),N($D25))=0,0,MAX(0,D82/(1-V_Merma)-IF(AND(N($F25)&gt;0,1&gt;=$F25),N($E25),N($D25))))</f>
        <v>0</v>
      </c>
      <c r="E111" s="34" t="n">
        <f aca="false">IF(IF(AND(N($F25)&gt;0,2&gt;=$F25),N($E25),N($D25))=0,0,MAX(0,E82/(1-V_Merma)-IF(AND(N($F25)&gt;0,2&gt;=$F25),N($E25),N($D25))))</f>
        <v>0</v>
      </c>
      <c r="F111" s="34" t="n">
        <f aca="false">IF(IF(AND(N($F25)&gt;0,3&gt;=$F25),N($E25),N($D25))=0,0,MAX(0,F82/(1-V_Merma)-IF(AND(N($F25)&gt;0,3&gt;=$F25),N($E25),N($D25))))</f>
        <v>0</v>
      </c>
      <c r="G111" s="34" t="n">
        <f aca="false">IF(IF(AND(N($F25)&gt;0,4&gt;=$F25),N($E25),N($D25))=0,0,MAX(0,G82/(1-V_Merma)-IF(AND(N($F25)&gt;0,4&gt;=$F25),N($E25),N($D25))))</f>
        <v>0</v>
      </c>
      <c r="H111" s="34" t="n">
        <f aca="false">IF(IF(AND(N($F25)&gt;0,5&gt;=$F25),N($E25),N($D25))=0,0,MAX(0,H82/(1-V_Merma)-IF(AND(N($F25)&gt;0,5&gt;=$F25),N($E25),N($D25))))</f>
        <v>0</v>
      </c>
      <c r="I111" s="34" t="n">
        <f aca="false">IF(IF(AND(N($F25)&gt;0,6&gt;=$F25),N($E25),N($D25))=0,0,MAX(0,I82/(1-V_Merma)-IF(AND(N($F25)&gt;0,6&gt;=$F25),N($E25),N($D25))))</f>
        <v>0</v>
      </c>
      <c r="J111" s="34" t="n">
        <f aca="false">IF(IF(AND(N($F25)&gt;0,7&gt;=$F25),N($E25),N($D25))=0,0,MAX(0,J82/(1-V_Merma)-IF(AND(N($F25)&gt;0,7&gt;=$F25),N($E25),N($D25))))</f>
        <v>0</v>
      </c>
      <c r="K111" s="34" t="n">
        <f aca="false">IF(IF(AND(N($F25)&gt;0,8&gt;=$F25),N($E25),N($D25))=0,0,MAX(0,K82/(1-V_Merma)-IF(AND(N($F25)&gt;0,8&gt;=$F25),N($E25),N($D25))))</f>
        <v>0</v>
      </c>
      <c r="L111" s="34" t="n">
        <f aca="false">IF(IF(AND(N($F25)&gt;0,9&gt;=$F25),N($E25),N($D25))=0,0,MAX(0,L82/(1-V_Merma)-IF(AND(N($F25)&gt;0,9&gt;=$F25),N($E25),N($D25))))</f>
        <v>0</v>
      </c>
      <c r="M111" s="34" t="n">
        <f aca="false">IF(IF(AND(N($F25)&gt;0,10&gt;=$F25),N($E25),N($D25))=0,0,MAX(0,M82/(1-V_Merma)-IF(AND(N($F25)&gt;0,10&gt;=$F25),N($E25),N($D25))))</f>
        <v>0</v>
      </c>
      <c r="N111" s="32" t="n">
        <f aca="false">SUMPRODUCT(--(D111:M111&gt;0.5))</f>
        <v>0</v>
      </c>
    </row>
    <row r="112" customFormat="false" ht="15" hidden="false" customHeight="false" outlineLevel="0" collapsed="false">
      <c r="A112" s="6" t="n">
        <v>21</v>
      </c>
      <c r="B112" s="39" t="str">
        <f aca="false">IF(B26="","",B26)</f>
        <v/>
      </c>
      <c r="D112" s="34" t="n">
        <f aca="false">IF(IF(AND(N($F26)&gt;0,1&gt;=$F26),N($E26),N($D26))=0,0,MAX(0,D83/(1-V_Merma)-IF(AND(N($F26)&gt;0,1&gt;=$F26),N($E26),N($D26))))</f>
        <v>0</v>
      </c>
      <c r="E112" s="34" t="n">
        <f aca="false">IF(IF(AND(N($F26)&gt;0,2&gt;=$F26),N($E26),N($D26))=0,0,MAX(0,E83/(1-V_Merma)-IF(AND(N($F26)&gt;0,2&gt;=$F26),N($E26),N($D26))))</f>
        <v>0</v>
      </c>
      <c r="F112" s="34" t="n">
        <f aca="false">IF(IF(AND(N($F26)&gt;0,3&gt;=$F26),N($E26),N($D26))=0,0,MAX(0,F83/(1-V_Merma)-IF(AND(N($F26)&gt;0,3&gt;=$F26),N($E26),N($D26))))</f>
        <v>0</v>
      </c>
      <c r="G112" s="34" t="n">
        <f aca="false">IF(IF(AND(N($F26)&gt;0,4&gt;=$F26),N($E26),N($D26))=0,0,MAX(0,G83/(1-V_Merma)-IF(AND(N($F26)&gt;0,4&gt;=$F26),N($E26),N($D26))))</f>
        <v>0</v>
      </c>
      <c r="H112" s="34" t="n">
        <f aca="false">IF(IF(AND(N($F26)&gt;0,5&gt;=$F26),N($E26),N($D26))=0,0,MAX(0,H83/(1-V_Merma)-IF(AND(N($F26)&gt;0,5&gt;=$F26),N($E26),N($D26))))</f>
        <v>0</v>
      </c>
      <c r="I112" s="34" t="n">
        <f aca="false">IF(IF(AND(N($F26)&gt;0,6&gt;=$F26),N($E26),N($D26))=0,0,MAX(0,I83/(1-V_Merma)-IF(AND(N($F26)&gt;0,6&gt;=$F26),N($E26),N($D26))))</f>
        <v>0</v>
      </c>
      <c r="J112" s="34" t="n">
        <f aca="false">IF(IF(AND(N($F26)&gt;0,7&gt;=$F26),N($E26),N($D26))=0,0,MAX(0,J83/(1-V_Merma)-IF(AND(N($F26)&gt;0,7&gt;=$F26),N($E26),N($D26))))</f>
        <v>0</v>
      </c>
      <c r="K112" s="34" t="n">
        <f aca="false">IF(IF(AND(N($F26)&gt;0,8&gt;=$F26),N($E26),N($D26))=0,0,MAX(0,K83/(1-V_Merma)-IF(AND(N($F26)&gt;0,8&gt;=$F26),N($E26),N($D26))))</f>
        <v>0</v>
      </c>
      <c r="L112" s="34" t="n">
        <f aca="false">IF(IF(AND(N($F26)&gt;0,9&gt;=$F26),N($E26),N($D26))=0,0,MAX(0,L83/(1-V_Merma)-IF(AND(N($F26)&gt;0,9&gt;=$F26),N($E26),N($D26))))</f>
        <v>0</v>
      </c>
      <c r="M112" s="34" t="n">
        <f aca="false">IF(IF(AND(N($F26)&gt;0,10&gt;=$F26),N($E26),N($D26))=0,0,MAX(0,M83/(1-V_Merma)-IF(AND(N($F26)&gt;0,10&gt;=$F26),N($E26),N($D26))))</f>
        <v>0</v>
      </c>
      <c r="N112" s="32" t="n">
        <f aca="false">SUMPRODUCT(--(D112:M112&gt;0.5))</f>
        <v>0</v>
      </c>
    </row>
    <row r="113" customFormat="false" ht="15" hidden="false" customHeight="false" outlineLevel="0" collapsed="false">
      <c r="A113" s="6" t="n">
        <v>22</v>
      </c>
      <c r="B113" s="39" t="str">
        <f aca="false">IF(B27="","",B27)</f>
        <v/>
      </c>
      <c r="D113" s="34" t="n">
        <f aca="false">IF(IF(AND(N($F27)&gt;0,1&gt;=$F27),N($E27),N($D27))=0,0,MAX(0,D84/(1-V_Merma)-IF(AND(N($F27)&gt;0,1&gt;=$F27),N($E27),N($D27))))</f>
        <v>0</v>
      </c>
      <c r="E113" s="34" t="n">
        <f aca="false">IF(IF(AND(N($F27)&gt;0,2&gt;=$F27),N($E27),N($D27))=0,0,MAX(0,E84/(1-V_Merma)-IF(AND(N($F27)&gt;0,2&gt;=$F27),N($E27),N($D27))))</f>
        <v>0</v>
      </c>
      <c r="F113" s="34" t="n">
        <f aca="false">IF(IF(AND(N($F27)&gt;0,3&gt;=$F27),N($E27),N($D27))=0,0,MAX(0,F84/(1-V_Merma)-IF(AND(N($F27)&gt;0,3&gt;=$F27),N($E27),N($D27))))</f>
        <v>0</v>
      </c>
      <c r="G113" s="34" t="n">
        <f aca="false">IF(IF(AND(N($F27)&gt;0,4&gt;=$F27),N($E27),N($D27))=0,0,MAX(0,G84/(1-V_Merma)-IF(AND(N($F27)&gt;0,4&gt;=$F27),N($E27),N($D27))))</f>
        <v>0</v>
      </c>
      <c r="H113" s="34" t="n">
        <f aca="false">IF(IF(AND(N($F27)&gt;0,5&gt;=$F27),N($E27),N($D27))=0,0,MAX(0,H84/(1-V_Merma)-IF(AND(N($F27)&gt;0,5&gt;=$F27),N($E27),N($D27))))</f>
        <v>0</v>
      </c>
      <c r="I113" s="34" t="n">
        <f aca="false">IF(IF(AND(N($F27)&gt;0,6&gt;=$F27),N($E27),N($D27))=0,0,MAX(0,I84/(1-V_Merma)-IF(AND(N($F27)&gt;0,6&gt;=$F27),N($E27),N($D27))))</f>
        <v>0</v>
      </c>
      <c r="J113" s="34" t="n">
        <f aca="false">IF(IF(AND(N($F27)&gt;0,7&gt;=$F27),N($E27),N($D27))=0,0,MAX(0,J84/(1-V_Merma)-IF(AND(N($F27)&gt;0,7&gt;=$F27),N($E27),N($D27))))</f>
        <v>0</v>
      </c>
      <c r="K113" s="34" t="n">
        <f aca="false">IF(IF(AND(N($F27)&gt;0,8&gt;=$F27),N($E27),N($D27))=0,0,MAX(0,K84/(1-V_Merma)-IF(AND(N($F27)&gt;0,8&gt;=$F27),N($E27),N($D27))))</f>
        <v>0</v>
      </c>
      <c r="L113" s="34" t="n">
        <f aca="false">IF(IF(AND(N($F27)&gt;0,9&gt;=$F27),N($E27),N($D27))=0,0,MAX(0,L84/(1-V_Merma)-IF(AND(N($F27)&gt;0,9&gt;=$F27),N($E27),N($D27))))</f>
        <v>0</v>
      </c>
      <c r="M113" s="34" t="n">
        <f aca="false">IF(IF(AND(N($F27)&gt;0,10&gt;=$F27),N($E27),N($D27))=0,0,MAX(0,M84/(1-V_Merma)-IF(AND(N($F27)&gt;0,10&gt;=$F27),N($E27),N($D27))))</f>
        <v>0</v>
      </c>
      <c r="N113" s="32" t="n">
        <f aca="false">SUMPRODUCT(--(D113:M113&gt;0.5))</f>
        <v>0</v>
      </c>
    </row>
    <row r="114" customFormat="false" ht="15" hidden="false" customHeight="false" outlineLevel="0" collapsed="false">
      <c r="A114" s="6" t="n">
        <v>23</v>
      </c>
      <c r="B114" s="39" t="str">
        <f aca="false">IF(B28="","",B28)</f>
        <v/>
      </c>
      <c r="D114" s="34" t="n">
        <f aca="false">IF(IF(AND(N($F28)&gt;0,1&gt;=$F28),N($E28),N($D28))=0,0,MAX(0,D85/(1-V_Merma)-IF(AND(N($F28)&gt;0,1&gt;=$F28),N($E28),N($D28))))</f>
        <v>0</v>
      </c>
      <c r="E114" s="34" t="n">
        <f aca="false">IF(IF(AND(N($F28)&gt;0,2&gt;=$F28),N($E28),N($D28))=0,0,MAX(0,E85/(1-V_Merma)-IF(AND(N($F28)&gt;0,2&gt;=$F28),N($E28),N($D28))))</f>
        <v>0</v>
      </c>
      <c r="F114" s="34" t="n">
        <f aca="false">IF(IF(AND(N($F28)&gt;0,3&gt;=$F28),N($E28),N($D28))=0,0,MAX(0,F85/(1-V_Merma)-IF(AND(N($F28)&gt;0,3&gt;=$F28),N($E28),N($D28))))</f>
        <v>0</v>
      </c>
      <c r="G114" s="34" t="n">
        <f aca="false">IF(IF(AND(N($F28)&gt;0,4&gt;=$F28),N($E28),N($D28))=0,0,MAX(0,G85/(1-V_Merma)-IF(AND(N($F28)&gt;0,4&gt;=$F28),N($E28),N($D28))))</f>
        <v>0</v>
      </c>
      <c r="H114" s="34" t="n">
        <f aca="false">IF(IF(AND(N($F28)&gt;0,5&gt;=$F28),N($E28),N($D28))=0,0,MAX(0,H85/(1-V_Merma)-IF(AND(N($F28)&gt;0,5&gt;=$F28),N($E28),N($D28))))</f>
        <v>0</v>
      </c>
      <c r="I114" s="34" t="n">
        <f aca="false">IF(IF(AND(N($F28)&gt;0,6&gt;=$F28),N($E28),N($D28))=0,0,MAX(0,I85/(1-V_Merma)-IF(AND(N($F28)&gt;0,6&gt;=$F28),N($E28),N($D28))))</f>
        <v>0</v>
      </c>
      <c r="J114" s="34" t="n">
        <f aca="false">IF(IF(AND(N($F28)&gt;0,7&gt;=$F28),N($E28),N($D28))=0,0,MAX(0,J85/(1-V_Merma)-IF(AND(N($F28)&gt;0,7&gt;=$F28),N($E28),N($D28))))</f>
        <v>0</v>
      </c>
      <c r="K114" s="34" t="n">
        <f aca="false">IF(IF(AND(N($F28)&gt;0,8&gt;=$F28),N($E28),N($D28))=0,0,MAX(0,K85/(1-V_Merma)-IF(AND(N($F28)&gt;0,8&gt;=$F28),N($E28),N($D28))))</f>
        <v>0</v>
      </c>
      <c r="L114" s="34" t="n">
        <f aca="false">IF(IF(AND(N($F28)&gt;0,9&gt;=$F28),N($E28),N($D28))=0,0,MAX(0,L85/(1-V_Merma)-IF(AND(N($F28)&gt;0,9&gt;=$F28),N($E28),N($D28))))</f>
        <v>0</v>
      </c>
      <c r="M114" s="34" t="n">
        <f aca="false">IF(IF(AND(N($F28)&gt;0,10&gt;=$F28),N($E28),N($D28))=0,0,MAX(0,M85/(1-V_Merma)-IF(AND(N($F28)&gt;0,10&gt;=$F28),N($E28),N($D28))))</f>
        <v>0</v>
      </c>
      <c r="N114" s="32" t="n">
        <f aca="false">SUMPRODUCT(--(D114:M114&gt;0.5))</f>
        <v>0</v>
      </c>
    </row>
    <row r="115" customFormat="false" ht="15" hidden="false" customHeight="false" outlineLevel="0" collapsed="false">
      <c r="A115" s="6" t="n">
        <v>24</v>
      </c>
      <c r="B115" s="39" t="str">
        <f aca="false">IF(B29="","",B29)</f>
        <v/>
      </c>
      <c r="D115" s="34" t="n">
        <f aca="false">IF(IF(AND(N($F29)&gt;0,1&gt;=$F29),N($E29),N($D29))=0,0,MAX(0,D86/(1-V_Merma)-IF(AND(N($F29)&gt;0,1&gt;=$F29),N($E29),N($D29))))</f>
        <v>0</v>
      </c>
      <c r="E115" s="34" t="n">
        <f aca="false">IF(IF(AND(N($F29)&gt;0,2&gt;=$F29),N($E29),N($D29))=0,0,MAX(0,E86/(1-V_Merma)-IF(AND(N($F29)&gt;0,2&gt;=$F29),N($E29),N($D29))))</f>
        <v>0</v>
      </c>
      <c r="F115" s="34" t="n">
        <f aca="false">IF(IF(AND(N($F29)&gt;0,3&gt;=$F29),N($E29),N($D29))=0,0,MAX(0,F86/(1-V_Merma)-IF(AND(N($F29)&gt;0,3&gt;=$F29),N($E29),N($D29))))</f>
        <v>0</v>
      </c>
      <c r="G115" s="34" t="n">
        <f aca="false">IF(IF(AND(N($F29)&gt;0,4&gt;=$F29),N($E29),N($D29))=0,0,MAX(0,G86/(1-V_Merma)-IF(AND(N($F29)&gt;0,4&gt;=$F29),N($E29),N($D29))))</f>
        <v>0</v>
      </c>
      <c r="H115" s="34" t="n">
        <f aca="false">IF(IF(AND(N($F29)&gt;0,5&gt;=$F29),N($E29),N($D29))=0,0,MAX(0,H86/(1-V_Merma)-IF(AND(N($F29)&gt;0,5&gt;=$F29),N($E29),N($D29))))</f>
        <v>0</v>
      </c>
      <c r="I115" s="34" t="n">
        <f aca="false">IF(IF(AND(N($F29)&gt;0,6&gt;=$F29),N($E29),N($D29))=0,0,MAX(0,I86/(1-V_Merma)-IF(AND(N($F29)&gt;0,6&gt;=$F29),N($E29),N($D29))))</f>
        <v>0</v>
      </c>
      <c r="J115" s="34" t="n">
        <f aca="false">IF(IF(AND(N($F29)&gt;0,7&gt;=$F29),N($E29),N($D29))=0,0,MAX(0,J86/(1-V_Merma)-IF(AND(N($F29)&gt;0,7&gt;=$F29),N($E29),N($D29))))</f>
        <v>0</v>
      </c>
      <c r="K115" s="34" t="n">
        <f aca="false">IF(IF(AND(N($F29)&gt;0,8&gt;=$F29),N($E29),N($D29))=0,0,MAX(0,K86/(1-V_Merma)-IF(AND(N($F29)&gt;0,8&gt;=$F29),N($E29),N($D29))))</f>
        <v>0</v>
      </c>
      <c r="L115" s="34" t="n">
        <f aca="false">IF(IF(AND(N($F29)&gt;0,9&gt;=$F29),N($E29),N($D29))=0,0,MAX(0,L86/(1-V_Merma)-IF(AND(N($F29)&gt;0,9&gt;=$F29),N($E29),N($D29))))</f>
        <v>0</v>
      </c>
      <c r="M115" s="34" t="n">
        <f aca="false">IF(IF(AND(N($F29)&gt;0,10&gt;=$F29),N($E29),N($D29))=0,0,MAX(0,M86/(1-V_Merma)-IF(AND(N($F29)&gt;0,10&gt;=$F29),N($E29),N($D29))))</f>
        <v>0</v>
      </c>
      <c r="N115" s="32" t="n">
        <f aca="false">SUMPRODUCT(--(D115:M115&gt;0.5))</f>
        <v>0</v>
      </c>
    </row>
    <row r="116" customFormat="false" ht="15" hidden="false" customHeight="false" outlineLevel="0" collapsed="false">
      <c r="A116" s="6" t="n">
        <v>25</v>
      </c>
      <c r="B116" s="39" t="str">
        <f aca="false">IF(B30="","",B30)</f>
        <v/>
      </c>
      <c r="D116" s="34" t="n">
        <f aca="false">IF(IF(AND(N($F30)&gt;0,1&gt;=$F30),N($E30),N($D30))=0,0,MAX(0,D87/(1-V_Merma)-IF(AND(N($F30)&gt;0,1&gt;=$F30),N($E30),N($D30))))</f>
        <v>0</v>
      </c>
      <c r="E116" s="34" t="n">
        <f aca="false">IF(IF(AND(N($F30)&gt;0,2&gt;=$F30),N($E30),N($D30))=0,0,MAX(0,E87/(1-V_Merma)-IF(AND(N($F30)&gt;0,2&gt;=$F30),N($E30),N($D30))))</f>
        <v>0</v>
      </c>
      <c r="F116" s="34" t="n">
        <f aca="false">IF(IF(AND(N($F30)&gt;0,3&gt;=$F30),N($E30),N($D30))=0,0,MAX(0,F87/(1-V_Merma)-IF(AND(N($F30)&gt;0,3&gt;=$F30),N($E30),N($D30))))</f>
        <v>0</v>
      </c>
      <c r="G116" s="34" t="n">
        <f aca="false">IF(IF(AND(N($F30)&gt;0,4&gt;=$F30),N($E30),N($D30))=0,0,MAX(0,G87/(1-V_Merma)-IF(AND(N($F30)&gt;0,4&gt;=$F30),N($E30),N($D30))))</f>
        <v>0</v>
      </c>
      <c r="H116" s="34" t="n">
        <f aca="false">IF(IF(AND(N($F30)&gt;0,5&gt;=$F30),N($E30),N($D30))=0,0,MAX(0,H87/(1-V_Merma)-IF(AND(N($F30)&gt;0,5&gt;=$F30),N($E30),N($D30))))</f>
        <v>0</v>
      </c>
      <c r="I116" s="34" t="n">
        <f aca="false">IF(IF(AND(N($F30)&gt;0,6&gt;=$F30),N($E30),N($D30))=0,0,MAX(0,I87/(1-V_Merma)-IF(AND(N($F30)&gt;0,6&gt;=$F30),N($E30),N($D30))))</f>
        <v>0</v>
      </c>
      <c r="J116" s="34" t="n">
        <f aca="false">IF(IF(AND(N($F30)&gt;0,7&gt;=$F30),N($E30),N($D30))=0,0,MAX(0,J87/(1-V_Merma)-IF(AND(N($F30)&gt;0,7&gt;=$F30),N($E30),N($D30))))</f>
        <v>0</v>
      </c>
      <c r="K116" s="34" t="n">
        <f aca="false">IF(IF(AND(N($F30)&gt;0,8&gt;=$F30),N($E30),N($D30))=0,0,MAX(0,K87/(1-V_Merma)-IF(AND(N($F30)&gt;0,8&gt;=$F30),N($E30),N($D30))))</f>
        <v>0</v>
      </c>
      <c r="L116" s="34" t="n">
        <f aca="false">IF(IF(AND(N($F30)&gt;0,9&gt;=$F30),N($E30),N($D30))=0,0,MAX(0,L87/(1-V_Merma)-IF(AND(N($F30)&gt;0,9&gt;=$F30),N($E30),N($D30))))</f>
        <v>0</v>
      </c>
      <c r="M116" s="34" t="n">
        <f aca="false">IF(IF(AND(N($F30)&gt;0,10&gt;=$F30),N($E30),N($D30))=0,0,MAX(0,M87/(1-V_Merma)-IF(AND(N($F30)&gt;0,10&gt;=$F30),N($E30),N($D30))))</f>
        <v>0</v>
      </c>
      <c r="N116" s="32" t="n">
        <f aca="false">SUMPRODUCT(--(D116:M116&gt;0.5))</f>
        <v>0</v>
      </c>
    </row>
    <row r="117" customFormat="false" ht="15" hidden="false" customHeight="false" outlineLevel="0" collapsed="false">
      <c r="B117" s="2" t="s">
        <v>295</v>
      </c>
    </row>
  </sheetData>
  <conditionalFormatting sqref="H6:H30">
    <cfRule type="expression" priority="2" aboveAverage="0" equalAverage="0" bottom="0" percent="0" rank="0" text="" dxfId="0">
      <formula>H6&lt;&gt;G6</formula>
    </cfRule>
  </conditionalFormatting>
  <conditionalFormatting sqref="J6:J30">
    <cfRule type="expression" priority="3" aboveAverage="0" equalAverage="0" bottom="0" percent="0" rank="0" text="" dxfId="0">
      <formula>J6&lt;&gt;I6</formula>
    </cfRule>
  </conditionalFormatting>
  <conditionalFormatting sqref="L6:L30">
    <cfRule type="expression" priority="4" aboveAverage="0" equalAverage="0" bottom="0" percent="0" rank="0" text="" dxfId="0">
      <formula>L6&lt;&gt;K6</formula>
    </cfRule>
  </conditionalFormatting>
  <conditionalFormatting sqref="N6:N30">
    <cfRule type="expression" priority="5" aboveAverage="0" equalAverage="0" bottom="0" percent="0" rank="0" text="" dxfId="0">
      <formula>N6&lt;&gt;M6</formula>
    </cfRule>
  </conditionalFormatting>
  <conditionalFormatting sqref="D63:M87">
    <cfRule type="expression" priority="6" aboveAverage="0" equalAverage="0" bottom="0" percent="0" rank="0" text="" dxfId="0">
      <formula>D63&lt;&gt;D34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Q1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6"/>
    <col collapsed="false" customWidth="true" hidden="false" outlineLevel="0" max="4" min="4" style="0" width="9"/>
    <col collapsed="false" customWidth="true" hidden="false" outlineLevel="0" max="6" min="5" style="0" width="14"/>
    <col collapsed="false" customWidth="true" hidden="false" outlineLevel="0" max="16" min="7" style="0" width="10"/>
    <col collapsed="false" customWidth="true" hidden="false" outlineLevel="0" max="17" min="17" style="0" width="40"/>
  </cols>
  <sheetData>
    <row r="1" customFormat="false" ht="16.15" hidden="false" customHeight="false" outlineLevel="0" collapsed="false">
      <c r="A1" s="1" t="s">
        <v>296</v>
      </c>
    </row>
    <row r="2" customFormat="false" ht="15" hidden="false" customHeight="false" outlineLevel="0" collapsed="false">
      <c r="A2" s="2" t="s">
        <v>297</v>
      </c>
    </row>
    <row r="4" customFormat="false" ht="15" hidden="false" customHeight="false" outlineLevel="0" collapsed="false">
      <c r="A4" s="3" t="s">
        <v>298</v>
      </c>
      <c r="B4" s="4"/>
      <c r="C4" s="4"/>
      <c r="D4" s="4"/>
      <c r="E4" s="4"/>
      <c r="F4" s="4"/>
      <c r="G4" s="4"/>
      <c r="H4" s="4"/>
      <c r="I4" s="4"/>
      <c r="J4" s="4"/>
      <c r="K4" s="4"/>
      <c r="L4" s="4"/>
      <c r="M4" s="4"/>
      <c r="N4" s="4"/>
      <c r="O4" s="4"/>
      <c r="P4" s="4"/>
      <c r="Q4" s="4"/>
    </row>
    <row r="5" customFormat="false" ht="39.75" hidden="false" customHeight="true" outlineLevel="0" collapsed="false">
      <c r="A5" s="5" t="s">
        <v>272</v>
      </c>
      <c r="B5" s="5" t="s">
        <v>299</v>
      </c>
      <c r="C5" s="5" t="s">
        <v>300</v>
      </c>
      <c r="D5" s="5" t="s">
        <v>301</v>
      </c>
      <c r="E5" s="5" t="s">
        <v>302</v>
      </c>
      <c r="F5" s="5" t="s">
        <v>303</v>
      </c>
      <c r="G5" s="5" t="s">
        <v>304</v>
      </c>
      <c r="H5" s="5" t="s">
        <v>305</v>
      </c>
      <c r="I5" s="5" t="s">
        <v>306</v>
      </c>
      <c r="J5" s="5" t="s">
        <v>307</v>
      </c>
      <c r="K5" s="5" t="s">
        <v>308</v>
      </c>
      <c r="L5" s="5" t="s">
        <v>309</v>
      </c>
      <c r="M5" s="5" t="s">
        <v>310</v>
      </c>
      <c r="N5" s="5" t="s">
        <v>311</v>
      </c>
      <c r="O5" s="5" t="s">
        <v>312</v>
      </c>
      <c r="P5" s="5" t="s">
        <v>313</v>
      </c>
      <c r="Q5" s="5" t="s">
        <v>204</v>
      </c>
    </row>
    <row r="6" customFormat="false" ht="15" hidden="false" customHeight="false" outlineLevel="0" collapsed="false">
      <c r="A6" s="6" t="n">
        <v>1</v>
      </c>
      <c r="B6" s="7" t="s">
        <v>314</v>
      </c>
      <c r="C6" s="7" t="s">
        <v>315</v>
      </c>
      <c r="D6" s="7" t="s">
        <v>316</v>
      </c>
      <c r="E6" s="22" t="n">
        <v>4668900</v>
      </c>
      <c r="F6" s="23" t="n">
        <f aca="false">E6</f>
        <v>4668900</v>
      </c>
      <c r="G6" s="22" t="n">
        <v>4</v>
      </c>
      <c r="H6" s="22" t="n">
        <v>4</v>
      </c>
      <c r="I6" s="22" t="n">
        <v>5</v>
      </c>
      <c r="J6" s="22" t="n">
        <v>5</v>
      </c>
      <c r="K6" s="22" t="n">
        <v>6</v>
      </c>
      <c r="L6" s="22" t="n">
        <v>6</v>
      </c>
      <c r="M6" s="22" t="n">
        <v>6</v>
      </c>
      <c r="N6" s="22" t="n">
        <v>6</v>
      </c>
      <c r="O6" s="22" t="n">
        <v>6</v>
      </c>
      <c r="P6" s="22" t="n">
        <v>6</v>
      </c>
    </row>
    <row r="7" customFormat="false" ht="15" hidden="false" customHeight="false" outlineLevel="0" collapsed="false">
      <c r="A7" s="6" t="n">
        <v>2</v>
      </c>
      <c r="B7" s="7" t="s">
        <v>317</v>
      </c>
      <c r="C7" s="7" t="s">
        <v>315</v>
      </c>
      <c r="D7" s="7" t="s">
        <v>316</v>
      </c>
      <c r="E7" s="22" t="n">
        <v>3650655</v>
      </c>
      <c r="F7" s="23" t="n">
        <f aca="false">E7</f>
        <v>3650655</v>
      </c>
      <c r="G7" s="22" t="n">
        <v>8</v>
      </c>
      <c r="H7" s="22" t="n">
        <v>8</v>
      </c>
      <c r="I7" s="22" t="n">
        <v>9</v>
      </c>
      <c r="J7" s="22" t="n">
        <v>9</v>
      </c>
      <c r="K7" s="22" t="n">
        <v>10</v>
      </c>
      <c r="L7" s="22" t="n">
        <v>10</v>
      </c>
      <c r="M7" s="22" t="n">
        <v>10</v>
      </c>
      <c r="N7" s="22" t="n">
        <v>10</v>
      </c>
      <c r="O7" s="22" t="n">
        <v>10</v>
      </c>
      <c r="P7" s="22" t="n">
        <v>10</v>
      </c>
    </row>
    <row r="8" customFormat="false" ht="15" hidden="false" customHeight="false" outlineLevel="0" collapsed="false">
      <c r="A8" s="6" t="n">
        <v>3</v>
      </c>
      <c r="B8" s="7" t="s">
        <v>318</v>
      </c>
      <c r="C8" s="7" t="s">
        <v>315</v>
      </c>
      <c r="D8" s="7" t="s">
        <v>316</v>
      </c>
      <c r="E8" s="22" t="n">
        <v>3968900</v>
      </c>
      <c r="F8" s="23" t="n">
        <f aca="false">E8</f>
        <v>3968900</v>
      </c>
      <c r="G8" s="22" t="n">
        <v>5</v>
      </c>
      <c r="H8" s="22" t="n">
        <v>5</v>
      </c>
      <c r="I8" s="22" t="n">
        <v>6</v>
      </c>
      <c r="J8" s="22" t="n">
        <v>6</v>
      </c>
      <c r="K8" s="22" t="n">
        <v>6</v>
      </c>
      <c r="L8" s="22" t="n">
        <v>6</v>
      </c>
      <c r="M8" s="22" t="n">
        <v>6</v>
      </c>
      <c r="N8" s="22" t="n">
        <v>6</v>
      </c>
      <c r="O8" s="22" t="n">
        <v>6</v>
      </c>
      <c r="P8" s="22" t="n">
        <v>6</v>
      </c>
    </row>
    <row r="9" customFormat="false" ht="15" hidden="false" customHeight="false" outlineLevel="0" collapsed="false">
      <c r="A9" s="6" t="n">
        <v>4</v>
      </c>
      <c r="B9" s="7" t="s">
        <v>319</v>
      </c>
      <c r="C9" s="7" t="s">
        <v>315</v>
      </c>
      <c r="D9" s="7" t="s">
        <v>316</v>
      </c>
      <c r="E9" s="22" t="n">
        <v>3650655</v>
      </c>
      <c r="F9" s="23" t="n">
        <f aca="false">E9</f>
        <v>3650655</v>
      </c>
      <c r="G9" s="22" t="n">
        <v>2</v>
      </c>
      <c r="H9" s="22" t="n">
        <v>2</v>
      </c>
      <c r="I9" s="22" t="n">
        <v>2</v>
      </c>
      <c r="J9" s="22" t="n">
        <v>2</v>
      </c>
      <c r="K9" s="22" t="n">
        <v>3</v>
      </c>
      <c r="L9" s="22" t="n">
        <v>3</v>
      </c>
      <c r="M9" s="22" t="n">
        <v>3</v>
      </c>
      <c r="N9" s="22" t="n">
        <v>3</v>
      </c>
      <c r="O9" s="22" t="n">
        <v>3</v>
      </c>
      <c r="P9" s="22" t="n">
        <v>3</v>
      </c>
    </row>
    <row r="10" customFormat="false" ht="15" hidden="false" customHeight="false" outlineLevel="0" collapsed="false">
      <c r="A10" s="6" t="n">
        <v>5</v>
      </c>
      <c r="B10" s="7" t="s">
        <v>320</v>
      </c>
      <c r="C10" s="7" t="s">
        <v>315</v>
      </c>
      <c r="D10" s="7" t="s">
        <v>316</v>
      </c>
      <c r="E10" s="22" t="n">
        <v>3650655</v>
      </c>
      <c r="F10" s="23" t="n">
        <f aca="false">E10</f>
        <v>3650655</v>
      </c>
      <c r="G10" s="22" t="n">
        <v>4</v>
      </c>
      <c r="H10" s="22" t="n">
        <v>4</v>
      </c>
      <c r="I10" s="22" t="n">
        <v>4</v>
      </c>
      <c r="J10" s="22" t="n">
        <v>5</v>
      </c>
      <c r="K10" s="22" t="n">
        <v>5</v>
      </c>
      <c r="L10" s="22" t="n">
        <v>5</v>
      </c>
      <c r="M10" s="22" t="n">
        <v>5</v>
      </c>
      <c r="N10" s="22" t="n">
        <v>5</v>
      </c>
      <c r="O10" s="22" t="n">
        <v>5</v>
      </c>
      <c r="P10" s="22" t="n">
        <v>5</v>
      </c>
    </row>
    <row r="11" customFormat="false" ht="15" hidden="false" customHeight="false" outlineLevel="0" collapsed="false">
      <c r="A11" s="6" t="n">
        <v>6</v>
      </c>
      <c r="B11" s="7" t="s">
        <v>321</v>
      </c>
      <c r="C11" s="7" t="s">
        <v>315</v>
      </c>
      <c r="D11" s="7" t="s">
        <v>316</v>
      </c>
      <c r="E11" s="22" t="n">
        <v>3150655</v>
      </c>
      <c r="F11" s="23" t="n">
        <f aca="false">E11</f>
        <v>3150655</v>
      </c>
      <c r="G11" s="22" t="n">
        <v>10</v>
      </c>
      <c r="H11" s="22" t="n">
        <v>10</v>
      </c>
      <c r="I11" s="22" t="n">
        <v>10</v>
      </c>
      <c r="J11" s="22" t="n">
        <v>11</v>
      </c>
      <c r="K11" s="22" t="n">
        <v>11</v>
      </c>
      <c r="L11" s="22" t="n">
        <v>11</v>
      </c>
      <c r="M11" s="22" t="n">
        <v>11</v>
      </c>
      <c r="N11" s="22" t="n">
        <v>11</v>
      </c>
      <c r="O11" s="22" t="n">
        <v>11</v>
      </c>
      <c r="P11" s="22" t="n">
        <v>11</v>
      </c>
    </row>
    <row r="12" customFormat="false" ht="15" hidden="false" customHeight="false" outlineLevel="0" collapsed="false">
      <c r="A12" s="6" t="n">
        <v>7</v>
      </c>
      <c r="B12" s="7" t="s">
        <v>322</v>
      </c>
      <c r="C12" s="7" t="s">
        <v>315</v>
      </c>
      <c r="D12" s="7" t="s">
        <v>316</v>
      </c>
      <c r="E12" s="22" t="n">
        <v>2798309</v>
      </c>
      <c r="F12" s="23" t="n">
        <f aca="false">E12</f>
        <v>2798309</v>
      </c>
      <c r="G12" s="22" t="n">
        <v>10</v>
      </c>
      <c r="H12" s="22" t="n">
        <v>10</v>
      </c>
      <c r="I12" s="22" t="n">
        <v>10</v>
      </c>
      <c r="J12" s="22" t="n">
        <v>11</v>
      </c>
      <c r="K12" s="22" t="n">
        <v>11</v>
      </c>
      <c r="L12" s="22" t="n">
        <v>11</v>
      </c>
      <c r="M12" s="22" t="n">
        <v>11</v>
      </c>
      <c r="N12" s="22" t="n">
        <v>11</v>
      </c>
      <c r="O12" s="22" t="n">
        <v>11</v>
      </c>
      <c r="P12" s="22" t="n">
        <v>11</v>
      </c>
    </row>
    <row r="13" customFormat="false" ht="15" hidden="false" customHeight="false" outlineLevel="0" collapsed="false">
      <c r="A13" s="6" t="n">
        <v>8</v>
      </c>
      <c r="B13" s="7" t="s">
        <v>323</v>
      </c>
      <c r="C13" s="7" t="s">
        <v>324</v>
      </c>
      <c r="D13" s="7" t="s">
        <v>316</v>
      </c>
      <c r="E13" s="22" t="n">
        <v>18000000</v>
      </c>
      <c r="F13" s="23" t="n">
        <f aca="false">E13</f>
        <v>18000000</v>
      </c>
      <c r="G13" s="22" t="n">
        <v>1</v>
      </c>
      <c r="H13" s="22" t="n">
        <v>1</v>
      </c>
      <c r="I13" s="22" t="n">
        <v>1</v>
      </c>
      <c r="J13" s="22" t="n">
        <v>1</v>
      </c>
      <c r="K13" s="22" t="n">
        <v>1</v>
      </c>
      <c r="L13" s="22" t="n">
        <v>1</v>
      </c>
      <c r="M13" s="22" t="n">
        <v>1</v>
      </c>
      <c r="N13" s="22" t="n">
        <v>1</v>
      </c>
      <c r="O13" s="22" t="n">
        <v>1</v>
      </c>
      <c r="P13" s="22" t="n">
        <v>1</v>
      </c>
    </row>
    <row r="14" customFormat="false" ht="15" hidden="false" customHeight="false" outlineLevel="0" collapsed="false">
      <c r="A14" s="6" t="n">
        <v>9</v>
      </c>
      <c r="B14" s="7" t="s">
        <v>325</v>
      </c>
      <c r="C14" s="7" t="s">
        <v>326</v>
      </c>
      <c r="D14" s="7" t="s">
        <v>316</v>
      </c>
      <c r="E14" s="22" t="n">
        <v>9800000</v>
      </c>
      <c r="F14" s="23" t="n">
        <f aca="false">E14</f>
        <v>9800000</v>
      </c>
      <c r="G14" s="22" t="n">
        <v>1</v>
      </c>
      <c r="H14" s="22" t="n">
        <v>1</v>
      </c>
      <c r="I14" s="22" t="n">
        <v>1</v>
      </c>
      <c r="J14" s="22" t="n">
        <v>1</v>
      </c>
      <c r="K14" s="22" t="n">
        <v>1</v>
      </c>
      <c r="L14" s="22" t="n">
        <v>1</v>
      </c>
      <c r="M14" s="22" t="n">
        <v>1</v>
      </c>
      <c r="N14" s="22" t="n">
        <v>1</v>
      </c>
      <c r="O14" s="22" t="n">
        <v>1</v>
      </c>
      <c r="P14" s="22" t="n">
        <v>1</v>
      </c>
    </row>
    <row r="15" customFormat="false" ht="15" hidden="false" customHeight="false" outlineLevel="0" collapsed="false">
      <c r="A15" s="6" t="n">
        <v>10</v>
      </c>
      <c r="B15" s="7" t="s">
        <v>327</v>
      </c>
      <c r="C15" s="7" t="s">
        <v>326</v>
      </c>
      <c r="D15" s="7" t="s">
        <v>316</v>
      </c>
      <c r="E15" s="22" t="n">
        <v>6550000</v>
      </c>
      <c r="F15" s="23" t="n">
        <f aca="false">E15</f>
        <v>6550000</v>
      </c>
      <c r="G15" s="22" t="n">
        <v>1</v>
      </c>
      <c r="H15" s="22" t="n">
        <v>1</v>
      </c>
      <c r="I15" s="22" t="n">
        <v>1</v>
      </c>
      <c r="J15" s="22" t="n">
        <v>1</v>
      </c>
      <c r="K15" s="22" t="n">
        <v>1</v>
      </c>
      <c r="L15" s="22" t="n">
        <v>1</v>
      </c>
      <c r="M15" s="22" t="n">
        <v>1</v>
      </c>
      <c r="N15" s="22" t="n">
        <v>1</v>
      </c>
      <c r="O15" s="22" t="n">
        <v>1</v>
      </c>
      <c r="P15" s="22" t="n">
        <v>1</v>
      </c>
    </row>
    <row r="16" customFormat="false" ht="15" hidden="false" customHeight="false" outlineLevel="0" collapsed="false">
      <c r="A16" s="6" t="n">
        <v>11</v>
      </c>
      <c r="B16" s="7" t="s">
        <v>328</v>
      </c>
      <c r="C16" s="7" t="s">
        <v>326</v>
      </c>
      <c r="D16" s="7" t="s">
        <v>316</v>
      </c>
      <c r="E16" s="22" t="n">
        <v>6550000</v>
      </c>
      <c r="F16" s="23" t="n">
        <f aca="false">E16</f>
        <v>6550000</v>
      </c>
      <c r="G16" s="22" t="n">
        <v>1</v>
      </c>
      <c r="H16" s="22" t="n">
        <v>1</v>
      </c>
      <c r="I16" s="22" t="n">
        <v>1</v>
      </c>
      <c r="J16" s="22" t="n">
        <v>1</v>
      </c>
      <c r="K16" s="22" t="n">
        <v>1</v>
      </c>
      <c r="L16" s="22" t="n">
        <v>1</v>
      </c>
      <c r="M16" s="22" t="n">
        <v>1</v>
      </c>
      <c r="N16" s="22" t="n">
        <v>1</v>
      </c>
      <c r="O16" s="22" t="n">
        <v>1</v>
      </c>
      <c r="P16" s="22" t="n">
        <v>1</v>
      </c>
    </row>
    <row r="17" customFormat="false" ht="15" hidden="false" customHeight="false" outlineLevel="0" collapsed="false">
      <c r="A17" s="6" t="n">
        <v>12</v>
      </c>
      <c r="B17" s="7" t="s">
        <v>329</v>
      </c>
      <c r="C17" s="7" t="s">
        <v>326</v>
      </c>
      <c r="D17" s="7" t="s">
        <v>316</v>
      </c>
      <c r="E17" s="22" t="n">
        <v>6550000</v>
      </c>
      <c r="F17" s="23" t="n">
        <f aca="false">E17</f>
        <v>6550000</v>
      </c>
      <c r="G17" s="22" t="n">
        <v>1</v>
      </c>
      <c r="H17" s="22" t="n">
        <v>1</v>
      </c>
      <c r="I17" s="22" t="n">
        <v>1</v>
      </c>
      <c r="J17" s="22" t="n">
        <v>1</v>
      </c>
      <c r="K17" s="22" t="n">
        <v>1</v>
      </c>
      <c r="L17" s="22" t="n">
        <v>1</v>
      </c>
      <c r="M17" s="22" t="n">
        <v>1</v>
      </c>
      <c r="N17" s="22" t="n">
        <v>1</v>
      </c>
      <c r="O17" s="22" t="n">
        <v>1</v>
      </c>
      <c r="P17" s="22" t="n">
        <v>1</v>
      </c>
    </row>
    <row r="18" customFormat="false" ht="15" hidden="false" customHeight="false" outlineLevel="0" collapsed="false">
      <c r="A18" s="6" t="n">
        <v>13</v>
      </c>
      <c r="B18" s="7" t="s">
        <v>330</v>
      </c>
      <c r="C18" s="7" t="s">
        <v>326</v>
      </c>
      <c r="D18" s="7" t="s">
        <v>316</v>
      </c>
      <c r="E18" s="22" t="n">
        <v>6550000</v>
      </c>
      <c r="F18" s="23" t="n">
        <f aca="false">E18</f>
        <v>6550000</v>
      </c>
      <c r="G18" s="22" t="n">
        <v>1</v>
      </c>
      <c r="H18" s="22" t="n">
        <v>1</v>
      </c>
      <c r="I18" s="22" t="n">
        <v>1</v>
      </c>
      <c r="J18" s="22" t="n">
        <v>1</v>
      </c>
      <c r="K18" s="22" t="n">
        <v>1</v>
      </c>
      <c r="L18" s="22" t="n">
        <v>1</v>
      </c>
      <c r="M18" s="22" t="n">
        <v>1</v>
      </c>
      <c r="N18" s="22" t="n">
        <v>1</v>
      </c>
      <c r="O18" s="22" t="n">
        <v>1</v>
      </c>
      <c r="P18" s="22" t="n">
        <v>1</v>
      </c>
    </row>
    <row r="19" customFormat="false" ht="15" hidden="false" customHeight="false" outlineLevel="0" collapsed="false">
      <c r="A19" s="6" t="n">
        <v>14</v>
      </c>
      <c r="B19" s="7" t="s">
        <v>331</v>
      </c>
      <c r="C19" s="7" t="s">
        <v>326</v>
      </c>
      <c r="D19" s="7" t="s">
        <v>316</v>
      </c>
      <c r="E19" s="22" t="n">
        <v>6550000</v>
      </c>
      <c r="F19" s="23" t="n">
        <f aca="false">E19</f>
        <v>6550000</v>
      </c>
      <c r="G19" s="22" t="n">
        <v>3</v>
      </c>
      <c r="H19" s="22" t="n">
        <v>3</v>
      </c>
      <c r="I19" s="22" t="n">
        <v>3</v>
      </c>
      <c r="J19" s="22" t="n">
        <v>3</v>
      </c>
      <c r="K19" s="22" t="n">
        <v>3</v>
      </c>
      <c r="L19" s="22" t="n">
        <v>3</v>
      </c>
      <c r="M19" s="22" t="n">
        <v>3</v>
      </c>
      <c r="N19" s="22" t="n">
        <v>3</v>
      </c>
      <c r="O19" s="22" t="n">
        <v>3</v>
      </c>
      <c r="P19" s="22" t="n">
        <v>3</v>
      </c>
    </row>
    <row r="20" customFormat="false" ht="15" hidden="false" customHeight="false" outlineLevel="0" collapsed="false">
      <c r="A20" s="6" t="n">
        <v>15</v>
      </c>
      <c r="B20" s="7" t="s">
        <v>332</v>
      </c>
      <c r="C20" s="7" t="s">
        <v>326</v>
      </c>
      <c r="D20" s="7" t="s">
        <v>316</v>
      </c>
      <c r="E20" s="22" t="n">
        <v>3650655</v>
      </c>
      <c r="F20" s="23" t="n">
        <f aca="false">E20</f>
        <v>3650655</v>
      </c>
      <c r="G20" s="22" t="n">
        <v>2</v>
      </c>
      <c r="H20" s="22" t="n">
        <v>2</v>
      </c>
      <c r="I20" s="22" t="n">
        <v>2</v>
      </c>
      <c r="J20" s="22" t="n">
        <v>2</v>
      </c>
      <c r="K20" s="22" t="n">
        <v>2</v>
      </c>
      <c r="L20" s="22" t="n">
        <v>2</v>
      </c>
      <c r="M20" s="22" t="n">
        <v>2</v>
      </c>
      <c r="N20" s="22" t="n">
        <v>2</v>
      </c>
      <c r="O20" s="22" t="n">
        <v>2</v>
      </c>
      <c r="P20" s="22" t="n">
        <v>2</v>
      </c>
    </row>
    <row r="21" customFormat="false" ht="15" hidden="false" customHeight="false" outlineLevel="0" collapsed="false">
      <c r="A21" s="6" t="n">
        <v>16</v>
      </c>
      <c r="B21" s="7" t="s">
        <v>333</v>
      </c>
      <c r="C21" s="7" t="s">
        <v>326</v>
      </c>
      <c r="D21" s="7" t="s">
        <v>316</v>
      </c>
      <c r="E21" s="22" t="n">
        <v>9800000</v>
      </c>
      <c r="F21" s="23" t="n">
        <f aca="false">E21</f>
        <v>9800000</v>
      </c>
      <c r="G21" s="22" t="n">
        <v>1</v>
      </c>
      <c r="H21" s="22" t="n">
        <v>1</v>
      </c>
      <c r="I21" s="22" t="n">
        <v>1</v>
      </c>
      <c r="J21" s="22" t="n">
        <v>1</v>
      </c>
      <c r="K21" s="22" t="n">
        <v>1</v>
      </c>
      <c r="L21" s="22" t="n">
        <v>1</v>
      </c>
      <c r="M21" s="22" t="n">
        <v>1</v>
      </c>
      <c r="N21" s="22" t="n">
        <v>1</v>
      </c>
      <c r="O21" s="22" t="n">
        <v>1</v>
      </c>
      <c r="P21" s="22" t="n">
        <v>1</v>
      </c>
    </row>
    <row r="22" customFormat="false" ht="15" hidden="false" customHeight="false" outlineLevel="0" collapsed="false">
      <c r="A22" s="6" t="n">
        <v>17</v>
      </c>
      <c r="B22" s="7" t="s">
        <v>334</v>
      </c>
      <c r="C22" s="7" t="s">
        <v>326</v>
      </c>
      <c r="D22" s="7" t="s">
        <v>316</v>
      </c>
      <c r="E22" s="22" t="n">
        <v>2798309</v>
      </c>
      <c r="F22" s="23" t="n">
        <f aca="false">E22</f>
        <v>2798309</v>
      </c>
      <c r="G22" s="22" t="n">
        <v>1</v>
      </c>
      <c r="H22" s="22" t="n">
        <v>1</v>
      </c>
      <c r="I22" s="22" t="n">
        <v>1</v>
      </c>
      <c r="J22" s="22" t="n">
        <v>1</v>
      </c>
      <c r="K22" s="22" t="n">
        <v>1</v>
      </c>
      <c r="L22" s="22" t="n">
        <v>1</v>
      </c>
      <c r="M22" s="22" t="n">
        <v>1</v>
      </c>
      <c r="N22" s="22" t="n">
        <v>1</v>
      </c>
      <c r="O22" s="22" t="n">
        <v>1</v>
      </c>
      <c r="P22" s="22" t="n">
        <v>1</v>
      </c>
    </row>
    <row r="23" customFormat="false" ht="15" hidden="false" customHeight="false" outlineLevel="0" collapsed="false">
      <c r="A23" s="6" t="n">
        <v>18</v>
      </c>
      <c r="B23" s="7" t="s">
        <v>335</v>
      </c>
      <c r="C23" s="7" t="s">
        <v>326</v>
      </c>
      <c r="D23" s="7" t="s">
        <v>316</v>
      </c>
      <c r="E23" s="22" t="n">
        <v>3150655</v>
      </c>
      <c r="F23" s="23" t="n">
        <f aca="false">E23</f>
        <v>3150655</v>
      </c>
      <c r="G23" s="22" t="n">
        <v>1</v>
      </c>
      <c r="H23" s="22" t="n">
        <v>1</v>
      </c>
      <c r="I23" s="22" t="n">
        <v>1</v>
      </c>
      <c r="J23" s="22" t="n">
        <v>1</v>
      </c>
      <c r="K23" s="22" t="n">
        <v>1</v>
      </c>
      <c r="L23" s="22" t="n">
        <v>1</v>
      </c>
      <c r="M23" s="22" t="n">
        <v>1</v>
      </c>
      <c r="N23" s="22" t="n">
        <v>1</v>
      </c>
      <c r="O23" s="22" t="n">
        <v>1</v>
      </c>
      <c r="P23" s="22" t="n">
        <v>1</v>
      </c>
    </row>
    <row r="24" customFormat="false" ht="15" hidden="false" customHeight="false" outlineLevel="0" collapsed="false">
      <c r="A24" s="6" t="n">
        <v>19</v>
      </c>
      <c r="B24" s="7" t="s">
        <v>336</v>
      </c>
      <c r="C24" s="7" t="s">
        <v>324</v>
      </c>
      <c r="D24" s="7" t="s">
        <v>316</v>
      </c>
      <c r="E24" s="22" t="n">
        <v>6550000</v>
      </c>
      <c r="F24" s="23" t="n">
        <f aca="false">E24</f>
        <v>6550000</v>
      </c>
      <c r="G24" s="22" t="n">
        <v>1</v>
      </c>
      <c r="H24" s="22" t="n">
        <v>1</v>
      </c>
      <c r="I24" s="22" t="n">
        <v>1</v>
      </c>
      <c r="J24" s="22" t="n">
        <v>1</v>
      </c>
      <c r="K24" s="22" t="n">
        <v>1</v>
      </c>
      <c r="L24" s="22" t="n">
        <v>1</v>
      </c>
      <c r="M24" s="22" t="n">
        <v>1</v>
      </c>
      <c r="N24" s="22" t="n">
        <v>1</v>
      </c>
      <c r="O24" s="22" t="n">
        <v>1</v>
      </c>
      <c r="P24" s="22" t="n">
        <v>1</v>
      </c>
    </row>
    <row r="25" customFormat="false" ht="15" hidden="false" customHeight="false" outlineLevel="0" collapsed="false">
      <c r="A25" s="6" t="n">
        <v>20</v>
      </c>
      <c r="B25" s="7" t="s">
        <v>337</v>
      </c>
      <c r="C25" s="7" t="s">
        <v>324</v>
      </c>
      <c r="D25" s="7" t="s">
        <v>316</v>
      </c>
      <c r="E25" s="22" t="n">
        <v>6550000</v>
      </c>
      <c r="F25" s="23" t="n">
        <f aca="false">E25</f>
        <v>6550000</v>
      </c>
      <c r="G25" s="22" t="n">
        <v>1</v>
      </c>
      <c r="H25" s="22" t="n">
        <v>1</v>
      </c>
      <c r="I25" s="22" t="n">
        <v>1</v>
      </c>
      <c r="J25" s="22" t="n">
        <v>1</v>
      </c>
      <c r="K25" s="22" t="n">
        <v>1</v>
      </c>
      <c r="L25" s="22" t="n">
        <v>1</v>
      </c>
      <c r="M25" s="22" t="n">
        <v>1</v>
      </c>
      <c r="N25" s="22" t="n">
        <v>1</v>
      </c>
      <c r="O25" s="22" t="n">
        <v>1</v>
      </c>
      <c r="P25" s="22" t="n">
        <v>1</v>
      </c>
    </row>
    <row r="26" customFormat="false" ht="15" hidden="false" customHeight="false" outlineLevel="0" collapsed="false">
      <c r="A26" s="6" t="n">
        <v>21</v>
      </c>
      <c r="B26" s="7" t="s">
        <v>338</v>
      </c>
      <c r="C26" s="7" t="s">
        <v>326</v>
      </c>
      <c r="D26" s="7" t="s">
        <v>316</v>
      </c>
      <c r="E26" s="22" t="n">
        <v>6550000</v>
      </c>
      <c r="F26" s="23" t="n">
        <f aca="false">E26</f>
        <v>6550000</v>
      </c>
      <c r="G26" s="22" t="n">
        <v>1</v>
      </c>
      <c r="H26" s="22" t="n">
        <v>1</v>
      </c>
      <c r="I26" s="22" t="n">
        <v>1</v>
      </c>
      <c r="J26" s="22" t="n">
        <v>1</v>
      </c>
      <c r="K26" s="22" t="n">
        <v>1</v>
      </c>
      <c r="L26" s="22" t="n">
        <v>1</v>
      </c>
      <c r="M26" s="22" t="n">
        <v>1</v>
      </c>
      <c r="N26" s="22" t="n">
        <v>1</v>
      </c>
      <c r="O26" s="22" t="n">
        <v>1</v>
      </c>
      <c r="P26" s="22" t="n">
        <v>1</v>
      </c>
    </row>
    <row r="27" customFormat="false" ht="15" hidden="false" customHeight="false" outlineLevel="0" collapsed="false">
      <c r="A27" s="6" t="n">
        <v>22</v>
      </c>
      <c r="B27" s="7" t="s">
        <v>339</v>
      </c>
      <c r="C27" s="7" t="s">
        <v>326</v>
      </c>
      <c r="D27" s="7" t="s">
        <v>316</v>
      </c>
      <c r="E27" s="22" t="n">
        <v>2798309</v>
      </c>
      <c r="F27" s="23" t="n">
        <f aca="false">E27</f>
        <v>2798309</v>
      </c>
      <c r="G27" s="22" t="n">
        <v>1</v>
      </c>
      <c r="H27" s="22" t="n">
        <v>1</v>
      </c>
      <c r="I27" s="22" t="n">
        <v>1</v>
      </c>
      <c r="J27" s="22" t="n">
        <v>1</v>
      </c>
      <c r="K27" s="22" t="n">
        <v>1</v>
      </c>
      <c r="L27" s="22" t="n">
        <v>1</v>
      </c>
      <c r="M27" s="22" t="n">
        <v>1</v>
      </c>
      <c r="N27" s="22" t="n">
        <v>1</v>
      </c>
      <c r="O27" s="22" t="n">
        <v>1</v>
      </c>
      <c r="P27" s="22" t="n">
        <v>1</v>
      </c>
    </row>
    <row r="28" customFormat="false" ht="15" hidden="false" customHeight="false" outlineLevel="0" collapsed="false">
      <c r="A28" s="6" t="n">
        <v>23</v>
      </c>
      <c r="B28" s="7" t="s">
        <v>340</v>
      </c>
      <c r="C28" s="7" t="s">
        <v>326</v>
      </c>
      <c r="D28" s="7" t="s">
        <v>316</v>
      </c>
      <c r="E28" s="22" t="n">
        <v>6550000</v>
      </c>
      <c r="F28" s="23" t="n">
        <f aca="false">E28</f>
        <v>6550000</v>
      </c>
      <c r="G28" s="22" t="n">
        <v>1</v>
      </c>
      <c r="H28" s="22" t="n">
        <v>1</v>
      </c>
      <c r="I28" s="22" t="n">
        <v>1</v>
      </c>
      <c r="J28" s="22" t="n">
        <v>1</v>
      </c>
      <c r="K28" s="22" t="n">
        <v>1</v>
      </c>
      <c r="L28" s="22" t="n">
        <v>1</v>
      </c>
      <c r="M28" s="22" t="n">
        <v>1</v>
      </c>
      <c r="N28" s="22" t="n">
        <v>1</v>
      </c>
      <c r="O28" s="22" t="n">
        <v>1</v>
      </c>
      <c r="P28" s="22" t="n">
        <v>1</v>
      </c>
    </row>
    <row r="29" customFormat="false" ht="15" hidden="false" customHeight="false" outlineLevel="0" collapsed="false">
      <c r="A29" s="6" t="n">
        <v>24</v>
      </c>
      <c r="B29" s="7" t="s">
        <v>341</v>
      </c>
      <c r="C29" s="7" t="s">
        <v>326</v>
      </c>
      <c r="D29" s="7" t="s">
        <v>316</v>
      </c>
      <c r="E29" s="22" t="n">
        <v>2798309</v>
      </c>
      <c r="F29" s="23" t="n">
        <f aca="false">E29</f>
        <v>2798309</v>
      </c>
      <c r="G29" s="22" t="n">
        <v>1</v>
      </c>
      <c r="H29" s="22" t="n">
        <v>1</v>
      </c>
      <c r="I29" s="22" t="n">
        <v>1</v>
      </c>
      <c r="J29" s="22" t="n">
        <v>1</v>
      </c>
      <c r="K29" s="22" t="n">
        <v>1</v>
      </c>
      <c r="L29" s="22" t="n">
        <v>1</v>
      </c>
      <c r="M29" s="22" t="n">
        <v>1</v>
      </c>
      <c r="N29" s="22" t="n">
        <v>1</v>
      </c>
      <c r="O29" s="22" t="n">
        <v>1</v>
      </c>
      <c r="P29" s="22" t="n">
        <v>1</v>
      </c>
    </row>
    <row r="30" customFormat="false" ht="15" hidden="false" customHeight="false" outlineLevel="0" collapsed="false">
      <c r="A30" s="6" t="n">
        <v>25</v>
      </c>
      <c r="B30" s="7" t="s">
        <v>342</v>
      </c>
      <c r="C30" s="7" t="s">
        <v>324</v>
      </c>
      <c r="D30" s="7" t="s">
        <v>316</v>
      </c>
      <c r="E30" s="22" t="n">
        <v>9800000</v>
      </c>
      <c r="F30" s="23" t="n">
        <f aca="false">E30</f>
        <v>9800000</v>
      </c>
      <c r="G30" s="22" t="n">
        <v>1</v>
      </c>
      <c r="H30" s="22" t="n">
        <v>1</v>
      </c>
      <c r="I30" s="22" t="n">
        <v>1</v>
      </c>
      <c r="J30" s="22" t="n">
        <v>1</v>
      </c>
      <c r="K30" s="22" t="n">
        <v>1</v>
      </c>
      <c r="L30" s="22" t="n">
        <v>1</v>
      </c>
      <c r="M30" s="22" t="n">
        <v>1</v>
      </c>
      <c r="N30" s="22" t="n">
        <v>1</v>
      </c>
      <c r="O30" s="22" t="n">
        <v>1</v>
      </c>
      <c r="P30" s="22" t="n">
        <v>1</v>
      </c>
    </row>
    <row r="31" customFormat="false" ht="15" hidden="false" customHeight="false" outlineLevel="0" collapsed="false">
      <c r="A31" s="6" t="n">
        <v>26</v>
      </c>
      <c r="B31" s="7" t="s">
        <v>343</v>
      </c>
      <c r="C31" s="7" t="s">
        <v>324</v>
      </c>
      <c r="D31" s="7" t="s">
        <v>316</v>
      </c>
      <c r="E31" s="22" t="n">
        <v>2798309</v>
      </c>
      <c r="F31" s="23" t="n">
        <f aca="false">E31</f>
        <v>2798309</v>
      </c>
      <c r="G31" s="22" t="n">
        <v>1</v>
      </c>
      <c r="H31" s="22" t="n">
        <v>1</v>
      </c>
      <c r="I31" s="22" t="n">
        <v>1</v>
      </c>
      <c r="J31" s="22" t="n">
        <v>1</v>
      </c>
      <c r="K31" s="22" t="n">
        <v>1</v>
      </c>
      <c r="L31" s="22" t="n">
        <v>1</v>
      </c>
      <c r="M31" s="22" t="n">
        <v>1</v>
      </c>
      <c r="N31" s="22" t="n">
        <v>1</v>
      </c>
      <c r="O31" s="22" t="n">
        <v>1</v>
      </c>
      <c r="P31" s="22" t="n">
        <v>1</v>
      </c>
    </row>
    <row r="32" customFormat="false" ht="15" hidden="false" customHeight="false" outlineLevel="0" collapsed="false">
      <c r="A32" s="6" t="n">
        <v>27</v>
      </c>
      <c r="B32" s="7"/>
      <c r="C32" s="7"/>
      <c r="D32" s="7"/>
      <c r="E32" s="22"/>
      <c r="F32" s="23" t="n">
        <f aca="false">E32</f>
        <v>0</v>
      </c>
      <c r="G32" s="22"/>
      <c r="H32" s="22"/>
      <c r="I32" s="22"/>
      <c r="J32" s="22"/>
      <c r="K32" s="22"/>
      <c r="L32" s="22"/>
      <c r="M32" s="22"/>
      <c r="N32" s="22"/>
      <c r="O32" s="22"/>
      <c r="P32" s="22"/>
    </row>
    <row r="33" customFormat="false" ht="15" hidden="false" customHeight="false" outlineLevel="0" collapsed="false">
      <c r="A33" s="6" t="n">
        <v>28</v>
      </c>
      <c r="B33" s="7"/>
      <c r="C33" s="7"/>
      <c r="D33" s="7"/>
      <c r="E33" s="22"/>
      <c r="F33" s="23" t="n">
        <f aca="false">E33</f>
        <v>0</v>
      </c>
      <c r="G33" s="22"/>
      <c r="H33" s="22"/>
      <c r="I33" s="22"/>
      <c r="J33" s="22"/>
      <c r="K33" s="22"/>
      <c r="L33" s="22"/>
      <c r="M33" s="22"/>
      <c r="N33" s="22"/>
      <c r="O33" s="22"/>
      <c r="P33" s="22"/>
    </row>
    <row r="34" customFormat="false" ht="15" hidden="false" customHeight="false" outlineLevel="0" collapsed="false">
      <c r="A34" s="6" t="n">
        <v>29</v>
      </c>
      <c r="B34" s="7"/>
      <c r="C34" s="7"/>
      <c r="D34" s="7"/>
      <c r="E34" s="22"/>
      <c r="F34" s="23" t="n">
        <f aca="false">E34</f>
        <v>0</v>
      </c>
      <c r="G34" s="22"/>
      <c r="H34" s="22"/>
      <c r="I34" s="22"/>
      <c r="J34" s="22"/>
      <c r="K34" s="22"/>
      <c r="L34" s="22"/>
      <c r="M34" s="22"/>
      <c r="N34" s="22"/>
      <c r="O34" s="22"/>
      <c r="P34" s="22"/>
    </row>
    <row r="35" customFormat="false" ht="15" hidden="false" customHeight="false" outlineLevel="0" collapsed="false">
      <c r="A35" s="6" t="n">
        <v>30</v>
      </c>
      <c r="B35" s="7"/>
      <c r="C35" s="7"/>
      <c r="D35" s="7"/>
      <c r="E35" s="22"/>
      <c r="F35" s="23" t="n">
        <f aca="false">E35</f>
        <v>0</v>
      </c>
      <c r="G35" s="22"/>
      <c r="H35" s="22"/>
      <c r="I35" s="22"/>
      <c r="J35" s="22"/>
      <c r="K35" s="22"/>
      <c r="L35" s="22"/>
      <c r="M35" s="22"/>
      <c r="N35" s="22"/>
      <c r="O35" s="22"/>
      <c r="P35" s="22"/>
    </row>
    <row r="36" customFormat="false" ht="15" hidden="false" customHeight="false" outlineLevel="0" collapsed="false">
      <c r="B36" s="11" t="s">
        <v>344</v>
      </c>
      <c r="G36" s="40" t="n">
        <f aca="false">SUM(G6:G35)</f>
        <v>65</v>
      </c>
      <c r="H36" s="40" t="n">
        <f aca="false">SUM(H6:H35)</f>
        <v>65</v>
      </c>
      <c r="I36" s="40" t="n">
        <f aca="false">SUM(I6:I35)</f>
        <v>68</v>
      </c>
      <c r="J36" s="40" t="n">
        <f aca="false">SUM(J6:J35)</f>
        <v>71</v>
      </c>
      <c r="K36" s="40" t="n">
        <f aca="false">SUM(K6:K35)</f>
        <v>74</v>
      </c>
      <c r="L36" s="40" t="n">
        <f aca="false">SUM(L6:L35)</f>
        <v>74</v>
      </c>
      <c r="M36" s="40" t="n">
        <f aca="false">SUM(M6:M35)</f>
        <v>74</v>
      </c>
      <c r="N36" s="40" t="n">
        <f aca="false">SUM(N6:N35)</f>
        <v>74</v>
      </c>
      <c r="O36" s="40" t="n">
        <f aca="false">SUM(O6:O35)</f>
        <v>74</v>
      </c>
      <c r="P36" s="40" t="n">
        <f aca="false">SUM(P6:P35)</f>
        <v>74</v>
      </c>
    </row>
    <row r="37" customFormat="false" ht="15" hidden="false" customHeight="false" outlineLevel="0" collapsed="false">
      <c r="B37" s="2" t="s">
        <v>345</v>
      </c>
    </row>
    <row r="39" customFormat="false" ht="15" hidden="false" customHeight="false" outlineLevel="0" collapsed="false">
      <c r="A39" s="3" t="s">
        <v>346</v>
      </c>
      <c r="B39" s="4"/>
      <c r="C39" s="4"/>
      <c r="D39" s="4"/>
      <c r="E39" s="4"/>
      <c r="F39" s="4"/>
      <c r="G39" s="4"/>
      <c r="H39" s="4"/>
      <c r="I39" s="4"/>
      <c r="J39" s="4"/>
      <c r="K39" s="4"/>
      <c r="L39" s="4"/>
      <c r="M39" s="4"/>
      <c r="N39" s="4"/>
      <c r="O39" s="4"/>
      <c r="P39" s="4"/>
      <c r="Q39" s="4"/>
    </row>
    <row r="40" customFormat="false" ht="15" hidden="false" customHeight="false" outlineLevel="0" collapsed="false">
      <c r="A40" s="5" t="s">
        <v>272</v>
      </c>
      <c r="B40" s="5" t="s">
        <v>299</v>
      </c>
      <c r="C40" s="5" t="s">
        <v>300</v>
      </c>
      <c r="D40" s="5"/>
      <c r="E40" s="5"/>
      <c r="F40" s="5"/>
      <c r="G40" s="5" t="s">
        <v>304</v>
      </c>
      <c r="H40" s="5" t="s">
        <v>305</v>
      </c>
      <c r="I40" s="5" t="s">
        <v>306</v>
      </c>
      <c r="J40" s="5" t="s">
        <v>307</v>
      </c>
      <c r="K40" s="5" t="s">
        <v>308</v>
      </c>
      <c r="L40" s="5" t="s">
        <v>309</v>
      </c>
      <c r="M40" s="5" t="s">
        <v>310</v>
      </c>
      <c r="N40" s="5" t="s">
        <v>311</v>
      </c>
      <c r="O40" s="5" t="s">
        <v>312</v>
      </c>
      <c r="P40" s="5" t="s">
        <v>313</v>
      </c>
    </row>
    <row r="41" customFormat="false" ht="15" hidden="false" customHeight="false" outlineLevel="0" collapsed="false">
      <c r="A41" s="6" t="n">
        <v>1</v>
      </c>
      <c r="B41" s="39" t="str">
        <f aca="false">IF(B6="","",B6)</f>
        <v>Operador láser</v>
      </c>
      <c r="C41" s="39" t="str">
        <f aca="false">IF(C6="","",C6)</f>
        <v>Directo</v>
      </c>
      <c r="G41" s="23" t="n">
        <f aca="false">G6</f>
        <v>4</v>
      </c>
      <c r="H41" s="23" t="n">
        <f aca="false">H6</f>
        <v>4</v>
      </c>
      <c r="I41" s="23" t="n">
        <f aca="false">I6</f>
        <v>5</v>
      </c>
      <c r="J41" s="23" t="n">
        <f aca="false">J6</f>
        <v>5</v>
      </c>
      <c r="K41" s="23" t="n">
        <f aca="false">K6</f>
        <v>6</v>
      </c>
      <c r="L41" s="23" t="n">
        <f aca="false">L6</f>
        <v>6</v>
      </c>
      <c r="M41" s="23" t="n">
        <f aca="false">M6</f>
        <v>6</v>
      </c>
      <c r="N41" s="23" t="n">
        <f aca="false">N6</f>
        <v>6</v>
      </c>
      <c r="O41" s="23" t="n">
        <f aca="false">O6</f>
        <v>6</v>
      </c>
      <c r="P41" s="23" t="n">
        <f aca="false">P6</f>
        <v>6</v>
      </c>
    </row>
    <row r="42" customFormat="false" ht="15" hidden="false" customHeight="false" outlineLevel="0" collapsed="false">
      <c r="A42" s="6" t="n">
        <v>2</v>
      </c>
      <c r="B42" s="39" t="str">
        <f aca="false">IF(B7="","",B7)</f>
        <v>Doblador</v>
      </c>
      <c r="C42" s="39" t="str">
        <f aca="false">IF(C7="","",C7)</f>
        <v>Directo</v>
      </c>
      <c r="G42" s="23" t="n">
        <f aca="false">G7</f>
        <v>8</v>
      </c>
      <c r="H42" s="23" t="n">
        <f aca="false">H7</f>
        <v>8</v>
      </c>
      <c r="I42" s="23" t="n">
        <f aca="false">I7</f>
        <v>9</v>
      </c>
      <c r="J42" s="23" t="n">
        <f aca="false">J7</f>
        <v>9</v>
      </c>
      <c r="K42" s="23" t="n">
        <f aca="false">K7</f>
        <v>10</v>
      </c>
      <c r="L42" s="23" t="n">
        <f aca="false">L7</f>
        <v>10</v>
      </c>
      <c r="M42" s="23" t="n">
        <f aca="false">M7</f>
        <v>10</v>
      </c>
      <c r="N42" s="23" t="n">
        <f aca="false">N7</f>
        <v>10</v>
      </c>
      <c r="O42" s="23" t="n">
        <f aca="false">O7</f>
        <v>10</v>
      </c>
      <c r="P42" s="23" t="n">
        <f aca="false">P7</f>
        <v>10</v>
      </c>
    </row>
    <row r="43" customFormat="false" ht="15" hidden="false" customHeight="false" outlineLevel="0" collapsed="false">
      <c r="A43" s="6" t="n">
        <v>3</v>
      </c>
      <c r="B43" s="39" t="str">
        <f aca="false">IF(B8="","",B8)</f>
        <v>Soldador</v>
      </c>
      <c r="C43" s="39" t="str">
        <f aca="false">IF(C8="","",C8)</f>
        <v>Directo</v>
      </c>
      <c r="G43" s="23" t="n">
        <f aca="false">G8</f>
        <v>5</v>
      </c>
      <c r="H43" s="23" t="n">
        <f aca="false">H8</f>
        <v>5</v>
      </c>
      <c r="I43" s="23" t="n">
        <f aca="false">I8</f>
        <v>6</v>
      </c>
      <c r="J43" s="23" t="n">
        <f aca="false">J8</f>
        <v>6</v>
      </c>
      <c r="K43" s="23" t="n">
        <f aca="false">K8</f>
        <v>6</v>
      </c>
      <c r="L43" s="23" t="n">
        <f aca="false">L8</f>
        <v>6</v>
      </c>
      <c r="M43" s="23" t="n">
        <f aca="false">M8</f>
        <v>6</v>
      </c>
      <c r="N43" s="23" t="n">
        <f aca="false">N8</f>
        <v>6</v>
      </c>
      <c r="O43" s="23" t="n">
        <f aca="false">O8</f>
        <v>6</v>
      </c>
      <c r="P43" s="23" t="n">
        <f aca="false">P8</f>
        <v>6</v>
      </c>
    </row>
    <row r="44" customFormat="false" ht="15" hidden="false" customHeight="false" outlineLevel="0" collapsed="false">
      <c r="A44" s="6" t="n">
        <v>4</v>
      </c>
      <c r="B44" s="39" t="str">
        <f aca="false">IF(B9="","",B9)</f>
        <v>Baño</v>
      </c>
      <c r="C44" s="39" t="str">
        <f aca="false">IF(C9="","",C9)</f>
        <v>Directo</v>
      </c>
      <c r="G44" s="23" t="n">
        <f aca="false">G9</f>
        <v>2</v>
      </c>
      <c r="H44" s="23" t="n">
        <f aca="false">H9</f>
        <v>2</v>
      </c>
      <c r="I44" s="23" t="n">
        <f aca="false">I9</f>
        <v>2</v>
      </c>
      <c r="J44" s="23" t="n">
        <f aca="false">J9</f>
        <v>2</v>
      </c>
      <c r="K44" s="23" t="n">
        <f aca="false">K9</f>
        <v>3</v>
      </c>
      <c r="L44" s="23" t="n">
        <f aca="false">L9</f>
        <v>3</v>
      </c>
      <c r="M44" s="23" t="n">
        <f aca="false">M9</f>
        <v>3</v>
      </c>
      <c r="N44" s="23" t="n">
        <f aca="false">N9</f>
        <v>3</v>
      </c>
      <c r="O44" s="23" t="n">
        <f aca="false">O9</f>
        <v>3</v>
      </c>
      <c r="P44" s="23" t="n">
        <f aca="false">P9</f>
        <v>3</v>
      </c>
    </row>
    <row r="45" customFormat="false" ht="15" hidden="false" customHeight="false" outlineLevel="0" collapsed="false">
      <c r="A45" s="6" t="n">
        <v>5</v>
      </c>
      <c r="B45" s="39" t="str">
        <f aca="false">IF(B10="","",B10)</f>
        <v>Pintor</v>
      </c>
      <c r="C45" s="39" t="str">
        <f aca="false">IF(C10="","",C10)</f>
        <v>Directo</v>
      </c>
      <c r="G45" s="23" t="n">
        <f aca="false">G10</f>
        <v>4</v>
      </c>
      <c r="H45" s="23" t="n">
        <f aca="false">H10</f>
        <v>4</v>
      </c>
      <c r="I45" s="23" t="n">
        <f aca="false">I10</f>
        <v>4</v>
      </c>
      <c r="J45" s="23" t="n">
        <f aca="false">J10</f>
        <v>5</v>
      </c>
      <c r="K45" s="23" t="n">
        <f aca="false">K10</f>
        <v>5</v>
      </c>
      <c r="L45" s="23" t="n">
        <f aca="false">L10</f>
        <v>5</v>
      </c>
      <c r="M45" s="23" t="n">
        <f aca="false">M10</f>
        <v>5</v>
      </c>
      <c r="N45" s="23" t="n">
        <f aca="false">N10</f>
        <v>5</v>
      </c>
      <c r="O45" s="23" t="n">
        <f aca="false">O10</f>
        <v>5</v>
      </c>
      <c r="P45" s="23" t="n">
        <f aca="false">P10</f>
        <v>5</v>
      </c>
    </row>
    <row r="46" customFormat="false" ht="15" hidden="false" customHeight="false" outlineLevel="0" collapsed="false">
      <c r="A46" s="6" t="n">
        <v>6</v>
      </c>
      <c r="B46" s="39" t="str">
        <f aca="false">IF(B11="","",B11)</f>
        <v>Montador</v>
      </c>
      <c r="C46" s="39" t="str">
        <f aca="false">IF(C11="","",C11)</f>
        <v>Directo</v>
      </c>
      <c r="G46" s="23" t="n">
        <f aca="false">G11</f>
        <v>10</v>
      </c>
      <c r="H46" s="23" t="n">
        <f aca="false">H11</f>
        <v>10</v>
      </c>
      <c r="I46" s="23" t="n">
        <f aca="false">I11</f>
        <v>10</v>
      </c>
      <c r="J46" s="23" t="n">
        <f aca="false">J11</f>
        <v>11</v>
      </c>
      <c r="K46" s="23" t="n">
        <f aca="false">K11</f>
        <v>11</v>
      </c>
      <c r="L46" s="23" t="n">
        <f aca="false">L11</f>
        <v>11</v>
      </c>
      <c r="M46" s="23" t="n">
        <f aca="false">M11</f>
        <v>11</v>
      </c>
      <c r="N46" s="23" t="n">
        <f aca="false">N11</f>
        <v>11</v>
      </c>
      <c r="O46" s="23" t="n">
        <f aca="false">O11</f>
        <v>11</v>
      </c>
      <c r="P46" s="23" t="n">
        <f aca="false">P11</f>
        <v>11</v>
      </c>
    </row>
    <row r="47" customFormat="false" ht="15" hidden="false" customHeight="false" outlineLevel="0" collapsed="false">
      <c r="A47" s="6" t="n">
        <v>7</v>
      </c>
      <c r="B47" s="39" t="str">
        <f aca="false">IF(B12="","",B12)</f>
        <v>Ayudante</v>
      </c>
      <c r="C47" s="39" t="str">
        <f aca="false">IF(C12="","",C12)</f>
        <v>Directo</v>
      </c>
      <c r="G47" s="23" t="n">
        <f aca="false">G12</f>
        <v>10</v>
      </c>
      <c r="H47" s="23" t="n">
        <f aca="false">H12</f>
        <v>10</v>
      </c>
      <c r="I47" s="23" t="n">
        <f aca="false">I12</f>
        <v>10</v>
      </c>
      <c r="J47" s="23" t="n">
        <f aca="false">J12</f>
        <v>11</v>
      </c>
      <c r="K47" s="23" t="n">
        <f aca="false">K12</f>
        <v>11</v>
      </c>
      <c r="L47" s="23" t="n">
        <f aca="false">L12</f>
        <v>11</v>
      </c>
      <c r="M47" s="23" t="n">
        <f aca="false">M12</f>
        <v>11</v>
      </c>
      <c r="N47" s="23" t="n">
        <f aca="false">N12</f>
        <v>11</v>
      </c>
      <c r="O47" s="23" t="n">
        <f aca="false">O12</f>
        <v>11</v>
      </c>
      <c r="P47" s="23" t="n">
        <f aca="false">P12</f>
        <v>11</v>
      </c>
    </row>
    <row r="48" customFormat="false" ht="15" hidden="false" customHeight="false" outlineLevel="0" collapsed="false">
      <c r="A48" s="6" t="n">
        <v>8</v>
      </c>
      <c r="B48" s="39" t="str">
        <f aca="false">IF(B13="","",B13)</f>
        <v>Gerente General</v>
      </c>
      <c r="C48" s="39" t="str">
        <f aca="false">IF(C13="","",C13)</f>
        <v>Administración</v>
      </c>
      <c r="G48" s="23" t="n">
        <f aca="false">G13</f>
        <v>1</v>
      </c>
      <c r="H48" s="23" t="n">
        <f aca="false">H13</f>
        <v>1</v>
      </c>
      <c r="I48" s="23" t="n">
        <f aca="false">I13</f>
        <v>1</v>
      </c>
      <c r="J48" s="23" t="n">
        <f aca="false">J13</f>
        <v>1</v>
      </c>
      <c r="K48" s="23" t="n">
        <f aca="false">K13</f>
        <v>1</v>
      </c>
      <c r="L48" s="23" t="n">
        <f aca="false">L13</f>
        <v>1</v>
      </c>
      <c r="M48" s="23" t="n">
        <f aca="false">M13</f>
        <v>1</v>
      </c>
      <c r="N48" s="23" t="n">
        <f aca="false">N13</f>
        <v>1</v>
      </c>
      <c r="O48" s="23" t="n">
        <f aca="false">O13</f>
        <v>1</v>
      </c>
      <c r="P48" s="23" t="n">
        <f aca="false">P13</f>
        <v>1</v>
      </c>
    </row>
    <row r="49" customFormat="false" ht="15" hidden="false" customHeight="false" outlineLevel="0" collapsed="false">
      <c r="A49" s="6" t="n">
        <v>9</v>
      </c>
      <c r="B49" s="39" t="str">
        <f aca="false">IF(B14="","",B14)</f>
        <v>Gerente Industrial</v>
      </c>
      <c r="C49" s="39" t="str">
        <f aca="false">IF(C14="","",C14)</f>
        <v>Indirecto</v>
      </c>
      <c r="G49" s="23" t="n">
        <f aca="false">G14</f>
        <v>1</v>
      </c>
      <c r="H49" s="23" t="n">
        <f aca="false">H14</f>
        <v>1</v>
      </c>
      <c r="I49" s="23" t="n">
        <f aca="false">I14</f>
        <v>1</v>
      </c>
      <c r="J49" s="23" t="n">
        <f aca="false">J14</f>
        <v>1</v>
      </c>
      <c r="K49" s="23" t="n">
        <f aca="false">K14</f>
        <v>1</v>
      </c>
      <c r="L49" s="23" t="n">
        <f aca="false">L14</f>
        <v>1</v>
      </c>
      <c r="M49" s="23" t="n">
        <f aca="false">M14</f>
        <v>1</v>
      </c>
      <c r="N49" s="23" t="n">
        <f aca="false">N14</f>
        <v>1</v>
      </c>
      <c r="O49" s="23" t="n">
        <f aca="false">O14</f>
        <v>1</v>
      </c>
      <c r="P49" s="23" t="n">
        <f aca="false">P14</f>
        <v>1</v>
      </c>
    </row>
    <row r="50" customFormat="false" ht="15" hidden="false" customHeight="false" outlineLevel="0" collapsed="false">
      <c r="A50" s="6" t="n">
        <v>10</v>
      </c>
      <c r="B50" s="39" t="str">
        <f aca="false">IF(B15="","",B15)</f>
        <v>Coord. Prod. Corte y Deformación</v>
      </c>
      <c r="C50" s="39" t="str">
        <f aca="false">IF(C15="","",C15)</f>
        <v>Indirecto</v>
      </c>
      <c r="G50" s="23" t="n">
        <f aca="false">G15</f>
        <v>1</v>
      </c>
      <c r="H50" s="23" t="n">
        <f aca="false">H15</f>
        <v>1</v>
      </c>
      <c r="I50" s="23" t="n">
        <f aca="false">I15</f>
        <v>1</v>
      </c>
      <c r="J50" s="23" t="n">
        <f aca="false">J15</f>
        <v>1</v>
      </c>
      <c r="K50" s="23" t="n">
        <f aca="false">K15</f>
        <v>1</v>
      </c>
      <c r="L50" s="23" t="n">
        <f aca="false">L15</f>
        <v>1</v>
      </c>
      <c r="M50" s="23" t="n">
        <f aca="false">M15</f>
        <v>1</v>
      </c>
      <c r="N50" s="23" t="n">
        <f aca="false">N15</f>
        <v>1</v>
      </c>
      <c r="O50" s="23" t="n">
        <f aca="false">O15</f>
        <v>1</v>
      </c>
      <c r="P50" s="23" t="n">
        <f aca="false">P15</f>
        <v>1</v>
      </c>
    </row>
    <row r="51" customFormat="false" ht="15" hidden="false" customHeight="false" outlineLevel="0" collapsed="false">
      <c r="A51" s="6" t="n">
        <v>11</v>
      </c>
      <c r="B51" s="39" t="str">
        <f aca="false">IF(B16="","",B16)</f>
        <v>Coord. Prod. Soldadura</v>
      </c>
      <c r="C51" s="39" t="str">
        <f aca="false">IF(C16="","",C16)</f>
        <v>Indirecto</v>
      </c>
      <c r="G51" s="23" t="n">
        <f aca="false">G16</f>
        <v>1</v>
      </c>
      <c r="H51" s="23" t="n">
        <f aca="false">H16</f>
        <v>1</v>
      </c>
      <c r="I51" s="23" t="n">
        <f aca="false">I16</f>
        <v>1</v>
      </c>
      <c r="J51" s="23" t="n">
        <f aca="false">J16</f>
        <v>1</v>
      </c>
      <c r="K51" s="23" t="n">
        <f aca="false">K16</f>
        <v>1</v>
      </c>
      <c r="L51" s="23" t="n">
        <f aca="false">L16</f>
        <v>1</v>
      </c>
      <c r="M51" s="23" t="n">
        <f aca="false">M16</f>
        <v>1</v>
      </c>
      <c r="N51" s="23" t="n">
        <f aca="false">N16</f>
        <v>1</v>
      </c>
      <c r="O51" s="23" t="n">
        <f aca="false">O16</f>
        <v>1</v>
      </c>
      <c r="P51" s="23" t="n">
        <f aca="false">P16</f>
        <v>1</v>
      </c>
    </row>
    <row r="52" customFormat="false" ht="15" hidden="false" customHeight="false" outlineLevel="0" collapsed="false">
      <c r="A52" s="6" t="n">
        <v>12</v>
      </c>
      <c r="B52" s="39" t="str">
        <f aca="false">IF(B17="","",B17)</f>
        <v>Coord. Prod. Trat. Sup. y Pintura</v>
      </c>
      <c r="C52" s="39" t="str">
        <f aca="false">IF(C17="","",C17)</f>
        <v>Indirecto</v>
      </c>
      <c r="G52" s="23" t="n">
        <f aca="false">G17</f>
        <v>1</v>
      </c>
      <c r="H52" s="23" t="n">
        <f aca="false">H17</f>
        <v>1</v>
      </c>
      <c r="I52" s="23" t="n">
        <f aca="false">I17</f>
        <v>1</v>
      </c>
      <c r="J52" s="23" t="n">
        <f aca="false">J17</f>
        <v>1</v>
      </c>
      <c r="K52" s="23" t="n">
        <f aca="false">K17</f>
        <v>1</v>
      </c>
      <c r="L52" s="23" t="n">
        <f aca="false">L17</f>
        <v>1</v>
      </c>
      <c r="M52" s="23" t="n">
        <f aca="false">M17</f>
        <v>1</v>
      </c>
      <c r="N52" s="23" t="n">
        <f aca="false">N17</f>
        <v>1</v>
      </c>
      <c r="O52" s="23" t="n">
        <f aca="false">O17</f>
        <v>1</v>
      </c>
      <c r="P52" s="23" t="n">
        <f aca="false">P17</f>
        <v>1</v>
      </c>
    </row>
    <row r="53" customFormat="false" ht="15" hidden="false" customHeight="false" outlineLevel="0" collapsed="false">
      <c r="A53" s="6" t="n">
        <v>13</v>
      </c>
      <c r="B53" s="39" t="str">
        <f aca="false">IF(B18="","",B18)</f>
        <v>Coord. Prod. Montaje</v>
      </c>
      <c r="C53" s="39" t="str">
        <f aca="false">IF(C18="","",C18)</f>
        <v>Indirecto</v>
      </c>
      <c r="G53" s="23" t="n">
        <f aca="false">G18</f>
        <v>1</v>
      </c>
      <c r="H53" s="23" t="n">
        <f aca="false">H18</f>
        <v>1</v>
      </c>
      <c r="I53" s="23" t="n">
        <f aca="false">I18</f>
        <v>1</v>
      </c>
      <c r="J53" s="23" t="n">
        <f aca="false">J18</f>
        <v>1</v>
      </c>
      <c r="K53" s="23" t="n">
        <f aca="false">K18</f>
        <v>1</v>
      </c>
      <c r="L53" s="23" t="n">
        <f aca="false">L18</f>
        <v>1</v>
      </c>
      <c r="M53" s="23" t="n">
        <f aca="false">M18</f>
        <v>1</v>
      </c>
      <c r="N53" s="23" t="n">
        <f aca="false">N18</f>
        <v>1</v>
      </c>
      <c r="O53" s="23" t="n">
        <f aca="false">O18</f>
        <v>1</v>
      </c>
      <c r="P53" s="23" t="n">
        <f aca="false">P18</f>
        <v>1</v>
      </c>
    </row>
    <row r="54" customFormat="false" ht="15" hidden="false" customHeight="false" outlineLevel="0" collapsed="false">
      <c r="A54" s="6" t="n">
        <v>14</v>
      </c>
      <c r="B54" s="39" t="str">
        <f aca="false">IF(B19="","",B19)</f>
        <v>Ingeniería</v>
      </c>
      <c r="C54" s="39" t="str">
        <f aca="false">IF(C19="","",C19)</f>
        <v>Indirecto</v>
      </c>
      <c r="G54" s="23" t="n">
        <f aca="false">G19</f>
        <v>3</v>
      </c>
      <c r="H54" s="23" t="n">
        <f aca="false">H19</f>
        <v>3</v>
      </c>
      <c r="I54" s="23" t="n">
        <f aca="false">I19</f>
        <v>3</v>
      </c>
      <c r="J54" s="23" t="n">
        <f aca="false">J19</f>
        <v>3</v>
      </c>
      <c r="K54" s="23" t="n">
        <f aca="false">K19</f>
        <v>3</v>
      </c>
      <c r="L54" s="23" t="n">
        <f aca="false">L19</f>
        <v>3</v>
      </c>
      <c r="M54" s="23" t="n">
        <f aca="false">M19</f>
        <v>3</v>
      </c>
      <c r="N54" s="23" t="n">
        <f aca="false">N19</f>
        <v>3</v>
      </c>
      <c r="O54" s="23" t="n">
        <f aca="false">O19</f>
        <v>3</v>
      </c>
      <c r="P54" s="23" t="n">
        <f aca="false">P19</f>
        <v>3</v>
      </c>
    </row>
    <row r="55" customFormat="false" ht="15" hidden="false" customHeight="false" outlineLevel="0" collapsed="false">
      <c r="A55" s="6" t="n">
        <v>15</v>
      </c>
      <c r="B55" s="39" t="str">
        <f aca="false">IF(B20="","",B20)</f>
        <v>Mantenimiento</v>
      </c>
      <c r="C55" s="39" t="str">
        <f aca="false">IF(C20="","",C20)</f>
        <v>Indirecto</v>
      </c>
      <c r="G55" s="23" t="n">
        <f aca="false">G20</f>
        <v>2</v>
      </c>
      <c r="H55" s="23" t="n">
        <f aca="false">H20</f>
        <v>2</v>
      </c>
      <c r="I55" s="23" t="n">
        <f aca="false">I20</f>
        <v>2</v>
      </c>
      <c r="J55" s="23" t="n">
        <f aca="false">J20</f>
        <v>2</v>
      </c>
      <c r="K55" s="23" t="n">
        <f aca="false">K20</f>
        <v>2</v>
      </c>
      <c r="L55" s="23" t="n">
        <f aca="false">L20</f>
        <v>2</v>
      </c>
      <c r="M55" s="23" t="n">
        <f aca="false">M20</f>
        <v>2</v>
      </c>
      <c r="N55" s="23" t="n">
        <f aca="false">N20</f>
        <v>2</v>
      </c>
      <c r="O55" s="23" t="n">
        <f aca="false">O20</f>
        <v>2</v>
      </c>
      <c r="P55" s="23" t="n">
        <f aca="false">P20</f>
        <v>2</v>
      </c>
    </row>
    <row r="56" customFormat="false" ht="15" hidden="false" customHeight="false" outlineLevel="0" collapsed="false">
      <c r="A56" s="6" t="n">
        <v>16</v>
      </c>
      <c r="B56" s="39" t="str">
        <f aca="false">IF(B21="","",B21)</f>
        <v>PCP</v>
      </c>
      <c r="C56" s="39" t="str">
        <f aca="false">IF(C21="","",C21)</f>
        <v>Indirecto</v>
      </c>
      <c r="G56" s="23" t="n">
        <f aca="false">G21</f>
        <v>1</v>
      </c>
      <c r="H56" s="23" t="n">
        <f aca="false">H21</f>
        <v>1</v>
      </c>
      <c r="I56" s="23" t="n">
        <f aca="false">I21</f>
        <v>1</v>
      </c>
      <c r="J56" s="23" t="n">
        <f aca="false">J21</f>
        <v>1</v>
      </c>
      <c r="K56" s="23" t="n">
        <f aca="false">K21</f>
        <v>1</v>
      </c>
      <c r="L56" s="23" t="n">
        <f aca="false">L21</f>
        <v>1</v>
      </c>
      <c r="M56" s="23" t="n">
        <f aca="false">M21</f>
        <v>1</v>
      </c>
      <c r="N56" s="23" t="n">
        <f aca="false">N21</f>
        <v>1</v>
      </c>
      <c r="O56" s="23" t="n">
        <f aca="false">O21</f>
        <v>1</v>
      </c>
      <c r="P56" s="23" t="n">
        <f aca="false">P21</f>
        <v>1</v>
      </c>
    </row>
    <row r="57" customFormat="false" ht="15" hidden="false" customHeight="false" outlineLevel="0" collapsed="false">
      <c r="A57" s="6" t="n">
        <v>17</v>
      </c>
      <c r="B57" s="39" t="str">
        <f aca="false">IF(B22="","",B22)</f>
        <v>Analista PCP</v>
      </c>
      <c r="C57" s="39" t="str">
        <f aca="false">IF(C22="","",C22)</f>
        <v>Indirecto</v>
      </c>
      <c r="G57" s="23" t="n">
        <f aca="false">G22</f>
        <v>1</v>
      </c>
      <c r="H57" s="23" t="n">
        <f aca="false">H22</f>
        <v>1</v>
      </c>
      <c r="I57" s="23" t="n">
        <f aca="false">I22</f>
        <v>1</v>
      </c>
      <c r="J57" s="23" t="n">
        <f aca="false">J22</f>
        <v>1</v>
      </c>
      <c r="K57" s="23" t="n">
        <f aca="false">K22</f>
        <v>1</v>
      </c>
      <c r="L57" s="23" t="n">
        <f aca="false">L22</f>
        <v>1</v>
      </c>
      <c r="M57" s="23" t="n">
        <f aca="false">M22</f>
        <v>1</v>
      </c>
      <c r="N57" s="23" t="n">
        <f aca="false">N22</f>
        <v>1</v>
      </c>
      <c r="O57" s="23" t="n">
        <f aca="false">O22</f>
        <v>1</v>
      </c>
      <c r="P57" s="23" t="n">
        <f aca="false">P22</f>
        <v>1</v>
      </c>
    </row>
    <row r="58" customFormat="false" ht="15" hidden="false" customHeight="false" outlineLevel="0" collapsed="false">
      <c r="A58" s="6" t="n">
        <v>18</v>
      </c>
      <c r="B58" s="39" t="str">
        <f aca="false">IF(B23="","",B23)</f>
        <v>Depósito</v>
      </c>
      <c r="C58" s="39" t="str">
        <f aca="false">IF(C23="","",C23)</f>
        <v>Indirecto</v>
      </c>
      <c r="G58" s="23" t="n">
        <f aca="false">G23</f>
        <v>1</v>
      </c>
      <c r="H58" s="23" t="n">
        <f aca="false">H23</f>
        <v>1</v>
      </c>
      <c r="I58" s="23" t="n">
        <f aca="false">I23</f>
        <v>1</v>
      </c>
      <c r="J58" s="23" t="n">
        <f aca="false">J23</f>
        <v>1</v>
      </c>
      <c r="K58" s="23" t="n">
        <f aca="false">K23</f>
        <v>1</v>
      </c>
      <c r="L58" s="23" t="n">
        <f aca="false">L23</f>
        <v>1</v>
      </c>
      <c r="M58" s="23" t="n">
        <f aca="false">M23</f>
        <v>1</v>
      </c>
      <c r="N58" s="23" t="n">
        <f aca="false">N23</f>
        <v>1</v>
      </c>
      <c r="O58" s="23" t="n">
        <f aca="false">O23</f>
        <v>1</v>
      </c>
      <c r="P58" s="23" t="n">
        <f aca="false">P23</f>
        <v>1</v>
      </c>
    </row>
    <row r="59" customFormat="false" ht="15" hidden="false" customHeight="false" outlineLevel="0" collapsed="false">
      <c r="A59" s="6" t="n">
        <v>19</v>
      </c>
      <c r="B59" s="39" t="str">
        <f aca="false">IF(B24="","",B24)</f>
        <v>Compras</v>
      </c>
      <c r="C59" s="39" t="str">
        <f aca="false">IF(C24="","",C24)</f>
        <v>Administración</v>
      </c>
      <c r="G59" s="23" t="n">
        <f aca="false">G24</f>
        <v>1</v>
      </c>
      <c r="H59" s="23" t="n">
        <f aca="false">H24</f>
        <v>1</v>
      </c>
      <c r="I59" s="23" t="n">
        <f aca="false">I24</f>
        <v>1</v>
      </c>
      <c r="J59" s="23" t="n">
        <f aca="false">J24</f>
        <v>1</v>
      </c>
      <c r="K59" s="23" t="n">
        <f aca="false">K24</f>
        <v>1</v>
      </c>
      <c r="L59" s="23" t="n">
        <f aca="false">L24</f>
        <v>1</v>
      </c>
      <c r="M59" s="23" t="n">
        <f aca="false">M24</f>
        <v>1</v>
      </c>
      <c r="N59" s="23" t="n">
        <f aca="false">N24</f>
        <v>1</v>
      </c>
      <c r="O59" s="23" t="n">
        <f aca="false">O24</f>
        <v>1</v>
      </c>
      <c r="P59" s="23" t="n">
        <f aca="false">P24</f>
        <v>1</v>
      </c>
    </row>
    <row r="60" customFormat="false" ht="15" hidden="false" customHeight="false" outlineLevel="0" collapsed="false">
      <c r="A60" s="6" t="n">
        <v>20</v>
      </c>
      <c r="B60" s="39" t="str">
        <f aca="false">IF(B25="","",B25)</f>
        <v>Logística/Comex</v>
      </c>
      <c r="C60" s="39" t="str">
        <f aca="false">IF(C25="","",C25)</f>
        <v>Administración</v>
      </c>
      <c r="G60" s="23" t="n">
        <f aca="false">G25</f>
        <v>1</v>
      </c>
      <c r="H60" s="23" t="n">
        <f aca="false">H25</f>
        <v>1</v>
      </c>
      <c r="I60" s="23" t="n">
        <f aca="false">I25</f>
        <v>1</v>
      </c>
      <c r="J60" s="23" t="n">
        <f aca="false">J25</f>
        <v>1</v>
      </c>
      <c r="K60" s="23" t="n">
        <f aca="false">K25</f>
        <v>1</v>
      </c>
      <c r="L60" s="23" t="n">
        <f aca="false">L25</f>
        <v>1</v>
      </c>
      <c r="M60" s="23" t="n">
        <f aca="false">M25</f>
        <v>1</v>
      </c>
      <c r="N60" s="23" t="n">
        <f aca="false">N25</f>
        <v>1</v>
      </c>
      <c r="O60" s="23" t="n">
        <f aca="false">O25</f>
        <v>1</v>
      </c>
      <c r="P60" s="23" t="n">
        <f aca="false">P25</f>
        <v>1</v>
      </c>
    </row>
    <row r="61" customFormat="false" ht="15" hidden="false" customHeight="false" outlineLevel="0" collapsed="false">
      <c r="A61" s="6" t="n">
        <v>21</v>
      </c>
      <c r="B61" s="39" t="str">
        <f aca="false">IF(B26="","",B26)</f>
        <v>Coord. Control Calidad</v>
      </c>
      <c r="C61" s="39" t="str">
        <f aca="false">IF(C26="","",C26)</f>
        <v>Indirecto</v>
      </c>
      <c r="G61" s="23" t="n">
        <f aca="false">G26</f>
        <v>1</v>
      </c>
      <c r="H61" s="23" t="n">
        <f aca="false">H26</f>
        <v>1</v>
      </c>
      <c r="I61" s="23" t="n">
        <f aca="false">I26</f>
        <v>1</v>
      </c>
      <c r="J61" s="23" t="n">
        <f aca="false">J26</f>
        <v>1</v>
      </c>
      <c r="K61" s="23" t="n">
        <f aca="false">K26</f>
        <v>1</v>
      </c>
      <c r="L61" s="23" t="n">
        <f aca="false">L26</f>
        <v>1</v>
      </c>
      <c r="M61" s="23" t="n">
        <f aca="false">M26</f>
        <v>1</v>
      </c>
      <c r="N61" s="23" t="n">
        <f aca="false">N26</f>
        <v>1</v>
      </c>
      <c r="O61" s="23" t="n">
        <f aca="false">O26</f>
        <v>1</v>
      </c>
      <c r="P61" s="23" t="n">
        <f aca="false">P26</f>
        <v>1</v>
      </c>
    </row>
    <row r="62" customFormat="false" ht="15" hidden="false" customHeight="false" outlineLevel="0" collapsed="false">
      <c r="A62" s="6" t="n">
        <v>22</v>
      </c>
      <c r="B62" s="39" t="str">
        <f aca="false">IF(B27="","",B27)</f>
        <v>Asistente Control Calidad</v>
      </c>
      <c r="C62" s="39" t="str">
        <f aca="false">IF(C27="","",C27)</f>
        <v>Indirecto</v>
      </c>
      <c r="G62" s="23" t="n">
        <f aca="false">G27</f>
        <v>1</v>
      </c>
      <c r="H62" s="23" t="n">
        <f aca="false">H27</f>
        <v>1</v>
      </c>
      <c r="I62" s="23" t="n">
        <f aca="false">I27</f>
        <v>1</v>
      </c>
      <c r="J62" s="23" t="n">
        <f aca="false">J27</f>
        <v>1</v>
      </c>
      <c r="K62" s="23" t="n">
        <f aca="false">K27</f>
        <v>1</v>
      </c>
      <c r="L62" s="23" t="n">
        <f aca="false">L27</f>
        <v>1</v>
      </c>
      <c r="M62" s="23" t="n">
        <f aca="false">M27</f>
        <v>1</v>
      </c>
      <c r="N62" s="23" t="n">
        <f aca="false">N27</f>
        <v>1</v>
      </c>
      <c r="O62" s="23" t="n">
        <f aca="false">O27</f>
        <v>1</v>
      </c>
      <c r="P62" s="23" t="n">
        <f aca="false">P27</f>
        <v>1</v>
      </c>
    </row>
    <row r="63" customFormat="false" ht="15" hidden="false" customHeight="false" outlineLevel="0" collapsed="false">
      <c r="A63" s="6" t="n">
        <v>23</v>
      </c>
      <c r="B63" s="39" t="str">
        <f aca="false">IF(B28="","",B28)</f>
        <v>Coord. Procesos</v>
      </c>
      <c r="C63" s="39" t="str">
        <f aca="false">IF(C28="","",C28)</f>
        <v>Indirecto</v>
      </c>
      <c r="G63" s="23" t="n">
        <f aca="false">G28</f>
        <v>1</v>
      </c>
      <c r="H63" s="23" t="n">
        <f aca="false">H28</f>
        <v>1</v>
      </c>
      <c r="I63" s="23" t="n">
        <f aca="false">I28</f>
        <v>1</v>
      </c>
      <c r="J63" s="23" t="n">
        <f aca="false">J28</f>
        <v>1</v>
      </c>
      <c r="K63" s="23" t="n">
        <f aca="false">K28</f>
        <v>1</v>
      </c>
      <c r="L63" s="23" t="n">
        <f aca="false">L28</f>
        <v>1</v>
      </c>
      <c r="M63" s="23" t="n">
        <f aca="false">M28</f>
        <v>1</v>
      </c>
      <c r="N63" s="23" t="n">
        <f aca="false">N28</f>
        <v>1</v>
      </c>
      <c r="O63" s="23" t="n">
        <f aca="false">O28</f>
        <v>1</v>
      </c>
      <c r="P63" s="23" t="n">
        <f aca="false">P28</f>
        <v>1</v>
      </c>
    </row>
    <row r="64" customFormat="false" ht="15" hidden="false" customHeight="false" outlineLevel="0" collapsed="false">
      <c r="A64" s="6" t="n">
        <v>24</v>
      </c>
      <c r="B64" s="39" t="str">
        <f aca="false">IF(B29="","",B29)</f>
        <v>Asistente Procesos</v>
      </c>
      <c r="C64" s="39" t="str">
        <f aca="false">IF(C29="","",C29)</f>
        <v>Indirecto</v>
      </c>
      <c r="G64" s="23" t="n">
        <f aca="false">G29</f>
        <v>1</v>
      </c>
      <c r="H64" s="23" t="n">
        <f aca="false">H29</f>
        <v>1</v>
      </c>
      <c r="I64" s="23" t="n">
        <f aca="false">I29</f>
        <v>1</v>
      </c>
      <c r="J64" s="23" t="n">
        <f aca="false">J29</f>
        <v>1</v>
      </c>
      <c r="K64" s="23" t="n">
        <f aca="false">K29</f>
        <v>1</v>
      </c>
      <c r="L64" s="23" t="n">
        <f aca="false">L29</f>
        <v>1</v>
      </c>
      <c r="M64" s="23" t="n">
        <f aca="false">M29</f>
        <v>1</v>
      </c>
      <c r="N64" s="23" t="n">
        <f aca="false">N29</f>
        <v>1</v>
      </c>
      <c r="O64" s="23" t="n">
        <f aca="false">O29</f>
        <v>1</v>
      </c>
      <c r="P64" s="23" t="n">
        <f aca="false">P29</f>
        <v>1</v>
      </c>
    </row>
    <row r="65" customFormat="false" ht="15" hidden="false" customHeight="false" outlineLevel="0" collapsed="false">
      <c r="A65" s="6" t="n">
        <v>25</v>
      </c>
      <c r="B65" s="39" t="str">
        <f aca="false">IF(B30="","",B30)</f>
        <v>Administrador</v>
      </c>
      <c r="C65" s="39" t="str">
        <f aca="false">IF(C30="","",C30)</f>
        <v>Administración</v>
      </c>
      <c r="G65" s="23" t="n">
        <f aca="false">G30</f>
        <v>1</v>
      </c>
      <c r="H65" s="23" t="n">
        <f aca="false">H30</f>
        <v>1</v>
      </c>
      <c r="I65" s="23" t="n">
        <f aca="false">I30</f>
        <v>1</v>
      </c>
      <c r="J65" s="23" t="n">
        <f aca="false">J30</f>
        <v>1</v>
      </c>
      <c r="K65" s="23" t="n">
        <f aca="false">K30</f>
        <v>1</v>
      </c>
      <c r="L65" s="23" t="n">
        <f aca="false">L30</f>
        <v>1</v>
      </c>
      <c r="M65" s="23" t="n">
        <f aca="false">M30</f>
        <v>1</v>
      </c>
      <c r="N65" s="23" t="n">
        <f aca="false">N30</f>
        <v>1</v>
      </c>
      <c r="O65" s="23" t="n">
        <f aca="false">O30</f>
        <v>1</v>
      </c>
      <c r="P65" s="23" t="n">
        <f aca="false">P30</f>
        <v>1</v>
      </c>
    </row>
    <row r="66" customFormat="false" ht="15" hidden="false" customHeight="false" outlineLevel="0" collapsed="false">
      <c r="A66" s="6" t="n">
        <v>26</v>
      </c>
      <c r="B66" s="39" t="str">
        <f aca="false">IF(B31="","",B31)</f>
        <v>Asistente Administrativo</v>
      </c>
      <c r="C66" s="39" t="str">
        <f aca="false">IF(C31="","",C31)</f>
        <v>Administración</v>
      </c>
      <c r="G66" s="23" t="n">
        <f aca="false">G31</f>
        <v>1</v>
      </c>
      <c r="H66" s="23" t="n">
        <f aca="false">H31</f>
        <v>1</v>
      </c>
      <c r="I66" s="23" t="n">
        <f aca="false">I31</f>
        <v>1</v>
      </c>
      <c r="J66" s="23" t="n">
        <f aca="false">J31</f>
        <v>1</v>
      </c>
      <c r="K66" s="23" t="n">
        <f aca="false">K31</f>
        <v>1</v>
      </c>
      <c r="L66" s="23" t="n">
        <f aca="false">L31</f>
        <v>1</v>
      </c>
      <c r="M66" s="23" t="n">
        <f aca="false">M31</f>
        <v>1</v>
      </c>
      <c r="N66" s="23" t="n">
        <f aca="false">N31</f>
        <v>1</v>
      </c>
      <c r="O66" s="23" t="n">
        <f aca="false">O31</f>
        <v>1</v>
      </c>
      <c r="P66" s="23" t="n">
        <f aca="false">P31</f>
        <v>1</v>
      </c>
    </row>
    <row r="67" customFormat="false" ht="15" hidden="false" customHeight="false" outlineLevel="0" collapsed="false">
      <c r="A67" s="6" t="n">
        <v>27</v>
      </c>
      <c r="B67" s="39" t="str">
        <f aca="false">IF(B32="","",B32)</f>
        <v/>
      </c>
      <c r="C67" s="39" t="str">
        <f aca="false">IF(C32="","",C32)</f>
        <v/>
      </c>
      <c r="G67" s="23" t="n">
        <f aca="false">G32</f>
        <v>0</v>
      </c>
      <c r="H67" s="23" t="n">
        <f aca="false">H32</f>
        <v>0</v>
      </c>
      <c r="I67" s="23" t="n">
        <f aca="false">I32</f>
        <v>0</v>
      </c>
      <c r="J67" s="23" t="n">
        <f aca="false">J32</f>
        <v>0</v>
      </c>
      <c r="K67" s="23" t="n">
        <f aca="false">K32</f>
        <v>0</v>
      </c>
      <c r="L67" s="23" t="n">
        <f aca="false">L32</f>
        <v>0</v>
      </c>
      <c r="M67" s="23" t="n">
        <f aca="false">M32</f>
        <v>0</v>
      </c>
      <c r="N67" s="23" t="n">
        <f aca="false">N32</f>
        <v>0</v>
      </c>
      <c r="O67" s="23" t="n">
        <f aca="false">O32</f>
        <v>0</v>
      </c>
      <c r="P67" s="23" t="n">
        <f aca="false">P32</f>
        <v>0</v>
      </c>
    </row>
    <row r="68" customFormat="false" ht="15" hidden="false" customHeight="false" outlineLevel="0" collapsed="false">
      <c r="A68" s="6" t="n">
        <v>28</v>
      </c>
      <c r="B68" s="39" t="str">
        <f aca="false">IF(B33="","",B33)</f>
        <v/>
      </c>
      <c r="C68" s="39" t="str">
        <f aca="false">IF(C33="","",C33)</f>
        <v/>
      </c>
      <c r="G68" s="23" t="n">
        <f aca="false">G33</f>
        <v>0</v>
      </c>
      <c r="H68" s="23" t="n">
        <f aca="false">H33</f>
        <v>0</v>
      </c>
      <c r="I68" s="23" t="n">
        <f aca="false">I33</f>
        <v>0</v>
      </c>
      <c r="J68" s="23" t="n">
        <f aca="false">J33</f>
        <v>0</v>
      </c>
      <c r="K68" s="23" t="n">
        <f aca="false">K33</f>
        <v>0</v>
      </c>
      <c r="L68" s="23" t="n">
        <f aca="false">L33</f>
        <v>0</v>
      </c>
      <c r="M68" s="23" t="n">
        <f aca="false">M33</f>
        <v>0</v>
      </c>
      <c r="N68" s="23" t="n">
        <f aca="false">N33</f>
        <v>0</v>
      </c>
      <c r="O68" s="23" t="n">
        <f aca="false">O33</f>
        <v>0</v>
      </c>
      <c r="P68" s="23" t="n">
        <f aca="false">P33</f>
        <v>0</v>
      </c>
    </row>
    <row r="69" customFormat="false" ht="15" hidden="false" customHeight="false" outlineLevel="0" collapsed="false">
      <c r="A69" s="6" t="n">
        <v>29</v>
      </c>
      <c r="B69" s="39" t="str">
        <f aca="false">IF(B34="","",B34)</f>
        <v/>
      </c>
      <c r="C69" s="39" t="str">
        <f aca="false">IF(C34="","",C34)</f>
        <v/>
      </c>
      <c r="G69" s="23" t="n">
        <f aca="false">G34</f>
        <v>0</v>
      </c>
      <c r="H69" s="23" t="n">
        <f aca="false">H34</f>
        <v>0</v>
      </c>
      <c r="I69" s="23" t="n">
        <f aca="false">I34</f>
        <v>0</v>
      </c>
      <c r="J69" s="23" t="n">
        <f aca="false">J34</f>
        <v>0</v>
      </c>
      <c r="K69" s="23" t="n">
        <f aca="false">K34</f>
        <v>0</v>
      </c>
      <c r="L69" s="23" t="n">
        <f aca="false">L34</f>
        <v>0</v>
      </c>
      <c r="M69" s="23" t="n">
        <f aca="false">M34</f>
        <v>0</v>
      </c>
      <c r="N69" s="23" t="n">
        <f aca="false">N34</f>
        <v>0</v>
      </c>
      <c r="O69" s="23" t="n">
        <f aca="false">O34</f>
        <v>0</v>
      </c>
      <c r="P69" s="23" t="n">
        <f aca="false">P34</f>
        <v>0</v>
      </c>
    </row>
    <row r="70" customFormat="false" ht="15" hidden="false" customHeight="false" outlineLevel="0" collapsed="false">
      <c r="A70" s="6" t="n">
        <v>30</v>
      </c>
      <c r="B70" s="39" t="str">
        <f aca="false">IF(B35="","",B35)</f>
        <v/>
      </c>
      <c r="C70" s="39" t="str">
        <f aca="false">IF(C35="","",C35)</f>
        <v/>
      </c>
      <c r="G70" s="23" t="n">
        <f aca="false">G35</f>
        <v>0</v>
      </c>
      <c r="H70" s="23" t="n">
        <f aca="false">H35</f>
        <v>0</v>
      </c>
      <c r="I70" s="23" t="n">
        <f aca="false">I35</f>
        <v>0</v>
      </c>
      <c r="J70" s="23" t="n">
        <f aca="false">J35</f>
        <v>0</v>
      </c>
      <c r="K70" s="23" t="n">
        <f aca="false">K35</f>
        <v>0</v>
      </c>
      <c r="L70" s="23" t="n">
        <f aca="false">L35</f>
        <v>0</v>
      </c>
      <c r="M70" s="23" t="n">
        <f aca="false">M35</f>
        <v>0</v>
      </c>
      <c r="N70" s="23" t="n">
        <f aca="false">N35</f>
        <v>0</v>
      </c>
      <c r="O70" s="23" t="n">
        <f aca="false">O35</f>
        <v>0</v>
      </c>
      <c r="P70" s="23" t="n">
        <f aca="false">P35</f>
        <v>0</v>
      </c>
    </row>
    <row r="71" customFormat="false" ht="15" hidden="false" customHeight="false" outlineLevel="0" collapsed="false">
      <c r="B71" s="11" t="s">
        <v>347</v>
      </c>
      <c r="G71" s="40" t="n">
        <f aca="false">SUM(G41:G70)</f>
        <v>65</v>
      </c>
      <c r="H71" s="40" t="n">
        <f aca="false">SUM(H41:H70)</f>
        <v>65</v>
      </c>
      <c r="I71" s="40" t="n">
        <f aca="false">SUM(I41:I70)</f>
        <v>68</v>
      </c>
      <c r="J71" s="40" t="n">
        <f aca="false">SUM(J41:J70)</f>
        <v>71</v>
      </c>
      <c r="K71" s="40" t="n">
        <f aca="false">SUM(K41:K70)</f>
        <v>74</v>
      </c>
      <c r="L71" s="40" t="n">
        <f aca="false">SUM(L41:L70)</f>
        <v>74</v>
      </c>
      <c r="M71" s="40" t="n">
        <f aca="false">SUM(M41:M70)</f>
        <v>74</v>
      </c>
      <c r="N71" s="40" t="n">
        <f aca="false">SUM(N41:N70)</f>
        <v>74</v>
      </c>
      <c r="O71" s="40" t="n">
        <f aca="false">SUM(O41:O70)</f>
        <v>74</v>
      </c>
      <c r="P71" s="40" t="n">
        <f aca="false">SUM(P41:P70)</f>
        <v>74</v>
      </c>
    </row>
    <row r="73" customFormat="false" ht="15" hidden="false" customHeight="false" outlineLevel="0" collapsed="false">
      <c r="A73" s="3" t="s">
        <v>348</v>
      </c>
      <c r="B73" s="4"/>
      <c r="C73" s="4"/>
      <c r="D73" s="4"/>
      <c r="E73" s="4"/>
      <c r="F73" s="4"/>
      <c r="G73" s="4"/>
      <c r="H73" s="4"/>
      <c r="I73" s="4"/>
      <c r="J73" s="4"/>
      <c r="K73" s="4"/>
      <c r="L73" s="4"/>
      <c r="M73" s="4"/>
      <c r="N73" s="4"/>
      <c r="O73" s="4"/>
      <c r="P73" s="4"/>
      <c r="Q73" s="4"/>
    </row>
    <row r="74" customFormat="false" ht="54" hidden="false" customHeight="true" outlineLevel="0" collapsed="false">
      <c r="A74" s="5" t="s">
        <v>272</v>
      </c>
      <c r="B74" s="5" t="s">
        <v>193</v>
      </c>
      <c r="C74" s="5" t="s">
        <v>300</v>
      </c>
      <c r="D74" s="5" t="s">
        <v>301</v>
      </c>
      <c r="E74" s="5" t="s">
        <v>349</v>
      </c>
      <c r="F74" s="5" t="s">
        <v>350</v>
      </c>
      <c r="G74" s="5" t="s">
        <v>351</v>
      </c>
      <c r="H74" s="5" t="s">
        <v>352</v>
      </c>
      <c r="I74" s="5" t="s">
        <v>353</v>
      </c>
      <c r="J74" s="5" t="s">
        <v>354</v>
      </c>
      <c r="K74" s="17" t="s">
        <v>204</v>
      </c>
      <c r="L74" s="17"/>
      <c r="M74" s="17"/>
      <c r="N74" s="17"/>
      <c r="O74" s="17"/>
      <c r="P74" s="17"/>
      <c r="Q74" s="17"/>
    </row>
    <row r="75" customFormat="false" ht="15" hidden="false" customHeight="false" outlineLevel="0" collapsed="false">
      <c r="A75" s="6" t="n">
        <v>1</v>
      </c>
      <c r="B75" s="7" t="s">
        <v>355</v>
      </c>
      <c r="C75" s="7" t="s">
        <v>356</v>
      </c>
      <c r="D75" s="7" t="s">
        <v>316</v>
      </c>
      <c r="E75" s="41" t="n">
        <v>14000000</v>
      </c>
      <c r="F75" s="42" t="n">
        <f aca="false">E75</f>
        <v>14000000</v>
      </c>
      <c r="G75" s="24" t="n">
        <v>0</v>
      </c>
      <c r="H75" s="9" t="n">
        <v>1</v>
      </c>
      <c r="I75" s="24" t="n">
        <v>0</v>
      </c>
      <c r="J75" s="9" t="n">
        <v>1</v>
      </c>
      <c r="K75" s="2" t="s">
        <v>357</v>
      </c>
    </row>
    <row r="76" customFormat="false" ht="15" hidden="false" customHeight="false" outlineLevel="0" collapsed="false">
      <c r="A76" s="6" t="n">
        <v>2</v>
      </c>
      <c r="B76" s="7" t="s">
        <v>358</v>
      </c>
      <c r="C76" s="7" t="s">
        <v>356</v>
      </c>
      <c r="D76" s="7" t="s">
        <v>250</v>
      </c>
      <c r="E76" s="41" t="n">
        <v>2475.67</v>
      </c>
      <c r="F76" s="42" t="n">
        <f aca="false">E76</f>
        <v>2475.67</v>
      </c>
      <c r="G76" s="24" t="n">
        <v>0.02</v>
      </c>
      <c r="H76" s="9" t="n">
        <v>1</v>
      </c>
      <c r="I76" s="24" t="n">
        <v>0</v>
      </c>
      <c r="J76" s="9" t="n">
        <v>1</v>
      </c>
      <c r="K76" s="2" t="s">
        <v>359</v>
      </c>
    </row>
    <row r="77" customFormat="false" ht="15" hidden="false" customHeight="false" outlineLevel="0" collapsed="false">
      <c r="A77" s="6" t="n">
        <v>3</v>
      </c>
      <c r="B77" s="7" t="s">
        <v>360</v>
      </c>
      <c r="C77" s="7" t="s">
        <v>324</v>
      </c>
      <c r="D77" s="7" t="s">
        <v>250</v>
      </c>
      <c r="E77" s="41" t="n">
        <v>17006</v>
      </c>
      <c r="F77" s="42" t="n">
        <f aca="false">E77</f>
        <v>17006</v>
      </c>
      <c r="G77" s="24" t="n">
        <v>0.03</v>
      </c>
      <c r="H77" s="9" t="n">
        <v>0</v>
      </c>
      <c r="I77" s="24" t="n">
        <v>0.1</v>
      </c>
      <c r="J77" s="9" t="n">
        <v>0</v>
      </c>
      <c r="K77" s="2" t="s">
        <v>361</v>
      </c>
    </row>
    <row r="78" customFormat="false" ht="15" hidden="false" customHeight="false" outlineLevel="0" collapsed="false">
      <c r="A78" s="6" t="n">
        <v>4</v>
      </c>
      <c r="B78" s="7" t="s">
        <v>362</v>
      </c>
      <c r="C78" s="7" t="s">
        <v>324</v>
      </c>
      <c r="D78" s="7" t="s">
        <v>250</v>
      </c>
      <c r="E78" s="41" t="n">
        <v>773</v>
      </c>
      <c r="F78" s="42" t="n">
        <f aca="false">E78</f>
        <v>773</v>
      </c>
      <c r="G78" s="24" t="n">
        <v>0.03</v>
      </c>
      <c r="H78" s="9" t="n">
        <v>0</v>
      </c>
      <c r="I78" s="24" t="n">
        <v>0</v>
      </c>
      <c r="J78" s="9" t="n">
        <v>0</v>
      </c>
      <c r="K78" s="2" t="s">
        <v>363</v>
      </c>
    </row>
    <row r="79" customFormat="false" ht="15" hidden="false" customHeight="false" outlineLevel="0" collapsed="false">
      <c r="A79" s="6" t="n">
        <v>5</v>
      </c>
      <c r="B79" s="7" t="s">
        <v>364</v>
      </c>
      <c r="C79" s="7" t="s">
        <v>324</v>
      </c>
      <c r="D79" s="7" t="s">
        <v>316</v>
      </c>
      <c r="E79" s="41" t="n">
        <v>750000</v>
      </c>
      <c r="F79" s="42" t="n">
        <f aca="false">E79</f>
        <v>750000</v>
      </c>
      <c r="G79" s="24" t="n">
        <v>0</v>
      </c>
      <c r="H79" s="9" t="n">
        <v>0</v>
      </c>
      <c r="I79" s="24" t="n">
        <v>0</v>
      </c>
      <c r="J79" s="9" t="n">
        <v>1</v>
      </c>
      <c r="K79" s="2" t="s">
        <v>365</v>
      </c>
    </row>
    <row r="80" customFormat="false" ht="15" hidden="false" customHeight="false" outlineLevel="0" collapsed="false">
      <c r="A80" s="6" t="n">
        <v>6</v>
      </c>
      <c r="B80" s="7" t="s">
        <v>366</v>
      </c>
      <c r="C80" s="7" t="s">
        <v>324</v>
      </c>
      <c r="D80" s="7" t="s">
        <v>316</v>
      </c>
      <c r="E80" s="41" t="n">
        <v>3000000</v>
      </c>
      <c r="F80" s="42" t="n">
        <f aca="false">E80</f>
        <v>3000000</v>
      </c>
      <c r="G80" s="24" t="n">
        <v>0</v>
      </c>
      <c r="H80" s="9" t="n">
        <v>0</v>
      </c>
      <c r="I80" s="24" t="n">
        <v>0</v>
      </c>
      <c r="J80" s="9" t="n">
        <v>1</v>
      </c>
      <c r="K80" s="2" t="s">
        <v>367</v>
      </c>
    </row>
    <row r="81" customFormat="false" ht="15" hidden="false" customHeight="false" outlineLevel="0" collapsed="false">
      <c r="A81" s="6" t="n">
        <v>7</v>
      </c>
      <c r="B81" s="7" t="s">
        <v>368</v>
      </c>
      <c r="C81" s="7" t="s">
        <v>324</v>
      </c>
      <c r="D81" s="7" t="s">
        <v>316</v>
      </c>
      <c r="E81" s="41" t="n">
        <v>5000000</v>
      </c>
      <c r="F81" s="42" t="n">
        <f aca="false">E81</f>
        <v>5000000</v>
      </c>
      <c r="G81" s="24" t="n">
        <v>0</v>
      </c>
      <c r="H81" s="9" t="n">
        <v>0</v>
      </c>
      <c r="I81" s="24" t="n">
        <v>0</v>
      </c>
      <c r="J81" s="9" t="n">
        <v>1</v>
      </c>
      <c r="K81" s="2" t="s">
        <v>369</v>
      </c>
    </row>
    <row r="82" customFormat="false" ht="15" hidden="false" customHeight="false" outlineLevel="0" collapsed="false">
      <c r="A82" s="6" t="n">
        <v>8</v>
      </c>
      <c r="B82" s="7" t="s">
        <v>370</v>
      </c>
      <c r="C82" s="7" t="s">
        <v>324</v>
      </c>
      <c r="D82" s="7" t="s">
        <v>250</v>
      </c>
      <c r="E82" s="41" t="n">
        <v>1838.33</v>
      </c>
      <c r="F82" s="42" t="n">
        <f aca="false">E82</f>
        <v>1838.33</v>
      </c>
      <c r="G82" s="24" t="n">
        <v>0</v>
      </c>
      <c r="H82" s="9" t="n">
        <v>0</v>
      </c>
      <c r="I82" s="24" t="n">
        <v>0</v>
      </c>
      <c r="J82" s="9" t="n">
        <v>1</v>
      </c>
      <c r="K82" s="2" t="s">
        <v>371</v>
      </c>
    </row>
    <row r="83" customFormat="false" ht="15" hidden="false" customHeight="false" outlineLevel="0" collapsed="false">
      <c r="A83" s="6" t="n">
        <v>9</v>
      </c>
      <c r="B83" s="7" t="s">
        <v>372</v>
      </c>
      <c r="C83" s="7" t="s">
        <v>324</v>
      </c>
      <c r="D83" s="7" t="s">
        <v>316</v>
      </c>
      <c r="E83" s="41" t="n">
        <v>15166667</v>
      </c>
      <c r="F83" s="42" t="n">
        <f aca="false">E83</f>
        <v>15166667</v>
      </c>
      <c r="G83" s="24" t="n">
        <v>0</v>
      </c>
      <c r="H83" s="9" t="n">
        <v>0</v>
      </c>
      <c r="I83" s="24" t="n">
        <v>0</v>
      </c>
      <c r="J83" s="9" t="n">
        <v>1</v>
      </c>
      <c r="K83" s="2" t="s">
        <v>373</v>
      </c>
    </row>
    <row r="84" customFormat="false" ht="15" hidden="false" customHeight="false" outlineLevel="0" collapsed="false">
      <c r="A84" s="6" t="n">
        <v>10</v>
      </c>
      <c r="B84" s="7"/>
      <c r="C84" s="7"/>
      <c r="D84" s="7"/>
      <c r="E84" s="41"/>
      <c r="F84" s="42" t="n">
        <f aca="false">E84</f>
        <v>0</v>
      </c>
      <c r="G84" s="24"/>
      <c r="H84" s="9"/>
      <c r="I84" s="24"/>
      <c r="J84" s="9"/>
      <c r="K84" s="2"/>
    </row>
    <row r="85" customFormat="false" ht="15" hidden="false" customHeight="false" outlineLevel="0" collapsed="false">
      <c r="A85" s="6" t="n">
        <v>11</v>
      </c>
      <c r="B85" s="7"/>
      <c r="C85" s="7"/>
      <c r="D85" s="7"/>
      <c r="E85" s="41"/>
      <c r="F85" s="42" t="n">
        <f aca="false">E85</f>
        <v>0</v>
      </c>
      <c r="G85" s="24"/>
      <c r="H85" s="9"/>
      <c r="I85" s="24"/>
      <c r="J85" s="9"/>
      <c r="K85" s="2"/>
    </row>
    <row r="86" customFormat="false" ht="15" hidden="false" customHeight="false" outlineLevel="0" collapsed="false">
      <c r="A86" s="6" t="n">
        <v>12</v>
      </c>
      <c r="B86" s="7"/>
      <c r="C86" s="7"/>
      <c r="D86" s="7"/>
      <c r="E86" s="41"/>
      <c r="F86" s="42" t="n">
        <f aca="false">E86</f>
        <v>0</v>
      </c>
      <c r="G86" s="24"/>
      <c r="H86" s="9"/>
      <c r="I86" s="24"/>
      <c r="J86" s="9"/>
      <c r="K86" s="2"/>
    </row>
    <row r="87" customFormat="false" ht="15" hidden="false" customHeight="false" outlineLevel="0" collapsed="false">
      <c r="A87" s="6" t="n">
        <v>13</v>
      </c>
      <c r="B87" s="7"/>
      <c r="C87" s="7"/>
      <c r="D87" s="7"/>
      <c r="E87" s="41"/>
      <c r="F87" s="42" t="n">
        <f aca="false">E87</f>
        <v>0</v>
      </c>
      <c r="G87" s="24"/>
      <c r="H87" s="9"/>
      <c r="I87" s="24"/>
      <c r="J87" s="9"/>
      <c r="K87" s="2"/>
    </row>
    <row r="88" customFormat="false" ht="15" hidden="false" customHeight="false" outlineLevel="0" collapsed="false">
      <c r="A88" s="6" t="n">
        <v>14</v>
      </c>
      <c r="B88" s="7"/>
      <c r="C88" s="7"/>
      <c r="D88" s="7"/>
      <c r="E88" s="41"/>
      <c r="F88" s="42" t="n">
        <f aca="false">E88</f>
        <v>0</v>
      </c>
      <c r="G88" s="24"/>
      <c r="H88" s="9"/>
      <c r="I88" s="24"/>
      <c r="J88" s="9"/>
      <c r="K88" s="2"/>
    </row>
    <row r="89" customFormat="false" ht="15" hidden="false" customHeight="false" outlineLevel="0" collapsed="false">
      <c r="A89" s="6" t="n">
        <v>15</v>
      </c>
      <c r="B89" s="7"/>
      <c r="C89" s="7"/>
      <c r="D89" s="7"/>
      <c r="E89" s="41"/>
      <c r="F89" s="42" t="n">
        <f aca="false">E89</f>
        <v>0</v>
      </c>
      <c r="G89" s="24"/>
      <c r="H89" s="9"/>
      <c r="I89" s="24"/>
      <c r="J89" s="9"/>
      <c r="K89" s="2"/>
    </row>
    <row r="90" customFormat="false" ht="15" hidden="false" customHeight="false" outlineLevel="0" collapsed="false">
      <c r="A90" s="6" t="n">
        <v>16</v>
      </c>
      <c r="B90" s="7"/>
      <c r="C90" s="7"/>
      <c r="D90" s="7"/>
      <c r="E90" s="41"/>
      <c r="F90" s="42" t="n">
        <f aca="false">E90</f>
        <v>0</v>
      </c>
      <c r="G90" s="24"/>
      <c r="H90" s="9"/>
      <c r="I90" s="24"/>
      <c r="J90" s="9"/>
      <c r="K90" s="2"/>
    </row>
    <row r="91" customFormat="false" ht="15" hidden="false" customHeight="false" outlineLevel="0" collapsed="false">
      <c r="A91" s="6" t="n">
        <v>17</v>
      </c>
      <c r="B91" s="7"/>
      <c r="C91" s="7"/>
      <c r="D91" s="7"/>
      <c r="E91" s="41"/>
      <c r="F91" s="42" t="n">
        <f aca="false">E91</f>
        <v>0</v>
      </c>
      <c r="G91" s="24"/>
      <c r="H91" s="9"/>
      <c r="I91" s="24"/>
      <c r="J91" s="9"/>
      <c r="K91" s="2"/>
    </row>
    <row r="92" customFormat="false" ht="15" hidden="false" customHeight="false" outlineLevel="0" collapsed="false">
      <c r="A92" s="6" t="n">
        <v>18</v>
      </c>
      <c r="B92" s="7"/>
      <c r="C92" s="7"/>
      <c r="D92" s="7"/>
      <c r="E92" s="41"/>
      <c r="F92" s="42" t="n">
        <f aca="false">E92</f>
        <v>0</v>
      </c>
      <c r="G92" s="24"/>
      <c r="H92" s="9"/>
      <c r="I92" s="24"/>
      <c r="J92" s="9"/>
      <c r="K92" s="2"/>
    </row>
    <row r="93" customFormat="false" ht="15" hidden="false" customHeight="false" outlineLevel="0" collapsed="false">
      <c r="A93" s="6" t="n">
        <v>19</v>
      </c>
      <c r="B93" s="7"/>
      <c r="C93" s="7"/>
      <c r="D93" s="7"/>
      <c r="E93" s="41"/>
      <c r="F93" s="42" t="n">
        <f aca="false">E93</f>
        <v>0</v>
      </c>
      <c r="G93" s="24"/>
      <c r="H93" s="9"/>
      <c r="I93" s="24"/>
      <c r="J93" s="9"/>
      <c r="K93" s="2"/>
    </row>
    <row r="94" customFormat="false" ht="15" hidden="false" customHeight="false" outlineLevel="0" collapsed="false">
      <c r="A94" s="6" t="n">
        <v>20</v>
      </c>
      <c r="B94" s="7"/>
      <c r="C94" s="7"/>
      <c r="D94" s="7"/>
      <c r="E94" s="41"/>
      <c r="F94" s="42" t="n">
        <f aca="false">E94</f>
        <v>0</v>
      </c>
      <c r="G94" s="24"/>
      <c r="H94" s="9"/>
      <c r="I94" s="24"/>
      <c r="J94" s="9"/>
      <c r="K94" s="2"/>
    </row>
    <row r="95" customFormat="false" ht="15" hidden="false" customHeight="false" outlineLevel="0" collapsed="false">
      <c r="A95" s="6" t="n">
        <v>21</v>
      </c>
      <c r="B95" s="7"/>
      <c r="C95" s="7"/>
      <c r="D95" s="7"/>
      <c r="E95" s="41"/>
      <c r="F95" s="42" t="n">
        <f aca="false">E95</f>
        <v>0</v>
      </c>
      <c r="G95" s="24"/>
      <c r="H95" s="9"/>
      <c r="I95" s="24"/>
      <c r="J95" s="9"/>
      <c r="K95" s="2"/>
    </row>
    <row r="96" customFormat="false" ht="15" hidden="false" customHeight="false" outlineLevel="0" collapsed="false">
      <c r="A96" s="6" t="n">
        <v>22</v>
      </c>
      <c r="B96" s="7"/>
      <c r="C96" s="7"/>
      <c r="D96" s="7"/>
      <c r="E96" s="41"/>
      <c r="F96" s="42" t="n">
        <f aca="false">E96</f>
        <v>0</v>
      </c>
      <c r="G96" s="24"/>
      <c r="H96" s="9"/>
      <c r="I96" s="24"/>
      <c r="J96" s="9"/>
      <c r="K96" s="2"/>
    </row>
    <row r="97" customFormat="false" ht="15" hidden="false" customHeight="false" outlineLevel="0" collapsed="false">
      <c r="A97" s="6" t="n">
        <v>23</v>
      </c>
      <c r="B97" s="7"/>
      <c r="C97" s="7"/>
      <c r="D97" s="7"/>
      <c r="E97" s="41"/>
      <c r="F97" s="42" t="n">
        <f aca="false">E97</f>
        <v>0</v>
      </c>
      <c r="G97" s="24"/>
      <c r="H97" s="9"/>
      <c r="I97" s="24"/>
      <c r="J97" s="9"/>
      <c r="K97" s="2"/>
    </row>
    <row r="98" customFormat="false" ht="15" hidden="false" customHeight="false" outlineLevel="0" collapsed="false">
      <c r="A98" s="6" t="n">
        <v>24</v>
      </c>
      <c r="B98" s="7"/>
      <c r="C98" s="7"/>
      <c r="D98" s="7"/>
      <c r="E98" s="41"/>
      <c r="F98" s="42" t="n">
        <f aca="false">E98</f>
        <v>0</v>
      </c>
      <c r="G98" s="24"/>
      <c r="H98" s="9"/>
      <c r="I98" s="24"/>
      <c r="J98" s="9"/>
      <c r="K98" s="2"/>
    </row>
    <row r="99" customFormat="false" ht="15" hidden="false" customHeight="false" outlineLevel="0" collapsed="false">
      <c r="A99" s="6" t="n">
        <v>25</v>
      </c>
      <c r="B99" s="7"/>
      <c r="C99" s="7"/>
      <c r="D99" s="7"/>
      <c r="E99" s="41"/>
      <c r="F99" s="42" t="n">
        <f aca="false">E99</f>
        <v>0</v>
      </c>
      <c r="G99" s="24"/>
      <c r="H99" s="9"/>
      <c r="I99" s="24"/>
      <c r="J99" s="9"/>
      <c r="K99" s="2"/>
    </row>
    <row r="100" customFormat="false" ht="15" hidden="false" customHeight="false" outlineLevel="0" collapsed="false">
      <c r="B100" s="2" t="s">
        <v>374</v>
      </c>
    </row>
  </sheetData>
  <mergeCells count="1">
    <mergeCell ref="K74:Q74"/>
  </mergeCells>
  <conditionalFormatting sqref="F6:F35">
    <cfRule type="expression" priority="2" aboveAverage="0" equalAverage="0" bottom="0" percent="0" rank="0" text="" dxfId="0">
      <formula>F6&lt;&gt;E6</formula>
    </cfRule>
  </conditionalFormatting>
  <conditionalFormatting sqref="G41:P70">
    <cfRule type="expression" priority="3" aboveAverage="0" equalAverage="0" bottom="0" percent="0" rank="0" text="" dxfId="0">
      <formula>G41&lt;&gt;G6</formula>
    </cfRule>
  </conditionalFormatting>
  <conditionalFormatting sqref="F75:F99">
    <cfRule type="expression" priority="4" aboveAverage="0" equalAverage="0" bottom="0" percent="0" rank="0" text="" dxfId="0">
      <formula>F75&lt;&gt;E75</formula>
    </cfRule>
  </conditionalFormatting>
  <dataValidations count="4">
    <dataValidation allowBlank="true" errorStyle="stop" operator="between" showDropDown="false" showErrorMessage="false" showInputMessage="false" sqref="C6:C35" type="list">
      <formula1>"Directo,Indirecto,Administración"</formula1>
      <formula2>0</formula2>
    </dataValidation>
    <dataValidation allowBlank="true" errorStyle="stop" operator="between" showDropDown="false" showErrorMessage="false" showInputMessage="false" sqref="D6:D35" type="list">
      <formula1>"PYG,USD"</formula1>
      <formula2>0</formula2>
    </dataValidation>
    <dataValidation allowBlank="true" errorStyle="stop" operator="between" showDropDown="false" showErrorMessage="false" showInputMessage="false" sqref="C75:C99" type="list">
      <formula1>"Producción,Administración"</formula1>
      <formula2>0</formula2>
    </dataValidation>
    <dataValidation allowBlank="true" errorStyle="stop" operator="between" showDropDown="false" showErrorMessage="false" showInputMessage="false" sqref="D75:D99" type="list">
      <formula1>"PYG,USD"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U5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4"/>
    <col collapsed="false" customWidth="true" hidden="false" outlineLevel="0" max="21" min="4" style="0" width="12.5"/>
  </cols>
  <sheetData>
    <row r="1" customFormat="false" ht="16.15" hidden="false" customHeight="false" outlineLevel="0" collapsed="false">
      <c r="A1" s="1" t="s">
        <v>375</v>
      </c>
    </row>
    <row r="2" customFormat="false" ht="15" hidden="false" customHeight="false" outlineLevel="0" collapsed="false">
      <c r="A2" s="2" t="s">
        <v>376</v>
      </c>
    </row>
    <row r="4" customFormat="false" ht="15" hidden="false" customHeight="false" outlineLevel="0" collapsed="false">
      <c r="A4" s="3" t="s">
        <v>377</v>
      </c>
      <c r="B4" s="4"/>
      <c r="C4" s="4"/>
      <c r="D4" s="4"/>
      <c r="E4" s="4"/>
      <c r="F4" s="4"/>
      <c r="G4" s="4"/>
      <c r="H4" s="4"/>
      <c r="I4" s="4"/>
      <c r="J4" s="4"/>
      <c r="K4" s="4"/>
      <c r="L4" s="4"/>
      <c r="M4" s="4"/>
      <c r="N4" s="4"/>
      <c r="O4" s="4"/>
      <c r="P4" s="4"/>
      <c r="Q4" s="4"/>
      <c r="R4" s="4"/>
      <c r="S4" s="4"/>
      <c r="T4" s="4"/>
      <c r="U4" s="4"/>
    </row>
    <row r="5" customFormat="false" ht="66" hidden="false" customHeight="true" outlineLevel="0" collapsed="false">
      <c r="A5" s="5" t="s">
        <v>272</v>
      </c>
      <c r="B5" s="5" t="s">
        <v>378</v>
      </c>
      <c r="C5" s="5" t="s">
        <v>300</v>
      </c>
      <c r="D5" s="5" t="s">
        <v>36</v>
      </c>
      <c r="E5" s="5" t="s">
        <v>379</v>
      </c>
      <c r="F5" s="5" t="s">
        <v>380</v>
      </c>
      <c r="G5" s="5" t="s">
        <v>381</v>
      </c>
      <c r="H5" s="5" t="s">
        <v>382</v>
      </c>
      <c r="I5" s="5" t="s">
        <v>383</v>
      </c>
      <c r="J5" s="5" t="s">
        <v>384</v>
      </c>
      <c r="K5" s="5" t="s">
        <v>385</v>
      </c>
      <c r="L5" s="5" t="s">
        <v>386</v>
      </c>
      <c r="M5" s="5" t="s">
        <v>387</v>
      </c>
      <c r="N5" s="5" t="s">
        <v>388</v>
      </c>
      <c r="O5" s="5" t="s">
        <v>389</v>
      </c>
      <c r="P5" s="5" t="s">
        <v>390</v>
      </c>
      <c r="Q5" s="5" t="s">
        <v>391</v>
      </c>
      <c r="R5" s="5" t="s">
        <v>392</v>
      </c>
      <c r="S5" s="5" t="s">
        <v>393</v>
      </c>
      <c r="T5" s="5" t="s">
        <v>394</v>
      </c>
      <c r="U5" s="5" t="s">
        <v>395</v>
      </c>
    </row>
    <row r="6" customFormat="false" ht="15" hidden="false" customHeight="false" outlineLevel="0" collapsed="false">
      <c r="A6" s="6" t="n">
        <v>1</v>
      </c>
      <c r="B6" s="7" t="s">
        <v>396</v>
      </c>
      <c r="C6" s="7" t="s">
        <v>397</v>
      </c>
      <c r="D6" s="22" t="n">
        <v>87000</v>
      </c>
      <c r="E6" s="9" t="n">
        <v>1</v>
      </c>
      <c r="F6" s="9" t="n">
        <v>10</v>
      </c>
      <c r="G6" s="22"/>
      <c r="H6" s="22"/>
      <c r="I6" s="22"/>
      <c r="J6" s="22"/>
      <c r="K6" s="9"/>
      <c r="L6" s="9"/>
      <c r="M6" s="34" t="n">
        <f aca="false">IF(J6&lt;&gt;"",N(J6),MAX(0,N(D6)-N(G6)-N(I6)))</f>
        <v>87000</v>
      </c>
      <c r="N6" s="10" t="n">
        <f aca="false">N(G6)+N(I6)+M6</f>
        <v>87000</v>
      </c>
      <c r="O6" s="34" t="n">
        <f aca="false">N6-N(D6)</f>
        <v>0</v>
      </c>
      <c r="P6" s="35" t="n">
        <f aca="false">IF(N6&gt;0,N(H6)/N6,"")</f>
        <v>0</v>
      </c>
      <c r="Q6" s="19" t="n">
        <f aca="false">IF(K6&lt;&gt;"",K6,MAX(N(E6),Corte+1))</f>
        <v>1</v>
      </c>
      <c r="R6" s="34" t="n">
        <f aca="false">N(G6)-N(H6)+N(I6)</f>
        <v>0</v>
      </c>
      <c r="S6" s="19" t="n">
        <f aca="false">MAX(N(E6),P_Inicio)</f>
        <v>1</v>
      </c>
      <c r="T6" s="19" t="n">
        <f aca="false">IF(L6&lt;&gt;"",L6,MAX(N(E6),V_Inicio))</f>
        <v>1</v>
      </c>
      <c r="U6" s="34" t="n">
        <f aca="false">N(G6)+N(I6)+M6*(1+V_dCapex)</f>
        <v>87000</v>
      </c>
    </row>
    <row r="7" customFormat="false" ht="15" hidden="false" customHeight="false" outlineLevel="0" collapsed="false">
      <c r="A7" s="6" t="n">
        <v>2</v>
      </c>
      <c r="B7" s="7" t="s">
        <v>398</v>
      </c>
      <c r="C7" s="7" t="s">
        <v>399</v>
      </c>
      <c r="D7" s="22" t="n">
        <v>183073.6</v>
      </c>
      <c r="E7" s="9" t="n">
        <v>1</v>
      </c>
      <c r="F7" s="9" t="n">
        <v>10</v>
      </c>
      <c r="G7" s="22"/>
      <c r="H7" s="22"/>
      <c r="I7" s="22"/>
      <c r="J7" s="22"/>
      <c r="K7" s="9"/>
      <c r="L7" s="9"/>
      <c r="M7" s="34" t="n">
        <f aca="false">IF(J7&lt;&gt;"",N(J7),MAX(0,N(D7)-N(G7)-N(I7)))</f>
        <v>183073.6</v>
      </c>
      <c r="N7" s="10" t="n">
        <f aca="false">N(G7)+N(I7)+M7</f>
        <v>183073.6</v>
      </c>
      <c r="O7" s="34" t="n">
        <f aca="false">N7-N(D7)</f>
        <v>0</v>
      </c>
      <c r="P7" s="35" t="n">
        <f aca="false">IF(N7&gt;0,N(H7)/N7,"")</f>
        <v>0</v>
      </c>
      <c r="Q7" s="19" t="n">
        <f aca="false">IF(K7&lt;&gt;"",K7,MAX(N(E7),Corte+1))</f>
        <v>1</v>
      </c>
      <c r="R7" s="34" t="n">
        <f aca="false">N(G7)-N(H7)+N(I7)</f>
        <v>0</v>
      </c>
      <c r="S7" s="19" t="n">
        <f aca="false">MAX(N(E7),P_Inicio)</f>
        <v>1</v>
      </c>
      <c r="T7" s="19" t="n">
        <f aca="false">IF(L7&lt;&gt;"",L7,MAX(N(E7),V_Inicio))</f>
        <v>1</v>
      </c>
      <c r="U7" s="34" t="n">
        <f aca="false">N(G7)+N(I7)+M7*(1+V_dCapex)</f>
        <v>183073.6</v>
      </c>
    </row>
    <row r="8" customFormat="false" ht="15" hidden="false" customHeight="false" outlineLevel="0" collapsed="false">
      <c r="A8" s="6" t="n">
        <v>3</v>
      </c>
      <c r="B8" s="7" t="s">
        <v>400</v>
      </c>
      <c r="C8" s="7" t="s">
        <v>399</v>
      </c>
      <c r="D8" s="22" t="n">
        <v>84295.23</v>
      </c>
      <c r="E8" s="9" t="n">
        <v>1</v>
      </c>
      <c r="F8" s="9" t="n">
        <v>10</v>
      </c>
      <c r="G8" s="22"/>
      <c r="H8" s="22"/>
      <c r="I8" s="22"/>
      <c r="J8" s="22"/>
      <c r="K8" s="9"/>
      <c r="L8" s="9"/>
      <c r="M8" s="34" t="n">
        <f aca="false">IF(J8&lt;&gt;"",N(J8),MAX(0,N(D8)-N(G8)-N(I8)))</f>
        <v>84295.23</v>
      </c>
      <c r="N8" s="10" t="n">
        <f aca="false">N(G8)+N(I8)+M8</f>
        <v>84295.23</v>
      </c>
      <c r="O8" s="34" t="n">
        <f aca="false">N8-N(D8)</f>
        <v>0</v>
      </c>
      <c r="P8" s="35" t="n">
        <f aca="false">IF(N8&gt;0,N(H8)/N8,"")</f>
        <v>0</v>
      </c>
      <c r="Q8" s="19" t="n">
        <f aca="false">IF(K8&lt;&gt;"",K8,MAX(N(E8),Corte+1))</f>
        <v>1</v>
      </c>
      <c r="R8" s="34" t="n">
        <f aca="false">N(G8)-N(H8)+N(I8)</f>
        <v>0</v>
      </c>
      <c r="S8" s="19" t="n">
        <f aca="false">MAX(N(E8),P_Inicio)</f>
        <v>1</v>
      </c>
      <c r="T8" s="19" t="n">
        <f aca="false">IF(L8&lt;&gt;"",L8,MAX(N(E8),V_Inicio))</f>
        <v>1</v>
      </c>
      <c r="U8" s="34" t="n">
        <f aca="false">N(G8)+N(I8)+M8*(1+V_dCapex)</f>
        <v>84295.23</v>
      </c>
    </row>
    <row r="9" customFormat="false" ht="15" hidden="false" customHeight="false" outlineLevel="0" collapsed="false">
      <c r="A9" s="6" t="n">
        <v>4</v>
      </c>
      <c r="B9" s="7" t="s">
        <v>401</v>
      </c>
      <c r="C9" s="7" t="s">
        <v>399</v>
      </c>
      <c r="D9" s="22" t="n">
        <v>10197</v>
      </c>
      <c r="E9" s="9" t="n">
        <v>1</v>
      </c>
      <c r="F9" s="9" t="n">
        <v>10</v>
      </c>
      <c r="G9" s="22"/>
      <c r="H9" s="22"/>
      <c r="I9" s="22"/>
      <c r="J9" s="22"/>
      <c r="K9" s="9"/>
      <c r="L9" s="9"/>
      <c r="M9" s="34" t="n">
        <f aca="false">IF(J9&lt;&gt;"",N(J9),MAX(0,N(D9)-N(G9)-N(I9)))</f>
        <v>10197</v>
      </c>
      <c r="N9" s="10" t="n">
        <f aca="false">N(G9)+N(I9)+M9</f>
        <v>10197</v>
      </c>
      <c r="O9" s="34" t="n">
        <f aca="false">N9-N(D9)</f>
        <v>0</v>
      </c>
      <c r="P9" s="35" t="n">
        <f aca="false">IF(N9&gt;0,N(H9)/N9,"")</f>
        <v>0</v>
      </c>
      <c r="Q9" s="19" t="n">
        <f aca="false">IF(K9&lt;&gt;"",K9,MAX(N(E9),Corte+1))</f>
        <v>1</v>
      </c>
      <c r="R9" s="34" t="n">
        <f aca="false">N(G9)-N(H9)+N(I9)</f>
        <v>0</v>
      </c>
      <c r="S9" s="19" t="n">
        <f aca="false">MAX(N(E9),P_Inicio)</f>
        <v>1</v>
      </c>
      <c r="T9" s="19" t="n">
        <f aca="false">IF(L9&lt;&gt;"",L9,MAX(N(E9),V_Inicio))</f>
        <v>1</v>
      </c>
      <c r="U9" s="34" t="n">
        <f aca="false">N(G9)+N(I9)+M9*(1+V_dCapex)</f>
        <v>10197</v>
      </c>
    </row>
    <row r="10" customFormat="false" ht="15" hidden="false" customHeight="false" outlineLevel="0" collapsed="false">
      <c r="A10" s="6" t="n">
        <v>5</v>
      </c>
      <c r="B10" s="7" t="s">
        <v>402</v>
      </c>
      <c r="C10" s="7" t="s">
        <v>399</v>
      </c>
      <c r="D10" s="22" t="n">
        <v>151967.08</v>
      </c>
      <c r="E10" s="9" t="n">
        <v>1</v>
      </c>
      <c r="F10" s="9" t="n">
        <v>10</v>
      </c>
      <c r="G10" s="22"/>
      <c r="H10" s="22"/>
      <c r="I10" s="22"/>
      <c r="J10" s="22"/>
      <c r="K10" s="9"/>
      <c r="L10" s="9"/>
      <c r="M10" s="34" t="n">
        <f aca="false">IF(J10&lt;&gt;"",N(J10),MAX(0,N(D10)-N(G10)-N(I10)))</f>
        <v>151967.08</v>
      </c>
      <c r="N10" s="10" t="n">
        <f aca="false">N(G10)+N(I10)+M10</f>
        <v>151967.08</v>
      </c>
      <c r="O10" s="34" t="n">
        <f aca="false">N10-N(D10)</f>
        <v>0</v>
      </c>
      <c r="P10" s="35" t="n">
        <f aca="false">IF(N10&gt;0,N(H10)/N10,"")</f>
        <v>0</v>
      </c>
      <c r="Q10" s="19" t="n">
        <f aca="false">IF(K10&lt;&gt;"",K10,MAX(N(E10),Corte+1))</f>
        <v>1</v>
      </c>
      <c r="R10" s="34" t="n">
        <f aca="false">N(G10)-N(H10)+N(I10)</f>
        <v>0</v>
      </c>
      <c r="S10" s="19" t="n">
        <f aca="false">MAX(N(E10),P_Inicio)</f>
        <v>1</v>
      </c>
      <c r="T10" s="19" t="n">
        <f aca="false">IF(L10&lt;&gt;"",L10,MAX(N(E10),V_Inicio))</f>
        <v>1</v>
      </c>
      <c r="U10" s="34" t="n">
        <f aca="false">N(G10)+N(I10)+M10*(1+V_dCapex)</f>
        <v>151967.08</v>
      </c>
    </row>
    <row r="11" customFormat="false" ht="15" hidden="false" customHeight="false" outlineLevel="0" collapsed="false">
      <c r="A11" s="6" t="n">
        <v>6</v>
      </c>
      <c r="B11" s="7" t="s">
        <v>403</v>
      </c>
      <c r="C11" s="7" t="s">
        <v>399</v>
      </c>
      <c r="D11" s="22" t="n">
        <v>3399</v>
      </c>
      <c r="E11" s="9" t="n">
        <v>1</v>
      </c>
      <c r="F11" s="9" t="n">
        <v>10</v>
      </c>
      <c r="G11" s="22"/>
      <c r="H11" s="22"/>
      <c r="I11" s="22"/>
      <c r="J11" s="22"/>
      <c r="K11" s="9"/>
      <c r="L11" s="9"/>
      <c r="M11" s="34" t="n">
        <f aca="false">IF(J11&lt;&gt;"",N(J11),MAX(0,N(D11)-N(G11)-N(I11)))</f>
        <v>3399</v>
      </c>
      <c r="N11" s="10" t="n">
        <f aca="false">N(G11)+N(I11)+M11</f>
        <v>3399</v>
      </c>
      <c r="O11" s="34" t="n">
        <f aca="false">N11-N(D11)</f>
        <v>0</v>
      </c>
      <c r="P11" s="35" t="n">
        <f aca="false">IF(N11&gt;0,N(H11)/N11,"")</f>
        <v>0</v>
      </c>
      <c r="Q11" s="19" t="n">
        <f aca="false">IF(K11&lt;&gt;"",K11,MAX(N(E11),Corte+1))</f>
        <v>1</v>
      </c>
      <c r="R11" s="34" t="n">
        <f aca="false">N(G11)-N(H11)+N(I11)</f>
        <v>0</v>
      </c>
      <c r="S11" s="19" t="n">
        <f aca="false">MAX(N(E11),P_Inicio)</f>
        <v>1</v>
      </c>
      <c r="T11" s="19" t="n">
        <f aca="false">IF(L11&lt;&gt;"",L11,MAX(N(E11),V_Inicio))</f>
        <v>1</v>
      </c>
      <c r="U11" s="34" t="n">
        <f aca="false">N(G11)+N(I11)+M11*(1+V_dCapex)</f>
        <v>3399</v>
      </c>
    </row>
    <row r="12" customFormat="false" ht="15" hidden="false" customHeight="false" outlineLevel="0" collapsed="false">
      <c r="A12" s="6" t="n">
        <v>7</v>
      </c>
      <c r="B12" s="7" t="s">
        <v>404</v>
      </c>
      <c r="C12" s="7" t="s">
        <v>399</v>
      </c>
      <c r="D12" s="22" t="n">
        <v>589.16</v>
      </c>
      <c r="E12" s="9" t="n">
        <v>1</v>
      </c>
      <c r="F12" s="9" t="n">
        <v>10</v>
      </c>
      <c r="G12" s="22"/>
      <c r="H12" s="22"/>
      <c r="I12" s="22"/>
      <c r="J12" s="22"/>
      <c r="K12" s="9"/>
      <c r="L12" s="9"/>
      <c r="M12" s="34" t="n">
        <f aca="false">IF(J12&lt;&gt;"",N(J12),MAX(0,N(D12)-N(G12)-N(I12)))</f>
        <v>589.16</v>
      </c>
      <c r="N12" s="10" t="n">
        <f aca="false">N(G12)+N(I12)+M12</f>
        <v>589.16</v>
      </c>
      <c r="O12" s="34" t="n">
        <f aca="false">N12-N(D12)</f>
        <v>0</v>
      </c>
      <c r="P12" s="35" t="n">
        <f aca="false">IF(N12&gt;0,N(H12)/N12,"")</f>
        <v>0</v>
      </c>
      <c r="Q12" s="19" t="n">
        <f aca="false">IF(K12&lt;&gt;"",K12,MAX(N(E12),Corte+1))</f>
        <v>1</v>
      </c>
      <c r="R12" s="34" t="n">
        <f aca="false">N(G12)-N(H12)+N(I12)</f>
        <v>0</v>
      </c>
      <c r="S12" s="19" t="n">
        <f aca="false">MAX(N(E12),P_Inicio)</f>
        <v>1</v>
      </c>
      <c r="T12" s="19" t="n">
        <f aca="false">IF(L12&lt;&gt;"",L12,MAX(N(E12),V_Inicio))</f>
        <v>1</v>
      </c>
      <c r="U12" s="34" t="n">
        <f aca="false">N(G12)+N(I12)+M12*(1+V_dCapex)</f>
        <v>589.16</v>
      </c>
    </row>
    <row r="13" customFormat="false" ht="15" hidden="false" customHeight="false" outlineLevel="0" collapsed="false">
      <c r="A13" s="6" t="n">
        <v>8</v>
      </c>
      <c r="B13" s="7" t="s">
        <v>405</v>
      </c>
      <c r="C13" s="7" t="s">
        <v>399</v>
      </c>
      <c r="D13" s="22" t="n">
        <v>28325.01</v>
      </c>
      <c r="E13" s="9" t="n">
        <v>1</v>
      </c>
      <c r="F13" s="9" t="n">
        <v>10</v>
      </c>
      <c r="G13" s="22"/>
      <c r="H13" s="22"/>
      <c r="I13" s="22"/>
      <c r="J13" s="22"/>
      <c r="K13" s="9"/>
      <c r="L13" s="9"/>
      <c r="M13" s="34" t="n">
        <f aca="false">IF(J13&lt;&gt;"",N(J13),MAX(0,N(D13)-N(G13)-N(I13)))</f>
        <v>28325.01</v>
      </c>
      <c r="N13" s="10" t="n">
        <f aca="false">N(G13)+N(I13)+M13</f>
        <v>28325.01</v>
      </c>
      <c r="O13" s="34" t="n">
        <f aca="false">N13-N(D13)</f>
        <v>0</v>
      </c>
      <c r="P13" s="35" t="n">
        <f aca="false">IF(N13&gt;0,N(H13)/N13,"")</f>
        <v>0</v>
      </c>
      <c r="Q13" s="19" t="n">
        <f aca="false">IF(K13&lt;&gt;"",K13,MAX(N(E13),Corte+1))</f>
        <v>1</v>
      </c>
      <c r="R13" s="34" t="n">
        <f aca="false">N(G13)-N(H13)+N(I13)</f>
        <v>0</v>
      </c>
      <c r="S13" s="19" t="n">
        <f aca="false">MAX(N(E13),P_Inicio)</f>
        <v>1</v>
      </c>
      <c r="T13" s="19" t="n">
        <f aca="false">IF(L13&lt;&gt;"",L13,MAX(N(E13),V_Inicio))</f>
        <v>1</v>
      </c>
      <c r="U13" s="34" t="n">
        <f aca="false">N(G13)+N(I13)+M13*(1+V_dCapex)</f>
        <v>28325.01</v>
      </c>
    </row>
    <row r="14" customFormat="false" ht="15" hidden="false" customHeight="false" outlineLevel="0" collapsed="false">
      <c r="A14" s="6" t="n">
        <v>9</v>
      </c>
      <c r="B14" s="7" t="s">
        <v>406</v>
      </c>
      <c r="C14" s="7" t="s">
        <v>399</v>
      </c>
      <c r="D14" s="22" t="n">
        <v>9857.1</v>
      </c>
      <c r="E14" s="9" t="n">
        <v>1</v>
      </c>
      <c r="F14" s="9" t="n">
        <v>10</v>
      </c>
      <c r="G14" s="22"/>
      <c r="H14" s="22"/>
      <c r="I14" s="22"/>
      <c r="J14" s="22"/>
      <c r="K14" s="9"/>
      <c r="L14" s="9"/>
      <c r="M14" s="34" t="n">
        <f aca="false">IF(J14&lt;&gt;"",N(J14),MAX(0,N(D14)-N(G14)-N(I14)))</f>
        <v>9857.1</v>
      </c>
      <c r="N14" s="10" t="n">
        <f aca="false">N(G14)+N(I14)+M14</f>
        <v>9857.1</v>
      </c>
      <c r="O14" s="34" t="n">
        <f aca="false">N14-N(D14)</f>
        <v>0</v>
      </c>
      <c r="P14" s="35" t="n">
        <f aca="false">IF(N14&gt;0,N(H14)/N14,"")</f>
        <v>0</v>
      </c>
      <c r="Q14" s="19" t="n">
        <f aca="false">IF(K14&lt;&gt;"",K14,MAX(N(E14),Corte+1))</f>
        <v>1</v>
      </c>
      <c r="R14" s="34" t="n">
        <f aca="false">N(G14)-N(H14)+N(I14)</f>
        <v>0</v>
      </c>
      <c r="S14" s="19" t="n">
        <f aca="false">MAX(N(E14),P_Inicio)</f>
        <v>1</v>
      </c>
      <c r="T14" s="19" t="n">
        <f aca="false">IF(L14&lt;&gt;"",L14,MAX(N(E14),V_Inicio))</f>
        <v>1</v>
      </c>
      <c r="U14" s="34" t="n">
        <f aca="false">N(G14)+N(I14)+M14*(1+V_dCapex)</f>
        <v>9857.1</v>
      </c>
    </row>
    <row r="15" customFormat="false" ht="15" hidden="false" customHeight="false" outlineLevel="0" collapsed="false">
      <c r="A15" s="6" t="n">
        <v>10</v>
      </c>
      <c r="B15" s="7" t="s">
        <v>407</v>
      </c>
      <c r="C15" s="7" t="s">
        <v>399</v>
      </c>
      <c r="D15" s="22" t="n">
        <v>29458.01</v>
      </c>
      <c r="E15" s="9" t="n">
        <v>1</v>
      </c>
      <c r="F15" s="9" t="n">
        <v>10</v>
      </c>
      <c r="G15" s="22"/>
      <c r="H15" s="22"/>
      <c r="I15" s="22"/>
      <c r="J15" s="22"/>
      <c r="K15" s="9"/>
      <c r="L15" s="9"/>
      <c r="M15" s="34" t="n">
        <f aca="false">IF(J15&lt;&gt;"",N(J15),MAX(0,N(D15)-N(G15)-N(I15)))</f>
        <v>29458.01</v>
      </c>
      <c r="N15" s="10" t="n">
        <f aca="false">N(G15)+N(I15)+M15</f>
        <v>29458.01</v>
      </c>
      <c r="O15" s="34" t="n">
        <f aca="false">N15-N(D15)</f>
        <v>0</v>
      </c>
      <c r="P15" s="35" t="n">
        <f aca="false">IF(N15&gt;0,N(H15)/N15,"")</f>
        <v>0</v>
      </c>
      <c r="Q15" s="19" t="n">
        <f aca="false">IF(K15&lt;&gt;"",K15,MAX(N(E15),Corte+1))</f>
        <v>1</v>
      </c>
      <c r="R15" s="34" t="n">
        <f aca="false">N(G15)-N(H15)+N(I15)</f>
        <v>0</v>
      </c>
      <c r="S15" s="19" t="n">
        <f aca="false">MAX(N(E15),P_Inicio)</f>
        <v>1</v>
      </c>
      <c r="T15" s="19" t="n">
        <f aca="false">IF(L15&lt;&gt;"",L15,MAX(N(E15),V_Inicio))</f>
        <v>1</v>
      </c>
      <c r="U15" s="34" t="n">
        <f aca="false">N(G15)+N(I15)+M15*(1+V_dCapex)</f>
        <v>29458.01</v>
      </c>
    </row>
    <row r="16" customFormat="false" ht="15" hidden="false" customHeight="false" outlineLevel="0" collapsed="false">
      <c r="A16" s="6" t="n">
        <v>11</v>
      </c>
      <c r="B16" s="7" t="s">
        <v>408</v>
      </c>
      <c r="C16" s="7" t="s">
        <v>399</v>
      </c>
      <c r="D16" s="22" t="n">
        <v>6004.9</v>
      </c>
      <c r="E16" s="9" t="n">
        <v>1</v>
      </c>
      <c r="F16" s="9" t="n">
        <v>10</v>
      </c>
      <c r="G16" s="22"/>
      <c r="H16" s="22"/>
      <c r="I16" s="22"/>
      <c r="J16" s="22"/>
      <c r="K16" s="9"/>
      <c r="L16" s="9"/>
      <c r="M16" s="34" t="n">
        <f aca="false">IF(J16&lt;&gt;"",N(J16),MAX(0,N(D16)-N(G16)-N(I16)))</f>
        <v>6004.9</v>
      </c>
      <c r="N16" s="10" t="n">
        <f aca="false">N(G16)+N(I16)+M16</f>
        <v>6004.9</v>
      </c>
      <c r="O16" s="34" t="n">
        <f aca="false">N16-N(D16)</f>
        <v>0</v>
      </c>
      <c r="P16" s="35" t="n">
        <f aca="false">IF(N16&gt;0,N(H16)/N16,"")</f>
        <v>0</v>
      </c>
      <c r="Q16" s="19" t="n">
        <f aca="false">IF(K16&lt;&gt;"",K16,MAX(N(E16),Corte+1))</f>
        <v>1</v>
      </c>
      <c r="R16" s="34" t="n">
        <f aca="false">N(G16)-N(H16)+N(I16)</f>
        <v>0</v>
      </c>
      <c r="S16" s="19" t="n">
        <f aca="false">MAX(N(E16),P_Inicio)</f>
        <v>1</v>
      </c>
      <c r="T16" s="19" t="n">
        <f aca="false">IF(L16&lt;&gt;"",L16,MAX(N(E16),V_Inicio))</f>
        <v>1</v>
      </c>
      <c r="U16" s="34" t="n">
        <f aca="false">N(G16)+N(I16)+M16*(1+V_dCapex)</f>
        <v>6004.9</v>
      </c>
    </row>
    <row r="17" customFormat="false" ht="15" hidden="false" customHeight="false" outlineLevel="0" collapsed="false">
      <c r="A17" s="6" t="n">
        <v>12</v>
      </c>
      <c r="B17" s="7" t="s">
        <v>409</v>
      </c>
      <c r="C17" s="7" t="s">
        <v>410</v>
      </c>
      <c r="D17" s="22" t="n">
        <v>43478</v>
      </c>
      <c r="E17" s="9" t="n">
        <v>1</v>
      </c>
      <c r="F17" s="9" t="n">
        <v>5</v>
      </c>
      <c r="G17" s="22"/>
      <c r="H17" s="22"/>
      <c r="I17" s="22"/>
      <c r="J17" s="22"/>
      <c r="K17" s="9"/>
      <c r="L17" s="9"/>
      <c r="M17" s="34" t="n">
        <f aca="false">IF(J17&lt;&gt;"",N(J17),MAX(0,N(D17)-N(G17)-N(I17)))</f>
        <v>43478</v>
      </c>
      <c r="N17" s="10" t="n">
        <f aca="false">N(G17)+N(I17)+M17</f>
        <v>43478</v>
      </c>
      <c r="O17" s="34" t="n">
        <f aca="false">N17-N(D17)</f>
        <v>0</v>
      </c>
      <c r="P17" s="35" t="n">
        <f aca="false">IF(N17&gt;0,N(H17)/N17,"")</f>
        <v>0</v>
      </c>
      <c r="Q17" s="19" t="n">
        <f aca="false">IF(K17&lt;&gt;"",K17,MAX(N(E17),Corte+1))</f>
        <v>1</v>
      </c>
      <c r="R17" s="34" t="n">
        <f aca="false">N(G17)-N(H17)+N(I17)</f>
        <v>0</v>
      </c>
      <c r="S17" s="19" t="n">
        <f aca="false">MAX(N(E17),P_Inicio)</f>
        <v>1</v>
      </c>
      <c r="T17" s="19" t="n">
        <f aca="false">IF(L17&lt;&gt;"",L17,MAX(N(E17),V_Inicio))</f>
        <v>1</v>
      </c>
      <c r="U17" s="34" t="n">
        <f aca="false">N(G17)+N(I17)+M17*(1+V_dCapex)</f>
        <v>43478</v>
      </c>
    </row>
    <row r="18" customFormat="false" ht="15" hidden="false" customHeight="false" outlineLevel="0" collapsed="false">
      <c r="A18" s="6" t="n">
        <v>13</v>
      </c>
      <c r="B18" s="7" t="s">
        <v>411</v>
      </c>
      <c r="C18" s="7" t="s">
        <v>411</v>
      </c>
      <c r="D18" s="22" t="n">
        <v>17400</v>
      </c>
      <c r="E18" s="9" t="n">
        <v>1</v>
      </c>
      <c r="F18" s="9" t="n">
        <v>5</v>
      </c>
      <c r="G18" s="22"/>
      <c r="H18" s="22"/>
      <c r="I18" s="22"/>
      <c r="J18" s="22"/>
      <c r="K18" s="9"/>
      <c r="L18" s="9"/>
      <c r="M18" s="34" t="n">
        <f aca="false">IF(J18&lt;&gt;"",N(J18),MAX(0,N(D18)-N(G18)-N(I18)))</f>
        <v>17400</v>
      </c>
      <c r="N18" s="10" t="n">
        <f aca="false">N(G18)+N(I18)+M18</f>
        <v>17400</v>
      </c>
      <c r="O18" s="34" t="n">
        <f aca="false">N18-N(D18)</f>
        <v>0</v>
      </c>
      <c r="P18" s="35" t="n">
        <f aca="false">IF(N18&gt;0,N(H18)/N18,"")</f>
        <v>0</v>
      </c>
      <c r="Q18" s="19" t="n">
        <f aca="false">IF(K18&lt;&gt;"",K18,MAX(N(E18),Corte+1))</f>
        <v>1</v>
      </c>
      <c r="R18" s="34" t="n">
        <f aca="false">N(G18)-N(H18)+N(I18)</f>
        <v>0</v>
      </c>
      <c r="S18" s="19" t="n">
        <f aca="false">MAX(N(E18),P_Inicio)</f>
        <v>1</v>
      </c>
      <c r="T18" s="19" t="n">
        <f aca="false">IF(L18&lt;&gt;"",L18,MAX(N(E18),V_Inicio))</f>
        <v>1</v>
      </c>
      <c r="U18" s="34" t="n">
        <f aca="false">N(G18)+N(I18)+M18*(1+V_dCapex)</f>
        <v>17400</v>
      </c>
    </row>
    <row r="19" customFormat="false" ht="15" hidden="false" customHeight="false" outlineLevel="0" collapsed="false">
      <c r="A19" s="6" t="n">
        <v>14</v>
      </c>
      <c r="B19" s="7" t="s">
        <v>412</v>
      </c>
      <c r="C19" s="7" t="s">
        <v>413</v>
      </c>
      <c r="D19" s="22" t="n">
        <v>100000</v>
      </c>
      <c r="E19" s="9" t="n">
        <v>13</v>
      </c>
      <c r="F19" s="9" t="n">
        <v>10</v>
      </c>
      <c r="G19" s="22"/>
      <c r="H19" s="22"/>
      <c r="I19" s="22"/>
      <c r="J19" s="22"/>
      <c r="K19" s="9"/>
      <c r="L19" s="9"/>
      <c r="M19" s="34" t="n">
        <f aca="false">IF(J19&lt;&gt;"",N(J19),MAX(0,N(D19)-N(G19)-N(I19)))</f>
        <v>100000</v>
      </c>
      <c r="N19" s="10" t="n">
        <f aca="false">N(G19)+N(I19)+M19</f>
        <v>100000</v>
      </c>
      <c r="O19" s="34" t="n">
        <f aca="false">N19-N(D19)</f>
        <v>0</v>
      </c>
      <c r="P19" s="35" t="n">
        <f aca="false">IF(N19&gt;0,N(H19)/N19,"")</f>
        <v>0</v>
      </c>
      <c r="Q19" s="19" t="n">
        <f aca="false">IF(K19&lt;&gt;"",K19,MAX(N(E19),Corte+1))</f>
        <v>13</v>
      </c>
      <c r="R19" s="34" t="n">
        <f aca="false">N(G19)-N(H19)+N(I19)</f>
        <v>0</v>
      </c>
      <c r="S19" s="19" t="n">
        <f aca="false">MAX(N(E19),P_Inicio)</f>
        <v>13</v>
      </c>
      <c r="T19" s="19" t="n">
        <f aca="false">IF(L19&lt;&gt;"",L19,MAX(N(E19),V_Inicio))</f>
        <v>13</v>
      </c>
      <c r="U19" s="34" t="n">
        <f aca="false">N(G19)+N(I19)+M19*(1+V_dCapex)</f>
        <v>100000</v>
      </c>
    </row>
    <row r="20" customFormat="false" ht="15" hidden="false" customHeight="false" outlineLevel="0" collapsed="false">
      <c r="A20" s="6" t="n">
        <v>15</v>
      </c>
      <c r="B20" s="7"/>
      <c r="C20" s="7"/>
      <c r="D20" s="22"/>
      <c r="E20" s="9"/>
      <c r="F20" s="9"/>
      <c r="G20" s="22"/>
      <c r="H20" s="22"/>
      <c r="I20" s="22"/>
      <c r="J20" s="22"/>
      <c r="K20" s="9"/>
      <c r="L20" s="9"/>
      <c r="M20" s="34" t="n">
        <f aca="false">IF(J20&lt;&gt;"",N(J20),MAX(0,N(D20)-N(G20)-N(I20)))</f>
        <v>0</v>
      </c>
      <c r="N20" s="10" t="n">
        <f aca="false">N(G20)+N(I20)+M20</f>
        <v>0</v>
      </c>
      <c r="O20" s="34" t="n">
        <f aca="false">N20-N(D20)</f>
        <v>0</v>
      </c>
      <c r="P20" s="35" t="str">
        <f aca="false">IF(N20&gt;0,N(H20)/N20,"")</f>
        <v/>
      </c>
      <c r="Q20" s="19" t="n">
        <f aca="false">IF(K20&lt;&gt;"",K20,MAX(N(E20),Corte+1))</f>
        <v>1</v>
      </c>
      <c r="R20" s="34" t="n">
        <f aca="false">N(G20)-N(H20)+N(I20)</f>
        <v>0</v>
      </c>
      <c r="S20" s="19" t="n">
        <f aca="false">MAX(N(E20),P_Inicio)</f>
        <v>1</v>
      </c>
      <c r="T20" s="19" t="n">
        <f aca="false">IF(L20&lt;&gt;"",L20,MAX(N(E20),V_Inicio))</f>
        <v>1</v>
      </c>
      <c r="U20" s="34" t="n">
        <f aca="false">N(G20)+N(I20)+M20*(1+V_dCapex)</f>
        <v>0</v>
      </c>
    </row>
    <row r="21" customFormat="false" ht="15" hidden="false" customHeight="false" outlineLevel="0" collapsed="false">
      <c r="A21" s="6" t="n">
        <v>16</v>
      </c>
      <c r="B21" s="7"/>
      <c r="C21" s="7"/>
      <c r="D21" s="22"/>
      <c r="E21" s="9"/>
      <c r="F21" s="9"/>
      <c r="G21" s="22"/>
      <c r="H21" s="22"/>
      <c r="I21" s="22"/>
      <c r="J21" s="22"/>
      <c r="K21" s="9"/>
      <c r="L21" s="9"/>
      <c r="M21" s="34" t="n">
        <f aca="false">IF(J21&lt;&gt;"",N(J21),MAX(0,N(D21)-N(G21)-N(I21)))</f>
        <v>0</v>
      </c>
      <c r="N21" s="10" t="n">
        <f aca="false">N(G21)+N(I21)+M21</f>
        <v>0</v>
      </c>
      <c r="O21" s="34" t="n">
        <f aca="false">N21-N(D21)</f>
        <v>0</v>
      </c>
      <c r="P21" s="35" t="str">
        <f aca="false">IF(N21&gt;0,N(H21)/N21,"")</f>
        <v/>
      </c>
      <c r="Q21" s="19" t="n">
        <f aca="false">IF(K21&lt;&gt;"",K21,MAX(N(E21),Corte+1))</f>
        <v>1</v>
      </c>
      <c r="R21" s="34" t="n">
        <f aca="false">N(G21)-N(H21)+N(I21)</f>
        <v>0</v>
      </c>
      <c r="S21" s="19" t="n">
        <f aca="false">MAX(N(E21),P_Inicio)</f>
        <v>1</v>
      </c>
      <c r="T21" s="19" t="n">
        <f aca="false">IF(L21&lt;&gt;"",L21,MAX(N(E21),V_Inicio))</f>
        <v>1</v>
      </c>
      <c r="U21" s="34" t="n">
        <f aca="false">N(G21)+N(I21)+M21*(1+V_dCapex)</f>
        <v>0</v>
      </c>
    </row>
    <row r="22" customFormat="false" ht="15" hidden="false" customHeight="false" outlineLevel="0" collapsed="false">
      <c r="A22" s="6" t="n">
        <v>17</v>
      </c>
      <c r="B22" s="7"/>
      <c r="C22" s="7"/>
      <c r="D22" s="22"/>
      <c r="E22" s="9"/>
      <c r="F22" s="9"/>
      <c r="G22" s="22"/>
      <c r="H22" s="22"/>
      <c r="I22" s="22"/>
      <c r="J22" s="22"/>
      <c r="K22" s="9"/>
      <c r="L22" s="9"/>
      <c r="M22" s="34" t="n">
        <f aca="false">IF(J22&lt;&gt;"",N(J22),MAX(0,N(D22)-N(G22)-N(I22)))</f>
        <v>0</v>
      </c>
      <c r="N22" s="10" t="n">
        <f aca="false">N(G22)+N(I22)+M22</f>
        <v>0</v>
      </c>
      <c r="O22" s="34" t="n">
        <f aca="false">N22-N(D22)</f>
        <v>0</v>
      </c>
      <c r="P22" s="35" t="str">
        <f aca="false">IF(N22&gt;0,N(H22)/N22,"")</f>
        <v/>
      </c>
      <c r="Q22" s="19" t="n">
        <f aca="false">IF(K22&lt;&gt;"",K22,MAX(N(E22),Corte+1))</f>
        <v>1</v>
      </c>
      <c r="R22" s="34" t="n">
        <f aca="false">N(G22)-N(H22)+N(I22)</f>
        <v>0</v>
      </c>
      <c r="S22" s="19" t="n">
        <f aca="false">MAX(N(E22),P_Inicio)</f>
        <v>1</v>
      </c>
      <c r="T22" s="19" t="n">
        <f aca="false">IF(L22&lt;&gt;"",L22,MAX(N(E22),V_Inicio))</f>
        <v>1</v>
      </c>
      <c r="U22" s="34" t="n">
        <f aca="false">N(G22)+N(I22)+M22*(1+V_dCapex)</f>
        <v>0</v>
      </c>
    </row>
    <row r="23" customFormat="false" ht="15" hidden="false" customHeight="false" outlineLevel="0" collapsed="false">
      <c r="A23" s="6" t="n">
        <v>18</v>
      </c>
      <c r="B23" s="7"/>
      <c r="C23" s="7"/>
      <c r="D23" s="22"/>
      <c r="E23" s="9"/>
      <c r="F23" s="9"/>
      <c r="G23" s="22"/>
      <c r="H23" s="22"/>
      <c r="I23" s="22"/>
      <c r="J23" s="22"/>
      <c r="K23" s="9"/>
      <c r="L23" s="9"/>
      <c r="M23" s="34" t="n">
        <f aca="false">IF(J23&lt;&gt;"",N(J23),MAX(0,N(D23)-N(G23)-N(I23)))</f>
        <v>0</v>
      </c>
      <c r="N23" s="10" t="n">
        <f aca="false">N(G23)+N(I23)+M23</f>
        <v>0</v>
      </c>
      <c r="O23" s="34" t="n">
        <f aca="false">N23-N(D23)</f>
        <v>0</v>
      </c>
      <c r="P23" s="35" t="str">
        <f aca="false">IF(N23&gt;0,N(H23)/N23,"")</f>
        <v/>
      </c>
      <c r="Q23" s="19" t="n">
        <f aca="false">IF(K23&lt;&gt;"",K23,MAX(N(E23),Corte+1))</f>
        <v>1</v>
      </c>
      <c r="R23" s="34" t="n">
        <f aca="false">N(G23)-N(H23)+N(I23)</f>
        <v>0</v>
      </c>
      <c r="S23" s="19" t="n">
        <f aca="false">MAX(N(E23),P_Inicio)</f>
        <v>1</v>
      </c>
      <c r="T23" s="19" t="n">
        <f aca="false">IF(L23&lt;&gt;"",L23,MAX(N(E23),V_Inicio))</f>
        <v>1</v>
      </c>
      <c r="U23" s="34" t="n">
        <f aca="false">N(G23)+N(I23)+M23*(1+V_dCapex)</f>
        <v>0</v>
      </c>
    </row>
    <row r="24" customFormat="false" ht="15" hidden="false" customHeight="false" outlineLevel="0" collapsed="false">
      <c r="A24" s="6" t="n">
        <v>19</v>
      </c>
      <c r="B24" s="7"/>
      <c r="C24" s="7"/>
      <c r="D24" s="22"/>
      <c r="E24" s="9"/>
      <c r="F24" s="9"/>
      <c r="G24" s="22"/>
      <c r="H24" s="22"/>
      <c r="I24" s="22"/>
      <c r="J24" s="22"/>
      <c r="K24" s="9"/>
      <c r="L24" s="9"/>
      <c r="M24" s="34" t="n">
        <f aca="false">IF(J24&lt;&gt;"",N(J24),MAX(0,N(D24)-N(G24)-N(I24)))</f>
        <v>0</v>
      </c>
      <c r="N24" s="10" t="n">
        <f aca="false">N(G24)+N(I24)+M24</f>
        <v>0</v>
      </c>
      <c r="O24" s="34" t="n">
        <f aca="false">N24-N(D24)</f>
        <v>0</v>
      </c>
      <c r="P24" s="35" t="str">
        <f aca="false">IF(N24&gt;0,N(H24)/N24,"")</f>
        <v/>
      </c>
      <c r="Q24" s="19" t="n">
        <f aca="false">IF(K24&lt;&gt;"",K24,MAX(N(E24),Corte+1))</f>
        <v>1</v>
      </c>
      <c r="R24" s="34" t="n">
        <f aca="false">N(G24)-N(H24)+N(I24)</f>
        <v>0</v>
      </c>
      <c r="S24" s="19" t="n">
        <f aca="false">MAX(N(E24),P_Inicio)</f>
        <v>1</v>
      </c>
      <c r="T24" s="19" t="n">
        <f aca="false">IF(L24&lt;&gt;"",L24,MAX(N(E24),V_Inicio))</f>
        <v>1</v>
      </c>
      <c r="U24" s="34" t="n">
        <f aca="false">N(G24)+N(I24)+M24*(1+V_dCapex)</f>
        <v>0</v>
      </c>
    </row>
    <row r="25" customFormat="false" ht="15" hidden="false" customHeight="false" outlineLevel="0" collapsed="false">
      <c r="A25" s="6" t="n">
        <v>20</v>
      </c>
      <c r="B25" s="7"/>
      <c r="C25" s="7"/>
      <c r="D25" s="22"/>
      <c r="E25" s="9"/>
      <c r="F25" s="9"/>
      <c r="G25" s="22"/>
      <c r="H25" s="22"/>
      <c r="I25" s="22"/>
      <c r="J25" s="22"/>
      <c r="K25" s="9"/>
      <c r="L25" s="9"/>
      <c r="M25" s="34" t="n">
        <f aca="false">IF(J25&lt;&gt;"",N(J25),MAX(0,N(D25)-N(G25)-N(I25)))</f>
        <v>0</v>
      </c>
      <c r="N25" s="10" t="n">
        <f aca="false">N(G25)+N(I25)+M25</f>
        <v>0</v>
      </c>
      <c r="O25" s="34" t="n">
        <f aca="false">N25-N(D25)</f>
        <v>0</v>
      </c>
      <c r="P25" s="35" t="str">
        <f aca="false">IF(N25&gt;0,N(H25)/N25,"")</f>
        <v/>
      </c>
      <c r="Q25" s="19" t="n">
        <f aca="false">IF(K25&lt;&gt;"",K25,MAX(N(E25),Corte+1))</f>
        <v>1</v>
      </c>
      <c r="R25" s="34" t="n">
        <f aca="false">N(G25)-N(H25)+N(I25)</f>
        <v>0</v>
      </c>
      <c r="S25" s="19" t="n">
        <f aca="false">MAX(N(E25),P_Inicio)</f>
        <v>1</v>
      </c>
      <c r="T25" s="19" t="n">
        <f aca="false">IF(L25&lt;&gt;"",L25,MAX(N(E25),V_Inicio))</f>
        <v>1</v>
      </c>
      <c r="U25" s="34" t="n">
        <f aca="false">N(G25)+N(I25)+M25*(1+V_dCapex)</f>
        <v>0</v>
      </c>
    </row>
    <row r="26" customFormat="false" ht="15" hidden="false" customHeight="false" outlineLevel="0" collapsed="false">
      <c r="B26" s="11" t="s">
        <v>414</v>
      </c>
      <c r="D26" s="40" t="n">
        <f aca="false">SUM(D6:D25)</f>
        <v>755044.09</v>
      </c>
      <c r="G26" s="40" t="n">
        <f aca="false">SUM(G6:G25)</f>
        <v>0</v>
      </c>
      <c r="H26" s="40" t="n">
        <f aca="false">SUM(H6:H25)</f>
        <v>0</v>
      </c>
      <c r="I26" s="40" t="n">
        <f aca="false">SUM(I6:I25)</f>
        <v>0</v>
      </c>
      <c r="M26" s="40" t="n">
        <f aca="false">SUM(M6:M25)</f>
        <v>755044.09</v>
      </c>
      <c r="N26" s="40" t="n">
        <f aca="false">SUM(N6:N25)</f>
        <v>755044.09</v>
      </c>
      <c r="O26" s="40" t="n">
        <f aca="false">SUM(O6:O25)</f>
        <v>0</v>
      </c>
      <c r="P26" s="30" t="n">
        <f aca="false">IF(N26&gt;0,H26/N26,"")</f>
        <v>0</v>
      </c>
      <c r="R26" s="40" t="n">
        <f aca="false">SUM(R6:R25)</f>
        <v>0</v>
      </c>
      <c r="U26" s="40" t="n">
        <f aca="false">SUM(U6:U25)</f>
        <v>755044.09</v>
      </c>
    </row>
    <row r="27" customFormat="false" ht="15" hidden="false" customHeight="false" outlineLevel="0" collapsed="false">
      <c r="B27" s="2" t="s">
        <v>415</v>
      </c>
    </row>
    <row r="29" customFormat="false" ht="15" hidden="false" customHeight="false" outlineLevel="0" collapsed="false">
      <c r="A29" s="3" t="s">
        <v>416</v>
      </c>
      <c r="B29" s="4"/>
      <c r="C29" s="4"/>
      <c r="D29" s="4"/>
      <c r="E29" s="4"/>
      <c r="F29" s="4"/>
      <c r="G29" s="4"/>
      <c r="H29" s="4"/>
      <c r="I29" s="4"/>
      <c r="J29" s="4"/>
      <c r="K29" s="4"/>
      <c r="L29" s="4"/>
      <c r="M29" s="4"/>
      <c r="N29" s="4"/>
      <c r="O29" s="4"/>
      <c r="P29" s="4"/>
      <c r="Q29" s="4"/>
      <c r="R29" s="4"/>
      <c r="S29" s="4"/>
      <c r="T29" s="4"/>
      <c r="U29" s="4"/>
    </row>
    <row r="30" customFormat="false" ht="42" hidden="false" customHeight="true" outlineLevel="0" collapsed="false">
      <c r="A30" s="5"/>
      <c r="B30" s="5" t="s">
        <v>417</v>
      </c>
      <c r="C30" s="5" t="s">
        <v>97</v>
      </c>
      <c r="D30" s="5" t="s">
        <v>418</v>
      </c>
      <c r="E30" s="5" t="s">
        <v>419</v>
      </c>
      <c r="F30" s="5" t="s">
        <v>420</v>
      </c>
      <c r="G30" s="5" t="s">
        <v>421</v>
      </c>
      <c r="H30" s="5" t="s">
        <v>422</v>
      </c>
      <c r="I30" s="5" t="s">
        <v>423</v>
      </c>
    </row>
    <row r="31" customFormat="false" ht="15" hidden="false" customHeight="false" outlineLevel="0" collapsed="false">
      <c r="B31" s="6" t="s">
        <v>424</v>
      </c>
      <c r="C31" s="6"/>
      <c r="D31" s="7" t="s">
        <v>425</v>
      </c>
      <c r="E31" s="13" t="str">
        <f aca="false">D31</f>
        <v>Préstamo bancario inicial</v>
      </c>
      <c r="F31" s="7"/>
      <c r="G31" s="13" t="n">
        <f aca="false">F31</f>
        <v>0</v>
      </c>
      <c r="H31" s="7"/>
      <c r="I31" s="13" t="n">
        <f aca="false">H31</f>
        <v>0</v>
      </c>
    </row>
    <row r="32" customFormat="false" ht="15" hidden="false" customHeight="false" outlineLevel="0" collapsed="false">
      <c r="B32" s="6" t="s">
        <v>426</v>
      </c>
      <c r="C32" s="6" t="s">
        <v>250</v>
      </c>
      <c r="D32" s="22" t="n">
        <v>2791587</v>
      </c>
      <c r="E32" s="23" t="n">
        <f aca="false">D32</f>
        <v>2791587</v>
      </c>
      <c r="F32" s="22"/>
      <c r="G32" s="23" t="n">
        <f aca="false">F32</f>
        <v>0</v>
      </c>
      <c r="H32" s="22"/>
      <c r="I32" s="23" t="n">
        <f aca="false">H32</f>
        <v>0</v>
      </c>
    </row>
    <row r="33" customFormat="false" ht="15" hidden="false" customHeight="false" outlineLevel="0" collapsed="false">
      <c r="B33" s="6" t="s">
        <v>427</v>
      </c>
      <c r="C33" s="6" t="s">
        <v>101</v>
      </c>
      <c r="D33" s="9" t="n">
        <v>1</v>
      </c>
      <c r="E33" s="18" t="n">
        <f aca="false">D33</f>
        <v>1</v>
      </c>
      <c r="F33" s="9"/>
      <c r="G33" s="18" t="n">
        <f aca="false">F33</f>
        <v>0</v>
      </c>
      <c r="H33" s="9"/>
      <c r="I33" s="18" t="n">
        <f aca="false">H33</f>
        <v>0</v>
      </c>
    </row>
    <row r="34" customFormat="false" ht="15" hidden="false" customHeight="false" outlineLevel="0" collapsed="false">
      <c r="B34" s="6" t="s">
        <v>428</v>
      </c>
      <c r="C34" s="6" t="s">
        <v>109</v>
      </c>
      <c r="D34" s="20" t="n">
        <v>0.09</v>
      </c>
      <c r="E34" s="21" t="n">
        <f aca="false">D34</f>
        <v>0.09</v>
      </c>
      <c r="F34" s="20"/>
      <c r="G34" s="21" t="n">
        <f aca="false">F34</f>
        <v>0</v>
      </c>
      <c r="H34" s="20"/>
      <c r="I34" s="21" t="n">
        <f aca="false">H34</f>
        <v>0</v>
      </c>
    </row>
    <row r="35" customFormat="false" ht="15" hidden="false" customHeight="false" outlineLevel="0" collapsed="false">
      <c r="B35" s="6" t="s">
        <v>429</v>
      </c>
      <c r="C35" s="6" t="s">
        <v>172</v>
      </c>
      <c r="D35" s="9" t="n">
        <v>6</v>
      </c>
      <c r="E35" s="18" t="n">
        <f aca="false">D35</f>
        <v>6</v>
      </c>
      <c r="F35" s="9"/>
      <c r="G35" s="18" t="n">
        <f aca="false">F35</f>
        <v>0</v>
      </c>
      <c r="H35" s="9"/>
      <c r="I35" s="18" t="n">
        <f aca="false">H35</f>
        <v>0</v>
      </c>
    </row>
    <row r="36" customFormat="false" ht="15" hidden="false" customHeight="false" outlineLevel="0" collapsed="false">
      <c r="B36" s="6" t="s">
        <v>430</v>
      </c>
      <c r="C36" s="6" t="s">
        <v>431</v>
      </c>
      <c r="D36" s="9" t="n">
        <v>54</v>
      </c>
      <c r="E36" s="18" t="n">
        <f aca="false">D36</f>
        <v>54</v>
      </c>
      <c r="F36" s="9"/>
      <c r="G36" s="18" t="n">
        <f aca="false">F36</f>
        <v>0</v>
      </c>
      <c r="H36" s="9"/>
      <c r="I36" s="18" t="n">
        <f aca="false">H36</f>
        <v>0</v>
      </c>
    </row>
    <row r="37" customFormat="false" ht="15" hidden="false" customHeight="false" outlineLevel="0" collapsed="false">
      <c r="B37" s="2" t="s">
        <v>432</v>
      </c>
    </row>
    <row r="39" customFormat="false" ht="15" hidden="false" customHeight="false" outlineLevel="0" collapsed="false">
      <c r="A39" s="3" t="s">
        <v>433</v>
      </c>
      <c r="B39" s="4"/>
      <c r="C39" s="4"/>
      <c r="D39" s="4"/>
      <c r="E39" s="4"/>
      <c r="F39" s="4"/>
      <c r="G39" s="4"/>
      <c r="H39" s="4"/>
      <c r="I39" s="4"/>
      <c r="J39" s="4"/>
      <c r="K39" s="4"/>
      <c r="L39" s="4"/>
      <c r="M39" s="4"/>
      <c r="N39" s="4"/>
      <c r="O39" s="4"/>
      <c r="P39" s="4"/>
      <c r="Q39" s="4"/>
      <c r="R39" s="4"/>
      <c r="S39" s="4"/>
      <c r="T39" s="4"/>
      <c r="U39" s="4"/>
    </row>
    <row r="40" customFormat="false" ht="30" hidden="false" customHeight="true" outlineLevel="0" collapsed="false">
      <c r="A40" s="5"/>
      <c r="B40" s="5" t="s">
        <v>417</v>
      </c>
      <c r="C40" s="5" t="s">
        <v>97</v>
      </c>
      <c r="D40" s="5" t="s">
        <v>434</v>
      </c>
      <c r="E40" s="5" t="s">
        <v>22</v>
      </c>
      <c r="F40" s="17" t="s">
        <v>204</v>
      </c>
      <c r="G40" s="17"/>
      <c r="H40" s="17"/>
      <c r="I40" s="17"/>
      <c r="J40" s="17"/>
      <c r="K40" s="17"/>
      <c r="L40" s="17"/>
      <c r="M40" s="17"/>
      <c r="N40" s="17"/>
    </row>
    <row r="41" customFormat="false" ht="15" hidden="false" customHeight="false" outlineLevel="0" collapsed="false">
      <c r="B41" s="6" t="s">
        <v>435</v>
      </c>
      <c r="C41" s="6" t="s">
        <v>250</v>
      </c>
      <c r="D41" s="22"/>
      <c r="E41" s="23" t="n">
        <f aca="false">D41</f>
        <v>0</v>
      </c>
      <c r="F41" s="2" t="s">
        <v>436</v>
      </c>
    </row>
    <row r="42" customFormat="false" ht="15" hidden="false" customHeight="false" outlineLevel="0" collapsed="false">
      <c r="B42" s="6" t="s">
        <v>437</v>
      </c>
      <c r="C42" s="6" t="s">
        <v>109</v>
      </c>
      <c r="D42" s="20"/>
      <c r="E42" s="21" t="n">
        <f aca="false">D42</f>
        <v>0</v>
      </c>
      <c r="F42" s="2" t="s">
        <v>438</v>
      </c>
    </row>
    <row r="43" customFormat="false" ht="15" hidden="false" customHeight="false" outlineLevel="0" collapsed="false">
      <c r="B43" s="6" t="s">
        <v>439</v>
      </c>
      <c r="C43" s="6" t="s">
        <v>101</v>
      </c>
      <c r="D43" s="9"/>
      <c r="E43" s="18" t="n">
        <f aca="false">D43</f>
        <v>0</v>
      </c>
      <c r="F43" s="2" t="s">
        <v>440</v>
      </c>
    </row>
    <row r="44" customFormat="false" ht="15" hidden="false" customHeight="false" outlineLevel="0" collapsed="false">
      <c r="B44" s="6" t="s">
        <v>441</v>
      </c>
      <c r="C44" s="6" t="s">
        <v>101</v>
      </c>
      <c r="D44" s="9"/>
      <c r="E44" s="18" t="n">
        <f aca="false">D44</f>
        <v>0</v>
      </c>
      <c r="F44" s="2" t="s">
        <v>442</v>
      </c>
    </row>
    <row r="45" customFormat="false" ht="15" hidden="false" customHeight="false" outlineLevel="0" collapsed="false">
      <c r="B45" s="6" t="s">
        <v>443</v>
      </c>
      <c r="C45" s="6" t="s">
        <v>250</v>
      </c>
      <c r="E45" s="22"/>
      <c r="F45" s="2" t="s">
        <v>444</v>
      </c>
    </row>
    <row r="46" customFormat="false" ht="15" hidden="false" customHeight="false" outlineLevel="0" collapsed="false">
      <c r="B46" s="2" t="s">
        <v>445</v>
      </c>
    </row>
    <row r="48" customFormat="false" ht="15" hidden="false" customHeight="false" outlineLevel="0" collapsed="false">
      <c r="A48" s="3" t="s">
        <v>446</v>
      </c>
      <c r="B48" s="4"/>
      <c r="C48" s="4"/>
      <c r="D48" s="4"/>
      <c r="E48" s="4"/>
      <c r="F48" s="4"/>
      <c r="G48" s="4"/>
      <c r="H48" s="4"/>
      <c r="I48" s="4"/>
      <c r="J48" s="4"/>
      <c r="K48" s="4"/>
      <c r="L48" s="4"/>
      <c r="M48" s="4"/>
      <c r="N48" s="4"/>
      <c r="O48" s="4"/>
      <c r="P48" s="4"/>
      <c r="Q48" s="4"/>
      <c r="R48" s="4"/>
      <c r="S48" s="4"/>
      <c r="T48" s="4"/>
      <c r="U48" s="4"/>
    </row>
    <row r="49" customFormat="false" ht="30" hidden="false" customHeight="true" outlineLevel="0" collapsed="false">
      <c r="A49" s="5" t="s">
        <v>272</v>
      </c>
      <c r="B49" s="5" t="s">
        <v>193</v>
      </c>
      <c r="C49" s="5" t="s">
        <v>447</v>
      </c>
      <c r="D49" s="5" t="s">
        <v>448</v>
      </c>
      <c r="E49" s="5" t="s">
        <v>449</v>
      </c>
      <c r="F49" s="5" t="s">
        <v>450</v>
      </c>
      <c r="G49" s="5" t="s">
        <v>204</v>
      </c>
    </row>
    <row r="50" customFormat="false" ht="15" hidden="false" customHeight="false" outlineLevel="0" collapsed="false">
      <c r="A50" s="6" t="n">
        <v>1</v>
      </c>
      <c r="B50" s="7" t="s">
        <v>451</v>
      </c>
      <c r="C50" s="9" t="n">
        <v>1</v>
      </c>
      <c r="D50" s="22" t="n">
        <v>200000</v>
      </c>
      <c r="E50" s="18" t="n">
        <f aca="false">C50</f>
        <v>1</v>
      </c>
      <c r="F50" s="23" t="n">
        <f aca="false">D50</f>
        <v>200000</v>
      </c>
    </row>
    <row r="51" customFormat="false" ht="15" hidden="false" customHeight="false" outlineLevel="0" collapsed="false">
      <c r="A51" s="6" t="n">
        <v>2</v>
      </c>
      <c r="B51" s="7" t="s">
        <v>452</v>
      </c>
      <c r="C51" s="9" t="n">
        <v>1</v>
      </c>
      <c r="D51" s="22" t="n">
        <v>567782</v>
      </c>
      <c r="E51" s="18" t="n">
        <f aca="false">C51</f>
        <v>1</v>
      </c>
      <c r="F51" s="23" t="n">
        <f aca="false">D51</f>
        <v>567782</v>
      </c>
    </row>
    <row r="52" customFormat="false" ht="15" hidden="false" customHeight="false" outlineLevel="0" collapsed="false">
      <c r="A52" s="6" t="n">
        <v>3</v>
      </c>
      <c r="B52" s="7" t="s">
        <v>453</v>
      </c>
      <c r="C52" s="9" t="n">
        <v>13</v>
      </c>
      <c r="D52" s="22" t="n">
        <v>371928</v>
      </c>
      <c r="E52" s="18" t="n">
        <f aca="false">C52</f>
        <v>13</v>
      </c>
      <c r="F52" s="23" t="n">
        <f aca="false">D52</f>
        <v>371928</v>
      </c>
    </row>
    <row r="53" customFormat="false" ht="15" hidden="false" customHeight="false" outlineLevel="0" collapsed="false">
      <c r="A53" s="6" t="n">
        <v>4</v>
      </c>
      <c r="B53" s="7"/>
      <c r="C53" s="9"/>
      <c r="D53" s="22"/>
      <c r="E53" s="18" t="n">
        <f aca="false">C53</f>
        <v>0</v>
      </c>
      <c r="F53" s="23" t="n">
        <f aca="false">D53</f>
        <v>0</v>
      </c>
    </row>
    <row r="54" customFormat="false" ht="15" hidden="false" customHeight="false" outlineLevel="0" collapsed="false">
      <c r="A54" s="6" t="n">
        <v>5</v>
      </c>
      <c r="B54" s="7"/>
      <c r="C54" s="9"/>
      <c r="D54" s="22"/>
      <c r="E54" s="18" t="n">
        <f aca="false">C54</f>
        <v>0</v>
      </c>
      <c r="F54" s="23" t="n">
        <f aca="false">D54</f>
        <v>0</v>
      </c>
    </row>
    <row r="55" customFormat="false" ht="15" hidden="false" customHeight="false" outlineLevel="0" collapsed="false">
      <c r="A55" s="6" t="n">
        <v>6</v>
      </c>
      <c r="B55" s="7"/>
      <c r="C55" s="9"/>
      <c r="D55" s="22"/>
      <c r="E55" s="18" t="n">
        <f aca="false">C55</f>
        <v>0</v>
      </c>
      <c r="F55" s="23" t="n">
        <f aca="false">D55</f>
        <v>0</v>
      </c>
    </row>
    <row r="56" customFormat="false" ht="15" hidden="false" customHeight="false" outlineLevel="0" collapsed="false">
      <c r="A56" s="6" t="n">
        <v>7</v>
      </c>
      <c r="B56" s="7"/>
      <c r="C56" s="9"/>
      <c r="D56" s="22"/>
      <c r="E56" s="18" t="n">
        <f aca="false">C56</f>
        <v>0</v>
      </c>
      <c r="F56" s="23" t="n">
        <f aca="false">D56</f>
        <v>0</v>
      </c>
    </row>
    <row r="57" customFormat="false" ht="15" hidden="false" customHeight="false" outlineLevel="0" collapsed="false">
      <c r="A57" s="6" t="n">
        <v>8</v>
      </c>
      <c r="B57" s="7"/>
      <c r="C57" s="9"/>
      <c r="D57" s="22"/>
      <c r="E57" s="18" t="n">
        <f aca="false">C57</f>
        <v>0</v>
      </c>
      <c r="F57" s="23" t="n">
        <f aca="false">D57</f>
        <v>0</v>
      </c>
    </row>
    <row r="58" customFormat="false" ht="15" hidden="false" customHeight="false" outlineLevel="0" collapsed="false">
      <c r="A58" s="6" t="n">
        <v>9</v>
      </c>
      <c r="B58" s="7"/>
      <c r="C58" s="9"/>
      <c r="D58" s="22"/>
      <c r="E58" s="18" t="n">
        <f aca="false">C58</f>
        <v>0</v>
      </c>
      <c r="F58" s="23" t="n">
        <f aca="false">D58</f>
        <v>0</v>
      </c>
    </row>
    <row r="59" customFormat="false" ht="15" hidden="false" customHeight="false" outlineLevel="0" collapsed="false">
      <c r="A59" s="6" t="n">
        <v>10</v>
      </c>
      <c r="B59" s="7"/>
      <c r="C59" s="9"/>
      <c r="D59" s="22"/>
      <c r="E59" s="18" t="n">
        <f aca="false">C59</f>
        <v>0</v>
      </c>
      <c r="F59" s="23" t="n">
        <f aca="false">D59</f>
        <v>0</v>
      </c>
    </row>
  </sheetData>
  <mergeCells count="1">
    <mergeCell ref="F40:N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ES8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7" topLeftCell="F8" activePane="bottomRight" state="frozen"/>
      <selection pane="topLeft" activeCell="A1" activeCellId="0" sqref="A1"/>
      <selection pane="topRight" activeCell="F1" activeCellId="0" sqref="F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3" min="3" style="0" width="8"/>
    <col collapsed="false" customWidth="true" hidden="false" outlineLevel="0" max="4" min="4" style="0" width="14"/>
    <col collapsed="false" customWidth="true" hidden="false" outlineLevel="0" max="5" min="5" style="0" width="4"/>
    <col collapsed="false" customWidth="true" hidden="false" outlineLevel="0" max="149" min="6" style="0" width="11"/>
  </cols>
  <sheetData>
    <row r="1" customFormat="false" ht="16.15" hidden="false" customHeight="false" outlineLevel="0" collapsed="false">
      <c r="A1" s="1" t="s">
        <v>454</v>
      </c>
    </row>
    <row r="2" customFormat="false" ht="15" hidden="false" customHeight="false" outlineLevel="0" collapsed="false">
      <c r="A2" s="2" t="s">
        <v>455</v>
      </c>
    </row>
    <row r="4" customFormat="false" ht="15" hidden="false" customHeight="false" outlineLevel="0" collapsed="false">
      <c r="A4" s="43"/>
      <c r="B4" s="44" t="s">
        <v>456</v>
      </c>
      <c r="C4" s="43"/>
      <c r="D4" s="44" t="s">
        <v>457</v>
      </c>
      <c r="E4" s="43"/>
      <c r="F4" s="5" t="n">
        <v>1</v>
      </c>
      <c r="G4" s="5" t="n">
        <v>2</v>
      </c>
      <c r="H4" s="5" t="n">
        <v>3</v>
      </c>
      <c r="I4" s="5" t="n">
        <v>4</v>
      </c>
      <c r="J4" s="5" t="n">
        <v>5</v>
      </c>
      <c r="K4" s="5" t="n">
        <v>6</v>
      </c>
      <c r="L4" s="5" t="n">
        <v>7</v>
      </c>
      <c r="M4" s="5" t="n">
        <v>8</v>
      </c>
      <c r="N4" s="5" t="n">
        <v>9</v>
      </c>
      <c r="O4" s="5" t="n">
        <v>10</v>
      </c>
      <c r="P4" s="5" t="n">
        <v>11</v>
      </c>
      <c r="Q4" s="5" t="n">
        <v>12</v>
      </c>
      <c r="R4" s="5" t="n">
        <v>13</v>
      </c>
      <c r="S4" s="5" t="n">
        <v>14</v>
      </c>
      <c r="T4" s="5" t="n">
        <v>15</v>
      </c>
      <c r="U4" s="5" t="n">
        <v>16</v>
      </c>
      <c r="V4" s="5" t="n">
        <v>17</v>
      </c>
      <c r="W4" s="5" t="n">
        <v>18</v>
      </c>
      <c r="X4" s="5" t="n">
        <v>19</v>
      </c>
      <c r="Y4" s="5" t="n">
        <v>20</v>
      </c>
      <c r="Z4" s="5" t="n">
        <v>21</v>
      </c>
      <c r="AA4" s="5" t="n">
        <v>22</v>
      </c>
      <c r="AB4" s="5" t="n">
        <v>23</v>
      </c>
      <c r="AC4" s="5" t="n">
        <v>24</v>
      </c>
      <c r="AD4" s="5" t="n">
        <v>25</v>
      </c>
      <c r="AE4" s="5" t="n">
        <v>26</v>
      </c>
      <c r="AF4" s="5" t="n">
        <v>27</v>
      </c>
      <c r="AG4" s="5" t="n">
        <v>28</v>
      </c>
      <c r="AH4" s="5" t="n">
        <v>29</v>
      </c>
      <c r="AI4" s="5" t="n">
        <v>30</v>
      </c>
      <c r="AJ4" s="5" t="n">
        <v>31</v>
      </c>
      <c r="AK4" s="5" t="n">
        <v>32</v>
      </c>
      <c r="AL4" s="5" t="n">
        <v>33</v>
      </c>
      <c r="AM4" s="5" t="n">
        <v>34</v>
      </c>
      <c r="AN4" s="5" t="n">
        <v>35</v>
      </c>
      <c r="AO4" s="5" t="n">
        <v>36</v>
      </c>
      <c r="AP4" s="5" t="n">
        <v>37</v>
      </c>
      <c r="AQ4" s="5" t="n">
        <v>38</v>
      </c>
      <c r="AR4" s="5" t="n">
        <v>39</v>
      </c>
      <c r="AS4" s="5" t="n">
        <v>40</v>
      </c>
      <c r="AT4" s="5" t="n">
        <v>41</v>
      </c>
      <c r="AU4" s="5" t="n">
        <v>42</v>
      </c>
      <c r="AV4" s="5" t="n">
        <v>43</v>
      </c>
      <c r="AW4" s="5" t="n">
        <v>44</v>
      </c>
      <c r="AX4" s="5" t="n">
        <v>45</v>
      </c>
      <c r="AY4" s="5" t="n">
        <v>46</v>
      </c>
      <c r="AZ4" s="5" t="n">
        <v>47</v>
      </c>
      <c r="BA4" s="5" t="n">
        <v>48</v>
      </c>
      <c r="BB4" s="5" t="n">
        <v>49</v>
      </c>
      <c r="BC4" s="5" t="n">
        <v>50</v>
      </c>
      <c r="BD4" s="5" t="n">
        <v>51</v>
      </c>
      <c r="BE4" s="5" t="n">
        <v>52</v>
      </c>
      <c r="BF4" s="5" t="n">
        <v>53</v>
      </c>
      <c r="BG4" s="5" t="n">
        <v>54</v>
      </c>
      <c r="BH4" s="5" t="n">
        <v>55</v>
      </c>
      <c r="BI4" s="5" t="n">
        <v>56</v>
      </c>
      <c r="BJ4" s="5" t="n">
        <v>57</v>
      </c>
      <c r="BK4" s="5" t="n">
        <v>58</v>
      </c>
      <c r="BL4" s="5" t="n">
        <v>59</v>
      </c>
      <c r="BM4" s="5" t="n">
        <v>60</v>
      </c>
      <c r="BN4" s="5" t="n">
        <v>61</v>
      </c>
      <c r="BO4" s="5" t="n">
        <v>62</v>
      </c>
      <c r="BP4" s="5" t="n">
        <v>63</v>
      </c>
      <c r="BQ4" s="5" t="n">
        <v>64</v>
      </c>
      <c r="BR4" s="5" t="n">
        <v>65</v>
      </c>
      <c r="BS4" s="5" t="n">
        <v>66</v>
      </c>
      <c r="BT4" s="5" t="n">
        <v>67</v>
      </c>
      <c r="BU4" s="5" t="n">
        <v>68</v>
      </c>
      <c r="BV4" s="5" t="n">
        <v>69</v>
      </c>
      <c r="BW4" s="5" t="n">
        <v>70</v>
      </c>
      <c r="BX4" s="5" t="n">
        <v>71</v>
      </c>
      <c r="BY4" s="5" t="n">
        <v>72</v>
      </c>
      <c r="BZ4" s="5" t="n">
        <v>73</v>
      </c>
      <c r="CA4" s="5" t="n">
        <v>74</v>
      </c>
      <c r="CB4" s="5" t="n">
        <v>75</v>
      </c>
      <c r="CC4" s="5" t="n">
        <v>76</v>
      </c>
      <c r="CD4" s="5" t="n">
        <v>77</v>
      </c>
      <c r="CE4" s="5" t="n">
        <v>78</v>
      </c>
      <c r="CF4" s="5" t="n">
        <v>79</v>
      </c>
      <c r="CG4" s="5" t="n">
        <v>80</v>
      </c>
      <c r="CH4" s="5" t="n">
        <v>81</v>
      </c>
      <c r="CI4" s="5" t="n">
        <v>82</v>
      </c>
      <c r="CJ4" s="5" t="n">
        <v>83</v>
      </c>
      <c r="CK4" s="5" t="n">
        <v>84</v>
      </c>
      <c r="CL4" s="5" t="n">
        <v>85</v>
      </c>
      <c r="CM4" s="5" t="n">
        <v>86</v>
      </c>
      <c r="CN4" s="5" t="n">
        <v>87</v>
      </c>
      <c r="CO4" s="5" t="n">
        <v>88</v>
      </c>
      <c r="CP4" s="5" t="n">
        <v>89</v>
      </c>
      <c r="CQ4" s="5" t="n">
        <v>90</v>
      </c>
      <c r="CR4" s="5" t="n">
        <v>91</v>
      </c>
      <c r="CS4" s="5" t="n">
        <v>92</v>
      </c>
      <c r="CT4" s="5" t="n">
        <v>93</v>
      </c>
      <c r="CU4" s="5" t="n">
        <v>94</v>
      </c>
      <c r="CV4" s="5" t="n">
        <v>95</v>
      </c>
      <c r="CW4" s="5" t="n">
        <v>96</v>
      </c>
      <c r="CX4" s="5" t="n">
        <v>97</v>
      </c>
      <c r="CY4" s="5" t="n">
        <v>98</v>
      </c>
      <c r="CZ4" s="5" t="n">
        <v>99</v>
      </c>
      <c r="DA4" s="5" t="n">
        <v>100</v>
      </c>
      <c r="DB4" s="5" t="n">
        <v>101</v>
      </c>
      <c r="DC4" s="5" t="n">
        <v>102</v>
      </c>
      <c r="DD4" s="5" t="n">
        <v>103</v>
      </c>
      <c r="DE4" s="5" t="n">
        <v>104</v>
      </c>
      <c r="DF4" s="5" t="n">
        <v>105</v>
      </c>
      <c r="DG4" s="5" t="n">
        <v>106</v>
      </c>
      <c r="DH4" s="5" t="n">
        <v>107</v>
      </c>
      <c r="DI4" s="5" t="n">
        <v>108</v>
      </c>
      <c r="DJ4" s="5" t="n">
        <v>109</v>
      </c>
      <c r="DK4" s="5" t="n">
        <v>110</v>
      </c>
      <c r="DL4" s="5" t="n">
        <v>111</v>
      </c>
      <c r="DM4" s="5" t="n">
        <v>112</v>
      </c>
      <c r="DN4" s="5" t="n">
        <v>113</v>
      </c>
      <c r="DO4" s="5" t="n">
        <v>114</v>
      </c>
      <c r="DP4" s="5" t="n">
        <v>115</v>
      </c>
      <c r="DQ4" s="5" t="n">
        <v>116</v>
      </c>
      <c r="DR4" s="5" t="n">
        <v>117</v>
      </c>
      <c r="DS4" s="5" t="n">
        <v>118</v>
      </c>
      <c r="DT4" s="5" t="n">
        <v>119</v>
      </c>
      <c r="DU4" s="5" t="n">
        <v>120</v>
      </c>
      <c r="DV4" s="5" t="n">
        <v>121</v>
      </c>
      <c r="DW4" s="5" t="n">
        <v>122</v>
      </c>
      <c r="DX4" s="5" t="n">
        <v>123</v>
      </c>
      <c r="DY4" s="5" t="n">
        <v>124</v>
      </c>
      <c r="DZ4" s="5" t="n">
        <v>125</v>
      </c>
      <c r="EA4" s="5" t="n">
        <v>126</v>
      </c>
      <c r="EB4" s="5" t="n">
        <v>127</v>
      </c>
      <c r="EC4" s="5" t="n">
        <v>128</v>
      </c>
      <c r="ED4" s="5" t="n">
        <v>129</v>
      </c>
      <c r="EE4" s="5" t="n">
        <v>130</v>
      </c>
      <c r="EF4" s="5" t="n">
        <v>131</v>
      </c>
      <c r="EG4" s="5" t="n">
        <v>132</v>
      </c>
      <c r="EH4" s="5" t="n">
        <v>133</v>
      </c>
      <c r="EI4" s="5" t="n">
        <v>134</v>
      </c>
      <c r="EJ4" s="5" t="n">
        <v>135</v>
      </c>
      <c r="EK4" s="5" t="n">
        <v>136</v>
      </c>
      <c r="EL4" s="5" t="n">
        <v>137</v>
      </c>
      <c r="EM4" s="5" t="n">
        <v>138</v>
      </c>
      <c r="EN4" s="5" t="n">
        <v>139</v>
      </c>
      <c r="EO4" s="5" t="n">
        <v>140</v>
      </c>
      <c r="EP4" s="5" t="n">
        <v>141</v>
      </c>
      <c r="EQ4" s="5" t="n">
        <v>142</v>
      </c>
      <c r="ER4" s="5" t="n">
        <v>143</v>
      </c>
      <c r="ES4" s="5" t="n">
        <v>144</v>
      </c>
    </row>
    <row r="5" customFormat="false" ht="15" hidden="false" customHeight="false" outlineLevel="0" collapsed="false">
      <c r="A5" s="43"/>
      <c r="B5" s="44" t="s">
        <v>458</v>
      </c>
      <c r="C5" s="43"/>
      <c r="D5" s="43"/>
      <c r="E5" s="43"/>
      <c r="F5" s="45" t="str">
        <f aca="false">IF(n_Fecha1="","",EOMONTH(n_Fecha1,1-1))</f>
        <v/>
      </c>
      <c r="G5" s="45" t="str">
        <f aca="false">IF(n_Fecha1="","",EOMONTH(n_Fecha1,2-1))</f>
        <v/>
      </c>
      <c r="H5" s="45" t="str">
        <f aca="false">IF(n_Fecha1="","",EOMONTH(n_Fecha1,3-1))</f>
        <v/>
      </c>
      <c r="I5" s="45" t="str">
        <f aca="false">IF(n_Fecha1="","",EOMONTH(n_Fecha1,4-1))</f>
        <v/>
      </c>
      <c r="J5" s="45" t="str">
        <f aca="false">IF(n_Fecha1="","",EOMONTH(n_Fecha1,5-1))</f>
        <v/>
      </c>
      <c r="K5" s="45" t="str">
        <f aca="false">IF(n_Fecha1="","",EOMONTH(n_Fecha1,6-1))</f>
        <v/>
      </c>
      <c r="L5" s="45" t="str">
        <f aca="false">IF(n_Fecha1="","",EOMONTH(n_Fecha1,7-1))</f>
        <v/>
      </c>
      <c r="M5" s="45" t="str">
        <f aca="false">IF(n_Fecha1="","",EOMONTH(n_Fecha1,8-1))</f>
        <v/>
      </c>
      <c r="N5" s="45" t="str">
        <f aca="false">IF(n_Fecha1="","",EOMONTH(n_Fecha1,9-1))</f>
        <v/>
      </c>
      <c r="O5" s="45" t="str">
        <f aca="false">IF(n_Fecha1="","",EOMONTH(n_Fecha1,10-1))</f>
        <v/>
      </c>
      <c r="P5" s="45" t="str">
        <f aca="false">IF(n_Fecha1="","",EOMONTH(n_Fecha1,11-1))</f>
        <v/>
      </c>
      <c r="Q5" s="45" t="str">
        <f aca="false">IF(n_Fecha1="","",EOMONTH(n_Fecha1,12-1))</f>
        <v/>
      </c>
      <c r="R5" s="45" t="str">
        <f aca="false">IF(n_Fecha1="","",EOMONTH(n_Fecha1,13-1))</f>
        <v/>
      </c>
      <c r="S5" s="45" t="str">
        <f aca="false">IF(n_Fecha1="","",EOMONTH(n_Fecha1,14-1))</f>
        <v/>
      </c>
      <c r="T5" s="45" t="str">
        <f aca="false">IF(n_Fecha1="","",EOMONTH(n_Fecha1,15-1))</f>
        <v/>
      </c>
      <c r="U5" s="45" t="str">
        <f aca="false">IF(n_Fecha1="","",EOMONTH(n_Fecha1,16-1))</f>
        <v/>
      </c>
      <c r="V5" s="45" t="str">
        <f aca="false">IF(n_Fecha1="","",EOMONTH(n_Fecha1,17-1))</f>
        <v/>
      </c>
      <c r="W5" s="45" t="str">
        <f aca="false">IF(n_Fecha1="","",EOMONTH(n_Fecha1,18-1))</f>
        <v/>
      </c>
      <c r="X5" s="45" t="str">
        <f aca="false">IF(n_Fecha1="","",EOMONTH(n_Fecha1,19-1))</f>
        <v/>
      </c>
      <c r="Y5" s="45" t="str">
        <f aca="false">IF(n_Fecha1="","",EOMONTH(n_Fecha1,20-1))</f>
        <v/>
      </c>
      <c r="Z5" s="45" t="str">
        <f aca="false">IF(n_Fecha1="","",EOMONTH(n_Fecha1,21-1))</f>
        <v/>
      </c>
      <c r="AA5" s="45" t="str">
        <f aca="false">IF(n_Fecha1="","",EOMONTH(n_Fecha1,22-1))</f>
        <v/>
      </c>
      <c r="AB5" s="45" t="str">
        <f aca="false">IF(n_Fecha1="","",EOMONTH(n_Fecha1,23-1))</f>
        <v/>
      </c>
      <c r="AC5" s="45" t="str">
        <f aca="false">IF(n_Fecha1="","",EOMONTH(n_Fecha1,24-1))</f>
        <v/>
      </c>
      <c r="AD5" s="45" t="str">
        <f aca="false">IF(n_Fecha1="","",EOMONTH(n_Fecha1,25-1))</f>
        <v/>
      </c>
      <c r="AE5" s="45" t="str">
        <f aca="false">IF(n_Fecha1="","",EOMONTH(n_Fecha1,26-1))</f>
        <v/>
      </c>
      <c r="AF5" s="45" t="str">
        <f aca="false">IF(n_Fecha1="","",EOMONTH(n_Fecha1,27-1))</f>
        <v/>
      </c>
      <c r="AG5" s="45" t="str">
        <f aca="false">IF(n_Fecha1="","",EOMONTH(n_Fecha1,28-1))</f>
        <v/>
      </c>
      <c r="AH5" s="45" t="str">
        <f aca="false">IF(n_Fecha1="","",EOMONTH(n_Fecha1,29-1))</f>
        <v/>
      </c>
      <c r="AI5" s="45" t="str">
        <f aca="false">IF(n_Fecha1="","",EOMONTH(n_Fecha1,30-1))</f>
        <v/>
      </c>
      <c r="AJ5" s="45" t="str">
        <f aca="false">IF(n_Fecha1="","",EOMONTH(n_Fecha1,31-1))</f>
        <v/>
      </c>
      <c r="AK5" s="45" t="str">
        <f aca="false">IF(n_Fecha1="","",EOMONTH(n_Fecha1,32-1))</f>
        <v/>
      </c>
      <c r="AL5" s="45" t="str">
        <f aca="false">IF(n_Fecha1="","",EOMONTH(n_Fecha1,33-1))</f>
        <v/>
      </c>
      <c r="AM5" s="45" t="str">
        <f aca="false">IF(n_Fecha1="","",EOMONTH(n_Fecha1,34-1))</f>
        <v/>
      </c>
      <c r="AN5" s="45" t="str">
        <f aca="false">IF(n_Fecha1="","",EOMONTH(n_Fecha1,35-1))</f>
        <v/>
      </c>
      <c r="AO5" s="45" t="str">
        <f aca="false">IF(n_Fecha1="","",EOMONTH(n_Fecha1,36-1))</f>
        <v/>
      </c>
      <c r="AP5" s="45" t="str">
        <f aca="false">IF(n_Fecha1="","",EOMONTH(n_Fecha1,37-1))</f>
        <v/>
      </c>
      <c r="AQ5" s="45" t="str">
        <f aca="false">IF(n_Fecha1="","",EOMONTH(n_Fecha1,38-1))</f>
        <v/>
      </c>
      <c r="AR5" s="45" t="str">
        <f aca="false">IF(n_Fecha1="","",EOMONTH(n_Fecha1,39-1))</f>
        <v/>
      </c>
      <c r="AS5" s="45" t="str">
        <f aca="false">IF(n_Fecha1="","",EOMONTH(n_Fecha1,40-1))</f>
        <v/>
      </c>
      <c r="AT5" s="45" t="str">
        <f aca="false">IF(n_Fecha1="","",EOMONTH(n_Fecha1,41-1))</f>
        <v/>
      </c>
      <c r="AU5" s="45" t="str">
        <f aca="false">IF(n_Fecha1="","",EOMONTH(n_Fecha1,42-1))</f>
        <v/>
      </c>
      <c r="AV5" s="45" t="str">
        <f aca="false">IF(n_Fecha1="","",EOMONTH(n_Fecha1,43-1))</f>
        <v/>
      </c>
      <c r="AW5" s="45" t="str">
        <f aca="false">IF(n_Fecha1="","",EOMONTH(n_Fecha1,44-1))</f>
        <v/>
      </c>
      <c r="AX5" s="45" t="str">
        <f aca="false">IF(n_Fecha1="","",EOMONTH(n_Fecha1,45-1))</f>
        <v/>
      </c>
      <c r="AY5" s="45" t="str">
        <f aca="false">IF(n_Fecha1="","",EOMONTH(n_Fecha1,46-1))</f>
        <v/>
      </c>
      <c r="AZ5" s="45" t="str">
        <f aca="false">IF(n_Fecha1="","",EOMONTH(n_Fecha1,47-1))</f>
        <v/>
      </c>
      <c r="BA5" s="45" t="str">
        <f aca="false">IF(n_Fecha1="","",EOMONTH(n_Fecha1,48-1))</f>
        <v/>
      </c>
      <c r="BB5" s="45" t="str">
        <f aca="false">IF(n_Fecha1="","",EOMONTH(n_Fecha1,49-1))</f>
        <v/>
      </c>
      <c r="BC5" s="45" t="str">
        <f aca="false">IF(n_Fecha1="","",EOMONTH(n_Fecha1,50-1))</f>
        <v/>
      </c>
      <c r="BD5" s="45" t="str">
        <f aca="false">IF(n_Fecha1="","",EOMONTH(n_Fecha1,51-1))</f>
        <v/>
      </c>
      <c r="BE5" s="45" t="str">
        <f aca="false">IF(n_Fecha1="","",EOMONTH(n_Fecha1,52-1))</f>
        <v/>
      </c>
      <c r="BF5" s="45" t="str">
        <f aca="false">IF(n_Fecha1="","",EOMONTH(n_Fecha1,53-1))</f>
        <v/>
      </c>
      <c r="BG5" s="45" t="str">
        <f aca="false">IF(n_Fecha1="","",EOMONTH(n_Fecha1,54-1))</f>
        <v/>
      </c>
      <c r="BH5" s="45" t="str">
        <f aca="false">IF(n_Fecha1="","",EOMONTH(n_Fecha1,55-1))</f>
        <v/>
      </c>
      <c r="BI5" s="45" t="str">
        <f aca="false">IF(n_Fecha1="","",EOMONTH(n_Fecha1,56-1))</f>
        <v/>
      </c>
      <c r="BJ5" s="45" t="str">
        <f aca="false">IF(n_Fecha1="","",EOMONTH(n_Fecha1,57-1))</f>
        <v/>
      </c>
      <c r="BK5" s="45" t="str">
        <f aca="false">IF(n_Fecha1="","",EOMONTH(n_Fecha1,58-1))</f>
        <v/>
      </c>
      <c r="BL5" s="45" t="str">
        <f aca="false">IF(n_Fecha1="","",EOMONTH(n_Fecha1,59-1))</f>
        <v/>
      </c>
      <c r="BM5" s="45" t="str">
        <f aca="false">IF(n_Fecha1="","",EOMONTH(n_Fecha1,60-1))</f>
        <v/>
      </c>
      <c r="BN5" s="45" t="str">
        <f aca="false">IF(n_Fecha1="","",EOMONTH(n_Fecha1,61-1))</f>
        <v/>
      </c>
      <c r="BO5" s="45" t="str">
        <f aca="false">IF(n_Fecha1="","",EOMONTH(n_Fecha1,62-1))</f>
        <v/>
      </c>
      <c r="BP5" s="45" t="str">
        <f aca="false">IF(n_Fecha1="","",EOMONTH(n_Fecha1,63-1))</f>
        <v/>
      </c>
      <c r="BQ5" s="45" t="str">
        <f aca="false">IF(n_Fecha1="","",EOMONTH(n_Fecha1,64-1))</f>
        <v/>
      </c>
      <c r="BR5" s="45" t="str">
        <f aca="false">IF(n_Fecha1="","",EOMONTH(n_Fecha1,65-1))</f>
        <v/>
      </c>
      <c r="BS5" s="45" t="str">
        <f aca="false">IF(n_Fecha1="","",EOMONTH(n_Fecha1,66-1))</f>
        <v/>
      </c>
      <c r="BT5" s="45" t="str">
        <f aca="false">IF(n_Fecha1="","",EOMONTH(n_Fecha1,67-1))</f>
        <v/>
      </c>
      <c r="BU5" s="45" t="str">
        <f aca="false">IF(n_Fecha1="","",EOMONTH(n_Fecha1,68-1))</f>
        <v/>
      </c>
      <c r="BV5" s="45" t="str">
        <f aca="false">IF(n_Fecha1="","",EOMONTH(n_Fecha1,69-1))</f>
        <v/>
      </c>
      <c r="BW5" s="45" t="str">
        <f aca="false">IF(n_Fecha1="","",EOMONTH(n_Fecha1,70-1))</f>
        <v/>
      </c>
      <c r="BX5" s="45" t="str">
        <f aca="false">IF(n_Fecha1="","",EOMONTH(n_Fecha1,71-1))</f>
        <v/>
      </c>
      <c r="BY5" s="45" t="str">
        <f aca="false">IF(n_Fecha1="","",EOMONTH(n_Fecha1,72-1))</f>
        <v/>
      </c>
      <c r="BZ5" s="45" t="str">
        <f aca="false">IF(n_Fecha1="","",EOMONTH(n_Fecha1,73-1))</f>
        <v/>
      </c>
      <c r="CA5" s="45" t="str">
        <f aca="false">IF(n_Fecha1="","",EOMONTH(n_Fecha1,74-1))</f>
        <v/>
      </c>
      <c r="CB5" s="45" t="str">
        <f aca="false">IF(n_Fecha1="","",EOMONTH(n_Fecha1,75-1))</f>
        <v/>
      </c>
      <c r="CC5" s="45" t="str">
        <f aca="false">IF(n_Fecha1="","",EOMONTH(n_Fecha1,76-1))</f>
        <v/>
      </c>
      <c r="CD5" s="45" t="str">
        <f aca="false">IF(n_Fecha1="","",EOMONTH(n_Fecha1,77-1))</f>
        <v/>
      </c>
      <c r="CE5" s="45" t="str">
        <f aca="false">IF(n_Fecha1="","",EOMONTH(n_Fecha1,78-1))</f>
        <v/>
      </c>
      <c r="CF5" s="45" t="str">
        <f aca="false">IF(n_Fecha1="","",EOMONTH(n_Fecha1,79-1))</f>
        <v/>
      </c>
      <c r="CG5" s="45" t="str">
        <f aca="false">IF(n_Fecha1="","",EOMONTH(n_Fecha1,80-1))</f>
        <v/>
      </c>
      <c r="CH5" s="45" t="str">
        <f aca="false">IF(n_Fecha1="","",EOMONTH(n_Fecha1,81-1))</f>
        <v/>
      </c>
      <c r="CI5" s="45" t="str">
        <f aca="false">IF(n_Fecha1="","",EOMONTH(n_Fecha1,82-1))</f>
        <v/>
      </c>
      <c r="CJ5" s="45" t="str">
        <f aca="false">IF(n_Fecha1="","",EOMONTH(n_Fecha1,83-1))</f>
        <v/>
      </c>
      <c r="CK5" s="45" t="str">
        <f aca="false">IF(n_Fecha1="","",EOMONTH(n_Fecha1,84-1))</f>
        <v/>
      </c>
      <c r="CL5" s="45" t="str">
        <f aca="false">IF(n_Fecha1="","",EOMONTH(n_Fecha1,85-1))</f>
        <v/>
      </c>
      <c r="CM5" s="45" t="str">
        <f aca="false">IF(n_Fecha1="","",EOMONTH(n_Fecha1,86-1))</f>
        <v/>
      </c>
      <c r="CN5" s="45" t="str">
        <f aca="false">IF(n_Fecha1="","",EOMONTH(n_Fecha1,87-1))</f>
        <v/>
      </c>
      <c r="CO5" s="45" t="str">
        <f aca="false">IF(n_Fecha1="","",EOMONTH(n_Fecha1,88-1))</f>
        <v/>
      </c>
      <c r="CP5" s="45" t="str">
        <f aca="false">IF(n_Fecha1="","",EOMONTH(n_Fecha1,89-1))</f>
        <v/>
      </c>
      <c r="CQ5" s="45" t="str">
        <f aca="false">IF(n_Fecha1="","",EOMONTH(n_Fecha1,90-1))</f>
        <v/>
      </c>
      <c r="CR5" s="45" t="str">
        <f aca="false">IF(n_Fecha1="","",EOMONTH(n_Fecha1,91-1))</f>
        <v/>
      </c>
      <c r="CS5" s="45" t="str">
        <f aca="false">IF(n_Fecha1="","",EOMONTH(n_Fecha1,92-1))</f>
        <v/>
      </c>
      <c r="CT5" s="45" t="str">
        <f aca="false">IF(n_Fecha1="","",EOMONTH(n_Fecha1,93-1))</f>
        <v/>
      </c>
      <c r="CU5" s="45" t="str">
        <f aca="false">IF(n_Fecha1="","",EOMONTH(n_Fecha1,94-1))</f>
        <v/>
      </c>
      <c r="CV5" s="45" t="str">
        <f aca="false">IF(n_Fecha1="","",EOMONTH(n_Fecha1,95-1))</f>
        <v/>
      </c>
      <c r="CW5" s="45" t="str">
        <f aca="false">IF(n_Fecha1="","",EOMONTH(n_Fecha1,96-1))</f>
        <v/>
      </c>
      <c r="CX5" s="45" t="str">
        <f aca="false">IF(n_Fecha1="","",EOMONTH(n_Fecha1,97-1))</f>
        <v/>
      </c>
      <c r="CY5" s="45" t="str">
        <f aca="false">IF(n_Fecha1="","",EOMONTH(n_Fecha1,98-1))</f>
        <v/>
      </c>
      <c r="CZ5" s="45" t="str">
        <f aca="false">IF(n_Fecha1="","",EOMONTH(n_Fecha1,99-1))</f>
        <v/>
      </c>
      <c r="DA5" s="45" t="str">
        <f aca="false">IF(n_Fecha1="","",EOMONTH(n_Fecha1,100-1))</f>
        <v/>
      </c>
      <c r="DB5" s="45" t="str">
        <f aca="false">IF(n_Fecha1="","",EOMONTH(n_Fecha1,101-1))</f>
        <v/>
      </c>
      <c r="DC5" s="45" t="str">
        <f aca="false">IF(n_Fecha1="","",EOMONTH(n_Fecha1,102-1))</f>
        <v/>
      </c>
      <c r="DD5" s="45" t="str">
        <f aca="false">IF(n_Fecha1="","",EOMONTH(n_Fecha1,103-1))</f>
        <v/>
      </c>
      <c r="DE5" s="45" t="str">
        <f aca="false">IF(n_Fecha1="","",EOMONTH(n_Fecha1,104-1))</f>
        <v/>
      </c>
      <c r="DF5" s="45" t="str">
        <f aca="false">IF(n_Fecha1="","",EOMONTH(n_Fecha1,105-1))</f>
        <v/>
      </c>
      <c r="DG5" s="45" t="str">
        <f aca="false">IF(n_Fecha1="","",EOMONTH(n_Fecha1,106-1))</f>
        <v/>
      </c>
      <c r="DH5" s="45" t="str">
        <f aca="false">IF(n_Fecha1="","",EOMONTH(n_Fecha1,107-1))</f>
        <v/>
      </c>
      <c r="DI5" s="45" t="str">
        <f aca="false">IF(n_Fecha1="","",EOMONTH(n_Fecha1,108-1))</f>
        <v/>
      </c>
      <c r="DJ5" s="45" t="str">
        <f aca="false">IF(n_Fecha1="","",EOMONTH(n_Fecha1,109-1))</f>
        <v/>
      </c>
      <c r="DK5" s="45" t="str">
        <f aca="false">IF(n_Fecha1="","",EOMONTH(n_Fecha1,110-1))</f>
        <v/>
      </c>
      <c r="DL5" s="45" t="str">
        <f aca="false">IF(n_Fecha1="","",EOMONTH(n_Fecha1,111-1))</f>
        <v/>
      </c>
      <c r="DM5" s="45" t="str">
        <f aca="false">IF(n_Fecha1="","",EOMONTH(n_Fecha1,112-1))</f>
        <v/>
      </c>
      <c r="DN5" s="45" t="str">
        <f aca="false">IF(n_Fecha1="","",EOMONTH(n_Fecha1,113-1))</f>
        <v/>
      </c>
      <c r="DO5" s="45" t="str">
        <f aca="false">IF(n_Fecha1="","",EOMONTH(n_Fecha1,114-1))</f>
        <v/>
      </c>
      <c r="DP5" s="45" t="str">
        <f aca="false">IF(n_Fecha1="","",EOMONTH(n_Fecha1,115-1))</f>
        <v/>
      </c>
      <c r="DQ5" s="45" t="str">
        <f aca="false">IF(n_Fecha1="","",EOMONTH(n_Fecha1,116-1))</f>
        <v/>
      </c>
      <c r="DR5" s="45" t="str">
        <f aca="false">IF(n_Fecha1="","",EOMONTH(n_Fecha1,117-1))</f>
        <v/>
      </c>
      <c r="DS5" s="45" t="str">
        <f aca="false">IF(n_Fecha1="","",EOMONTH(n_Fecha1,118-1))</f>
        <v/>
      </c>
      <c r="DT5" s="45" t="str">
        <f aca="false">IF(n_Fecha1="","",EOMONTH(n_Fecha1,119-1))</f>
        <v/>
      </c>
      <c r="DU5" s="45" t="str">
        <f aca="false">IF(n_Fecha1="","",EOMONTH(n_Fecha1,120-1))</f>
        <v/>
      </c>
      <c r="DV5" s="45" t="str">
        <f aca="false">IF(n_Fecha1="","",EOMONTH(n_Fecha1,121-1))</f>
        <v/>
      </c>
      <c r="DW5" s="45" t="str">
        <f aca="false">IF(n_Fecha1="","",EOMONTH(n_Fecha1,122-1))</f>
        <v/>
      </c>
      <c r="DX5" s="45" t="str">
        <f aca="false">IF(n_Fecha1="","",EOMONTH(n_Fecha1,123-1))</f>
        <v/>
      </c>
      <c r="DY5" s="45" t="str">
        <f aca="false">IF(n_Fecha1="","",EOMONTH(n_Fecha1,124-1))</f>
        <v/>
      </c>
      <c r="DZ5" s="45" t="str">
        <f aca="false">IF(n_Fecha1="","",EOMONTH(n_Fecha1,125-1))</f>
        <v/>
      </c>
      <c r="EA5" s="45" t="str">
        <f aca="false">IF(n_Fecha1="","",EOMONTH(n_Fecha1,126-1))</f>
        <v/>
      </c>
      <c r="EB5" s="45" t="str">
        <f aca="false">IF(n_Fecha1="","",EOMONTH(n_Fecha1,127-1))</f>
        <v/>
      </c>
      <c r="EC5" s="45" t="str">
        <f aca="false">IF(n_Fecha1="","",EOMONTH(n_Fecha1,128-1))</f>
        <v/>
      </c>
      <c r="ED5" s="45" t="str">
        <f aca="false">IF(n_Fecha1="","",EOMONTH(n_Fecha1,129-1))</f>
        <v/>
      </c>
      <c r="EE5" s="45" t="str">
        <f aca="false">IF(n_Fecha1="","",EOMONTH(n_Fecha1,130-1))</f>
        <v/>
      </c>
      <c r="EF5" s="45" t="str">
        <f aca="false">IF(n_Fecha1="","",EOMONTH(n_Fecha1,131-1))</f>
        <v/>
      </c>
      <c r="EG5" s="45" t="str">
        <f aca="false">IF(n_Fecha1="","",EOMONTH(n_Fecha1,132-1))</f>
        <v/>
      </c>
      <c r="EH5" s="45" t="str">
        <f aca="false">IF(n_Fecha1="","",EOMONTH(n_Fecha1,133-1))</f>
        <v/>
      </c>
      <c r="EI5" s="45" t="str">
        <f aca="false">IF(n_Fecha1="","",EOMONTH(n_Fecha1,134-1))</f>
        <v/>
      </c>
      <c r="EJ5" s="45" t="str">
        <f aca="false">IF(n_Fecha1="","",EOMONTH(n_Fecha1,135-1))</f>
        <v/>
      </c>
      <c r="EK5" s="45" t="str">
        <f aca="false">IF(n_Fecha1="","",EOMONTH(n_Fecha1,136-1))</f>
        <v/>
      </c>
      <c r="EL5" s="45" t="str">
        <f aca="false">IF(n_Fecha1="","",EOMONTH(n_Fecha1,137-1))</f>
        <v/>
      </c>
      <c r="EM5" s="45" t="str">
        <f aca="false">IF(n_Fecha1="","",EOMONTH(n_Fecha1,138-1))</f>
        <v/>
      </c>
      <c r="EN5" s="45" t="str">
        <f aca="false">IF(n_Fecha1="","",EOMONTH(n_Fecha1,139-1))</f>
        <v/>
      </c>
      <c r="EO5" s="45" t="str">
        <f aca="false">IF(n_Fecha1="","",EOMONTH(n_Fecha1,140-1))</f>
        <v/>
      </c>
      <c r="EP5" s="45" t="str">
        <f aca="false">IF(n_Fecha1="","",EOMONTH(n_Fecha1,141-1))</f>
        <v/>
      </c>
      <c r="EQ5" s="45" t="str">
        <f aca="false">IF(n_Fecha1="","",EOMONTH(n_Fecha1,142-1))</f>
        <v/>
      </c>
      <c r="ER5" s="45" t="str">
        <f aca="false">IF(n_Fecha1="","",EOMONTH(n_Fecha1,143-1))</f>
        <v/>
      </c>
      <c r="ES5" s="45" t="str">
        <f aca="false">IF(n_Fecha1="","",EOMONTH(n_Fecha1,144-1))</f>
        <v/>
      </c>
    </row>
    <row r="6" customFormat="false" ht="15" hidden="false" customHeight="false" outlineLevel="0" collapsed="false">
      <c r="A6" s="43"/>
      <c r="B6" s="44" t="s">
        <v>459</v>
      </c>
      <c r="C6" s="43"/>
      <c r="D6" s="43"/>
      <c r="E6" s="43"/>
      <c r="F6" s="46" t="n">
        <f aca="false">ROUNDUP(1/12,0)</f>
        <v>1</v>
      </c>
      <c r="G6" s="46" t="n">
        <f aca="false">ROUNDUP(2/12,0)</f>
        <v>1</v>
      </c>
      <c r="H6" s="46" t="n">
        <f aca="false">ROUNDUP(3/12,0)</f>
        <v>1</v>
      </c>
      <c r="I6" s="46" t="n">
        <f aca="false">ROUNDUP(4/12,0)</f>
        <v>1</v>
      </c>
      <c r="J6" s="46" t="n">
        <f aca="false">ROUNDUP(5/12,0)</f>
        <v>1</v>
      </c>
      <c r="K6" s="46" t="n">
        <f aca="false">ROUNDUP(6/12,0)</f>
        <v>1</v>
      </c>
      <c r="L6" s="46" t="n">
        <f aca="false">ROUNDUP(7/12,0)</f>
        <v>1</v>
      </c>
      <c r="M6" s="46" t="n">
        <f aca="false">ROUNDUP(8/12,0)</f>
        <v>1</v>
      </c>
      <c r="N6" s="46" t="n">
        <f aca="false">ROUNDUP(9/12,0)</f>
        <v>1</v>
      </c>
      <c r="O6" s="46" t="n">
        <f aca="false">ROUNDUP(10/12,0)</f>
        <v>1</v>
      </c>
      <c r="P6" s="46" t="n">
        <f aca="false">ROUNDUP(11/12,0)</f>
        <v>1</v>
      </c>
      <c r="Q6" s="46" t="n">
        <f aca="false">ROUNDUP(12/12,0)</f>
        <v>1</v>
      </c>
      <c r="R6" s="46" t="n">
        <f aca="false">ROUNDUP(13/12,0)</f>
        <v>2</v>
      </c>
      <c r="S6" s="46" t="n">
        <f aca="false">ROUNDUP(14/12,0)</f>
        <v>2</v>
      </c>
      <c r="T6" s="46" t="n">
        <f aca="false">ROUNDUP(15/12,0)</f>
        <v>2</v>
      </c>
      <c r="U6" s="46" t="n">
        <f aca="false">ROUNDUP(16/12,0)</f>
        <v>2</v>
      </c>
      <c r="V6" s="46" t="n">
        <f aca="false">ROUNDUP(17/12,0)</f>
        <v>2</v>
      </c>
      <c r="W6" s="46" t="n">
        <f aca="false">ROUNDUP(18/12,0)</f>
        <v>2</v>
      </c>
      <c r="X6" s="46" t="n">
        <f aca="false">ROUNDUP(19/12,0)</f>
        <v>2</v>
      </c>
      <c r="Y6" s="46" t="n">
        <f aca="false">ROUNDUP(20/12,0)</f>
        <v>2</v>
      </c>
      <c r="Z6" s="46" t="n">
        <f aca="false">ROUNDUP(21/12,0)</f>
        <v>2</v>
      </c>
      <c r="AA6" s="46" t="n">
        <f aca="false">ROUNDUP(22/12,0)</f>
        <v>2</v>
      </c>
      <c r="AB6" s="46" t="n">
        <f aca="false">ROUNDUP(23/12,0)</f>
        <v>2</v>
      </c>
      <c r="AC6" s="46" t="n">
        <f aca="false">ROUNDUP(24/12,0)</f>
        <v>2</v>
      </c>
      <c r="AD6" s="46" t="n">
        <f aca="false">ROUNDUP(25/12,0)</f>
        <v>3</v>
      </c>
      <c r="AE6" s="46" t="n">
        <f aca="false">ROUNDUP(26/12,0)</f>
        <v>3</v>
      </c>
      <c r="AF6" s="46" t="n">
        <f aca="false">ROUNDUP(27/12,0)</f>
        <v>3</v>
      </c>
      <c r="AG6" s="46" t="n">
        <f aca="false">ROUNDUP(28/12,0)</f>
        <v>3</v>
      </c>
      <c r="AH6" s="46" t="n">
        <f aca="false">ROUNDUP(29/12,0)</f>
        <v>3</v>
      </c>
      <c r="AI6" s="46" t="n">
        <f aca="false">ROUNDUP(30/12,0)</f>
        <v>3</v>
      </c>
      <c r="AJ6" s="46" t="n">
        <f aca="false">ROUNDUP(31/12,0)</f>
        <v>3</v>
      </c>
      <c r="AK6" s="46" t="n">
        <f aca="false">ROUNDUP(32/12,0)</f>
        <v>3</v>
      </c>
      <c r="AL6" s="46" t="n">
        <f aca="false">ROUNDUP(33/12,0)</f>
        <v>3</v>
      </c>
      <c r="AM6" s="46" t="n">
        <f aca="false">ROUNDUP(34/12,0)</f>
        <v>3</v>
      </c>
      <c r="AN6" s="46" t="n">
        <f aca="false">ROUNDUP(35/12,0)</f>
        <v>3</v>
      </c>
      <c r="AO6" s="46" t="n">
        <f aca="false">ROUNDUP(36/12,0)</f>
        <v>3</v>
      </c>
      <c r="AP6" s="46" t="n">
        <f aca="false">ROUNDUP(37/12,0)</f>
        <v>4</v>
      </c>
      <c r="AQ6" s="46" t="n">
        <f aca="false">ROUNDUP(38/12,0)</f>
        <v>4</v>
      </c>
      <c r="AR6" s="46" t="n">
        <f aca="false">ROUNDUP(39/12,0)</f>
        <v>4</v>
      </c>
      <c r="AS6" s="46" t="n">
        <f aca="false">ROUNDUP(40/12,0)</f>
        <v>4</v>
      </c>
      <c r="AT6" s="46" t="n">
        <f aca="false">ROUNDUP(41/12,0)</f>
        <v>4</v>
      </c>
      <c r="AU6" s="46" t="n">
        <f aca="false">ROUNDUP(42/12,0)</f>
        <v>4</v>
      </c>
      <c r="AV6" s="46" t="n">
        <f aca="false">ROUNDUP(43/12,0)</f>
        <v>4</v>
      </c>
      <c r="AW6" s="46" t="n">
        <f aca="false">ROUNDUP(44/12,0)</f>
        <v>4</v>
      </c>
      <c r="AX6" s="46" t="n">
        <f aca="false">ROUNDUP(45/12,0)</f>
        <v>4</v>
      </c>
      <c r="AY6" s="46" t="n">
        <f aca="false">ROUNDUP(46/12,0)</f>
        <v>4</v>
      </c>
      <c r="AZ6" s="46" t="n">
        <f aca="false">ROUNDUP(47/12,0)</f>
        <v>4</v>
      </c>
      <c r="BA6" s="46" t="n">
        <f aca="false">ROUNDUP(48/12,0)</f>
        <v>4</v>
      </c>
      <c r="BB6" s="46" t="n">
        <f aca="false">ROUNDUP(49/12,0)</f>
        <v>5</v>
      </c>
      <c r="BC6" s="46" t="n">
        <f aca="false">ROUNDUP(50/12,0)</f>
        <v>5</v>
      </c>
      <c r="BD6" s="46" t="n">
        <f aca="false">ROUNDUP(51/12,0)</f>
        <v>5</v>
      </c>
      <c r="BE6" s="46" t="n">
        <f aca="false">ROUNDUP(52/12,0)</f>
        <v>5</v>
      </c>
      <c r="BF6" s="46" t="n">
        <f aca="false">ROUNDUP(53/12,0)</f>
        <v>5</v>
      </c>
      <c r="BG6" s="46" t="n">
        <f aca="false">ROUNDUP(54/12,0)</f>
        <v>5</v>
      </c>
      <c r="BH6" s="46" t="n">
        <f aca="false">ROUNDUP(55/12,0)</f>
        <v>5</v>
      </c>
      <c r="BI6" s="46" t="n">
        <f aca="false">ROUNDUP(56/12,0)</f>
        <v>5</v>
      </c>
      <c r="BJ6" s="46" t="n">
        <f aca="false">ROUNDUP(57/12,0)</f>
        <v>5</v>
      </c>
      <c r="BK6" s="46" t="n">
        <f aca="false">ROUNDUP(58/12,0)</f>
        <v>5</v>
      </c>
      <c r="BL6" s="46" t="n">
        <f aca="false">ROUNDUP(59/12,0)</f>
        <v>5</v>
      </c>
      <c r="BM6" s="46" t="n">
        <f aca="false">ROUNDUP(60/12,0)</f>
        <v>5</v>
      </c>
      <c r="BN6" s="46" t="n">
        <f aca="false">ROUNDUP(61/12,0)</f>
        <v>6</v>
      </c>
      <c r="BO6" s="46" t="n">
        <f aca="false">ROUNDUP(62/12,0)</f>
        <v>6</v>
      </c>
      <c r="BP6" s="46" t="n">
        <f aca="false">ROUNDUP(63/12,0)</f>
        <v>6</v>
      </c>
      <c r="BQ6" s="46" t="n">
        <f aca="false">ROUNDUP(64/12,0)</f>
        <v>6</v>
      </c>
      <c r="BR6" s="46" t="n">
        <f aca="false">ROUNDUP(65/12,0)</f>
        <v>6</v>
      </c>
      <c r="BS6" s="46" t="n">
        <f aca="false">ROUNDUP(66/12,0)</f>
        <v>6</v>
      </c>
      <c r="BT6" s="46" t="n">
        <f aca="false">ROUNDUP(67/12,0)</f>
        <v>6</v>
      </c>
      <c r="BU6" s="46" t="n">
        <f aca="false">ROUNDUP(68/12,0)</f>
        <v>6</v>
      </c>
      <c r="BV6" s="46" t="n">
        <f aca="false">ROUNDUP(69/12,0)</f>
        <v>6</v>
      </c>
      <c r="BW6" s="46" t="n">
        <f aca="false">ROUNDUP(70/12,0)</f>
        <v>6</v>
      </c>
      <c r="BX6" s="46" t="n">
        <f aca="false">ROUNDUP(71/12,0)</f>
        <v>6</v>
      </c>
      <c r="BY6" s="46" t="n">
        <f aca="false">ROUNDUP(72/12,0)</f>
        <v>6</v>
      </c>
      <c r="BZ6" s="46" t="n">
        <f aca="false">ROUNDUP(73/12,0)</f>
        <v>7</v>
      </c>
      <c r="CA6" s="46" t="n">
        <f aca="false">ROUNDUP(74/12,0)</f>
        <v>7</v>
      </c>
      <c r="CB6" s="46" t="n">
        <f aca="false">ROUNDUP(75/12,0)</f>
        <v>7</v>
      </c>
      <c r="CC6" s="46" t="n">
        <f aca="false">ROUNDUP(76/12,0)</f>
        <v>7</v>
      </c>
      <c r="CD6" s="46" t="n">
        <f aca="false">ROUNDUP(77/12,0)</f>
        <v>7</v>
      </c>
      <c r="CE6" s="46" t="n">
        <f aca="false">ROUNDUP(78/12,0)</f>
        <v>7</v>
      </c>
      <c r="CF6" s="46" t="n">
        <f aca="false">ROUNDUP(79/12,0)</f>
        <v>7</v>
      </c>
      <c r="CG6" s="46" t="n">
        <f aca="false">ROUNDUP(80/12,0)</f>
        <v>7</v>
      </c>
      <c r="CH6" s="46" t="n">
        <f aca="false">ROUNDUP(81/12,0)</f>
        <v>7</v>
      </c>
      <c r="CI6" s="46" t="n">
        <f aca="false">ROUNDUP(82/12,0)</f>
        <v>7</v>
      </c>
      <c r="CJ6" s="46" t="n">
        <f aca="false">ROUNDUP(83/12,0)</f>
        <v>7</v>
      </c>
      <c r="CK6" s="46" t="n">
        <f aca="false">ROUNDUP(84/12,0)</f>
        <v>7</v>
      </c>
      <c r="CL6" s="46" t="n">
        <f aca="false">ROUNDUP(85/12,0)</f>
        <v>8</v>
      </c>
      <c r="CM6" s="46" t="n">
        <f aca="false">ROUNDUP(86/12,0)</f>
        <v>8</v>
      </c>
      <c r="CN6" s="46" t="n">
        <f aca="false">ROUNDUP(87/12,0)</f>
        <v>8</v>
      </c>
      <c r="CO6" s="46" t="n">
        <f aca="false">ROUNDUP(88/12,0)</f>
        <v>8</v>
      </c>
      <c r="CP6" s="46" t="n">
        <f aca="false">ROUNDUP(89/12,0)</f>
        <v>8</v>
      </c>
      <c r="CQ6" s="46" t="n">
        <f aca="false">ROUNDUP(90/12,0)</f>
        <v>8</v>
      </c>
      <c r="CR6" s="46" t="n">
        <f aca="false">ROUNDUP(91/12,0)</f>
        <v>8</v>
      </c>
      <c r="CS6" s="46" t="n">
        <f aca="false">ROUNDUP(92/12,0)</f>
        <v>8</v>
      </c>
      <c r="CT6" s="46" t="n">
        <f aca="false">ROUNDUP(93/12,0)</f>
        <v>8</v>
      </c>
      <c r="CU6" s="46" t="n">
        <f aca="false">ROUNDUP(94/12,0)</f>
        <v>8</v>
      </c>
      <c r="CV6" s="46" t="n">
        <f aca="false">ROUNDUP(95/12,0)</f>
        <v>8</v>
      </c>
      <c r="CW6" s="46" t="n">
        <f aca="false">ROUNDUP(96/12,0)</f>
        <v>8</v>
      </c>
      <c r="CX6" s="46" t="n">
        <f aca="false">ROUNDUP(97/12,0)</f>
        <v>9</v>
      </c>
      <c r="CY6" s="46" t="n">
        <f aca="false">ROUNDUP(98/12,0)</f>
        <v>9</v>
      </c>
      <c r="CZ6" s="46" t="n">
        <f aca="false">ROUNDUP(99/12,0)</f>
        <v>9</v>
      </c>
      <c r="DA6" s="46" t="n">
        <f aca="false">ROUNDUP(100/12,0)</f>
        <v>9</v>
      </c>
      <c r="DB6" s="46" t="n">
        <f aca="false">ROUNDUP(101/12,0)</f>
        <v>9</v>
      </c>
      <c r="DC6" s="46" t="n">
        <f aca="false">ROUNDUP(102/12,0)</f>
        <v>9</v>
      </c>
      <c r="DD6" s="46" t="n">
        <f aca="false">ROUNDUP(103/12,0)</f>
        <v>9</v>
      </c>
      <c r="DE6" s="46" t="n">
        <f aca="false">ROUNDUP(104/12,0)</f>
        <v>9</v>
      </c>
      <c r="DF6" s="46" t="n">
        <f aca="false">ROUNDUP(105/12,0)</f>
        <v>9</v>
      </c>
      <c r="DG6" s="46" t="n">
        <f aca="false">ROUNDUP(106/12,0)</f>
        <v>9</v>
      </c>
      <c r="DH6" s="46" t="n">
        <f aca="false">ROUNDUP(107/12,0)</f>
        <v>9</v>
      </c>
      <c r="DI6" s="46" t="n">
        <f aca="false">ROUNDUP(108/12,0)</f>
        <v>9</v>
      </c>
      <c r="DJ6" s="46" t="n">
        <f aca="false">ROUNDUP(109/12,0)</f>
        <v>10</v>
      </c>
      <c r="DK6" s="46" t="n">
        <f aca="false">ROUNDUP(110/12,0)</f>
        <v>10</v>
      </c>
      <c r="DL6" s="46" t="n">
        <f aca="false">ROUNDUP(111/12,0)</f>
        <v>10</v>
      </c>
      <c r="DM6" s="46" t="n">
        <f aca="false">ROUNDUP(112/12,0)</f>
        <v>10</v>
      </c>
      <c r="DN6" s="46" t="n">
        <f aca="false">ROUNDUP(113/12,0)</f>
        <v>10</v>
      </c>
      <c r="DO6" s="46" t="n">
        <f aca="false">ROUNDUP(114/12,0)</f>
        <v>10</v>
      </c>
      <c r="DP6" s="46" t="n">
        <f aca="false">ROUNDUP(115/12,0)</f>
        <v>10</v>
      </c>
      <c r="DQ6" s="46" t="n">
        <f aca="false">ROUNDUP(116/12,0)</f>
        <v>10</v>
      </c>
      <c r="DR6" s="46" t="n">
        <f aca="false">ROUNDUP(117/12,0)</f>
        <v>10</v>
      </c>
      <c r="DS6" s="46" t="n">
        <f aca="false">ROUNDUP(118/12,0)</f>
        <v>10</v>
      </c>
      <c r="DT6" s="46" t="n">
        <f aca="false">ROUNDUP(119/12,0)</f>
        <v>10</v>
      </c>
      <c r="DU6" s="46" t="n">
        <f aca="false">ROUNDUP(120/12,0)</f>
        <v>10</v>
      </c>
      <c r="DV6" s="46" t="n">
        <f aca="false">ROUNDUP(121/12,0)</f>
        <v>11</v>
      </c>
      <c r="DW6" s="46" t="n">
        <f aca="false">ROUNDUP(122/12,0)</f>
        <v>11</v>
      </c>
      <c r="DX6" s="46" t="n">
        <f aca="false">ROUNDUP(123/12,0)</f>
        <v>11</v>
      </c>
      <c r="DY6" s="46" t="n">
        <f aca="false">ROUNDUP(124/12,0)</f>
        <v>11</v>
      </c>
      <c r="DZ6" s="46" t="n">
        <f aca="false">ROUNDUP(125/12,0)</f>
        <v>11</v>
      </c>
      <c r="EA6" s="46" t="n">
        <f aca="false">ROUNDUP(126/12,0)</f>
        <v>11</v>
      </c>
      <c r="EB6" s="46" t="n">
        <f aca="false">ROUNDUP(127/12,0)</f>
        <v>11</v>
      </c>
      <c r="EC6" s="46" t="n">
        <f aca="false">ROUNDUP(128/12,0)</f>
        <v>11</v>
      </c>
      <c r="ED6" s="46" t="n">
        <f aca="false">ROUNDUP(129/12,0)</f>
        <v>11</v>
      </c>
      <c r="EE6" s="46" t="n">
        <f aca="false">ROUNDUP(130/12,0)</f>
        <v>11</v>
      </c>
      <c r="EF6" s="46" t="n">
        <f aca="false">ROUNDUP(131/12,0)</f>
        <v>11</v>
      </c>
      <c r="EG6" s="46" t="n">
        <f aca="false">ROUNDUP(132/12,0)</f>
        <v>11</v>
      </c>
      <c r="EH6" s="46" t="n">
        <f aca="false">ROUNDUP(133/12,0)</f>
        <v>12</v>
      </c>
      <c r="EI6" s="46" t="n">
        <f aca="false">ROUNDUP(134/12,0)</f>
        <v>12</v>
      </c>
      <c r="EJ6" s="46" t="n">
        <f aca="false">ROUNDUP(135/12,0)</f>
        <v>12</v>
      </c>
      <c r="EK6" s="46" t="n">
        <f aca="false">ROUNDUP(136/12,0)</f>
        <v>12</v>
      </c>
      <c r="EL6" s="46" t="n">
        <f aca="false">ROUNDUP(137/12,0)</f>
        <v>12</v>
      </c>
      <c r="EM6" s="46" t="n">
        <f aca="false">ROUNDUP(138/12,0)</f>
        <v>12</v>
      </c>
      <c r="EN6" s="46" t="n">
        <f aca="false">ROUNDUP(139/12,0)</f>
        <v>12</v>
      </c>
      <c r="EO6" s="46" t="n">
        <f aca="false">ROUNDUP(140/12,0)</f>
        <v>12</v>
      </c>
      <c r="EP6" s="46" t="n">
        <f aca="false">ROUNDUP(141/12,0)</f>
        <v>12</v>
      </c>
      <c r="EQ6" s="46" t="n">
        <f aca="false">ROUNDUP(142/12,0)</f>
        <v>12</v>
      </c>
      <c r="ER6" s="46" t="n">
        <f aca="false">ROUNDUP(143/12,0)</f>
        <v>12</v>
      </c>
      <c r="ES6" s="46" t="n">
        <f aca="false">ROUNDUP(144/12,0)</f>
        <v>12</v>
      </c>
    </row>
    <row r="7" customFormat="false" ht="15" hidden="false" customHeight="false" outlineLevel="0" collapsed="false">
      <c r="A7" s="43"/>
      <c r="B7" s="44" t="s">
        <v>460</v>
      </c>
      <c r="C7" s="43"/>
      <c r="D7" s="43"/>
      <c r="E7" s="43"/>
      <c r="F7" s="5" t="str">
        <f aca="false">IF(1&lt;=Corte,"Cerrado","Abierto")</f>
        <v>Abierto</v>
      </c>
      <c r="G7" s="5" t="str">
        <f aca="false">IF(2&lt;=Corte,"Cerrado","Abierto")</f>
        <v>Abierto</v>
      </c>
      <c r="H7" s="5" t="str">
        <f aca="false">IF(3&lt;=Corte,"Cerrado","Abierto")</f>
        <v>Abierto</v>
      </c>
      <c r="I7" s="5" t="str">
        <f aca="false">IF(4&lt;=Corte,"Cerrado","Abierto")</f>
        <v>Abierto</v>
      </c>
      <c r="J7" s="5" t="str">
        <f aca="false">IF(5&lt;=Corte,"Cerrado","Abierto")</f>
        <v>Abierto</v>
      </c>
      <c r="K7" s="5" t="str">
        <f aca="false">IF(6&lt;=Corte,"Cerrado","Abierto")</f>
        <v>Abierto</v>
      </c>
      <c r="L7" s="5" t="str">
        <f aca="false">IF(7&lt;=Corte,"Cerrado","Abierto")</f>
        <v>Abierto</v>
      </c>
      <c r="M7" s="5" t="str">
        <f aca="false">IF(8&lt;=Corte,"Cerrado","Abierto")</f>
        <v>Abierto</v>
      </c>
      <c r="N7" s="5" t="str">
        <f aca="false">IF(9&lt;=Corte,"Cerrado","Abierto")</f>
        <v>Abierto</v>
      </c>
      <c r="O7" s="5" t="str">
        <f aca="false">IF(10&lt;=Corte,"Cerrado","Abierto")</f>
        <v>Abierto</v>
      </c>
      <c r="P7" s="5" t="str">
        <f aca="false">IF(11&lt;=Corte,"Cerrado","Abierto")</f>
        <v>Abierto</v>
      </c>
      <c r="Q7" s="5" t="str">
        <f aca="false">IF(12&lt;=Corte,"Cerrado","Abierto")</f>
        <v>Abierto</v>
      </c>
      <c r="R7" s="5" t="str">
        <f aca="false">IF(13&lt;=Corte,"Cerrado","Abierto")</f>
        <v>Abierto</v>
      </c>
      <c r="S7" s="5" t="str">
        <f aca="false">IF(14&lt;=Corte,"Cerrado","Abierto")</f>
        <v>Abierto</v>
      </c>
      <c r="T7" s="5" t="str">
        <f aca="false">IF(15&lt;=Corte,"Cerrado","Abierto")</f>
        <v>Abierto</v>
      </c>
      <c r="U7" s="5" t="str">
        <f aca="false">IF(16&lt;=Corte,"Cerrado","Abierto")</f>
        <v>Abierto</v>
      </c>
      <c r="V7" s="5" t="str">
        <f aca="false">IF(17&lt;=Corte,"Cerrado","Abierto")</f>
        <v>Abierto</v>
      </c>
      <c r="W7" s="5" t="str">
        <f aca="false">IF(18&lt;=Corte,"Cerrado","Abierto")</f>
        <v>Abierto</v>
      </c>
      <c r="X7" s="5" t="str">
        <f aca="false">IF(19&lt;=Corte,"Cerrado","Abierto")</f>
        <v>Abierto</v>
      </c>
      <c r="Y7" s="5" t="str">
        <f aca="false">IF(20&lt;=Corte,"Cerrado","Abierto")</f>
        <v>Abierto</v>
      </c>
      <c r="Z7" s="5" t="str">
        <f aca="false">IF(21&lt;=Corte,"Cerrado","Abierto")</f>
        <v>Abierto</v>
      </c>
      <c r="AA7" s="5" t="str">
        <f aca="false">IF(22&lt;=Corte,"Cerrado","Abierto")</f>
        <v>Abierto</v>
      </c>
      <c r="AB7" s="5" t="str">
        <f aca="false">IF(23&lt;=Corte,"Cerrado","Abierto")</f>
        <v>Abierto</v>
      </c>
      <c r="AC7" s="5" t="str">
        <f aca="false">IF(24&lt;=Corte,"Cerrado","Abierto")</f>
        <v>Abierto</v>
      </c>
      <c r="AD7" s="5" t="str">
        <f aca="false">IF(25&lt;=Corte,"Cerrado","Abierto")</f>
        <v>Abierto</v>
      </c>
      <c r="AE7" s="5" t="str">
        <f aca="false">IF(26&lt;=Corte,"Cerrado","Abierto")</f>
        <v>Abierto</v>
      </c>
      <c r="AF7" s="5" t="str">
        <f aca="false">IF(27&lt;=Corte,"Cerrado","Abierto")</f>
        <v>Abierto</v>
      </c>
      <c r="AG7" s="5" t="str">
        <f aca="false">IF(28&lt;=Corte,"Cerrado","Abierto")</f>
        <v>Abierto</v>
      </c>
      <c r="AH7" s="5" t="str">
        <f aca="false">IF(29&lt;=Corte,"Cerrado","Abierto")</f>
        <v>Abierto</v>
      </c>
      <c r="AI7" s="5" t="str">
        <f aca="false">IF(30&lt;=Corte,"Cerrado","Abierto")</f>
        <v>Abierto</v>
      </c>
      <c r="AJ7" s="5" t="str">
        <f aca="false">IF(31&lt;=Corte,"Cerrado","Abierto")</f>
        <v>Abierto</v>
      </c>
      <c r="AK7" s="5" t="str">
        <f aca="false">IF(32&lt;=Corte,"Cerrado","Abierto")</f>
        <v>Abierto</v>
      </c>
      <c r="AL7" s="5" t="str">
        <f aca="false">IF(33&lt;=Corte,"Cerrado","Abierto")</f>
        <v>Abierto</v>
      </c>
      <c r="AM7" s="5" t="str">
        <f aca="false">IF(34&lt;=Corte,"Cerrado","Abierto")</f>
        <v>Abierto</v>
      </c>
      <c r="AN7" s="5" t="str">
        <f aca="false">IF(35&lt;=Corte,"Cerrado","Abierto")</f>
        <v>Abierto</v>
      </c>
      <c r="AO7" s="5" t="str">
        <f aca="false">IF(36&lt;=Corte,"Cerrado","Abierto")</f>
        <v>Abierto</v>
      </c>
      <c r="AP7" s="5" t="str">
        <f aca="false">IF(37&lt;=Corte,"Cerrado","Abierto")</f>
        <v>Abierto</v>
      </c>
      <c r="AQ7" s="5" t="str">
        <f aca="false">IF(38&lt;=Corte,"Cerrado","Abierto")</f>
        <v>Abierto</v>
      </c>
      <c r="AR7" s="5" t="str">
        <f aca="false">IF(39&lt;=Corte,"Cerrado","Abierto")</f>
        <v>Abierto</v>
      </c>
      <c r="AS7" s="5" t="str">
        <f aca="false">IF(40&lt;=Corte,"Cerrado","Abierto")</f>
        <v>Abierto</v>
      </c>
      <c r="AT7" s="5" t="str">
        <f aca="false">IF(41&lt;=Corte,"Cerrado","Abierto")</f>
        <v>Abierto</v>
      </c>
      <c r="AU7" s="5" t="str">
        <f aca="false">IF(42&lt;=Corte,"Cerrado","Abierto")</f>
        <v>Abierto</v>
      </c>
      <c r="AV7" s="5" t="str">
        <f aca="false">IF(43&lt;=Corte,"Cerrado","Abierto")</f>
        <v>Abierto</v>
      </c>
      <c r="AW7" s="5" t="str">
        <f aca="false">IF(44&lt;=Corte,"Cerrado","Abierto")</f>
        <v>Abierto</v>
      </c>
      <c r="AX7" s="5" t="str">
        <f aca="false">IF(45&lt;=Corte,"Cerrado","Abierto")</f>
        <v>Abierto</v>
      </c>
      <c r="AY7" s="5" t="str">
        <f aca="false">IF(46&lt;=Corte,"Cerrado","Abierto")</f>
        <v>Abierto</v>
      </c>
      <c r="AZ7" s="5" t="str">
        <f aca="false">IF(47&lt;=Corte,"Cerrado","Abierto")</f>
        <v>Abierto</v>
      </c>
      <c r="BA7" s="5" t="str">
        <f aca="false">IF(48&lt;=Corte,"Cerrado","Abierto")</f>
        <v>Abierto</v>
      </c>
      <c r="BB7" s="5" t="str">
        <f aca="false">IF(49&lt;=Corte,"Cerrado","Abierto")</f>
        <v>Abierto</v>
      </c>
      <c r="BC7" s="5" t="str">
        <f aca="false">IF(50&lt;=Corte,"Cerrado","Abierto")</f>
        <v>Abierto</v>
      </c>
      <c r="BD7" s="5" t="str">
        <f aca="false">IF(51&lt;=Corte,"Cerrado","Abierto")</f>
        <v>Abierto</v>
      </c>
      <c r="BE7" s="5" t="str">
        <f aca="false">IF(52&lt;=Corte,"Cerrado","Abierto")</f>
        <v>Abierto</v>
      </c>
      <c r="BF7" s="5" t="str">
        <f aca="false">IF(53&lt;=Corte,"Cerrado","Abierto")</f>
        <v>Abierto</v>
      </c>
      <c r="BG7" s="5" t="str">
        <f aca="false">IF(54&lt;=Corte,"Cerrado","Abierto")</f>
        <v>Abierto</v>
      </c>
      <c r="BH7" s="5" t="str">
        <f aca="false">IF(55&lt;=Corte,"Cerrado","Abierto")</f>
        <v>Abierto</v>
      </c>
      <c r="BI7" s="5" t="str">
        <f aca="false">IF(56&lt;=Corte,"Cerrado","Abierto")</f>
        <v>Abierto</v>
      </c>
      <c r="BJ7" s="5" t="str">
        <f aca="false">IF(57&lt;=Corte,"Cerrado","Abierto")</f>
        <v>Abierto</v>
      </c>
      <c r="BK7" s="5" t="str">
        <f aca="false">IF(58&lt;=Corte,"Cerrado","Abierto")</f>
        <v>Abierto</v>
      </c>
      <c r="BL7" s="5" t="str">
        <f aca="false">IF(59&lt;=Corte,"Cerrado","Abierto")</f>
        <v>Abierto</v>
      </c>
      <c r="BM7" s="5" t="str">
        <f aca="false">IF(60&lt;=Corte,"Cerrado","Abierto")</f>
        <v>Abierto</v>
      </c>
      <c r="BN7" s="5" t="str">
        <f aca="false">IF(61&lt;=Corte,"Cerrado","Abierto")</f>
        <v>Abierto</v>
      </c>
      <c r="BO7" s="5" t="str">
        <f aca="false">IF(62&lt;=Corte,"Cerrado","Abierto")</f>
        <v>Abierto</v>
      </c>
      <c r="BP7" s="5" t="str">
        <f aca="false">IF(63&lt;=Corte,"Cerrado","Abierto")</f>
        <v>Abierto</v>
      </c>
      <c r="BQ7" s="5" t="str">
        <f aca="false">IF(64&lt;=Corte,"Cerrado","Abierto")</f>
        <v>Abierto</v>
      </c>
      <c r="BR7" s="5" t="str">
        <f aca="false">IF(65&lt;=Corte,"Cerrado","Abierto")</f>
        <v>Abierto</v>
      </c>
      <c r="BS7" s="5" t="str">
        <f aca="false">IF(66&lt;=Corte,"Cerrado","Abierto")</f>
        <v>Abierto</v>
      </c>
      <c r="BT7" s="5" t="str">
        <f aca="false">IF(67&lt;=Corte,"Cerrado","Abierto")</f>
        <v>Abierto</v>
      </c>
      <c r="BU7" s="5" t="str">
        <f aca="false">IF(68&lt;=Corte,"Cerrado","Abierto")</f>
        <v>Abierto</v>
      </c>
      <c r="BV7" s="5" t="str">
        <f aca="false">IF(69&lt;=Corte,"Cerrado","Abierto")</f>
        <v>Abierto</v>
      </c>
      <c r="BW7" s="5" t="str">
        <f aca="false">IF(70&lt;=Corte,"Cerrado","Abierto")</f>
        <v>Abierto</v>
      </c>
      <c r="BX7" s="5" t="str">
        <f aca="false">IF(71&lt;=Corte,"Cerrado","Abierto")</f>
        <v>Abierto</v>
      </c>
      <c r="BY7" s="5" t="str">
        <f aca="false">IF(72&lt;=Corte,"Cerrado","Abierto")</f>
        <v>Abierto</v>
      </c>
      <c r="BZ7" s="5" t="str">
        <f aca="false">IF(73&lt;=Corte,"Cerrado","Abierto")</f>
        <v>Abierto</v>
      </c>
      <c r="CA7" s="5" t="str">
        <f aca="false">IF(74&lt;=Corte,"Cerrado","Abierto")</f>
        <v>Abierto</v>
      </c>
      <c r="CB7" s="5" t="str">
        <f aca="false">IF(75&lt;=Corte,"Cerrado","Abierto")</f>
        <v>Abierto</v>
      </c>
      <c r="CC7" s="5" t="str">
        <f aca="false">IF(76&lt;=Corte,"Cerrado","Abierto")</f>
        <v>Abierto</v>
      </c>
      <c r="CD7" s="5" t="str">
        <f aca="false">IF(77&lt;=Corte,"Cerrado","Abierto")</f>
        <v>Abierto</v>
      </c>
      <c r="CE7" s="5" t="str">
        <f aca="false">IF(78&lt;=Corte,"Cerrado","Abierto")</f>
        <v>Abierto</v>
      </c>
      <c r="CF7" s="5" t="str">
        <f aca="false">IF(79&lt;=Corte,"Cerrado","Abierto")</f>
        <v>Abierto</v>
      </c>
      <c r="CG7" s="5" t="str">
        <f aca="false">IF(80&lt;=Corte,"Cerrado","Abierto")</f>
        <v>Abierto</v>
      </c>
      <c r="CH7" s="5" t="str">
        <f aca="false">IF(81&lt;=Corte,"Cerrado","Abierto")</f>
        <v>Abierto</v>
      </c>
      <c r="CI7" s="5" t="str">
        <f aca="false">IF(82&lt;=Corte,"Cerrado","Abierto")</f>
        <v>Abierto</v>
      </c>
      <c r="CJ7" s="5" t="str">
        <f aca="false">IF(83&lt;=Corte,"Cerrado","Abierto")</f>
        <v>Abierto</v>
      </c>
      <c r="CK7" s="5" t="str">
        <f aca="false">IF(84&lt;=Corte,"Cerrado","Abierto")</f>
        <v>Abierto</v>
      </c>
      <c r="CL7" s="5" t="str">
        <f aca="false">IF(85&lt;=Corte,"Cerrado","Abierto")</f>
        <v>Abierto</v>
      </c>
      <c r="CM7" s="5" t="str">
        <f aca="false">IF(86&lt;=Corte,"Cerrado","Abierto")</f>
        <v>Abierto</v>
      </c>
      <c r="CN7" s="5" t="str">
        <f aca="false">IF(87&lt;=Corte,"Cerrado","Abierto")</f>
        <v>Abierto</v>
      </c>
      <c r="CO7" s="5" t="str">
        <f aca="false">IF(88&lt;=Corte,"Cerrado","Abierto")</f>
        <v>Abierto</v>
      </c>
      <c r="CP7" s="5" t="str">
        <f aca="false">IF(89&lt;=Corte,"Cerrado","Abierto")</f>
        <v>Abierto</v>
      </c>
      <c r="CQ7" s="5" t="str">
        <f aca="false">IF(90&lt;=Corte,"Cerrado","Abierto")</f>
        <v>Abierto</v>
      </c>
      <c r="CR7" s="5" t="str">
        <f aca="false">IF(91&lt;=Corte,"Cerrado","Abierto")</f>
        <v>Abierto</v>
      </c>
      <c r="CS7" s="5" t="str">
        <f aca="false">IF(92&lt;=Corte,"Cerrado","Abierto")</f>
        <v>Abierto</v>
      </c>
      <c r="CT7" s="5" t="str">
        <f aca="false">IF(93&lt;=Corte,"Cerrado","Abierto")</f>
        <v>Abierto</v>
      </c>
      <c r="CU7" s="5" t="str">
        <f aca="false">IF(94&lt;=Corte,"Cerrado","Abierto")</f>
        <v>Abierto</v>
      </c>
      <c r="CV7" s="5" t="str">
        <f aca="false">IF(95&lt;=Corte,"Cerrado","Abierto")</f>
        <v>Abierto</v>
      </c>
      <c r="CW7" s="5" t="str">
        <f aca="false">IF(96&lt;=Corte,"Cerrado","Abierto")</f>
        <v>Abierto</v>
      </c>
      <c r="CX7" s="5" t="str">
        <f aca="false">IF(97&lt;=Corte,"Cerrado","Abierto")</f>
        <v>Abierto</v>
      </c>
      <c r="CY7" s="5" t="str">
        <f aca="false">IF(98&lt;=Corte,"Cerrado","Abierto")</f>
        <v>Abierto</v>
      </c>
      <c r="CZ7" s="5" t="str">
        <f aca="false">IF(99&lt;=Corte,"Cerrado","Abierto")</f>
        <v>Abierto</v>
      </c>
      <c r="DA7" s="5" t="str">
        <f aca="false">IF(100&lt;=Corte,"Cerrado","Abierto")</f>
        <v>Abierto</v>
      </c>
      <c r="DB7" s="5" t="str">
        <f aca="false">IF(101&lt;=Corte,"Cerrado","Abierto")</f>
        <v>Abierto</v>
      </c>
      <c r="DC7" s="5" t="str">
        <f aca="false">IF(102&lt;=Corte,"Cerrado","Abierto")</f>
        <v>Abierto</v>
      </c>
      <c r="DD7" s="5" t="str">
        <f aca="false">IF(103&lt;=Corte,"Cerrado","Abierto")</f>
        <v>Abierto</v>
      </c>
      <c r="DE7" s="5" t="str">
        <f aca="false">IF(104&lt;=Corte,"Cerrado","Abierto")</f>
        <v>Abierto</v>
      </c>
      <c r="DF7" s="5" t="str">
        <f aca="false">IF(105&lt;=Corte,"Cerrado","Abierto")</f>
        <v>Abierto</v>
      </c>
      <c r="DG7" s="5" t="str">
        <f aca="false">IF(106&lt;=Corte,"Cerrado","Abierto")</f>
        <v>Abierto</v>
      </c>
      <c r="DH7" s="5" t="str">
        <f aca="false">IF(107&lt;=Corte,"Cerrado","Abierto")</f>
        <v>Abierto</v>
      </c>
      <c r="DI7" s="5" t="str">
        <f aca="false">IF(108&lt;=Corte,"Cerrado","Abierto")</f>
        <v>Abierto</v>
      </c>
      <c r="DJ7" s="5" t="str">
        <f aca="false">IF(109&lt;=Corte,"Cerrado","Abierto")</f>
        <v>Abierto</v>
      </c>
      <c r="DK7" s="5" t="str">
        <f aca="false">IF(110&lt;=Corte,"Cerrado","Abierto")</f>
        <v>Abierto</v>
      </c>
      <c r="DL7" s="5" t="str">
        <f aca="false">IF(111&lt;=Corte,"Cerrado","Abierto")</f>
        <v>Abierto</v>
      </c>
      <c r="DM7" s="5" t="str">
        <f aca="false">IF(112&lt;=Corte,"Cerrado","Abierto")</f>
        <v>Abierto</v>
      </c>
      <c r="DN7" s="5" t="str">
        <f aca="false">IF(113&lt;=Corte,"Cerrado","Abierto")</f>
        <v>Abierto</v>
      </c>
      <c r="DO7" s="5" t="str">
        <f aca="false">IF(114&lt;=Corte,"Cerrado","Abierto")</f>
        <v>Abierto</v>
      </c>
      <c r="DP7" s="5" t="str">
        <f aca="false">IF(115&lt;=Corte,"Cerrado","Abierto")</f>
        <v>Abierto</v>
      </c>
      <c r="DQ7" s="5" t="str">
        <f aca="false">IF(116&lt;=Corte,"Cerrado","Abierto")</f>
        <v>Abierto</v>
      </c>
      <c r="DR7" s="5" t="str">
        <f aca="false">IF(117&lt;=Corte,"Cerrado","Abierto")</f>
        <v>Abierto</v>
      </c>
      <c r="DS7" s="5" t="str">
        <f aca="false">IF(118&lt;=Corte,"Cerrado","Abierto")</f>
        <v>Abierto</v>
      </c>
      <c r="DT7" s="5" t="str">
        <f aca="false">IF(119&lt;=Corte,"Cerrado","Abierto")</f>
        <v>Abierto</v>
      </c>
      <c r="DU7" s="5" t="str">
        <f aca="false">IF(120&lt;=Corte,"Cerrado","Abierto")</f>
        <v>Abierto</v>
      </c>
      <c r="DV7" s="5" t="str">
        <f aca="false">IF(121&lt;=Corte,"Cerrado","Abierto")</f>
        <v>Abierto</v>
      </c>
      <c r="DW7" s="5" t="str">
        <f aca="false">IF(122&lt;=Corte,"Cerrado","Abierto")</f>
        <v>Abierto</v>
      </c>
      <c r="DX7" s="5" t="str">
        <f aca="false">IF(123&lt;=Corte,"Cerrado","Abierto")</f>
        <v>Abierto</v>
      </c>
      <c r="DY7" s="5" t="str">
        <f aca="false">IF(124&lt;=Corte,"Cerrado","Abierto")</f>
        <v>Abierto</v>
      </c>
      <c r="DZ7" s="5" t="str">
        <f aca="false">IF(125&lt;=Corte,"Cerrado","Abierto")</f>
        <v>Abierto</v>
      </c>
      <c r="EA7" s="5" t="str">
        <f aca="false">IF(126&lt;=Corte,"Cerrado","Abierto")</f>
        <v>Abierto</v>
      </c>
      <c r="EB7" s="5" t="str">
        <f aca="false">IF(127&lt;=Corte,"Cerrado","Abierto")</f>
        <v>Abierto</v>
      </c>
      <c r="EC7" s="5" t="str">
        <f aca="false">IF(128&lt;=Corte,"Cerrado","Abierto")</f>
        <v>Abierto</v>
      </c>
      <c r="ED7" s="5" t="str">
        <f aca="false">IF(129&lt;=Corte,"Cerrado","Abierto")</f>
        <v>Abierto</v>
      </c>
      <c r="EE7" s="5" t="str">
        <f aca="false">IF(130&lt;=Corte,"Cerrado","Abierto")</f>
        <v>Abierto</v>
      </c>
      <c r="EF7" s="5" t="str">
        <f aca="false">IF(131&lt;=Corte,"Cerrado","Abierto")</f>
        <v>Abierto</v>
      </c>
      <c r="EG7" s="5" t="str">
        <f aca="false">IF(132&lt;=Corte,"Cerrado","Abierto")</f>
        <v>Abierto</v>
      </c>
      <c r="EH7" s="5" t="str">
        <f aca="false">IF(133&lt;=Corte,"Cerrado","Abierto")</f>
        <v>Abierto</v>
      </c>
      <c r="EI7" s="5" t="str">
        <f aca="false">IF(134&lt;=Corte,"Cerrado","Abierto")</f>
        <v>Abierto</v>
      </c>
      <c r="EJ7" s="5" t="str">
        <f aca="false">IF(135&lt;=Corte,"Cerrado","Abierto")</f>
        <v>Abierto</v>
      </c>
      <c r="EK7" s="5" t="str">
        <f aca="false">IF(136&lt;=Corte,"Cerrado","Abierto")</f>
        <v>Abierto</v>
      </c>
      <c r="EL7" s="5" t="str">
        <f aca="false">IF(137&lt;=Corte,"Cerrado","Abierto")</f>
        <v>Abierto</v>
      </c>
      <c r="EM7" s="5" t="str">
        <f aca="false">IF(138&lt;=Corte,"Cerrado","Abierto")</f>
        <v>Abierto</v>
      </c>
      <c r="EN7" s="5" t="str">
        <f aca="false">IF(139&lt;=Corte,"Cerrado","Abierto")</f>
        <v>Abierto</v>
      </c>
      <c r="EO7" s="5" t="str">
        <f aca="false">IF(140&lt;=Corte,"Cerrado","Abierto")</f>
        <v>Abierto</v>
      </c>
      <c r="EP7" s="5" t="str">
        <f aca="false">IF(141&lt;=Corte,"Cerrado","Abierto")</f>
        <v>Abierto</v>
      </c>
      <c r="EQ7" s="5" t="str">
        <f aca="false">IF(142&lt;=Corte,"Cerrado","Abierto")</f>
        <v>Abierto</v>
      </c>
      <c r="ER7" s="5" t="str">
        <f aca="false">IF(143&lt;=Corte,"Cerrado","Abierto")</f>
        <v>Abierto</v>
      </c>
      <c r="ES7" s="5" t="str">
        <f aca="false">IF(144&lt;=Corte,"Cerrado","Abierto")</f>
        <v>Abierto</v>
      </c>
    </row>
    <row r="9" customFormat="false" ht="15" hidden="false" customHeight="false" outlineLevel="0" collapsed="false">
      <c r="A9" s="3" t="s">
        <v>461</v>
      </c>
      <c r="B9" s="4"/>
      <c r="C9" s="4"/>
      <c r="D9" s="4"/>
      <c r="E9" s="4"/>
    </row>
    <row r="10" customFormat="false" ht="15" hidden="false" customHeight="false" outlineLevel="0" collapsed="false">
      <c r="A10" s="2" t="s">
        <v>206</v>
      </c>
      <c r="B10" s="6" t="s">
        <v>462</v>
      </c>
      <c r="C10" s="6" t="s">
        <v>208</v>
      </c>
      <c r="D10" s="10"/>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c r="CH10" s="22"/>
      <c r="CI10" s="22"/>
      <c r="CJ10" s="22"/>
      <c r="CK10" s="22"/>
      <c r="CL10" s="22"/>
      <c r="CM10" s="22"/>
      <c r="CN10" s="22"/>
      <c r="CO10" s="22"/>
      <c r="CP10" s="22"/>
      <c r="CQ10" s="22"/>
      <c r="CR10" s="22"/>
      <c r="CS10" s="22"/>
      <c r="CT10" s="22"/>
      <c r="CU10" s="22"/>
      <c r="CV10" s="22"/>
      <c r="CW10" s="22"/>
      <c r="CX10" s="22"/>
      <c r="CY10" s="22"/>
      <c r="CZ10" s="22"/>
      <c r="DA10" s="22"/>
      <c r="DB10" s="22"/>
      <c r="DC10" s="22"/>
      <c r="DD10" s="22"/>
      <c r="DE10" s="22"/>
      <c r="DF10" s="22"/>
      <c r="DG10" s="22"/>
      <c r="DH10" s="22"/>
      <c r="DI10" s="22"/>
      <c r="DJ10" s="22"/>
      <c r="DK10" s="22"/>
      <c r="DL10" s="22"/>
      <c r="DM10" s="22"/>
      <c r="DN10" s="22"/>
      <c r="DO10" s="22"/>
      <c r="DP10" s="22"/>
      <c r="DQ10" s="22"/>
      <c r="DR10" s="22"/>
      <c r="DS10" s="22"/>
      <c r="DT10" s="22"/>
      <c r="DU10" s="22"/>
      <c r="DV10" s="22"/>
      <c r="DW10" s="22"/>
      <c r="DX10" s="22"/>
      <c r="DY10" s="22"/>
      <c r="DZ10" s="22"/>
      <c r="EA10" s="22"/>
      <c r="EB10" s="22"/>
      <c r="EC10" s="22"/>
      <c r="ED10" s="22"/>
      <c r="EE10" s="22"/>
      <c r="EF10" s="22"/>
      <c r="EG10" s="22"/>
      <c r="EH10" s="22"/>
      <c r="EI10" s="22"/>
      <c r="EJ10" s="22"/>
      <c r="EK10" s="22"/>
      <c r="EL10" s="22"/>
      <c r="EM10" s="22"/>
      <c r="EN10" s="22"/>
      <c r="EO10" s="22"/>
      <c r="EP10" s="22"/>
      <c r="EQ10" s="22"/>
      <c r="ER10" s="22"/>
      <c r="ES10" s="22"/>
    </row>
    <row r="11" customFormat="false" ht="15" hidden="false" customHeight="false" outlineLevel="0" collapsed="false">
      <c r="A11" s="3" t="s">
        <v>463</v>
      </c>
      <c r="B11" s="4"/>
      <c r="C11" s="4"/>
      <c r="D11" s="4"/>
      <c r="E11" s="4"/>
    </row>
    <row r="12" customFormat="false" ht="15" hidden="false" customHeight="false" outlineLevel="0" collapsed="false">
      <c r="A12" s="2" t="s">
        <v>464</v>
      </c>
      <c r="B12" s="39" t="str">
        <f aca="false">IF(INDEX(Prod_Nombre,1)="","Producto 1 (unidades)",INDEX(Prod_Nombre,1)&amp;" (unidades)")</f>
        <v>Gabinetes metálicos 153 kg (unidades)</v>
      </c>
      <c r="C12" s="6" t="s">
        <v>286</v>
      </c>
      <c r="D12" s="10" t="n">
        <f aca="false">SUM(F12:ES12)</f>
        <v>0</v>
      </c>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c r="CH12" s="22"/>
      <c r="CI12" s="22"/>
      <c r="CJ12" s="22"/>
      <c r="CK12" s="22"/>
      <c r="CL12" s="22"/>
      <c r="CM12" s="22"/>
      <c r="CN12" s="22"/>
      <c r="CO12" s="22"/>
      <c r="CP12" s="22"/>
      <c r="CQ12" s="22"/>
      <c r="CR12" s="22"/>
      <c r="CS12" s="22"/>
      <c r="CT12" s="22"/>
      <c r="CU12" s="22"/>
      <c r="CV12" s="22"/>
      <c r="CW12" s="22"/>
      <c r="CX12" s="22"/>
      <c r="CY12" s="22"/>
      <c r="CZ12" s="22"/>
      <c r="DA12" s="22"/>
      <c r="DB12" s="22"/>
      <c r="DC12" s="22"/>
      <c r="DD12" s="22"/>
      <c r="DE12" s="22"/>
      <c r="DF12" s="22"/>
      <c r="DG12" s="22"/>
      <c r="DH12" s="22"/>
      <c r="DI12" s="22"/>
      <c r="DJ12" s="22"/>
      <c r="DK12" s="22"/>
      <c r="DL12" s="22"/>
      <c r="DM12" s="22"/>
      <c r="DN12" s="22"/>
      <c r="DO12" s="22"/>
      <c r="DP12" s="22"/>
      <c r="DQ12" s="22"/>
      <c r="DR12" s="22"/>
      <c r="DS12" s="22"/>
      <c r="DT12" s="22"/>
      <c r="DU12" s="22"/>
      <c r="DV12" s="22"/>
      <c r="DW12" s="22"/>
      <c r="DX12" s="22"/>
      <c r="DY12" s="22"/>
      <c r="DZ12" s="22"/>
      <c r="EA12" s="22"/>
      <c r="EB12" s="22"/>
      <c r="EC12" s="22"/>
      <c r="ED12" s="22"/>
      <c r="EE12" s="22"/>
      <c r="EF12" s="22"/>
      <c r="EG12" s="22"/>
      <c r="EH12" s="22"/>
      <c r="EI12" s="22"/>
      <c r="EJ12" s="22"/>
      <c r="EK12" s="22"/>
      <c r="EL12" s="22"/>
      <c r="EM12" s="22"/>
      <c r="EN12" s="22"/>
      <c r="EO12" s="22"/>
      <c r="EP12" s="22"/>
      <c r="EQ12" s="22"/>
      <c r="ER12" s="22"/>
      <c r="ES12" s="22"/>
    </row>
    <row r="13" customFormat="false" ht="15" hidden="false" customHeight="false" outlineLevel="0" collapsed="false">
      <c r="A13" s="2" t="s">
        <v>465</v>
      </c>
      <c r="B13" s="39" t="str">
        <f aca="false">IF(INDEX(Prod_Nombre,2)="","Producto 2 (unidades)",INDEX(Prod_Nombre,2)&amp;" (unidades)")</f>
        <v>Cajas metálicas 13 kg (unidades)</v>
      </c>
      <c r="C13" s="6" t="s">
        <v>286</v>
      </c>
      <c r="D13" s="10" t="n">
        <f aca="false">SUM(F13:ES13)</f>
        <v>0</v>
      </c>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c r="CH13" s="22"/>
      <c r="CI13" s="22"/>
      <c r="CJ13" s="22"/>
      <c r="CK13" s="22"/>
      <c r="CL13" s="22"/>
      <c r="CM13" s="22"/>
      <c r="CN13" s="22"/>
      <c r="CO13" s="22"/>
      <c r="CP13" s="22"/>
      <c r="CQ13" s="22"/>
      <c r="CR13" s="22"/>
      <c r="CS13" s="22"/>
      <c r="CT13" s="22"/>
      <c r="CU13" s="22"/>
      <c r="CV13" s="22"/>
      <c r="CW13" s="22"/>
      <c r="CX13" s="22"/>
      <c r="CY13" s="22"/>
      <c r="CZ13" s="22"/>
      <c r="DA13" s="22"/>
      <c r="DB13" s="22"/>
      <c r="DC13" s="22"/>
      <c r="DD13" s="22"/>
      <c r="DE13" s="22"/>
      <c r="DF13" s="22"/>
      <c r="DG13" s="22"/>
      <c r="DH13" s="22"/>
      <c r="DI13" s="22"/>
      <c r="DJ13" s="22"/>
      <c r="DK13" s="22"/>
      <c r="DL13" s="22"/>
      <c r="DM13" s="22"/>
      <c r="DN13" s="22"/>
      <c r="DO13" s="22"/>
      <c r="DP13" s="22"/>
      <c r="DQ13" s="22"/>
      <c r="DR13" s="22"/>
      <c r="DS13" s="22"/>
      <c r="DT13" s="22"/>
      <c r="DU13" s="22"/>
      <c r="DV13" s="22"/>
      <c r="DW13" s="22"/>
      <c r="DX13" s="22"/>
      <c r="DY13" s="22"/>
      <c r="DZ13" s="22"/>
      <c r="EA13" s="22"/>
      <c r="EB13" s="22"/>
      <c r="EC13" s="22"/>
      <c r="ED13" s="22"/>
      <c r="EE13" s="22"/>
      <c r="EF13" s="22"/>
      <c r="EG13" s="22"/>
      <c r="EH13" s="22"/>
      <c r="EI13" s="22"/>
      <c r="EJ13" s="22"/>
      <c r="EK13" s="22"/>
      <c r="EL13" s="22"/>
      <c r="EM13" s="22"/>
      <c r="EN13" s="22"/>
      <c r="EO13" s="22"/>
      <c r="EP13" s="22"/>
      <c r="EQ13" s="22"/>
      <c r="ER13" s="22"/>
      <c r="ES13" s="22"/>
    </row>
    <row r="14" customFormat="false" ht="15" hidden="false" customHeight="false" outlineLevel="0" collapsed="false">
      <c r="A14" s="2" t="s">
        <v>466</v>
      </c>
      <c r="B14" s="39" t="str">
        <f aca="false">IF(INDEX(Prod_Nombre,3)="","Producto 3 (unidades)",INDEX(Prod_Nombre,3)&amp;" (unidades)")</f>
        <v>Producto 3 (unidades)</v>
      </c>
      <c r="C14" s="6" t="s">
        <v>286</v>
      </c>
      <c r="D14" s="10" t="n">
        <f aca="false">SUM(F14:ES14)</f>
        <v>0</v>
      </c>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c r="BN14" s="22"/>
      <c r="BO14" s="22"/>
      <c r="BP14" s="22"/>
      <c r="BQ14" s="22"/>
      <c r="BR14" s="22"/>
      <c r="BS14" s="22"/>
      <c r="BT14" s="22"/>
      <c r="BU14" s="22"/>
      <c r="BV14" s="22"/>
      <c r="BW14" s="22"/>
      <c r="BX14" s="22"/>
      <c r="BY14" s="22"/>
      <c r="BZ14" s="22"/>
      <c r="CA14" s="22"/>
      <c r="CB14" s="22"/>
      <c r="CC14" s="22"/>
      <c r="CD14" s="22"/>
      <c r="CE14" s="22"/>
      <c r="CF14" s="22"/>
      <c r="CG14" s="22"/>
      <c r="CH14" s="22"/>
      <c r="CI14" s="22"/>
      <c r="CJ14" s="22"/>
      <c r="CK14" s="22"/>
      <c r="CL14" s="22"/>
      <c r="CM14" s="22"/>
      <c r="CN14" s="22"/>
      <c r="CO14" s="22"/>
      <c r="CP14" s="22"/>
      <c r="CQ14" s="22"/>
      <c r="CR14" s="22"/>
      <c r="CS14" s="22"/>
      <c r="CT14" s="22"/>
      <c r="CU14" s="22"/>
      <c r="CV14" s="22"/>
      <c r="CW14" s="22"/>
      <c r="CX14" s="22"/>
      <c r="CY14" s="22"/>
      <c r="CZ14" s="22"/>
      <c r="DA14" s="22"/>
      <c r="DB14" s="22"/>
      <c r="DC14" s="22"/>
      <c r="DD14" s="22"/>
      <c r="DE14" s="22"/>
      <c r="DF14" s="22"/>
      <c r="DG14" s="22"/>
      <c r="DH14" s="22"/>
      <c r="DI14" s="22"/>
      <c r="DJ14" s="22"/>
      <c r="DK14" s="22"/>
      <c r="DL14" s="22"/>
      <c r="DM14" s="22"/>
      <c r="DN14" s="22"/>
      <c r="DO14" s="22"/>
      <c r="DP14" s="22"/>
      <c r="DQ14" s="22"/>
      <c r="DR14" s="22"/>
      <c r="DS14" s="22"/>
      <c r="DT14" s="22"/>
      <c r="DU14" s="22"/>
      <c r="DV14" s="22"/>
      <c r="DW14" s="22"/>
      <c r="DX14" s="22"/>
      <c r="DY14" s="22"/>
      <c r="DZ14" s="22"/>
      <c r="EA14" s="22"/>
      <c r="EB14" s="22"/>
      <c r="EC14" s="22"/>
      <c r="ED14" s="22"/>
      <c r="EE14" s="22"/>
      <c r="EF14" s="22"/>
      <c r="EG14" s="22"/>
      <c r="EH14" s="22"/>
      <c r="EI14" s="22"/>
      <c r="EJ14" s="22"/>
      <c r="EK14" s="22"/>
      <c r="EL14" s="22"/>
      <c r="EM14" s="22"/>
      <c r="EN14" s="22"/>
      <c r="EO14" s="22"/>
      <c r="EP14" s="22"/>
      <c r="EQ14" s="22"/>
      <c r="ER14" s="22"/>
      <c r="ES14" s="22"/>
    </row>
    <row r="15" customFormat="false" ht="15" hidden="false" customHeight="false" outlineLevel="0" collapsed="false">
      <c r="A15" s="2" t="s">
        <v>467</v>
      </c>
      <c r="B15" s="39" t="str">
        <f aca="false">IF(INDEX(Prod_Nombre,4)="","Producto 4 (unidades)",INDEX(Prod_Nombre,4)&amp;" (unidades)")</f>
        <v>Producto 4 (unidades)</v>
      </c>
      <c r="C15" s="6" t="s">
        <v>286</v>
      </c>
      <c r="D15" s="10" t="n">
        <f aca="false">SUM(F15:ES15)</f>
        <v>0</v>
      </c>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c r="BN15" s="22"/>
      <c r="BO15" s="22"/>
      <c r="BP15" s="22"/>
      <c r="BQ15" s="22"/>
      <c r="BR15" s="22"/>
      <c r="BS15" s="22"/>
      <c r="BT15" s="22"/>
      <c r="BU15" s="22"/>
      <c r="BV15" s="22"/>
      <c r="BW15" s="22"/>
      <c r="BX15" s="22"/>
      <c r="BY15" s="22"/>
      <c r="BZ15" s="22"/>
      <c r="CA15" s="22"/>
      <c r="CB15" s="22"/>
      <c r="CC15" s="22"/>
      <c r="CD15" s="22"/>
      <c r="CE15" s="22"/>
      <c r="CF15" s="22"/>
      <c r="CG15" s="22"/>
      <c r="CH15" s="22"/>
      <c r="CI15" s="22"/>
      <c r="CJ15" s="22"/>
      <c r="CK15" s="22"/>
      <c r="CL15" s="22"/>
      <c r="CM15" s="22"/>
      <c r="CN15" s="22"/>
      <c r="CO15" s="22"/>
      <c r="CP15" s="22"/>
      <c r="CQ15" s="22"/>
      <c r="CR15" s="22"/>
      <c r="CS15" s="22"/>
      <c r="CT15" s="22"/>
      <c r="CU15" s="22"/>
      <c r="CV15" s="22"/>
      <c r="CW15" s="22"/>
      <c r="CX15" s="22"/>
      <c r="CY15" s="22"/>
      <c r="CZ15" s="22"/>
      <c r="DA15" s="22"/>
      <c r="DB15" s="22"/>
      <c r="DC15" s="22"/>
      <c r="DD15" s="22"/>
      <c r="DE15" s="22"/>
      <c r="DF15" s="22"/>
      <c r="DG15" s="22"/>
      <c r="DH15" s="22"/>
      <c r="DI15" s="22"/>
      <c r="DJ15" s="22"/>
      <c r="DK15" s="22"/>
      <c r="DL15" s="22"/>
      <c r="DM15" s="22"/>
      <c r="DN15" s="22"/>
      <c r="DO15" s="22"/>
      <c r="DP15" s="22"/>
      <c r="DQ15" s="22"/>
      <c r="DR15" s="22"/>
      <c r="DS15" s="22"/>
      <c r="DT15" s="22"/>
      <c r="DU15" s="22"/>
      <c r="DV15" s="22"/>
      <c r="DW15" s="22"/>
      <c r="DX15" s="22"/>
      <c r="DY15" s="22"/>
      <c r="DZ15" s="22"/>
      <c r="EA15" s="22"/>
      <c r="EB15" s="22"/>
      <c r="EC15" s="22"/>
      <c r="ED15" s="22"/>
      <c r="EE15" s="22"/>
      <c r="EF15" s="22"/>
      <c r="EG15" s="22"/>
      <c r="EH15" s="22"/>
      <c r="EI15" s="22"/>
      <c r="EJ15" s="22"/>
      <c r="EK15" s="22"/>
      <c r="EL15" s="22"/>
      <c r="EM15" s="22"/>
      <c r="EN15" s="22"/>
      <c r="EO15" s="22"/>
      <c r="EP15" s="22"/>
      <c r="EQ15" s="22"/>
      <c r="ER15" s="22"/>
      <c r="ES15" s="22"/>
    </row>
    <row r="16" customFormat="false" ht="15" hidden="false" customHeight="false" outlineLevel="0" collapsed="false">
      <c r="A16" s="2" t="s">
        <v>468</v>
      </c>
      <c r="B16" s="39" t="str">
        <f aca="false">IF(INDEX(Prod_Nombre,5)="","Producto 5 (unidades)",INDEX(Prod_Nombre,5)&amp;" (unidades)")</f>
        <v>Producto 5 (unidades)</v>
      </c>
      <c r="C16" s="6" t="s">
        <v>286</v>
      </c>
      <c r="D16" s="10" t="n">
        <f aca="false">SUM(F16:ES16)</f>
        <v>0</v>
      </c>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c r="BN16" s="22"/>
      <c r="BO16" s="22"/>
      <c r="BP16" s="22"/>
      <c r="BQ16" s="22"/>
      <c r="BR16" s="22"/>
      <c r="BS16" s="22"/>
      <c r="BT16" s="22"/>
      <c r="BU16" s="22"/>
      <c r="BV16" s="22"/>
      <c r="BW16" s="22"/>
      <c r="BX16" s="22"/>
      <c r="BY16" s="22"/>
      <c r="BZ16" s="22"/>
      <c r="CA16" s="22"/>
      <c r="CB16" s="22"/>
      <c r="CC16" s="22"/>
      <c r="CD16" s="22"/>
      <c r="CE16" s="22"/>
      <c r="CF16" s="22"/>
      <c r="CG16" s="22"/>
      <c r="CH16" s="22"/>
      <c r="CI16" s="22"/>
      <c r="CJ16" s="22"/>
      <c r="CK16" s="22"/>
      <c r="CL16" s="22"/>
      <c r="CM16" s="22"/>
      <c r="CN16" s="22"/>
      <c r="CO16" s="22"/>
      <c r="CP16" s="22"/>
      <c r="CQ16" s="22"/>
      <c r="CR16" s="22"/>
      <c r="CS16" s="22"/>
      <c r="CT16" s="22"/>
      <c r="CU16" s="22"/>
      <c r="CV16" s="22"/>
      <c r="CW16" s="22"/>
      <c r="CX16" s="22"/>
      <c r="CY16" s="22"/>
      <c r="CZ16" s="22"/>
      <c r="DA16" s="22"/>
      <c r="DB16" s="22"/>
      <c r="DC16" s="22"/>
      <c r="DD16" s="22"/>
      <c r="DE16" s="22"/>
      <c r="DF16" s="22"/>
      <c r="DG16" s="22"/>
      <c r="DH16" s="22"/>
      <c r="DI16" s="22"/>
      <c r="DJ16" s="22"/>
      <c r="DK16" s="22"/>
      <c r="DL16" s="22"/>
      <c r="DM16" s="22"/>
      <c r="DN16" s="22"/>
      <c r="DO16" s="22"/>
      <c r="DP16" s="22"/>
      <c r="DQ16" s="22"/>
      <c r="DR16" s="22"/>
      <c r="DS16" s="22"/>
      <c r="DT16" s="22"/>
      <c r="DU16" s="22"/>
      <c r="DV16" s="22"/>
      <c r="DW16" s="22"/>
      <c r="DX16" s="22"/>
      <c r="DY16" s="22"/>
      <c r="DZ16" s="22"/>
      <c r="EA16" s="22"/>
      <c r="EB16" s="22"/>
      <c r="EC16" s="22"/>
      <c r="ED16" s="22"/>
      <c r="EE16" s="22"/>
      <c r="EF16" s="22"/>
      <c r="EG16" s="22"/>
      <c r="EH16" s="22"/>
      <c r="EI16" s="22"/>
      <c r="EJ16" s="22"/>
      <c r="EK16" s="22"/>
      <c r="EL16" s="22"/>
      <c r="EM16" s="22"/>
      <c r="EN16" s="22"/>
      <c r="EO16" s="22"/>
      <c r="EP16" s="22"/>
      <c r="EQ16" s="22"/>
      <c r="ER16" s="22"/>
      <c r="ES16" s="22"/>
    </row>
    <row r="17" customFormat="false" ht="15" hidden="false" customHeight="false" outlineLevel="0" collapsed="false">
      <c r="A17" s="2" t="s">
        <v>469</v>
      </c>
      <c r="B17" s="39" t="str">
        <f aca="false">IF(INDEX(Prod_Nombre,6)="","Producto 6 (unidades)",INDEX(Prod_Nombre,6)&amp;" (unidades)")</f>
        <v>Producto 6 (unidades)</v>
      </c>
      <c r="C17" s="6" t="s">
        <v>286</v>
      </c>
      <c r="D17" s="10" t="n">
        <f aca="false">SUM(F17:ES17)</f>
        <v>0</v>
      </c>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c r="BN17" s="22"/>
      <c r="BO17" s="22"/>
      <c r="BP17" s="22"/>
      <c r="BQ17" s="22"/>
      <c r="BR17" s="22"/>
      <c r="BS17" s="22"/>
      <c r="BT17" s="22"/>
      <c r="BU17" s="22"/>
      <c r="BV17" s="22"/>
      <c r="BW17" s="22"/>
      <c r="BX17" s="22"/>
      <c r="BY17" s="22"/>
      <c r="BZ17" s="22"/>
      <c r="CA17" s="22"/>
      <c r="CB17" s="22"/>
      <c r="CC17" s="22"/>
      <c r="CD17" s="22"/>
      <c r="CE17" s="22"/>
      <c r="CF17" s="22"/>
      <c r="CG17" s="22"/>
      <c r="CH17" s="22"/>
      <c r="CI17" s="22"/>
      <c r="CJ17" s="22"/>
      <c r="CK17" s="22"/>
      <c r="CL17" s="22"/>
      <c r="CM17" s="22"/>
      <c r="CN17" s="22"/>
      <c r="CO17" s="22"/>
      <c r="CP17" s="22"/>
      <c r="CQ17" s="22"/>
      <c r="CR17" s="22"/>
      <c r="CS17" s="22"/>
      <c r="CT17" s="22"/>
      <c r="CU17" s="22"/>
      <c r="CV17" s="22"/>
      <c r="CW17" s="22"/>
      <c r="CX17" s="22"/>
      <c r="CY17" s="22"/>
      <c r="CZ17" s="22"/>
      <c r="DA17" s="22"/>
      <c r="DB17" s="22"/>
      <c r="DC17" s="22"/>
      <c r="DD17" s="22"/>
      <c r="DE17" s="22"/>
      <c r="DF17" s="22"/>
      <c r="DG17" s="22"/>
      <c r="DH17" s="22"/>
      <c r="DI17" s="22"/>
      <c r="DJ17" s="22"/>
      <c r="DK17" s="22"/>
      <c r="DL17" s="22"/>
      <c r="DM17" s="22"/>
      <c r="DN17" s="22"/>
      <c r="DO17" s="22"/>
      <c r="DP17" s="22"/>
      <c r="DQ17" s="22"/>
      <c r="DR17" s="22"/>
      <c r="DS17" s="22"/>
      <c r="DT17" s="22"/>
      <c r="DU17" s="22"/>
      <c r="DV17" s="22"/>
      <c r="DW17" s="22"/>
      <c r="DX17" s="22"/>
      <c r="DY17" s="22"/>
      <c r="DZ17" s="22"/>
      <c r="EA17" s="22"/>
      <c r="EB17" s="22"/>
      <c r="EC17" s="22"/>
      <c r="ED17" s="22"/>
      <c r="EE17" s="22"/>
      <c r="EF17" s="22"/>
      <c r="EG17" s="22"/>
      <c r="EH17" s="22"/>
      <c r="EI17" s="22"/>
      <c r="EJ17" s="22"/>
      <c r="EK17" s="22"/>
      <c r="EL17" s="22"/>
      <c r="EM17" s="22"/>
      <c r="EN17" s="22"/>
      <c r="EO17" s="22"/>
      <c r="EP17" s="22"/>
      <c r="EQ17" s="22"/>
      <c r="ER17" s="22"/>
      <c r="ES17" s="22"/>
    </row>
    <row r="18" customFormat="false" ht="15" hidden="false" customHeight="false" outlineLevel="0" collapsed="false">
      <c r="A18" s="2" t="s">
        <v>470</v>
      </c>
      <c r="B18" s="39" t="str">
        <f aca="false">IF(INDEX(Prod_Nombre,7)="","Producto 7 (unidades)",INDEX(Prod_Nombre,7)&amp;" (unidades)")</f>
        <v>Producto 7 (unidades)</v>
      </c>
      <c r="C18" s="6" t="s">
        <v>286</v>
      </c>
      <c r="D18" s="10" t="n">
        <f aca="false">SUM(F18:ES18)</f>
        <v>0</v>
      </c>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c r="BN18" s="22"/>
      <c r="BO18" s="22"/>
      <c r="BP18" s="22"/>
      <c r="BQ18" s="22"/>
      <c r="BR18" s="22"/>
      <c r="BS18" s="22"/>
      <c r="BT18" s="22"/>
      <c r="BU18" s="22"/>
      <c r="BV18" s="22"/>
      <c r="BW18" s="22"/>
      <c r="BX18" s="22"/>
      <c r="BY18" s="22"/>
      <c r="BZ18" s="22"/>
      <c r="CA18" s="22"/>
      <c r="CB18" s="22"/>
      <c r="CC18" s="22"/>
      <c r="CD18" s="22"/>
      <c r="CE18" s="22"/>
      <c r="CF18" s="22"/>
      <c r="CG18" s="22"/>
      <c r="CH18" s="22"/>
      <c r="CI18" s="22"/>
      <c r="CJ18" s="22"/>
      <c r="CK18" s="22"/>
      <c r="CL18" s="22"/>
      <c r="CM18" s="22"/>
      <c r="CN18" s="22"/>
      <c r="CO18" s="22"/>
      <c r="CP18" s="22"/>
      <c r="CQ18" s="22"/>
      <c r="CR18" s="22"/>
      <c r="CS18" s="22"/>
      <c r="CT18" s="22"/>
      <c r="CU18" s="22"/>
      <c r="CV18" s="22"/>
      <c r="CW18" s="22"/>
      <c r="CX18" s="22"/>
      <c r="CY18" s="22"/>
      <c r="CZ18" s="22"/>
      <c r="DA18" s="22"/>
      <c r="DB18" s="22"/>
      <c r="DC18" s="22"/>
      <c r="DD18" s="22"/>
      <c r="DE18" s="22"/>
      <c r="DF18" s="22"/>
      <c r="DG18" s="22"/>
      <c r="DH18" s="22"/>
      <c r="DI18" s="22"/>
      <c r="DJ18" s="22"/>
      <c r="DK18" s="22"/>
      <c r="DL18" s="22"/>
      <c r="DM18" s="22"/>
      <c r="DN18" s="22"/>
      <c r="DO18" s="22"/>
      <c r="DP18" s="22"/>
      <c r="DQ18" s="22"/>
      <c r="DR18" s="22"/>
      <c r="DS18" s="22"/>
      <c r="DT18" s="22"/>
      <c r="DU18" s="22"/>
      <c r="DV18" s="22"/>
      <c r="DW18" s="22"/>
      <c r="DX18" s="22"/>
      <c r="DY18" s="22"/>
      <c r="DZ18" s="22"/>
      <c r="EA18" s="22"/>
      <c r="EB18" s="22"/>
      <c r="EC18" s="22"/>
      <c r="ED18" s="22"/>
      <c r="EE18" s="22"/>
      <c r="EF18" s="22"/>
      <c r="EG18" s="22"/>
      <c r="EH18" s="22"/>
      <c r="EI18" s="22"/>
      <c r="EJ18" s="22"/>
      <c r="EK18" s="22"/>
      <c r="EL18" s="22"/>
      <c r="EM18" s="22"/>
      <c r="EN18" s="22"/>
      <c r="EO18" s="22"/>
      <c r="EP18" s="22"/>
      <c r="EQ18" s="22"/>
      <c r="ER18" s="22"/>
      <c r="ES18" s="22"/>
    </row>
    <row r="19" customFormat="false" ht="15" hidden="false" customHeight="false" outlineLevel="0" collapsed="false">
      <c r="A19" s="2" t="s">
        <v>471</v>
      </c>
      <c r="B19" s="39" t="str">
        <f aca="false">IF(INDEX(Prod_Nombre,8)="","Producto 8 (unidades)",INDEX(Prod_Nombre,8)&amp;" (unidades)")</f>
        <v>Producto 8 (unidades)</v>
      </c>
      <c r="C19" s="6" t="s">
        <v>286</v>
      </c>
      <c r="D19" s="10" t="n">
        <f aca="false">SUM(F19:ES19)</f>
        <v>0</v>
      </c>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c r="BN19" s="22"/>
      <c r="BO19" s="22"/>
      <c r="BP19" s="22"/>
      <c r="BQ19" s="22"/>
      <c r="BR19" s="22"/>
      <c r="BS19" s="22"/>
      <c r="BT19" s="22"/>
      <c r="BU19" s="22"/>
      <c r="BV19" s="22"/>
      <c r="BW19" s="22"/>
      <c r="BX19" s="22"/>
      <c r="BY19" s="22"/>
      <c r="BZ19" s="22"/>
      <c r="CA19" s="22"/>
      <c r="CB19" s="22"/>
      <c r="CC19" s="22"/>
      <c r="CD19" s="22"/>
      <c r="CE19" s="22"/>
      <c r="CF19" s="22"/>
      <c r="CG19" s="22"/>
      <c r="CH19" s="22"/>
      <c r="CI19" s="22"/>
      <c r="CJ19" s="22"/>
      <c r="CK19" s="22"/>
      <c r="CL19" s="22"/>
      <c r="CM19" s="22"/>
      <c r="CN19" s="22"/>
      <c r="CO19" s="22"/>
      <c r="CP19" s="22"/>
      <c r="CQ19" s="22"/>
      <c r="CR19" s="22"/>
      <c r="CS19" s="22"/>
      <c r="CT19" s="22"/>
      <c r="CU19" s="22"/>
      <c r="CV19" s="22"/>
      <c r="CW19" s="22"/>
      <c r="CX19" s="22"/>
      <c r="CY19" s="22"/>
      <c r="CZ19" s="22"/>
      <c r="DA19" s="22"/>
      <c r="DB19" s="22"/>
      <c r="DC19" s="22"/>
      <c r="DD19" s="22"/>
      <c r="DE19" s="22"/>
      <c r="DF19" s="22"/>
      <c r="DG19" s="22"/>
      <c r="DH19" s="22"/>
      <c r="DI19" s="22"/>
      <c r="DJ19" s="22"/>
      <c r="DK19" s="22"/>
      <c r="DL19" s="22"/>
      <c r="DM19" s="22"/>
      <c r="DN19" s="22"/>
      <c r="DO19" s="22"/>
      <c r="DP19" s="22"/>
      <c r="DQ19" s="22"/>
      <c r="DR19" s="22"/>
      <c r="DS19" s="22"/>
      <c r="DT19" s="22"/>
      <c r="DU19" s="22"/>
      <c r="DV19" s="22"/>
      <c r="DW19" s="22"/>
      <c r="DX19" s="22"/>
      <c r="DY19" s="22"/>
      <c r="DZ19" s="22"/>
      <c r="EA19" s="22"/>
      <c r="EB19" s="22"/>
      <c r="EC19" s="22"/>
      <c r="ED19" s="22"/>
      <c r="EE19" s="22"/>
      <c r="EF19" s="22"/>
      <c r="EG19" s="22"/>
      <c r="EH19" s="22"/>
      <c r="EI19" s="22"/>
      <c r="EJ19" s="22"/>
      <c r="EK19" s="22"/>
      <c r="EL19" s="22"/>
      <c r="EM19" s="22"/>
      <c r="EN19" s="22"/>
      <c r="EO19" s="22"/>
      <c r="EP19" s="22"/>
      <c r="EQ19" s="22"/>
      <c r="ER19" s="22"/>
      <c r="ES19" s="22"/>
    </row>
    <row r="20" customFormat="false" ht="15" hidden="false" customHeight="false" outlineLevel="0" collapsed="false">
      <c r="A20" s="2" t="s">
        <v>472</v>
      </c>
      <c r="B20" s="39" t="str">
        <f aca="false">IF(INDEX(Prod_Nombre,9)="","Producto 9 (unidades)",INDEX(Prod_Nombre,9)&amp;" (unidades)")</f>
        <v>Producto 9 (unidades)</v>
      </c>
      <c r="C20" s="6" t="s">
        <v>286</v>
      </c>
      <c r="D20" s="10" t="n">
        <f aca="false">SUM(F20:ES20)</f>
        <v>0</v>
      </c>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c r="BN20" s="22"/>
      <c r="BO20" s="22"/>
      <c r="BP20" s="22"/>
      <c r="BQ20" s="22"/>
      <c r="BR20" s="22"/>
      <c r="BS20" s="22"/>
      <c r="BT20" s="22"/>
      <c r="BU20" s="22"/>
      <c r="BV20" s="22"/>
      <c r="BW20" s="22"/>
      <c r="BX20" s="22"/>
      <c r="BY20" s="22"/>
      <c r="BZ20" s="22"/>
      <c r="CA20" s="22"/>
      <c r="CB20" s="22"/>
      <c r="CC20" s="22"/>
      <c r="CD20" s="22"/>
      <c r="CE20" s="22"/>
      <c r="CF20" s="22"/>
      <c r="CG20" s="22"/>
      <c r="CH20" s="22"/>
      <c r="CI20" s="22"/>
      <c r="CJ20" s="22"/>
      <c r="CK20" s="22"/>
      <c r="CL20" s="22"/>
      <c r="CM20" s="22"/>
      <c r="CN20" s="22"/>
      <c r="CO20" s="22"/>
      <c r="CP20" s="22"/>
      <c r="CQ20" s="22"/>
      <c r="CR20" s="22"/>
      <c r="CS20" s="22"/>
      <c r="CT20" s="22"/>
      <c r="CU20" s="22"/>
      <c r="CV20" s="22"/>
      <c r="CW20" s="22"/>
      <c r="CX20" s="22"/>
      <c r="CY20" s="22"/>
      <c r="CZ20" s="22"/>
      <c r="DA20" s="22"/>
      <c r="DB20" s="22"/>
      <c r="DC20" s="22"/>
      <c r="DD20" s="22"/>
      <c r="DE20" s="22"/>
      <c r="DF20" s="22"/>
      <c r="DG20" s="22"/>
      <c r="DH20" s="22"/>
      <c r="DI20" s="22"/>
      <c r="DJ20" s="22"/>
      <c r="DK20" s="22"/>
      <c r="DL20" s="22"/>
      <c r="DM20" s="22"/>
      <c r="DN20" s="22"/>
      <c r="DO20" s="22"/>
      <c r="DP20" s="22"/>
      <c r="DQ20" s="22"/>
      <c r="DR20" s="22"/>
      <c r="DS20" s="22"/>
      <c r="DT20" s="22"/>
      <c r="DU20" s="22"/>
      <c r="DV20" s="22"/>
      <c r="DW20" s="22"/>
      <c r="DX20" s="22"/>
      <c r="DY20" s="22"/>
      <c r="DZ20" s="22"/>
      <c r="EA20" s="22"/>
      <c r="EB20" s="22"/>
      <c r="EC20" s="22"/>
      <c r="ED20" s="22"/>
      <c r="EE20" s="22"/>
      <c r="EF20" s="22"/>
      <c r="EG20" s="22"/>
      <c r="EH20" s="22"/>
      <c r="EI20" s="22"/>
      <c r="EJ20" s="22"/>
      <c r="EK20" s="22"/>
      <c r="EL20" s="22"/>
      <c r="EM20" s="22"/>
      <c r="EN20" s="22"/>
      <c r="EO20" s="22"/>
      <c r="EP20" s="22"/>
      <c r="EQ20" s="22"/>
      <c r="ER20" s="22"/>
      <c r="ES20" s="22"/>
    </row>
    <row r="21" customFormat="false" ht="15" hidden="false" customHeight="false" outlineLevel="0" collapsed="false">
      <c r="A21" s="2" t="s">
        <v>473</v>
      </c>
      <c r="B21" s="39" t="str">
        <f aca="false">IF(INDEX(Prod_Nombre,10)="","Producto 10 (unidades)",INDEX(Prod_Nombre,10)&amp;" (unidades)")</f>
        <v>Producto 10 (unidades)</v>
      </c>
      <c r="C21" s="6" t="s">
        <v>286</v>
      </c>
      <c r="D21" s="10" t="n">
        <f aca="false">SUM(F21:ES21)</f>
        <v>0</v>
      </c>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c r="BN21" s="22"/>
      <c r="BO21" s="22"/>
      <c r="BP21" s="22"/>
      <c r="BQ21" s="22"/>
      <c r="BR21" s="22"/>
      <c r="BS21" s="22"/>
      <c r="BT21" s="22"/>
      <c r="BU21" s="22"/>
      <c r="BV21" s="22"/>
      <c r="BW21" s="22"/>
      <c r="BX21" s="22"/>
      <c r="BY21" s="22"/>
      <c r="BZ21" s="22"/>
      <c r="CA21" s="22"/>
      <c r="CB21" s="22"/>
      <c r="CC21" s="22"/>
      <c r="CD21" s="22"/>
      <c r="CE21" s="22"/>
      <c r="CF21" s="22"/>
      <c r="CG21" s="22"/>
      <c r="CH21" s="22"/>
      <c r="CI21" s="22"/>
      <c r="CJ21" s="22"/>
      <c r="CK21" s="22"/>
      <c r="CL21" s="22"/>
      <c r="CM21" s="22"/>
      <c r="CN21" s="22"/>
      <c r="CO21" s="22"/>
      <c r="CP21" s="22"/>
      <c r="CQ21" s="22"/>
      <c r="CR21" s="22"/>
      <c r="CS21" s="22"/>
      <c r="CT21" s="22"/>
      <c r="CU21" s="22"/>
      <c r="CV21" s="22"/>
      <c r="CW21" s="22"/>
      <c r="CX21" s="22"/>
      <c r="CY21" s="22"/>
      <c r="CZ21" s="22"/>
      <c r="DA21" s="22"/>
      <c r="DB21" s="22"/>
      <c r="DC21" s="22"/>
      <c r="DD21" s="22"/>
      <c r="DE21" s="22"/>
      <c r="DF21" s="22"/>
      <c r="DG21" s="22"/>
      <c r="DH21" s="22"/>
      <c r="DI21" s="22"/>
      <c r="DJ21" s="22"/>
      <c r="DK21" s="22"/>
      <c r="DL21" s="22"/>
      <c r="DM21" s="22"/>
      <c r="DN21" s="22"/>
      <c r="DO21" s="22"/>
      <c r="DP21" s="22"/>
      <c r="DQ21" s="22"/>
      <c r="DR21" s="22"/>
      <c r="DS21" s="22"/>
      <c r="DT21" s="22"/>
      <c r="DU21" s="22"/>
      <c r="DV21" s="22"/>
      <c r="DW21" s="22"/>
      <c r="DX21" s="22"/>
      <c r="DY21" s="22"/>
      <c r="DZ21" s="22"/>
      <c r="EA21" s="22"/>
      <c r="EB21" s="22"/>
      <c r="EC21" s="22"/>
      <c r="ED21" s="22"/>
      <c r="EE21" s="22"/>
      <c r="EF21" s="22"/>
      <c r="EG21" s="22"/>
      <c r="EH21" s="22"/>
      <c r="EI21" s="22"/>
      <c r="EJ21" s="22"/>
      <c r="EK21" s="22"/>
      <c r="EL21" s="22"/>
      <c r="EM21" s="22"/>
      <c r="EN21" s="22"/>
      <c r="EO21" s="22"/>
      <c r="EP21" s="22"/>
      <c r="EQ21" s="22"/>
      <c r="ER21" s="22"/>
      <c r="ES21" s="22"/>
    </row>
    <row r="22" customFormat="false" ht="15" hidden="false" customHeight="false" outlineLevel="0" collapsed="false">
      <c r="A22" s="2" t="s">
        <v>474</v>
      </c>
      <c r="B22" s="39" t="str">
        <f aca="false">IF(INDEX(Prod_Nombre,11)="","Producto 11 (unidades)",INDEX(Prod_Nombre,11)&amp;" (unidades)")</f>
        <v>Producto 11 (unidades)</v>
      </c>
      <c r="C22" s="6" t="s">
        <v>286</v>
      </c>
      <c r="D22" s="10" t="n">
        <f aca="false">SUM(F22:ES22)</f>
        <v>0</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c r="BN22" s="22"/>
      <c r="BO22" s="22"/>
      <c r="BP22" s="22"/>
      <c r="BQ22" s="22"/>
      <c r="BR22" s="22"/>
      <c r="BS22" s="22"/>
      <c r="BT22" s="22"/>
      <c r="BU22" s="22"/>
      <c r="BV22" s="22"/>
      <c r="BW22" s="22"/>
      <c r="BX22" s="22"/>
      <c r="BY22" s="22"/>
      <c r="BZ22" s="22"/>
      <c r="CA22" s="22"/>
      <c r="CB22" s="22"/>
      <c r="CC22" s="22"/>
      <c r="CD22" s="22"/>
      <c r="CE22" s="22"/>
      <c r="CF22" s="22"/>
      <c r="CG22" s="22"/>
      <c r="CH22" s="22"/>
      <c r="CI22" s="22"/>
      <c r="CJ22" s="22"/>
      <c r="CK22" s="22"/>
      <c r="CL22" s="22"/>
      <c r="CM22" s="22"/>
      <c r="CN22" s="22"/>
      <c r="CO22" s="22"/>
      <c r="CP22" s="22"/>
      <c r="CQ22" s="22"/>
      <c r="CR22" s="22"/>
      <c r="CS22" s="22"/>
      <c r="CT22" s="22"/>
      <c r="CU22" s="22"/>
      <c r="CV22" s="22"/>
      <c r="CW22" s="22"/>
      <c r="CX22" s="22"/>
      <c r="CY22" s="22"/>
      <c r="CZ22" s="22"/>
      <c r="DA22" s="22"/>
      <c r="DB22" s="22"/>
      <c r="DC22" s="22"/>
      <c r="DD22" s="22"/>
      <c r="DE22" s="22"/>
      <c r="DF22" s="22"/>
      <c r="DG22" s="22"/>
      <c r="DH22" s="22"/>
      <c r="DI22" s="22"/>
      <c r="DJ22" s="22"/>
      <c r="DK22" s="22"/>
      <c r="DL22" s="22"/>
      <c r="DM22" s="22"/>
      <c r="DN22" s="22"/>
      <c r="DO22" s="22"/>
      <c r="DP22" s="22"/>
      <c r="DQ22" s="22"/>
      <c r="DR22" s="22"/>
      <c r="DS22" s="22"/>
      <c r="DT22" s="22"/>
      <c r="DU22" s="22"/>
      <c r="DV22" s="22"/>
      <c r="DW22" s="22"/>
      <c r="DX22" s="22"/>
      <c r="DY22" s="22"/>
      <c r="DZ22" s="22"/>
      <c r="EA22" s="22"/>
      <c r="EB22" s="22"/>
      <c r="EC22" s="22"/>
      <c r="ED22" s="22"/>
      <c r="EE22" s="22"/>
      <c r="EF22" s="22"/>
      <c r="EG22" s="22"/>
      <c r="EH22" s="22"/>
      <c r="EI22" s="22"/>
      <c r="EJ22" s="22"/>
      <c r="EK22" s="22"/>
      <c r="EL22" s="22"/>
      <c r="EM22" s="22"/>
      <c r="EN22" s="22"/>
      <c r="EO22" s="22"/>
      <c r="EP22" s="22"/>
      <c r="EQ22" s="22"/>
      <c r="ER22" s="22"/>
      <c r="ES22" s="22"/>
    </row>
    <row r="23" customFormat="false" ht="15" hidden="false" customHeight="false" outlineLevel="0" collapsed="false">
      <c r="A23" s="2" t="s">
        <v>475</v>
      </c>
      <c r="B23" s="39" t="str">
        <f aca="false">IF(INDEX(Prod_Nombre,12)="","Producto 12 (unidades)",INDEX(Prod_Nombre,12)&amp;" (unidades)")</f>
        <v>Producto 12 (unidades)</v>
      </c>
      <c r="C23" s="6" t="s">
        <v>286</v>
      </c>
      <c r="D23" s="10" t="n">
        <f aca="false">SUM(F23:ES23)</f>
        <v>0</v>
      </c>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c r="BN23" s="22"/>
      <c r="BO23" s="22"/>
      <c r="BP23" s="22"/>
      <c r="BQ23" s="22"/>
      <c r="BR23" s="22"/>
      <c r="BS23" s="22"/>
      <c r="BT23" s="22"/>
      <c r="BU23" s="22"/>
      <c r="BV23" s="22"/>
      <c r="BW23" s="22"/>
      <c r="BX23" s="22"/>
      <c r="BY23" s="22"/>
      <c r="BZ23" s="22"/>
      <c r="CA23" s="22"/>
      <c r="CB23" s="22"/>
      <c r="CC23" s="22"/>
      <c r="CD23" s="22"/>
      <c r="CE23" s="22"/>
      <c r="CF23" s="22"/>
      <c r="CG23" s="22"/>
      <c r="CH23" s="22"/>
      <c r="CI23" s="22"/>
      <c r="CJ23" s="22"/>
      <c r="CK23" s="22"/>
      <c r="CL23" s="22"/>
      <c r="CM23" s="22"/>
      <c r="CN23" s="22"/>
      <c r="CO23" s="22"/>
      <c r="CP23" s="22"/>
      <c r="CQ23" s="22"/>
      <c r="CR23" s="22"/>
      <c r="CS23" s="22"/>
      <c r="CT23" s="22"/>
      <c r="CU23" s="22"/>
      <c r="CV23" s="22"/>
      <c r="CW23" s="22"/>
      <c r="CX23" s="22"/>
      <c r="CY23" s="22"/>
      <c r="CZ23" s="22"/>
      <c r="DA23" s="22"/>
      <c r="DB23" s="22"/>
      <c r="DC23" s="22"/>
      <c r="DD23" s="22"/>
      <c r="DE23" s="22"/>
      <c r="DF23" s="22"/>
      <c r="DG23" s="22"/>
      <c r="DH23" s="22"/>
      <c r="DI23" s="22"/>
      <c r="DJ23" s="22"/>
      <c r="DK23" s="22"/>
      <c r="DL23" s="22"/>
      <c r="DM23" s="22"/>
      <c r="DN23" s="22"/>
      <c r="DO23" s="22"/>
      <c r="DP23" s="22"/>
      <c r="DQ23" s="22"/>
      <c r="DR23" s="22"/>
      <c r="DS23" s="22"/>
      <c r="DT23" s="22"/>
      <c r="DU23" s="22"/>
      <c r="DV23" s="22"/>
      <c r="DW23" s="22"/>
      <c r="DX23" s="22"/>
      <c r="DY23" s="22"/>
      <c r="DZ23" s="22"/>
      <c r="EA23" s="22"/>
      <c r="EB23" s="22"/>
      <c r="EC23" s="22"/>
      <c r="ED23" s="22"/>
      <c r="EE23" s="22"/>
      <c r="EF23" s="22"/>
      <c r="EG23" s="22"/>
      <c r="EH23" s="22"/>
      <c r="EI23" s="22"/>
      <c r="EJ23" s="22"/>
      <c r="EK23" s="22"/>
      <c r="EL23" s="22"/>
      <c r="EM23" s="22"/>
      <c r="EN23" s="22"/>
      <c r="EO23" s="22"/>
      <c r="EP23" s="22"/>
      <c r="EQ23" s="22"/>
      <c r="ER23" s="22"/>
      <c r="ES23" s="22"/>
    </row>
    <row r="24" customFormat="false" ht="15" hidden="false" customHeight="false" outlineLevel="0" collapsed="false">
      <c r="A24" s="2" t="s">
        <v>476</v>
      </c>
      <c r="B24" s="39" t="str">
        <f aca="false">IF(INDEX(Prod_Nombre,13)="","Producto 13 (unidades)",INDEX(Prod_Nombre,13)&amp;" (unidades)")</f>
        <v>Producto 13 (unidades)</v>
      </c>
      <c r="C24" s="6" t="s">
        <v>286</v>
      </c>
      <c r="D24" s="10" t="n">
        <f aca="false">SUM(F24:ES24)</f>
        <v>0</v>
      </c>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c r="BN24" s="22"/>
      <c r="BO24" s="22"/>
      <c r="BP24" s="22"/>
      <c r="BQ24" s="22"/>
      <c r="BR24" s="22"/>
      <c r="BS24" s="22"/>
      <c r="BT24" s="22"/>
      <c r="BU24" s="22"/>
      <c r="BV24" s="22"/>
      <c r="BW24" s="22"/>
      <c r="BX24" s="22"/>
      <c r="BY24" s="22"/>
      <c r="BZ24" s="22"/>
      <c r="CA24" s="22"/>
      <c r="CB24" s="22"/>
      <c r="CC24" s="22"/>
      <c r="CD24" s="22"/>
      <c r="CE24" s="22"/>
      <c r="CF24" s="22"/>
      <c r="CG24" s="22"/>
      <c r="CH24" s="22"/>
      <c r="CI24" s="22"/>
      <c r="CJ24" s="22"/>
      <c r="CK24" s="22"/>
      <c r="CL24" s="22"/>
      <c r="CM24" s="22"/>
      <c r="CN24" s="22"/>
      <c r="CO24" s="22"/>
      <c r="CP24" s="22"/>
      <c r="CQ24" s="22"/>
      <c r="CR24" s="22"/>
      <c r="CS24" s="22"/>
      <c r="CT24" s="22"/>
      <c r="CU24" s="22"/>
      <c r="CV24" s="22"/>
      <c r="CW24" s="22"/>
      <c r="CX24" s="22"/>
      <c r="CY24" s="22"/>
      <c r="CZ24" s="22"/>
      <c r="DA24" s="22"/>
      <c r="DB24" s="22"/>
      <c r="DC24" s="22"/>
      <c r="DD24" s="22"/>
      <c r="DE24" s="22"/>
      <c r="DF24" s="22"/>
      <c r="DG24" s="22"/>
      <c r="DH24" s="22"/>
      <c r="DI24" s="22"/>
      <c r="DJ24" s="22"/>
      <c r="DK24" s="22"/>
      <c r="DL24" s="22"/>
      <c r="DM24" s="22"/>
      <c r="DN24" s="22"/>
      <c r="DO24" s="22"/>
      <c r="DP24" s="22"/>
      <c r="DQ24" s="22"/>
      <c r="DR24" s="22"/>
      <c r="DS24" s="22"/>
      <c r="DT24" s="22"/>
      <c r="DU24" s="22"/>
      <c r="DV24" s="22"/>
      <c r="DW24" s="22"/>
      <c r="DX24" s="22"/>
      <c r="DY24" s="22"/>
      <c r="DZ24" s="22"/>
      <c r="EA24" s="22"/>
      <c r="EB24" s="22"/>
      <c r="EC24" s="22"/>
      <c r="ED24" s="22"/>
      <c r="EE24" s="22"/>
      <c r="EF24" s="22"/>
      <c r="EG24" s="22"/>
      <c r="EH24" s="22"/>
      <c r="EI24" s="22"/>
      <c r="EJ24" s="22"/>
      <c r="EK24" s="22"/>
      <c r="EL24" s="22"/>
      <c r="EM24" s="22"/>
      <c r="EN24" s="22"/>
      <c r="EO24" s="22"/>
      <c r="EP24" s="22"/>
      <c r="EQ24" s="22"/>
      <c r="ER24" s="22"/>
      <c r="ES24" s="22"/>
    </row>
    <row r="25" customFormat="false" ht="15" hidden="false" customHeight="false" outlineLevel="0" collapsed="false">
      <c r="A25" s="2" t="s">
        <v>477</v>
      </c>
      <c r="B25" s="39" t="str">
        <f aca="false">IF(INDEX(Prod_Nombre,14)="","Producto 14 (unidades)",INDEX(Prod_Nombre,14)&amp;" (unidades)")</f>
        <v>Producto 14 (unidades)</v>
      </c>
      <c r="C25" s="6" t="s">
        <v>286</v>
      </c>
      <c r="D25" s="10" t="n">
        <f aca="false">SUM(F25:ES25)</f>
        <v>0</v>
      </c>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c r="BN25" s="22"/>
      <c r="BO25" s="22"/>
      <c r="BP25" s="22"/>
      <c r="BQ25" s="22"/>
      <c r="BR25" s="22"/>
      <c r="BS25" s="22"/>
      <c r="BT25" s="22"/>
      <c r="BU25" s="22"/>
      <c r="BV25" s="22"/>
      <c r="BW25" s="22"/>
      <c r="BX25" s="22"/>
      <c r="BY25" s="22"/>
      <c r="BZ25" s="22"/>
      <c r="CA25" s="22"/>
      <c r="CB25" s="22"/>
      <c r="CC25" s="22"/>
      <c r="CD25" s="22"/>
      <c r="CE25" s="22"/>
      <c r="CF25" s="22"/>
      <c r="CG25" s="22"/>
      <c r="CH25" s="22"/>
      <c r="CI25" s="22"/>
      <c r="CJ25" s="22"/>
      <c r="CK25" s="22"/>
      <c r="CL25" s="22"/>
      <c r="CM25" s="22"/>
      <c r="CN25" s="22"/>
      <c r="CO25" s="22"/>
      <c r="CP25" s="22"/>
      <c r="CQ25" s="22"/>
      <c r="CR25" s="22"/>
      <c r="CS25" s="22"/>
      <c r="CT25" s="22"/>
      <c r="CU25" s="22"/>
      <c r="CV25" s="22"/>
      <c r="CW25" s="22"/>
      <c r="CX25" s="22"/>
      <c r="CY25" s="22"/>
      <c r="CZ25" s="22"/>
      <c r="DA25" s="22"/>
      <c r="DB25" s="22"/>
      <c r="DC25" s="22"/>
      <c r="DD25" s="22"/>
      <c r="DE25" s="22"/>
      <c r="DF25" s="22"/>
      <c r="DG25" s="22"/>
      <c r="DH25" s="22"/>
      <c r="DI25" s="22"/>
      <c r="DJ25" s="22"/>
      <c r="DK25" s="22"/>
      <c r="DL25" s="22"/>
      <c r="DM25" s="22"/>
      <c r="DN25" s="22"/>
      <c r="DO25" s="22"/>
      <c r="DP25" s="22"/>
      <c r="DQ25" s="22"/>
      <c r="DR25" s="22"/>
      <c r="DS25" s="22"/>
      <c r="DT25" s="22"/>
      <c r="DU25" s="22"/>
      <c r="DV25" s="22"/>
      <c r="DW25" s="22"/>
      <c r="DX25" s="22"/>
      <c r="DY25" s="22"/>
      <c r="DZ25" s="22"/>
      <c r="EA25" s="22"/>
      <c r="EB25" s="22"/>
      <c r="EC25" s="22"/>
      <c r="ED25" s="22"/>
      <c r="EE25" s="22"/>
      <c r="EF25" s="22"/>
      <c r="EG25" s="22"/>
      <c r="EH25" s="22"/>
      <c r="EI25" s="22"/>
      <c r="EJ25" s="22"/>
      <c r="EK25" s="22"/>
      <c r="EL25" s="22"/>
      <c r="EM25" s="22"/>
      <c r="EN25" s="22"/>
      <c r="EO25" s="22"/>
      <c r="EP25" s="22"/>
      <c r="EQ25" s="22"/>
      <c r="ER25" s="22"/>
      <c r="ES25" s="22"/>
    </row>
    <row r="26" customFormat="false" ht="15" hidden="false" customHeight="false" outlineLevel="0" collapsed="false">
      <c r="A26" s="2" t="s">
        <v>478</v>
      </c>
      <c r="B26" s="39" t="str">
        <f aca="false">IF(INDEX(Prod_Nombre,15)="","Producto 15 (unidades)",INDEX(Prod_Nombre,15)&amp;" (unidades)")</f>
        <v>Producto 15 (unidades)</v>
      </c>
      <c r="C26" s="6" t="s">
        <v>286</v>
      </c>
      <c r="D26" s="10" t="n">
        <f aca="false">SUM(F26:ES26)</f>
        <v>0</v>
      </c>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c r="BP26" s="22"/>
      <c r="BQ26" s="22"/>
      <c r="BR26" s="22"/>
      <c r="BS26" s="22"/>
      <c r="BT26" s="22"/>
      <c r="BU26" s="22"/>
      <c r="BV26" s="22"/>
      <c r="BW26" s="22"/>
      <c r="BX26" s="22"/>
      <c r="BY26" s="22"/>
      <c r="BZ26" s="22"/>
      <c r="CA26" s="22"/>
      <c r="CB26" s="22"/>
      <c r="CC26" s="22"/>
      <c r="CD26" s="22"/>
      <c r="CE26" s="22"/>
      <c r="CF26" s="22"/>
      <c r="CG26" s="22"/>
      <c r="CH26" s="22"/>
      <c r="CI26" s="22"/>
      <c r="CJ26" s="22"/>
      <c r="CK26" s="22"/>
      <c r="CL26" s="22"/>
      <c r="CM26" s="22"/>
      <c r="CN26" s="22"/>
      <c r="CO26" s="22"/>
      <c r="CP26" s="22"/>
      <c r="CQ26" s="22"/>
      <c r="CR26" s="22"/>
      <c r="CS26" s="22"/>
      <c r="CT26" s="22"/>
      <c r="CU26" s="22"/>
      <c r="CV26" s="22"/>
      <c r="CW26" s="22"/>
      <c r="CX26" s="22"/>
      <c r="CY26" s="22"/>
      <c r="CZ26" s="22"/>
      <c r="DA26" s="22"/>
      <c r="DB26" s="22"/>
      <c r="DC26" s="22"/>
      <c r="DD26" s="22"/>
      <c r="DE26" s="22"/>
      <c r="DF26" s="22"/>
      <c r="DG26" s="22"/>
      <c r="DH26" s="22"/>
      <c r="DI26" s="22"/>
      <c r="DJ26" s="22"/>
      <c r="DK26" s="22"/>
      <c r="DL26" s="22"/>
      <c r="DM26" s="22"/>
      <c r="DN26" s="22"/>
      <c r="DO26" s="22"/>
      <c r="DP26" s="22"/>
      <c r="DQ26" s="22"/>
      <c r="DR26" s="22"/>
      <c r="DS26" s="22"/>
      <c r="DT26" s="22"/>
      <c r="DU26" s="22"/>
      <c r="DV26" s="22"/>
      <c r="DW26" s="22"/>
      <c r="DX26" s="22"/>
      <c r="DY26" s="22"/>
      <c r="DZ26" s="22"/>
      <c r="EA26" s="22"/>
      <c r="EB26" s="22"/>
      <c r="EC26" s="22"/>
      <c r="ED26" s="22"/>
      <c r="EE26" s="22"/>
      <c r="EF26" s="22"/>
      <c r="EG26" s="22"/>
      <c r="EH26" s="22"/>
      <c r="EI26" s="22"/>
      <c r="EJ26" s="22"/>
      <c r="EK26" s="22"/>
      <c r="EL26" s="22"/>
      <c r="EM26" s="22"/>
      <c r="EN26" s="22"/>
      <c r="EO26" s="22"/>
      <c r="EP26" s="22"/>
      <c r="EQ26" s="22"/>
      <c r="ER26" s="22"/>
      <c r="ES26" s="22"/>
    </row>
    <row r="27" customFormat="false" ht="15" hidden="false" customHeight="false" outlineLevel="0" collapsed="false">
      <c r="A27" s="2" t="s">
        <v>479</v>
      </c>
      <c r="B27" s="39" t="str">
        <f aca="false">IF(INDEX(Prod_Nombre,16)="","Producto 16 (unidades)",INDEX(Prod_Nombre,16)&amp;" (unidades)")</f>
        <v>Producto 16 (unidades)</v>
      </c>
      <c r="C27" s="6" t="s">
        <v>286</v>
      </c>
      <c r="D27" s="10" t="n">
        <f aca="false">SUM(F27:ES27)</f>
        <v>0</v>
      </c>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c r="CH27" s="22"/>
      <c r="CI27" s="22"/>
      <c r="CJ27" s="22"/>
      <c r="CK27" s="22"/>
      <c r="CL27" s="22"/>
      <c r="CM27" s="22"/>
      <c r="CN27" s="22"/>
      <c r="CO27" s="22"/>
      <c r="CP27" s="22"/>
      <c r="CQ27" s="22"/>
      <c r="CR27" s="22"/>
      <c r="CS27" s="22"/>
      <c r="CT27" s="22"/>
      <c r="CU27" s="22"/>
      <c r="CV27" s="22"/>
      <c r="CW27" s="22"/>
      <c r="CX27" s="22"/>
      <c r="CY27" s="22"/>
      <c r="CZ27" s="22"/>
      <c r="DA27" s="22"/>
      <c r="DB27" s="22"/>
      <c r="DC27" s="22"/>
      <c r="DD27" s="22"/>
      <c r="DE27" s="22"/>
      <c r="DF27" s="22"/>
      <c r="DG27" s="22"/>
      <c r="DH27" s="22"/>
      <c r="DI27" s="22"/>
      <c r="DJ27" s="22"/>
      <c r="DK27" s="22"/>
      <c r="DL27" s="22"/>
      <c r="DM27" s="22"/>
      <c r="DN27" s="22"/>
      <c r="DO27" s="22"/>
      <c r="DP27" s="22"/>
      <c r="DQ27" s="22"/>
      <c r="DR27" s="22"/>
      <c r="DS27" s="22"/>
      <c r="DT27" s="22"/>
      <c r="DU27" s="22"/>
      <c r="DV27" s="22"/>
      <c r="DW27" s="22"/>
      <c r="DX27" s="22"/>
      <c r="DY27" s="22"/>
      <c r="DZ27" s="22"/>
      <c r="EA27" s="22"/>
      <c r="EB27" s="22"/>
      <c r="EC27" s="22"/>
      <c r="ED27" s="22"/>
      <c r="EE27" s="22"/>
      <c r="EF27" s="22"/>
      <c r="EG27" s="22"/>
      <c r="EH27" s="22"/>
      <c r="EI27" s="22"/>
      <c r="EJ27" s="22"/>
      <c r="EK27" s="22"/>
      <c r="EL27" s="22"/>
      <c r="EM27" s="22"/>
      <c r="EN27" s="22"/>
      <c r="EO27" s="22"/>
      <c r="EP27" s="22"/>
      <c r="EQ27" s="22"/>
      <c r="ER27" s="22"/>
      <c r="ES27" s="22"/>
    </row>
    <row r="28" customFormat="false" ht="15" hidden="false" customHeight="false" outlineLevel="0" collapsed="false">
      <c r="A28" s="2" t="s">
        <v>480</v>
      </c>
      <c r="B28" s="39" t="str">
        <f aca="false">IF(INDEX(Prod_Nombre,17)="","Producto 17 (unidades)",INDEX(Prod_Nombre,17)&amp;" (unidades)")</f>
        <v>Producto 17 (unidades)</v>
      </c>
      <c r="C28" s="6" t="s">
        <v>286</v>
      </c>
      <c r="D28" s="10" t="n">
        <f aca="false">SUM(F28:ES28)</f>
        <v>0</v>
      </c>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c r="CH28" s="22"/>
      <c r="CI28" s="22"/>
      <c r="CJ28" s="22"/>
      <c r="CK28" s="22"/>
      <c r="CL28" s="22"/>
      <c r="CM28" s="22"/>
      <c r="CN28" s="22"/>
      <c r="CO28" s="22"/>
      <c r="CP28" s="22"/>
      <c r="CQ28" s="22"/>
      <c r="CR28" s="22"/>
      <c r="CS28" s="22"/>
      <c r="CT28" s="22"/>
      <c r="CU28" s="22"/>
      <c r="CV28" s="22"/>
      <c r="CW28" s="22"/>
      <c r="CX28" s="22"/>
      <c r="CY28" s="22"/>
      <c r="CZ28" s="22"/>
      <c r="DA28" s="22"/>
      <c r="DB28" s="22"/>
      <c r="DC28" s="22"/>
      <c r="DD28" s="22"/>
      <c r="DE28" s="22"/>
      <c r="DF28" s="22"/>
      <c r="DG28" s="22"/>
      <c r="DH28" s="22"/>
      <c r="DI28" s="22"/>
      <c r="DJ28" s="22"/>
      <c r="DK28" s="22"/>
      <c r="DL28" s="22"/>
      <c r="DM28" s="22"/>
      <c r="DN28" s="22"/>
      <c r="DO28" s="22"/>
      <c r="DP28" s="22"/>
      <c r="DQ28" s="22"/>
      <c r="DR28" s="22"/>
      <c r="DS28" s="22"/>
      <c r="DT28" s="22"/>
      <c r="DU28" s="22"/>
      <c r="DV28" s="22"/>
      <c r="DW28" s="22"/>
      <c r="DX28" s="22"/>
      <c r="DY28" s="22"/>
      <c r="DZ28" s="22"/>
      <c r="EA28" s="22"/>
      <c r="EB28" s="22"/>
      <c r="EC28" s="22"/>
      <c r="ED28" s="22"/>
      <c r="EE28" s="22"/>
      <c r="EF28" s="22"/>
      <c r="EG28" s="22"/>
      <c r="EH28" s="22"/>
      <c r="EI28" s="22"/>
      <c r="EJ28" s="22"/>
      <c r="EK28" s="22"/>
      <c r="EL28" s="22"/>
      <c r="EM28" s="22"/>
      <c r="EN28" s="22"/>
      <c r="EO28" s="22"/>
      <c r="EP28" s="22"/>
      <c r="EQ28" s="22"/>
      <c r="ER28" s="22"/>
      <c r="ES28" s="22"/>
    </row>
    <row r="29" customFormat="false" ht="15" hidden="false" customHeight="false" outlineLevel="0" collapsed="false">
      <c r="A29" s="2" t="s">
        <v>481</v>
      </c>
      <c r="B29" s="39" t="str">
        <f aca="false">IF(INDEX(Prod_Nombre,18)="","Producto 18 (unidades)",INDEX(Prod_Nombre,18)&amp;" (unidades)")</f>
        <v>Producto 18 (unidades)</v>
      </c>
      <c r="C29" s="6" t="s">
        <v>286</v>
      </c>
      <c r="D29" s="10" t="n">
        <f aca="false">SUM(F29:ES29)</f>
        <v>0</v>
      </c>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c r="CH29" s="22"/>
      <c r="CI29" s="22"/>
      <c r="CJ29" s="22"/>
      <c r="CK29" s="22"/>
      <c r="CL29" s="22"/>
      <c r="CM29" s="22"/>
      <c r="CN29" s="22"/>
      <c r="CO29" s="22"/>
      <c r="CP29" s="22"/>
      <c r="CQ29" s="22"/>
      <c r="CR29" s="22"/>
      <c r="CS29" s="22"/>
      <c r="CT29" s="22"/>
      <c r="CU29" s="22"/>
      <c r="CV29" s="22"/>
      <c r="CW29" s="22"/>
      <c r="CX29" s="22"/>
      <c r="CY29" s="22"/>
      <c r="CZ29" s="22"/>
      <c r="DA29" s="22"/>
      <c r="DB29" s="22"/>
      <c r="DC29" s="22"/>
      <c r="DD29" s="22"/>
      <c r="DE29" s="22"/>
      <c r="DF29" s="22"/>
      <c r="DG29" s="22"/>
      <c r="DH29" s="22"/>
      <c r="DI29" s="22"/>
      <c r="DJ29" s="22"/>
      <c r="DK29" s="22"/>
      <c r="DL29" s="22"/>
      <c r="DM29" s="22"/>
      <c r="DN29" s="22"/>
      <c r="DO29" s="22"/>
      <c r="DP29" s="22"/>
      <c r="DQ29" s="22"/>
      <c r="DR29" s="22"/>
      <c r="DS29" s="22"/>
      <c r="DT29" s="22"/>
      <c r="DU29" s="22"/>
      <c r="DV29" s="22"/>
      <c r="DW29" s="22"/>
      <c r="DX29" s="22"/>
      <c r="DY29" s="22"/>
      <c r="DZ29" s="22"/>
      <c r="EA29" s="22"/>
      <c r="EB29" s="22"/>
      <c r="EC29" s="22"/>
      <c r="ED29" s="22"/>
      <c r="EE29" s="22"/>
      <c r="EF29" s="22"/>
      <c r="EG29" s="22"/>
      <c r="EH29" s="22"/>
      <c r="EI29" s="22"/>
      <c r="EJ29" s="22"/>
      <c r="EK29" s="22"/>
      <c r="EL29" s="22"/>
      <c r="EM29" s="22"/>
      <c r="EN29" s="22"/>
      <c r="EO29" s="22"/>
      <c r="EP29" s="22"/>
      <c r="EQ29" s="22"/>
      <c r="ER29" s="22"/>
      <c r="ES29" s="22"/>
    </row>
    <row r="30" customFormat="false" ht="15" hidden="false" customHeight="false" outlineLevel="0" collapsed="false">
      <c r="A30" s="2" t="s">
        <v>482</v>
      </c>
      <c r="B30" s="39" t="str">
        <f aca="false">IF(INDEX(Prod_Nombre,19)="","Producto 19 (unidades)",INDEX(Prod_Nombre,19)&amp;" (unidades)")</f>
        <v>Producto 19 (unidades)</v>
      </c>
      <c r="C30" s="6" t="s">
        <v>286</v>
      </c>
      <c r="D30" s="10" t="n">
        <f aca="false">SUM(F30:ES30)</f>
        <v>0</v>
      </c>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c r="CH30" s="22"/>
      <c r="CI30" s="22"/>
      <c r="CJ30" s="22"/>
      <c r="CK30" s="22"/>
      <c r="CL30" s="22"/>
      <c r="CM30" s="22"/>
      <c r="CN30" s="22"/>
      <c r="CO30" s="22"/>
      <c r="CP30" s="22"/>
      <c r="CQ30" s="22"/>
      <c r="CR30" s="22"/>
      <c r="CS30" s="22"/>
      <c r="CT30" s="22"/>
      <c r="CU30" s="22"/>
      <c r="CV30" s="22"/>
      <c r="CW30" s="22"/>
      <c r="CX30" s="22"/>
      <c r="CY30" s="22"/>
      <c r="CZ30" s="22"/>
      <c r="DA30" s="22"/>
      <c r="DB30" s="22"/>
      <c r="DC30" s="22"/>
      <c r="DD30" s="22"/>
      <c r="DE30" s="22"/>
      <c r="DF30" s="22"/>
      <c r="DG30" s="22"/>
      <c r="DH30" s="22"/>
      <c r="DI30" s="22"/>
      <c r="DJ30" s="22"/>
      <c r="DK30" s="22"/>
      <c r="DL30" s="22"/>
      <c r="DM30" s="22"/>
      <c r="DN30" s="22"/>
      <c r="DO30" s="22"/>
      <c r="DP30" s="22"/>
      <c r="DQ30" s="22"/>
      <c r="DR30" s="22"/>
      <c r="DS30" s="22"/>
      <c r="DT30" s="22"/>
      <c r="DU30" s="22"/>
      <c r="DV30" s="22"/>
      <c r="DW30" s="22"/>
      <c r="DX30" s="22"/>
      <c r="DY30" s="22"/>
      <c r="DZ30" s="22"/>
      <c r="EA30" s="22"/>
      <c r="EB30" s="22"/>
      <c r="EC30" s="22"/>
      <c r="ED30" s="22"/>
      <c r="EE30" s="22"/>
      <c r="EF30" s="22"/>
      <c r="EG30" s="22"/>
      <c r="EH30" s="22"/>
      <c r="EI30" s="22"/>
      <c r="EJ30" s="22"/>
      <c r="EK30" s="22"/>
      <c r="EL30" s="22"/>
      <c r="EM30" s="22"/>
      <c r="EN30" s="22"/>
      <c r="EO30" s="22"/>
      <c r="EP30" s="22"/>
      <c r="EQ30" s="22"/>
      <c r="ER30" s="22"/>
      <c r="ES30" s="22"/>
    </row>
    <row r="31" customFormat="false" ht="15" hidden="false" customHeight="false" outlineLevel="0" collapsed="false">
      <c r="A31" s="2" t="s">
        <v>483</v>
      </c>
      <c r="B31" s="39" t="str">
        <f aca="false">IF(INDEX(Prod_Nombre,20)="","Producto 20 (unidades)",INDEX(Prod_Nombre,20)&amp;" (unidades)")</f>
        <v>Producto 20 (unidades)</v>
      </c>
      <c r="C31" s="6" t="s">
        <v>286</v>
      </c>
      <c r="D31" s="10" t="n">
        <f aca="false">SUM(F31:ES31)</f>
        <v>0</v>
      </c>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c r="CH31" s="22"/>
      <c r="CI31" s="22"/>
      <c r="CJ31" s="22"/>
      <c r="CK31" s="22"/>
      <c r="CL31" s="22"/>
      <c r="CM31" s="22"/>
      <c r="CN31" s="22"/>
      <c r="CO31" s="22"/>
      <c r="CP31" s="22"/>
      <c r="CQ31" s="22"/>
      <c r="CR31" s="22"/>
      <c r="CS31" s="22"/>
      <c r="CT31" s="22"/>
      <c r="CU31" s="22"/>
      <c r="CV31" s="22"/>
      <c r="CW31" s="22"/>
      <c r="CX31" s="22"/>
      <c r="CY31" s="22"/>
      <c r="CZ31" s="22"/>
      <c r="DA31" s="22"/>
      <c r="DB31" s="22"/>
      <c r="DC31" s="22"/>
      <c r="DD31" s="22"/>
      <c r="DE31" s="22"/>
      <c r="DF31" s="22"/>
      <c r="DG31" s="22"/>
      <c r="DH31" s="22"/>
      <c r="DI31" s="22"/>
      <c r="DJ31" s="22"/>
      <c r="DK31" s="22"/>
      <c r="DL31" s="22"/>
      <c r="DM31" s="22"/>
      <c r="DN31" s="22"/>
      <c r="DO31" s="22"/>
      <c r="DP31" s="22"/>
      <c r="DQ31" s="22"/>
      <c r="DR31" s="22"/>
      <c r="DS31" s="22"/>
      <c r="DT31" s="22"/>
      <c r="DU31" s="22"/>
      <c r="DV31" s="22"/>
      <c r="DW31" s="22"/>
      <c r="DX31" s="22"/>
      <c r="DY31" s="22"/>
      <c r="DZ31" s="22"/>
      <c r="EA31" s="22"/>
      <c r="EB31" s="22"/>
      <c r="EC31" s="22"/>
      <c r="ED31" s="22"/>
      <c r="EE31" s="22"/>
      <c r="EF31" s="22"/>
      <c r="EG31" s="22"/>
      <c r="EH31" s="22"/>
      <c r="EI31" s="22"/>
      <c r="EJ31" s="22"/>
      <c r="EK31" s="22"/>
      <c r="EL31" s="22"/>
      <c r="EM31" s="22"/>
      <c r="EN31" s="22"/>
      <c r="EO31" s="22"/>
      <c r="EP31" s="22"/>
      <c r="EQ31" s="22"/>
      <c r="ER31" s="22"/>
      <c r="ES31" s="22"/>
    </row>
    <row r="32" customFormat="false" ht="15" hidden="false" customHeight="false" outlineLevel="0" collapsed="false">
      <c r="A32" s="2" t="s">
        <v>484</v>
      </c>
      <c r="B32" s="39" t="str">
        <f aca="false">IF(INDEX(Prod_Nombre,21)="","Producto 21 (unidades)",INDEX(Prod_Nombre,21)&amp;" (unidades)")</f>
        <v>Producto 21 (unidades)</v>
      </c>
      <c r="C32" s="6" t="s">
        <v>286</v>
      </c>
      <c r="D32" s="10" t="n">
        <f aca="false">SUM(F32:ES32)</f>
        <v>0</v>
      </c>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c r="CH32" s="22"/>
      <c r="CI32" s="22"/>
      <c r="CJ32" s="22"/>
      <c r="CK32" s="22"/>
      <c r="CL32" s="22"/>
      <c r="CM32" s="22"/>
      <c r="CN32" s="22"/>
      <c r="CO32" s="22"/>
      <c r="CP32" s="22"/>
      <c r="CQ32" s="22"/>
      <c r="CR32" s="22"/>
      <c r="CS32" s="22"/>
      <c r="CT32" s="22"/>
      <c r="CU32" s="22"/>
      <c r="CV32" s="22"/>
      <c r="CW32" s="22"/>
      <c r="CX32" s="22"/>
      <c r="CY32" s="22"/>
      <c r="CZ32" s="22"/>
      <c r="DA32" s="22"/>
      <c r="DB32" s="22"/>
      <c r="DC32" s="22"/>
      <c r="DD32" s="22"/>
      <c r="DE32" s="22"/>
      <c r="DF32" s="22"/>
      <c r="DG32" s="22"/>
      <c r="DH32" s="22"/>
      <c r="DI32" s="22"/>
      <c r="DJ32" s="22"/>
      <c r="DK32" s="22"/>
      <c r="DL32" s="22"/>
      <c r="DM32" s="22"/>
      <c r="DN32" s="22"/>
      <c r="DO32" s="22"/>
      <c r="DP32" s="22"/>
      <c r="DQ32" s="22"/>
      <c r="DR32" s="22"/>
      <c r="DS32" s="22"/>
      <c r="DT32" s="22"/>
      <c r="DU32" s="22"/>
      <c r="DV32" s="22"/>
      <c r="DW32" s="22"/>
      <c r="DX32" s="22"/>
      <c r="DY32" s="22"/>
      <c r="DZ32" s="22"/>
      <c r="EA32" s="22"/>
      <c r="EB32" s="22"/>
      <c r="EC32" s="22"/>
      <c r="ED32" s="22"/>
      <c r="EE32" s="22"/>
      <c r="EF32" s="22"/>
      <c r="EG32" s="22"/>
      <c r="EH32" s="22"/>
      <c r="EI32" s="22"/>
      <c r="EJ32" s="22"/>
      <c r="EK32" s="22"/>
      <c r="EL32" s="22"/>
      <c r="EM32" s="22"/>
      <c r="EN32" s="22"/>
      <c r="EO32" s="22"/>
      <c r="EP32" s="22"/>
      <c r="EQ32" s="22"/>
      <c r="ER32" s="22"/>
      <c r="ES32" s="22"/>
    </row>
    <row r="33" customFormat="false" ht="15" hidden="false" customHeight="false" outlineLevel="0" collapsed="false">
      <c r="A33" s="2" t="s">
        <v>485</v>
      </c>
      <c r="B33" s="39" t="str">
        <f aca="false">IF(INDEX(Prod_Nombre,22)="","Producto 22 (unidades)",INDEX(Prod_Nombre,22)&amp;" (unidades)")</f>
        <v>Producto 22 (unidades)</v>
      </c>
      <c r="C33" s="6" t="s">
        <v>286</v>
      </c>
      <c r="D33" s="10" t="n">
        <f aca="false">SUM(F33:ES33)</f>
        <v>0</v>
      </c>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c r="CH33" s="22"/>
      <c r="CI33" s="22"/>
      <c r="CJ33" s="22"/>
      <c r="CK33" s="22"/>
      <c r="CL33" s="22"/>
      <c r="CM33" s="22"/>
      <c r="CN33" s="22"/>
      <c r="CO33" s="22"/>
      <c r="CP33" s="22"/>
      <c r="CQ33" s="22"/>
      <c r="CR33" s="22"/>
      <c r="CS33" s="22"/>
      <c r="CT33" s="22"/>
      <c r="CU33" s="22"/>
      <c r="CV33" s="22"/>
      <c r="CW33" s="22"/>
      <c r="CX33" s="22"/>
      <c r="CY33" s="22"/>
      <c r="CZ33" s="22"/>
      <c r="DA33" s="22"/>
      <c r="DB33" s="22"/>
      <c r="DC33" s="22"/>
      <c r="DD33" s="22"/>
      <c r="DE33" s="22"/>
      <c r="DF33" s="22"/>
      <c r="DG33" s="22"/>
      <c r="DH33" s="22"/>
      <c r="DI33" s="22"/>
      <c r="DJ33" s="22"/>
      <c r="DK33" s="22"/>
      <c r="DL33" s="22"/>
      <c r="DM33" s="22"/>
      <c r="DN33" s="22"/>
      <c r="DO33" s="22"/>
      <c r="DP33" s="22"/>
      <c r="DQ33" s="22"/>
      <c r="DR33" s="22"/>
      <c r="DS33" s="22"/>
      <c r="DT33" s="22"/>
      <c r="DU33" s="22"/>
      <c r="DV33" s="22"/>
      <c r="DW33" s="22"/>
      <c r="DX33" s="22"/>
      <c r="DY33" s="22"/>
      <c r="DZ33" s="22"/>
      <c r="EA33" s="22"/>
      <c r="EB33" s="22"/>
      <c r="EC33" s="22"/>
      <c r="ED33" s="22"/>
      <c r="EE33" s="22"/>
      <c r="EF33" s="22"/>
      <c r="EG33" s="22"/>
      <c r="EH33" s="22"/>
      <c r="EI33" s="22"/>
      <c r="EJ33" s="22"/>
      <c r="EK33" s="22"/>
      <c r="EL33" s="22"/>
      <c r="EM33" s="22"/>
      <c r="EN33" s="22"/>
      <c r="EO33" s="22"/>
      <c r="EP33" s="22"/>
      <c r="EQ33" s="22"/>
      <c r="ER33" s="22"/>
      <c r="ES33" s="22"/>
    </row>
    <row r="34" customFormat="false" ht="15" hidden="false" customHeight="false" outlineLevel="0" collapsed="false">
      <c r="A34" s="2" t="s">
        <v>486</v>
      </c>
      <c r="B34" s="39" t="str">
        <f aca="false">IF(INDEX(Prod_Nombre,23)="","Producto 23 (unidades)",INDEX(Prod_Nombre,23)&amp;" (unidades)")</f>
        <v>Producto 23 (unidades)</v>
      </c>
      <c r="C34" s="6" t="s">
        <v>286</v>
      </c>
      <c r="D34" s="10" t="n">
        <f aca="false">SUM(F34:ES34)</f>
        <v>0</v>
      </c>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c r="CH34" s="22"/>
      <c r="CI34" s="22"/>
      <c r="CJ34" s="22"/>
      <c r="CK34" s="22"/>
      <c r="CL34" s="22"/>
      <c r="CM34" s="22"/>
      <c r="CN34" s="22"/>
      <c r="CO34" s="22"/>
      <c r="CP34" s="22"/>
      <c r="CQ34" s="22"/>
      <c r="CR34" s="22"/>
      <c r="CS34" s="22"/>
      <c r="CT34" s="22"/>
      <c r="CU34" s="22"/>
      <c r="CV34" s="22"/>
      <c r="CW34" s="22"/>
      <c r="CX34" s="22"/>
      <c r="CY34" s="22"/>
      <c r="CZ34" s="22"/>
      <c r="DA34" s="22"/>
      <c r="DB34" s="22"/>
      <c r="DC34" s="22"/>
      <c r="DD34" s="22"/>
      <c r="DE34" s="22"/>
      <c r="DF34" s="22"/>
      <c r="DG34" s="22"/>
      <c r="DH34" s="22"/>
      <c r="DI34" s="22"/>
      <c r="DJ34" s="22"/>
      <c r="DK34" s="22"/>
      <c r="DL34" s="22"/>
      <c r="DM34" s="22"/>
      <c r="DN34" s="22"/>
      <c r="DO34" s="22"/>
      <c r="DP34" s="22"/>
      <c r="DQ34" s="22"/>
      <c r="DR34" s="22"/>
      <c r="DS34" s="22"/>
      <c r="DT34" s="22"/>
      <c r="DU34" s="22"/>
      <c r="DV34" s="22"/>
      <c r="DW34" s="22"/>
      <c r="DX34" s="22"/>
      <c r="DY34" s="22"/>
      <c r="DZ34" s="22"/>
      <c r="EA34" s="22"/>
      <c r="EB34" s="22"/>
      <c r="EC34" s="22"/>
      <c r="ED34" s="22"/>
      <c r="EE34" s="22"/>
      <c r="EF34" s="22"/>
      <c r="EG34" s="22"/>
      <c r="EH34" s="22"/>
      <c r="EI34" s="22"/>
      <c r="EJ34" s="22"/>
      <c r="EK34" s="22"/>
      <c r="EL34" s="22"/>
      <c r="EM34" s="22"/>
      <c r="EN34" s="22"/>
      <c r="EO34" s="22"/>
      <c r="EP34" s="22"/>
      <c r="EQ34" s="22"/>
      <c r="ER34" s="22"/>
      <c r="ES34" s="22"/>
    </row>
    <row r="35" customFormat="false" ht="15" hidden="false" customHeight="false" outlineLevel="0" collapsed="false">
      <c r="A35" s="2" t="s">
        <v>487</v>
      </c>
      <c r="B35" s="39" t="str">
        <f aca="false">IF(INDEX(Prod_Nombre,24)="","Producto 24 (unidades)",INDEX(Prod_Nombre,24)&amp;" (unidades)")</f>
        <v>Producto 24 (unidades)</v>
      </c>
      <c r="C35" s="6" t="s">
        <v>286</v>
      </c>
      <c r="D35" s="10" t="n">
        <f aca="false">SUM(F35:ES35)</f>
        <v>0</v>
      </c>
      <c r="F35" s="22"/>
      <c r="G35" s="22"/>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c r="CH35" s="22"/>
      <c r="CI35" s="22"/>
      <c r="CJ35" s="22"/>
      <c r="CK35" s="22"/>
      <c r="CL35" s="22"/>
      <c r="CM35" s="22"/>
      <c r="CN35" s="22"/>
      <c r="CO35" s="22"/>
      <c r="CP35" s="22"/>
      <c r="CQ35" s="22"/>
      <c r="CR35" s="22"/>
      <c r="CS35" s="22"/>
      <c r="CT35" s="22"/>
      <c r="CU35" s="22"/>
      <c r="CV35" s="22"/>
      <c r="CW35" s="22"/>
      <c r="CX35" s="22"/>
      <c r="CY35" s="22"/>
      <c r="CZ35" s="22"/>
      <c r="DA35" s="22"/>
      <c r="DB35" s="22"/>
      <c r="DC35" s="22"/>
      <c r="DD35" s="22"/>
      <c r="DE35" s="22"/>
      <c r="DF35" s="22"/>
      <c r="DG35" s="22"/>
      <c r="DH35" s="22"/>
      <c r="DI35" s="22"/>
      <c r="DJ35" s="22"/>
      <c r="DK35" s="22"/>
      <c r="DL35" s="22"/>
      <c r="DM35" s="22"/>
      <c r="DN35" s="22"/>
      <c r="DO35" s="22"/>
      <c r="DP35" s="22"/>
      <c r="DQ35" s="22"/>
      <c r="DR35" s="22"/>
      <c r="DS35" s="22"/>
      <c r="DT35" s="22"/>
      <c r="DU35" s="22"/>
      <c r="DV35" s="22"/>
      <c r="DW35" s="22"/>
      <c r="DX35" s="22"/>
      <c r="DY35" s="22"/>
      <c r="DZ35" s="22"/>
      <c r="EA35" s="22"/>
      <c r="EB35" s="22"/>
      <c r="EC35" s="22"/>
      <c r="ED35" s="22"/>
      <c r="EE35" s="22"/>
      <c r="EF35" s="22"/>
      <c r="EG35" s="22"/>
      <c r="EH35" s="22"/>
      <c r="EI35" s="22"/>
      <c r="EJ35" s="22"/>
      <c r="EK35" s="22"/>
      <c r="EL35" s="22"/>
      <c r="EM35" s="22"/>
      <c r="EN35" s="22"/>
      <c r="EO35" s="22"/>
      <c r="EP35" s="22"/>
      <c r="EQ35" s="22"/>
      <c r="ER35" s="22"/>
      <c r="ES35" s="22"/>
    </row>
    <row r="36" customFormat="false" ht="15" hidden="false" customHeight="false" outlineLevel="0" collapsed="false">
      <c r="A36" s="2" t="s">
        <v>488</v>
      </c>
      <c r="B36" s="39" t="str">
        <f aca="false">IF(INDEX(Prod_Nombre,25)="","Producto 25 (unidades)",INDEX(Prod_Nombre,25)&amp;" (unidades)")</f>
        <v>Producto 25 (unidades)</v>
      </c>
      <c r="C36" s="6" t="s">
        <v>286</v>
      </c>
      <c r="D36" s="10" t="n">
        <f aca="false">SUM(F36:ES36)</f>
        <v>0</v>
      </c>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c r="CH36" s="22"/>
      <c r="CI36" s="22"/>
      <c r="CJ36" s="22"/>
      <c r="CK36" s="22"/>
      <c r="CL36" s="22"/>
      <c r="CM36" s="22"/>
      <c r="CN36" s="22"/>
      <c r="CO36" s="22"/>
      <c r="CP36" s="22"/>
      <c r="CQ36" s="22"/>
      <c r="CR36" s="22"/>
      <c r="CS36" s="22"/>
      <c r="CT36" s="22"/>
      <c r="CU36" s="22"/>
      <c r="CV36" s="22"/>
      <c r="CW36" s="22"/>
      <c r="CX36" s="22"/>
      <c r="CY36" s="22"/>
      <c r="CZ36" s="22"/>
      <c r="DA36" s="22"/>
      <c r="DB36" s="22"/>
      <c r="DC36" s="22"/>
      <c r="DD36" s="22"/>
      <c r="DE36" s="22"/>
      <c r="DF36" s="22"/>
      <c r="DG36" s="22"/>
      <c r="DH36" s="22"/>
      <c r="DI36" s="22"/>
      <c r="DJ36" s="22"/>
      <c r="DK36" s="22"/>
      <c r="DL36" s="22"/>
      <c r="DM36" s="22"/>
      <c r="DN36" s="22"/>
      <c r="DO36" s="22"/>
      <c r="DP36" s="22"/>
      <c r="DQ36" s="22"/>
      <c r="DR36" s="22"/>
      <c r="DS36" s="22"/>
      <c r="DT36" s="22"/>
      <c r="DU36" s="22"/>
      <c r="DV36" s="22"/>
      <c r="DW36" s="22"/>
      <c r="DX36" s="22"/>
      <c r="DY36" s="22"/>
      <c r="DZ36" s="22"/>
      <c r="EA36" s="22"/>
      <c r="EB36" s="22"/>
      <c r="EC36" s="22"/>
      <c r="ED36" s="22"/>
      <c r="EE36" s="22"/>
      <c r="EF36" s="22"/>
      <c r="EG36" s="22"/>
      <c r="EH36" s="22"/>
      <c r="EI36" s="22"/>
      <c r="EJ36" s="22"/>
      <c r="EK36" s="22"/>
      <c r="EL36" s="22"/>
      <c r="EM36" s="22"/>
      <c r="EN36" s="22"/>
      <c r="EO36" s="22"/>
      <c r="EP36" s="22"/>
      <c r="EQ36" s="22"/>
      <c r="ER36" s="22"/>
      <c r="ES36" s="22"/>
    </row>
    <row r="37" customFormat="false" ht="15" hidden="false" customHeight="false" outlineLevel="0" collapsed="false">
      <c r="A37" s="3" t="s">
        <v>489</v>
      </c>
      <c r="B37" s="4"/>
      <c r="C37" s="4"/>
      <c r="D37" s="4"/>
      <c r="E37" s="4"/>
    </row>
    <row r="38" customFormat="false" ht="15" hidden="false" customHeight="false" outlineLevel="0" collapsed="false">
      <c r="A38" s="2" t="s">
        <v>490</v>
      </c>
      <c r="B38" s="39" t="str">
        <f aca="false">IF(INDEX(Prod_Nombre,1)="","Producto 1 (ventas)",INDEX(Prod_Nombre,1)&amp;" (ventas)")</f>
        <v>Gabinetes metálicos 153 kg (ventas)</v>
      </c>
      <c r="C38" s="7" t="s">
        <v>250</v>
      </c>
      <c r="D38" s="10" t="n">
        <f aca="false">SUM(F38:ES38)</f>
        <v>0</v>
      </c>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c r="CH38" s="22"/>
      <c r="CI38" s="22"/>
      <c r="CJ38" s="22"/>
      <c r="CK38" s="22"/>
      <c r="CL38" s="22"/>
      <c r="CM38" s="22"/>
      <c r="CN38" s="22"/>
      <c r="CO38" s="22"/>
      <c r="CP38" s="22"/>
      <c r="CQ38" s="22"/>
      <c r="CR38" s="22"/>
      <c r="CS38" s="22"/>
      <c r="CT38" s="22"/>
      <c r="CU38" s="22"/>
      <c r="CV38" s="22"/>
      <c r="CW38" s="22"/>
      <c r="CX38" s="22"/>
      <c r="CY38" s="22"/>
      <c r="CZ38" s="22"/>
      <c r="DA38" s="22"/>
      <c r="DB38" s="22"/>
      <c r="DC38" s="22"/>
      <c r="DD38" s="22"/>
      <c r="DE38" s="22"/>
      <c r="DF38" s="22"/>
      <c r="DG38" s="22"/>
      <c r="DH38" s="22"/>
      <c r="DI38" s="22"/>
      <c r="DJ38" s="22"/>
      <c r="DK38" s="22"/>
      <c r="DL38" s="22"/>
      <c r="DM38" s="22"/>
      <c r="DN38" s="22"/>
      <c r="DO38" s="22"/>
      <c r="DP38" s="22"/>
      <c r="DQ38" s="22"/>
      <c r="DR38" s="22"/>
      <c r="DS38" s="22"/>
      <c r="DT38" s="22"/>
      <c r="DU38" s="22"/>
      <c r="DV38" s="22"/>
      <c r="DW38" s="22"/>
      <c r="DX38" s="22"/>
      <c r="DY38" s="22"/>
      <c r="DZ38" s="22"/>
      <c r="EA38" s="22"/>
      <c r="EB38" s="22"/>
      <c r="EC38" s="22"/>
      <c r="ED38" s="22"/>
      <c r="EE38" s="22"/>
      <c r="EF38" s="22"/>
      <c r="EG38" s="22"/>
      <c r="EH38" s="22"/>
      <c r="EI38" s="22"/>
      <c r="EJ38" s="22"/>
      <c r="EK38" s="22"/>
      <c r="EL38" s="22"/>
      <c r="EM38" s="22"/>
      <c r="EN38" s="22"/>
      <c r="EO38" s="22"/>
      <c r="EP38" s="22"/>
      <c r="EQ38" s="22"/>
      <c r="ER38" s="22"/>
      <c r="ES38" s="22"/>
    </row>
    <row r="39" customFormat="false" ht="15" hidden="false" customHeight="false" outlineLevel="0" collapsed="false">
      <c r="A39" s="2" t="s">
        <v>491</v>
      </c>
      <c r="B39" s="39" t="str">
        <f aca="false">IF(INDEX(Prod_Nombre,2)="","Producto 2 (ventas)",INDEX(Prod_Nombre,2)&amp;" (ventas)")</f>
        <v>Cajas metálicas 13 kg (ventas)</v>
      </c>
      <c r="C39" s="7" t="s">
        <v>250</v>
      </c>
      <c r="D39" s="10" t="n">
        <f aca="false">SUM(F39:ES39)</f>
        <v>0</v>
      </c>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c r="CH39" s="22"/>
      <c r="CI39" s="22"/>
      <c r="CJ39" s="22"/>
      <c r="CK39" s="22"/>
      <c r="CL39" s="22"/>
      <c r="CM39" s="22"/>
      <c r="CN39" s="22"/>
      <c r="CO39" s="22"/>
      <c r="CP39" s="22"/>
      <c r="CQ39" s="22"/>
      <c r="CR39" s="22"/>
      <c r="CS39" s="22"/>
      <c r="CT39" s="22"/>
      <c r="CU39" s="22"/>
      <c r="CV39" s="22"/>
      <c r="CW39" s="22"/>
      <c r="CX39" s="22"/>
      <c r="CY39" s="22"/>
      <c r="CZ39" s="22"/>
      <c r="DA39" s="22"/>
      <c r="DB39" s="22"/>
      <c r="DC39" s="22"/>
      <c r="DD39" s="22"/>
      <c r="DE39" s="22"/>
      <c r="DF39" s="22"/>
      <c r="DG39" s="22"/>
      <c r="DH39" s="22"/>
      <c r="DI39" s="22"/>
      <c r="DJ39" s="22"/>
      <c r="DK39" s="22"/>
      <c r="DL39" s="22"/>
      <c r="DM39" s="22"/>
      <c r="DN39" s="22"/>
      <c r="DO39" s="22"/>
      <c r="DP39" s="22"/>
      <c r="DQ39" s="22"/>
      <c r="DR39" s="22"/>
      <c r="DS39" s="22"/>
      <c r="DT39" s="22"/>
      <c r="DU39" s="22"/>
      <c r="DV39" s="22"/>
      <c r="DW39" s="22"/>
      <c r="DX39" s="22"/>
      <c r="DY39" s="22"/>
      <c r="DZ39" s="22"/>
      <c r="EA39" s="22"/>
      <c r="EB39" s="22"/>
      <c r="EC39" s="22"/>
      <c r="ED39" s="22"/>
      <c r="EE39" s="22"/>
      <c r="EF39" s="22"/>
      <c r="EG39" s="22"/>
      <c r="EH39" s="22"/>
      <c r="EI39" s="22"/>
      <c r="EJ39" s="22"/>
      <c r="EK39" s="22"/>
      <c r="EL39" s="22"/>
      <c r="EM39" s="22"/>
      <c r="EN39" s="22"/>
      <c r="EO39" s="22"/>
      <c r="EP39" s="22"/>
      <c r="EQ39" s="22"/>
      <c r="ER39" s="22"/>
      <c r="ES39" s="22"/>
    </row>
    <row r="40" customFormat="false" ht="15" hidden="false" customHeight="false" outlineLevel="0" collapsed="false">
      <c r="A40" s="2" t="s">
        <v>492</v>
      </c>
      <c r="B40" s="39" t="str">
        <f aca="false">IF(INDEX(Prod_Nombre,3)="","Producto 3 (ventas)",INDEX(Prod_Nombre,3)&amp;" (ventas)")</f>
        <v>Producto 3 (ventas)</v>
      </c>
      <c r="C40" s="7" t="s">
        <v>250</v>
      </c>
      <c r="D40" s="10" t="n">
        <f aca="false">SUM(F40:ES40)</f>
        <v>0</v>
      </c>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c r="CH40" s="22"/>
      <c r="CI40" s="22"/>
      <c r="CJ40" s="22"/>
      <c r="CK40" s="22"/>
      <c r="CL40" s="22"/>
      <c r="CM40" s="22"/>
      <c r="CN40" s="22"/>
      <c r="CO40" s="22"/>
      <c r="CP40" s="22"/>
      <c r="CQ40" s="22"/>
      <c r="CR40" s="22"/>
      <c r="CS40" s="22"/>
      <c r="CT40" s="22"/>
      <c r="CU40" s="22"/>
      <c r="CV40" s="22"/>
      <c r="CW40" s="22"/>
      <c r="CX40" s="22"/>
      <c r="CY40" s="22"/>
      <c r="CZ40" s="22"/>
      <c r="DA40" s="22"/>
      <c r="DB40" s="22"/>
      <c r="DC40" s="22"/>
      <c r="DD40" s="22"/>
      <c r="DE40" s="22"/>
      <c r="DF40" s="22"/>
      <c r="DG40" s="22"/>
      <c r="DH40" s="22"/>
      <c r="DI40" s="22"/>
      <c r="DJ40" s="22"/>
      <c r="DK40" s="22"/>
      <c r="DL40" s="22"/>
      <c r="DM40" s="22"/>
      <c r="DN40" s="22"/>
      <c r="DO40" s="22"/>
      <c r="DP40" s="22"/>
      <c r="DQ40" s="22"/>
      <c r="DR40" s="22"/>
      <c r="DS40" s="22"/>
      <c r="DT40" s="22"/>
      <c r="DU40" s="22"/>
      <c r="DV40" s="22"/>
      <c r="DW40" s="22"/>
      <c r="DX40" s="22"/>
      <c r="DY40" s="22"/>
      <c r="DZ40" s="22"/>
      <c r="EA40" s="22"/>
      <c r="EB40" s="22"/>
      <c r="EC40" s="22"/>
      <c r="ED40" s="22"/>
      <c r="EE40" s="22"/>
      <c r="EF40" s="22"/>
      <c r="EG40" s="22"/>
      <c r="EH40" s="22"/>
      <c r="EI40" s="22"/>
      <c r="EJ40" s="22"/>
      <c r="EK40" s="22"/>
      <c r="EL40" s="22"/>
      <c r="EM40" s="22"/>
      <c r="EN40" s="22"/>
      <c r="EO40" s="22"/>
      <c r="EP40" s="22"/>
      <c r="EQ40" s="22"/>
      <c r="ER40" s="22"/>
      <c r="ES40" s="22"/>
    </row>
    <row r="41" customFormat="false" ht="15" hidden="false" customHeight="false" outlineLevel="0" collapsed="false">
      <c r="A41" s="2" t="s">
        <v>493</v>
      </c>
      <c r="B41" s="39" t="str">
        <f aca="false">IF(INDEX(Prod_Nombre,4)="","Producto 4 (ventas)",INDEX(Prod_Nombre,4)&amp;" (ventas)")</f>
        <v>Producto 4 (ventas)</v>
      </c>
      <c r="C41" s="7" t="s">
        <v>250</v>
      </c>
      <c r="D41" s="10" t="n">
        <f aca="false">SUM(F41:ES41)</f>
        <v>0</v>
      </c>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row>
    <row r="42" customFormat="false" ht="15" hidden="false" customHeight="false" outlineLevel="0" collapsed="false">
      <c r="A42" s="2" t="s">
        <v>494</v>
      </c>
      <c r="B42" s="39" t="str">
        <f aca="false">IF(INDEX(Prod_Nombre,5)="","Producto 5 (ventas)",INDEX(Prod_Nombre,5)&amp;" (ventas)")</f>
        <v>Producto 5 (ventas)</v>
      </c>
      <c r="C42" s="7" t="s">
        <v>250</v>
      </c>
      <c r="D42" s="10" t="n">
        <f aca="false">SUM(F42:ES42)</f>
        <v>0</v>
      </c>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row>
    <row r="43" customFormat="false" ht="15" hidden="false" customHeight="false" outlineLevel="0" collapsed="false">
      <c r="A43" s="2" t="s">
        <v>495</v>
      </c>
      <c r="B43" s="39" t="str">
        <f aca="false">IF(INDEX(Prod_Nombre,6)="","Producto 6 (ventas)",INDEX(Prod_Nombre,6)&amp;" (ventas)")</f>
        <v>Producto 6 (ventas)</v>
      </c>
      <c r="C43" s="7" t="s">
        <v>250</v>
      </c>
      <c r="D43" s="10" t="n">
        <f aca="false">SUM(F43:ES43)</f>
        <v>0</v>
      </c>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row>
    <row r="44" customFormat="false" ht="15" hidden="false" customHeight="false" outlineLevel="0" collapsed="false">
      <c r="A44" s="2" t="s">
        <v>496</v>
      </c>
      <c r="B44" s="39" t="str">
        <f aca="false">IF(INDEX(Prod_Nombre,7)="","Producto 7 (ventas)",INDEX(Prod_Nombre,7)&amp;" (ventas)")</f>
        <v>Producto 7 (ventas)</v>
      </c>
      <c r="C44" s="7" t="s">
        <v>250</v>
      </c>
      <c r="D44" s="10" t="n">
        <f aca="false">SUM(F44:ES44)</f>
        <v>0</v>
      </c>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row>
    <row r="45" customFormat="false" ht="15" hidden="false" customHeight="false" outlineLevel="0" collapsed="false">
      <c r="A45" s="2" t="s">
        <v>497</v>
      </c>
      <c r="B45" s="39" t="str">
        <f aca="false">IF(INDEX(Prod_Nombre,8)="","Producto 8 (ventas)",INDEX(Prod_Nombre,8)&amp;" (ventas)")</f>
        <v>Producto 8 (ventas)</v>
      </c>
      <c r="C45" s="7" t="s">
        <v>250</v>
      </c>
      <c r="D45" s="10" t="n">
        <f aca="false">SUM(F45:ES45)</f>
        <v>0</v>
      </c>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c r="CY45" s="22"/>
      <c r="CZ45" s="22"/>
      <c r="DA45" s="22"/>
      <c r="DB45" s="22"/>
      <c r="DC45" s="22"/>
      <c r="DD45" s="22"/>
      <c r="DE45" s="22"/>
      <c r="DF45" s="22"/>
      <c r="DG45" s="22"/>
      <c r="DH45" s="22"/>
      <c r="DI45" s="22"/>
      <c r="DJ45" s="22"/>
      <c r="DK45" s="22"/>
      <c r="DL45" s="22"/>
      <c r="DM45" s="22"/>
      <c r="DN45" s="22"/>
      <c r="DO45" s="22"/>
      <c r="DP45" s="22"/>
      <c r="DQ45" s="22"/>
      <c r="DR45" s="22"/>
      <c r="DS45" s="22"/>
      <c r="DT45" s="22"/>
      <c r="DU45" s="22"/>
      <c r="DV45" s="22"/>
      <c r="DW45" s="22"/>
      <c r="DX45" s="22"/>
      <c r="DY45" s="22"/>
      <c r="DZ45" s="22"/>
      <c r="EA45" s="22"/>
      <c r="EB45" s="22"/>
      <c r="EC45" s="22"/>
      <c r="ED45" s="22"/>
      <c r="EE45" s="22"/>
      <c r="EF45" s="22"/>
      <c r="EG45" s="22"/>
      <c r="EH45" s="22"/>
      <c r="EI45" s="22"/>
      <c r="EJ45" s="22"/>
      <c r="EK45" s="22"/>
      <c r="EL45" s="22"/>
      <c r="EM45" s="22"/>
      <c r="EN45" s="22"/>
      <c r="EO45" s="22"/>
      <c r="EP45" s="22"/>
      <c r="EQ45" s="22"/>
      <c r="ER45" s="22"/>
      <c r="ES45" s="22"/>
    </row>
    <row r="46" customFormat="false" ht="15" hidden="false" customHeight="false" outlineLevel="0" collapsed="false">
      <c r="A46" s="2" t="s">
        <v>498</v>
      </c>
      <c r="B46" s="39" t="str">
        <f aca="false">IF(INDEX(Prod_Nombre,9)="","Producto 9 (ventas)",INDEX(Prod_Nombre,9)&amp;" (ventas)")</f>
        <v>Producto 9 (ventas)</v>
      </c>
      <c r="C46" s="7" t="s">
        <v>250</v>
      </c>
      <c r="D46" s="10" t="n">
        <f aca="false">SUM(F46:ES46)</f>
        <v>0</v>
      </c>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row>
    <row r="47" customFormat="false" ht="15" hidden="false" customHeight="false" outlineLevel="0" collapsed="false">
      <c r="A47" s="2" t="s">
        <v>499</v>
      </c>
      <c r="B47" s="39" t="str">
        <f aca="false">IF(INDEX(Prod_Nombre,10)="","Producto 10 (ventas)",INDEX(Prod_Nombre,10)&amp;" (ventas)")</f>
        <v>Producto 10 (ventas)</v>
      </c>
      <c r="C47" s="7" t="s">
        <v>250</v>
      </c>
      <c r="D47" s="10" t="n">
        <f aca="false">SUM(F47:ES47)</f>
        <v>0</v>
      </c>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row>
    <row r="48" customFormat="false" ht="15" hidden="false" customHeight="false" outlineLevel="0" collapsed="false">
      <c r="A48" s="2" t="s">
        <v>500</v>
      </c>
      <c r="B48" s="39" t="str">
        <f aca="false">IF(INDEX(Prod_Nombre,11)="","Producto 11 (ventas)",INDEX(Prod_Nombre,11)&amp;" (ventas)")</f>
        <v>Producto 11 (ventas)</v>
      </c>
      <c r="C48" s="7" t="s">
        <v>250</v>
      </c>
      <c r="D48" s="10" t="n">
        <f aca="false">SUM(F48:ES48)</f>
        <v>0</v>
      </c>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row>
    <row r="49" customFormat="false" ht="15" hidden="false" customHeight="false" outlineLevel="0" collapsed="false">
      <c r="A49" s="2" t="s">
        <v>501</v>
      </c>
      <c r="B49" s="39" t="str">
        <f aca="false">IF(INDEX(Prod_Nombre,12)="","Producto 12 (ventas)",INDEX(Prod_Nombre,12)&amp;" (ventas)")</f>
        <v>Producto 12 (ventas)</v>
      </c>
      <c r="C49" s="7" t="s">
        <v>250</v>
      </c>
      <c r="D49" s="10" t="n">
        <f aca="false">SUM(F49:ES49)</f>
        <v>0</v>
      </c>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row>
    <row r="50" customFormat="false" ht="15" hidden="false" customHeight="false" outlineLevel="0" collapsed="false">
      <c r="A50" s="2" t="s">
        <v>502</v>
      </c>
      <c r="B50" s="39" t="str">
        <f aca="false">IF(INDEX(Prod_Nombre,13)="","Producto 13 (ventas)",INDEX(Prod_Nombre,13)&amp;" (ventas)")</f>
        <v>Producto 13 (ventas)</v>
      </c>
      <c r="C50" s="7" t="s">
        <v>250</v>
      </c>
      <c r="D50" s="10" t="n">
        <f aca="false">SUM(F50:ES50)</f>
        <v>0</v>
      </c>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row>
    <row r="51" customFormat="false" ht="15" hidden="false" customHeight="false" outlineLevel="0" collapsed="false">
      <c r="A51" s="2" t="s">
        <v>503</v>
      </c>
      <c r="B51" s="39" t="str">
        <f aca="false">IF(INDEX(Prod_Nombre,14)="","Producto 14 (ventas)",INDEX(Prod_Nombre,14)&amp;" (ventas)")</f>
        <v>Producto 14 (ventas)</v>
      </c>
      <c r="C51" s="7" t="s">
        <v>250</v>
      </c>
      <c r="D51" s="10" t="n">
        <f aca="false">SUM(F51:ES51)</f>
        <v>0</v>
      </c>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row>
    <row r="52" customFormat="false" ht="15" hidden="false" customHeight="false" outlineLevel="0" collapsed="false">
      <c r="A52" s="2" t="s">
        <v>504</v>
      </c>
      <c r="B52" s="39" t="str">
        <f aca="false">IF(INDEX(Prod_Nombre,15)="","Producto 15 (ventas)",INDEX(Prod_Nombre,15)&amp;" (ventas)")</f>
        <v>Producto 15 (ventas)</v>
      </c>
      <c r="C52" s="7" t="s">
        <v>250</v>
      </c>
      <c r="D52" s="10" t="n">
        <f aca="false">SUM(F52:ES52)</f>
        <v>0</v>
      </c>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c r="CH52" s="22"/>
      <c r="CI52" s="22"/>
      <c r="CJ52" s="22"/>
      <c r="CK52" s="22"/>
      <c r="CL52" s="22"/>
      <c r="CM52" s="22"/>
      <c r="CN52" s="22"/>
      <c r="CO52" s="22"/>
      <c r="CP52" s="22"/>
      <c r="CQ52" s="22"/>
      <c r="CR52" s="22"/>
      <c r="CS52" s="22"/>
      <c r="CT52" s="22"/>
      <c r="CU52" s="22"/>
      <c r="CV52" s="22"/>
      <c r="CW52" s="22"/>
      <c r="CX52" s="22"/>
      <c r="CY52" s="22"/>
      <c r="CZ52" s="22"/>
      <c r="DA52" s="22"/>
      <c r="DB52" s="22"/>
      <c r="DC52" s="22"/>
      <c r="DD52" s="22"/>
      <c r="DE52" s="22"/>
      <c r="DF52" s="22"/>
      <c r="DG52" s="22"/>
      <c r="DH52" s="22"/>
      <c r="DI52" s="22"/>
      <c r="DJ52" s="22"/>
      <c r="DK52" s="22"/>
      <c r="DL52" s="22"/>
      <c r="DM52" s="22"/>
      <c r="DN52" s="22"/>
      <c r="DO52" s="22"/>
      <c r="DP52" s="22"/>
      <c r="DQ52" s="22"/>
      <c r="DR52" s="22"/>
      <c r="DS52" s="22"/>
      <c r="DT52" s="22"/>
      <c r="DU52" s="22"/>
      <c r="DV52" s="22"/>
      <c r="DW52" s="22"/>
      <c r="DX52" s="22"/>
      <c r="DY52" s="22"/>
      <c r="DZ52" s="22"/>
      <c r="EA52" s="22"/>
      <c r="EB52" s="22"/>
      <c r="EC52" s="22"/>
      <c r="ED52" s="22"/>
      <c r="EE52" s="22"/>
      <c r="EF52" s="22"/>
      <c r="EG52" s="22"/>
      <c r="EH52" s="22"/>
      <c r="EI52" s="22"/>
      <c r="EJ52" s="22"/>
      <c r="EK52" s="22"/>
      <c r="EL52" s="22"/>
      <c r="EM52" s="22"/>
      <c r="EN52" s="22"/>
      <c r="EO52" s="22"/>
      <c r="EP52" s="22"/>
      <c r="EQ52" s="22"/>
      <c r="ER52" s="22"/>
      <c r="ES52" s="22"/>
    </row>
    <row r="53" customFormat="false" ht="15" hidden="false" customHeight="false" outlineLevel="0" collapsed="false">
      <c r="A53" s="2" t="s">
        <v>505</v>
      </c>
      <c r="B53" s="39" t="str">
        <f aca="false">IF(INDEX(Prod_Nombre,16)="","Producto 16 (ventas)",INDEX(Prod_Nombre,16)&amp;" (ventas)")</f>
        <v>Producto 16 (ventas)</v>
      </c>
      <c r="C53" s="7" t="s">
        <v>250</v>
      </c>
      <c r="D53" s="10" t="n">
        <f aca="false">SUM(F53:ES53)</f>
        <v>0</v>
      </c>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row>
    <row r="54" customFormat="false" ht="15" hidden="false" customHeight="false" outlineLevel="0" collapsed="false">
      <c r="A54" s="2" t="s">
        <v>506</v>
      </c>
      <c r="B54" s="39" t="str">
        <f aca="false">IF(INDEX(Prod_Nombre,17)="","Producto 17 (ventas)",INDEX(Prod_Nombre,17)&amp;" (ventas)")</f>
        <v>Producto 17 (ventas)</v>
      </c>
      <c r="C54" s="7" t="s">
        <v>250</v>
      </c>
      <c r="D54" s="10" t="n">
        <f aca="false">SUM(F54:ES54)</f>
        <v>0</v>
      </c>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row>
    <row r="55" customFormat="false" ht="15" hidden="false" customHeight="false" outlineLevel="0" collapsed="false">
      <c r="A55" s="2" t="s">
        <v>507</v>
      </c>
      <c r="B55" s="39" t="str">
        <f aca="false">IF(INDEX(Prod_Nombre,18)="","Producto 18 (ventas)",INDEX(Prod_Nombre,18)&amp;" (ventas)")</f>
        <v>Producto 18 (ventas)</v>
      </c>
      <c r="C55" s="7" t="s">
        <v>250</v>
      </c>
      <c r="D55" s="10" t="n">
        <f aca="false">SUM(F55:ES55)</f>
        <v>0</v>
      </c>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row>
    <row r="56" customFormat="false" ht="15" hidden="false" customHeight="false" outlineLevel="0" collapsed="false">
      <c r="A56" s="2" t="s">
        <v>508</v>
      </c>
      <c r="B56" s="39" t="str">
        <f aca="false">IF(INDEX(Prod_Nombre,19)="","Producto 19 (ventas)",INDEX(Prod_Nombre,19)&amp;" (ventas)")</f>
        <v>Producto 19 (ventas)</v>
      </c>
      <c r="C56" s="7" t="s">
        <v>250</v>
      </c>
      <c r="D56" s="10" t="n">
        <f aca="false">SUM(F56:ES56)</f>
        <v>0</v>
      </c>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row>
    <row r="57" customFormat="false" ht="15" hidden="false" customHeight="false" outlineLevel="0" collapsed="false">
      <c r="A57" s="2" t="s">
        <v>509</v>
      </c>
      <c r="B57" s="39" t="str">
        <f aca="false">IF(INDEX(Prod_Nombre,20)="","Producto 20 (ventas)",INDEX(Prod_Nombre,20)&amp;" (ventas)")</f>
        <v>Producto 20 (ventas)</v>
      </c>
      <c r="C57" s="7" t="s">
        <v>250</v>
      </c>
      <c r="D57" s="10" t="n">
        <f aca="false">SUM(F57:ES57)</f>
        <v>0</v>
      </c>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row>
    <row r="58" customFormat="false" ht="15" hidden="false" customHeight="false" outlineLevel="0" collapsed="false">
      <c r="A58" s="2" t="s">
        <v>510</v>
      </c>
      <c r="B58" s="39" t="str">
        <f aca="false">IF(INDEX(Prod_Nombre,21)="","Producto 21 (ventas)",INDEX(Prod_Nombre,21)&amp;" (ventas)")</f>
        <v>Producto 21 (ventas)</v>
      </c>
      <c r="C58" s="7" t="s">
        <v>250</v>
      </c>
      <c r="D58" s="10" t="n">
        <f aca="false">SUM(F58:ES58)</f>
        <v>0</v>
      </c>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row>
    <row r="59" customFormat="false" ht="15" hidden="false" customHeight="false" outlineLevel="0" collapsed="false">
      <c r="A59" s="2" t="s">
        <v>511</v>
      </c>
      <c r="B59" s="39" t="str">
        <f aca="false">IF(INDEX(Prod_Nombre,22)="","Producto 22 (ventas)",INDEX(Prod_Nombre,22)&amp;" (ventas)")</f>
        <v>Producto 22 (ventas)</v>
      </c>
      <c r="C59" s="7" t="s">
        <v>250</v>
      </c>
      <c r="D59" s="10" t="n">
        <f aca="false">SUM(F59:ES59)</f>
        <v>0</v>
      </c>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row>
    <row r="60" customFormat="false" ht="15" hidden="false" customHeight="false" outlineLevel="0" collapsed="false">
      <c r="A60" s="2" t="s">
        <v>512</v>
      </c>
      <c r="B60" s="39" t="str">
        <f aca="false">IF(INDEX(Prod_Nombre,23)="","Producto 23 (ventas)",INDEX(Prod_Nombre,23)&amp;" (ventas)")</f>
        <v>Producto 23 (ventas)</v>
      </c>
      <c r="C60" s="7" t="s">
        <v>250</v>
      </c>
      <c r="D60" s="10" t="n">
        <f aca="false">SUM(F60:ES60)</f>
        <v>0</v>
      </c>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row>
    <row r="61" customFormat="false" ht="15" hidden="false" customHeight="false" outlineLevel="0" collapsed="false">
      <c r="A61" s="2" t="s">
        <v>513</v>
      </c>
      <c r="B61" s="39" t="str">
        <f aca="false">IF(INDEX(Prod_Nombre,24)="","Producto 24 (ventas)",INDEX(Prod_Nombre,24)&amp;" (ventas)")</f>
        <v>Producto 24 (ventas)</v>
      </c>
      <c r="C61" s="7" t="s">
        <v>250</v>
      </c>
      <c r="D61" s="10" t="n">
        <f aca="false">SUM(F61:ES61)</f>
        <v>0</v>
      </c>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row>
    <row r="62" customFormat="false" ht="15" hidden="false" customHeight="false" outlineLevel="0" collapsed="false">
      <c r="A62" s="2" t="s">
        <v>514</v>
      </c>
      <c r="B62" s="39" t="str">
        <f aca="false">IF(INDEX(Prod_Nombre,25)="","Producto 25 (ventas)",INDEX(Prod_Nombre,25)&amp;" (ventas)")</f>
        <v>Producto 25 (ventas)</v>
      </c>
      <c r="C62" s="7" t="s">
        <v>250</v>
      </c>
      <c r="D62" s="10" t="n">
        <f aca="false">SUM(F62:ES62)</f>
        <v>0</v>
      </c>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row>
    <row r="63" customFormat="false" ht="15" hidden="false" customHeight="false" outlineLevel="0" collapsed="false">
      <c r="A63" s="3" t="s">
        <v>515</v>
      </c>
      <c r="B63" s="4"/>
      <c r="C63" s="4"/>
      <c r="D63" s="4"/>
      <c r="E63" s="4"/>
    </row>
    <row r="64" customFormat="false" ht="15" hidden="false" customHeight="false" outlineLevel="0" collapsed="false">
      <c r="A64" s="2" t="s">
        <v>516</v>
      </c>
      <c r="B64" s="6" t="s">
        <v>517</v>
      </c>
      <c r="C64" s="7" t="s">
        <v>250</v>
      </c>
      <c r="D64" s="10" t="n">
        <f aca="false">SUM(F64:ES64)</f>
        <v>0</v>
      </c>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row>
    <row r="65" customFormat="false" ht="15" hidden="false" customHeight="false" outlineLevel="0" collapsed="false">
      <c r="A65" s="2" t="s">
        <v>518</v>
      </c>
      <c r="B65" s="6" t="s">
        <v>519</v>
      </c>
      <c r="C65" s="7" t="s">
        <v>250</v>
      </c>
      <c r="D65" s="10" t="n">
        <f aca="false">SUM(F65:ES65)</f>
        <v>0</v>
      </c>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row>
    <row r="66" customFormat="false" ht="15" hidden="false" customHeight="false" outlineLevel="0" collapsed="false">
      <c r="A66" s="2" t="s">
        <v>520</v>
      </c>
      <c r="B66" s="6" t="s">
        <v>521</v>
      </c>
      <c r="C66" s="7" t="s">
        <v>316</v>
      </c>
      <c r="D66" s="10" t="n">
        <f aca="false">SUM(F66:ES66)</f>
        <v>0</v>
      </c>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row>
    <row r="67" customFormat="false" ht="15" hidden="false" customHeight="false" outlineLevel="0" collapsed="false">
      <c r="A67" s="2" t="s">
        <v>522</v>
      </c>
      <c r="B67" s="6" t="s">
        <v>523</v>
      </c>
      <c r="C67" s="7" t="s">
        <v>316</v>
      </c>
      <c r="D67" s="10" t="n">
        <f aca="false">SUM(F67:ES67)</f>
        <v>0</v>
      </c>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row>
    <row r="68" customFormat="false" ht="15" hidden="false" customHeight="false" outlineLevel="0" collapsed="false">
      <c r="A68" s="2" t="s">
        <v>524</v>
      </c>
      <c r="B68" s="6" t="s">
        <v>525</v>
      </c>
      <c r="C68" s="7" t="s">
        <v>250</v>
      </c>
      <c r="D68" s="10" t="n">
        <f aca="false">SUM(F68:ES68)</f>
        <v>0</v>
      </c>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row>
    <row r="69" customFormat="false" ht="15" hidden="false" customHeight="false" outlineLevel="0" collapsed="false">
      <c r="A69" s="2" t="s">
        <v>526</v>
      </c>
      <c r="B69" s="6" t="s">
        <v>527</v>
      </c>
      <c r="C69" s="7" t="s">
        <v>250</v>
      </c>
      <c r="D69" s="10" t="n">
        <f aca="false">SUM(F69:ES69)</f>
        <v>0</v>
      </c>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row>
    <row r="70" customFormat="false" ht="15" hidden="false" customHeight="false" outlineLevel="0" collapsed="false">
      <c r="A70" s="2" t="s">
        <v>528</v>
      </c>
      <c r="B70" s="6" t="s">
        <v>529</v>
      </c>
      <c r="C70" s="7" t="s">
        <v>250</v>
      </c>
      <c r="D70" s="10" t="n">
        <f aca="false">SUM(F70:ES70)</f>
        <v>0</v>
      </c>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row>
    <row r="71" customFormat="false" ht="15" hidden="false" customHeight="false" outlineLevel="0" collapsed="false">
      <c r="A71" s="3" t="s">
        <v>530</v>
      </c>
      <c r="B71" s="4"/>
      <c r="C71" s="4"/>
      <c r="D71" s="4"/>
      <c r="E71" s="4"/>
    </row>
    <row r="72" customFormat="false" ht="15" hidden="false" customHeight="false" outlineLevel="0" collapsed="false">
      <c r="A72" s="2" t="s">
        <v>531</v>
      </c>
      <c r="B72" s="6" t="s">
        <v>532</v>
      </c>
      <c r="C72" s="7" t="s">
        <v>250</v>
      </c>
      <c r="D72" s="10" t="n">
        <f aca="false">SUM(F72:ES72)</f>
        <v>0</v>
      </c>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row>
    <row r="73" customFormat="false" ht="15" hidden="false" customHeight="false" outlineLevel="0" collapsed="false">
      <c r="A73" s="2" t="s">
        <v>533</v>
      </c>
      <c r="B73" s="6" t="s">
        <v>534</v>
      </c>
      <c r="C73" s="7" t="s">
        <v>250</v>
      </c>
      <c r="D73" s="10" t="n">
        <f aca="false">SUM(F73:ES73)</f>
        <v>0</v>
      </c>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row>
    <row r="74" customFormat="false" ht="15" hidden="false" customHeight="false" outlineLevel="0" collapsed="false">
      <c r="A74" s="2" t="s">
        <v>535</v>
      </c>
      <c r="B74" s="6" t="s">
        <v>536</v>
      </c>
      <c r="C74" s="7" t="s">
        <v>250</v>
      </c>
      <c r="D74" s="10" t="n">
        <f aca="false">SUM(F74:ES74)</f>
        <v>0</v>
      </c>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row>
    <row r="75" customFormat="false" ht="15" hidden="false" customHeight="false" outlineLevel="0" collapsed="false">
      <c r="A75" s="2" t="s">
        <v>537</v>
      </c>
      <c r="B75" s="6" t="s">
        <v>538</v>
      </c>
      <c r="C75" s="7" t="s">
        <v>250</v>
      </c>
      <c r="D75" s="10" t="n">
        <f aca="false">SUM(F75:ES75)</f>
        <v>0</v>
      </c>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row>
    <row r="76" customFormat="false" ht="15" hidden="false" customHeight="false" outlineLevel="0" collapsed="false">
      <c r="A76" s="2" t="s">
        <v>539</v>
      </c>
      <c r="B76" s="6" t="s">
        <v>540</v>
      </c>
      <c r="C76" s="7" t="s">
        <v>250</v>
      </c>
      <c r="D76" s="10" t="n">
        <f aca="false">SUM(F76:ES76)</f>
        <v>0</v>
      </c>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row>
    <row r="77" customFormat="false" ht="15" hidden="false" customHeight="false" outlineLevel="0" collapsed="false">
      <c r="A77" s="2" t="s">
        <v>541</v>
      </c>
      <c r="B77" s="6" t="s">
        <v>542</v>
      </c>
      <c r="C77" s="7" t="s">
        <v>250</v>
      </c>
      <c r="D77" s="10" t="n">
        <f aca="false">SUM(F77:ES77)</f>
        <v>0</v>
      </c>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row>
    <row r="78" customFormat="false" ht="15" hidden="false" customHeight="false" outlineLevel="0" collapsed="false">
      <c r="A78" s="3" t="s">
        <v>543</v>
      </c>
      <c r="B78" s="4"/>
      <c r="C78" s="4"/>
      <c r="D78" s="4"/>
      <c r="E78" s="4"/>
    </row>
    <row r="79" customFormat="false" ht="15" hidden="false" customHeight="false" outlineLevel="0" collapsed="false">
      <c r="A79" s="2" t="s">
        <v>544</v>
      </c>
      <c r="B79" s="6" t="s">
        <v>545</v>
      </c>
      <c r="C79" s="7" t="s">
        <v>250</v>
      </c>
      <c r="D79" s="10"/>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row>
    <row r="80" customFormat="false" ht="15" hidden="false" customHeight="false" outlineLevel="0" collapsed="false">
      <c r="A80" s="2" t="s">
        <v>546</v>
      </c>
      <c r="B80" s="6" t="s">
        <v>547</v>
      </c>
      <c r="C80" s="7" t="s">
        <v>250</v>
      </c>
      <c r="D80" s="10"/>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row>
    <row r="81" customFormat="false" ht="15" hidden="false" customHeight="false" outlineLevel="0" collapsed="false">
      <c r="A81" s="2" t="s">
        <v>548</v>
      </c>
      <c r="B81" s="6" t="s">
        <v>549</v>
      </c>
      <c r="C81" s="7" t="s">
        <v>250</v>
      </c>
      <c r="D81" s="10"/>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row>
    <row r="82" customFormat="false" ht="15" hidden="false" customHeight="false" outlineLevel="0" collapsed="false">
      <c r="A82" s="2" t="s">
        <v>550</v>
      </c>
      <c r="B82" s="6" t="s">
        <v>551</v>
      </c>
      <c r="C82" s="7" t="s">
        <v>250</v>
      </c>
      <c r="D82" s="10"/>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row>
    <row r="83" customFormat="false" ht="15" hidden="false" customHeight="false" outlineLevel="0" collapsed="false">
      <c r="A83" s="2" t="s">
        <v>552</v>
      </c>
      <c r="B83" s="6" t="s">
        <v>553</v>
      </c>
      <c r="C83" s="7" t="s">
        <v>250</v>
      </c>
      <c r="D83" s="10"/>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row>
    <row r="84" customFormat="false" ht="15" hidden="false" customHeight="false" outlineLevel="0" collapsed="false">
      <c r="A84" s="2" t="s">
        <v>554</v>
      </c>
      <c r="B84" s="6" t="s">
        <v>555</v>
      </c>
      <c r="C84" s="7" t="s">
        <v>250</v>
      </c>
      <c r="D84" s="10"/>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row>
  </sheetData>
  <conditionalFormatting sqref="F7:ES7">
    <cfRule type="cellIs" priority="2" operator="equal" aboveAverage="0" equalAverage="0" bottom="0" percent="0" rank="0" text="" dxfId="1">
      <formula>"Cerrado"</formula>
    </cfRule>
  </conditionalFormatting>
  <dataValidations count="1">
    <dataValidation allowBlank="true" errorStyle="stop" operator="between" showDropDown="false" showErrorMessage="false" showInputMessage="false" sqref="C38:C84" type="list">
      <formula1>"USD,PYG"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ES3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8" topLeftCell="F9" activePane="bottomRight" state="frozen"/>
      <selection pane="topLeft" activeCell="A1" activeCellId="0" sqref="A1"/>
      <selection pane="topRight" activeCell="F1" activeCellId="0" sqref="F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7"/>
    <col collapsed="false" customWidth="true" hidden="false" outlineLevel="0" max="4" min="4" style="0" width="3"/>
    <col collapsed="false" customWidth="true" hidden="false" outlineLevel="0" max="5" min="5" style="0" width="15"/>
    <col collapsed="false" customWidth="true" hidden="false" outlineLevel="0" max="149" min="6" style="0" width="11"/>
  </cols>
  <sheetData>
    <row r="1" customFormat="false" ht="16.15" hidden="false" customHeight="false" outlineLevel="0" collapsed="false">
      <c r="A1" s="1" t="s">
        <v>556</v>
      </c>
    </row>
    <row r="2" customFormat="false" ht="15" hidden="false" customHeight="false" outlineLevel="0" collapsed="false">
      <c r="A2" s="2" t="s">
        <v>557</v>
      </c>
    </row>
    <row r="4" customFormat="false" ht="15" hidden="false" customHeight="false" outlineLevel="0" collapsed="false">
      <c r="A4" s="2" t="s">
        <v>558</v>
      </c>
      <c r="B4" s="44" t="s">
        <v>456</v>
      </c>
      <c r="F4" s="47" t="n">
        <v>1</v>
      </c>
      <c r="G4" s="47" t="n">
        <v>2</v>
      </c>
      <c r="H4" s="47" t="n">
        <v>3</v>
      </c>
      <c r="I4" s="47" t="n">
        <v>4</v>
      </c>
      <c r="J4" s="47" t="n">
        <v>5</v>
      </c>
      <c r="K4" s="47" t="n">
        <v>6</v>
      </c>
      <c r="L4" s="47" t="n">
        <v>7</v>
      </c>
      <c r="M4" s="47" t="n">
        <v>8</v>
      </c>
      <c r="N4" s="47" t="n">
        <v>9</v>
      </c>
      <c r="O4" s="47" t="n">
        <v>10</v>
      </c>
      <c r="P4" s="47" t="n">
        <v>11</v>
      </c>
      <c r="Q4" s="47" t="n">
        <v>12</v>
      </c>
      <c r="R4" s="47" t="n">
        <v>13</v>
      </c>
      <c r="S4" s="47" t="n">
        <v>14</v>
      </c>
      <c r="T4" s="47" t="n">
        <v>15</v>
      </c>
      <c r="U4" s="47" t="n">
        <v>16</v>
      </c>
      <c r="V4" s="47" t="n">
        <v>17</v>
      </c>
      <c r="W4" s="47" t="n">
        <v>18</v>
      </c>
      <c r="X4" s="47" t="n">
        <v>19</v>
      </c>
      <c r="Y4" s="47" t="n">
        <v>20</v>
      </c>
      <c r="Z4" s="47" t="n">
        <v>21</v>
      </c>
      <c r="AA4" s="47" t="n">
        <v>22</v>
      </c>
      <c r="AB4" s="47" t="n">
        <v>23</v>
      </c>
      <c r="AC4" s="47" t="n">
        <v>24</v>
      </c>
      <c r="AD4" s="47" t="n">
        <v>25</v>
      </c>
      <c r="AE4" s="47" t="n">
        <v>26</v>
      </c>
      <c r="AF4" s="47" t="n">
        <v>27</v>
      </c>
      <c r="AG4" s="47" t="n">
        <v>28</v>
      </c>
      <c r="AH4" s="47" t="n">
        <v>29</v>
      </c>
      <c r="AI4" s="47" t="n">
        <v>30</v>
      </c>
      <c r="AJ4" s="47" t="n">
        <v>31</v>
      </c>
      <c r="AK4" s="47" t="n">
        <v>32</v>
      </c>
      <c r="AL4" s="47" t="n">
        <v>33</v>
      </c>
      <c r="AM4" s="47" t="n">
        <v>34</v>
      </c>
      <c r="AN4" s="47" t="n">
        <v>35</v>
      </c>
      <c r="AO4" s="47" t="n">
        <v>36</v>
      </c>
      <c r="AP4" s="47" t="n">
        <v>37</v>
      </c>
      <c r="AQ4" s="47" t="n">
        <v>38</v>
      </c>
      <c r="AR4" s="47" t="n">
        <v>39</v>
      </c>
      <c r="AS4" s="47" t="n">
        <v>40</v>
      </c>
      <c r="AT4" s="47" t="n">
        <v>41</v>
      </c>
      <c r="AU4" s="47" t="n">
        <v>42</v>
      </c>
      <c r="AV4" s="47" t="n">
        <v>43</v>
      </c>
      <c r="AW4" s="47" t="n">
        <v>44</v>
      </c>
      <c r="AX4" s="47" t="n">
        <v>45</v>
      </c>
      <c r="AY4" s="47" t="n">
        <v>46</v>
      </c>
      <c r="AZ4" s="47" t="n">
        <v>47</v>
      </c>
      <c r="BA4" s="47" t="n">
        <v>48</v>
      </c>
      <c r="BB4" s="47" t="n">
        <v>49</v>
      </c>
      <c r="BC4" s="47" t="n">
        <v>50</v>
      </c>
      <c r="BD4" s="47" t="n">
        <v>51</v>
      </c>
      <c r="BE4" s="47" t="n">
        <v>52</v>
      </c>
      <c r="BF4" s="47" t="n">
        <v>53</v>
      </c>
      <c r="BG4" s="47" t="n">
        <v>54</v>
      </c>
      <c r="BH4" s="47" t="n">
        <v>55</v>
      </c>
      <c r="BI4" s="47" t="n">
        <v>56</v>
      </c>
      <c r="BJ4" s="47" t="n">
        <v>57</v>
      </c>
      <c r="BK4" s="47" t="n">
        <v>58</v>
      </c>
      <c r="BL4" s="47" t="n">
        <v>59</v>
      </c>
      <c r="BM4" s="47" t="n">
        <v>60</v>
      </c>
      <c r="BN4" s="47" t="n">
        <v>61</v>
      </c>
      <c r="BO4" s="47" t="n">
        <v>62</v>
      </c>
      <c r="BP4" s="47" t="n">
        <v>63</v>
      </c>
      <c r="BQ4" s="47" t="n">
        <v>64</v>
      </c>
      <c r="BR4" s="47" t="n">
        <v>65</v>
      </c>
      <c r="BS4" s="47" t="n">
        <v>66</v>
      </c>
      <c r="BT4" s="47" t="n">
        <v>67</v>
      </c>
      <c r="BU4" s="47" t="n">
        <v>68</v>
      </c>
      <c r="BV4" s="47" t="n">
        <v>69</v>
      </c>
      <c r="BW4" s="47" t="n">
        <v>70</v>
      </c>
      <c r="BX4" s="47" t="n">
        <v>71</v>
      </c>
      <c r="BY4" s="47" t="n">
        <v>72</v>
      </c>
      <c r="BZ4" s="47" t="n">
        <v>73</v>
      </c>
      <c r="CA4" s="47" t="n">
        <v>74</v>
      </c>
      <c r="CB4" s="47" t="n">
        <v>75</v>
      </c>
      <c r="CC4" s="47" t="n">
        <v>76</v>
      </c>
      <c r="CD4" s="47" t="n">
        <v>77</v>
      </c>
      <c r="CE4" s="47" t="n">
        <v>78</v>
      </c>
      <c r="CF4" s="47" t="n">
        <v>79</v>
      </c>
      <c r="CG4" s="47" t="n">
        <v>80</v>
      </c>
      <c r="CH4" s="47" t="n">
        <v>81</v>
      </c>
      <c r="CI4" s="47" t="n">
        <v>82</v>
      </c>
      <c r="CJ4" s="47" t="n">
        <v>83</v>
      </c>
      <c r="CK4" s="47" t="n">
        <v>84</v>
      </c>
      <c r="CL4" s="47" t="n">
        <v>85</v>
      </c>
      <c r="CM4" s="47" t="n">
        <v>86</v>
      </c>
      <c r="CN4" s="47" t="n">
        <v>87</v>
      </c>
      <c r="CO4" s="47" t="n">
        <v>88</v>
      </c>
      <c r="CP4" s="47" t="n">
        <v>89</v>
      </c>
      <c r="CQ4" s="47" t="n">
        <v>90</v>
      </c>
      <c r="CR4" s="47" t="n">
        <v>91</v>
      </c>
      <c r="CS4" s="47" t="n">
        <v>92</v>
      </c>
      <c r="CT4" s="47" t="n">
        <v>93</v>
      </c>
      <c r="CU4" s="47" t="n">
        <v>94</v>
      </c>
      <c r="CV4" s="47" t="n">
        <v>95</v>
      </c>
      <c r="CW4" s="47" t="n">
        <v>96</v>
      </c>
      <c r="CX4" s="47" t="n">
        <v>97</v>
      </c>
      <c r="CY4" s="47" t="n">
        <v>98</v>
      </c>
      <c r="CZ4" s="47" t="n">
        <v>99</v>
      </c>
      <c r="DA4" s="47" t="n">
        <v>100</v>
      </c>
      <c r="DB4" s="47" t="n">
        <v>101</v>
      </c>
      <c r="DC4" s="47" t="n">
        <v>102</v>
      </c>
      <c r="DD4" s="47" t="n">
        <v>103</v>
      </c>
      <c r="DE4" s="47" t="n">
        <v>104</v>
      </c>
      <c r="DF4" s="47" t="n">
        <v>105</v>
      </c>
      <c r="DG4" s="47" t="n">
        <v>106</v>
      </c>
      <c r="DH4" s="47" t="n">
        <v>107</v>
      </c>
      <c r="DI4" s="47" t="n">
        <v>108</v>
      </c>
      <c r="DJ4" s="47" t="n">
        <v>109</v>
      </c>
      <c r="DK4" s="47" t="n">
        <v>110</v>
      </c>
      <c r="DL4" s="47" t="n">
        <v>111</v>
      </c>
      <c r="DM4" s="47" t="n">
        <v>112</v>
      </c>
      <c r="DN4" s="47" t="n">
        <v>113</v>
      </c>
      <c r="DO4" s="47" t="n">
        <v>114</v>
      </c>
      <c r="DP4" s="47" t="n">
        <v>115</v>
      </c>
      <c r="DQ4" s="47" t="n">
        <v>116</v>
      </c>
      <c r="DR4" s="47" t="n">
        <v>117</v>
      </c>
      <c r="DS4" s="47" t="n">
        <v>118</v>
      </c>
      <c r="DT4" s="47" t="n">
        <v>119</v>
      </c>
      <c r="DU4" s="47" t="n">
        <v>120</v>
      </c>
      <c r="DV4" s="47" t="n">
        <v>121</v>
      </c>
      <c r="DW4" s="47" t="n">
        <v>122</v>
      </c>
      <c r="DX4" s="47" t="n">
        <v>123</v>
      </c>
      <c r="DY4" s="47" t="n">
        <v>124</v>
      </c>
      <c r="DZ4" s="47" t="n">
        <v>125</v>
      </c>
      <c r="EA4" s="47" t="n">
        <v>126</v>
      </c>
      <c r="EB4" s="47" t="n">
        <v>127</v>
      </c>
      <c r="EC4" s="47" t="n">
        <v>128</v>
      </c>
      <c r="ED4" s="47" t="n">
        <v>129</v>
      </c>
      <c r="EE4" s="47" t="n">
        <v>130</v>
      </c>
      <c r="EF4" s="47" t="n">
        <v>131</v>
      </c>
      <c r="EG4" s="47" t="n">
        <v>132</v>
      </c>
      <c r="EH4" s="47" t="n">
        <v>133</v>
      </c>
      <c r="EI4" s="47" t="n">
        <v>134</v>
      </c>
      <c r="EJ4" s="47" t="n">
        <v>135</v>
      </c>
      <c r="EK4" s="47" t="n">
        <v>136</v>
      </c>
      <c r="EL4" s="47" t="n">
        <v>137</v>
      </c>
      <c r="EM4" s="47" t="n">
        <v>138</v>
      </c>
      <c r="EN4" s="47" t="n">
        <v>139</v>
      </c>
      <c r="EO4" s="47" t="n">
        <v>140</v>
      </c>
      <c r="EP4" s="47" t="n">
        <v>141</v>
      </c>
      <c r="EQ4" s="47" t="n">
        <v>142</v>
      </c>
      <c r="ER4" s="47" t="n">
        <v>143</v>
      </c>
      <c r="ES4" s="47" t="n">
        <v>144</v>
      </c>
    </row>
    <row r="5" customFormat="false" ht="15" hidden="false" customHeight="false" outlineLevel="0" collapsed="false">
      <c r="A5" s="2" t="s">
        <v>559</v>
      </c>
      <c r="B5" s="11" t="s">
        <v>458</v>
      </c>
      <c r="F5" s="48" t="str">
        <f aca="false">IF(n_Fecha1="","",EOMONTH(n_Fecha1,1-1))</f>
        <v/>
      </c>
      <c r="G5" s="48" t="str">
        <f aca="false">IF(n_Fecha1="","",EOMONTH(n_Fecha1,2-1))</f>
        <v/>
      </c>
      <c r="H5" s="48" t="str">
        <f aca="false">IF(n_Fecha1="","",EOMONTH(n_Fecha1,3-1))</f>
        <v/>
      </c>
      <c r="I5" s="48" t="str">
        <f aca="false">IF(n_Fecha1="","",EOMONTH(n_Fecha1,4-1))</f>
        <v/>
      </c>
      <c r="J5" s="48" t="str">
        <f aca="false">IF(n_Fecha1="","",EOMONTH(n_Fecha1,5-1))</f>
        <v/>
      </c>
      <c r="K5" s="48" t="str">
        <f aca="false">IF(n_Fecha1="","",EOMONTH(n_Fecha1,6-1))</f>
        <v/>
      </c>
      <c r="L5" s="48" t="str">
        <f aca="false">IF(n_Fecha1="","",EOMONTH(n_Fecha1,7-1))</f>
        <v/>
      </c>
      <c r="M5" s="48" t="str">
        <f aca="false">IF(n_Fecha1="","",EOMONTH(n_Fecha1,8-1))</f>
        <v/>
      </c>
      <c r="N5" s="48" t="str">
        <f aca="false">IF(n_Fecha1="","",EOMONTH(n_Fecha1,9-1))</f>
        <v/>
      </c>
      <c r="O5" s="48" t="str">
        <f aca="false">IF(n_Fecha1="","",EOMONTH(n_Fecha1,10-1))</f>
        <v/>
      </c>
      <c r="P5" s="48" t="str">
        <f aca="false">IF(n_Fecha1="","",EOMONTH(n_Fecha1,11-1))</f>
        <v/>
      </c>
      <c r="Q5" s="48" t="str">
        <f aca="false">IF(n_Fecha1="","",EOMONTH(n_Fecha1,12-1))</f>
        <v/>
      </c>
      <c r="R5" s="48" t="str">
        <f aca="false">IF(n_Fecha1="","",EOMONTH(n_Fecha1,13-1))</f>
        <v/>
      </c>
      <c r="S5" s="48" t="str">
        <f aca="false">IF(n_Fecha1="","",EOMONTH(n_Fecha1,14-1))</f>
        <v/>
      </c>
      <c r="T5" s="48" t="str">
        <f aca="false">IF(n_Fecha1="","",EOMONTH(n_Fecha1,15-1))</f>
        <v/>
      </c>
      <c r="U5" s="48" t="str">
        <f aca="false">IF(n_Fecha1="","",EOMONTH(n_Fecha1,16-1))</f>
        <v/>
      </c>
      <c r="V5" s="48" t="str">
        <f aca="false">IF(n_Fecha1="","",EOMONTH(n_Fecha1,17-1))</f>
        <v/>
      </c>
      <c r="W5" s="48" t="str">
        <f aca="false">IF(n_Fecha1="","",EOMONTH(n_Fecha1,18-1))</f>
        <v/>
      </c>
      <c r="X5" s="48" t="str">
        <f aca="false">IF(n_Fecha1="","",EOMONTH(n_Fecha1,19-1))</f>
        <v/>
      </c>
      <c r="Y5" s="48" t="str">
        <f aca="false">IF(n_Fecha1="","",EOMONTH(n_Fecha1,20-1))</f>
        <v/>
      </c>
      <c r="Z5" s="48" t="str">
        <f aca="false">IF(n_Fecha1="","",EOMONTH(n_Fecha1,21-1))</f>
        <v/>
      </c>
      <c r="AA5" s="48" t="str">
        <f aca="false">IF(n_Fecha1="","",EOMONTH(n_Fecha1,22-1))</f>
        <v/>
      </c>
      <c r="AB5" s="48" t="str">
        <f aca="false">IF(n_Fecha1="","",EOMONTH(n_Fecha1,23-1))</f>
        <v/>
      </c>
      <c r="AC5" s="48" t="str">
        <f aca="false">IF(n_Fecha1="","",EOMONTH(n_Fecha1,24-1))</f>
        <v/>
      </c>
      <c r="AD5" s="48" t="str">
        <f aca="false">IF(n_Fecha1="","",EOMONTH(n_Fecha1,25-1))</f>
        <v/>
      </c>
      <c r="AE5" s="48" t="str">
        <f aca="false">IF(n_Fecha1="","",EOMONTH(n_Fecha1,26-1))</f>
        <v/>
      </c>
      <c r="AF5" s="48" t="str">
        <f aca="false">IF(n_Fecha1="","",EOMONTH(n_Fecha1,27-1))</f>
        <v/>
      </c>
      <c r="AG5" s="48" t="str">
        <f aca="false">IF(n_Fecha1="","",EOMONTH(n_Fecha1,28-1))</f>
        <v/>
      </c>
      <c r="AH5" s="48" t="str">
        <f aca="false">IF(n_Fecha1="","",EOMONTH(n_Fecha1,29-1))</f>
        <v/>
      </c>
      <c r="AI5" s="48" t="str">
        <f aca="false">IF(n_Fecha1="","",EOMONTH(n_Fecha1,30-1))</f>
        <v/>
      </c>
      <c r="AJ5" s="48" t="str">
        <f aca="false">IF(n_Fecha1="","",EOMONTH(n_Fecha1,31-1))</f>
        <v/>
      </c>
      <c r="AK5" s="48" t="str">
        <f aca="false">IF(n_Fecha1="","",EOMONTH(n_Fecha1,32-1))</f>
        <v/>
      </c>
      <c r="AL5" s="48" t="str">
        <f aca="false">IF(n_Fecha1="","",EOMONTH(n_Fecha1,33-1))</f>
        <v/>
      </c>
      <c r="AM5" s="48" t="str">
        <f aca="false">IF(n_Fecha1="","",EOMONTH(n_Fecha1,34-1))</f>
        <v/>
      </c>
      <c r="AN5" s="48" t="str">
        <f aca="false">IF(n_Fecha1="","",EOMONTH(n_Fecha1,35-1))</f>
        <v/>
      </c>
      <c r="AO5" s="48" t="str">
        <f aca="false">IF(n_Fecha1="","",EOMONTH(n_Fecha1,36-1))</f>
        <v/>
      </c>
      <c r="AP5" s="48" t="str">
        <f aca="false">IF(n_Fecha1="","",EOMONTH(n_Fecha1,37-1))</f>
        <v/>
      </c>
      <c r="AQ5" s="48" t="str">
        <f aca="false">IF(n_Fecha1="","",EOMONTH(n_Fecha1,38-1))</f>
        <v/>
      </c>
      <c r="AR5" s="48" t="str">
        <f aca="false">IF(n_Fecha1="","",EOMONTH(n_Fecha1,39-1))</f>
        <v/>
      </c>
      <c r="AS5" s="48" t="str">
        <f aca="false">IF(n_Fecha1="","",EOMONTH(n_Fecha1,40-1))</f>
        <v/>
      </c>
      <c r="AT5" s="48" t="str">
        <f aca="false">IF(n_Fecha1="","",EOMONTH(n_Fecha1,41-1))</f>
        <v/>
      </c>
      <c r="AU5" s="48" t="str">
        <f aca="false">IF(n_Fecha1="","",EOMONTH(n_Fecha1,42-1))</f>
        <v/>
      </c>
      <c r="AV5" s="48" t="str">
        <f aca="false">IF(n_Fecha1="","",EOMONTH(n_Fecha1,43-1))</f>
        <v/>
      </c>
      <c r="AW5" s="48" t="str">
        <f aca="false">IF(n_Fecha1="","",EOMONTH(n_Fecha1,44-1))</f>
        <v/>
      </c>
      <c r="AX5" s="48" t="str">
        <f aca="false">IF(n_Fecha1="","",EOMONTH(n_Fecha1,45-1))</f>
        <v/>
      </c>
      <c r="AY5" s="48" t="str">
        <f aca="false">IF(n_Fecha1="","",EOMONTH(n_Fecha1,46-1))</f>
        <v/>
      </c>
      <c r="AZ5" s="48" t="str">
        <f aca="false">IF(n_Fecha1="","",EOMONTH(n_Fecha1,47-1))</f>
        <v/>
      </c>
      <c r="BA5" s="48" t="str">
        <f aca="false">IF(n_Fecha1="","",EOMONTH(n_Fecha1,48-1))</f>
        <v/>
      </c>
      <c r="BB5" s="48" t="str">
        <f aca="false">IF(n_Fecha1="","",EOMONTH(n_Fecha1,49-1))</f>
        <v/>
      </c>
      <c r="BC5" s="48" t="str">
        <f aca="false">IF(n_Fecha1="","",EOMONTH(n_Fecha1,50-1))</f>
        <v/>
      </c>
      <c r="BD5" s="48" t="str">
        <f aca="false">IF(n_Fecha1="","",EOMONTH(n_Fecha1,51-1))</f>
        <v/>
      </c>
      <c r="BE5" s="48" t="str">
        <f aca="false">IF(n_Fecha1="","",EOMONTH(n_Fecha1,52-1))</f>
        <v/>
      </c>
      <c r="BF5" s="48" t="str">
        <f aca="false">IF(n_Fecha1="","",EOMONTH(n_Fecha1,53-1))</f>
        <v/>
      </c>
      <c r="BG5" s="48" t="str">
        <f aca="false">IF(n_Fecha1="","",EOMONTH(n_Fecha1,54-1))</f>
        <v/>
      </c>
      <c r="BH5" s="48" t="str">
        <f aca="false">IF(n_Fecha1="","",EOMONTH(n_Fecha1,55-1))</f>
        <v/>
      </c>
      <c r="BI5" s="48" t="str">
        <f aca="false">IF(n_Fecha1="","",EOMONTH(n_Fecha1,56-1))</f>
        <v/>
      </c>
      <c r="BJ5" s="48" t="str">
        <f aca="false">IF(n_Fecha1="","",EOMONTH(n_Fecha1,57-1))</f>
        <v/>
      </c>
      <c r="BK5" s="48" t="str">
        <f aca="false">IF(n_Fecha1="","",EOMONTH(n_Fecha1,58-1))</f>
        <v/>
      </c>
      <c r="BL5" s="48" t="str">
        <f aca="false">IF(n_Fecha1="","",EOMONTH(n_Fecha1,59-1))</f>
        <v/>
      </c>
      <c r="BM5" s="48" t="str">
        <f aca="false">IF(n_Fecha1="","",EOMONTH(n_Fecha1,60-1))</f>
        <v/>
      </c>
      <c r="BN5" s="48" t="str">
        <f aca="false">IF(n_Fecha1="","",EOMONTH(n_Fecha1,61-1))</f>
        <v/>
      </c>
      <c r="BO5" s="48" t="str">
        <f aca="false">IF(n_Fecha1="","",EOMONTH(n_Fecha1,62-1))</f>
        <v/>
      </c>
      <c r="BP5" s="48" t="str">
        <f aca="false">IF(n_Fecha1="","",EOMONTH(n_Fecha1,63-1))</f>
        <v/>
      </c>
      <c r="BQ5" s="48" t="str">
        <f aca="false">IF(n_Fecha1="","",EOMONTH(n_Fecha1,64-1))</f>
        <v/>
      </c>
      <c r="BR5" s="48" t="str">
        <f aca="false">IF(n_Fecha1="","",EOMONTH(n_Fecha1,65-1))</f>
        <v/>
      </c>
      <c r="BS5" s="48" t="str">
        <f aca="false">IF(n_Fecha1="","",EOMONTH(n_Fecha1,66-1))</f>
        <v/>
      </c>
      <c r="BT5" s="48" t="str">
        <f aca="false">IF(n_Fecha1="","",EOMONTH(n_Fecha1,67-1))</f>
        <v/>
      </c>
      <c r="BU5" s="48" t="str">
        <f aca="false">IF(n_Fecha1="","",EOMONTH(n_Fecha1,68-1))</f>
        <v/>
      </c>
      <c r="BV5" s="48" t="str">
        <f aca="false">IF(n_Fecha1="","",EOMONTH(n_Fecha1,69-1))</f>
        <v/>
      </c>
      <c r="BW5" s="48" t="str">
        <f aca="false">IF(n_Fecha1="","",EOMONTH(n_Fecha1,70-1))</f>
        <v/>
      </c>
      <c r="BX5" s="48" t="str">
        <f aca="false">IF(n_Fecha1="","",EOMONTH(n_Fecha1,71-1))</f>
        <v/>
      </c>
      <c r="BY5" s="48" t="str">
        <f aca="false">IF(n_Fecha1="","",EOMONTH(n_Fecha1,72-1))</f>
        <v/>
      </c>
      <c r="BZ5" s="48" t="str">
        <f aca="false">IF(n_Fecha1="","",EOMONTH(n_Fecha1,73-1))</f>
        <v/>
      </c>
      <c r="CA5" s="48" t="str">
        <f aca="false">IF(n_Fecha1="","",EOMONTH(n_Fecha1,74-1))</f>
        <v/>
      </c>
      <c r="CB5" s="48" t="str">
        <f aca="false">IF(n_Fecha1="","",EOMONTH(n_Fecha1,75-1))</f>
        <v/>
      </c>
      <c r="CC5" s="48" t="str">
        <f aca="false">IF(n_Fecha1="","",EOMONTH(n_Fecha1,76-1))</f>
        <v/>
      </c>
      <c r="CD5" s="48" t="str">
        <f aca="false">IF(n_Fecha1="","",EOMONTH(n_Fecha1,77-1))</f>
        <v/>
      </c>
      <c r="CE5" s="48" t="str">
        <f aca="false">IF(n_Fecha1="","",EOMONTH(n_Fecha1,78-1))</f>
        <v/>
      </c>
      <c r="CF5" s="48" t="str">
        <f aca="false">IF(n_Fecha1="","",EOMONTH(n_Fecha1,79-1))</f>
        <v/>
      </c>
      <c r="CG5" s="48" t="str">
        <f aca="false">IF(n_Fecha1="","",EOMONTH(n_Fecha1,80-1))</f>
        <v/>
      </c>
      <c r="CH5" s="48" t="str">
        <f aca="false">IF(n_Fecha1="","",EOMONTH(n_Fecha1,81-1))</f>
        <v/>
      </c>
      <c r="CI5" s="48" t="str">
        <f aca="false">IF(n_Fecha1="","",EOMONTH(n_Fecha1,82-1))</f>
        <v/>
      </c>
      <c r="CJ5" s="48" t="str">
        <f aca="false">IF(n_Fecha1="","",EOMONTH(n_Fecha1,83-1))</f>
        <v/>
      </c>
      <c r="CK5" s="48" t="str">
        <f aca="false">IF(n_Fecha1="","",EOMONTH(n_Fecha1,84-1))</f>
        <v/>
      </c>
      <c r="CL5" s="48" t="str">
        <f aca="false">IF(n_Fecha1="","",EOMONTH(n_Fecha1,85-1))</f>
        <v/>
      </c>
      <c r="CM5" s="48" t="str">
        <f aca="false">IF(n_Fecha1="","",EOMONTH(n_Fecha1,86-1))</f>
        <v/>
      </c>
      <c r="CN5" s="48" t="str">
        <f aca="false">IF(n_Fecha1="","",EOMONTH(n_Fecha1,87-1))</f>
        <v/>
      </c>
      <c r="CO5" s="48" t="str">
        <f aca="false">IF(n_Fecha1="","",EOMONTH(n_Fecha1,88-1))</f>
        <v/>
      </c>
      <c r="CP5" s="48" t="str">
        <f aca="false">IF(n_Fecha1="","",EOMONTH(n_Fecha1,89-1))</f>
        <v/>
      </c>
      <c r="CQ5" s="48" t="str">
        <f aca="false">IF(n_Fecha1="","",EOMONTH(n_Fecha1,90-1))</f>
        <v/>
      </c>
      <c r="CR5" s="48" t="str">
        <f aca="false">IF(n_Fecha1="","",EOMONTH(n_Fecha1,91-1))</f>
        <v/>
      </c>
      <c r="CS5" s="48" t="str">
        <f aca="false">IF(n_Fecha1="","",EOMONTH(n_Fecha1,92-1))</f>
        <v/>
      </c>
      <c r="CT5" s="48" t="str">
        <f aca="false">IF(n_Fecha1="","",EOMONTH(n_Fecha1,93-1))</f>
        <v/>
      </c>
      <c r="CU5" s="48" t="str">
        <f aca="false">IF(n_Fecha1="","",EOMONTH(n_Fecha1,94-1))</f>
        <v/>
      </c>
      <c r="CV5" s="48" t="str">
        <f aca="false">IF(n_Fecha1="","",EOMONTH(n_Fecha1,95-1))</f>
        <v/>
      </c>
      <c r="CW5" s="48" t="str">
        <f aca="false">IF(n_Fecha1="","",EOMONTH(n_Fecha1,96-1))</f>
        <v/>
      </c>
      <c r="CX5" s="48" t="str">
        <f aca="false">IF(n_Fecha1="","",EOMONTH(n_Fecha1,97-1))</f>
        <v/>
      </c>
      <c r="CY5" s="48" t="str">
        <f aca="false">IF(n_Fecha1="","",EOMONTH(n_Fecha1,98-1))</f>
        <v/>
      </c>
      <c r="CZ5" s="48" t="str">
        <f aca="false">IF(n_Fecha1="","",EOMONTH(n_Fecha1,99-1))</f>
        <v/>
      </c>
      <c r="DA5" s="48" t="str">
        <f aca="false">IF(n_Fecha1="","",EOMONTH(n_Fecha1,100-1))</f>
        <v/>
      </c>
      <c r="DB5" s="48" t="str">
        <f aca="false">IF(n_Fecha1="","",EOMONTH(n_Fecha1,101-1))</f>
        <v/>
      </c>
      <c r="DC5" s="48" t="str">
        <f aca="false">IF(n_Fecha1="","",EOMONTH(n_Fecha1,102-1))</f>
        <v/>
      </c>
      <c r="DD5" s="48" t="str">
        <f aca="false">IF(n_Fecha1="","",EOMONTH(n_Fecha1,103-1))</f>
        <v/>
      </c>
      <c r="DE5" s="48" t="str">
        <f aca="false">IF(n_Fecha1="","",EOMONTH(n_Fecha1,104-1))</f>
        <v/>
      </c>
      <c r="DF5" s="48" t="str">
        <f aca="false">IF(n_Fecha1="","",EOMONTH(n_Fecha1,105-1))</f>
        <v/>
      </c>
      <c r="DG5" s="48" t="str">
        <f aca="false">IF(n_Fecha1="","",EOMONTH(n_Fecha1,106-1))</f>
        <v/>
      </c>
      <c r="DH5" s="48" t="str">
        <f aca="false">IF(n_Fecha1="","",EOMONTH(n_Fecha1,107-1))</f>
        <v/>
      </c>
      <c r="DI5" s="48" t="str">
        <f aca="false">IF(n_Fecha1="","",EOMONTH(n_Fecha1,108-1))</f>
        <v/>
      </c>
      <c r="DJ5" s="48" t="str">
        <f aca="false">IF(n_Fecha1="","",EOMONTH(n_Fecha1,109-1))</f>
        <v/>
      </c>
      <c r="DK5" s="48" t="str">
        <f aca="false">IF(n_Fecha1="","",EOMONTH(n_Fecha1,110-1))</f>
        <v/>
      </c>
      <c r="DL5" s="48" t="str">
        <f aca="false">IF(n_Fecha1="","",EOMONTH(n_Fecha1,111-1))</f>
        <v/>
      </c>
      <c r="DM5" s="48" t="str">
        <f aca="false">IF(n_Fecha1="","",EOMONTH(n_Fecha1,112-1))</f>
        <v/>
      </c>
      <c r="DN5" s="48" t="str">
        <f aca="false">IF(n_Fecha1="","",EOMONTH(n_Fecha1,113-1))</f>
        <v/>
      </c>
      <c r="DO5" s="48" t="str">
        <f aca="false">IF(n_Fecha1="","",EOMONTH(n_Fecha1,114-1))</f>
        <v/>
      </c>
      <c r="DP5" s="48" t="str">
        <f aca="false">IF(n_Fecha1="","",EOMONTH(n_Fecha1,115-1))</f>
        <v/>
      </c>
      <c r="DQ5" s="48" t="str">
        <f aca="false">IF(n_Fecha1="","",EOMONTH(n_Fecha1,116-1))</f>
        <v/>
      </c>
      <c r="DR5" s="48" t="str">
        <f aca="false">IF(n_Fecha1="","",EOMONTH(n_Fecha1,117-1))</f>
        <v/>
      </c>
      <c r="DS5" s="48" t="str">
        <f aca="false">IF(n_Fecha1="","",EOMONTH(n_Fecha1,118-1))</f>
        <v/>
      </c>
      <c r="DT5" s="48" t="str">
        <f aca="false">IF(n_Fecha1="","",EOMONTH(n_Fecha1,119-1))</f>
        <v/>
      </c>
      <c r="DU5" s="48" t="str">
        <f aca="false">IF(n_Fecha1="","",EOMONTH(n_Fecha1,120-1))</f>
        <v/>
      </c>
      <c r="DV5" s="48" t="str">
        <f aca="false">IF(n_Fecha1="","",EOMONTH(n_Fecha1,121-1))</f>
        <v/>
      </c>
      <c r="DW5" s="48" t="str">
        <f aca="false">IF(n_Fecha1="","",EOMONTH(n_Fecha1,122-1))</f>
        <v/>
      </c>
      <c r="DX5" s="48" t="str">
        <f aca="false">IF(n_Fecha1="","",EOMONTH(n_Fecha1,123-1))</f>
        <v/>
      </c>
      <c r="DY5" s="48" t="str">
        <f aca="false">IF(n_Fecha1="","",EOMONTH(n_Fecha1,124-1))</f>
        <v/>
      </c>
      <c r="DZ5" s="48" t="str">
        <f aca="false">IF(n_Fecha1="","",EOMONTH(n_Fecha1,125-1))</f>
        <v/>
      </c>
      <c r="EA5" s="48" t="str">
        <f aca="false">IF(n_Fecha1="","",EOMONTH(n_Fecha1,126-1))</f>
        <v/>
      </c>
      <c r="EB5" s="48" t="str">
        <f aca="false">IF(n_Fecha1="","",EOMONTH(n_Fecha1,127-1))</f>
        <v/>
      </c>
      <c r="EC5" s="48" t="str">
        <f aca="false">IF(n_Fecha1="","",EOMONTH(n_Fecha1,128-1))</f>
        <v/>
      </c>
      <c r="ED5" s="48" t="str">
        <f aca="false">IF(n_Fecha1="","",EOMONTH(n_Fecha1,129-1))</f>
        <v/>
      </c>
      <c r="EE5" s="48" t="str">
        <f aca="false">IF(n_Fecha1="","",EOMONTH(n_Fecha1,130-1))</f>
        <v/>
      </c>
      <c r="EF5" s="48" t="str">
        <f aca="false">IF(n_Fecha1="","",EOMONTH(n_Fecha1,131-1))</f>
        <v/>
      </c>
      <c r="EG5" s="48" t="str">
        <f aca="false">IF(n_Fecha1="","",EOMONTH(n_Fecha1,132-1))</f>
        <v/>
      </c>
      <c r="EH5" s="48" t="str">
        <f aca="false">IF(n_Fecha1="","",EOMONTH(n_Fecha1,133-1))</f>
        <v/>
      </c>
      <c r="EI5" s="48" t="str">
        <f aca="false">IF(n_Fecha1="","",EOMONTH(n_Fecha1,134-1))</f>
        <v/>
      </c>
      <c r="EJ5" s="48" t="str">
        <f aca="false">IF(n_Fecha1="","",EOMONTH(n_Fecha1,135-1))</f>
        <v/>
      </c>
      <c r="EK5" s="48" t="str">
        <f aca="false">IF(n_Fecha1="","",EOMONTH(n_Fecha1,136-1))</f>
        <v/>
      </c>
      <c r="EL5" s="48" t="str">
        <f aca="false">IF(n_Fecha1="","",EOMONTH(n_Fecha1,137-1))</f>
        <v/>
      </c>
      <c r="EM5" s="48" t="str">
        <f aca="false">IF(n_Fecha1="","",EOMONTH(n_Fecha1,138-1))</f>
        <v/>
      </c>
      <c r="EN5" s="48" t="str">
        <f aca="false">IF(n_Fecha1="","",EOMONTH(n_Fecha1,139-1))</f>
        <v/>
      </c>
      <c r="EO5" s="48" t="str">
        <f aca="false">IF(n_Fecha1="","",EOMONTH(n_Fecha1,140-1))</f>
        <v/>
      </c>
      <c r="EP5" s="48" t="str">
        <f aca="false">IF(n_Fecha1="","",EOMONTH(n_Fecha1,141-1))</f>
        <v/>
      </c>
      <c r="EQ5" s="48" t="str">
        <f aca="false">IF(n_Fecha1="","",EOMONTH(n_Fecha1,142-1))</f>
        <v/>
      </c>
      <c r="ER5" s="48" t="str">
        <f aca="false">IF(n_Fecha1="","",EOMONTH(n_Fecha1,143-1))</f>
        <v/>
      </c>
      <c r="ES5" s="48" t="str">
        <f aca="false">IF(n_Fecha1="","",EOMONTH(n_Fecha1,144-1))</f>
        <v/>
      </c>
    </row>
    <row r="6" customFormat="false" ht="15" hidden="false" customHeight="false" outlineLevel="0" collapsed="false">
      <c r="A6" s="2" t="s">
        <v>560</v>
      </c>
      <c r="B6" s="11" t="s">
        <v>459</v>
      </c>
      <c r="F6" s="19" t="n">
        <f aca="false">ROUNDUP(1/12,0)</f>
        <v>1</v>
      </c>
      <c r="G6" s="19" t="n">
        <f aca="false">ROUNDUP(2/12,0)</f>
        <v>1</v>
      </c>
      <c r="H6" s="19" t="n">
        <f aca="false">ROUNDUP(3/12,0)</f>
        <v>1</v>
      </c>
      <c r="I6" s="19" t="n">
        <f aca="false">ROUNDUP(4/12,0)</f>
        <v>1</v>
      </c>
      <c r="J6" s="19" t="n">
        <f aca="false">ROUNDUP(5/12,0)</f>
        <v>1</v>
      </c>
      <c r="K6" s="19" t="n">
        <f aca="false">ROUNDUP(6/12,0)</f>
        <v>1</v>
      </c>
      <c r="L6" s="19" t="n">
        <f aca="false">ROUNDUP(7/12,0)</f>
        <v>1</v>
      </c>
      <c r="M6" s="19" t="n">
        <f aca="false">ROUNDUP(8/12,0)</f>
        <v>1</v>
      </c>
      <c r="N6" s="19" t="n">
        <f aca="false">ROUNDUP(9/12,0)</f>
        <v>1</v>
      </c>
      <c r="O6" s="19" t="n">
        <f aca="false">ROUNDUP(10/12,0)</f>
        <v>1</v>
      </c>
      <c r="P6" s="19" t="n">
        <f aca="false">ROUNDUP(11/12,0)</f>
        <v>1</v>
      </c>
      <c r="Q6" s="19" t="n">
        <f aca="false">ROUNDUP(12/12,0)</f>
        <v>1</v>
      </c>
      <c r="R6" s="19" t="n">
        <f aca="false">ROUNDUP(13/12,0)</f>
        <v>2</v>
      </c>
      <c r="S6" s="19" t="n">
        <f aca="false">ROUNDUP(14/12,0)</f>
        <v>2</v>
      </c>
      <c r="T6" s="19" t="n">
        <f aca="false">ROUNDUP(15/12,0)</f>
        <v>2</v>
      </c>
      <c r="U6" s="19" t="n">
        <f aca="false">ROUNDUP(16/12,0)</f>
        <v>2</v>
      </c>
      <c r="V6" s="19" t="n">
        <f aca="false">ROUNDUP(17/12,0)</f>
        <v>2</v>
      </c>
      <c r="W6" s="19" t="n">
        <f aca="false">ROUNDUP(18/12,0)</f>
        <v>2</v>
      </c>
      <c r="X6" s="19" t="n">
        <f aca="false">ROUNDUP(19/12,0)</f>
        <v>2</v>
      </c>
      <c r="Y6" s="19" t="n">
        <f aca="false">ROUNDUP(20/12,0)</f>
        <v>2</v>
      </c>
      <c r="Z6" s="19" t="n">
        <f aca="false">ROUNDUP(21/12,0)</f>
        <v>2</v>
      </c>
      <c r="AA6" s="19" t="n">
        <f aca="false">ROUNDUP(22/12,0)</f>
        <v>2</v>
      </c>
      <c r="AB6" s="19" t="n">
        <f aca="false">ROUNDUP(23/12,0)</f>
        <v>2</v>
      </c>
      <c r="AC6" s="19" t="n">
        <f aca="false">ROUNDUP(24/12,0)</f>
        <v>2</v>
      </c>
      <c r="AD6" s="19" t="n">
        <f aca="false">ROUNDUP(25/12,0)</f>
        <v>3</v>
      </c>
      <c r="AE6" s="19" t="n">
        <f aca="false">ROUNDUP(26/12,0)</f>
        <v>3</v>
      </c>
      <c r="AF6" s="19" t="n">
        <f aca="false">ROUNDUP(27/12,0)</f>
        <v>3</v>
      </c>
      <c r="AG6" s="19" t="n">
        <f aca="false">ROUNDUP(28/12,0)</f>
        <v>3</v>
      </c>
      <c r="AH6" s="19" t="n">
        <f aca="false">ROUNDUP(29/12,0)</f>
        <v>3</v>
      </c>
      <c r="AI6" s="19" t="n">
        <f aca="false">ROUNDUP(30/12,0)</f>
        <v>3</v>
      </c>
      <c r="AJ6" s="19" t="n">
        <f aca="false">ROUNDUP(31/12,0)</f>
        <v>3</v>
      </c>
      <c r="AK6" s="19" t="n">
        <f aca="false">ROUNDUP(32/12,0)</f>
        <v>3</v>
      </c>
      <c r="AL6" s="19" t="n">
        <f aca="false">ROUNDUP(33/12,0)</f>
        <v>3</v>
      </c>
      <c r="AM6" s="19" t="n">
        <f aca="false">ROUNDUP(34/12,0)</f>
        <v>3</v>
      </c>
      <c r="AN6" s="19" t="n">
        <f aca="false">ROUNDUP(35/12,0)</f>
        <v>3</v>
      </c>
      <c r="AO6" s="19" t="n">
        <f aca="false">ROUNDUP(36/12,0)</f>
        <v>3</v>
      </c>
      <c r="AP6" s="19" t="n">
        <f aca="false">ROUNDUP(37/12,0)</f>
        <v>4</v>
      </c>
      <c r="AQ6" s="19" t="n">
        <f aca="false">ROUNDUP(38/12,0)</f>
        <v>4</v>
      </c>
      <c r="AR6" s="19" t="n">
        <f aca="false">ROUNDUP(39/12,0)</f>
        <v>4</v>
      </c>
      <c r="AS6" s="19" t="n">
        <f aca="false">ROUNDUP(40/12,0)</f>
        <v>4</v>
      </c>
      <c r="AT6" s="19" t="n">
        <f aca="false">ROUNDUP(41/12,0)</f>
        <v>4</v>
      </c>
      <c r="AU6" s="19" t="n">
        <f aca="false">ROUNDUP(42/12,0)</f>
        <v>4</v>
      </c>
      <c r="AV6" s="19" t="n">
        <f aca="false">ROUNDUP(43/12,0)</f>
        <v>4</v>
      </c>
      <c r="AW6" s="19" t="n">
        <f aca="false">ROUNDUP(44/12,0)</f>
        <v>4</v>
      </c>
      <c r="AX6" s="19" t="n">
        <f aca="false">ROUNDUP(45/12,0)</f>
        <v>4</v>
      </c>
      <c r="AY6" s="19" t="n">
        <f aca="false">ROUNDUP(46/12,0)</f>
        <v>4</v>
      </c>
      <c r="AZ6" s="19" t="n">
        <f aca="false">ROUNDUP(47/12,0)</f>
        <v>4</v>
      </c>
      <c r="BA6" s="19" t="n">
        <f aca="false">ROUNDUP(48/12,0)</f>
        <v>4</v>
      </c>
      <c r="BB6" s="19" t="n">
        <f aca="false">ROUNDUP(49/12,0)</f>
        <v>5</v>
      </c>
      <c r="BC6" s="19" t="n">
        <f aca="false">ROUNDUP(50/12,0)</f>
        <v>5</v>
      </c>
      <c r="BD6" s="19" t="n">
        <f aca="false">ROUNDUP(51/12,0)</f>
        <v>5</v>
      </c>
      <c r="BE6" s="19" t="n">
        <f aca="false">ROUNDUP(52/12,0)</f>
        <v>5</v>
      </c>
      <c r="BF6" s="19" t="n">
        <f aca="false">ROUNDUP(53/12,0)</f>
        <v>5</v>
      </c>
      <c r="BG6" s="19" t="n">
        <f aca="false">ROUNDUP(54/12,0)</f>
        <v>5</v>
      </c>
      <c r="BH6" s="19" t="n">
        <f aca="false">ROUNDUP(55/12,0)</f>
        <v>5</v>
      </c>
      <c r="BI6" s="19" t="n">
        <f aca="false">ROUNDUP(56/12,0)</f>
        <v>5</v>
      </c>
      <c r="BJ6" s="19" t="n">
        <f aca="false">ROUNDUP(57/12,0)</f>
        <v>5</v>
      </c>
      <c r="BK6" s="19" t="n">
        <f aca="false">ROUNDUP(58/12,0)</f>
        <v>5</v>
      </c>
      <c r="BL6" s="19" t="n">
        <f aca="false">ROUNDUP(59/12,0)</f>
        <v>5</v>
      </c>
      <c r="BM6" s="19" t="n">
        <f aca="false">ROUNDUP(60/12,0)</f>
        <v>5</v>
      </c>
      <c r="BN6" s="19" t="n">
        <f aca="false">ROUNDUP(61/12,0)</f>
        <v>6</v>
      </c>
      <c r="BO6" s="19" t="n">
        <f aca="false">ROUNDUP(62/12,0)</f>
        <v>6</v>
      </c>
      <c r="BP6" s="19" t="n">
        <f aca="false">ROUNDUP(63/12,0)</f>
        <v>6</v>
      </c>
      <c r="BQ6" s="19" t="n">
        <f aca="false">ROUNDUP(64/12,0)</f>
        <v>6</v>
      </c>
      <c r="BR6" s="19" t="n">
        <f aca="false">ROUNDUP(65/12,0)</f>
        <v>6</v>
      </c>
      <c r="BS6" s="19" t="n">
        <f aca="false">ROUNDUP(66/12,0)</f>
        <v>6</v>
      </c>
      <c r="BT6" s="19" t="n">
        <f aca="false">ROUNDUP(67/12,0)</f>
        <v>6</v>
      </c>
      <c r="BU6" s="19" t="n">
        <f aca="false">ROUNDUP(68/12,0)</f>
        <v>6</v>
      </c>
      <c r="BV6" s="19" t="n">
        <f aca="false">ROUNDUP(69/12,0)</f>
        <v>6</v>
      </c>
      <c r="BW6" s="19" t="n">
        <f aca="false">ROUNDUP(70/12,0)</f>
        <v>6</v>
      </c>
      <c r="BX6" s="19" t="n">
        <f aca="false">ROUNDUP(71/12,0)</f>
        <v>6</v>
      </c>
      <c r="BY6" s="19" t="n">
        <f aca="false">ROUNDUP(72/12,0)</f>
        <v>6</v>
      </c>
      <c r="BZ6" s="19" t="n">
        <f aca="false">ROUNDUP(73/12,0)</f>
        <v>7</v>
      </c>
      <c r="CA6" s="19" t="n">
        <f aca="false">ROUNDUP(74/12,0)</f>
        <v>7</v>
      </c>
      <c r="CB6" s="19" t="n">
        <f aca="false">ROUNDUP(75/12,0)</f>
        <v>7</v>
      </c>
      <c r="CC6" s="19" t="n">
        <f aca="false">ROUNDUP(76/12,0)</f>
        <v>7</v>
      </c>
      <c r="CD6" s="19" t="n">
        <f aca="false">ROUNDUP(77/12,0)</f>
        <v>7</v>
      </c>
      <c r="CE6" s="19" t="n">
        <f aca="false">ROUNDUP(78/12,0)</f>
        <v>7</v>
      </c>
      <c r="CF6" s="19" t="n">
        <f aca="false">ROUNDUP(79/12,0)</f>
        <v>7</v>
      </c>
      <c r="CG6" s="19" t="n">
        <f aca="false">ROUNDUP(80/12,0)</f>
        <v>7</v>
      </c>
      <c r="CH6" s="19" t="n">
        <f aca="false">ROUNDUP(81/12,0)</f>
        <v>7</v>
      </c>
      <c r="CI6" s="19" t="n">
        <f aca="false">ROUNDUP(82/12,0)</f>
        <v>7</v>
      </c>
      <c r="CJ6" s="19" t="n">
        <f aca="false">ROUNDUP(83/12,0)</f>
        <v>7</v>
      </c>
      <c r="CK6" s="19" t="n">
        <f aca="false">ROUNDUP(84/12,0)</f>
        <v>7</v>
      </c>
      <c r="CL6" s="19" t="n">
        <f aca="false">ROUNDUP(85/12,0)</f>
        <v>8</v>
      </c>
      <c r="CM6" s="19" t="n">
        <f aca="false">ROUNDUP(86/12,0)</f>
        <v>8</v>
      </c>
      <c r="CN6" s="19" t="n">
        <f aca="false">ROUNDUP(87/12,0)</f>
        <v>8</v>
      </c>
      <c r="CO6" s="19" t="n">
        <f aca="false">ROUNDUP(88/12,0)</f>
        <v>8</v>
      </c>
      <c r="CP6" s="19" t="n">
        <f aca="false">ROUNDUP(89/12,0)</f>
        <v>8</v>
      </c>
      <c r="CQ6" s="19" t="n">
        <f aca="false">ROUNDUP(90/12,0)</f>
        <v>8</v>
      </c>
      <c r="CR6" s="19" t="n">
        <f aca="false">ROUNDUP(91/12,0)</f>
        <v>8</v>
      </c>
      <c r="CS6" s="19" t="n">
        <f aca="false">ROUNDUP(92/12,0)</f>
        <v>8</v>
      </c>
      <c r="CT6" s="19" t="n">
        <f aca="false">ROUNDUP(93/12,0)</f>
        <v>8</v>
      </c>
      <c r="CU6" s="19" t="n">
        <f aca="false">ROUNDUP(94/12,0)</f>
        <v>8</v>
      </c>
      <c r="CV6" s="19" t="n">
        <f aca="false">ROUNDUP(95/12,0)</f>
        <v>8</v>
      </c>
      <c r="CW6" s="19" t="n">
        <f aca="false">ROUNDUP(96/12,0)</f>
        <v>8</v>
      </c>
      <c r="CX6" s="19" t="n">
        <f aca="false">ROUNDUP(97/12,0)</f>
        <v>9</v>
      </c>
      <c r="CY6" s="19" t="n">
        <f aca="false">ROUNDUP(98/12,0)</f>
        <v>9</v>
      </c>
      <c r="CZ6" s="19" t="n">
        <f aca="false">ROUNDUP(99/12,0)</f>
        <v>9</v>
      </c>
      <c r="DA6" s="19" t="n">
        <f aca="false">ROUNDUP(100/12,0)</f>
        <v>9</v>
      </c>
      <c r="DB6" s="19" t="n">
        <f aca="false">ROUNDUP(101/12,0)</f>
        <v>9</v>
      </c>
      <c r="DC6" s="19" t="n">
        <f aca="false">ROUNDUP(102/12,0)</f>
        <v>9</v>
      </c>
      <c r="DD6" s="19" t="n">
        <f aca="false">ROUNDUP(103/12,0)</f>
        <v>9</v>
      </c>
      <c r="DE6" s="19" t="n">
        <f aca="false">ROUNDUP(104/12,0)</f>
        <v>9</v>
      </c>
      <c r="DF6" s="19" t="n">
        <f aca="false">ROUNDUP(105/12,0)</f>
        <v>9</v>
      </c>
      <c r="DG6" s="19" t="n">
        <f aca="false">ROUNDUP(106/12,0)</f>
        <v>9</v>
      </c>
      <c r="DH6" s="19" t="n">
        <f aca="false">ROUNDUP(107/12,0)</f>
        <v>9</v>
      </c>
      <c r="DI6" s="19" t="n">
        <f aca="false">ROUNDUP(108/12,0)</f>
        <v>9</v>
      </c>
      <c r="DJ6" s="19" t="n">
        <f aca="false">ROUNDUP(109/12,0)</f>
        <v>10</v>
      </c>
      <c r="DK6" s="19" t="n">
        <f aca="false">ROUNDUP(110/12,0)</f>
        <v>10</v>
      </c>
      <c r="DL6" s="19" t="n">
        <f aca="false">ROUNDUP(111/12,0)</f>
        <v>10</v>
      </c>
      <c r="DM6" s="19" t="n">
        <f aca="false">ROUNDUP(112/12,0)</f>
        <v>10</v>
      </c>
      <c r="DN6" s="19" t="n">
        <f aca="false">ROUNDUP(113/12,0)</f>
        <v>10</v>
      </c>
      <c r="DO6" s="19" t="n">
        <f aca="false">ROUNDUP(114/12,0)</f>
        <v>10</v>
      </c>
      <c r="DP6" s="19" t="n">
        <f aca="false">ROUNDUP(115/12,0)</f>
        <v>10</v>
      </c>
      <c r="DQ6" s="19" t="n">
        <f aca="false">ROUNDUP(116/12,0)</f>
        <v>10</v>
      </c>
      <c r="DR6" s="19" t="n">
        <f aca="false">ROUNDUP(117/12,0)</f>
        <v>10</v>
      </c>
      <c r="DS6" s="19" t="n">
        <f aca="false">ROUNDUP(118/12,0)</f>
        <v>10</v>
      </c>
      <c r="DT6" s="19" t="n">
        <f aca="false">ROUNDUP(119/12,0)</f>
        <v>10</v>
      </c>
      <c r="DU6" s="19" t="n">
        <f aca="false">ROUNDUP(120/12,0)</f>
        <v>10</v>
      </c>
      <c r="DV6" s="19" t="n">
        <f aca="false">ROUNDUP(121/12,0)</f>
        <v>11</v>
      </c>
      <c r="DW6" s="19" t="n">
        <f aca="false">ROUNDUP(122/12,0)</f>
        <v>11</v>
      </c>
      <c r="DX6" s="19" t="n">
        <f aca="false">ROUNDUP(123/12,0)</f>
        <v>11</v>
      </c>
      <c r="DY6" s="19" t="n">
        <f aca="false">ROUNDUP(124/12,0)</f>
        <v>11</v>
      </c>
      <c r="DZ6" s="19" t="n">
        <f aca="false">ROUNDUP(125/12,0)</f>
        <v>11</v>
      </c>
      <c r="EA6" s="19" t="n">
        <f aca="false">ROUNDUP(126/12,0)</f>
        <v>11</v>
      </c>
      <c r="EB6" s="19" t="n">
        <f aca="false">ROUNDUP(127/12,0)</f>
        <v>11</v>
      </c>
      <c r="EC6" s="19" t="n">
        <f aca="false">ROUNDUP(128/12,0)</f>
        <v>11</v>
      </c>
      <c r="ED6" s="19" t="n">
        <f aca="false">ROUNDUP(129/12,0)</f>
        <v>11</v>
      </c>
      <c r="EE6" s="19" t="n">
        <f aca="false">ROUNDUP(130/12,0)</f>
        <v>11</v>
      </c>
      <c r="EF6" s="19" t="n">
        <f aca="false">ROUNDUP(131/12,0)</f>
        <v>11</v>
      </c>
      <c r="EG6" s="19" t="n">
        <f aca="false">ROUNDUP(132/12,0)</f>
        <v>11</v>
      </c>
      <c r="EH6" s="19" t="n">
        <f aca="false">ROUNDUP(133/12,0)</f>
        <v>12</v>
      </c>
      <c r="EI6" s="19" t="n">
        <f aca="false">ROUNDUP(134/12,0)</f>
        <v>12</v>
      </c>
      <c r="EJ6" s="19" t="n">
        <f aca="false">ROUNDUP(135/12,0)</f>
        <v>12</v>
      </c>
      <c r="EK6" s="19" t="n">
        <f aca="false">ROUNDUP(136/12,0)</f>
        <v>12</v>
      </c>
      <c r="EL6" s="19" t="n">
        <f aca="false">ROUNDUP(137/12,0)</f>
        <v>12</v>
      </c>
      <c r="EM6" s="19" t="n">
        <f aca="false">ROUNDUP(138/12,0)</f>
        <v>12</v>
      </c>
      <c r="EN6" s="19" t="n">
        <f aca="false">ROUNDUP(139/12,0)</f>
        <v>12</v>
      </c>
      <c r="EO6" s="19" t="n">
        <f aca="false">ROUNDUP(140/12,0)</f>
        <v>12</v>
      </c>
      <c r="EP6" s="19" t="n">
        <f aca="false">ROUNDUP(141/12,0)</f>
        <v>12</v>
      </c>
      <c r="EQ6" s="19" t="n">
        <f aca="false">ROUNDUP(142/12,0)</f>
        <v>12</v>
      </c>
      <c r="ER6" s="19" t="n">
        <f aca="false">ROUNDUP(143/12,0)</f>
        <v>12</v>
      </c>
      <c r="ES6" s="19" t="n">
        <f aca="false">ROUNDUP(144/12,0)</f>
        <v>12</v>
      </c>
    </row>
    <row r="7" customFormat="false" ht="15" hidden="false" customHeight="false" outlineLevel="0" collapsed="false">
      <c r="A7" s="2" t="s">
        <v>101</v>
      </c>
      <c r="B7" s="11" t="s">
        <v>561</v>
      </c>
      <c r="F7" s="19" t="n">
        <f aca="false">MOD(1-1,12)+1</f>
        <v>1</v>
      </c>
      <c r="G7" s="19" t="n">
        <f aca="false">MOD(2-1,12)+1</f>
        <v>2</v>
      </c>
      <c r="H7" s="19" t="n">
        <f aca="false">MOD(3-1,12)+1</f>
        <v>3</v>
      </c>
      <c r="I7" s="19" t="n">
        <f aca="false">MOD(4-1,12)+1</f>
        <v>4</v>
      </c>
      <c r="J7" s="19" t="n">
        <f aca="false">MOD(5-1,12)+1</f>
        <v>5</v>
      </c>
      <c r="K7" s="19" t="n">
        <f aca="false">MOD(6-1,12)+1</f>
        <v>6</v>
      </c>
      <c r="L7" s="19" t="n">
        <f aca="false">MOD(7-1,12)+1</f>
        <v>7</v>
      </c>
      <c r="M7" s="19" t="n">
        <f aca="false">MOD(8-1,12)+1</f>
        <v>8</v>
      </c>
      <c r="N7" s="19" t="n">
        <f aca="false">MOD(9-1,12)+1</f>
        <v>9</v>
      </c>
      <c r="O7" s="19" t="n">
        <f aca="false">MOD(10-1,12)+1</f>
        <v>10</v>
      </c>
      <c r="P7" s="19" t="n">
        <f aca="false">MOD(11-1,12)+1</f>
        <v>11</v>
      </c>
      <c r="Q7" s="19" t="n">
        <f aca="false">MOD(12-1,12)+1</f>
        <v>12</v>
      </c>
      <c r="R7" s="19" t="n">
        <f aca="false">MOD(13-1,12)+1</f>
        <v>1</v>
      </c>
      <c r="S7" s="19" t="n">
        <f aca="false">MOD(14-1,12)+1</f>
        <v>2</v>
      </c>
      <c r="T7" s="19" t="n">
        <f aca="false">MOD(15-1,12)+1</f>
        <v>3</v>
      </c>
      <c r="U7" s="19" t="n">
        <f aca="false">MOD(16-1,12)+1</f>
        <v>4</v>
      </c>
      <c r="V7" s="19" t="n">
        <f aca="false">MOD(17-1,12)+1</f>
        <v>5</v>
      </c>
      <c r="W7" s="19" t="n">
        <f aca="false">MOD(18-1,12)+1</f>
        <v>6</v>
      </c>
      <c r="X7" s="19" t="n">
        <f aca="false">MOD(19-1,12)+1</f>
        <v>7</v>
      </c>
      <c r="Y7" s="19" t="n">
        <f aca="false">MOD(20-1,12)+1</f>
        <v>8</v>
      </c>
      <c r="Z7" s="19" t="n">
        <f aca="false">MOD(21-1,12)+1</f>
        <v>9</v>
      </c>
      <c r="AA7" s="19" t="n">
        <f aca="false">MOD(22-1,12)+1</f>
        <v>10</v>
      </c>
      <c r="AB7" s="19" t="n">
        <f aca="false">MOD(23-1,12)+1</f>
        <v>11</v>
      </c>
      <c r="AC7" s="19" t="n">
        <f aca="false">MOD(24-1,12)+1</f>
        <v>12</v>
      </c>
      <c r="AD7" s="19" t="n">
        <f aca="false">MOD(25-1,12)+1</f>
        <v>1</v>
      </c>
      <c r="AE7" s="19" t="n">
        <f aca="false">MOD(26-1,12)+1</f>
        <v>2</v>
      </c>
      <c r="AF7" s="19" t="n">
        <f aca="false">MOD(27-1,12)+1</f>
        <v>3</v>
      </c>
      <c r="AG7" s="19" t="n">
        <f aca="false">MOD(28-1,12)+1</f>
        <v>4</v>
      </c>
      <c r="AH7" s="19" t="n">
        <f aca="false">MOD(29-1,12)+1</f>
        <v>5</v>
      </c>
      <c r="AI7" s="19" t="n">
        <f aca="false">MOD(30-1,12)+1</f>
        <v>6</v>
      </c>
      <c r="AJ7" s="19" t="n">
        <f aca="false">MOD(31-1,12)+1</f>
        <v>7</v>
      </c>
      <c r="AK7" s="19" t="n">
        <f aca="false">MOD(32-1,12)+1</f>
        <v>8</v>
      </c>
      <c r="AL7" s="19" t="n">
        <f aca="false">MOD(33-1,12)+1</f>
        <v>9</v>
      </c>
      <c r="AM7" s="19" t="n">
        <f aca="false">MOD(34-1,12)+1</f>
        <v>10</v>
      </c>
      <c r="AN7" s="19" t="n">
        <f aca="false">MOD(35-1,12)+1</f>
        <v>11</v>
      </c>
      <c r="AO7" s="19" t="n">
        <f aca="false">MOD(36-1,12)+1</f>
        <v>12</v>
      </c>
      <c r="AP7" s="19" t="n">
        <f aca="false">MOD(37-1,12)+1</f>
        <v>1</v>
      </c>
      <c r="AQ7" s="19" t="n">
        <f aca="false">MOD(38-1,12)+1</f>
        <v>2</v>
      </c>
      <c r="AR7" s="19" t="n">
        <f aca="false">MOD(39-1,12)+1</f>
        <v>3</v>
      </c>
      <c r="AS7" s="19" t="n">
        <f aca="false">MOD(40-1,12)+1</f>
        <v>4</v>
      </c>
      <c r="AT7" s="19" t="n">
        <f aca="false">MOD(41-1,12)+1</f>
        <v>5</v>
      </c>
      <c r="AU7" s="19" t="n">
        <f aca="false">MOD(42-1,12)+1</f>
        <v>6</v>
      </c>
      <c r="AV7" s="19" t="n">
        <f aca="false">MOD(43-1,12)+1</f>
        <v>7</v>
      </c>
      <c r="AW7" s="19" t="n">
        <f aca="false">MOD(44-1,12)+1</f>
        <v>8</v>
      </c>
      <c r="AX7" s="19" t="n">
        <f aca="false">MOD(45-1,12)+1</f>
        <v>9</v>
      </c>
      <c r="AY7" s="19" t="n">
        <f aca="false">MOD(46-1,12)+1</f>
        <v>10</v>
      </c>
      <c r="AZ7" s="19" t="n">
        <f aca="false">MOD(47-1,12)+1</f>
        <v>11</v>
      </c>
      <c r="BA7" s="19" t="n">
        <f aca="false">MOD(48-1,12)+1</f>
        <v>12</v>
      </c>
      <c r="BB7" s="19" t="n">
        <f aca="false">MOD(49-1,12)+1</f>
        <v>1</v>
      </c>
      <c r="BC7" s="19" t="n">
        <f aca="false">MOD(50-1,12)+1</f>
        <v>2</v>
      </c>
      <c r="BD7" s="19" t="n">
        <f aca="false">MOD(51-1,12)+1</f>
        <v>3</v>
      </c>
      <c r="BE7" s="19" t="n">
        <f aca="false">MOD(52-1,12)+1</f>
        <v>4</v>
      </c>
      <c r="BF7" s="19" t="n">
        <f aca="false">MOD(53-1,12)+1</f>
        <v>5</v>
      </c>
      <c r="BG7" s="19" t="n">
        <f aca="false">MOD(54-1,12)+1</f>
        <v>6</v>
      </c>
      <c r="BH7" s="19" t="n">
        <f aca="false">MOD(55-1,12)+1</f>
        <v>7</v>
      </c>
      <c r="BI7" s="19" t="n">
        <f aca="false">MOD(56-1,12)+1</f>
        <v>8</v>
      </c>
      <c r="BJ7" s="19" t="n">
        <f aca="false">MOD(57-1,12)+1</f>
        <v>9</v>
      </c>
      <c r="BK7" s="19" t="n">
        <f aca="false">MOD(58-1,12)+1</f>
        <v>10</v>
      </c>
      <c r="BL7" s="19" t="n">
        <f aca="false">MOD(59-1,12)+1</f>
        <v>11</v>
      </c>
      <c r="BM7" s="19" t="n">
        <f aca="false">MOD(60-1,12)+1</f>
        <v>12</v>
      </c>
      <c r="BN7" s="19" t="n">
        <f aca="false">MOD(61-1,12)+1</f>
        <v>1</v>
      </c>
      <c r="BO7" s="19" t="n">
        <f aca="false">MOD(62-1,12)+1</f>
        <v>2</v>
      </c>
      <c r="BP7" s="19" t="n">
        <f aca="false">MOD(63-1,12)+1</f>
        <v>3</v>
      </c>
      <c r="BQ7" s="19" t="n">
        <f aca="false">MOD(64-1,12)+1</f>
        <v>4</v>
      </c>
      <c r="BR7" s="19" t="n">
        <f aca="false">MOD(65-1,12)+1</f>
        <v>5</v>
      </c>
      <c r="BS7" s="19" t="n">
        <f aca="false">MOD(66-1,12)+1</f>
        <v>6</v>
      </c>
      <c r="BT7" s="19" t="n">
        <f aca="false">MOD(67-1,12)+1</f>
        <v>7</v>
      </c>
      <c r="BU7" s="19" t="n">
        <f aca="false">MOD(68-1,12)+1</f>
        <v>8</v>
      </c>
      <c r="BV7" s="19" t="n">
        <f aca="false">MOD(69-1,12)+1</f>
        <v>9</v>
      </c>
      <c r="BW7" s="19" t="n">
        <f aca="false">MOD(70-1,12)+1</f>
        <v>10</v>
      </c>
      <c r="BX7" s="19" t="n">
        <f aca="false">MOD(71-1,12)+1</f>
        <v>11</v>
      </c>
      <c r="BY7" s="19" t="n">
        <f aca="false">MOD(72-1,12)+1</f>
        <v>12</v>
      </c>
      <c r="BZ7" s="19" t="n">
        <f aca="false">MOD(73-1,12)+1</f>
        <v>1</v>
      </c>
      <c r="CA7" s="19" t="n">
        <f aca="false">MOD(74-1,12)+1</f>
        <v>2</v>
      </c>
      <c r="CB7" s="19" t="n">
        <f aca="false">MOD(75-1,12)+1</f>
        <v>3</v>
      </c>
      <c r="CC7" s="19" t="n">
        <f aca="false">MOD(76-1,12)+1</f>
        <v>4</v>
      </c>
      <c r="CD7" s="19" t="n">
        <f aca="false">MOD(77-1,12)+1</f>
        <v>5</v>
      </c>
      <c r="CE7" s="19" t="n">
        <f aca="false">MOD(78-1,12)+1</f>
        <v>6</v>
      </c>
      <c r="CF7" s="19" t="n">
        <f aca="false">MOD(79-1,12)+1</f>
        <v>7</v>
      </c>
      <c r="CG7" s="19" t="n">
        <f aca="false">MOD(80-1,12)+1</f>
        <v>8</v>
      </c>
      <c r="CH7" s="19" t="n">
        <f aca="false">MOD(81-1,12)+1</f>
        <v>9</v>
      </c>
      <c r="CI7" s="19" t="n">
        <f aca="false">MOD(82-1,12)+1</f>
        <v>10</v>
      </c>
      <c r="CJ7" s="19" t="n">
        <f aca="false">MOD(83-1,12)+1</f>
        <v>11</v>
      </c>
      <c r="CK7" s="19" t="n">
        <f aca="false">MOD(84-1,12)+1</f>
        <v>12</v>
      </c>
      <c r="CL7" s="19" t="n">
        <f aca="false">MOD(85-1,12)+1</f>
        <v>1</v>
      </c>
      <c r="CM7" s="19" t="n">
        <f aca="false">MOD(86-1,12)+1</f>
        <v>2</v>
      </c>
      <c r="CN7" s="19" t="n">
        <f aca="false">MOD(87-1,12)+1</f>
        <v>3</v>
      </c>
      <c r="CO7" s="19" t="n">
        <f aca="false">MOD(88-1,12)+1</f>
        <v>4</v>
      </c>
      <c r="CP7" s="19" t="n">
        <f aca="false">MOD(89-1,12)+1</f>
        <v>5</v>
      </c>
      <c r="CQ7" s="19" t="n">
        <f aca="false">MOD(90-1,12)+1</f>
        <v>6</v>
      </c>
      <c r="CR7" s="19" t="n">
        <f aca="false">MOD(91-1,12)+1</f>
        <v>7</v>
      </c>
      <c r="CS7" s="19" t="n">
        <f aca="false">MOD(92-1,12)+1</f>
        <v>8</v>
      </c>
      <c r="CT7" s="19" t="n">
        <f aca="false">MOD(93-1,12)+1</f>
        <v>9</v>
      </c>
      <c r="CU7" s="19" t="n">
        <f aca="false">MOD(94-1,12)+1</f>
        <v>10</v>
      </c>
      <c r="CV7" s="19" t="n">
        <f aca="false">MOD(95-1,12)+1</f>
        <v>11</v>
      </c>
      <c r="CW7" s="19" t="n">
        <f aca="false">MOD(96-1,12)+1</f>
        <v>12</v>
      </c>
      <c r="CX7" s="19" t="n">
        <f aca="false">MOD(97-1,12)+1</f>
        <v>1</v>
      </c>
      <c r="CY7" s="19" t="n">
        <f aca="false">MOD(98-1,12)+1</f>
        <v>2</v>
      </c>
      <c r="CZ7" s="19" t="n">
        <f aca="false">MOD(99-1,12)+1</f>
        <v>3</v>
      </c>
      <c r="DA7" s="19" t="n">
        <f aca="false">MOD(100-1,12)+1</f>
        <v>4</v>
      </c>
      <c r="DB7" s="19" t="n">
        <f aca="false">MOD(101-1,12)+1</f>
        <v>5</v>
      </c>
      <c r="DC7" s="19" t="n">
        <f aca="false">MOD(102-1,12)+1</f>
        <v>6</v>
      </c>
      <c r="DD7" s="19" t="n">
        <f aca="false">MOD(103-1,12)+1</f>
        <v>7</v>
      </c>
      <c r="DE7" s="19" t="n">
        <f aca="false">MOD(104-1,12)+1</f>
        <v>8</v>
      </c>
      <c r="DF7" s="19" t="n">
        <f aca="false">MOD(105-1,12)+1</f>
        <v>9</v>
      </c>
      <c r="DG7" s="19" t="n">
        <f aca="false">MOD(106-1,12)+1</f>
        <v>10</v>
      </c>
      <c r="DH7" s="19" t="n">
        <f aca="false">MOD(107-1,12)+1</f>
        <v>11</v>
      </c>
      <c r="DI7" s="19" t="n">
        <f aca="false">MOD(108-1,12)+1</f>
        <v>12</v>
      </c>
      <c r="DJ7" s="19" t="n">
        <f aca="false">MOD(109-1,12)+1</f>
        <v>1</v>
      </c>
      <c r="DK7" s="19" t="n">
        <f aca="false">MOD(110-1,12)+1</f>
        <v>2</v>
      </c>
      <c r="DL7" s="19" t="n">
        <f aca="false">MOD(111-1,12)+1</f>
        <v>3</v>
      </c>
      <c r="DM7" s="19" t="n">
        <f aca="false">MOD(112-1,12)+1</f>
        <v>4</v>
      </c>
      <c r="DN7" s="19" t="n">
        <f aca="false">MOD(113-1,12)+1</f>
        <v>5</v>
      </c>
      <c r="DO7" s="19" t="n">
        <f aca="false">MOD(114-1,12)+1</f>
        <v>6</v>
      </c>
      <c r="DP7" s="19" t="n">
        <f aca="false">MOD(115-1,12)+1</f>
        <v>7</v>
      </c>
      <c r="DQ7" s="19" t="n">
        <f aca="false">MOD(116-1,12)+1</f>
        <v>8</v>
      </c>
      <c r="DR7" s="19" t="n">
        <f aca="false">MOD(117-1,12)+1</f>
        <v>9</v>
      </c>
      <c r="DS7" s="19" t="n">
        <f aca="false">MOD(118-1,12)+1</f>
        <v>10</v>
      </c>
      <c r="DT7" s="19" t="n">
        <f aca="false">MOD(119-1,12)+1</f>
        <v>11</v>
      </c>
      <c r="DU7" s="19" t="n">
        <f aca="false">MOD(120-1,12)+1</f>
        <v>12</v>
      </c>
      <c r="DV7" s="19" t="n">
        <f aca="false">MOD(121-1,12)+1</f>
        <v>1</v>
      </c>
      <c r="DW7" s="19" t="n">
        <f aca="false">MOD(122-1,12)+1</f>
        <v>2</v>
      </c>
      <c r="DX7" s="19" t="n">
        <f aca="false">MOD(123-1,12)+1</f>
        <v>3</v>
      </c>
      <c r="DY7" s="19" t="n">
        <f aca="false">MOD(124-1,12)+1</f>
        <v>4</v>
      </c>
      <c r="DZ7" s="19" t="n">
        <f aca="false">MOD(125-1,12)+1</f>
        <v>5</v>
      </c>
      <c r="EA7" s="19" t="n">
        <f aca="false">MOD(126-1,12)+1</f>
        <v>6</v>
      </c>
      <c r="EB7" s="19" t="n">
        <f aca="false">MOD(127-1,12)+1</f>
        <v>7</v>
      </c>
      <c r="EC7" s="19" t="n">
        <f aca="false">MOD(128-1,12)+1</f>
        <v>8</v>
      </c>
      <c r="ED7" s="19" t="n">
        <f aca="false">MOD(129-1,12)+1</f>
        <v>9</v>
      </c>
      <c r="EE7" s="19" t="n">
        <f aca="false">MOD(130-1,12)+1</f>
        <v>10</v>
      </c>
      <c r="EF7" s="19" t="n">
        <f aca="false">MOD(131-1,12)+1</f>
        <v>11</v>
      </c>
      <c r="EG7" s="19" t="n">
        <f aca="false">MOD(132-1,12)+1</f>
        <v>12</v>
      </c>
      <c r="EH7" s="19" t="n">
        <f aca="false">MOD(133-1,12)+1</f>
        <v>1</v>
      </c>
      <c r="EI7" s="19" t="n">
        <f aca="false">MOD(134-1,12)+1</f>
        <v>2</v>
      </c>
      <c r="EJ7" s="19" t="n">
        <f aca="false">MOD(135-1,12)+1</f>
        <v>3</v>
      </c>
      <c r="EK7" s="19" t="n">
        <f aca="false">MOD(136-1,12)+1</f>
        <v>4</v>
      </c>
      <c r="EL7" s="19" t="n">
        <f aca="false">MOD(137-1,12)+1</f>
        <v>5</v>
      </c>
      <c r="EM7" s="19" t="n">
        <f aca="false">MOD(138-1,12)+1</f>
        <v>6</v>
      </c>
      <c r="EN7" s="19" t="n">
        <f aca="false">MOD(139-1,12)+1</f>
        <v>7</v>
      </c>
      <c r="EO7" s="19" t="n">
        <f aca="false">MOD(140-1,12)+1</f>
        <v>8</v>
      </c>
      <c r="EP7" s="19" t="n">
        <f aca="false">MOD(141-1,12)+1</f>
        <v>9</v>
      </c>
      <c r="EQ7" s="19" t="n">
        <f aca="false">MOD(142-1,12)+1</f>
        <v>10</v>
      </c>
      <c r="ER7" s="19" t="n">
        <f aca="false">MOD(143-1,12)+1</f>
        <v>11</v>
      </c>
      <c r="ES7" s="19" t="n">
        <f aca="false">MOD(144-1,12)+1</f>
        <v>12</v>
      </c>
    </row>
    <row r="8" customFormat="false" ht="15" hidden="false" customHeight="false" outlineLevel="0" collapsed="false">
      <c r="A8" s="2" t="s">
        <v>562</v>
      </c>
      <c r="B8" s="11" t="s">
        <v>563</v>
      </c>
      <c r="F8" s="19" t="n">
        <f aca="false">IF(1&lt;=Corte,1,0)</f>
        <v>0</v>
      </c>
      <c r="G8" s="19" t="n">
        <f aca="false">IF(2&lt;=Corte,1,0)</f>
        <v>0</v>
      </c>
      <c r="H8" s="19" t="n">
        <f aca="false">IF(3&lt;=Corte,1,0)</f>
        <v>0</v>
      </c>
      <c r="I8" s="19" t="n">
        <f aca="false">IF(4&lt;=Corte,1,0)</f>
        <v>0</v>
      </c>
      <c r="J8" s="19" t="n">
        <f aca="false">IF(5&lt;=Corte,1,0)</f>
        <v>0</v>
      </c>
      <c r="K8" s="19" t="n">
        <f aca="false">IF(6&lt;=Corte,1,0)</f>
        <v>0</v>
      </c>
      <c r="L8" s="19" t="n">
        <f aca="false">IF(7&lt;=Corte,1,0)</f>
        <v>0</v>
      </c>
      <c r="M8" s="19" t="n">
        <f aca="false">IF(8&lt;=Corte,1,0)</f>
        <v>0</v>
      </c>
      <c r="N8" s="19" t="n">
        <f aca="false">IF(9&lt;=Corte,1,0)</f>
        <v>0</v>
      </c>
      <c r="O8" s="19" t="n">
        <f aca="false">IF(10&lt;=Corte,1,0)</f>
        <v>0</v>
      </c>
      <c r="P8" s="19" t="n">
        <f aca="false">IF(11&lt;=Corte,1,0)</f>
        <v>0</v>
      </c>
      <c r="Q8" s="19" t="n">
        <f aca="false">IF(12&lt;=Corte,1,0)</f>
        <v>0</v>
      </c>
      <c r="R8" s="19" t="n">
        <f aca="false">IF(13&lt;=Corte,1,0)</f>
        <v>0</v>
      </c>
      <c r="S8" s="19" t="n">
        <f aca="false">IF(14&lt;=Corte,1,0)</f>
        <v>0</v>
      </c>
      <c r="T8" s="19" t="n">
        <f aca="false">IF(15&lt;=Corte,1,0)</f>
        <v>0</v>
      </c>
      <c r="U8" s="19" t="n">
        <f aca="false">IF(16&lt;=Corte,1,0)</f>
        <v>0</v>
      </c>
      <c r="V8" s="19" t="n">
        <f aca="false">IF(17&lt;=Corte,1,0)</f>
        <v>0</v>
      </c>
      <c r="W8" s="19" t="n">
        <f aca="false">IF(18&lt;=Corte,1,0)</f>
        <v>0</v>
      </c>
      <c r="X8" s="19" t="n">
        <f aca="false">IF(19&lt;=Corte,1,0)</f>
        <v>0</v>
      </c>
      <c r="Y8" s="19" t="n">
        <f aca="false">IF(20&lt;=Corte,1,0)</f>
        <v>0</v>
      </c>
      <c r="Z8" s="19" t="n">
        <f aca="false">IF(21&lt;=Corte,1,0)</f>
        <v>0</v>
      </c>
      <c r="AA8" s="19" t="n">
        <f aca="false">IF(22&lt;=Corte,1,0)</f>
        <v>0</v>
      </c>
      <c r="AB8" s="19" t="n">
        <f aca="false">IF(23&lt;=Corte,1,0)</f>
        <v>0</v>
      </c>
      <c r="AC8" s="19" t="n">
        <f aca="false">IF(24&lt;=Corte,1,0)</f>
        <v>0</v>
      </c>
      <c r="AD8" s="19" t="n">
        <f aca="false">IF(25&lt;=Corte,1,0)</f>
        <v>0</v>
      </c>
      <c r="AE8" s="19" t="n">
        <f aca="false">IF(26&lt;=Corte,1,0)</f>
        <v>0</v>
      </c>
      <c r="AF8" s="19" t="n">
        <f aca="false">IF(27&lt;=Corte,1,0)</f>
        <v>0</v>
      </c>
      <c r="AG8" s="19" t="n">
        <f aca="false">IF(28&lt;=Corte,1,0)</f>
        <v>0</v>
      </c>
      <c r="AH8" s="19" t="n">
        <f aca="false">IF(29&lt;=Corte,1,0)</f>
        <v>0</v>
      </c>
      <c r="AI8" s="19" t="n">
        <f aca="false">IF(30&lt;=Corte,1,0)</f>
        <v>0</v>
      </c>
      <c r="AJ8" s="19" t="n">
        <f aca="false">IF(31&lt;=Corte,1,0)</f>
        <v>0</v>
      </c>
      <c r="AK8" s="19" t="n">
        <f aca="false">IF(32&lt;=Corte,1,0)</f>
        <v>0</v>
      </c>
      <c r="AL8" s="19" t="n">
        <f aca="false">IF(33&lt;=Corte,1,0)</f>
        <v>0</v>
      </c>
      <c r="AM8" s="19" t="n">
        <f aca="false">IF(34&lt;=Corte,1,0)</f>
        <v>0</v>
      </c>
      <c r="AN8" s="19" t="n">
        <f aca="false">IF(35&lt;=Corte,1,0)</f>
        <v>0</v>
      </c>
      <c r="AO8" s="19" t="n">
        <f aca="false">IF(36&lt;=Corte,1,0)</f>
        <v>0</v>
      </c>
      <c r="AP8" s="19" t="n">
        <f aca="false">IF(37&lt;=Corte,1,0)</f>
        <v>0</v>
      </c>
      <c r="AQ8" s="19" t="n">
        <f aca="false">IF(38&lt;=Corte,1,0)</f>
        <v>0</v>
      </c>
      <c r="AR8" s="19" t="n">
        <f aca="false">IF(39&lt;=Corte,1,0)</f>
        <v>0</v>
      </c>
      <c r="AS8" s="19" t="n">
        <f aca="false">IF(40&lt;=Corte,1,0)</f>
        <v>0</v>
      </c>
      <c r="AT8" s="19" t="n">
        <f aca="false">IF(41&lt;=Corte,1,0)</f>
        <v>0</v>
      </c>
      <c r="AU8" s="19" t="n">
        <f aca="false">IF(42&lt;=Corte,1,0)</f>
        <v>0</v>
      </c>
      <c r="AV8" s="19" t="n">
        <f aca="false">IF(43&lt;=Corte,1,0)</f>
        <v>0</v>
      </c>
      <c r="AW8" s="19" t="n">
        <f aca="false">IF(44&lt;=Corte,1,0)</f>
        <v>0</v>
      </c>
      <c r="AX8" s="19" t="n">
        <f aca="false">IF(45&lt;=Corte,1,0)</f>
        <v>0</v>
      </c>
      <c r="AY8" s="19" t="n">
        <f aca="false">IF(46&lt;=Corte,1,0)</f>
        <v>0</v>
      </c>
      <c r="AZ8" s="19" t="n">
        <f aca="false">IF(47&lt;=Corte,1,0)</f>
        <v>0</v>
      </c>
      <c r="BA8" s="19" t="n">
        <f aca="false">IF(48&lt;=Corte,1,0)</f>
        <v>0</v>
      </c>
      <c r="BB8" s="19" t="n">
        <f aca="false">IF(49&lt;=Corte,1,0)</f>
        <v>0</v>
      </c>
      <c r="BC8" s="19" t="n">
        <f aca="false">IF(50&lt;=Corte,1,0)</f>
        <v>0</v>
      </c>
      <c r="BD8" s="19" t="n">
        <f aca="false">IF(51&lt;=Corte,1,0)</f>
        <v>0</v>
      </c>
      <c r="BE8" s="19" t="n">
        <f aca="false">IF(52&lt;=Corte,1,0)</f>
        <v>0</v>
      </c>
      <c r="BF8" s="19" t="n">
        <f aca="false">IF(53&lt;=Corte,1,0)</f>
        <v>0</v>
      </c>
      <c r="BG8" s="19" t="n">
        <f aca="false">IF(54&lt;=Corte,1,0)</f>
        <v>0</v>
      </c>
      <c r="BH8" s="19" t="n">
        <f aca="false">IF(55&lt;=Corte,1,0)</f>
        <v>0</v>
      </c>
      <c r="BI8" s="19" t="n">
        <f aca="false">IF(56&lt;=Corte,1,0)</f>
        <v>0</v>
      </c>
      <c r="BJ8" s="19" t="n">
        <f aca="false">IF(57&lt;=Corte,1,0)</f>
        <v>0</v>
      </c>
      <c r="BK8" s="19" t="n">
        <f aca="false">IF(58&lt;=Corte,1,0)</f>
        <v>0</v>
      </c>
      <c r="BL8" s="19" t="n">
        <f aca="false">IF(59&lt;=Corte,1,0)</f>
        <v>0</v>
      </c>
      <c r="BM8" s="19" t="n">
        <f aca="false">IF(60&lt;=Corte,1,0)</f>
        <v>0</v>
      </c>
      <c r="BN8" s="19" t="n">
        <f aca="false">IF(61&lt;=Corte,1,0)</f>
        <v>0</v>
      </c>
      <c r="BO8" s="19" t="n">
        <f aca="false">IF(62&lt;=Corte,1,0)</f>
        <v>0</v>
      </c>
      <c r="BP8" s="19" t="n">
        <f aca="false">IF(63&lt;=Corte,1,0)</f>
        <v>0</v>
      </c>
      <c r="BQ8" s="19" t="n">
        <f aca="false">IF(64&lt;=Corte,1,0)</f>
        <v>0</v>
      </c>
      <c r="BR8" s="19" t="n">
        <f aca="false">IF(65&lt;=Corte,1,0)</f>
        <v>0</v>
      </c>
      <c r="BS8" s="19" t="n">
        <f aca="false">IF(66&lt;=Corte,1,0)</f>
        <v>0</v>
      </c>
      <c r="BT8" s="19" t="n">
        <f aca="false">IF(67&lt;=Corte,1,0)</f>
        <v>0</v>
      </c>
      <c r="BU8" s="19" t="n">
        <f aca="false">IF(68&lt;=Corte,1,0)</f>
        <v>0</v>
      </c>
      <c r="BV8" s="19" t="n">
        <f aca="false">IF(69&lt;=Corte,1,0)</f>
        <v>0</v>
      </c>
      <c r="BW8" s="19" t="n">
        <f aca="false">IF(70&lt;=Corte,1,0)</f>
        <v>0</v>
      </c>
      <c r="BX8" s="19" t="n">
        <f aca="false">IF(71&lt;=Corte,1,0)</f>
        <v>0</v>
      </c>
      <c r="BY8" s="19" t="n">
        <f aca="false">IF(72&lt;=Corte,1,0)</f>
        <v>0</v>
      </c>
      <c r="BZ8" s="19" t="n">
        <f aca="false">IF(73&lt;=Corte,1,0)</f>
        <v>0</v>
      </c>
      <c r="CA8" s="19" t="n">
        <f aca="false">IF(74&lt;=Corte,1,0)</f>
        <v>0</v>
      </c>
      <c r="CB8" s="19" t="n">
        <f aca="false">IF(75&lt;=Corte,1,0)</f>
        <v>0</v>
      </c>
      <c r="CC8" s="19" t="n">
        <f aca="false">IF(76&lt;=Corte,1,0)</f>
        <v>0</v>
      </c>
      <c r="CD8" s="19" t="n">
        <f aca="false">IF(77&lt;=Corte,1,0)</f>
        <v>0</v>
      </c>
      <c r="CE8" s="19" t="n">
        <f aca="false">IF(78&lt;=Corte,1,0)</f>
        <v>0</v>
      </c>
      <c r="CF8" s="19" t="n">
        <f aca="false">IF(79&lt;=Corte,1,0)</f>
        <v>0</v>
      </c>
      <c r="CG8" s="19" t="n">
        <f aca="false">IF(80&lt;=Corte,1,0)</f>
        <v>0</v>
      </c>
      <c r="CH8" s="19" t="n">
        <f aca="false">IF(81&lt;=Corte,1,0)</f>
        <v>0</v>
      </c>
      <c r="CI8" s="19" t="n">
        <f aca="false">IF(82&lt;=Corte,1,0)</f>
        <v>0</v>
      </c>
      <c r="CJ8" s="19" t="n">
        <f aca="false">IF(83&lt;=Corte,1,0)</f>
        <v>0</v>
      </c>
      <c r="CK8" s="19" t="n">
        <f aca="false">IF(84&lt;=Corte,1,0)</f>
        <v>0</v>
      </c>
      <c r="CL8" s="19" t="n">
        <f aca="false">IF(85&lt;=Corte,1,0)</f>
        <v>0</v>
      </c>
      <c r="CM8" s="19" t="n">
        <f aca="false">IF(86&lt;=Corte,1,0)</f>
        <v>0</v>
      </c>
      <c r="CN8" s="19" t="n">
        <f aca="false">IF(87&lt;=Corte,1,0)</f>
        <v>0</v>
      </c>
      <c r="CO8" s="19" t="n">
        <f aca="false">IF(88&lt;=Corte,1,0)</f>
        <v>0</v>
      </c>
      <c r="CP8" s="19" t="n">
        <f aca="false">IF(89&lt;=Corte,1,0)</f>
        <v>0</v>
      </c>
      <c r="CQ8" s="19" t="n">
        <f aca="false">IF(90&lt;=Corte,1,0)</f>
        <v>0</v>
      </c>
      <c r="CR8" s="19" t="n">
        <f aca="false">IF(91&lt;=Corte,1,0)</f>
        <v>0</v>
      </c>
      <c r="CS8" s="19" t="n">
        <f aca="false">IF(92&lt;=Corte,1,0)</f>
        <v>0</v>
      </c>
      <c r="CT8" s="19" t="n">
        <f aca="false">IF(93&lt;=Corte,1,0)</f>
        <v>0</v>
      </c>
      <c r="CU8" s="19" t="n">
        <f aca="false">IF(94&lt;=Corte,1,0)</f>
        <v>0</v>
      </c>
      <c r="CV8" s="19" t="n">
        <f aca="false">IF(95&lt;=Corte,1,0)</f>
        <v>0</v>
      </c>
      <c r="CW8" s="19" t="n">
        <f aca="false">IF(96&lt;=Corte,1,0)</f>
        <v>0</v>
      </c>
      <c r="CX8" s="19" t="n">
        <f aca="false">IF(97&lt;=Corte,1,0)</f>
        <v>0</v>
      </c>
      <c r="CY8" s="19" t="n">
        <f aca="false">IF(98&lt;=Corte,1,0)</f>
        <v>0</v>
      </c>
      <c r="CZ8" s="19" t="n">
        <f aca="false">IF(99&lt;=Corte,1,0)</f>
        <v>0</v>
      </c>
      <c r="DA8" s="19" t="n">
        <f aca="false">IF(100&lt;=Corte,1,0)</f>
        <v>0</v>
      </c>
      <c r="DB8" s="19" t="n">
        <f aca="false">IF(101&lt;=Corte,1,0)</f>
        <v>0</v>
      </c>
      <c r="DC8" s="19" t="n">
        <f aca="false">IF(102&lt;=Corte,1,0)</f>
        <v>0</v>
      </c>
      <c r="DD8" s="19" t="n">
        <f aca="false">IF(103&lt;=Corte,1,0)</f>
        <v>0</v>
      </c>
      <c r="DE8" s="19" t="n">
        <f aca="false">IF(104&lt;=Corte,1,0)</f>
        <v>0</v>
      </c>
      <c r="DF8" s="19" t="n">
        <f aca="false">IF(105&lt;=Corte,1,0)</f>
        <v>0</v>
      </c>
      <c r="DG8" s="19" t="n">
        <f aca="false">IF(106&lt;=Corte,1,0)</f>
        <v>0</v>
      </c>
      <c r="DH8" s="19" t="n">
        <f aca="false">IF(107&lt;=Corte,1,0)</f>
        <v>0</v>
      </c>
      <c r="DI8" s="19" t="n">
        <f aca="false">IF(108&lt;=Corte,1,0)</f>
        <v>0</v>
      </c>
      <c r="DJ8" s="19" t="n">
        <f aca="false">IF(109&lt;=Corte,1,0)</f>
        <v>0</v>
      </c>
      <c r="DK8" s="19" t="n">
        <f aca="false">IF(110&lt;=Corte,1,0)</f>
        <v>0</v>
      </c>
      <c r="DL8" s="19" t="n">
        <f aca="false">IF(111&lt;=Corte,1,0)</f>
        <v>0</v>
      </c>
      <c r="DM8" s="19" t="n">
        <f aca="false">IF(112&lt;=Corte,1,0)</f>
        <v>0</v>
      </c>
      <c r="DN8" s="19" t="n">
        <f aca="false">IF(113&lt;=Corte,1,0)</f>
        <v>0</v>
      </c>
      <c r="DO8" s="19" t="n">
        <f aca="false">IF(114&lt;=Corte,1,0)</f>
        <v>0</v>
      </c>
      <c r="DP8" s="19" t="n">
        <f aca="false">IF(115&lt;=Corte,1,0)</f>
        <v>0</v>
      </c>
      <c r="DQ8" s="19" t="n">
        <f aca="false">IF(116&lt;=Corte,1,0)</f>
        <v>0</v>
      </c>
      <c r="DR8" s="19" t="n">
        <f aca="false">IF(117&lt;=Corte,1,0)</f>
        <v>0</v>
      </c>
      <c r="DS8" s="19" t="n">
        <f aca="false">IF(118&lt;=Corte,1,0)</f>
        <v>0</v>
      </c>
      <c r="DT8" s="19" t="n">
        <f aca="false">IF(119&lt;=Corte,1,0)</f>
        <v>0</v>
      </c>
      <c r="DU8" s="19" t="n">
        <f aca="false">IF(120&lt;=Corte,1,0)</f>
        <v>0</v>
      </c>
      <c r="DV8" s="19" t="n">
        <f aca="false">IF(121&lt;=Corte,1,0)</f>
        <v>0</v>
      </c>
      <c r="DW8" s="19" t="n">
        <f aca="false">IF(122&lt;=Corte,1,0)</f>
        <v>0</v>
      </c>
      <c r="DX8" s="19" t="n">
        <f aca="false">IF(123&lt;=Corte,1,0)</f>
        <v>0</v>
      </c>
      <c r="DY8" s="19" t="n">
        <f aca="false">IF(124&lt;=Corte,1,0)</f>
        <v>0</v>
      </c>
      <c r="DZ8" s="19" t="n">
        <f aca="false">IF(125&lt;=Corte,1,0)</f>
        <v>0</v>
      </c>
      <c r="EA8" s="19" t="n">
        <f aca="false">IF(126&lt;=Corte,1,0)</f>
        <v>0</v>
      </c>
      <c r="EB8" s="19" t="n">
        <f aca="false">IF(127&lt;=Corte,1,0)</f>
        <v>0</v>
      </c>
      <c r="EC8" s="19" t="n">
        <f aca="false">IF(128&lt;=Corte,1,0)</f>
        <v>0</v>
      </c>
      <c r="ED8" s="19" t="n">
        <f aca="false">IF(129&lt;=Corte,1,0)</f>
        <v>0</v>
      </c>
      <c r="EE8" s="19" t="n">
        <f aca="false">IF(130&lt;=Corte,1,0)</f>
        <v>0</v>
      </c>
      <c r="EF8" s="19" t="n">
        <f aca="false">IF(131&lt;=Corte,1,0)</f>
        <v>0</v>
      </c>
      <c r="EG8" s="19" t="n">
        <f aca="false">IF(132&lt;=Corte,1,0)</f>
        <v>0</v>
      </c>
      <c r="EH8" s="19" t="n">
        <f aca="false">IF(133&lt;=Corte,1,0)</f>
        <v>0</v>
      </c>
      <c r="EI8" s="19" t="n">
        <f aca="false">IF(134&lt;=Corte,1,0)</f>
        <v>0</v>
      </c>
      <c r="EJ8" s="19" t="n">
        <f aca="false">IF(135&lt;=Corte,1,0)</f>
        <v>0</v>
      </c>
      <c r="EK8" s="19" t="n">
        <f aca="false">IF(136&lt;=Corte,1,0)</f>
        <v>0</v>
      </c>
      <c r="EL8" s="19" t="n">
        <f aca="false">IF(137&lt;=Corte,1,0)</f>
        <v>0</v>
      </c>
      <c r="EM8" s="19" t="n">
        <f aca="false">IF(138&lt;=Corte,1,0)</f>
        <v>0</v>
      </c>
      <c r="EN8" s="19" t="n">
        <f aca="false">IF(139&lt;=Corte,1,0)</f>
        <v>0</v>
      </c>
      <c r="EO8" s="19" t="n">
        <f aca="false">IF(140&lt;=Corte,1,0)</f>
        <v>0</v>
      </c>
      <c r="EP8" s="19" t="n">
        <f aca="false">IF(141&lt;=Corte,1,0)</f>
        <v>0</v>
      </c>
      <c r="EQ8" s="19" t="n">
        <f aca="false">IF(142&lt;=Corte,1,0)</f>
        <v>0</v>
      </c>
      <c r="ER8" s="19" t="n">
        <f aca="false">IF(143&lt;=Corte,1,0)</f>
        <v>0</v>
      </c>
      <c r="ES8" s="19" t="n">
        <f aca="false">IF(144&lt;=Corte,1,0)</f>
        <v>0</v>
      </c>
    </row>
    <row r="9" customFormat="false" ht="15" hidden="false" customHeight="false" outlineLevel="0" collapsed="false">
      <c r="A9" s="2" t="s">
        <v>564</v>
      </c>
      <c r="B9" s="11" t="s">
        <v>565</v>
      </c>
      <c r="F9" s="19" t="n">
        <f aca="false">IF(1&lt;=Fin,1,0)</f>
        <v>1</v>
      </c>
      <c r="G9" s="19" t="n">
        <f aca="false">IF(2&lt;=Fin,1,0)</f>
        <v>1</v>
      </c>
      <c r="H9" s="19" t="n">
        <f aca="false">IF(3&lt;=Fin,1,0)</f>
        <v>1</v>
      </c>
      <c r="I9" s="19" t="n">
        <f aca="false">IF(4&lt;=Fin,1,0)</f>
        <v>1</v>
      </c>
      <c r="J9" s="19" t="n">
        <f aca="false">IF(5&lt;=Fin,1,0)</f>
        <v>1</v>
      </c>
      <c r="K9" s="19" t="n">
        <f aca="false">IF(6&lt;=Fin,1,0)</f>
        <v>1</v>
      </c>
      <c r="L9" s="19" t="n">
        <f aca="false">IF(7&lt;=Fin,1,0)</f>
        <v>1</v>
      </c>
      <c r="M9" s="19" t="n">
        <f aca="false">IF(8&lt;=Fin,1,0)</f>
        <v>1</v>
      </c>
      <c r="N9" s="19" t="n">
        <f aca="false">IF(9&lt;=Fin,1,0)</f>
        <v>1</v>
      </c>
      <c r="O9" s="19" t="n">
        <f aca="false">IF(10&lt;=Fin,1,0)</f>
        <v>1</v>
      </c>
      <c r="P9" s="19" t="n">
        <f aca="false">IF(11&lt;=Fin,1,0)</f>
        <v>1</v>
      </c>
      <c r="Q9" s="19" t="n">
        <f aca="false">IF(12&lt;=Fin,1,0)</f>
        <v>1</v>
      </c>
      <c r="R9" s="19" t="n">
        <f aca="false">IF(13&lt;=Fin,1,0)</f>
        <v>1</v>
      </c>
      <c r="S9" s="19" t="n">
        <f aca="false">IF(14&lt;=Fin,1,0)</f>
        <v>1</v>
      </c>
      <c r="T9" s="19" t="n">
        <f aca="false">IF(15&lt;=Fin,1,0)</f>
        <v>1</v>
      </c>
      <c r="U9" s="19" t="n">
        <f aca="false">IF(16&lt;=Fin,1,0)</f>
        <v>1</v>
      </c>
      <c r="V9" s="19" t="n">
        <f aca="false">IF(17&lt;=Fin,1,0)</f>
        <v>1</v>
      </c>
      <c r="W9" s="19" t="n">
        <f aca="false">IF(18&lt;=Fin,1,0)</f>
        <v>1</v>
      </c>
      <c r="X9" s="19" t="n">
        <f aca="false">IF(19&lt;=Fin,1,0)</f>
        <v>1</v>
      </c>
      <c r="Y9" s="19" t="n">
        <f aca="false">IF(20&lt;=Fin,1,0)</f>
        <v>1</v>
      </c>
      <c r="Z9" s="19" t="n">
        <f aca="false">IF(21&lt;=Fin,1,0)</f>
        <v>1</v>
      </c>
      <c r="AA9" s="19" t="n">
        <f aca="false">IF(22&lt;=Fin,1,0)</f>
        <v>1</v>
      </c>
      <c r="AB9" s="19" t="n">
        <f aca="false">IF(23&lt;=Fin,1,0)</f>
        <v>1</v>
      </c>
      <c r="AC9" s="19" t="n">
        <f aca="false">IF(24&lt;=Fin,1,0)</f>
        <v>1</v>
      </c>
      <c r="AD9" s="19" t="n">
        <f aca="false">IF(25&lt;=Fin,1,0)</f>
        <v>1</v>
      </c>
      <c r="AE9" s="19" t="n">
        <f aca="false">IF(26&lt;=Fin,1,0)</f>
        <v>1</v>
      </c>
      <c r="AF9" s="19" t="n">
        <f aca="false">IF(27&lt;=Fin,1,0)</f>
        <v>1</v>
      </c>
      <c r="AG9" s="19" t="n">
        <f aca="false">IF(28&lt;=Fin,1,0)</f>
        <v>1</v>
      </c>
      <c r="AH9" s="19" t="n">
        <f aca="false">IF(29&lt;=Fin,1,0)</f>
        <v>1</v>
      </c>
      <c r="AI9" s="19" t="n">
        <f aca="false">IF(30&lt;=Fin,1,0)</f>
        <v>1</v>
      </c>
      <c r="AJ9" s="19" t="n">
        <f aca="false">IF(31&lt;=Fin,1,0)</f>
        <v>1</v>
      </c>
      <c r="AK9" s="19" t="n">
        <f aca="false">IF(32&lt;=Fin,1,0)</f>
        <v>1</v>
      </c>
      <c r="AL9" s="19" t="n">
        <f aca="false">IF(33&lt;=Fin,1,0)</f>
        <v>1</v>
      </c>
      <c r="AM9" s="19" t="n">
        <f aca="false">IF(34&lt;=Fin,1,0)</f>
        <v>1</v>
      </c>
      <c r="AN9" s="19" t="n">
        <f aca="false">IF(35&lt;=Fin,1,0)</f>
        <v>1</v>
      </c>
      <c r="AO9" s="19" t="n">
        <f aca="false">IF(36&lt;=Fin,1,0)</f>
        <v>1</v>
      </c>
      <c r="AP9" s="19" t="n">
        <f aca="false">IF(37&lt;=Fin,1,0)</f>
        <v>1</v>
      </c>
      <c r="AQ9" s="19" t="n">
        <f aca="false">IF(38&lt;=Fin,1,0)</f>
        <v>1</v>
      </c>
      <c r="AR9" s="19" t="n">
        <f aca="false">IF(39&lt;=Fin,1,0)</f>
        <v>1</v>
      </c>
      <c r="AS9" s="19" t="n">
        <f aca="false">IF(40&lt;=Fin,1,0)</f>
        <v>1</v>
      </c>
      <c r="AT9" s="19" t="n">
        <f aca="false">IF(41&lt;=Fin,1,0)</f>
        <v>1</v>
      </c>
      <c r="AU9" s="19" t="n">
        <f aca="false">IF(42&lt;=Fin,1,0)</f>
        <v>1</v>
      </c>
      <c r="AV9" s="19" t="n">
        <f aca="false">IF(43&lt;=Fin,1,0)</f>
        <v>1</v>
      </c>
      <c r="AW9" s="19" t="n">
        <f aca="false">IF(44&lt;=Fin,1,0)</f>
        <v>1</v>
      </c>
      <c r="AX9" s="19" t="n">
        <f aca="false">IF(45&lt;=Fin,1,0)</f>
        <v>1</v>
      </c>
      <c r="AY9" s="19" t="n">
        <f aca="false">IF(46&lt;=Fin,1,0)</f>
        <v>1</v>
      </c>
      <c r="AZ9" s="19" t="n">
        <f aca="false">IF(47&lt;=Fin,1,0)</f>
        <v>1</v>
      </c>
      <c r="BA9" s="19" t="n">
        <f aca="false">IF(48&lt;=Fin,1,0)</f>
        <v>1</v>
      </c>
      <c r="BB9" s="19" t="n">
        <f aca="false">IF(49&lt;=Fin,1,0)</f>
        <v>1</v>
      </c>
      <c r="BC9" s="19" t="n">
        <f aca="false">IF(50&lt;=Fin,1,0)</f>
        <v>1</v>
      </c>
      <c r="BD9" s="19" t="n">
        <f aca="false">IF(51&lt;=Fin,1,0)</f>
        <v>1</v>
      </c>
      <c r="BE9" s="19" t="n">
        <f aca="false">IF(52&lt;=Fin,1,0)</f>
        <v>1</v>
      </c>
      <c r="BF9" s="19" t="n">
        <f aca="false">IF(53&lt;=Fin,1,0)</f>
        <v>1</v>
      </c>
      <c r="BG9" s="19" t="n">
        <f aca="false">IF(54&lt;=Fin,1,0)</f>
        <v>1</v>
      </c>
      <c r="BH9" s="19" t="n">
        <f aca="false">IF(55&lt;=Fin,1,0)</f>
        <v>1</v>
      </c>
      <c r="BI9" s="19" t="n">
        <f aca="false">IF(56&lt;=Fin,1,0)</f>
        <v>1</v>
      </c>
      <c r="BJ9" s="19" t="n">
        <f aca="false">IF(57&lt;=Fin,1,0)</f>
        <v>1</v>
      </c>
      <c r="BK9" s="19" t="n">
        <f aca="false">IF(58&lt;=Fin,1,0)</f>
        <v>1</v>
      </c>
      <c r="BL9" s="19" t="n">
        <f aca="false">IF(59&lt;=Fin,1,0)</f>
        <v>1</v>
      </c>
      <c r="BM9" s="19" t="n">
        <f aca="false">IF(60&lt;=Fin,1,0)</f>
        <v>1</v>
      </c>
      <c r="BN9" s="19" t="n">
        <f aca="false">IF(61&lt;=Fin,1,0)</f>
        <v>1</v>
      </c>
      <c r="BO9" s="19" t="n">
        <f aca="false">IF(62&lt;=Fin,1,0)</f>
        <v>1</v>
      </c>
      <c r="BP9" s="19" t="n">
        <f aca="false">IF(63&lt;=Fin,1,0)</f>
        <v>1</v>
      </c>
      <c r="BQ9" s="19" t="n">
        <f aca="false">IF(64&lt;=Fin,1,0)</f>
        <v>1</v>
      </c>
      <c r="BR9" s="19" t="n">
        <f aca="false">IF(65&lt;=Fin,1,0)</f>
        <v>1</v>
      </c>
      <c r="BS9" s="19" t="n">
        <f aca="false">IF(66&lt;=Fin,1,0)</f>
        <v>1</v>
      </c>
      <c r="BT9" s="19" t="n">
        <f aca="false">IF(67&lt;=Fin,1,0)</f>
        <v>1</v>
      </c>
      <c r="BU9" s="19" t="n">
        <f aca="false">IF(68&lt;=Fin,1,0)</f>
        <v>1</v>
      </c>
      <c r="BV9" s="19" t="n">
        <f aca="false">IF(69&lt;=Fin,1,0)</f>
        <v>1</v>
      </c>
      <c r="BW9" s="19" t="n">
        <f aca="false">IF(70&lt;=Fin,1,0)</f>
        <v>1</v>
      </c>
      <c r="BX9" s="19" t="n">
        <f aca="false">IF(71&lt;=Fin,1,0)</f>
        <v>1</v>
      </c>
      <c r="BY9" s="19" t="n">
        <f aca="false">IF(72&lt;=Fin,1,0)</f>
        <v>1</v>
      </c>
      <c r="BZ9" s="19" t="n">
        <f aca="false">IF(73&lt;=Fin,1,0)</f>
        <v>1</v>
      </c>
      <c r="CA9" s="19" t="n">
        <f aca="false">IF(74&lt;=Fin,1,0)</f>
        <v>1</v>
      </c>
      <c r="CB9" s="19" t="n">
        <f aca="false">IF(75&lt;=Fin,1,0)</f>
        <v>1</v>
      </c>
      <c r="CC9" s="19" t="n">
        <f aca="false">IF(76&lt;=Fin,1,0)</f>
        <v>1</v>
      </c>
      <c r="CD9" s="19" t="n">
        <f aca="false">IF(77&lt;=Fin,1,0)</f>
        <v>1</v>
      </c>
      <c r="CE9" s="19" t="n">
        <f aca="false">IF(78&lt;=Fin,1,0)</f>
        <v>1</v>
      </c>
      <c r="CF9" s="19" t="n">
        <f aca="false">IF(79&lt;=Fin,1,0)</f>
        <v>1</v>
      </c>
      <c r="CG9" s="19" t="n">
        <f aca="false">IF(80&lt;=Fin,1,0)</f>
        <v>1</v>
      </c>
      <c r="CH9" s="19" t="n">
        <f aca="false">IF(81&lt;=Fin,1,0)</f>
        <v>1</v>
      </c>
      <c r="CI9" s="19" t="n">
        <f aca="false">IF(82&lt;=Fin,1,0)</f>
        <v>1</v>
      </c>
      <c r="CJ9" s="19" t="n">
        <f aca="false">IF(83&lt;=Fin,1,0)</f>
        <v>1</v>
      </c>
      <c r="CK9" s="19" t="n">
        <f aca="false">IF(84&lt;=Fin,1,0)</f>
        <v>1</v>
      </c>
      <c r="CL9" s="19" t="n">
        <f aca="false">IF(85&lt;=Fin,1,0)</f>
        <v>1</v>
      </c>
      <c r="CM9" s="19" t="n">
        <f aca="false">IF(86&lt;=Fin,1,0)</f>
        <v>1</v>
      </c>
      <c r="CN9" s="19" t="n">
        <f aca="false">IF(87&lt;=Fin,1,0)</f>
        <v>1</v>
      </c>
      <c r="CO9" s="19" t="n">
        <f aca="false">IF(88&lt;=Fin,1,0)</f>
        <v>1</v>
      </c>
      <c r="CP9" s="19" t="n">
        <f aca="false">IF(89&lt;=Fin,1,0)</f>
        <v>1</v>
      </c>
      <c r="CQ9" s="19" t="n">
        <f aca="false">IF(90&lt;=Fin,1,0)</f>
        <v>1</v>
      </c>
      <c r="CR9" s="19" t="n">
        <f aca="false">IF(91&lt;=Fin,1,0)</f>
        <v>1</v>
      </c>
      <c r="CS9" s="19" t="n">
        <f aca="false">IF(92&lt;=Fin,1,0)</f>
        <v>1</v>
      </c>
      <c r="CT9" s="19" t="n">
        <f aca="false">IF(93&lt;=Fin,1,0)</f>
        <v>1</v>
      </c>
      <c r="CU9" s="19" t="n">
        <f aca="false">IF(94&lt;=Fin,1,0)</f>
        <v>1</v>
      </c>
      <c r="CV9" s="19" t="n">
        <f aca="false">IF(95&lt;=Fin,1,0)</f>
        <v>1</v>
      </c>
      <c r="CW9" s="19" t="n">
        <f aca="false">IF(96&lt;=Fin,1,0)</f>
        <v>1</v>
      </c>
      <c r="CX9" s="19" t="n">
        <f aca="false">IF(97&lt;=Fin,1,0)</f>
        <v>1</v>
      </c>
      <c r="CY9" s="19" t="n">
        <f aca="false">IF(98&lt;=Fin,1,0)</f>
        <v>1</v>
      </c>
      <c r="CZ9" s="19" t="n">
        <f aca="false">IF(99&lt;=Fin,1,0)</f>
        <v>1</v>
      </c>
      <c r="DA9" s="19" t="n">
        <f aca="false">IF(100&lt;=Fin,1,0)</f>
        <v>1</v>
      </c>
      <c r="DB9" s="19" t="n">
        <f aca="false">IF(101&lt;=Fin,1,0)</f>
        <v>1</v>
      </c>
      <c r="DC9" s="19" t="n">
        <f aca="false">IF(102&lt;=Fin,1,0)</f>
        <v>1</v>
      </c>
      <c r="DD9" s="19" t="n">
        <f aca="false">IF(103&lt;=Fin,1,0)</f>
        <v>1</v>
      </c>
      <c r="DE9" s="19" t="n">
        <f aca="false">IF(104&lt;=Fin,1,0)</f>
        <v>1</v>
      </c>
      <c r="DF9" s="19" t="n">
        <f aca="false">IF(105&lt;=Fin,1,0)</f>
        <v>1</v>
      </c>
      <c r="DG9" s="19" t="n">
        <f aca="false">IF(106&lt;=Fin,1,0)</f>
        <v>1</v>
      </c>
      <c r="DH9" s="19" t="n">
        <f aca="false">IF(107&lt;=Fin,1,0)</f>
        <v>1</v>
      </c>
      <c r="DI9" s="19" t="n">
        <f aca="false">IF(108&lt;=Fin,1,0)</f>
        <v>1</v>
      </c>
      <c r="DJ9" s="19" t="n">
        <f aca="false">IF(109&lt;=Fin,1,0)</f>
        <v>1</v>
      </c>
      <c r="DK9" s="19" t="n">
        <f aca="false">IF(110&lt;=Fin,1,0)</f>
        <v>1</v>
      </c>
      <c r="DL9" s="19" t="n">
        <f aca="false">IF(111&lt;=Fin,1,0)</f>
        <v>1</v>
      </c>
      <c r="DM9" s="19" t="n">
        <f aca="false">IF(112&lt;=Fin,1,0)</f>
        <v>1</v>
      </c>
      <c r="DN9" s="19" t="n">
        <f aca="false">IF(113&lt;=Fin,1,0)</f>
        <v>1</v>
      </c>
      <c r="DO9" s="19" t="n">
        <f aca="false">IF(114&lt;=Fin,1,0)</f>
        <v>1</v>
      </c>
      <c r="DP9" s="19" t="n">
        <f aca="false">IF(115&lt;=Fin,1,0)</f>
        <v>1</v>
      </c>
      <c r="DQ9" s="19" t="n">
        <f aca="false">IF(116&lt;=Fin,1,0)</f>
        <v>1</v>
      </c>
      <c r="DR9" s="19" t="n">
        <f aca="false">IF(117&lt;=Fin,1,0)</f>
        <v>1</v>
      </c>
      <c r="DS9" s="19" t="n">
        <f aca="false">IF(118&lt;=Fin,1,0)</f>
        <v>1</v>
      </c>
      <c r="DT9" s="19" t="n">
        <f aca="false">IF(119&lt;=Fin,1,0)</f>
        <v>1</v>
      </c>
      <c r="DU9" s="19" t="n">
        <f aca="false">IF(120&lt;=Fin,1,0)</f>
        <v>1</v>
      </c>
      <c r="DV9" s="19" t="n">
        <f aca="false">IF(121&lt;=Fin,1,0)</f>
        <v>0</v>
      </c>
      <c r="DW9" s="19" t="n">
        <f aca="false">IF(122&lt;=Fin,1,0)</f>
        <v>0</v>
      </c>
      <c r="DX9" s="19" t="n">
        <f aca="false">IF(123&lt;=Fin,1,0)</f>
        <v>0</v>
      </c>
      <c r="DY9" s="19" t="n">
        <f aca="false">IF(124&lt;=Fin,1,0)</f>
        <v>0</v>
      </c>
      <c r="DZ9" s="19" t="n">
        <f aca="false">IF(125&lt;=Fin,1,0)</f>
        <v>0</v>
      </c>
      <c r="EA9" s="19" t="n">
        <f aca="false">IF(126&lt;=Fin,1,0)</f>
        <v>0</v>
      </c>
      <c r="EB9" s="19" t="n">
        <f aca="false">IF(127&lt;=Fin,1,0)</f>
        <v>0</v>
      </c>
      <c r="EC9" s="19" t="n">
        <f aca="false">IF(128&lt;=Fin,1,0)</f>
        <v>0</v>
      </c>
      <c r="ED9" s="19" t="n">
        <f aca="false">IF(129&lt;=Fin,1,0)</f>
        <v>0</v>
      </c>
      <c r="EE9" s="19" t="n">
        <f aca="false">IF(130&lt;=Fin,1,0)</f>
        <v>0</v>
      </c>
      <c r="EF9" s="19" t="n">
        <f aca="false">IF(131&lt;=Fin,1,0)</f>
        <v>0</v>
      </c>
      <c r="EG9" s="19" t="n">
        <f aca="false">IF(132&lt;=Fin,1,0)</f>
        <v>0</v>
      </c>
      <c r="EH9" s="19" t="n">
        <f aca="false">IF(133&lt;=Fin,1,0)</f>
        <v>0</v>
      </c>
      <c r="EI9" s="19" t="n">
        <f aca="false">IF(134&lt;=Fin,1,0)</f>
        <v>0</v>
      </c>
      <c r="EJ9" s="19" t="n">
        <f aca="false">IF(135&lt;=Fin,1,0)</f>
        <v>0</v>
      </c>
      <c r="EK9" s="19" t="n">
        <f aca="false">IF(136&lt;=Fin,1,0)</f>
        <v>0</v>
      </c>
      <c r="EL9" s="19" t="n">
        <f aca="false">IF(137&lt;=Fin,1,0)</f>
        <v>0</v>
      </c>
      <c r="EM9" s="19" t="n">
        <f aca="false">IF(138&lt;=Fin,1,0)</f>
        <v>0</v>
      </c>
      <c r="EN9" s="19" t="n">
        <f aca="false">IF(139&lt;=Fin,1,0)</f>
        <v>0</v>
      </c>
      <c r="EO9" s="19" t="n">
        <f aca="false">IF(140&lt;=Fin,1,0)</f>
        <v>0</v>
      </c>
      <c r="EP9" s="19" t="n">
        <f aca="false">IF(141&lt;=Fin,1,0)</f>
        <v>0</v>
      </c>
      <c r="EQ9" s="19" t="n">
        <f aca="false">IF(142&lt;=Fin,1,0)</f>
        <v>0</v>
      </c>
      <c r="ER9" s="19" t="n">
        <f aca="false">IF(143&lt;=Fin,1,0)</f>
        <v>0</v>
      </c>
      <c r="ES9" s="19" t="n">
        <f aca="false">IF(144&lt;=Fin,1,0)</f>
        <v>0</v>
      </c>
    </row>
    <row r="10" customFormat="false" ht="15" hidden="false" customHeight="false" outlineLevel="0" collapsed="false">
      <c r="A10" s="2" t="s">
        <v>566</v>
      </c>
      <c r="B10" s="11" t="s">
        <v>567</v>
      </c>
      <c r="F10" s="34" t="n">
        <f aca="false">IF(N(Reales!F10)&gt;0,Reales!F10,INDEX(TC_V,1,MIN(10,F$6)))</f>
        <v>7300</v>
      </c>
      <c r="G10" s="34" t="n">
        <f aca="false">IF(N(Reales!G10)&gt;0,Reales!G10,INDEX(TC_V,1,MIN(10,G$6)))</f>
        <v>7300</v>
      </c>
      <c r="H10" s="34" t="n">
        <f aca="false">IF(N(Reales!H10)&gt;0,Reales!H10,INDEX(TC_V,1,MIN(10,H$6)))</f>
        <v>7300</v>
      </c>
      <c r="I10" s="34" t="n">
        <f aca="false">IF(N(Reales!I10)&gt;0,Reales!I10,INDEX(TC_V,1,MIN(10,I$6)))</f>
        <v>7300</v>
      </c>
      <c r="J10" s="34" t="n">
        <f aca="false">IF(N(Reales!J10)&gt;0,Reales!J10,INDEX(TC_V,1,MIN(10,J$6)))</f>
        <v>7300</v>
      </c>
      <c r="K10" s="34" t="n">
        <f aca="false">IF(N(Reales!K10)&gt;0,Reales!K10,INDEX(TC_V,1,MIN(10,K$6)))</f>
        <v>7300</v>
      </c>
      <c r="L10" s="34" t="n">
        <f aca="false">IF(N(Reales!L10)&gt;0,Reales!L10,INDEX(TC_V,1,MIN(10,L$6)))</f>
        <v>7300</v>
      </c>
      <c r="M10" s="34" t="n">
        <f aca="false">IF(N(Reales!M10)&gt;0,Reales!M10,INDEX(TC_V,1,MIN(10,M$6)))</f>
        <v>7300</v>
      </c>
      <c r="N10" s="34" t="n">
        <f aca="false">IF(N(Reales!N10)&gt;0,Reales!N10,INDEX(TC_V,1,MIN(10,N$6)))</f>
        <v>7300</v>
      </c>
      <c r="O10" s="34" t="n">
        <f aca="false">IF(N(Reales!O10)&gt;0,Reales!O10,INDEX(TC_V,1,MIN(10,O$6)))</f>
        <v>7300</v>
      </c>
      <c r="P10" s="34" t="n">
        <f aca="false">IF(N(Reales!P10)&gt;0,Reales!P10,INDEX(TC_V,1,MIN(10,P$6)))</f>
        <v>7300</v>
      </c>
      <c r="Q10" s="34" t="n">
        <f aca="false">IF(N(Reales!Q10)&gt;0,Reales!Q10,INDEX(TC_V,1,MIN(10,Q$6)))</f>
        <v>7300</v>
      </c>
      <c r="R10" s="34" t="n">
        <f aca="false">IF(N(Reales!R10)&gt;0,Reales!R10,INDEX(TC_V,1,MIN(10,R$6)))</f>
        <v>7300</v>
      </c>
      <c r="S10" s="34" t="n">
        <f aca="false">IF(N(Reales!S10)&gt;0,Reales!S10,INDEX(TC_V,1,MIN(10,S$6)))</f>
        <v>7300</v>
      </c>
      <c r="T10" s="34" t="n">
        <f aca="false">IF(N(Reales!T10)&gt;0,Reales!T10,INDEX(TC_V,1,MIN(10,T$6)))</f>
        <v>7300</v>
      </c>
      <c r="U10" s="34" t="n">
        <f aca="false">IF(N(Reales!U10)&gt;0,Reales!U10,INDEX(TC_V,1,MIN(10,U$6)))</f>
        <v>7300</v>
      </c>
      <c r="V10" s="34" t="n">
        <f aca="false">IF(N(Reales!V10)&gt;0,Reales!V10,INDEX(TC_V,1,MIN(10,V$6)))</f>
        <v>7300</v>
      </c>
      <c r="W10" s="34" t="n">
        <f aca="false">IF(N(Reales!W10)&gt;0,Reales!W10,INDEX(TC_V,1,MIN(10,W$6)))</f>
        <v>7300</v>
      </c>
      <c r="X10" s="34" t="n">
        <f aca="false">IF(N(Reales!X10)&gt;0,Reales!X10,INDEX(TC_V,1,MIN(10,X$6)))</f>
        <v>7300</v>
      </c>
      <c r="Y10" s="34" t="n">
        <f aca="false">IF(N(Reales!Y10)&gt;0,Reales!Y10,INDEX(TC_V,1,MIN(10,Y$6)))</f>
        <v>7300</v>
      </c>
      <c r="Z10" s="34" t="n">
        <f aca="false">IF(N(Reales!Z10)&gt;0,Reales!Z10,INDEX(TC_V,1,MIN(10,Z$6)))</f>
        <v>7300</v>
      </c>
      <c r="AA10" s="34" t="n">
        <f aca="false">IF(N(Reales!AA10)&gt;0,Reales!AA10,INDEX(TC_V,1,MIN(10,AA$6)))</f>
        <v>7300</v>
      </c>
      <c r="AB10" s="34" t="n">
        <f aca="false">IF(N(Reales!AB10)&gt;0,Reales!AB10,INDEX(TC_V,1,MIN(10,AB$6)))</f>
        <v>7300</v>
      </c>
      <c r="AC10" s="34" t="n">
        <f aca="false">IF(N(Reales!AC10)&gt;0,Reales!AC10,INDEX(TC_V,1,MIN(10,AC$6)))</f>
        <v>7300</v>
      </c>
      <c r="AD10" s="34" t="n">
        <f aca="false">IF(N(Reales!AD10)&gt;0,Reales!AD10,INDEX(TC_V,1,MIN(10,AD$6)))</f>
        <v>7300</v>
      </c>
      <c r="AE10" s="34" t="n">
        <f aca="false">IF(N(Reales!AE10)&gt;0,Reales!AE10,INDEX(TC_V,1,MIN(10,AE$6)))</f>
        <v>7300</v>
      </c>
      <c r="AF10" s="34" t="n">
        <f aca="false">IF(N(Reales!AF10)&gt;0,Reales!AF10,INDEX(TC_V,1,MIN(10,AF$6)))</f>
        <v>7300</v>
      </c>
      <c r="AG10" s="34" t="n">
        <f aca="false">IF(N(Reales!AG10)&gt;0,Reales!AG10,INDEX(TC_V,1,MIN(10,AG$6)))</f>
        <v>7300</v>
      </c>
      <c r="AH10" s="34" t="n">
        <f aca="false">IF(N(Reales!AH10)&gt;0,Reales!AH10,INDEX(TC_V,1,MIN(10,AH$6)))</f>
        <v>7300</v>
      </c>
      <c r="AI10" s="34" t="n">
        <f aca="false">IF(N(Reales!AI10)&gt;0,Reales!AI10,INDEX(TC_V,1,MIN(10,AI$6)))</f>
        <v>7300</v>
      </c>
      <c r="AJ10" s="34" t="n">
        <f aca="false">IF(N(Reales!AJ10)&gt;0,Reales!AJ10,INDEX(TC_V,1,MIN(10,AJ$6)))</f>
        <v>7300</v>
      </c>
      <c r="AK10" s="34" t="n">
        <f aca="false">IF(N(Reales!AK10)&gt;0,Reales!AK10,INDEX(TC_V,1,MIN(10,AK$6)))</f>
        <v>7300</v>
      </c>
      <c r="AL10" s="34" t="n">
        <f aca="false">IF(N(Reales!AL10)&gt;0,Reales!AL10,INDEX(TC_V,1,MIN(10,AL$6)))</f>
        <v>7300</v>
      </c>
      <c r="AM10" s="34" t="n">
        <f aca="false">IF(N(Reales!AM10)&gt;0,Reales!AM10,INDEX(TC_V,1,MIN(10,AM$6)))</f>
        <v>7300</v>
      </c>
      <c r="AN10" s="34" t="n">
        <f aca="false">IF(N(Reales!AN10)&gt;0,Reales!AN10,INDEX(TC_V,1,MIN(10,AN$6)))</f>
        <v>7300</v>
      </c>
      <c r="AO10" s="34" t="n">
        <f aca="false">IF(N(Reales!AO10)&gt;0,Reales!AO10,INDEX(TC_V,1,MIN(10,AO$6)))</f>
        <v>7300</v>
      </c>
      <c r="AP10" s="34" t="n">
        <f aca="false">IF(N(Reales!AP10)&gt;0,Reales!AP10,INDEX(TC_V,1,MIN(10,AP$6)))</f>
        <v>7300</v>
      </c>
      <c r="AQ10" s="34" t="n">
        <f aca="false">IF(N(Reales!AQ10)&gt;0,Reales!AQ10,INDEX(TC_V,1,MIN(10,AQ$6)))</f>
        <v>7300</v>
      </c>
      <c r="AR10" s="34" t="n">
        <f aca="false">IF(N(Reales!AR10)&gt;0,Reales!AR10,INDEX(TC_V,1,MIN(10,AR$6)))</f>
        <v>7300</v>
      </c>
      <c r="AS10" s="34" t="n">
        <f aca="false">IF(N(Reales!AS10)&gt;0,Reales!AS10,INDEX(TC_V,1,MIN(10,AS$6)))</f>
        <v>7300</v>
      </c>
      <c r="AT10" s="34" t="n">
        <f aca="false">IF(N(Reales!AT10)&gt;0,Reales!AT10,INDEX(TC_V,1,MIN(10,AT$6)))</f>
        <v>7300</v>
      </c>
      <c r="AU10" s="34" t="n">
        <f aca="false">IF(N(Reales!AU10)&gt;0,Reales!AU10,INDEX(TC_V,1,MIN(10,AU$6)))</f>
        <v>7300</v>
      </c>
      <c r="AV10" s="34" t="n">
        <f aca="false">IF(N(Reales!AV10)&gt;0,Reales!AV10,INDEX(TC_V,1,MIN(10,AV$6)))</f>
        <v>7300</v>
      </c>
      <c r="AW10" s="34" t="n">
        <f aca="false">IF(N(Reales!AW10)&gt;0,Reales!AW10,INDEX(TC_V,1,MIN(10,AW$6)))</f>
        <v>7300</v>
      </c>
      <c r="AX10" s="34" t="n">
        <f aca="false">IF(N(Reales!AX10)&gt;0,Reales!AX10,INDEX(TC_V,1,MIN(10,AX$6)))</f>
        <v>7300</v>
      </c>
      <c r="AY10" s="34" t="n">
        <f aca="false">IF(N(Reales!AY10)&gt;0,Reales!AY10,INDEX(TC_V,1,MIN(10,AY$6)))</f>
        <v>7300</v>
      </c>
      <c r="AZ10" s="34" t="n">
        <f aca="false">IF(N(Reales!AZ10)&gt;0,Reales!AZ10,INDEX(TC_V,1,MIN(10,AZ$6)))</f>
        <v>7300</v>
      </c>
      <c r="BA10" s="34" t="n">
        <f aca="false">IF(N(Reales!BA10)&gt;0,Reales!BA10,INDEX(TC_V,1,MIN(10,BA$6)))</f>
        <v>7300</v>
      </c>
      <c r="BB10" s="34" t="n">
        <f aca="false">IF(N(Reales!BB10)&gt;0,Reales!BB10,INDEX(TC_V,1,MIN(10,BB$6)))</f>
        <v>7300</v>
      </c>
      <c r="BC10" s="34" t="n">
        <f aca="false">IF(N(Reales!BC10)&gt;0,Reales!BC10,INDEX(TC_V,1,MIN(10,BC$6)))</f>
        <v>7300</v>
      </c>
      <c r="BD10" s="34" t="n">
        <f aca="false">IF(N(Reales!BD10)&gt;0,Reales!BD10,INDEX(TC_V,1,MIN(10,BD$6)))</f>
        <v>7300</v>
      </c>
      <c r="BE10" s="34" t="n">
        <f aca="false">IF(N(Reales!BE10)&gt;0,Reales!BE10,INDEX(TC_V,1,MIN(10,BE$6)))</f>
        <v>7300</v>
      </c>
      <c r="BF10" s="34" t="n">
        <f aca="false">IF(N(Reales!BF10)&gt;0,Reales!BF10,INDEX(TC_V,1,MIN(10,BF$6)))</f>
        <v>7300</v>
      </c>
      <c r="BG10" s="34" t="n">
        <f aca="false">IF(N(Reales!BG10)&gt;0,Reales!BG10,INDEX(TC_V,1,MIN(10,BG$6)))</f>
        <v>7300</v>
      </c>
      <c r="BH10" s="34" t="n">
        <f aca="false">IF(N(Reales!BH10)&gt;0,Reales!BH10,INDEX(TC_V,1,MIN(10,BH$6)))</f>
        <v>7300</v>
      </c>
      <c r="BI10" s="34" t="n">
        <f aca="false">IF(N(Reales!BI10)&gt;0,Reales!BI10,INDEX(TC_V,1,MIN(10,BI$6)))</f>
        <v>7300</v>
      </c>
      <c r="BJ10" s="34" t="n">
        <f aca="false">IF(N(Reales!BJ10)&gt;0,Reales!BJ10,INDEX(TC_V,1,MIN(10,BJ$6)))</f>
        <v>7300</v>
      </c>
      <c r="BK10" s="34" t="n">
        <f aca="false">IF(N(Reales!BK10)&gt;0,Reales!BK10,INDEX(TC_V,1,MIN(10,BK$6)))</f>
        <v>7300</v>
      </c>
      <c r="BL10" s="34" t="n">
        <f aca="false">IF(N(Reales!BL10)&gt;0,Reales!BL10,INDEX(TC_V,1,MIN(10,BL$6)))</f>
        <v>7300</v>
      </c>
      <c r="BM10" s="34" t="n">
        <f aca="false">IF(N(Reales!BM10)&gt;0,Reales!BM10,INDEX(TC_V,1,MIN(10,BM$6)))</f>
        <v>7300</v>
      </c>
      <c r="BN10" s="34" t="n">
        <f aca="false">IF(N(Reales!BN10)&gt;0,Reales!BN10,INDEX(TC_V,1,MIN(10,BN$6)))</f>
        <v>7300</v>
      </c>
      <c r="BO10" s="34" t="n">
        <f aca="false">IF(N(Reales!BO10)&gt;0,Reales!BO10,INDEX(TC_V,1,MIN(10,BO$6)))</f>
        <v>7300</v>
      </c>
      <c r="BP10" s="34" t="n">
        <f aca="false">IF(N(Reales!BP10)&gt;0,Reales!BP10,INDEX(TC_V,1,MIN(10,BP$6)))</f>
        <v>7300</v>
      </c>
      <c r="BQ10" s="34" t="n">
        <f aca="false">IF(N(Reales!BQ10)&gt;0,Reales!BQ10,INDEX(TC_V,1,MIN(10,BQ$6)))</f>
        <v>7300</v>
      </c>
      <c r="BR10" s="34" t="n">
        <f aca="false">IF(N(Reales!BR10)&gt;0,Reales!BR10,INDEX(TC_V,1,MIN(10,BR$6)))</f>
        <v>7300</v>
      </c>
      <c r="BS10" s="34" t="n">
        <f aca="false">IF(N(Reales!BS10)&gt;0,Reales!BS10,INDEX(TC_V,1,MIN(10,BS$6)))</f>
        <v>7300</v>
      </c>
      <c r="BT10" s="34" t="n">
        <f aca="false">IF(N(Reales!BT10)&gt;0,Reales!BT10,INDEX(TC_V,1,MIN(10,BT$6)))</f>
        <v>7300</v>
      </c>
      <c r="BU10" s="34" t="n">
        <f aca="false">IF(N(Reales!BU10)&gt;0,Reales!BU10,INDEX(TC_V,1,MIN(10,BU$6)))</f>
        <v>7300</v>
      </c>
      <c r="BV10" s="34" t="n">
        <f aca="false">IF(N(Reales!BV10)&gt;0,Reales!BV10,INDEX(TC_V,1,MIN(10,BV$6)))</f>
        <v>7300</v>
      </c>
      <c r="BW10" s="34" t="n">
        <f aca="false">IF(N(Reales!BW10)&gt;0,Reales!BW10,INDEX(TC_V,1,MIN(10,BW$6)))</f>
        <v>7300</v>
      </c>
      <c r="BX10" s="34" t="n">
        <f aca="false">IF(N(Reales!BX10)&gt;0,Reales!BX10,INDEX(TC_V,1,MIN(10,BX$6)))</f>
        <v>7300</v>
      </c>
      <c r="BY10" s="34" t="n">
        <f aca="false">IF(N(Reales!BY10)&gt;0,Reales!BY10,INDEX(TC_V,1,MIN(10,BY$6)))</f>
        <v>7300</v>
      </c>
      <c r="BZ10" s="34" t="n">
        <f aca="false">IF(N(Reales!BZ10)&gt;0,Reales!BZ10,INDEX(TC_V,1,MIN(10,BZ$6)))</f>
        <v>7300</v>
      </c>
      <c r="CA10" s="34" t="n">
        <f aca="false">IF(N(Reales!CA10)&gt;0,Reales!CA10,INDEX(TC_V,1,MIN(10,CA$6)))</f>
        <v>7300</v>
      </c>
      <c r="CB10" s="34" t="n">
        <f aca="false">IF(N(Reales!CB10)&gt;0,Reales!CB10,INDEX(TC_V,1,MIN(10,CB$6)))</f>
        <v>7300</v>
      </c>
      <c r="CC10" s="34" t="n">
        <f aca="false">IF(N(Reales!CC10)&gt;0,Reales!CC10,INDEX(TC_V,1,MIN(10,CC$6)))</f>
        <v>7300</v>
      </c>
      <c r="CD10" s="34" t="n">
        <f aca="false">IF(N(Reales!CD10)&gt;0,Reales!CD10,INDEX(TC_V,1,MIN(10,CD$6)))</f>
        <v>7300</v>
      </c>
      <c r="CE10" s="34" t="n">
        <f aca="false">IF(N(Reales!CE10)&gt;0,Reales!CE10,INDEX(TC_V,1,MIN(10,CE$6)))</f>
        <v>7300</v>
      </c>
      <c r="CF10" s="34" t="n">
        <f aca="false">IF(N(Reales!CF10)&gt;0,Reales!CF10,INDEX(TC_V,1,MIN(10,CF$6)))</f>
        <v>7300</v>
      </c>
      <c r="CG10" s="34" t="n">
        <f aca="false">IF(N(Reales!CG10)&gt;0,Reales!CG10,INDEX(TC_V,1,MIN(10,CG$6)))</f>
        <v>7300</v>
      </c>
      <c r="CH10" s="34" t="n">
        <f aca="false">IF(N(Reales!CH10)&gt;0,Reales!CH10,INDEX(TC_V,1,MIN(10,CH$6)))</f>
        <v>7300</v>
      </c>
      <c r="CI10" s="34" t="n">
        <f aca="false">IF(N(Reales!CI10)&gt;0,Reales!CI10,INDEX(TC_V,1,MIN(10,CI$6)))</f>
        <v>7300</v>
      </c>
      <c r="CJ10" s="34" t="n">
        <f aca="false">IF(N(Reales!CJ10)&gt;0,Reales!CJ10,INDEX(TC_V,1,MIN(10,CJ$6)))</f>
        <v>7300</v>
      </c>
      <c r="CK10" s="34" t="n">
        <f aca="false">IF(N(Reales!CK10)&gt;0,Reales!CK10,INDEX(TC_V,1,MIN(10,CK$6)))</f>
        <v>7300</v>
      </c>
      <c r="CL10" s="34" t="n">
        <f aca="false">IF(N(Reales!CL10)&gt;0,Reales!CL10,INDEX(TC_V,1,MIN(10,CL$6)))</f>
        <v>7300</v>
      </c>
      <c r="CM10" s="34" t="n">
        <f aca="false">IF(N(Reales!CM10)&gt;0,Reales!CM10,INDEX(TC_V,1,MIN(10,CM$6)))</f>
        <v>7300</v>
      </c>
      <c r="CN10" s="34" t="n">
        <f aca="false">IF(N(Reales!CN10)&gt;0,Reales!CN10,INDEX(TC_V,1,MIN(10,CN$6)))</f>
        <v>7300</v>
      </c>
      <c r="CO10" s="34" t="n">
        <f aca="false">IF(N(Reales!CO10)&gt;0,Reales!CO10,INDEX(TC_V,1,MIN(10,CO$6)))</f>
        <v>7300</v>
      </c>
      <c r="CP10" s="34" t="n">
        <f aca="false">IF(N(Reales!CP10)&gt;0,Reales!CP10,INDEX(TC_V,1,MIN(10,CP$6)))</f>
        <v>7300</v>
      </c>
      <c r="CQ10" s="34" t="n">
        <f aca="false">IF(N(Reales!CQ10)&gt;0,Reales!CQ10,INDEX(TC_V,1,MIN(10,CQ$6)))</f>
        <v>7300</v>
      </c>
      <c r="CR10" s="34" t="n">
        <f aca="false">IF(N(Reales!CR10)&gt;0,Reales!CR10,INDEX(TC_V,1,MIN(10,CR$6)))</f>
        <v>7300</v>
      </c>
      <c r="CS10" s="34" t="n">
        <f aca="false">IF(N(Reales!CS10)&gt;0,Reales!CS10,INDEX(TC_V,1,MIN(10,CS$6)))</f>
        <v>7300</v>
      </c>
      <c r="CT10" s="34" t="n">
        <f aca="false">IF(N(Reales!CT10)&gt;0,Reales!CT10,INDEX(TC_V,1,MIN(10,CT$6)))</f>
        <v>7300</v>
      </c>
      <c r="CU10" s="34" t="n">
        <f aca="false">IF(N(Reales!CU10)&gt;0,Reales!CU10,INDEX(TC_V,1,MIN(10,CU$6)))</f>
        <v>7300</v>
      </c>
      <c r="CV10" s="34" t="n">
        <f aca="false">IF(N(Reales!CV10)&gt;0,Reales!CV10,INDEX(TC_V,1,MIN(10,CV$6)))</f>
        <v>7300</v>
      </c>
      <c r="CW10" s="34" t="n">
        <f aca="false">IF(N(Reales!CW10)&gt;0,Reales!CW10,INDEX(TC_V,1,MIN(10,CW$6)))</f>
        <v>7300</v>
      </c>
      <c r="CX10" s="34" t="n">
        <f aca="false">IF(N(Reales!CX10)&gt;0,Reales!CX10,INDEX(TC_V,1,MIN(10,CX$6)))</f>
        <v>7300</v>
      </c>
      <c r="CY10" s="34" t="n">
        <f aca="false">IF(N(Reales!CY10)&gt;0,Reales!CY10,INDEX(TC_V,1,MIN(10,CY$6)))</f>
        <v>7300</v>
      </c>
      <c r="CZ10" s="34" t="n">
        <f aca="false">IF(N(Reales!CZ10)&gt;0,Reales!CZ10,INDEX(TC_V,1,MIN(10,CZ$6)))</f>
        <v>7300</v>
      </c>
      <c r="DA10" s="34" t="n">
        <f aca="false">IF(N(Reales!DA10)&gt;0,Reales!DA10,INDEX(TC_V,1,MIN(10,DA$6)))</f>
        <v>7300</v>
      </c>
      <c r="DB10" s="34" t="n">
        <f aca="false">IF(N(Reales!DB10)&gt;0,Reales!DB10,INDEX(TC_V,1,MIN(10,DB$6)))</f>
        <v>7300</v>
      </c>
      <c r="DC10" s="34" t="n">
        <f aca="false">IF(N(Reales!DC10)&gt;0,Reales!DC10,INDEX(TC_V,1,MIN(10,DC$6)))</f>
        <v>7300</v>
      </c>
      <c r="DD10" s="34" t="n">
        <f aca="false">IF(N(Reales!DD10)&gt;0,Reales!DD10,INDEX(TC_V,1,MIN(10,DD$6)))</f>
        <v>7300</v>
      </c>
      <c r="DE10" s="34" t="n">
        <f aca="false">IF(N(Reales!DE10)&gt;0,Reales!DE10,INDEX(TC_V,1,MIN(10,DE$6)))</f>
        <v>7300</v>
      </c>
      <c r="DF10" s="34" t="n">
        <f aca="false">IF(N(Reales!DF10)&gt;0,Reales!DF10,INDEX(TC_V,1,MIN(10,DF$6)))</f>
        <v>7300</v>
      </c>
      <c r="DG10" s="34" t="n">
        <f aca="false">IF(N(Reales!DG10)&gt;0,Reales!DG10,INDEX(TC_V,1,MIN(10,DG$6)))</f>
        <v>7300</v>
      </c>
      <c r="DH10" s="34" t="n">
        <f aca="false">IF(N(Reales!DH10)&gt;0,Reales!DH10,INDEX(TC_V,1,MIN(10,DH$6)))</f>
        <v>7300</v>
      </c>
      <c r="DI10" s="34" t="n">
        <f aca="false">IF(N(Reales!DI10)&gt;0,Reales!DI10,INDEX(TC_V,1,MIN(10,DI$6)))</f>
        <v>7300</v>
      </c>
      <c r="DJ10" s="34" t="n">
        <f aca="false">IF(N(Reales!DJ10)&gt;0,Reales!DJ10,INDEX(TC_V,1,MIN(10,DJ$6)))</f>
        <v>7300</v>
      </c>
      <c r="DK10" s="34" t="n">
        <f aca="false">IF(N(Reales!DK10)&gt;0,Reales!DK10,INDEX(TC_V,1,MIN(10,DK$6)))</f>
        <v>7300</v>
      </c>
      <c r="DL10" s="34" t="n">
        <f aca="false">IF(N(Reales!DL10)&gt;0,Reales!DL10,INDEX(TC_V,1,MIN(10,DL$6)))</f>
        <v>7300</v>
      </c>
      <c r="DM10" s="34" t="n">
        <f aca="false">IF(N(Reales!DM10)&gt;0,Reales!DM10,INDEX(TC_V,1,MIN(10,DM$6)))</f>
        <v>7300</v>
      </c>
      <c r="DN10" s="34" t="n">
        <f aca="false">IF(N(Reales!DN10)&gt;0,Reales!DN10,INDEX(TC_V,1,MIN(10,DN$6)))</f>
        <v>7300</v>
      </c>
      <c r="DO10" s="34" t="n">
        <f aca="false">IF(N(Reales!DO10)&gt;0,Reales!DO10,INDEX(TC_V,1,MIN(10,DO$6)))</f>
        <v>7300</v>
      </c>
      <c r="DP10" s="34" t="n">
        <f aca="false">IF(N(Reales!DP10)&gt;0,Reales!DP10,INDEX(TC_V,1,MIN(10,DP$6)))</f>
        <v>7300</v>
      </c>
      <c r="DQ10" s="34" t="n">
        <f aca="false">IF(N(Reales!DQ10)&gt;0,Reales!DQ10,INDEX(TC_V,1,MIN(10,DQ$6)))</f>
        <v>7300</v>
      </c>
      <c r="DR10" s="34" t="n">
        <f aca="false">IF(N(Reales!DR10)&gt;0,Reales!DR10,INDEX(TC_V,1,MIN(10,DR$6)))</f>
        <v>7300</v>
      </c>
      <c r="DS10" s="34" t="n">
        <f aca="false">IF(N(Reales!DS10)&gt;0,Reales!DS10,INDEX(TC_V,1,MIN(10,DS$6)))</f>
        <v>7300</v>
      </c>
      <c r="DT10" s="34" t="n">
        <f aca="false">IF(N(Reales!DT10)&gt;0,Reales!DT10,INDEX(TC_V,1,MIN(10,DT$6)))</f>
        <v>7300</v>
      </c>
      <c r="DU10" s="34" t="n">
        <f aca="false">IF(N(Reales!DU10)&gt;0,Reales!DU10,INDEX(TC_V,1,MIN(10,DU$6)))</f>
        <v>7300</v>
      </c>
      <c r="DV10" s="34" t="n">
        <f aca="false">IF(N(Reales!DV10)&gt;0,Reales!DV10,INDEX(TC_V,1,MIN(10,DV$6)))</f>
        <v>7300</v>
      </c>
      <c r="DW10" s="34" t="n">
        <f aca="false">IF(N(Reales!DW10)&gt;0,Reales!DW10,INDEX(TC_V,1,MIN(10,DW$6)))</f>
        <v>7300</v>
      </c>
      <c r="DX10" s="34" t="n">
        <f aca="false">IF(N(Reales!DX10)&gt;0,Reales!DX10,INDEX(TC_V,1,MIN(10,DX$6)))</f>
        <v>7300</v>
      </c>
      <c r="DY10" s="34" t="n">
        <f aca="false">IF(N(Reales!DY10)&gt;0,Reales!DY10,INDEX(TC_V,1,MIN(10,DY$6)))</f>
        <v>7300</v>
      </c>
      <c r="DZ10" s="34" t="n">
        <f aca="false">IF(N(Reales!DZ10)&gt;0,Reales!DZ10,INDEX(TC_V,1,MIN(10,DZ$6)))</f>
        <v>7300</v>
      </c>
      <c r="EA10" s="34" t="n">
        <f aca="false">IF(N(Reales!EA10)&gt;0,Reales!EA10,INDEX(TC_V,1,MIN(10,EA$6)))</f>
        <v>7300</v>
      </c>
      <c r="EB10" s="34" t="n">
        <f aca="false">IF(N(Reales!EB10)&gt;0,Reales!EB10,INDEX(TC_V,1,MIN(10,EB$6)))</f>
        <v>7300</v>
      </c>
      <c r="EC10" s="34" t="n">
        <f aca="false">IF(N(Reales!EC10)&gt;0,Reales!EC10,INDEX(TC_V,1,MIN(10,EC$6)))</f>
        <v>7300</v>
      </c>
      <c r="ED10" s="34" t="n">
        <f aca="false">IF(N(Reales!ED10)&gt;0,Reales!ED10,INDEX(TC_V,1,MIN(10,ED$6)))</f>
        <v>7300</v>
      </c>
      <c r="EE10" s="34" t="n">
        <f aca="false">IF(N(Reales!EE10)&gt;0,Reales!EE10,INDEX(TC_V,1,MIN(10,EE$6)))</f>
        <v>7300</v>
      </c>
      <c r="EF10" s="34" t="n">
        <f aca="false">IF(N(Reales!EF10)&gt;0,Reales!EF10,INDEX(TC_V,1,MIN(10,EF$6)))</f>
        <v>7300</v>
      </c>
      <c r="EG10" s="34" t="n">
        <f aca="false">IF(N(Reales!EG10)&gt;0,Reales!EG10,INDEX(TC_V,1,MIN(10,EG$6)))</f>
        <v>7300</v>
      </c>
      <c r="EH10" s="34" t="n">
        <f aca="false">IF(N(Reales!EH10)&gt;0,Reales!EH10,INDEX(TC_V,1,MIN(10,EH$6)))</f>
        <v>7300</v>
      </c>
      <c r="EI10" s="34" t="n">
        <f aca="false">IF(N(Reales!EI10)&gt;0,Reales!EI10,INDEX(TC_V,1,MIN(10,EI$6)))</f>
        <v>7300</v>
      </c>
      <c r="EJ10" s="34" t="n">
        <f aca="false">IF(N(Reales!EJ10)&gt;0,Reales!EJ10,INDEX(TC_V,1,MIN(10,EJ$6)))</f>
        <v>7300</v>
      </c>
      <c r="EK10" s="34" t="n">
        <f aca="false">IF(N(Reales!EK10)&gt;0,Reales!EK10,INDEX(TC_V,1,MIN(10,EK$6)))</f>
        <v>7300</v>
      </c>
      <c r="EL10" s="34" t="n">
        <f aca="false">IF(N(Reales!EL10)&gt;0,Reales!EL10,INDEX(TC_V,1,MIN(10,EL$6)))</f>
        <v>7300</v>
      </c>
      <c r="EM10" s="34" t="n">
        <f aca="false">IF(N(Reales!EM10)&gt;0,Reales!EM10,INDEX(TC_V,1,MIN(10,EM$6)))</f>
        <v>7300</v>
      </c>
      <c r="EN10" s="34" t="n">
        <f aca="false">IF(N(Reales!EN10)&gt;0,Reales!EN10,INDEX(TC_V,1,MIN(10,EN$6)))</f>
        <v>7300</v>
      </c>
      <c r="EO10" s="34" t="n">
        <f aca="false">IF(N(Reales!EO10)&gt;0,Reales!EO10,INDEX(TC_V,1,MIN(10,EO$6)))</f>
        <v>7300</v>
      </c>
      <c r="EP10" s="34" t="n">
        <f aca="false">IF(N(Reales!EP10)&gt;0,Reales!EP10,INDEX(TC_V,1,MIN(10,EP$6)))</f>
        <v>7300</v>
      </c>
      <c r="EQ10" s="34" t="n">
        <f aca="false">IF(N(Reales!EQ10)&gt;0,Reales!EQ10,INDEX(TC_V,1,MIN(10,EQ$6)))</f>
        <v>7300</v>
      </c>
      <c r="ER10" s="34" t="n">
        <f aca="false">IF(N(Reales!ER10)&gt;0,Reales!ER10,INDEX(TC_V,1,MIN(10,ER$6)))</f>
        <v>7300</v>
      </c>
      <c r="ES10" s="34" t="n">
        <f aca="false">IF(N(Reales!ES10)&gt;0,Reales!ES10,INDEX(TC_V,1,MIN(10,ES$6)))</f>
        <v>7300</v>
      </c>
    </row>
    <row r="12" customFormat="false" ht="15" hidden="false" customHeight="false" outlineLevel="0" collapsed="false">
      <c r="A12" s="49"/>
      <c r="B12" s="50" t="s">
        <v>568</v>
      </c>
      <c r="C12" s="49"/>
      <c r="D12" s="49"/>
      <c r="E12" s="49"/>
    </row>
    <row r="13" customFormat="false" ht="15" hidden="false" customHeight="false" outlineLevel="0" collapsed="false">
      <c r="A13" s="4"/>
      <c r="B13" s="3" t="s">
        <v>569</v>
      </c>
      <c r="C13" s="4"/>
      <c r="D13" s="4"/>
      <c r="E13" s="4"/>
    </row>
    <row r="14" customFormat="false" ht="15" hidden="false" customHeight="false" outlineLevel="0" collapsed="false">
      <c r="A14" s="2" t="s">
        <v>570</v>
      </c>
      <c r="B14" s="6" t="s">
        <v>571</v>
      </c>
      <c r="C14" s="6" t="s">
        <v>572</v>
      </c>
      <c r="F14" s="19" t="n">
        <f aca="false">IF(AND(1&gt;=P_Inicio,1&lt;=Fin),INT((1-P_Inicio)/12)+1,0)</f>
        <v>1</v>
      </c>
      <c r="G14" s="19" t="n">
        <f aca="false">IF(AND(2&gt;=P_Inicio,2&lt;=Fin),INT((2-P_Inicio)/12)+1,0)</f>
        <v>1</v>
      </c>
      <c r="H14" s="19" t="n">
        <f aca="false">IF(AND(3&gt;=P_Inicio,3&lt;=Fin),INT((3-P_Inicio)/12)+1,0)</f>
        <v>1</v>
      </c>
      <c r="I14" s="19" t="n">
        <f aca="false">IF(AND(4&gt;=P_Inicio,4&lt;=Fin),INT((4-P_Inicio)/12)+1,0)</f>
        <v>1</v>
      </c>
      <c r="J14" s="19" t="n">
        <f aca="false">IF(AND(5&gt;=P_Inicio,5&lt;=Fin),INT((5-P_Inicio)/12)+1,0)</f>
        <v>1</v>
      </c>
      <c r="K14" s="19" t="n">
        <f aca="false">IF(AND(6&gt;=P_Inicio,6&lt;=Fin),INT((6-P_Inicio)/12)+1,0)</f>
        <v>1</v>
      </c>
      <c r="L14" s="19" t="n">
        <f aca="false">IF(AND(7&gt;=P_Inicio,7&lt;=Fin),INT((7-P_Inicio)/12)+1,0)</f>
        <v>1</v>
      </c>
      <c r="M14" s="19" t="n">
        <f aca="false">IF(AND(8&gt;=P_Inicio,8&lt;=Fin),INT((8-P_Inicio)/12)+1,0)</f>
        <v>1</v>
      </c>
      <c r="N14" s="19" t="n">
        <f aca="false">IF(AND(9&gt;=P_Inicio,9&lt;=Fin),INT((9-P_Inicio)/12)+1,0)</f>
        <v>1</v>
      </c>
      <c r="O14" s="19" t="n">
        <f aca="false">IF(AND(10&gt;=P_Inicio,10&lt;=Fin),INT((10-P_Inicio)/12)+1,0)</f>
        <v>1</v>
      </c>
      <c r="P14" s="19" t="n">
        <f aca="false">IF(AND(11&gt;=P_Inicio,11&lt;=Fin),INT((11-P_Inicio)/12)+1,0)</f>
        <v>1</v>
      </c>
      <c r="Q14" s="19" t="n">
        <f aca="false">IF(AND(12&gt;=P_Inicio,12&lt;=Fin),INT((12-P_Inicio)/12)+1,0)</f>
        <v>1</v>
      </c>
      <c r="R14" s="19" t="n">
        <f aca="false">IF(AND(13&gt;=P_Inicio,13&lt;=Fin),INT((13-P_Inicio)/12)+1,0)</f>
        <v>2</v>
      </c>
      <c r="S14" s="19" t="n">
        <f aca="false">IF(AND(14&gt;=P_Inicio,14&lt;=Fin),INT((14-P_Inicio)/12)+1,0)</f>
        <v>2</v>
      </c>
      <c r="T14" s="19" t="n">
        <f aca="false">IF(AND(15&gt;=P_Inicio,15&lt;=Fin),INT((15-P_Inicio)/12)+1,0)</f>
        <v>2</v>
      </c>
      <c r="U14" s="19" t="n">
        <f aca="false">IF(AND(16&gt;=P_Inicio,16&lt;=Fin),INT((16-P_Inicio)/12)+1,0)</f>
        <v>2</v>
      </c>
      <c r="V14" s="19" t="n">
        <f aca="false">IF(AND(17&gt;=P_Inicio,17&lt;=Fin),INT((17-P_Inicio)/12)+1,0)</f>
        <v>2</v>
      </c>
      <c r="W14" s="19" t="n">
        <f aca="false">IF(AND(18&gt;=P_Inicio,18&lt;=Fin),INT((18-P_Inicio)/12)+1,0)</f>
        <v>2</v>
      </c>
      <c r="X14" s="19" t="n">
        <f aca="false">IF(AND(19&gt;=P_Inicio,19&lt;=Fin),INT((19-P_Inicio)/12)+1,0)</f>
        <v>2</v>
      </c>
      <c r="Y14" s="19" t="n">
        <f aca="false">IF(AND(20&gt;=P_Inicio,20&lt;=Fin),INT((20-P_Inicio)/12)+1,0)</f>
        <v>2</v>
      </c>
      <c r="Z14" s="19" t="n">
        <f aca="false">IF(AND(21&gt;=P_Inicio,21&lt;=Fin),INT((21-P_Inicio)/12)+1,0)</f>
        <v>2</v>
      </c>
      <c r="AA14" s="19" t="n">
        <f aca="false">IF(AND(22&gt;=P_Inicio,22&lt;=Fin),INT((22-P_Inicio)/12)+1,0)</f>
        <v>2</v>
      </c>
      <c r="AB14" s="19" t="n">
        <f aca="false">IF(AND(23&gt;=P_Inicio,23&lt;=Fin),INT((23-P_Inicio)/12)+1,0)</f>
        <v>2</v>
      </c>
      <c r="AC14" s="19" t="n">
        <f aca="false">IF(AND(24&gt;=P_Inicio,24&lt;=Fin),INT((24-P_Inicio)/12)+1,0)</f>
        <v>2</v>
      </c>
      <c r="AD14" s="19" t="n">
        <f aca="false">IF(AND(25&gt;=P_Inicio,25&lt;=Fin),INT((25-P_Inicio)/12)+1,0)</f>
        <v>3</v>
      </c>
      <c r="AE14" s="19" t="n">
        <f aca="false">IF(AND(26&gt;=P_Inicio,26&lt;=Fin),INT((26-P_Inicio)/12)+1,0)</f>
        <v>3</v>
      </c>
      <c r="AF14" s="19" t="n">
        <f aca="false">IF(AND(27&gt;=P_Inicio,27&lt;=Fin),INT((27-P_Inicio)/12)+1,0)</f>
        <v>3</v>
      </c>
      <c r="AG14" s="19" t="n">
        <f aca="false">IF(AND(28&gt;=P_Inicio,28&lt;=Fin),INT((28-P_Inicio)/12)+1,0)</f>
        <v>3</v>
      </c>
      <c r="AH14" s="19" t="n">
        <f aca="false">IF(AND(29&gt;=P_Inicio,29&lt;=Fin),INT((29-P_Inicio)/12)+1,0)</f>
        <v>3</v>
      </c>
      <c r="AI14" s="19" t="n">
        <f aca="false">IF(AND(30&gt;=P_Inicio,30&lt;=Fin),INT((30-P_Inicio)/12)+1,0)</f>
        <v>3</v>
      </c>
      <c r="AJ14" s="19" t="n">
        <f aca="false">IF(AND(31&gt;=P_Inicio,31&lt;=Fin),INT((31-P_Inicio)/12)+1,0)</f>
        <v>3</v>
      </c>
      <c r="AK14" s="19" t="n">
        <f aca="false">IF(AND(32&gt;=P_Inicio,32&lt;=Fin),INT((32-P_Inicio)/12)+1,0)</f>
        <v>3</v>
      </c>
      <c r="AL14" s="19" t="n">
        <f aca="false">IF(AND(33&gt;=P_Inicio,33&lt;=Fin),INT((33-P_Inicio)/12)+1,0)</f>
        <v>3</v>
      </c>
      <c r="AM14" s="19" t="n">
        <f aca="false">IF(AND(34&gt;=P_Inicio,34&lt;=Fin),INT((34-P_Inicio)/12)+1,0)</f>
        <v>3</v>
      </c>
      <c r="AN14" s="19" t="n">
        <f aca="false">IF(AND(35&gt;=P_Inicio,35&lt;=Fin),INT((35-P_Inicio)/12)+1,0)</f>
        <v>3</v>
      </c>
      <c r="AO14" s="19" t="n">
        <f aca="false">IF(AND(36&gt;=P_Inicio,36&lt;=Fin),INT((36-P_Inicio)/12)+1,0)</f>
        <v>3</v>
      </c>
      <c r="AP14" s="19" t="n">
        <f aca="false">IF(AND(37&gt;=P_Inicio,37&lt;=Fin),INT((37-P_Inicio)/12)+1,0)</f>
        <v>4</v>
      </c>
      <c r="AQ14" s="19" t="n">
        <f aca="false">IF(AND(38&gt;=P_Inicio,38&lt;=Fin),INT((38-P_Inicio)/12)+1,0)</f>
        <v>4</v>
      </c>
      <c r="AR14" s="19" t="n">
        <f aca="false">IF(AND(39&gt;=P_Inicio,39&lt;=Fin),INT((39-P_Inicio)/12)+1,0)</f>
        <v>4</v>
      </c>
      <c r="AS14" s="19" t="n">
        <f aca="false">IF(AND(40&gt;=P_Inicio,40&lt;=Fin),INT((40-P_Inicio)/12)+1,0)</f>
        <v>4</v>
      </c>
      <c r="AT14" s="19" t="n">
        <f aca="false">IF(AND(41&gt;=P_Inicio,41&lt;=Fin),INT((41-P_Inicio)/12)+1,0)</f>
        <v>4</v>
      </c>
      <c r="AU14" s="19" t="n">
        <f aca="false">IF(AND(42&gt;=P_Inicio,42&lt;=Fin),INT((42-P_Inicio)/12)+1,0)</f>
        <v>4</v>
      </c>
      <c r="AV14" s="19" t="n">
        <f aca="false">IF(AND(43&gt;=P_Inicio,43&lt;=Fin),INT((43-P_Inicio)/12)+1,0)</f>
        <v>4</v>
      </c>
      <c r="AW14" s="19" t="n">
        <f aca="false">IF(AND(44&gt;=P_Inicio,44&lt;=Fin),INT((44-P_Inicio)/12)+1,0)</f>
        <v>4</v>
      </c>
      <c r="AX14" s="19" t="n">
        <f aca="false">IF(AND(45&gt;=P_Inicio,45&lt;=Fin),INT((45-P_Inicio)/12)+1,0)</f>
        <v>4</v>
      </c>
      <c r="AY14" s="19" t="n">
        <f aca="false">IF(AND(46&gt;=P_Inicio,46&lt;=Fin),INT((46-P_Inicio)/12)+1,0)</f>
        <v>4</v>
      </c>
      <c r="AZ14" s="19" t="n">
        <f aca="false">IF(AND(47&gt;=P_Inicio,47&lt;=Fin),INT((47-P_Inicio)/12)+1,0)</f>
        <v>4</v>
      </c>
      <c r="BA14" s="19" t="n">
        <f aca="false">IF(AND(48&gt;=P_Inicio,48&lt;=Fin),INT((48-P_Inicio)/12)+1,0)</f>
        <v>4</v>
      </c>
      <c r="BB14" s="19" t="n">
        <f aca="false">IF(AND(49&gt;=P_Inicio,49&lt;=Fin),INT((49-P_Inicio)/12)+1,0)</f>
        <v>5</v>
      </c>
      <c r="BC14" s="19" t="n">
        <f aca="false">IF(AND(50&gt;=P_Inicio,50&lt;=Fin),INT((50-P_Inicio)/12)+1,0)</f>
        <v>5</v>
      </c>
      <c r="BD14" s="19" t="n">
        <f aca="false">IF(AND(51&gt;=P_Inicio,51&lt;=Fin),INT((51-P_Inicio)/12)+1,0)</f>
        <v>5</v>
      </c>
      <c r="BE14" s="19" t="n">
        <f aca="false">IF(AND(52&gt;=P_Inicio,52&lt;=Fin),INT((52-P_Inicio)/12)+1,0)</f>
        <v>5</v>
      </c>
      <c r="BF14" s="19" t="n">
        <f aca="false">IF(AND(53&gt;=P_Inicio,53&lt;=Fin),INT((53-P_Inicio)/12)+1,0)</f>
        <v>5</v>
      </c>
      <c r="BG14" s="19" t="n">
        <f aca="false">IF(AND(54&gt;=P_Inicio,54&lt;=Fin),INT((54-P_Inicio)/12)+1,0)</f>
        <v>5</v>
      </c>
      <c r="BH14" s="19" t="n">
        <f aca="false">IF(AND(55&gt;=P_Inicio,55&lt;=Fin),INT((55-P_Inicio)/12)+1,0)</f>
        <v>5</v>
      </c>
      <c r="BI14" s="19" t="n">
        <f aca="false">IF(AND(56&gt;=P_Inicio,56&lt;=Fin),INT((56-P_Inicio)/12)+1,0)</f>
        <v>5</v>
      </c>
      <c r="BJ14" s="19" t="n">
        <f aca="false">IF(AND(57&gt;=P_Inicio,57&lt;=Fin),INT((57-P_Inicio)/12)+1,0)</f>
        <v>5</v>
      </c>
      <c r="BK14" s="19" t="n">
        <f aca="false">IF(AND(58&gt;=P_Inicio,58&lt;=Fin),INT((58-P_Inicio)/12)+1,0)</f>
        <v>5</v>
      </c>
      <c r="BL14" s="19" t="n">
        <f aca="false">IF(AND(59&gt;=P_Inicio,59&lt;=Fin),INT((59-P_Inicio)/12)+1,0)</f>
        <v>5</v>
      </c>
      <c r="BM14" s="19" t="n">
        <f aca="false">IF(AND(60&gt;=P_Inicio,60&lt;=Fin),INT((60-P_Inicio)/12)+1,0)</f>
        <v>5</v>
      </c>
      <c r="BN14" s="19" t="n">
        <f aca="false">IF(AND(61&gt;=P_Inicio,61&lt;=Fin),INT((61-P_Inicio)/12)+1,0)</f>
        <v>6</v>
      </c>
      <c r="BO14" s="19" t="n">
        <f aca="false">IF(AND(62&gt;=P_Inicio,62&lt;=Fin),INT((62-P_Inicio)/12)+1,0)</f>
        <v>6</v>
      </c>
      <c r="BP14" s="19" t="n">
        <f aca="false">IF(AND(63&gt;=P_Inicio,63&lt;=Fin),INT((63-P_Inicio)/12)+1,0)</f>
        <v>6</v>
      </c>
      <c r="BQ14" s="19" t="n">
        <f aca="false">IF(AND(64&gt;=P_Inicio,64&lt;=Fin),INT((64-P_Inicio)/12)+1,0)</f>
        <v>6</v>
      </c>
      <c r="BR14" s="19" t="n">
        <f aca="false">IF(AND(65&gt;=P_Inicio,65&lt;=Fin),INT((65-P_Inicio)/12)+1,0)</f>
        <v>6</v>
      </c>
      <c r="BS14" s="19" t="n">
        <f aca="false">IF(AND(66&gt;=P_Inicio,66&lt;=Fin),INT((66-P_Inicio)/12)+1,0)</f>
        <v>6</v>
      </c>
      <c r="BT14" s="19" t="n">
        <f aca="false">IF(AND(67&gt;=P_Inicio,67&lt;=Fin),INT((67-P_Inicio)/12)+1,0)</f>
        <v>6</v>
      </c>
      <c r="BU14" s="19" t="n">
        <f aca="false">IF(AND(68&gt;=P_Inicio,68&lt;=Fin),INT((68-P_Inicio)/12)+1,0)</f>
        <v>6</v>
      </c>
      <c r="BV14" s="19" t="n">
        <f aca="false">IF(AND(69&gt;=P_Inicio,69&lt;=Fin),INT((69-P_Inicio)/12)+1,0)</f>
        <v>6</v>
      </c>
      <c r="BW14" s="19" t="n">
        <f aca="false">IF(AND(70&gt;=P_Inicio,70&lt;=Fin),INT((70-P_Inicio)/12)+1,0)</f>
        <v>6</v>
      </c>
      <c r="BX14" s="19" t="n">
        <f aca="false">IF(AND(71&gt;=P_Inicio,71&lt;=Fin),INT((71-P_Inicio)/12)+1,0)</f>
        <v>6</v>
      </c>
      <c r="BY14" s="19" t="n">
        <f aca="false">IF(AND(72&gt;=P_Inicio,72&lt;=Fin),INT((72-P_Inicio)/12)+1,0)</f>
        <v>6</v>
      </c>
      <c r="BZ14" s="19" t="n">
        <f aca="false">IF(AND(73&gt;=P_Inicio,73&lt;=Fin),INT((73-P_Inicio)/12)+1,0)</f>
        <v>7</v>
      </c>
      <c r="CA14" s="19" t="n">
        <f aca="false">IF(AND(74&gt;=P_Inicio,74&lt;=Fin),INT((74-P_Inicio)/12)+1,0)</f>
        <v>7</v>
      </c>
      <c r="CB14" s="19" t="n">
        <f aca="false">IF(AND(75&gt;=P_Inicio,75&lt;=Fin),INT((75-P_Inicio)/12)+1,0)</f>
        <v>7</v>
      </c>
      <c r="CC14" s="19" t="n">
        <f aca="false">IF(AND(76&gt;=P_Inicio,76&lt;=Fin),INT((76-P_Inicio)/12)+1,0)</f>
        <v>7</v>
      </c>
      <c r="CD14" s="19" t="n">
        <f aca="false">IF(AND(77&gt;=P_Inicio,77&lt;=Fin),INT((77-P_Inicio)/12)+1,0)</f>
        <v>7</v>
      </c>
      <c r="CE14" s="19" t="n">
        <f aca="false">IF(AND(78&gt;=P_Inicio,78&lt;=Fin),INT((78-P_Inicio)/12)+1,0)</f>
        <v>7</v>
      </c>
      <c r="CF14" s="19" t="n">
        <f aca="false">IF(AND(79&gt;=P_Inicio,79&lt;=Fin),INT((79-P_Inicio)/12)+1,0)</f>
        <v>7</v>
      </c>
      <c r="CG14" s="19" t="n">
        <f aca="false">IF(AND(80&gt;=P_Inicio,80&lt;=Fin),INT((80-P_Inicio)/12)+1,0)</f>
        <v>7</v>
      </c>
      <c r="CH14" s="19" t="n">
        <f aca="false">IF(AND(81&gt;=P_Inicio,81&lt;=Fin),INT((81-P_Inicio)/12)+1,0)</f>
        <v>7</v>
      </c>
      <c r="CI14" s="19" t="n">
        <f aca="false">IF(AND(82&gt;=P_Inicio,82&lt;=Fin),INT((82-P_Inicio)/12)+1,0)</f>
        <v>7</v>
      </c>
      <c r="CJ14" s="19" t="n">
        <f aca="false">IF(AND(83&gt;=P_Inicio,83&lt;=Fin),INT((83-P_Inicio)/12)+1,0)</f>
        <v>7</v>
      </c>
      <c r="CK14" s="19" t="n">
        <f aca="false">IF(AND(84&gt;=P_Inicio,84&lt;=Fin),INT((84-P_Inicio)/12)+1,0)</f>
        <v>7</v>
      </c>
      <c r="CL14" s="19" t="n">
        <f aca="false">IF(AND(85&gt;=P_Inicio,85&lt;=Fin),INT((85-P_Inicio)/12)+1,0)</f>
        <v>8</v>
      </c>
      <c r="CM14" s="19" t="n">
        <f aca="false">IF(AND(86&gt;=P_Inicio,86&lt;=Fin),INT((86-P_Inicio)/12)+1,0)</f>
        <v>8</v>
      </c>
      <c r="CN14" s="19" t="n">
        <f aca="false">IF(AND(87&gt;=P_Inicio,87&lt;=Fin),INT((87-P_Inicio)/12)+1,0)</f>
        <v>8</v>
      </c>
      <c r="CO14" s="19" t="n">
        <f aca="false">IF(AND(88&gt;=P_Inicio,88&lt;=Fin),INT((88-P_Inicio)/12)+1,0)</f>
        <v>8</v>
      </c>
      <c r="CP14" s="19" t="n">
        <f aca="false">IF(AND(89&gt;=P_Inicio,89&lt;=Fin),INT((89-P_Inicio)/12)+1,0)</f>
        <v>8</v>
      </c>
      <c r="CQ14" s="19" t="n">
        <f aca="false">IF(AND(90&gt;=P_Inicio,90&lt;=Fin),INT((90-P_Inicio)/12)+1,0)</f>
        <v>8</v>
      </c>
      <c r="CR14" s="19" t="n">
        <f aca="false">IF(AND(91&gt;=P_Inicio,91&lt;=Fin),INT((91-P_Inicio)/12)+1,0)</f>
        <v>8</v>
      </c>
      <c r="CS14" s="19" t="n">
        <f aca="false">IF(AND(92&gt;=P_Inicio,92&lt;=Fin),INT((92-P_Inicio)/12)+1,0)</f>
        <v>8</v>
      </c>
      <c r="CT14" s="19" t="n">
        <f aca="false">IF(AND(93&gt;=P_Inicio,93&lt;=Fin),INT((93-P_Inicio)/12)+1,0)</f>
        <v>8</v>
      </c>
      <c r="CU14" s="19" t="n">
        <f aca="false">IF(AND(94&gt;=P_Inicio,94&lt;=Fin),INT((94-P_Inicio)/12)+1,0)</f>
        <v>8</v>
      </c>
      <c r="CV14" s="19" t="n">
        <f aca="false">IF(AND(95&gt;=P_Inicio,95&lt;=Fin),INT((95-P_Inicio)/12)+1,0)</f>
        <v>8</v>
      </c>
      <c r="CW14" s="19" t="n">
        <f aca="false">IF(AND(96&gt;=P_Inicio,96&lt;=Fin),INT((96-P_Inicio)/12)+1,0)</f>
        <v>8</v>
      </c>
      <c r="CX14" s="19" t="n">
        <f aca="false">IF(AND(97&gt;=P_Inicio,97&lt;=Fin),INT((97-P_Inicio)/12)+1,0)</f>
        <v>9</v>
      </c>
      <c r="CY14" s="19" t="n">
        <f aca="false">IF(AND(98&gt;=P_Inicio,98&lt;=Fin),INT((98-P_Inicio)/12)+1,0)</f>
        <v>9</v>
      </c>
      <c r="CZ14" s="19" t="n">
        <f aca="false">IF(AND(99&gt;=P_Inicio,99&lt;=Fin),INT((99-P_Inicio)/12)+1,0)</f>
        <v>9</v>
      </c>
      <c r="DA14" s="19" t="n">
        <f aca="false">IF(AND(100&gt;=P_Inicio,100&lt;=Fin),INT((100-P_Inicio)/12)+1,0)</f>
        <v>9</v>
      </c>
      <c r="DB14" s="19" t="n">
        <f aca="false">IF(AND(101&gt;=P_Inicio,101&lt;=Fin),INT((101-P_Inicio)/12)+1,0)</f>
        <v>9</v>
      </c>
      <c r="DC14" s="19" t="n">
        <f aca="false">IF(AND(102&gt;=P_Inicio,102&lt;=Fin),INT((102-P_Inicio)/12)+1,0)</f>
        <v>9</v>
      </c>
      <c r="DD14" s="19" t="n">
        <f aca="false">IF(AND(103&gt;=P_Inicio,103&lt;=Fin),INT((103-P_Inicio)/12)+1,0)</f>
        <v>9</v>
      </c>
      <c r="DE14" s="19" t="n">
        <f aca="false">IF(AND(104&gt;=P_Inicio,104&lt;=Fin),INT((104-P_Inicio)/12)+1,0)</f>
        <v>9</v>
      </c>
      <c r="DF14" s="19" t="n">
        <f aca="false">IF(AND(105&gt;=P_Inicio,105&lt;=Fin),INT((105-P_Inicio)/12)+1,0)</f>
        <v>9</v>
      </c>
      <c r="DG14" s="19" t="n">
        <f aca="false">IF(AND(106&gt;=P_Inicio,106&lt;=Fin),INT((106-P_Inicio)/12)+1,0)</f>
        <v>9</v>
      </c>
      <c r="DH14" s="19" t="n">
        <f aca="false">IF(AND(107&gt;=P_Inicio,107&lt;=Fin),INT((107-P_Inicio)/12)+1,0)</f>
        <v>9</v>
      </c>
      <c r="DI14" s="19" t="n">
        <f aca="false">IF(AND(108&gt;=P_Inicio,108&lt;=Fin),INT((108-P_Inicio)/12)+1,0)</f>
        <v>9</v>
      </c>
      <c r="DJ14" s="19" t="n">
        <f aca="false">IF(AND(109&gt;=P_Inicio,109&lt;=Fin),INT((109-P_Inicio)/12)+1,0)</f>
        <v>10</v>
      </c>
      <c r="DK14" s="19" t="n">
        <f aca="false">IF(AND(110&gt;=P_Inicio,110&lt;=Fin),INT((110-P_Inicio)/12)+1,0)</f>
        <v>10</v>
      </c>
      <c r="DL14" s="19" t="n">
        <f aca="false">IF(AND(111&gt;=P_Inicio,111&lt;=Fin),INT((111-P_Inicio)/12)+1,0)</f>
        <v>10</v>
      </c>
      <c r="DM14" s="19" t="n">
        <f aca="false">IF(AND(112&gt;=P_Inicio,112&lt;=Fin),INT((112-P_Inicio)/12)+1,0)</f>
        <v>10</v>
      </c>
      <c r="DN14" s="19" t="n">
        <f aca="false">IF(AND(113&gt;=P_Inicio,113&lt;=Fin),INT((113-P_Inicio)/12)+1,0)</f>
        <v>10</v>
      </c>
      <c r="DO14" s="19" t="n">
        <f aca="false">IF(AND(114&gt;=P_Inicio,114&lt;=Fin),INT((114-P_Inicio)/12)+1,0)</f>
        <v>10</v>
      </c>
      <c r="DP14" s="19" t="n">
        <f aca="false">IF(AND(115&gt;=P_Inicio,115&lt;=Fin),INT((115-P_Inicio)/12)+1,0)</f>
        <v>10</v>
      </c>
      <c r="DQ14" s="19" t="n">
        <f aca="false">IF(AND(116&gt;=P_Inicio,116&lt;=Fin),INT((116-P_Inicio)/12)+1,0)</f>
        <v>10</v>
      </c>
      <c r="DR14" s="19" t="n">
        <f aca="false">IF(AND(117&gt;=P_Inicio,117&lt;=Fin),INT((117-P_Inicio)/12)+1,0)</f>
        <v>10</v>
      </c>
      <c r="DS14" s="19" t="n">
        <f aca="false">IF(AND(118&gt;=P_Inicio,118&lt;=Fin),INT((118-P_Inicio)/12)+1,0)</f>
        <v>10</v>
      </c>
      <c r="DT14" s="19" t="n">
        <f aca="false">IF(AND(119&gt;=P_Inicio,119&lt;=Fin),INT((119-P_Inicio)/12)+1,0)</f>
        <v>10</v>
      </c>
      <c r="DU14" s="19" t="n">
        <f aca="false">IF(AND(120&gt;=P_Inicio,120&lt;=Fin),INT((120-P_Inicio)/12)+1,0)</f>
        <v>10</v>
      </c>
      <c r="DV14" s="19" t="n">
        <f aca="false">IF(AND(121&gt;=P_Inicio,121&lt;=Fin),INT((121-P_Inicio)/12)+1,0)</f>
        <v>0</v>
      </c>
      <c r="DW14" s="19" t="n">
        <f aca="false">IF(AND(122&gt;=P_Inicio,122&lt;=Fin),INT((122-P_Inicio)/12)+1,0)</f>
        <v>0</v>
      </c>
      <c r="DX14" s="19" t="n">
        <f aca="false">IF(AND(123&gt;=P_Inicio,123&lt;=Fin),INT((123-P_Inicio)/12)+1,0)</f>
        <v>0</v>
      </c>
      <c r="DY14" s="19" t="n">
        <f aca="false">IF(AND(124&gt;=P_Inicio,124&lt;=Fin),INT((124-P_Inicio)/12)+1,0)</f>
        <v>0</v>
      </c>
      <c r="DZ14" s="19" t="n">
        <f aca="false">IF(AND(125&gt;=P_Inicio,125&lt;=Fin),INT((125-P_Inicio)/12)+1,0)</f>
        <v>0</v>
      </c>
      <c r="EA14" s="19" t="n">
        <f aca="false">IF(AND(126&gt;=P_Inicio,126&lt;=Fin),INT((126-P_Inicio)/12)+1,0)</f>
        <v>0</v>
      </c>
      <c r="EB14" s="19" t="n">
        <f aca="false">IF(AND(127&gt;=P_Inicio,127&lt;=Fin),INT((127-P_Inicio)/12)+1,0)</f>
        <v>0</v>
      </c>
      <c r="EC14" s="19" t="n">
        <f aca="false">IF(AND(128&gt;=P_Inicio,128&lt;=Fin),INT((128-P_Inicio)/12)+1,0)</f>
        <v>0</v>
      </c>
      <c r="ED14" s="19" t="n">
        <f aca="false">IF(AND(129&gt;=P_Inicio,129&lt;=Fin),INT((129-P_Inicio)/12)+1,0)</f>
        <v>0</v>
      </c>
      <c r="EE14" s="19" t="n">
        <f aca="false">IF(AND(130&gt;=P_Inicio,130&lt;=Fin),INT((130-P_Inicio)/12)+1,0)</f>
        <v>0</v>
      </c>
      <c r="EF14" s="19" t="n">
        <f aca="false">IF(AND(131&gt;=P_Inicio,131&lt;=Fin),INT((131-P_Inicio)/12)+1,0)</f>
        <v>0</v>
      </c>
      <c r="EG14" s="19" t="n">
        <f aca="false">IF(AND(132&gt;=P_Inicio,132&lt;=Fin),INT((132-P_Inicio)/12)+1,0)</f>
        <v>0</v>
      </c>
      <c r="EH14" s="19" t="n">
        <f aca="false">IF(AND(133&gt;=P_Inicio,133&lt;=Fin),INT((133-P_Inicio)/12)+1,0)</f>
        <v>0</v>
      </c>
      <c r="EI14" s="19" t="n">
        <f aca="false">IF(AND(134&gt;=P_Inicio,134&lt;=Fin),INT((134-P_Inicio)/12)+1,0)</f>
        <v>0</v>
      </c>
      <c r="EJ14" s="19" t="n">
        <f aca="false">IF(AND(135&gt;=P_Inicio,135&lt;=Fin),INT((135-P_Inicio)/12)+1,0)</f>
        <v>0</v>
      </c>
      <c r="EK14" s="19" t="n">
        <f aca="false">IF(AND(136&gt;=P_Inicio,136&lt;=Fin),INT((136-P_Inicio)/12)+1,0)</f>
        <v>0</v>
      </c>
      <c r="EL14" s="19" t="n">
        <f aca="false">IF(AND(137&gt;=P_Inicio,137&lt;=Fin),INT((137-P_Inicio)/12)+1,0)</f>
        <v>0</v>
      </c>
      <c r="EM14" s="19" t="n">
        <f aca="false">IF(AND(138&gt;=P_Inicio,138&lt;=Fin),INT((138-P_Inicio)/12)+1,0)</f>
        <v>0</v>
      </c>
      <c r="EN14" s="19" t="n">
        <f aca="false">IF(AND(139&gt;=P_Inicio,139&lt;=Fin),INT((139-P_Inicio)/12)+1,0)</f>
        <v>0</v>
      </c>
      <c r="EO14" s="19" t="n">
        <f aca="false">IF(AND(140&gt;=P_Inicio,140&lt;=Fin),INT((140-P_Inicio)/12)+1,0)</f>
        <v>0</v>
      </c>
      <c r="EP14" s="19" t="n">
        <f aca="false">IF(AND(141&gt;=P_Inicio,141&lt;=Fin),INT((141-P_Inicio)/12)+1,0)</f>
        <v>0</v>
      </c>
      <c r="EQ14" s="19" t="n">
        <f aca="false">IF(AND(142&gt;=P_Inicio,142&lt;=Fin),INT((142-P_Inicio)/12)+1,0)</f>
        <v>0</v>
      </c>
      <c r="ER14" s="19" t="n">
        <f aca="false">IF(AND(143&gt;=P_Inicio,143&lt;=Fin),INT((143-P_Inicio)/12)+1,0)</f>
        <v>0</v>
      </c>
      <c r="ES14" s="19" t="n">
        <f aca="false">IF(AND(144&gt;=P_Inicio,144&lt;=Fin),INT((144-P_Inicio)/12)+1,0)</f>
        <v>0</v>
      </c>
    </row>
    <row r="15" customFormat="false" ht="15" hidden="false" customHeight="false" outlineLevel="0" collapsed="false">
      <c r="A15" s="2" t="s">
        <v>573</v>
      </c>
      <c r="B15" s="6" t="s">
        <v>574</v>
      </c>
      <c r="C15" s="6" t="s">
        <v>575</v>
      </c>
      <c r="E15" s="51" t="n">
        <f aca="false">SUM(F15:ES15)</f>
        <v>120</v>
      </c>
      <c r="F15" s="19" t="n">
        <f aca="false">IF(F$14&gt;0,1,0)</f>
        <v>1</v>
      </c>
      <c r="G15" s="19" t="n">
        <f aca="false">IF(G$14&gt;0,1,0)</f>
        <v>1</v>
      </c>
      <c r="H15" s="19" t="n">
        <f aca="false">IF(H$14&gt;0,1,0)</f>
        <v>1</v>
      </c>
      <c r="I15" s="19" t="n">
        <f aca="false">IF(I$14&gt;0,1,0)</f>
        <v>1</v>
      </c>
      <c r="J15" s="19" t="n">
        <f aca="false">IF(J$14&gt;0,1,0)</f>
        <v>1</v>
      </c>
      <c r="K15" s="19" t="n">
        <f aca="false">IF(K$14&gt;0,1,0)</f>
        <v>1</v>
      </c>
      <c r="L15" s="19" t="n">
        <f aca="false">IF(L$14&gt;0,1,0)</f>
        <v>1</v>
      </c>
      <c r="M15" s="19" t="n">
        <f aca="false">IF(M$14&gt;0,1,0)</f>
        <v>1</v>
      </c>
      <c r="N15" s="19" t="n">
        <f aca="false">IF(N$14&gt;0,1,0)</f>
        <v>1</v>
      </c>
      <c r="O15" s="19" t="n">
        <f aca="false">IF(O$14&gt;0,1,0)</f>
        <v>1</v>
      </c>
      <c r="P15" s="19" t="n">
        <f aca="false">IF(P$14&gt;0,1,0)</f>
        <v>1</v>
      </c>
      <c r="Q15" s="19" t="n">
        <f aca="false">IF(Q$14&gt;0,1,0)</f>
        <v>1</v>
      </c>
      <c r="R15" s="19" t="n">
        <f aca="false">IF(R$14&gt;0,1,0)</f>
        <v>1</v>
      </c>
      <c r="S15" s="19" t="n">
        <f aca="false">IF(S$14&gt;0,1,0)</f>
        <v>1</v>
      </c>
      <c r="T15" s="19" t="n">
        <f aca="false">IF(T$14&gt;0,1,0)</f>
        <v>1</v>
      </c>
      <c r="U15" s="19" t="n">
        <f aca="false">IF(U$14&gt;0,1,0)</f>
        <v>1</v>
      </c>
      <c r="V15" s="19" t="n">
        <f aca="false">IF(V$14&gt;0,1,0)</f>
        <v>1</v>
      </c>
      <c r="W15" s="19" t="n">
        <f aca="false">IF(W$14&gt;0,1,0)</f>
        <v>1</v>
      </c>
      <c r="X15" s="19" t="n">
        <f aca="false">IF(X$14&gt;0,1,0)</f>
        <v>1</v>
      </c>
      <c r="Y15" s="19" t="n">
        <f aca="false">IF(Y$14&gt;0,1,0)</f>
        <v>1</v>
      </c>
      <c r="Z15" s="19" t="n">
        <f aca="false">IF(Z$14&gt;0,1,0)</f>
        <v>1</v>
      </c>
      <c r="AA15" s="19" t="n">
        <f aca="false">IF(AA$14&gt;0,1,0)</f>
        <v>1</v>
      </c>
      <c r="AB15" s="19" t="n">
        <f aca="false">IF(AB$14&gt;0,1,0)</f>
        <v>1</v>
      </c>
      <c r="AC15" s="19" t="n">
        <f aca="false">IF(AC$14&gt;0,1,0)</f>
        <v>1</v>
      </c>
      <c r="AD15" s="19" t="n">
        <f aca="false">IF(AD$14&gt;0,1,0)</f>
        <v>1</v>
      </c>
      <c r="AE15" s="19" t="n">
        <f aca="false">IF(AE$14&gt;0,1,0)</f>
        <v>1</v>
      </c>
      <c r="AF15" s="19" t="n">
        <f aca="false">IF(AF$14&gt;0,1,0)</f>
        <v>1</v>
      </c>
      <c r="AG15" s="19" t="n">
        <f aca="false">IF(AG$14&gt;0,1,0)</f>
        <v>1</v>
      </c>
      <c r="AH15" s="19" t="n">
        <f aca="false">IF(AH$14&gt;0,1,0)</f>
        <v>1</v>
      </c>
      <c r="AI15" s="19" t="n">
        <f aca="false">IF(AI$14&gt;0,1,0)</f>
        <v>1</v>
      </c>
      <c r="AJ15" s="19" t="n">
        <f aca="false">IF(AJ$14&gt;0,1,0)</f>
        <v>1</v>
      </c>
      <c r="AK15" s="19" t="n">
        <f aca="false">IF(AK$14&gt;0,1,0)</f>
        <v>1</v>
      </c>
      <c r="AL15" s="19" t="n">
        <f aca="false">IF(AL$14&gt;0,1,0)</f>
        <v>1</v>
      </c>
      <c r="AM15" s="19" t="n">
        <f aca="false">IF(AM$14&gt;0,1,0)</f>
        <v>1</v>
      </c>
      <c r="AN15" s="19" t="n">
        <f aca="false">IF(AN$14&gt;0,1,0)</f>
        <v>1</v>
      </c>
      <c r="AO15" s="19" t="n">
        <f aca="false">IF(AO$14&gt;0,1,0)</f>
        <v>1</v>
      </c>
      <c r="AP15" s="19" t="n">
        <f aca="false">IF(AP$14&gt;0,1,0)</f>
        <v>1</v>
      </c>
      <c r="AQ15" s="19" t="n">
        <f aca="false">IF(AQ$14&gt;0,1,0)</f>
        <v>1</v>
      </c>
      <c r="AR15" s="19" t="n">
        <f aca="false">IF(AR$14&gt;0,1,0)</f>
        <v>1</v>
      </c>
      <c r="AS15" s="19" t="n">
        <f aca="false">IF(AS$14&gt;0,1,0)</f>
        <v>1</v>
      </c>
      <c r="AT15" s="19" t="n">
        <f aca="false">IF(AT$14&gt;0,1,0)</f>
        <v>1</v>
      </c>
      <c r="AU15" s="19" t="n">
        <f aca="false">IF(AU$14&gt;0,1,0)</f>
        <v>1</v>
      </c>
      <c r="AV15" s="19" t="n">
        <f aca="false">IF(AV$14&gt;0,1,0)</f>
        <v>1</v>
      </c>
      <c r="AW15" s="19" t="n">
        <f aca="false">IF(AW$14&gt;0,1,0)</f>
        <v>1</v>
      </c>
      <c r="AX15" s="19" t="n">
        <f aca="false">IF(AX$14&gt;0,1,0)</f>
        <v>1</v>
      </c>
      <c r="AY15" s="19" t="n">
        <f aca="false">IF(AY$14&gt;0,1,0)</f>
        <v>1</v>
      </c>
      <c r="AZ15" s="19" t="n">
        <f aca="false">IF(AZ$14&gt;0,1,0)</f>
        <v>1</v>
      </c>
      <c r="BA15" s="19" t="n">
        <f aca="false">IF(BA$14&gt;0,1,0)</f>
        <v>1</v>
      </c>
      <c r="BB15" s="19" t="n">
        <f aca="false">IF(BB$14&gt;0,1,0)</f>
        <v>1</v>
      </c>
      <c r="BC15" s="19" t="n">
        <f aca="false">IF(BC$14&gt;0,1,0)</f>
        <v>1</v>
      </c>
      <c r="BD15" s="19" t="n">
        <f aca="false">IF(BD$14&gt;0,1,0)</f>
        <v>1</v>
      </c>
      <c r="BE15" s="19" t="n">
        <f aca="false">IF(BE$14&gt;0,1,0)</f>
        <v>1</v>
      </c>
      <c r="BF15" s="19" t="n">
        <f aca="false">IF(BF$14&gt;0,1,0)</f>
        <v>1</v>
      </c>
      <c r="BG15" s="19" t="n">
        <f aca="false">IF(BG$14&gt;0,1,0)</f>
        <v>1</v>
      </c>
      <c r="BH15" s="19" t="n">
        <f aca="false">IF(BH$14&gt;0,1,0)</f>
        <v>1</v>
      </c>
      <c r="BI15" s="19" t="n">
        <f aca="false">IF(BI$14&gt;0,1,0)</f>
        <v>1</v>
      </c>
      <c r="BJ15" s="19" t="n">
        <f aca="false">IF(BJ$14&gt;0,1,0)</f>
        <v>1</v>
      </c>
      <c r="BK15" s="19" t="n">
        <f aca="false">IF(BK$14&gt;0,1,0)</f>
        <v>1</v>
      </c>
      <c r="BL15" s="19" t="n">
        <f aca="false">IF(BL$14&gt;0,1,0)</f>
        <v>1</v>
      </c>
      <c r="BM15" s="19" t="n">
        <f aca="false">IF(BM$14&gt;0,1,0)</f>
        <v>1</v>
      </c>
      <c r="BN15" s="19" t="n">
        <f aca="false">IF(BN$14&gt;0,1,0)</f>
        <v>1</v>
      </c>
      <c r="BO15" s="19" t="n">
        <f aca="false">IF(BO$14&gt;0,1,0)</f>
        <v>1</v>
      </c>
      <c r="BP15" s="19" t="n">
        <f aca="false">IF(BP$14&gt;0,1,0)</f>
        <v>1</v>
      </c>
      <c r="BQ15" s="19" t="n">
        <f aca="false">IF(BQ$14&gt;0,1,0)</f>
        <v>1</v>
      </c>
      <c r="BR15" s="19" t="n">
        <f aca="false">IF(BR$14&gt;0,1,0)</f>
        <v>1</v>
      </c>
      <c r="BS15" s="19" t="n">
        <f aca="false">IF(BS$14&gt;0,1,0)</f>
        <v>1</v>
      </c>
      <c r="BT15" s="19" t="n">
        <f aca="false">IF(BT$14&gt;0,1,0)</f>
        <v>1</v>
      </c>
      <c r="BU15" s="19" t="n">
        <f aca="false">IF(BU$14&gt;0,1,0)</f>
        <v>1</v>
      </c>
      <c r="BV15" s="19" t="n">
        <f aca="false">IF(BV$14&gt;0,1,0)</f>
        <v>1</v>
      </c>
      <c r="BW15" s="19" t="n">
        <f aca="false">IF(BW$14&gt;0,1,0)</f>
        <v>1</v>
      </c>
      <c r="BX15" s="19" t="n">
        <f aca="false">IF(BX$14&gt;0,1,0)</f>
        <v>1</v>
      </c>
      <c r="BY15" s="19" t="n">
        <f aca="false">IF(BY$14&gt;0,1,0)</f>
        <v>1</v>
      </c>
      <c r="BZ15" s="19" t="n">
        <f aca="false">IF(BZ$14&gt;0,1,0)</f>
        <v>1</v>
      </c>
      <c r="CA15" s="19" t="n">
        <f aca="false">IF(CA$14&gt;0,1,0)</f>
        <v>1</v>
      </c>
      <c r="CB15" s="19" t="n">
        <f aca="false">IF(CB$14&gt;0,1,0)</f>
        <v>1</v>
      </c>
      <c r="CC15" s="19" t="n">
        <f aca="false">IF(CC$14&gt;0,1,0)</f>
        <v>1</v>
      </c>
      <c r="CD15" s="19" t="n">
        <f aca="false">IF(CD$14&gt;0,1,0)</f>
        <v>1</v>
      </c>
      <c r="CE15" s="19" t="n">
        <f aca="false">IF(CE$14&gt;0,1,0)</f>
        <v>1</v>
      </c>
      <c r="CF15" s="19" t="n">
        <f aca="false">IF(CF$14&gt;0,1,0)</f>
        <v>1</v>
      </c>
      <c r="CG15" s="19" t="n">
        <f aca="false">IF(CG$14&gt;0,1,0)</f>
        <v>1</v>
      </c>
      <c r="CH15" s="19" t="n">
        <f aca="false">IF(CH$14&gt;0,1,0)</f>
        <v>1</v>
      </c>
      <c r="CI15" s="19" t="n">
        <f aca="false">IF(CI$14&gt;0,1,0)</f>
        <v>1</v>
      </c>
      <c r="CJ15" s="19" t="n">
        <f aca="false">IF(CJ$14&gt;0,1,0)</f>
        <v>1</v>
      </c>
      <c r="CK15" s="19" t="n">
        <f aca="false">IF(CK$14&gt;0,1,0)</f>
        <v>1</v>
      </c>
      <c r="CL15" s="19" t="n">
        <f aca="false">IF(CL$14&gt;0,1,0)</f>
        <v>1</v>
      </c>
      <c r="CM15" s="19" t="n">
        <f aca="false">IF(CM$14&gt;0,1,0)</f>
        <v>1</v>
      </c>
      <c r="CN15" s="19" t="n">
        <f aca="false">IF(CN$14&gt;0,1,0)</f>
        <v>1</v>
      </c>
      <c r="CO15" s="19" t="n">
        <f aca="false">IF(CO$14&gt;0,1,0)</f>
        <v>1</v>
      </c>
      <c r="CP15" s="19" t="n">
        <f aca="false">IF(CP$14&gt;0,1,0)</f>
        <v>1</v>
      </c>
      <c r="CQ15" s="19" t="n">
        <f aca="false">IF(CQ$14&gt;0,1,0)</f>
        <v>1</v>
      </c>
      <c r="CR15" s="19" t="n">
        <f aca="false">IF(CR$14&gt;0,1,0)</f>
        <v>1</v>
      </c>
      <c r="CS15" s="19" t="n">
        <f aca="false">IF(CS$14&gt;0,1,0)</f>
        <v>1</v>
      </c>
      <c r="CT15" s="19" t="n">
        <f aca="false">IF(CT$14&gt;0,1,0)</f>
        <v>1</v>
      </c>
      <c r="CU15" s="19" t="n">
        <f aca="false">IF(CU$14&gt;0,1,0)</f>
        <v>1</v>
      </c>
      <c r="CV15" s="19" t="n">
        <f aca="false">IF(CV$14&gt;0,1,0)</f>
        <v>1</v>
      </c>
      <c r="CW15" s="19" t="n">
        <f aca="false">IF(CW$14&gt;0,1,0)</f>
        <v>1</v>
      </c>
      <c r="CX15" s="19" t="n">
        <f aca="false">IF(CX$14&gt;0,1,0)</f>
        <v>1</v>
      </c>
      <c r="CY15" s="19" t="n">
        <f aca="false">IF(CY$14&gt;0,1,0)</f>
        <v>1</v>
      </c>
      <c r="CZ15" s="19" t="n">
        <f aca="false">IF(CZ$14&gt;0,1,0)</f>
        <v>1</v>
      </c>
      <c r="DA15" s="19" t="n">
        <f aca="false">IF(DA$14&gt;0,1,0)</f>
        <v>1</v>
      </c>
      <c r="DB15" s="19" t="n">
        <f aca="false">IF(DB$14&gt;0,1,0)</f>
        <v>1</v>
      </c>
      <c r="DC15" s="19" t="n">
        <f aca="false">IF(DC$14&gt;0,1,0)</f>
        <v>1</v>
      </c>
      <c r="DD15" s="19" t="n">
        <f aca="false">IF(DD$14&gt;0,1,0)</f>
        <v>1</v>
      </c>
      <c r="DE15" s="19" t="n">
        <f aca="false">IF(DE$14&gt;0,1,0)</f>
        <v>1</v>
      </c>
      <c r="DF15" s="19" t="n">
        <f aca="false">IF(DF$14&gt;0,1,0)</f>
        <v>1</v>
      </c>
      <c r="DG15" s="19" t="n">
        <f aca="false">IF(DG$14&gt;0,1,0)</f>
        <v>1</v>
      </c>
      <c r="DH15" s="19" t="n">
        <f aca="false">IF(DH$14&gt;0,1,0)</f>
        <v>1</v>
      </c>
      <c r="DI15" s="19" t="n">
        <f aca="false">IF(DI$14&gt;0,1,0)</f>
        <v>1</v>
      </c>
      <c r="DJ15" s="19" t="n">
        <f aca="false">IF(DJ$14&gt;0,1,0)</f>
        <v>1</v>
      </c>
      <c r="DK15" s="19" t="n">
        <f aca="false">IF(DK$14&gt;0,1,0)</f>
        <v>1</v>
      </c>
      <c r="DL15" s="19" t="n">
        <f aca="false">IF(DL$14&gt;0,1,0)</f>
        <v>1</v>
      </c>
      <c r="DM15" s="19" t="n">
        <f aca="false">IF(DM$14&gt;0,1,0)</f>
        <v>1</v>
      </c>
      <c r="DN15" s="19" t="n">
        <f aca="false">IF(DN$14&gt;0,1,0)</f>
        <v>1</v>
      </c>
      <c r="DO15" s="19" t="n">
        <f aca="false">IF(DO$14&gt;0,1,0)</f>
        <v>1</v>
      </c>
      <c r="DP15" s="19" t="n">
        <f aca="false">IF(DP$14&gt;0,1,0)</f>
        <v>1</v>
      </c>
      <c r="DQ15" s="19" t="n">
        <f aca="false">IF(DQ$14&gt;0,1,0)</f>
        <v>1</v>
      </c>
      <c r="DR15" s="19" t="n">
        <f aca="false">IF(DR$14&gt;0,1,0)</f>
        <v>1</v>
      </c>
      <c r="DS15" s="19" t="n">
        <f aca="false">IF(DS$14&gt;0,1,0)</f>
        <v>1</v>
      </c>
      <c r="DT15" s="19" t="n">
        <f aca="false">IF(DT$14&gt;0,1,0)</f>
        <v>1</v>
      </c>
      <c r="DU15" s="19" t="n">
        <f aca="false">IF(DU$14&gt;0,1,0)</f>
        <v>1</v>
      </c>
      <c r="DV15" s="19" t="n">
        <f aca="false">IF(DV$14&gt;0,1,0)</f>
        <v>0</v>
      </c>
      <c r="DW15" s="19" t="n">
        <f aca="false">IF(DW$14&gt;0,1,0)</f>
        <v>0</v>
      </c>
      <c r="DX15" s="19" t="n">
        <f aca="false">IF(DX$14&gt;0,1,0)</f>
        <v>0</v>
      </c>
      <c r="DY15" s="19" t="n">
        <f aca="false">IF(DY$14&gt;0,1,0)</f>
        <v>0</v>
      </c>
      <c r="DZ15" s="19" t="n">
        <f aca="false">IF(DZ$14&gt;0,1,0)</f>
        <v>0</v>
      </c>
      <c r="EA15" s="19" t="n">
        <f aca="false">IF(EA$14&gt;0,1,0)</f>
        <v>0</v>
      </c>
      <c r="EB15" s="19" t="n">
        <f aca="false">IF(EB$14&gt;0,1,0)</f>
        <v>0</v>
      </c>
      <c r="EC15" s="19" t="n">
        <f aca="false">IF(EC$14&gt;0,1,0)</f>
        <v>0</v>
      </c>
      <c r="ED15" s="19" t="n">
        <f aca="false">IF(ED$14&gt;0,1,0)</f>
        <v>0</v>
      </c>
      <c r="EE15" s="19" t="n">
        <f aca="false">IF(EE$14&gt;0,1,0)</f>
        <v>0</v>
      </c>
      <c r="EF15" s="19" t="n">
        <f aca="false">IF(EF$14&gt;0,1,0)</f>
        <v>0</v>
      </c>
      <c r="EG15" s="19" t="n">
        <f aca="false">IF(EG$14&gt;0,1,0)</f>
        <v>0</v>
      </c>
      <c r="EH15" s="19" t="n">
        <f aca="false">IF(EH$14&gt;0,1,0)</f>
        <v>0</v>
      </c>
      <c r="EI15" s="19" t="n">
        <f aca="false">IF(EI$14&gt;0,1,0)</f>
        <v>0</v>
      </c>
      <c r="EJ15" s="19" t="n">
        <f aca="false">IF(EJ$14&gt;0,1,0)</f>
        <v>0</v>
      </c>
      <c r="EK15" s="19" t="n">
        <f aca="false">IF(EK$14&gt;0,1,0)</f>
        <v>0</v>
      </c>
      <c r="EL15" s="19" t="n">
        <f aca="false">IF(EL$14&gt;0,1,0)</f>
        <v>0</v>
      </c>
      <c r="EM15" s="19" t="n">
        <f aca="false">IF(EM$14&gt;0,1,0)</f>
        <v>0</v>
      </c>
      <c r="EN15" s="19" t="n">
        <f aca="false">IF(EN$14&gt;0,1,0)</f>
        <v>0</v>
      </c>
      <c r="EO15" s="19" t="n">
        <f aca="false">IF(EO$14&gt;0,1,0)</f>
        <v>0</v>
      </c>
      <c r="EP15" s="19" t="n">
        <f aca="false">IF(EP$14&gt;0,1,0)</f>
        <v>0</v>
      </c>
      <c r="EQ15" s="19" t="n">
        <f aca="false">IF(EQ$14&gt;0,1,0)</f>
        <v>0</v>
      </c>
      <c r="ER15" s="19" t="n">
        <f aca="false">IF(ER$14&gt;0,1,0)</f>
        <v>0</v>
      </c>
      <c r="ES15" s="19" t="n">
        <f aca="false">IF(ES$14&gt;0,1,0)</f>
        <v>0</v>
      </c>
    </row>
    <row r="16" customFormat="false" ht="15" hidden="false" customHeight="false" outlineLevel="0" collapsed="false">
      <c r="A16" s="2" t="s">
        <v>576</v>
      </c>
      <c r="B16" s="6" t="s">
        <v>577</v>
      </c>
      <c r="C16" s="6" t="s">
        <v>575</v>
      </c>
      <c r="E16" s="51" t="n">
        <f aca="false">SUM(F16:ES16)</f>
        <v>0</v>
      </c>
      <c r="F16" s="19" t="n">
        <f aca="false">IF(AND(1&lt;P_Inicio,1&lt;=Fin),1,0)</f>
        <v>0</v>
      </c>
      <c r="G16" s="19" t="n">
        <f aca="false">IF(AND(2&lt;P_Inicio,2&lt;=Fin),1,0)</f>
        <v>0</v>
      </c>
      <c r="H16" s="19" t="n">
        <f aca="false">IF(AND(3&lt;P_Inicio,3&lt;=Fin),1,0)</f>
        <v>0</v>
      </c>
      <c r="I16" s="19" t="n">
        <f aca="false">IF(AND(4&lt;P_Inicio,4&lt;=Fin),1,0)</f>
        <v>0</v>
      </c>
      <c r="J16" s="19" t="n">
        <f aca="false">IF(AND(5&lt;P_Inicio,5&lt;=Fin),1,0)</f>
        <v>0</v>
      </c>
      <c r="K16" s="19" t="n">
        <f aca="false">IF(AND(6&lt;P_Inicio,6&lt;=Fin),1,0)</f>
        <v>0</v>
      </c>
      <c r="L16" s="19" t="n">
        <f aca="false">IF(AND(7&lt;P_Inicio,7&lt;=Fin),1,0)</f>
        <v>0</v>
      </c>
      <c r="M16" s="19" t="n">
        <f aca="false">IF(AND(8&lt;P_Inicio,8&lt;=Fin),1,0)</f>
        <v>0</v>
      </c>
      <c r="N16" s="19" t="n">
        <f aca="false">IF(AND(9&lt;P_Inicio,9&lt;=Fin),1,0)</f>
        <v>0</v>
      </c>
      <c r="O16" s="19" t="n">
        <f aca="false">IF(AND(10&lt;P_Inicio,10&lt;=Fin),1,0)</f>
        <v>0</v>
      </c>
      <c r="P16" s="19" t="n">
        <f aca="false">IF(AND(11&lt;P_Inicio,11&lt;=Fin),1,0)</f>
        <v>0</v>
      </c>
      <c r="Q16" s="19" t="n">
        <f aca="false">IF(AND(12&lt;P_Inicio,12&lt;=Fin),1,0)</f>
        <v>0</v>
      </c>
      <c r="R16" s="19" t="n">
        <f aca="false">IF(AND(13&lt;P_Inicio,13&lt;=Fin),1,0)</f>
        <v>0</v>
      </c>
      <c r="S16" s="19" t="n">
        <f aca="false">IF(AND(14&lt;P_Inicio,14&lt;=Fin),1,0)</f>
        <v>0</v>
      </c>
      <c r="T16" s="19" t="n">
        <f aca="false">IF(AND(15&lt;P_Inicio,15&lt;=Fin),1,0)</f>
        <v>0</v>
      </c>
      <c r="U16" s="19" t="n">
        <f aca="false">IF(AND(16&lt;P_Inicio,16&lt;=Fin),1,0)</f>
        <v>0</v>
      </c>
      <c r="V16" s="19" t="n">
        <f aca="false">IF(AND(17&lt;P_Inicio,17&lt;=Fin),1,0)</f>
        <v>0</v>
      </c>
      <c r="W16" s="19" t="n">
        <f aca="false">IF(AND(18&lt;P_Inicio,18&lt;=Fin),1,0)</f>
        <v>0</v>
      </c>
      <c r="X16" s="19" t="n">
        <f aca="false">IF(AND(19&lt;P_Inicio,19&lt;=Fin),1,0)</f>
        <v>0</v>
      </c>
      <c r="Y16" s="19" t="n">
        <f aca="false">IF(AND(20&lt;P_Inicio,20&lt;=Fin),1,0)</f>
        <v>0</v>
      </c>
      <c r="Z16" s="19" t="n">
        <f aca="false">IF(AND(21&lt;P_Inicio,21&lt;=Fin),1,0)</f>
        <v>0</v>
      </c>
      <c r="AA16" s="19" t="n">
        <f aca="false">IF(AND(22&lt;P_Inicio,22&lt;=Fin),1,0)</f>
        <v>0</v>
      </c>
      <c r="AB16" s="19" t="n">
        <f aca="false">IF(AND(23&lt;P_Inicio,23&lt;=Fin),1,0)</f>
        <v>0</v>
      </c>
      <c r="AC16" s="19" t="n">
        <f aca="false">IF(AND(24&lt;P_Inicio,24&lt;=Fin),1,0)</f>
        <v>0</v>
      </c>
      <c r="AD16" s="19" t="n">
        <f aca="false">IF(AND(25&lt;P_Inicio,25&lt;=Fin),1,0)</f>
        <v>0</v>
      </c>
      <c r="AE16" s="19" t="n">
        <f aca="false">IF(AND(26&lt;P_Inicio,26&lt;=Fin),1,0)</f>
        <v>0</v>
      </c>
      <c r="AF16" s="19" t="n">
        <f aca="false">IF(AND(27&lt;P_Inicio,27&lt;=Fin),1,0)</f>
        <v>0</v>
      </c>
      <c r="AG16" s="19" t="n">
        <f aca="false">IF(AND(28&lt;P_Inicio,28&lt;=Fin),1,0)</f>
        <v>0</v>
      </c>
      <c r="AH16" s="19" t="n">
        <f aca="false">IF(AND(29&lt;P_Inicio,29&lt;=Fin),1,0)</f>
        <v>0</v>
      </c>
      <c r="AI16" s="19" t="n">
        <f aca="false">IF(AND(30&lt;P_Inicio,30&lt;=Fin),1,0)</f>
        <v>0</v>
      </c>
      <c r="AJ16" s="19" t="n">
        <f aca="false">IF(AND(31&lt;P_Inicio,31&lt;=Fin),1,0)</f>
        <v>0</v>
      </c>
      <c r="AK16" s="19" t="n">
        <f aca="false">IF(AND(32&lt;P_Inicio,32&lt;=Fin),1,0)</f>
        <v>0</v>
      </c>
      <c r="AL16" s="19" t="n">
        <f aca="false">IF(AND(33&lt;P_Inicio,33&lt;=Fin),1,0)</f>
        <v>0</v>
      </c>
      <c r="AM16" s="19" t="n">
        <f aca="false">IF(AND(34&lt;P_Inicio,34&lt;=Fin),1,0)</f>
        <v>0</v>
      </c>
      <c r="AN16" s="19" t="n">
        <f aca="false">IF(AND(35&lt;P_Inicio,35&lt;=Fin),1,0)</f>
        <v>0</v>
      </c>
      <c r="AO16" s="19" t="n">
        <f aca="false">IF(AND(36&lt;P_Inicio,36&lt;=Fin),1,0)</f>
        <v>0</v>
      </c>
      <c r="AP16" s="19" t="n">
        <f aca="false">IF(AND(37&lt;P_Inicio,37&lt;=Fin),1,0)</f>
        <v>0</v>
      </c>
      <c r="AQ16" s="19" t="n">
        <f aca="false">IF(AND(38&lt;P_Inicio,38&lt;=Fin),1,0)</f>
        <v>0</v>
      </c>
      <c r="AR16" s="19" t="n">
        <f aca="false">IF(AND(39&lt;P_Inicio,39&lt;=Fin),1,0)</f>
        <v>0</v>
      </c>
      <c r="AS16" s="19" t="n">
        <f aca="false">IF(AND(40&lt;P_Inicio,40&lt;=Fin),1,0)</f>
        <v>0</v>
      </c>
      <c r="AT16" s="19" t="n">
        <f aca="false">IF(AND(41&lt;P_Inicio,41&lt;=Fin),1,0)</f>
        <v>0</v>
      </c>
      <c r="AU16" s="19" t="n">
        <f aca="false">IF(AND(42&lt;P_Inicio,42&lt;=Fin),1,0)</f>
        <v>0</v>
      </c>
      <c r="AV16" s="19" t="n">
        <f aca="false">IF(AND(43&lt;P_Inicio,43&lt;=Fin),1,0)</f>
        <v>0</v>
      </c>
      <c r="AW16" s="19" t="n">
        <f aca="false">IF(AND(44&lt;P_Inicio,44&lt;=Fin),1,0)</f>
        <v>0</v>
      </c>
      <c r="AX16" s="19" t="n">
        <f aca="false">IF(AND(45&lt;P_Inicio,45&lt;=Fin),1,0)</f>
        <v>0</v>
      </c>
      <c r="AY16" s="19" t="n">
        <f aca="false">IF(AND(46&lt;P_Inicio,46&lt;=Fin),1,0)</f>
        <v>0</v>
      </c>
      <c r="AZ16" s="19" t="n">
        <f aca="false">IF(AND(47&lt;P_Inicio,47&lt;=Fin),1,0)</f>
        <v>0</v>
      </c>
      <c r="BA16" s="19" t="n">
        <f aca="false">IF(AND(48&lt;P_Inicio,48&lt;=Fin),1,0)</f>
        <v>0</v>
      </c>
      <c r="BB16" s="19" t="n">
        <f aca="false">IF(AND(49&lt;P_Inicio,49&lt;=Fin),1,0)</f>
        <v>0</v>
      </c>
      <c r="BC16" s="19" t="n">
        <f aca="false">IF(AND(50&lt;P_Inicio,50&lt;=Fin),1,0)</f>
        <v>0</v>
      </c>
      <c r="BD16" s="19" t="n">
        <f aca="false">IF(AND(51&lt;P_Inicio,51&lt;=Fin),1,0)</f>
        <v>0</v>
      </c>
      <c r="BE16" s="19" t="n">
        <f aca="false">IF(AND(52&lt;P_Inicio,52&lt;=Fin),1,0)</f>
        <v>0</v>
      </c>
      <c r="BF16" s="19" t="n">
        <f aca="false">IF(AND(53&lt;P_Inicio,53&lt;=Fin),1,0)</f>
        <v>0</v>
      </c>
      <c r="BG16" s="19" t="n">
        <f aca="false">IF(AND(54&lt;P_Inicio,54&lt;=Fin),1,0)</f>
        <v>0</v>
      </c>
      <c r="BH16" s="19" t="n">
        <f aca="false">IF(AND(55&lt;P_Inicio,55&lt;=Fin),1,0)</f>
        <v>0</v>
      </c>
      <c r="BI16" s="19" t="n">
        <f aca="false">IF(AND(56&lt;P_Inicio,56&lt;=Fin),1,0)</f>
        <v>0</v>
      </c>
      <c r="BJ16" s="19" t="n">
        <f aca="false">IF(AND(57&lt;P_Inicio,57&lt;=Fin),1,0)</f>
        <v>0</v>
      </c>
      <c r="BK16" s="19" t="n">
        <f aca="false">IF(AND(58&lt;P_Inicio,58&lt;=Fin),1,0)</f>
        <v>0</v>
      </c>
      <c r="BL16" s="19" t="n">
        <f aca="false">IF(AND(59&lt;P_Inicio,59&lt;=Fin),1,0)</f>
        <v>0</v>
      </c>
      <c r="BM16" s="19" t="n">
        <f aca="false">IF(AND(60&lt;P_Inicio,60&lt;=Fin),1,0)</f>
        <v>0</v>
      </c>
      <c r="BN16" s="19" t="n">
        <f aca="false">IF(AND(61&lt;P_Inicio,61&lt;=Fin),1,0)</f>
        <v>0</v>
      </c>
      <c r="BO16" s="19" t="n">
        <f aca="false">IF(AND(62&lt;P_Inicio,62&lt;=Fin),1,0)</f>
        <v>0</v>
      </c>
      <c r="BP16" s="19" t="n">
        <f aca="false">IF(AND(63&lt;P_Inicio,63&lt;=Fin),1,0)</f>
        <v>0</v>
      </c>
      <c r="BQ16" s="19" t="n">
        <f aca="false">IF(AND(64&lt;P_Inicio,64&lt;=Fin),1,0)</f>
        <v>0</v>
      </c>
      <c r="BR16" s="19" t="n">
        <f aca="false">IF(AND(65&lt;P_Inicio,65&lt;=Fin),1,0)</f>
        <v>0</v>
      </c>
      <c r="BS16" s="19" t="n">
        <f aca="false">IF(AND(66&lt;P_Inicio,66&lt;=Fin),1,0)</f>
        <v>0</v>
      </c>
      <c r="BT16" s="19" t="n">
        <f aca="false">IF(AND(67&lt;P_Inicio,67&lt;=Fin),1,0)</f>
        <v>0</v>
      </c>
      <c r="BU16" s="19" t="n">
        <f aca="false">IF(AND(68&lt;P_Inicio,68&lt;=Fin),1,0)</f>
        <v>0</v>
      </c>
      <c r="BV16" s="19" t="n">
        <f aca="false">IF(AND(69&lt;P_Inicio,69&lt;=Fin),1,0)</f>
        <v>0</v>
      </c>
      <c r="BW16" s="19" t="n">
        <f aca="false">IF(AND(70&lt;P_Inicio,70&lt;=Fin),1,0)</f>
        <v>0</v>
      </c>
      <c r="BX16" s="19" t="n">
        <f aca="false">IF(AND(71&lt;P_Inicio,71&lt;=Fin),1,0)</f>
        <v>0</v>
      </c>
      <c r="BY16" s="19" t="n">
        <f aca="false">IF(AND(72&lt;P_Inicio,72&lt;=Fin),1,0)</f>
        <v>0</v>
      </c>
      <c r="BZ16" s="19" t="n">
        <f aca="false">IF(AND(73&lt;P_Inicio,73&lt;=Fin),1,0)</f>
        <v>0</v>
      </c>
      <c r="CA16" s="19" t="n">
        <f aca="false">IF(AND(74&lt;P_Inicio,74&lt;=Fin),1,0)</f>
        <v>0</v>
      </c>
      <c r="CB16" s="19" t="n">
        <f aca="false">IF(AND(75&lt;P_Inicio,75&lt;=Fin),1,0)</f>
        <v>0</v>
      </c>
      <c r="CC16" s="19" t="n">
        <f aca="false">IF(AND(76&lt;P_Inicio,76&lt;=Fin),1,0)</f>
        <v>0</v>
      </c>
      <c r="CD16" s="19" t="n">
        <f aca="false">IF(AND(77&lt;P_Inicio,77&lt;=Fin),1,0)</f>
        <v>0</v>
      </c>
      <c r="CE16" s="19" t="n">
        <f aca="false">IF(AND(78&lt;P_Inicio,78&lt;=Fin),1,0)</f>
        <v>0</v>
      </c>
      <c r="CF16" s="19" t="n">
        <f aca="false">IF(AND(79&lt;P_Inicio,79&lt;=Fin),1,0)</f>
        <v>0</v>
      </c>
      <c r="CG16" s="19" t="n">
        <f aca="false">IF(AND(80&lt;P_Inicio,80&lt;=Fin),1,0)</f>
        <v>0</v>
      </c>
      <c r="CH16" s="19" t="n">
        <f aca="false">IF(AND(81&lt;P_Inicio,81&lt;=Fin),1,0)</f>
        <v>0</v>
      </c>
      <c r="CI16" s="19" t="n">
        <f aca="false">IF(AND(82&lt;P_Inicio,82&lt;=Fin),1,0)</f>
        <v>0</v>
      </c>
      <c r="CJ16" s="19" t="n">
        <f aca="false">IF(AND(83&lt;P_Inicio,83&lt;=Fin),1,0)</f>
        <v>0</v>
      </c>
      <c r="CK16" s="19" t="n">
        <f aca="false">IF(AND(84&lt;P_Inicio,84&lt;=Fin),1,0)</f>
        <v>0</v>
      </c>
      <c r="CL16" s="19" t="n">
        <f aca="false">IF(AND(85&lt;P_Inicio,85&lt;=Fin),1,0)</f>
        <v>0</v>
      </c>
      <c r="CM16" s="19" t="n">
        <f aca="false">IF(AND(86&lt;P_Inicio,86&lt;=Fin),1,0)</f>
        <v>0</v>
      </c>
      <c r="CN16" s="19" t="n">
        <f aca="false">IF(AND(87&lt;P_Inicio,87&lt;=Fin),1,0)</f>
        <v>0</v>
      </c>
      <c r="CO16" s="19" t="n">
        <f aca="false">IF(AND(88&lt;P_Inicio,88&lt;=Fin),1,0)</f>
        <v>0</v>
      </c>
      <c r="CP16" s="19" t="n">
        <f aca="false">IF(AND(89&lt;P_Inicio,89&lt;=Fin),1,0)</f>
        <v>0</v>
      </c>
      <c r="CQ16" s="19" t="n">
        <f aca="false">IF(AND(90&lt;P_Inicio,90&lt;=Fin),1,0)</f>
        <v>0</v>
      </c>
      <c r="CR16" s="19" t="n">
        <f aca="false">IF(AND(91&lt;P_Inicio,91&lt;=Fin),1,0)</f>
        <v>0</v>
      </c>
      <c r="CS16" s="19" t="n">
        <f aca="false">IF(AND(92&lt;P_Inicio,92&lt;=Fin),1,0)</f>
        <v>0</v>
      </c>
      <c r="CT16" s="19" t="n">
        <f aca="false">IF(AND(93&lt;P_Inicio,93&lt;=Fin),1,0)</f>
        <v>0</v>
      </c>
      <c r="CU16" s="19" t="n">
        <f aca="false">IF(AND(94&lt;P_Inicio,94&lt;=Fin),1,0)</f>
        <v>0</v>
      </c>
      <c r="CV16" s="19" t="n">
        <f aca="false">IF(AND(95&lt;P_Inicio,95&lt;=Fin),1,0)</f>
        <v>0</v>
      </c>
      <c r="CW16" s="19" t="n">
        <f aca="false">IF(AND(96&lt;P_Inicio,96&lt;=Fin),1,0)</f>
        <v>0</v>
      </c>
      <c r="CX16" s="19" t="n">
        <f aca="false">IF(AND(97&lt;P_Inicio,97&lt;=Fin),1,0)</f>
        <v>0</v>
      </c>
      <c r="CY16" s="19" t="n">
        <f aca="false">IF(AND(98&lt;P_Inicio,98&lt;=Fin),1,0)</f>
        <v>0</v>
      </c>
      <c r="CZ16" s="19" t="n">
        <f aca="false">IF(AND(99&lt;P_Inicio,99&lt;=Fin),1,0)</f>
        <v>0</v>
      </c>
      <c r="DA16" s="19" t="n">
        <f aca="false">IF(AND(100&lt;P_Inicio,100&lt;=Fin),1,0)</f>
        <v>0</v>
      </c>
      <c r="DB16" s="19" t="n">
        <f aca="false">IF(AND(101&lt;P_Inicio,101&lt;=Fin),1,0)</f>
        <v>0</v>
      </c>
      <c r="DC16" s="19" t="n">
        <f aca="false">IF(AND(102&lt;P_Inicio,102&lt;=Fin),1,0)</f>
        <v>0</v>
      </c>
      <c r="DD16" s="19" t="n">
        <f aca="false">IF(AND(103&lt;P_Inicio,103&lt;=Fin),1,0)</f>
        <v>0</v>
      </c>
      <c r="DE16" s="19" t="n">
        <f aca="false">IF(AND(104&lt;P_Inicio,104&lt;=Fin),1,0)</f>
        <v>0</v>
      </c>
      <c r="DF16" s="19" t="n">
        <f aca="false">IF(AND(105&lt;P_Inicio,105&lt;=Fin),1,0)</f>
        <v>0</v>
      </c>
      <c r="DG16" s="19" t="n">
        <f aca="false">IF(AND(106&lt;P_Inicio,106&lt;=Fin),1,0)</f>
        <v>0</v>
      </c>
      <c r="DH16" s="19" t="n">
        <f aca="false">IF(AND(107&lt;P_Inicio,107&lt;=Fin),1,0)</f>
        <v>0</v>
      </c>
      <c r="DI16" s="19" t="n">
        <f aca="false">IF(AND(108&lt;P_Inicio,108&lt;=Fin),1,0)</f>
        <v>0</v>
      </c>
      <c r="DJ16" s="19" t="n">
        <f aca="false">IF(AND(109&lt;P_Inicio,109&lt;=Fin),1,0)</f>
        <v>0</v>
      </c>
      <c r="DK16" s="19" t="n">
        <f aca="false">IF(AND(110&lt;P_Inicio,110&lt;=Fin),1,0)</f>
        <v>0</v>
      </c>
      <c r="DL16" s="19" t="n">
        <f aca="false">IF(AND(111&lt;P_Inicio,111&lt;=Fin),1,0)</f>
        <v>0</v>
      </c>
      <c r="DM16" s="19" t="n">
        <f aca="false">IF(AND(112&lt;P_Inicio,112&lt;=Fin),1,0)</f>
        <v>0</v>
      </c>
      <c r="DN16" s="19" t="n">
        <f aca="false">IF(AND(113&lt;P_Inicio,113&lt;=Fin),1,0)</f>
        <v>0</v>
      </c>
      <c r="DO16" s="19" t="n">
        <f aca="false">IF(AND(114&lt;P_Inicio,114&lt;=Fin),1,0)</f>
        <v>0</v>
      </c>
      <c r="DP16" s="19" t="n">
        <f aca="false">IF(AND(115&lt;P_Inicio,115&lt;=Fin),1,0)</f>
        <v>0</v>
      </c>
      <c r="DQ16" s="19" t="n">
        <f aca="false">IF(AND(116&lt;P_Inicio,116&lt;=Fin),1,0)</f>
        <v>0</v>
      </c>
      <c r="DR16" s="19" t="n">
        <f aca="false">IF(AND(117&lt;P_Inicio,117&lt;=Fin),1,0)</f>
        <v>0</v>
      </c>
      <c r="DS16" s="19" t="n">
        <f aca="false">IF(AND(118&lt;P_Inicio,118&lt;=Fin),1,0)</f>
        <v>0</v>
      </c>
      <c r="DT16" s="19" t="n">
        <f aca="false">IF(AND(119&lt;P_Inicio,119&lt;=Fin),1,0)</f>
        <v>0</v>
      </c>
      <c r="DU16" s="19" t="n">
        <f aca="false">IF(AND(120&lt;P_Inicio,120&lt;=Fin),1,0)</f>
        <v>0</v>
      </c>
      <c r="DV16" s="19" t="n">
        <f aca="false">IF(AND(121&lt;P_Inicio,121&lt;=Fin),1,0)</f>
        <v>0</v>
      </c>
      <c r="DW16" s="19" t="n">
        <f aca="false">IF(AND(122&lt;P_Inicio,122&lt;=Fin),1,0)</f>
        <v>0</v>
      </c>
      <c r="DX16" s="19" t="n">
        <f aca="false">IF(AND(123&lt;P_Inicio,123&lt;=Fin),1,0)</f>
        <v>0</v>
      </c>
      <c r="DY16" s="19" t="n">
        <f aca="false">IF(AND(124&lt;P_Inicio,124&lt;=Fin),1,0)</f>
        <v>0</v>
      </c>
      <c r="DZ16" s="19" t="n">
        <f aca="false">IF(AND(125&lt;P_Inicio,125&lt;=Fin),1,0)</f>
        <v>0</v>
      </c>
      <c r="EA16" s="19" t="n">
        <f aca="false">IF(AND(126&lt;P_Inicio,126&lt;=Fin),1,0)</f>
        <v>0</v>
      </c>
      <c r="EB16" s="19" t="n">
        <f aca="false">IF(AND(127&lt;P_Inicio,127&lt;=Fin),1,0)</f>
        <v>0</v>
      </c>
      <c r="EC16" s="19" t="n">
        <f aca="false">IF(AND(128&lt;P_Inicio,128&lt;=Fin),1,0)</f>
        <v>0</v>
      </c>
      <c r="ED16" s="19" t="n">
        <f aca="false">IF(AND(129&lt;P_Inicio,129&lt;=Fin),1,0)</f>
        <v>0</v>
      </c>
      <c r="EE16" s="19" t="n">
        <f aca="false">IF(AND(130&lt;P_Inicio,130&lt;=Fin),1,0)</f>
        <v>0</v>
      </c>
      <c r="EF16" s="19" t="n">
        <f aca="false">IF(AND(131&lt;P_Inicio,131&lt;=Fin),1,0)</f>
        <v>0</v>
      </c>
      <c r="EG16" s="19" t="n">
        <f aca="false">IF(AND(132&lt;P_Inicio,132&lt;=Fin),1,0)</f>
        <v>0</v>
      </c>
      <c r="EH16" s="19" t="n">
        <f aca="false">IF(AND(133&lt;P_Inicio,133&lt;=Fin),1,0)</f>
        <v>0</v>
      </c>
      <c r="EI16" s="19" t="n">
        <f aca="false">IF(AND(134&lt;P_Inicio,134&lt;=Fin),1,0)</f>
        <v>0</v>
      </c>
      <c r="EJ16" s="19" t="n">
        <f aca="false">IF(AND(135&lt;P_Inicio,135&lt;=Fin),1,0)</f>
        <v>0</v>
      </c>
      <c r="EK16" s="19" t="n">
        <f aca="false">IF(AND(136&lt;P_Inicio,136&lt;=Fin),1,0)</f>
        <v>0</v>
      </c>
      <c r="EL16" s="19" t="n">
        <f aca="false">IF(AND(137&lt;P_Inicio,137&lt;=Fin),1,0)</f>
        <v>0</v>
      </c>
      <c r="EM16" s="19" t="n">
        <f aca="false">IF(AND(138&lt;P_Inicio,138&lt;=Fin),1,0)</f>
        <v>0</v>
      </c>
      <c r="EN16" s="19" t="n">
        <f aca="false">IF(AND(139&lt;P_Inicio,139&lt;=Fin),1,0)</f>
        <v>0</v>
      </c>
      <c r="EO16" s="19" t="n">
        <f aca="false">IF(AND(140&lt;P_Inicio,140&lt;=Fin),1,0)</f>
        <v>0</v>
      </c>
      <c r="EP16" s="19" t="n">
        <f aca="false">IF(AND(141&lt;P_Inicio,141&lt;=Fin),1,0)</f>
        <v>0</v>
      </c>
      <c r="EQ16" s="19" t="n">
        <f aca="false">IF(AND(142&lt;P_Inicio,142&lt;=Fin),1,0)</f>
        <v>0</v>
      </c>
      <c r="ER16" s="19" t="n">
        <f aca="false">IF(AND(143&lt;P_Inicio,143&lt;=Fin),1,0)</f>
        <v>0</v>
      </c>
      <c r="ES16" s="19" t="n">
        <f aca="false">IF(AND(144&lt;P_Inicio,144&lt;=Fin),1,0)</f>
        <v>0</v>
      </c>
    </row>
    <row r="17" customFormat="false" ht="15" hidden="false" customHeight="false" outlineLevel="0" collapsed="false">
      <c r="A17" s="2" t="s">
        <v>578</v>
      </c>
      <c r="B17" s="6" t="s">
        <v>579</v>
      </c>
      <c r="C17" s="6" t="s">
        <v>572</v>
      </c>
      <c r="F17" s="19" t="n">
        <f aca="false">MAX(1,F$14)</f>
        <v>1</v>
      </c>
      <c r="G17" s="19" t="n">
        <f aca="false">MAX(1,G$14)</f>
        <v>1</v>
      </c>
      <c r="H17" s="19" t="n">
        <f aca="false">MAX(1,H$14)</f>
        <v>1</v>
      </c>
      <c r="I17" s="19" t="n">
        <f aca="false">MAX(1,I$14)</f>
        <v>1</v>
      </c>
      <c r="J17" s="19" t="n">
        <f aca="false">MAX(1,J$14)</f>
        <v>1</v>
      </c>
      <c r="K17" s="19" t="n">
        <f aca="false">MAX(1,K$14)</f>
        <v>1</v>
      </c>
      <c r="L17" s="19" t="n">
        <f aca="false">MAX(1,L$14)</f>
        <v>1</v>
      </c>
      <c r="M17" s="19" t="n">
        <f aca="false">MAX(1,M$14)</f>
        <v>1</v>
      </c>
      <c r="N17" s="19" t="n">
        <f aca="false">MAX(1,N$14)</f>
        <v>1</v>
      </c>
      <c r="O17" s="19" t="n">
        <f aca="false">MAX(1,O$14)</f>
        <v>1</v>
      </c>
      <c r="P17" s="19" t="n">
        <f aca="false">MAX(1,P$14)</f>
        <v>1</v>
      </c>
      <c r="Q17" s="19" t="n">
        <f aca="false">MAX(1,Q$14)</f>
        <v>1</v>
      </c>
      <c r="R17" s="19" t="n">
        <f aca="false">MAX(1,R$14)</f>
        <v>2</v>
      </c>
      <c r="S17" s="19" t="n">
        <f aca="false">MAX(1,S$14)</f>
        <v>2</v>
      </c>
      <c r="T17" s="19" t="n">
        <f aca="false">MAX(1,T$14)</f>
        <v>2</v>
      </c>
      <c r="U17" s="19" t="n">
        <f aca="false">MAX(1,U$14)</f>
        <v>2</v>
      </c>
      <c r="V17" s="19" t="n">
        <f aca="false">MAX(1,V$14)</f>
        <v>2</v>
      </c>
      <c r="W17" s="19" t="n">
        <f aca="false">MAX(1,W$14)</f>
        <v>2</v>
      </c>
      <c r="X17" s="19" t="n">
        <f aca="false">MAX(1,X$14)</f>
        <v>2</v>
      </c>
      <c r="Y17" s="19" t="n">
        <f aca="false">MAX(1,Y$14)</f>
        <v>2</v>
      </c>
      <c r="Z17" s="19" t="n">
        <f aca="false">MAX(1,Z$14)</f>
        <v>2</v>
      </c>
      <c r="AA17" s="19" t="n">
        <f aca="false">MAX(1,AA$14)</f>
        <v>2</v>
      </c>
      <c r="AB17" s="19" t="n">
        <f aca="false">MAX(1,AB$14)</f>
        <v>2</v>
      </c>
      <c r="AC17" s="19" t="n">
        <f aca="false">MAX(1,AC$14)</f>
        <v>2</v>
      </c>
      <c r="AD17" s="19" t="n">
        <f aca="false">MAX(1,AD$14)</f>
        <v>3</v>
      </c>
      <c r="AE17" s="19" t="n">
        <f aca="false">MAX(1,AE$14)</f>
        <v>3</v>
      </c>
      <c r="AF17" s="19" t="n">
        <f aca="false">MAX(1,AF$14)</f>
        <v>3</v>
      </c>
      <c r="AG17" s="19" t="n">
        <f aca="false">MAX(1,AG$14)</f>
        <v>3</v>
      </c>
      <c r="AH17" s="19" t="n">
        <f aca="false">MAX(1,AH$14)</f>
        <v>3</v>
      </c>
      <c r="AI17" s="19" t="n">
        <f aca="false">MAX(1,AI$14)</f>
        <v>3</v>
      </c>
      <c r="AJ17" s="19" t="n">
        <f aca="false">MAX(1,AJ$14)</f>
        <v>3</v>
      </c>
      <c r="AK17" s="19" t="n">
        <f aca="false">MAX(1,AK$14)</f>
        <v>3</v>
      </c>
      <c r="AL17" s="19" t="n">
        <f aca="false">MAX(1,AL$14)</f>
        <v>3</v>
      </c>
      <c r="AM17" s="19" t="n">
        <f aca="false">MAX(1,AM$14)</f>
        <v>3</v>
      </c>
      <c r="AN17" s="19" t="n">
        <f aca="false">MAX(1,AN$14)</f>
        <v>3</v>
      </c>
      <c r="AO17" s="19" t="n">
        <f aca="false">MAX(1,AO$14)</f>
        <v>3</v>
      </c>
      <c r="AP17" s="19" t="n">
        <f aca="false">MAX(1,AP$14)</f>
        <v>4</v>
      </c>
      <c r="AQ17" s="19" t="n">
        <f aca="false">MAX(1,AQ$14)</f>
        <v>4</v>
      </c>
      <c r="AR17" s="19" t="n">
        <f aca="false">MAX(1,AR$14)</f>
        <v>4</v>
      </c>
      <c r="AS17" s="19" t="n">
        <f aca="false">MAX(1,AS$14)</f>
        <v>4</v>
      </c>
      <c r="AT17" s="19" t="n">
        <f aca="false">MAX(1,AT$14)</f>
        <v>4</v>
      </c>
      <c r="AU17" s="19" t="n">
        <f aca="false">MAX(1,AU$14)</f>
        <v>4</v>
      </c>
      <c r="AV17" s="19" t="n">
        <f aca="false">MAX(1,AV$14)</f>
        <v>4</v>
      </c>
      <c r="AW17" s="19" t="n">
        <f aca="false">MAX(1,AW$14)</f>
        <v>4</v>
      </c>
      <c r="AX17" s="19" t="n">
        <f aca="false">MAX(1,AX$14)</f>
        <v>4</v>
      </c>
      <c r="AY17" s="19" t="n">
        <f aca="false">MAX(1,AY$14)</f>
        <v>4</v>
      </c>
      <c r="AZ17" s="19" t="n">
        <f aca="false">MAX(1,AZ$14)</f>
        <v>4</v>
      </c>
      <c r="BA17" s="19" t="n">
        <f aca="false">MAX(1,BA$14)</f>
        <v>4</v>
      </c>
      <c r="BB17" s="19" t="n">
        <f aca="false">MAX(1,BB$14)</f>
        <v>5</v>
      </c>
      <c r="BC17" s="19" t="n">
        <f aca="false">MAX(1,BC$14)</f>
        <v>5</v>
      </c>
      <c r="BD17" s="19" t="n">
        <f aca="false">MAX(1,BD$14)</f>
        <v>5</v>
      </c>
      <c r="BE17" s="19" t="n">
        <f aca="false">MAX(1,BE$14)</f>
        <v>5</v>
      </c>
      <c r="BF17" s="19" t="n">
        <f aca="false">MAX(1,BF$14)</f>
        <v>5</v>
      </c>
      <c r="BG17" s="19" t="n">
        <f aca="false">MAX(1,BG$14)</f>
        <v>5</v>
      </c>
      <c r="BH17" s="19" t="n">
        <f aca="false">MAX(1,BH$14)</f>
        <v>5</v>
      </c>
      <c r="BI17" s="19" t="n">
        <f aca="false">MAX(1,BI$14)</f>
        <v>5</v>
      </c>
      <c r="BJ17" s="19" t="n">
        <f aca="false">MAX(1,BJ$14)</f>
        <v>5</v>
      </c>
      <c r="BK17" s="19" t="n">
        <f aca="false">MAX(1,BK$14)</f>
        <v>5</v>
      </c>
      <c r="BL17" s="19" t="n">
        <f aca="false">MAX(1,BL$14)</f>
        <v>5</v>
      </c>
      <c r="BM17" s="19" t="n">
        <f aca="false">MAX(1,BM$14)</f>
        <v>5</v>
      </c>
      <c r="BN17" s="19" t="n">
        <f aca="false">MAX(1,BN$14)</f>
        <v>6</v>
      </c>
      <c r="BO17" s="19" t="n">
        <f aca="false">MAX(1,BO$14)</f>
        <v>6</v>
      </c>
      <c r="BP17" s="19" t="n">
        <f aca="false">MAX(1,BP$14)</f>
        <v>6</v>
      </c>
      <c r="BQ17" s="19" t="n">
        <f aca="false">MAX(1,BQ$14)</f>
        <v>6</v>
      </c>
      <c r="BR17" s="19" t="n">
        <f aca="false">MAX(1,BR$14)</f>
        <v>6</v>
      </c>
      <c r="BS17" s="19" t="n">
        <f aca="false">MAX(1,BS$14)</f>
        <v>6</v>
      </c>
      <c r="BT17" s="19" t="n">
        <f aca="false">MAX(1,BT$14)</f>
        <v>6</v>
      </c>
      <c r="BU17" s="19" t="n">
        <f aca="false">MAX(1,BU$14)</f>
        <v>6</v>
      </c>
      <c r="BV17" s="19" t="n">
        <f aca="false">MAX(1,BV$14)</f>
        <v>6</v>
      </c>
      <c r="BW17" s="19" t="n">
        <f aca="false">MAX(1,BW$14)</f>
        <v>6</v>
      </c>
      <c r="BX17" s="19" t="n">
        <f aca="false">MAX(1,BX$14)</f>
        <v>6</v>
      </c>
      <c r="BY17" s="19" t="n">
        <f aca="false">MAX(1,BY$14)</f>
        <v>6</v>
      </c>
      <c r="BZ17" s="19" t="n">
        <f aca="false">MAX(1,BZ$14)</f>
        <v>7</v>
      </c>
      <c r="CA17" s="19" t="n">
        <f aca="false">MAX(1,CA$14)</f>
        <v>7</v>
      </c>
      <c r="CB17" s="19" t="n">
        <f aca="false">MAX(1,CB$14)</f>
        <v>7</v>
      </c>
      <c r="CC17" s="19" t="n">
        <f aca="false">MAX(1,CC$14)</f>
        <v>7</v>
      </c>
      <c r="CD17" s="19" t="n">
        <f aca="false">MAX(1,CD$14)</f>
        <v>7</v>
      </c>
      <c r="CE17" s="19" t="n">
        <f aca="false">MAX(1,CE$14)</f>
        <v>7</v>
      </c>
      <c r="CF17" s="19" t="n">
        <f aca="false">MAX(1,CF$14)</f>
        <v>7</v>
      </c>
      <c r="CG17" s="19" t="n">
        <f aca="false">MAX(1,CG$14)</f>
        <v>7</v>
      </c>
      <c r="CH17" s="19" t="n">
        <f aca="false">MAX(1,CH$14)</f>
        <v>7</v>
      </c>
      <c r="CI17" s="19" t="n">
        <f aca="false">MAX(1,CI$14)</f>
        <v>7</v>
      </c>
      <c r="CJ17" s="19" t="n">
        <f aca="false">MAX(1,CJ$14)</f>
        <v>7</v>
      </c>
      <c r="CK17" s="19" t="n">
        <f aca="false">MAX(1,CK$14)</f>
        <v>7</v>
      </c>
      <c r="CL17" s="19" t="n">
        <f aca="false">MAX(1,CL$14)</f>
        <v>8</v>
      </c>
      <c r="CM17" s="19" t="n">
        <f aca="false">MAX(1,CM$14)</f>
        <v>8</v>
      </c>
      <c r="CN17" s="19" t="n">
        <f aca="false">MAX(1,CN$14)</f>
        <v>8</v>
      </c>
      <c r="CO17" s="19" t="n">
        <f aca="false">MAX(1,CO$14)</f>
        <v>8</v>
      </c>
      <c r="CP17" s="19" t="n">
        <f aca="false">MAX(1,CP$14)</f>
        <v>8</v>
      </c>
      <c r="CQ17" s="19" t="n">
        <f aca="false">MAX(1,CQ$14)</f>
        <v>8</v>
      </c>
      <c r="CR17" s="19" t="n">
        <f aca="false">MAX(1,CR$14)</f>
        <v>8</v>
      </c>
      <c r="CS17" s="19" t="n">
        <f aca="false">MAX(1,CS$14)</f>
        <v>8</v>
      </c>
      <c r="CT17" s="19" t="n">
        <f aca="false">MAX(1,CT$14)</f>
        <v>8</v>
      </c>
      <c r="CU17" s="19" t="n">
        <f aca="false">MAX(1,CU$14)</f>
        <v>8</v>
      </c>
      <c r="CV17" s="19" t="n">
        <f aca="false">MAX(1,CV$14)</f>
        <v>8</v>
      </c>
      <c r="CW17" s="19" t="n">
        <f aca="false">MAX(1,CW$14)</f>
        <v>8</v>
      </c>
      <c r="CX17" s="19" t="n">
        <f aca="false">MAX(1,CX$14)</f>
        <v>9</v>
      </c>
      <c r="CY17" s="19" t="n">
        <f aca="false">MAX(1,CY$14)</f>
        <v>9</v>
      </c>
      <c r="CZ17" s="19" t="n">
        <f aca="false">MAX(1,CZ$14)</f>
        <v>9</v>
      </c>
      <c r="DA17" s="19" t="n">
        <f aca="false">MAX(1,DA$14)</f>
        <v>9</v>
      </c>
      <c r="DB17" s="19" t="n">
        <f aca="false">MAX(1,DB$14)</f>
        <v>9</v>
      </c>
      <c r="DC17" s="19" t="n">
        <f aca="false">MAX(1,DC$14)</f>
        <v>9</v>
      </c>
      <c r="DD17" s="19" t="n">
        <f aca="false">MAX(1,DD$14)</f>
        <v>9</v>
      </c>
      <c r="DE17" s="19" t="n">
        <f aca="false">MAX(1,DE$14)</f>
        <v>9</v>
      </c>
      <c r="DF17" s="19" t="n">
        <f aca="false">MAX(1,DF$14)</f>
        <v>9</v>
      </c>
      <c r="DG17" s="19" t="n">
        <f aca="false">MAX(1,DG$14)</f>
        <v>9</v>
      </c>
      <c r="DH17" s="19" t="n">
        <f aca="false">MAX(1,DH$14)</f>
        <v>9</v>
      </c>
      <c r="DI17" s="19" t="n">
        <f aca="false">MAX(1,DI$14)</f>
        <v>9</v>
      </c>
      <c r="DJ17" s="19" t="n">
        <f aca="false">MAX(1,DJ$14)</f>
        <v>10</v>
      </c>
      <c r="DK17" s="19" t="n">
        <f aca="false">MAX(1,DK$14)</f>
        <v>10</v>
      </c>
      <c r="DL17" s="19" t="n">
        <f aca="false">MAX(1,DL$14)</f>
        <v>10</v>
      </c>
      <c r="DM17" s="19" t="n">
        <f aca="false">MAX(1,DM$14)</f>
        <v>10</v>
      </c>
      <c r="DN17" s="19" t="n">
        <f aca="false">MAX(1,DN$14)</f>
        <v>10</v>
      </c>
      <c r="DO17" s="19" t="n">
        <f aca="false">MAX(1,DO$14)</f>
        <v>10</v>
      </c>
      <c r="DP17" s="19" t="n">
        <f aca="false">MAX(1,DP$14)</f>
        <v>10</v>
      </c>
      <c r="DQ17" s="19" t="n">
        <f aca="false">MAX(1,DQ$14)</f>
        <v>10</v>
      </c>
      <c r="DR17" s="19" t="n">
        <f aca="false">MAX(1,DR$14)</f>
        <v>10</v>
      </c>
      <c r="DS17" s="19" t="n">
        <f aca="false">MAX(1,DS$14)</f>
        <v>10</v>
      </c>
      <c r="DT17" s="19" t="n">
        <f aca="false">MAX(1,DT$14)</f>
        <v>10</v>
      </c>
      <c r="DU17" s="19" t="n">
        <f aca="false">MAX(1,DU$14)</f>
        <v>10</v>
      </c>
      <c r="DV17" s="19" t="n">
        <f aca="false">MAX(1,DV$14)</f>
        <v>1</v>
      </c>
      <c r="DW17" s="19" t="n">
        <f aca="false">MAX(1,DW$14)</f>
        <v>1</v>
      </c>
      <c r="DX17" s="19" t="n">
        <f aca="false">MAX(1,DX$14)</f>
        <v>1</v>
      </c>
      <c r="DY17" s="19" t="n">
        <f aca="false">MAX(1,DY$14)</f>
        <v>1</v>
      </c>
      <c r="DZ17" s="19" t="n">
        <f aca="false">MAX(1,DZ$14)</f>
        <v>1</v>
      </c>
      <c r="EA17" s="19" t="n">
        <f aca="false">MAX(1,EA$14)</f>
        <v>1</v>
      </c>
      <c r="EB17" s="19" t="n">
        <f aca="false">MAX(1,EB$14)</f>
        <v>1</v>
      </c>
      <c r="EC17" s="19" t="n">
        <f aca="false">MAX(1,EC$14)</f>
        <v>1</v>
      </c>
      <c r="ED17" s="19" t="n">
        <f aca="false">MAX(1,ED$14)</f>
        <v>1</v>
      </c>
      <c r="EE17" s="19" t="n">
        <f aca="false">MAX(1,EE$14)</f>
        <v>1</v>
      </c>
      <c r="EF17" s="19" t="n">
        <f aca="false">MAX(1,EF$14)</f>
        <v>1</v>
      </c>
      <c r="EG17" s="19" t="n">
        <f aca="false">MAX(1,EG$14)</f>
        <v>1</v>
      </c>
      <c r="EH17" s="19" t="n">
        <f aca="false">MAX(1,EH$14)</f>
        <v>1</v>
      </c>
      <c r="EI17" s="19" t="n">
        <f aca="false">MAX(1,EI$14)</f>
        <v>1</v>
      </c>
      <c r="EJ17" s="19" t="n">
        <f aca="false">MAX(1,EJ$14)</f>
        <v>1</v>
      </c>
      <c r="EK17" s="19" t="n">
        <f aca="false">MAX(1,EK$14)</f>
        <v>1</v>
      </c>
      <c r="EL17" s="19" t="n">
        <f aca="false">MAX(1,EL$14)</f>
        <v>1</v>
      </c>
      <c r="EM17" s="19" t="n">
        <f aca="false">MAX(1,EM$14)</f>
        <v>1</v>
      </c>
      <c r="EN17" s="19" t="n">
        <f aca="false">MAX(1,EN$14)</f>
        <v>1</v>
      </c>
      <c r="EO17" s="19" t="n">
        <f aca="false">MAX(1,EO$14)</f>
        <v>1</v>
      </c>
      <c r="EP17" s="19" t="n">
        <f aca="false">MAX(1,EP$14)</f>
        <v>1</v>
      </c>
      <c r="EQ17" s="19" t="n">
        <f aca="false">MAX(1,EQ$14)</f>
        <v>1</v>
      </c>
      <c r="ER17" s="19" t="n">
        <f aca="false">MAX(1,ER$14)</f>
        <v>1</v>
      </c>
      <c r="ES17" s="19" t="n">
        <f aca="false">MAX(1,ES$14)</f>
        <v>1</v>
      </c>
    </row>
    <row r="18" customFormat="false" ht="15" hidden="false" customHeight="false" outlineLevel="0" collapsed="false">
      <c r="A18" s="2" t="s">
        <v>580</v>
      </c>
      <c r="B18" s="6" t="s">
        <v>581</v>
      </c>
      <c r="C18" s="6" t="s">
        <v>208</v>
      </c>
      <c r="F18" s="34" t="n">
        <f aca="false">INDEX(TC_O,1,MIN(10,F$6))*(1+P_dTC)</f>
        <v>7300</v>
      </c>
      <c r="G18" s="34" t="n">
        <f aca="false">INDEX(TC_O,1,MIN(10,G$6))*(1+P_dTC)</f>
        <v>7300</v>
      </c>
      <c r="H18" s="34" t="n">
        <f aca="false">INDEX(TC_O,1,MIN(10,H$6))*(1+P_dTC)</f>
        <v>7300</v>
      </c>
      <c r="I18" s="34" t="n">
        <f aca="false">INDEX(TC_O,1,MIN(10,I$6))*(1+P_dTC)</f>
        <v>7300</v>
      </c>
      <c r="J18" s="34" t="n">
        <f aca="false">INDEX(TC_O,1,MIN(10,J$6))*(1+P_dTC)</f>
        <v>7300</v>
      </c>
      <c r="K18" s="34" t="n">
        <f aca="false">INDEX(TC_O,1,MIN(10,K$6))*(1+P_dTC)</f>
        <v>7300</v>
      </c>
      <c r="L18" s="34" t="n">
        <f aca="false">INDEX(TC_O,1,MIN(10,L$6))*(1+P_dTC)</f>
        <v>7300</v>
      </c>
      <c r="M18" s="34" t="n">
        <f aca="false">INDEX(TC_O,1,MIN(10,M$6))*(1+P_dTC)</f>
        <v>7300</v>
      </c>
      <c r="N18" s="34" t="n">
        <f aca="false">INDEX(TC_O,1,MIN(10,N$6))*(1+P_dTC)</f>
        <v>7300</v>
      </c>
      <c r="O18" s="34" t="n">
        <f aca="false">INDEX(TC_O,1,MIN(10,O$6))*(1+P_dTC)</f>
        <v>7300</v>
      </c>
      <c r="P18" s="34" t="n">
        <f aca="false">INDEX(TC_O,1,MIN(10,P$6))*(1+P_dTC)</f>
        <v>7300</v>
      </c>
      <c r="Q18" s="34" t="n">
        <f aca="false">INDEX(TC_O,1,MIN(10,Q$6))*(1+P_dTC)</f>
        <v>7300</v>
      </c>
      <c r="R18" s="34" t="n">
        <f aca="false">INDEX(TC_O,1,MIN(10,R$6))*(1+P_dTC)</f>
        <v>7300</v>
      </c>
      <c r="S18" s="34" t="n">
        <f aca="false">INDEX(TC_O,1,MIN(10,S$6))*(1+P_dTC)</f>
        <v>7300</v>
      </c>
      <c r="T18" s="34" t="n">
        <f aca="false">INDEX(TC_O,1,MIN(10,T$6))*(1+P_dTC)</f>
        <v>7300</v>
      </c>
      <c r="U18" s="34" t="n">
        <f aca="false">INDEX(TC_O,1,MIN(10,U$6))*(1+P_dTC)</f>
        <v>7300</v>
      </c>
      <c r="V18" s="34" t="n">
        <f aca="false">INDEX(TC_O,1,MIN(10,V$6))*(1+P_dTC)</f>
        <v>7300</v>
      </c>
      <c r="W18" s="34" t="n">
        <f aca="false">INDEX(TC_O,1,MIN(10,W$6))*(1+P_dTC)</f>
        <v>7300</v>
      </c>
      <c r="X18" s="34" t="n">
        <f aca="false">INDEX(TC_O,1,MIN(10,X$6))*(1+P_dTC)</f>
        <v>7300</v>
      </c>
      <c r="Y18" s="34" t="n">
        <f aca="false">INDEX(TC_O,1,MIN(10,Y$6))*(1+P_dTC)</f>
        <v>7300</v>
      </c>
      <c r="Z18" s="34" t="n">
        <f aca="false">INDEX(TC_O,1,MIN(10,Z$6))*(1+P_dTC)</f>
        <v>7300</v>
      </c>
      <c r="AA18" s="34" t="n">
        <f aca="false">INDEX(TC_O,1,MIN(10,AA$6))*(1+P_dTC)</f>
        <v>7300</v>
      </c>
      <c r="AB18" s="34" t="n">
        <f aca="false">INDEX(TC_O,1,MIN(10,AB$6))*(1+P_dTC)</f>
        <v>7300</v>
      </c>
      <c r="AC18" s="34" t="n">
        <f aca="false">INDEX(TC_O,1,MIN(10,AC$6))*(1+P_dTC)</f>
        <v>7300</v>
      </c>
      <c r="AD18" s="34" t="n">
        <f aca="false">INDEX(TC_O,1,MIN(10,AD$6))*(1+P_dTC)</f>
        <v>7300</v>
      </c>
      <c r="AE18" s="34" t="n">
        <f aca="false">INDEX(TC_O,1,MIN(10,AE$6))*(1+P_dTC)</f>
        <v>7300</v>
      </c>
      <c r="AF18" s="34" t="n">
        <f aca="false">INDEX(TC_O,1,MIN(10,AF$6))*(1+P_dTC)</f>
        <v>7300</v>
      </c>
      <c r="AG18" s="34" t="n">
        <f aca="false">INDEX(TC_O,1,MIN(10,AG$6))*(1+P_dTC)</f>
        <v>7300</v>
      </c>
      <c r="AH18" s="34" t="n">
        <f aca="false">INDEX(TC_O,1,MIN(10,AH$6))*(1+P_dTC)</f>
        <v>7300</v>
      </c>
      <c r="AI18" s="34" t="n">
        <f aca="false">INDEX(TC_O,1,MIN(10,AI$6))*(1+P_dTC)</f>
        <v>7300</v>
      </c>
      <c r="AJ18" s="34" t="n">
        <f aca="false">INDEX(TC_O,1,MIN(10,AJ$6))*(1+P_dTC)</f>
        <v>7300</v>
      </c>
      <c r="AK18" s="34" t="n">
        <f aca="false">INDEX(TC_O,1,MIN(10,AK$6))*(1+P_dTC)</f>
        <v>7300</v>
      </c>
      <c r="AL18" s="34" t="n">
        <f aca="false">INDEX(TC_O,1,MIN(10,AL$6))*(1+P_dTC)</f>
        <v>7300</v>
      </c>
      <c r="AM18" s="34" t="n">
        <f aca="false">INDEX(TC_O,1,MIN(10,AM$6))*(1+P_dTC)</f>
        <v>7300</v>
      </c>
      <c r="AN18" s="34" t="n">
        <f aca="false">INDEX(TC_O,1,MIN(10,AN$6))*(1+P_dTC)</f>
        <v>7300</v>
      </c>
      <c r="AO18" s="34" t="n">
        <f aca="false">INDEX(TC_O,1,MIN(10,AO$6))*(1+P_dTC)</f>
        <v>7300</v>
      </c>
      <c r="AP18" s="34" t="n">
        <f aca="false">INDEX(TC_O,1,MIN(10,AP$6))*(1+P_dTC)</f>
        <v>7300</v>
      </c>
      <c r="AQ18" s="34" t="n">
        <f aca="false">INDEX(TC_O,1,MIN(10,AQ$6))*(1+P_dTC)</f>
        <v>7300</v>
      </c>
      <c r="AR18" s="34" t="n">
        <f aca="false">INDEX(TC_O,1,MIN(10,AR$6))*(1+P_dTC)</f>
        <v>7300</v>
      </c>
      <c r="AS18" s="34" t="n">
        <f aca="false">INDEX(TC_O,1,MIN(10,AS$6))*(1+P_dTC)</f>
        <v>7300</v>
      </c>
      <c r="AT18" s="34" t="n">
        <f aca="false">INDEX(TC_O,1,MIN(10,AT$6))*(1+P_dTC)</f>
        <v>7300</v>
      </c>
      <c r="AU18" s="34" t="n">
        <f aca="false">INDEX(TC_O,1,MIN(10,AU$6))*(1+P_dTC)</f>
        <v>7300</v>
      </c>
      <c r="AV18" s="34" t="n">
        <f aca="false">INDEX(TC_O,1,MIN(10,AV$6))*(1+P_dTC)</f>
        <v>7300</v>
      </c>
      <c r="AW18" s="34" t="n">
        <f aca="false">INDEX(TC_O,1,MIN(10,AW$6))*(1+P_dTC)</f>
        <v>7300</v>
      </c>
      <c r="AX18" s="34" t="n">
        <f aca="false">INDEX(TC_O,1,MIN(10,AX$6))*(1+P_dTC)</f>
        <v>7300</v>
      </c>
      <c r="AY18" s="34" t="n">
        <f aca="false">INDEX(TC_O,1,MIN(10,AY$6))*(1+P_dTC)</f>
        <v>7300</v>
      </c>
      <c r="AZ18" s="34" t="n">
        <f aca="false">INDEX(TC_O,1,MIN(10,AZ$6))*(1+P_dTC)</f>
        <v>7300</v>
      </c>
      <c r="BA18" s="34" t="n">
        <f aca="false">INDEX(TC_O,1,MIN(10,BA$6))*(1+P_dTC)</f>
        <v>7300</v>
      </c>
      <c r="BB18" s="34" t="n">
        <f aca="false">INDEX(TC_O,1,MIN(10,BB$6))*(1+P_dTC)</f>
        <v>7300</v>
      </c>
      <c r="BC18" s="34" t="n">
        <f aca="false">INDEX(TC_O,1,MIN(10,BC$6))*(1+P_dTC)</f>
        <v>7300</v>
      </c>
      <c r="BD18" s="34" t="n">
        <f aca="false">INDEX(TC_O,1,MIN(10,BD$6))*(1+P_dTC)</f>
        <v>7300</v>
      </c>
      <c r="BE18" s="34" t="n">
        <f aca="false">INDEX(TC_O,1,MIN(10,BE$6))*(1+P_dTC)</f>
        <v>7300</v>
      </c>
      <c r="BF18" s="34" t="n">
        <f aca="false">INDEX(TC_O,1,MIN(10,BF$6))*(1+P_dTC)</f>
        <v>7300</v>
      </c>
      <c r="BG18" s="34" t="n">
        <f aca="false">INDEX(TC_O,1,MIN(10,BG$6))*(1+P_dTC)</f>
        <v>7300</v>
      </c>
      <c r="BH18" s="34" t="n">
        <f aca="false">INDEX(TC_O,1,MIN(10,BH$6))*(1+P_dTC)</f>
        <v>7300</v>
      </c>
      <c r="BI18" s="34" t="n">
        <f aca="false">INDEX(TC_O,1,MIN(10,BI$6))*(1+P_dTC)</f>
        <v>7300</v>
      </c>
      <c r="BJ18" s="34" t="n">
        <f aca="false">INDEX(TC_O,1,MIN(10,BJ$6))*(1+P_dTC)</f>
        <v>7300</v>
      </c>
      <c r="BK18" s="34" t="n">
        <f aca="false">INDEX(TC_O,1,MIN(10,BK$6))*(1+P_dTC)</f>
        <v>7300</v>
      </c>
      <c r="BL18" s="34" t="n">
        <f aca="false">INDEX(TC_O,1,MIN(10,BL$6))*(1+P_dTC)</f>
        <v>7300</v>
      </c>
      <c r="BM18" s="34" t="n">
        <f aca="false">INDEX(TC_O,1,MIN(10,BM$6))*(1+P_dTC)</f>
        <v>7300</v>
      </c>
      <c r="BN18" s="34" t="n">
        <f aca="false">INDEX(TC_O,1,MIN(10,BN$6))*(1+P_dTC)</f>
        <v>7300</v>
      </c>
      <c r="BO18" s="34" t="n">
        <f aca="false">INDEX(TC_O,1,MIN(10,BO$6))*(1+P_dTC)</f>
        <v>7300</v>
      </c>
      <c r="BP18" s="34" t="n">
        <f aca="false">INDEX(TC_O,1,MIN(10,BP$6))*(1+P_dTC)</f>
        <v>7300</v>
      </c>
      <c r="BQ18" s="34" t="n">
        <f aca="false">INDEX(TC_O,1,MIN(10,BQ$6))*(1+P_dTC)</f>
        <v>7300</v>
      </c>
      <c r="BR18" s="34" t="n">
        <f aca="false">INDEX(TC_O,1,MIN(10,BR$6))*(1+P_dTC)</f>
        <v>7300</v>
      </c>
      <c r="BS18" s="34" t="n">
        <f aca="false">INDEX(TC_O,1,MIN(10,BS$6))*(1+P_dTC)</f>
        <v>7300</v>
      </c>
      <c r="BT18" s="34" t="n">
        <f aca="false">INDEX(TC_O,1,MIN(10,BT$6))*(1+P_dTC)</f>
        <v>7300</v>
      </c>
      <c r="BU18" s="34" t="n">
        <f aca="false">INDEX(TC_O,1,MIN(10,BU$6))*(1+P_dTC)</f>
        <v>7300</v>
      </c>
      <c r="BV18" s="34" t="n">
        <f aca="false">INDEX(TC_O,1,MIN(10,BV$6))*(1+P_dTC)</f>
        <v>7300</v>
      </c>
      <c r="BW18" s="34" t="n">
        <f aca="false">INDEX(TC_O,1,MIN(10,BW$6))*(1+P_dTC)</f>
        <v>7300</v>
      </c>
      <c r="BX18" s="34" t="n">
        <f aca="false">INDEX(TC_O,1,MIN(10,BX$6))*(1+P_dTC)</f>
        <v>7300</v>
      </c>
      <c r="BY18" s="34" t="n">
        <f aca="false">INDEX(TC_O,1,MIN(10,BY$6))*(1+P_dTC)</f>
        <v>7300</v>
      </c>
      <c r="BZ18" s="34" t="n">
        <f aca="false">INDEX(TC_O,1,MIN(10,BZ$6))*(1+P_dTC)</f>
        <v>7300</v>
      </c>
      <c r="CA18" s="34" t="n">
        <f aca="false">INDEX(TC_O,1,MIN(10,CA$6))*(1+P_dTC)</f>
        <v>7300</v>
      </c>
      <c r="CB18" s="34" t="n">
        <f aca="false">INDEX(TC_O,1,MIN(10,CB$6))*(1+P_dTC)</f>
        <v>7300</v>
      </c>
      <c r="CC18" s="34" t="n">
        <f aca="false">INDEX(TC_O,1,MIN(10,CC$6))*(1+P_dTC)</f>
        <v>7300</v>
      </c>
      <c r="CD18" s="34" t="n">
        <f aca="false">INDEX(TC_O,1,MIN(10,CD$6))*(1+P_dTC)</f>
        <v>7300</v>
      </c>
      <c r="CE18" s="34" t="n">
        <f aca="false">INDEX(TC_O,1,MIN(10,CE$6))*(1+P_dTC)</f>
        <v>7300</v>
      </c>
      <c r="CF18" s="34" t="n">
        <f aca="false">INDEX(TC_O,1,MIN(10,CF$6))*(1+P_dTC)</f>
        <v>7300</v>
      </c>
      <c r="CG18" s="34" t="n">
        <f aca="false">INDEX(TC_O,1,MIN(10,CG$6))*(1+P_dTC)</f>
        <v>7300</v>
      </c>
      <c r="CH18" s="34" t="n">
        <f aca="false">INDEX(TC_O,1,MIN(10,CH$6))*(1+P_dTC)</f>
        <v>7300</v>
      </c>
      <c r="CI18" s="34" t="n">
        <f aca="false">INDEX(TC_O,1,MIN(10,CI$6))*(1+P_dTC)</f>
        <v>7300</v>
      </c>
      <c r="CJ18" s="34" t="n">
        <f aca="false">INDEX(TC_O,1,MIN(10,CJ$6))*(1+P_dTC)</f>
        <v>7300</v>
      </c>
      <c r="CK18" s="34" t="n">
        <f aca="false">INDEX(TC_O,1,MIN(10,CK$6))*(1+P_dTC)</f>
        <v>7300</v>
      </c>
      <c r="CL18" s="34" t="n">
        <f aca="false">INDEX(TC_O,1,MIN(10,CL$6))*(1+P_dTC)</f>
        <v>7300</v>
      </c>
      <c r="CM18" s="34" t="n">
        <f aca="false">INDEX(TC_O,1,MIN(10,CM$6))*(1+P_dTC)</f>
        <v>7300</v>
      </c>
      <c r="CN18" s="34" t="n">
        <f aca="false">INDEX(TC_O,1,MIN(10,CN$6))*(1+P_dTC)</f>
        <v>7300</v>
      </c>
      <c r="CO18" s="34" t="n">
        <f aca="false">INDEX(TC_O,1,MIN(10,CO$6))*(1+P_dTC)</f>
        <v>7300</v>
      </c>
      <c r="CP18" s="34" t="n">
        <f aca="false">INDEX(TC_O,1,MIN(10,CP$6))*(1+P_dTC)</f>
        <v>7300</v>
      </c>
      <c r="CQ18" s="34" t="n">
        <f aca="false">INDEX(TC_O,1,MIN(10,CQ$6))*(1+P_dTC)</f>
        <v>7300</v>
      </c>
      <c r="CR18" s="34" t="n">
        <f aca="false">INDEX(TC_O,1,MIN(10,CR$6))*(1+P_dTC)</f>
        <v>7300</v>
      </c>
      <c r="CS18" s="34" t="n">
        <f aca="false">INDEX(TC_O,1,MIN(10,CS$6))*(1+P_dTC)</f>
        <v>7300</v>
      </c>
      <c r="CT18" s="34" t="n">
        <f aca="false">INDEX(TC_O,1,MIN(10,CT$6))*(1+P_dTC)</f>
        <v>7300</v>
      </c>
      <c r="CU18" s="34" t="n">
        <f aca="false">INDEX(TC_O,1,MIN(10,CU$6))*(1+P_dTC)</f>
        <v>7300</v>
      </c>
      <c r="CV18" s="34" t="n">
        <f aca="false">INDEX(TC_O,1,MIN(10,CV$6))*(1+P_dTC)</f>
        <v>7300</v>
      </c>
      <c r="CW18" s="34" t="n">
        <f aca="false">INDEX(TC_O,1,MIN(10,CW$6))*(1+P_dTC)</f>
        <v>7300</v>
      </c>
      <c r="CX18" s="34" t="n">
        <f aca="false">INDEX(TC_O,1,MIN(10,CX$6))*(1+P_dTC)</f>
        <v>7300</v>
      </c>
      <c r="CY18" s="34" t="n">
        <f aca="false">INDEX(TC_O,1,MIN(10,CY$6))*(1+P_dTC)</f>
        <v>7300</v>
      </c>
      <c r="CZ18" s="34" t="n">
        <f aca="false">INDEX(TC_O,1,MIN(10,CZ$6))*(1+P_dTC)</f>
        <v>7300</v>
      </c>
      <c r="DA18" s="34" t="n">
        <f aca="false">INDEX(TC_O,1,MIN(10,DA$6))*(1+P_dTC)</f>
        <v>7300</v>
      </c>
      <c r="DB18" s="34" t="n">
        <f aca="false">INDEX(TC_O,1,MIN(10,DB$6))*(1+P_dTC)</f>
        <v>7300</v>
      </c>
      <c r="DC18" s="34" t="n">
        <f aca="false">INDEX(TC_O,1,MIN(10,DC$6))*(1+P_dTC)</f>
        <v>7300</v>
      </c>
      <c r="DD18" s="34" t="n">
        <f aca="false">INDEX(TC_O,1,MIN(10,DD$6))*(1+P_dTC)</f>
        <v>7300</v>
      </c>
      <c r="DE18" s="34" t="n">
        <f aca="false">INDEX(TC_O,1,MIN(10,DE$6))*(1+P_dTC)</f>
        <v>7300</v>
      </c>
      <c r="DF18" s="34" t="n">
        <f aca="false">INDEX(TC_O,1,MIN(10,DF$6))*(1+P_dTC)</f>
        <v>7300</v>
      </c>
      <c r="DG18" s="34" t="n">
        <f aca="false">INDEX(TC_O,1,MIN(10,DG$6))*(1+P_dTC)</f>
        <v>7300</v>
      </c>
      <c r="DH18" s="34" t="n">
        <f aca="false">INDEX(TC_O,1,MIN(10,DH$6))*(1+P_dTC)</f>
        <v>7300</v>
      </c>
      <c r="DI18" s="34" t="n">
        <f aca="false">INDEX(TC_O,1,MIN(10,DI$6))*(1+P_dTC)</f>
        <v>7300</v>
      </c>
      <c r="DJ18" s="34" t="n">
        <f aca="false">INDEX(TC_O,1,MIN(10,DJ$6))*(1+P_dTC)</f>
        <v>7300</v>
      </c>
      <c r="DK18" s="34" t="n">
        <f aca="false">INDEX(TC_O,1,MIN(10,DK$6))*(1+P_dTC)</f>
        <v>7300</v>
      </c>
      <c r="DL18" s="34" t="n">
        <f aca="false">INDEX(TC_O,1,MIN(10,DL$6))*(1+P_dTC)</f>
        <v>7300</v>
      </c>
      <c r="DM18" s="34" t="n">
        <f aca="false">INDEX(TC_O,1,MIN(10,DM$6))*(1+P_dTC)</f>
        <v>7300</v>
      </c>
      <c r="DN18" s="34" t="n">
        <f aca="false">INDEX(TC_O,1,MIN(10,DN$6))*(1+P_dTC)</f>
        <v>7300</v>
      </c>
      <c r="DO18" s="34" t="n">
        <f aca="false">INDEX(TC_O,1,MIN(10,DO$6))*(1+P_dTC)</f>
        <v>7300</v>
      </c>
      <c r="DP18" s="34" t="n">
        <f aca="false">INDEX(TC_O,1,MIN(10,DP$6))*(1+P_dTC)</f>
        <v>7300</v>
      </c>
      <c r="DQ18" s="34" t="n">
        <f aca="false">INDEX(TC_O,1,MIN(10,DQ$6))*(1+P_dTC)</f>
        <v>7300</v>
      </c>
      <c r="DR18" s="34" t="n">
        <f aca="false">INDEX(TC_O,1,MIN(10,DR$6))*(1+P_dTC)</f>
        <v>7300</v>
      </c>
      <c r="DS18" s="34" t="n">
        <f aca="false">INDEX(TC_O,1,MIN(10,DS$6))*(1+P_dTC)</f>
        <v>7300</v>
      </c>
      <c r="DT18" s="34" t="n">
        <f aca="false">INDEX(TC_O,1,MIN(10,DT$6))*(1+P_dTC)</f>
        <v>7300</v>
      </c>
      <c r="DU18" s="34" t="n">
        <f aca="false">INDEX(TC_O,1,MIN(10,DU$6))*(1+P_dTC)</f>
        <v>7300</v>
      </c>
      <c r="DV18" s="34" t="n">
        <f aca="false">INDEX(TC_O,1,MIN(10,DV$6))*(1+P_dTC)</f>
        <v>7300</v>
      </c>
      <c r="DW18" s="34" t="n">
        <f aca="false">INDEX(TC_O,1,MIN(10,DW$6))*(1+P_dTC)</f>
        <v>7300</v>
      </c>
      <c r="DX18" s="34" t="n">
        <f aca="false">INDEX(TC_O,1,MIN(10,DX$6))*(1+P_dTC)</f>
        <v>7300</v>
      </c>
      <c r="DY18" s="34" t="n">
        <f aca="false">INDEX(TC_O,1,MIN(10,DY$6))*(1+P_dTC)</f>
        <v>7300</v>
      </c>
      <c r="DZ18" s="34" t="n">
        <f aca="false">INDEX(TC_O,1,MIN(10,DZ$6))*(1+P_dTC)</f>
        <v>7300</v>
      </c>
      <c r="EA18" s="34" t="n">
        <f aca="false">INDEX(TC_O,1,MIN(10,EA$6))*(1+P_dTC)</f>
        <v>7300</v>
      </c>
      <c r="EB18" s="34" t="n">
        <f aca="false">INDEX(TC_O,1,MIN(10,EB$6))*(1+P_dTC)</f>
        <v>7300</v>
      </c>
      <c r="EC18" s="34" t="n">
        <f aca="false">INDEX(TC_O,1,MIN(10,EC$6))*(1+P_dTC)</f>
        <v>7300</v>
      </c>
      <c r="ED18" s="34" t="n">
        <f aca="false">INDEX(TC_O,1,MIN(10,ED$6))*(1+P_dTC)</f>
        <v>7300</v>
      </c>
      <c r="EE18" s="34" t="n">
        <f aca="false">INDEX(TC_O,1,MIN(10,EE$6))*(1+P_dTC)</f>
        <v>7300</v>
      </c>
      <c r="EF18" s="34" t="n">
        <f aca="false">INDEX(TC_O,1,MIN(10,EF$6))*(1+P_dTC)</f>
        <v>7300</v>
      </c>
      <c r="EG18" s="34" t="n">
        <f aca="false">INDEX(TC_O,1,MIN(10,EG$6))*(1+P_dTC)</f>
        <v>7300</v>
      </c>
      <c r="EH18" s="34" t="n">
        <f aca="false">INDEX(TC_O,1,MIN(10,EH$6))*(1+P_dTC)</f>
        <v>7300</v>
      </c>
      <c r="EI18" s="34" t="n">
        <f aca="false">INDEX(TC_O,1,MIN(10,EI$6))*(1+P_dTC)</f>
        <v>7300</v>
      </c>
      <c r="EJ18" s="34" t="n">
        <f aca="false">INDEX(TC_O,1,MIN(10,EJ$6))*(1+P_dTC)</f>
        <v>7300</v>
      </c>
      <c r="EK18" s="34" t="n">
        <f aca="false">INDEX(TC_O,1,MIN(10,EK$6))*(1+P_dTC)</f>
        <v>7300</v>
      </c>
      <c r="EL18" s="34" t="n">
        <f aca="false">INDEX(TC_O,1,MIN(10,EL$6))*(1+P_dTC)</f>
        <v>7300</v>
      </c>
      <c r="EM18" s="34" t="n">
        <f aca="false">INDEX(TC_O,1,MIN(10,EM$6))*(1+P_dTC)</f>
        <v>7300</v>
      </c>
      <c r="EN18" s="34" t="n">
        <f aca="false">INDEX(TC_O,1,MIN(10,EN$6))*(1+P_dTC)</f>
        <v>7300</v>
      </c>
      <c r="EO18" s="34" t="n">
        <f aca="false">INDEX(TC_O,1,MIN(10,EO$6))*(1+P_dTC)</f>
        <v>7300</v>
      </c>
      <c r="EP18" s="34" t="n">
        <f aca="false">INDEX(TC_O,1,MIN(10,EP$6))*(1+P_dTC)</f>
        <v>7300</v>
      </c>
      <c r="EQ18" s="34" t="n">
        <f aca="false">INDEX(TC_O,1,MIN(10,EQ$6))*(1+P_dTC)</f>
        <v>7300</v>
      </c>
      <c r="ER18" s="34" t="n">
        <f aca="false">INDEX(TC_O,1,MIN(10,ER$6))*(1+P_dTC)</f>
        <v>7300</v>
      </c>
      <c r="ES18" s="34" t="n">
        <f aca="false">INDEX(TC_O,1,MIN(10,ES$6))*(1+P_dTC)</f>
        <v>7300</v>
      </c>
    </row>
    <row r="19" customFormat="false" ht="15" hidden="false" customHeight="false" outlineLevel="0" collapsed="false">
      <c r="A19" s="2" t="s">
        <v>582</v>
      </c>
      <c r="B19" s="6" t="s">
        <v>583</v>
      </c>
      <c r="C19" s="6"/>
      <c r="F19" s="27" t="n">
        <f aca="false">IF(F$18&gt;0,1/F$18,0)</f>
        <v>0.000136986301369863</v>
      </c>
      <c r="G19" s="27" t="n">
        <f aca="false">IF(G$18&gt;0,1/G$18,0)</f>
        <v>0.000136986301369863</v>
      </c>
      <c r="H19" s="27" t="n">
        <f aca="false">IF(H$18&gt;0,1/H$18,0)</f>
        <v>0.000136986301369863</v>
      </c>
      <c r="I19" s="27" t="n">
        <f aca="false">IF(I$18&gt;0,1/I$18,0)</f>
        <v>0.000136986301369863</v>
      </c>
      <c r="J19" s="27" t="n">
        <f aca="false">IF(J$18&gt;0,1/J$18,0)</f>
        <v>0.000136986301369863</v>
      </c>
      <c r="K19" s="27" t="n">
        <f aca="false">IF(K$18&gt;0,1/K$18,0)</f>
        <v>0.000136986301369863</v>
      </c>
      <c r="L19" s="27" t="n">
        <f aca="false">IF(L$18&gt;0,1/L$18,0)</f>
        <v>0.000136986301369863</v>
      </c>
      <c r="M19" s="27" t="n">
        <f aca="false">IF(M$18&gt;0,1/M$18,0)</f>
        <v>0.000136986301369863</v>
      </c>
      <c r="N19" s="27" t="n">
        <f aca="false">IF(N$18&gt;0,1/N$18,0)</f>
        <v>0.000136986301369863</v>
      </c>
      <c r="O19" s="27" t="n">
        <f aca="false">IF(O$18&gt;0,1/O$18,0)</f>
        <v>0.000136986301369863</v>
      </c>
      <c r="P19" s="27" t="n">
        <f aca="false">IF(P$18&gt;0,1/P$18,0)</f>
        <v>0.000136986301369863</v>
      </c>
      <c r="Q19" s="27" t="n">
        <f aca="false">IF(Q$18&gt;0,1/Q$18,0)</f>
        <v>0.000136986301369863</v>
      </c>
      <c r="R19" s="27" t="n">
        <f aca="false">IF(R$18&gt;0,1/R$18,0)</f>
        <v>0.000136986301369863</v>
      </c>
      <c r="S19" s="27" t="n">
        <f aca="false">IF(S$18&gt;0,1/S$18,0)</f>
        <v>0.000136986301369863</v>
      </c>
      <c r="T19" s="27" t="n">
        <f aca="false">IF(T$18&gt;0,1/T$18,0)</f>
        <v>0.000136986301369863</v>
      </c>
      <c r="U19" s="27" t="n">
        <f aca="false">IF(U$18&gt;0,1/U$18,0)</f>
        <v>0.000136986301369863</v>
      </c>
      <c r="V19" s="27" t="n">
        <f aca="false">IF(V$18&gt;0,1/V$18,0)</f>
        <v>0.000136986301369863</v>
      </c>
      <c r="W19" s="27" t="n">
        <f aca="false">IF(W$18&gt;0,1/W$18,0)</f>
        <v>0.000136986301369863</v>
      </c>
      <c r="X19" s="27" t="n">
        <f aca="false">IF(X$18&gt;0,1/X$18,0)</f>
        <v>0.000136986301369863</v>
      </c>
      <c r="Y19" s="27" t="n">
        <f aca="false">IF(Y$18&gt;0,1/Y$18,0)</f>
        <v>0.000136986301369863</v>
      </c>
      <c r="Z19" s="27" t="n">
        <f aca="false">IF(Z$18&gt;0,1/Z$18,0)</f>
        <v>0.000136986301369863</v>
      </c>
      <c r="AA19" s="27" t="n">
        <f aca="false">IF(AA$18&gt;0,1/AA$18,0)</f>
        <v>0.000136986301369863</v>
      </c>
      <c r="AB19" s="27" t="n">
        <f aca="false">IF(AB$18&gt;0,1/AB$18,0)</f>
        <v>0.000136986301369863</v>
      </c>
      <c r="AC19" s="27" t="n">
        <f aca="false">IF(AC$18&gt;0,1/AC$18,0)</f>
        <v>0.000136986301369863</v>
      </c>
      <c r="AD19" s="27" t="n">
        <f aca="false">IF(AD$18&gt;0,1/AD$18,0)</f>
        <v>0.000136986301369863</v>
      </c>
      <c r="AE19" s="27" t="n">
        <f aca="false">IF(AE$18&gt;0,1/AE$18,0)</f>
        <v>0.000136986301369863</v>
      </c>
      <c r="AF19" s="27" t="n">
        <f aca="false">IF(AF$18&gt;0,1/AF$18,0)</f>
        <v>0.000136986301369863</v>
      </c>
      <c r="AG19" s="27" t="n">
        <f aca="false">IF(AG$18&gt;0,1/AG$18,0)</f>
        <v>0.000136986301369863</v>
      </c>
      <c r="AH19" s="27" t="n">
        <f aca="false">IF(AH$18&gt;0,1/AH$18,0)</f>
        <v>0.000136986301369863</v>
      </c>
      <c r="AI19" s="27" t="n">
        <f aca="false">IF(AI$18&gt;0,1/AI$18,0)</f>
        <v>0.000136986301369863</v>
      </c>
      <c r="AJ19" s="27" t="n">
        <f aca="false">IF(AJ$18&gt;0,1/AJ$18,0)</f>
        <v>0.000136986301369863</v>
      </c>
      <c r="AK19" s="27" t="n">
        <f aca="false">IF(AK$18&gt;0,1/AK$18,0)</f>
        <v>0.000136986301369863</v>
      </c>
      <c r="AL19" s="27" t="n">
        <f aca="false">IF(AL$18&gt;0,1/AL$18,0)</f>
        <v>0.000136986301369863</v>
      </c>
      <c r="AM19" s="27" t="n">
        <f aca="false">IF(AM$18&gt;0,1/AM$18,0)</f>
        <v>0.000136986301369863</v>
      </c>
      <c r="AN19" s="27" t="n">
        <f aca="false">IF(AN$18&gt;0,1/AN$18,0)</f>
        <v>0.000136986301369863</v>
      </c>
      <c r="AO19" s="27" t="n">
        <f aca="false">IF(AO$18&gt;0,1/AO$18,0)</f>
        <v>0.000136986301369863</v>
      </c>
      <c r="AP19" s="27" t="n">
        <f aca="false">IF(AP$18&gt;0,1/AP$18,0)</f>
        <v>0.000136986301369863</v>
      </c>
      <c r="AQ19" s="27" t="n">
        <f aca="false">IF(AQ$18&gt;0,1/AQ$18,0)</f>
        <v>0.000136986301369863</v>
      </c>
      <c r="AR19" s="27" t="n">
        <f aca="false">IF(AR$18&gt;0,1/AR$18,0)</f>
        <v>0.000136986301369863</v>
      </c>
      <c r="AS19" s="27" t="n">
        <f aca="false">IF(AS$18&gt;0,1/AS$18,0)</f>
        <v>0.000136986301369863</v>
      </c>
      <c r="AT19" s="27" t="n">
        <f aca="false">IF(AT$18&gt;0,1/AT$18,0)</f>
        <v>0.000136986301369863</v>
      </c>
      <c r="AU19" s="27" t="n">
        <f aca="false">IF(AU$18&gt;0,1/AU$18,0)</f>
        <v>0.000136986301369863</v>
      </c>
      <c r="AV19" s="27" t="n">
        <f aca="false">IF(AV$18&gt;0,1/AV$18,0)</f>
        <v>0.000136986301369863</v>
      </c>
      <c r="AW19" s="27" t="n">
        <f aca="false">IF(AW$18&gt;0,1/AW$18,0)</f>
        <v>0.000136986301369863</v>
      </c>
      <c r="AX19" s="27" t="n">
        <f aca="false">IF(AX$18&gt;0,1/AX$18,0)</f>
        <v>0.000136986301369863</v>
      </c>
      <c r="AY19" s="27" t="n">
        <f aca="false">IF(AY$18&gt;0,1/AY$18,0)</f>
        <v>0.000136986301369863</v>
      </c>
      <c r="AZ19" s="27" t="n">
        <f aca="false">IF(AZ$18&gt;0,1/AZ$18,0)</f>
        <v>0.000136986301369863</v>
      </c>
      <c r="BA19" s="27" t="n">
        <f aca="false">IF(BA$18&gt;0,1/BA$18,0)</f>
        <v>0.000136986301369863</v>
      </c>
      <c r="BB19" s="27" t="n">
        <f aca="false">IF(BB$18&gt;0,1/BB$18,0)</f>
        <v>0.000136986301369863</v>
      </c>
      <c r="BC19" s="27" t="n">
        <f aca="false">IF(BC$18&gt;0,1/BC$18,0)</f>
        <v>0.000136986301369863</v>
      </c>
      <c r="BD19" s="27" t="n">
        <f aca="false">IF(BD$18&gt;0,1/BD$18,0)</f>
        <v>0.000136986301369863</v>
      </c>
      <c r="BE19" s="27" t="n">
        <f aca="false">IF(BE$18&gt;0,1/BE$18,0)</f>
        <v>0.000136986301369863</v>
      </c>
      <c r="BF19" s="27" t="n">
        <f aca="false">IF(BF$18&gt;0,1/BF$18,0)</f>
        <v>0.000136986301369863</v>
      </c>
      <c r="BG19" s="27" t="n">
        <f aca="false">IF(BG$18&gt;0,1/BG$18,0)</f>
        <v>0.000136986301369863</v>
      </c>
      <c r="BH19" s="27" t="n">
        <f aca="false">IF(BH$18&gt;0,1/BH$18,0)</f>
        <v>0.000136986301369863</v>
      </c>
      <c r="BI19" s="27" t="n">
        <f aca="false">IF(BI$18&gt;0,1/BI$18,0)</f>
        <v>0.000136986301369863</v>
      </c>
      <c r="BJ19" s="27" t="n">
        <f aca="false">IF(BJ$18&gt;0,1/BJ$18,0)</f>
        <v>0.000136986301369863</v>
      </c>
      <c r="BK19" s="27" t="n">
        <f aca="false">IF(BK$18&gt;0,1/BK$18,0)</f>
        <v>0.000136986301369863</v>
      </c>
      <c r="BL19" s="27" t="n">
        <f aca="false">IF(BL$18&gt;0,1/BL$18,0)</f>
        <v>0.000136986301369863</v>
      </c>
      <c r="BM19" s="27" t="n">
        <f aca="false">IF(BM$18&gt;0,1/BM$18,0)</f>
        <v>0.000136986301369863</v>
      </c>
      <c r="BN19" s="27" t="n">
        <f aca="false">IF(BN$18&gt;0,1/BN$18,0)</f>
        <v>0.000136986301369863</v>
      </c>
      <c r="BO19" s="27" t="n">
        <f aca="false">IF(BO$18&gt;0,1/BO$18,0)</f>
        <v>0.000136986301369863</v>
      </c>
      <c r="BP19" s="27" t="n">
        <f aca="false">IF(BP$18&gt;0,1/BP$18,0)</f>
        <v>0.000136986301369863</v>
      </c>
      <c r="BQ19" s="27" t="n">
        <f aca="false">IF(BQ$18&gt;0,1/BQ$18,0)</f>
        <v>0.000136986301369863</v>
      </c>
      <c r="BR19" s="27" t="n">
        <f aca="false">IF(BR$18&gt;0,1/BR$18,0)</f>
        <v>0.000136986301369863</v>
      </c>
      <c r="BS19" s="27" t="n">
        <f aca="false">IF(BS$18&gt;0,1/BS$18,0)</f>
        <v>0.000136986301369863</v>
      </c>
      <c r="BT19" s="27" t="n">
        <f aca="false">IF(BT$18&gt;0,1/BT$18,0)</f>
        <v>0.000136986301369863</v>
      </c>
      <c r="BU19" s="27" t="n">
        <f aca="false">IF(BU$18&gt;0,1/BU$18,0)</f>
        <v>0.000136986301369863</v>
      </c>
      <c r="BV19" s="27" t="n">
        <f aca="false">IF(BV$18&gt;0,1/BV$18,0)</f>
        <v>0.000136986301369863</v>
      </c>
      <c r="BW19" s="27" t="n">
        <f aca="false">IF(BW$18&gt;0,1/BW$18,0)</f>
        <v>0.000136986301369863</v>
      </c>
      <c r="BX19" s="27" t="n">
        <f aca="false">IF(BX$18&gt;0,1/BX$18,0)</f>
        <v>0.000136986301369863</v>
      </c>
      <c r="BY19" s="27" t="n">
        <f aca="false">IF(BY$18&gt;0,1/BY$18,0)</f>
        <v>0.000136986301369863</v>
      </c>
      <c r="BZ19" s="27" t="n">
        <f aca="false">IF(BZ$18&gt;0,1/BZ$18,0)</f>
        <v>0.000136986301369863</v>
      </c>
      <c r="CA19" s="27" t="n">
        <f aca="false">IF(CA$18&gt;0,1/CA$18,0)</f>
        <v>0.000136986301369863</v>
      </c>
      <c r="CB19" s="27" t="n">
        <f aca="false">IF(CB$18&gt;0,1/CB$18,0)</f>
        <v>0.000136986301369863</v>
      </c>
      <c r="CC19" s="27" t="n">
        <f aca="false">IF(CC$18&gt;0,1/CC$18,0)</f>
        <v>0.000136986301369863</v>
      </c>
      <c r="CD19" s="27" t="n">
        <f aca="false">IF(CD$18&gt;0,1/CD$18,0)</f>
        <v>0.000136986301369863</v>
      </c>
      <c r="CE19" s="27" t="n">
        <f aca="false">IF(CE$18&gt;0,1/CE$18,0)</f>
        <v>0.000136986301369863</v>
      </c>
      <c r="CF19" s="27" t="n">
        <f aca="false">IF(CF$18&gt;0,1/CF$18,0)</f>
        <v>0.000136986301369863</v>
      </c>
      <c r="CG19" s="27" t="n">
        <f aca="false">IF(CG$18&gt;0,1/CG$18,0)</f>
        <v>0.000136986301369863</v>
      </c>
      <c r="CH19" s="27" t="n">
        <f aca="false">IF(CH$18&gt;0,1/CH$18,0)</f>
        <v>0.000136986301369863</v>
      </c>
      <c r="CI19" s="27" t="n">
        <f aca="false">IF(CI$18&gt;0,1/CI$18,0)</f>
        <v>0.000136986301369863</v>
      </c>
      <c r="CJ19" s="27" t="n">
        <f aca="false">IF(CJ$18&gt;0,1/CJ$18,0)</f>
        <v>0.000136986301369863</v>
      </c>
      <c r="CK19" s="27" t="n">
        <f aca="false">IF(CK$18&gt;0,1/CK$18,0)</f>
        <v>0.000136986301369863</v>
      </c>
      <c r="CL19" s="27" t="n">
        <f aca="false">IF(CL$18&gt;0,1/CL$18,0)</f>
        <v>0.000136986301369863</v>
      </c>
      <c r="CM19" s="27" t="n">
        <f aca="false">IF(CM$18&gt;0,1/CM$18,0)</f>
        <v>0.000136986301369863</v>
      </c>
      <c r="CN19" s="27" t="n">
        <f aca="false">IF(CN$18&gt;0,1/CN$18,0)</f>
        <v>0.000136986301369863</v>
      </c>
      <c r="CO19" s="27" t="n">
        <f aca="false">IF(CO$18&gt;0,1/CO$18,0)</f>
        <v>0.000136986301369863</v>
      </c>
      <c r="CP19" s="27" t="n">
        <f aca="false">IF(CP$18&gt;0,1/CP$18,0)</f>
        <v>0.000136986301369863</v>
      </c>
      <c r="CQ19" s="27" t="n">
        <f aca="false">IF(CQ$18&gt;0,1/CQ$18,0)</f>
        <v>0.000136986301369863</v>
      </c>
      <c r="CR19" s="27" t="n">
        <f aca="false">IF(CR$18&gt;0,1/CR$18,0)</f>
        <v>0.000136986301369863</v>
      </c>
      <c r="CS19" s="27" t="n">
        <f aca="false">IF(CS$18&gt;0,1/CS$18,0)</f>
        <v>0.000136986301369863</v>
      </c>
      <c r="CT19" s="27" t="n">
        <f aca="false">IF(CT$18&gt;0,1/CT$18,0)</f>
        <v>0.000136986301369863</v>
      </c>
      <c r="CU19" s="27" t="n">
        <f aca="false">IF(CU$18&gt;0,1/CU$18,0)</f>
        <v>0.000136986301369863</v>
      </c>
      <c r="CV19" s="27" t="n">
        <f aca="false">IF(CV$18&gt;0,1/CV$18,0)</f>
        <v>0.000136986301369863</v>
      </c>
      <c r="CW19" s="27" t="n">
        <f aca="false">IF(CW$18&gt;0,1/CW$18,0)</f>
        <v>0.000136986301369863</v>
      </c>
      <c r="CX19" s="27" t="n">
        <f aca="false">IF(CX$18&gt;0,1/CX$18,0)</f>
        <v>0.000136986301369863</v>
      </c>
      <c r="CY19" s="27" t="n">
        <f aca="false">IF(CY$18&gt;0,1/CY$18,0)</f>
        <v>0.000136986301369863</v>
      </c>
      <c r="CZ19" s="27" t="n">
        <f aca="false">IF(CZ$18&gt;0,1/CZ$18,0)</f>
        <v>0.000136986301369863</v>
      </c>
      <c r="DA19" s="27" t="n">
        <f aca="false">IF(DA$18&gt;0,1/DA$18,0)</f>
        <v>0.000136986301369863</v>
      </c>
      <c r="DB19" s="27" t="n">
        <f aca="false">IF(DB$18&gt;0,1/DB$18,0)</f>
        <v>0.000136986301369863</v>
      </c>
      <c r="DC19" s="27" t="n">
        <f aca="false">IF(DC$18&gt;0,1/DC$18,0)</f>
        <v>0.000136986301369863</v>
      </c>
      <c r="DD19" s="27" t="n">
        <f aca="false">IF(DD$18&gt;0,1/DD$18,0)</f>
        <v>0.000136986301369863</v>
      </c>
      <c r="DE19" s="27" t="n">
        <f aca="false">IF(DE$18&gt;0,1/DE$18,0)</f>
        <v>0.000136986301369863</v>
      </c>
      <c r="DF19" s="27" t="n">
        <f aca="false">IF(DF$18&gt;0,1/DF$18,0)</f>
        <v>0.000136986301369863</v>
      </c>
      <c r="DG19" s="27" t="n">
        <f aca="false">IF(DG$18&gt;0,1/DG$18,0)</f>
        <v>0.000136986301369863</v>
      </c>
      <c r="DH19" s="27" t="n">
        <f aca="false">IF(DH$18&gt;0,1/DH$18,0)</f>
        <v>0.000136986301369863</v>
      </c>
      <c r="DI19" s="27" t="n">
        <f aca="false">IF(DI$18&gt;0,1/DI$18,0)</f>
        <v>0.000136986301369863</v>
      </c>
      <c r="DJ19" s="27" t="n">
        <f aca="false">IF(DJ$18&gt;0,1/DJ$18,0)</f>
        <v>0.000136986301369863</v>
      </c>
      <c r="DK19" s="27" t="n">
        <f aca="false">IF(DK$18&gt;0,1/DK$18,0)</f>
        <v>0.000136986301369863</v>
      </c>
      <c r="DL19" s="27" t="n">
        <f aca="false">IF(DL$18&gt;0,1/DL$18,0)</f>
        <v>0.000136986301369863</v>
      </c>
      <c r="DM19" s="27" t="n">
        <f aca="false">IF(DM$18&gt;0,1/DM$18,0)</f>
        <v>0.000136986301369863</v>
      </c>
      <c r="DN19" s="27" t="n">
        <f aca="false">IF(DN$18&gt;0,1/DN$18,0)</f>
        <v>0.000136986301369863</v>
      </c>
      <c r="DO19" s="27" t="n">
        <f aca="false">IF(DO$18&gt;0,1/DO$18,0)</f>
        <v>0.000136986301369863</v>
      </c>
      <c r="DP19" s="27" t="n">
        <f aca="false">IF(DP$18&gt;0,1/DP$18,0)</f>
        <v>0.000136986301369863</v>
      </c>
      <c r="DQ19" s="27" t="n">
        <f aca="false">IF(DQ$18&gt;0,1/DQ$18,0)</f>
        <v>0.000136986301369863</v>
      </c>
      <c r="DR19" s="27" t="n">
        <f aca="false">IF(DR$18&gt;0,1/DR$18,0)</f>
        <v>0.000136986301369863</v>
      </c>
      <c r="DS19" s="27" t="n">
        <f aca="false">IF(DS$18&gt;0,1/DS$18,0)</f>
        <v>0.000136986301369863</v>
      </c>
      <c r="DT19" s="27" t="n">
        <f aca="false">IF(DT$18&gt;0,1/DT$18,0)</f>
        <v>0.000136986301369863</v>
      </c>
      <c r="DU19" s="27" t="n">
        <f aca="false">IF(DU$18&gt;0,1/DU$18,0)</f>
        <v>0.000136986301369863</v>
      </c>
      <c r="DV19" s="27" t="n">
        <f aca="false">IF(DV$18&gt;0,1/DV$18,0)</f>
        <v>0.000136986301369863</v>
      </c>
      <c r="DW19" s="27" t="n">
        <f aca="false">IF(DW$18&gt;0,1/DW$18,0)</f>
        <v>0.000136986301369863</v>
      </c>
      <c r="DX19" s="27" t="n">
        <f aca="false">IF(DX$18&gt;0,1/DX$18,0)</f>
        <v>0.000136986301369863</v>
      </c>
      <c r="DY19" s="27" t="n">
        <f aca="false">IF(DY$18&gt;0,1/DY$18,0)</f>
        <v>0.000136986301369863</v>
      </c>
      <c r="DZ19" s="27" t="n">
        <f aca="false">IF(DZ$18&gt;0,1/DZ$18,0)</f>
        <v>0.000136986301369863</v>
      </c>
      <c r="EA19" s="27" t="n">
        <f aca="false">IF(EA$18&gt;0,1/EA$18,0)</f>
        <v>0.000136986301369863</v>
      </c>
      <c r="EB19" s="27" t="n">
        <f aca="false">IF(EB$18&gt;0,1/EB$18,0)</f>
        <v>0.000136986301369863</v>
      </c>
      <c r="EC19" s="27" t="n">
        <f aca="false">IF(EC$18&gt;0,1/EC$18,0)</f>
        <v>0.000136986301369863</v>
      </c>
      <c r="ED19" s="27" t="n">
        <f aca="false">IF(ED$18&gt;0,1/ED$18,0)</f>
        <v>0.000136986301369863</v>
      </c>
      <c r="EE19" s="27" t="n">
        <f aca="false">IF(EE$18&gt;0,1/EE$18,0)</f>
        <v>0.000136986301369863</v>
      </c>
      <c r="EF19" s="27" t="n">
        <f aca="false">IF(EF$18&gt;0,1/EF$18,0)</f>
        <v>0.000136986301369863</v>
      </c>
      <c r="EG19" s="27" t="n">
        <f aca="false">IF(EG$18&gt;0,1/EG$18,0)</f>
        <v>0.000136986301369863</v>
      </c>
      <c r="EH19" s="27" t="n">
        <f aca="false">IF(EH$18&gt;0,1/EH$18,0)</f>
        <v>0.000136986301369863</v>
      </c>
      <c r="EI19" s="27" t="n">
        <f aca="false">IF(EI$18&gt;0,1/EI$18,0)</f>
        <v>0.000136986301369863</v>
      </c>
      <c r="EJ19" s="27" t="n">
        <f aca="false">IF(EJ$18&gt;0,1/EJ$18,0)</f>
        <v>0.000136986301369863</v>
      </c>
      <c r="EK19" s="27" t="n">
        <f aca="false">IF(EK$18&gt;0,1/EK$18,0)</f>
        <v>0.000136986301369863</v>
      </c>
      <c r="EL19" s="27" t="n">
        <f aca="false">IF(EL$18&gt;0,1/EL$18,0)</f>
        <v>0.000136986301369863</v>
      </c>
      <c r="EM19" s="27" t="n">
        <f aca="false">IF(EM$18&gt;0,1/EM$18,0)</f>
        <v>0.000136986301369863</v>
      </c>
      <c r="EN19" s="27" t="n">
        <f aca="false">IF(EN$18&gt;0,1/EN$18,0)</f>
        <v>0.000136986301369863</v>
      </c>
      <c r="EO19" s="27" t="n">
        <f aca="false">IF(EO$18&gt;0,1/EO$18,0)</f>
        <v>0.000136986301369863</v>
      </c>
      <c r="EP19" s="27" t="n">
        <f aca="false">IF(EP$18&gt;0,1/EP$18,0)</f>
        <v>0.000136986301369863</v>
      </c>
      <c r="EQ19" s="27" t="n">
        <f aca="false">IF(EQ$18&gt;0,1/EQ$18,0)</f>
        <v>0.000136986301369863</v>
      </c>
      <c r="ER19" s="27" t="n">
        <f aca="false">IF(ER$18&gt;0,1/ER$18,0)</f>
        <v>0.000136986301369863</v>
      </c>
      <c r="ES19" s="27" t="n">
        <f aca="false">IF(ES$18&gt;0,1/ES$18,0)</f>
        <v>0.000136986301369863</v>
      </c>
    </row>
    <row r="20" customFormat="false" ht="15" hidden="false" customHeight="false" outlineLevel="0" collapsed="false">
      <c r="A20" s="4"/>
      <c r="B20" s="3" t="s">
        <v>248</v>
      </c>
      <c r="C20" s="4"/>
      <c r="D20" s="4"/>
      <c r="E20" s="4"/>
    </row>
    <row r="21" customFormat="false" ht="15" hidden="false" customHeight="false" outlineLevel="0" collapsed="false">
      <c r="A21" s="2" t="s">
        <v>584</v>
      </c>
      <c r="B21" s="39" t="str">
        <f aca="false">IF(INDEX(Prod_Nombre,1)="","Producto 1",INDEX(Prod_Nombre,1))&amp;" — unidades"</f>
        <v>Gabinetes metálicos 153 kg — unidades</v>
      </c>
      <c r="C21" s="6" t="s">
        <v>286</v>
      </c>
      <c r="E21" s="40" t="n">
        <f aca="false">SUM(F21:ES21)</f>
        <v>192000</v>
      </c>
      <c r="F21" s="34" t="n">
        <f aca="false">IF(F$15=1,INDEX(Vol_O,1,F$14)/12*(1+P_dVol),0)</f>
        <v>1000</v>
      </c>
      <c r="G21" s="34" t="n">
        <f aca="false">IF(G$15=1,INDEX(Vol_O,1,G$14)/12*(1+P_dVol),0)</f>
        <v>1000</v>
      </c>
      <c r="H21" s="34" t="n">
        <f aca="false">IF(H$15=1,INDEX(Vol_O,1,H$14)/12*(1+P_dVol),0)</f>
        <v>1000</v>
      </c>
      <c r="I21" s="34" t="n">
        <f aca="false">IF(I$15=1,INDEX(Vol_O,1,I$14)/12*(1+P_dVol),0)</f>
        <v>1000</v>
      </c>
      <c r="J21" s="34" t="n">
        <f aca="false">IF(J$15=1,INDEX(Vol_O,1,J$14)/12*(1+P_dVol),0)</f>
        <v>1000</v>
      </c>
      <c r="K21" s="34" t="n">
        <f aca="false">IF(K$15=1,INDEX(Vol_O,1,K$14)/12*(1+P_dVol),0)</f>
        <v>1000</v>
      </c>
      <c r="L21" s="34" t="n">
        <f aca="false">IF(L$15=1,INDEX(Vol_O,1,L$14)/12*(1+P_dVol),0)</f>
        <v>1000</v>
      </c>
      <c r="M21" s="34" t="n">
        <f aca="false">IF(M$15=1,INDEX(Vol_O,1,M$14)/12*(1+P_dVol),0)</f>
        <v>1000</v>
      </c>
      <c r="N21" s="34" t="n">
        <f aca="false">IF(N$15=1,INDEX(Vol_O,1,N$14)/12*(1+P_dVol),0)</f>
        <v>1000</v>
      </c>
      <c r="O21" s="34" t="n">
        <f aca="false">IF(O$15=1,INDEX(Vol_O,1,O$14)/12*(1+P_dVol),0)</f>
        <v>1000</v>
      </c>
      <c r="P21" s="34" t="n">
        <f aca="false">IF(P$15=1,INDEX(Vol_O,1,P$14)/12*(1+P_dVol),0)</f>
        <v>1000</v>
      </c>
      <c r="Q21" s="34" t="n">
        <f aca="false">IF(Q$15=1,INDEX(Vol_O,1,Q$14)/12*(1+P_dVol),0)</f>
        <v>1000</v>
      </c>
      <c r="R21" s="34" t="n">
        <f aca="false">IF(R$15=1,INDEX(Vol_O,1,R$14)/12*(1+P_dVol),0)</f>
        <v>1250</v>
      </c>
      <c r="S21" s="34" t="n">
        <f aca="false">IF(S$15=1,INDEX(Vol_O,1,S$14)/12*(1+P_dVol),0)</f>
        <v>1250</v>
      </c>
      <c r="T21" s="34" t="n">
        <f aca="false">IF(T$15=1,INDEX(Vol_O,1,T$14)/12*(1+P_dVol),0)</f>
        <v>1250</v>
      </c>
      <c r="U21" s="34" t="n">
        <f aca="false">IF(U$15=1,INDEX(Vol_O,1,U$14)/12*(1+P_dVol),0)</f>
        <v>1250</v>
      </c>
      <c r="V21" s="34" t="n">
        <f aca="false">IF(V$15=1,INDEX(Vol_O,1,V$14)/12*(1+P_dVol),0)</f>
        <v>1250</v>
      </c>
      <c r="W21" s="34" t="n">
        <f aca="false">IF(W$15=1,INDEX(Vol_O,1,W$14)/12*(1+P_dVol),0)</f>
        <v>1250</v>
      </c>
      <c r="X21" s="34" t="n">
        <f aca="false">IF(X$15=1,INDEX(Vol_O,1,X$14)/12*(1+P_dVol),0)</f>
        <v>1250</v>
      </c>
      <c r="Y21" s="34" t="n">
        <f aca="false">IF(Y$15=1,INDEX(Vol_O,1,Y$14)/12*(1+P_dVol),0)</f>
        <v>1250</v>
      </c>
      <c r="Z21" s="34" t="n">
        <f aca="false">IF(Z$15=1,INDEX(Vol_O,1,Z$14)/12*(1+P_dVol),0)</f>
        <v>1250</v>
      </c>
      <c r="AA21" s="34" t="n">
        <f aca="false">IF(AA$15=1,INDEX(Vol_O,1,AA$14)/12*(1+P_dVol),0)</f>
        <v>1250</v>
      </c>
      <c r="AB21" s="34" t="n">
        <f aca="false">IF(AB$15=1,INDEX(Vol_O,1,AB$14)/12*(1+P_dVol),0)</f>
        <v>1250</v>
      </c>
      <c r="AC21" s="34" t="n">
        <f aca="false">IF(AC$15=1,INDEX(Vol_O,1,AC$14)/12*(1+P_dVol),0)</f>
        <v>1250</v>
      </c>
      <c r="AD21" s="34" t="n">
        <f aca="false">IF(AD$15=1,INDEX(Vol_O,1,AD$14)/12*(1+P_dVol),0)</f>
        <v>1500</v>
      </c>
      <c r="AE21" s="34" t="n">
        <f aca="false">IF(AE$15=1,INDEX(Vol_O,1,AE$14)/12*(1+P_dVol),0)</f>
        <v>1500</v>
      </c>
      <c r="AF21" s="34" t="n">
        <f aca="false">IF(AF$15=1,INDEX(Vol_O,1,AF$14)/12*(1+P_dVol),0)</f>
        <v>1500</v>
      </c>
      <c r="AG21" s="34" t="n">
        <f aca="false">IF(AG$15=1,INDEX(Vol_O,1,AG$14)/12*(1+P_dVol),0)</f>
        <v>1500</v>
      </c>
      <c r="AH21" s="34" t="n">
        <f aca="false">IF(AH$15=1,INDEX(Vol_O,1,AH$14)/12*(1+P_dVol),0)</f>
        <v>1500</v>
      </c>
      <c r="AI21" s="34" t="n">
        <f aca="false">IF(AI$15=1,INDEX(Vol_O,1,AI$14)/12*(1+P_dVol),0)</f>
        <v>1500</v>
      </c>
      <c r="AJ21" s="34" t="n">
        <f aca="false">IF(AJ$15=1,INDEX(Vol_O,1,AJ$14)/12*(1+P_dVol),0)</f>
        <v>1500</v>
      </c>
      <c r="AK21" s="34" t="n">
        <f aca="false">IF(AK$15=1,INDEX(Vol_O,1,AK$14)/12*(1+P_dVol),0)</f>
        <v>1500</v>
      </c>
      <c r="AL21" s="34" t="n">
        <f aca="false">IF(AL$15=1,INDEX(Vol_O,1,AL$14)/12*(1+P_dVol),0)</f>
        <v>1500</v>
      </c>
      <c r="AM21" s="34" t="n">
        <f aca="false">IF(AM$15=1,INDEX(Vol_O,1,AM$14)/12*(1+P_dVol),0)</f>
        <v>1500</v>
      </c>
      <c r="AN21" s="34" t="n">
        <f aca="false">IF(AN$15=1,INDEX(Vol_O,1,AN$14)/12*(1+P_dVol),0)</f>
        <v>1500</v>
      </c>
      <c r="AO21" s="34" t="n">
        <f aca="false">IF(AO$15=1,INDEX(Vol_O,1,AO$14)/12*(1+P_dVol),0)</f>
        <v>1500</v>
      </c>
      <c r="AP21" s="34" t="n">
        <f aca="false">IF(AP$15=1,INDEX(Vol_O,1,AP$14)/12*(1+P_dVol),0)</f>
        <v>1750</v>
      </c>
      <c r="AQ21" s="34" t="n">
        <f aca="false">IF(AQ$15=1,INDEX(Vol_O,1,AQ$14)/12*(1+P_dVol),0)</f>
        <v>1750</v>
      </c>
      <c r="AR21" s="34" t="n">
        <f aca="false">IF(AR$15=1,INDEX(Vol_O,1,AR$14)/12*(1+P_dVol),0)</f>
        <v>1750</v>
      </c>
      <c r="AS21" s="34" t="n">
        <f aca="false">IF(AS$15=1,INDEX(Vol_O,1,AS$14)/12*(1+P_dVol),0)</f>
        <v>1750</v>
      </c>
      <c r="AT21" s="34" t="n">
        <f aca="false">IF(AT$15=1,INDEX(Vol_O,1,AT$14)/12*(1+P_dVol),0)</f>
        <v>1750</v>
      </c>
      <c r="AU21" s="34" t="n">
        <f aca="false">IF(AU$15=1,INDEX(Vol_O,1,AU$14)/12*(1+P_dVol),0)</f>
        <v>1750</v>
      </c>
      <c r="AV21" s="34" t="n">
        <f aca="false">IF(AV$15=1,INDEX(Vol_O,1,AV$14)/12*(1+P_dVol),0)</f>
        <v>1750</v>
      </c>
      <c r="AW21" s="34" t="n">
        <f aca="false">IF(AW$15=1,INDEX(Vol_O,1,AW$14)/12*(1+P_dVol),0)</f>
        <v>1750</v>
      </c>
      <c r="AX21" s="34" t="n">
        <f aca="false">IF(AX$15=1,INDEX(Vol_O,1,AX$14)/12*(1+P_dVol),0)</f>
        <v>1750</v>
      </c>
      <c r="AY21" s="34" t="n">
        <f aca="false">IF(AY$15=1,INDEX(Vol_O,1,AY$14)/12*(1+P_dVol),0)</f>
        <v>1750</v>
      </c>
      <c r="AZ21" s="34" t="n">
        <f aca="false">IF(AZ$15=1,INDEX(Vol_O,1,AZ$14)/12*(1+P_dVol),0)</f>
        <v>1750</v>
      </c>
      <c r="BA21" s="34" t="n">
        <f aca="false">IF(BA$15=1,INDEX(Vol_O,1,BA$14)/12*(1+P_dVol),0)</f>
        <v>1750</v>
      </c>
      <c r="BB21" s="34" t="n">
        <f aca="false">IF(BB$15=1,INDEX(Vol_O,1,BB$14)/12*(1+P_dVol),0)</f>
        <v>1750</v>
      </c>
      <c r="BC21" s="34" t="n">
        <f aca="false">IF(BC$15=1,INDEX(Vol_O,1,BC$14)/12*(1+P_dVol),0)</f>
        <v>1750</v>
      </c>
      <c r="BD21" s="34" t="n">
        <f aca="false">IF(BD$15=1,INDEX(Vol_O,1,BD$14)/12*(1+P_dVol),0)</f>
        <v>1750</v>
      </c>
      <c r="BE21" s="34" t="n">
        <f aca="false">IF(BE$15=1,INDEX(Vol_O,1,BE$14)/12*(1+P_dVol),0)</f>
        <v>1750</v>
      </c>
      <c r="BF21" s="34" t="n">
        <f aca="false">IF(BF$15=1,INDEX(Vol_O,1,BF$14)/12*(1+P_dVol),0)</f>
        <v>1750</v>
      </c>
      <c r="BG21" s="34" t="n">
        <f aca="false">IF(BG$15=1,INDEX(Vol_O,1,BG$14)/12*(1+P_dVol),0)</f>
        <v>1750</v>
      </c>
      <c r="BH21" s="34" t="n">
        <f aca="false">IF(BH$15=1,INDEX(Vol_O,1,BH$14)/12*(1+P_dVol),0)</f>
        <v>1750</v>
      </c>
      <c r="BI21" s="34" t="n">
        <f aca="false">IF(BI$15=1,INDEX(Vol_O,1,BI$14)/12*(1+P_dVol),0)</f>
        <v>1750</v>
      </c>
      <c r="BJ21" s="34" t="n">
        <f aca="false">IF(BJ$15=1,INDEX(Vol_O,1,BJ$14)/12*(1+P_dVol),0)</f>
        <v>1750</v>
      </c>
      <c r="BK21" s="34" t="n">
        <f aca="false">IF(BK$15=1,INDEX(Vol_O,1,BK$14)/12*(1+P_dVol),0)</f>
        <v>1750</v>
      </c>
      <c r="BL21" s="34" t="n">
        <f aca="false">IF(BL$15=1,INDEX(Vol_O,1,BL$14)/12*(1+P_dVol),0)</f>
        <v>1750</v>
      </c>
      <c r="BM21" s="34" t="n">
        <f aca="false">IF(BM$15=1,INDEX(Vol_O,1,BM$14)/12*(1+P_dVol),0)</f>
        <v>1750</v>
      </c>
      <c r="BN21" s="34" t="n">
        <f aca="false">IF(BN$15=1,INDEX(Vol_O,1,BN$14)/12*(1+P_dVol),0)</f>
        <v>1750</v>
      </c>
      <c r="BO21" s="34" t="n">
        <f aca="false">IF(BO$15=1,INDEX(Vol_O,1,BO$14)/12*(1+P_dVol),0)</f>
        <v>1750</v>
      </c>
      <c r="BP21" s="34" t="n">
        <f aca="false">IF(BP$15=1,INDEX(Vol_O,1,BP$14)/12*(1+P_dVol),0)</f>
        <v>1750</v>
      </c>
      <c r="BQ21" s="34" t="n">
        <f aca="false">IF(BQ$15=1,INDEX(Vol_O,1,BQ$14)/12*(1+P_dVol),0)</f>
        <v>1750</v>
      </c>
      <c r="BR21" s="34" t="n">
        <f aca="false">IF(BR$15=1,INDEX(Vol_O,1,BR$14)/12*(1+P_dVol),0)</f>
        <v>1750</v>
      </c>
      <c r="BS21" s="34" t="n">
        <f aca="false">IF(BS$15=1,INDEX(Vol_O,1,BS$14)/12*(1+P_dVol),0)</f>
        <v>1750</v>
      </c>
      <c r="BT21" s="34" t="n">
        <f aca="false">IF(BT$15=1,INDEX(Vol_O,1,BT$14)/12*(1+P_dVol),0)</f>
        <v>1750</v>
      </c>
      <c r="BU21" s="34" t="n">
        <f aca="false">IF(BU$15=1,INDEX(Vol_O,1,BU$14)/12*(1+P_dVol),0)</f>
        <v>1750</v>
      </c>
      <c r="BV21" s="34" t="n">
        <f aca="false">IF(BV$15=1,INDEX(Vol_O,1,BV$14)/12*(1+P_dVol),0)</f>
        <v>1750</v>
      </c>
      <c r="BW21" s="34" t="n">
        <f aca="false">IF(BW$15=1,INDEX(Vol_O,1,BW$14)/12*(1+P_dVol),0)</f>
        <v>1750</v>
      </c>
      <c r="BX21" s="34" t="n">
        <f aca="false">IF(BX$15=1,INDEX(Vol_O,1,BX$14)/12*(1+P_dVol),0)</f>
        <v>1750</v>
      </c>
      <c r="BY21" s="34" t="n">
        <f aca="false">IF(BY$15=1,INDEX(Vol_O,1,BY$14)/12*(1+P_dVol),0)</f>
        <v>1750</v>
      </c>
      <c r="BZ21" s="34" t="n">
        <f aca="false">IF(BZ$15=1,INDEX(Vol_O,1,BZ$14)/12*(1+P_dVol),0)</f>
        <v>1750</v>
      </c>
      <c r="CA21" s="34" t="n">
        <f aca="false">IF(CA$15=1,INDEX(Vol_O,1,CA$14)/12*(1+P_dVol),0)</f>
        <v>1750</v>
      </c>
      <c r="CB21" s="34" t="n">
        <f aca="false">IF(CB$15=1,INDEX(Vol_O,1,CB$14)/12*(1+P_dVol),0)</f>
        <v>1750</v>
      </c>
      <c r="CC21" s="34" t="n">
        <f aca="false">IF(CC$15=1,INDEX(Vol_O,1,CC$14)/12*(1+P_dVol),0)</f>
        <v>1750</v>
      </c>
      <c r="CD21" s="34" t="n">
        <f aca="false">IF(CD$15=1,INDEX(Vol_O,1,CD$14)/12*(1+P_dVol),0)</f>
        <v>1750</v>
      </c>
      <c r="CE21" s="34" t="n">
        <f aca="false">IF(CE$15=1,INDEX(Vol_O,1,CE$14)/12*(1+P_dVol),0)</f>
        <v>1750</v>
      </c>
      <c r="CF21" s="34" t="n">
        <f aca="false">IF(CF$15=1,INDEX(Vol_O,1,CF$14)/12*(1+P_dVol),0)</f>
        <v>1750</v>
      </c>
      <c r="CG21" s="34" t="n">
        <f aca="false">IF(CG$15=1,INDEX(Vol_O,1,CG$14)/12*(1+P_dVol),0)</f>
        <v>1750</v>
      </c>
      <c r="CH21" s="34" t="n">
        <f aca="false">IF(CH$15=1,INDEX(Vol_O,1,CH$14)/12*(1+P_dVol),0)</f>
        <v>1750</v>
      </c>
      <c r="CI21" s="34" t="n">
        <f aca="false">IF(CI$15=1,INDEX(Vol_O,1,CI$14)/12*(1+P_dVol),0)</f>
        <v>1750</v>
      </c>
      <c r="CJ21" s="34" t="n">
        <f aca="false">IF(CJ$15=1,INDEX(Vol_O,1,CJ$14)/12*(1+P_dVol),0)</f>
        <v>1750</v>
      </c>
      <c r="CK21" s="34" t="n">
        <f aca="false">IF(CK$15=1,INDEX(Vol_O,1,CK$14)/12*(1+P_dVol),0)</f>
        <v>1750</v>
      </c>
      <c r="CL21" s="34" t="n">
        <f aca="false">IF(CL$15=1,INDEX(Vol_O,1,CL$14)/12*(1+P_dVol),0)</f>
        <v>1750</v>
      </c>
      <c r="CM21" s="34" t="n">
        <f aca="false">IF(CM$15=1,INDEX(Vol_O,1,CM$14)/12*(1+P_dVol),0)</f>
        <v>1750</v>
      </c>
      <c r="CN21" s="34" t="n">
        <f aca="false">IF(CN$15=1,INDEX(Vol_O,1,CN$14)/12*(1+P_dVol),0)</f>
        <v>1750</v>
      </c>
      <c r="CO21" s="34" t="n">
        <f aca="false">IF(CO$15=1,INDEX(Vol_O,1,CO$14)/12*(1+P_dVol),0)</f>
        <v>1750</v>
      </c>
      <c r="CP21" s="34" t="n">
        <f aca="false">IF(CP$15=1,INDEX(Vol_O,1,CP$14)/12*(1+P_dVol),0)</f>
        <v>1750</v>
      </c>
      <c r="CQ21" s="34" t="n">
        <f aca="false">IF(CQ$15=1,INDEX(Vol_O,1,CQ$14)/12*(1+P_dVol),0)</f>
        <v>1750</v>
      </c>
      <c r="CR21" s="34" t="n">
        <f aca="false">IF(CR$15=1,INDEX(Vol_O,1,CR$14)/12*(1+P_dVol),0)</f>
        <v>1750</v>
      </c>
      <c r="CS21" s="34" t="n">
        <f aca="false">IF(CS$15=1,INDEX(Vol_O,1,CS$14)/12*(1+P_dVol),0)</f>
        <v>1750</v>
      </c>
      <c r="CT21" s="34" t="n">
        <f aca="false">IF(CT$15=1,INDEX(Vol_O,1,CT$14)/12*(1+P_dVol),0)</f>
        <v>1750</v>
      </c>
      <c r="CU21" s="34" t="n">
        <f aca="false">IF(CU$15=1,INDEX(Vol_O,1,CU$14)/12*(1+P_dVol),0)</f>
        <v>1750</v>
      </c>
      <c r="CV21" s="34" t="n">
        <f aca="false">IF(CV$15=1,INDEX(Vol_O,1,CV$14)/12*(1+P_dVol),0)</f>
        <v>1750</v>
      </c>
      <c r="CW21" s="34" t="n">
        <f aca="false">IF(CW$15=1,INDEX(Vol_O,1,CW$14)/12*(1+P_dVol),0)</f>
        <v>1750</v>
      </c>
      <c r="CX21" s="34" t="n">
        <f aca="false">IF(CX$15=1,INDEX(Vol_O,1,CX$14)/12*(1+P_dVol),0)</f>
        <v>1750</v>
      </c>
      <c r="CY21" s="34" t="n">
        <f aca="false">IF(CY$15=1,INDEX(Vol_O,1,CY$14)/12*(1+P_dVol),0)</f>
        <v>1750</v>
      </c>
      <c r="CZ21" s="34" t="n">
        <f aca="false">IF(CZ$15=1,INDEX(Vol_O,1,CZ$14)/12*(1+P_dVol),0)</f>
        <v>1750</v>
      </c>
      <c r="DA21" s="34" t="n">
        <f aca="false">IF(DA$15=1,INDEX(Vol_O,1,DA$14)/12*(1+P_dVol),0)</f>
        <v>1750</v>
      </c>
      <c r="DB21" s="34" t="n">
        <f aca="false">IF(DB$15=1,INDEX(Vol_O,1,DB$14)/12*(1+P_dVol),0)</f>
        <v>1750</v>
      </c>
      <c r="DC21" s="34" t="n">
        <f aca="false">IF(DC$15=1,INDEX(Vol_O,1,DC$14)/12*(1+P_dVol),0)</f>
        <v>1750</v>
      </c>
      <c r="DD21" s="34" t="n">
        <f aca="false">IF(DD$15=1,INDEX(Vol_O,1,DD$14)/12*(1+P_dVol),0)</f>
        <v>1750</v>
      </c>
      <c r="DE21" s="34" t="n">
        <f aca="false">IF(DE$15=1,INDEX(Vol_O,1,DE$14)/12*(1+P_dVol),0)</f>
        <v>1750</v>
      </c>
      <c r="DF21" s="34" t="n">
        <f aca="false">IF(DF$15=1,INDEX(Vol_O,1,DF$14)/12*(1+P_dVol),0)</f>
        <v>1750</v>
      </c>
      <c r="DG21" s="34" t="n">
        <f aca="false">IF(DG$15=1,INDEX(Vol_O,1,DG$14)/12*(1+P_dVol),0)</f>
        <v>1750</v>
      </c>
      <c r="DH21" s="34" t="n">
        <f aca="false">IF(DH$15=1,INDEX(Vol_O,1,DH$14)/12*(1+P_dVol),0)</f>
        <v>1750</v>
      </c>
      <c r="DI21" s="34" t="n">
        <f aca="false">IF(DI$15=1,INDEX(Vol_O,1,DI$14)/12*(1+P_dVol),0)</f>
        <v>1750</v>
      </c>
      <c r="DJ21" s="34" t="n">
        <f aca="false">IF(DJ$15=1,INDEX(Vol_O,1,DJ$14)/12*(1+P_dVol),0)</f>
        <v>1750</v>
      </c>
      <c r="DK21" s="34" t="n">
        <f aca="false">IF(DK$15=1,INDEX(Vol_O,1,DK$14)/12*(1+P_dVol),0)</f>
        <v>1750</v>
      </c>
      <c r="DL21" s="34" t="n">
        <f aca="false">IF(DL$15=1,INDEX(Vol_O,1,DL$14)/12*(1+P_dVol),0)</f>
        <v>1750</v>
      </c>
      <c r="DM21" s="34" t="n">
        <f aca="false">IF(DM$15=1,INDEX(Vol_O,1,DM$14)/12*(1+P_dVol),0)</f>
        <v>1750</v>
      </c>
      <c r="DN21" s="34" t="n">
        <f aca="false">IF(DN$15=1,INDEX(Vol_O,1,DN$14)/12*(1+P_dVol),0)</f>
        <v>1750</v>
      </c>
      <c r="DO21" s="34" t="n">
        <f aca="false">IF(DO$15=1,INDEX(Vol_O,1,DO$14)/12*(1+P_dVol),0)</f>
        <v>1750</v>
      </c>
      <c r="DP21" s="34" t="n">
        <f aca="false">IF(DP$15=1,INDEX(Vol_O,1,DP$14)/12*(1+P_dVol),0)</f>
        <v>1750</v>
      </c>
      <c r="DQ21" s="34" t="n">
        <f aca="false">IF(DQ$15=1,INDEX(Vol_O,1,DQ$14)/12*(1+P_dVol),0)</f>
        <v>1750</v>
      </c>
      <c r="DR21" s="34" t="n">
        <f aca="false">IF(DR$15=1,INDEX(Vol_O,1,DR$14)/12*(1+P_dVol),0)</f>
        <v>1750</v>
      </c>
      <c r="DS21" s="34" t="n">
        <f aca="false">IF(DS$15=1,INDEX(Vol_O,1,DS$14)/12*(1+P_dVol),0)</f>
        <v>1750</v>
      </c>
      <c r="DT21" s="34" t="n">
        <f aca="false">IF(DT$15=1,INDEX(Vol_O,1,DT$14)/12*(1+P_dVol),0)</f>
        <v>1750</v>
      </c>
      <c r="DU21" s="34" t="n">
        <f aca="false">IF(DU$15=1,INDEX(Vol_O,1,DU$14)/12*(1+P_dVol),0)</f>
        <v>1750</v>
      </c>
      <c r="DV21" s="34" t="n">
        <f aca="false">IF(DV$15=1,INDEX(Vol_O,1,DV$14)/12*(1+P_dVol),0)</f>
        <v>0</v>
      </c>
      <c r="DW21" s="34" t="n">
        <f aca="false">IF(DW$15=1,INDEX(Vol_O,1,DW$14)/12*(1+P_dVol),0)</f>
        <v>0</v>
      </c>
      <c r="DX21" s="34" t="n">
        <f aca="false">IF(DX$15=1,INDEX(Vol_O,1,DX$14)/12*(1+P_dVol),0)</f>
        <v>0</v>
      </c>
      <c r="DY21" s="34" t="n">
        <f aca="false">IF(DY$15=1,INDEX(Vol_O,1,DY$14)/12*(1+P_dVol),0)</f>
        <v>0</v>
      </c>
      <c r="DZ21" s="34" t="n">
        <f aca="false">IF(DZ$15=1,INDEX(Vol_O,1,DZ$14)/12*(1+P_dVol),0)</f>
        <v>0</v>
      </c>
      <c r="EA21" s="34" t="n">
        <f aca="false">IF(EA$15=1,INDEX(Vol_O,1,EA$14)/12*(1+P_dVol),0)</f>
        <v>0</v>
      </c>
      <c r="EB21" s="34" t="n">
        <f aca="false">IF(EB$15=1,INDEX(Vol_O,1,EB$14)/12*(1+P_dVol),0)</f>
        <v>0</v>
      </c>
      <c r="EC21" s="34" t="n">
        <f aca="false">IF(EC$15=1,INDEX(Vol_O,1,EC$14)/12*(1+P_dVol),0)</f>
        <v>0</v>
      </c>
      <c r="ED21" s="34" t="n">
        <f aca="false">IF(ED$15=1,INDEX(Vol_O,1,ED$14)/12*(1+P_dVol),0)</f>
        <v>0</v>
      </c>
      <c r="EE21" s="34" t="n">
        <f aca="false">IF(EE$15=1,INDEX(Vol_O,1,EE$14)/12*(1+P_dVol),0)</f>
        <v>0</v>
      </c>
      <c r="EF21" s="34" t="n">
        <f aca="false">IF(EF$15=1,INDEX(Vol_O,1,EF$14)/12*(1+P_dVol),0)</f>
        <v>0</v>
      </c>
      <c r="EG21" s="34" t="n">
        <f aca="false">IF(EG$15=1,INDEX(Vol_O,1,EG$14)/12*(1+P_dVol),0)</f>
        <v>0</v>
      </c>
      <c r="EH21" s="34" t="n">
        <f aca="false">IF(EH$15=1,INDEX(Vol_O,1,EH$14)/12*(1+P_dVol),0)</f>
        <v>0</v>
      </c>
      <c r="EI21" s="34" t="n">
        <f aca="false">IF(EI$15=1,INDEX(Vol_O,1,EI$14)/12*(1+P_dVol),0)</f>
        <v>0</v>
      </c>
      <c r="EJ21" s="34" t="n">
        <f aca="false">IF(EJ$15=1,INDEX(Vol_O,1,EJ$14)/12*(1+P_dVol),0)</f>
        <v>0</v>
      </c>
      <c r="EK21" s="34" t="n">
        <f aca="false">IF(EK$15=1,INDEX(Vol_O,1,EK$14)/12*(1+P_dVol),0)</f>
        <v>0</v>
      </c>
      <c r="EL21" s="34" t="n">
        <f aca="false">IF(EL$15=1,INDEX(Vol_O,1,EL$14)/12*(1+P_dVol),0)</f>
        <v>0</v>
      </c>
      <c r="EM21" s="34" t="n">
        <f aca="false">IF(EM$15=1,INDEX(Vol_O,1,EM$14)/12*(1+P_dVol),0)</f>
        <v>0</v>
      </c>
      <c r="EN21" s="34" t="n">
        <f aca="false">IF(EN$15=1,INDEX(Vol_O,1,EN$14)/12*(1+P_dVol),0)</f>
        <v>0</v>
      </c>
      <c r="EO21" s="34" t="n">
        <f aca="false">IF(EO$15=1,INDEX(Vol_O,1,EO$14)/12*(1+P_dVol),0)</f>
        <v>0</v>
      </c>
      <c r="EP21" s="34" t="n">
        <f aca="false">IF(EP$15=1,INDEX(Vol_O,1,EP$14)/12*(1+P_dVol),0)</f>
        <v>0</v>
      </c>
      <c r="EQ21" s="34" t="n">
        <f aca="false">IF(EQ$15=1,INDEX(Vol_O,1,EQ$14)/12*(1+P_dVol),0)</f>
        <v>0</v>
      </c>
      <c r="ER21" s="34" t="n">
        <f aca="false">IF(ER$15=1,INDEX(Vol_O,1,ER$14)/12*(1+P_dVol),0)</f>
        <v>0</v>
      </c>
      <c r="ES21" s="34" t="n">
        <f aca="false">IF(ES$15=1,INDEX(Vol_O,1,ES$14)/12*(1+P_dVol),0)</f>
        <v>0</v>
      </c>
    </row>
    <row r="22" customFormat="false" ht="15" hidden="false" customHeight="false" outlineLevel="0" collapsed="false">
      <c r="A22" s="2" t="s">
        <v>585</v>
      </c>
      <c r="B22" s="39" t="str">
        <f aca="false">IF(INDEX(Prod_Nombre,2)="","Producto 2",INDEX(Prod_Nombre,2))&amp;" — unidades"</f>
        <v>Cajas metálicas 13 kg — unidades</v>
      </c>
      <c r="C22" s="6" t="s">
        <v>286</v>
      </c>
      <c r="E22" s="40" t="n">
        <f aca="false">SUM(F22:ES22)</f>
        <v>1110000</v>
      </c>
      <c r="F22" s="34" t="n">
        <f aca="false">IF(F$15=1,INDEX(Vol_O,2,F$14)/12*(1+P_dVol),0)</f>
        <v>5833.33333333333</v>
      </c>
      <c r="G22" s="34" t="n">
        <f aca="false">IF(G$15=1,INDEX(Vol_O,2,G$14)/12*(1+P_dVol),0)</f>
        <v>5833.33333333333</v>
      </c>
      <c r="H22" s="34" t="n">
        <f aca="false">IF(H$15=1,INDEX(Vol_O,2,H$14)/12*(1+P_dVol),0)</f>
        <v>5833.33333333333</v>
      </c>
      <c r="I22" s="34" t="n">
        <f aca="false">IF(I$15=1,INDEX(Vol_O,2,I$14)/12*(1+P_dVol),0)</f>
        <v>5833.33333333333</v>
      </c>
      <c r="J22" s="34" t="n">
        <f aca="false">IF(J$15=1,INDEX(Vol_O,2,J$14)/12*(1+P_dVol),0)</f>
        <v>5833.33333333333</v>
      </c>
      <c r="K22" s="34" t="n">
        <f aca="false">IF(K$15=1,INDEX(Vol_O,2,K$14)/12*(1+P_dVol),0)</f>
        <v>5833.33333333333</v>
      </c>
      <c r="L22" s="34" t="n">
        <f aca="false">IF(L$15=1,INDEX(Vol_O,2,L$14)/12*(1+P_dVol),0)</f>
        <v>5833.33333333333</v>
      </c>
      <c r="M22" s="34" t="n">
        <f aca="false">IF(M$15=1,INDEX(Vol_O,2,M$14)/12*(1+P_dVol),0)</f>
        <v>5833.33333333333</v>
      </c>
      <c r="N22" s="34" t="n">
        <f aca="false">IF(N$15=1,INDEX(Vol_O,2,N$14)/12*(1+P_dVol),0)</f>
        <v>5833.33333333333</v>
      </c>
      <c r="O22" s="34" t="n">
        <f aca="false">IF(O$15=1,INDEX(Vol_O,2,O$14)/12*(1+P_dVol),0)</f>
        <v>5833.33333333333</v>
      </c>
      <c r="P22" s="34" t="n">
        <f aca="false">IF(P$15=1,INDEX(Vol_O,2,P$14)/12*(1+P_dVol),0)</f>
        <v>5833.33333333333</v>
      </c>
      <c r="Q22" s="34" t="n">
        <f aca="false">IF(Q$15=1,INDEX(Vol_O,2,Q$14)/12*(1+P_dVol),0)</f>
        <v>5833.33333333333</v>
      </c>
      <c r="R22" s="34" t="n">
        <f aca="false">IF(R$15=1,INDEX(Vol_O,2,R$14)/12*(1+P_dVol),0)</f>
        <v>7500</v>
      </c>
      <c r="S22" s="34" t="n">
        <f aca="false">IF(S$15=1,INDEX(Vol_O,2,S$14)/12*(1+P_dVol),0)</f>
        <v>7500</v>
      </c>
      <c r="T22" s="34" t="n">
        <f aca="false">IF(T$15=1,INDEX(Vol_O,2,T$14)/12*(1+P_dVol),0)</f>
        <v>7500</v>
      </c>
      <c r="U22" s="34" t="n">
        <f aca="false">IF(U$15=1,INDEX(Vol_O,2,U$14)/12*(1+P_dVol),0)</f>
        <v>7500</v>
      </c>
      <c r="V22" s="34" t="n">
        <f aca="false">IF(V$15=1,INDEX(Vol_O,2,V$14)/12*(1+P_dVol),0)</f>
        <v>7500</v>
      </c>
      <c r="W22" s="34" t="n">
        <f aca="false">IF(W$15=1,INDEX(Vol_O,2,W$14)/12*(1+P_dVol),0)</f>
        <v>7500</v>
      </c>
      <c r="X22" s="34" t="n">
        <f aca="false">IF(X$15=1,INDEX(Vol_O,2,X$14)/12*(1+P_dVol),0)</f>
        <v>7500</v>
      </c>
      <c r="Y22" s="34" t="n">
        <f aca="false">IF(Y$15=1,INDEX(Vol_O,2,Y$14)/12*(1+P_dVol),0)</f>
        <v>7500</v>
      </c>
      <c r="Z22" s="34" t="n">
        <f aca="false">IF(Z$15=1,INDEX(Vol_O,2,Z$14)/12*(1+P_dVol),0)</f>
        <v>7500</v>
      </c>
      <c r="AA22" s="34" t="n">
        <f aca="false">IF(AA$15=1,INDEX(Vol_O,2,AA$14)/12*(1+P_dVol),0)</f>
        <v>7500</v>
      </c>
      <c r="AB22" s="34" t="n">
        <f aca="false">IF(AB$15=1,INDEX(Vol_O,2,AB$14)/12*(1+P_dVol),0)</f>
        <v>7500</v>
      </c>
      <c r="AC22" s="34" t="n">
        <f aca="false">IF(AC$15=1,INDEX(Vol_O,2,AC$14)/12*(1+P_dVol),0)</f>
        <v>7500</v>
      </c>
      <c r="AD22" s="34" t="n">
        <f aca="false">IF(AD$15=1,INDEX(Vol_O,2,AD$14)/12*(1+P_dVol),0)</f>
        <v>9166.66666666667</v>
      </c>
      <c r="AE22" s="34" t="n">
        <f aca="false">IF(AE$15=1,INDEX(Vol_O,2,AE$14)/12*(1+P_dVol),0)</f>
        <v>9166.66666666667</v>
      </c>
      <c r="AF22" s="34" t="n">
        <f aca="false">IF(AF$15=1,INDEX(Vol_O,2,AF$14)/12*(1+P_dVol),0)</f>
        <v>9166.66666666667</v>
      </c>
      <c r="AG22" s="34" t="n">
        <f aca="false">IF(AG$15=1,INDEX(Vol_O,2,AG$14)/12*(1+P_dVol),0)</f>
        <v>9166.66666666667</v>
      </c>
      <c r="AH22" s="34" t="n">
        <f aca="false">IF(AH$15=1,INDEX(Vol_O,2,AH$14)/12*(1+P_dVol),0)</f>
        <v>9166.66666666667</v>
      </c>
      <c r="AI22" s="34" t="n">
        <f aca="false">IF(AI$15=1,INDEX(Vol_O,2,AI$14)/12*(1+P_dVol),0)</f>
        <v>9166.66666666667</v>
      </c>
      <c r="AJ22" s="34" t="n">
        <f aca="false">IF(AJ$15=1,INDEX(Vol_O,2,AJ$14)/12*(1+P_dVol),0)</f>
        <v>9166.66666666667</v>
      </c>
      <c r="AK22" s="34" t="n">
        <f aca="false">IF(AK$15=1,INDEX(Vol_O,2,AK$14)/12*(1+P_dVol),0)</f>
        <v>9166.66666666667</v>
      </c>
      <c r="AL22" s="34" t="n">
        <f aca="false">IF(AL$15=1,INDEX(Vol_O,2,AL$14)/12*(1+P_dVol),0)</f>
        <v>9166.66666666667</v>
      </c>
      <c r="AM22" s="34" t="n">
        <f aca="false">IF(AM$15=1,INDEX(Vol_O,2,AM$14)/12*(1+P_dVol),0)</f>
        <v>9166.66666666667</v>
      </c>
      <c r="AN22" s="34" t="n">
        <f aca="false">IF(AN$15=1,INDEX(Vol_O,2,AN$14)/12*(1+P_dVol),0)</f>
        <v>9166.66666666667</v>
      </c>
      <c r="AO22" s="34" t="n">
        <f aca="false">IF(AO$15=1,INDEX(Vol_O,2,AO$14)/12*(1+P_dVol),0)</f>
        <v>9166.66666666667</v>
      </c>
      <c r="AP22" s="34" t="n">
        <f aca="false">IF(AP$15=1,INDEX(Vol_O,2,AP$14)/12*(1+P_dVol),0)</f>
        <v>10000</v>
      </c>
      <c r="AQ22" s="34" t="n">
        <f aca="false">IF(AQ$15=1,INDEX(Vol_O,2,AQ$14)/12*(1+P_dVol),0)</f>
        <v>10000</v>
      </c>
      <c r="AR22" s="34" t="n">
        <f aca="false">IF(AR$15=1,INDEX(Vol_O,2,AR$14)/12*(1+P_dVol),0)</f>
        <v>10000</v>
      </c>
      <c r="AS22" s="34" t="n">
        <f aca="false">IF(AS$15=1,INDEX(Vol_O,2,AS$14)/12*(1+P_dVol),0)</f>
        <v>10000</v>
      </c>
      <c r="AT22" s="34" t="n">
        <f aca="false">IF(AT$15=1,INDEX(Vol_O,2,AT$14)/12*(1+P_dVol),0)</f>
        <v>10000</v>
      </c>
      <c r="AU22" s="34" t="n">
        <f aca="false">IF(AU$15=1,INDEX(Vol_O,2,AU$14)/12*(1+P_dVol),0)</f>
        <v>10000</v>
      </c>
      <c r="AV22" s="34" t="n">
        <f aca="false">IF(AV$15=1,INDEX(Vol_O,2,AV$14)/12*(1+P_dVol),0)</f>
        <v>10000</v>
      </c>
      <c r="AW22" s="34" t="n">
        <f aca="false">IF(AW$15=1,INDEX(Vol_O,2,AW$14)/12*(1+P_dVol),0)</f>
        <v>10000</v>
      </c>
      <c r="AX22" s="34" t="n">
        <f aca="false">IF(AX$15=1,INDEX(Vol_O,2,AX$14)/12*(1+P_dVol),0)</f>
        <v>10000</v>
      </c>
      <c r="AY22" s="34" t="n">
        <f aca="false">IF(AY$15=1,INDEX(Vol_O,2,AY$14)/12*(1+P_dVol),0)</f>
        <v>10000</v>
      </c>
      <c r="AZ22" s="34" t="n">
        <f aca="false">IF(AZ$15=1,INDEX(Vol_O,2,AZ$14)/12*(1+P_dVol),0)</f>
        <v>10000</v>
      </c>
      <c r="BA22" s="34" t="n">
        <f aca="false">IF(BA$15=1,INDEX(Vol_O,2,BA$14)/12*(1+P_dVol),0)</f>
        <v>10000</v>
      </c>
      <c r="BB22" s="34" t="n">
        <f aca="false">IF(BB$15=1,INDEX(Vol_O,2,BB$14)/12*(1+P_dVol),0)</f>
        <v>10000</v>
      </c>
      <c r="BC22" s="34" t="n">
        <f aca="false">IF(BC$15=1,INDEX(Vol_O,2,BC$14)/12*(1+P_dVol),0)</f>
        <v>10000</v>
      </c>
      <c r="BD22" s="34" t="n">
        <f aca="false">IF(BD$15=1,INDEX(Vol_O,2,BD$14)/12*(1+P_dVol),0)</f>
        <v>10000</v>
      </c>
      <c r="BE22" s="34" t="n">
        <f aca="false">IF(BE$15=1,INDEX(Vol_O,2,BE$14)/12*(1+P_dVol),0)</f>
        <v>10000</v>
      </c>
      <c r="BF22" s="34" t="n">
        <f aca="false">IF(BF$15=1,INDEX(Vol_O,2,BF$14)/12*(1+P_dVol),0)</f>
        <v>10000</v>
      </c>
      <c r="BG22" s="34" t="n">
        <f aca="false">IF(BG$15=1,INDEX(Vol_O,2,BG$14)/12*(1+P_dVol),0)</f>
        <v>10000</v>
      </c>
      <c r="BH22" s="34" t="n">
        <f aca="false">IF(BH$15=1,INDEX(Vol_O,2,BH$14)/12*(1+P_dVol),0)</f>
        <v>10000</v>
      </c>
      <c r="BI22" s="34" t="n">
        <f aca="false">IF(BI$15=1,INDEX(Vol_O,2,BI$14)/12*(1+P_dVol),0)</f>
        <v>10000</v>
      </c>
      <c r="BJ22" s="34" t="n">
        <f aca="false">IF(BJ$15=1,INDEX(Vol_O,2,BJ$14)/12*(1+P_dVol),0)</f>
        <v>10000</v>
      </c>
      <c r="BK22" s="34" t="n">
        <f aca="false">IF(BK$15=1,INDEX(Vol_O,2,BK$14)/12*(1+P_dVol),0)</f>
        <v>10000</v>
      </c>
      <c r="BL22" s="34" t="n">
        <f aca="false">IF(BL$15=1,INDEX(Vol_O,2,BL$14)/12*(1+P_dVol),0)</f>
        <v>10000</v>
      </c>
      <c r="BM22" s="34" t="n">
        <f aca="false">IF(BM$15=1,INDEX(Vol_O,2,BM$14)/12*(1+P_dVol),0)</f>
        <v>10000</v>
      </c>
      <c r="BN22" s="34" t="n">
        <f aca="false">IF(BN$15=1,INDEX(Vol_O,2,BN$14)/12*(1+P_dVol),0)</f>
        <v>10000</v>
      </c>
      <c r="BO22" s="34" t="n">
        <f aca="false">IF(BO$15=1,INDEX(Vol_O,2,BO$14)/12*(1+P_dVol),0)</f>
        <v>10000</v>
      </c>
      <c r="BP22" s="34" t="n">
        <f aca="false">IF(BP$15=1,INDEX(Vol_O,2,BP$14)/12*(1+P_dVol),0)</f>
        <v>10000</v>
      </c>
      <c r="BQ22" s="34" t="n">
        <f aca="false">IF(BQ$15=1,INDEX(Vol_O,2,BQ$14)/12*(1+P_dVol),0)</f>
        <v>10000</v>
      </c>
      <c r="BR22" s="34" t="n">
        <f aca="false">IF(BR$15=1,INDEX(Vol_O,2,BR$14)/12*(1+P_dVol),0)</f>
        <v>10000</v>
      </c>
      <c r="BS22" s="34" t="n">
        <f aca="false">IF(BS$15=1,INDEX(Vol_O,2,BS$14)/12*(1+P_dVol),0)</f>
        <v>10000</v>
      </c>
      <c r="BT22" s="34" t="n">
        <f aca="false">IF(BT$15=1,INDEX(Vol_O,2,BT$14)/12*(1+P_dVol),0)</f>
        <v>10000</v>
      </c>
      <c r="BU22" s="34" t="n">
        <f aca="false">IF(BU$15=1,INDEX(Vol_O,2,BU$14)/12*(1+P_dVol),0)</f>
        <v>10000</v>
      </c>
      <c r="BV22" s="34" t="n">
        <f aca="false">IF(BV$15=1,INDEX(Vol_O,2,BV$14)/12*(1+P_dVol),0)</f>
        <v>10000</v>
      </c>
      <c r="BW22" s="34" t="n">
        <f aca="false">IF(BW$15=1,INDEX(Vol_O,2,BW$14)/12*(1+P_dVol),0)</f>
        <v>10000</v>
      </c>
      <c r="BX22" s="34" t="n">
        <f aca="false">IF(BX$15=1,INDEX(Vol_O,2,BX$14)/12*(1+P_dVol),0)</f>
        <v>10000</v>
      </c>
      <c r="BY22" s="34" t="n">
        <f aca="false">IF(BY$15=1,INDEX(Vol_O,2,BY$14)/12*(1+P_dVol),0)</f>
        <v>10000</v>
      </c>
      <c r="BZ22" s="34" t="n">
        <f aca="false">IF(BZ$15=1,INDEX(Vol_O,2,BZ$14)/12*(1+P_dVol),0)</f>
        <v>10000</v>
      </c>
      <c r="CA22" s="34" t="n">
        <f aca="false">IF(CA$15=1,INDEX(Vol_O,2,CA$14)/12*(1+P_dVol),0)</f>
        <v>10000</v>
      </c>
      <c r="CB22" s="34" t="n">
        <f aca="false">IF(CB$15=1,INDEX(Vol_O,2,CB$14)/12*(1+P_dVol),0)</f>
        <v>10000</v>
      </c>
      <c r="CC22" s="34" t="n">
        <f aca="false">IF(CC$15=1,INDEX(Vol_O,2,CC$14)/12*(1+P_dVol),0)</f>
        <v>10000</v>
      </c>
      <c r="CD22" s="34" t="n">
        <f aca="false">IF(CD$15=1,INDEX(Vol_O,2,CD$14)/12*(1+P_dVol),0)</f>
        <v>10000</v>
      </c>
      <c r="CE22" s="34" t="n">
        <f aca="false">IF(CE$15=1,INDEX(Vol_O,2,CE$14)/12*(1+P_dVol),0)</f>
        <v>10000</v>
      </c>
      <c r="CF22" s="34" t="n">
        <f aca="false">IF(CF$15=1,INDEX(Vol_O,2,CF$14)/12*(1+P_dVol),0)</f>
        <v>10000</v>
      </c>
      <c r="CG22" s="34" t="n">
        <f aca="false">IF(CG$15=1,INDEX(Vol_O,2,CG$14)/12*(1+P_dVol),0)</f>
        <v>10000</v>
      </c>
      <c r="CH22" s="34" t="n">
        <f aca="false">IF(CH$15=1,INDEX(Vol_O,2,CH$14)/12*(1+P_dVol),0)</f>
        <v>10000</v>
      </c>
      <c r="CI22" s="34" t="n">
        <f aca="false">IF(CI$15=1,INDEX(Vol_O,2,CI$14)/12*(1+P_dVol),0)</f>
        <v>10000</v>
      </c>
      <c r="CJ22" s="34" t="n">
        <f aca="false">IF(CJ$15=1,INDEX(Vol_O,2,CJ$14)/12*(1+P_dVol),0)</f>
        <v>10000</v>
      </c>
      <c r="CK22" s="34" t="n">
        <f aca="false">IF(CK$15=1,INDEX(Vol_O,2,CK$14)/12*(1+P_dVol),0)</f>
        <v>10000</v>
      </c>
      <c r="CL22" s="34" t="n">
        <f aca="false">IF(CL$15=1,INDEX(Vol_O,2,CL$14)/12*(1+P_dVol),0)</f>
        <v>10000</v>
      </c>
      <c r="CM22" s="34" t="n">
        <f aca="false">IF(CM$15=1,INDEX(Vol_O,2,CM$14)/12*(1+P_dVol),0)</f>
        <v>10000</v>
      </c>
      <c r="CN22" s="34" t="n">
        <f aca="false">IF(CN$15=1,INDEX(Vol_O,2,CN$14)/12*(1+P_dVol),0)</f>
        <v>10000</v>
      </c>
      <c r="CO22" s="34" t="n">
        <f aca="false">IF(CO$15=1,INDEX(Vol_O,2,CO$14)/12*(1+P_dVol),0)</f>
        <v>10000</v>
      </c>
      <c r="CP22" s="34" t="n">
        <f aca="false">IF(CP$15=1,INDEX(Vol_O,2,CP$14)/12*(1+P_dVol),0)</f>
        <v>10000</v>
      </c>
      <c r="CQ22" s="34" t="n">
        <f aca="false">IF(CQ$15=1,INDEX(Vol_O,2,CQ$14)/12*(1+P_dVol),0)</f>
        <v>10000</v>
      </c>
      <c r="CR22" s="34" t="n">
        <f aca="false">IF(CR$15=1,INDEX(Vol_O,2,CR$14)/12*(1+P_dVol),0)</f>
        <v>10000</v>
      </c>
      <c r="CS22" s="34" t="n">
        <f aca="false">IF(CS$15=1,INDEX(Vol_O,2,CS$14)/12*(1+P_dVol),0)</f>
        <v>10000</v>
      </c>
      <c r="CT22" s="34" t="n">
        <f aca="false">IF(CT$15=1,INDEX(Vol_O,2,CT$14)/12*(1+P_dVol),0)</f>
        <v>10000</v>
      </c>
      <c r="CU22" s="34" t="n">
        <f aca="false">IF(CU$15=1,INDEX(Vol_O,2,CU$14)/12*(1+P_dVol),0)</f>
        <v>10000</v>
      </c>
      <c r="CV22" s="34" t="n">
        <f aca="false">IF(CV$15=1,INDEX(Vol_O,2,CV$14)/12*(1+P_dVol),0)</f>
        <v>10000</v>
      </c>
      <c r="CW22" s="34" t="n">
        <f aca="false">IF(CW$15=1,INDEX(Vol_O,2,CW$14)/12*(1+P_dVol),0)</f>
        <v>10000</v>
      </c>
      <c r="CX22" s="34" t="n">
        <f aca="false">IF(CX$15=1,INDEX(Vol_O,2,CX$14)/12*(1+P_dVol),0)</f>
        <v>10000</v>
      </c>
      <c r="CY22" s="34" t="n">
        <f aca="false">IF(CY$15=1,INDEX(Vol_O,2,CY$14)/12*(1+P_dVol),0)</f>
        <v>10000</v>
      </c>
      <c r="CZ22" s="34" t="n">
        <f aca="false">IF(CZ$15=1,INDEX(Vol_O,2,CZ$14)/12*(1+P_dVol),0)</f>
        <v>10000</v>
      </c>
      <c r="DA22" s="34" t="n">
        <f aca="false">IF(DA$15=1,INDEX(Vol_O,2,DA$14)/12*(1+P_dVol),0)</f>
        <v>10000</v>
      </c>
      <c r="DB22" s="34" t="n">
        <f aca="false">IF(DB$15=1,INDEX(Vol_O,2,DB$14)/12*(1+P_dVol),0)</f>
        <v>10000</v>
      </c>
      <c r="DC22" s="34" t="n">
        <f aca="false">IF(DC$15=1,INDEX(Vol_O,2,DC$14)/12*(1+P_dVol),0)</f>
        <v>10000</v>
      </c>
      <c r="DD22" s="34" t="n">
        <f aca="false">IF(DD$15=1,INDEX(Vol_O,2,DD$14)/12*(1+P_dVol),0)</f>
        <v>10000</v>
      </c>
      <c r="DE22" s="34" t="n">
        <f aca="false">IF(DE$15=1,INDEX(Vol_O,2,DE$14)/12*(1+P_dVol),0)</f>
        <v>10000</v>
      </c>
      <c r="DF22" s="34" t="n">
        <f aca="false">IF(DF$15=1,INDEX(Vol_O,2,DF$14)/12*(1+P_dVol),0)</f>
        <v>10000</v>
      </c>
      <c r="DG22" s="34" t="n">
        <f aca="false">IF(DG$15=1,INDEX(Vol_O,2,DG$14)/12*(1+P_dVol),0)</f>
        <v>10000</v>
      </c>
      <c r="DH22" s="34" t="n">
        <f aca="false">IF(DH$15=1,INDEX(Vol_O,2,DH$14)/12*(1+P_dVol),0)</f>
        <v>10000</v>
      </c>
      <c r="DI22" s="34" t="n">
        <f aca="false">IF(DI$15=1,INDEX(Vol_O,2,DI$14)/12*(1+P_dVol),0)</f>
        <v>10000</v>
      </c>
      <c r="DJ22" s="34" t="n">
        <f aca="false">IF(DJ$15=1,INDEX(Vol_O,2,DJ$14)/12*(1+P_dVol),0)</f>
        <v>10000</v>
      </c>
      <c r="DK22" s="34" t="n">
        <f aca="false">IF(DK$15=1,INDEX(Vol_O,2,DK$14)/12*(1+P_dVol),0)</f>
        <v>10000</v>
      </c>
      <c r="DL22" s="34" t="n">
        <f aca="false">IF(DL$15=1,INDEX(Vol_O,2,DL$14)/12*(1+P_dVol),0)</f>
        <v>10000</v>
      </c>
      <c r="DM22" s="34" t="n">
        <f aca="false">IF(DM$15=1,INDEX(Vol_O,2,DM$14)/12*(1+P_dVol),0)</f>
        <v>10000</v>
      </c>
      <c r="DN22" s="34" t="n">
        <f aca="false">IF(DN$15=1,INDEX(Vol_O,2,DN$14)/12*(1+P_dVol),0)</f>
        <v>10000</v>
      </c>
      <c r="DO22" s="34" t="n">
        <f aca="false">IF(DO$15=1,INDEX(Vol_O,2,DO$14)/12*(1+P_dVol),0)</f>
        <v>10000</v>
      </c>
      <c r="DP22" s="34" t="n">
        <f aca="false">IF(DP$15=1,INDEX(Vol_O,2,DP$14)/12*(1+P_dVol),0)</f>
        <v>10000</v>
      </c>
      <c r="DQ22" s="34" t="n">
        <f aca="false">IF(DQ$15=1,INDEX(Vol_O,2,DQ$14)/12*(1+P_dVol),0)</f>
        <v>10000</v>
      </c>
      <c r="DR22" s="34" t="n">
        <f aca="false">IF(DR$15=1,INDEX(Vol_O,2,DR$14)/12*(1+P_dVol),0)</f>
        <v>10000</v>
      </c>
      <c r="DS22" s="34" t="n">
        <f aca="false">IF(DS$15=1,INDEX(Vol_O,2,DS$14)/12*(1+P_dVol),0)</f>
        <v>10000</v>
      </c>
      <c r="DT22" s="34" t="n">
        <f aca="false">IF(DT$15=1,INDEX(Vol_O,2,DT$14)/12*(1+P_dVol),0)</f>
        <v>10000</v>
      </c>
      <c r="DU22" s="34" t="n">
        <f aca="false">IF(DU$15=1,INDEX(Vol_O,2,DU$14)/12*(1+P_dVol),0)</f>
        <v>10000</v>
      </c>
      <c r="DV22" s="34" t="n">
        <f aca="false">IF(DV$15=1,INDEX(Vol_O,2,DV$14)/12*(1+P_dVol),0)</f>
        <v>0</v>
      </c>
      <c r="DW22" s="34" t="n">
        <f aca="false">IF(DW$15=1,INDEX(Vol_O,2,DW$14)/12*(1+P_dVol),0)</f>
        <v>0</v>
      </c>
      <c r="DX22" s="34" t="n">
        <f aca="false">IF(DX$15=1,INDEX(Vol_O,2,DX$14)/12*(1+P_dVol),0)</f>
        <v>0</v>
      </c>
      <c r="DY22" s="34" t="n">
        <f aca="false">IF(DY$15=1,INDEX(Vol_O,2,DY$14)/12*(1+P_dVol),0)</f>
        <v>0</v>
      </c>
      <c r="DZ22" s="34" t="n">
        <f aca="false">IF(DZ$15=1,INDEX(Vol_O,2,DZ$14)/12*(1+P_dVol),0)</f>
        <v>0</v>
      </c>
      <c r="EA22" s="34" t="n">
        <f aca="false">IF(EA$15=1,INDEX(Vol_O,2,EA$14)/12*(1+P_dVol),0)</f>
        <v>0</v>
      </c>
      <c r="EB22" s="34" t="n">
        <f aca="false">IF(EB$15=1,INDEX(Vol_O,2,EB$14)/12*(1+P_dVol),0)</f>
        <v>0</v>
      </c>
      <c r="EC22" s="34" t="n">
        <f aca="false">IF(EC$15=1,INDEX(Vol_O,2,EC$14)/12*(1+P_dVol),0)</f>
        <v>0</v>
      </c>
      <c r="ED22" s="34" t="n">
        <f aca="false">IF(ED$15=1,INDEX(Vol_O,2,ED$14)/12*(1+P_dVol),0)</f>
        <v>0</v>
      </c>
      <c r="EE22" s="34" t="n">
        <f aca="false">IF(EE$15=1,INDEX(Vol_O,2,EE$14)/12*(1+P_dVol),0)</f>
        <v>0</v>
      </c>
      <c r="EF22" s="34" t="n">
        <f aca="false">IF(EF$15=1,INDEX(Vol_O,2,EF$14)/12*(1+P_dVol),0)</f>
        <v>0</v>
      </c>
      <c r="EG22" s="34" t="n">
        <f aca="false">IF(EG$15=1,INDEX(Vol_O,2,EG$14)/12*(1+P_dVol),0)</f>
        <v>0</v>
      </c>
      <c r="EH22" s="34" t="n">
        <f aca="false">IF(EH$15=1,INDEX(Vol_O,2,EH$14)/12*(1+P_dVol),0)</f>
        <v>0</v>
      </c>
      <c r="EI22" s="34" t="n">
        <f aca="false">IF(EI$15=1,INDEX(Vol_O,2,EI$14)/12*(1+P_dVol),0)</f>
        <v>0</v>
      </c>
      <c r="EJ22" s="34" t="n">
        <f aca="false">IF(EJ$15=1,INDEX(Vol_O,2,EJ$14)/12*(1+P_dVol),0)</f>
        <v>0</v>
      </c>
      <c r="EK22" s="34" t="n">
        <f aca="false">IF(EK$15=1,INDEX(Vol_O,2,EK$14)/12*(1+P_dVol),0)</f>
        <v>0</v>
      </c>
      <c r="EL22" s="34" t="n">
        <f aca="false">IF(EL$15=1,INDEX(Vol_O,2,EL$14)/12*(1+P_dVol),0)</f>
        <v>0</v>
      </c>
      <c r="EM22" s="34" t="n">
        <f aca="false">IF(EM$15=1,INDEX(Vol_O,2,EM$14)/12*(1+P_dVol),0)</f>
        <v>0</v>
      </c>
      <c r="EN22" s="34" t="n">
        <f aca="false">IF(EN$15=1,INDEX(Vol_O,2,EN$14)/12*(1+P_dVol),0)</f>
        <v>0</v>
      </c>
      <c r="EO22" s="34" t="n">
        <f aca="false">IF(EO$15=1,INDEX(Vol_O,2,EO$14)/12*(1+P_dVol),0)</f>
        <v>0</v>
      </c>
      <c r="EP22" s="34" t="n">
        <f aca="false">IF(EP$15=1,INDEX(Vol_O,2,EP$14)/12*(1+P_dVol),0)</f>
        <v>0</v>
      </c>
      <c r="EQ22" s="34" t="n">
        <f aca="false">IF(EQ$15=1,INDEX(Vol_O,2,EQ$14)/12*(1+P_dVol),0)</f>
        <v>0</v>
      </c>
      <c r="ER22" s="34" t="n">
        <f aca="false">IF(ER$15=1,INDEX(Vol_O,2,ER$14)/12*(1+P_dVol),0)</f>
        <v>0</v>
      </c>
      <c r="ES22" s="34" t="n">
        <f aca="false">IF(ES$15=1,INDEX(Vol_O,2,ES$14)/12*(1+P_dVol),0)</f>
        <v>0</v>
      </c>
    </row>
    <row r="23" customFormat="false" ht="15" hidden="false" customHeight="false" outlineLevel="0" collapsed="false">
      <c r="A23" s="2" t="s">
        <v>586</v>
      </c>
      <c r="B23" s="39" t="str">
        <f aca="false">IF(INDEX(Prod_Nombre,3)="","Producto 3",INDEX(Prod_Nombre,3))&amp;" — unidades"</f>
        <v>Producto 3 — unidades</v>
      </c>
      <c r="C23" s="6" t="s">
        <v>286</v>
      </c>
      <c r="E23" s="40" t="n">
        <f aca="false">SUM(F23:ES23)</f>
        <v>0</v>
      </c>
      <c r="F23" s="34" t="n">
        <f aca="false">IF(F$15=1,INDEX(Vol_O,3,F$14)/12*(1+P_dVol),0)</f>
        <v>0</v>
      </c>
      <c r="G23" s="34" t="n">
        <f aca="false">IF(G$15=1,INDEX(Vol_O,3,G$14)/12*(1+P_dVol),0)</f>
        <v>0</v>
      </c>
      <c r="H23" s="34" t="n">
        <f aca="false">IF(H$15=1,INDEX(Vol_O,3,H$14)/12*(1+P_dVol),0)</f>
        <v>0</v>
      </c>
      <c r="I23" s="34" t="n">
        <f aca="false">IF(I$15=1,INDEX(Vol_O,3,I$14)/12*(1+P_dVol),0)</f>
        <v>0</v>
      </c>
      <c r="J23" s="34" t="n">
        <f aca="false">IF(J$15=1,INDEX(Vol_O,3,J$14)/12*(1+P_dVol),0)</f>
        <v>0</v>
      </c>
      <c r="K23" s="34" t="n">
        <f aca="false">IF(K$15=1,INDEX(Vol_O,3,K$14)/12*(1+P_dVol),0)</f>
        <v>0</v>
      </c>
      <c r="L23" s="34" t="n">
        <f aca="false">IF(L$15=1,INDEX(Vol_O,3,L$14)/12*(1+P_dVol),0)</f>
        <v>0</v>
      </c>
      <c r="M23" s="34" t="n">
        <f aca="false">IF(M$15=1,INDEX(Vol_O,3,M$14)/12*(1+P_dVol),0)</f>
        <v>0</v>
      </c>
      <c r="N23" s="34" t="n">
        <f aca="false">IF(N$15=1,INDEX(Vol_O,3,N$14)/12*(1+P_dVol),0)</f>
        <v>0</v>
      </c>
      <c r="O23" s="34" t="n">
        <f aca="false">IF(O$15=1,INDEX(Vol_O,3,O$14)/12*(1+P_dVol),0)</f>
        <v>0</v>
      </c>
      <c r="P23" s="34" t="n">
        <f aca="false">IF(P$15=1,INDEX(Vol_O,3,P$14)/12*(1+P_dVol),0)</f>
        <v>0</v>
      </c>
      <c r="Q23" s="34" t="n">
        <f aca="false">IF(Q$15=1,INDEX(Vol_O,3,Q$14)/12*(1+P_dVol),0)</f>
        <v>0</v>
      </c>
      <c r="R23" s="34" t="n">
        <f aca="false">IF(R$15=1,INDEX(Vol_O,3,R$14)/12*(1+P_dVol),0)</f>
        <v>0</v>
      </c>
      <c r="S23" s="34" t="n">
        <f aca="false">IF(S$15=1,INDEX(Vol_O,3,S$14)/12*(1+P_dVol),0)</f>
        <v>0</v>
      </c>
      <c r="T23" s="34" t="n">
        <f aca="false">IF(T$15=1,INDEX(Vol_O,3,T$14)/12*(1+P_dVol),0)</f>
        <v>0</v>
      </c>
      <c r="U23" s="34" t="n">
        <f aca="false">IF(U$15=1,INDEX(Vol_O,3,U$14)/12*(1+P_dVol),0)</f>
        <v>0</v>
      </c>
      <c r="V23" s="34" t="n">
        <f aca="false">IF(V$15=1,INDEX(Vol_O,3,V$14)/12*(1+P_dVol),0)</f>
        <v>0</v>
      </c>
      <c r="W23" s="34" t="n">
        <f aca="false">IF(W$15=1,INDEX(Vol_O,3,W$14)/12*(1+P_dVol),0)</f>
        <v>0</v>
      </c>
      <c r="X23" s="34" t="n">
        <f aca="false">IF(X$15=1,INDEX(Vol_O,3,X$14)/12*(1+P_dVol),0)</f>
        <v>0</v>
      </c>
      <c r="Y23" s="34" t="n">
        <f aca="false">IF(Y$15=1,INDEX(Vol_O,3,Y$14)/12*(1+P_dVol),0)</f>
        <v>0</v>
      </c>
      <c r="Z23" s="34" t="n">
        <f aca="false">IF(Z$15=1,INDEX(Vol_O,3,Z$14)/12*(1+P_dVol),0)</f>
        <v>0</v>
      </c>
      <c r="AA23" s="34" t="n">
        <f aca="false">IF(AA$15=1,INDEX(Vol_O,3,AA$14)/12*(1+P_dVol),0)</f>
        <v>0</v>
      </c>
      <c r="AB23" s="34" t="n">
        <f aca="false">IF(AB$15=1,INDEX(Vol_O,3,AB$14)/12*(1+P_dVol),0)</f>
        <v>0</v>
      </c>
      <c r="AC23" s="34" t="n">
        <f aca="false">IF(AC$15=1,INDEX(Vol_O,3,AC$14)/12*(1+P_dVol),0)</f>
        <v>0</v>
      </c>
      <c r="AD23" s="34" t="n">
        <f aca="false">IF(AD$15=1,INDEX(Vol_O,3,AD$14)/12*(1+P_dVol),0)</f>
        <v>0</v>
      </c>
      <c r="AE23" s="34" t="n">
        <f aca="false">IF(AE$15=1,INDEX(Vol_O,3,AE$14)/12*(1+P_dVol),0)</f>
        <v>0</v>
      </c>
      <c r="AF23" s="34" t="n">
        <f aca="false">IF(AF$15=1,INDEX(Vol_O,3,AF$14)/12*(1+P_dVol),0)</f>
        <v>0</v>
      </c>
      <c r="AG23" s="34" t="n">
        <f aca="false">IF(AG$15=1,INDEX(Vol_O,3,AG$14)/12*(1+P_dVol),0)</f>
        <v>0</v>
      </c>
      <c r="AH23" s="34" t="n">
        <f aca="false">IF(AH$15=1,INDEX(Vol_O,3,AH$14)/12*(1+P_dVol),0)</f>
        <v>0</v>
      </c>
      <c r="AI23" s="34" t="n">
        <f aca="false">IF(AI$15=1,INDEX(Vol_O,3,AI$14)/12*(1+P_dVol),0)</f>
        <v>0</v>
      </c>
      <c r="AJ23" s="34" t="n">
        <f aca="false">IF(AJ$15=1,INDEX(Vol_O,3,AJ$14)/12*(1+P_dVol),0)</f>
        <v>0</v>
      </c>
      <c r="AK23" s="34" t="n">
        <f aca="false">IF(AK$15=1,INDEX(Vol_O,3,AK$14)/12*(1+P_dVol),0)</f>
        <v>0</v>
      </c>
      <c r="AL23" s="34" t="n">
        <f aca="false">IF(AL$15=1,INDEX(Vol_O,3,AL$14)/12*(1+P_dVol),0)</f>
        <v>0</v>
      </c>
      <c r="AM23" s="34" t="n">
        <f aca="false">IF(AM$15=1,INDEX(Vol_O,3,AM$14)/12*(1+P_dVol),0)</f>
        <v>0</v>
      </c>
      <c r="AN23" s="34" t="n">
        <f aca="false">IF(AN$15=1,INDEX(Vol_O,3,AN$14)/12*(1+P_dVol),0)</f>
        <v>0</v>
      </c>
      <c r="AO23" s="34" t="n">
        <f aca="false">IF(AO$15=1,INDEX(Vol_O,3,AO$14)/12*(1+P_dVol),0)</f>
        <v>0</v>
      </c>
      <c r="AP23" s="34" t="n">
        <f aca="false">IF(AP$15=1,INDEX(Vol_O,3,AP$14)/12*(1+P_dVol),0)</f>
        <v>0</v>
      </c>
      <c r="AQ23" s="34" t="n">
        <f aca="false">IF(AQ$15=1,INDEX(Vol_O,3,AQ$14)/12*(1+P_dVol),0)</f>
        <v>0</v>
      </c>
      <c r="AR23" s="34" t="n">
        <f aca="false">IF(AR$15=1,INDEX(Vol_O,3,AR$14)/12*(1+P_dVol),0)</f>
        <v>0</v>
      </c>
      <c r="AS23" s="34" t="n">
        <f aca="false">IF(AS$15=1,INDEX(Vol_O,3,AS$14)/12*(1+P_dVol),0)</f>
        <v>0</v>
      </c>
      <c r="AT23" s="34" t="n">
        <f aca="false">IF(AT$15=1,INDEX(Vol_O,3,AT$14)/12*(1+P_dVol),0)</f>
        <v>0</v>
      </c>
      <c r="AU23" s="34" t="n">
        <f aca="false">IF(AU$15=1,INDEX(Vol_O,3,AU$14)/12*(1+P_dVol),0)</f>
        <v>0</v>
      </c>
      <c r="AV23" s="34" t="n">
        <f aca="false">IF(AV$15=1,INDEX(Vol_O,3,AV$14)/12*(1+P_dVol),0)</f>
        <v>0</v>
      </c>
      <c r="AW23" s="34" t="n">
        <f aca="false">IF(AW$15=1,INDEX(Vol_O,3,AW$14)/12*(1+P_dVol),0)</f>
        <v>0</v>
      </c>
      <c r="AX23" s="34" t="n">
        <f aca="false">IF(AX$15=1,INDEX(Vol_O,3,AX$14)/12*(1+P_dVol),0)</f>
        <v>0</v>
      </c>
      <c r="AY23" s="34" t="n">
        <f aca="false">IF(AY$15=1,INDEX(Vol_O,3,AY$14)/12*(1+P_dVol),0)</f>
        <v>0</v>
      </c>
      <c r="AZ23" s="34" t="n">
        <f aca="false">IF(AZ$15=1,INDEX(Vol_O,3,AZ$14)/12*(1+P_dVol),0)</f>
        <v>0</v>
      </c>
      <c r="BA23" s="34" t="n">
        <f aca="false">IF(BA$15=1,INDEX(Vol_O,3,BA$14)/12*(1+P_dVol),0)</f>
        <v>0</v>
      </c>
      <c r="BB23" s="34" t="n">
        <f aca="false">IF(BB$15=1,INDEX(Vol_O,3,BB$14)/12*(1+P_dVol),0)</f>
        <v>0</v>
      </c>
      <c r="BC23" s="34" t="n">
        <f aca="false">IF(BC$15=1,INDEX(Vol_O,3,BC$14)/12*(1+P_dVol),0)</f>
        <v>0</v>
      </c>
      <c r="BD23" s="34" t="n">
        <f aca="false">IF(BD$15=1,INDEX(Vol_O,3,BD$14)/12*(1+P_dVol),0)</f>
        <v>0</v>
      </c>
      <c r="BE23" s="34" t="n">
        <f aca="false">IF(BE$15=1,INDEX(Vol_O,3,BE$14)/12*(1+P_dVol),0)</f>
        <v>0</v>
      </c>
      <c r="BF23" s="34" t="n">
        <f aca="false">IF(BF$15=1,INDEX(Vol_O,3,BF$14)/12*(1+P_dVol),0)</f>
        <v>0</v>
      </c>
      <c r="BG23" s="34" t="n">
        <f aca="false">IF(BG$15=1,INDEX(Vol_O,3,BG$14)/12*(1+P_dVol),0)</f>
        <v>0</v>
      </c>
      <c r="BH23" s="34" t="n">
        <f aca="false">IF(BH$15=1,INDEX(Vol_O,3,BH$14)/12*(1+P_dVol),0)</f>
        <v>0</v>
      </c>
      <c r="BI23" s="34" t="n">
        <f aca="false">IF(BI$15=1,INDEX(Vol_O,3,BI$14)/12*(1+P_dVol),0)</f>
        <v>0</v>
      </c>
      <c r="BJ23" s="34" t="n">
        <f aca="false">IF(BJ$15=1,INDEX(Vol_O,3,BJ$14)/12*(1+P_dVol),0)</f>
        <v>0</v>
      </c>
      <c r="BK23" s="34" t="n">
        <f aca="false">IF(BK$15=1,INDEX(Vol_O,3,BK$14)/12*(1+P_dVol),0)</f>
        <v>0</v>
      </c>
      <c r="BL23" s="34" t="n">
        <f aca="false">IF(BL$15=1,INDEX(Vol_O,3,BL$14)/12*(1+P_dVol),0)</f>
        <v>0</v>
      </c>
      <c r="BM23" s="34" t="n">
        <f aca="false">IF(BM$15=1,INDEX(Vol_O,3,BM$14)/12*(1+P_dVol),0)</f>
        <v>0</v>
      </c>
      <c r="BN23" s="34" t="n">
        <f aca="false">IF(BN$15=1,INDEX(Vol_O,3,BN$14)/12*(1+P_dVol),0)</f>
        <v>0</v>
      </c>
      <c r="BO23" s="34" t="n">
        <f aca="false">IF(BO$15=1,INDEX(Vol_O,3,BO$14)/12*(1+P_dVol),0)</f>
        <v>0</v>
      </c>
      <c r="BP23" s="34" t="n">
        <f aca="false">IF(BP$15=1,INDEX(Vol_O,3,BP$14)/12*(1+P_dVol),0)</f>
        <v>0</v>
      </c>
      <c r="BQ23" s="34" t="n">
        <f aca="false">IF(BQ$15=1,INDEX(Vol_O,3,BQ$14)/12*(1+P_dVol),0)</f>
        <v>0</v>
      </c>
      <c r="BR23" s="34" t="n">
        <f aca="false">IF(BR$15=1,INDEX(Vol_O,3,BR$14)/12*(1+P_dVol),0)</f>
        <v>0</v>
      </c>
      <c r="BS23" s="34" t="n">
        <f aca="false">IF(BS$15=1,INDEX(Vol_O,3,BS$14)/12*(1+P_dVol),0)</f>
        <v>0</v>
      </c>
      <c r="BT23" s="34" t="n">
        <f aca="false">IF(BT$15=1,INDEX(Vol_O,3,BT$14)/12*(1+P_dVol),0)</f>
        <v>0</v>
      </c>
      <c r="BU23" s="34" t="n">
        <f aca="false">IF(BU$15=1,INDEX(Vol_O,3,BU$14)/12*(1+P_dVol),0)</f>
        <v>0</v>
      </c>
      <c r="BV23" s="34" t="n">
        <f aca="false">IF(BV$15=1,INDEX(Vol_O,3,BV$14)/12*(1+P_dVol),0)</f>
        <v>0</v>
      </c>
      <c r="BW23" s="34" t="n">
        <f aca="false">IF(BW$15=1,INDEX(Vol_O,3,BW$14)/12*(1+P_dVol),0)</f>
        <v>0</v>
      </c>
      <c r="BX23" s="34" t="n">
        <f aca="false">IF(BX$15=1,INDEX(Vol_O,3,BX$14)/12*(1+P_dVol),0)</f>
        <v>0</v>
      </c>
      <c r="BY23" s="34" t="n">
        <f aca="false">IF(BY$15=1,INDEX(Vol_O,3,BY$14)/12*(1+P_dVol),0)</f>
        <v>0</v>
      </c>
      <c r="BZ23" s="34" t="n">
        <f aca="false">IF(BZ$15=1,INDEX(Vol_O,3,BZ$14)/12*(1+P_dVol),0)</f>
        <v>0</v>
      </c>
      <c r="CA23" s="34" t="n">
        <f aca="false">IF(CA$15=1,INDEX(Vol_O,3,CA$14)/12*(1+P_dVol),0)</f>
        <v>0</v>
      </c>
      <c r="CB23" s="34" t="n">
        <f aca="false">IF(CB$15=1,INDEX(Vol_O,3,CB$14)/12*(1+P_dVol),0)</f>
        <v>0</v>
      </c>
      <c r="CC23" s="34" t="n">
        <f aca="false">IF(CC$15=1,INDEX(Vol_O,3,CC$14)/12*(1+P_dVol),0)</f>
        <v>0</v>
      </c>
      <c r="CD23" s="34" t="n">
        <f aca="false">IF(CD$15=1,INDEX(Vol_O,3,CD$14)/12*(1+P_dVol),0)</f>
        <v>0</v>
      </c>
      <c r="CE23" s="34" t="n">
        <f aca="false">IF(CE$15=1,INDEX(Vol_O,3,CE$14)/12*(1+P_dVol),0)</f>
        <v>0</v>
      </c>
      <c r="CF23" s="34" t="n">
        <f aca="false">IF(CF$15=1,INDEX(Vol_O,3,CF$14)/12*(1+P_dVol),0)</f>
        <v>0</v>
      </c>
      <c r="CG23" s="34" t="n">
        <f aca="false">IF(CG$15=1,INDEX(Vol_O,3,CG$14)/12*(1+P_dVol),0)</f>
        <v>0</v>
      </c>
      <c r="CH23" s="34" t="n">
        <f aca="false">IF(CH$15=1,INDEX(Vol_O,3,CH$14)/12*(1+P_dVol),0)</f>
        <v>0</v>
      </c>
      <c r="CI23" s="34" t="n">
        <f aca="false">IF(CI$15=1,INDEX(Vol_O,3,CI$14)/12*(1+P_dVol),0)</f>
        <v>0</v>
      </c>
      <c r="CJ23" s="34" t="n">
        <f aca="false">IF(CJ$15=1,INDEX(Vol_O,3,CJ$14)/12*(1+P_dVol),0)</f>
        <v>0</v>
      </c>
      <c r="CK23" s="34" t="n">
        <f aca="false">IF(CK$15=1,INDEX(Vol_O,3,CK$14)/12*(1+P_dVol),0)</f>
        <v>0</v>
      </c>
      <c r="CL23" s="34" t="n">
        <f aca="false">IF(CL$15=1,INDEX(Vol_O,3,CL$14)/12*(1+P_dVol),0)</f>
        <v>0</v>
      </c>
      <c r="CM23" s="34" t="n">
        <f aca="false">IF(CM$15=1,INDEX(Vol_O,3,CM$14)/12*(1+P_dVol),0)</f>
        <v>0</v>
      </c>
      <c r="CN23" s="34" t="n">
        <f aca="false">IF(CN$15=1,INDEX(Vol_O,3,CN$14)/12*(1+P_dVol),0)</f>
        <v>0</v>
      </c>
      <c r="CO23" s="34" t="n">
        <f aca="false">IF(CO$15=1,INDEX(Vol_O,3,CO$14)/12*(1+P_dVol),0)</f>
        <v>0</v>
      </c>
      <c r="CP23" s="34" t="n">
        <f aca="false">IF(CP$15=1,INDEX(Vol_O,3,CP$14)/12*(1+P_dVol),0)</f>
        <v>0</v>
      </c>
      <c r="CQ23" s="34" t="n">
        <f aca="false">IF(CQ$15=1,INDEX(Vol_O,3,CQ$14)/12*(1+P_dVol),0)</f>
        <v>0</v>
      </c>
      <c r="CR23" s="34" t="n">
        <f aca="false">IF(CR$15=1,INDEX(Vol_O,3,CR$14)/12*(1+P_dVol),0)</f>
        <v>0</v>
      </c>
      <c r="CS23" s="34" t="n">
        <f aca="false">IF(CS$15=1,INDEX(Vol_O,3,CS$14)/12*(1+P_dVol),0)</f>
        <v>0</v>
      </c>
      <c r="CT23" s="34" t="n">
        <f aca="false">IF(CT$15=1,INDEX(Vol_O,3,CT$14)/12*(1+P_dVol),0)</f>
        <v>0</v>
      </c>
      <c r="CU23" s="34" t="n">
        <f aca="false">IF(CU$15=1,INDEX(Vol_O,3,CU$14)/12*(1+P_dVol),0)</f>
        <v>0</v>
      </c>
      <c r="CV23" s="34" t="n">
        <f aca="false">IF(CV$15=1,INDEX(Vol_O,3,CV$14)/12*(1+P_dVol),0)</f>
        <v>0</v>
      </c>
      <c r="CW23" s="34" t="n">
        <f aca="false">IF(CW$15=1,INDEX(Vol_O,3,CW$14)/12*(1+P_dVol),0)</f>
        <v>0</v>
      </c>
      <c r="CX23" s="34" t="n">
        <f aca="false">IF(CX$15=1,INDEX(Vol_O,3,CX$14)/12*(1+P_dVol),0)</f>
        <v>0</v>
      </c>
      <c r="CY23" s="34" t="n">
        <f aca="false">IF(CY$15=1,INDEX(Vol_O,3,CY$14)/12*(1+P_dVol),0)</f>
        <v>0</v>
      </c>
      <c r="CZ23" s="34" t="n">
        <f aca="false">IF(CZ$15=1,INDEX(Vol_O,3,CZ$14)/12*(1+P_dVol),0)</f>
        <v>0</v>
      </c>
      <c r="DA23" s="34" t="n">
        <f aca="false">IF(DA$15=1,INDEX(Vol_O,3,DA$14)/12*(1+P_dVol),0)</f>
        <v>0</v>
      </c>
      <c r="DB23" s="34" t="n">
        <f aca="false">IF(DB$15=1,INDEX(Vol_O,3,DB$14)/12*(1+P_dVol),0)</f>
        <v>0</v>
      </c>
      <c r="DC23" s="34" t="n">
        <f aca="false">IF(DC$15=1,INDEX(Vol_O,3,DC$14)/12*(1+P_dVol),0)</f>
        <v>0</v>
      </c>
      <c r="DD23" s="34" t="n">
        <f aca="false">IF(DD$15=1,INDEX(Vol_O,3,DD$14)/12*(1+P_dVol),0)</f>
        <v>0</v>
      </c>
      <c r="DE23" s="34" t="n">
        <f aca="false">IF(DE$15=1,INDEX(Vol_O,3,DE$14)/12*(1+P_dVol),0)</f>
        <v>0</v>
      </c>
      <c r="DF23" s="34" t="n">
        <f aca="false">IF(DF$15=1,INDEX(Vol_O,3,DF$14)/12*(1+P_dVol),0)</f>
        <v>0</v>
      </c>
      <c r="DG23" s="34" t="n">
        <f aca="false">IF(DG$15=1,INDEX(Vol_O,3,DG$14)/12*(1+P_dVol),0)</f>
        <v>0</v>
      </c>
      <c r="DH23" s="34" t="n">
        <f aca="false">IF(DH$15=1,INDEX(Vol_O,3,DH$14)/12*(1+P_dVol),0)</f>
        <v>0</v>
      </c>
      <c r="DI23" s="34" t="n">
        <f aca="false">IF(DI$15=1,INDEX(Vol_O,3,DI$14)/12*(1+P_dVol),0)</f>
        <v>0</v>
      </c>
      <c r="DJ23" s="34" t="n">
        <f aca="false">IF(DJ$15=1,INDEX(Vol_O,3,DJ$14)/12*(1+P_dVol),0)</f>
        <v>0</v>
      </c>
      <c r="DK23" s="34" t="n">
        <f aca="false">IF(DK$15=1,INDEX(Vol_O,3,DK$14)/12*(1+P_dVol),0)</f>
        <v>0</v>
      </c>
      <c r="DL23" s="34" t="n">
        <f aca="false">IF(DL$15=1,INDEX(Vol_O,3,DL$14)/12*(1+P_dVol),0)</f>
        <v>0</v>
      </c>
      <c r="DM23" s="34" t="n">
        <f aca="false">IF(DM$15=1,INDEX(Vol_O,3,DM$14)/12*(1+P_dVol),0)</f>
        <v>0</v>
      </c>
      <c r="DN23" s="34" t="n">
        <f aca="false">IF(DN$15=1,INDEX(Vol_O,3,DN$14)/12*(1+P_dVol),0)</f>
        <v>0</v>
      </c>
      <c r="DO23" s="34" t="n">
        <f aca="false">IF(DO$15=1,INDEX(Vol_O,3,DO$14)/12*(1+P_dVol),0)</f>
        <v>0</v>
      </c>
      <c r="DP23" s="34" t="n">
        <f aca="false">IF(DP$15=1,INDEX(Vol_O,3,DP$14)/12*(1+P_dVol),0)</f>
        <v>0</v>
      </c>
      <c r="DQ23" s="34" t="n">
        <f aca="false">IF(DQ$15=1,INDEX(Vol_O,3,DQ$14)/12*(1+P_dVol),0)</f>
        <v>0</v>
      </c>
      <c r="DR23" s="34" t="n">
        <f aca="false">IF(DR$15=1,INDEX(Vol_O,3,DR$14)/12*(1+P_dVol),0)</f>
        <v>0</v>
      </c>
      <c r="DS23" s="34" t="n">
        <f aca="false">IF(DS$15=1,INDEX(Vol_O,3,DS$14)/12*(1+P_dVol),0)</f>
        <v>0</v>
      </c>
      <c r="DT23" s="34" t="n">
        <f aca="false">IF(DT$15=1,INDEX(Vol_O,3,DT$14)/12*(1+P_dVol),0)</f>
        <v>0</v>
      </c>
      <c r="DU23" s="34" t="n">
        <f aca="false">IF(DU$15=1,INDEX(Vol_O,3,DU$14)/12*(1+P_dVol),0)</f>
        <v>0</v>
      </c>
      <c r="DV23" s="34" t="n">
        <f aca="false">IF(DV$15=1,INDEX(Vol_O,3,DV$14)/12*(1+P_dVol),0)</f>
        <v>0</v>
      </c>
      <c r="DW23" s="34" t="n">
        <f aca="false">IF(DW$15=1,INDEX(Vol_O,3,DW$14)/12*(1+P_dVol),0)</f>
        <v>0</v>
      </c>
      <c r="DX23" s="34" t="n">
        <f aca="false">IF(DX$15=1,INDEX(Vol_O,3,DX$14)/12*(1+P_dVol),0)</f>
        <v>0</v>
      </c>
      <c r="DY23" s="34" t="n">
        <f aca="false">IF(DY$15=1,INDEX(Vol_O,3,DY$14)/12*(1+P_dVol),0)</f>
        <v>0</v>
      </c>
      <c r="DZ23" s="34" t="n">
        <f aca="false">IF(DZ$15=1,INDEX(Vol_O,3,DZ$14)/12*(1+P_dVol),0)</f>
        <v>0</v>
      </c>
      <c r="EA23" s="34" t="n">
        <f aca="false">IF(EA$15=1,INDEX(Vol_O,3,EA$14)/12*(1+P_dVol),0)</f>
        <v>0</v>
      </c>
      <c r="EB23" s="34" t="n">
        <f aca="false">IF(EB$15=1,INDEX(Vol_O,3,EB$14)/12*(1+P_dVol),0)</f>
        <v>0</v>
      </c>
      <c r="EC23" s="34" t="n">
        <f aca="false">IF(EC$15=1,INDEX(Vol_O,3,EC$14)/12*(1+P_dVol),0)</f>
        <v>0</v>
      </c>
      <c r="ED23" s="34" t="n">
        <f aca="false">IF(ED$15=1,INDEX(Vol_O,3,ED$14)/12*(1+P_dVol),0)</f>
        <v>0</v>
      </c>
      <c r="EE23" s="34" t="n">
        <f aca="false">IF(EE$15=1,INDEX(Vol_O,3,EE$14)/12*(1+P_dVol),0)</f>
        <v>0</v>
      </c>
      <c r="EF23" s="34" t="n">
        <f aca="false">IF(EF$15=1,INDEX(Vol_O,3,EF$14)/12*(1+P_dVol),0)</f>
        <v>0</v>
      </c>
      <c r="EG23" s="34" t="n">
        <f aca="false">IF(EG$15=1,INDEX(Vol_O,3,EG$14)/12*(1+P_dVol),0)</f>
        <v>0</v>
      </c>
      <c r="EH23" s="34" t="n">
        <f aca="false">IF(EH$15=1,INDEX(Vol_O,3,EH$14)/12*(1+P_dVol),0)</f>
        <v>0</v>
      </c>
      <c r="EI23" s="34" t="n">
        <f aca="false">IF(EI$15=1,INDEX(Vol_O,3,EI$14)/12*(1+P_dVol),0)</f>
        <v>0</v>
      </c>
      <c r="EJ23" s="34" t="n">
        <f aca="false">IF(EJ$15=1,INDEX(Vol_O,3,EJ$14)/12*(1+P_dVol),0)</f>
        <v>0</v>
      </c>
      <c r="EK23" s="34" t="n">
        <f aca="false">IF(EK$15=1,INDEX(Vol_O,3,EK$14)/12*(1+P_dVol),0)</f>
        <v>0</v>
      </c>
      <c r="EL23" s="34" t="n">
        <f aca="false">IF(EL$15=1,INDEX(Vol_O,3,EL$14)/12*(1+P_dVol),0)</f>
        <v>0</v>
      </c>
      <c r="EM23" s="34" t="n">
        <f aca="false">IF(EM$15=1,INDEX(Vol_O,3,EM$14)/12*(1+P_dVol),0)</f>
        <v>0</v>
      </c>
      <c r="EN23" s="34" t="n">
        <f aca="false">IF(EN$15=1,INDEX(Vol_O,3,EN$14)/12*(1+P_dVol),0)</f>
        <v>0</v>
      </c>
      <c r="EO23" s="34" t="n">
        <f aca="false">IF(EO$15=1,INDEX(Vol_O,3,EO$14)/12*(1+P_dVol),0)</f>
        <v>0</v>
      </c>
      <c r="EP23" s="34" t="n">
        <f aca="false">IF(EP$15=1,INDEX(Vol_O,3,EP$14)/12*(1+P_dVol),0)</f>
        <v>0</v>
      </c>
      <c r="EQ23" s="34" t="n">
        <f aca="false">IF(EQ$15=1,INDEX(Vol_O,3,EQ$14)/12*(1+P_dVol),0)</f>
        <v>0</v>
      </c>
      <c r="ER23" s="34" t="n">
        <f aca="false">IF(ER$15=1,INDEX(Vol_O,3,ER$14)/12*(1+P_dVol),0)</f>
        <v>0</v>
      </c>
      <c r="ES23" s="34" t="n">
        <f aca="false">IF(ES$15=1,INDEX(Vol_O,3,ES$14)/12*(1+P_dVol),0)</f>
        <v>0</v>
      </c>
    </row>
    <row r="24" customFormat="false" ht="15" hidden="false" customHeight="false" outlineLevel="0" collapsed="false">
      <c r="A24" s="2" t="s">
        <v>587</v>
      </c>
      <c r="B24" s="39" t="str">
        <f aca="false">IF(INDEX(Prod_Nombre,4)="","Producto 4",INDEX(Prod_Nombre,4))&amp;" — unidades"</f>
        <v>Producto 4 — unidades</v>
      </c>
      <c r="C24" s="6" t="s">
        <v>286</v>
      </c>
      <c r="E24" s="40" t="n">
        <f aca="false">SUM(F24:ES24)</f>
        <v>0</v>
      </c>
      <c r="F24" s="34" t="n">
        <f aca="false">IF(F$15=1,INDEX(Vol_O,4,F$14)/12*(1+P_dVol),0)</f>
        <v>0</v>
      </c>
      <c r="G24" s="34" t="n">
        <f aca="false">IF(G$15=1,INDEX(Vol_O,4,G$14)/12*(1+P_dVol),0)</f>
        <v>0</v>
      </c>
      <c r="H24" s="34" t="n">
        <f aca="false">IF(H$15=1,INDEX(Vol_O,4,H$14)/12*(1+P_dVol),0)</f>
        <v>0</v>
      </c>
      <c r="I24" s="34" t="n">
        <f aca="false">IF(I$15=1,INDEX(Vol_O,4,I$14)/12*(1+P_dVol),0)</f>
        <v>0</v>
      </c>
      <c r="J24" s="34" t="n">
        <f aca="false">IF(J$15=1,INDEX(Vol_O,4,J$14)/12*(1+P_dVol),0)</f>
        <v>0</v>
      </c>
      <c r="K24" s="34" t="n">
        <f aca="false">IF(K$15=1,INDEX(Vol_O,4,K$14)/12*(1+P_dVol),0)</f>
        <v>0</v>
      </c>
      <c r="L24" s="34" t="n">
        <f aca="false">IF(L$15=1,INDEX(Vol_O,4,L$14)/12*(1+P_dVol),0)</f>
        <v>0</v>
      </c>
      <c r="M24" s="34" t="n">
        <f aca="false">IF(M$15=1,INDEX(Vol_O,4,M$14)/12*(1+P_dVol),0)</f>
        <v>0</v>
      </c>
      <c r="N24" s="34" t="n">
        <f aca="false">IF(N$15=1,INDEX(Vol_O,4,N$14)/12*(1+P_dVol),0)</f>
        <v>0</v>
      </c>
      <c r="O24" s="34" t="n">
        <f aca="false">IF(O$15=1,INDEX(Vol_O,4,O$14)/12*(1+P_dVol),0)</f>
        <v>0</v>
      </c>
      <c r="P24" s="34" t="n">
        <f aca="false">IF(P$15=1,INDEX(Vol_O,4,P$14)/12*(1+P_dVol),0)</f>
        <v>0</v>
      </c>
      <c r="Q24" s="34" t="n">
        <f aca="false">IF(Q$15=1,INDEX(Vol_O,4,Q$14)/12*(1+P_dVol),0)</f>
        <v>0</v>
      </c>
      <c r="R24" s="34" t="n">
        <f aca="false">IF(R$15=1,INDEX(Vol_O,4,R$14)/12*(1+P_dVol),0)</f>
        <v>0</v>
      </c>
      <c r="S24" s="34" t="n">
        <f aca="false">IF(S$15=1,INDEX(Vol_O,4,S$14)/12*(1+P_dVol),0)</f>
        <v>0</v>
      </c>
      <c r="T24" s="34" t="n">
        <f aca="false">IF(T$15=1,INDEX(Vol_O,4,T$14)/12*(1+P_dVol),0)</f>
        <v>0</v>
      </c>
      <c r="U24" s="34" t="n">
        <f aca="false">IF(U$15=1,INDEX(Vol_O,4,U$14)/12*(1+P_dVol),0)</f>
        <v>0</v>
      </c>
      <c r="V24" s="34" t="n">
        <f aca="false">IF(V$15=1,INDEX(Vol_O,4,V$14)/12*(1+P_dVol),0)</f>
        <v>0</v>
      </c>
      <c r="W24" s="34" t="n">
        <f aca="false">IF(W$15=1,INDEX(Vol_O,4,W$14)/12*(1+P_dVol),0)</f>
        <v>0</v>
      </c>
      <c r="X24" s="34" t="n">
        <f aca="false">IF(X$15=1,INDEX(Vol_O,4,X$14)/12*(1+P_dVol),0)</f>
        <v>0</v>
      </c>
      <c r="Y24" s="34" t="n">
        <f aca="false">IF(Y$15=1,INDEX(Vol_O,4,Y$14)/12*(1+P_dVol),0)</f>
        <v>0</v>
      </c>
      <c r="Z24" s="34" t="n">
        <f aca="false">IF(Z$15=1,INDEX(Vol_O,4,Z$14)/12*(1+P_dVol),0)</f>
        <v>0</v>
      </c>
      <c r="AA24" s="34" t="n">
        <f aca="false">IF(AA$15=1,INDEX(Vol_O,4,AA$14)/12*(1+P_dVol),0)</f>
        <v>0</v>
      </c>
      <c r="AB24" s="34" t="n">
        <f aca="false">IF(AB$15=1,INDEX(Vol_O,4,AB$14)/12*(1+P_dVol),0)</f>
        <v>0</v>
      </c>
      <c r="AC24" s="34" t="n">
        <f aca="false">IF(AC$15=1,INDEX(Vol_O,4,AC$14)/12*(1+P_dVol),0)</f>
        <v>0</v>
      </c>
      <c r="AD24" s="34" t="n">
        <f aca="false">IF(AD$15=1,INDEX(Vol_O,4,AD$14)/12*(1+P_dVol),0)</f>
        <v>0</v>
      </c>
      <c r="AE24" s="34" t="n">
        <f aca="false">IF(AE$15=1,INDEX(Vol_O,4,AE$14)/12*(1+P_dVol),0)</f>
        <v>0</v>
      </c>
      <c r="AF24" s="34" t="n">
        <f aca="false">IF(AF$15=1,INDEX(Vol_O,4,AF$14)/12*(1+P_dVol),0)</f>
        <v>0</v>
      </c>
      <c r="AG24" s="34" t="n">
        <f aca="false">IF(AG$15=1,INDEX(Vol_O,4,AG$14)/12*(1+P_dVol),0)</f>
        <v>0</v>
      </c>
      <c r="AH24" s="34" t="n">
        <f aca="false">IF(AH$15=1,INDEX(Vol_O,4,AH$14)/12*(1+P_dVol),0)</f>
        <v>0</v>
      </c>
      <c r="AI24" s="34" t="n">
        <f aca="false">IF(AI$15=1,INDEX(Vol_O,4,AI$14)/12*(1+P_dVol),0)</f>
        <v>0</v>
      </c>
      <c r="AJ24" s="34" t="n">
        <f aca="false">IF(AJ$15=1,INDEX(Vol_O,4,AJ$14)/12*(1+P_dVol),0)</f>
        <v>0</v>
      </c>
      <c r="AK24" s="34" t="n">
        <f aca="false">IF(AK$15=1,INDEX(Vol_O,4,AK$14)/12*(1+P_dVol),0)</f>
        <v>0</v>
      </c>
      <c r="AL24" s="34" t="n">
        <f aca="false">IF(AL$15=1,INDEX(Vol_O,4,AL$14)/12*(1+P_dVol),0)</f>
        <v>0</v>
      </c>
      <c r="AM24" s="34" t="n">
        <f aca="false">IF(AM$15=1,INDEX(Vol_O,4,AM$14)/12*(1+P_dVol),0)</f>
        <v>0</v>
      </c>
      <c r="AN24" s="34" t="n">
        <f aca="false">IF(AN$15=1,INDEX(Vol_O,4,AN$14)/12*(1+P_dVol),0)</f>
        <v>0</v>
      </c>
      <c r="AO24" s="34" t="n">
        <f aca="false">IF(AO$15=1,INDEX(Vol_O,4,AO$14)/12*(1+P_dVol),0)</f>
        <v>0</v>
      </c>
      <c r="AP24" s="34" t="n">
        <f aca="false">IF(AP$15=1,INDEX(Vol_O,4,AP$14)/12*(1+P_dVol),0)</f>
        <v>0</v>
      </c>
      <c r="AQ24" s="34" t="n">
        <f aca="false">IF(AQ$15=1,INDEX(Vol_O,4,AQ$14)/12*(1+P_dVol),0)</f>
        <v>0</v>
      </c>
      <c r="AR24" s="34" t="n">
        <f aca="false">IF(AR$15=1,INDEX(Vol_O,4,AR$14)/12*(1+P_dVol),0)</f>
        <v>0</v>
      </c>
      <c r="AS24" s="34" t="n">
        <f aca="false">IF(AS$15=1,INDEX(Vol_O,4,AS$14)/12*(1+P_dVol),0)</f>
        <v>0</v>
      </c>
      <c r="AT24" s="34" t="n">
        <f aca="false">IF(AT$15=1,INDEX(Vol_O,4,AT$14)/12*(1+P_dVol),0)</f>
        <v>0</v>
      </c>
      <c r="AU24" s="34" t="n">
        <f aca="false">IF(AU$15=1,INDEX(Vol_O,4,AU$14)/12*(1+P_dVol),0)</f>
        <v>0</v>
      </c>
      <c r="AV24" s="34" t="n">
        <f aca="false">IF(AV$15=1,INDEX(Vol_O,4,AV$14)/12*(1+P_dVol),0)</f>
        <v>0</v>
      </c>
      <c r="AW24" s="34" t="n">
        <f aca="false">IF(AW$15=1,INDEX(Vol_O,4,AW$14)/12*(1+P_dVol),0)</f>
        <v>0</v>
      </c>
      <c r="AX24" s="34" t="n">
        <f aca="false">IF(AX$15=1,INDEX(Vol_O,4,AX$14)/12*(1+P_dVol),0)</f>
        <v>0</v>
      </c>
      <c r="AY24" s="34" t="n">
        <f aca="false">IF(AY$15=1,INDEX(Vol_O,4,AY$14)/12*(1+P_dVol),0)</f>
        <v>0</v>
      </c>
      <c r="AZ24" s="34" t="n">
        <f aca="false">IF(AZ$15=1,INDEX(Vol_O,4,AZ$14)/12*(1+P_dVol),0)</f>
        <v>0</v>
      </c>
      <c r="BA24" s="34" t="n">
        <f aca="false">IF(BA$15=1,INDEX(Vol_O,4,BA$14)/12*(1+P_dVol),0)</f>
        <v>0</v>
      </c>
      <c r="BB24" s="34" t="n">
        <f aca="false">IF(BB$15=1,INDEX(Vol_O,4,BB$14)/12*(1+P_dVol),0)</f>
        <v>0</v>
      </c>
      <c r="BC24" s="34" t="n">
        <f aca="false">IF(BC$15=1,INDEX(Vol_O,4,BC$14)/12*(1+P_dVol),0)</f>
        <v>0</v>
      </c>
      <c r="BD24" s="34" t="n">
        <f aca="false">IF(BD$15=1,INDEX(Vol_O,4,BD$14)/12*(1+P_dVol),0)</f>
        <v>0</v>
      </c>
      <c r="BE24" s="34" t="n">
        <f aca="false">IF(BE$15=1,INDEX(Vol_O,4,BE$14)/12*(1+P_dVol),0)</f>
        <v>0</v>
      </c>
      <c r="BF24" s="34" t="n">
        <f aca="false">IF(BF$15=1,INDEX(Vol_O,4,BF$14)/12*(1+P_dVol),0)</f>
        <v>0</v>
      </c>
      <c r="BG24" s="34" t="n">
        <f aca="false">IF(BG$15=1,INDEX(Vol_O,4,BG$14)/12*(1+P_dVol),0)</f>
        <v>0</v>
      </c>
      <c r="BH24" s="34" t="n">
        <f aca="false">IF(BH$15=1,INDEX(Vol_O,4,BH$14)/12*(1+P_dVol),0)</f>
        <v>0</v>
      </c>
      <c r="BI24" s="34" t="n">
        <f aca="false">IF(BI$15=1,INDEX(Vol_O,4,BI$14)/12*(1+P_dVol),0)</f>
        <v>0</v>
      </c>
      <c r="BJ24" s="34" t="n">
        <f aca="false">IF(BJ$15=1,INDEX(Vol_O,4,BJ$14)/12*(1+P_dVol),0)</f>
        <v>0</v>
      </c>
      <c r="BK24" s="34" t="n">
        <f aca="false">IF(BK$15=1,INDEX(Vol_O,4,BK$14)/12*(1+P_dVol),0)</f>
        <v>0</v>
      </c>
      <c r="BL24" s="34" t="n">
        <f aca="false">IF(BL$15=1,INDEX(Vol_O,4,BL$14)/12*(1+P_dVol),0)</f>
        <v>0</v>
      </c>
      <c r="BM24" s="34" t="n">
        <f aca="false">IF(BM$15=1,INDEX(Vol_O,4,BM$14)/12*(1+P_dVol),0)</f>
        <v>0</v>
      </c>
      <c r="BN24" s="34" t="n">
        <f aca="false">IF(BN$15=1,INDEX(Vol_O,4,BN$14)/12*(1+P_dVol),0)</f>
        <v>0</v>
      </c>
      <c r="BO24" s="34" t="n">
        <f aca="false">IF(BO$15=1,INDEX(Vol_O,4,BO$14)/12*(1+P_dVol),0)</f>
        <v>0</v>
      </c>
      <c r="BP24" s="34" t="n">
        <f aca="false">IF(BP$15=1,INDEX(Vol_O,4,BP$14)/12*(1+P_dVol),0)</f>
        <v>0</v>
      </c>
      <c r="BQ24" s="34" t="n">
        <f aca="false">IF(BQ$15=1,INDEX(Vol_O,4,BQ$14)/12*(1+P_dVol),0)</f>
        <v>0</v>
      </c>
      <c r="BR24" s="34" t="n">
        <f aca="false">IF(BR$15=1,INDEX(Vol_O,4,BR$14)/12*(1+P_dVol),0)</f>
        <v>0</v>
      </c>
      <c r="BS24" s="34" t="n">
        <f aca="false">IF(BS$15=1,INDEX(Vol_O,4,BS$14)/12*(1+P_dVol),0)</f>
        <v>0</v>
      </c>
      <c r="BT24" s="34" t="n">
        <f aca="false">IF(BT$15=1,INDEX(Vol_O,4,BT$14)/12*(1+P_dVol),0)</f>
        <v>0</v>
      </c>
      <c r="BU24" s="34" t="n">
        <f aca="false">IF(BU$15=1,INDEX(Vol_O,4,BU$14)/12*(1+P_dVol),0)</f>
        <v>0</v>
      </c>
      <c r="BV24" s="34" t="n">
        <f aca="false">IF(BV$15=1,INDEX(Vol_O,4,BV$14)/12*(1+P_dVol),0)</f>
        <v>0</v>
      </c>
      <c r="BW24" s="34" t="n">
        <f aca="false">IF(BW$15=1,INDEX(Vol_O,4,BW$14)/12*(1+P_dVol),0)</f>
        <v>0</v>
      </c>
      <c r="BX24" s="34" t="n">
        <f aca="false">IF(BX$15=1,INDEX(Vol_O,4,BX$14)/12*(1+P_dVol),0)</f>
        <v>0</v>
      </c>
      <c r="BY24" s="34" t="n">
        <f aca="false">IF(BY$15=1,INDEX(Vol_O,4,BY$14)/12*(1+P_dVol),0)</f>
        <v>0</v>
      </c>
      <c r="BZ24" s="34" t="n">
        <f aca="false">IF(BZ$15=1,INDEX(Vol_O,4,BZ$14)/12*(1+P_dVol),0)</f>
        <v>0</v>
      </c>
      <c r="CA24" s="34" t="n">
        <f aca="false">IF(CA$15=1,INDEX(Vol_O,4,CA$14)/12*(1+P_dVol),0)</f>
        <v>0</v>
      </c>
      <c r="CB24" s="34" t="n">
        <f aca="false">IF(CB$15=1,INDEX(Vol_O,4,CB$14)/12*(1+P_dVol),0)</f>
        <v>0</v>
      </c>
      <c r="CC24" s="34" t="n">
        <f aca="false">IF(CC$15=1,INDEX(Vol_O,4,CC$14)/12*(1+P_dVol),0)</f>
        <v>0</v>
      </c>
      <c r="CD24" s="34" t="n">
        <f aca="false">IF(CD$15=1,INDEX(Vol_O,4,CD$14)/12*(1+P_dVol),0)</f>
        <v>0</v>
      </c>
      <c r="CE24" s="34" t="n">
        <f aca="false">IF(CE$15=1,INDEX(Vol_O,4,CE$14)/12*(1+P_dVol),0)</f>
        <v>0</v>
      </c>
      <c r="CF24" s="34" t="n">
        <f aca="false">IF(CF$15=1,INDEX(Vol_O,4,CF$14)/12*(1+P_dVol),0)</f>
        <v>0</v>
      </c>
      <c r="CG24" s="34" t="n">
        <f aca="false">IF(CG$15=1,INDEX(Vol_O,4,CG$14)/12*(1+P_dVol),0)</f>
        <v>0</v>
      </c>
      <c r="CH24" s="34" t="n">
        <f aca="false">IF(CH$15=1,INDEX(Vol_O,4,CH$14)/12*(1+P_dVol),0)</f>
        <v>0</v>
      </c>
      <c r="CI24" s="34" t="n">
        <f aca="false">IF(CI$15=1,INDEX(Vol_O,4,CI$14)/12*(1+P_dVol),0)</f>
        <v>0</v>
      </c>
      <c r="CJ24" s="34" t="n">
        <f aca="false">IF(CJ$15=1,INDEX(Vol_O,4,CJ$14)/12*(1+P_dVol),0)</f>
        <v>0</v>
      </c>
      <c r="CK24" s="34" t="n">
        <f aca="false">IF(CK$15=1,INDEX(Vol_O,4,CK$14)/12*(1+P_dVol),0)</f>
        <v>0</v>
      </c>
      <c r="CL24" s="34" t="n">
        <f aca="false">IF(CL$15=1,INDEX(Vol_O,4,CL$14)/12*(1+P_dVol),0)</f>
        <v>0</v>
      </c>
      <c r="CM24" s="34" t="n">
        <f aca="false">IF(CM$15=1,INDEX(Vol_O,4,CM$14)/12*(1+P_dVol),0)</f>
        <v>0</v>
      </c>
      <c r="CN24" s="34" t="n">
        <f aca="false">IF(CN$15=1,INDEX(Vol_O,4,CN$14)/12*(1+P_dVol),0)</f>
        <v>0</v>
      </c>
      <c r="CO24" s="34" t="n">
        <f aca="false">IF(CO$15=1,INDEX(Vol_O,4,CO$14)/12*(1+P_dVol),0)</f>
        <v>0</v>
      </c>
      <c r="CP24" s="34" t="n">
        <f aca="false">IF(CP$15=1,INDEX(Vol_O,4,CP$14)/12*(1+P_dVol),0)</f>
        <v>0</v>
      </c>
      <c r="CQ24" s="34" t="n">
        <f aca="false">IF(CQ$15=1,INDEX(Vol_O,4,CQ$14)/12*(1+P_dVol),0)</f>
        <v>0</v>
      </c>
      <c r="CR24" s="34" t="n">
        <f aca="false">IF(CR$15=1,INDEX(Vol_O,4,CR$14)/12*(1+P_dVol),0)</f>
        <v>0</v>
      </c>
      <c r="CS24" s="34" t="n">
        <f aca="false">IF(CS$15=1,INDEX(Vol_O,4,CS$14)/12*(1+P_dVol),0)</f>
        <v>0</v>
      </c>
      <c r="CT24" s="34" t="n">
        <f aca="false">IF(CT$15=1,INDEX(Vol_O,4,CT$14)/12*(1+P_dVol),0)</f>
        <v>0</v>
      </c>
      <c r="CU24" s="34" t="n">
        <f aca="false">IF(CU$15=1,INDEX(Vol_O,4,CU$14)/12*(1+P_dVol),0)</f>
        <v>0</v>
      </c>
      <c r="CV24" s="34" t="n">
        <f aca="false">IF(CV$15=1,INDEX(Vol_O,4,CV$14)/12*(1+P_dVol),0)</f>
        <v>0</v>
      </c>
      <c r="CW24" s="34" t="n">
        <f aca="false">IF(CW$15=1,INDEX(Vol_O,4,CW$14)/12*(1+P_dVol),0)</f>
        <v>0</v>
      </c>
      <c r="CX24" s="34" t="n">
        <f aca="false">IF(CX$15=1,INDEX(Vol_O,4,CX$14)/12*(1+P_dVol),0)</f>
        <v>0</v>
      </c>
      <c r="CY24" s="34" t="n">
        <f aca="false">IF(CY$15=1,INDEX(Vol_O,4,CY$14)/12*(1+P_dVol),0)</f>
        <v>0</v>
      </c>
      <c r="CZ24" s="34" t="n">
        <f aca="false">IF(CZ$15=1,INDEX(Vol_O,4,CZ$14)/12*(1+P_dVol),0)</f>
        <v>0</v>
      </c>
      <c r="DA24" s="34" t="n">
        <f aca="false">IF(DA$15=1,INDEX(Vol_O,4,DA$14)/12*(1+P_dVol),0)</f>
        <v>0</v>
      </c>
      <c r="DB24" s="34" t="n">
        <f aca="false">IF(DB$15=1,INDEX(Vol_O,4,DB$14)/12*(1+P_dVol),0)</f>
        <v>0</v>
      </c>
      <c r="DC24" s="34" t="n">
        <f aca="false">IF(DC$15=1,INDEX(Vol_O,4,DC$14)/12*(1+P_dVol),0)</f>
        <v>0</v>
      </c>
      <c r="DD24" s="34" t="n">
        <f aca="false">IF(DD$15=1,INDEX(Vol_O,4,DD$14)/12*(1+P_dVol),0)</f>
        <v>0</v>
      </c>
      <c r="DE24" s="34" t="n">
        <f aca="false">IF(DE$15=1,INDEX(Vol_O,4,DE$14)/12*(1+P_dVol),0)</f>
        <v>0</v>
      </c>
      <c r="DF24" s="34" t="n">
        <f aca="false">IF(DF$15=1,INDEX(Vol_O,4,DF$14)/12*(1+P_dVol),0)</f>
        <v>0</v>
      </c>
      <c r="DG24" s="34" t="n">
        <f aca="false">IF(DG$15=1,INDEX(Vol_O,4,DG$14)/12*(1+P_dVol),0)</f>
        <v>0</v>
      </c>
      <c r="DH24" s="34" t="n">
        <f aca="false">IF(DH$15=1,INDEX(Vol_O,4,DH$14)/12*(1+P_dVol),0)</f>
        <v>0</v>
      </c>
      <c r="DI24" s="34" t="n">
        <f aca="false">IF(DI$15=1,INDEX(Vol_O,4,DI$14)/12*(1+P_dVol),0)</f>
        <v>0</v>
      </c>
      <c r="DJ24" s="34" t="n">
        <f aca="false">IF(DJ$15=1,INDEX(Vol_O,4,DJ$14)/12*(1+P_dVol),0)</f>
        <v>0</v>
      </c>
      <c r="DK24" s="34" t="n">
        <f aca="false">IF(DK$15=1,INDEX(Vol_O,4,DK$14)/12*(1+P_dVol),0)</f>
        <v>0</v>
      </c>
      <c r="DL24" s="34" t="n">
        <f aca="false">IF(DL$15=1,INDEX(Vol_O,4,DL$14)/12*(1+P_dVol),0)</f>
        <v>0</v>
      </c>
      <c r="DM24" s="34" t="n">
        <f aca="false">IF(DM$15=1,INDEX(Vol_O,4,DM$14)/12*(1+P_dVol),0)</f>
        <v>0</v>
      </c>
      <c r="DN24" s="34" t="n">
        <f aca="false">IF(DN$15=1,INDEX(Vol_O,4,DN$14)/12*(1+P_dVol),0)</f>
        <v>0</v>
      </c>
      <c r="DO24" s="34" t="n">
        <f aca="false">IF(DO$15=1,INDEX(Vol_O,4,DO$14)/12*(1+P_dVol),0)</f>
        <v>0</v>
      </c>
      <c r="DP24" s="34" t="n">
        <f aca="false">IF(DP$15=1,INDEX(Vol_O,4,DP$14)/12*(1+P_dVol),0)</f>
        <v>0</v>
      </c>
      <c r="DQ24" s="34" t="n">
        <f aca="false">IF(DQ$15=1,INDEX(Vol_O,4,DQ$14)/12*(1+P_dVol),0)</f>
        <v>0</v>
      </c>
      <c r="DR24" s="34" t="n">
        <f aca="false">IF(DR$15=1,INDEX(Vol_O,4,DR$14)/12*(1+P_dVol),0)</f>
        <v>0</v>
      </c>
      <c r="DS24" s="34" t="n">
        <f aca="false">IF(DS$15=1,INDEX(Vol_O,4,DS$14)/12*(1+P_dVol),0)</f>
        <v>0</v>
      </c>
      <c r="DT24" s="34" t="n">
        <f aca="false">IF(DT$15=1,INDEX(Vol_O,4,DT$14)/12*(1+P_dVol),0)</f>
        <v>0</v>
      </c>
      <c r="DU24" s="34" t="n">
        <f aca="false">IF(DU$15=1,INDEX(Vol_O,4,DU$14)/12*(1+P_dVol),0)</f>
        <v>0</v>
      </c>
      <c r="DV24" s="34" t="n">
        <f aca="false">IF(DV$15=1,INDEX(Vol_O,4,DV$14)/12*(1+P_dVol),0)</f>
        <v>0</v>
      </c>
      <c r="DW24" s="34" t="n">
        <f aca="false">IF(DW$15=1,INDEX(Vol_O,4,DW$14)/12*(1+P_dVol),0)</f>
        <v>0</v>
      </c>
      <c r="DX24" s="34" t="n">
        <f aca="false">IF(DX$15=1,INDEX(Vol_O,4,DX$14)/12*(1+P_dVol),0)</f>
        <v>0</v>
      </c>
      <c r="DY24" s="34" t="n">
        <f aca="false">IF(DY$15=1,INDEX(Vol_O,4,DY$14)/12*(1+P_dVol),0)</f>
        <v>0</v>
      </c>
      <c r="DZ24" s="34" t="n">
        <f aca="false">IF(DZ$15=1,INDEX(Vol_O,4,DZ$14)/12*(1+P_dVol),0)</f>
        <v>0</v>
      </c>
      <c r="EA24" s="34" t="n">
        <f aca="false">IF(EA$15=1,INDEX(Vol_O,4,EA$14)/12*(1+P_dVol),0)</f>
        <v>0</v>
      </c>
      <c r="EB24" s="34" t="n">
        <f aca="false">IF(EB$15=1,INDEX(Vol_O,4,EB$14)/12*(1+P_dVol),0)</f>
        <v>0</v>
      </c>
      <c r="EC24" s="34" t="n">
        <f aca="false">IF(EC$15=1,INDEX(Vol_O,4,EC$14)/12*(1+P_dVol),0)</f>
        <v>0</v>
      </c>
      <c r="ED24" s="34" t="n">
        <f aca="false">IF(ED$15=1,INDEX(Vol_O,4,ED$14)/12*(1+P_dVol),0)</f>
        <v>0</v>
      </c>
      <c r="EE24" s="34" t="n">
        <f aca="false">IF(EE$15=1,INDEX(Vol_O,4,EE$14)/12*(1+P_dVol),0)</f>
        <v>0</v>
      </c>
      <c r="EF24" s="34" t="n">
        <f aca="false">IF(EF$15=1,INDEX(Vol_O,4,EF$14)/12*(1+P_dVol),0)</f>
        <v>0</v>
      </c>
      <c r="EG24" s="34" t="n">
        <f aca="false">IF(EG$15=1,INDEX(Vol_O,4,EG$14)/12*(1+P_dVol),0)</f>
        <v>0</v>
      </c>
      <c r="EH24" s="34" t="n">
        <f aca="false">IF(EH$15=1,INDEX(Vol_O,4,EH$14)/12*(1+P_dVol),0)</f>
        <v>0</v>
      </c>
      <c r="EI24" s="34" t="n">
        <f aca="false">IF(EI$15=1,INDEX(Vol_O,4,EI$14)/12*(1+P_dVol),0)</f>
        <v>0</v>
      </c>
      <c r="EJ24" s="34" t="n">
        <f aca="false">IF(EJ$15=1,INDEX(Vol_O,4,EJ$14)/12*(1+P_dVol),0)</f>
        <v>0</v>
      </c>
      <c r="EK24" s="34" t="n">
        <f aca="false">IF(EK$15=1,INDEX(Vol_O,4,EK$14)/12*(1+P_dVol),0)</f>
        <v>0</v>
      </c>
      <c r="EL24" s="34" t="n">
        <f aca="false">IF(EL$15=1,INDEX(Vol_O,4,EL$14)/12*(1+P_dVol),0)</f>
        <v>0</v>
      </c>
      <c r="EM24" s="34" t="n">
        <f aca="false">IF(EM$15=1,INDEX(Vol_O,4,EM$14)/12*(1+P_dVol),0)</f>
        <v>0</v>
      </c>
      <c r="EN24" s="34" t="n">
        <f aca="false">IF(EN$15=1,INDEX(Vol_O,4,EN$14)/12*(1+P_dVol),0)</f>
        <v>0</v>
      </c>
      <c r="EO24" s="34" t="n">
        <f aca="false">IF(EO$15=1,INDEX(Vol_O,4,EO$14)/12*(1+P_dVol),0)</f>
        <v>0</v>
      </c>
      <c r="EP24" s="34" t="n">
        <f aca="false">IF(EP$15=1,INDEX(Vol_O,4,EP$14)/12*(1+P_dVol),0)</f>
        <v>0</v>
      </c>
      <c r="EQ24" s="34" t="n">
        <f aca="false">IF(EQ$15=1,INDEX(Vol_O,4,EQ$14)/12*(1+P_dVol),0)</f>
        <v>0</v>
      </c>
      <c r="ER24" s="34" t="n">
        <f aca="false">IF(ER$15=1,INDEX(Vol_O,4,ER$14)/12*(1+P_dVol),0)</f>
        <v>0</v>
      </c>
      <c r="ES24" s="34" t="n">
        <f aca="false">IF(ES$15=1,INDEX(Vol_O,4,ES$14)/12*(1+P_dVol),0)</f>
        <v>0</v>
      </c>
    </row>
    <row r="25" customFormat="false" ht="15" hidden="false" customHeight="false" outlineLevel="0" collapsed="false">
      <c r="A25" s="2" t="s">
        <v>588</v>
      </c>
      <c r="B25" s="39" t="str">
        <f aca="false">IF(INDEX(Prod_Nombre,5)="","Producto 5",INDEX(Prod_Nombre,5))&amp;" — unidades"</f>
        <v>Producto 5 — unidades</v>
      </c>
      <c r="C25" s="6" t="s">
        <v>286</v>
      </c>
      <c r="E25" s="40" t="n">
        <f aca="false">SUM(F25:ES25)</f>
        <v>0</v>
      </c>
      <c r="F25" s="34" t="n">
        <f aca="false">IF(F$15=1,INDEX(Vol_O,5,F$14)/12*(1+P_dVol),0)</f>
        <v>0</v>
      </c>
      <c r="G25" s="34" t="n">
        <f aca="false">IF(G$15=1,INDEX(Vol_O,5,G$14)/12*(1+P_dVol),0)</f>
        <v>0</v>
      </c>
      <c r="H25" s="34" t="n">
        <f aca="false">IF(H$15=1,INDEX(Vol_O,5,H$14)/12*(1+P_dVol),0)</f>
        <v>0</v>
      </c>
      <c r="I25" s="34" t="n">
        <f aca="false">IF(I$15=1,INDEX(Vol_O,5,I$14)/12*(1+P_dVol),0)</f>
        <v>0</v>
      </c>
      <c r="J25" s="34" t="n">
        <f aca="false">IF(J$15=1,INDEX(Vol_O,5,J$14)/12*(1+P_dVol),0)</f>
        <v>0</v>
      </c>
      <c r="K25" s="34" t="n">
        <f aca="false">IF(K$15=1,INDEX(Vol_O,5,K$14)/12*(1+P_dVol),0)</f>
        <v>0</v>
      </c>
      <c r="L25" s="34" t="n">
        <f aca="false">IF(L$15=1,INDEX(Vol_O,5,L$14)/12*(1+P_dVol),0)</f>
        <v>0</v>
      </c>
      <c r="M25" s="34" t="n">
        <f aca="false">IF(M$15=1,INDEX(Vol_O,5,M$14)/12*(1+P_dVol),0)</f>
        <v>0</v>
      </c>
      <c r="N25" s="34" t="n">
        <f aca="false">IF(N$15=1,INDEX(Vol_O,5,N$14)/12*(1+P_dVol),0)</f>
        <v>0</v>
      </c>
      <c r="O25" s="34" t="n">
        <f aca="false">IF(O$15=1,INDEX(Vol_O,5,O$14)/12*(1+P_dVol),0)</f>
        <v>0</v>
      </c>
      <c r="P25" s="34" t="n">
        <f aca="false">IF(P$15=1,INDEX(Vol_O,5,P$14)/12*(1+P_dVol),0)</f>
        <v>0</v>
      </c>
      <c r="Q25" s="34" t="n">
        <f aca="false">IF(Q$15=1,INDEX(Vol_O,5,Q$14)/12*(1+P_dVol),0)</f>
        <v>0</v>
      </c>
      <c r="R25" s="34" t="n">
        <f aca="false">IF(R$15=1,INDEX(Vol_O,5,R$14)/12*(1+P_dVol),0)</f>
        <v>0</v>
      </c>
      <c r="S25" s="34" t="n">
        <f aca="false">IF(S$15=1,INDEX(Vol_O,5,S$14)/12*(1+P_dVol),0)</f>
        <v>0</v>
      </c>
      <c r="T25" s="34" t="n">
        <f aca="false">IF(T$15=1,INDEX(Vol_O,5,T$14)/12*(1+P_dVol),0)</f>
        <v>0</v>
      </c>
      <c r="U25" s="34" t="n">
        <f aca="false">IF(U$15=1,INDEX(Vol_O,5,U$14)/12*(1+P_dVol),0)</f>
        <v>0</v>
      </c>
      <c r="V25" s="34" t="n">
        <f aca="false">IF(V$15=1,INDEX(Vol_O,5,V$14)/12*(1+P_dVol),0)</f>
        <v>0</v>
      </c>
      <c r="W25" s="34" t="n">
        <f aca="false">IF(W$15=1,INDEX(Vol_O,5,W$14)/12*(1+P_dVol),0)</f>
        <v>0</v>
      </c>
      <c r="X25" s="34" t="n">
        <f aca="false">IF(X$15=1,INDEX(Vol_O,5,X$14)/12*(1+P_dVol),0)</f>
        <v>0</v>
      </c>
      <c r="Y25" s="34" t="n">
        <f aca="false">IF(Y$15=1,INDEX(Vol_O,5,Y$14)/12*(1+P_dVol),0)</f>
        <v>0</v>
      </c>
      <c r="Z25" s="34" t="n">
        <f aca="false">IF(Z$15=1,INDEX(Vol_O,5,Z$14)/12*(1+P_dVol),0)</f>
        <v>0</v>
      </c>
      <c r="AA25" s="34" t="n">
        <f aca="false">IF(AA$15=1,INDEX(Vol_O,5,AA$14)/12*(1+P_dVol),0)</f>
        <v>0</v>
      </c>
      <c r="AB25" s="34" t="n">
        <f aca="false">IF(AB$15=1,INDEX(Vol_O,5,AB$14)/12*(1+P_dVol),0)</f>
        <v>0</v>
      </c>
      <c r="AC25" s="34" t="n">
        <f aca="false">IF(AC$15=1,INDEX(Vol_O,5,AC$14)/12*(1+P_dVol),0)</f>
        <v>0</v>
      </c>
      <c r="AD25" s="34" t="n">
        <f aca="false">IF(AD$15=1,INDEX(Vol_O,5,AD$14)/12*(1+P_dVol),0)</f>
        <v>0</v>
      </c>
      <c r="AE25" s="34" t="n">
        <f aca="false">IF(AE$15=1,INDEX(Vol_O,5,AE$14)/12*(1+P_dVol),0)</f>
        <v>0</v>
      </c>
      <c r="AF25" s="34" t="n">
        <f aca="false">IF(AF$15=1,INDEX(Vol_O,5,AF$14)/12*(1+P_dVol),0)</f>
        <v>0</v>
      </c>
      <c r="AG25" s="34" t="n">
        <f aca="false">IF(AG$15=1,INDEX(Vol_O,5,AG$14)/12*(1+P_dVol),0)</f>
        <v>0</v>
      </c>
      <c r="AH25" s="34" t="n">
        <f aca="false">IF(AH$15=1,INDEX(Vol_O,5,AH$14)/12*(1+P_dVol),0)</f>
        <v>0</v>
      </c>
      <c r="AI25" s="34" t="n">
        <f aca="false">IF(AI$15=1,INDEX(Vol_O,5,AI$14)/12*(1+P_dVol),0)</f>
        <v>0</v>
      </c>
      <c r="AJ25" s="34" t="n">
        <f aca="false">IF(AJ$15=1,INDEX(Vol_O,5,AJ$14)/12*(1+P_dVol),0)</f>
        <v>0</v>
      </c>
      <c r="AK25" s="34" t="n">
        <f aca="false">IF(AK$15=1,INDEX(Vol_O,5,AK$14)/12*(1+P_dVol),0)</f>
        <v>0</v>
      </c>
      <c r="AL25" s="34" t="n">
        <f aca="false">IF(AL$15=1,INDEX(Vol_O,5,AL$14)/12*(1+P_dVol),0)</f>
        <v>0</v>
      </c>
      <c r="AM25" s="34" t="n">
        <f aca="false">IF(AM$15=1,INDEX(Vol_O,5,AM$14)/12*(1+P_dVol),0)</f>
        <v>0</v>
      </c>
      <c r="AN25" s="34" t="n">
        <f aca="false">IF(AN$15=1,INDEX(Vol_O,5,AN$14)/12*(1+P_dVol),0)</f>
        <v>0</v>
      </c>
      <c r="AO25" s="34" t="n">
        <f aca="false">IF(AO$15=1,INDEX(Vol_O,5,AO$14)/12*(1+P_dVol),0)</f>
        <v>0</v>
      </c>
      <c r="AP25" s="34" t="n">
        <f aca="false">IF(AP$15=1,INDEX(Vol_O,5,AP$14)/12*(1+P_dVol),0)</f>
        <v>0</v>
      </c>
      <c r="AQ25" s="34" t="n">
        <f aca="false">IF(AQ$15=1,INDEX(Vol_O,5,AQ$14)/12*(1+P_dVol),0)</f>
        <v>0</v>
      </c>
      <c r="AR25" s="34" t="n">
        <f aca="false">IF(AR$15=1,INDEX(Vol_O,5,AR$14)/12*(1+P_dVol),0)</f>
        <v>0</v>
      </c>
      <c r="AS25" s="34" t="n">
        <f aca="false">IF(AS$15=1,INDEX(Vol_O,5,AS$14)/12*(1+P_dVol),0)</f>
        <v>0</v>
      </c>
      <c r="AT25" s="34" t="n">
        <f aca="false">IF(AT$15=1,INDEX(Vol_O,5,AT$14)/12*(1+P_dVol),0)</f>
        <v>0</v>
      </c>
      <c r="AU25" s="34" t="n">
        <f aca="false">IF(AU$15=1,INDEX(Vol_O,5,AU$14)/12*(1+P_dVol),0)</f>
        <v>0</v>
      </c>
      <c r="AV25" s="34" t="n">
        <f aca="false">IF(AV$15=1,INDEX(Vol_O,5,AV$14)/12*(1+P_dVol),0)</f>
        <v>0</v>
      </c>
      <c r="AW25" s="34" t="n">
        <f aca="false">IF(AW$15=1,INDEX(Vol_O,5,AW$14)/12*(1+P_dVol),0)</f>
        <v>0</v>
      </c>
      <c r="AX25" s="34" t="n">
        <f aca="false">IF(AX$15=1,INDEX(Vol_O,5,AX$14)/12*(1+P_dVol),0)</f>
        <v>0</v>
      </c>
      <c r="AY25" s="34" t="n">
        <f aca="false">IF(AY$15=1,INDEX(Vol_O,5,AY$14)/12*(1+P_dVol),0)</f>
        <v>0</v>
      </c>
      <c r="AZ25" s="34" t="n">
        <f aca="false">IF(AZ$15=1,INDEX(Vol_O,5,AZ$14)/12*(1+P_dVol),0)</f>
        <v>0</v>
      </c>
      <c r="BA25" s="34" t="n">
        <f aca="false">IF(BA$15=1,INDEX(Vol_O,5,BA$14)/12*(1+P_dVol),0)</f>
        <v>0</v>
      </c>
      <c r="BB25" s="34" t="n">
        <f aca="false">IF(BB$15=1,INDEX(Vol_O,5,BB$14)/12*(1+P_dVol),0)</f>
        <v>0</v>
      </c>
      <c r="BC25" s="34" t="n">
        <f aca="false">IF(BC$15=1,INDEX(Vol_O,5,BC$14)/12*(1+P_dVol),0)</f>
        <v>0</v>
      </c>
      <c r="BD25" s="34" t="n">
        <f aca="false">IF(BD$15=1,INDEX(Vol_O,5,BD$14)/12*(1+P_dVol),0)</f>
        <v>0</v>
      </c>
      <c r="BE25" s="34" t="n">
        <f aca="false">IF(BE$15=1,INDEX(Vol_O,5,BE$14)/12*(1+P_dVol),0)</f>
        <v>0</v>
      </c>
      <c r="BF25" s="34" t="n">
        <f aca="false">IF(BF$15=1,INDEX(Vol_O,5,BF$14)/12*(1+P_dVol),0)</f>
        <v>0</v>
      </c>
      <c r="BG25" s="34" t="n">
        <f aca="false">IF(BG$15=1,INDEX(Vol_O,5,BG$14)/12*(1+P_dVol),0)</f>
        <v>0</v>
      </c>
      <c r="BH25" s="34" t="n">
        <f aca="false">IF(BH$15=1,INDEX(Vol_O,5,BH$14)/12*(1+P_dVol),0)</f>
        <v>0</v>
      </c>
      <c r="BI25" s="34" t="n">
        <f aca="false">IF(BI$15=1,INDEX(Vol_O,5,BI$14)/12*(1+P_dVol),0)</f>
        <v>0</v>
      </c>
      <c r="BJ25" s="34" t="n">
        <f aca="false">IF(BJ$15=1,INDEX(Vol_O,5,BJ$14)/12*(1+P_dVol),0)</f>
        <v>0</v>
      </c>
      <c r="BK25" s="34" t="n">
        <f aca="false">IF(BK$15=1,INDEX(Vol_O,5,BK$14)/12*(1+P_dVol),0)</f>
        <v>0</v>
      </c>
      <c r="BL25" s="34" t="n">
        <f aca="false">IF(BL$15=1,INDEX(Vol_O,5,BL$14)/12*(1+P_dVol),0)</f>
        <v>0</v>
      </c>
      <c r="BM25" s="34" t="n">
        <f aca="false">IF(BM$15=1,INDEX(Vol_O,5,BM$14)/12*(1+P_dVol),0)</f>
        <v>0</v>
      </c>
      <c r="BN25" s="34" t="n">
        <f aca="false">IF(BN$15=1,INDEX(Vol_O,5,BN$14)/12*(1+P_dVol),0)</f>
        <v>0</v>
      </c>
      <c r="BO25" s="34" t="n">
        <f aca="false">IF(BO$15=1,INDEX(Vol_O,5,BO$14)/12*(1+P_dVol),0)</f>
        <v>0</v>
      </c>
      <c r="BP25" s="34" t="n">
        <f aca="false">IF(BP$15=1,INDEX(Vol_O,5,BP$14)/12*(1+P_dVol),0)</f>
        <v>0</v>
      </c>
      <c r="BQ25" s="34" t="n">
        <f aca="false">IF(BQ$15=1,INDEX(Vol_O,5,BQ$14)/12*(1+P_dVol),0)</f>
        <v>0</v>
      </c>
      <c r="BR25" s="34" t="n">
        <f aca="false">IF(BR$15=1,INDEX(Vol_O,5,BR$14)/12*(1+P_dVol),0)</f>
        <v>0</v>
      </c>
      <c r="BS25" s="34" t="n">
        <f aca="false">IF(BS$15=1,INDEX(Vol_O,5,BS$14)/12*(1+P_dVol),0)</f>
        <v>0</v>
      </c>
      <c r="BT25" s="34" t="n">
        <f aca="false">IF(BT$15=1,INDEX(Vol_O,5,BT$14)/12*(1+P_dVol),0)</f>
        <v>0</v>
      </c>
      <c r="BU25" s="34" t="n">
        <f aca="false">IF(BU$15=1,INDEX(Vol_O,5,BU$14)/12*(1+P_dVol),0)</f>
        <v>0</v>
      </c>
      <c r="BV25" s="34" t="n">
        <f aca="false">IF(BV$15=1,INDEX(Vol_O,5,BV$14)/12*(1+P_dVol),0)</f>
        <v>0</v>
      </c>
      <c r="BW25" s="34" t="n">
        <f aca="false">IF(BW$15=1,INDEX(Vol_O,5,BW$14)/12*(1+P_dVol),0)</f>
        <v>0</v>
      </c>
      <c r="BX25" s="34" t="n">
        <f aca="false">IF(BX$15=1,INDEX(Vol_O,5,BX$14)/12*(1+P_dVol),0)</f>
        <v>0</v>
      </c>
      <c r="BY25" s="34" t="n">
        <f aca="false">IF(BY$15=1,INDEX(Vol_O,5,BY$14)/12*(1+P_dVol),0)</f>
        <v>0</v>
      </c>
      <c r="BZ25" s="34" t="n">
        <f aca="false">IF(BZ$15=1,INDEX(Vol_O,5,BZ$14)/12*(1+P_dVol),0)</f>
        <v>0</v>
      </c>
      <c r="CA25" s="34" t="n">
        <f aca="false">IF(CA$15=1,INDEX(Vol_O,5,CA$14)/12*(1+P_dVol),0)</f>
        <v>0</v>
      </c>
      <c r="CB25" s="34" t="n">
        <f aca="false">IF(CB$15=1,INDEX(Vol_O,5,CB$14)/12*(1+P_dVol),0)</f>
        <v>0</v>
      </c>
      <c r="CC25" s="34" t="n">
        <f aca="false">IF(CC$15=1,INDEX(Vol_O,5,CC$14)/12*(1+P_dVol),0)</f>
        <v>0</v>
      </c>
      <c r="CD25" s="34" t="n">
        <f aca="false">IF(CD$15=1,INDEX(Vol_O,5,CD$14)/12*(1+P_dVol),0)</f>
        <v>0</v>
      </c>
      <c r="CE25" s="34" t="n">
        <f aca="false">IF(CE$15=1,INDEX(Vol_O,5,CE$14)/12*(1+P_dVol),0)</f>
        <v>0</v>
      </c>
      <c r="CF25" s="34" t="n">
        <f aca="false">IF(CF$15=1,INDEX(Vol_O,5,CF$14)/12*(1+P_dVol),0)</f>
        <v>0</v>
      </c>
      <c r="CG25" s="34" t="n">
        <f aca="false">IF(CG$15=1,INDEX(Vol_O,5,CG$14)/12*(1+P_dVol),0)</f>
        <v>0</v>
      </c>
      <c r="CH25" s="34" t="n">
        <f aca="false">IF(CH$15=1,INDEX(Vol_O,5,CH$14)/12*(1+P_dVol),0)</f>
        <v>0</v>
      </c>
      <c r="CI25" s="34" t="n">
        <f aca="false">IF(CI$15=1,INDEX(Vol_O,5,CI$14)/12*(1+P_dVol),0)</f>
        <v>0</v>
      </c>
      <c r="CJ25" s="34" t="n">
        <f aca="false">IF(CJ$15=1,INDEX(Vol_O,5,CJ$14)/12*(1+P_dVol),0)</f>
        <v>0</v>
      </c>
      <c r="CK25" s="34" t="n">
        <f aca="false">IF(CK$15=1,INDEX(Vol_O,5,CK$14)/12*(1+P_dVol),0)</f>
        <v>0</v>
      </c>
      <c r="CL25" s="34" t="n">
        <f aca="false">IF(CL$15=1,INDEX(Vol_O,5,CL$14)/12*(1+P_dVol),0)</f>
        <v>0</v>
      </c>
      <c r="CM25" s="34" t="n">
        <f aca="false">IF(CM$15=1,INDEX(Vol_O,5,CM$14)/12*(1+P_dVol),0)</f>
        <v>0</v>
      </c>
      <c r="CN25" s="34" t="n">
        <f aca="false">IF(CN$15=1,INDEX(Vol_O,5,CN$14)/12*(1+P_dVol),0)</f>
        <v>0</v>
      </c>
      <c r="CO25" s="34" t="n">
        <f aca="false">IF(CO$15=1,INDEX(Vol_O,5,CO$14)/12*(1+P_dVol),0)</f>
        <v>0</v>
      </c>
      <c r="CP25" s="34" t="n">
        <f aca="false">IF(CP$15=1,INDEX(Vol_O,5,CP$14)/12*(1+P_dVol),0)</f>
        <v>0</v>
      </c>
      <c r="CQ25" s="34" t="n">
        <f aca="false">IF(CQ$15=1,INDEX(Vol_O,5,CQ$14)/12*(1+P_dVol),0)</f>
        <v>0</v>
      </c>
      <c r="CR25" s="34" t="n">
        <f aca="false">IF(CR$15=1,INDEX(Vol_O,5,CR$14)/12*(1+P_dVol),0)</f>
        <v>0</v>
      </c>
      <c r="CS25" s="34" t="n">
        <f aca="false">IF(CS$15=1,INDEX(Vol_O,5,CS$14)/12*(1+P_dVol),0)</f>
        <v>0</v>
      </c>
      <c r="CT25" s="34" t="n">
        <f aca="false">IF(CT$15=1,INDEX(Vol_O,5,CT$14)/12*(1+P_dVol),0)</f>
        <v>0</v>
      </c>
      <c r="CU25" s="34" t="n">
        <f aca="false">IF(CU$15=1,INDEX(Vol_O,5,CU$14)/12*(1+P_dVol),0)</f>
        <v>0</v>
      </c>
      <c r="CV25" s="34" t="n">
        <f aca="false">IF(CV$15=1,INDEX(Vol_O,5,CV$14)/12*(1+P_dVol),0)</f>
        <v>0</v>
      </c>
      <c r="CW25" s="34" t="n">
        <f aca="false">IF(CW$15=1,INDEX(Vol_O,5,CW$14)/12*(1+P_dVol),0)</f>
        <v>0</v>
      </c>
      <c r="CX25" s="34" t="n">
        <f aca="false">IF(CX$15=1,INDEX(Vol_O,5,CX$14)/12*(1+P_dVol),0)</f>
        <v>0</v>
      </c>
      <c r="CY25" s="34" t="n">
        <f aca="false">IF(CY$15=1,INDEX(Vol_O,5,CY$14)/12*(1+P_dVol),0)</f>
        <v>0</v>
      </c>
      <c r="CZ25" s="34" t="n">
        <f aca="false">IF(CZ$15=1,INDEX(Vol_O,5,CZ$14)/12*(1+P_dVol),0)</f>
        <v>0</v>
      </c>
      <c r="DA25" s="34" t="n">
        <f aca="false">IF(DA$15=1,INDEX(Vol_O,5,DA$14)/12*(1+P_dVol),0)</f>
        <v>0</v>
      </c>
      <c r="DB25" s="34" t="n">
        <f aca="false">IF(DB$15=1,INDEX(Vol_O,5,DB$14)/12*(1+P_dVol),0)</f>
        <v>0</v>
      </c>
      <c r="DC25" s="34" t="n">
        <f aca="false">IF(DC$15=1,INDEX(Vol_O,5,DC$14)/12*(1+P_dVol),0)</f>
        <v>0</v>
      </c>
      <c r="DD25" s="34" t="n">
        <f aca="false">IF(DD$15=1,INDEX(Vol_O,5,DD$14)/12*(1+P_dVol),0)</f>
        <v>0</v>
      </c>
      <c r="DE25" s="34" t="n">
        <f aca="false">IF(DE$15=1,INDEX(Vol_O,5,DE$14)/12*(1+P_dVol),0)</f>
        <v>0</v>
      </c>
      <c r="DF25" s="34" t="n">
        <f aca="false">IF(DF$15=1,INDEX(Vol_O,5,DF$14)/12*(1+P_dVol),0)</f>
        <v>0</v>
      </c>
      <c r="DG25" s="34" t="n">
        <f aca="false">IF(DG$15=1,INDEX(Vol_O,5,DG$14)/12*(1+P_dVol),0)</f>
        <v>0</v>
      </c>
      <c r="DH25" s="34" t="n">
        <f aca="false">IF(DH$15=1,INDEX(Vol_O,5,DH$14)/12*(1+P_dVol),0)</f>
        <v>0</v>
      </c>
      <c r="DI25" s="34" t="n">
        <f aca="false">IF(DI$15=1,INDEX(Vol_O,5,DI$14)/12*(1+P_dVol),0)</f>
        <v>0</v>
      </c>
      <c r="DJ25" s="34" t="n">
        <f aca="false">IF(DJ$15=1,INDEX(Vol_O,5,DJ$14)/12*(1+P_dVol),0)</f>
        <v>0</v>
      </c>
      <c r="DK25" s="34" t="n">
        <f aca="false">IF(DK$15=1,INDEX(Vol_O,5,DK$14)/12*(1+P_dVol),0)</f>
        <v>0</v>
      </c>
      <c r="DL25" s="34" t="n">
        <f aca="false">IF(DL$15=1,INDEX(Vol_O,5,DL$14)/12*(1+P_dVol),0)</f>
        <v>0</v>
      </c>
      <c r="DM25" s="34" t="n">
        <f aca="false">IF(DM$15=1,INDEX(Vol_O,5,DM$14)/12*(1+P_dVol),0)</f>
        <v>0</v>
      </c>
      <c r="DN25" s="34" t="n">
        <f aca="false">IF(DN$15=1,INDEX(Vol_O,5,DN$14)/12*(1+P_dVol),0)</f>
        <v>0</v>
      </c>
      <c r="DO25" s="34" t="n">
        <f aca="false">IF(DO$15=1,INDEX(Vol_O,5,DO$14)/12*(1+P_dVol),0)</f>
        <v>0</v>
      </c>
      <c r="DP25" s="34" t="n">
        <f aca="false">IF(DP$15=1,INDEX(Vol_O,5,DP$14)/12*(1+P_dVol),0)</f>
        <v>0</v>
      </c>
      <c r="DQ25" s="34" t="n">
        <f aca="false">IF(DQ$15=1,INDEX(Vol_O,5,DQ$14)/12*(1+P_dVol),0)</f>
        <v>0</v>
      </c>
      <c r="DR25" s="34" t="n">
        <f aca="false">IF(DR$15=1,INDEX(Vol_O,5,DR$14)/12*(1+P_dVol),0)</f>
        <v>0</v>
      </c>
      <c r="DS25" s="34" t="n">
        <f aca="false">IF(DS$15=1,INDEX(Vol_O,5,DS$14)/12*(1+P_dVol),0)</f>
        <v>0</v>
      </c>
      <c r="DT25" s="34" t="n">
        <f aca="false">IF(DT$15=1,INDEX(Vol_O,5,DT$14)/12*(1+P_dVol),0)</f>
        <v>0</v>
      </c>
      <c r="DU25" s="34" t="n">
        <f aca="false">IF(DU$15=1,INDEX(Vol_O,5,DU$14)/12*(1+P_dVol),0)</f>
        <v>0</v>
      </c>
      <c r="DV25" s="34" t="n">
        <f aca="false">IF(DV$15=1,INDEX(Vol_O,5,DV$14)/12*(1+P_dVol),0)</f>
        <v>0</v>
      </c>
      <c r="DW25" s="34" t="n">
        <f aca="false">IF(DW$15=1,INDEX(Vol_O,5,DW$14)/12*(1+P_dVol),0)</f>
        <v>0</v>
      </c>
      <c r="DX25" s="34" t="n">
        <f aca="false">IF(DX$15=1,INDEX(Vol_O,5,DX$14)/12*(1+P_dVol),0)</f>
        <v>0</v>
      </c>
      <c r="DY25" s="34" t="n">
        <f aca="false">IF(DY$15=1,INDEX(Vol_O,5,DY$14)/12*(1+P_dVol),0)</f>
        <v>0</v>
      </c>
      <c r="DZ25" s="34" t="n">
        <f aca="false">IF(DZ$15=1,INDEX(Vol_O,5,DZ$14)/12*(1+P_dVol),0)</f>
        <v>0</v>
      </c>
      <c r="EA25" s="34" t="n">
        <f aca="false">IF(EA$15=1,INDEX(Vol_O,5,EA$14)/12*(1+P_dVol),0)</f>
        <v>0</v>
      </c>
      <c r="EB25" s="34" t="n">
        <f aca="false">IF(EB$15=1,INDEX(Vol_O,5,EB$14)/12*(1+P_dVol),0)</f>
        <v>0</v>
      </c>
      <c r="EC25" s="34" t="n">
        <f aca="false">IF(EC$15=1,INDEX(Vol_O,5,EC$14)/12*(1+P_dVol),0)</f>
        <v>0</v>
      </c>
      <c r="ED25" s="34" t="n">
        <f aca="false">IF(ED$15=1,INDEX(Vol_O,5,ED$14)/12*(1+P_dVol),0)</f>
        <v>0</v>
      </c>
      <c r="EE25" s="34" t="n">
        <f aca="false">IF(EE$15=1,INDEX(Vol_O,5,EE$14)/12*(1+P_dVol),0)</f>
        <v>0</v>
      </c>
      <c r="EF25" s="34" t="n">
        <f aca="false">IF(EF$15=1,INDEX(Vol_O,5,EF$14)/12*(1+P_dVol),0)</f>
        <v>0</v>
      </c>
      <c r="EG25" s="34" t="n">
        <f aca="false">IF(EG$15=1,INDEX(Vol_O,5,EG$14)/12*(1+P_dVol),0)</f>
        <v>0</v>
      </c>
      <c r="EH25" s="34" t="n">
        <f aca="false">IF(EH$15=1,INDEX(Vol_O,5,EH$14)/12*(1+P_dVol),0)</f>
        <v>0</v>
      </c>
      <c r="EI25" s="34" t="n">
        <f aca="false">IF(EI$15=1,INDEX(Vol_O,5,EI$14)/12*(1+P_dVol),0)</f>
        <v>0</v>
      </c>
      <c r="EJ25" s="34" t="n">
        <f aca="false">IF(EJ$15=1,INDEX(Vol_O,5,EJ$14)/12*(1+P_dVol),0)</f>
        <v>0</v>
      </c>
      <c r="EK25" s="34" t="n">
        <f aca="false">IF(EK$15=1,INDEX(Vol_O,5,EK$14)/12*(1+P_dVol),0)</f>
        <v>0</v>
      </c>
      <c r="EL25" s="34" t="n">
        <f aca="false">IF(EL$15=1,INDEX(Vol_O,5,EL$14)/12*(1+P_dVol),0)</f>
        <v>0</v>
      </c>
      <c r="EM25" s="34" t="n">
        <f aca="false">IF(EM$15=1,INDEX(Vol_O,5,EM$14)/12*(1+P_dVol),0)</f>
        <v>0</v>
      </c>
      <c r="EN25" s="34" t="n">
        <f aca="false">IF(EN$15=1,INDEX(Vol_O,5,EN$14)/12*(1+P_dVol),0)</f>
        <v>0</v>
      </c>
      <c r="EO25" s="34" t="n">
        <f aca="false">IF(EO$15=1,INDEX(Vol_O,5,EO$14)/12*(1+P_dVol),0)</f>
        <v>0</v>
      </c>
      <c r="EP25" s="34" t="n">
        <f aca="false">IF(EP$15=1,INDEX(Vol_O,5,EP$14)/12*(1+P_dVol),0)</f>
        <v>0</v>
      </c>
      <c r="EQ25" s="34" t="n">
        <f aca="false">IF(EQ$15=1,INDEX(Vol_O,5,EQ$14)/12*(1+P_dVol),0)</f>
        <v>0</v>
      </c>
      <c r="ER25" s="34" t="n">
        <f aca="false">IF(ER$15=1,INDEX(Vol_O,5,ER$14)/12*(1+P_dVol),0)</f>
        <v>0</v>
      </c>
      <c r="ES25" s="34" t="n">
        <f aca="false">IF(ES$15=1,INDEX(Vol_O,5,ES$14)/12*(1+P_dVol),0)</f>
        <v>0</v>
      </c>
    </row>
    <row r="26" customFormat="false" ht="15" hidden="false" customHeight="false" outlineLevel="0" collapsed="false">
      <c r="A26" s="2" t="s">
        <v>589</v>
      </c>
      <c r="B26" s="39" t="str">
        <f aca="false">IF(INDEX(Prod_Nombre,6)="","Producto 6",INDEX(Prod_Nombre,6))&amp;" — unidades"</f>
        <v>Producto 6 — unidades</v>
      </c>
      <c r="C26" s="6" t="s">
        <v>286</v>
      </c>
      <c r="E26" s="40" t="n">
        <f aca="false">SUM(F26:ES26)</f>
        <v>0</v>
      </c>
      <c r="F26" s="34" t="n">
        <f aca="false">IF(F$15=1,INDEX(Vol_O,6,F$14)/12*(1+P_dVol),0)</f>
        <v>0</v>
      </c>
      <c r="G26" s="34" t="n">
        <f aca="false">IF(G$15=1,INDEX(Vol_O,6,G$14)/12*(1+P_dVol),0)</f>
        <v>0</v>
      </c>
      <c r="H26" s="34" t="n">
        <f aca="false">IF(H$15=1,INDEX(Vol_O,6,H$14)/12*(1+P_dVol),0)</f>
        <v>0</v>
      </c>
      <c r="I26" s="34" t="n">
        <f aca="false">IF(I$15=1,INDEX(Vol_O,6,I$14)/12*(1+P_dVol),0)</f>
        <v>0</v>
      </c>
      <c r="J26" s="34" t="n">
        <f aca="false">IF(J$15=1,INDEX(Vol_O,6,J$14)/12*(1+P_dVol),0)</f>
        <v>0</v>
      </c>
      <c r="K26" s="34" t="n">
        <f aca="false">IF(K$15=1,INDEX(Vol_O,6,K$14)/12*(1+P_dVol),0)</f>
        <v>0</v>
      </c>
      <c r="L26" s="34" t="n">
        <f aca="false">IF(L$15=1,INDEX(Vol_O,6,L$14)/12*(1+P_dVol),0)</f>
        <v>0</v>
      </c>
      <c r="M26" s="34" t="n">
        <f aca="false">IF(M$15=1,INDEX(Vol_O,6,M$14)/12*(1+P_dVol),0)</f>
        <v>0</v>
      </c>
      <c r="N26" s="34" t="n">
        <f aca="false">IF(N$15=1,INDEX(Vol_O,6,N$14)/12*(1+P_dVol),0)</f>
        <v>0</v>
      </c>
      <c r="O26" s="34" t="n">
        <f aca="false">IF(O$15=1,INDEX(Vol_O,6,O$14)/12*(1+P_dVol),0)</f>
        <v>0</v>
      </c>
      <c r="P26" s="34" t="n">
        <f aca="false">IF(P$15=1,INDEX(Vol_O,6,P$14)/12*(1+P_dVol),0)</f>
        <v>0</v>
      </c>
      <c r="Q26" s="34" t="n">
        <f aca="false">IF(Q$15=1,INDEX(Vol_O,6,Q$14)/12*(1+P_dVol),0)</f>
        <v>0</v>
      </c>
      <c r="R26" s="34" t="n">
        <f aca="false">IF(R$15=1,INDEX(Vol_O,6,R$14)/12*(1+P_dVol),0)</f>
        <v>0</v>
      </c>
      <c r="S26" s="34" t="n">
        <f aca="false">IF(S$15=1,INDEX(Vol_O,6,S$14)/12*(1+P_dVol),0)</f>
        <v>0</v>
      </c>
      <c r="T26" s="34" t="n">
        <f aca="false">IF(T$15=1,INDEX(Vol_O,6,T$14)/12*(1+P_dVol),0)</f>
        <v>0</v>
      </c>
      <c r="U26" s="34" t="n">
        <f aca="false">IF(U$15=1,INDEX(Vol_O,6,U$14)/12*(1+P_dVol),0)</f>
        <v>0</v>
      </c>
      <c r="V26" s="34" t="n">
        <f aca="false">IF(V$15=1,INDEX(Vol_O,6,V$14)/12*(1+P_dVol),0)</f>
        <v>0</v>
      </c>
      <c r="W26" s="34" t="n">
        <f aca="false">IF(W$15=1,INDEX(Vol_O,6,W$14)/12*(1+P_dVol),0)</f>
        <v>0</v>
      </c>
      <c r="X26" s="34" t="n">
        <f aca="false">IF(X$15=1,INDEX(Vol_O,6,X$14)/12*(1+P_dVol),0)</f>
        <v>0</v>
      </c>
      <c r="Y26" s="34" t="n">
        <f aca="false">IF(Y$15=1,INDEX(Vol_O,6,Y$14)/12*(1+P_dVol),0)</f>
        <v>0</v>
      </c>
      <c r="Z26" s="34" t="n">
        <f aca="false">IF(Z$15=1,INDEX(Vol_O,6,Z$14)/12*(1+P_dVol),0)</f>
        <v>0</v>
      </c>
      <c r="AA26" s="34" t="n">
        <f aca="false">IF(AA$15=1,INDEX(Vol_O,6,AA$14)/12*(1+P_dVol),0)</f>
        <v>0</v>
      </c>
      <c r="AB26" s="34" t="n">
        <f aca="false">IF(AB$15=1,INDEX(Vol_O,6,AB$14)/12*(1+P_dVol),0)</f>
        <v>0</v>
      </c>
      <c r="AC26" s="34" t="n">
        <f aca="false">IF(AC$15=1,INDEX(Vol_O,6,AC$14)/12*(1+P_dVol),0)</f>
        <v>0</v>
      </c>
      <c r="AD26" s="34" t="n">
        <f aca="false">IF(AD$15=1,INDEX(Vol_O,6,AD$14)/12*(1+P_dVol),0)</f>
        <v>0</v>
      </c>
      <c r="AE26" s="34" t="n">
        <f aca="false">IF(AE$15=1,INDEX(Vol_O,6,AE$14)/12*(1+P_dVol),0)</f>
        <v>0</v>
      </c>
      <c r="AF26" s="34" t="n">
        <f aca="false">IF(AF$15=1,INDEX(Vol_O,6,AF$14)/12*(1+P_dVol),0)</f>
        <v>0</v>
      </c>
      <c r="AG26" s="34" t="n">
        <f aca="false">IF(AG$15=1,INDEX(Vol_O,6,AG$14)/12*(1+P_dVol),0)</f>
        <v>0</v>
      </c>
      <c r="AH26" s="34" t="n">
        <f aca="false">IF(AH$15=1,INDEX(Vol_O,6,AH$14)/12*(1+P_dVol),0)</f>
        <v>0</v>
      </c>
      <c r="AI26" s="34" t="n">
        <f aca="false">IF(AI$15=1,INDEX(Vol_O,6,AI$14)/12*(1+P_dVol),0)</f>
        <v>0</v>
      </c>
      <c r="AJ26" s="34" t="n">
        <f aca="false">IF(AJ$15=1,INDEX(Vol_O,6,AJ$14)/12*(1+P_dVol),0)</f>
        <v>0</v>
      </c>
      <c r="AK26" s="34" t="n">
        <f aca="false">IF(AK$15=1,INDEX(Vol_O,6,AK$14)/12*(1+P_dVol),0)</f>
        <v>0</v>
      </c>
      <c r="AL26" s="34" t="n">
        <f aca="false">IF(AL$15=1,INDEX(Vol_O,6,AL$14)/12*(1+P_dVol),0)</f>
        <v>0</v>
      </c>
      <c r="AM26" s="34" t="n">
        <f aca="false">IF(AM$15=1,INDEX(Vol_O,6,AM$14)/12*(1+P_dVol),0)</f>
        <v>0</v>
      </c>
      <c r="AN26" s="34" t="n">
        <f aca="false">IF(AN$15=1,INDEX(Vol_O,6,AN$14)/12*(1+P_dVol),0)</f>
        <v>0</v>
      </c>
      <c r="AO26" s="34" t="n">
        <f aca="false">IF(AO$15=1,INDEX(Vol_O,6,AO$14)/12*(1+P_dVol),0)</f>
        <v>0</v>
      </c>
      <c r="AP26" s="34" t="n">
        <f aca="false">IF(AP$15=1,INDEX(Vol_O,6,AP$14)/12*(1+P_dVol),0)</f>
        <v>0</v>
      </c>
      <c r="AQ26" s="34" t="n">
        <f aca="false">IF(AQ$15=1,INDEX(Vol_O,6,AQ$14)/12*(1+P_dVol),0)</f>
        <v>0</v>
      </c>
      <c r="AR26" s="34" t="n">
        <f aca="false">IF(AR$15=1,INDEX(Vol_O,6,AR$14)/12*(1+P_dVol),0)</f>
        <v>0</v>
      </c>
      <c r="AS26" s="34" t="n">
        <f aca="false">IF(AS$15=1,INDEX(Vol_O,6,AS$14)/12*(1+P_dVol),0)</f>
        <v>0</v>
      </c>
      <c r="AT26" s="34" t="n">
        <f aca="false">IF(AT$15=1,INDEX(Vol_O,6,AT$14)/12*(1+P_dVol),0)</f>
        <v>0</v>
      </c>
      <c r="AU26" s="34" t="n">
        <f aca="false">IF(AU$15=1,INDEX(Vol_O,6,AU$14)/12*(1+P_dVol),0)</f>
        <v>0</v>
      </c>
      <c r="AV26" s="34" t="n">
        <f aca="false">IF(AV$15=1,INDEX(Vol_O,6,AV$14)/12*(1+P_dVol),0)</f>
        <v>0</v>
      </c>
      <c r="AW26" s="34" t="n">
        <f aca="false">IF(AW$15=1,INDEX(Vol_O,6,AW$14)/12*(1+P_dVol),0)</f>
        <v>0</v>
      </c>
      <c r="AX26" s="34" t="n">
        <f aca="false">IF(AX$15=1,INDEX(Vol_O,6,AX$14)/12*(1+P_dVol),0)</f>
        <v>0</v>
      </c>
      <c r="AY26" s="34" t="n">
        <f aca="false">IF(AY$15=1,INDEX(Vol_O,6,AY$14)/12*(1+P_dVol),0)</f>
        <v>0</v>
      </c>
      <c r="AZ26" s="34" t="n">
        <f aca="false">IF(AZ$15=1,INDEX(Vol_O,6,AZ$14)/12*(1+P_dVol),0)</f>
        <v>0</v>
      </c>
      <c r="BA26" s="34" t="n">
        <f aca="false">IF(BA$15=1,INDEX(Vol_O,6,BA$14)/12*(1+P_dVol),0)</f>
        <v>0</v>
      </c>
      <c r="BB26" s="34" t="n">
        <f aca="false">IF(BB$15=1,INDEX(Vol_O,6,BB$14)/12*(1+P_dVol),0)</f>
        <v>0</v>
      </c>
      <c r="BC26" s="34" t="n">
        <f aca="false">IF(BC$15=1,INDEX(Vol_O,6,BC$14)/12*(1+P_dVol),0)</f>
        <v>0</v>
      </c>
      <c r="BD26" s="34" t="n">
        <f aca="false">IF(BD$15=1,INDEX(Vol_O,6,BD$14)/12*(1+P_dVol),0)</f>
        <v>0</v>
      </c>
      <c r="BE26" s="34" t="n">
        <f aca="false">IF(BE$15=1,INDEX(Vol_O,6,BE$14)/12*(1+P_dVol),0)</f>
        <v>0</v>
      </c>
      <c r="BF26" s="34" t="n">
        <f aca="false">IF(BF$15=1,INDEX(Vol_O,6,BF$14)/12*(1+P_dVol),0)</f>
        <v>0</v>
      </c>
      <c r="BG26" s="34" t="n">
        <f aca="false">IF(BG$15=1,INDEX(Vol_O,6,BG$14)/12*(1+P_dVol),0)</f>
        <v>0</v>
      </c>
      <c r="BH26" s="34" t="n">
        <f aca="false">IF(BH$15=1,INDEX(Vol_O,6,BH$14)/12*(1+P_dVol),0)</f>
        <v>0</v>
      </c>
      <c r="BI26" s="34" t="n">
        <f aca="false">IF(BI$15=1,INDEX(Vol_O,6,BI$14)/12*(1+P_dVol),0)</f>
        <v>0</v>
      </c>
      <c r="BJ26" s="34" t="n">
        <f aca="false">IF(BJ$15=1,INDEX(Vol_O,6,BJ$14)/12*(1+P_dVol),0)</f>
        <v>0</v>
      </c>
      <c r="BK26" s="34" t="n">
        <f aca="false">IF(BK$15=1,INDEX(Vol_O,6,BK$14)/12*(1+P_dVol),0)</f>
        <v>0</v>
      </c>
      <c r="BL26" s="34" t="n">
        <f aca="false">IF(BL$15=1,INDEX(Vol_O,6,BL$14)/12*(1+P_dVol),0)</f>
        <v>0</v>
      </c>
      <c r="BM26" s="34" t="n">
        <f aca="false">IF(BM$15=1,INDEX(Vol_O,6,BM$14)/12*(1+P_dVol),0)</f>
        <v>0</v>
      </c>
      <c r="BN26" s="34" t="n">
        <f aca="false">IF(BN$15=1,INDEX(Vol_O,6,BN$14)/12*(1+P_dVol),0)</f>
        <v>0</v>
      </c>
      <c r="BO26" s="34" t="n">
        <f aca="false">IF(BO$15=1,INDEX(Vol_O,6,BO$14)/12*(1+P_dVol),0)</f>
        <v>0</v>
      </c>
      <c r="BP26" s="34" t="n">
        <f aca="false">IF(BP$15=1,INDEX(Vol_O,6,BP$14)/12*(1+P_dVol),0)</f>
        <v>0</v>
      </c>
      <c r="BQ26" s="34" t="n">
        <f aca="false">IF(BQ$15=1,INDEX(Vol_O,6,BQ$14)/12*(1+P_dVol),0)</f>
        <v>0</v>
      </c>
      <c r="BR26" s="34" t="n">
        <f aca="false">IF(BR$15=1,INDEX(Vol_O,6,BR$14)/12*(1+P_dVol),0)</f>
        <v>0</v>
      </c>
      <c r="BS26" s="34" t="n">
        <f aca="false">IF(BS$15=1,INDEX(Vol_O,6,BS$14)/12*(1+P_dVol),0)</f>
        <v>0</v>
      </c>
      <c r="BT26" s="34" t="n">
        <f aca="false">IF(BT$15=1,INDEX(Vol_O,6,BT$14)/12*(1+P_dVol),0)</f>
        <v>0</v>
      </c>
      <c r="BU26" s="34" t="n">
        <f aca="false">IF(BU$15=1,INDEX(Vol_O,6,BU$14)/12*(1+P_dVol),0)</f>
        <v>0</v>
      </c>
      <c r="BV26" s="34" t="n">
        <f aca="false">IF(BV$15=1,INDEX(Vol_O,6,BV$14)/12*(1+P_dVol),0)</f>
        <v>0</v>
      </c>
      <c r="BW26" s="34" t="n">
        <f aca="false">IF(BW$15=1,INDEX(Vol_O,6,BW$14)/12*(1+P_dVol),0)</f>
        <v>0</v>
      </c>
      <c r="BX26" s="34" t="n">
        <f aca="false">IF(BX$15=1,INDEX(Vol_O,6,BX$14)/12*(1+P_dVol),0)</f>
        <v>0</v>
      </c>
      <c r="BY26" s="34" t="n">
        <f aca="false">IF(BY$15=1,INDEX(Vol_O,6,BY$14)/12*(1+P_dVol),0)</f>
        <v>0</v>
      </c>
      <c r="BZ26" s="34" t="n">
        <f aca="false">IF(BZ$15=1,INDEX(Vol_O,6,BZ$14)/12*(1+P_dVol),0)</f>
        <v>0</v>
      </c>
      <c r="CA26" s="34" t="n">
        <f aca="false">IF(CA$15=1,INDEX(Vol_O,6,CA$14)/12*(1+P_dVol),0)</f>
        <v>0</v>
      </c>
      <c r="CB26" s="34" t="n">
        <f aca="false">IF(CB$15=1,INDEX(Vol_O,6,CB$14)/12*(1+P_dVol),0)</f>
        <v>0</v>
      </c>
      <c r="CC26" s="34" t="n">
        <f aca="false">IF(CC$15=1,INDEX(Vol_O,6,CC$14)/12*(1+P_dVol),0)</f>
        <v>0</v>
      </c>
      <c r="CD26" s="34" t="n">
        <f aca="false">IF(CD$15=1,INDEX(Vol_O,6,CD$14)/12*(1+P_dVol),0)</f>
        <v>0</v>
      </c>
      <c r="CE26" s="34" t="n">
        <f aca="false">IF(CE$15=1,INDEX(Vol_O,6,CE$14)/12*(1+P_dVol),0)</f>
        <v>0</v>
      </c>
      <c r="CF26" s="34" t="n">
        <f aca="false">IF(CF$15=1,INDEX(Vol_O,6,CF$14)/12*(1+P_dVol),0)</f>
        <v>0</v>
      </c>
      <c r="CG26" s="34" t="n">
        <f aca="false">IF(CG$15=1,INDEX(Vol_O,6,CG$14)/12*(1+P_dVol),0)</f>
        <v>0</v>
      </c>
      <c r="CH26" s="34" t="n">
        <f aca="false">IF(CH$15=1,INDEX(Vol_O,6,CH$14)/12*(1+P_dVol),0)</f>
        <v>0</v>
      </c>
      <c r="CI26" s="34" t="n">
        <f aca="false">IF(CI$15=1,INDEX(Vol_O,6,CI$14)/12*(1+P_dVol),0)</f>
        <v>0</v>
      </c>
      <c r="CJ26" s="34" t="n">
        <f aca="false">IF(CJ$15=1,INDEX(Vol_O,6,CJ$14)/12*(1+P_dVol),0)</f>
        <v>0</v>
      </c>
      <c r="CK26" s="34" t="n">
        <f aca="false">IF(CK$15=1,INDEX(Vol_O,6,CK$14)/12*(1+P_dVol),0)</f>
        <v>0</v>
      </c>
      <c r="CL26" s="34" t="n">
        <f aca="false">IF(CL$15=1,INDEX(Vol_O,6,CL$14)/12*(1+P_dVol),0)</f>
        <v>0</v>
      </c>
      <c r="CM26" s="34" t="n">
        <f aca="false">IF(CM$15=1,INDEX(Vol_O,6,CM$14)/12*(1+P_dVol),0)</f>
        <v>0</v>
      </c>
      <c r="CN26" s="34" t="n">
        <f aca="false">IF(CN$15=1,INDEX(Vol_O,6,CN$14)/12*(1+P_dVol),0)</f>
        <v>0</v>
      </c>
      <c r="CO26" s="34" t="n">
        <f aca="false">IF(CO$15=1,INDEX(Vol_O,6,CO$14)/12*(1+P_dVol),0)</f>
        <v>0</v>
      </c>
      <c r="CP26" s="34" t="n">
        <f aca="false">IF(CP$15=1,INDEX(Vol_O,6,CP$14)/12*(1+P_dVol),0)</f>
        <v>0</v>
      </c>
      <c r="CQ26" s="34" t="n">
        <f aca="false">IF(CQ$15=1,INDEX(Vol_O,6,CQ$14)/12*(1+P_dVol),0)</f>
        <v>0</v>
      </c>
      <c r="CR26" s="34" t="n">
        <f aca="false">IF(CR$15=1,INDEX(Vol_O,6,CR$14)/12*(1+P_dVol),0)</f>
        <v>0</v>
      </c>
      <c r="CS26" s="34" t="n">
        <f aca="false">IF(CS$15=1,INDEX(Vol_O,6,CS$14)/12*(1+P_dVol),0)</f>
        <v>0</v>
      </c>
      <c r="CT26" s="34" t="n">
        <f aca="false">IF(CT$15=1,INDEX(Vol_O,6,CT$14)/12*(1+P_dVol),0)</f>
        <v>0</v>
      </c>
      <c r="CU26" s="34" t="n">
        <f aca="false">IF(CU$15=1,INDEX(Vol_O,6,CU$14)/12*(1+P_dVol),0)</f>
        <v>0</v>
      </c>
      <c r="CV26" s="34" t="n">
        <f aca="false">IF(CV$15=1,INDEX(Vol_O,6,CV$14)/12*(1+P_dVol),0)</f>
        <v>0</v>
      </c>
      <c r="CW26" s="34" t="n">
        <f aca="false">IF(CW$15=1,INDEX(Vol_O,6,CW$14)/12*(1+P_dVol),0)</f>
        <v>0</v>
      </c>
      <c r="CX26" s="34" t="n">
        <f aca="false">IF(CX$15=1,INDEX(Vol_O,6,CX$14)/12*(1+P_dVol),0)</f>
        <v>0</v>
      </c>
      <c r="CY26" s="34" t="n">
        <f aca="false">IF(CY$15=1,INDEX(Vol_O,6,CY$14)/12*(1+P_dVol),0)</f>
        <v>0</v>
      </c>
      <c r="CZ26" s="34" t="n">
        <f aca="false">IF(CZ$15=1,INDEX(Vol_O,6,CZ$14)/12*(1+P_dVol),0)</f>
        <v>0</v>
      </c>
      <c r="DA26" s="34" t="n">
        <f aca="false">IF(DA$15=1,INDEX(Vol_O,6,DA$14)/12*(1+P_dVol),0)</f>
        <v>0</v>
      </c>
      <c r="DB26" s="34" t="n">
        <f aca="false">IF(DB$15=1,INDEX(Vol_O,6,DB$14)/12*(1+P_dVol),0)</f>
        <v>0</v>
      </c>
      <c r="DC26" s="34" t="n">
        <f aca="false">IF(DC$15=1,INDEX(Vol_O,6,DC$14)/12*(1+P_dVol),0)</f>
        <v>0</v>
      </c>
      <c r="DD26" s="34" t="n">
        <f aca="false">IF(DD$15=1,INDEX(Vol_O,6,DD$14)/12*(1+P_dVol),0)</f>
        <v>0</v>
      </c>
      <c r="DE26" s="34" t="n">
        <f aca="false">IF(DE$15=1,INDEX(Vol_O,6,DE$14)/12*(1+P_dVol),0)</f>
        <v>0</v>
      </c>
      <c r="DF26" s="34" t="n">
        <f aca="false">IF(DF$15=1,INDEX(Vol_O,6,DF$14)/12*(1+P_dVol),0)</f>
        <v>0</v>
      </c>
      <c r="DG26" s="34" t="n">
        <f aca="false">IF(DG$15=1,INDEX(Vol_O,6,DG$14)/12*(1+P_dVol),0)</f>
        <v>0</v>
      </c>
      <c r="DH26" s="34" t="n">
        <f aca="false">IF(DH$15=1,INDEX(Vol_O,6,DH$14)/12*(1+P_dVol),0)</f>
        <v>0</v>
      </c>
      <c r="DI26" s="34" t="n">
        <f aca="false">IF(DI$15=1,INDEX(Vol_O,6,DI$14)/12*(1+P_dVol),0)</f>
        <v>0</v>
      </c>
      <c r="DJ26" s="34" t="n">
        <f aca="false">IF(DJ$15=1,INDEX(Vol_O,6,DJ$14)/12*(1+P_dVol),0)</f>
        <v>0</v>
      </c>
      <c r="DK26" s="34" t="n">
        <f aca="false">IF(DK$15=1,INDEX(Vol_O,6,DK$14)/12*(1+P_dVol),0)</f>
        <v>0</v>
      </c>
      <c r="DL26" s="34" t="n">
        <f aca="false">IF(DL$15=1,INDEX(Vol_O,6,DL$14)/12*(1+P_dVol),0)</f>
        <v>0</v>
      </c>
      <c r="DM26" s="34" t="n">
        <f aca="false">IF(DM$15=1,INDEX(Vol_O,6,DM$14)/12*(1+P_dVol),0)</f>
        <v>0</v>
      </c>
      <c r="DN26" s="34" t="n">
        <f aca="false">IF(DN$15=1,INDEX(Vol_O,6,DN$14)/12*(1+P_dVol),0)</f>
        <v>0</v>
      </c>
      <c r="DO26" s="34" t="n">
        <f aca="false">IF(DO$15=1,INDEX(Vol_O,6,DO$14)/12*(1+P_dVol),0)</f>
        <v>0</v>
      </c>
      <c r="DP26" s="34" t="n">
        <f aca="false">IF(DP$15=1,INDEX(Vol_O,6,DP$14)/12*(1+P_dVol),0)</f>
        <v>0</v>
      </c>
      <c r="DQ26" s="34" t="n">
        <f aca="false">IF(DQ$15=1,INDEX(Vol_O,6,DQ$14)/12*(1+P_dVol),0)</f>
        <v>0</v>
      </c>
      <c r="DR26" s="34" t="n">
        <f aca="false">IF(DR$15=1,INDEX(Vol_O,6,DR$14)/12*(1+P_dVol),0)</f>
        <v>0</v>
      </c>
      <c r="DS26" s="34" t="n">
        <f aca="false">IF(DS$15=1,INDEX(Vol_O,6,DS$14)/12*(1+P_dVol),0)</f>
        <v>0</v>
      </c>
      <c r="DT26" s="34" t="n">
        <f aca="false">IF(DT$15=1,INDEX(Vol_O,6,DT$14)/12*(1+P_dVol),0)</f>
        <v>0</v>
      </c>
      <c r="DU26" s="34" t="n">
        <f aca="false">IF(DU$15=1,INDEX(Vol_O,6,DU$14)/12*(1+P_dVol),0)</f>
        <v>0</v>
      </c>
      <c r="DV26" s="34" t="n">
        <f aca="false">IF(DV$15=1,INDEX(Vol_O,6,DV$14)/12*(1+P_dVol),0)</f>
        <v>0</v>
      </c>
      <c r="DW26" s="34" t="n">
        <f aca="false">IF(DW$15=1,INDEX(Vol_O,6,DW$14)/12*(1+P_dVol),0)</f>
        <v>0</v>
      </c>
      <c r="DX26" s="34" t="n">
        <f aca="false">IF(DX$15=1,INDEX(Vol_O,6,DX$14)/12*(1+P_dVol),0)</f>
        <v>0</v>
      </c>
      <c r="DY26" s="34" t="n">
        <f aca="false">IF(DY$15=1,INDEX(Vol_O,6,DY$14)/12*(1+P_dVol),0)</f>
        <v>0</v>
      </c>
      <c r="DZ26" s="34" t="n">
        <f aca="false">IF(DZ$15=1,INDEX(Vol_O,6,DZ$14)/12*(1+P_dVol),0)</f>
        <v>0</v>
      </c>
      <c r="EA26" s="34" t="n">
        <f aca="false">IF(EA$15=1,INDEX(Vol_O,6,EA$14)/12*(1+P_dVol),0)</f>
        <v>0</v>
      </c>
      <c r="EB26" s="34" t="n">
        <f aca="false">IF(EB$15=1,INDEX(Vol_O,6,EB$14)/12*(1+P_dVol),0)</f>
        <v>0</v>
      </c>
      <c r="EC26" s="34" t="n">
        <f aca="false">IF(EC$15=1,INDEX(Vol_O,6,EC$14)/12*(1+P_dVol),0)</f>
        <v>0</v>
      </c>
      <c r="ED26" s="34" t="n">
        <f aca="false">IF(ED$15=1,INDEX(Vol_O,6,ED$14)/12*(1+P_dVol),0)</f>
        <v>0</v>
      </c>
      <c r="EE26" s="34" t="n">
        <f aca="false">IF(EE$15=1,INDEX(Vol_O,6,EE$14)/12*(1+P_dVol),0)</f>
        <v>0</v>
      </c>
      <c r="EF26" s="34" t="n">
        <f aca="false">IF(EF$15=1,INDEX(Vol_O,6,EF$14)/12*(1+P_dVol),0)</f>
        <v>0</v>
      </c>
      <c r="EG26" s="34" t="n">
        <f aca="false">IF(EG$15=1,INDEX(Vol_O,6,EG$14)/12*(1+P_dVol),0)</f>
        <v>0</v>
      </c>
      <c r="EH26" s="34" t="n">
        <f aca="false">IF(EH$15=1,INDEX(Vol_O,6,EH$14)/12*(1+P_dVol),0)</f>
        <v>0</v>
      </c>
      <c r="EI26" s="34" t="n">
        <f aca="false">IF(EI$15=1,INDEX(Vol_O,6,EI$14)/12*(1+P_dVol),0)</f>
        <v>0</v>
      </c>
      <c r="EJ26" s="34" t="n">
        <f aca="false">IF(EJ$15=1,INDEX(Vol_O,6,EJ$14)/12*(1+P_dVol),0)</f>
        <v>0</v>
      </c>
      <c r="EK26" s="34" t="n">
        <f aca="false">IF(EK$15=1,INDEX(Vol_O,6,EK$14)/12*(1+P_dVol),0)</f>
        <v>0</v>
      </c>
      <c r="EL26" s="34" t="n">
        <f aca="false">IF(EL$15=1,INDEX(Vol_O,6,EL$14)/12*(1+P_dVol),0)</f>
        <v>0</v>
      </c>
      <c r="EM26" s="34" t="n">
        <f aca="false">IF(EM$15=1,INDEX(Vol_O,6,EM$14)/12*(1+P_dVol),0)</f>
        <v>0</v>
      </c>
      <c r="EN26" s="34" t="n">
        <f aca="false">IF(EN$15=1,INDEX(Vol_O,6,EN$14)/12*(1+P_dVol),0)</f>
        <v>0</v>
      </c>
      <c r="EO26" s="34" t="n">
        <f aca="false">IF(EO$15=1,INDEX(Vol_O,6,EO$14)/12*(1+P_dVol),0)</f>
        <v>0</v>
      </c>
      <c r="EP26" s="34" t="n">
        <f aca="false">IF(EP$15=1,INDEX(Vol_O,6,EP$14)/12*(1+P_dVol),0)</f>
        <v>0</v>
      </c>
      <c r="EQ26" s="34" t="n">
        <f aca="false">IF(EQ$15=1,INDEX(Vol_O,6,EQ$14)/12*(1+P_dVol),0)</f>
        <v>0</v>
      </c>
      <c r="ER26" s="34" t="n">
        <f aca="false">IF(ER$15=1,INDEX(Vol_O,6,ER$14)/12*(1+P_dVol),0)</f>
        <v>0</v>
      </c>
      <c r="ES26" s="34" t="n">
        <f aca="false">IF(ES$15=1,INDEX(Vol_O,6,ES$14)/12*(1+P_dVol),0)</f>
        <v>0</v>
      </c>
    </row>
    <row r="27" customFormat="false" ht="15" hidden="false" customHeight="false" outlineLevel="0" collapsed="false">
      <c r="A27" s="2" t="s">
        <v>590</v>
      </c>
      <c r="B27" s="39" t="str">
        <f aca="false">IF(INDEX(Prod_Nombre,7)="","Producto 7",INDEX(Prod_Nombre,7))&amp;" — unidades"</f>
        <v>Producto 7 — unidades</v>
      </c>
      <c r="C27" s="6" t="s">
        <v>286</v>
      </c>
      <c r="E27" s="40" t="n">
        <f aca="false">SUM(F27:ES27)</f>
        <v>0</v>
      </c>
      <c r="F27" s="34" t="n">
        <f aca="false">IF(F$15=1,INDEX(Vol_O,7,F$14)/12*(1+P_dVol),0)</f>
        <v>0</v>
      </c>
      <c r="G27" s="34" t="n">
        <f aca="false">IF(G$15=1,INDEX(Vol_O,7,G$14)/12*(1+P_dVol),0)</f>
        <v>0</v>
      </c>
      <c r="H27" s="34" t="n">
        <f aca="false">IF(H$15=1,INDEX(Vol_O,7,H$14)/12*(1+P_dVol),0)</f>
        <v>0</v>
      </c>
      <c r="I27" s="34" t="n">
        <f aca="false">IF(I$15=1,INDEX(Vol_O,7,I$14)/12*(1+P_dVol),0)</f>
        <v>0</v>
      </c>
      <c r="J27" s="34" t="n">
        <f aca="false">IF(J$15=1,INDEX(Vol_O,7,J$14)/12*(1+P_dVol),0)</f>
        <v>0</v>
      </c>
      <c r="K27" s="34" t="n">
        <f aca="false">IF(K$15=1,INDEX(Vol_O,7,K$14)/12*(1+P_dVol),0)</f>
        <v>0</v>
      </c>
      <c r="L27" s="34" t="n">
        <f aca="false">IF(L$15=1,INDEX(Vol_O,7,L$14)/12*(1+P_dVol),0)</f>
        <v>0</v>
      </c>
      <c r="M27" s="34" t="n">
        <f aca="false">IF(M$15=1,INDEX(Vol_O,7,M$14)/12*(1+P_dVol),0)</f>
        <v>0</v>
      </c>
      <c r="N27" s="34" t="n">
        <f aca="false">IF(N$15=1,INDEX(Vol_O,7,N$14)/12*(1+P_dVol),0)</f>
        <v>0</v>
      </c>
      <c r="O27" s="34" t="n">
        <f aca="false">IF(O$15=1,INDEX(Vol_O,7,O$14)/12*(1+P_dVol),0)</f>
        <v>0</v>
      </c>
      <c r="P27" s="34" t="n">
        <f aca="false">IF(P$15=1,INDEX(Vol_O,7,P$14)/12*(1+P_dVol),0)</f>
        <v>0</v>
      </c>
      <c r="Q27" s="34" t="n">
        <f aca="false">IF(Q$15=1,INDEX(Vol_O,7,Q$14)/12*(1+P_dVol),0)</f>
        <v>0</v>
      </c>
      <c r="R27" s="34" t="n">
        <f aca="false">IF(R$15=1,INDEX(Vol_O,7,R$14)/12*(1+P_dVol),0)</f>
        <v>0</v>
      </c>
      <c r="S27" s="34" t="n">
        <f aca="false">IF(S$15=1,INDEX(Vol_O,7,S$14)/12*(1+P_dVol),0)</f>
        <v>0</v>
      </c>
      <c r="T27" s="34" t="n">
        <f aca="false">IF(T$15=1,INDEX(Vol_O,7,T$14)/12*(1+P_dVol),0)</f>
        <v>0</v>
      </c>
      <c r="U27" s="34" t="n">
        <f aca="false">IF(U$15=1,INDEX(Vol_O,7,U$14)/12*(1+P_dVol),0)</f>
        <v>0</v>
      </c>
      <c r="V27" s="34" t="n">
        <f aca="false">IF(V$15=1,INDEX(Vol_O,7,V$14)/12*(1+P_dVol),0)</f>
        <v>0</v>
      </c>
      <c r="W27" s="34" t="n">
        <f aca="false">IF(W$15=1,INDEX(Vol_O,7,W$14)/12*(1+P_dVol),0)</f>
        <v>0</v>
      </c>
      <c r="X27" s="34" t="n">
        <f aca="false">IF(X$15=1,INDEX(Vol_O,7,X$14)/12*(1+P_dVol),0)</f>
        <v>0</v>
      </c>
      <c r="Y27" s="34" t="n">
        <f aca="false">IF(Y$15=1,INDEX(Vol_O,7,Y$14)/12*(1+P_dVol),0)</f>
        <v>0</v>
      </c>
      <c r="Z27" s="34" t="n">
        <f aca="false">IF(Z$15=1,INDEX(Vol_O,7,Z$14)/12*(1+P_dVol),0)</f>
        <v>0</v>
      </c>
      <c r="AA27" s="34" t="n">
        <f aca="false">IF(AA$15=1,INDEX(Vol_O,7,AA$14)/12*(1+P_dVol),0)</f>
        <v>0</v>
      </c>
      <c r="AB27" s="34" t="n">
        <f aca="false">IF(AB$15=1,INDEX(Vol_O,7,AB$14)/12*(1+P_dVol),0)</f>
        <v>0</v>
      </c>
      <c r="AC27" s="34" t="n">
        <f aca="false">IF(AC$15=1,INDEX(Vol_O,7,AC$14)/12*(1+P_dVol),0)</f>
        <v>0</v>
      </c>
      <c r="AD27" s="34" t="n">
        <f aca="false">IF(AD$15=1,INDEX(Vol_O,7,AD$14)/12*(1+P_dVol),0)</f>
        <v>0</v>
      </c>
      <c r="AE27" s="34" t="n">
        <f aca="false">IF(AE$15=1,INDEX(Vol_O,7,AE$14)/12*(1+P_dVol),0)</f>
        <v>0</v>
      </c>
      <c r="AF27" s="34" t="n">
        <f aca="false">IF(AF$15=1,INDEX(Vol_O,7,AF$14)/12*(1+P_dVol),0)</f>
        <v>0</v>
      </c>
      <c r="AG27" s="34" t="n">
        <f aca="false">IF(AG$15=1,INDEX(Vol_O,7,AG$14)/12*(1+P_dVol),0)</f>
        <v>0</v>
      </c>
      <c r="AH27" s="34" t="n">
        <f aca="false">IF(AH$15=1,INDEX(Vol_O,7,AH$14)/12*(1+P_dVol),0)</f>
        <v>0</v>
      </c>
      <c r="AI27" s="34" t="n">
        <f aca="false">IF(AI$15=1,INDEX(Vol_O,7,AI$14)/12*(1+P_dVol),0)</f>
        <v>0</v>
      </c>
      <c r="AJ27" s="34" t="n">
        <f aca="false">IF(AJ$15=1,INDEX(Vol_O,7,AJ$14)/12*(1+P_dVol),0)</f>
        <v>0</v>
      </c>
      <c r="AK27" s="34" t="n">
        <f aca="false">IF(AK$15=1,INDEX(Vol_O,7,AK$14)/12*(1+P_dVol),0)</f>
        <v>0</v>
      </c>
      <c r="AL27" s="34" t="n">
        <f aca="false">IF(AL$15=1,INDEX(Vol_O,7,AL$14)/12*(1+P_dVol),0)</f>
        <v>0</v>
      </c>
      <c r="AM27" s="34" t="n">
        <f aca="false">IF(AM$15=1,INDEX(Vol_O,7,AM$14)/12*(1+P_dVol),0)</f>
        <v>0</v>
      </c>
      <c r="AN27" s="34" t="n">
        <f aca="false">IF(AN$15=1,INDEX(Vol_O,7,AN$14)/12*(1+P_dVol),0)</f>
        <v>0</v>
      </c>
      <c r="AO27" s="34" t="n">
        <f aca="false">IF(AO$15=1,INDEX(Vol_O,7,AO$14)/12*(1+P_dVol),0)</f>
        <v>0</v>
      </c>
      <c r="AP27" s="34" t="n">
        <f aca="false">IF(AP$15=1,INDEX(Vol_O,7,AP$14)/12*(1+P_dVol),0)</f>
        <v>0</v>
      </c>
      <c r="AQ27" s="34" t="n">
        <f aca="false">IF(AQ$15=1,INDEX(Vol_O,7,AQ$14)/12*(1+P_dVol),0)</f>
        <v>0</v>
      </c>
      <c r="AR27" s="34" t="n">
        <f aca="false">IF(AR$15=1,INDEX(Vol_O,7,AR$14)/12*(1+P_dVol),0)</f>
        <v>0</v>
      </c>
      <c r="AS27" s="34" t="n">
        <f aca="false">IF(AS$15=1,INDEX(Vol_O,7,AS$14)/12*(1+P_dVol),0)</f>
        <v>0</v>
      </c>
      <c r="AT27" s="34" t="n">
        <f aca="false">IF(AT$15=1,INDEX(Vol_O,7,AT$14)/12*(1+P_dVol),0)</f>
        <v>0</v>
      </c>
      <c r="AU27" s="34" t="n">
        <f aca="false">IF(AU$15=1,INDEX(Vol_O,7,AU$14)/12*(1+P_dVol),0)</f>
        <v>0</v>
      </c>
      <c r="AV27" s="34" t="n">
        <f aca="false">IF(AV$15=1,INDEX(Vol_O,7,AV$14)/12*(1+P_dVol),0)</f>
        <v>0</v>
      </c>
      <c r="AW27" s="34" t="n">
        <f aca="false">IF(AW$15=1,INDEX(Vol_O,7,AW$14)/12*(1+P_dVol),0)</f>
        <v>0</v>
      </c>
      <c r="AX27" s="34" t="n">
        <f aca="false">IF(AX$15=1,INDEX(Vol_O,7,AX$14)/12*(1+P_dVol),0)</f>
        <v>0</v>
      </c>
      <c r="AY27" s="34" t="n">
        <f aca="false">IF(AY$15=1,INDEX(Vol_O,7,AY$14)/12*(1+P_dVol),0)</f>
        <v>0</v>
      </c>
      <c r="AZ27" s="34" t="n">
        <f aca="false">IF(AZ$15=1,INDEX(Vol_O,7,AZ$14)/12*(1+P_dVol),0)</f>
        <v>0</v>
      </c>
      <c r="BA27" s="34" t="n">
        <f aca="false">IF(BA$15=1,INDEX(Vol_O,7,BA$14)/12*(1+P_dVol),0)</f>
        <v>0</v>
      </c>
      <c r="BB27" s="34" t="n">
        <f aca="false">IF(BB$15=1,INDEX(Vol_O,7,BB$14)/12*(1+P_dVol),0)</f>
        <v>0</v>
      </c>
      <c r="BC27" s="34" t="n">
        <f aca="false">IF(BC$15=1,INDEX(Vol_O,7,BC$14)/12*(1+P_dVol),0)</f>
        <v>0</v>
      </c>
      <c r="BD27" s="34" t="n">
        <f aca="false">IF(BD$15=1,INDEX(Vol_O,7,BD$14)/12*(1+P_dVol),0)</f>
        <v>0</v>
      </c>
      <c r="BE27" s="34" t="n">
        <f aca="false">IF(BE$15=1,INDEX(Vol_O,7,BE$14)/12*(1+P_dVol),0)</f>
        <v>0</v>
      </c>
      <c r="BF27" s="34" t="n">
        <f aca="false">IF(BF$15=1,INDEX(Vol_O,7,BF$14)/12*(1+P_dVol),0)</f>
        <v>0</v>
      </c>
      <c r="BG27" s="34" t="n">
        <f aca="false">IF(BG$15=1,INDEX(Vol_O,7,BG$14)/12*(1+P_dVol),0)</f>
        <v>0</v>
      </c>
      <c r="BH27" s="34" t="n">
        <f aca="false">IF(BH$15=1,INDEX(Vol_O,7,BH$14)/12*(1+P_dVol),0)</f>
        <v>0</v>
      </c>
      <c r="BI27" s="34" t="n">
        <f aca="false">IF(BI$15=1,INDEX(Vol_O,7,BI$14)/12*(1+P_dVol),0)</f>
        <v>0</v>
      </c>
      <c r="BJ27" s="34" t="n">
        <f aca="false">IF(BJ$15=1,INDEX(Vol_O,7,BJ$14)/12*(1+P_dVol),0)</f>
        <v>0</v>
      </c>
      <c r="BK27" s="34" t="n">
        <f aca="false">IF(BK$15=1,INDEX(Vol_O,7,BK$14)/12*(1+P_dVol),0)</f>
        <v>0</v>
      </c>
      <c r="BL27" s="34" t="n">
        <f aca="false">IF(BL$15=1,INDEX(Vol_O,7,BL$14)/12*(1+P_dVol),0)</f>
        <v>0</v>
      </c>
      <c r="BM27" s="34" t="n">
        <f aca="false">IF(BM$15=1,INDEX(Vol_O,7,BM$14)/12*(1+P_dVol),0)</f>
        <v>0</v>
      </c>
      <c r="BN27" s="34" t="n">
        <f aca="false">IF(BN$15=1,INDEX(Vol_O,7,BN$14)/12*(1+P_dVol),0)</f>
        <v>0</v>
      </c>
      <c r="BO27" s="34" t="n">
        <f aca="false">IF(BO$15=1,INDEX(Vol_O,7,BO$14)/12*(1+P_dVol),0)</f>
        <v>0</v>
      </c>
      <c r="BP27" s="34" t="n">
        <f aca="false">IF(BP$15=1,INDEX(Vol_O,7,BP$14)/12*(1+P_dVol),0)</f>
        <v>0</v>
      </c>
      <c r="BQ27" s="34" t="n">
        <f aca="false">IF(BQ$15=1,INDEX(Vol_O,7,BQ$14)/12*(1+P_dVol),0)</f>
        <v>0</v>
      </c>
      <c r="BR27" s="34" t="n">
        <f aca="false">IF(BR$15=1,INDEX(Vol_O,7,BR$14)/12*(1+P_dVol),0)</f>
        <v>0</v>
      </c>
      <c r="BS27" s="34" t="n">
        <f aca="false">IF(BS$15=1,INDEX(Vol_O,7,BS$14)/12*(1+P_dVol),0)</f>
        <v>0</v>
      </c>
      <c r="BT27" s="34" t="n">
        <f aca="false">IF(BT$15=1,INDEX(Vol_O,7,BT$14)/12*(1+P_dVol),0)</f>
        <v>0</v>
      </c>
      <c r="BU27" s="34" t="n">
        <f aca="false">IF(BU$15=1,INDEX(Vol_O,7,BU$14)/12*(1+P_dVol),0)</f>
        <v>0</v>
      </c>
      <c r="BV27" s="34" t="n">
        <f aca="false">IF(BV$15=1,INDEX(Vol_O,7,BV$14)/12*(1+P_dVol),0)</f>
        <v>0</v>
      </c>
      <c r="BW27" s="34" t="n">
        <f aca="false">IF(BW$15=1,INDEX(Vol_O,7,BW$14)/12*(1+P_dVol),0)</f>
        <v>0</v>
      </c>
      <c r="BX27" s="34" t="n">
        <f aca="false">IF(BX$15=1,INDEX(Vol_O,7,BX$14)/12*(1+P_dVol),0)</f>
        <v>0</v>
      </c>
      <c r="BY27" s="34" t="n">
        <f aca="false">IF(BY$15=1,INDEX(Vol_O,7,BY$14)/12*(1+P_dVol),0)</f>
        <v>0</v>
      </c>
      <c r="BZ27" s="34" t="n">
        <f aca="false">IF(BZ$15=1,INDEX(Vol_O,7,BZ$14)/12*(1+P_dVol),0)</f>
        <v>0</v>
      </c>
      <c r="CA27" s="34" t="n">
        <f aca="false">IF(CA$15=1,INDEX(Vol_O,7,CA$14)/12*(1+P_dVol),0)</f>
        <v>0</v>
      </c>
      <c r="CB27" s="34" t="n">
        <f aca="false">IF(CB$15=1,INDEX(Vol_O,7,CB$14)/12*(1+P_dVol),0)</f>
        <v>0</v>
      </c>
      <c r="CC27" s="34" t="n">
        <f aca="false">IF(CC$15=1,INDEX(Vol_O,7,CC$14)/12*(1+P_dVol),0)</f>
        <v>0</v>
      </c>
      <c r="CD27" s="34" t="n">
        <f aca="false">IF(CD$15=1,INDEX(Vol_O,7,CD$14)/12*(1+P_dVol),0)</f>
        <v>0</v>
      </c>
      <c r="CE27" s="34" t="n">
        <f aca="false">IF(CE$15=1,INDEX(Vol_O,7,CE$14)/12*(1+P_dVol),0)</f>
        <v>0</v>
      </c>
      <c r="CF27" s="34" t="n">
        <f aca="false">IF(CF$15=1,INDEX(Vol_O,7,CF$14)/12*(1+P_dVol),0)</f>
        <v>0</v>
      </c>
      <c r="CG27" s="34" t="n">
        <f aca="false">IF(CG$15=1,INDEX(Vol_O,7,CG$14)/12*(1+P_dVol),0)</f>
        <v>0</v>
      </c>
      <c r="CH27" s="34" t="n">
        <f aca="false">IF(CH$15=1,INDEX(Vol_O,7,CH$14)/12*(1+P_dVol),0)</f>
        <v>0</v>
      </c>
      <c r="CI27" s="34" t="n">
        <f aca="false">IF(CI$15=1,INDEX(Vol_O,7,CI$14)/12*(1+P_dVol),0)</f>
        <v>0</v>
      </c>
      <c r="CJ27" s="34" t="n">
        <f aca="false">IF(CJ$15=1,INDEX(Vol_O,7,CJ$14)/12*(1+P_dVol),0)</f>
        <v>0</v>
      </c>
      <c r="CK27" s="34" t="n">
        <f aca="false">IF(CK$15=1,INDEX(Vol_O,7,CK$14)/12*(1+P_dVol),0)</f>
        <v>0</v>
      </c>
      <c r="CL27" s="34" t="n">
        <f aca="false">IF(CL$15=1,INDEX(Vol_O,7,CL$14)/12*(1+P_dVol),0)</f>
        <v>0</v>
      </c>
      <c r="CM27" s="34" t="n">
        <f aca="false">IF(CM$15=1,INDEX(Vol_O,7,CM$14)/12*(1+P_dVol),0)</f>
        <v>0</v>
      </c>
      <c r="CN27" s="34" t="n">
        <f aca="false">IF(CN$15=1,INDEX(Vol_O,7,CN$14)/12*(1+P_dVol),0)</f>
        <v>0</v>
      </c>
      <c r="CO27" s="34" t="n">
        <f aca="false">IF(CO$15=1,INDEX(Vol_O,7,CO$14)/12*(1+P_dVol),0)</f>
        <v>0</v>
      </c>
      <c r="CP27" s="34" t="n">
        <f aca="false">IF(CP$15=1,INDEX(Vol_O,7,CP$14)/12*(1+P_dVol),0)</f>
        <v>0</v>
      </c>
      <c r="CQ27" s="34" t="n">
        <f aca="false">IF(CQ$15=1,INDEX(Vol_O,7,CQ$14)/12*(1+P_dVol),0)</f>
        <v>0</v>
      </c>
      <c r="CR27" s="34" t="n">
        <f aca="false">IF(CR$15=1,INDEX(Vol_O,7,CR$14)/12*(1+P_dVol),0)</f>
        <v>0</v>
      </c>
      <c r="CS27" s="34" t="n">
        <f aca="false">IF(CS$15=1,INDEX(Vol_O,7,CS$14)/12*(1+P_dVol),0)</f>
        <v>0</v>
      </c>
      <c r="CT27" s="34" t="n">
        <f aca="false">IF(CT$15=1,INDEX(Vol_O,7,CT$14)/12*(1+P_dVol),0)</f>
        <v>0</v>
      </c>
      <c r="CU27" s="34" t="n">
        <f aca="false">IF(CU$15=1,INDEX(Vol_O,7,CU$14)/12*(1+P_dVol),0)</f>
        <v>0</v>
      </c>
      <c r="CV27" s="34" t="n">
        <f aca="false">IF(CV$15=1,INDEX(Vol_O,7,CV$14)/12*(1+P_dVol),0)</f>
        <v>0</v>
      </c>
      <c r="CW27" s="34" t="n">
        <f aca="false">IF(CW$15=1,INDEX(Vol_O,7,CW$14)/12*(1+P_dVol),0)</f>
        <v>0</v>
      </c>
      <c r="CX27" s="34" t="n">
        <f aca="false">IF(CX$15=1,INDEX(Vol_O,7,CX$14)/12*(1+P_dVol),0)</f>
        <v>0</v>
      </c>
      <c r="CY27" s="34" t="n">
        <f aca="false">IF(CY$15=1,INDEX(Vol_O,7,CY$14)/12*(1+P_dVol),0)</f>
        <v>0</v>
      </c>
      <c r="CZ27" s="34" t="n">
        <f aca="false">IF(CZ$15=1,INDEX(Vol_O,7,CZ$14)/12*(1+P_dVol),0)</f>
        <v>0</v>
      </c>
      <c r="DA27" s="34" t="n">
        <f aca="false">IF(DA$15=1,INDEX(Vol_O,7,DA$14)/12*(1+P_dVol),0)</f>
        <v>0</v>
      </c>
      <c r="DB27" s="34" t="n">
        <f aca="false">IF(DB$15=1,INDEX(Vol_O,7,DB$14)/12*(1+P_dVol),0)</f>
        <v>0</v>
      </c>
      <c r="DC27" s="34" t="n">
        <f aca="false">IF(DC$15=1,INDEX(Vol_O,7,DC$14)/12*(1+P_dVol),0)</f>
        <v>0</v>
      </c>
      <c r="DD27" s="34" t="n">
        <f aca="false">IF(DD$15=1,INDEX(Vol_O,7,DD$14)/12*(1+P_dVol),0)</f>
        <v>0</v>
      </c>
      <c r="DE27" s="34" t="n">
        <f aca="false">IF(DE$15=1,INDEX(Vol_O,7,DE$14)/12*(1+P_dVol),0)</f>
        <v>0</v>
      </c>
      <c r="DF27" s="34" t="n">
        <f aca="false">IF(DF$15=1,INDEX(Vol_O,7,DF$14)/12*(1+P_dVol),0)</f>
        <v>0</v>
      </c>
      <c r="DG27" s="34" t="n">
        <f aca="false">IF(DG$15=1,INDEX(Vol_O,7,DG$14)/12*(1+P_dVol),0)</f>
        <v>0</v>
      </c>
      <c r="DH27" s="34" t="n">
        <f aca="false">IF(DH$15=1,INDEX(Vol_O,7,DH$14)/12*(1+P_dVol),0)</f>
        <v>0</v>
      </c>
      <c r="DI27" s="34" t="n">
        <f aca="false">IF(DI$15=1,INDEX(Vol_O,7,DI$14)/12*(1+P_dVol),0)</f>
        <v>0</v>
      </c>
      <c r="DJ27" s="34" t="n">
        <f aca="false">IF(DJ$15=1,INDEX(Vol_O,7,DJ$14)/12*(1+P_dVol),0)</f>
        <v>0</v>
      </c>
      <c r="DK27" s="34" t="n">
        <f aca="false">IF(DK$15=1,INDEX(Vol_O,7,DK$14)/12*(1+P_dVol),0)</f>
        <v>0</v>
      </c>
      <c r="DL27" s="34" t="n">
        <f aca="false">IF(DL$15=1,INDEX(Vol_O,7,DL$14)/12*(1+P_dVol),0)</f>
        <v>0</v>
      </c>
      <c r="DM27" s="34" t="n">
        <f aca="false">IF(DM$15=1,INDEX(Vol_O,7,DM$14)/12*(1+P_dVol),0)</f>
        <v>0</v>
      </c>
      <c r="DN27" s="34" t="n">
        <f aca="false">IF(DN$15=1,INDEX(Vol_O,7,DN$14)/12*(1+P_dVol),0)</f>
        <v>0</v>
      </c>
      <c r="DO27" s="34" t="n">
        <f aca="false">IF(DO$15=1,INDEX(Vol_O,7,DO$14)/12*(1+P_dVol),0)</f>
        <v>0</v>
      </c>
      <c r="DP27" s="34" t="n">
        <f aca="false">IF(DP$15=1,INDEX(Vol_O,7,DP$14)/12*(1+P_dVol),0)</f>
        <v>0</v>
      </c>
      <c r="DQ27" s="34" t="n">
        <f aca="false">IF(DQ$15=1,INDEX(Vol_O,7,DQ$14)/12*(1+P_dVol),0)</f>
        <v>0</v>
      </c>
      <c r="DR27" s="34" t="n">
        <f aca="false">IF(DR$15=1,INDEX(Vol_O,7,DR$14)/12*(1+P_dVol),0)</f>
        <v>0</v>
      </c>
      <c r="DS27" s="34" t="n">
        <f aca="false">IF(DS$15=1,INDEX(Vol_O,7,DS$14)/12*(1+P_dVol),0)</f>
        <v>0</v>
      </c>
      <c r="DT27" s="34" t="n">
        <f aca="false">IF(DT$15=1,INDEX(Vol_O,7,DT$14)/12*(1+P_dVol),0)</f>
        <v>0</v>
      </c>
      <c r="DU27" s="34" t="n">
        <f aca="false">IF(DU$15=1,INDEX(Vol_O,7,DU$14)/12*(1+P_dVol),0)</f>
        <v>0</v>
      </c>
      <c r="DV27" s="34" t="n">
        <f aca="false">IF(DV$15=1,INDEX(Vol_O,7,DV$14)/12*(1+P_dVol),0)</f>
        <v>0</v>
      </c>
      <c r="DW27" s="34" t="n">
        <f aca="false">IF(DW$15=1,INDEX(Vol_O,7,DW$14)/12*(1+P_dVol),0)</f>
        <v>0</v>
      </c>
      <c r="DX27" s="34" t="n">
        <f aca="false">IF(DX$15=1,INDEX(Vol_O,7,DX$14)/12*(1+P_dVol),0)</f>
        <v>0</v>
      </c>
      <c r="DY27" s="34" t="n">
        <f aca="false">IF(DY$15=1,INDEX(Vol_O,7,DY$14)/12*(1+P_dVol),0)</f>
        <v>0</v>
      </c>
      <c r="DZ27" s="34" t="n">
        <f aca="false">IF(DZ$15=1,INDEX(Vol_O,7,DZ$14)/12*(1+P_dVol),0)</f>
        <v>0</v>
      </c>
      <c r="EA27" s="34" t="n">
        <f aca="false">IF(EA$15=1,INDEX(Vol_O,7,EA$14)/12*(1+P_dVol),0)</f>
        <v>0</v>
      </c>
      <c r="EB27" s="34" t="n">
        <f aca="false">IF(EB$15=1,INDEX(Vol_O,7,EB$14)/12*(1+P_dVol),0)</f>
        <v>0</v>
      </c>
      <c r="EC27" s="34" t="n">
        <f aca="false">IF(EC$15=1,INDEX(Vol_O,7,EC$14)/12*(1+P_dVol),0)</f>
        <v>0</v>
      </c>
      <c r="ED27" s="34" t="n">
        <f aca="false">IF(ED$15=1,INDEX(Vol_O,7,ED$14)/12*(1+P_dVol),0)</f>
        <v>0</v>
      </c>
      <c r="EE27" s="34" t="n">
        <f aca="false">IF(EE$15=1,INDEX(Vol_O,7,EE$14)/12*(1+P_dVol),0)</f>
        <v>0</v>
      </c>
      <c r="EF27" s="34" t="n">
        <f aca="false">IF(EF$15=1,INDEX(Vol_O,7,EF$14)/12*(1+P_dVol),0)</f>
        <v>0</v>
      </c>
      <c r="EG27" s="34" t="n">
        <f aca="false">IF(EG$15=1,INDEX(Vol_O,7,EG$14)/12*(1+P_dVol),0)</f>
        <v>0</v>
      </c>
      <c r="EH27" s="34" t="n">
        <f aca="false">IF(EH$15=1,INDEX(Vol_O,7,EH$14)/12*(1+P_dVol),0)</f>
        <v>0</v>
      </c>
      <c r="EI27" s="34" t="n">
        <f aca="false">IF(EI$15=1,INDEX(Vol_O,7,EI$14)/12*(1+P_dVol),0)</f>
        <v>0</v>
      </c>
      <c r="EJ27" s="34" t="n">
        <f aca="false">IF(EJ$15=1,INDEX(Vol_O,7,EJ$14)/12*(1+P_dVol),0)</f>
        <v>0</v>
      </c>
      <c r="EK27" s="34" t="n">
        <f aca="false">IF(EK$15=1,INDEX(Vol_O,7,EK$14)/12*(1+P_dVol),0)</f>
        <v>0</v>
      </c>
      <c r="EL27" s="34" t="n">
        <f aca="false">IF(EL$15=1,INDEX(Vol_O,7,EL$14)/12*(1+P_dVol),0)</f>
        <v>0</v>
      </c>
      <c r="EM27" s="34" t="n">
        <f aca="false">IF(EM$15=1,INDEX(Vol_O,7,EM$14)/12*(1+P_dVol),0)</f>
        <v>0</v>
      </c>
      <c r="EN27" s="34" t="n">
        <f aca="false">IF(EN$15=1,INDEX(Vol_O,7,EN$14)/12*(1+P_dVol),0)</f>
        <v>0</v>
      </c>
      <c r="EO27" s="34" t="n">
        <f aca="false">IF(EO$15=1,INDEX(Vol_O,7,EO$14)/12*(1+P_dVol),0)</f>
        <v>0</v>
      </c>
      <c r="EP27" s="34" t="n">
        <f aca="false">IF(EP$15=1,INDEX(Vol_O,7,EP$14)/12*(1+P_dVol),0)</f>
        <v>0</v>
      </c>
      <c r="EQ27" s="34" t="n">
        <f aca="false">IF(EQ$15=1,INDEX(Vol_O,7,EQ$14)/12*(1+P_dVol),0)</f>
        <v>0</v>
      </c>
      <c r="ER27" s="34" t="n">
        <f aca="false">IF(ER$15=1,INDEX(Vol_O,7,ER$14)/12*(1+P_dVol),0)</f>
        <v>0</v>
      </c>
      <c r="ES27" s="34" t="n">
        <f aca="false">IF(ES$15=1,INDEX(Vol_O,7,ES$14)/12*(1+P_dVol),0)</f>
        <v>0</v>
      </c>
    </row>
    <row r="28" customFormat="false" ht="15" hidden="false" customHeight="false" outlineLevel="0" collapsed="false">
      <c r="A28" s="2" t="s">
        <v>591</v>
      </c>
      <c r="B28" s="39" t="str">
        <f aca="false">IF(INDEX(Prod_Nombre,8)="","Producto 8",INDEX(Prod_Nombre,8))&amp;" — unidades"</f>
        <v>Producto 8 — unidades</v>
      </c>
      <c r="C28" s="6" t="s">
        <v>286</v>
      </c>
      <c r="E28" s="40" t="n">
        <f aca="false">SUM(F28:ES28)</f>
        <v>0</v>
      </c>
      <c r="F28" s="34" t="n">
        <f aca="false">IF(F$15=1,INDEX(Vol_O,8,F$14)/12*(1+P_dVol),0)</f>
        <v>0</v>
      </c>
      <c r="G28" s="34" t="n">
        <f aca="false">IF(G$15=1,INDEX(Vol_O,8,G$14)/12*(1+P_dVol),0)</f>
        <v>0</v>
      </c>
      <c r="H28" s="34" t="n">
        <f aca="false">IF(H$15=1,INDEX(Vol_O,8,H$14)/12*(1+P_dVol),0)</f>
        <v>0</v>
      </c>
      <c r="I28" s="34" t="n">
        <f aca="false">IF(I$15=1,INDEX(Vol_O,8,I$14)/12*(1+P_dVol),0)</f>
        <v>0</v>
      </c>
      <c r="J28" s="34" t="n">
        <f aca="false">IF(J$15=1,INDEX(Vol_O,8,J$14)/12*(1+P_dVol),0)</f>
        <v>0</v>
      </c>
      <c r="K28" s="34" t="n">
        <f aca="false">IF(K$15=1,INDEX(Vol_O,8,K$14)/12*(1+P_dVol),0)</f>
        <v>0</v>
      </c>
      <c r="L28" s="34" t="n">
        <f aca="false">IF(L$15=1,INDEX(Vol_O,8,L$14)/12*(1+P_dVol),0)</f>
        <v>0</v>
      </c>
      <c r="M28" s="34" t="n">
        <f aca="false">IF(M$15=1,INDEX(Vol_O,8,M$14)/12*(1+P_dVol),0)</f>
        <v>0</v>
      </c>
      <c r="N28" s="34" t="n">
        <f aca="false">IF(N$15=1,INDEX(Vol_O,8,N$14)/12*(1+P_dVol),0)</f>
        <v>0</v>
      </c>
      <c r="O28" s="34" t="n">
        <f aca="false">IF(O$15=1,INDEX(Vol_O,8,O$14)/12*(1+P_dVol),0)</f>
        <v>0</v>
      </c>
      <c r="P28" s="34" t="n">
        <f aca="false">IF(P$15=1,INDEX(Vol_O,8,P$14)/12*(1+P_dVol),0)</f>
        <v>0</v>
      </c>
      <c r="Q28" s="34" t="n">
        <f aca="false">IF(Q$15=1,INDEX(Vol_O,8,Q$14)/12*(1+P_dVol),0)</f>
        <v>0</v>
      </c>
      <c r="R28" s="34" t="n">
        <f aca="false">IF(R$15=1,INDEX(Vol_O,8,R$14)/12*(1+P_dVol),0)</f>
        <v>0</v>
      </c>
      <c r="S28" s="34" t="n">
        <f aca="false">IF(S$15=1,INDEX(Vol_O,8,S$14)/12*(1+P_dVol),0)</f>
        <v>0</v>
      </c>
      <c r="T28" s="34" t="n">
        <f aca="false">IF(T$15=1,INDEX(Vol_O,8,T$14)/12*(1+P_dVol),0)</f>
        <v>0</v>
      </c>
      <c r="U28" s="34" t="n">
        <f aca="false">IF(U$15=1,INDEX(Vol_O,8,U$14)/12*(1+P_dVol),0)</f>
        <v>0</v>
      </c>
      <c r="V28" s="34" t="n">
        <f aca="false">IF(V$15=1,INDEX(Vol_O,8,V$14)/12*(1+P_dVol),0)</f>
        <v>0</v>
      </c>
      <c r="W28" s="34" t="n">
        <f aca="false">IF(W$15=1,INDEX(Vol_O,8,W$14)/12*(1+P_dVol),0)</f>
        <v>0</v>
      </c>
      <c r="X28" s="34" t="n">
        <f aca="false">IF(X$15=1,INDEX(Vol_O,8,X$14)/12*(1+P_dVol),0)</f>
        <v>0</v>
      </c>
      <c r="Y28" s="34" t="n">
        <f aca="false">IF(Y$15=1,INDEX(Vol_O,8,Y$14)/12*(1+P_dVol),0)</f>
        <v>0</v>
      </c>
      <c r="Z28" s="34" t="n">
        <f aca="false">IF(Z$15=1,INDEX(Vol_O,8,Z$14)/12*(1+P_dVol),0)</f>
        <v>0</v>
      </c>
      <c r="AA28" s="34" t="n">
        <f aca="false">IF(AA$15=1,INDEX(Vol_O,8,AA$14)/12*(1+P_dVol),0)</f>
        <v>0</v>
      </c>
      <c r="AB28" s="34" t="n">
        <f aca="false">IF(AB$15=1,INDEX(Vol_O,8,AB$14)/12*(1+P_dVol),0)</f>
        <v>0</v>
      </c>
      <c r="AC28" s="34" t="n">
        <f aca="false">IF(AC$15=1,INDEX(Vol_O,8,AC$14)/12*(1+P_dVol),0)</f>
        <v>0</v>
      </c>
      <c r="AD28" s="34" t="n">
        <f aca="false">IF(AD$15=1,INDEX(Vol_O,8,AD$14)/12*(1+P_dVol),0)</f>
        <v>0</v>
      </c>
      <c r="AE28" s="34" t="n">
        <f aca="false">IF(AE$15=1,INDEX(Vol_O,8,AE$14)/12*(1+P_dVol),0)</f>
        <v>0</v>
      </c>
      <c r="AF28" s="34" t="n">
        <f aca="false">IF(AF$15=1,INDEX(Vol_O,8,AF$14)/12*(1+P_dVol),0)</f>
        <v>0</v>
      </c>
      <c r="AG28" s="34" t="n">
        <f aca="false">IF(AG$15=1,INDEX(Vol_O,8,AG$14)/12*(1+P_dVol),0)</f>
        <v>0</v>
      </c>
      <c r="AH28" s="34" t="n">
        <f aca="false">IF(AH$15=1,INDEX(Vol_O,8,AH$14)/12*(1+P_dVol),0)</f>
        <v>0</v>
      </c>
      <c r="AI28" s="34" t="n">
        <f aca="false">IF(AI$15=1,INDEX(Vol_O,8,AI$14)/12*(1+P_dVol),0)</f>
        <v>0</v>
      </c>
      <c r="AJ28" s="34" t="n">
        <f aca="false">IF(AJ$15=1,INDEX(Vol_O,8,AJ$14)/12*(1+P_dVol),0)</f>
        <v>0</v>
      </c>
      <c r="AK28" s="34" t="n">
        <f aca="false">IF(AK$15=1,INDEX(Vol_O,8,AK$14)/12*(1+P_dVol),0)</f>
        <v>0</v>
      </c>
      <c r="AL28" s="34" t="n">
        <f aca="false">IF(AL$15=1,INDEX(Vol_O,8,AL$14)/12*(1+P_dVol),0)</f>
        <v>0</v>
      </c>
      <c r="AM28" s="34" t="n">
        <f aca="false">IF(AM$15=1,INDEX(Vol_O,8,AM$14)/12*(1+P_dVol),0)</f>
        <v>0</v>
      </c>
      <c r="AN28" s="34" t="n">
        <f aca="false">IF(AN$15=1,INDEX(Vol_O,8,AN$14)/12*(1+P_dVol),0)</f>
        <v>0</v>
      </c>
      <c r="AO28" s="34" t="n">
        <f aca="false">IF(AO$15=1,INDEX(Vol_O,8,AO$14)/12*(1+P_dVol),0)</f>
        <v>0</v>
      </c>
      <c r="AP28" s="34" t="n">
        <f aca="false">IF(AP$15=1,INDEX(Vol_O,8,AP$14)/12*(1+P_dVol),0)</f>
        <v>0</v>
      </c>
      <c r="AQ28" s="34" t="n">
        <f aca="false">IF(AQ$15=1,INDEX(Vol_O,8,AQ$14)/12*(1+P_dVol),0)</f>
        <v>0</v>
      </c>
      <c r="AR28" s="34" t="n">
        <f aca="false">IF(AR$15=1,INDEX(Vol_O,8,AR$14)/12*(1+P_dVol),0)</f>
        <v>0</v>
      </c>
      <c r="AS28" s="34" t="n">
        <f aca="false">IF(AS$15=1,INDEX(Vol_O,8,AS$14)/12*(1+P_dVol),0)</f>
        <v>0</v>
      </c>
      <c r="AT28" s="34" t="n">
        <f aca="false">IF(AT$15=1,INDEX(Vol_O,8,AT$14)/12*(1+P_dVol),0)</f>
        <v>0</v>
      </c>
      <c r="AU28" s="34" t="n">
        <f aca="false">IF(AU$15=1,INDEX(Vol_O,8,AU$14)/12*(1+P_dVol),0)</f>
        <v>0</v>
      </c>
      <c r="AV28" s="34" t="n">
        <f aca="false">IF(AV$15=1,INDEX(Vol_O,8,AV$14)/12*(1+P_dVol),0)</f>
        <v>0</v>
      </c>
      <c r="AW28" s="34" t="n">
        <f aca="false">IF(AW$15=1,INDEX(Vol_O,8,AW$14)/12*(1+P_dVol),0)</f>
        <v>0</v>
      </c>
      <c r="AX28" s="34" t="n">
        <f aca="false">IF(AX$15=1,INDEX(Vol_O,8,AX$14)/12*(1+P_dVol),0)</f>
        <v>0</v>
      </c>
      <c r="AY28" s="34" t="n">
        <f aca="false">IF(AY$15=1,INDEX(Vol_O,8,AY$14)/12*(1+P_dVol),0)</f>
        <v>0</v>
      </c>
      <c r="AZ28" s="34" t="n">
        <f aca="false">IF(AZ$15=1,INDEX(Vol_O,8,AZ$14)/12*(1+P_dVol),0)</f>
        <v>0</v>
      </c>
      <c r="BA28" s="34" t="n">
        <f aca="false">IF(BA$15=1,INDEX(Vol_O,8,BA$14)/12*(1+P_dVol),0)</f>
        <v>0</v>
      </c>
      <c r="BB28" s="34" t="n">
        <f aca="false">IF(BB$15=1,INDEX(Vol_O,8,BB$14)/12*(1+P_dVol),0)</f>
        <v>0</v>
      </c>
      <c r="BC28" s="34" t="n">
        <f aca="false">IF(BC$15=1,INDEX(Vol_O,8,BC$14)/12*(1+P_dVol),0)</f>
        <v>0</v>
      </c>
      <c r="BD28" s="34" t="n">
        <f aca="false">IF(BD$15=1,INDEX(Vol_O,8,BD$14)/12*(1+P_dVol),0)</f>
        <v>0</v>
      </c>
      <c r="BE28" s="34" t="n">
        <f aca="false">IF(BE$15=1,INDEX(Vol_O,8,BE$14)/12*(1+P_dVol),0)</f>
        <v>0</v>
      </c>
      <c r="BF28" s="34" t="n">
        <f aca="false">IF(BF$15=1,INDEX(Vol_O,8,BF$14)/12*(1+P_dVol),0)</f>
        <v>0</v>
      </c>
      <c r="BG28" s="34" t="n">
        <f aca="false">IF(BG$15=1,INDEX(Vol_O,8,BG$14)/12*(1+P_dVol),0)</f>
        <v>0</v>
      </c>
      <c r="BH28" s="34" t="n">
        <f aca="false">IF(BH$15=1,INDEX(Vol_O,8,BH$14)/12*(1+P_dVol),0)</f>
        <v>0</v>
      </c>
      <c r="BI28" s="34" t="n">
        <f aca="false">IF(BI$15=1,INDEX(Vol_O,8,BI$14)/12*(1+P_dVol),0)</f>
        <v>0</v>
      </c>
      <c r="BJ28" s="34" t="n">
        <f aca="false">IF(BJ$15=1,INDEX(Vol_O,8,BJ$14)/12*(1+P_dVol),0)</f>
        <v>0</v>
      </c>
      <c r="BK28" s="34" t="n">
        <f aca="false">IF(BK$15=1,INDEX(Vol_O,8,BK$14)/12*(1+P_dVol),0)</f>
        <v>0</v>
      </c>
      <c r="BL28" s="34" t="n">
        <f aca="false">IF(BL$15=1,INDEX(Vol_O,8,BL$14)/12*(1+P_dVol),0)</f>
        <v>0</v>
      </c>
      <c r="BM28" s="34" t="n">
        <f aca="false">IF(BM$15=1,INDEX(Vol_O,8,BM$14)/12*(1+P_dVol),0)</f>
        <v>0</v>
      </c>
      <c r="BN28" s="34" t="n">
        <f aca="false">IF(BN$15=1,INDEX(Vol_O,8,BN$14)/12*(1+P_dVol),0)</f>
        <v>0</v>
      </c>
      <c r="BO28" s="34" t="n">
        <f aca="false">IF(BO$15=1,INDEX(Vol_O,8,BO$14)/12*(1+P_dVol),0)</f>
        <v>0</v>
      </c>
      <c r="BP28" s="34" t="n">
        <f aca="false">IF(BP$15=1,INDEX(Vol_O,8,BP$14)/12*(1+P_dVol),0)</f>
        <v>0</v>
      </c>
      <c r="BQ28" s="34" t="n">
        <f aca="false">IF(BQ$15=1,INDEX(Vol_O,8,BQ$14)/12*(1+P_dVol),0)</f>
        <v>0</v>
      </c>
      <c r="BR28" s="34" t="n">
        <f aca="false">IF(BR$15=1,INDEX(Vol_O,8,BR$14)/12*(1+P_dVol),0)</f>
        <v>0</v>
      </c>
      <c r="BS28" s="34" t="n">
        <f aca="false">IF(BS$15=1,INDEX(Vol_O,8,BS$14)/12*(1+P_dVol),0)</f>
        <v>0</v>
      </c>
      <c r="BT28" s="34" t="n">
        <f aca="false">IF(BT$15=1,INDEX(Vol_O,8,BT$14)/12*(1+P_dVol),0)</f>
        <v>0</v>
      </c>
      <c r="BU28" s="34" t="n">
        <f aca="false">IF(BU$15=1,INDEX(Vol_O,8,BU$14)/12*(1+P_dVol),0)</f>
        <v>0</v>
      </c>
      <c r="BV28" s="34" t="n">
        <f aca="false">IF(BV$15=1,INDEX(Vol_O,8,BV$14)/12*(1+P_dVol),0)</f>
        <v>0</v>
      </c>
      <c r="BW28" s="34" t="n">
        <f aca="false">IF(BW$15=1,INDEX(Vol_O,8,BW$14)/12*(1+P_dVol),0)</f>
        <v>0</v>
      </c>
      <c r="BX28" s="34" t="n">
        <f aca="false">IF(BX$15=1,INDEX(Vol_O,8,BX$14)/12*(1+P_dVol),0)</f>
        <v>0</v>
      </c>
      <c r="BY28" s="34" t="n">
        <f aca="false">IF(BY$15=1,INDEX(Vol_O,8,BY$14)/12*(1+P_dVol),0)</f>
        <v>0</v>
      </c>
      <c r="BZ28" s="34" t="n">
        <f aca="false">IF(BZ$15=1,INDEX(Vol_O,8,BZ$14)/12*(1+P_dVol),0)</f>
        <v>0</v>
      </c>
      <c r="CA28" s="34" t="n">
        <f aca="false">IF(CA$15=1,INDEX(Vol_O,8,CA$14)/12*(1+P_dVol),0)</f>
        <v>0</v>
      </c>
      <c r="CB28" s="34" t="n">
        <f aca="false">IF(CB$15=1,INDEX(Vol_O,8,CB$14)/12*(1+P_dVol),0)</f>
        <v>0</v>
      </c>
      <c r="CC28" s="34" t="n">
        <f aca="false">IF(CC$15=1,INDEX(Vol_O,8,CC$14)/12*(1+P_dVol),0)</f>
        <v>0</v>
      </c>
      <c r="CD28" s="34" t="n">
        <f aca="false">IF(CD$15=1,INDEX(Vol_O,8,CD$14)/12*(1+P_dVol),0)</f>
        <v>0</v>
      </c>
      <c r="CE28" s="34" t="n">
        <f aca="false">IF(CE$15=1,INDEX(Vol_O,8,CE$14)/12*(1+P_dVol),0)</f>
        <v>0</v>
      </c>
      <c r="CF28" s="34" t="n">
        <f aca="false">IF(CF$15=1,INDEX(Vol_O,8,CF$14)/12*(1+P_dVol),0)</f>
        <v>0</v>
      </c>
      <c r="CG28" s="34" t="n">
        <f aca="false">IF(CG$15=1,INDEX(Vol_O,8,CG$14)/12*(1+P_dVol),0)</f>
        <v>0</v>
      </c>
      <c r="CH28" s="34" t="n">
        <f aca="false">IF(CH$15=1,INDEX(Vol_O,8,CH$14)/12*(1+P_dVol),0)</f>
        <v>0</v>
      </c>
      <c r="CI28" s="34" t="n">
        <f aca="false">IF(CI$15=1,INDEX(Vol_O,8,CI$14)/12*(1+P_dVol),0)</f>
        <v>0</v>
      </c>
      <c r="CJ28" s="34" t="n">
        <f aca="false">IF(CJ$15=1,INDEX(Vol_O,8,CJ$14)/12*(1+P_dVol),0)</f>
        <v>0</v>
      </c>
      <c r="CK28" s="34" t="n">
        <f aca="false">IF(CK$15=1,INDEX(Vol_O,8,CK$14)/12*(1+P_dVol),0)</f>
        <v>0</v>
      </c>
      <c r="CL28" s="34" t="n">
        <f aca="false">IF(CL$15=1,INDEX(Vol_O,8,CL$14)/12*(1+P_dVol),0)</f>
        <v>0</v>
      </c>
      <c r="CM28" s="34" t="n">
        <f aca="false">IF(CM$15=1,INDEX(Vol_O,8,CM$14)/12*(1+P_dVol),0)</f>
        <v>0</v>
      </c>
      <c r="CN28" s="34" t="n">
        <f aca="false">IF(CN$15=1,INDEX(Vol_O,8,CN$14)/12*(1+P_dVol),0)</f>
        <v>0</v>
      </c>
      <c r="CO28" s="34" t="n">
        <f aca="false">IF(CO$15=1,INDEX(Vol_O,8,CO$14)/12*(1+P_dVol),0)</f>
        <v>0</v>
      </c>
      <c r="CP28" s="34" t="n">
        <f aca="false">IF(CP$15=1,INDEX(Vol_O,8,CP$14)/12*(1+P_dVol),0)</f>
        <v>0</v>
      </c>
      <c r="CQ28" s="34" t="n">
        <f aca="false">IF(CQ$15=1,INDEX(Vol_O,8,CQ$14)/12*(1+P_dVol),0)</f>
        <v>0</v>
      </c>
      <c r="CR28" s="34" t="n">
        <f aca="false">IF(CR$15=1,INDEX(Vol_O,8,CR$14)/12*(1+P_dVol),0)</f>
        <v>0</v>
      </c>
      <c r="CS28" s="34" t="n">
        <f aca="false">IF(CS$15=1,INDEX(Vol_O,8,CS$14)/12*(1+P_dVol),0)</f>
        <v>0</v>
      </c>
      <c r="CT28" s="34" t="n">
        <f aca="false">IF(CT$15=1,INDEX(Vol_O,8,CT$14)/12*(1+P_dVol),0)</f>
        <v>0</v>
      </c>
      <c r="CU28" s="34" t="n">
        <f aca="false">IF(CU$15=1,INDEX(Vol_O,8,CU$14)/12*(1+P_dVol),0)</f>
        <v>0</v>
      </c>
      <c r="CV28" s="34" t="n">
        <f aca="false">IF(CV$15=1,INDEX(Vol_O,8,CV$14)/12*(1+P_dVol),0)</f>
        <v>0</v>
      </c>
      <c r="CW28" s="34" t="n">
        <f aca="false">IF(CW$15=1,INDEX(Vol_O,8,CW$14)/12*(1+P_dVol),0)</f>
        <v>0</v>
      </c>
      <c r="CX28" s="34" t="n">
        <f aca="false">IF(CX$15=1,INDEX(Vol_O,8,CX$14)/12*(1+P_dVol),0)</f>
        <v>0</v>
      </c>
      <c r="CY28" s="34" t="n">
        <f aca="false">IF(CY$15=1,INDEX(Vol_O,8,CY$14)/12*(1+P_dVol),0)</f>
        <v>0</v>
      </c>
      <c r="CZ28" s="34" t="n">
        <f aca="false">IF(CZ$15=1,INDEX(Vol_O,8,CZ$14)/12*(1+P_dVol),0)</f>
        <v>0</v>
      </c>
      <c r="DA28" s="34" t="n">
        <f aca="false">IF(DA$15=1,INDEX(Vol_O,8,DA$14)/12*(1+P_dVol),0)</f>
        <v>0</v>
      </c>
      <c r="DB28" s="34" t="n">
        <f aca="false">IF(DB$15=1,INDEX(Vol_O,8,DB$14)/12*(1+P_dVol),0)</f>
        <v>0</v>
      </c>
      <c r="DC28" s="34" t="n">
        <f aca="false">IF(DC$15=1,INDEX(Vol_O,8,DC$14)/12*(1+P_dVol),0)</f>
        <v>0</v>
      </c>
      <c r="DD28" s="34" t="n">
        <f aca="false">IF(DD$15=1,INDEX(Vol_O,8,DD$14)/12*(1+P_dVol),0)</f>
        <v>0</v>
      </c>
      <c r="DE28" s="34" t="n">
        <f aca="false">IF(DE$15=1,INDEX(Vol_O,8,DE$14)/12*(1+P_dVol),0)</f>
        <v>0</v>
      </c>
      <c r="DF28" s="34" t="n">
        <f aca="false">IF(DF$15=1,INDEX(Vol_O,8,DF$14)/12*(1+P_dVol),0)</f>
        <v>0</v>
      </c>
      <c r="DG28" s="34" t="n">
        <f aca="false">IF(DG$15=1,INDEX(Vol_O,8,DG$14)/12*(1+P_dVol),0)</f>
        <v>0</v>
      </c>
      <c r="DH28" s="34" t="n">
        <f aca="false">IF(DH$15=1,INDEX(Vol_O,8,DH$14)/12*(1+P_dVol),0)</f>
        <v>0</v>
      </c>
      <c r="DI28" s="34" t="n">
        <f aca="false">IF(DI$15=1,INDEX(Vol_O,8,DI$14)/12*(1+P_dVol),0)</f>
        <v>0</v>
      </c>
      <c r="DJ28" s="34" t="n">
        <f aca="false">IF(DJ$15=1,INDEX(Vol_O,8,DJ$14)/12*(1+P_dVol),0)</f>
        <v>0</v>
      </c>
      <c r="DK28" s="34" t="n">
        <f aca="false">IF(DK$15=1,INDEX(Vol_O,8,DK$14)/12*(1+P_dVol),0)</f>
        <v>0</v>
      </c>
      <c r="DL28" s="34" t="n">
        <f aca="false">IF(DL$15=1,INDEX(Vol_O,8,DL$14)/12*(1+P_dVol),0)</f>
        <v>0</v>
      </c>
      <c r="DM28" s="34" t="n">
        <f aca="false">IF(DM$15=1,INDEX(Vol_O,8,DM$14)/12*(1+P_dVol),0)</f>
        <v>0</v>
      </c>
      <c r="DN28" s="34" t="n">
        <f aca="false">IF(DN$15=1,INDEX(Vol_O,8,DN$14)/12*(1+P_dVol),0)</f>
        <v>0</v>
      </c>
      <c r="DO28" s="34" t="n">
        <f aca="false">IF(DO$15=1,INDEX(Vol_O,8,DO$14)/12*(1+P_dVol),0)</f>
        <v>0</v>
      </c>
      <c r="DP28" s="34" t="n">
        <f aca="false">IF(DP$15=1,INDEX(Vol_O,8,DP$14)/12*(1+P_dVol),0)</f>
        <v>0</v>
      </c>
      <c r="DQ28" s="34" t="n">
        <f aca="false">IF(DQ$15=1,INDEX(Vol_O,8,DQ$14)/12*(1+P_dVol),0)</f>
        <v>0</v>
      </c>
      <c r="DR28" s="34" t="n">
        <f aca="false">IF(DR$15=1,INDEX(Vol_O,8,DR$14)/12*(1+P_dVol),0)</f>
        <v>0</v>
      </c>
      <c r="DS28" s="34" t="n">
        <f aca="false">IF(DS$15=1,INDEX(Vol_O,8,DS$14)/12*(1+P_dVol),0)</f>
        <v>0</v>
      </c>
      <c r="DT28" s="34" t="n">
        <f aca="false">IF(DT$15=1,INDEX(Vol_O,8,DT$14)/12*(1+P_dVol),0)</f>
        <v>0</v>
      </c>
      <c r="DU28" s="34" t="n">
        <f aca="false">IF(DU$15=1,INDEX(Vol_O,8,DU$14)/12*(1+P_dVol),0)</f>
        <v>0</v>
      </c>
      <c r="DV28" s="34" t="n">
        <f aca="false">IF(DV$15=1,INDEX(Vol_O,8,DV$14)/12*(1+P_dVol),0)</f>
        <v>0</v>
      </c>
      <c r="DW28" s="34" t="n">
        <f aca="false">IF(DW$15=1,INDEX(Vol_O,8,DW$14)/12*(1+P_dVol),0)</f>
        <v>0</v>
      </c>
      <c r="DX28" s="34" t="n">
        <f aca="false">IF(DX$15=1,INDEX(Vol_O,8,DX$14)/12*(1+P_dVol),0)</f>
        <v>0</v>
      </c>
      <c r="DY28" s="34" t="n">
        <f aca="false">IF(DY$15=1,INDEX(Vol_O,8,DY$14)/12*(1+P_dVol),0)</f>
        <v>0</v>
      </c>
      <c r="DZ28" s="34" t="n">
        <f aca="false">IF(DZ$15=1,INDEX(Vol_O,8,DZ$14)/12*(1+P_dVol),0)</f>
        <v>0</v>
      </c>
      <c r="EA28" s="34" t="n">
        <f aca="false">IF(EA$15=1,INDEX(Vol_O,8,EA$14)/12*(1+P_dVol),0)</f>
        <v>0</v>
      </c>
      <c r="EB28" s="34" t="n">
        <f aca="false">IF(EB$15=1,INDEX(Vol_O,8,EB$14)/12*(1+P_dVol),0)</f>
        <v>0</v>
      </c>
      <c r="EC28" s="34" t="n">
        <f aca="false">IF(EC$15=1,INDEX(Vol_O,8,EC$14)/12*(1+P_dVol),0)</f>
        <v>0</v>
      </c>
      <c r="ED28" s="34" t="n">
        <f aca="false">IF(ED$15=1,INDEX(Vol_O,8,ED$14)/12*(1+P_dVol),0)</f>
        <v>0</v>
      </c>
      <c r="EE28" s="34" t="n">
        <f aca="false">IF(EE$15=1,INDEX(Vol_O,8,EE$14)/12*(1+P_dVol),0)</f>
        <v>0</v>
      </c>
      <c r="EF28" s="34" t="n">
        <f aca="false">IF(EF$15=1,INDEX(Vol_O,8,EF$14)/12*(1+P_dVol),0)</f>
        <v>0</v>
      </c>
      <c r="EG28" s="34" t="n">
        <f aca="false">IF(EG$15=1,INDEX(Vol_O,8,EG$14)/12*(1+P_dVol),0)</f>
        <v>0</v>
      </c>
      <c r="EH28" s="34" t="n">
        <f aca="false">IF(EH$15=1,INDEX(Vol_O,8,EH$14)/12*(1+P_dVol),0)</f>
        <v>0</v>
      </c>
      <c r="EI28" s="34" t="n">
        <f aca="false">IF(EI$15=1,INDEX(Vol_O,8,EI$14)/12*(1+P_dVol),0)</f>
        <v>0</v>
      </c>
      <c r="EJ28" s="34" t="n">
        <f aca="false">IF(EJ$15=1,INDEX(Vol_O,8,EJ$14)/12*(1+P_dVol),0)</f>
        <v>0</v>
      </c>
      <c r="EK28" s="34" t="n">
        <f aca="false">IF(EK$15=1,INDEX(Vol_O,8,EK$14)/12*(1+P_dVol),0)</f>
        <v>0</v>
      </c>
      <c r="EL28" s="34" t="n">
        <f aca="false">IF(EL$15=1,INDEX(Vol_O,8,EL$14)/12*(1+P_dVol),0)</f>
        <v>0</v>
      </c>
      <c r="EM28" s="34" t="n">
        <f aca="false">IF(EM$15=1,INDEX(Vol_O,8,EM$14)/12*(1+P_dVol),0)</f>
        <v>0</v>
      </c>
      <c r="EN28" s="34" t="n">
        <f aca="false">IF(EN$15=1,INDEX(Vol_O,8,EN$14)/12*(1+P_dVol),0)</f>
        <v>0</v>
      </c>
      <c r="EO28" s="34" t="n">
        <f aca="false">IF(EO$15=1,INDEX(Vol_O,8,EO$14)/12*(1+P_dVol),0)</f>
        <v>0</v>
      </c>
      <c r="EP28" s="34" t="n">
        <f aca="false">IF(EP$15=1,INDEX(Vol_O,8,EP$14)/12*(1+P_dVol),0)</f>
        <v>0</v>
      </c>
      <c r="EQ28" s="34" t="n">
        <f aca="false">IF(EQ$15=1,INDEX(Vol_O,8,EQ$14)/12*(1+P_dVol),0)</f>
        <v>0</v>
      </c>
      <c r="ER28" s="34" t="n">
        <f aca="false">IF(ER$15=1,INDEX(Vol_O,8,ER$14)/12*(1+P_dVol),0)</f>
        <v>0</v>
      </c>
      <c r="ES28" s="34" t="n">
        <f aca="false">IF(ES$15=1,INDEX(Vol_O,8,ES$14)/12*(1+P_dVol),0)</f>
        <v>0</v>
      </c>
    </row>
    <row r="29" customFormat="false" ht="15" hidden="false" customHeight="false" outlineLevel="0" collapsed="false">
      <c r="A29" s="2" t="s">
        <v>592</v>
      </c>
      <c r="B29" s="39" t="str">
        <f aca="false">IF(INDEX(Prod_Nombre,9)="","Producto 9",INDEX(Prod_Nombre,9))&amp;" — unidades"</f>
        <v>Producto 9 — unidades</v>
      </c>
      <c r="C29" s="6" t="s">
        <v>286</v>
      </c>
      <c r="E29" s="40" t="n">
        <f aca="false">SUM(F29:ES29)</f>
        <v>0</v>
      </c>
      <c r="F29" s="34" t="n">
        <f aca="false">IF(F$15=1,INDEX(Vol_O,9,F$14)/12*(1+P_dVol),0)</f>
        <v>0</v>
      </c>
      <c r="G29" s="34" t="n">
        <f aca="false">IF(G$15=1,INDEX(Vol_O,9,G$14)/12*(1+P_dVol),0)</f>
        <v>0</v>
      </c>
      <c r="H29" s="34" t="n">
        <f aca="false">IF(H$15=1,INDEX(Vol_O,9,H$14)/12*(1+P_dVol),0)</f>
        <v>0</v>
      </c>
      <c r="I29" s="34" t="n">
        <f aca="false">IF(I$15=1,INDEX(Vol_O,9,I$14)/12*(1+P_dVol),0)</f>
        <v>0</v>
      </c>
      <c r="J29" s="34" t="n">
        <f aca="false">IF(J$15=1,INDEX(Vol_O,9,J$14)/12*(1+P_dVol),0)</f>
        <v>0</v>
      </c>
      <c r="K29" s="34" t="n">
        <f aca="false">IF(K$15=1,INDEX(Vol_O,9,K$14)/12*(1+P_dVol),0)</f>
        <v>0</v>
      </c>
      <c r="L29" s="34" t="n">
        <f aca="false">IF(L$15=1,INDEX(Vol_O,9,L$14)/12*(1+P_dVol),0)</f>
        <v>0</v>
      </c>
      <c r="M29" s="34" t="n">
        <f aca="false">IF(M$15=1,INDEX(Vol_O,9,M$14)/12*(1+P_dVol),0)</f>
        <v>0</v>
      </c>
      <c r="N29" s="34" t="n">
        <f aca="false">IF(N$15=1,INDEX(Vol_O,9,N$14)/12*(1+P_dVol),0)</f>
        <v>0</v>
      </c>
      <c r="O29" s="34" t="n">
        <f aca="false">IF(O$15=1,INDEX(Vol_O,9,O$14)/12*(1+P_dVol),0)</f>
        <v>0</v>
      </c>
      <c r="P29" s="34" t="n">
        <f aca="false">IF(P$15=1,INDEX(Vol_O,9,P$14)/12*(1+P_dVol),0)</f>
        <v>0</v>
      </c>
      <c r="Q29" s="34" t="n">
        <f aca="false">IF(Q$15=1,INDEX(Vol_O,9,Q$14)/12*(1+P_dVol),0)</f>
        <v>0</v>
      </c>
      <c r="R29" s="34" t="n">
        <f aca="false">IF(R$15=1,INDEX(Vol_O,9,R$14)/12*(1+P_dVol),0)</f>
        <v>0</v>
      </c>
      <c r="S29" s="34" t="n">
        <f aca="false">IF(S$15=1,INDEX(Vol_O,9,S$14)/12*(1+P_dVol),0)</f>
        <v>0</v>
      </c>
      <c r="T29" s="34" t="n">
        <f aca="false">IF(T$15=1,INDEX(Vol_O,9,T$14)/12*(1+P_dVol),0)</f>
        <v>0</v>
      </c>
      <c r="U29" s="34" t="n">
        <f aca="false">IF(U$15=1,INDEX(Vol_O,9,U$14)/12*(1+P_dVol),0)</f>
        <v>0</v>
      </c>
      <c r="V29" s="34" t="n">
        <f aca="false">IF(V$15=1,INDEX(Vol_O,9,V$14)/12*(1+P_dVol),0)</f>
        <v>0</v>
      </c>
      <c r="W29" s="34" t="n">
        <f aca="false">IF(W$15=1,INDEX(Vol_O,9,W$14)/12*(1+P_dVol),0)</f>
        <v>0</v>
      </c>
      <c r="X29" s="34" t="n">
        <f aca="false">IF(X$15=1,INDEX(Vol_O,9,X$14)/12*(1+P_dVol),0)</f>
        <v>0</v>
      </c>
      <c r="Y29" s="34" t="n">
        <f aca="false">IF(Y$15=1,INDEX(Vol_O,9,Y$14)/12*(1+P_dVol),0)</f>
        <v>0</v>
      </c>
      <c r="Z29" s="34" t="n">
        <f aca="false">IF(Z$15=1,INDEX(Vol_O,9,Z$14)/12*(1+P_dVol),0)</f>
        <v>0</v>
      </c>
      <c r="AA29" s="34" t="n">
        <f aca="false">IF(AA$15=1,INDEX(Vol_O,9,AA$14)/12*(1+P_dVol),0)</f>
        <v>0</v>
      </c>
      <c r="AB29" s="34" t="n">
        <f aca="false">IF(AB$15=1,INDEX(Vol_O,9,AB$14)/12*(1+P_dVol),0)</f>
        <v>0</v>
      </c>
      <c r="AC29" s="34" t="n">
        <f aca="false">IF(AC$15=1,INDEX(Vol_O,9,AC$14)/12*(1+P_dVol),0)</f>
        <v>0</v>
      </c>
      <c r="AD29" s="34" t="n">
        <f aca="false">IF(AD$15=1,INDEX(Vol_O,9,AD$14)/12*(1+P_dVol),0)</f>
        <v>0</v>
      </c>
      <c r="AE29" s="34" t="n">
        <f aca="false">IF(AE$15=1,INDEX(Vol_O,9,AE$14)/12*(1+P_dVol),0)</f>
        <v>0</v>
      </c>
      <c r="AF29" s="34" t="n">
        <f aca="false">IF(AF$15=1,INDEX(Vol_O,9,AF$14)/12*(1+P_dVol),0)</f>
        <v>0</v>
      </c>
      <c r="AG29" s="34" t="n">
        <f aca="false">IF(AG$15=1,INDEX(Vol_O,9,AG$14)/12*(1+P_dVol),0)</f>
        <v>0</v>
      </c>
      <c r="AH29" s="34" t="n">
        <f aca="false">IF(AH$15=1,INDEX(Vol_O,9,AH$14)/12*(1+P_dVol),0)</f>
        <v>0</v>
      </c>
      <c r="AI29" s="34" t="n">
        <f aca="false">IF(AI$15=1,INDEX(Vol_O,9,AI$14)/12*(1+P_dVol),0)</f>
        <v>0</v>
      </c>
      <c r="AJ29" s="34" t="n">
        <f aca="false">IF(AJ$15=1,INDEX(Vol_O,9,AJ$14)/12*(1+P_dVol),0)</f>
        <v>0</v>
      </c>
      <c r="AK29" s="34" t="n">
        <f aca="false">IF(AK$15=1,INDEX(Vol_O,9,AK$14)/12*(1+P_dVol),0)</f>
        <v>0</v>
      </c>
      <c r="AL29" s="34" t="n">
        <f aca="false">IF(AL$15=1,INDEX(Vol_O,9,AL$14)/12*(1+P_dVol),0)</f>
        <v>0</v>
      </c>
      <c r="AM29" s="34" t="n">
        <f aca="false">IF(AM$15=1,INDEX(Vol_O,9,AM$14)/12*(1+P_dVol),0)</f>
        <v>0</v>
      </c>
      <c r="AN29" s="34" t="n">
        <f aca="false">IF(AN$15=1,INDEX(Vol_O,9,AN$14)/12*(1+P_dVol),0)</f>
        <v>0</v>
      </c>
      <c r="AO29" s="34" t="n">
        <f aca="false">IF(AO$15=1,INDEX(Vol_O,9,AO$14)/12*(1+P_dVol),0)</f>
        <v>0</v>
      </c>
      <c r="AP29" s="34" t="n">
        <f aca="false">IF(AP$15=1,INDEX(Vol_O,9,AP$14)/12*(1+P_dVol),0)</f>
        <v>0</v>
      </c>
      <c r="AQ29" s="34" t="n">
        <f aca="false">IF(AQ$15=1,INDEX(Vol_O,9,AQ$14)/12*(1+P_dVol),0)</f>
        <v>0</v>
      </c>
      <c r="AR29" s="34" t="n">
        <f aca="false">IF(AR$15=1,INDEX(Vol_O,9,AR$14)/12*(1+P_dVol),0)</f>
        <v>0</v>
      </c>
      <c r="AS29" s="34" t="n">
        <f aca="false">IF(AS$15=1,INDEX(Vol_O,9,AS$14)/12*(1+P_dVol),0)</f>
        <v>0</v>
      </c>
      <c r="AT29" s="34" t="n">
        <f aca="false">IF(AT$15=1,INDEX(Vol_O,9,AT$14)/12*(1+P_dVol),0)</f>
        <v>0</v>
      </c>
      <c r="AU29" s="34" t="n">
        <f aca="false">IF(AU$15=1,INDEX(Vol_O,9,AU$14)/12*(1+P_dVol),0)</f>
        <v>0</v>
      </c>
      <c r="AV29" s="34" t="n">
        <f aca="false">IF(AV$15=1,INDEX(Vol_O,9,AV$14)/12*(1+P_dVol),0)</f>
        <v>0</v>
      </c>
      <c r="AW29" s="34" t="n">
        <f aca="false">IF(AW$15=1,INDEX(Vol_O,9,AW$14)/12*(1+P_dVol),0)</f>
        <v>0</v>
      </c>
      <c r="AX29" s="34" t="n">
        <f aca="false">IF(AX$15=1,INDEX(Vol_O,9,AX$14)/12*(1+P_dVol),0)</f>
        <v>0</v>
      </c>
      <c r="AY29" s="34" t="n">
        <f aca="false">IF(AY$15=1,INDEX(Vol_O,9,AY$14)/12*(1+P_dVol),0)</f>
        <v>0</v>
      </c>
      <c r="AZ29" s="34" t="n">
        <f aca="false">IF(AZ$15=1,INDEX(Vol_O,9,AZ$14)/12*(1+P_dVol),0)</f>
        <v>0</v>
      </c>
      <c r="BA29" s="34" t="n">
        <f aca="false">IF(BA$15=1,INDEX(Vol_O,9,BA$14)/12*(1+P_dVol),0)</f>
        <v>0</v>
      </c>
      <c r="BB29" s="34" t="n">
        <f aca="false">IF(BB$15=1,INDEX(Vol_O,9,BB$14)/12*(1+P_dVol),0)</f>
        <v>0</v>
      </c>
      <c r="BC29" s="34" t="n">
        <f aca="false">IF(BC$15=1,INDEX(Vol_O,9,BC$14)/12*(1+P_dVol),0)</f>
        <v>0</v>
      </c>
      <c r="BD29" s="34" t="n">
        <f aca="false">IF(BD$15=1,INDEX(Vol_O,9,BD$14)/12*(1+P_dVol),0)</f>
        <v>0</v>
      </c>
      <c r="BE29" s="34" t="n">
        <f aca="false">IF(BE$15=1,INDEX(Vol_O,9,BE$14)/12*(1+P_dVol),0)</f>
        <v>0</v>
      </c>
      <c r="BF29" s="34" t="n">
        <f aca="false">IF(BF$15=1,INDEX(Vol_O,9,BF$14)/12*(1+P_dVol),0)</f>
        <v>0</v>
      </c>
      <c r="BG29" s="34" t="n">
        <f aca="false">IF(BG$15=1,INDEX(Vol_O,9,BG$14)/12*(1+P_dVol),0)</f>
        <v>0</v>
      </c>
      <c r="BH29" s="34" t="n">
        <f aca="false">IF(BH$15=1,INDEX(Vol_O,9,BH$14)/12*(1+P_dVol),0)</f>
        <v>0</v>
      </c>
      <c r="BI29" s="34" t="n">
        <f aca="false">IF(BI$15=1,INDEX(Vol_O,9,BI$14)/12*(1+P_dVol),0)</f>
        <v>0</v>
      </c>
      <c r="BJ29" s="34" t="n">
        <f aca="false">IF(BJ$15=1,INDEX(Vol_O,9,BJ$14)/12*(1+P_dVol),0)</f>
        <v>0</v>
      </c>
      <c r="BK29" s="34" t="n">
        <f aca="false">IF(BK$15=1,INDEX(Vol_O,9,BK$14)/12*(1+P_dVol),0)</f>
        <v>0</v>
      </c>
      <c r="BL29" s="34" t="n">
        <f aca="false">IF(BL$15=1,INDEX(Vol_O,9,BL$14)/12*(1+P_dVol),0)</f>
        <v>0</v>
      </c>
      <c r="BM29" s="34" t="n">
        <f aca="false">IF(BM$15=1,INDEX(Vol_O,9,BM$14)/12*(1+P_dVol),0)</f>
        <v>0</v>
      </c>
      <c r="BN29" s="34" t="n">
        <f aca="false">IF(BN$15=1,INDEX(Vol_O,9,BN$14)/12*(1+P_dVol),0)</f>
        <v>0</v>
      </c>
      <c r="BO29" s="34" t="n">
        <f aca="false">IF(BO$15=1,INDEX(Vol_O,9,BO$14)/12*(1+P_dVol),0)</f>
        <v>0</v>
      </c>
      <c r="BP29" s="34" t="n">
        <f aca="false">IF(BP$15=1,INDEX(Vol_O,9,BP$14)/12*(1+P_dVol),0)</f>
        <v>0</v>
      </c>
      <c r="BQ29" s="34" t="n">
        <f aca="false">IF(BQ$15=1,INDEX(Vol_O,9,BQ$14)/12*(1+P_dVol),0)</f>
        <v>0</v>
      </c>
      <c r="BR29" s="34" t="n">
        <f aca="false">IF(BR$15=1,INDEX(Vol_O,9,BR$14)/12*(1+P_dVol),0)</f>
        <v>0</v>
      </c>
      <c r="BS29" s="34" t="n">
        <f aca="false">IF(BS$15=1,INDEX(Vol_O,9,BS$14)/12*(1+P_dVol),0)</f>
        <v>0</v>
      </c>
      <c r="BT29" s="34" t="n">
        <f aca="false">IF(BT$15=1,INDEX(Vol_O,9,BT$14)/12*(1+P_dVol),0)</f>
        <v>0</v>
      </c>
      <c r="BU29" s="34" t="n">
        <f aca="false">IF(BU$15=1,INDEX(Vol_O,9,BU$14)/12*(1+P_dVol),0)</f>
        <v>0</v>
      </c>
      <c r="BV29" s="34" t="n">
        <f aca="false">IF(BV$15=1,INDEX(Vol_O,9,BV$14)/12*(1+P_dVol),0)</f>
        <v>0</v>
      </c>
      <c r="BW29" s="34" t="n">
        <f aca="false">IF(BW$15=1,INDEX(Vol_O,9,BW$14)/12*(1+P_dVol),0)</f>
        <v>0</v>
      </c>
      <c r="BX29" s="34" t="n">
        <f aca="false">IF(BX$15=1,INDEX(Vol_O,9,BX$14)/12*(1+P_dVol),0)</f>
        <v>0</v>
      </c>
      <c r="BY29" s="34" t="n">
        <f aca="false">IF(BY$15=1,INDEX(Vol_O,9,BY$14)/12*(1+P_dVol),0)</f>
        <v>0</v>
      </c>
      <c r="BZ29" s="34" t="n">
        <f aca="false">IF(BZ$15=1,INDEX(Vol_O,9,BZ$14)/12*(1+P_dVol),0)</f>
        <v>0</v>
      </c>
      <c r="CA29" s="34" t="n">
        <f aca="false">IF(CA$15=1,INDEX(Vol_O,9,CA$14)/12*(1+P_dVol),0)</f>
        <v>0</v>
      </c>
      <c r="CB29" s="34" t="n">
        <f aca="false">IF(CB$15=1,INDEX(Vol_O,9,CB$14)/12*(1+P_dVol),0)</f>
        <v>0</v>
      </c>
      <c r="CC29" s="34" t="n">
        <f aca="false">IF(CC$15=1,INDEX(Vol_O,9,CC$14)/12*(1+P_dVol),0)</f>
        <v>0</v>
      </c>
      <c r="CD29" s="34" t="n">
        <f aca="false">IF(CD$15=1,INDEX(Vol_O,9,CD$14)/12*(1+P_dVol),0)</f>
        <v>0</v>
      </c>
      <c r="CE29" s="34" t="n">
        <f aca="false">IF(CE$15=1,INDEX(Vol_O,9,CE$14)/12*(1+P_dVol),0)</f>
        <v>0</v>
      </c>
      <c r="CF29" s="34" t="n">
        <f aca="false">IF(CF$15=1,INDEX(Vol_O,9,CF$14)/12*(1+P_dVol),0)</f>
        <v>0</v>
      </c>
      <c r="CG29" s="34" t="n">
        <f aca="false">IF(CG$15=1,INDEX(Vol_O,9,CG$14)/12*(1+P_dVol),0)</f>
        <v>0</v>
      </c>
      <c r="CH29" s="34" t="n">
        <f aca="false">IF(CH$15=1,INDEX(Vol_O,9,CH$14)/12*(1+P_dVol),0)</f>
        <v>0</v>
      </c>
      <c r="CI29" s="34" t="n">
        <f aca="false">IF(CI$15=1,INDEX(Vol_O,9,CI$14)/12*(1+P_dVol),0)</f>
        <v>0</v>
      </c>
      <c r="CJ29" s="34" t="n">
        <f aca="false">IF(CJ$15=1,INDEX(Vol_O,9,CJ$14)/12*(1+P_dVol),0)</f>
        <v>0</v>
      </c>
      <c r="CK29" s="34" t="n">
        <f aca="false">IF(CK$15=1,INDEX(Vol_O,9,CK$14)/12*(1+P_dVol),0)</f>
        <v>0</v>
      </c>
      <c r="CL29" s="34" t="n">
        <f aca="false">IF(CL$15=1,INDEX(Vol_O,9,CL$14)/12*(1+P_dVol),0)</f>
        <v>0</v>
      </c>
      <c r="CM29" s="34" t="n">
        <f aca="false">IF(CM$15=1,INDEX(Vol_O,9,CM$14)/12*(1+P_dVol),0)</f>
        <v>0</v>
      </c>
      <c r="CN29" s="34" t="n">
        <f aca="false">IF(CN$15=1,INDEX(Vol_O,9,CN$14)/12*(1+P_dVol),0)</f>
        <v>0</v>
      </c>
      <c r="CO29" s="34" t="n">
        <f aca="false">IF(CO$15=1,INDEX(Vol_O,9,CO$14)/12*(1+P_dVol),0)</f>
        <v>0</v>
      </c>
      <c r="CP29" s="34" t="n">
        <f aca="false">IF(CP$15=1,INDEX(Vol_O,9,CP$14)/12*(1+P_dVol),0)</f>
        <v>0</v>
      </c>
      <c r="CQ29" s="34" t="n">
        <f aca="false">IF(CQ$15=1,INDEX(Vol_O,9,CQ$14)/12*(1+P_dVol),0)</f>
        <v>0</v>
      </c>
      <c r="CR29" s="34" t="n">
        <f aca="false">IF(CR$15=1,INDEX(Vol_O,9,CR$14)/12*(1+P_dVol),0)</f>
        <v>0</v>
      </c>
      <c r="CS29" s="34" t="n">
        <f aca="false">IF(CS$15=1,INDEX(Vol_O,9,CS$14)/12*(1+P_dVol),0)</f>
        <v>0</v>
      </c>
      <c r="CT29" s="34" t="n">
        <f aca="false">IF(CT$15=1,INDEX(Vol_O,9,CT$14)/12*(1+P_dVol),0)</f>
        <v>0</v>
      </c>
      <c r="CU29" s="34" t="n">
        <f aca="false">IF(CU$15=1,INDEX(Vol_O,9,CU$14)/12*(1+P_dVol),0)</f>
        <v>0</v>
      </c>
      <c r="CV29" s="34" t="n">
        <f aca="false">IF(CV$15=1,INDEX(Vol_O,9,CV$14)/12*(1+P_dVol),0)</f>
        <v>0</v>
      </c>
      <c r="CW29" s="34" t="n">
        <f aca="false">IF(CW$15=1,INDEX(Vol_O,9,CW$14)/12*(1+P_dVol),0)</f>
        <v>0</v>
      </c>
      <c r="CX29" s="34" t="n">
        <f aca="false">IF(CX$15=1,INDEX(Vol_O,9,CX$14)/12*(1+P_dVol),0)</f>
        <v>0</v>
      </c>
      <c r="CY29" s="34" t="n">
        <f aca="false">IF(CY$15=1,INDEX(Vol_O,9,CY$14)/12*(1+P_dVol),0)</f>
        <v>0</v>
      </c>
      <c r="CZ29" s="34" t="n">
        <f aca="false">IF(CZ$15=1,INDEX(Vol_O,9,CZ$14)/12*(1+P_dVol),0)</f>
        <v>0</v>
      </c>
      <c r="DA29" s="34" t="n">
        <f aca="false">IF(DA$15=1,INDEX(Vol_O,9,DA$14)/12*(1+P_dVol),0)</f>
        <v>0</v>
      </c>
      <c r="DB29" s="34" t="n">
        <f aca="false">IF(DB$15=1,INDEX(Vol_O,9,DB$14)/12*(1+P_dVol),0)</f>
        <v>0</v>
      </c>
      <c r="DC29" s="34" t="n">
        <f aca="false">IF(DC$15=1,INDEX(Vol_O,9,DC$14)/12*(1+P_dVol),0)</f>
        <v>0</v>
      </c>
      <c r="DD29" s="34" t="n">
        <f aca="false">IF(DD$15=1,INDEX(Vol_O,9,DD$14)/12*(1+P_dVol),0)</f>
        <v>0</v>
      </c>
      <c r="DE29" s="34" t="n">
        <f aca="false">IF(DE$15=1,INDEX(Vol_O,9,DE$14)/12*(1+P_dVol),0)</f>
        <v>0</v>
      </c>
      <c r="DF29" s="34" t="n">
        <f aca="false">IF(DF$15=1,INDEX(Vol_O,9,DF$14)/12*(1+P_dVol),0)</f>
        <v>0</v>
      </c>
      <c r="DG29" s="34" t="n">
        <f aca="false">IF(DG$15=1,INDEX(Vol_O,9,DG$14)/12*(1+P_dVol),0)</f>
        <v>0</v>
      </c>
      <c r="DH29" s="34" t="n">
        <f aca="false">IF(DH$15=1,INDEX(Vol_O,9,DH$14)/12*(1+P_dVol),0)</f>
        <v>0</v>
      </c>
      <c r="DI29" s="34" t="n">
        <f aca="false">IF(DI$15=1,INDEX(Vol_O,9,DI$14)/12*(1+P_dVol),0)</f>
        <v>0</v>
      </c>
      <c r="DJ29" s="34" t="n">
        <f aca="false">IF(DJ$15=1,INDEX(Vol_O,9,DJ$14)/12*(1+P_dVol),0)</f>
        <v>0</v>
      </c>
      <c r="DK29" s="34" t="n">
        <f aca="false">IF(DK$15=1,INDEX(Vol_O,9,DK$14)/12*(1+P_dVol),0)</f>
        <v>0</v>
      </c>
      <c r="DL29" s="34" t="n">
        <f aca="false">IF(DL$15=1,INDEX(Vol_O,9,DL$14)/12*(1+P_dVol),0)</f>
        <v>0</v>
      </c>
      <c r="DM29" s="34" t="n">
        <f aca="false">IF(DM$15=1,INDEX(Vol_O,9,DM$14)/12*(1+P_dVol),0)</f>
        <v>0</v>
      </c>
      <c r="DN29" s="34" t="n">
        <f aca="false">IF(DN$15=1,INDEX(Vol_O,9,DN$14)/12*(1+P_dVol),0)</f>
        <v>0</v>
      </c>
      <c r="DO29" s="34" t="n">
        <f aca="false">IF(DO$15=1,INDEX(Vol_O,9,DO$14)/12*(1+P_dVol),0)</f>
        <v>0</v>
      </c>
      <c r="DP29" s="34" t="n">
        <f aca="false">IF(DP$15=1,INDEX(Vol_O,9,DP$14)/12*(1+P_dVol),0)</f>
        <v>0</v>
      </c>
      <c r="DQ29" s="34" t="n">
        <f aca="false">IF(DQ$15=1,INDEX(Vol_O,9,DQ$14)/12*(1+P_dVol),0)</f>
        <v>0</v>
      </c>
      <c r="DR29" s="34" t="n">
        <f aca="false">IF(DR$15=1,INDEX(Vol_O,9,DR$14)/12*(1+P_dVol),0)</f>
        <v>0</v>
      </c>
      <c r="DS29" s="34" t="n">
        <f aca="false">IF(DS$15=1,INDEX(Vol_O,9,DS$14)/12*(1+P_dVol),0)</f>
        <v>0</v>
      </c>
      <c r="DT29" s="34" t="n">
        <f aca="false">IF(DT$15=1,INDEX(Vol_O,9,DT$14)/12*(1+P_dVol),0)</f>
        <v>0</v>
      </c>
      <c r="DU29" s="34" t="n">
        <f aca="false">IF(DU$15=1,INDEX(Vol_O,9,DU$14)/12*(1+P_dVol),0)</f>
        <v>0</v>
      </c>
      <c r="DV29" s="34" t="n">
        <f aca="false">IF(DV$15=1,INDEX(Vol_O,9,DV$14)/12*(1+P_dVol),0)</f>
        <v>0</v>
      </c>
      <c r="DW29" s="34" t="n">
        <f aca="false">IF(DW$15=1,INDEX(Vol_O,9,DW$14)/12*(1+P_dVol),0)</f>
        <v>0</v>
      </c>
      <c r="DX29" s="34" t="n">
        <f aca="false">IF(DX$15=1,INDEX(Vol_O,9,DX$14)/12*(1+P_dVol),0)</f>
        <v>0</v>
      </c>
      <c r="DY29" s="34" t="n">
        <f aca="false">IF(DY$15=1,INDEX(Vol_O,9,DY$14)/12*(1+P_dVol),0)</f>
        <v>0</v>
      </c>
      <c r="DZ29" s="34" t="n">
        <f aca="false">IF(DZ$15=1,INDEX(Vol_O,9,DZ$14)/12*(1+P_dVol),0)</f>
        <v>0</v>
      </c>
      <c r="EA29" s="34" t="n">
        <f aca="false">IF(EA$15=1,INDEX(Vol_O,9,EA$14)/12*(1+P_dVol),0)</f>
        <v>0</v>
      </c>
      <c r="EB29" s="34" t="n">
        <f aca="false">IF(EB$15=1,INDEX(Vol_O,9,EB$14)/12*(1+P_dVol),0)</f>
        <v>0</v>
      </c>
      <c r="EC29" s="34" t="n">
        <f aca="false">IF(EC$15=1,INDEX(Vol_O,9,EC$14)/12*(1+P_dVol),0)</f>
        <v>0</v>
      </c>
      <c r="ED29" s="34" t="n">
        <f aca="false">IF(ED$15=1,INDEX(Vol_O,9,ED$14)/12*(1+P_dVol),0)</f>
        <v>0</v>
      </c>
      <c r="EE29" s="34" t="n">
        <f aca="false">IF(EE$15=1,INDEX(Vol_O,9,EE$14)/12*(1+P_dVol),0)</f>
        <v>0</v>
      </c>
      <c r="EF29" s="34" t="n">
        <f aca="false">IF(EF$15=1,INDEX(Vol_O,9,EF$14)/12*(1+P_dVol),0)</f>
        <v>0</v>
      </c>
      <c r="EG29" s="34" t="n">
        <f aca="false">IF(EG$15=1,INDEX(Vol_O,9,EG$14)/12*(1+P_dVol),0)</f>
        <v>0</v>
      </c>
      <c r="EH29" s="34" t="n">
        <f aca="false">IF(EH$15=1,INDEX(Vol_O,9,EH$14)/12*(1+P_dVol),0)</f>
        <v>0</v>
      </c>
      <c r="EI29" s="34" t="n">
        <f aca="false">IF(EI$15=1,INDEX(Vol_O,9,EI$14)/12*(1+P_dVol),0)</f>
        <v>0</v>
      </c>
      <c r="EJ29" s="34" t="n">
        <f aca="false">IF(EJ$15=1,INDEX(Vol_O,9,EJ$14)/12*(1+P_dVol),0)</f>
        <v>0</v>
      </c>
      <c r="EK29" s="34" t="n">
        <f aca="false">IF(EK$15=1,INDEX(Vol_O,9,EK$14)/12*(1+P_dVol),0)</f>
        <v>0</v>
      </c>
      <c r="EL29" s="34" t="n">
        <f aca="false">IF(EL$15=1,INDEX(Vol_O,9,EL$14)/12*(1+P_dVol),0)</f>
        <v>0</v>
      </c>
      <c r="EM29" s="34" t="n">
        <f aca="false">IF(EM$15=1,INDEX(Vol_O,9,EM$14)/12*(1+P_dVol),0)</f>
        <v>0</v>
      </c>
      <c r="EN29" s="34" t="n">
        <f aca="false">IF(EN$15=1,INDEX(Vol_O,9,EN$14)/12*(1+P_dVol),0)</f>
        <v>0</v>
      </c>
      <c r="EO29" s="34" t="n">
        <f aca="false">IF(EO$15=1,INDEX(Vol_O,9,EO$14)/12*(1+P_dVol),0)</f>
        <v>0</v>
      </c>
      <c r="EP29" s="34" t="n">
        <f aca="false">IF(EP$15=1,INDEX(Vol_O,9,EP$14)/12*(1+P_dVol),0)</f>
        <v>0</v>
      </c>
      <c r="EQ29" s="34" t="n">
        <f aca="false">IF(EQ$15=1,INDEX(Vol_O,9,EQ$14)/12*(1+P_dVol),0)</f>
        <v>0</v>
      </c>
      <c r="ER29" s="34" t="n">
        <f aca="false">IF(ER$15=1,INDEX(Vol_O,9,ER$14)/12*(1+P_dVol),0)</f>
        <v>0</v>
      </c>
      <c r="ES29" s="34" t="n">
        <f aca="false">IF(ES$15=1,INDEX(Vol_O,9,ES$14)/12*(1+P_dVol),0)</f>
        <v>0</v>
      </c>
    </row>
    <row r="30" customFormat="false" ht="15" hidden="false" customHeight="false" outlineLevel="0" collapsed="false">
      <c r="A30" s="2" t="s">
        <v>593</v>
      </c>
      <c r="B30" s="39" t="str">
        <f aca="false">IF(INDEX(Prod_Nombre,10)="","Producto 10",INDEX(Prod_Nombre,10))&amp;" — unidades"</f>
        <v>Producto 10 — unidades</v>
      </c>
      <c r="C30" s="6" t="s">
        <v>286</v>
      </c>
      <c r="E30" s="40" t="n">
        <f aca="false">SUM(F30:ES30)</f>
        <v>0</v>
      </c>
      <c r="F30" s="34" t="n">
        <f aca="false">IF(F$15=1,INDEX(Vol_O,10,F$14)/12*(1+P_dVol),0)</f>
        <v>0</v>
      </c>
      <c r="G30" s="34" t="n">
        <f aca="false">IF(G$15=1,INDEX(Vol_O,10,G$14)/12*(1+P_dVol),0)</f>
        <v>0</v>
      </c>
      <c r="H30" s="34" t="n">
        <f aca="false">IF(H$15=1,INDEX(Vol_O,10,H$14)/12*(1+P_dVol),0)</f>
        <v>0</v>
      </c>
      <c r="I30" s="34" t="n">
        <f aca="false">IF(I$15=1,INDEX(Vol_O,10,I$14)/12*(1+P_dVol),0)</f>
        <v>0</v>
      </c>
      <c r="J30" s="34" t="n">
        <f aca="false">IF(J$15=1,INDEX(Vol_O,10,J$14)/12*(1+P_dVol),0)</f>
        <v>0</v>
      </c>
      <c r="K30" s="34" t="n">
        <f aca="false">IF(K$15=1,INDEX(Vol_O,10,K$14)/12*(1+P_dVol),0)</f>
        <v>0</v>
      </c>
      <c r="L30" s="34" t="n">
        <f aca="false">IF(L$15=1,INDEX(Vol_O,10,L$14)/12*(1+P_dVol),0)</f>
        <v>0</v>
      </c>
      <c r="M30" s="34" t="n">
        <f aca="false">IF(M$15=1,INDEX(Vol_O,10,M$14)/12*(1+P_dVol),0)</f>
        <v>0</v>
      </c>
      <c r="N30" s="34" t="n">
        <f aca="false">IF(N$15=1,INDEX(Vol_O,10,N$14)/12*(1+P_dVol),0)</f>
        <v>0</v>
      </c>
      <c r="O30" s="34" t="n">
        <f aca="false">IF(O$15=1,INDEX(Vol_O,10,O$14)/12*(1+P_dVol),0)</f>
        <v>0</v>
      </c>
      <c r="P30" s="34" t="n">
        <f aca="false">IF(P$15=1,INDEX(Vol_O,10,P$14)/12*(1+P_dVol),0)</f>
        <v>0</v>
      </c>
      <c r="Q30" s="34" t="n">
        <f aca="false">IF(Q$15=1,INDEX(Vol_O,10,Q$14)/12*(1+P_dVol),0)</f>
        <v>0</v>
      </c>
      <c r="R30" s="34" t="n">
        <f aca="false">IF(R$15=1,INDEX(Vol_O,10,R$14)/12*(1+P_dVol),0)</f>
        <v>0</v>
      </c>
      <c r="S30" s="34" t="n">
        <f aca="false">IF(S$15=1,INDEX(Vol_O,10,S$14)/12*(1+P_dVol),0)</f>
        <v>0</v>
      </c>
      <c r="T30" s="34" t="n">
        <f aca="false">IF(T$15=1,INDEX(Vol_O,10,T$14)/12*(1+P_dVol),0)</f>
        <v>0</v>
      </c>
      <c r="U30" s="34" t="n">
        <f aca="false">IF(U$15=1,INDEX(Vol_O,10,U$14)/12*(1+P_dVol),0)</f>
        <v>0</v>
      </c>
      <c r="V30" s="34" t="n">
        <f aca="false">IF(V$15=1,INDEX(Vol_O,10,V$14)/12*(1+P_dVol),0)</f>
        <v>0</v>
      </c>
      <c r="W30" s="34" t="n">
        <f aca="false">IF(W$15=1,INDEX(Vol_O,10,W$14)/12*(1+P_dVol),0)</f>
        <v>0</v>
      </c>
      <c r="X30" s="34" t="n">
        <f aca="false">IF(X$15=1,INDEX(Vol_O,10,X$14)/12*(1+P_dVol),0)</f>
        <v>0</v>
      </c>
      <c r="Y30" s="34" t="n">
        <f aca="false">IF(Y$15=1,INDEX(Vol_O,10,Y$14)/12*(1+P_dVol),0)</f>
        <v>0</v>
      </c>
      <c r="Z30" s="34" t="n">
        <f aca="false">IF(Z$15=1,INDEX(Vol_O,10,Z$14)/12*(1+P_dVol),0)</f>
        <v>0</v>
      </c>
      <c r="AA30" s="34" t="n">
        <f aca="false">IF(AA$15=1,INDEX(Vol_O,10,AA$14)/12*(1+P_dVol),0)</f>
        <v>0</v>
      </c>
      <c r="AB30" s="34" t="n">
        <f aca="false">IF(AB$15=1,INDEX(Vol_O,10,AB$14)/12*(1+P_dVol),0)</f>
        <v>0</v>
      </c>
      <c r="AC30" s="34" t="n">
        <f aca="false">IF(AC$15=1,INDEX(Vol_O,10,AC$14)/12*(1+P_dVol),0)</f>
        <v>0</v>
      </c>
      <c r="AD30" s="34" t="n">
        <f aca="false">IF(AD$15=1,INDEX(Vol_O,10,AD$14)/12*(1+P_dVol),0)</f>
        <v>0</v>
      </c>
      <c r="AE30" s="34" t="n">
        <f aca="false">IF(AE$15=1,INDEX(Vol_O,10,AE$14)/12*(1+P_dVol),0)</f>
        <v>0</v>
      </c>
      <c r="AF30" s="34" t="n">
        <f aca="false">IF(AF$15=1,INDEX(Vol_O,10,AF$14)/12*(1+P_dVol),0)</f>
        <v>0</v>
      </c>
      <c r="AG30" s="34" t="n">
        <f aca="false">IF(AG$15=1,INDEX(Vol_O,10,AG$14)/12*(1+P_dVol),0)</f>
        <v>0</v>
      </c>
      <c r="AH30" s="34" t="n">
        <f aca="false">IF(AH$15=1,INDEX(Vol_O,10,AH$14)/12*(1+P_dVol),0)</f>
        <v>0</v>
      </c>
      <c r="AI30" s="34" t="n">
        <f aca="false">IF(AI$15=1,INDEX(Vol_O,10,AI$14)/12*(1+P_dVol),0)</f>
        <v>0</v>
      </c>
      <c r="AJ30" s="34" t="n">
        <f aca="false">IF(AJ$15=1,INDEX(Vol_O,10,AJ$14)/12*(1+P_dVol),0)</f>
        <v>0</v>
      </c>
      <c r="AK30" s="34" t="n">
        <f aca="false">IF(AK$15=1,INDEX(Vol_O,10,AK$14)/12*(1+P_dVol),0)</f>
        <v>0</v>
      </c>
      <c r="AL30" s="34" t="n">
        <f aca="false">IF(AL$15=1,INDEX(Vol_O,10,AL$14)/12*(1+P_dVol),0)</f>
        <v>0</v>
      </c>
      <c r="AM30" s="34" t="n">
        <f aca="false">IF(AM$15=1,INDEX(Vol_O,10,AM$14)/12*(1+P_dVol),0)</f>
        <v>0</v>
      </c>
      <c r="AN30" s="34" t="n">
        <f aca="false">IF(AN$15=1,INDEX(Vol_O,10,AN$14)/12*(1+P_dVol),0)</f>
        <v>0</v>
      </c>
      <c r="AO30" s="34" t="n">
        <f aca="false">IF(AO$15=1,INDEX(Vol_O,10,AO$14)/12*(1+P_dVol),0)</f>
        <v>0</v>
      </c>
      <c r="AP30" s="34" t="n">
        <f aca="false">IF(AP$15=1,INDEX(Vol_O,10,AP$14)/12*(1+P_dVol),0)</f>
        <v>0</v>
      </c>
      <c r="AQ30" s="34" t="n">
        <f aca="false">IF(AQ$15=1,INDEX(Vol_O,10,AQ$14)/12*(1+P_dVol),0)</f>
        <v>0</v>
      </c>
      <c r="AR30" s="34" t="n">
        <f aca="false">IF(AR$15=1,INDEX(Vol_O,10,AR$14)/12*(1+P_dVol),0)</f>
        <v>0</v>
      </c>
      <c r="AS30" s="34" t="n">
        <f aca="false">IF(AS$15=1,INDEX(Vol_O,10,AS$14)/12*(1+P_dVol),0)</f>
        <v>0</v>
      </c>
      <c r="AT30" s="34" t="n">
        <f aca="false">IF(AT$15=1,INDEX(Vol_O,10,AT$14)/12*(1+P_dVol),0)</f>
        <v>0</v>
      </c>
      <c r="AU30" s="34" t="n">
        <f aca="false">IF(AU$15=1,INDEX(Vol_O,10,AU$14)/12*(1+P_dVol),0)</f>
        <v>0</v>
      </c>
      <c r="AV30" s="34" t="n">
        <f aca="false">IF(AV$15=1,INDEX(Vol_O,10,AV$14)/12*(1+P_dVol),0)</f>
        <v>0</v>
      </c>
      <c r="AW30" s="34" t="n">
        <f aca="false">IF(AW$15=1,INDEX(Vol_O,10,AW$14)/12*(1+P_dVol),0)</f>
        <v>0</v>
      </c>
      <c r="AX30" s="34" t="n">
        <f aca="false">IF(AX$15=1,INDEX(Vol_O,10,AX$14)/12*(1+P_dVol),0)</f>
        <v>0</v>
      </c>
      <c r="AY30" s="34" t="n">
        <f aca="false">IF(AY$15=1,INDEX(Vol_O,10,AY$14)/12*(1+P_dVol),0)</f>
        <v>0</v>
      </c>
      <c r="AZ30" s="34" t="n">
        <f aca="false">IF(AZ$15=1,INDEX(Vol_O,10,AZ$14)/12*(1+P_dVol),0)</f>
        <v>0</v>
      </c>
      <c r="BA30" s="34" t="n">
        <f aca="false">IF(BA$15=1,INDEX(Vol_O,10,BA$14)/12*(1+P_dVol),0)</f>
        <v>0</v>
      </c>
      <c r="BB30" s="34" t="n">
        <f aca="false">IF(BB$15=1,INDEX(Vol_O,10,BB$14)/12*(1+P_dVol),0)</f>
        <v>0</v>
      </c>
      <c r="BC30" s="34" t="n">
        <f aca="false">IF(BC$15=1,INDEX(Vol_O,10,BC$14)/12*(1+P_dVol),0)</f>
        <v>0</v>
      </c>
      <c r="BD30" s="34" t="n">
        <f aca="false">IF(BD$15=1,INDEX(Vol_O,10,BD$14)/12*(1+P_dVol),0)</f>
        <v>0</v>
      </c>
      <c r="BE30" s="34" t="n">
        <f aca="false">IF(BE$15=1,INDEX(Vol_O,10,BE$14)/12*(1+P_dVol),0)</f>
        <v>0</v>
      </c>
      <c r="BF30" s="34" t="n">
        <f aca="false">IF(BF$15=1,INDEX(Vol_O,10,BF$14)/12*(1+P_dVol),0)</f>
        <v>0</v>
      </c>
      <c r="BG30" s="34" t="n">
        <f aca="false">IF(BG$15=1,INDEX(Vol_O,10,BG$14)/12*(1+P_dVol),0)</f>
        <v>0</v>
      </c>
      <c r="BH30" s="34" t="n">
        <f aca="false">IF(BH$15=1,INDEX(Vol_O,10,BH$14)/12*(1+P_dVol),0)</f>
        <v>0</v>
      </c>
      <c r="BI30" s="34" t="n">
        <f aca="false">IF(BI$15=1,INDEX(Vol_O,10,BI$14)/12*(1+P_dVol),0)</f>
        <v>0</v>
      </c>
      <c r="BJ30" s="34" t="n">
        <f aca="false">IF(BJ$15=1,INDEX(Vol_O,10,BJ$14)/12*(1+P_dVol),0)</f>
        <v>0</v>
      </c>
      <c r="BK30" s="34" t="n">
        <f aca="false">IF(BK$15=1,INDEX(Vol_O,10,BK$14)/12*(1+P_dVol),0)</f>
        <v>0</v>
      </c>
      <c r="BL30" s="34" t="n">
        <f aca="false">IF(BL$15=1,INDEX(Vol_O,10,BL$14)/12*(1+P_dVol),0)</f>
        <v>0</v>
      </c>
      <c r="BM30" s="34" t="n">
        <f aca="false">IF(BM$15=1,INDEX(Vol_O,10,BM$14)/12*(1+P_dVol),0)</f>
        <v>0</v>
      </c>
      <c r="BN30" s="34" t="n">
        <f aca="false">IF(BN$15=1,INDEX(Vol_O,10,BN$14)/12*(1+P_dVol),0)</f>
        <v>0</v>
      </c>
      <c r="BO30" s="34" t="n">
        <f aca="false">IF(BO$15=1,INDEX(Vol_O,10,BO$14)/12*(1+P_dVol),0)</f>
        <v>0</v>
      </c>
      <c r="BP30" s="34" t="n">
        <f aca="false">IF(BP$15=1,INDEX(Vol_O,10,BP$14)/12*(1+P_dVol),0)</f>
        <v>0</v>
      </c>
      <c r="BQ30" s="34" t="n">
        <f aca="false">IF(BQ$15=1,INDEX(Vol_O,10,BQ$14)/12*(1+P_dVol),0)</f>
        <v>0</v>
      </c>
      <c r="BR30" s="34" t="n">
        <f aca="false">IF(BR$15=1,INDEX(Vol_O,10,BR$14)/12*(1+P_dVol),0)</f>
        <v>0</v>
      </c>
      <c r="BS30" s="34" t="n">
        <f aca="false">IF(BS$15=1,INDEX(Vol_O,10,BS$14)/12*(1+P_dVol),0)</f>
        <v>0</v>
      </c>
      <c r="BT30" s="34" t="n">
        <f aca="false">IF(BT$15=1,INDEX(Vol_O,10,BT$14)/12*(1+P_dVol),0)</f>
        <v>0</v>
      </c>
      <c r="BU30" s="34" t="n">
        <f aca="false">IF(BU$15=1,INDEX(Vol_O,10,BU$14)/12*(1+P_dVol),0)</f>
        <v>0</v>
      </c>
      <c r="BV30" s="34" t="n">
        <f aca="false">IF(BV$15=1,INDEX(Vol_O,10,BV$14)/12*(1+P_dVol),0)</f>
        <v>0</v>
      </c>
      <c r="BW30" s="34" t="n">
        <f aca="false">IF(BW$15=1,INDEX(Vol_O,10,BW$14)/12*(1+P_dVol),0)</f>
        <v>0</v>
      </c>
      <c r="BX30" s="34" t="n">
        <f aca="false">IF(BX$15=1,INDEX(Vol_O,10,BX$14)/12*(1+P_dVol),0)</f>
        <v>0</v>
      </c>
      <c r="BY30" s="34" t="n">
        <f aca="false">IF(BY$15=1,INDEX(Vol_O,10,BY$14)/12*(1+P_dVol),0)</f>
        <v>0</v>
      </c>
      <c r="BZ30" s="34" t="n">
        <f aca="false">IF(BZ$15=1,INDEX(Vol_O,10,BZ$14)/12*(1+P_dVol),0)</f>
        <v>0</v>
      </c>
      <c r="CA30" s="34" t="n">
        <f aca="false">IF(CA$15=1,INDEX(Vol_O,10,CA$14)/12*(1+P_dVol),0)</f>
        <v>0</v>
      </c>
      <c r="CB30" s="34" t="n">
        <f aca="false">IF(CB$15=1,INDEX(Vol_O,10,CB$14)/12*(1+P_dVol),0)</f>
        <v>0</v>
      </c>
      <c r="CC30" s="34" t="n">
        <f aca="false">IF(CC$15=1,INDEX(Vol_O,10,CC$14)/12*(1+P_dVol),0)</f>
        <v>0</v>
      </c>
      <c r="CD30" s="34" t="n">
        <f aca="false">IF(CD$15=1,INDEX(Vol_O,10,CD$14)/12*(1+P_dVol),0)</f>
        <v>0</v>
      </c>
      <c r="CE30" s="34" t="n">
        <f aca="false">IF(CE$15=1,INDEX(Vol_O,10,CE$14)/12*(1+P_dVol),0)</f>
        <v>0</v>
      </c>
      <c r="CF30" s="34" t="n">
        <f aca="false">IF(CF$15=1,INDEX(Vol_O,10,CF$14)/12*(1+P_dVol),0)</f>
        <v>0</v>
      </c>
      <c r="CG30" s="34" t="n">
        <f aca="false">IF(CG$15=1,INDEX(Vol_O,10,CG$14)/12*(1+P_dVol),0)</f>
        <v>0</v>
      </c>
      <c r="CH30" s="34" t="n">
        <f aca="false">IF(CH$15=1,INDEX(Vol_O,10,CH$14)/12*(1+P_dVol),0)</f>
        <v>0</v>
      </c>
      <c r="CI30" s="34" t="n">
        <f aca="false">IF(CI$15=1,INDEX(Vol_O,10,CI$14)/12*(1+P_dVol),0)</f>
        <v>0</v>
      </c>
      <c r="CJ30" s="34" t="n">
        <f aca="false">IF(CJ$15=1,INDEX(Vol_O,10,CJ$14)/12*(1+P_dVol),0)</f>
        <v>0</v>
      </c>
      <c r="CK30" s="34" t="n">
        <f aca="false">IF(CK$15=1,INDEX(Vol_O,10,CK$14)/12*(1+P_dVol),0)</f>
        <v>0</v>
      </c>
      <c r="CL30" s="34" t="n">
        <f aca="false">IF(CL$15=1,INDEX(Vol_O,10,CL$14)/12*(1+P_dVol),0)</f>
        <v>0</v>
      </c>
      <c r="CM30" s="34" t="n">
        <f aca="false">IF(CM$15=1,INDEX(Vol_O,10,CM$14)/12*(1+P_dVol),0)</f>
        <v>0</v>
      </c>
      <c r="CN30" s="34" t="n">
        <f aca="false">IF(CN$15=1,INDEX(Vol_O,10,CN$14)/12*(1+P_dVol),0)</f>
        <v>0</v>
      </c>
      <c r="CO30" s="34" t="n">
        <f aca="false">IF(CO$15=1,INDEX(Vol_O,10,CO$14)/12*(1+P_dVol),0)</f>
        <v>0</v>
      </c>
      <c r="CP30" s="34" t="n">
        <f aca="false">IF(CP$15=1,INDEX(Vol_O,10,CP$14)/12*(1+P_dVol),0)</f>
        <v>0</v>
      </c>
      <c r="CQ30" s="34" t="n">
        <f aca="false">IF(CQ$15=1,INDEX(Vol_O,10,CQ$14)/12*(1+P_dVol),0)</f>
        <v>0</v>
      </c>
      <c r="CR30" s="34" t="n">
        <f aca="false">IF(CR$15=1,INDEX(Vol_O,10,CR$14)/12*(1+P_dVol),0)</f>
        <v>0</v>
      </c>
      <c r="CS30" s="34" t="n">
        <f aca="false">IF(CS$15=1,INDEX(Vol_O,10,CS$14)/12*(1+P_dVol),0)</f>
        <v>0</v>
      </c>
      <c r="CT30" s="34" t="n">
        <f aca="false">IF(CT$15=1,INDEX(Vol_O,10,CT$14)/12*(1+P_dVol),0)</f>
        <v>0</v>
      </c>
      <c r="CU30" s="34" t="n">
        <f aca="false">IF(CU$15=1,INDEX(Vol_O,10,CU$14)/12*(1+P_dVol),0)</f>
        <v>0</v>
      </c>
      <c r="CV30" s="34" t="n">
        <f aca="false">IF(CV$15=1,INDEX(Vol_O,10,CV$14)/12*(1+P_dVol),0)</f>
        <v>0</v>
      </c>
      <c r="CW30" s="34" t="n">
        <f aca="false">IF(CW$15=1,INDEX(Vol_O,10,CW$14)/12*(1+P_dVol),0)</f>
        <v>0</v>
      </c>
      <c r="CX30" s="34" t="n">
        <f aca="false">IF(CX$15=1,INDEX(Vol_O,10,CX$14)/12*(1+P_dVol),0)</f>
        <v>0</v>
      </c>
      <c r="CY30" s="34" t="n">
        <f aca="false">IF(CY$15=1,INDEX(Vol_O,10,CY$14)/12*(1+P_dVol),0)</f>
        <v>0</v>
      </c>
      <c r="CZ30" s="34" t="n">
        <f aca="false">IF(CZ$15=1,INDEX(Vol_O,10,CZ$14)/12*(1+P_dVol),0)</f>
        <v>0</v>
      </c>
      <c r="DA30" s="34" t="n">
        <f aca="false">IF(DA$15=1,INDEX(Vol_O,10,DA$14)/12*(1+P_dVol),0)</f>
        <v>0</v>
      </c>
      <c r="DB30" s="34" t="n">
        <f aca="false">IF(DB$15=1,INDEX(Vol_O,10,DB$14)/12*(1+P_dVol),0)</f>
        <v>0</v>
      </c>
      <c r="DC30" s="34" t="n">
        <f aca="false">IF(DC$15=1,INDEX(Vol_O,10,DC$14)/12*(1+P_dVol),0)</f>
        <v>0</v>
      </c>
      <c r="DD30" s="34" t="n">
        <f aca="false">IF(DD$15=1,INDEX(Vol_O,10,DD$14)/12*(1+P_dVol),0)</f>
        <v>0</v>
      </c>
      <c r="DE30" s="34" t="n">
        <f aca="false">IF(DE$15=1,INDEX(Vol_O,10,DE$14)/12*(1+P_dVol),0)</f>
        <v>0</v>
      </c>
      <c r="DF30" s="34" t="n">
        <f aca="false">IF(DF$15=1,INDEX(Vol_O,10,DF$14)/12*(1+P_dVol),0)</f>
        <v>0</v>
      </c>
      <c r="DG30" s="34" t="n">
        <f aca="false">IF(DG$15=1,INDEX(Vol_O,10,DG$14)/12*(1+P_dVol),0)</f>
        <v>0</v>
      </c>
      <c r="DH30" s="34" t="n">
        <f aca="false">IF(DH$15=1,INDEX(Vol_O,10,DH$14)/12*(1+P_dVol),0)</f>
        <v>0</v>
      </c>
      <c r="DI30" s="34" t="n">
        <f aca="false">IF(DI$15=1,INDEX(Vol_O,10,DI$14)/12*(1+P_dVol),0)</f>
        <v>0</v>
      </c>
      <c r="DJ30" s="34" t="n">
        <f aca="false">IF(DJ$15=1,INDEX(Vol_O,10,DJ$14)/12*(1+P_dVol),0)</f>
        <v>0</v>
      </c>
      <c r="DK30" s="34" t="n">
        <f aca="false">IF(DK$15=1,INDEX(Vol_O,10,DK$14)/12*(1+P_dVol),0)</f>
        <v>0</v>
      </c>
      <c r="DL30" s="34" t="n">
        <f aca="false">IF(DL$15=1,INDEX(Vol_O,10,DL$14)/12*(1+P_dVol),0)</f>
        <v>0</v>
      </c>
      <c r="DM30" s="34" t="n">
        <f aca="false">IF(DM$15=1,INDEX(Vol_O,10,DM$14)/12*(1+P_dVol),0)</f>
        <v>0</v>
      </c>
      <c r="DN30" s="34" t="n">
        <f aca="false">IF(DN$15=1,INDEX(Vol_O,10,DN$14)/12*(1+P_dVol),0)</f>
        <v>0</v>
      </c>
      <c r="DO30" s="34" t="n">
        <f aca="false">IF(DO$15=1,INDEX(Vol_O,10,DO$14)/12*(1+P_dVol),0)</f>
        <v>0</v>
      </c>
      <c r="DP30" s="34" t="n">
        <f aca="false">IF(DP$15=1,INDEX(Vol_O,10,DP$14)/12*(1+P_dVol),0)</f>
        <v>0</v>
      </c>
      <c r="DQ30" s="34" t="n">
        <f aca="false">IF(DQ$15=1,INDEX(Vol_O,10,DQ$14)/12*(1+P_dVol),0)</f>
        <v>0</v>
      </c>
      <c r="DR30" s="34" t="n">
        <f aca="false">IF(DR$15=1,INDEX(Vol_O,10,DR$14)/12*(1+P_dVol),0)</f>
        <v>0</v>
      </c>
      <c r="DS30" s="34" t="n">
        <f aca="false">IF(DS$15=1,INDEX(Vol_O,10,DS$14)/12*(1+P_dVol),0)</f>
        <v>0</v>
      </c>
      <c r="DT30" s="34" t="n">
        <f aca="false">IF(DT$15=1,INDEX(Vol_O,10,DT$14)/12*(1+P_dVol),0)</f>
        <v>0</v>
      </c>
      <c r="DU30" s="34" t="n">
        <f aca="false">IF(DU$15=1,INDEX(Vol_O,10,DU$14)/12*(1+P_dVol),0)</f>
        <v>0</v>
      </c>
      <c r="DV30" s="34" t="n">
        <f aca="false">IF(DV$15=1,INDEX(Vol_O,10,DV$14)/12*(1+P_dVol),0)</f>
        <v>0</v>
      </c>
      <c r="DW30" s="34" t="n">
        <f aca="false">IF(DW$15=1,INDEX(Vol_O,10,DW$14)/12*(1+P_dVol),0)</f>
        <v>0</v>
      </c>
      <c r="DX30" s="34" t="n">
        <f aca="false">IF(DX$15=1,INDEX(Vol_O,10,DX$14)/12*(1+P_dVol),0)</f>
        <v>0</v>
      </c>
      <c r="DY30" s="34" t="n">
        <f aca="false">IF(DY$15=1,INDEX(Vol_O,10,DY$14)/12*(1+P_dVol),0)</f>
        <v>0</v>
      </c>
      <c r="DZ30" s="34" t="n">
        <f aca="false">IF(DZ$15=1,INDEX(Vol_O,10,DZ$14)/12*(1+P_dVol),0)</f>
        <v>0</v>
      </c>
      <c r="EA30" s="34" t="n">
        <f aca="false">IF(EA$15=1,INDEX(Vol_O,10,EA$14)/12*(1+P_dVol),0)</f>
        <v>0</v>
      </c>
      <c r="EB30" s="34" t="n">
        <f aca="false">IF(EB$15=1,INDEX(Vol_O,10,EB$14)/12*(1+P_dVol),0)</f>
        <v>0</v>
      </c>
      <c r="EC30" s="34" t="n">
        <f aca="false">IF(EC$15=1,INDEX(Vol_O,10,EC$14)/12*(1+P_dVol),0)</f>
        <v>0</v>
      </c>
      <c r="ED30" s="34" t="n">
        <f aca="false">IF(ED$15=1,INDEX(Vol_O,10,ED$14)/12*(1+P_dVol),0)</f>
        <v>0</v>
      </c>
      <c r="EE30" s="34" t="n">
        <f aca="false">IF(EE$15=1,INDEX(Vol_O,10,EE$14)/12*(1+P_dVol),0)</f>
        <v>0</v>
      </c>
      <c r="EF30" s="34" t="n">
        <f aca="false">IF(EF$15=1,INDEX(Vol_O,10,EF$14)/12*(1+P_dVol),0)</f>
        <v>0</v>
      </c>
      <c r="EG30" s="34" t="n">
        <f aca="false">IF(EG$15=1,INDEX(Vol_O,10,EG$14)/12*(1+P_dVol),0)</f>
        <v>0</v>
      </c>
      <c r="EH30" s="34" t="n">
        <f aca="false">IF(EH$15=1,INDEX(Vol_O,10,EH$14)/12*(1+P_dVol),0)</f>
        <v>0</v>
      </c>
      <c r="EI30" s="34" t="n">
        <f aca="false">IF(EI$15=1,INDEX(Vol_O,10,EI$14)/12*(1+P_dVol),0)</f>
        <v>0</v>
      </c>
      <c r="EJ30" s="34" t="n">
        <f aca="false">IF(EJ$15=1,INDEX(Vol_O,10,EJ$14)/12*(1+P_dVol),0)</f>
        <v>0</v>
      </c>
      <c r="EK30" s="34" t="n">
        <f aca="false">IF(EK$15=1,INDEX(Vol_O,10,EK$14)/12*(1+P_dVol),0)</f>
        <v>0</v>
      </c>
      <c r="EL30" s="34" t="n">
        <f aca="false">IF(EL$15=1,INDEX(Vol_O,10,EL$14)/12*(1+P_dVol),0)</f>
        <v>0</v>
      </c>
      <c r="EM30" s="34" t="n">
        <f aca="false">IF(EM$15=1,INDEX(Vol_O,10,EM$14)/12*(1+P_dVol),0)</f>
        <v>0</v>
      </c>
      <c r="EN30" s="34" t="n">
        <f aca="false">IF(EN$15=1,INDEX(Vol_O,10,EN$14)/12*(1+P_dVol),0)</f>
        <v>0</v>
      </c>
      <c r="EO30" s="34" t="n">
        <f aca="false">IF(EO$15=1,INDEX(Vol_O,10,EO$14)/12*(1+P_dVol),0)</f>
        <v>0</v>
      </c>
      <c r="EP30" s="34" t="n">
        <f aca="false">IF(EP$15=1,INDEX(Vol_O,10,EP$14)/12*(1+P_dVol),0)</f>
        <v>0</v>
      </c>
      <c r="EQ30" s="34" t="n">
        <f aca="false">IF(EQ$15=1,INDEX(Vol_O,10,EQ$14)/12*(1+P_dVol),0)</f>
        <v>0</v>
      </c>
      <c r="ER30" s="34" t="n">
        <f aca="false">IF(ER$15=1,INDEX(Vol_O,10,ER$14)/12*(1+P_dVol),0)</f>
        <v>0</v>
      </c>
      <c r="ES30" s="34" t="n">
        <f aca="false">IF(ES$15=1,INDEX(Vol_O,10,ES$14)/12*(1+P_dVol),0)</f>
        <v>0</v>
      </c>
    </row>
    <row r="31" customFormat="false" ht="15" hidden="false" customHeight="false" outlineLevel="0" collapsed="false">
      <c r="A31" s="2" t="s">
        <v>594</v>
      </c>
      <c r="B31" s="39" t="str">
        <f aca="false">IF(INDEX(Prod_Nombre,11)="","Producto 11",INDEX(Prod_Nombre,11))&amp;" — unidades"</f>
        <v>Producto 11 — unidades</v>
      </c>
      <c r="C31" s="6" t="s">
        <v>286</v>
      </c>
      <c r="E31" s="40" t="n">
        <f aca="false">SUM(F31:ES31)</f>
        <v>0</v>
      </c>
      <c r="F31" s="34" t="n">
        <f aca="false">IF(F$15=1,INDEX(Vol_O,11,F$14)/12*(1+P_dVol),0)</f>
        <v>0</v>
      </c>
      <c r="G31" s="34" t="n">
        <f aca="false">IF(G$15=1,INDEX(Vol_O,11,G$14)/12*(1+P_dVol),0)</f>
        <v>0</v>
      </c>
      <c r="H31" s="34" t="n">
        <f aca="false">IF(H$15=1,INDEX(Vol_O,11,H$14)/12*(1+P_dVol),0)</f>
        <v>0</v>
      </c>
      <c r="I31" s="34" t="n">
        <f aca="false">IF(I$15=1,INDEX(Vol_O,11,I$14)/12*(1+P_dVol),0)</f>
        <v>0</v>
      </c>
      <c r="J31" s="34" t="n">
        <f aca="false">IF(J$15=1,INDEX(Vol_O,11,J$14)/12*(1+P_dVol),0)</f>
        <v>0</v>
      </c>
      <c r="K31" s="34" t="n">
        <f aca="false">IF(K$15=1,INDEX(Vol_O,11,K$14)/12*(1+P_dVol),0)</f>
        <v>0</v>
      </c>
      <c r="L31" s="34" t="n">
        <f aca="false">IF(L$15=1,INDEX(Vol_O,11,L$14)/12*(1+P_dVol),0)</f>
        <v>0</v>
      </c>
      <c r="M31" s="34" t="n">
        <f aca="false">IF(M$15=1,INDEX(Vol_O,11,M$14)/12*(1+P_dVol),0)</f>
        <v>0</v>
      </c>
      <c r="N31" s="34" t="n">
        <f aca="false">IF(N$15=1,INDEX(Vol_O,11,N$14)/12*(1+P_dVol),0)</f>
        <v>0</v>
      </c>
      <c r="O31" s="34" t="n">
        <f aca="false">IF(O$15=1,INDEX(Vol_O,11,O$14)/12*(1+P_dVol),0)</f>
        <v>0</v>
      </c>
      <c r="P31" s="34" t="n">
        <f aca="false">IF(P$15=1,INDEX(Vol_O,11,P$14)/12*(1+P_dVol),0)</f>
        <v>0</v>
      </c>
      <c r="Q31" s="34" t="n">
        <f aca="false">IF(Q$15=1,INDEX(Vol_O,11,Q$14)/12*(1+P_dVol),0)</f>
        <v>0</v>
      </c>
      <c r="R31" s="34" t="n">
        <f aca="false">IF(R$15=1,INDEX(Vol_O,11,R$14)/12*(1+P_dVol),0)</f>
        <v>0</v>
      </c>
      <c r="S31" s="34" t="n">
        <f aca="false">IF(S$15=1,INDEX(Vol_O,11,S$14)/12*(1+P_dVol),0)</f>
        <v>0</v>
      </c>
      <c r="T31" s="34" t="n">
        <f aca="false">IF(T$15=1,INDEX(Vol_O,11,T$14)/12*(1+P_dVol),0)</f>
        <v>0</v>
      </c>
      <c r="U31" s="34" t="n">
        <f aca="false">IF(U$15=1,INDEX(Vol_O,11,U$14)/12*(1+P_dVol),0)</f>
        <v>0</v>
      </c>
      <c r="V31" s="34" t="n">
        <f aca="false">IF(V$15=1,INDEX(Vol_O,11,V$14)/12*(1+P_dVol),0)</f>
        <v>0</v>
      </c>
      <c r="W31" s="34" t="n">
        <f aca="false">IF(W$15=1,INDEX(Vol_O,11,W$14)/12*(1+P_dVol),0)</f>
        <v>0</v>
      </c>
      <c r="X31" s="34" t="n">
        <f aca="false">IF(X$15=1,INDEX(Vol_O,11,X$14)/12*(1+P_dVol),0)</f>
        <v>0</v>
      </c>
      <c r="Y31" s="34" t="n">
        <f aca="false">IF(Y$15=1,INDEX(Vol_O,11,Y$14)/12*(1+P_dVol),0)</f>
        <v>0</v>
      </c>
      <c r="Z31" s="34" t="n">
        <f aca="false">IF(Z$15=1,INDEX(Vol_O,11,Z$14)/12*(1+P_dVol),0)</f>
        <v>0</v>
      </c>
      <c r="AA31" s="34" t="n">
        <f aca="false">IF(AA$15=1,INDEX(Vol_O,11,AA$14)/12*(1+P_dVol),0)</f>
        <v>0</v>
      </c>
      <c r="AB31" s="34" t="n">
        <f aca="false">IF(AB$15=1,INDEX(Vol_O,11,AB$14)/12*(1+P_dVol),0)</f>
        <v>0</v>
      </c>
      <c r="AC31" s="34" t="n">
        <f aca="false">IF(AC$15=1,INDEX(Vol_O,11,AC$14)/12*(1+P_dVol),0)</f>
        <v>0</v>
      </c>
      <c r="AD31" s="34" t="n">
        <f aca="false">IF(AD$15=1,INDEX(Vol_O,11,AD$14)/12*(1+P_dVol),0)</f>
        <v>0</v>
      </c>
      <c r="AE31" s="34" t="n">
        <f aca="false">IF(AE$15=1,INDEX(Vol_O,11,AE$14)/12*(1+P_dVol),0)</f>
        <v>0</v>
      </c>
      <c r="AF31" s="34" t="n">
        <f aca="false">IF(AF$15=1,INDEX(Vol_O,11,AF$14)/12*(1+P_dVol),0)</f>
        <v>0</v>
      </c>
      <c r="AG31" s="34" t="n">
        <f aca="false">IF(AG$15=1,INDEX(Vol_O,11,AG$14)/12*(1+P_dVol),0)</f>
        <v>0</v>
      </c>
      <c r="AH31" s="34" t="n">
        <f aca="false">IF(AH$15=1,INDEX(Vol_O,11,AH$14)/12*(1+P_dVol),0)</f>
        <v>0</v>
      </c>
      <c r="AI31" s="34" t="n">
        <f aca="false">IF(AI$15=1,INDEX(Vol_O,11,AI$14)/12*(1+P_dVol),0)</f>
        <v>0</v>
      </c>
      <c r="AJ31" s="34" t="n">
        <f aca="false">IF(AJ$15=1,INDEX(Vol_O,11,AJ$14)/12*(1+P_dVol),0)</f>
        <v>0</v>
      </c>
      <c r="AK31" s="34" t="n">
        <f aca="false">IF(AK$15=1,INDEX(Vol_O,11,AK$14)/12*(1+P_dVol),0)</f>
        <v>0</v>
      </c>
      <c r="AL31" s="34" t="n">
        <f aca="false">IF(AL$15=1,INDEX(Vol_O,11,AL$14)/12*(1+P_dVol),0)</f>
        <v>0</v>
      </c>
      <c r="AM31" s="34" t="n">
        <f aca="false">IF(AM$15=1,INDEX(Vol_O,11,AM$14)/12*(1+P_dVol),0)</f>
        <v>0</v>
      </c>
      <c r="AN31" s="34" t="n">
        <f aca="false">IF(AN$15=1,INDEX(Vol_O,11,AN$14)/12*(1+P_dVol),0)</f>
        <v>0</v>
      </c>
      <c r="AO31" s="34" t="n">
        <f aca="false">IF(AO$15=1,INDEX(Vol_O,11,AO$14)/12*(1+P_dVol),0)</f>
        <v>0</v>
      </c>
      <c r="AP31" s="34" t="n">
        <f aca="false">IF(AP$15=1,INDEX(Vol_O,11,AP$14)/12*(1+P_dVol),0)</f>
        <v>0</v>
      </c>
      <c r="AQ31" s="34" t="n">
        <f aca="false">IF(AQ$15=1,INDEX(Vol_O,11,AQ$14)/12*(1+P_dVol),0)</f>
        <v>0</v>
      </c>
      <c r="AR31" s="34" t="n">
        <f aca="false">IF(AR$15=1,INDEX(Vol_O,11,AR$14)/12*(1+P_dVol),0)</f>
        <v>0</v>
      </c>
      <c r="AS31" s="34" t="n">
        <f aca="false">IF(AS$15=1,INDEX(Vol_O,11,AS$14)/12*(1+P_dVol),0)</f>
        <v>0</v>
      </c>
      <c r="AT31" s="34" t="n">
        <f aca="false">IF(AT$15=1,INDEX(Vol_O,11,AT$14)/12*(1+P_dVol),0)</f>
        <v>0</v>
      </c>
      <c r="AU31" s="34" t="n">
        <f aca="false">IF(AU$15=1,INDEX(Vol_O,11,AU$14)/12*(1+P_dVol),0)</f>
        <v>0</v>
      </c>
      <c r="AV31" s="34" t="n">
        <f aca="false">IF(AV$15=1,INDEX(Vol_O,11,AV$14)/12*(1+P_dVol),0)</f>
        <v>0</v>
      </c>
      <c r="AW31" s="34" t="n">
        <f aca="false">IF(AW$15=1,INDEX(Vol_O,11,AW$14)/12*(1+P_dVol),0)</f>
        <v>0</v>
      </c>
      <c r="AX31" s="34" t="n">
        <f aca="false">IF(AX$15=1,INDEX(Vol_O,11,AX$14)/12*(1+P_dVol),0)</f>
        <v>0</v>
      </c>
      <c r="AY31" s="34" t="n">
        <f aca="false">IF(AY$15=1,INDEX(Vol_O,11,AY$14)/12*(1+P_dVol),0)</f>
        <v>0</v>
      </c>
      <c r="AZ31" s="34" t="n">
        <f aca="false">IF(AZ$15=1,INDEX(Vol_O,11,AZ$14)/12*(1+P_dVol),0)</f>
        <v>0</v>
      </c>
      <c r="BA31" s="34" t="n">
        <f aca="false">IF(BA$15=1,INDEX(Vol_O,11,BA$14)/12*(1+P_dVol),0)</f>
        <v>0</v>
      </c>
      <c r="BB31" s="34" t="n">
        <f aca="false">IF(BB$15=1,INDEX(Vol_O,11,BB$14)/12*(1+P_dVol),0)</f>
        <v>0</v>
      </c>
      <c r="BC31" s="34" t="n">
        <f aca="false">IF(BC$15=1,INDEX(Vol_O,11,BC$14)/12*(1+P_dVol),0)</f>
        <v>0</v>
      </c>
      <c r="BD31" s="34" t="n">
        <f aca="false">IF(BD$15=1,INDEX(Vol_O,11,BD$14)/12*(1+P_dVol),0)</f>
        <v>0</v>
      </c>
      <c r="BE31" s="34" t="n">
        <f aca="false">IF(BE$15=1,INDEX(Vol_O,11,BE$14)/12*(1+P_dVol),0)</f>
        <v>0</v>
      </c>
      <c r="BF31" s="34" t="n">
        <f aca="false">IF(BF$15=1,INDEX(Vol_O,11,BF$14)/12*(1+P_dVol),0)</f>
        <v>0</v>
      </c>
      <c r="BG31" s="34" t="n">
        <f aca="false">IF(BG$15=1,INDEX(Vol_O,11,BG$14)/12*(1+P_dVol),0)</f>
        <v>0</v>
      </c>
      <c r="BH31" s="34" t="n">
        <f aca="false">IF(BH$15=1,INDEX(Vol_O,11,BH$14)/12*(1+P_dVol),0)</f>
        <v>0</v>
      </c>
      <c r="BI31" s="34" t="n">
        <f aca="false">IF(BI$15=1,INDEX(Vol_O,11,BI$14)/12*(1+P_dVol),0)</f>
        <v>0</v>
      </c>
      <c r="BJ31" s="34" t="n">
        <f aca="false">IF(BJ$15=1,INDEX(Vol_O,11,BJ$14)/12*(1+P_dVol),0)</f>
        <v>0</v>
      </c>
      <c r="BK31" s="34" t="n">
        <f aca="false">IF(BK$15=1,INDEX(Vol_O,11,BK$14)/12*(1+P_dVol),0)</f>
        <v>0</v>
      </c>
      <c r="BL31" s="34" t="n">
        <f aca="false">IF(BL$15=1,INDEX(Vol_O,11,BL$14)/12*(1+P_dVol),0)</f>
        <v>0</v>
      </c>
      <c r="BM31" s="34" t="n">
        <f aca="false">IF(BM$15=1,INDEX(Vol_O,11,BM$14)/12*(1+P_dVol),0)</f>
        <v>0</v>
      </c>
      <c r="BN31" s="34" t="n">
        <f aca="false">IF(BN$15=1,INDEX(Vol_O,11,BN$14)/12*(1+P_dVol),0)</f>
        <v>0</v>
      </c>
      <c r="BO31" s="34" t="n">
        <f aca="false">IF(BO$15=1,INDEX(Vol_O,11,BO$14)/12*(1+P_dVol),0)</f>
        <v>0</v>
      </c>
      <c r="BP31" s="34" t="n">
        <f aca="false">IF(BP$15=1,INDEX(Vol_O,11,BP$14)/12*(1+P_dVol),0)</f>
        <v>0</v>
      </c>
      <c r="BQ31" s="34" t="n">
        <f aca="false">IF(BQ$15=1,INDEX(Vol_O,11,BQ$14)/12*(1+P_dVol),0)</f>
        <v>0</v>
      </c>
      <c r="BR31" s="34" t="n">
        <f aca="false">IF(BR$15=1,INDEX(Vol_O,11,BR$14)/12*(1+P_dVol),0)</f>
        <v>0</v>
      </c>
      <c r="BS31" s="34" t="n">
        <f aca="false">IF(BS$15=1,INDEX(Vol_O,11,BS$14)/12*(1+P_dVol),0)</f>
        <v>0</v>
      </c>
      <c r="BT31" s="34" t="n">
        <f aca="false">IF(BT$15=1,INDEX(Vol_O,11,BT$14)/12*(1+P_dVol),0)</f>
        <v>0</v>
      </c>
      <c r="BU31" s="34" t="n">
        <f aca="false">IF(BU$15=1,INDEX(Vol_O,11,BU$14)/12*(1+P_dVol),0)</f>
        <v>0</v>
      </c>
      <c r="BV31" s="34" t="n">
        <f aca="false">IF(BV$15=1,INDEX(Vol_O,11,BV$14)/12*(1+P_dVol),0)</f>
        <v>0</v>
      </c>
      <c r="BW31" s="34" t="n">
        <f aca="false">IF(BW$15=1,INDEX(Vol_O,11,BW$14)/12*(1+P_dVol),0)</f>
        <v>0</v>
      </c>
      <c r="BX31" s="34" t="n">
        <f aca="false">IF(BX$15=1,INDEX(Vol_O,11,BX$14)/12*(1+P_dVol),0)</f>
        <v>0</v>
      </c>
      <c r="BY31" s="34" t="n">
        <f aca="false">IF(BY$15=1,INDEX(Vol_O,11,BY$14)/12*(1+P_dVol),0)</f>
        <v>0</v>
      </c>
      <c r="BZ31" s="34" t="n">
        <f aca="false">IF(BZ$15=1,INDEX(Vol_O,11,BZ$14)/12*(1+P_dVol),0)</f>
        <v>0</v>
      </c>
      <c r="CA31" s="34" t="n">
        <f aca="false">IF(CA$15=1,INDEX(Vol_O,11,CA$14)/12*(1+P_dVol),0)</f>
        <v>0</v>
      </c>
      <c r="CB31" s="34" t="n">
        <f aca="false">IF(CB$15=1,INDEX(Vol_O,11,CB$14)/12*(1+P_dVol),0)</f>
        <v>0</v>
      </c>
      <c r="CC31" s="34" t="n">
        <f aca="false">IF(CC$15=1,INDEX(Vol_O,11,CC$14)/12*(1+P_dVol),0)</f>
        <v>0</v>
      </c>
      <c r="CD31" s="34" t="n">
        <f aca="false">IF(CD$15=1,INDEX(Vol_O,11,CD$14)/12*(1+P_dVol),0)</f>
        <v>0</v>
      </c>
      <c r="CE31" s="34" t="n">
        <f aca="false">IF(CE$15=1,INDEX(Vol_O,11,CE$14)/12*(1+P_dVol),0)</f>
        <v>0</v>
      </c>
      <c r="CF31" s="34" t="n">
        <f aca="false">IF(CF$15=1,INDEX(Vol_O,11,CF$14)/12*(1+P_dVol),0)</f>
        <v>0</v>
      </c>
      <c r="CG31" s="34" t="n">
        <f aca="false">IF(CG$15=1,INDEX(Vol_O,11,CG$14)/12*(1+P_dVol),0)</f>
        <v>0</v>
      </c>
      <c r="CH31" s="34" t="n">
        <f aca="false">IF(CH$15=1,INDEX(Vol_O,11,CH$14)/12*(1+P_dVol),0)</f>
        <v>0</v>
      </c>
      <c r="CI31" s="34" t="n">
        <f aca="false">IF(CI$15=1,INDEX(Vol_O,11,CI$14)/12*(1+P_dVol),0)</f>
        <v>0</v>
      </c>
      <c r="CJ31" s="34" t="n">
        <f aca="false">IF(CJ$15=1,INDEX(Vol_O,11,CJ$14)/12*(1+P_dVol),0)</f>
        <v>0</v>
      </c>
      <c r="CK31" s="34" t="n">
        <f aca="false">IF(CK$15=1,INDEX(Vol_O,11,CK$14)/12*(1+P_dVol),0)</f>
        <v>0</v>
      </c>
      <c r="CL31" s="34" t="n">
        <f aca="false">IF(CL$15=1,INDEX(Vol_O,11,CL$14)/12*(1+P_dVol),0)</f>
        <v>0</v>
      </c>
      <c r="CM31" s="34" t="n">
        <f aca="false">IF(CM$15=1,INDEX(Vol_O,11,CM$14)/12*(1+P_dVol),0)</f>
        <v>0</v>
      </c>
      <c r="CN31" s="34" t="n">
        <f aca="false">IF(CN$15=1,INDEX(Vol_O,11,CN$14)/12*(1+P_dVol),0)</f>
        <v>0</v>
      </c>
      <c r="CO31" s="34" t="n">
        <f aca="false">IF(CO$15=1,INDEX(Vol_O,11,CO$14)/12*(1+P_dVol),0)</f>
        <v>0</v>
      </c>
      <c r="CP31" s="34" t="n">
        <f aca="false">IF(CP$15=1,INDEX(Vol_O,11,CP$14)/12*(1+P_dVol),0)</f>
        <v>0</v>
      </c>
      <c r="CQ31" s="34" t="n">
        <f aca="false">IF(CQ$15=1,INDEX(Vol_O,11,CQ$14)/12*(1+P_dVol),0)</f>
        <v>0</v>
      </c>
      <c r="CR31" s="34" t="n">
        <f aca="false">IF(CR$15=1,INDEX(Vol_O,11,CR$14)/12*(1+P_dVol),0)</f>
        <v>0</v>
      </c>
      <c r="CS31" s="34" t="n">
        <f aca="false">IF(CS$15=1,INDEX(Vol_O,11,CS$14)/12*(1+P_dVol),0)</f>
        <v>0</v>
      </c>
      <c r="CT31" s="34" t="n">
        <f aca="false">IF(CT$15=1,INDEX(Vol_O,11,CT$14)/12*(1+P_dVol),0)</f>
        <v>0</v>
      </c>
      <c r="CU31" s="34" t="n">
        <f aca="false">IF(CU$15=1,INDEX(Vol_O,11,CU$14)/12*(1+P_dVol),0)</f>
        <v>0</v>
      </c>
      <c r="CV31" s="34" t="n">
        <f aca="false">IF(CV$15=1,INDEX(Vol_O,11,CV$14)/12*(1+P_dVol),0)</f>
        <v>0</v>
      </c>
      <c r="CW31" s="34" t="n">
        <f aca="false">IF(CW$15=1,INDEX(Vol_O,11,CW$14)/12*(1+P_dVol),0)</f>
        <v>0</v>
      </c>
      <c r="CX31" s="34" t="n">
        <f aca="false">IF(CX$15=1,INDEX(Vol_O,11,CX$14)/12*(1+P_dVol),0)</f>
        <v>0</v>
      </c>
      <c r="CY31" s="34" t="n">
        <f aca="false">IF(CY$15=1,INDEX(Vol_O,11,CY$14)/12*(1+P_dVol),0)</f>
        <v>0</v>
      </c>
      <c r="CZ31" s="34" t="n">
        <f aca="false">IF(CZ$15=1,INDEX(Vol_O,11,CZ$14)/12*(1+P_dVol),0)</f>
        <v>0</v>
      </c>
      <c r="DA31" s="34" t="n">
        <f aca="false">IF(DA$15=1,INDEX(Vol_O,11,DA$14)/12*(1+P_dVol),0)</f>
        <v>0</v>
      </c>
      <c r="DB31" s="34" t="n">
        <f aca="false">IF(DB$15=1,INDEX(Vol_O,11,DB$14)/12*(1+P_dVol),0)</f>
        <v>0</v>
      </c>
      <c r="DC31" s="34" t="n">
        <f aca="false">IF(DC$15=1,INDEX(Vol_O,11,DC$14)/12*(1+P_dVol),0)</f>
        <v>0</v>
      </c>
      <c r="DD31" s="34" t="n">
        <f aca="false">IF(DD$15=1,INDEX(Vol_O,11,DD$14)/12*(1+P_dVol),0)</f>
        <v>0</v>
      </c>
      <c r="DE31" s="34" t="n">
        <f aca="false">IF(DE$15=1,INDEX(Vol_O,11,DE$14)/12*(1+P_dVol),0)</f>
        <v>0</v>
      </c>
      <c r="DF31" s="34" t="n">
        <f aca="false">IF(DF$15=1,INDEX(Vol_O,11,DF$14)/12*(1+P_dVol),0)</f>
        <v>0</v>
      </c>
      <c r="DG31" s="34" t="n">
        <f aca="false">IF(DG$15=1,INDEX(Vol_O,11,DG$14)/12*(1+P_dVol),0)</f>
        <v>0</v>
      </c>
      <c r="DH31" s="34" t="n">
        <f aca="false">IF(DH$15=1,INDEX(Vol_O,11,DH$14)/12*(1+P_dVol),0)</f>
        <v>0</v>
      </c>
      <c r="DI31" s="34" t="n">
        <f aca="false">IF(DI$15=1,INDEX(Vol_O,11,DI$14)/12*(1+P_dVol),0)</f>
        <v>0</v>
      </c>
      <c r="DJ31" s="34" t="n">
        <f aca="false">IF(DJ$15=1,INDEX(Vol_O,11,DJ$14)/12*(1+P_dVol),0)</f>
        <v>0</v>
      </c>
      <c r="DK31" s="34" t="n">
        <f aca="false">IF(DK$15=1,INDEX(Vol_O,11,DK$14)/12*(1+P_dVol),0)</f>
        <v>0</v>
      </c>
      <c r="DL31" s="34" t="n">
        <f aca="false">IF(DL$15=1,INDEX(Vol_O,11,DL$14)/12*(1+P_dVol),0)</f>
        <v>0</v>
      </c>
      <c r="DM31" s="34" t="n">
        <f aca="false">IF(DM$15=1,INDEX(Vol_O,11,DM$14)/12*(1+P_dVol),0)</f>
        <v>0</v>
      </c>
      <c r="DN31" s="34" t="n">
        <f aca="false">IF(DN$15=1,INDEX(Vol_O,11,DN$14)/12*(1+P_dVol),0)</f>
        <v>0</v>
      </c>
      <c r="DO31" s="34" t="n">
        <f aca="false">IF(DO$15=1,INDEX(Vol_O,11,DO$14)/12*(1+P_dVol),0)</f>
        <v>0</v>
      </c>
      <c r="DP31" s="34" t="n">
        <f aca="false">IF(DP$15=1,INDEX(Vol_O,11,DP$14)/12*(1+P_dVol),0)</f>
        <v>0</v>
      </c>
      <c r="DQ31" s="34" t="n">
        <f aca="false">IF(DQ$15=1,INDEX(Vol_O,11,DQ$14)/12*(1+P_dVol),0)</f>
        <v>0</v>
      </c>
      <c r="DR31" s="34" t="n">
        <f aca="false">IF(DR$15=1,INDEX(Vol_O,11,DR$14)/12*(1+P_dVol),0)</f>
        <v>0</v>
      </c>
      <c r="DS31" s="34" t="n">
        <f aca="false">IF(DS$15=1,INDEX(Vol_O,11,DS$14)/12*(1+P_dVol),0)</f>
        <v>0</v>
      </c>
      <c r="DT31" s="34" t="n">
        <f aca="false">IF(DT$15=1,INDEX(Vol_O,11,DT$14)/12*(1+P_dVol),0)</f>
        <v>0</v>
      </c>
      <c r="DU31" s="34" t="n">
        <f aca="false">IF(DU$15=1,INDEX(Vol_O,11,DU$14)/12*(1+P_dVol),0)</f>
        <v>0</v>
      </c>
      <c r="DV31" s="34" t="n">
        <f aca="false">IF(DV$15=1,INDEX(Vol_O,11,DV$14)/12*(1+P_dVol),0)</f>
        <v>0</v>
      </c>
      <c r="DW31" s="34" t="n">
        <f aca="false">IF(DW$15=1,INDEX(Vol_O,11,DW$14)/12*(1+P_dVol),0)</f>
        <v>0</v>
      </c>
      <c r="DX31" s="34" t="n">
        <f aca="false">IF(DX$15=1,INDEX(Vol_O,11,DX$14)/12*(1+P_dVol),0)</f>
        <v>0</v>
      </c>
      <c r="DY31" s="34" t="n">
        <f aca="false">IF(DY$15=1,INDEX(Vol_O,11,DY$14)/12*(1+P_dVol),0)</f>
        <v>0</v>
      </c>
      <c r="DZ31" s="34" t="n">
        <f aca="false">IF(DZ$15=1,INDEX(Vol_O,11,DZ$14)/12*(1+P_dVol),0)</f>
        <v>0</v>
      </c>
      <c r="EA31" s="34" t="n">
        <f aca="false">IF(EA$15=1,INDEX(Vol_O,11,EA$14)/12*(1+P_dVol),0)</f>
        <v>0</v>
      </c>
      <c r="EB31" s="34" t="n">
        <f aca="false">IF(EB$15=1,INDEX(Vol_O,11,EB$14)/12*(1+P_dVol),0)</f>
        <v>0</v>
      </c>
      <c r="EC31" s="34" t="n">
        <f aca="false">IF(EC$15=1,INDEX(Vol_O,11,EC$14)/12*(1+P_dVol),0)</f>
        <v>0</v>
      </c>
      <c r="ED31" s="34" t="n">
        <f aca="false">IF(ED$15=1,INDEX(Vol_O,11,ED$14)/12*(1+P_dVol),0)</f>
        <v>0</v>
      </c>
      <c r="EE31" s="34" t="n">
        <f aca="false">IF(EE$15=1,INDEX(Vol_O,11,EE$14)/12*(1+P_dVol),0)</f>
        <v>0</v>
      </c>
      <c r="EF31" s="34" t="n">
        <f aca="false">IF(EF$15=1,INDEX(Vol_O,11,EF$14)/12*(1+P_dVol),0)</f>
        <v>0</v>
      </c>
      <c r="EG31" s="34" t="n">
        <f aca="false">IF(EG$15=1,INDEX(Vol_O,11,EG$14)/12*(1+P_dVol),0)</f>
        <v>0</v>
      </c>
      <c r="EH31" s="34" t="n">
        <f aca="false">IF(EH$15=1,INDEX(Vol_O,11,EH$14)/12*(1+P_dVol),0)</f>
        <v>0</v>
      </c>
      <c r="EI31" s="34" t="n">
        <f aca="false">IF(EI$15=1,INDEX(Vol_O,11,EI$14)/12*(1+P_dVol),0)</f>
        <v>0</v>
      </c>
      <c r="EJ31" s="34" t="n">
        <f aca="false">IF(EJ$15=1,INDEX(Vol_O,11,EJ$14)/12*(1+P_dVol),0)</f>
        <v>0</v>
      </c>
      <c r="EK31" s="34" t="n">
        <f aca="false">IF(EK$15=1,INDEX(Vol_O,11,EK$14)/12*(1+P_dVol),0)</f>
        <v>0</v>
      </c>
      <c r="EL31" s="34" t="n">
        <f aca="false">IF(EL$15=1,INDEX(Vol_O,11,EL$14)/12*(1+P_dVol),0)</f>
        <v>0</v>
      </c>
      <c r="EM31" s="34" t="n">
        <f aca="false">IF(EM$15=1,INDEX(Vol_O,11,EM$14)/12*(1+P_dVol),0)</f>
        <v>0</v>
      </c>
      <c r="EN31" s="34" t="n">
        <f aca="false">IF(EN$15=1,INDEX(Vol_O,11,EN$14)/12*(1+P_dVol),0)</f>
        <v>0</v>
      </c>
      <c r="EO31" s="34" t="n">
        <f aca="false">IF(EO$15=1,INDEX(Vol_O,11,EO$14)/12*(1+P_dVol),0)</f>
        <v>0</v>
      </c>
      <c r="EP31" s="34" t="n">
        <f aca="false">IF(EP$15=1,INDEX(Vol_O,11,EP$14)/12*(1+P_dVol),0)</f>
        <v>0</v>
      </c>
      <c r="EQ31" s="34" t="n">
        <f aca="false">IF(EQ$15=1,INDEX(Vol_O,11,EQ$14)/12*(1+P_dVol),0)</f>
        <v>0</v>
      </c>
      <c r="ER31" s="34" t="n">
        <f aca="false">IF(ER$15=1,INDEX(Vol_O,11,ER$14)/12*(1+P_dVol),0)</f>
        <v>0</v>
      </c>
      <c r="ES31" s="34" t="n">
        <f aca="false">IF(ES$15=1,INDEX(Vol_O,11,ES$14)/12*(1+P_dVol),0)</f>
        <v>0</v>
      </c>
    </row>
    <row r="32" customFormat="false" ht="15" hidden="false" customHeight="false" outlineLevel="0" collapsed="false">
      <c r="A32" s="2" t="s">
        <v>595</v>
      </c>
      <c r="B32" s="39" t="str">
        <f aca="false">IF(INDEX(Prod_Nombre,12)="","Producto 12",INDEX(Prod_Nombre,12))&amp;" — unidades"</f>
        <v>Producto 12 — unidades</v>
      </c>
      <c r="C32" s="6" t="s">
        <v>286</v>
      </c>
      <c r="E32" s="40" t="n">
        <f aca="false">SUM(F32:ES32)</f>
        <v>0</v>
      </c>
      <c r="F32" s="34" t="n">
        <f aca="false">IF(F$15=1,INDEX(Vol_O,12,F$14)/12*(1+P_dVol),0)</f>
        <v>0</v>
      </c>
      <c r="G32" s="34" t="n">
        <f aca="false">IF(G$15=1,INDEX(Vol_O,12,G$14)/12*(1+P_dVol),0)</f>
        <v>0</v>
      </c>
      <c r="H32" s="34" t="n">
        <f aca="false">IF(H$15=1,INDEX(Vol_O,12,H$14)/12*(1+P_dVol),0)</f>
        <v>0</v>
      </c>
      <c r="I32" s="34" t="n">
        <f aca="false">IF(I$15=1,INDEX(Vol_O,12,I$14)/12*(1+P_dVol),0)</f>
        <v>0</v>
      </c>
      <c r="J32" s="34" t="n">
        <f aca="false">IF(J$15=1,INDEX(Vol_O,12,J$14)/12*(1+P_dVol),0)</f>
        <v>0</v>
      </c>
      <c r="K32" s="34" t="n">
        <f aca="false">IF(K$15=1,INDEX(Vol_O,12,K$14)/12*(1+P_dVol),0)</f>
        <v>0</v>
      </c>
      <c r="L32" s="34" t="n">
        <f aca="false">IF(L$15=1,INDEX(Vol_O,12,L$14)/12*(1+P_dVol),0)</f>
        <v>0</v>
      </c>
      <c r="M32" s="34" t="n">
        <f aca="false">IF(M$15=1,INDEX(Vol_O,12,M$14)/12*(1+P_dVol),0)</f>
        <v>0</v>
      </c>
      <c r="N32" s="34" t="n">
        <f aca="false">IF(N$15=1,INDEX(Vol_O,12,N$14)/12*(1+P_dVol),0)</f>
        <v>0</v>
      </c>
      <c r="O32" s="34" t="n">
        <f aca="false">IF(O$15=1,INDEX(Vol_O,12,O$14)/12*(1+P_dVol),0)</f>
        <v>0</v>
      </c>
      <c r="P32" s="34" t="n">
        <f aca="false">IF(P$15=1,INDEX(Vol_O,12,P$14)/12*(1+P_dVol),0)</f>
        <v>0</v>
      </c>
      <c r="Q32" s="34" t="n">
        <f aca="false">IF(Q$15=1,INDEX(Vol_O,12,Q$14)/12*(1+P_dVol),0)</f>
        <v>0</v>
      </c>
      <c r="R32" s="34" t="n">
        <f aca="false">IF(R$15=1,INDEX(Vol_O,12,R$14)/12*(1+P_dVol),0)</f>
        <v>0</v>
      </c>
      <c r="S32" s="34" t="n">
        <f aca="false">IF(S$15=1,INDEX(Vol_O,12,S$14)/12*(1+P_dVol),0)</f>
        <v>0</v>
      </c>
      <c r="T32" s="34" t="n">
        <f aca="false">IF(T$15=1,INDEX(Vol_O,12,T$14)/12*(1+P_dVol),0)</f>
        <v>0</v>
      </c>
      <c r="U32" s="34" t="n">
        <f aca="false">IF(U$15=1,INDEX(Vol_O,12,U$14)/12*(1+P_dVol),0)</f>
        <v>0</v>
      </c>
      <c r="V32" s="34" t="n">
        <f aca="false">IF(V$15=1,INDEX(Vol_O,12,V$14)/12*(1+P_dVol),0)</f>
        <v>0</v>
      </c>
      <c r="W32" s="34" t="n">
        <f aca="false">IF(W$15=1,INDEX(Vol_O,12,W$14)/12*(1+P_dVol),0)</f>
        <v>0</v>
      </c>
      <c r="X32" s="34" t="n">
        <f aca="false">IF(X$15=1,INDEX(Vol_O,12,X$14)/12*(1+P_dVol),0)</f>
        <v>0</v>
      </c>
      <c r="Y32" s="34" t="n">
        <f aca="false">IF(Y$15=1,INDEX(Vol_O,12,Y$14)/12*(1+P_dVol),0)</f>
        <v>0</v>
      </c>
      <c r="Z32" s="34" t="n">
        <f aca="false">IF(Z$15=1,INDEX(Vol_O,12,Z$14)/12*(1+P_dVol),0)</f>
        <v>0</v>
      </c>
      <c r="AA32" s="34" t="n">
        <f aca="false">IF(AA$15=1,INDEX(Vol_O,12,AA$14)/12*(1+P_dVol),0)</f>
        <v>0</v>
      </c>
      <c r="AB32" s="34" t="n">
        <f aca="false">IF(AB$15=1,INDEX(Vol_O,12,AB$14)/12*(1+P_dVol),0)</f>
        <v>0</v>
      </c>
      <c r="AC32" s="34" t="n">
        <f aca="false">IF(AC$15=1,INDEX(Vol_O,12,AC$14)/12*(1+P_dVol),0)</f>
        <v>0</v>
      </c>
      <c r="AD32" s="34" t="n">
        <f aca="false">IF(AD$15=1,INDEX(Vol_O,12,AD$14)/12*(1+P_dVol),0)</f>
        <v>0</v>
      </c>
      <c r="AE32" s="34" t="n">
        <f aca="false">IF(AE$15=1,INDEX(Vol_O,12,AE$14)/12*(1+P_dVol),0)</f>
        <v>0</v>
      </c>
      <c r="AF32" s="34" t="n">
        <f aca="false">IF(AF$15=1,INDEX(Vol_O,12,AF$14)/12*(1+P_dVol),0)</f>
        <v>0</v>
      </c>
      <c r="AG32" s="34" t="n">
        <f aca="false">IF(AG$15=1,INDEX(Vol_O,12,AG$14)/12*(1+P_dVol),0)</f>
        <v>0</v>
      </c>
      <c r="AH32" s="34" t="n">
        <f aca="false">IF(AH$15=1,INDEX(Vol_O,12,AH$14)/12*(1+P_dVol),0)</f>
        <v>0</v>
      </c>
      <c r="AI32" s="34" t="n">
        <f aca="false">IF(AI$15=1,INDEX(Vol_O,12,AI$14)/12*(1+P_dVol),0)</f>
        <v>0</v>
      </c>
      <c r="AJ32" s="34" t="n">
        <f aca="false">IF(AJ$15=1,INDEX(Vol_O,12,AJ$14)/12*(1+P_dVol),0)</f>
        <v>0</v>
      </c>
      <c r="AK32" s="34" t="n">
        <f aca="false">IF(AK$15=1,INDEX(Vol_O,12,AK$14)/12*(1+P_dVol),0)</f>
        <v>0</v>
      </c>
      <c r="AL32" s="34" t="n">
        <f aca="false">IF(AL$15=1,INDEX(Vol_O,12,AL$14)/12*(1+P_dVol),0)</f>
        <v>0</v>
      </c>
      <c r="AM32" s="34" t="n">
        <f aca="false">IF(AM$15=1,INDEX(Vol_O,12,AM$14)/12*(1+P_dVol),0)</f>
        <v>0</v>
      </c>
      <c r="AN32" s="34" t="n">
        <f aca="false">IF(AN$15=1,INDEX(Vol_O,12,AN$14)/12*(1+P_dVol),0)</f>
        <v>0</v>
      </c>
      <c r="AO32" s="34" t="n">
        <f aca="false">IF(AO$15=1,INDEX(Vol_O,12,AO$14)/12*(1+P_dVol),0)</f>
        <v>0</v>
      </c>
      <c r="AP32" s="34" t="n">
        <f aca="false">IF(AP$15=1,INDEX(Vol_O,12,AP$14)/12*(1+P_dVol),0)</f>
        <v>0</v>
      </c>
      <c r="AQ32" s="34" t="n">
        <f aca="false">IF(AQ$15=1,INDEX(Vol_O,12,AQ$14)/12*(1+P_dVol),0)</f>
        <v>0</v>
      </c>
      <c r="AR32" s="34" t="n">
        <f aca="false">IF(AR$15=1,INDEX(Vol_O,12,AR$14)/12*(1+P_dVol),0)</f>
        <v>0</v>
      </c>
      <c r="AS32" s="34" t="n">
        <f aca="false">IF(AS$15=1,INDEX(Vol_O,12,AS$14)/12*(1+P_dVol),0)</f>
        <v>0</v>
      </c>
      <c r="AT32" s="34" t="n">
        <f aca="false">IF(AT$15=1,INDEX(Vol_O,12,AT$14)/12*(1+P_dVol),0)</f>
        <v>0</v>
      </c>
      <c r="AU32" s="34" t="n">
        <f aca="false">IF(AU$15=1,INDEX(Vol_O,12,AU$14)/12*(1+P_dVol),0)</f>
        <v>0</v>
      </c>
      <c r="AV32" s="34" t="n">
        <f aca="false">IF(AV$15=1,INDEX(Vol_O,12,AV$14)/12*(1+P_dVol),0)</f>
        <v>0</v>
      </c>
      <c r="AW32" s="34" t="n">
        <f aca="false">IF(AW$15=1,INDEX(Vol_O,12,AW$14)/12*(1+P_dVol),0)</f>
        <v>0</v>
      </c>
      <c r="AX32" s="34" t="n">
        <f aca="false">IF(AX$15=1,INDEX(Vol_O,12,AX$14)/12*(1+P_dVol),0)</f>
        <v>0</v>
      </c>
      <c r="AY32" s="34" t="n">
        <f aca="false">IF(AY$15=1,INDEX(Vol_O,12,AY$14)/12*(1+P_dVol),0)</f>
        <v>0</v>
      </c>
      <c r="AZ32" s="34" t="n">
        <f aca="false">IF(AZ$15=1,INDEX(Vol_O,12,AZ$14)/12*(1+P_dVol),0)</f>
        <v>0</v>
      </c>
      <c r="BA32" s="34" t="n">
        <f aca="false">IF(BA$15=1,INDEX(Vol_O,12,BA$14)/12*(1+P_dVol),0)</f>
        <v>0</v>
      </c>
      <c r="BB32" s="34" t="n">
        <f aca="false">IF(BB$15=1,INDEX(Vol_O,12,BB$14)/12*(1+P_dVol),0)</f>
        <v>0</v>
      </c>
      <c r="BC32" s="34" t="n">
        <f aca="false">IF(BC$15=1,INDEX(Vol_O,12,BC$14)/12*(1+P_dVol),0)</f>
        <v>0</v>
      </c>
      <c r="BD32" s="34" t="n">
        <f aca="false">IF(BD$15=1,INDEX(Vol_O,12,BD$14)/12*(1+P_dVol),0)</f>
        <v>0</v>
      </c>
      <c r="BE32" s="34" t="n">
        <f aca="false">IF(BE$15=1,INDEX(Vol_O,12,BE$14)/12*(1+P_dVol),0)</f>
        <v>0</v>
      </c>
      <c r="BF32" s="34" t="n">
        <f aca="false">IF(BF$15=1,INDEX(Vol_O,12,BF$14)/12*(1+P_dVol),0)</f>
        <v>0</v>
      </c>
      <c r="BG32" s="34" t="n">
        <f aca="false">IF(BG$15=1,INDEX(Vol_O,12,BG$14)/12*(1+P_dVol),0)</f>
        <v>0</v>
      </c>
      <c r="BH32" s="34" t="n">
        <f aca="false">IF(BH$15=1,INDEX(Vol_O,12,BH$14)/12*(1+P_dVol),0)</f>
        <v>0</v>
      </c>
      <c r="BI32" s="34" t="n">
        <f aca="false">IF(BI$15=1,INDEX(Vol_O,12,BI$14)/12*(1+P_dVol),0)</f>
        <v>0</v>
      </c>
      <c r="BJ32" s="34" t="n">
        <f aca="false">IF(BJ$15=1,INDEX(Vol_O,12,BJ$14)/12*(1+P_dVol),0)</f>
        <v>0</v>
      </c>
      <c r="BK32" s="34" t="n">
        <f aca="false">IF(BK$15=1,INDEX(Vol_O,12,BK$14)/12*(1+P_dVol),0)</f>
        <v>0</v>
      </c>
      <c r="BL32" s="34" t="n">
        <f aca="false">IF(BL$15=1,INDEX(Vol_O,12,BL$14)/12*(1+P_dVol),0)</f>
        <v>0</v>
      </c>
      <c r="BM32" s="34" t="n">
        <f aca="false">IF(BM$15=1,INDEX(Vol_O,12,BM$14)/12*(1+P_dVol),0)</f>
        <v>0</v>
      </c>
      <c r="BN32" s="34" t="n">
        <f aca="false">IF(BN$15=1,INDEX(Vol_O,12,BN$14)/12*(1+P_dVol),0)</f>
        <v>0</v>
      </c>
      <c r="BO32" s="34" t="n">
        <f aca="false">IF(BO$15=1,INDEX(Vol_O,12,BO$14)/12*(1+P_dVol),0)</f>
        <v>0</v>
      </c>
      <c r="BP32" s="34" t="n">
        <f aca="false">IF(BP$15=1,INDEX(Vol_O,12,BP$14)/12*(1+P_dVol),0)</f>
        <v>0</v>
      </c>
      <c r="BQ32" s="34" t="n">
        <f aca="false">IF(BQ$15=1,INDEX(Vol_O,12,BQ$14)/12*(1+P_dVol),0)</f>
        <v>0</v>
      </c>
      <c r="BR32" s="34" t="n">
        <f aca="false">IF(BR$15=1,INDEX(Vol_O,12,BR$14)/12*(1+P_dVol),0)</f>
        <v>0</v>
      </c>
      <c r="BS32" s="34" t="n">
        <f aca="false">IF(BS$15=1,INDEX(Vol_O,12,BS$14)/12*(1+P_dVol),0)</f>
        <v>0</v>
      </c>
      <c r="BT32" s="34" t="n">
        <f aca="false">IF(BT$15=1,INDEX(Vol_O,12,BT$14)/12*(1+P_dVol),0)</f>
        <v>0</v>
      </c>
      <c r="BU32" s="34" t="n">
        <f aca="false">IF(BU$15=1,INDEX(Vol_O,12,BU$14)/12*(1+P_dVol),0)</f>
        <v>0</v>
      </c>
      <c r="BV32" s="34" t="n">
        <f aca="false">IF(BV$15=1,INDEX(Vol_O,12,BV$14)/12*(1+P_dVol),0)</f>
        <v>0</v>
      </c>
      <c r="BW32" s="34" t="n">
        <f aca="false">IF(BW$15=1,INDEX(Vol_O,12,BW$14)/12*(1+P_dVol),0)</f>
        <v>0</v>
      </c>
      <c r="BX32" s="34" t="n">
        <f aca="false">IF(BX$15=1,INDEX(Vol_O,12,BX$14)/12*(1+P_dVol),0)</f>
        <v>0</v>
      </c>
      <c r="BY32" s="34" t="n">
        <f aca="false">IF(BY$15=1,INDEX(Vol_O,12,BY$14)/12*(1+P_dVol),0)</f>
        <v>0</v>
      </c>
      <c r="BZ32" s="34" t="n">
        <f aca="false">IF(BZ$15=1,INDEX(Vol_O,12,BZ$14)/12*(1+P_dVol),0)</f>
        <v>0</v>
      </c>
      <c r="CA32" s="34" t="n">
        <f aca="false">IF(CA$15=1,INDEX(Vol_O,12,CA$14)/12*(1+P_dVol),0)</f>
        <v>0</v>
      </c>
      <c r="CB32" s="34" t="n">
        <f aca="false">IF(CB$15=1,INDEX(Vol_O,12,CB$14)/12*(1+P_dVol),0)</f>
        <v>0</v>
      </c>
      <c r="CC32" s="34" t="n">
        <f aca="false">IF(CC$15=1,INDEX(Vol_O,12,CC$14)/12*(1+P_dVol),0)</f>
        <v>0</v>
      </c>
      <c r="CD32" s="34" t="n">
        <f aca="false">IF(CD$15=1,INDEX(Vol_O,12,CD$14)/12*(1+P_dVol),0)</f>
        <v>0</v>
      </c>
      <c r="CE32" s="34" t="n">
        <f aca="false">IF(CE$15=1,INDEX(Vol_O,12,CE$14)/12*(1+P_dVol),0)</f>
        <v>0</v>
      </c>
      <c r="CF32" s="34" t="n">
        <f aca="false">IF(CF$15=1,INDEX(Vol_O,12,CF$14)/12*(1+P_dVol),0)</f>
        <v>0</v>
      </c>
      <c r="CG32" s="34" t="n">
        <f aca="false">IF(CG$15=1,INDEX(Vol_O,12,CG$14)/12*(1+P_dVol),0)</f>
        <v>0</v>
      </c>
      <c r="CH32" s="34" t="n">
        <f aca="false">IF(CH$15=1,INDEX(Vol_O,12,CH$14)/12*(1+P_dVol),0)</f>
        <v>0</v>
      </c>
      <c r="CI32" s="34" t="n">
        <f aca="false">IF(CI$15=1,INDEX(Vol_O,12,CI$14)/12*(1+P_dVol),0)</f>
        <v>0</v>
      </c>
      <c r="CJ32" s="34" t="n">
        <f aca="false">IF(CJ$15=1,INDEX(Vol_O,12,CJ$14)/12*(1+P_dVol),0)</f>
        <v>0</v>
      </c>
      <c r="CK32" s="34" t="n">
        <f aca="false">IF(CK$15=1,INDEX(Vol_O,12,CK$14)/12*(1+P_dVol),0)</f>
        <v>0</v>
      </c>
      <c r="CL32" s="34" t="n">
        <f aca="false">IF(CL$15=1,INDEX(Vol_O,12,CL$14)/12*(1+P_dVol),0)</f>
        <v>0</v>
      </c>
      <c r="CM32" s="34" t="n">
        <f aca="false">IF(CM$15=1,INDEX(Vol_O,12,CM$14)/12*(1+P_dVol),0)</f>
        <v>0</v>
      </c>
      <c r="CN32" s="34" t="n">
        <f aca="false">IF(CN$15=1,INDEX(Vol_O,12,CN$14)/12*(1+P_dVol),0)</f>
        <v>0</v>
      </c>
      <c r="CO32" s="34" t="n">
        <f aca="false">IF(CO$15=1,INDEX(Vol_O,12,CO$14)/12*(1+P_dVol),0)</f>
        <v>0</v>
      </c>
      <c r="CP32" s="34" t="n">
        <f aca="false">IF(CP$15=1,INDEX(Vol_O,12,CP$14)/12*(1+P_dVol),0)</f>
        <v>0</v>
      </c>
      <c r="CQ32" s="34" t="n">
        <f aca="false">IF(CQ$15=1,INDEX(Vol_O,12,CQ$14)/12*(1+P_dVol),0)</f>
        <v>0</v>
      </c>
      <c r="CR32" s="34" t="n">
        <f aca="false">IF(CR$15=1,INDEX(Vol_O,12,CR$14)/12*(1+P_dVol),0)</f>
        <v>0</v>
      </c>
      <c r="CS32" s="34" t="n">
        <f aca="false">IF(CS$15=1,INDEX(Vol_O,12,CS$14)/12*(1+P_dVol),0)</f>
        <v>0</v>
      </c>
      <c r="CT32" s="34" t="n">
        <f aca="false">IF(CT$15=1,INDEX(Vol_O,12,CT$14)/12*(1+P_dVol),0)</f>
        <v>0</v>
      </c>
      <c r="CU32" s="34" t="n">
        <f aca="false">IF(CU$15=1,INDEX(Vol_O,12,CU$14)/12*(1+P_dVol),0)</f>
        <v>0</v>
      </c>
      <c r="CV32" s="34" t="n">
        <f aca="false">IF(CV$15=1,INDEX(Vol_O,12,CV$14)/12*(1+P_dVol),0)</f>
        <v>0</v>
      </c>
      <c r="CW32" s="34" t="n">
        <f aca="false">IF(CW$15=1,INDEX(Vol_O,12,CW$14)/12*(1+P_dVol),0)</f>
        <v>0</v>
      </c>
      <c r="CX32" s="34" t="n">
        <f aca="false">IF(CX$15=1,INDEX(Vol_O,12,CX$14)/12*(1+P_dVol),0)</f>
        <v>0</v>
      </c>
      <c r="CY32" s="34" t="n">
        <f aca="false">IF(CY$15=1,INDEX(Vol_O,12,CY$14)/12*(1+P_dVol),0)</f>
        <v>0</v>
      </c>
      <c r="CZ32" s="34" t="n">
        <f aca="false">IF(CZ$15=1,INDEX(Vol_O,12,CZ$14)/12*(1+P_dVol),0)</f>
        <v>0</v>
      </c>
      <c r="DA32" s="34" t="n">
        <f aca="false">IF(DA$15=1,INDEX(Vol_O,12,DA$14)/12*(1+P_dVol),0)</f>
        <v>0</v>
      </c>
      <c r="DB32" s="34" t="n">
        <f aca="false">IF(DB$15=1,INDEX(Vol_O,12,DB$14)/12*(1+P_dVol),0)</f>
        <v>0</v>
      </c>
      <c r="DC32" s="34" t="n">
        <f aca="false">IF(DC$15=1,INDEX(Vol_O,12,DC$14)/12*(1+P_dVol),0)</f>
        <v>0</v>
      </c>
      <c r="DD32" s="34" t="n">
        <f aca="false">IF(DD$15=1,INDEX(Vol_O,12,DD$14)/12*(1+P_dVol),0)</f>
        <v>0</v>
      </c>
      <c r="DE32" s="34" t="n">
        <f aca="false">IF(DE$15=1,INDEX(Vol_O,12,DE$14)/12*(1+P_dVol),0)</f>
        <v>0</v>
      </c>
      <c r="DF32" s="34" t="n">
        <f aca="false">IF(DF$15=1,INDEX(Vol_O,12,DF$14)/12*(1+P_dVol),0)</f>
        <v>0</v>
      </c>
      <c r="DG32" s="34" t="n">
        <f aca="false">IF(DG$15=1,INDEX(Vol_O,12,DG$14)/12*(1+P_dVol),0)</f>
        <v>0</v>
      </c>
      <c r="DH32" s="34" t="n">
        <f aca="false">IF(DH$15=1,INDEX(Vol_O,12,DH$14)/12*(1+P_dVol),0)</f>
        <v>0</v>
      </c>
      <c r="DI32" s="34" t="n">
        <f aca="false">IF(DI$15=1,INDEX(Vol_O,12,DI$14)/12*(1+P_dVol),0)</f>
        <v>0</v>
      </c>
      <c r="DJ32" s="34" t="n">
        <f aca="false">IF(DJ$15=1,INDEX(Vol_O,12,DJ$14)/12*(1+P_dVol),0)</f>
        <v>0</v>
      </c>
      <c r="DK32" s="34" t="n">
        <f aca="false">IF(DK$15=1,INDEX(Vol_O,12,DK$14)/12*(1+P_dVol),0)</f>
        <v>0</v>
      </c>
      <c r="DL32" s="34" t="n">
        <f aca="false">IF(DL$15=1,INDEX(Vol_O,12,DL$14)/12*(1+P_dVol),0)</f>
        <v>0</v>
      </c>
      <c r="DM32" s="34" t="n">
        <f aca="false">IF(DM$15=1,INDEX(Vol_O,12,DM$14)/12*(1+P_dVol),0)</f>
        <v>0</v>
      </c>
      <c r="DN32" s="34" t="n">
        <f aca="false">IF(DN$15=1,INDEX(Vol_O,12,DN$14)/12*(1+P_dVol),0)</f>
        <v>0</v>
      </c>
      <c r="DO32" s="34" t="n">
        <f aca="false">IF(DO$15=1,INDEX(Vol_O,12,DO$14)/12*(1+P_dVol),0)</f>
        <v>0</v>
      </c>
      <c r="DP32" s="34" t="n">
        <f aca="false">IF(DP$15=1,INDEX(Vol_O,12,DP$14)/12*(1+P_dVol),0)</f>
        <v>0</v>
      </c>
      <c r="DQ32" s="34" t="n">
        <f aca="false">IF(DQ$15=1,INDEX(Vol_O,12,DQ$14)/12*(1+P_dVol),0)</f>
        <v>0</v>
      </c>
      <c r="DR32" s="34" t="n">
        <f aca="false">IF(DR$15=1,INDEX(Vol_O,12,DR$14)/12*(1+P_dVol),0)</f>
        <v>0</v>
      </c>
      <c r="DS32" s="34" t="n">
        <f aca="false">IF(DS$15=1,INDEX(Vol_O,12,DS$14)/12*(1+P_dVol),0)</f>
        <v>0</v>
      </c>
      <c r="DT32" s="34" t="n">
        <f aca="false">IF(DT$15=1,INDEX(Vol_O,12,DT$14)/12*(1+P_dVol),0)</f>
        <v>0</v>
      </c>
      <c r="DU32" s="34" t="n">
        <f aca="false">IF(DU$15=1,INDEX(Vol_O,12,DU$14)/12*(1+P_dVol),0)</f>
        <v>0</v>
      </c>
      <c r="DV32" s="34" t="n">
        <f aca="false">IF(DV$15=1,INDEX(Vol_O,12,DV$14)/12*(1+P_dVol),0)</f>
        <v>0</v>
      </c>
      <c r="DW32" s="34" t="n">
        <f aca="false">IF(DW$15=1,INDEX(Vol_O,12,DW$14)/12*(1+P_dVol),0)</f>
        <v>0</v>
      </c>
      <c r="DX32" s="34" t="n">
        <f aca="false">IF(DX$15=1,INDEX(Vol_O,12,DX$14)/12*(1+P_dVol),0)</f>
        <v>0</v>
      </c>
      <c r="DY32" s="34" t="n">
        <f aca="false">IF(DY$15=1,INDEX(Vol_O,12,DY$14)/12*(1+P_dVol),0)</f>
        <v>0</v>
      </c>
      <c r="DZ32" s="34" t="n">
        <f aca="false">IF(DZ$15=1,INDEX(Vol_O,12,DZ$14)/12*(1+P_dVol),0)</f>
        <v>0</v>
      </c>
      <c r="EA32" s="34" t="n">
        <f aca="false">IF(EA$15=1,INDEX(Vol_O,12,EA$14)/12*(1+P_dVol),0)</f>
        <v>0</v>
      </c>
      <c r="EB32" s="34" t="n">
        <f aca="false">IF(EB$15=1,INDEX(Vol_O,12,EB$14)/12*(1+P_dVol),0)</f>
        <v>0</v>
      </c>
      <c r="EC32" s="34" t="n">
        <f aca="false">IF(EC$15=1,INDEX(Vol_O,12,EC$14)/12*(1+P_dVol),0)</f>
        <v>0</v>
      </c>
      <c r="ED32" s="34" t="n">
        <f aca="false">IF(ED$15=1,INDEX(Vol_O,12,ED$14)/12*(1+P_dVol),0)</f>
        <v>0</v>
      </c>
      <c r="EE32" s="34" t="n">
        <f aca="false">IF(EE$15=1,INDEX(Vol_O,12,EE$14)/12*(1+P_dVol),0)</f>
        <v>0</v>
      </c>
      <c r="EF32" s="34" t="n">
        <f aca="false">IF(EF$15=1,INDEX(Vol_O,12,EF$14)/12*(1+P_dVol),0)</f>
        <v>0</v>
      </c>
      <c r="EG32" s="34" t="n">
        <f aca="false">IF(EG$15=1,INDEX(Vol_O,12,EG$14)/12*(1+P_dVol),0)</f>
        <v>0</v>
      </c>
      <c r="EH32" s="34" t="n">
        <f aca="false">IF(EH$15=1,INDEX(Vol_O,12,EH$14)/12*(1+P_dVol),0)</f>
        <v>0</v>
      </c>
      <c r="EI32" s="34" t="n">
        <f aca="false">IF(EI$15=1,INDEX(Vol_O,12,EI$14)/12*(1+P_dVol),0)</f>
        <v>0</v>
      </c>
      <c r="EJ32" s="34" t="n">
        <f aca="false">IF(EJ$15=1,INDEX(Vol_O,12,EJ$14)/12*(1+P_dVol),0)</f>
        <v>0</v>
      </c>
      <c r="EK32" s="34" t="n">
        <f aca="false">IF(EK$15=1,INDEX(Vol_O,12,EK$14)/12*(1+P_dVol),0)</f>
        <v>0</v>
      </c>
      <c r="EL32" s="34" t="n">
        <f aca="false">IF(EL$15=1,INDEX(Vol_O,12,EL$14)/12*(1+P_dVol),0)</f>
        <v>0</v>
      </c>
      <c r="EM32" s="34" t="n">
        <f aca="false">IF(EM$15=1,INDEX(Vol_O,12,EM$14)/12*(1+P_dVol),0)</f>
        <v>0</v>
      </c>
      <c r="EN32" s="34" t="n">
        <f aca="false">IF(EN$15=1,INDEX(Vol_O,12,EN$14)/12*(1+P_dVol),0)</f>
        <v>0</v>
      </c>
      <c r="EO32" s="34" t="n">
        <f aca="false">IF(EO$15=1,INDEX(Vol_O,12,EO$14)/12*(1+P_dVol),0)</f>
        <v>0</v>
      </c>
      <c r="EP32" s="34" t="n">
        <f aca="false">IF(EP$15=1,INDEX(Vol_O,12,EP$14)/12*(1+P_dVol),0)</f>
        <v>0</v>
      </c>
      <c r="EQ32" s="34" t="n">
        <f aca="false">IF(EQ$15=1,INDEX(Vol_O,12,EQ$14)/12*(1+P_dVol),0)</f>
        <v>0</v>
      </c>
      <c r="ER32" s="34" t="n">
        <f aca="false">IF(ER$15=1,INDEX(Vol_O,12,ER$14)/12*(1+P_dVol),0)</f>
        <v>0</v>
      </c>
      <c r="ES32" s="34" t="n">
        <f aca="false">IF(ES$15=1,INDEX(Vol_O,12,ES$14)/12*(1+P_dVol),0)</f>
        <v>0</v>
      </c>
    </row>
    <row r="33" customFormat="false" ht="15" hidden="false" customHeight="false" outlineLevel="0" collapsed="false">
      <c r="A33" s="2" t="s">
        <v>596</v>
      </c>
      <c r="B33" s="39" t="str">
        <f aca="false">IF(INDEX(Prod_Nombre,13)="","Producto 13",INDEX(Prod_Nombre,13))&amp;" — unidades"</f>
        <v>Producto 13 — unidades</v>
      </c>
      <c r="C33" s="6" t="s">
        <v>286</v>
      </c>
      <c r="E33" s="40" t="n">
        <f aca="false">SUM(F33:ES33)</f>
        <v>0</v>
      </c>
      <c r="F33" s="34" t="n">
        <f aca="false">IF(F$15=1,INDEX(Vol_O,13,F$14)/12*(1+P_dVol),0)</f>
        <v>0</v>
      </c>
      <c r="G33" s="34" t="n">
        <f aca="false">IF(G$15=1,INDEX(Vol_O,13,G$14)/12*(1+P_dVol),0)</f>
        <v>0</v>
      </c>
      <c r="H33" s="34" t="n">
        <f aca="false">IF(H$15=1,INDEX(Vol_O,13,H$14)/12*(1+P_dVol),0)</f>
        <v>0</v>
      </c>
      <c r="I33" s="34" t="n">
        <f aca="false">IF(I$15=1,INDEX(Vol_O,13,I$14)/12*(1+P_dVol),0)</f>
        <v>0</v>
      </c>
      <c r="J33" s="34" t="n">
        <f aca="false">IF(J$15=1,INDEX(Vol_O,13,J$14)/12*(1+P_dVol),0)</f>
        <v>0</v>
      </c>
      <c r="K33" s="34" t="n">
        <f aca="false">IF(K$15=1,INDEX(Vol_O,13,K$14)/12*(1+P_dVol),0)</f>
        <v>0</v>
      </c>
      <c r="L33" s="34" t="n">
        <f aca="false">IF(L$15=1,INDEX(Vol_O,13,L$14)/12*(1+P_dVol),0)</f>
        <v>0</v>
      </c>
      <c r="M33" s="34" t="n">
        <f aca="false">IF(M$15=1,INDEX(Vol_O,13,M$14)/12*(1+P_dVol),0)</f>
        <v>0</v>
      </c>
      <c r="N33" s="34" t="n">
        <f aca="false">IF(N$15=1,INDEX(Vol_O,13,N$14)/12*(1+P_dVol),0)</f>
        <v>0</v>
      </c>
      <c r="O33" s="34" t="n">
        <f aca="false">IF(O$15=1,INDEX(Vol_O,13,O$14)/12*(1+P_dVol),0)</f>
        <v>0</v>
      </c>
      <c r="P33" s="34" t="n">
        <f aca="false">IF(P$15=1,INDEX(Vol_O,13,P$14)/12*(1+P_dVol),0)</f>
        <v>0</v>
      </c>
      <c r="Q33" s="34" t="n">
        <f aca="false">IF(Q$15=1,INDEX(Vol_O,13,Q$14)/12*(1+P_dVol),0)</f>
        <v>0</v>
      </c>
      <c r="R33" s="34" t="n">
        <f aca="false">IF(R$15=1,INDEX(Vol_O,13,R$14)/12*(1+P_dVol),0)</f>
        <v>0</v>
      </c>
      <c r="S33" s="34" t="n">
        <f aca="false">IF(S$15=1,INDEX(Vol_O,13,S$14)/12*(1+P_dVol),0)</f>
        <v>0</v>
      </c>
      <c r="T33" s="34" t="n">
        <f aca="false">IF(T$15=1,INDEX(Vol_O,13,T$14)/12*(1+P_dVol),0)</f>
        <v>0</v>
      </c>
      <c r="U33" s="34" t="n">
        <f aca="false">IF(U$15=1,INDEX(Vol_O,13,U$14)/12*(1+P_dVol),0)</f>
        <v>0</v>
      </c>
      <c r="V33" s="34" t="n">
        <f aca="false">IF(V$15=1,INDEX(Vol_O,13,V$14)/12*(1+P_dVol),0)</f>
        <v>0</v>
      </c>
      <c r="W33" s="34" t="n">
        <f aca="false">IF(W$15=1,INDEX(Vol_O,13,W$14)/12*(1+P_dVol),0)</f>
        <v>0</v>
      </c>
      <c r="X33" s="34" t="n">
        <f aca="false">IF(X$15=1,INDEX(Vol_O,13,X$14)/12*(1+P_dVol),0)</f>
        <v>0</v>
      </c>
      <c r="Y33" s="34" t="n">
        <f aca="false">IF(Y$15=1,INDEX(Vol_O,13,Y$14)/12*(1+P_dVol),0)</f>
        <v>0</v>
      </c>
      <c r="Z33" s="34" t="n">
        <f aca="false">IF(Z$15=1,INDEX(Vol_O,13,Z$14)/12*(1+P_dVol),0)</f>
        <v>0</v>
      </c>
      <c r="AA33" s="34" t="n">
        <f aca="false">IF(AA$15=1,INDEX(Vol_O,13,AA$14)/12*(1+P_dVol),0)</f>
        <v>0</v>
      </c>
      <c r="AB33" s="34" t="n">
        <f aca="false">IF(AB$15=1,INDEX(Vol_O,13,AB$14)/12*(1+P_dVol),0)</f>
        <v>0</v>
      </c>
      <c r="AC33" s="34" t="n">
        <f aca="false">IF(AC$15=1,INDEX(Vol_O,13,AC$14)/12*(1+P_dVol),0)</f>
        <v>0</v>
      </c>
      <c r="AD33" s="34" t="n">
        <f aca="false">IF(AD$15=1,INDEX(Vol_O,13,AD$14)/12*(1+P_dVol),0)</f>
        <v>0</v>
      </c>
      <c r="AE33" s="34" t="n">
        <f aca="false">IF(AE$15=1,INDEX(Vol_O,13,AE$14)/12*(1+P_dVol),0)</f>
        <v>0</v>
      </c>
      <c r="AF33" s="34" t="n">
        <f aca="false">IF(AF$15=1,INDEX(Vol_O,13,AF$14)/12*(1+P_dVol),0)</f>
        <v>0</v>
      </c>
      <c r="AG33" s="34" t="n">
        <f aca="false">IF(AG$15=1,INDEX(Vol_O,13,AG$14)/12*(1+P_dVol),0)</f>
        <v>0</v>
      </c>
      <c r="AH33" s="34" t="n">
        <f aca="false">IF(AH$15=1,INDEX(Vol_O,13,AH$14)/12*(1+P_dVol),0)</f>
        <v>0</v>
      </c>
      <c r="AI33" s="34" t="n">
        <f aca="false">IF(AI$15=1,INDEX(Vol_O,13,AI$14)/12*(1+P_dVol),0)</f>
        <v>0</v>
      </c>
      <c r="AJ33" s="34" t="n">
        <f aca="false">IF(AJ$15=1,INDEX(Vol_O,13,AJ$14)/12*(1+P_dVol),0)</f>
        <v>0</v>
      </c>
      <c r="AK33" s="34" t="n">
        <f aca="false">IF(AK$15=1,INDEX(Vol_O,13,AK$14)/12*(1+P_dVol),0)</f>
        <v>0</v>
      </c>
      <c r="AL33" s="34" t="n">
        <f aca="false">IF(AL$15=1,INDEX(Vol_O,13,AL$14)/12*(1+P_dVol),0)</f>
        <v>0</v>
      </c>
      <c r="AM33" s="34" t="n">
        <f aca="false">IF(AM$15=1,INDEX(Vol_O,13,AM$14)/12*(1+P_dVol),0)</f>
        <v>0</v>
      </c>
      <c r="AN33" s="34" t="n">
        <f aca="false">IF(AN$15=1,INDEX(Vol_O,13,AN$14)/12*(1+P_dVol),0)</f>
        <v>0</v>
      </c>
      <c r="AO33" s="34" t="n">
        <f aca="false">IF(AO$15=1,INDEX(Vol_O,13,AO$14)/12*(1+P_dVol),0)</f>
        <v>0</v>
      </c>
      <c r="AP33" s="34" t="n">
        <f aca="false">IF(AP$15=1,INDEX(Vol_O,13,AP$14)/12*(1+P_dVol),0)</f>
        <v>0</v>
      </c>
      <c r="AQ33" s="34" t="n">
        <f aca="false">IF(AQ$15=1,INDEX(Vol_O,13,AQ$14)/12*(1+P_dVol),0)</f>
        <v>0</v>
      </c>
      <c r="AR33" s="34" t="n">
        <f aca="false">IF(AR$15=1,INDEX(Vol_O,13,AR$14)/12*(1+P_dVol),0)</f>
        <v>0</v>
      </c>
      <c r="AS33" s="34" t="n">
        <f aca="false">IF(AS$15=1,INDEX(Vol_O,13,AS$14)/12*(1+P_dVol),0)</f>
        <v>0</v>
      </c>
      <c r="AT33" s="34" t="n">
        <f aca="false">IF(AT$15=1,INDEX(Vol_O,13,AT$14)/12*(1+P_dVol),0)</f>
        <v>0</v>
      </c>
      <c r="AU33" s="34" t="n">
        <f aca="false">IF(AU$15=1,INDEX(Vol_O,13,AU$14)/12*(1+P_dVol),0)</f>
        <v>0</v>
      </c>
      <c r="AV33" s="34" t="n">
        <f aca="false">IF(AV$15=1,INDEX(Vol_O,13,AV$14)/12*(1+P_dVol),0)</f>
        <v>0</v>
      </c>
      <c r="AW33" s="34" t="n">
        <f aca="false">IF(AW$15=1,INDEX(Vol_O,13,AW$14)/12*(1+P_dVol),0)</f>
        <v>0</v>
      </c>
      <c r="AX33" s="34" t="n">
        <f aca="false">IF(AX$15=1,INDEX(Vol_O,13,AX$14)/12*(1+P_dVol),0)</f>
        <v>0</v>
      </c>
      <c r="AY33" s="34" t="n">
        <f aca="false">IF(AY$15=1,INDEX(Vol_O,13,AY$14)/12*(1+P_dVol),0)</f>
        <v>0</v>
      </c>
      <c r="AZ33" s="34" t="n">
        <f aca="false">IF(AZ$15=1,INDEX(Vol_O,13,AZ$14)/12*(1+P_dVol),0)</f>
        <v>0</v>
      </c>
      <c r="BA33" s="34" t="n">
        <f aca="false">IF(BA$15=1,INDEX(Vol_O,13,BA$14)/12*(1+P_dVol),0)</f>
        <v>0</v>
      </c>
      <c r="BB33" s="34" t="n">
        <f aca="false">IF(BB$15=1,INDEX(Vol_O,13,BB$14)/12*(1+P_dVol),0)</f>
        <v>0</v>
      </c>
      <c r="BC33" s="34" t="n">
        <f aca="false">IF(BC$15=1,INDEX(Vol_O,13,BC$14)/12*(1+P_dVol),0)</f>
        <v>0</v>
      </c>
      <c r="BD33" s="34" t="n">
        <f aca="false">IF(BD$15=1,INDEX(Vol_O,13,BD$14)/12*(1+P_dVol),0)</f>
        <v>0</v>
      </c>
      <c r="BE33" s="34" t="n">
        <f aca="false">IF(BE$15=1,INDEX(Vol_O,13,BE$14)/12*(1+P_dVol),0)</f>
        <v>0</v>
      </c>
      <c r="BF33" s="34" t="n">
        <f aca="false">IF(BF$15=1,INDEX(Vol_O,13,BF$14)/12*(1+P_dVol),0)</f>
        <v>0</v>
      </c>
      <c r="BG33" s="34" t="n">
        <f aca="false">IF(BG$15=1,INDEX(Vol_O,13,BG$14)/12*(1+P_dVol),0)</f>
        <v>0</v>
      </c>
      <c r="BH33" s="34" t="n">
        <f aca="false">IF(BH$15=1,INDEX(Vol_O,13,BH$14)/12*(1+P_dVol),0)</f>
        <v>0</v>
      </c>
      <c r="BI33" s="34" t="n">
        <f aca="false">IF(BI$15=1,INDEX(Vol_O,13,BI$14)/12*(1+P_dVol),0)</f>
        <v>0</v>
      </c>
      <c r="BJ33" s="34" t="n">
        <f aca="false">IF(BJ$15=1,INDEX(Vol_O,13,BJ$14)/12*(1+P_dVol),0)</f>
        <v>0</v>
      </c>
      <c r="BK33" s="34" t="n">
        <f aca="false">IF(BK$15=1,INDEX(Vol_O,13,BK$14)/12*(1+P_dVol),0)</f>
        <v>0</v>
      </c>
      <c r="BL33" s="34" t="n">
        <f aca="false">IF(BL$15=1,INDEX(Vol_O,13,BL$14)/12*(1+P_dVol),0)</f>
        <v>0</v>
      </c>
      <c r="BM33" s="34" t="n">
        <f aca="false">IF(BM$15=1,INDEX(Vol_O,13,BM$14)/12*(1+P_dVol),0)</f>
        <v>0</v>
      </c>
      <c r="BN33" s="34" t="n">
        <f aca="false">IF(BN$15=1,INDEX(Vol_O,13,BN$14)/12*(1+P_dVol),0)</f>
        <v>0</v>
      </c>
      <c r="BO33" s="34" t="n">
        <f aca="false">IF(BO$15=1,INDEX(Vol_O,13,BO$14)/12*(1+P_dVol),0)</f>
        <v>0</v>
      </c>
      <c r="BP33" s="34" t="n">
        <f aca="false">IF(BP$15=1,INDEX(Vol_O,13,BP$14)/12*(1+P_dVol),0)</f>
        <v>0</v>
      </c>
      <c r="BQ33" s="34" t="n">
        <f aca="false">IF(BQ$15=1,INDEX(Vol_O,13,BQ$14)/12*(1+P_dVol),0)</f>
        <v>0</v>
      </c>
      <c r="BR33" s="34" t="n">
        <f aca="false">IF(BR$15=1,INDEX(Vol_O,13,BR$14)/12*(1+P_dVol),0)</f>
        <v>0</v>
      </c>
      <c r="BS33" s="34" t="n">
        <f aca="false">IF(BS$15=1,INDEX(Vol_O,13,BS$14)/12*(1+P_dVol),0)</f>
        <v>0</v>
      </c>
      <c r="BT33" s="34" t="n">
        <f aca="false">IF(BT$15=1,INDEX(Vol_O,13,BT$14)/12*(1+P_dVol),0)</f>
        <v>0</v>
      </c>
      <c r="BU33" s="34" t="n">
        <f aca="false">IF(BU$15=1,INDEX(Vol_O,13,BU$14)/12*(1+P_dVol),0)</f>
        <v>0</v>
      </c>
      <c r="BV33" s="34" t="n">
        <f aca="false">IF(BV$15=1,INDEX(Vol_O,13,BV$14)/12*(1+P_dVol),0)</f>
        <v>0</v>
      </c>
      <c r="BW33" s="34" t="n">
        <f aca="false">IF(BW$15=1,INDEX(Vol_O,13,BW$14)/12*(1+P_dVol),0)</f>
        <v>0</v>
      </c>
      <c r="BX33" s="34" t="n">
        <f aca="false">IF(BX$15=1,INDEX(Vol_O,13,BX$14)/12*(1+P_dVol),0)</f>
        <v>0</v>
      </c>
      <c r="BY33" s="34" t="n">
        <f aca="false">IF(BY$15=1,INDEX(Vol_O,13,BY$14)/12*(1+P_dVol),0)</f>
        <v>0</v>
      </c>
      <c r="BZ33" s="34" t="n">
        <f aca="false">IF(BZ$15=1,INDEX(Vol_O,13,BZ$14)/12*(1+P_dVol),0)</f>
        <v>0</v>
      </c>
      <c r="CA33" s="34" t="n">
        <f aca="false">IF(CA$15=1,INDEX(Vol_O,13,CA$14)/12*(1+P_dVol),0)</f>
        <v>0</v>
      </c>
      <c r="CB33" s="34" t="n">
        <f aca="false">IF(CB$15=1,INDEX(Vol_O,13,CB$14)/12*(1+P_dVol),0)</f>
        <v>0</v>
      </c>
      <c r="CC33" s="34" t="n">
        <f aca="false">IF(CC$15=1,INDEX(Vol_O,13,CC$14)/12*(1+P_dVol),0)</f>
        <v>0</v>
      </c>
      <c r="CD33" s="34" t="n">
        <f aca="false">IF(CD$15=1,INDEX(Vol_O,13,CD$14)/12*(1+P_dVol),0)</f>
        <v>0</v>
      </c>
      <c r="CE33" s="34" t="n">
        <f aca="false">IF(CE$15=1,INDEX(Vol_O,13,CE$14)/12*(1+P_dVol),0)</f>
        <v>0</v>
      </c>
      <c r="CF33" s="34" t="n">
        <f aca="false">IF(CF$15=1,INDEX(Vol_O,13,CF$14)/12*(1+P_dVol),0)</f>
        <v>0</v>
      </c>
      <c r="CG33" s="34" t="n">
        <f aca="false">IF(CG$15=1,INDEX(Vol_O,13,CG$14)/12*(1+P_dVol),0)</f>
        <v>0</v>
      </c>
      <c r="CH33" s="34" t="n">
        <f aca="false">IF(CH$15=1,INDEX(Vol_O,13,CH$14)/12*(1+P_dVol),0)</f>
        <v>0</v>
      </c>
      <c r="CI33" s="34" t="n">
        <f aca="false">IF(CI$15=1,INDEX(Vol_O,13,CI$14)/12*(1+P_dVol),0)</f>
        <v>0</v>
      </c>
      <c r="CJ33" s="34" t="n">
        <f aca="false">IF(CJ$15=1,INDEX(Vol_O,13,CJ$14)/12*(1+P_dVol),0)</f>
        <v>0</v>
      </c>
      <c r="CK33" s="34" t="n">
        <f aca="false">IF(CK$15=1,INDEX(Vol_O,13,CK$14)/12*(1+P_dVol),0)</f>
        <v>0</v>
      </c>
      <c r="CL33" s="34" t="n">
        <f aca="false">IF(CL$15=1,INDEX(Vol_O,13,CL$14)/12*(1+P_dVol),0)</f>
        <v>0</v>
      </c>
      <c r="CM33" s="34" t="n">
        <f aca="false">IF(CM$15=1,INDEX(Vol_O,13,CM$14)/12*(1+P_dVol),0)</f>
        <v>0</v>
      </c>
      <c r="CN33" s="34" t="n">
        <f aca="false">IF(CN$15=1,INDEX(Vol_O,13,CN$14)/12*(1+P_dVol),0)</f>
        <v>0</v>
      </c>
      <c r="CO33" s="34" t="n">
        <f aca="false">IF(CO$15=1,INDEX(Vol_O,13,CO$14)/12*(1+P_dVol),0)</f>
        <v>0</v>
      </c>
      <c r="CP33" s="34" t="n">
        <f aca="false">IF(CP$15=1,INDEX(Vol_O,13,CP$14)/12*(1+P_dVol),0)</f>
        <v>0</v>
      </c>
      <c r="CQ33" s="34" t="n">
        <f aca="false">IF(CQ$15=1,INDEX(Vol_O,13,CQ$14)/12*(1+P_dVol),0)</f>
        <v>0</v>
      </c>
      <c r="CR33" s="34" t="n">
        <f aca="false">IF(CR$15=1,INDEX(Vol_O,13,CR$14)/12*(1+P_dVol),0)</f>
        <v>0</v>
      </c>
      <c r="CS33" s="34" t="n">
        <f aca="false">IF(CS$15=1,INDEX(Vol_O,13,CS$14)/12*(1+P_dVol),0)</f>
        <v>0</v>
      </c>
      <c r="CT33" s="34" t="n">
        <f aca="false">IF(CT$15=1,INDEX(Vol_O,13,CT$14)/12*(1+P_dVol),0)</f>
        <v>0</v>
      </c>
      <c r="CU33" s="34" t="n">
        <f aca="false">IF(CU$15=1,INDEX(Vol_O,13,CU$14)/12*(1+P_dVol),0)</f>
        <v>0</v>
      </c>
      <c r="CV33" s="34" t="n">
        <f aca="false">IF(CV$15=1,INDEX(Vol_O,13,CV$14)/12*(1+P_dVol),0)</f>
        <v>0</v>
      </c>
      <c r="CW33" s="34" t="n">
        <f aca="false">IF(CW$15=1,INDEX(Vol_O,13,CW$14)/12*(1+P_dVol),0)</f>
        <v>0</v>
      </c>
      <c r="CX33" s="34" t="n">
        <f aca="false">IF(CX$15=1,INDEX(Vol_O,13,CX$14)/12*(1+P_dVol),0)</f>
        <v>0</v>
      </c>
      <c r="CY33" s="34" t="n">
        <f aca="false">IF(CY$15=1,INDEX(Vol_O,13,CY$14)/12*(1+P_dVol),0)</f>
        <v>0</v>
      </c>
      <c r="CZ33" s="34" t="n">
        <f aca="false">IF(CZ$15=1,INDEX(Vol_O,13,CZ$14)/12*(1+P_dVol),0)</f>
        <v>0</v>
      </c>
      <c r="DA33" s="34" t="n">
        <f aca="false">IF(DA$15=1,INDEX(Vol_O,13,DA$14)/12*(1+P_dVol),0)</f>
        <v>0</v>
      </c>
      <c r="DB33" s="34" t="n">
        <f aca="false">IF(DB$15=1,INDEX(Vol_O,13,DB$14)/12*(1+P_dVol),0)</f>
        <v>0</v>
      </c>
      <c r="DC33" s="34" t="n">
        <f aca="false">IF(DC$15=1,INDEX(Vol_O,13,DC$14)/12*(1+P_dVol),0)</f>
        <v>0</v>
      </c>
      <c r="DD33" s="34" t="n">
        <f aca="false">IF(DD$15=1,INDEX(Vol_O,13,DD$14)/12*(1+P_dVol),0)</f>
        <v>0</v>
      </c>
      <c r="DE33" s="34" t="n">
        <f aca="false">IF(DE$15=1,INDEX(Vol_O,13,DE$14)/12*(1+P_dVol),0)</f>
        <v>0</v>
      </c>
      <c r="DF33" s="34" t="n">
        <f aca="false">IF(DF$15=1,INDEX(Vol_O,13,DF$14)/12*(1+P_dVol),0)</f>
        <v>0</v>
      </c>
      <c r="DG33" s="34" t="n">
        <f aca="false">IF(DG$15=1,INDEX(Vol_O,13,DG$14)/12*(1+P_dVol),0)</f>
        <v>0</v>
      </c>
      <c r="DH33" s="34" t="n">
        <f aca="false">IF(DH$15=1,INDEX(Vol_O,13,DH$14)/12*(1+P_dVol),0)</f>
        <v>0</v>
      </c>
      <c r="DI33" s="34" t="n">
        <f aca="false">IF(DI$15=1,INDEX(Vol_O,13,DI$14)/12*(1+P_dVol),0)</f>
        <v>0</v>
      </c>
      <c r="DJ33" s="34" t="n">
        <f aca="false">IF(DJ$15=1,INDEX(Vol_O,13,DJ$14)/12*(1+P_dVol),0)</f>
        <v>0</v>
      </c>
      <c r="DK33" s="34" t="n">
        <f aca="false">IF(DK$15=1,INDEX(Vol_O,13,DK$14)/12*(1+P_dVol),0)</f>
        <v>0</v>
      </c>
      <c r="DL33" s="34" t="n">
        <f aca="false">IF(DL$15=1,INDEX(Vol_O,13,DL$14)/12*(1+P_dVol),0)</f>
        <v>0</v>
      </c>
      <c r="DM33" s="34" t="n">
        <f aca="false">IF(DM$15=1,INDEX(Vol_O,13,DM$14)/12*(1+P_dVol),0)</f>
        <v>0</v>
      </c>
      <c r="DN33" s="34" t="n">
        <f aca="false">IF(DN$15=1,INDEX(Vol_O,13,DN$14)/12*(1+P_dVol),0)</f>
        <v>0</v>
      </c>
      <c r="DO33" s="34" t="n">
        <f aca="false">IF(DO$15=1,INDEX(Vol_O,13,DO$14)/12*(1+P_dVol),0)</f>
        <v>0</v>
      </c>
      <c r="DP33" s="34" t="n">
        <f aca="false">IF(DP$15=1,INDEX(Vol_O,13,DP$14)/12*(1+P_dVol),0)</f>
        <v>0</v>
      </c>
      <c r="DQ33" s="34" t="n">
        <f aca="false">IF(DQ$15=1,INDEX(Vol_O,13,DQ$14)/12*(1+P_dVol),0)</f>
        <v>0</v>
      </c>
      <c r="DR33" s="34" t="n">
        <f aca="false">IF(DR$15=1,INDEX(Vol_O,13,DR$14)/12*(1+P_dVol),0)</f>
        <v>0</v>
      </c>
      <c r="DS33" s="34" t="n">
        <f aca="false">IF(DS$15=1,INDEX(Vol_O,13,DS$14)/12*(1+P_dVol),0)</f>
        <v>0</v>
      </c>
      <c r="DT33" s="34" t="n">
        <f aca="false">IF(DT$15=1,INDEX(Vol_O,13,DT$14)/12*(1+P_dVol),0)</f>
        <v>0</v>
      </c>
      <c r="DU33" s="34" t="n">
        <f aca="false">IF(DU$15=1,INDEX(Vol_O,13,DU$14)/12*(1+P_dVol),0)</f>
        <v>0</v>
      </c>
      <c r="DV33" s="34" t="n">
        <f aca="false">IF(DV$15=1,INDEX(Vol_O,13,DV$14)/12*(1+P_dVol),0)</f>
        <v>0</v>
      </c>
      <c r="DW33" s="34" t="n">
        <f aca="false">IF(DW$15=1,INDEX(Vol_O,13,DW$14)/12*(1+P_dVol),0)</f>
        <v>0</v>
      </c>
      <c r="DX33" s="34" t="n">
        <f aca="false">IF(DX$15=1,INDEX(Vol_O,13,DX$14)/12*(1+P_dVol),0)</f>
        <v>0</v>
      </c>
      <c r="DY33" s="34" t="n">
        <f aca="false">IF(DY$15=1,INDEX(Vol_O,13,DY$14)/12*(1+P_dVol),0)</f>
        <v>0</v>
      </c>
      <c r="DZ33" s="34" t="n">
        <f aca="false">IF(DZ$15=1,INDEX(Vol_O,13,DZ$14)/12*(1+P_dVol),0)</f>
        <v>0</v>
      </c>
      <c r="EA33" s="34" t="n">
        <f aca="false">IF(EA$15=1,INDEX(Vol_O,13,EA$14)/12*(1+P_dVol),0)</f>
        <v>0</v>
      </c>
      <c r="EB33" s="34" t="n">
        <f aca="false">IF(EB$15=1,INDEX(Vol_O,13,EB$14)/12*(1+P_dVol),0)</f>
        <v>0</v>
      </c>
      <c r="EC33" s="34" t="n">
        <f aca="false">IF(EC$15=1,INDEX(Vol_O,13,EC$14)/12*(1+P_dVol),0)</f>
        <v>0</v>
      </c>
      <c r="ED33" s="34" t="n">
        <f aca="false">IF(ED$15=1,INDEX(Vol_O,13,ED$14)/12*(1+P_dVol),0)</f>
        <v>0</v>
      </c>
      <c r="EE33" s="34" t="n">
        <f aca="false">IF(EE$15=1,INDEX(Vol_O,13,EE$14)/12*(1+P_dVol),0)</f>
        <v>0</v>
      </c>
      <c r="EF33" s="34" t="n">
        <f aca="false">IF(EF$15=1,INDEX(Vol_O,13,EF$14)/12*(1+P_dVol),0)</f>
        <v>0</v>
      </c>
      <c r="EG33" s="34" t="n">
        <f aca="false">IF(EG$15=1,INDEX(Vol_O,13,EG$14)/12*(1+P_dVol),0)</f>
        <v>0</v>
      </c>
      <c r="EH33" s="34" t="n">
        <f aca="false">IF(EH$15=1,INDEX(Vol_O,13,EH$14)/12*(1+P_dVol),0)</f>
        <v>0</v>
      </c>
      <c r="EI33" s="34" t="n">
        <f aca="false">IF(EI$15=1,INDEX(Vol_O,13,EI$14)/12*(1+P_dVol),0)</f>
        <v>0</v>
      </c>
      <c r="EJ33" s="34" t="n">
        <f aca="false">IF(EJ$15=1,INDEX(Vol_O,13,EJ$14)/12*(1+P_dVol),0)</f>
        <v>0</v>
      </c>
      <c r="EK33" s="34" t="n">
        <f aca="false">IF(EK$15=1,INDEX(Vol_O,13,EK$14)/12*(1+P_dVol),0)</f>
        <v>0</v>
      </c>
      <c r="EL33" s="34" t="n">
        <f aca="false">IF(EL$15=1,INDEX(Vol_O,13,EL$14)/12*(1+P_dVol),0)</f>
        <v>0</v>
      </c>
      <c r="EM33" s="34" t="n">
        <f aca="false">IF(EM$15=1,INDEX(Vol_O,13,EM$14)/12*(1+P_dVol),0)</f>
        <v>0</v>
      </c>
      <c r="EN33" s="34" t="n">
        <f aca="false">IF(EN$15=1,INDEX(Vol_O,13,EN$14)/12*(1+P_dVol),0)</f>
        <v>0</v>
      </c>
      <c r="EO33" s="34" t="n">
        <f aca="false">IF(EO$15=1,INDEX(Vol_O,13,EO$14)/12*(1+P_dVol),0)</f>
        <v>0</v>
      </c>
      <c r="EP33" s="34" t="n">
        <f aca="false">IF(EP$15=1,INDEX(Vol_O,13,EP$14)/12*(1+P_dVol),0)</f>
        <v>0</v>
      </c>
      <c r="EQ33" s="34" t="n">
        <f aca="false">IF(EQ$15=1,INDEX(Vol_O,13,EQ$14)/12*(1+P_dVol),0)</f>
        <v>0</v>
      </c>
      <c r="ER33" s="34" t="n">
        <f aca="false">IF(ER$15=1,INDEX(Vol_O,13,ER$14)/12*(1+P_dVol),0)</f>
        <v>0</v>
      </c>
      <c r="ES33" s="34" t="n">
        <f aca="false">IF(ES$15=1,INDEX(Vol_O,13,ES$14)/12*(1+P_dVol),0)</f>
        <v>0</v>
      </c>
    </row>
    <row r="34" customFormat="false" ht="15" hidden="false" customHeight="false" outlineLevel="0" collapsed="false">
      <c r="A34" s="2" t="s">
        <v>597</v>
      </c>
      <c r="B34" s="39" t="str">
        <f aca="false">IF(INDEX(Prod_Nombre,14)="","Producto 14",INDEX(Prod_Nombre,14))&amp;" — unidades"</f>
        <v>Producto 14 — unidades</v>
      </c>
      <c r="C34" s="6" t="s">
        <v>286</v>
      </c>
      <c r="E34" s="40" t="n">
        <f aca="false">SUM(F34:ES34)</f>
        <v>0</v>
      </c>
      <c r="F34" s="34" t="n">
        <f aca="false">IF(F$15=1,INDEX(Vol_O,14,F$14)/12*(1+P_dVol),0)</f>
        <v>0</v>
      </c>
      <c r="G34" s="34" t="n">
        <f aca="false">IF(G$15=1,INDEX(Vol_O,14,G$14)/12*(1+P_dVol),0)</f>
        <v>0</v>
      </c>
      <c r="H34" s="34" t="n">
        <f aca="false">IF(H$15=1,INDEX(Vol_O,14,H$14)/12*(1+P_dVol),0)</f>
        <v>0</v>
      </c>
      <c r="I34" s="34" t="n">
        <f aca="false">IF(I$15=1,INDEX(Vol_O,14,I$14)/12*(1+P_dVol),0)</f>
        <v>0</v>
      </c>
      <c r="J34" s="34" t="n">
        <f aca="false">IF(J$15=1,INDEX(Vol_O,14,J$14)/12*(1+P_dVol),0)</f>
        <v>0</v>
      </c>
      <c r="K34" s="34" t="n">
        <f aca="false">IF(K$15=1,INDEX(Vol_O,14,K$14)/12*(1+P_dVol),0)</f>
        <v>0</v>
      </c>
      <c r="L34" s="34" t="n">
        <f aca="false">IF(L$15=1,INDEX(Vol_O,14,L$14)/12*(1+P_dVol),0)</f>
        <v>0</v>
      </c>
      <c r="M34" s="34" t="n">
        <f aca="false">IF(M$15=1,INDEX(Vol_O,14,M$14)/12*(1+P_dVol),0)</f>
        <v>0</v>
      </c>
      <c r="N34" s="34" t="n">
        <f aca="false">IF(N$15=1,INDEX(Vol_O,14,N$14)/12*(1+P_dVol),0)</f>
        <v>0</v>
      </c>
      <c r="O34" s="34" t="n">
        <f aca="false">IF(O$15=1,INDEX(Vol_O,14,O$14)/12*(1+P_dVol),0)</f>
        <v>0</v>
      </c>
      <c r="P34" s="34" t="n">
        <f aca="false">IF(P$15=1,INDEX(Vol_O,14,P$14)/12*(1+P_dVol),0)</f>
        <v>0</v>
      </c>
      <c r="Q34" s="34" t="n">
        <f aca="false">IF(Q$15=1,INDEX(Vol_O,14,Q$14)/12*(1+P_dVol),0)</f>
        <v>0</v>
      </c>
      <c r="R34" s="34" t="n">
        <f aca="false">IF(R$15=1,INDEX(Vol_O,14,R$14)/12*(1+P_dVol),0)</f>
        <v>0</v>
      </c>
      <c r="S34" s="34" t="n">
        <f aca="false">IF(S$15=1,INDEX(Vol_O,14,S$14)/12*(1+P_dVol),0)</f>
        <v>0</v>
      </c>
      <c r="T34" s="34" t="n">
        <f aca="false">IF(T$15=1,INDEX(Vol_O,14,T$14)/12*(1+P_dVol),0)</f>
        <v>0</v>
      </c>
      <c r="U34" s="34" t="n">
        <f aca="false">IF(U$15=1,INDEX(Vol_O,14,U$14)/12*(1+P_dVol),0)</f>
        <v>0</v>
      </c>
      <c r="V34" s="34" t="n">
        <f aca="false">IF(V$15=1,INDEX(Vol_O,14,V$14)/12*(1+P_dVol),0)</f>
        <v>0</v>
      </c>
      <c r="W34" s="34" t="n">
        <f aca="false">IF(W$15=1,INDEX(Vol_O,14,W$14)/12*(1+P_dVol),0)</f>
        <v>0</v>
      </c>
      <c r="X34" s="34" t="n">
        <f aca="false">IF(X$15=1,INDEX(Vol_O,14,X$14)/12*(1+P_dVol),0)</f>
        <v>0</v>
      </c>
      <c r="Y34" s="34" t="n">
        <f aca="false">IF(Y$15=1,INDEX(Vol_O,14,Y$14)/12*(1+P_dVol),0)</f>
        <v>0</v>
      </c>
      <c r="Z34" s="34" t="n">
        <f aca="false">IF(Z$15=1,INDEX(Vol_O,14,Z$14)/12*(1+P_dVol),0)</f>
        <v>0</v>
      </c>
      <c r="AA34" s="34" t="n">
        <f aca="false">IF(AA$15=1,INDEX(Vol_O,14,AA$14)/12*(1+P_dVol),0)</f>
        <v>0</v>
      </c>
      <c r="AB34" s="34" t="n">
        <f aca="false">IF(AB$15=1,INDEX(Vol_O,14,AB$14)/12*(1+P_dVol),0)</f>
        <v>0</v>
      </c>
      <c r="AC34" s="34" t="n">
        <f aca="false">IF(AC$15=1,INDEX(Vol_O,14,AC$14)/12*(1+P_dVol),0)</f>
        <v>0</v>
      </c>
      <c r="AD34" s="34" t="n">
        <f aca="false">IF(AD$15=1,INDEX(Vol_O,14,AD$14)/12*(1+P_dVol),0)</f>
        <v>0</v>
      </c>
      <c r="AE34" s="34" t="n">
        <f aca="false">IF(AE$15=1,INDEX(Vol_O,14,AE$14)/12*(1+P_dVol),0)</f>
        <v>0</v>
      </c>
      <c r="AF34" s="34" t="n">
        <f aca="false">IF(AF$15=1,INDEX(Vol_O,14,AF$14)/12*(1+P_dVol),0)</f>
        <v>0</v>
      </c>
      <c r="AG34" s="34" t="n">
        <f aca="false">IF(AG$15=1,INDEX(Vol_O,14,AG$14)/12*(1+P_dVol),0)</f>
        <v>0</v>
      </c>
      <c r="AH34" s="34" t="n">
        <f aca="false">IF(AH$15=1,INDEX(Vol_O,14,AH$14)/12*(1+P_dVol),0)</f>
        <v>0</v>
      </c>
      <c r="AI34" s="34" t="n">
        <f aca="false">IF(AI$15=1,INDEX(Vol_O,14,AI$14)/12*(1+P_dVol),0)</f>
        <v>0</v>
      </c>
      <c r="AJ34" s="34" t="n">
        <f aca="false">IF(AJ$15=1,INDEX(Vol_O,14,AJ$14)/12*(1+P_dVol),0)</f>
        <v>0</v>
      </c>
      <c r="AK34" s="34" t="n">
        <f aca="false">IF(AK$15=1,INDEX(Vol_O,14,AK$14)/12*(1+P_dVol),0)</f>
        <v>0</v>
      </c>
      <c r="AL34" s="34" t="n">
        <f aca="false">IF(AL$15=1,INDEX(Vol_O,14,AL$14)/12*(1+P_dVol),0)</f>
        <v>0</v>
      </c>
      <c r="AM34" s="34" t="n">
        <f aca="false">IF(AM$15=1,INDEX(Vol_O,14,AM$14)/12*(1+P_dVol),0)</f>
        <v>0</v>
      </c>
      <c r="AN34" s="34" t="n">
        <f aca="false">IF(AN$15=1,INDEX(Vol_O,14,AN$14)/12*(1+P_dVol),0)</f>
        <v>0</v>
      </c>
      <c r="AO34" s="34" t="n">
        <f aca="false">IF(AO$15=1,INDEX(Vol_O,14,AO$14)/12*(1+P_dVol),0)</f>
        <v>0</v>
      </c>
      <c r="AP34" s="34" t="n">
        <f aca="false">IF(AP$15=1,INDEX(Vol_O,14,AP$14)/12*(1+P_dVol),0)</f>
        <v>0</v>
      </c>
      <c r="AQ34" s="34" t="n">
        <f aca="false">IF(AQ$15=1,INDEX(Vol_O,14,AQ$14)/12*(1+P_dVol),0)</f>
        <v>0</v>
      </c>
      <c r="AR34" s="34" t="n">
        <f aca="false">IF(AR$15=1,INDEX(Vol_O,14,AR$14)/12*(1+P_dVol),0)</f>
        <v>0</v>
      </c>
      <c r="AS34" s="34" t="n">
        <f aca="false">IF(AS$15=1,INDEX(Vol_O,14,AS$14)/12*(1+P_dVol),0)</f>
        <v>0</v>
      </c>
      <c r="AT34" s="34" t="n">
        <f aca="false">IF(AT$15=1,INDEX(Vol_O,14,AT$14)/12*(1+P_dVol),0)</f>
        <v>0</v>
      </c>
      <c r="AU34" s="34" t="n">
        <f aca="false">IF(AU$15=1,INDEX(Vol_O,14,AU$14)/12*(1+P_dVol),0)</f>
        <v>0</v>
      </c>
      <c r="AV34" s="34" t="n">
        <f aca="false">IF(AV$15=1,INDEX(Vol_O,14,AV$14)/12*(1+P_dVol),0)</f>
        <v>0</v>
      </c>
      <c r="AW34" s="34" t="n">
        <f aca="false">IF(AW$15=1,INDEX(Vol_O,14,AW$14)/12*(1+P_dVol),0)</f>
        <v>0</v>
      </c>
      <c r="AX34" s="34" t="n">
        <f aca="false">IF(AX$15=1,INDEX(Vol_O,14,AX$14)/12*(1+P_dVol),0)</f>
        <v>0</v>
      </c>
      <c r="AY34" s="34" t="n">
        <f aca="false">IF(AY$15=1,INDEX(Vol_O,14,AY$14)/12*(1+P_dVol),0)</f>
        <v>0</v>
      </c>
      <c r="AZ34" s="34" t="n">
        <f aca="false">IF(AZ$15=1,INDEX(Vol_O,14,AZ$14)/12*(1+P_dVol),0)</f>
        <v>0</v>
      </c>
      <c r="BA34" s="34" t="n">
        <f aca="false">IF(BA$15=1,INDEX(Vol_O,14,BA$14)/12*(1+P_dVol),0)</f>
        <v>0</v>
      </c>
      <c r="BB34" s="34" t="n">
        <f aca="false">IF(BB$15=1,INDEX(Vol_O,14,BB$14)/12*(1+P_dVol),0)</f>
        <v>0</v>
      </c>
      <c r="BC34" s="34" t="n">
        <f aca="false">IF(BC$15=1,INDEX(Vol_O,14,BC$14)/12*(1+P_dVol),0)</f>
        <v>0</v>
      </c>
      <c r="BD34" s="34" t="n">
        <f aca="false">IF(BD$15=1,INDEX(Vol_O,14,BD$14)/12*(1+P_dVol),0)</f>
        <v>0</v>
      </c>
      <c r="BE34" s="34" t="n">
        <f aca="false">IF(BE$15=1,INDEX(Vol_O,14,BE$14)/12*(1+P_dVol),0)</f>
        <v>0</v>
      </c>
      <c r="BF34" s="34" t="n">
        <f aca="false">IF(BF$15=1,INDEX(Vol_O,14,BF$14)/12*(1+P_dVol),0)</f>
        <v>0</v>
      </c>
      <c r="BG34" s="34" t="n">
        <f aca="false">IF(BG$15=1,INDEX(Vol_O,14,BG$14)/12*(1+P_dVol),0)</f>
        <v>0</v>
      </c>
      <c r="BH34" s="34" t="n">
        <f aca="false">IF(BH$15=1,INDEX(Vol_O,14,BH$14)/12*(1+P_dVol),0)</f>
        <v>0</v>
      </c>
      <c r="BI34" s="34" t="n">
        <f aca="false">IF(BI$15=1,INDEX(Vol_O,14,BI$14)/12*(1+P_dVol),0)</f>
        <v>0</v>
      </c>
      <c r="BJ34" s="34" t="n">
        <f aca="false">IF(BJ$15=1,INDEX(Vol_O,14,BJ$14)/12*(1+P_dVol),0)</f>
        <v>0</v>
      </c>
      <c r="BK34" s="34" t="n">
        <f aca="false">IF(BK$15=1,INDEX(Vol_O,14,BK$14)/12*(1+P_dVol),0)</f>
        <v>0</v>
      </c>
      <c r="BL34" s="34" t="n">
        <f aca="false">IF(BL$15=1,INDEX(Vol_O,14,BL$14)/12*(1+P_dVol),0)</f>
        <v>0</v>
      </c>
      <c r="BM34" s="34" t="n">
        <f aca="false">IF(BM$15=1,INDEX(Vol_O,14,BM$14)/12*(1+P_dVol),0)</f>
        <v>0</v>
      </c>
      <c r="BN34" s="34" t="n">
        <f aca="false">IF(BN$15=1,INDEX(Vol_O,14,BN$14)/12*(1+P_dVol),0)</f>
        <v>0</v>
      </c>
      <c r="BO34" s="34" t="n">
        <f aca="false">IF(BO$15=1,INDEX(Vol_O,14,BO$14)/12*(1+P_dVol),0)</f>
        <v>0</v>
      </c>
      <c r="BP34" s="34" t="n">
        <f aca="false">IF(BP$15=1,INDEX(Vol_O,14,BP$14)/12*(1+P_dVol),0)</f>
        <v>0</v>
      </c>
      <c r="BQ34" s="34" t="n">
        <f aca="false">IF(BQ$15=1,INDEX(Vol_O,14,BQ$14)/12*(1+P_dVol),0)</f>
        <v>0</v>
      </c>
      <c r="BR34" s="34" t="n">
        <f aca="false">IF(BR$15=1,INDEX(Vol_O,14,BR$14)/12*(1+P_dVol),0)</f>
        <v>0</v>
      </c>
      <c r="BS34" s="34" t="n">
        <f aca="false">IF(BS$15=1,INDEX(Vol_O,14,BS$14)/12*(1+P_dVol),0)</f>
        <v>0</v>
      </c>
      <c r="BT34" s="34" t="n">
        <f aca="false">IF(BT$15=1,INDEX(Vol_O,14,BT$14)/12*(1+P_dVol),0)</f>
        <v>0</v>
      </c>
      <c r="BU34" s="34" t="n">
        <f aca="false">IF(BU$15=1,INDEX(Vol_O,14,BU$14)/12*(1+P_dVol),0)</f>
        <v>0</v>
      </c>
      <c r="BV34" s="34" t="n">
        <f aca="false">IF(BV$15=1,INDEX(Vol_O,14,BV$14)/12*(1+P_dVol),0)</f>
        <v>0</v>
      </c>
      <c r="BW34" s="34" t="n">
        <f aca="false">IF(BW$15=1,INDEX(Vol_O,14,BW$14)/12*(1+P_dVol),0)</f>
        <v>0</v>
      </c>
      <c r="BX34" s="34" t="n">
        <f aca="false">IF(BX$15=1,INDEX(Vol_O,14,BX$14)/12*(1+P_dVol),0)</f>
        <v>0</v>
      </c>
      <c r="BY34" s="34" t="n">
        <f aca="false">IF(BY$15=1,INDEX(Vol_O,14,BY$14)/12*(1+P_dVol),0)</f>
        <v>0</v>
      </c>
      <c r="BZ34" s="34" t="n">
        <f aca="false">IF(BZ$15=1,INDEX(Vol_O,14,BZ$14)/12*(1+P_dVol),0)</f>
        <v>0</v>
      </c>
      <c r="CA34" s="34" t="n">
        <f aca="false">IF(CA$15=1,INDEX(Vol_O,14,CA$14)/12*(1+P_dVol),0)</f>
        <v>0</v>
      </c>
      <c r="CB34" s="34" t="n">
        <f aca="false">IF(CB$15=1,INDEX(Vol_O,14,CB$14)/12*(1+P_dVol),0)</f>
        <v>0</v>
      </c>
      <c r="CC34" s="34" t="n">
        <f aca="false">IF(CC$15=1,INDEX(Vol_O,14,CC$14)/12*(1+P_dVol),0)</f>
        <v>0</v>
      </c>
      <c r="CD34" s="34" t="n">
        <f aca="false">IF(CD$15=1,INDEX(Vol_O,14,CD$14)/12*(1+P_dVol),0)</f>
        <v>0</v>
      </c>
      <c r="CE34" s="34" t="n">
        <f aca="false">IF(CE$15=1,INDEX(Vol_O,14,CE$14)/12*(1+P_dVol),0)</f>
        <v>0</v>
      </c>
      <c r="CF34" s="34" t="n">
        <f aca="false">IF(CF$15=1,INDEX(Vol_O,14,CF$14)/12*(1+P_dVol),0)</f>
        <v>0</v>
      </c>
      <c r="CG34" s="34" t="n">
        <f aca="false">IF(CG$15=1,INDEX(Vol_O,14,CG$14)/12*(1+P_dVol),0)</f>
        <v>0</v>
      </c>
      <c r="CH34" s="34" t="n">
        <f aca="false">IF(CH$15=1,INDEX(Vol_O,14,CH$14)/12*(1+P_dVol),0)</f>
        <v>0</v>
      </c>
      <c r="CI34" s="34" t="n">
        <f aca="false">IF(CI$15=1,INDEX(Vol_O,14,CI$14)/12*(1+P_dVol),0)</f>
        <v>0</v>
      </c>
      <c r="CJ34" s="34" t="n">
        <f aca="false">IF(CJ$15=1,INDEX(Vol_O,14,CJ$14)/12*(1+P_dVol),0)</f>
        <v>0</v>
      </c>
      <c r="CK34" s="34" t="n">
        <f aca="false">IF(CK$15=1,INDEX(Vol_O,14,CK$14)/12*(1+P_dVol),0)</f>
        <v>0</v>
      </c>
      <c r="CL34" s="34" t="n">
        <f aca="false">IF(CL$15=1,INDEX(Vol_O,14,CL$14)/12*(1+P_dVol),0)</f>
        <v>0</v>
      </c>
      <c r="CM34" s="34" t="n">
        <f aca="false">IF(CM$15=1,INDEX(Vol_O,14,CM$14)/12*(1+P_dVol),0)</f>
        <v>0</v>
      </c>
      <c r="CN34" s="34" t="n">
        <f aca="false">IF(CN$15=1,INDEX(Vol_O,14,CN$14)/12*(1+P_dVol),0)</f>
        <v>0</v>
      </c>
      <c r="CO34" s="34" t="n">
        <f aca="false">IF(CO$15=1,INDEX(Vol_O,14,CO$14)/12*(1+P_dVol),0)</f>
        <v>0</v>
      </c>
      <c r="CP34" s="34" t="n">
        <f aca="false">IF(CP$15=1,INDEX(Vol_O,14,CP$14)/12*(1+P_dVol),0)</f>
        <v>0</v>
      </c>
      <c r="CQ34" s="34" t="n">
        <f aca="false">IF(CQ$15=1,INDEX(Vol_O,14,CQ$14)/12*(1+P_dVol),0)</f>
        <v>0</v>
      </c>
      <c r="CR34" s="34" t="n">
        <f aca="false">IF(CR$15=1,INDEX(Vol_O,14,CR$14)/12*(1+P_dVol),0)</f>
        <v>0</v>
      </c>
      <c r="CS34" s="34" t="n">
        <f aca="false">IF(CS$15=1,INDEX(Vol_O,14,CS$14)/12*(1+P_dVol),0)</f>
        <v>0</v>
      </c>
      <c r="CT34" s="34" t="n">
        <f aca="false">IF(CT$15=1,INDEX(Vol_O,14,CT$14)/12*(1+P_dVol),0)</f>
        <v>0</v>
      </c>
      <c r="CU34" s="34" t="n">
        <f aca="false">IF(CU$15=1,INDEX(Vol_O,14,CU$14)/12*(1+P_dVol),0)</f>
        <v>0</v>
      </c>
      <c r="CV34" s="34" t="n">
        <f aca="false">IF(CV$15=1,INDEX(Vol_O,14,CV$14)/12*(1+P_dVol),0)</f>
        <v>0</v>
      </c>
      <c r="CW34" s="34" t="n">
        <f aca="false">IF(CW$15=1,INDEX(Vol_O,14,CW$14)/12*(1+P_dVol),0)</f>
        <v>0</v>
      </c>
      <c r="CX34" s="34" t="n">
        <f aca="false">IF(CX$15=1,INDEX(Vol_O,14,CX$14)/12*(1+P_dVol),0)</f>
        <v>0</v>
      </c>
      <c r="CY34" s="34" t="n">
        <f aca="false">IF(CY$15=1,INDEX(Vol_O,14,CY$14)/12*(1+P_dVol),0)</f>
        <v>0</v>
      </c>
      <c r="CZ34" s="34" t="n">
        <f aca="false">IF(CZ$15=1,INDEX(Vol_O,14,CZ$14)/12*(1+P_dVol),0)</f>
        <v>0</v>
      </c>
      <c r="DA34" s="34" t="n">
        <f aca="false">IF(DA$15=1,INDEX(Vol_O,14,DA$14)/12*(1+P_dVol),0)</f>
        <v>0</v>
      </c>
      <c r="DB34" s="34" t="n">
        <f aca="false">IF(DB$15=1,INDEX(Vol_O,14,DB$14)/12*(1+P_dVol),0)</f>
        <v>0</v>
      </c>
      <c r="DC34" s="34" t="n">
        <f aca="false">IF(DC$15=1,INDEX(Vol_O,14,DC$14)/12*(1+P_dVol),0)</f>
        <v>0</v>
      </c>
      <c r="DD34" s="34" t="n">
        <f aca="false">IF(DD$15=1,INDEX(Vol_O,14,DD$14)/12*(1+P_dVol),0)</f>
        <v>0</v>
      </c>
      <c r="DE34" s="34" t="n">
        <f aca="false">IF(DE$15=1,INDEX(Vol_O,14,DE$14)/12*(1+P_dVol),0)</f>
        <v>0</v>
      </c>
      <c r="DF34" s="34" t="n">
        <f aca="false">IF(DF$15=1,INDEX(Vol_O,14,DF$14)/12*(1+P_dVol),0)</f>
        <v>0</v>
      </c>
      <c r="DG34" s="34" t="n">
        <f aca="false">IF(DG$15=1,INDEX(Vol_O,14,DG$14)/12*(1+P_dVol),0)</f>
        <v>0</v>
      </c>
      <c r="DH34" s="34" t="n">
        <f aca="false">IF(DH$15=1,INDEX(Vol_O,14,DH$14)/12*(1+P_dVol),0)</f>
        <v>0</v>
      </c>
      <c r="DI34" s="34" t="n">
        <f aca="false">IF(DI$15=1,INDEX(Vol_O,14,DI$14)/12*(1+P_dVol),0)</f>
        <v>0</v>
      </c>
      <c r="DJ34" s="34" t="n">
        <f aca="false">IF(DJ$15=1,INDEX(Vol_O,14,DJ$14)/12*(1+P_dVol),0)</f>
        <v>0</v>
      </c>
      <c r="DK34" s="34" t="n">
        <f aca="false">IF(DK$15=1,INDEX(Vol_O,14,DK$14)/12*(1+P_dVol),0)</f>
        <v>0</v>
      </c>
      <c r="DL34" s="34" t="n">
        <f aca="false">IF(DL$15=1,INDEX(Vol_O,14,DL$14)/12*(1+P_dVol),0)</f>
        <v>0</v>
      </c>
      <c r="DM34" s="34" t="n">
        <f aca="false">IF(DM$15=1,INDEX(Vol_O,14,DM$14)/12*(1+P_dVol),0)</f>
        <v>0</v>
      </c>
      <c r="DN34" s="34" t="n">
        <f aca="false">IF(DN$15=1,INDEX(Vol_O,14,DN$14)/12*(1+P_dVol),0)</f>
        <v>0</v>
      </c>
      <c r="DO34" s="34" t="n">
        <f aca="false">IF(DO$15=1,INDEX(Vol_O,14,DO$14)/12*(1+P_dVol),0)</f>
        <v>0</v>
      </c>
      <c r="DP34" s="34" t="n">
        <f aca="false">IF(DP$15=1,INDEX(Vol_O,14,DP$14)/12*(1+P_dVol),0)</f>
        <v>0</v>
      </c>
      <c r="DQ34" s="34" t="n">
        <f aca="false">IF(DQ$15=1,INDEX(Vol_O,14,DQ$14)/12*(1+P_dVol),0)</f>
        <v>0</v>
      </c>
      <c r="DR34" s="34" t="n">
        <f aca="false">IF(DR$15=1,INDEX(Vol_O,14,DR$14)/12*(1+P_dVol),0)</f>
        <v>0</v>
      </c>
      <c r="DS34" s="34" t="n">
        <f aca="false">IF(DS$15=1,INDEX(Vol_O,14,DS$14)/12*(1+P_dVol),0)</f>
        <v>0</v>
      </c>
      <c r="DT34" s="34" t="n">
        <f aca="false">IF(DT$15=1,INDEX(Vol_O,14,DT$14)/12*(1+P_dVol),0)</f>
        <v>0</v>
      </c>
      <c r="DU34" s="34" t="n">
        <f aca="false">IF(DU$15=1,INDEX(Vol_O,14,DU$14)/12*(1+P_dVol),0)</f>
        <v>0</v>
      </c>
      <c r="DV34" s="34" t="n">
        <f aca="false">IF(DV$15=1,INDEX(Vol_O,14,DV$14)/12*(1+P_dVol),0)</f>
        <v>0</v>
      </c>
      <c r="DW34" s="34" t="n">
        <f aca="false">IF(DW$15=1,INDEX(Vol_O,14,DW$14)/12*(1+P_dVol),0)</f>
        <v>0</v>
      </c>
      <c r="DX34" s="34" t="n">
        <f aca="false">IF(DX$15=1,INDEX(Vol_O,14,DX$14)/12*(1+P_dVol),0)</f>
        <v>0</v>
      </c>
      <c r="DY34" s="34" t="n">
        <f aca="false">IF(DY$15=1,INDEX(Vol_O,14,DY$14)/12*(1+P_dVol),0)</f>
        <v>0</v>
      </c>
      <c r="DZ34" s="34" t="n">
        <f aca="false">IF(DZ$15=1,INDEX(Vol_O,14,DZ$14)/12*(1+P_dVol),0)</f>
        <v>0</v>
      </c>
      <c r="EA34" s="34" t="n">
        <f aca="false">IF(EA$15=1,INDEX(Vol_O,14,EA$14)/12*(1+P_dVol),0)</f>
        <v>0</v>
      </c>
      <c r="EB34" s="34" t="n">
        <f aca="false">IF(EB$15=1,INDEX(Vol_O,14,EB$14)/12*(1+P_dVol),0)</f>
        <v>0</v>
      </c>
      <c r="EC34" s="34" t="n">
        <f aca="false">IF(EC$15=1,INDEX(Vol_O,14,EC$14)/12*(1+P_dVol),0)</f>
        <v>0</v>
      </c>
      <c r="ED34" s="34" t="n">
        <f aca="false">IF(ED$15=1,INDEX(Vol_O,14,ED$14)/12*(1+P_dVol),0)</f>
        <v>0</v>
      </c>
      <c r="EE34" s="34" t="n">
        <f aca="false">IF(EE$15=1,INDEX(Vol_O,14,EE$14)/12*(1+P_dVol),0)</f>
        <v>0</v>
      </c>
      <c r="EF34" s="34" t="n">
        <f aca="false">IF(EF$15=1,INDEX(Vol_O,14,EF$14)/12*(1+P_dVol),0)</f>
        <v>0</v>
      </c>
      <c r="EG34" s="34" t="n">
        <f aca="false">IF(EG$15=1,INDEX(Vol_O,14,EG$14)/12*(1+P_dVol),0)</f>
        <v>0</v>
      </c>
      <c r="EH34" s="34" t="n">
        <f aca="false">IF(EH$15=1,INDEX(Vol_O,14,EH$14)/12*(1+P_dVol),0)</f>
        <v>0</v>
      </c>
      <c r="EI34" s="34" t="n">
        <f aca="false">IF(EI$15=1,INDEX(Vol_O,14,EI$14)/12*(1+P_dVol),0)</f>
        <v>0</v>
      </c>
      <c r="EJ34" s="34" t="n">
        <f aca="false">IF(EJ$15=1,INDEX(Vol_O,14,EJ$14)/12*(1+P_dVol),0)</f>
        <v>0</v>
      </c>
      <c r="EK34" s="34" t="n">
        <f aca="false">IF(EK$15=1,INDEX(Vol_O,14,EK$14)/12*(1+P_dVol),0)</f>
        <v>0</v>
      </c>
      <c r="EL34" s="34" t="n">
        <f aca="false">IF(EL$15=1,INDEX(Vol_O,14,EL$14)/12*(1+P_dVol),0)</f>
        <v>0</v>
      </c>
      <c r="EM34" s="34" t="n">
        <f aca="false">IF(EM$15=1,INDEX(Vol_O,14,EM$14)/12*(1+P_dVol),0)</f>
        <v>0</v>
      </c>
      <c r="EN34" s="34" t="n">
        <f aca="false">IF(EN$15=1,INDEX(Vol_O,14,EN$14)/12*(1+P_dVol),0)</f>
        <v>0</v>
      </c>
      <c r="EO34" s="34" t="n">
        <f aca="false">IF(EO$15=1,INDEX(Vol_O,14,EO$14)/12*(1+P_dVol),0)</f>
        <v>0</v>
      </c>
      <c r="EP34" s="34" t="n">
        <f aca="false">IF(EP$15=1,INDEX(Vol_O,14,EP$14)/12*(1+P_dVol),0)</f>
        <v>0</v>
      </c>
      <c r="EQ34" s="34" t="n">
        <f aca="false">IF(EQ$15=1,INDEX(Vol_O,14,EQ$14)/12*(1+P_dVol),0)</f>
        <v>0</v>
      </c>
      <c r="ER34" s="34" t="n">
        <f aca="false">IF(ER$15=1,INDEX(Vol_O,14,ER$14)/12*(1+P_dVol),0)</f>
        <v>0</v>
      </c>
      <c r="ES34" s="34" t="n">
        <f aca="false">IF(ES$15=1,INDEX(Vol_O,14,ES$14)/12*(1+P_dVol),0)</f>
        <v>0</v>
      </c>
    </row>
    <row r="35" customFormat="false" ht="15" hidden="false" customHeight="false" outlineLevel="0" collapsed="false">
      <c r="A35" s="2" t="s">
        <v>598</v>
      </c>
      <c r="B35" s="39" t="str">
        <f aca="false">IF(INDEX(Prod_Nombre,15)="","Producto 15",INDEX(Prod_Nombre,15))&amp;" — unidades"</f>
        <v>Producto 15 — unidades</v>
      </c>
      <c r="C35" s="6" t="s">
        <v>286</v>
      </c>
      <c r="E35" s="40" t="n">
        <f aca="false">SUM(F35:ES35)</f>
        <v>0</v>
      </c>
      <c r="F35" s="34" t="n">
        <f aca="false">IF(F$15=1,INDEX(Vol_O,15,F$14)/12*(1+P_dVol),0)</f>
        <v>0</v>
      </c>
      <c r="G35" s="34" t="n">
        <f aca="false">IF(G$15=1,INDEX(Vol_O,15,G$14)/12*(1+P_dVol),0)</f>
        <v>0</v>
      </c>
      <c r="H35" s="34" t="n">
        <f aca="false">IF(H$15=1,INDEX(Vol_O,15,H$14)/12*(1+P_dVol),0)</f>
        <v>0</v>
      </c>
      <c r="I35" s="34" t="n">
        <f aca="false">IF(I$15=1,INDEX(Vol_O,15,I$14)/12*(1+P_dVol),0)</f>
        <v>0</v>
      </c>
      <c r="J35" s="34" t="n">
        <f aca="false">IF(J$15=1,INDEX(Vol_O,15,J$14)/12*(1+P_dVol),0)</f>
        <v>0</v>
      </c>
      <c r="K35" s="34" t="n">
        <f aca="false">IF(K$15=1,INDEX(Vol_O,15,K$14)/12*(1+P_dVol),0)</f>
        <v>0</v>
      </c>
      <c r="L35" s="34" t="n">
        <f aca="false">IF(L$15=1,INDEX(Vol_O,15,L$14)/12*(1+P_dVol),0)</f>
        <v>0</v>
      </c>
      <c r="M35" s="34" t="n">
        <f aca="false">IF(M$15=1,INDEX(Vol_O,15,M$14)/12*(1+P_dVol),0)</f>
        <v>0</v>
      </c>
      <c r="N35" s="34" t="n">
        <f aca="false">IF(N$15=1,INDEX(Vol_O,15,N$14)/12*(1+P_dVol),0)</f>
        <v>0</v>
      </c>
      <c r="O35" s="34" t="n">
        <f aca="false">IF(O$15=1,INDEX(Vol_O,15,O$14)/12*(1+P_dVol),0)</f>
        <v>0</v>
      </c>
      <c r="P35" s="34" t="n">
        <f aca="false">IF(P$15=1,INDEX(Vol_O,15,P$14)/12*(1+P_dVol),0)</f>
        <v>0</v>
      </c>
      <c r="Q35" s="34" t="n">
        <f aca="false">IF(Q$15=1,INDEX(Vol_O,15,Q$14)/12*(1+P_dVol),0)</f>
        <v>0</v>
      </c>
      <c r="R35" s="34" t="n">
        <f aca="false">IF(R$15=1,INDEX(Vol_O,15,R$14)/12*(1+P_dVol),0)</f>
        <v>0</v>
      </c>
      <c r="S35" s="34" t="n">
        <f aca="false">IF(S$15=1,INDEX(Vol_O,15,S$14)/12*(1+P_dVol),0)</f>
        <v>0</v>
      </c>
      <c r="T35" s="34" t="n">
        <f aca="false">IF(T$15=1,INDEX(Vol_O,15,T$14)/12*(1+P_dVol),0)</f>
        <v>0</v>
      </c>
      <c r="U35" s="34" t="n">
        <f aca="false">IF(U$15=1,INDEX(Vol_O,15,U$14)/12*(1+P_dVol),0)</f>
        <v>0</v>
      </c>
      <c r="V35" s="34" t="n">
        <f aca="false">IF(V$15=1,INDEX(Vol_O,15,V$14)/12*(1+P_dVol),0)</f>
        <v>0</v>
      </c>
      <c r="W35" s="34" t="n">
        <f aca="false">IF(W$15=1,INDEX(Vol_O,15,W$14)/12*(1+P_dVol),0)</f>
        <v>0</v>
      </c>
      <c r="X35" s="34" t="n">
        <f aca="false">IF(X$15=1,INDEX(Vol_O,15,X$14)/12*(1+P_dVol),0)</f>
        <v>0</v>
      </c>
      <c r="Y35" s="34" t="n">
        <f aca="false">IF(Y$15=1,INDEX(Vol_O,15,Y$14)/12*(1+P_dVol),0)</f>
        <v>0</v>
      </c>
      <c r="Z35" s="34" t="n">
        <f aca="false">IF(Z$15=1,INDEX(Vol_O,15,Z$14)/12*(1+P_dVol),0)</f>
        <v>0</v>
      </c>
      <c r="AA35" s="34" t="n">
        <f aca="false">IF(AA$15=1,INDEX(Vol_O,15,AA$14)/12*(1+P_dVol),0)</f>
        <v>0</v>
      </c>
      <c r="AB35" s="34" t="n">
        <f aca="false">IF(AB$15=1,INDEX(Vol_O,15,AB$14)/12*(1+P_dVol),0)</f>
        <v>0</v>
      </c>
      <c r="AC35" s="34" t="n">
        <f aca="false">IF(AC$15=1,INDEX(Vol_O,15,AC$14)/12*(1+P_dVol),0)</f>
        <v>0</v>
      </c>
      <c r="AD35" s="34" t="n">
        <f aca="false">IF(AD$15=1,INDEX(Vol_O,15,AD$14)/12*(1+P_dVol),0)</f>
        <v>0</v>
      </c>
      <c r="AE35" s="34" t="n">
        <f aca="false">IF(AE$15=1,INDEX(Vol_O,15,AE$14)/12*(1+P_dVol),0)</f>
        <v>0</v>
      </c>
      <c r="AF35" s="34" t="n">
        <f aca="false">IF(AF$15=1,INDEX(Vol_O,15,AF$14)/12*(1+P_dVol),0)</f>
        <v>0</v>
      </c>
      <c r="AG35" s="34" t="n">
        <f aca="false">IF(AG$15=1,INDEX(Vol_O,15,AG$14)/12*(1+P_dVol),0)</f>
        <v>0</v>
      </c>
      <c r="AH35" s="34" t="n">
        <f aca="false">IF(AH$15=1,INDEX(Vol_O,15,AH$14)/12*(1+P_dVol),0)</f>
        <v>0</v>
      </c>
      <c r="AI35" s="34" t="n">
        <f aca="false">IF(AI$15=1,INDEX(Vol_O,15,AI$14)/12*(1+P_dVol),0)</f>
        <v>0</v>
      </c>
      <c r="AJ35" s="34" t="n">
        <f aca="false">IF(AJ$15=1,INDEX(Vol_O,15,AJ$14)/12*(1+P_dVol),0)</f>
        <v>0</v>
      </c>
      <c r="AK35" s="34" t="n">
        <f aca="false">IF(AK$15=1,INDEX(Vol_O,15,AK$14)/12*(1+P_dVol),0)</f>
        <v>0</v>
      </c>
      <c r="AL35" s="34" t="n">
        <f aca="false">IF(AL$15=1,INDEX(Vol_O,15,AL$14)/12*(1+P_dVol),0)</f>
        <v>0</v>
      </c>
      <c r="AM35" s="34" t="n">
        <f aca="false">IF(AM$15=1,INDEX(Vol_O,15,AM$14)/12*(1+P_dVol),0)</f>
        <v>0</v>
      </c>
      <c r="AN35" s="34" t="n">
        <f aca="false">IF(AN$15=1,INDEX(Vol_O,15,AN$14)/12*(1+P_dVol),0)</f>
        <v>0</v>
      </c>
      <c r="AO35" s="34" t="n">
        <f aca="false">IF(AO$15=1,INDEX(Vol_O,15,AO$14)/12*(1+P_dVol),0)</f>
        <v>0</v>
      </c>
      <c r="AP35" s="34" t="n">
        <f aca="false">IF(AP$15=1,INDEX(Vol_O,15,AP$14)/12*(1+P_dVol),0)</f>
        <v>0</v>
      </c>
      <c r="AQ35" s="34" t="n">
        <f aca="false">IF(AQ$15=1,INDEX(Vol_O,15,AQ$14)/12*(1+P_dVol),0)</f>
        <v>0</v>
      </c>
      <c r="AR35" s="34" t="n">
        <f aca="false">IF(AR$15=1,INDEX(Vol_O,15,AR$14)/12*(1+P_dVol),0)</f>
        <v>0</v>
      </c>
      <c r="AS35" s="34" t="n">
        <f aca="false">IF(AS$15=1,INDEX(Vol_O,15,AS$14)/12*(1+P_dVol),0)</f>
        <v>0</v>
      </c>
      <c r="AT35" s="34" t="n">
        <f aca="false">IF(AT$15=1,INDEX(Vol_O,15,AT$14)/12*(1+P_dVol),0)</f>
        <v>0</v>
      </c>
      <c r="AU35" s="34" t="n">
        <f aca="false">IF(AU$15=1,INDEX(Vol_O,15,AU$14)/12*(1+P_dVol),0)</f>
        <v>0</v>
      </c>
      <c r="AV35" s="34" t="n">
        <f aca="false">IF(AV$15=1,INDEX(Vol_O,15,AV$14)/12*(1+P_dVol),0)</f>
        <v>0</v>
      </c>
      <c r="AW35" s="34" t="n">
        <f aca="false">IF(AW$15=1,INDEX(Vol_O,15,AW$14)/12*(1+P_dVol),0)</f>
        <v>0</v>
      </c>
      <c r="AX35" s="34" t="n">
        <f aca="false">IF(AX$15=1,INDEX(Vol_O,15,AX$14)/12*(1+P_dVol),0)</f>
        <v>0</v>
      </c>
      <c r="AY35" s="34" t="n">
        <f aca="false">IF(AY$15=1,INDEX(Vol_O,15,AY$14)/12*(1+P_dVol),0)</f>
        <v>0</v>
      </c>
      <c r="AZ35" s="34" t="n">
        <f aca="false">IF(AZ$15=1,INDEX(Vol_O,15,AZ$14)/12*(1+P_dVol),0)</f>
        <v>0</v>
      </c>
      <c r="BA35" s="34" t="n">
        <f aca="false">IF(BA$15=1,INDEX(Vol_O,15,BA$14)/12*(1+P_dVol),0)</f>
        <v>0</v>
      </c>
      <c r="BB35" s="34" t="n">
        <f aca="false">IF(BB$15=1,INDEX(Vol_O,15,BB$14)/12*(1+P_dVol),0)</f>
        <v>0</v>
      </c>
      <c r="BC35" s="34" t="n">
        <f aca="false">IF(BC$15=1,INDEX(Vol_O,15,BC$14)/12*(1+P_dVol),0)</f>
        <v>0</v>
      </c>
      <c r="BD35" s="34" t="n">
        <f aca="false">IF(BD$15=1,INDEX(Vol_O,15,BD$14)/12*(1+P_dVol),0)</f>
        <v>0</v>
      </c>
      <c r="BE35" s="34" t="n">
        <f aca="false">IF(BE$15=1,INDEX(Vol_O,15,BE$14)/12*(1+P_dVol),0)</f>
        <v>0</v>
      </c>
      <c r="BF35" s="34" t="n">
        <f aca="false">IF(BF$15=1,INDEX(Vol_O,15,BF$14)/12*(1+P_dVol),0)</f>
        <v>0</v>
      </c>
      <c r="BG35" s="34" t="n">
        <f aca="false">IF(BG$15=1,INDEX(Vol_O,15,BG$14)/12*(1+P_dVol),0)</f>
        <v>0</v>
      </c>
      <c r="BH35" s="34" t="n">
        <f aca="false">IF(BH$15=1,INDEX(Vol_O,15,BH$14)/12*(1+P_dVol),0)</f>
        <v>0</v>
      </c>
      <c r="BI35" s="34" t="n">
        <f aca="false">IF(BI$15=1,INDEX(Vol_O,15,BI$14)/12*(1+P_dVol),0)</f>
        <v>0</v>
      </c>
      <c r="BJ35" s="34" t="n">
        <f aca="false">IF(BJ$15=1,INDEX(Vol_O,15,BJ$14)/12*(1+P_dVol),0)</f>
        <v>0</v>
      </c>
      <c r="BK35" s="34" t="n">
        <f aca="false">IF(BK$15=1,INDEX(Vol_O,15,BK$14)/12*(1+P_dVol),0)</f>
        <v>0</v>
      </c>
      <c r="BL35" s="34" t="n">
        <f aca="false">IF(BL$15=1,INDEX(Vol_O,15,BL$14)/12*(1+P_dVol),0)</f>
        <v>0</v>
      </c>
      <c r="BM35" s="34" t="n">
        <f aca="false">IF(BM$15=1,INDEX(Vol_O,15,BM$14)/12*(1+P_dVol),0)</f>
        <v>0</v>
      </c>
      <c r="BN35" s="34" t="n">
        <f aca="false">IF(BN$15=1,INDEX(Vol_O,15,BN$14)/12*(1+P_dVol),0)</f>
        <v>0</v>
      </c>
      <c r="BO35" s="34" t="n">
        <f aca="false">IF(BO$15=1,INDEX(Vol_O,15,BO$14)/12*(1+P_dVol),0)</f>
        <v>0</v>
      </c>
      <c r="BP35" s="34" t="n">
        <f aca="false">IF(BP$15=1,INDEX(Vol_O,15,BP$14)/12*(1+P_dVol),0)</f>
        <v>0</v>
      </c>
      <c r="BQ35" s="34" t="n">
        <f aca="false">IF(BQ$15=1,INDEX(Vol_O,15,BQ$14)/12*(1+P_dVol),0)</f>
        <v>0</v>
      </c>
      <c r="BR35" s="34" t="n">
        <f aca="false">IF(BR$15=1,INDEX(Vol_O,15,BR$14)/12*(1+P_dVol),0)</f>
        <v>0</v>
      </c>
      <c r="BS35" s="34" t="n">
        <f aca="false">IF(BS$15=1,INDEX(Vol_O,15,BS$14)/12*(1+P_dVol),0)</f>
        <v>0</v>
      </c>
      <c r="BT35" s="34" t="n">
        <f aca="false">IF(BT$15=1,INDEX(Vol_O,15,BT$14)/12*(1+P_dVol),0)</f>
        <v>0</v>
      </c>
      <c r="BU35" s="34" t="n">
        <f aca="false">IF(BU$15=1,INDEX(Vol_O,15,BU$14)/12*(1+P_dVol),0)</f>
        <v>0</v>
      </c>
      <c r="BV35" s="34" t="n">
        <f aca="false">IF(BV$15=1,INDEX(Vol_O,15,BV$14)/12*(1+P_dVol),0)</f>
        <v>0</v>
      </c>
      <c r="BW35" s="34" t="n">
        <f aca="false">IF(BW$15=1,INDEX(Vol_O,15,BW$14)/12*(1+P_dVol),0)</f>
        <v>0</v>
      </c>
      <c r="BX35" s="34" t="n">
        <f aca="false">IF(BX$15=1,INDEX(Vol_O,15,BX$14)/12*(1+P_dVol),0)</f>
        <v>0</v>
      </c>
      <c r="BY35" s="34" t="n">
        <f aca="false">IF(BY$15=1,INDEX(Vol_O,15,BY$14)/12*(1+P_dVol),0)</f>
        <v>0</v>
      </c>
      <c r="BZ35" s="34" t="n">
        <f aca="false">IF(BZ$15=1,INDEX(Vol_O,15,BZ$14)/12*(1+P_dVol),0)</f>
        <v>0</v>
      </c>
      <c r="CA35" s="34" t="n">
        <f aca="false">IF(CA$15=1,INDEX(Vol_O,15,CA$14)/12*(1+P_dVol),0)</f>
        <v>0</v>
      </c>
      <c r="CB35" s="34" t="n">
        <f aca="false">IF(CB$15=1,INDEX(Vol_O,15,CB$14)/12*(1+P_dVol),0)</f>
        <v>0</v>
      </c>
      <c r="CC35" s="34" t="n">
        <f aca="false">IF(CC$15=1,INDEX(Vol_O,15,CC$14)/12*(1+P_dVol),0)</f>
        <v>0</v>
      </c>
      <c r="CD35" s="34" t="n">
        <f aca="false">IF(CD$15=1,INDEX(Vol_O,15,CD$14)/12*(1+P_dVol),0)</f>
        <v>0</v>
      </c>
      <c r="CE35" s="34" t="n">
        <f aca="false">IF(CE$15=1,INDEX(Vol_O,15,CE$14)/12*(1+P_dVol),0)</f>
        <v>0</v>
      </c>
      <c r="CF35" s="34" t="n">
        <f aca="false">IF(CF$15=1,INDEX(Vol_O,15,CF$14)/12*(1+P_dVol),0)</f>
        <v>0</v>
      </c>
      <c r="CG35" s="34" t="n">
        <f aca="false">IF(CG$15=1,INDEX(Vol_O,15,CG$14)/12*(1+P_dVol),0)</f>
        <v>0</v>
      </c>
      <c r="CH35" s="34" t="n">
        <f aca="false">IF(CH$15=1,INDEX(Vol_O,15,CH$14)/12*(1+P_dVol),0)</f>
        <v>0</v>
      </c>
      <c r="CI35" s="34" t="n">
        <f aca="false">IF(CI$15=1,INDEX(Vol_O,15,CI$14)/12*(1+P_dVol),0)</f>
        <v>0</v>
      </c>
      <c r="CJ35" s="34" t="n">
        <f aca="false">IF(CJ$15=1,INDEX(Vol_O,15,CJ$14)/12*(1+P_dVol),0)</f>
        <v>0</v>
      </c>
      <c r="CK35" s="34" t="n">
        <f aca="false">IF(CK$15=1,INDEX(Vol_O,15,CK$14)/12*(1+P_dVol),0)</f>
        <v>0</v>
      </c>
      <c r="CL35" s="34" t="n">
        <f aca="false">IF(CL$15=1,INDEX(Vol_O,15,CL$14)/12*(1+P_dVol),0)</f>
        <v>0</v>
      </c>
      <c r="CM35" s="34" t="n">
        <f aca="false">IF(CM$15=1,INDEX(Vol_O,15,CM$14)/12*(1+P_dVol),0)</f>
        <v>0</v>
      </c>
      <c r="CN35" s="34" t="n">
        <f aca="false">IF(CN$15=1,INDEX(Vol_O,15,CN$14)/12*(1+P_dVol),0)</f>
        <v>0</v>
      </c>
      <c r="CO35" s="34" t="n">
        <f aca="false">IF(CO$15=1,INDEX(Vol_O,15,CO$14)/12*(1+P_dVol),0)</f>
        <v>0</v>
      </c>
      <c r="CP35" s="34" t="n">
        <f aca="false">IF(CP$15=1,INDEX(Vol_O,15,CP$14)/12*(1+P_dVol),0)</f>
        <v>0</v>
      </c>
      <c r="CQ35" s="34" t="n">
        <f aca="false">IF(CQ$15=1,INDEX(Vol_O,15,CQ$14)/12*(1+P_dVol),0)</f>
        <v>0</v>
      </c>
      <c r="CR35" s="34" t="n">
        <f aca="false">IF(CR$15=1,INDEX(Vol_O,15,CR$14)/12*(1+P_dVol),0)</f>
        <v>0</v>
      </c>
      <c r="CS35" s="34" t="n">
        <f aca="false">IF(CS$15=1,INDEX(Vol_O,15,CS$14)/12*(1+P_dVol),0)</f>
        <v>0</v>
      </c>
      <c r="CT35" s="34" t="n">
        <f aca="false">IF(CT$15=1,INDEX(Vol_O,15,CT$14)/12*(1+P_dVol),0)</f>
        <v>0</v>
      </c>
      <c r="CU35" s="34" t="n">
        <f aca="false">IF(CU$15=1,INDEX(Vol_O,15,CU$14)/12*(1+P_dVol),0)</f>
        <v>0</v>
      </c>
      <c r="CV35" s="34" t="n">
        <f aca="false">IF(CV$15=1,INDEX(Vol_O,15,CV$14)/12*(1+P_dVol),0)</f>
        <v>0</v>
      </c>
      <c r="CW35" s="34" t="n">
        <f aca="false">IF(CW$15=1,INDEX(Vol_O,15,CW$14)/12*(1+P_dVol),0)</f>
        <v>0</v>
      </c>
      <c r="CX35" s="34" t="n">
        <f aca="false">IF(CX$15=1,INDEX(Vol_O,15,CX$14)/12*(1+P_dVol),0)</f>
        <v>0</v>
      </c>
      <c r="CY35" s="34" t="n">
        <f aca="false">IF(CY$15=1,INDEX(Vol_O,15,CY$14)/12*(1+P_dVol),0)</f>
        <v>0</v>
      </c>
      <c r="CZ35" s="34" t="n">
        <f aca="false">IF(CZ$15=1,INDEX(Vol_O,15,CZ$14)/12*(1+P_dVol),0)</f>
        <v>0</v>
      </c>
      <c r="DA35" s="34" t="n">
        <f aca="false">IF(DA$15=1,INDEX(Vol_O,15,DA$14)/12*(1+P_dVol),0)</f>
        <v>0</v>
      </c>
      <c r="DB35" s="34" t="n">
        <f aca="false">IF(DB$15=1,INDEX(Vol_O,15,DB$14)/12*(1+P_dVol),0)</f>
        <v>0</v>
      </c>
      <c r="DC35" s="34" t="n">
        <f aca="false">IF(DC$15=1,INDEX(Vol_O,15,DC$14)/12*(1+P_dVol),0)</f>
        <v>0</v>
      </c>
      <c r="DD35" s="34" t="n">
        <f aca="false">IF(DD$15=1,INDEX(Vol_O,15,DD$14)/12*(1+P_dVol),0)</f>
        <v>0</v>
      </c>
      <c r="DE35" s="34" t="n">
        <f aca="false">IF(DE$15=1,INDEX(Vol_O,15,DE$14)/12*(1+P_dVol),0)</f>
        <v>0</v>
      </c>
      <c r="DF35" s="34" t="n">
        <f aca="false">IF(DF$15=1,INDEX(Vol_O,15,DF$14)/12*(1+P_dVol),0)</f>
        <v>0</v>
      </c>
      <c r="DG35" s="34" t="n">
        <f aca="false">IF(DG$15=1,INDEX(Vol_O,15,DG$14)/12*(1+P_dVol),0)</f>
        <v>0</v>
      </c>
      <c r="DH35" s="34" t="n">
        <f aca="false">IF(DH$15=1,INDEX(Vol_O,15,DH$14)/12*(1+P_dVol),0)</f>
        <v>0</v>
      </c>
      <c r="DI35" s="34" t="n">
        <f aca="false">IF(DI$15=1,INDEX(Vol_O,15,DI$14)/12*(1+P_dVol),0)</f>
        <v>0</v>
      </c>
      <c r="DJ35" s="34" t="n">
        <f aca="false">IF(DJ$15=1,INDEX(Vol_O,15,DJ$14)/12*(1+P_dVol),0)</f>
        <v>0</v>
      </c>
      <c r="DK35" s="34" t="n">
        <f aca="false">IF(DK$15=1,INDEX(Vol_O,15,DK$14)/12*(1+P_dVol),0)</f>
        <v>0</v>
      </c>
      <c r="DL35" s="34" t="n">
        <f aca="false">IF(DL$15=1,INDEX(Vol_O,15,DL$14)/12*(1+P_dVol),0)</f>
        <v>0</v>
      </c>
      <c r="DM35" s="34" t="n">
        <f aca="false">IF(DM$15=1,INDEX(Vol_O,15,DM$14)/12*(1+P_dVol),0)</f>
        <v>0</v>
      </c>
      <c r="DN35" s="34" t="n">
        <f aca="false">IF(DN$15=1,INDEX(Vol_O,15,DN$14)/12*(1+P_dVol),0)</f>
        <v>0</v>
      </c>
      <c r="DO35" s="34" t="n">
        <f aca="false">IF(DO$15=1,INDEX(Vol_O,15,DO$14)/12*(1+P_dVol),0)</f>
        <v>0</v>
      </c>
      <c r="DP35" s="34" t="n">
        <f aca="false">IF(DP$15=1,INDEX(Vol_O,15,DP$14)/12*(1+P_dVol),0)</f>
        <v>0</v>
      </c>
      <c r="DQ35" s="34" t="n">
        <f aca="false">IF(DQ$15=1,INDEX(Vol_O,15,DQ$14)/12*(1+P_dVol),0)</f>
        <v>0</v>
      </c>
      <c r="DR35" s="34" t="n">
        <f aca="false">IF(DR$15=1,INDEX(Vol_O,15,DR$14)/12*(1+P_dVol),0)</f>
        <v>0</v>
      </c>
      <c r="DS35" s="34" t="n">
        <f aca="false">IF(DS$15=1,INDEX(Vol_O,15,DS$14)/12*(1+P_dVol),0)</f>
        <v>0</v>
      </c>
      <c r="DT35" s="34" t="n">
        <f aca="false">IF(DT$15=1,INDEX(Vol_O,15,DT$14)/12*(1+P_dVol),0)</f>
        <v>0</v>
      </c>
      <c r="DU35" s="34" t="n">
        <f aca="false">IF(DU$15=1,INDEX(Vol_O,15,DU$14)/12*(1+P_dVol),0)</f>
        <v>0</v>
      </c>
      <c r="DV35" s="34" t="n">
        <f aca="false">IF(DV$15=1,INDEX(Vol_O,15,DV$14)/12*(1+P_dVol),0)</f>
        <v>0</v>
      </c>
      <c r="DW35" s="34" t="n">
        <f aca="false">IF(DW$15=1,INDEX(Vol_O,15,DW$14)/12*(1+P_dVol),0)</f>
        <v>0</v>
      </c>
      <c r="DX35" s="34" t="n">
        <f aca="false">IF(DX$15=1,INDEX(Vol_O,15,DX$14)/12*(1+P_dVol),0)</f>
        <v>0</v>
      </c>
      <c r="DY35" s="34" t="n">
        <f aca="false">IF(DY$15=1,INDEX(Vol_O,15,DY$14)/12*(1+P_dVol),0)</f>
        <v>0</v>
      </c>
      <c r="DZ35" s="34" t="n">
        <f aca="false">IF(DZ$15=1,INDEX(Vol_O,15,DZ$14)/12*(1+P_dVol),0)</f>
        <v>0</v>
      </c>
      <c r="EA35" s="34" t="n">
        <f aca="false">IF(EA$15=1,INDEX(Vol_O,15,EA$14)/12*(1+P_dVol),0)</f>
        <v>0</v>
      </c>
      <c r="EB35" s="34" t="n">
        <f aca="false">IF(EB$15=1,INDEX(Vol_O,15,EB$14)/12*(1+P_dVol),0)</f>
        <v>0</v>
      </c>
      <c r="EC35" s="34" t="n">
        <f aca="false">IF(EC$15=1,INDEX(Vol_O,15,EC$14)/12*(1+P_dVol),0)</f>
        <v>0</v>
      </c>
      <c r="ED35" s="34" t="n">
        <f aca="false">IF(ED$15=1,INDEX(Vol_O,15,ED$14)/12*(1+P_dVol),0)</f>
        <v>0</v>
      </c>
      <c r="EE35" s="34" t="n">
        <f aca="false">IF(EE$15=1,INDEX(Vol_O,15,EE$14)/12*(1+P_dVol),0)</f>
        <v>0</v>
      </c>
      <c r="EF35" s="34" t="n">
        <f aca="false">IF(EF$15=1,INDEX(Vol_O,15,EF$14)/12*(1+P_dVol),0)</f>
        <v>0</v>
      </c>
      <c r="EG35" s="34" t="n">
        <f aca="false">IF(EG$15=1,INDEX(Vol_O,15,EG$14)/12*(1+P_dVol),0)</f>
        <v>0</v>
      </c>
      <c r="EH35" s="34" t="n">
        <f aca="false">IF(EH$15=1,INDEX(Vol_O,15,EH$14)/12*(1+P_dVol),0)</f>
        <v>0</v>
      </c>
      <c r="EI35" s="34" t="n">
        <f aca="false">IF(EI$15=1,INDEX(Vol_O,15,EI$14)/12*(1+P_dVol),0)</f>
        <v>0</v>
      </c>
      <c r="EJ35" s="34" t="n">
        <f aca="false">IF(EJ$15=1,INDEX(Vol_O,15,EJ$14)/12*(1+P_dVol),0)</f>
        <v>0</v>
      </c>
      <c r="EK35" s="34" t="n">
        <f aca="false">IF(EK$15=1,INDEX(Vol_O,15,EK$14)/12*(1+P_dVol),0)</f>
        <v>0</v>
      </c>
      <c r="EL35" s="34" t="n">
        <f aca="false">IF(EL$15=1,INDEX(Vol_O,15,EL$14)/12*(1+P_dVol),0)</f>
        <v>0</v>
      </c>
      <c r="EM35" s="34" t="n">
        <f aca="false">IF(EM$15=1,INDEX(Vol_O,15,EM$14)/12*(1+P_dVol),0)</f>
        <v>0</v>
      </c>
      <c r="EN35" s="34" t="n">
        <f aca="false">IF(EN$15=1,INDEX(Vol_O,15,EN$14)/12*(1+P_dVol),0)</f>
        <v>0</v>
      </c>
      <c r="EO35" s="34" t="n">
        <f aca="false">IF(EO$15=1,INDEX(Vol_O,15,EO$14)/12*(1+P_dVol),0)</f>
        <v>0</v>
      </c>
      <c r="EP35" s="34" t="n">
        <f aca="false">IF(EP$15=1,INDEX(Vol_O,15,EP$14)/12*(1+P_dVol),0)</f>
        <v>0</v>
      </c>
      <c r="EQ35" s="34" t="n">
        <f aca="false">IF(EQ$15=1,INDEX(Vol_O,15,EQ$14)/12*(1+P_dVol),0)</f>
        <v>0</v>
      </c>
      <c r="ER35" s="34" t="n">
        <f aca="false">IF(ER$15=1,INDEX(Vol_O,15,ER$14)/12*(1+P_dVol),0)</f>
        <v>0</v>
      </c>
      <c r="ES35" s="34" t="n">
        <f aca="false">IF(ES$15=1,INDEX(Vol_O,15,ES$14)/12*(1+P_dVol),0)</f>
        <v>0</v>
      </c>
    </row>
    <row r="36" customFormat="false" ht="15" hidden="false" customHeight="false" outlineLevel="0" collapsed="false">
      <c r="A36" s="2" t="s">
        <v>599</v>
      </c>
      <c r="B36" s="39" t="str">
        <f aca="false">IF(INDEX(Prod_Nombre,16)="","Producto 16",INDEX(Prod_Nombre,16))&amp;" — unidades"</f>
        <v>Producto 16 — unidades</v>
      </c>
      <c r="C36" s="6" t="s">
        <v>286</v>
      </c>
      <c r="E36" s="40" t="n">
        <f aca="false">SUM(F36:ES36)</f>
        <v>0</v>
      </c>
      <c r="F36" s="34" t="n">
        <f aca="false">IF(F$15=1,INDEX(Vol_O,16,F$14)/12*(1+P_dVol),0)</f>
        <v>0</v>
      </c>
      <c r="G36" s="34" t="n">
        <f aca="false">IF(G$15=1,INDEX(Vol_O,16,G$14)/12*(1+P_dVol),0)</f>
        <v>0</v>
      </c>
      <c r="H36" s="34" t="n">
        <f aca="false">IF(H$15=1,INDEX(Vol_O,16,H$14)/12*(1+P_dVol),0)</f>
        <v>0</v>
      </c>
      <c r="I36" s="34" t="n">
        <f aca="false">IF(I$15=1,INDEX(Vol_O,16,I$14)/12*(1+P_dVol),0)</f>
        <v>0</v>
      </c>
      <c r="J36" s="34" t="n">
        <f aca="false">IF(J$15=1,INDEX(Vol_O,16,J$14)/12*(1+P_dVol),0)</f>
        <v>0</v>
      </c>
      <c r="K36" s="34" t="n">
        <f aca="false">IF(K$15=1,INDEX(Vol_O,16,K$14)/12*(1+P_dVol),0)</f>
        <v>0</v>
      </c>
      <c r="L36" s="34" t="n">
        <f aca="false">IF(L$15=1,INDEX(Vol_O,16,L$14)/12*(1+P_dVol),0)</f>
        <v>0</v>
      </c>
      <c r="M36" s="34" t="n">
        <f aca="false">IF(M$15=1,INDEX(Vol_O,16,M$14)/12*(1+P_dVol),0)</f>
        <v>0</v>
      </c>
      <c r="N36" s="34" t="n">
        <f aca="false">IF(N$15=1,INDEX(Vol_O,16,N$14)/12*(1+P_dVol),0)</f>
        <v>0</v>
      </c>
      <c r="O36" s="34" t="n">
        <f aca="false">IF(O$15=1,INDEX(Vol_O,16,O$14)/12*(1+P_dVol),0)</f>
        <v>0</v>
      </c>
      <c r="P36" s="34" t="n">
        <f aca="false">IF(P$15=1,INDEX(Vol_O,16,P$14)/12*(1+P_dVol),0)</f>
        <v>0</v>
      </c>
      <c r="Q36" s="34" t="n">
        <f aca="false">IF(Q$15=1,INDEX(Vol_O,16,Q$14)/12*(1+P_dVol),0)</f>
        <v>0</v>
      </c>
      <c r="R36" s="34" t="n">
        <f aca="false">IF(R$15=1,INDEX(Vol_O,16,R$14)/12*(1+P_dVol),0)</f>
        <v>0</v>
      </c>
      <c r="S36" s="34" t="n">
        <f aca="false">IF(S$15=1,INDEX(Vol_O,16,S$14)/12*(1+P_dVol),0)</f>
        <v>0</v>
      </c>
      <c r="T36" s="34" t="n">
        <f aca="false">IF(T$15=1,INDEX(Vol_O,16,T$14)/12*(1+P_dVol),0)</f>
        <v>0</v>
      </c>
      <c r="U36" s="34" t="n">
        <f aca="false">IF(U$15=1,INDEX(Vol_O,16,U$14)/12*(1+P_dVol),0)</f>
        <v>0</v>
      </c>
      <c r="V36" s="34" t="n">
        <f aca="false">IF(V$15=1,INDEX(Vol_O,16,V$14)/12*(1+P_dVol),0)</f>
        <v>0</v>
      </c>
      <c r="W36" s="34" t="n">
        <f aca="false">IF(W$15=1,INDEX(Vol_O,16,W$14)/12*(1+P_dVol),0)</f>
        <v>0</v>
      </c>
      <c r="X36" s="34" t="n">
        <f aca="false">IF(X$15=1,INDEX(Vol_O,16,X$14)/12*(1+P_dVol),0)</f>
        <v>0</v>
      </c>
      <c r="Y36" s="34" t="n">
        <f aca="false">IF(Y$15=1,INDEX(Vol_O,16,Y$14)/12*(1+P_dVol),0)</f>
        <v>0</v>
      </c>
      <c r="Z36" s="34" t="n">
        <f aca="false">IF(Z$15=1,INDEX(Vol_O,16,Z$14)/12*(1+P_dVol),0)</f>
        <v>0</v>
      </c>
      <c r="AA36" s="34" t="n">
        <f aca="false">IF(AA$15=1,INDEX(Vol_O,16,AA$14)/12*(1+P_dVol),0)</f>
        <v>0</v>
      </c>
      <c r="AB36" s="34" t="n">
        <f aca="false">IF(AB$15=1,INDEX(Vol_O,16,AB$14)/12*(1+P_dVol),0)</f>
        <v>0</v>
      </c>
      <c r="AC36" s="34" t="n">
        <f aca="false">IF(AC$15=1,INDEX(Vol_O,16,AC$14)/12*(1+P_dVol),0)</f>
        <v>0</v>
      </c>
      <c r="AD36" s="34" t="n">
        <f aca="false">IF(AD$15=1,INDEX(Vol_O,16,AD$14)/12*(1+P_dVol),0)</f>
        <v>0</v>
      </c>
      <c r="AE36" s="34" t="n">
        <f aca="false">IF(AE$15=1,INDEX(Vol_O,16,AE$14)/12*(1+P_dVol),0)</f>
        <v>0</v>
      </c>
      <c r="AF36" s="34" t="n">
        <f aca="false">IF(AF$15=1,INDEX(Vol_O,16,AF$14)/12*(1+P_dVol),0)</f>
        <v>0</v>
      </c>
      <c r="AG36" s="34" t="n">
        <f aca="false">IF(AG$15=1,INDEX(Vol_O,16,AG$14)/12*(1+P_dVol),0)</f>
        <v>0</v>
      </c>
      <c r="AH36" s="34" t="n">
        <f aca="false">IF(AH$15=1,INDEX(Vol_O,16,AH$14)/12*(1+P_dVol),0)</f>
        <v>0</v>
      </c>
      <c r="AI36" s="34" t="n">
        <f aca="false">IF(AI$15=1,INDEX(Vol_O,16,AI$14)/12*(1+P_dVol),0)</f>
        <v>0</v>
      </c>
      <c r="AJ36" s="34" t="n">
        <f aca="false">IF(AJ$15=1,INDEX(Vol_O,16,AJ$14)/12*(1+P_dVol),0)</f>
        <v>0</v>
      </c>
      <c r="AK36" s="34" t="n">
        <f aca="false">IF(AK$15=1,INDEX(Vol_O,16,AK$14)/12*(1+P_dVol),0)</f>
        <v>0</v>
      </c>
      <c r="AL36" s="34" t="n">
        <f aca="false">IF(AL$15=1,INDEX(Vol_O,16,AL$14)/12*(1+P_dVol),0)</f>
        <v>0</v>
      </c>
      <c r="AM36" s="34" t="n">
        <f aca="false">IF(AM$15=1,INDEX(Vol_O,16,AM$14)/12*(1+P_dVol),0)</f>
        <v>0</v>
      </c>
      <c r="AN36" s="34" t="n">
        <f aca="false">IF(AN$15=1,INDEX(Vol_O,16,AN$14)/12*(1+P_dVol),0)</f>
        <v>0</v>
      </c>
      <c r="AO36" s="34" t="n">
        <f aca="false">IF(AO$15=1,INDEX(Vol_O,16,AO$14)/12*(1+P_dVol),0)</f>
        <v>0</v>
      </c>
      <c r="AP36" s="34" t="n">
        <f aca="false">IF(AP$15=1,INDEX(Vol_O,16,AP$14)/12*(1+P_dVol),0)</f>
        <v>0</v>
      </c>
      <c r="AQ36" s="34" t="n">
        <f aca="false">IF(AQ$15=1,INDEX(Vol_O,16,AQ$14)/12*(1+P_dVol),0)</f>
        <v>0</v>
      </c>
      <c r="AR36" s="34" t="n">
        <f aca="false">IF(AR$15=1,INDEX(Vol_O,16,AR$14)/12*(1+P_dVol),0)</f>
        <v>0</v>
      </c>
      <c r="AS36" s="34" t="n">
        <f aca="false">IF(AS$15=1,INDEX(Vol_O,16,AS$14)/12*(1+P_dVol),0)</f>
        <v>0</v>
      </c>
      <c r="AT36" s="34" t="n">
        <f aca="false">IF(AT$15=1,INDEX(Vol_O,16,AT$14)/12*(1+P_dVol),0)</f>
        <v>0</v>
      </c>
      <c r="AU36" s="34" t="n">
        <f aca="false">IF(AU$15=1,INDEX(Vol_O,16,AU$14)/12*(1+P_dVol),0)</f>
        <v>0</v>
      </c>
      <c r="AV36" s="34" t="n">
        <f aca="false">IF(AV$15=1,INDEX(Vol_O,16,AV$14)/12*(1+P_dVol),0)</f>
        <v>0</v>
      </c>
      <c r="AW36" s="34" t="n">
        <f aca="false">IF(AW$15=1,INDEX(Vol_O,16,AW$14)/12*(1+P_dVol),0)</f>
        <v>0</v>
      </c>
      <c r="AX36" s="34" t="n">
        <f aca="false">IF(AX$15=1,INDEX(Vol_O,16,AX$14)/12*(1+P_dVol),0)</f>
        <v>0</v>
      </c>
      <c r="AY36" s="34" t="n">
        <f aca="false">IF(AY$15=1,INDEX(Vol_O,16,AY$14)/12*(1+P_dVol),0)</f>
        <v>0</v>
      </c>
      <c r="AZ36" s="34" t="n">
        <f aca="false">IF(AZ$15=1,INDEX(Vol_O,16,AZ$14)/12*(1+P_dVol),0)</f>
        <v>0</v>
      </c>
      <c r="BA36" s="34" t="n">
        <f aca="false">IF(BA$15=1,INDEX(Vol_O,16,BA$14)/12*(1+P_dVol),0)</f>
        <v>0</v>
      </c>
      <c r="BB36" s="34" t="n">
        <f aca="false">IF(BB$15=1,INDEX(Vol_O,16,BB$14)/12*(1+P_dVol),0)</f>
        <v>0</v>
      </c>
      <c r="BC36" s="34" t="n">
        <f aca="false">IF(BC$15=1,INDEX(Vol_O,16,BC$14)/12*(1+P_dVol),0)</f>
        <v>0</v>
      </c>
      <c r="BD36" s="34" t="n">
        <f aca="false">IF(BD$15=1,INDEX(Vol_O,16,BD$14)/12*(1+P_dVol),0)</f>
        <v>0</v>
      </c>
      <c r="BE36" s="34" t="n">
        <f aca="false">IF(BE$15=1,INDEX(Vol_O,16,BE$14)/12*(1+P_dVol),0)</f>
        <v>0</v>
      </c>
      <c r="BF36" s="34" t="n">
        <f aca="false">IF(BF$15=1,INDEX(Vol_O,16,BF$14)/12*(1+P_dVol),0)</f>
        <v>0</v>
      </c>
      <c r="BG36" s="34" t="n">
        <f aca="false">IF(BG$15=1,INDEX(Vol_O,16,BG$14)/12*(1+P_dVol),0)</f>
        <v>0</v>
      </c>
      <c r="BH36" s="34" t="n">
        <f aca="false">IF(BH$15=1,INDEX(Vol_O,16,BH$14)/12*(1+P_dVol),0)</f>
        <v>0</v>
      </c>
      <c r="BI36" s="34" t="n">
        <f aca="false">IF(BI$15=1,INDEX(Vol_O,16,BI$14)/12*(1+P_dVol),0)</f>
        <v>0</v>
      </c>
      <c r="BJ36" s="34" t="n">
        <f aca="false">IF(BJ$15=1,INDEX(Vol_O,16,BJ$14)/12*(1+P_dVol),0)</f>
        <v>0</v>
      </c>
      <c r="BK36" s="34" t="n">
        <f aca="false">IF(BK$15=1,INDEX(Vol_O,16,BK$14)/12*(1+P_dVol),0)</f>
        <v>0</v>
      </c>
      <c r="BL36" s="34" t="n">
        <f aca="false">IF(BL$15=1,INDEX(Vol_O,16,BL$14)/12*(1+P_dVol),0)</f>
        <v>0</v>
      </c>
      <c r="BM36" s="34" t="n">
        <f aca="false">IF(BM$15=1,INDEX(Vol_O,16,BM$14)/12*(1+P_dVol),0)</f>
        <v>0</v>
      </c>
      <c r="BN36" s="34" t="n">
        <f aca="false">IF(BN$15=1,INDEX(Vol_O,16,BN$14)/12*(1+P_dVol),0)</f>
        <v>0</v>
      </c>
      <c r="BO36" s="34" t="n">
        <f aca="false">IF(BO$15=1,INDEX(Vol_O,16,BO$14)/12*(1+P_dVol),0)</f>
        <v>0</v>
      </c>
      <c r="BP36" s="34" t="n">
        <f aca="false">IF(BP$15=1,INDEX(Vol_O,16,BP$14)/12*(1+P_dVol),0)</f>
        <v>0</v>
      </c>
      <c r="BQ36" s="34" t="n">
        <f aca="false">IF(BQ$15=1,INDEX(Vol_O,16,BQ$14)/12*(1+P_dVol),0)</f>
        <v>0</v>
      </c>
      <c r="BR36" s="34" t="n">
        <f aca="false">IF(BR$15=1,INDEX(Vol_O,16,BR$14)/12*(1+P_dVol),0)</f>
        <v>0</v>
      </c>
      <c r="BS36" s="34" t="n">
        <f aca="false">IF(BS$15=1,INDEX(Vol_O,16,BS$14)/12*(1+P_dVol),0)</f>
        <v>0</v>
      </c>
      <c r="BT36" s="34" t="n">
        <f aca="false">IF(BT$15=1,INDEX(Vol_O,16,BT$14)/12*(1+P_dVol),0)</f>
        <v>0</v>
      </c>
      <c r="BU36" s="34" t="n">
        <f aca="false">IF(BU$15=1,INDEX(Vol_O,16,BU$14)/12*(1+P_dVol),0)</f>
        <v>0</v>
      </c>
      <c r="BV36" s="34" t="n">
        <f aca="false">IF(BV$15=1,INDEX(Vol_O,16,BV$14)/12*(1+P_dVol),0)</f>
        <v>0</v>
      </c>
      <c r="BW36" s="34" t="n">
        <f aca="false">IF(BW$15=1,INDEX(Vol_O,16,BW$14)/12*(1+P_dVol),0)</f>
        <v>0</v>
      </c>
      <c r="BX36" s="34" t="n">
        <f aca="false">IF(BX$15=1,INDEX(Vol_O,16,BX$14)/12*(1+P_dVol),0)</f>
        <v>0</v>
      </c>
      <c r="BY36" s="34" t="n">
        <f aca="false">IF(BY$15=1,INDEX(Vol_O,16,BY$14)/12*(1+P_dVol),0)</f>
        <v>0</v>
      </c>
      <c r="BZ36" s="34" t="n">
        <f aca="false">IF(BZ$15=1,INDEX(Vol_O,16,BZ$14)/12*(1+P_dVol),0)</f>
        <v>0</v>
      </c>
      <c r="CA36" s="34" t="n">
        <f aca="false">IF(CA$15=1,INDEX(Vol_O,16,CA$14)/12*(1+P_dVol),0)</f>
        <v>0</v>
      </c>
      <c r="CB36" s="34" t="n">
        <f aca="false">IF(CB$15=1,INDEX(Vol_O,16,CB$14)/12*(1+P_dVol),0)</f>
        <v>0</v>
      </c>
      <c r="CC36" s="34" t="n">
        <f aca="false">IF(CC$15=1,INDEX(Vol_O,16,CC$14)/12*(1+P_dVol),0)</f>
        <v>0</v>
      </c>
      <c r="CD36" s="34" t="n">
        <f aca="false">IF(CD$15=1,INDEX(Vol_O,16,CD$14)/12*(1+P_dVol),0)</f>
        <v>0</v>
      </c>
      <c r="CE36" s="34" t="n">
        <f aca="false">IF(CE$15=1,INDEX(Vol_O,16,CE$14)/12*(1+P_dVol),0)</f>
        <v>0</v>
      </c>
      <c r="CF36" s="34" t="n">
        <f aca="false">IF(CF$15=1,INDEX(Vol_O,16,CF$14)/12*(1+P_dVol),0)</f>
        <v>0</v>
      </c>
      <c r="CG36" s="34" t="n">
        <f aca="false">IF(CG$15=1,INDEX(Vol_O,16,CG$14)/12*(1+P_dVol),0)</f>
        <v>0</v>
      </c>
      <c r="CH36" s="34" t="n">
        <f aca="false">IF(CH$15=1,INDEX(Vol_O,16,CH$14)/12*(1+P_dVol),0)</f>
        <v>0</v>
      </c>
      <c r="CI36" s="34" t="n">
        <f aca="false">IF(CI$15=1,INDEX(Vol_O,16,CI$14)/12*(1+P_dVol),0)</f>
        <v>0</v>
      </c>
      <c r="CJ36" s="34" t="n">
        <f aca="false">IF(CJ$15=1,INDEX(Vol_O,16,CJ$14)/12*(1+P_dVol),0)</f>
        <v>0</v>
      </c>
      <c r="CK36" s="34" t="n">
        <f aca="false">IF(CK$15=1,INDEX(Vol_O,16,CK$14)/12*(1+P_dVol),0)</f>
        <v>0</v>
      </c>
      <c r="CL36" s="34" t="n">
        <f aca="false">IF(CL$15=1,INDEX(Vol_O,16,CL$14)/12*(1+P_dVol),0)</f>
        <v>0</v>
      </c>
      <c r="CM36" s="34" t="n">
        <f aca="false">IF(CM$15=1,INDEX(Vol_O,16,CM$14)/12*(1+P_dVol),0)</f>
        <v>0</v>
      </c>
      <c r="CN36" s="34" t="n">
        <f aca="false">IF(CN$15=1,INDEX(Vol_O,16,CN$14)/12*(1+P_dVol),0)</f>
        <v>0</v>
      </c>
      <c r="CO36" s="34" t="n">
        <f aca="false">IF(CO$15=1,INDEX(Vol_O,16,CO$14)/12*(1+P_dVol),0)</f>
        <v>0</v>
      </c>
      <c r="CP36" s="34" t="n">
        <f aca="false">IF(CP$15=1,INDEX(Vol_O,16,CP$14)/12*(1+P_dVol),0)</f>
        <v>0</v>
      </c>
      <c r="CQ36" s="34" t="n">
        <f aca="false">IF(CQ$15=1,INDEX(Vol_O,16,CQ$14)/12*(1+P_dVol),0)</f>
        <v>0</v>
      </c>
      <c r="CR36" s="34" t="n">
        <f aca="false">IF(CR$15=1,INDEX(Vol_O,16,CR$14)/12*(1+P_dVol),0)</f>
        <v>0</v>
      </c>
      <c r="CS36" s="34" t="n">
        <f aca="false">IF(CS$15=1,INDEX(Vol_O,16,CS$14)/12*(1+P_dVol),0)</f>
        <v>0</v>
      </c>
      <c r="CT36" s="34" t="n">
        <f aca="false">IF(CT$15=1,INDEX(Vol_O,16,CT$14)/12*(1+P_dVol),0)</f>
        <v>0</v>
      </c>
      <c r="CU36" s="34" t="n">
        <f aca="false">IF(CU$15=1,INDEX(Vol_O,16,CU$14)/12*(1+P_dVol),0)</f>
        <v>0</v>
      </c>
      <c r="CV36" s="34" t="n">
        <f aca="false">IF(CV$15=1,INDEX(Vol_O,16,CV$14)/12*(1+P_dVol),0)</f>
        <v>0</v>
      </c>
      <c r="CW36" s="34" t="n">
        <f aca="false">IF(CW$15=1,INDEX(Vol_O,16,CW$14)/12*(1+P_dVol),0)</f>
        <v>0</v>
      </c>
      <c r="CX36" s="34" t="n">
        <f aca="false">IF(CX$15=1,INDEX(Vol_O,16,CX$14)/12*(1+P_dVol),0)</f>
        <v>0</v>
      </c>
      <c r="CY36" s="34" t="n">
        <f aca="false">IF(CY$15=1,INDEX(Vol_O,16,CY$14)/12*(1+P_dVol),0)</f>
        <v>0</v>
      </c>
      <c r="CZ36" s="34" t="n">
        <f aca="false">IF(CZ$15=1,INDEX(Vol_O,16,CZ$14)/12*(1+P_dVol),0)</f>
        <v>0</v>
      </c>
      <c r="DA36" s="34" t="n">
        <f aca="false">IF(DA$15=1,INDEX(Vol_O,16,DA$14)/12*(1+P_dVol),0)</f>
        <v>0</v>
      </c>
      <c r="DB36" s="34" t="n">
        <f aca="false">IF(DB$15=1,INDEX(Vol_O,16,DB$14)/12*(1+P_dVol),0)</f>
        <v>0</v>
      </c>
      <c r="DC36" s="34" t="n">
        <f aca="false">IF(DC$15=1,INDEX(Vol_O,16,DC$14)/12*(1+P_dVol),0)</f>
        <v>0</v>
      </c>
      <c r="DD36" s="34" t="n">
        <f aca="false">IF(DD$15=1,INDEX(Vol_O,16,DD$14)/12*(1+P_dVol),0)</f>
        <v>0</v>
      </c>
      <c r="DE36" s="34" t="n">
        <f aca="false">IF(DE$15=1,INDEX(Vol_O,16,DE$14)/12*(1+P_dVol),0)</f>
        <v>0</v>
      </c>
      <c r="DF36" s="34" t="n">
        <f aca="false">IF(DF$15=1,INDEX(Vol_O,16,DF$14)/12*(1+P_dVol),0)</f>
        <v>0</v>
      </c>
      <c r="DG36" s="34" t="n">
        <f aca="false">IF(DG$15=1,INDEX(Vol_O,16,DG$14)/12*(1+P_dVol),0)</f>
        <v>0</v>
      </c>
      <c r="DH36" s="34" t="n">
        <f aca="false">IF(DH$15=1,INDEX(Vol_O,16,DH$14)/12*(1+P_dVol),0)</f>
        <v>0</v>
      </c>
      <c r="DI36" s="34" t="n">
        <f aca="false">IF(DI$15=1,INDEX(Vol_O,16,DI$14)/12*(1+P_dVol),0)</f>
        <v>0</v>
      </c>
      <c r="DJ36" s="34" t="n">
        <f aca="false">IF(DJ$15=1,INDEX(Vol_O,16,DJ$14)/12*(1+P_dVol),0)</f>
        <v>0</v>
      </c>
      <c r="DK36" s="34" t="n">
        <f aca="false">IF(DK$15=1,INDEX(Vol_O,16,DK$14)/12*(1+P_dVol),0)</f>
        <v>0</v>
      </c>
      <c r="DL36" s="34" t="n">
        <f aca="false">IF(DL$15=1,INDEX(Vol_O,16,DL$14)/12*(1+P_dVol),0)</f>
        <v>0</v>
      </c>
      <c r="DM36" s="34" t="n">
        <f aca="false">IF(DM$15=1,INDEX(Vol_O,16,DM$14)/12*(1+P_dVol),0)</f>
        <v>0</v>
      </c>
      <c r="DN36" s="34" t="n">
        <f aca="false">IF(DN$15=1,INDEX(Vol_O,16,DN$14)/12*(1+P_dVol),0)</f>
        <v>0</v>
      </c>
      <c r="DO36" s="34" t="n">
        <f aca="false">IF(DO$15=1,INDEX(Vol_O,16,DO$14)/12*(1+P_dVol),0)</f>
        <v>0</v>
      </c>
      <c r="DP36" s="34" t="n">
        <f aca="false">IF(DP$15=1,INDEX(Vol_O,16,DP$14)/12*(1+P_dVol),0)</f>
        <v>0</v>
      </c>
      <c r="DQ36" s="34" t="n">
        <f aca="false">IF(DQ$15=1,INDEX(Vol_O,16,DQ$14)/12*(1+P_dVol),0)</f>
        <v>0</v>
      </c>
      <c r="DR36" s="34" t="n">
        <f aca="false">IF(DR$15=1,INDEX(Vol_O,16,DR$14)/12*(1+P_dVol),0)</f>
        <v>0</v>
      </c>
      <c r="DS36" s="34" t="n">
        <f aca="false">IF(DS$15=1,INDEX(Vol_O,16,DS$14)/12*(1+P_dVol),0)</f>
        <v>0</v>
      </c>
      <c r="DT36" s="34" t="n">
        <f aca="false">IF(DT$15=1,INDEX(Vol_O,16,DT$14)/12*(1+P_dVol),0)</f>
        <v>0</v>
      </c>
      <c r="DU36" s="34" t="n">
        <f aca="false">IF(DU$15=1,INDEX(Vol_O,16,DU$14)/12*(1+P_dVol),0)</f>
        <v>0</v>
      </c>
      <c r="DV36" s="34" t="n">
        <f aca="false">IF(DV$15=1,INDEX(Vol_O,16,DV$14)/12*(1+P_dVol),0)</f>
        <v>0</v>
      </c>
      <c r="DW36" s="34" t="n">
        <f aca="false">IF(DW$15=1,INDEX(Vol_O,16,DW$14)/12*(1+P_dVol),0)</f>
        <v>0</v>
      </c>
      <c r="DX36" s="34" t="n">
        <f aca="false">IF(DX$15=1,INDEX(Vol_O,16,DX$14)/12*(1+P_dVol),0)</f>
        <v>0</v>
      </c>
      <c r="DY36" s="34" t="n">
        <f aca="false">IF(DY$15=1,INDEX(Vol_O,16,DY$14)/12*(1+P_dVol),0)</f>
        <v>0</v>
      </c>
      <c r="DZ36" s="34" t="n">
        <f aca="false">IF(DZ$15=1,INDEX(Vol_O,16,DZ$14)/12*(1+P_dVol),0)</f>
        <v>0</v>
      </c>
      <c r="EA36" s="34" t="n">
        <f aca="false">IF(EA$15=1,INDEX(Vol_O,16,EA$14)/12*(1+P_dVol),0)</f>
        <v>0</v>
      </c>
      <c r="EB36" s="34" t="n">
        <f aca="false">IF(EB$15=1,INDEX(Vol_O,16,EB$14)/12*(1+P_dVol),0)</f>
        <v>0</v>
      </c>
      <c r="EC36" s="34" t="n">
        <f aca="false">IF(EC$15=1,INDEX(Vol_O,16,EC$14)/12*(1+P_dVol),0)</f>
        <v>0</v>
      </c>
      <c r="ED36" s="34" t="n">
        <f aca="false">IF(ED$15=1,INDEX(Vol_O,16,ED$14)/12*(1+P_dVol),0)</f>
        <v>0</v>
      </c>
      <c r="EE36" s="34" t="n">
        <f aca="false">IF(EE$15=1,INDEX(Vol_O,16,EE$14)/12*(1+P_dVol),0)</f>
        <v>0</v>
      </c>
      <c r="EF36" s="34" t="n">
        <f aca="false">IF(EF$15=1,INDEX(Vol_O,16,EF$14)/12*(1+P_dVol),0)</f>
        <v>0</v>
      </c>
      <c r="EG36" s="34" t="n">
        <f aca="false">IF(EG$15=1,INDEX(Vol_O,16,EG$14)/12*(1+P_dVol),0)</f>
        <v>0</v>
      </c>
      <c r="EH36" s="34" t="n">
        <f aca="false">IF(EH$15=1,INDEX(Vol_O,16,EH$14)/12*(1+P_dVol),0)</f>
        <v>0</v>
      </c>
      <c r="EI36" s="34" t="n">
        <f aca="false">IF(EI$15=1,INDEX(Vol_O,16,EI$14)/12*(1+P_dVol),0)</f>
        <v>0</v>
      </c>
      <c r="EJ36" s="34" t="n">
        <f aca="false">IF(EJ$15=1,INDEX(Vol_O,16,EJ$14)/12*(1+P_dVol),0)</f>
        <v>0</v>
      </c>
      <c r="EK36" s="34" t="n">
        <f aca="false">IF(EK$15=1,INDEX(Vol_O,16,EK$14)/12*(1+P_dVol),0)</f>
        <v>0</v>
      </c>
      <c r="EL36" s="34" t="n">
        <f aca="false">IF(EL$15=1,INDEX(Vol_O,16,EL$14)/12*(1+P_dVol),0)</f>
        <v>0</v>
      </c>
      <c r="EM36" s="34" t="n">
        <f aca="false">IF(EM$15=1,INDEX(Vol_O,16,EM$14)/12*(1+P_dVol),0)</f>
        <v>0</v>
      </c>
      <c r="EN36" s="34" t="n">
        <f aca="false">IF(EN$15=1,INDEX(Vol_O,16,EN$14)/12*(1+P_dVol),0)</f>
        <v>0</v>
      </c>
      <c r="EO36" s="34" t="n">
        <f aca="false">IF(EO$15=1,INDEX(Vol_O,16,EO$14)/12*(1+P_dVol),0)</f>
        <v>0</v>
      </c>
      <c r="EP36" s="34" t="n">
        <f aca="false">IF(EP$15=1,INDEX(Vol_O,16,EP$14)/12*(1+P_dVol),0)</f>
        <v>0</v>
      </c>
      <c r="EQ36" s="34" t="n">
        <f aca="false">IF(EQ$15=1,INDEX(Vol_O,16,EQ$14)/12*(1+P_dVol),0)</f>
        <v>0</v>
      </c>
      <c r="ER36" s="34" t="n">
        <f aca="false">IF(ER$15=1,INDEX(Vol_O,16,ER$14)/12*(1+P_dVol),0)</f>
        <v>0</v>
      </c>
      <c r="ES36" s="34" t="n">
        <f aca="false">IF(ES$15=1,INDEX(Vol_O,16,ES$14)/12*(1+P_dVol),0)</f>
        <v>0</v>
      </c>
    </row>
    <row r="37" customFormat="false" ht="15" hidden="false" customHeight="false" outlineLevel="0" collapsed="false">
      <c r="A37" s="2" t="s">
        <v>600</v>
      </c>
      <c r="B37" s="39" t="str">
        <f aca="false">IF(INDEX(Prod_Nombre,17)="","Producto 17",INDEX(Prod_Nombre,17))&amp;" — unidades"</f>
        <v>Producto 17 — unidades</v>
      </c>
      <c r="C37" s="6" t="s">
        <v>286</v>
      </c>
      <c r="E37" s="40" t="n">
        <f aca="false">SUM(F37:ES37)</f>
        <v>0</v>
      </c>
      <c r="F37" s="34" t="n">
        <f aca="false">IF(F$15=1,INDEX(Vol_O,17,F$14)/12*(1+P_dVol),0)</f>
        <v>0</v>
      </c>
      <c r="G37" s="34" t="n">
        <f aca="false">IF(G$15=1,INDEX(Vol_O,17,G$14)/12*(1+P_dVol),0)</f>
        <v>0</v>
      </c>
      <c r="H37" s="34" t="n">
        <f aca="false">IF(H$15=1,INDEX(Vol_O,17,H$14)/12*(1+P_dVol),0)</f>
        <v>0</v>
      </c>
      <c r="I37" s="34" t="n">
        <f aca="false">IF(I$15=1,INDEX(Vol_O,17,I$14)/12*(1+P_dVol),0)</f>
        <v>0</v>
      </c>
      <c r="J37" s="34" t="n">
        <f aca="false">IF(J$15=1,INDEX(Vol_O,17,J$14)/12*(1+P_dVol),0)</f>
        <v>0</v>
      </c>
      <c r="K37" s="34" t="n">
        <f aca="false">IF(K$15=1,INDEX(Vol_O,17,K$14)/12*(1+P_dVol),0)</f>
        <v>0</v>
      </c>
      <c r="L37" s="34" t="n">
        <f aca="false">IF(L$15=1,INDEX(Vol_O,17,L$14)/12*(1+P_dVol),0)</f>
        <v>0</v>
      </c>
      <c r="M37" s="34" t="n">
        <f aca="false">IF(M$15=1,INDEX(Vol_O,17,M$14)/12*(1+P_dVol),0)</f>
        <v>0</v>
      </c>
      <c r="N37" s="34" t="n">
        <f aca="false">IF(N$15=1,INDEX(Vol_O,17,N$14)/12*(1+P_dVol),0)</f>
        <v>0</v>
      </c>
      <c r="O37" s="34" t="n">
        <f aca="false">IF(O$15=1,INDEX(Vol_O,17,O$14)/12*(1+P_dVol),0)</f>
        <v>0</v>
      </c>
      <c r="P37" s="34" t="n">
        <f aca="false">IF(P$15=1,INDEX(Vol_O,17,P$14)/12*(1+P_dVol),0)</f>
        <v>0</v>
      </c>
      <c r="Q37" s="34" t="n">
        <f aca="false">IF(Q$15=1,INDEX(Vol_O,17,Q$14)/12*(1+P_dVol),0)</f>
        <v>0</v>
      </c>
      <c r="R37" s="34" t="n">
        <f aca="false">IF(R$15=1,INDEX(Vol_O,17,R$14)/12*(1+P_dVol),0)</f>
        <v>0</v>
      </c>
      <c r="S37" s="34" t="n">
        <f aca="false">IF(S$15=1,INDEX(Vol_O,17,S$14)/12*(1+P_dVol),0)</f>
        <v>0</v>
      </c>
      <c r="T37" s="34" t="n">
        <f aca="false">IF(T$15=1,INDEX(Vol_O,17,T$14)/12*(1+P_dVol),0)</f>
        <v>0</v>
      </c>
      <c r="U37" s="34" t="n">
        <f aca="false">IF(U$15=1,INDEX(Vol_O,17,U$14)/12*(1+P_dVol),0)</f>
        <v>0</v>
      </c>
      <c r="V37" s="34" t="n">
        <f aca="false">IF(V$15=1,INDEX(Vol_O,17,V$14)/12*(1+P_dVol),0)</f>
        <v>0</v>
      </c>
      <c r="W37" s="34" t="n">
        <f aca="false">IF(W$15=1,INDEX(Vol_O,17,W$14)/12*(1+P_dVol),0)</f>
        <v>0</v>
      </c>
      <c r="X37" s="34" t="n">
        <f aca="false">IF(X$15=1,INDEX(Vol_O,17,X$14)/12*(1+P_dVol),0)</f>
        <v>0</v>
      </c>
      <c r="Y37" s="34" t="n">
        <f aca="false">IF(Y$15=1,INDEX(Vol_O,17,Y$14)/12*(1+P_dVol),0)</f>
        <v>0</v>
      </c>
      <c r="Z37" s="34" t="n">
        <f aca="false">IF(Z$15=1,INDEX(Vol_O,17,Z$14)/12*(1+P_dVol),0)</f>
        <v>0</v>
      </c>
      <c r="AA37" s="34" t="n">
        <f aca="false">IF(AA$15=1,INDEX(Vol_O,17,AA$14)/12*(1+P_dVol),0)</f>
        <v>0</v>
      </c>
      <c r="AB37" s="34" t="n">
        <f aca="false">IF(AB$15=1,INDEX(Vol_O,17,AB$14)/12*(1+P_dVol),0)</f>
        <v>0</v>
      </c>
      <c r="AC37" s="34" t="n">
        <f aca="false">IF(AC$15=1,INDEX(Vol_O,17,AC$14)/12*(1+P_dVol),0)</f>
        <v>0</v>
      </c>
      <c r="AD37" s="34" t="n">
        <f aca="false">IF(AD$15=1,INDEX(Vol_O,17,AD$14)/12*(1+P_dVol),0)</f>
        <v>0</v>
      </c>
      <c r="AE37" s="34" t="n">
        <f aca="false">IF(AE$15=1,INDEX(Vol_O,17,AE$14)/12*(1+P_dVol),0)</f>
        <v>0</v>
      </c>
      <c r="AF37" s="34" t="n">
        <f aca="false">IF(AF$15=1,INDEX(Vol_O,17,AF$14)/12*(1+P_dVol),0)</f>
        <v>0</v>
      </c>
      <c r="AG37" s="34" t="n">
        <f aca="false">IF(AG$15=1,INDEX(Vol_O,17,AG$14)/12*(1+P_dVol),0)</f>
        <v>0</v>
      </c>
      <c r="AH37" s="34" t="n">
        <f aca="false">IF(AH$15=1,INDEX(Vol_O,17,AH$14)/12*(1+P_dVol),0)</f>
        <v>0</v>
      </c>
      <c r="AI37" s="34" t="n">
        <f aca="false">IF(AI$15=1,INDEX(Vol_O,17,AI$14)/12*(1+P_dVol),0)</f>
        <v>0</v>
      </c>
      <c r="AJ37" s="34" t="n">
        <f aca="false">IF(AJ$15=1,INDEX(Vol_O,17,AJ$14)/12*(1+P_dVol),0)</f>
        <v>0</v>
      </c>
      <c r="AK37" s="34" t="n">
        <f aca="false">IF(AK$15=1,INDEX(Vol_O,17,AK$14)/12*(1+P_dVol),0)</f>
        <v>0</v>
      </c>
      <c r="AL37" s="34" t="n">
        <f aca="false">IF(AL$15=1,INDEX(Vol_O,17,AL$14)/12*(1+P_dVol),0)</f>
        <v>0</v>
      </c>
      <c r="AM37" s="34" t="n">
        <f aca="false">IF(AM$15=1,INDEX(Vol_O,17,AM$14)/12*(1+P_dVol),0)</f>
        <v>0</v>
      </c>
      <c r="AN37" s="34" t="n">
        <f aca="false">IF(AN$15=1,INDEX(Vol_O,17,AN$14)/12*(1+P_dVol),0)</f>
        <v>0</v>
      </c>
      <c r="AO37" s="34" t="n">
        <f aca="false">IF(AO$15=1,INDEX(Vol_O,17,AO$14)/12*(1+P_dVol),0)</f>
        <v>0</v>
      </c>
      <c r="AP37" s="34" t="n">
        <f aca="false">IF(AP$15=1,INDEX(Vol_O,17,AP$14)/12*(1+P_dVol),0)</f>
        <v>0</v>
      </c>
      <c r="AQ37" s="34" t="n">
        <f aca="false">IF(AQ$15=1,INDEX(Vol_O,17,AQ$14)/12*(1+P_dVol),0)</f>
        <v>0</v>
      </c>
      <c r="AR37" s="34" t="n">
        <f aca="false">IF(AR$15=1,INDEX(Vol_O,17,AR$14)/12*(1+P_dVol),0)</f>
        <v>0</v>
      </c>
      <c r="AS37" s="34" t="n">
        <f aca="false">IF(AS$15=1,INDEX(Vol_O,17,AS$14)/12*(1+P_dVol),0)</f>
        <v>0</v>
      </c>
      <c r="AT37" s="34" t="n">
        <f aca="false">IF(AT$15=1,INDEX(Vol_O,17,AT$14)/12*(1+P_dVol),0)</f>
        <v>0</v>
      </c>
      <c r="AU37" s="34" t="n">
        <f aca="false">IF(AU$15=1,INDEX(Vol_O,17,AU$14)/12*(1+P_dVol),0)</f>
        <v>0</v>
      </c>
      <c r="AV37" s="34" t="n">
        <f aca="false">IF(AV$15=1,INDEX(Vol_O,17,AV$14)/12*(1+P_dVol),0)</f>
        <v>0</v>
      </c>
      <c r="AW37" s="34" t="n">
        <f aca="false">IF(AW$15=1,INDEX(Vol_O,17,AW$14)/12*(1+P_dVol),0)</f>
        <v>0</v>
      </c>
      <c r="AX37" s="34" t="n">
        <f aca="false">IF(AX$15=1,INDEX(Vol_O,17,AX$14)/12*(1+P_dVol),0)</f>
        <v>0</v>
      </c>
      <c r="AY37" s="34" t="n">
        <f aca="false">IF(AY$15=1,INDEX(Vol_O,17,AY$14)/12*(1+P_dVol),0)</f>
        <v>0</v>
      </c>
      <c r="AZ37" s="34" t="n">
        <f aca="false">IF(AZ$15=1,INDEX(Vol_O,17,AZ$14)/12*(1+P_dVol),0)</f>
        <v>0</v>
      </c>
      <c r="BA37" s="34" t="n">
        <f aca="false">IF(BA$15=1,INDEX(Vol_O,17,BA$14)/12*(1+P_dVol),0)</f>
        <v>0</v>
      </c>
      <c r="BB37" s="34" t="n">
        <f aca="false">IF(BB$15=1,INDEX(Vol_O,17,BB$14)/12*(1+P_dVol),0)</f>
        <v>0</v>
      </c>
      <c r="BC37" s="34" t="n">
        <f aca="false">IF(BC$15=1,INDEX(Vol_O,17,BC$14)/12*(1+P_dVol),0)</f>
        <v>0</v>
      </c>
      <c r="BD37" s="34" t="n">
        <f aca="false">IF(BD$15=1,INDEX(Vol_O,17,BD$14)/12*(1+P_dVol),0)</f>
        <v>0</v>
      </c>
      <c r="BE37" s="34" t="n">
        <f aca="false">IF(BE$15=1,INDEX(Vol_O,17,BE$14)/12*(1+P_dVol),0)</f>
        <v>0</v>
      </c>
      <c r="BF37" s="34" t="n">
        <f aca="false">IF(BF$15=1,INDEX(Vol_O,17,BF$14)/12*(1+P_dVol),0)</f>
        <v>0</v>
      </c>
      <c r="BG37" s="34" t="n">
        <f aca="false">IF(BG$15=1,INDEX(Vol_O,17,BG$14)/12*(1+P_dVol),0)</f>
        <v>0</v>
      </c>
      <c r="BH37" s="34" t="n">
        <f aca="false">IF(BH$15=1,INDEX(Vol_O,17,BH$14)/12*(1+P_dVol),0)</f>
        <v>0</v>
      </c>
      <c r="BI37" s="34" t="n">
        <f aca="false">IF(BI$15=1,INDEX(Vol_O,17,BI$14)/12*(1+P_dVol),0)</f>
        <v>0</v>
      </c>
      <c r="BJ37" s="34" t="n">
        <f aca="false">IF(BJ$15=1,INDEX(Vol_O,17,BJ$14)/12*(1+P_dVol),0)</f>
        <v>0</v>
      </c>
      <c r="BK37" s="34" t="n">
        <f aca="false">IF(BK$15=1,INDEX(Vol_O,17,BK$14)/12*(1+P_dVol),0)</f>
        <v>0</v>
      </c>
      <c r="BL37" s="34" t="n">
        <f aca="false">IF(BL$15=1,INDEX(Vol_O,17,BL$14)/12*(1+P_dVol),0)</f>
        <v>0</v>
      </c>
      <c r="BM37" s="34" t="n">
        <f aca="false">IF(BM$15=1,INDEX(Vol_O,17,BM$14)/12*(1+P_dVol),0)</f>
        <v>0</v>
      </c>
      <c r="BN37" s="34" t="n">
        <f aca="false">IF(BN$15=1,INDEX(Vol_O,17,BN$14)/12*(1+P_dVol),0)</f>
        <v>0</v>
      </c>
      <c r="BO37" s="34" t="n">
        <f aca="false">IF(BO$15=1,INDEX(Vol_O,17,BO$14)/12*(1+P_dVol),0)</f>
        <v>0</v>
      </c>
      <c r="BP37" s="34" t="n">
        <f aca="false">IF(BP$15=1,INDEX(Vol_O,17,BP$14)/12*(1+P_dVol),0)</f>
        <v>0</v>
      </c>
      <c r="BQ37" s="34" t="n">
        <f aca="false">IF(BQ$15=1,INDEX(Vol_O,17,BQ$14)/12*(1+P_dVol),0)</f>
        <v>0</v>
      </c>
      <c r="BR37" s="34" t="n">
        <f aca="false">IF(BR$15=1,INDEX(Vol_O,17,BR$14)/12*(1+P_dVol),0)</f>
        <v>0</v>
      </c>
      <c r="BS37" s="34" t="n">
        <f aca="false">IF(BS$15=1,INDEX(Vol_O,17,BS$14)/12*(1+P_dVol),0)</f>
        <v>0</v>
      </c>
      <c r="BT37" s="34" t="n">
        <f aca="false">IF(BT$15=1,INDEX(Vol_O,17,BT$14)/12*(1+P_dVol),0)</f>
        <v>0</v>
      </c>
      <c r="BU37" s="34" t="n">
        <f aca="false">IF(BU$15=1,INDEX(Vol_O,17,BU$14)/12*(1+P_dVol),0)</f>
        <v>0</v>
      </c>
      <c r="BV37" s="34" t="n">
        <f aca="false">IF(BV$15=1,INDEX(Vol_O,17,BV$14)/12*(1+P_dVol),0)</f>
        <v>0</v>
      </c>
      <c r="BW37" s="34" t="n">
        <f aca="false">IF(BW$15=1,INDEX(Vol_O,17,BW$14)/12*(1+P_dVol),0)</f>
        <v>0</v>
      </c>
      <c r="BX37" s="34" t="n">
        <f aca="false">IF(BX$15=1,INDEX(Vol_O,17,BX$14)/12*(1+P_dVol),0)</f>
        <v>0</v>
      </c>
      <c r="BY37" s="34" t="n">
        <f aca="false">IF(BY$15=1,INDEX(Vol_O,17,BY$14)/12*(1+P_dVol),0)</f>
        <v>0</v>
      </c>
      <c r="BZ37" s="34" t="n">
        <f aca="false">IF(BZ$15=1,INDEX(Vol_O,17,BZ$14)/12*(1+P_dVol),0)</f>
        <v>0</v>
      </c>
      <c r="CA37" s="34" t="n">
        <f aca="false">IF(CA$15=1,INDEX(Vol_O,17,CA$14)/12*(1+P_dVol),0)</f>
        <v>0</v>
      </c>
      <c r="CB37" s="34" t="n">
        <f aca="false">IF(CB$15=1,INDEX(Vol_O,17,CB$14)/12*(1+P_dVol),0)</f>
        <v>0</v>
      </c>
      <c r="CC37" s="34" t="n">
        <f aca="false">IF(CC$15=1,INDEX(Vol_O,17,CC$14)/12*(1+P_dVol),0)</f>
        <v>0</v>
      </c>
      <c r="CD37" s="34" t="n">
        <f aca="false">IF(CD$15=1,INDEX(Vol_O,17,CD$14)/12*(1+P_dVol),0)</f>
        <v>0</v>
      </c>
      <c r="CE37" s="34" t="n">
        <f aca="false">IF(CE$15=1,INDEX(Vol_O,17,CE$14)/12*(1+P_dVol),0)</f>
        <v>0</v>
      </c>
      <c r="CF37" s="34" t="n">
        <f aca="false">IF(CF$15=1,INDEX(Vol_O,17,CF$14)/12*(1+P_dVol),0)</f>
        <v>0</v>
      </c>
      <c r="CG37" s="34" t="n">
        <f aca="false">IF(CG$15=1,INDEX(Vol_O,17,CG$14)/12*(1+P_dVol),0)</f>
        <v>0</v>
      </c>
      <c r="CH37" s="34" t="n">
        <f aca="false">IF(CH$15=1,INDEX(Vol_O,17,CH$14)/12*(1+P_dVol),0)</f>
        <v>0</v>
      </c>
      <c r="CI37" s="34" t="n">
        <f aca="false">IF(CI$15=1,INDEX(Vol_O,17,CI$14)/12*(1+P_dVol),0)</f>
        <v>0</v>
      </c>
      <c r="CJ37" s="34" t="n">
        <f aca="false">IF(CJ$15=1,INDEX(Vol_O,17,CJ$14)/12*(1+P_dVol),0)</f>
        <v>0</v>
      </c>
      <c r="CK37" s="34" t="n">
        <f aca="false">IF(CK$15=1,INDEX(Vol_O,17,CK$14)/12*(1+P_dVol),0)</f>
        <v>0</v>
      </c>
      <c r="CL37" s="34" t="n">
        <f aca="false">IF(CL$15=1,INDEX(Vol_O,17,CL$14)/12*(1+P_dVol),0)</f>
        <v>0</v>
      </c>
      <c r="CM37" s="34" t="n">
        <f aca="false">IF(CM$15=1,INDEX(Vol_O,17,CM$14)/12*(1+P_dVol),0)</f>
        <v>0</v>
      </c>
      <c r="CN37" s="34" t="n">
        <f aca="false">IF(CN$15=1,INDEX(Vol_O,17,CN$14)/12*(1+P_dVol),0)</f>
        <v>0</v>
      </c>
      <c r="CO37" s="34" t="n">
        <f aca="false">IF(CO$15=1,INDEX(Vol_O,17,CO$14)/12*(1+P_dVol),0)</f>
        <v>0</v>
      </c>
      <c r="CP37" s="34" t="n">
        <f aca="false">IF(CP$15=1,INDEX(Vol_O,17,CP$14)/12*(1+P_dVol),0)</f>
        <v>0</v>
      </c>
      <c r="CQ37" s="34" t="n">
        <f aca="false">IF(CQ$15=1,INDEX(Vol_O,17,CQ$14)/12*(1+P_dVol),0)</f>
        <v>0</v>
      </c>
      <c r="CR37" s="34" t="n">
        <f aca="false">IF(CR$15=1,INDEX(Vol_O,17,CR$14)/12*(1+P_dVol),0)</f>
        <v>0</v>
      </c>
      <c r="CS37" s="34" t="n">
        <f aca="false">IF(CS$15=1,INDEX(Vol_O,17,CS$14)/12*(1+P_dVol),0)</f>
        <v>0</v>
      </c>
      <c r="CT37" s="34" t="n">
        <f aca="false">IF(CT$15=1,INDEX(Vol_O,17,CT$14)/12*(1+P_dVol),0)</f>
        <v>0</v>
      </c>
      <c r="CU37" s="34" t="n">
        <f aca="false">IF(CU$15=1,INDEX(Vol_O,17,CU$14)/12*(1+P_dVol),0)</f>
        <v>0</v>
      </c>
      <c r="CV37" s="34" t="n">
        <f aca="false">IF(CV$15=1,INDEX(Vol_O,17,CV$14)/12*(1+P_dVol),0)</f>
        <v>0</v>
      </c>
      <c r="CW37" s="34" t="n">
        <f aca="false">IF(CW$15=1,INDEX(Vol_O,17,CW$14)/12*(1+P_dVol),0)</f>
        <v>0</v>
      </c>
      <c r="CX37" s="34" t="n">
        <f aca="false">IF(CX$15=1,INDEX(Vol_O,17,CX$14)/12*(1+P_dVol),0)</f>
        <v>0</v>
      </c>
      <c r="CY37" s="34" t="n">
        <f aca="false">IF(CY$15=1,INDEX(Vol_O,17,CY$14)/12*(1+P_dVol),0)</f>
        <v>0</v>
      </c>
      <c r="CZ37" s="34" t="n">
        <f aca="false">IF(CZ$15=1,INDEX(Vol_O,17,CZ$14)/12*(1+P_dVol),0)</f>
        <v>0</v>
      </c>
      <c r="DA37" s="34" t="n">
        <f aca="false">IF(DA$15=1,INDEX(Vol_O,17,DA$14)/12*(1+P_dVol),0)</f>
        <v>0</v>
      </c>
      <c r="DB37" s="34" t="n">
        <f aca="false">IF(DB$15=1,INDEX(Vol_O,17,DB$14)/12*(1+P_dVol),0)</f>
        <v>0</v>
      </c>
      <c r="DC37" s="34" t="n">
        <f aca="false">IF(DC$15=1,INDEX(Vol_O,17,DC$14)/12*(1+P_dVol),0)</f>
        <v>0</v>
      </c>
      <c r="DD37" s="34" t="n">
        <f aca="false">IF(DD$15=1,INDEX(Vol_O,17,DD$14)/12*(1+P_dVol),0)</f>
        <v>0</v>
      </c>
      <c r="DE37" s="34" t="n">
        <f aca="false">IF(DE$15=1,INDEX(Vol_O,17,DE$14)/12*(1+P_dVol),0)</f>
        <v>0</v>
      </c>
      <c r="DF37" s="34" t="n">
        <f aca="false">IF(DF$15=1,INDEX(Vol_O,17,DF$14)/12*(1+P_dVol),0)</f>
        <v>0</v>
      </c>
      <c r="DG37" s="34" t="n">
        <f aca="false">IF(DG$15=1,INDEX(Vol_O,17,DG$14)/12*(1+P_dVol),0)</f>
        <v>0</v>
      </c>
      <c r="DH37" s="34" t="n">
        <f aca="false">IF(DH$15=1,INDEX(Vol_O,17,DH$14)/12*(1+P_dVol),0)</f>
        <v>0</v>
      </c>
      <c r="DI37" s="34" t="n">
        <f aca="false">IF(DI$15=1,INDEX(Vol_O,17,DI$14)/12*(1+P_dVol),0)</f>
        <v>0</v>
      </c>
      <c r="DJ37" s="34" t="n">
        <f aca="false">IF(DJ$15=1,INDEX(Vol_O,17,DJ$14)/12*(1+P_dVol),0)</f>
        <v>0</v>
      </c>
      <c r="DK37" s="34" t="n">
        <f aca="false">IF(DK$15=1,INDEX(Vol_O,17,DK$14)/12*(1+P_dVol),0)</f>
        <v>0</v>
      </c>
      <c r="DL37" s="34" t="n">
        <f aca="false">IF(DL$15=1,INDEX(Vol_O,17,DL$14)/12*(1+P_dVol),0)</f>
        <v>0</v>
      </c>
      <c r="DM37" s="34" t="n">
        <f aca="false">IF(DM$15=1,INDEX(Vol_O,17,DM$14)/12*(1+P_dVol),0)</f>
        <v>0</v>
      </c>
      <c r="DN37" s="34" t="n">
        <f aca="false">IF(DN$15=1,INDEX(Vol_O,17,DN$14)/12*(1+P_dVol),0)</f>
        <v>0</v>
      </c>
      <c r="DO37" s="34" t="n">
        <f aca="false">IF(DO$15=1,INDEX(Vol_O,17,DO$14)/12*(1+P_dVol),0)</f>
        <v>0</v>
      </c>
      <c r="DP37" s="34" t="n">
        <f aca="false">IF(DP$15=1,INDEX(Vol_O,17,DP$14)/12*(1+P_dVol),0)</f>
        <v>0</v>
      </c>
      <c r="DQ37" s="34" t="n">
        <f aca="false">IF(DQ$15=1,INDEX(Vol_O,17,DQ$14)/12*(1+P_dVol),0)</f>
        <v>0</v>
      </c>
      <c r="DR37" s="34" t="n">
        <f aca="false">IF(DR$15=1,INDEX(Vol_O,17,DR$14)/12*(1+P_dVol),0)</f>
        <v>0</v>
      </c>
      <c r="DS37" s="34" t="n">
        <f aca="false">IF(DS$15=1,INDEX(Vol_O,17,DS$14)/12*(1+P_dVol),0)</f>
        <v>0</v>
      </c>
      <c r="DT37" s="34" t="n">
        <f aca="false">IF(DT$15=1,INDEX(Vol_O,17,DT$14)/12*(1+P_dVol),0)</f>
        <v>0</v>
      </c>
      <c r="DU37" s="34" t="n">
        <f aca="false">IF(DU$15=1,INDEX(Vol_O,17,DU$14)/12*(1+P_dVol),0)</f>
        <v>0</v>
      </c>
      <c r="DV37" s="34" t="n">
        <f aca="false">IF(DV$15=1,INDEX(Vol_O,17,DV$14)/12*(1+P_dVol),0)</f>
        <v>0</v>
      </c>
      <c r="DW37" s="34" t="n">
        <f aca="false">IF(DW$15=1,INDEX(Vol_O,17,DW$14)/12*(1+P_dVol),0)</f>
        <v>0</v>
      </c>
      <c r="DX37" s="34" t="n">
        <f aca="false">IF(DX$15=1,INDEX(Vol_O,17,DX$14)/12*(1+P_dVol),0)</f>
        <v>0</v>
      </c>
      <c r="DY37" s="34" t="n">
        <f aca="false">IF(DY$15=1,INDEX(Vol_O,17,DY$14)/12*(1+P_dVol),0)</f>
        <v>0</v>
      </c>
      <c r="DZ37" s="34" t="n">
        <f aca="false">IF(DZ$15=1,INDEX(Vol_O,17,DZ$14)/12*(1+P_dVol),0)</f>
        <v>0</v>
      </c>
      <c r="EA37" s="34" t="n">
        <f aca="false">IF(EA$15=1,INDEX(Vol_O,17,EA$14)/12*(1+P_dVol),0)</f>
        <v>0</v>
      </c>
      <c r="EB37" s="34" t="n">
        <f aca="false">IF(EB$15=1,INDEX(Vol_O,17,EB$14)/12*(1+P_dVol),0)</f>
        <v>0</v>
      </c>
      <c r="EC37" s="34" t="n">
        <f aca="false">IF(EC$15=1,INDEX(Vol_O,17,EC$14)/12*(1+P_dVol),0)</f>
        <v>0</v>
      </c>
      <c r="ED37" s="34" t="n">
        <f aca="false">IF(ED$15=1,INDEX(Vol_O,17,ED$14)/12*(1+P_dVol),0)</f>
        <v>0</v>
      </c>
      <c r="EE37" s="34" t="n">
        <f aca="false">IF(EE$15=1,INDEX(Vol_O,17,EE$14)/12*(1+P_dVol),0)</f>
        <v>0</v>
      </c>
      <c r="EF37" s="34" t="n">
        <f aca="false">IF(EF$15=1,INDEX(Vol_O,17,EF$14)/12*(1+P_dVol),0)</f>
        <v>0</v>
      </c>
      <c r="EG37" s="34" t="n">
        <f aca="false">IF(EG$15=1,INDEX(Vol_O,17,EG$14)/12*(1+P_dVol),0)</f>
        <v>0</v>
      </c>
      <c r="EH37" s="34" t="n">
        <f aca="false">IF(EH$15=1,INDEX(Vol_O,17,EH$14)/12*(1+P_dVol),0)</f>
        <v>0</v>
      </c>
      <c r="EI37" s="34" t="n">
        <f aca="false">IF(EI$15=1,INDEX(Vol_O,17,EI$14)/12*(1+P_dVol),0)</f>
        <v>0</v>
      </c>
      <c r="EJ37" s="34" t="n">
        <f aca="false">IF(EJ$15=1,INDEX(Vol_O,17,EJ$14)/12*(1+P_dVol),0)</f>
        <v>0</v>
      </c>
      <c r="EK37" s="34" t="n">
        <f aca="false">IF(EK$15=1,INDEX(Vol_O,17,EK$14)/12*(1+P_dVol),0)</f>
        <v>0</v>
      </c>
      <c r="EL37" s="34" t="n">
        <f aca="false">IF(EL$15=1,INDEX(Vol_O,17,EL$14)/12*(1+P_dVol),0)</f>
        <v>0</v>
      </c>
      <c r="EM37" s="34" t="n">
        <f aca="false">IF(EM$15=1,INDEX(Vol_O,17,EM$14)/12*(1+P_dVol),0)</f>
        <v>0</v>
      </c>
      <c r="EN37" s="34" t="n">
        <f aca="false">IF(EN$15=1,INDEX(Vol_O,17,EN$14)/12*(1+P_dVol),0)</f>
        <v>0</v>
      </c>
      <c r="EO37" s="34" t="n">
        <f aca="false">IF(EO$15=1,INDEX(Vol_O,17,EO$14)/12*(1+P_dVol),0)</f>
        <v>0</v>
      </c>
      <c r="EP37" s="34" t="n">
        <f aca="false">IF(EP$15=1,INDEX(Vol_O,17,EP$14)/12*(1+P_dVol),0)</f>
        <v>0</v>
      </c>
      <c r="EQ37" s="34" t="n">
        <f aca="false">IF(EQ$15=1,INDEX(Vol_O,17,EQ$14)/12*(1+P_dVol),0)</f>
        <v>0</v>
      </c>
      <c r="ER37" s="34" t="n">
        <f aca="false">IF(ER$15=1,INDEX(Vol_O,17,ER$14)/12*(1+P_dVol),0)</f>
        <v>0</v>
      </c>
      <c r="ES37" s="34" t="n">
        <f aca="false">IF(ES$15=1,INDEX(Vol_O,17,ES$14)/12*(1+P_dVol),0)</f>
        <v>0</v>
      </c>
    </row>
    <row r="38" customFormat="false" ht="15" hidden="false" customHeight="false" outlineLevel="0" collapsed="false">
      <c r="A38" s="2" t="s">
        <v>601</v>
      </c>
      <c r="B38" s="39" t="str">
        <f aca="false">IF(INDEX(Prod_Nombre,18)="","Producto 18",INDEX(Prod_Nombre,18))&amp;" — unidades"</f>
        <v>Producto 18 — unidades</v>
      </c>
      <c r="C38" s="6" t="s">
        <v>286</v>
      </c>
      <c r="E38" s="40" t="n">
        <f aca="false">SUM(F38:ES38)</f>
        <v>0</v>
      </c>
      <c r="F38" s="34" t="n">
        <f aca="false">IF(F$15=1,INDEX(Vol_O,18,F$14)/12*(1+P_dVol),0)</f>
        <v>0</v>
      </c>
      <c r="G38" s="34" t="n">
        <f aca="false">IF(G$15=1,INDEX(Vol_O,18,G$14)/12*(1+P_dVol),0)</f>
        <v>0</v>
      </c>
      <c r="H38" s="34" t="n">
        <f aca="false">IF(H$15=1,INDEX(Vol_O,18,H$14)/12*(1+P_dVol),0)</f>
        <v>0</v>
      </c>
      <c r="I38" s="34" t="n">
        <f aca="false">IF(I$15=1,INDEX(Vol_O,18,I$14)/12*(1+P_dVol),0)</f>
        <v>0</v>
      </c>
      <c r="J38" s="34" t="n">
        <f aca="false">IF(J$15=1,INDEX(Vol_O,18,J$14)/12*(1+P_dVol),0)</f>
        <v>0</v>
      </c>
      <c r="K38" s="34" t="n">
        <f aca="false">IF(K$15=1,INDEX(Vol_O,18,K$14)/12*(1+P_dVol),0)</f>
        <v>0</v>
      </c>
      <c r="L38" s="34" t="n">
        <f aca="false">IF(L$15=1,INDEX(Vol_O,18,L$14)/12*(1+P_dVol),0)</f>
        <v>0</v>
      </c>
      <c r="M38" s="34" t="n">
        <f aca="false">IF(M$15=1,INDEX(Vol_O,18,M$14)/12*(1+P_dVol),0)</f>
        <v>0</v>
      </c>
      <c r="N38" s="34" t="n">
        <f aca="false">IF(N$15=1,INDEX(Vol_O,18,N$14)/12*(1+P_dVol),0)</f>
        <v>0</v>
      </c>
      <c r="O38" s="34" t="n">
        <f aca="false">IF(O$15=1,INDEX(Vol_O,18,O$14)/12*(1+P_dVol),0)</f>
        <v>0</v>
      </c>
      <c r="P38" s="34" t="n">
        <f aca="false">IF(P$15=1,INDEX(Vol_O,18,P$14)/12*(1+P_dVol),0)</f>
        <v>0</v>
      </c>
      <c r="Q38" s="34" t="n">
        <f aca="false">IF(Q$15=1,INDEX(Vol_O,18,Q$14)/12*(1+P_dVol),0)</f>
        <v>0</v>
      </c>
      <c r="R38" s="34" t="n">
        <f aca="false">IF(R$15=1,INDEX(Vol_O,18,R$14)/12*(1+P_dVol),0)</f>
        <v>0</v>
      </c>
      <c r="S38" s="34" t="n">
        <f aca="false">IF(S$15=1,INDEX(Vol_O,18,S$14)/12*(1+P_dVol),0)</f>
        <v>0</v>
      </c>
      <c r="T38" s="34" t="n">
        <f aca="false">IF(T$15=1,INDEX(Vol_O,18,T$14)/12*(1+P_dVol),0)</f>
        <v>0</v>
      </c>
      <c r="U38" s="34" t="n">
        <f aca="false">IF(U$15=1,INDEX(Vol_O,18,U$14)/12*(1+P_dVol),0)</f>
        <v>0</v>
      </c>
      <c r="V38" s="34" t="n">
        <f aca="false">IF(V$15=1,INDEX(Vol_O,18,V$14)/12*(1+P_dVol),0)</f>
        <v>0</v>
      </c>
      <c r="W38" s="34" t="n">
        <f aca="false">IF(W$15=1,INDEX(Vol_O,18,W$14)/12*(1+P_dVol),0)</f>
        <v>0</v>
      </c>
      <c r="X38" s="34" t="n">
        <f aca="false">IF(X$15=1,INDEX(Vol_O,18,X$14)/12*(1+P_dVol),0)</f>
        <v>0</v>
      </c>
      <c r="Y38" s="34" t="n">
        <f aca="false">IF(Y$15=1,INDEX(Vol_O,18,Y$14)/12*(1+P_dVol),0)</f>
        <v>0</v>
      </c>
      <c r="Z38" s="34" t="n">
        <f aca="false">IF(Z$15=1,INDEX(Vol_O,18,Z$14)/12*(1+P_dVol),0)</f>
        <v>0</v>
      </c>
      <c r="AA38" s="34" t="n">
        <f aca="false">IF(AA$15=1,INDEX(Vol_O,18,AA$14)/12*(1+P_dVol),0)</f>
        <v>0</v>
      </c>
      <c r="AB38" s="34" t="n">
        <f aca="false">IF(AB$15=1,INDEX(Vol_O,18,AB$14)/12*(1+P_dVol),0)</f>
        <v>0</v>
      </c>
      <c r="AC38" s="34" t="n">
        <f aca="false">IF(AC$15=1,INDEX(Vol_O,18,AC$14)/12*(1+P_dVol),0)</f>
        <v>0</v>
      </c>
      <c r="AD38" s="34" t="n">
        <f aca="false">IF(AD$15=1,INDEX(Vol_O,18,AD$14)/12*(1+P_dVol),0)</f>
        <v>0</v>
      </c>
      <c r="AE38" s="34" t="n">
        <f aca="false">IF(AE$15=1,INDEX(Vol_O,18,AE$14)/12*(1+P_dVol),0)</f>
        <v>0</v>
      </c>
      <c r="AF38" s="34" t="n">
        <f aca="false">IF(AF$15=1,INDEX(Vol_O,18,AF$14)/12*(1+P_dVol),0)</f>
        <v>0</v>
      </c>
      <c r="AG38" s="34" t="n">
        <f aca="false">IF(AG$15=1,INDEX(Vol_O,18,AG$14)/12*(1+P_dVol),0)</f>
        <v>0</v>
      </c>
      <c r="AH38" s="34" t="n">
        <f aca="false">IF(AH$15=1,INDEX(Vol_O,18,AH$14)/12*(1+P_dVol),0)</f>
        <v>0</v>
      </c>
      <c r="AI38" s="34" t="n">
        <f aca="false">IF(AI$15=1,INDEX(Vol_O,18,AI$14)/12*(1+P_dVol),0)</f>
        <v>0</v>
      </c>
      <c r="AJ38" s="34" t="n">
        <f aca="false">IF(AJ$15=1,INDEX(Vol_O,18,AJ$14)/12*(1+P_dVol),0)</f>
        <v>0</v>
      </c>
      <c r="AK38" s="34" t="n">
        <f aca="false">IF(AK$15=1,INDEX(Vol_O,18,AK$14)/12*(1+P_dVol),0)</f>
        <v>0</v>
      </c>
      <c r="AL38" s="34" t="n">
        <f aca="false">IF(AL$15=1,INDEX(Vol_O,18,AL$14)/12*(1+P_dVol),0)</f>
        <v>0</v>
      </c>
      <c r="AM38" s="34" t="n">
        <f aca="false">IF(AM$15=1,INDEX(Vol_O,18,AM$14)/12*(1+P_dVol),0)</f>
        <v>0</v>
      </c>
      <c r="AN38" s="34" t="n">
        <f aca="false">IF(AN$15=1,INDEX(Vol_O,18,AN$14)/12*(1+P_dVol),0)</f>
        <v>0</v>
      </c>
      <c r="AO38" s="34" t="n">
        <f aca="false">IF(AO$15=1,INDEX(Vol_O,18,AO$14)/12*(1+P_dVol),0)</f>
        <v>0</v>
      </c>
      <c r="AP38" s="34" t="n">
        <f aca="false">IF(AP$15=1,INDEX(Vol_O,18,AP$14)/12*(1+P_dVol),0)</f>
        <v>0</v>
      </c>
      <c r="AQ38" s="34" t="n">
        <f aca="false">IF(AQ$15=1,INDEX(Vol_O,18,AQ$14)/12*(1+P_dVol),0)</f>
        <v>0</v>
      </c>
      <c r="AR38" s="34" t="n">
        <f aca="false">IF(AR$15=1,INDEX(Vol_O,18,AR$14)/12*(1+P_dVol),0)</f>
        <v>0</v>
      </c>
      <c r="AS38" s="34" t="n">
        <f aca="false">IF(AS$15=1,INDEX(Vol_O,18,AS$14)/12*(1+P_dVol),0)</f>
        <v>0</v>
      </c>
      <c r="AT38" s="34" t="n">
        <f aca="false">IF(AT$15=1,INDEX(Vol_O,18,AT$14)/12*(1+P_dVol),0)</f>
        <v>0</v>
      </c>
      <c r="AU38" s="34" t="n">
        <f aca="false">IF(AU$15=1,INDEX(Vol_O,18,AU$14)/12*(1+P_dVol),0)</f>
        <v>0</v>
      </c>
      <c r="AV38" s="34" t="n">
        <f aca="false">IF(AV$15=1,INDEX(Vol_O,18,AV$14)/12*(1+P_dVol),0)</f>
        <v>0</v>
      </c>
      <c r="AW38" s="34" t="n">
        <f aca="false">IF(AW$15=1,INDEX(Vol_O,18,AW$14)/12*(1+P_dVol),0)</f>
        <v>0</v>
      </c>
      <c r="AX38" s="34" t="n">
        <f aca="false">IF(AX$15=1,INDEX(Vol_O,18,AX$14)/12*(1+P_dVol),0)</f>
        <v>0</v>
      </c>
      <c r="AY38" s="34" t="n">
        <f aca="false">IF(AY$15=1,INDEX(Vol_O,18,AY$14)/12*(1+P_dVol),0)</f>
        <v>0</v>
      </c>
      <c r="AZ38" s="34" t="n">
        <f aca="false">IF(AZ$15=1,INDEX(Vol_O,18,AZ$14)/12*(1+P_dVol),0)</f>
        <v>0</v>
      </c>
      <c r="BA38" s="34" t="n">
        <f aca="false">IF(BA$15=1,INDEX(Vol_O,18,BA$14)/12*(1+P_dVol),0)</f>
        <v>0</v>
      </c>
      <c r="BB38" s="34" t="n">
        <f aca="false">IF(BB$15=1,INDEX(Vol_O,18,BB$14)/12*(1+P_dVol),0)</f>
        <v>0</v>
      </c>
      <c r="BC38" s="34" t="n">
        <f aca="false">IF(BC$15=1,INDEX(Vol_O,18,BC$14)/12*(1+P_dVol),0)</f>
        <v>0</v>
      </c>
      <c r="BD38" s="34" t="n">
        <f aca="false">IF(BD$15=1,INDEX(Vol_O,18,BD$14)/12*(1+P_dVol),0)</f>
        <v>0</v>
      </c>
      <c r="BE38" s="34" t="n">
        <f aca="false">IF(BE$15=1,INDEX(Vol_O,18,BE$14)/12*(1+P_dVol),0)</f>
        <v>0</v>
      </c>
      <c r="BF38" s="34" t="n">
        <f aca="false">IF(BF$15=1,INDEX(Vol_O,18,BF$14)/12*(1+P_dVol),0)</f>
        <v>0</v>
      </c>
      <c r="BG38" s="34" t="n">
        <f aca="false">IF(BG$15=1,INDEX(Vol_O,18,BG$14)/12*(1+P_dVol),0)</f>
        <v>0</v>
      </c>
      <c r="BH38" s="34" t="n">
        <f aca="false">IF(BH$15=1,INDEX(Vol_O,18,BH$14)/12*(1+P_dVol),0)</f>
        <v>0</v>
      </c>
      <c r="BI38" s="34" t="n">
        <f aca="false">IF(BI$15=1,INDEX(Vol_O,18,BI$14)/12*(1+P_dVol),0)</f>
        <v>0</v>
      </c>
      <c r="BJ38" s="34" t="n">
        <f aca="false">IF(BJ$15=1,INDEX(Vol_O,18,BJ$14)/12*(1+P_dVol),0)</f>
        <v>0</v>
      </c>
      <c r="BK38" s="34" t="n">
        <f aca="false">IF(BK$15=1,INDEX(Vol_O,18,BK$14)/12*(1+P_dVol),0)</f>
        <v>0</v>
      </c>
      <c r="BL38" s="34" t="n">
        <f aca="false">IF(BL$15=1,INDEX(Vol_O,18,BL$14)/12*(1+P_dVol),0)</f>
        <v>0</v>
      </c>
      <c r="BM38" s="34" t="n">
        <f aca="false">IF(BM$15=1,INDEX(Vol_O,18,BM$14)/12*(1+P_dVol),0)</f>
        <v>0</v>
      </c>
      <c r="BN38" s="34" t="n">
        <f aca="false">IF(BN$15=1,INDEX(Vol_O,18,BN$14)/12*(1+P_dVol),0)</f>
        <v>0</v>
      </c>
      <c r="BO38" s="34" t="n">
        <f aca="false">IF(BO$15=1,INDEX(Vol_O,18,BO$14)/12*(1+P_dVol),0)</f>
        <v>0</v>
      </c>
      <c r="BP38" s="34" t="n">
        <f aca="false">IF(BP$15=1,INDEX(Vol_O,18,BP$14)/12*(1+P_dVol),0)</f>
        <v>0</v>
      </c>
      <c r="BQ38" s="34" t="n">
        <f aca="false">IF(BQ$15=1,INDEX(Vol_O,18,BQ$14)/12*(1+P_dVol),0)</f>
        <v>0</v>
      </c>
      <c r="BR38" s="34" t="n">
        <f aca="false">IF(BR$15=1,INDEX(Vol_O,18,BR$14)/12*(1+P_dVol),0)</f>
        <v>0</v>
      </c>
      <c r="BS38" s="34" t="n">
        <f aca="false">IF(BS$15=1,INDEX(Vol_O,18,BS$14)/12*(1+P_dVol),0)</f>
        <v>0</v>
      </c>
      <c r="BT38" s="34" t="n">
        <f aca="false">IF(BT$15=1,INDEX(Vol_O,18,BT$14)/12*(1+P_dVol),0)</f>
        <v>0</v>
      </c>
      <c r="BU38" s="34" t="n">
        <f aca="false">IF(BU$15=1,INDEX(Vol_O,18,BU$14)/12*(1+P_dVol),0)</f>
        <v>0</v>
      </c>
      <c r="BV38" s="34" t="n">
        <f aca="false">IF(BV$15=1,INDEX(Vol_O,18,BV$14)/12*(1+P_dVol),0)</f>
        <v>0</v>
      </c>
      <c r="BW38" s="34" t="n">
        <f aca="false">IF(BW$15=1,INDEX(Vol_O,18,BW$14)/12*(1+P_dVol),0)</f>
        <v>0</v>
      </c>
      <c r="BX38" s="34" t="n">
        <f aca="false">IF(BX$15=1,INDEX(Vol_O,18,BX$14)/12*(1+P_dVol),0)</f>
        <v>0</v>
      </c>
      <c r="BY38" s="34" t="n">
        <f aca="false">IF(BY$15=1,INDEX(Vol_O,18,BY$14)/12*(1+P_dVol),0)</f>
        <v>0</v>
      </c>
      <c r="BZ38" s="34" t="n">
        <f aca="false">IF(BZ$15=1,INDEX(Vol_O,18,BZ$14)/12*(1+P_dVol),0)</f>
        <v>0</v>
      </c>
      <c r="CA38" s="34" t="n">
        <f aca="false">IF(CA$15=1,INDEX(Vol_O,18,CA$14)/12*(1+P_dVol),0)</f>
        <v>0</v>
      </c>
      <c r="CB38" s="34" t="n">
        <f aca="false">IF(CB$15=1,INDEX(Vol_O,18,CB$14)/12*(1+P_dVol),0)</f>
        <v>0</v>
      </c>
      <c r="CC38" s="34" t="n">
        <f aca="false">IF(CC$15=1,INDEX(Vol_O,18,CC$14)/12*(1+P_dVol),0)</f>
        <v>0</v>
      </c>
      <c r="CD38" s="34" t="n">
        <f aca="false">IF(CD$15=1,INDEX(Vol_O,18,CD$14)/12*(1+P_dVol),0)</f>
        <v>0</v>
      </c>
      <c r="CE38" s="34" t="n">
        <f aca="false">IF(CE$15=1,INDEX(Vol_O,18,CE$14)/12*(1+P_dVol),0)</f>
        <v>0</v>
      </c>
      <c r="CF38" s="34" t="n">
        <f aca="false">IF(CF$15=1,INDEX(Vol_O,18,CF$14)/12*(1+P_dVol),0)</f>
        <v>0</v>
      </c>
      <c r="CG38" s="34" t="n">
        <f aca="false">IF(CG$15=1,INDEX(Vol_O,18,CG$14)/12*(1+P_dVol),0)</f>
        <v>0</v>
      </c>
      <c r="CH38" s="34" t="n">
        <f aca="false">IF(CH$15=1,INDEX(Vol_O,18,CH$14)/12*(1+P_dVol),0)</f>
        <v>0</v>
      </c>
      <c r="CI38" s="34" t="n">
        <f aca="false">IF(CI$15=1,INDEX(Vol_O,18,CI$14)/12*(1+P_dVol),0)</f>
        <v>0</v>
      </c>
      <c r="CJ38" s="34" t="n">
        <f aca="false">IF(CJ$15=1,INDEX(Vol_O,18,CJ$14)/12*(1+P_dVol),0)</f>
        <v>0</v>
      </c>
      <c r="CK38" s="34" t="n">
        <f aca="false">IF(CK$15=1,INDEX(Vol_O,18,CK$14)/12*(1+P_dVol),0)</f>
        <v>0</v>
      </c>
      <c r="CL38" s="34" t="n">
        <f aca="false">IF(CL$15=1,INDEX(Vol_O,18,CL$14)/12*(1+P_dVol),0)</f>
        <v>0</v>
      </c>
      <c r="CM38" s="34" t="n">
        <f aca="false">IF(CM$15=1,INDEX(Vol_O,18,CM$14)/12*(1+P_dVol),0)</f>
        <v>0</v>
      </c>
      <c r="CN38" s="34" t="n">
        <f aca="false">IF(CN$15=1,INDEX(Vol_O,18,CN$14)/12*(1+P_dVol),0)</f>
        <v>0</v>
      </c>
      <c r="CO38" s="34" t="n">
        <f aca="false">IF(CO$15=1,INDEX(Vol_O,18,CO$14)/12*(1+P_dVol),0)</f>
        <v>0</v>
      </c>
      <c r="CP38" s="34" t="n">
        <f aca="false">IF(CP$15=1,INDEX(Vol_O,18,CP$14)/12*(1+P_dVol),0)</f>
        <v>0</v>
      </c>
      <c r="CQ38" s="34" t="n">
        <f aca="false">IF(CQ$15=1,INDEX(Vol_O,18,CQ$14)/12*(1+P_dVol),0)</f>
        <v>0</v>
      </c>
      <c r="CR38" s="34" t="n">
        <f aca="false">IF(CR$15=1,INDEX(Vol_O,18,CR$14)/12*(1+P_dVol),0)</f>
        <v>0</v>
      </c>
      <c r="CS38" s="34" t="n">
        <f aca="false">IF(CS$15=1,INDEX(Vol_O,18,CS$14)/12*(1+P_dVol),0)</f>
        <v>0</v>
      </c>
      <c r="CT38" s="34" t="n">
        <f aca="false">IF(CT$15=1,INDEX(Vol_O,18,CT$14)/12*(1+P_dVol),0)</f>
        <v>0</v>
      </c>
      <c r="CU38" s="34" t="n">
        <f aca="false">IF(CU$15=1,INDEX(Vol_O,18,CU$14)/12*(1+P_dVol),0)</f>
        <v>0</v>
      </c>
      <c r="CV38" s="34" t="n">
        <f aca="false">IF(CV$15=1,INDEX(Vol_O,18,CV$14)/12*(1+P_dVol),0)</f>
        <v>0</v>
      </c>
      <c r="CW38" s="34" t="n">
        <f aca="false">IF(CW$15=1,INDEX(Vol_O,18,CW$14)/12*(1+P_dVol),0)</f>
        <v>0</v>
      </c>
      <c r="CX38" s="34" t="n">
        <f aca="false">IF(CX$15=1,INDEX(Vol_O,18,CX$14)/12*(1+P_dVol),0)</f>
        <v>0</v>
      </c>
      <c r="CY38" s="34" t="n">
        <f aca="false">IF(CY$15=1,INDEX(Vol_O,18,CY$14)/12*(1+P_dVol),0)</f>
        <v>0</v>
      </c>
      <c r="CZ38" s="34" t="n">
        <f aca="false">IF(CZ$15=1,INDEX(Vol_O,18,CZ$14)/12*(1+P_dVol),0)</f>
        <v>0</v>
      </c>
      <c r="DA38" s="34" t="n">
        <f aca="false">IF(DA$15=1,INDEX(Vol_O,18,DA$14)/12*(1+P_dVol),0)</f>
        <v>0</v>
      </c>
      <c r="DB38" s="34" t="n">
        <f aca="false">IF(DB$15=1,INDEX(Vol_O,18,DB$14)/12*(1+P_dVol),0)</f>
        <v>0</v>
      </c>
      <c r="DC38" s="34" t="n">
        <f aca="false">IF(DC$15=1,INDEX(Vol_O,18,DC$14)/12*(1+P_dVol),0)</f>
        <v>0</v>
      </c>
      <c r="DD38" s="34" t="n">
        <f aca="false">IF(DD$15=1,INDEX(Vol_O,18,DD$14)/12*(1+P_dVol),0)</f>
        <v>0</v>
      </c>
      <c r="DE38" s="34" t="n">
        <f aca="false">IF(DE$15=1,INDEX(Vol_O,18,DE$14)/12*(1+P_dVol),0)</f>
        <v>0</v>
      </c>
      <c r="DF38" s="34" t="n">
        <f aca="false">IF(DF$15=1,INDEX(Vol_O,18,DF$14)/12*(1+P_dVol),0)</f>
        <v>0</v>
      </c>
      <c r="DG38" s="34" t="n">
        <f aca="false">IF(DG$15=1,INDEX(Vol_O,18,DG$14)/12*(1+P_dVol),0)</f>
        <v>0</v>
      </c>
      <c r="DH38" s="34" t="n">
        <f aca="false">IF(DH$15=1,INDEX(Vol_O,18,DH$14)/12*(1+P_dVol),0)</f>
        <v>0</v>
      </c>
      <c r="DI38" s="34" t="n">
        <f aca="false">IF(DI$15=1,INDEX(Vol_O,18,DI$14)/12*(1+P_dVol),0)</f>
        <v>0</v>
      </c>
      <c r="DJ38" s="34" t="n">
        <f aca="false">IF(DJ$15=1,INDEX(Vol_O,18,DJ$14)/12*(1+P_dVol),0)</f>
        <v>0</v>
      </c>
      <c r="DK38" s="34" t="n">
        <f aca="false">IF(DK$15=1,INDEX(Vol_O,18,DK$14)/12*(1+P_dVol),0)</f>
        <v>0</v>
      </c>
      <c r="DL38" s="34" t="n">
        <f aca="false">IF(DL$15=1,INDEX(Vol_O,18,DL$14)/12*(1+P_dVol),0)</f>
        <v>0</v>
      </c>
      <c r="DM38" s="34" t="n">
        <f aca="false">IF(DM$15=1,INDEX(Vol_O,18,DM$14)/12*(1+P_dVol),0)</f>
        <v>0</v>
      </c>
      <c r="DN38" s="34" t="n">
        <f aca="false">IF(DN$15=1,INDEX(Vol_O,18,DN$14)/12*(1+P_dVol),0)</f>
        <v>0</v>
      </c>
      <c r="DO38" s="34" t="n">
        <f aca="false">IF(DO$15=1,INDEX(Vol_O,18,DO$14)/12*(1+P_dVol),0)</f>
        <v>0</v>
      </c>
      <c r="DP38" s="34" t="n">
        <f aca="false">IF(DP$15=1,INDEX(Vol_O,18,DP$14)/12*(1+P_dVol),0)</f>
        <v>0</v>
      </c>
      <c r="DQ38" s="34" t="n">
        <f aca="false">IF(DQ$15=1,INDEX(Vol_O,18,DQ$14)/12*(1+P_dVol),0)</f>
        <v>0</v>
      </c>
      <c r="DR38" s="34" t="n">
        <f aca="false">IF(DR$15=1,INDEX(Vol_O,18,DR$14)/12*(1+P_dVol),0)</f>
        <v>0</v>
      </c>
      <c r="DS38" s="34" t="n">
        <f aca="false">IF(DS$15=1,INDEX(Vol_O,18,DS$14)/12*(1+P_dVol),0)</f>
        <v>0</v>
      </c>
      <c r="DT38" s="34" t="n">
        <f aca="false">IF(DT$15=1,INDEX(Vol_O,18,DT$14)/12*(1+P_dVol),0)</f>
        <v>0</v>
      </c>
      <c r="DU38" s="34" t="n">
        <f aca="false">IF(DU$15=1,INDEX(Vol_O,18,DU$14)/12*(1+P_dVol),0)</f>
        <v>0</v>
      </c>
      <c r="DV38" s="34" t="n">
        <f aca="false">IF(DV$15=1,INDEX(Vol_O,18,DV$14)/12*(1+P_dVol),0)</f>
        <v>0</v>
      </c>
      <c r="DW38" s="34" t="n">
        <f aca="false">IF(DW$15=1,INDEX(Vol_O,18,DW$14)/12*(1+P_dVol),0)</f>
        <v>0</v>
      </c>
      <c r="DX38" s="34" t="n">
        <f aca="false">IF(DX$15=1,INDEX(Vol_O,18,DX$14)/12*(1+P_dVol),0)</f>
        <v>0</v>
      </c>
      <c r="DY38" s="34" t="n">
        <f aca="false">IF(DY$15=1,INDEX(Vol_O,18,DY$14)/12*(1+P_dVol),0)</f>
        <v>0</v>
      </c>
      <c r="DZ38" s="34" t="n">
        <f aca="false">IF(DZ$15=1,INDEX(Vol_O,18,DZ$14)/12*(1+P_dVol),0)</f>
        <v>0</v>
      </c>
      <c r="EA38" s="34" t="n">
        <f aca="false">IF(EA$15=1,INDEX(Vol_O,18,EA$14)/12*(1+P_dVol),0)</f>
        <v>0</v>
      </c>
      <c r="EB38" s="34" t="n">
        <f aca="false">IF(EB$15=1,INDEX(Vol_O,18,EB$14)/12*(1+P_dVol),0)</f>
        <v>0</v>
      </c>
      <c r="EC38" s="34" t="n">
        <f aca="false">IF(EC$15=1,INDEX(Vol_O,18,EC$14)/12*(1+P_dVol),0)</f>
        <v>0</v>
      </c>
      <c r="ED38" s="34" t="n">
        <f aca="false">IF(ED$15=1,INDEX(Vol_O,18,ED$14)/12*(1+P_dVol),0)</f>
        <v>0</v>
      </c>
      <c r="EE38" s="34" t="n">
        <f aca="false">IF(EE$15=1,INDEX(Vol_O,18,EE$14)/12*(1+P_dVol),0)</f>
        <v>0</v>
      </c>
      <c r="EF38" s="34" t="n">
        <f aca="false">IF(EF$15=1,INDEX(Vol_O,18,EF$14)/12*(1+P_dVol),0)</f>
        <v>0</v>
      </c>
      <c r="EG38" s="34" t="n">
        <f aca="false">IF(EG$15=1,INDEX(Vol_O,18,EG$14)/12*(1+P_dVol),0)</f>
        <v>0</v>
      </c>
      <c r="EH38" s="34" t="n">
        <f aca="false">IF(EH$15=1,INDEX(Vol_O,18,EH$14)/12*(1+P_dVol),0)</f>
        <v>0</v>
      </c>
      <c r="EI38" s="34" t="n">
        <f aca="false">IF(EI$15=1,INDEX(Vol_O,18,EI$14)/12*(1+P_dVol),0)</f>
        <v>0</v>
      </c>
      <c r="EJ38" s="34" t="n">
        <f aca="false">IF(EJ$15=1,INDEX(Vol_O,18,EJ$14)/12*(1+P_dVol),0)</f>
        <v>0</v>
      </c>
      <c r="EK38" s="34" t="n">
        <f aca="false">IF(EK$15=1,INDEX(Vol_O,18,EK$14)/12*(1+P_dVol),0)</f>
        <v>0</v>
      </c>
      <c r="EL38" s="34" t="n">
        <f aca="false">IF(EL$15=1,INDEX(Vol_O,18,EL$14)/12*(1+P_dVol),0)</f>
        <v>0</v>
      </c>
      <c r="EM38" s="34" t="n">
        <f aca="false">IF(EM$15=1,INDEX(Vol_O,18,EM$14)/12*(1+P_dVol),0)</f>
        <v>0</v>
      </c>
      <c r="EN38" s="34" t="n">
        <f aca="false">IF(EN$15=1,INDEX(Vol_O,18,EN$14)/12*(1+P_dVol),0)</f>
        <v>0</v>
      </c>
      <c r="EO38" s="34" t="n">
        <f aca="false">IF(EO$15=1,INDEX(Vol_O,18,EO$14)/12*(1+P_dVol),0)</f>
        <v>0</v>
      </c>
      <c r="EP38" s="34" t="n">
        <f aca="false">IF(EP$15=1,INDEX(Vol_O,18,EP$14)/12*(1+P_dVol),0)</f>
        <v>0</v>
      </c>
      <c r="EQ38" s="34" t="n">
        <f aca="false">IF(EQ$15=1,INDEX(Vol_O,18,EQ$14)/12*(1+P_dVol),0)</f>
        <v>0</v>
      </c>
      <c r="ER38" s="34" t="n">
        <f aca="false">IF(ER$15=1,INDEX(Vol_O,18,ER$14)/12*(1+P_dVol),0)</f>
        <v>0</v>
      </c>
      <c r="ES38" s="34" t="n">
        <f aca="false">IF(ES$15=1,INDEX(Vol_O,18,ES$14)/12*(1+P_dVol),0)</f>
        <v>0</v>
      </c>
    </row>
    <row r="39" customFormat="false" ht="15" hidden="false" customHeight="false" outlineLevel="0" collapsed="false">
      <c r="A39" s="2" t="s">
        <v>602</v>
      </c>
      <c r="B39" s="39" t="str">
        <f aca="false">IF(INDEX(Prod_Nombre,19)="","Producto 19",INDEX(Prod_Nombre,19))&amp;" — unidades"</f>
        <v>Producto 19 — unidades</v>
      </c>
      <c r="C39" s="6" t="s">
        <v>286</v>
      </c>
      <c r="E39" s="40" t="n">
        <f aca="false">SUM(F39:ES39)</f>
        <v>0</v>
      </c>
      <c r="F39" s="34" t="n">
        <f aca="false">IF(F$15=1,INDEX(Vol_O,19,F$14)/12*(1+P_dVol),0)</f>
        <v>0</v>
      </c>
      <c r="G39" s="34" t="n">
        <f aca="false">IF(G$15=1,INDEX(Vol_O,19,G$14)/12*(1+P_dVol),0)</f>
        <v>0</v>
      </c>
      <c r="H39" s="34" t="n">
        <f aca="false">IF(H$15=1,INDEX(Vol_O,19,H$14)/12*(1+P_dVol),0)</f>
        <v>0</v>
      </c>
      <c r="I39" s="34" t="n">
        <f aca="false">IF(I$15=1,INDEX(Vol_O,19,I$14)/12*(1+P_dVol),0)</f>
        <v>0</v>
      </c>
      <c r="J39" s="34" t="n">
        <f aca="false">IF(J$15=1,INDEX(Vol_O,19,J$14)/12*(1+P_dVol),0)</f>
        <v>0</v>
      </c>
      <c r="K39" s="34" t="n">
        <f aca="false">IF(K$15=1,INDEX(Vol_O,19,K$14)/12*(1+P_dVol),0)</f>
        <v>0</v>
      </c>
      <c r="L39" s="34" t="n">
        <f aca="false">IF(L$15=1,INDEX(Vol_O,19,L$14)/12*(1+P_dVol),0)</f>
        <v>0</v>
      </c>
      <c r="M39" s="34" t="n">
        <f aca="false">IF(M$15=1,INDEX(Vol_O,19,M$14)/12*(1+P_dVol),0)</f>
        <v>0</v>
      </c>
      <c r="N39" s="34" t="n">
        <f aca="false">IF(N$15=1,INDEX(Vol_O,19,N$14)/12*(1+P_dVol),0)</f>
        <v>0</v>
      </c>
      <c r="O39" s="34" t="n">
        <f aca="false">IF(O$15=1,INDEX(Vol_O,19,O$14)/12*(1+P_dVol),0)</f>
        <v>0</v>
      </c>
      <c r="P39" s="34" t="n">
        <f aca="false">IF(P$15=1,INDEX(Vol_O,19,P$14)/12*(1+P_dVol),0)</f>
        <v>0</v>
      </c>
      <c r="Q39" s="34" t="n">
        <f aca="false">IF(Q$15=1,INDEX(Vol_O,19,Q$14)/12*(1+P_dVol),0)</f>
        <v>0</v>
      </c>
      <c r="R39" s="34" t="n">
        <f aca="false">IF(R$15=1,INDEX(Vol_O,19,R$14)/12*(1+P_dVol),0)</f>
        <v>0</v>
      </c>
      <c r="S39" s="34" t="n">
        <f aca="false">IF(S$15=1,INDEX(Vol_O,19,S$14)/12*(1+P_dVol),0)</f>
        <v>0</v>
      </c>
      <c r="T39" s="34" t="n">
        <f aca="false">IF(T$15=1,INDEX(Vol_O,19,T$14)/12*(1+P_dVol),0)</f>
        <v>0</v>
      </c>
      <c r="U39" s="34" t="n">
        <f aca="false">IF(U$15=1,INDEX(Vol_O,19,U$14)/12*(1+P_dVol),0)</f>
        <v>0</v>
      </c>
      <c r="V39" s="34" t="n">
        <f aca="false">IF(V$15=1,INDEX(Vol_O,19,V$14)/12*(1+P_dVol),0)</f>
        <v>0</v>
      </c>
      <c r="W39" s="34" t="n">
        <f aca="false">IF(W$15=1,INDEX(Vol_O,19,W$14)/12*(1+P_dVol),0)</f>
        <v>0</v>
      </c>
      <c r="X39" s="34" t="n">
        <f aca="false">IF(X$15=1,INDEX(Vol_O,19,X$14)/12*(1+P_dVol),0)</f>
        <v>0</v>
      </c>
      <c r="Y39" s="34" t="n">
        <f aca="false">IF(Y$15=1,INDEX(Vol_O,19,Y$14)/12*(1+P_dVol),0)</f>
        <v>0</v>
      </c>
      <c r="Z39" s="34" t="n">
        <f aca="false">IF(Z$15=1,INDEX(Vol_O,19,Z$14)/12*(1+P_dVol),0)</f>
        <v>0</v>
      </c>
      <c r="AA39" s="34" t="n">
        <f aca="false">IF(AA$15=1,INDEX(Vol_O,19,AA$14)/12*(1+P_dVol),0)</f>
        <v>0</v>
      </c>
      <c r="AB39" s="34" t="n">
        <f aca="false">IF(AB$15=1,INDEX(Vol_O,19,AB$14)/12*(1+P_dVol),0)</f>
        <v>0</v>
      </c>
      <c r="AC39" s="34" t="n">
        <f aca="false">IF(AC$15=1,INDEX(Vol_O,19,AC$14)/12*(1+P_dVol),0)</f>
        <v>0</v>
      </c>
      <c r="AD39" s="34" t="n">
        <f aca="false">IF(AD$15=1,INDEX(Vol_O,19,AD$14)/12*(1+P_dVol),0)</f>
        <v>0</v>
      </c>
      <c r="AE39" s="34" t="n">
        <f aca="false">IF(AE$15=1,INDEX(Vol_O,19,AE$14)/12*(1+P_dVol),0)</f>
        <v>0</v>
      </c>
      <c r="AF39" s="34" t="n">
        <f aca="false">IF(AF$15=1,INDEX(Vol_O,19,AF$14)/12*(1+P_dVol),0)</f>
        <v>0</v>
      </c>
      <c r="AG39" s="34" t="n">
        <f aca="false">IF(AG$15=1,INDEX(Vol_O,19,AG$14)/12*(1+P_dVol),0)</f>
        <v>0</v>
      </c>
      <c r="AH39" s="34" t="n">
        <f aca="false">IF(AH$15=1,INDEX(Vol_O,19,AH$14)/12*(1+P_dVol),0)</f>
        <v>0</v>
      </c>
      <c r="AI39" s="34" t="n">
        <f aca="false">IF(AI$15=1,INDEX(Vol_O,19,AI$14)/12*(1+P_dVol),0)</f>
        <v>0</v>
      </c>
      <c r="AJ39" s="34" t="n">
        <f aca="false">IF(AJ$15=1,INDEX(Vol_O,19,AJ$14)/12*(1+P_dVol),0)</f>
        <v>0</v>
      </c>
      <c r="AK39" s="34" t="n">
        <f aca="false">IF(AK$15=1,INDEX(Vol_O,19,AK$14)/12*(1+P_dVol),0)</f>
        <v>0</v>
      </c>
      <c r="AL39" s="34" t="n">
        <f aca="false">IF(AL$15=1,INDEX(Vol_O,19,AL$14)/12*(1+P_dVol),0)</f>
        <v>0</v>
      </c>
      <c r="AM39" s="34" t="n">
        <f aca="false">IF(AM$15=1,INDEX(Vol_O,19,AM$14)/12*(1+P_dVol),0)</f>
        <v>0</v>
      </c>
      <c r="AN39" s="34" t="n">
        <f aca="false">IF(AN$15=1,INDEX(Vol_O,19,AN$14)/12*(1+P_dVol),0)</f>
        <v>0</v>
      </c>
      <c r="AO39" s="34" t="n">
        <f aca="false">IF(AO$15=1,INDEX(Vol_O,19,AO$14)/12*(1+P_dVol),0)</f>
        <v>0</v>
      </c>
      <c r="AP39" s="34" t="n">
        <f aca="false">IF(AP$15=1,INDEX(Vol_O,19,AP$14)/12*(1+P_dVol),0)</f>
        <v>0</v>
      </c>
      <c r="AQ39" s="34" t="n">
        <f aca="false">IF(AQ$15=1,INDEX(Vol_O,19,AQ$14)/12*(1+P_dVol),0)</f>
        <v>0</v>
      </c>
      <c r="AR39" s="34" t="n">
        <f aca="false">IF(AR$15=1,INDEX(Vol_O,19,AR$14)/12*(1+P_dVol),0)</f>
        <v>0</v>
      </c>
      <c r="AS39" s="34" t="n">
        <f aca="false">IF(AS$15=1,INDEX(Vol_O,19,AS$14)/12*(1+P_dVol),0)</f>
        <v>0</v>
      </c>
      <c r="AT39" s="34" t="n">
        <f aca="false">IF(AT$15=1,INDEX(Vol_O,19,AT$14)/12*(1+P_dVol),0)</f>
        <v>0</v>
      </c>
      <c r="AU39" s="34" t="n">
        <f aca="false">IF(AU$15=1,INDEX(Vol_O,19,AU$14)/12*(1+P_dVol),0)</f>
        <v>0</v>
      </c>
      <c r="AV39" s="34" t="n">
        <f aca="false">IF(AV$15=1,INDEX(Vol_O,19,AV$14)/12*(1+P_dVol),0)</f>
        <v>0</v>
      </c>
      <c r="AW39" s="34" t="n">
        <f aca="false">IF(AW$15=1,INDEX(Vol_O,19,AW$14)/12*(1+P_dVol),0)</f>
        <v>0</v>
      </c>
      <c r="AX39" s="34" t="n">
        <f aca="false">IF(AX$15=1,INDEX(Vol_O,19,AX$14)/12*(1+P_dVol),0)</f>
        <v>0</v>
      </c>
      <c r="AY39" s="34" t="n">
        <f aca="false">IF(AY$15=1,INDEX(Vol_O,19,AY$14)/12*(1+P_dVol),0)</f>
        <v>0</v>
      </c>
      <c r="AZ39" s="34" t="n">
        <f aca="false">IF(AZ$15=1,INDEX(Vol_O,19,AZ$14)/12*(1+P_dVol),0)</f>
        <v>0</v>
      </c>
      <c r="BA39" s="34" t="n">
        <f aca="false">IF(BA$15=1,INDEX(Vol_O,19,BA$14)/12*(1+P_dVol),0)</f>
        <v>0</v>
      </c>
      <c r="BB39" s="34" t="n">
        <f aca="false">IF(BB$15=1,INDEX(Vol_O,19,BB$14)/12*(1+P_dVol),0)</f>
        <v>0</v>
      </c>
      <c r="BC39" s="34" t="n">
        <f aca="false">IF(BC$15=1,INDEX(Vol_O,19,BC$14)/12*(1+P_dVol),0)</f>
        <v>0</v>
      </c>
      <c r="BD39" s="34" t="n">
        <f aca="false">IF(BD$15=1,INDEX(Vol_O,19,BD$14)/12*(1+P_dVol),0)</f>
        <v>0</v>
      </c>
      <c r="BE39" s="34" t="n">
        <f aca="false">IF(BE$15=1,INDEX(Vol_O,19,BE$14)/12*(1+P_dVol),0)</f>
        <v>0</v>
      </c>
      <c r="BF39" s="34" t="n">
        <f aca="false">IF(BF$15=1,INDEX(Vol_O,19,BF$14)/12*(1+P_dVol),0)</f>
        <v>0</v>
      </c>
      <c r="BG39" s="34" t="n">
        <f aca="false">IF(BG$15=1,INDEX(Vol_O,19,BG$14)/12*(1+P_dVol),0)</f>
        <v>0</v>
      </c>
      <c r="BH39" s="34" t="n">
        <f aca="false">IF(BH$15=1,INDEX(Vol_O,19,BH$14)/12*(1+P_dVol),0)</f>
        <v>0</v>
      </c>
      <c r="BI39" s="34" t="n">
        <f aca="false">IF(BI$15=1,INDEX(Vol_O,19,BI$14)/12*(1+P_dVol),0)</f>
        <v>0</v>
      </c>
      <c r="BJ39" s="34" t="n">
        <f aca="false">IF(BJ$15=1,INDEX(Vol_O,19,BJ$14)/12*(1+P_dVol),0)</f>
        <v>0</v>
      </c>
      <c r="BK39" s="34" t="n">
        <f aca="false">IF(BK$15=1,INDEX(Vol_O,19,BK$14)/12*(1+P_dVol),0)</f>
        <v>0</v>
      </c>
      <c r="BL39" s="34" t="n">
        <f aca="false">IF(BL$15=1,INDEX(Vol_O,19,BL$14)/12*(1+P_dVol),0)</f>
        <v>0</v>
      </c>
      <c r="BM39" s="34" t="n">
        <f aca="false">IF(BM$15=1,INDEX(Vol_O,19,BM$14)/12*(1+P_dVol),0)</f>
        <v>0</v>
      </c>
      <c r="BN39" s="34" t="n">
        <f aca="false">IF(BN$15=1,INDEX(Vol_O,19,BN$14)/12*(1+P_dVol),0)</f>
        <v>0</v>
      </c>
      <c r="BO39" s="34" t="n">
        <f aca="false">IF(BO$15=1,INDEX(Vol_O,19,BO$14)/12*(1+P_dVol),0)</f>
        <v>0</v>
      </c>
      <c r="BP39" s="34" t="n">
        <f aca="false">IF(BP$15=1,INDEX(Vol_O,19,BP$14)/12*(1+P_dVol),0)</f>
        <v>0</v>
      </c>
      <c r="BQ39" s="34" t="n">
        <f aca="false">IF(BQ$15=1,INDEX(Vol_O,19,BQ$14)/12*(1+P_dVol),0)</f>
        <v>0</v>
      </c>
      <c r="BR39" s="34" t="n">
        <f aca="false">IF(BR$15=1,INDEX(Vol_O,19,BR$14)/12*(1+P_dVol),0)</f>
        <v>0</v>
      </c>
      <c r="BS39" s="34" t="n">
        <f aca="false">IF(BS$15=1,INDEX(Vol_O,19,BS$14)/12*(1+P_dVol),0)</f>
        <v>0</v>
      </c>
      <c r="BT39" s="34" t="n">
        <f aca="false">IF(BT$15=1,INDEX(Vol_O,19,BT$14)/12*(1+P_dVol),0)</f>
        <v>0</v>
      </c>
      <c r="BU39" s="34" t="n">
        <f aca="false">IF(BU$15=1,INDEX(Vol_O,19,BU$14)/12*(1+P_dVol),0)</f>
        <v>0</v>
      </c>
      <c r="BV39" s="34" t="n">
        <f aca="false">IF(BV$15=1,INDEX(Vol_O,19,BV$14)/12*(1+P_dVol),0)</f>
        <v>0</v>
      </c>
      <c r="BW39" s="34" t="n">
        <f aca="false">IF(BW$15=1,INDEX(Vol_O,19,BW$14)/12*(1+P_dVol),0)</f>
        <v>0</v>
      </c>
      <c r="BX39" s="34" t="n">
        <f aca="false">IF(BX$15=1,INDEX(Vol_O,19,BX$14)/12*(1+P_dVol),0)</f>
        <v>0</v>
      </c>
      <c r="BY39" s="34" t="n">
        <f aca="false">IF(BY$15=1,INDEX(Vol_O,19,BY$14)/12*(1+P_dVol),0)</f>
        <v>0</v>
      </c>
      <c r="BZ39" s="34" t="n">
        <f aca="false">IF(BZ$15=1,INDEX(Vol_O,19,BZ$14)/12*(1+P_dVol),0)</f>
        <v>0</v>
      </c>
      <c r="CA39" s="34" t="n">
        <f aca="false">IF(CA$15=1,INDEX(Vol_O,19,CA$14)/12*(1+P_dVol),0)</f>
        <v>0</v>
      </c>
      <c r="CB39" s="34" t="n">
        <f aca="false">IF(CB$15=1,INDEX(Vol_O,19,CB$14)/12*(1+P_dVol),0)</f>
        <v>0</v>
      </c>
      <c r="CC39" s="34" t="n">
        <f aca="false">IF(CC$15=1,INDEX(Vol_O,19,CC$14)/12*(1+P_dVol),0)</f>
        <v>0</v>
      </c>
      <c r="CD39" s="34" t="n">
        <f aca="false">IF(CD$15=1,INDEX(Vol_O,19,CD$14)/12*(1+P_dVol),0)</f>
        <v>0</v>
      </c>
      <c r="CE39" s="34" t="n">
        <f aca="false">IF(CE$15=1,INDEX(Vol_O,19,CE$14)/12*(1+P_dVol),0)</f>
        <v>0</v>
      </c>
      <c r="CF39" s="34" t="n">
        <f aca="false">IF(CF$15=1,INDEX(Vol_O,19,CF$14)/12*(1+P_dVol),0)</f>
        <v>0</v>
      </c>
      <c r="CG39" s="34" t="n">
        <f aca="false">IF(CG$15=1,INDEX(Vol_O,19,CG$14)/12*(1+P_dVol),0)</f>
        <v>0</v>
      </c>
      <c r="CH39" s="34" t="n">
        <f aca="false">IF(CH$15=1,INDEX(Vol_O,19,CH$14)/12*(1+P_dVol),0)</f>
        <v>0</v>
      </c>
      <c r="CI39" s="34" t="n">
        <f aca="false">IF(CI$15=1,INDEX(Vol_O,19,CI$14)/12*(1+P_dVol),0)</f>
        <v>0</v>
      </c>
      <c r="CJ39" s="34" t="n">
        <f aca="false">IF(CJ$15=1,INDEX(Vol_O,19,CJ$14)/12*(1+P_dVol),0)</f>
        <v>0</v>
      </c>
      <c r="CK39" s="34" t="n">
        <f aca="false">IF(CK$15=1,INDEX(Vol_O,19,CK$14)/12*(1+P_dVol),0)</f>
        <v>0</v>
      </c>
      <c r="CL39" s="34" t="n">
        <f aca="false">IF(CL$15=1,INDEX(Vol_O,19,CL$14)/12*(1+P_dVol),0)</f>
        <v>0</v>
      </c>
      <c r="CM39" s="34" t="n">
        <f aca="false">IF(CM$15=1,INDEX(Vol_O,19,CM$14)/12*(1+P_dVol),0)</f>
        <v>0</v>
      </c>
      <c r="CN39" s="34" t="n">
        <f aca="false">IF(CN$15=1,INDEX(Vol_O,19,CN$14)/12*(1+P_dVol),0)</f>
        <v>0</v>
      </c>
      <c r="CO39" s="34" t="n">
        <f aca="false">IF(CO$15=1,INDEX(Vol_O,19,CO$14)/12*(1+P_dVol),0)</f>
        <v>0</v>
      </c>
      <c r="CP39" s="34" t="n">
        <f aca="false">IF(CP$15=1,INDEX(Vol_O,19,CP$14)/12*(1+P_dVol),0)</f>
        <v>0</v>
      </c>
      <c r="CQ39" s="34" t="n">
        <f aca="false">IF(CQ$15=1,INDEX(Vol_O,19,CQ$14)/12*(1+P_dVol),0)</f>
        <v>0</v>
      </c>
      <c r="CR39" s="34" t="n">
        <f aca="false">IF(CR$15=1,INDEX(Vol_O,19,CR$14)/12*(1+P_dVol),0)</f>
        <v>0</v>
      </c>
      <c r="CS39" s="34" t="n">
        <f aca="false">IF(CS$15=1,INDEX(Vol_O,19,CS$14)/12*(1+P_dVol),0)</f>
        <v>0</v>
      </c>
      <c r="CT39" s="34" t="n">
        <f aca="false">IF(CT$15=1,INDEX(Vol_O,19,CT$14)/12*(1+P_dVol),0)</f>
        <v>0</v>
      </c>
      <c r="CU39" s="34" t="n">
        <f aca="false">IF(CU$15=1,INDEX(Vol_O,19,CU$14)/12*(1+P_dVol),0)</f>
        <v>0</v>
      </c>
      <c r="CV39" s="34" t="n">
        <f aca="false">IF(CV$15=1,INDEX(Vol_O,19,CV$14)/12*(1+P_dVol),0)</f>
        <v>0</v>
      </c>
      <c r="CW39" s="34" t="n">
        <f aca="false">IF(CW$15=1,INDEX(Vol_O,19,CW$14)/12*(1+P_dVol),0)</f>
        <v>0</v>
      </c>
      <c r="CX39" s="34" t="n">
        <f aca="false">IF(CX$15=1,INDEX(Vol_O,19,CX$14)/12*(1+P_dVol),0)</f>
        <v>0</v>
      </c>
      <c r="CY39" s="34" t="n">
        <f aca="false">IF(CY$15=1,INDEX(Vol_O,19,CY$14)/12*(1+P_dVol),0)</f>
        <v>0</v>
      </c>
      <c r="CZ39" s="34" t="n">
        <f aca="false">IF(CZ$15=1,INDEX(Vol_O,19,CZ$14)/12*(1+P_dVol),0)</f>
        <v>0</v>
      </c>
      <c r="DA39" s="34" t="n">
        <f aca="false">IF(DA$15=1,INDEX(Vol_O,19,DA$14)/12*(1+P_dVol),0)</f>
        <v>0</v>
      </c>
      <c r="DB39" s="34" t="n">
        <f aca="false">IF(DB$15=1,INDEX(Vol_O,19,DB$14)/12*(1+P_dVol),0)</f>
        <v>0</v>
      </c>
      <c r="DC39" s="34" t="n">
        <f aca="false">IF(DC$15=1,INDEX(Vol_O,19,DC$14)/12*(1+P_dVol),0)</f>
        <v>0</v>
      </c>
      <c r="DD39" s="34" t="n">
        <f aca="false">IF(DD$15=1,INDEX(Vol_O,19,DD$14)/12*(1+P_dVol),0)</f>
        <v>0</v>
      </c>
      <c r="DE39" s="34" t="n">
        <f aca="false">IF(DE$15=1,INDEX(Vol_O,19,DE$14)/12*(1+P_dVol),0)</f>
        <v>0</v>
      </c>
      <c r="DF39" s="34" t="n">
        <f aca="false">IF(DF$15=1,INDEX(Vol_O,19,DF$14)/12*(1+P_dVol),0)</f>
        <v>0</v>
      </c>
      <c r="DG39" s="34" t="n">
        <f aca="false">IF(DG$15=1,INDEX(Vol_O,19,DG$14)/12*(1+P_dVol),0)</f>
        <v>0</v>
      </c>
      <c r="DH39" s="34" t="n">
        <f aca="false">IF(DH$15=1,INDEX(Vol_O,19,DH$14)/12*(1+P_dVol),0)</f>
        <v>0</v>
      </c>
      <c r="DI39" s="34" t="n">
        <f aca="false">IF(DI$15=1,INDEX(Vol_O,19,DI$14)/12*(1+P_dVol),0)</f>
        <v>0</v>
      </c>
      <c r="DJ39" s="34" t="n">
        <f aca="false">IF(DJ$15=1,INDEX(Vol_O,19,DJ$14)/12*(1+P_dVol),0)</f>
        <v>0</v>
      </c>
      <c r="DK39" s="34" t="n">
        <f aca="false">IF(DK$15=1,INDEX(Vol_O,19,DK$14)/12*(1+P_dVol),0)</f>
        <v>0</v>
      </c>
      <c r="DL39" s="34" t="n">
        <f aca="false">IF(DL$15=1,INDEX(Vol_O,19,DL$14)/12*(1+P_dVol),0)</f>
        <v>0</v>
      </c>
      <c r="DM39" s="34" t="n">
        <f aca="false">IF(DM$15=1,INDEX(Vol_O,19,DM$14)/12*(1+P_dVol),0)</f>
        <v>0</v>
      </c>
      <c r="DN39" s="34" t="n">
        <f aca="false">IF(DN$15=1,INDEX(Vol_O,19,DN$14)/12*(1+P_dVol),0)</f>
        <v>0</v>
      </c>
      <c r="DO39" s="34" t="n">
        <f aca="false">IF(DO$15=1,INDEX(Vol_O,19,DO$14)/12*(1+P_dVol),0)</f>
        <v>0</v>
      </c>
      <c r="DP39" s="34" t="n">
        <f aca="false">IF(DP$15=1,INDEX(Vol_O,19,DP$14)/12*(1+P_dVol),0)</f>
        <v>0</v>
      </c>
      <c r="DQ39" s="34" t="n">
        <f aca="false">IF(DQ$15=1,INDEX(Vol_O,19,DQ$14)/12*(1+P_dVol),0)</f>
        <v>0</v>
      </c>
      <c r="DR39" s="34" t="n">
        <f aca="false">IF(DR$15=1,INDEX(Vol_O,19,DR$14)/12*(1+P_dVol),0)</f>
        <v>0</v>
      </c>
      <c r="DS39" s="34" t="n">
        <f aca="false">IF(DS$15=1,INDEX(Vol_O,19,DS$14)/12*(1+P_dVol),0)</f>
        <v>0</v>
      </c>
      <c r="DT39" s="34" t="n">
        <f aca="false">IF(DT$15=1,INDEX(Vol_O,19,DT$14)/12*(1+P_dVol),0)</f>
        <v>0</v>
      </c>
      <c r="DU39" s="34" t="n">
        <f aca="false">IF(DU$15=1,INDEX(Vol_O,19,DU$14)/12*(1+P_dVol),0)</f>
        <v>0</v>
      </c>
      <c r="DV39" s="34" t="n">
        <f aca="false">IF(DV$15=1,INDEX(Vol_O,19,DV$14)/12*(1+P_dVol),0)</f>
        <v>0</v>
      </c>
      <c r="DW39" s="34" t="n">
        <f aca="false">IF(DW$15=1,INDEX(Vol_O,19,DW$14)/12*(1+P_dVol),0)</f>
        <v>0</v>
      </c>
      <c r="DX39" s="34" t="n">
        <f aca="false">IF(DX$15=1,INDEX(Vol_O,19,DX$14)/12*(1+P_dVol),0)</f>
        <v>0</v>
      </c>
      <c r="DY39" s="34" t="n">
        <f aca="false">IF(DY$15=1,INDEX(Vol_O,19,DY$14)/12*(1+P_dVol),0)</f>
        <v>0</v>
      </c>
      <c r="DZ39" s="34" t="n">
        <f aca="false">IF(DZ$15=1,INDEX(Vol_O,19,DZ$14)/12*(1+P_dVol),0)</f>
        <v>0</v>
      </c>
      <c r="EA39" s="34" t="n">
        <f aca="false">IF(EA$15=1,INDEX(Vol_O,19,EA$14)/12*(1+P_dVol),0)</f>
        <v>0</v>
      </c>
      <c r="EB39" s="34" t="n">
        <f aca="false">IF(EB$15=1,INDEX(Vol_O,19,EB$14)/12*(1+P_dVol),0)</f>
        <v>0</v>
      </c>
      <c r="EC39" s="34" t="n">
        <f aca="false">IF(EC$15=1,INDEX(Vol_O,19,EC$14)/12*(1+P_dVol),0)</f>
        <v>0</v>
      </c>
      <c r="ED39" s="34" t="n">
        <f aca="false">IF(ED$15=1,INDEX(Vol_O,19,ED$14)/12*(1+P_dVol),0)</f>
        <v>0</v>
      </c>
      <c r="EE39" s="34" t="n">
        <f aca="false">IF(EE$15=1,INDEX(Vol_O,19,EE$14)/12*(1+P_dVol),0)</f>
        <v>0</v>
      </c>
      <c r="EF39" s="34" t="n">
        <f aca="false">IF(EF$15=1,INDEX(Vol_O,19,EF$14)/12*(1+P_dVol),0)</f>
        <v>0</v>
      </c>
      <c r="EG39" s="34" t="n">
        <f aca="false">IF(EG$15=1,INDEX(Vol_O,19,EG$14)/12*(1+P_dVol),0)</f>
        <v>0</v>
      </c>
      <c r="EH39" s="34" t="n">
        <f aca="false">IF(EH$15=1,INDEX(Vol_O,19,EH$14)/12*(1+P_dVol),0)</f>
        <v>0</v>
      </c>
      <c r="EI39" s="34" t="n">
        <f aca="false">IF(EI$15=1,INDEX(Vol_O,19,EI$14)/12*(1+P_dVol),0)</f>
        <v>0</v>
      </c>
      <c r="EJ39" s="34" t="n">
        <f aca="false">IF(EJ$15=1,INDEX(Vol_O,19,EJ$14)/12*(1+P_dVol),0)</f>
        <v>0</v>
      </c>
      <c r="EK39" s="34" t="n">
        <f aca="false">IF(EK$15=1,INDEX(Vol_O,19,EK$14)/12*(1+P_dVol),0)</f>
        <v>0</v>
      </c>
      <c r="EL39" s="34" t="n">
        <f aca="false">IF(EL$15=1,INDEX(Vol_O,19,EL$14)/12*(1+P_dVol),0)</f>
        <v>0</v>
      </c>
      <c r="EM39" s="34" t="n">
        <f aca="false">IF(EM$15=1,INDEX(Vol_O,19,EM$14)/12*(1+P_dVol),0)</f>
        <v>0</v>
      </c>
      <c r="EN39" s="34" t="n">
        <f aca="false">IF(EN$15=1,INDEX(Vol_O,19,EN$14)/12*(1+P_dVol),0)</f>
        <v>0</v>
      </c>
      <c r="EO39" s="34" t="n">
        <f aca="false">IF(EO$15=1,INDEX(Vol_O,19,EO$14)/12*(1+P_dVol),0)</f>
        <v>0</v>
      </c>
      <c r="EP39" s="34" t="n">
        <f aca="false">IF(EP$15=1,INDEX(Vol_O,19,EP$14)/12*(1+P_dVol),0)</f>
        <v>0</v>
      </c>
      <c r="EQ39" s="34" t="n">
        <f aca="false">IF(EQ$15=1,INDEX(Vol_O,19,EQ$14)/12*(1+P_dVol),0)</f>
        <v>0</v>
      </c>
      <c r="ER39" s="34" t="n">
        <f aca="false">IF(ER$15=1,INDEX(Vol_O,19,ER$14)/12*(1+P_dVol),0)</f>
        <v>0</v>
      </c>
      <c r="ES39" s="34" t="n">
        <f aca="false">IF(ES$15=1,INDEX(Vol_O,19,ES$14)/12*(1+P_dVol),0)</f>
        <v>0</v>
      </c>
    </row>
    <row r="40" customFormat="false" ht="15" hidden="false" customHeight="false" outlineLevel="0" collapsed="false">
      <c r="A40" s="2" t="s">
        <v>603</v>
      </c>
      <c r="B40" s="39" t="str">
        <f aca="false">IF(INDEX(Prod_Nombre,20)="","Producto 20",INDEX(Prod_Nombre,20))&amp;" — unidades"</f>
        <v>Producto 20 — unidades</v>
      </c>
      <c r="C40" s="6" t="s">
        <v>286</v>
      </c>
      <c r="E40" s="40" t="n">
        <f aca="false">SUM(F40:ES40)</f>
        <v>0</v>
      </c>
      <c r="F40" s="34" t="n">
        <f aca="false">IF(F$15=1,INDEX(Vol_O,20,F$14)/12*(1+P_dVol),0)</f>
        <v>0</v>
      </c>
      <c r="G40" s="34" t="n">
        <f aca="false">IF(G$15=1,INDEX(Vol_O,20,G$14)/12*(1+P_dVol),0)</f>
        <v>0</v>
      </c>
      <c r="H40" s="34" t="n">
        <f aca="false">IF(H$15=1,INDEX(Vol_O,20,H$14)/12*(1+P_dVol),0)</f>
        <v>0</v>
      </c>
      <c r="I40" s="34" t="n">
        <f aca="false">IF(I$15=1,INDEX(Vol_O,20,I$14)/12*(1+P_dVol),0)</f>
        <v>0</v>
      </c>
      <c r="J40" s="34" t="n">
        <f aca="false">IF(J$15=1,INDEX(Vol_O,20,J$14)/12*(1+P_dVol),0)</f>
        <v>0</v>
      </c>
      <c r="K40" s="34" t="n">
        <f aca="false">IF(K$15=1,INDEX(Vol_O,20,K$14)/12*(1+P_dVol),0)</f>
        <v>0</v>
      </c>
      <c r="L40" s="34" t="n">
        <f aca="false">IF(L$15=1,INDEX(Vol_O,20,L$14)/12*(1+P_dVol),0)</f>
        <v>0</v>
      </c>
      <c r="M40" s="34" t="n">
        <f aca="false">IF(M$15=1,INDEX(Vol_O,20,M$14)/12*(1+P_dVol),0)</f>
        <v>0</v>
      </c>
      <c r="N40" s="34" t="n">
        <f aca="false">IF(N$15=1,INDEX(Vol_O,20,N$14)/12*(1+P_dVol),0)</f>
        <v>0</v>
      </c>
      <c r="O40" s="34" t="n">
        <f aca="false">IF(O$15=1,INDEX(Vol_O,20,O$14)/12*(1+P_dVol),0)</f>
        <v>0</v>
      </c>
      <c r="P40" s="34" t="n">
        <f aca="false">IF(P$15=1,INDEX(Vol_O,20,P$14)/12*(1+P_dVol),0)</f>
        <v>0</v>
      </c>
      <c r="Q40" s="34" t="n">
        <f aca="false">IF(Q$15=1,INDEX(Vol_O,20,Q$14)/12*(1+P_dVol),0)</f>
        <v>0</v>
      </c>
      <c r="R40" s="34" t="n">
        <f aca="false">IF(R$15=1,INDEX(Vol_O,20,R$14)/12*(1+P_dVol),0)</f>
        <v>0</v>
      </c>
      <c r="S40" s="34" t="n">
        <f aca="false">IF(S$15=1,INDEX(Vol_O,20,S$14)/12*(1+P_dVol),0)</f>
        <v>0</v>
      </c>
      <c r="T40" s="34" t="n">
        <f aca="false">IF(T$15=1,INDEX(Vol_O,20,T$14)/12*(1+P_dVol),0)</f>
        <v>0</v>
      </c>
      <c r="U40" s="34" t="n">
        <f aca="false">IF(U$15=1,INDEX(Vol_O,20,U$14)/12*(1+P_dVol),0)</f>
        <v>0</v>
      </c>
      <c r="V40" s="34" t="n">
        <f aca="false">IF(V$15=1,INDEX(Vol_O,20,V$14)/12*(1+P_dVol),0)</f>
        <v>0</v>
      </c>
      <c r="W40" s="34" t="n">
        <f aca="false">IF(W$15=1,INDEX(Vol_O,20,W$14)/12*(1+P_dVol),0)</f>
        <v>0</v>
      </c>
      <c r="X40" s="34" t="n">
        <f aca="false">IF(X$15=1,INDEX(Vol_O,20,X$14)/12*(1+P_dVol),0)</f>
        <v>0</v>
      </c>
      <c r="Y40" s="34" t="n">
        <f aca="false">IF(Y$15=1,INDEX(Vol_O,20,Y$14)/12*(1+P_dVol),0)</f>
        <v>0</v>
      </c>
      <c r="Z40" s="34" t="n">
        <f aca="false">IF(Z$15=1,INDEX(Vol_O,20,Z$14)/12*(1+P_dVol),0)</f>
        <v>0</v>
      </c>
      <c r="AA40" s="34" t="n">
        <f aca="false">IF(AA$15=1,INDEX(Vol_O,20,AA$14)/12*(1+P_dVol),0)</f>
        <v>0</v>
      </c>
      <c r="AB40" s="34" t="n">
        <f aca="false">IF(AB$15=1,INDEX(Vol_O,20,AB$14)/12*(1+P_dVol),0)</f>
        <v>0</v>
      </c>
      <c r="AC40" s="34" t="n">
        <f aca="false">IF(AC$15=1,INDEX(Vol_O,20,AC$14)/12*(1+P_dVol),0)</f>
        <v>0</v>
      </c>
      <c r="AD40" s="34" t="n">
        <f aca="false">IF(AD$15=1,INDEX(Vol_O,20,AD$14)/12*(1+P_dVol),0)</f>
        <v>0</v>
      </c>
      <c r="AE40" s="34" t="n">
        <f aca="false">IF(AE$15=1,INDEX(Vol_O,20,AE$14)/12*(1+P_dVol),0)</f>
        <v>0</v>
      </c>
      <c r="AF40" s="34" t="n">
        <f aca="false">IF(AF$15=1,INDEX(Vol_O,20,AF$14)/12*(1+P_dVol),0)</f>
        <v>0</v>
      </c>
      <c r="AG40" s="34" t="n">
        <f aca="false">IF(AG$15=1,INDEX(Vol_O,20,AG$14)/12*(1+P_dVol),0)</f>
        <v>0</v>
      </c>
      <c r="AH40" s="34" t="n">
        <f aca="false">IF(AH$15=1,INDEX(Vol_O,20,AH$14)/12*(1+P_dVol),0)</f>
        <v>0</v>
      </c>
      <c r="AI40" s="34" t="n">
        <f aca="false">IF(AI$15=1,INDEX(Vol_O,20,AI$14)/12*(1+P_dVol),0)</f>
        <v>0</v>
      </c>
      <c r="AJ40" s="34" t="n">
        <f aca="false">IF(AJ$15=1,INDEX(Vol_O,20,AJ$14)/12*(1+P_dVol),0)</f>
        <v>0</v>
      </c>
      <c r="AK40" s="34" t="n">
        <f aca="false">IF(AK$15=1,INDEX(Vol_O,20,AK$14)/12*(1+P_dVol),0)</f>
        <v>0</v>
      </c>
      <c r="AL40" s="34" t="n">
        <f aca="false">IF(AL$15=1,INDEX(Vol_O,20,AL$14)/12*(1+P_dVol),0)</f>
        <v>0</v>
      </c>
      <c r="AM40" s="34" t="n">
        <f aca="false">IF(AM$15=1,INDEX(Vol_O,20,AM$14)/12*(1+P_dVol),0)</f>
        <v>0</v>
      </c>
      <c r="AN40" s="34" t="n">
        <f aca="false">IF(AN$15=1,INDEX(Vol_O,20,AN$14)/12*(1+P_dVol),0)</f>
        <v>0</v>
      </c>
      <c r="AO40" s="34" t="n">
        <f aca="false">IF(AO$15=1,INDEX(Vol_O,20,AO$14)/12*(1+P_dVol),0)</f>
        <v>0</v>
      </c>
      <c r="AP40" s="34" t="n">
        <f aca="false">IF(AP$15=1,INDEX(Vol_O,20,AP$14)/12*(1+P_dVol),0)</f>
        <v>0</v>
      </c>
      <c r="AQ40" s="34" t="n">
        <f aca="false">IF(AQ$15=1,INDEX(Vol_O,20,AQ$14)/12*(1+P_dVol),0)</f>
        <v>0</v>
      </c>
      <c r="AR40" s="34" t="n">
        <f aca="false">IF(AR$15=1,INDEX(Vol_O,20,AR$14)/12*(1+P_dVol),0)</f>
        <v>0</v>
      </c>
      <c r="AS40" s="34" t="n">
        <f aca="false">IF(AS$15=1,INDEX(Vol_O,20,AS$14)/12*(1+P_dVol),0)</f>
        <v>0</v>
      </c>
      <c r="AT40" s="34" t="n">
        <f aca="false">IF(AT$15=1,INDEX(Vol_O,20,AT$14)/12*(1+P_dVol),0)</f>
        <v>0</v>
      </c>
      <c r="AU40" s="34" t="n">
        <f aca="false">IF(AU$15=1,INDEX(Vol_O,20,AU$14)/12*(1+P_dVol),0)</f>
        <v>0</v>
      </c>
      <c r="AV40" s="34" t="n">
        <f aca="false">IF(AV$15=1,INDEX(Vol_O,20,AV$14)/12*(1+P_dVol),0)</f>
        <v>0</v>
      </c>
      <c r="AW40" s="34" t="n">
        <f aca="false">IF(AW$15=1,INDEX(Vol_O,20,AW$14)/12*(1+P_dVol),0)</f>
        <v>0</v>
      </c>
      <c r="AX40" s="34" t="n">
        <f aca="false">IF(AX$15=1,INDEX(Vol_O,20,AX$14)/12*(1+P_dVol),0)</f>
        <v>0</v>
      </c>
      <c r="AY40" s="34" t="n">
        <f aca="false">IF(AY$15=1,INDEX(Vol_O,20,AY$14)/12*(1+P_dVol),0)</f>
        <v>0</v>
      </c>
      <c r="AZ40" s="34" t="n">
        <f aca="false">IF(AZ$15=1,INDEX(Vol_O,20,AZ$14)/12*(1+P_dVol),0)</f>
        <v>0</v>
      </c>
      <c r="BA40" s="34" t="n">
        <f aca="false">IF(BA$15=1,INDEX(Vol_O,20,BA$14)/12*(1+P_dVol),0)</f>
        <v>0</v>
      </c>
      <c r="BB40" s="34" t="n">
        <f aca="false">IF(BB$15=1,INDEX(Vol_O,20,BB$14)/12*(1+P_dVol),0)</f>
        <v>0</v>
      </c>
      <c r="BC40" s="34" t="n">
        <f aca="false">IF(BC$15=1,INDEX(Vol_O,20,BC$14)/12*(1+P_dVol),0)</f>
        <v>0</v>
      </c>
      <c r="BD40" s="34" t="n">
        <f aca="false">IF(BD$15=1,INDEX(Vol_O,20,BD$14)/12*(1+P_dVol),0)</f>
        <v>0</v>
      </c>
      <c r="BE40" s="34" t="n">
        <f aca="false">IF(BE$15=1,INDEX(Vol_O,20,BE$14)/12*(1+P_dVol),0)</f>
        <v>0</v>
      </c>
      <c r="BF40" s="34" t="n">
        <f aca="false">IF(BF$15=1,INDEX(Vol_O,20,BF$14)/12*(1+P_dVol),0)</f>
        <v>0</v>
      </c>
      <c r="BG40" s="34" t="n">
        <f aca="false">IF(BG$15=1,INDEX(Vol_O,20,BG$14)/12*(1+P_dVol),0)</f>
        <v>0</v>
      </c>
      <c r="BH40" s="34" t="n">
        <f aca="false">IF(BH$15=1,INDEX(Vol_O,20,BH$14)/12*(1+P_dVol),0)</f>
        <v>0</v>
      </c>
      <c r="BI40" s="34" t="n">
        <f aca="false">IF(BI$15=1,INDEX(Vol_O,20,BI$14)/12*(1+P_dVol),0)</f>
        <v>0</v>
      </c>
      <c r="BJ40" s="34" t="n">
        <f aca="false">IF(BJ$15=1,INDEX(Vol_O,20,BJ$14)/12*(1+P_dVol),0)</f>
        <v>0</v>
      </c>
      <c r="BK40" s="34" t="n">
        <f aca="false">IF(BK$15=1,INDEX(Vol_O,20,BK$14)/12*(1+P_dVol),0)</f>
        <v>0</v>
      </c>
      <c r="BL40" s="34" t="n">
        <f aca="false">IF(BL$15=1,INDEX(Vol_O,20,BL$14)/12*(1+P_dVol),0)</f>
        <v>0</v>
      </c>
      <c r="BM40" s="34" t="n">
        <f aca="false">IF(BM$15=1,INDEX(Vol_O,20,BM$14)/12*(1+P_dVol),0)</f>
        <v>0</v>
      </c>
      <c r="BN40" s="34" t="n">
        <f aca="false">IF(BN$15=1,INDEX(Vol_O,20,BN$14)/12*(1+P_dVol),0)</f>
        <v>0</v>
      </c>
      <c r="BO40" s="34" t="n">
        <f aca="false">IF(BO$15=1,INDEX(Vol_O,20,BO$14)/12*(1+P_dVol),0)</f>
        <v>0</v>
      </c>
      <c r="BP40" s="34" t="n">
        <f aca="false">IF(BP$15=1,INDEX(Vol_O,20,BP$14)/12*(1+P_dVol),0)</f>
        <v>0</v>
      </c>
      <c r="BQ40" s="34" t="n">
        <f aca="false">IF(BQ$15=1,INDEX(Vol_O,20,BQ$14)/12*(1+P_dVol),0)</f>
        <v>0</v>
      </c>
      <c r="BR40" s="34" t="n">
        <f aca="false">IF(BR$15=1,INDEX(Vol_O,20,BR$14)/12*(1+P_dVol),0)</f>
        <v>0</v>
      </c>
      <c r="BS40" s="34" t="n">
        <f aca="false">IF(BS$15=1,INDEX(Vol_O,20,BS$14)/12*(1+P_dVol),0)</f>
        <v>0</v>
      </c>
      <c r="BT40" s="34" t="n">
        <f aca="false">IF(BT$15=1,INDEX(Vol_O,20,BT$14)/12*(1+P_dVol),0)</f>
        <v>0</v>
      </c>
      <c r="BU40" s="34" t="n">
        <f aca="false">IF(BU$15=1,INDEX(Vol_O,20,BU$14)/12*(1+P_dVol),0)</f>
        <v>0</v>
      </c>
      <c r="BV40" s="34" t="n">
        <f aca="false">IF(BV$15=1,INDEX(Vol_O,20,BV$14)/12*(1+P_dVol),0)</f>
        <v>0</v>
      </c>
      <c r="BW40" s="34" t="n">
        <f aca="false">IF(BW$15=1,INDEX(Vol_O,20,BW$14)/12*(1+P_dVol),0)</f>
        <v>0</v>
      </c>
      <c r="BX40" s="34" t="n">
        <f aca="false">IF(BX$15=1,INDEX(Vol_O,20,BX$14)/12*(1+P_dVol),0)</f>
        <v>0</v>
      </c>
      <c r="BY40" s="34" t="n">
        <f aca="false">IF(BY$15=1,INDEX(Vol_O,20,BY$14)/12*(1+P_dVol),0)</f>
        <v>0</v>
      </c>
      <c r="BZ40" s="34" t="n">
        <f aca="false">IF(BZ$15=1,INDEX(Vol_O,20,BZ$14)/12*(1+P_dVol),0)</f>
        <v>0</v>
      </c>
      <c r="CA40" s="34" t="n">
        <f aca="false">IF(CA$15=1,INDEX(Vol_O,20,CA$14)/12*(1+P_dVol),0)</f>
        <v>0</v>
      </c>
      <c r="CB40" s="34" t="n">
        <f aca="false">IF(CB$15=1,INDEX(Vol_O,20,CB$14)/12*(1+P_dVol),0)</f>
        <v>0</v>
      </c>
      <c r="CC40" s="34" t="n">
        <f aca="false">IF(CC$15=1,INDEX(Vol_O,20,CC$14)/12*(1+P_dVol),0)</f>
        <v>0</v>
      </c>
      <c r="CD40" s="34" t="n">
        <f aca="false">IF(CD$15=1,INDEX(Vol_O,20,CD$14)/12*(1+P_dVol),0)</f>
        <v>0</v>
      </c>
      <c r="CE40" s="34" t="n">
        <f aca="false">IF(CE$15=1,INDEX(Vol_O,20,CE$14)/12*(1+P_dVol),0)</f>
        <v>0</v>
      </c>
      <c r="CF40" s="34" t="n">
        <f aca="false">IF(CF$15=1,INDEX(Vol_O,20,CF$14)/12*(1+P_dVol),0)</f>
        <v>0</v>
      </c>
      <c r="CG40" s="34" t="n">
        <f aca="false">IF(CG$15=1,INDEX(Vol_O,20,CG$14)/12*(1+P_dVol),0)</f>
        <v>0</v>
      </c>
      <c r="CH40" s="34" t="n">
        <f aca="false">IF(CH$15=1,INDEX(Vol_O,20,CH$14)/12*(1+P_dVol),0)</f>
        <v>0</v>
      </c>
      <c r="CI40" s="34" t="n">
        <f aca="false">IF(CI$15=1,INDEX(Vol_O,20,CI$14)/12*(1+P_dVol),0)</f>
        <v>0</v>
      </c>
      <c r="CJ40" s="34" t="n">
        <f aca="false">IF(CJ$15=1,INDEX(Vol_O,20,CJ$14)/12*(1+P_dVol),0)</f>
        <v>0</v>
      </c>
      <c r="CK40" s="34" t="n">
        <f aca="false">IF(CK$15=1,INDEX(Vol_O,20,CK$14)/12*(1+P_dVol),0)</f>
        <v>0</v>
      </c>
      <c r="CL40" s="34" t="n">
        <f aca="false">IF(CL$15=1,INDEX(Vol_O,20,CL$14)/12*(1+P_dVol),0)</f>
        <v>0</v>
      </c>
      <c r="CM40" s="34" t="n">
        <f aca="false">IF(CM$15=1,INDEX(Vol_O,20,CM$14)/12*(1+P_dVol),0)</f>
        <v>0</v>
      </c>
      <c r="CN40" s="34" t="n">
        <f aca="false">IF(CN$15=1,INDEX(Vol_O,20,CN$14)/12*(1+P_dVol),0)</f>
        <v>0</v>
      </c>
      <c r="CO40" s="34" t="n">
        <f aca="false">IF(CO$15=1,INDEX(Vol_O,20,CO$14)/12*(1+P_dVol),0)</f>
        <v>0</v>
      </c>
      <c r="CP40" s="34" t="n">
        <f aca="false">IF(CP$15=1,INDEX(Vol_O,20,CP$14)/12*(1+P_dVol),0)</f>
        <v>0</v>
      </c>
      <c r="CQ40" s="34" t="n">
        <f aca="false">IF(CQ$15=1,INDEX(Vol_O,20,CQ$14)/12*(1+P_dVol),0)</f>
        <v>0</v>
      </c>
      <c r="CR40" s="34" t="n">
        <f aca="false">IF(CR$15=1,INDEX(Vol_O,20,CR$14)/12*(1+P_dVol),0)</f>
        <v>0</v>
      </c>
      <c r="CS40" s="34" t="n">
        <f aca="false">IF(CS$15=1,INDEX(Vol_O,20,CS$14)/12*(1+P_dVol),0)</f>
        <v>0</v>
      </c>
      <c r="CT40" s="34" t="n">
        <f aca="false">IF(CT$15=1,INDEX(Vol_O,20,CT$14)/12*(1+P_dVol),0)</f>
        <v>0</v>
      </c>
      <c r="CU40" s="34" t="n">
        <f aca="false">IF(CU$15=1,INDEX(Vol_O,20,CU$14)/12*(1+P_dVol),0)</f>
        <v>0</v>
      </c>
      <c r="CV40" s="34" t="n">
        <f aca="false">IF(CV$15=1,INDEX(Vol_O,20,CV$14)/12*(1+P_dVol),0)</f>
        <v>0</v>
      </c>
      <c r="CW40" s="34" t="n">
        <f aca="false">IF(CW$15=1,INDEX(Vol_O,20,CW$14)/12*(1+P_dVol),0)</f>
        <v>0</v>
      </c>
      <c r="CX40" s="34" t="n">
        <f aca="false">IF(CX$15=1,INDEX(Vol_O,20,CX$14)/12*(1+P_dVol),0)</f>
        <v>0</v>
      </c>
      <c r="CY40" s="34" t="n">
        <f aca="false">IF(CY$15=1,INDEX(Vol_O,20,CY$14)/12*(1+P_dVol),0)</f>
        <v>0</v>
      </c>
      <c r="CZ40" s="34" t="n">
        <f aca="false">IF(CZ$15=1,INDEX(Vol_O,20,CZ$14)/12*(1+P_dVol),0)</f>
        <v>0</v>
      </c>
      <c r="DA40" s="34" t="n">
        <f aca="false">IF(DA$15=1,INDEX(Vol_O,20,DA$14)/12*(1+P_dVol),0)</f>
        <v>0</v>
      </c>
      <c r="DB40" s="34" t="n">
        <f aca="false">IF(DB$15=1,INDEX(Vol_O,20,DB$14)/12*(1+P_dVol),0)</f>
        <v>0</v>
      </c>
      <c r="DC40" s="34" t="n">
        <f aca="false">IF(DC$15=1,INDEX(Vol_O,20,DC$14)/12*(1+P_dVol),0)</f>
        <v>0</v>
      </c>
      <c r="DD40" s="34" t="n">
        <f aca="false">IF(DD$15=1,INDEX(Vol_O,20,DD$14)/12*(1+P_dVol),0)</f>
        <v>0</v>
      </c>
      <c r="DE40" s="34" t="n">
        <f aca="false">IF(DE$15=1,INDEX(Vol_O,20,DE$14)/12*(1+P_dVol),0)</f>
        <v>0</v>
      </c>
      <c r="DF40" s="34" t="n">
        <f aca="false">IF(DF$15=1,INDEX(Vol_O,20,DF$14)/12*(1+P_dVol),0)</f>
        <v>0</v>
      </c>
      <c r="DG40" s="34" t="n">
        <f aca="false">IF(DG$15=1,INDEX(Vol_O,20,DG$14)/12*(1+P_dVol),0)</f>
        <v>0</v>
      </c>
      <c r="DH40" s="34" t="n">
        <f aca="false">IF(DH$15=1,INDEX(Vol_O,20,DH$14)/12*(1+P_dVol),0)</f>
        <v>0</v>
      </c>
      <c r="DI40" s="34" t="n">
        <f aca="false">IF(DI$15=1,INDEX(Vol_O,20,DI$14)/12*(1+P_dVol),0)</f>
        <v>0</v>
      </c>
      <c r="DJ40" s="34" t="n">
        <f aca="false">IF(DJ$15=1,INDEX(Vol_O,20,DJ$14)/12*(1+P_dVol),0)</f>
        <v>0</v>
      </c>
      <c r="DK40" s="34" t="n">
        <f aca="false">IF(DK$15=1,INDEX(Vol_O,20,DK$14)/12*(1+P_dVol),0)</f>
        <v>0</v>
      </c>
      <c r="DL40" s="34" t="n">
        <f aca="false">IF(DL$15=1,INDEX(Vol_O,20,DL$14)/12*(1+P_dVol),0)</f>
        <v>0</v>
      </c>
      <c r="DM40" s="34" t="n">
        <f aca="false">IF(DM$15=1,INDEX(Vol_O,20,DM$14)/12*(1+P_dVol),0)</f>
        <v>0</v>
      </c>
      <c r="DN40" s="34" t="n">
        <f aca="false">IF(DN$15=1,INDEX(Vol_O,20,DN$14)/12*(1+P_dVol),0)</f>
        <v>0</v>
      </c>
      <c r="DO40" s="34" t="n">
        <f aca="false">IF(DO$15=1,INDEX(Vol_O,20,DO$14)/12*(1+P_dVol),0)</f>
        <v>0</v>
      </c>
      <c r="DP40" s="34" t="n">
        <f aca="false">IF(DP$15=1,INDEX(Vol_O,20,DP$14)/12*(1+P_dVol),0)</f>
        <v>0</v>
      </c>
      <c r="DQ40" s="34" t="n">
        <f aca="false">IF(DQ$15=1,INDEX(Vol_O,20,DQ$14)/12*(1+P_dVol),0)</f>
        <v>0</v>
      </c>
      <c r="DR40" s="34" t="n">
        <f aca="false">IF(DR$15=1,INDEX(Vol_O,20,DR$14)/12*(1+P_dVol),0)</f>
        <v>0</v>
      </c>
      <c r="DS40" s="34" t="n">
        <f aca="false">IF(DS$15=1,INDEX(Vol_O,20,DS$14)/12*(1+P_dVol),0)</f>
        <v>0</v>
      </c>
      <c r="DT40" s="34" t="n">
        <f aca="false">IF(DT$15=1,INDEX(Vol_O,20,DT$14)/12*(1+P_dVol),0)</f>
        <v>0</v>
      </c>
      <c r="DU40" s="34" t="n">
        <f aca="false">IF(DU$15=1,INDEX(Vol_O,20,DU$14)/12*(1+P_dVol),0)</f>
        <v>0</v>
      </c>
      <c r="DV40" s="34" t="n">
        <f aca="false">IF(DV$15=1,INDEX(Vol_O,20,DV$14)/12*(1+P_dVol),0)</f>
        <v>0</v>
      </c>
      <c r="DW40" s="34" t="n">
        <f aca="false">IF(DW$15=1,INDEX(Vol_O,20,DW$14)/12*(1+P_dVol),0)</f>
        <v>0</v>
      </c>
      <c r="DX40" s="34" t="n">
        <f aca="false">IF(DX$15=1,INDEX(Vol_O,20,DX$14)/12*(1+P_dVol),0)</f>
        <v>0</v>
      </c>
      <c r="DY40" s="34" t="n">
        <f aca="false">IF(DY$15=1,INDEX(Vol_O,20,DY$14)/12*(1+P_dVol),0)</f>
        <v>0</v>
      </c>
      <c r="DZ40" s="34" t="n">
        <f aca="false">IF(DZ$15=1,INDEX(Vol_O,20,DZ$14)/12*(1+P_dVol),0)</f>
        <v>0</v>
      </c>
      <c r="EA40" s="34" t="n">
        <f aca="false">IF(EA$15=1,INDEX(Vol_O,20,EA$14)/12*(1+P_dVol),0)</f>
        <v>0</v>
      </c>
      <c r="EB40" s="34" t="n">
        <f aca="false">IF(EB$15=1,INDEX(Vol_O,20,EB$14)/12*(1+P_dVol),0)</f>
        <v>0</v>
      </c>
      <c r="EC40" s="34" t="n">
        <f aca="false">IF(EC$15=1,INDEX(Vol_O,20,EC$14)/12*(1+P_dVol),0)</f>
        <v>0</v>
      </c>
      <c r="ED40" s="34" t="n">
        <f aca="false">IF(ED$15=1,INDEX(Vol_O,20,ED$14)/12*(1+P_dVol),0)</f>
        <v>0</v>
      </c>
      <c r="EE40" s="34" t="n">
        <f aca="false">IF(EE$15=1,INDEX(Vol_O,20,EE$14)/12*(1+P_dVol),0)</f>
        <v>0</v>
      </c>
      <c r="EF40" s="34" t="n">
        <f aca="false">IF(EF$15=1,INDEX(Vol_O,20,EF$14)/12*(1+P_dVol),0)</f>
        <v>0</v>
      </c>
      <c r="EG40" s="34" t="n">
        <f aca="false">IF(EG$15=1,INDEX(Vol_O,20,EG$14)/12*(1+P_dVol),0)</f>
        <v>0</v>
      </c>
      <c r="EH40" s="34" t="n">
        <f aca="false">IF(EH$15=1,INDEX(Vol_O,20,EH$14)/12*(1+P_dVol),0)</f>
        <v>0</v>
      </c>
      <c r="EI40" s="34" t="n">
        <f aca="false">IF(EI$15=1,INDEX(Vol_O,20,EI$14)/12*(1+P_dVol),0)</f>
        <v>0</v>
      </c>
      <c r="EJ40" s="34" t="n">
        <f aca="false">IF(EJ$15=1,INDEX(Vol_O,20,EJ$14)/12*(1+P_dVol),0)</f>
        <v>0</v>
      </c>
      <c r="EK40" s="34" t="n">
        <f aca="false">IF(EK$15=1,INDEX(Vol_O,20,EK$14)/12*(1+P_dVol),0)</f>
        <v>0</v>
      </c>
      <c r="EL40" s="34" t="n">
        <f aca="false">IF(EL$15=1,INDEX(Vol_O,20,EL$14)/12*(1+P_dVol),0)</f>
        <v>0</v>
      </c>
      <c r="EM40" s="34" t="n">
        <f aca="false">IF(EM$15=1,INDEX(Vol_O,20,EM$14)/12*(1+P_dVol),0)</f>
        <v>0</v>
      </c>
      <c r="EN40" s="34" t="n">
        <f aca="false">IF(EN$15=1,INDEX(Vol_O,20,EN$14)/12*(1+P_dVol),0)</f>
        <v>0</v>
      </c>
      <c r="EO40" s="34" t="n">
        <f aca="false">IF(EO$15=1,INDEX(Vol_O,20,EO$14)/12*(1+P_dVol),0)</f>
        <v>0</v>
      </c>
      <c r="EP40" s="34" t="n">
        <f aca="false">IF(EP$15=1,INDEX(Vol_O,20,EP$14)/12*(1+P_dVol),0)</f>
        <v>0</v>
      </c>
      <c r="EQ40" s="34" t="n">
        <f aca="false">IF(EQ$15=1,INDEX(Vol_O,20,EQ$14)/12*(1+P_dVol),0)</f>
        <v>0</v>
      </c>
      <c r="ER40" s="34" t="n">
        <f aca="false">IF(ER$15=1,INDEX(Vol_O,20,ER$14)/12*(1+P_dVol),0)</f>
        <v>0</v>
      </c>
      <c r="ES40" s="34" t="n">
        <f aca="false">IF(ES$15=1,INDEX(Vol_O,20,ES$14)/12*(1+P_dVol),0)</f>
        <v>0</v>
      </c>
    </row>
    <row r="41" customFormat="false" ht="15" hidden="false" customHeight="false" outlineLevel="0" collapsed="false">
      <c r="A41" s="2" t="s">
        <v>604</v>
      </c>
      <c r="B41" s="39" t="str">
        <f aca="false">IF(INDEX(Prod_Nombre,21)="","Producto 21",INDEX(Prod_Nombre,21))&amp;" — unidades"</f>
        <v>Producto 21 — unidades</v>
      </c>
      <c r="C41" s="6" t="s">
        <v>286</v>
      </c>
      <c r="E41" s="40" t="n">
        <f aca="false">SUM(F41:ES41)</f>
        <v>0</v>
      </c>
      <c r="F41" s="34" t="n">
        <f aca="false">IF(F$15=1,INDEX(Vol_O,21,F$14)/12*(1+P_dVol),0)</f>
        <v>0</v>
      </c>
      <c r="G41" s="34" t="n">
        <f aca="false">IF(G$15=1,INDEX(Vol_O,21,G$14)/12*(1+P_dVol),0)</f>
        <v>0</v>
      </c>
      <c r="H41" s="34" t="n">
        <f aca="false">IF(H$15=1,INDEX(Vol_O,21,H$14)/12*(1+P_dVol),0)</f>
        <v>0</v>
      </c>
      <c r="I41" s="34" t="n">
        <f aca="false">IF(I$15=1,INDEX(Vol_O,21,I$14)/12*(1+P_dVol),0)</f>
        <v>0</v>
      </c>
      <c r="J41" s="34" t="n">
        <f aca="false">IF(J$15=1,INDEX(Vol_O,21,J$14)/12*(1+P_dVol),0)</f>
        <v>0</v>
      </c>
      <c r="K41" s="34" t="n">
        <f aca="false">IF(K$15=1,INDEX(Vol_O,21,K$14)/12*(1+P_dVol),0)</f>
        <v>0</v>
      </c>
      <c r="L41" s="34" t="n">
        <f aca="false">IF(L$15=1,INDEX(Vol_O,21,L$14)/12*(1+P_dVol),0)</f>
        <v>0</v>
      </c>
      <c r="M41" s="34" t="n">
        <f aca="false">IF(M$15=1,INDEX(Vol_O,21,M$14)/12*(1+P_dVol),0)</f>
        <v>0</v>
      </c>
      <c r="N41" s="34" t="n">
        <f aca="false">IF(N$15=1,INDEX(Vol_O,21,N$14)/12*(1+P_dVol),0)</f>
        <v>0</v>
      </c>
      <c r="O41" s="34" t="n">
        <f aca="false">IF(O$15=1,INDEX(Vol_O,21,O$14)/12*(1+P_dVol),0)</f>
        <v>0</v>
      </c>
      <c r="P41" s="34" t="n">
        <f aca="false">IF(P$15=1,INDEX(Vol_O,21,P$14)/12*(1+P_dVol),0)</f>
        <v>0</v>
      </c>
      <c r="Q41" s="34" t="n">
        <f aca="false">IF(Q$15=1,INDEX(Vol_O,21,Q$14)/12*(1+P_dVol),0)</f>
        <v>0</v>
      </c>
      <c r="R41" s="34" t="n">
        <f aca="false">IF(R$15=1,INDEX(Vol_O,21,R$14)/12*(1+P_dVol),0)</f>
        <v>0</v>
      </c>
      <c r="S41" s="34" t="n">
        <f aca="false">IF(S$15=1,INDEX(Vol_O,21,S$14)/12*(1+P_dVol),0)</f>
        <v>0</v>
      </c>
      <c r="T41" s="34" t="n">
        <f aca="false">IF(T$15=1,INDEX(Vol_O,21,T$14)/12*(1+P_dVol),0)</f>
        <v>0</v>
      </c>
      <c r="U41" s="34" t="n">
        <f aca="false">IF(U$15=1,INDEX(Vol_O,21,U$14)/12*(1+P_dVol),0)</f>
        <v>0</v>
      </c>
      <c r="V41" s="34" t="n">
        <f aca="false">IF(V$15=1,INDEX(Vol_O,21,V$14)/12*(1+P_dVol),0)</f>
        <v>0</v>
      </c>
      <c r="W41" s="34" t="n">
        <f aca="false">IF(W$15=1,INDEX(Vol_O,21,W$14)/12*(1+P_dVol),0)</f>
        <v>0</v>
      </c>
      <c r="X41" s="34" t="n">
        <f aca="false">IF(X$15=1,INDEX(Vol_O,21,X$14)/12*(1+P_dVol),0)</f>
        <v>0</v>
      </c>
      <c r="Y41" s="34" t="n">
        <f aca="false">IF(Y$15=1,INDEX(Vol_O,21,Y$14)/12*(1+P_dVol),0)</f>
        <v>0</v>
      </c>
      <c r="Z41" s="34" t="n">
        <f aca="false">IF(Z$15=1,INDEX(Vol_O,21,Z$14)/12*(1+P_dVol),0)</f>
        <v>0</v>
      </c>
      <c r="AA41" s="34" t="n">
        <f aca="false">IF(AA$15=1,INDEX(Vol_O,21,AA$14)/12*(1+P_dVol),0)</f>
        <v>0</v>
      </c>
      <c r="AB41" s="34" t="n">
        <f aca="false">IF(AB$15=1,INDEX(Vol_O,21,AB$14)/12*(1+P_dVol),0)</f>
        <v>0</v>
      </c>
      <c r="AC41" s="34" t="n">
        <f aca="false">IF(AC$15=1,INDEX(Vol_O,21,AC$14)/12*(1+P_dVol),0)</f>
        <v>0</v>
      </c>
      <c r="AD41" s="34" t="n">
        <f aca="false">IF(AD$15=1,INDEX(Vol_O,21,AD$14)/12*(1+P_dVol),0)</f>
        <v>0</v>
      </c>
      <c r="AE41" s="34" t="n">
        <f aca="false">IF(AE$15=1,INDEX(Vol_O,21,AE$14)/12*(1+P_dVol),0)</f>
        <v>0</v>
      </c>
      <c r="AF41" s="34" t="n">
        <f aca="false">IF(AF$15=1,INDEX(Vol_O,21,AF$14)/12*(1+P_dVol),0)</f>
        <v>0</v>
      </c>
      <c r="AG41" s="34" t="n">
        <f aca="false">IF(AG$15=1,INDEX(Vol_O,21,AG$14)/12*(1+P_dVol),0)</f>
        <v>0</v>
      </c>
      <c r="AH41" s="34" t="n">
        <f aca="false">IF(AH$15=1,INDEX(Vol_O,21,AH$14)/12*(1+P_dVol),0)</f>
        <v>0</v>
      </c>
      <c r="AI41" s="34" t="n">
        <f aca="false">IF(AI$15=1,INDEX(Vol_O,21,AI$14)/12*(1+P_dVol),0)</f>
        <v>0</v>
      </c>
      <c r="AJ41" s="34" t="n">
        <f aca="false">IF(AJ$15=1,INDEX(Vol_O,21,AJ$14)/12*(1+P_dVol),0)</f>
        <v>0</v>
      </c>
      <c r="AK41" s="34" t="n">
        <f aca="false">IF(AK$15=1,INDEX(Vol_O,21,AK$14)/12*(1+P_dVol),0)</f>
        <v>0</v>
      </c>
      <c r="AL41" s="34" t="n">
        <f aca="false">IF(AL$15=1,INDEX(Vol_O,21,AL$14)/12*(1+P_dVol),0)</f>
        <v>0</v>
      </c>
      <c r="AM41" s="34" t="n">
        <f aca="false">IF(AM$15=1,INDEX(Vol_O,21,AM$14)/12*(1+P_dVol),0)</f>
        <v>0</v>
      </c>
      <c r="AN41" s="34" t="n">
        <f aca="false">IF(AN$15=1,INDEX(Vol_O,21,AN$14)/12*(1+P_dVol),0)</f>
        <v>0</v>
      </c>
      <c r="AO41" s="34" t="n">
        <f aca="false">IF(AO$15=1,INDEX(Vol_O,21,AO$14)/12*(1+P_dVol),0)</f>
        <v>0</v>
      </c>
      <c r="AP41" s="34" t="n">
        <f aca="false">IF(AP$15=1,INDEX(Vol_O,21,AP$14)/12*(1+P_dVol),0)</f>
        <v>0</v>
      </c>
      <c r="AQ41" s="34" t="n">
        <f aca="false">IF(AQ$15=1,INDEX(Vol_O,21,AQ$14)/12*(1+P_dVol),0)</f>
        <v>0</v>
      </c>
      <c r="AR41" s="34" t="n">
        <f aca="false">IF(AR$15=1,INDEX(Vol_O,21,AR$14)/12*(1+P_dVol),0)</f>
        <v>0</v>
      </c>
      <c r="AS41" s="34" t="n">
        <f aca="false">IF(AS$15=1,INDEX(Vol_O,21,AS$14)/12*(1+P_dVol),0)</f>
        <v>0</v>
      </c>
      <c r="AT41" s="34" t="n">
        <f aca="false">IF(AT$15=1,INDEX(Vol_O,21,AT$14)/12*(1+P_dVol),0)</f>
        <v>0</v>
      </c>
      <c r="AU41" s="34" t="n">
        <f aca="false">IF(AU$15=1,INDEX(Vol_O,21,AU$14)/12*(1+P_dVol),0)</f>
        <v>0</v>
      </c>
      <c r="AV41" s="34" t="n">
        <f aca="false">IF(AV$15=1,INDEX(Vol_O,21,AV$14)/12*(1+P_dVol),0)</f>
        <v>0</v>
      </c>
      <c r="AW41" s="34" t="n">
        <f aca="false">IF(AW$15=1,INDEX(Vol_O,21,AW$14)/12*(1+P_dVol),0)</f>
        <v>0</v>
      </c>
      <c r="AX41" s="34" t="n">
        <f aca="false">IF(AX$15=1,INDEX(Vol_O,21,AX$14)/12*(1+P_dVol),0)</f>
        <v>0</v>
      </c>
      <c r="AY41" s="34" t="n">
        <f aca="false">IF(AY$15=1,INDEX(Vol_O,21,AY$14)/12*(1+P_dVol),0)</f>
        <v>0</v>
      </c>
      <c r="AZ41" s="34" t="n">
        <f aca="false">IF(AZ$15=1,INDEX(Vol_O,21,AZ$14)/12*(1+P_dVol),0)</f>
        <v>0</v>
      </c>
      <c r="BA41" s="34" t="n">
        <f aca="false">IF(BA$15=1,INDEX(Vol_O,21,BA$14)/12*(1+P_dVol),0)</f>
        <v>0</v>
      </c>
      <c r="BB41" s="34" t="n">
        <f aca="false">IF(BB$15=1,INDEX(Vol_O,21,BB$14)/12*(1+P_dVol),0)</f>
        <v>0</v>
      </c>
      <c r="BC41" s="34" t="n">
        <f aca="false">IF(BC$15=1,INDEX(Vol_O,21,BC$14)/12*(1+P_dVol),0)</f>
        <v>0</v>
      </c>
      <c r="BD41" s="34" t="n">
        <f aca="false">IF(BD$15=1,INDEX(Vol_O,21,BD$14)/12*(1+P_dVol),0)</f>
        <v>0</v>
      </c>
      <c r="BE41" s="34" t="n">
        <f aca="false">IF(BE$15=1,INDEX(Vol_O,21,BE$14)/12*(1+P_dVol),0)</f>
        <v>0</v>
      </c>
      <c r="BF41" s="34" t="n">
        <f aca="false">IF(BF$15=1,INDEX(Vol_O,21,BF$14)/12*(1+P_dVol),0)</f>
        <v>0</v>
      </c>
      <c r="BG41" s="34" t="n">
        <f aca="false">IF(BG$15=1,INDEX(Vol_O,21,BG$14)/12*(1+P_dVol),0)</f>
        <v>0</v>
      </c>
      <c r="BH41" s="34" t="n">
        <f aca="false">IF(BH$15=1,INDEX(Vol_O,21,BH$14)/12*(1+P_dVol),0)</f>
        <v>0</v>
      </c>
      <c r="BI41" s="34" t="n">
        <f aca="false">IF(BI$15=1,INDEX(Vol_O,21,BI$14)/12*(1+P_dVol),0)</f>
        <v>0</v>
      </c>
      <c r="BJ41" s="34" t="n">
        <f aca="false">IF(BJ$15=1,INDEX(Vol_O,21,BJ$14)/12*(1+P_dVol),0)</f>
        <v>0</v>
      </c>
      <c r="BK41" s="34" t="n">
        <f aca="false">IF(BK$15=1,INDEX(Vol_O,21,BK$14)/12*(1+P_dVol),0)</f>
        <v>0</v>
      </c>
      <c r="BL41" s="34" t="n">
        <f aca="false">IF(BL$15=1,INDEX(Vol_O,21,BL$14)/12*(1+P_dVol),0)</f>
        <v>0</v>
      </c>
      <c r="BM41" s="34" t="n">
        <f aca="false">IF(BM$15=1,INDEX(Vol_O,21,BM$14)/12*(1+P_dVol),0)</f>
        <v>0</v>
      </c>
      <c r="BN41" s="34" t="n">
        <f aca="false">IF(BN$15=1,INDEX(Vol_O,21,BN$14)/12*(1+P_dVol),0)</f>
        <v>0</v>
      </c>
      <c r="BO41" s="34" t="n">
        <f aca="false">IF(BO$15=1,INDEX(Vol_O,21,BO$14)/12*(1+P_dVol),0)</f>
        <v>0</v>
      </c>
      <c r="BP41" s="34" t="n">
        <f aca="false">IF(BP$15=1,INDEX(Vol_O,21,BP$14)/12*(1+P_dVol),0)</f>
        <v>0</v>
      </c>
      <c r="BQ41" s="34" t="n">
        <f aca="false">IF(BQ$15=1,INDEX(Vol_O,21,BQ$14)/12*(1+P_dVol),0)</f>
        <v>0</v>
      </c>
      <c r="BR41" s="34" t="n">
        <f aca="false">IF(BR$15=1,INDEX(Vol_O,21,BR$14)/12*(1+P_dVol),0)</f>
        <v>0</v>
      </c>
      <c r="BS41" s="34" t="n">
        <f aca="false">IF(BS$15=1,INDEX(Vol_O,21,BS$14)/12*(1+P_dVol),0)</f>
        <v>0</v>
      </c>
      <c r="BT41" s="34" t="n">
        <f aca="false">IF(BT$15=1,INDEX(Vol_O,21,BT$14)/12*(1+P_dVol),0)</f>
        <v>0</v>
      </c>
      <c r="BU41" s="34" t="n">
        <f aca="false">IF(BU$15=1,INDEX(Vol_O,21,BU$14)/12*(1+P_dVol),0)</f>
        <v>0</v>
      </c>
      <c r="BV41" s="34" t="n">
        <f aca="false">IF(BV$15=1,INDEX(Vol_O,21,BV$14)/12*(1+P_dVol),0)</f>
        <v>0</v>
      </c>
      <c r="BW41" s="34" t="n">
        <f aca="false">IF(BW$15=1,INDEX(Vol_O,21,BW$14)/12*(1+P_dVol),0)</f>
        <v>0</v>
      </c>
      <c r="BX41" s="34" t="n">
        <f aca="false">IF(BX$15=1,INDEX(Vol_O,21,BX$14)/12*(1+P_dVol),0)</f>
        <v>0</v>
      </c>
      <c r="BY41" s="34" t="n">
        <f aca="false">IF(BY$15=1,INDEX(Vol_O,21,BY$14)/12*(1+P_dVol),0)</f>
        <v>0</v>
      </c>
      <c r="BZ41" s="34" t="n">
        <f aca="false">IF(BZ$15=1,INDEX(Vol_O,21,BZ$14)/12*(1+P_dVol),0)</f>
        <v>0</v>
      </c>
      <c r="CA41" s="34" t="n">
        <f aca="false">IF(CA$15=1,INDEX(Vol_O,21,CA$14)/12*(1+P_dVol),0)</f>
        <v>0</v>
      </c>
      <c r="CB41" s="34" t="n">
        <f aca="false">IF(CB$15=1,INDEX(Vol_O,21,CB$14)/12*(1+P_dVol),0)</f>
        <v>0</v>
      </c>
      <c r="CC41" s="34" t="n">
        <f aca="false">IF(CC$15=1,INDEX(Vol_O,21,CC$14)/12*(1+P_dVol),0)</f>
        <v>0</v>
      </c>
      <c r="CD41" s="34" t="n">
        <f aca="false">IF(CD$15=1,INDEX(Vol_O,21,CD$14)/12*(1+P_dVol),0)</f>
        <v>0</v>
      </c>
      <c r="CE41" s="34" t="n">
        <f aca="false">IF(CE$15=1,INDEX(Vol_O,21,CE$14)/12*(1+P_dVol),0)</f>
        <v>0</v>
      </c>
      <c r="CF41" s="34" t="n">
        <f aca="false">IF(CF$15=1,INDEX(Vol_O,21,CF$14)/12*(1+P_dVol),0)</f>
        <v>0</v>
      </c>
      <c r="CG41" s="34" t="n">
        <f aca="false">IF(CG$15=1,INDEX(Vol_O,21,CG$14)/12*(1+P_dVol),0)</f>
        <v>0</v>
      </c>
      <c r="CH41" s="34" t="n">
        <f aca="false">IF(CH$15=1,INDEX(Vol_O,21,CH$14)/12*(1+P_dVol),0)</f>
        <v>0</v>
      </c>
      <c r="CI41" s="34" t="n">
        <f aca="false">IF(CI$15=1,INDEX(Vol_O,21,CI$14)/12*(1+P_dVol),0)</f>
        <v>0</v>
      </c>
      <c r="CJ41" s="34" t="n">
        <f aca="false">IF(CJ$15=1,INDEX(Vol_O,21,CJ$14)/12*(1+P_dVol),0)</f>
        <v>0</v>
      </c>
      <c r="CK41" s="34" t="n">
        <f aca="false">IF(CK$15=1,INDEX(Vol_O,21,CK$14)/12*(1+P_dVol),0)</f>
        <v>0</v>
      </c>
      <c r="CL41" s="34" t="n">
        <f aca="false">IF(CL$15=1,INDEX(Vol_O,21,CL$14)/12*(1+P_dVol),0)</f>
        <v>0</v>
      </c>
      <c r="CM41" s="34" t="n">
        <f aca="false">IF(CM$15=1,INDEX(Vol_O,21,CM$14)/12*(1+P_dVol),0)</f>
        <v>0</v>
      </c>
      <c r="CN41" s="34" t="n">
        <f aca="false">IF(CN$15=1,INDEX(Vol_O,21,CN$14)/12*(1+P_dVol),0)</f>
        <v>0</v>
      </c>
      <c r="CO41" s="34" t="n">
        <f aca="false">IF(CO$15=1,INDEX(Vol_O,21,CO$14)/12*(1+P_dVol),0)</f>
        <v>0</v>
      </c>
      <c r="CP41" s="34" t="n">
        <f aca="false">IF(CP$15=1,INDEX(Vol_O,21,CP$14)/12*(1+P_dVol),0)</f>
        <v>0</v>
      </c>
      <c r="CQ41" s="34" t="n">
        <f aca="false">IF(CQ$15=1,INDEX(Vol_O,21,CQ$14)/12*(1+P_dVol),0)</f>
        <v>0</v>
      </c>
      <c r="CR41" s="34" t="n">
        <f aca="false">IF(CR$15=1,INDEX(Vol_O,21,CR$14)/12*(1+P_dVol),0)</f>
        <v>0</v>
      </c>
      <c r="CS41" s="34" t="n">
        <f aca="false">IF(CS$15=1,INDEX(Vol_O,21,CS$14)/12*(1+P_dVol),0)</f>
        <v>0</v>
      </c>
      <c r="CT41" s="34" t="n">
        <f aca="false">IF(CT$15=1,INDEX(Vol_O,21,CT$14)/12*(1+P_dVol),0)</f>
        <v>0</v>
      </c>
      <c r="CU41" s="34" t="n">
        <f aca="false">IF(CU$15=1,INDEX(Vol_O,21,CU$14)/12*(1+P_dVol),0)</f>
        <v>0</v>
      </c>
      <c r="CV41" s="34" t="n">
        <f aca="false">IF(CV$15=1,INDEX(Vol_O,21,CV$14)/12*(1+P_dVol),0)</f>
        <v>0</v>
      </c>
      <c r="CW41" s="34" t="n">
        <f aca="false">IF(CW$15=1,INDEX(Vol_O,21,CW$14)/12*(1+P_dVol),0)</f>
        <v>0</v>
      </c>
      <c r="CX41" s="34" t="n">
        <f aca="false">IF(CX$15=1,INDEX(Vol_O,21,CX$14)/12*(1+P_dVol),0)</f>
        <v>0</v>
      </c>
      <c r="CY41" s="34" t="n">
        <f aca="false">IF(CY$15=1,INDEX(Vol_O,21,CY$14)/12*(1+P_dVol),0)</f>
        <v>0</v>
      </c>
      <c r="CZ41" s="34" t="n">
        <f aca="false">IF(CZ$15=1,INDEX(Vol_O,21,CZ$14)/12*(1+P_dVol),0)</f>
        <v>0</v>
      </c>
      <c r="DA41" s="34" t="n">
        <f aca="false">IF(DA$15=1,INDEX(Vol_O,21,DA$14)/12*(1+P_dVol),0)</f>
        <v>0</v>
      </c>
      <c r="DB41" s="34" t="n">
        <f aca="false">IF(DB$15=1,INDEX(Vol_O,21,DB$14)/12*(1+P_dVol),0)</f>
        <v>0</v>
      </c>
      <c r="DC41" s="34" t="n">
        <f aca="false">IF(DC$15=1,INDEX(Vol_O,21,DC$14)/12*(1+P_dVol),0)</f>
        <v>0</v>
      </c>
      <c r="DD41" s="34" t="n">
        <f aca="false">IF(DD$15=1,INDEX(Vol_O,21,DD$14)/12*(1+P_dVol),0)</f>
        <v>0</v>
      </c>
      <c r="DE41" s="34" t="n">
        <f aca="false">IF(DE$15=1,INDEX(Vol_O,21,DE$14)/12*(1+P_dVol),0)</f>
        <v>0</v>
      </c>
      <c r="DF41" s="34" t="n">
        <f aca="false">IF(DF$15=1,INDEX(Vol_O,21,DF$14)/12*(1+P_dVol),0)</f>
        <v>0</v>
      </c>
      <c r="DG41" s="34" t="n">
        <f aca="false">IF(DG$15=1,INDEX(Vol_O,21,DG$14)/12*(1+P_dVol),0)</f>
        <v>0</v>
      </c>
      <c r="DH41" s="34" t="n">
        <f aca="false">IF(DH$15=1,INDEX(Vol_O,21,DH$14)/12*(1+P_dVol),0)</f>
        <v>0</v>
      </c>
      <c r="DI41" s="34" t="n">
        <f aca="false">IF(DI$15=1,INDEX(Vol_O,21,DI$14)/12*(1+P_dVol),0)</f>
        <v>0</v>
      </c>
      <c r="DJ41" s="34" t="n">
        <f aca="false">IF(DJ$15=1,INDEX(Vol_O,21,DJ$14)/12*(1+P_dVol),0)</f>
        <v>0</v>
      </c>
      <c r="DK41" s="34" t="n">
        <f aca="false">IF(DK$15=1,INDEX(Vol_O,21,DK$14)/12*(1+P_dVol),0)</f>
        <v>0</v>
      </c>
      <c r="DL41" s="34" t="n">
        <f aca="false">IF(DL$15=1,INDEX(Vol_O,21,DL$14)/12*(1+P_dVol),0)</f>
        <v>0</v>
      </c>
      <c r="DM41" s="34" t="n">
        <f aca="false">IF(DM$15=1,INDEX(Vol_O,21,DM$14)/12*(1+P_dVol),0)</f>
        <v>0</v>
      </c>
      <c r="DN41" s="34" t="n">
        <f aca="false">IF(DN$15=1,INDEX(Vol_O,21,DN$14)/12*(1+P_dVol),0)</f>
        <v>0</v>
      </c>
      <c r="DO41" s="34" t="n">
        <f aca="false">IF(DO$15=1,INDEX(Vol_O,21,DO$14)/12*(1+P_dVol),0)</f>
        <v>0</v>
      </c>
      <c r="DP41" s="34" t="n">
        <f aca="false">IF(DP$15=1,INDEX(Vol_O,21,DP$14)/12*(1+P_dVol),0)</f>
        <v>0</v>
      </c>
      <c r="DQ41" s="34" t="n">
        <f aca="false">IF(DQ$15=1,INDEX(Vol_O,21,DQ$14)/12*(1+P_dVol),0)</f>
        <v>0</v>
      </c>
      <c r="DR41" s="34" t="n">
        <f aca="false">IF(DR$15=1,INDEX(Vol_O,21,DR$14)/12*(1+P_dVol),0)</f>
        <v>0</v>
      </c>
      <c r="DS41" s="34" t="n">
        <f aca="false">IF(DS$15=1,INDEX(Vol_O,21,DS$14)/12*(1+P_dVol),0)</f>
        <v>0</v>
      </c>
      <c r="DT41" s="34" t="n">
        <f aca="false">IF(DT$15=1,INDEX(Vol_O,21,DT$14)/12*(1+P_dVol),0)</f>
        <v>0</v>
      </c>
      <c r="DU41" s="34" t="n">
        <f aca="false">IF(DU$15=1,INDEX(Vol_O,21,DU$14)/12*(1+P_dVol),0)</f>
        <v>0</v>
      </c>
      <c r="DV41" s="34" t="n">
        <f aca="false">IF(DV$15=1,INDEX(Vol_O,21,DV$14)/12*(1+P_dVol),0)</f>
        <v>0</v>
      </c>
      <c r="DW41" s="34" t="n">
        <f aca="false">IF(DW$15=1,INDEX(Vol_O,21,DW$14)/12*(1+P_dVol),0)</f>
        <v>0</v>
      </c>
      <c r="DX41" s="34" t="n">
        <f aca="false">IF(DX$15=1,INDEX(Vol_O,21,DX$14)/12*(1+P_dVol),0)</f>
        <v>0</v>
      </c>
      <c r="DY41" s="34" t="n">
        <f aca="false">IF(DY$15=1,INDEX(Vol_O,21,DY$14)/12*(1+P_dVol),0)</f>
        <v>0</v>
      </c>
      <c r="DZ41" s="34" t="n">
        <f aca="false">IF(DZ$15=1,INDEX(Vol_O,21,DZ$14)/12*(1+P_dVol),0)</f>
        <v>0</v>
      </c>
      <c r="EA41" s="34" t="n">
        <f aca="false">IF(EA$15=1,INDEX(Vol_O,21,EA$14)/12*(1+P_dVol),0)</f>
        <v>0</v>
      </c>
      <c r="EB41" s="34" t="n">
        <f aca="false">IF(EB$15=1,INDEX(Vol_O,21,EB$14)/12*(1+P_dVol),0)</f>
        <v>0</v>
      </c>
      <c r="EC41" s="34" t="n">
        <f aca="false">IF(EC$15=1,INDEX(Vol_O,21,EC$14)/12*(1+P_dVol),0)</f>
        <v>0</v>
      </c>
      <c r="ED41" s="34" t="n">
        <f aca="false">IF(ED$15=1,INDEX(Vol_O,21,ED$14)/12*(1+P_dVol),0)</f>
        <v>0</v>
      </c>
      <c r="EE41" s="34" t="n">
        <f aca="false">IF(EE$15=1,INDEX(Vol_O,21,EE$14)/12*(1+P_dVol),0)</f>
        <v>0</v>
      </c>
      <c r="EF41" s="34" t="n">
        <f aca="false">IF(EF$15=1,INDEX(Vol_O,21,EF$14)/12*(1+P_dVol),0)</f>
        <v>0</v>
      </c>
      <c r="EG41" s="34" t="n">
        <f aca="false">IF(EG$15=1,INDEX(Vol_O,21,EG$14)/12*(1+P_dVol),0)</f>
        <v>0</v>
      </c>
      <c r="EH41" s="34" t="n">
        <f aca="false">IF(EH$15=1,INDEX(Vol_O,21,EH$14)/12*(1+P_dVol),0)</f>
        <v>0</v>
      </c>
      <c r="EI41" s="34" t="n">
        <f aca="false">IF(EI$15=1,INDEX(Vol_O,21,EI$14)/12*(1+P_dVol),0)</f>
        <v>0</v>
      </c>
      <c r="EJ41" s="34" t="n">
        <f aca="false">IF(EJ$15=1,INDEX(Vol_O,21,EJ$14)/12*(1+P_dVol),0)</f>
        <v>0</v>
      </c>
      <c r="EK41" s="34" t="n">
        <f aca="false">IF(EK$15=1,INDEX(Vol_O,21,EK$14)/12*(1+P_dVol),0)</f>
        <v>0</v>
      </c>
      <c r="EL41" s="34" t="n">
        <f aca="false">IF(EL$15=1,INDEX(Vol_O,21,EL$14)/12*(1+P_dVol),0)</f>
        <v>0</v>
      </c>
      <c r="EM41" s="34" t="n">
        <f aca="false">IF(EM$15=1,INDEX(Vol_O,21,EM$14)/12*(1+P_dVol),0)</f>
        <v>0</v>
      </c>
      <c r="EN41" s="34" t="n">
        <f aca="false">IF(EN$15=1,INDEX(Vol_O,21,EN$14)/12*(1+P_dVol),0)</f>
        <v>0</v>
      </c>
      <c r="EO41" s="34" t="n">
        <f aca="false">IF(EO$15=1,INDEX(Vol_O,21,EO$14)/12*(1+P_dVol),0)</f>
        <v>0</v>
      </c>
      <c r="EP41" s="34" t="n">
        <f aca="false">IF(EP$15=1,INDEX(Vol_O,21,EP$14)/12*(1+P_dVol),0)</f>
        <v>0</v>
      </c>
      <c r="EQ41" s="34" t="n">
        <f aca="false">IF(EQ$15=1,INDEX(Vol_O,21,EQ$14)/12*(1+P_dVol),0)</f>
        <v>0</v>
      </c>
      <c r="ER41" s="34" t="n">
        <f aca="false">IF(ER$15=1,INDEX(Vol_O,21,ER$14)/12*(1+P_dVol),0)</f>
        <v>0</v>
      </c>
      <c r="ES41" s="34" t="n">
        <f aca="false">IF(ES$15=1,INDEX(Vol_O,21,ES$14)/12*(1+P_dVol),0)</f>
        <v>0</v>
      </c>
    </row>
    <row r="42" customFormat="false" ht="15" hidden="false" customHeight="false" outlineLevel="0" collapsed="false">
      <c r="A42" s="2" t="s">
        <v>605</v>
      </c>
      <c r="B42" s="39" t="str">
        <f aca="false">IF(INDEX(Prod_Nombre,22)="","Producto 22",INDEX(Prod_Nombre,22))&amp;" — unidades"</f>
        <v>Producto 22 — unidades</v>
      </c>
      <c r="C42" s="6" t="s">
        <v>286</v>
      </c>
      <c r="E42" s="40" t="n">
        <f aca="false">SUM(F42:ES42)</f>
        <v>0</v>
      </c>
      <c r="F42" s="34" t="n">
        <f aca="false">IF(F$15=1,INDEX(Vol_O,22,F$14)/12*(1+P_dVol),0)</f>
        <v>0</v>
      </c>
      <c r="G42" s="34" t="n">
        <f aca="false">IF(G$15=1,INDEX(Vol_O,22,G$14)/12*(1+P_dVol),0)</f>
        <v>0</v>
      </c>
      <c r="H42" s="34" t="n">
        <f aca="false">IF(H$15=1,INDEX(Vol_O,22,H$14)/12*(1+P_dVol),0)</f>
        <v>0</v>
      </c>
      <c r="I42" s="34" t="n">
        <f aca="false">IF(I$15=1,INDEX(Vol_O,22,I$14)/12*(1+P_dVol),0)</f>
        <v>0</v>
      </c>
      <c r="J42" s="34" t="n">
        <f aca="false">IF(J$15=1,INDEX(Vol_O,22,J$14)/12*(1+P_dVol),0)</f>
        <v>0</v>
      </c>
      <c r="K42" s="34" t="n">
        <f aca="false">IF(K$15=1,INDEX(Vol_O,22,K$14)/12*(1+P_dVol),0)</f>
        <v>0</v>
      </c>
      <c r="L42" s="34" t="n">
        <f aca="false">IF(L$15=1,INDEX(Vol_O,22,L$14)/12*(1+P_dVol),0)</f>
        <v>0</v>
      </c>
      <c r="M42" s="34" t="n">
        <f aca="false">IF(M$15=1,INDEX(Vol_O,22,M$14)/12*(1+P_dVol),0)</f>
        <v>0</v>
      </c>
      <c r="N42" s="34" t="n">
        <f aca="false">IF(N$15=1,INDEX(Vol_O,22,N$14)/12*(1+P_dVol),0)</f>
        <v>0</v>
      </c>
      <c r="O42" s="34" t="n">
        <f aca="false">IF(O$15=1,INDEX(Vol_O,22,O$14)/12*(1+P_dVol),0)</f>
        <v>0</v>
      </c>
      <c r="P42" s="34" t="n">
        <f aca="false">IF(P$15=1,INDEX(Vol_O,22,P$14)/12*(1+P_dVol),0)</f>
        <v>0</v>
      </c>
      <c r="Q42" s="34" t="n">
        <f aca="false">IF(Q$15=1,INDEX(Vol_O,22,Q$14)/12*(1+P_dVol),0)</f>
        <v>0</v>
      </c>
      <c r="R42" s="34" t="n">
        <f aca="false">IF(R$15=1,INDEX(Vol_O,22,R$14)/12*(1+P_dVol),0)</f>
        <v>0</v>
      </c>
      <c r="S42" s="34" t="n">
        <f aca="false">IF(S$15=1,INDEX(Vol_O,22,S$14)/12*(1+P_dVol),0)</f>
        <v>0</v>
      </c>
      <c r="T42" s="34" t="n">
        <f aca="false">IF(T$15=1,INDEX(Vol_O,22,T$14)/12*(1+P_dVol),0)</f>
        <v>0</v>
      </c>
      <c r="U42" s="34" t="n">
        <f aca="false">IF(U$15=1,INDEX(Vol_O,22,U$14)/12*(1+P_dVol),0)</f>
        <v>0</v>
      </c>
      <c r="V42" s="34" t="n">
        <f aca="false">IF(V$15=1,INDEX(Vol_O,22,V$14)/12*(1+P_dVol),0)</f>
        <v>0</v>
      </c>
      <c r="W42" s="34" t="n">
        <f aca="false">IF(W$15=1,INDEX(Vol_O,22,W$14)/12*(1+P_dVol),0)</f>
        <v>0</v>
      </c>
      <c r="X42" s="34" t="n">
        <f aca="false">IF(X$15=1,INDEX(Vol_O,22,X$14)/12*(1+P_dVol),0)</f>
        <v>0</v>
      </c>
      <c r="Y42" s="34" t="n">
        <f aca="false">IF(Y$15=1,INDEX(Vol_O,22,Y$14)/12*(1+P_dVol),0)</f>
        <v>0</v>
      </c>
      <c r="Z42" s="34" t="n">
        <f aca="false">IF(Z$15=1,INDEX(Vol_O,22,Z$14)/12*(1+P_dVol),0)</f>
        <v>0</v>
      </c>
      <c r="AA42" s="34" t="n">
        <f aca="false">IF(AA$15=1,INDEX(Vol_O,22,AA$14)/12*(1+P_dVol),0)</f>
        <v>0</v>
      </c>
      <c r="AB42" s="34" t="n">
        <f aca="false">IF(AB$15=1,INDEX(Vol_O,22,AB$14)/12*(1+P_dVol),0)</f>
        <v>0</v>
      </c>
      <c r="AC42" s="34" t="n">
        <f aca="false">IF(AC$15=1,INDEX(Vol_O,22,AC$14)/12*(1+P_dVol),0)</f>
        <v>0</v>
      </c>
      <c r="AD42" s="34" t="n">
        <f aca="false">IF(AD$15=1,INDEX(Vol_O,22,AD$14)/12*(1+P_dVol),0)</f>
        <v>0</v>
      </c>
      <c r="AE42" s="34" t="n">
        <f aca="false">IF(AE$15=1,INDEX(Vol_O,22,AE$14)/12*(1+P_dVol),0)</f>
        <v>0</v>
      </c>
      <c r="AF42" s="34" t="n">
        <f aca="false">IF(AF$15=1,INDEX(Vol_O,22,AF$14)/12*(1+P_dVol),0)</f>
        <v>0</v>
      </c>
      <c r="AG42" s="34" t="n">
        <f aca="false">IF(AG$15=1,INDEX(Vol_O,22,AG$14)/12*(1+P_dVol),0)</f>
        <v>0</v>
      </c>
      <c r="AH42" s="34" t="n">
        <f aca="false">IF(AH$15=1,INDEX(Vol_O,22,AH$14)/12*(1+P_dVol),0)</f>
        <v>0</v>
      </c>
      <c r="AI42" s="34" t="n">
        <f aca="false">IF(AI$15=1,INDEX(Vol_O,22,AI$14)/12*(1+P_dVol),0)</f>
        <v>0</v>
      </c>
      <c r="AJ42" s="34" t="n">
        <f aca="false">IF(AJ$15=1,INDEX(Vol_O,22,AJ$14)/12*(1+P_dVol),0)</f>
        <v>0</v>
      </c>
      <c r="AK42" s="34" t="n">
        <f aca="false">IF(AK$15=1,INDEX(Vol_O,22,AK$14)/12*(1+P_dVol),0)</f>
        <v>0</v>
      </c>
      <c r="AL42" s="34" t="n">
        <f aca="false">IF(AL$15=1,INDEX(Vol_O,22,AL$14)/12*(1+P_dVol),0)</f>
        <v>0</v>
      </c>
      <c r="AM42" s="34" t="n">
        <f aca="false">IF(AM$15=1,INDEX(Vol_O,22,AM$14)/12*(1+P_dVol),0)</f>
        <v>0</v>
      </c>
      <c r="AN42" s="34" t="n">
        <f aca="false">IF(AN$15=1,INDEX(Vol_O,22,AN$14)/12*(1+P_dVol),0)</f>
        <v>0</v>
      </c>
      <c r="AO42" s="34" t="n">
        <f aca="false">IF(AO$15=1,INDEX(Vol_O,22,AO$14)/12*(1+P_dVol),0)</f>
        <v>0</v>
      </c>
      <c r="AP42" s="34" t="n">
        <f aca="false">IF(AP$15=1,INDEX(Vol_O,22,AP$14)/12*(1+P_dVol),0)</f>
        <v>0</v>
      </c>
      <c r="AQ42" s="34" t="n">
        <f aca="false">IF(AQ$15=1,INDEX(Vol_O,22,AQ$14)/12*(1+P_dVol),0)</f>
        <v>0</v>
      </c>
      <c r="AR42" s="34" t="n">
        <f aca="false">IF(AR$15=1,INDEX(Vol_O,22,AR$14)/12*(1+P_dVol),0)</f>
        <v>0</v>
      </c>
      <c r="AS42" s="34" t="n">
        <f aca="false">IF(AS$15=1,INDEX(Vol_O,22,AS$14)/12*(1+P_dVol),0)</f>
        <v>0</v>
      </c>
      <c r="AT42" s="34" t="n">
        <f aca="false">IF(AT$15=1,INDEX(Vol_O,22,AT$14)/12*(1+P_dVol),0)</f>
        <v>0</v>
      </c>
      <c r="AU42" s="34" t="n">
        <f aca="false">IF(AU$15=1,INDEX(Vol_O,22,AU$14)/12*(1+P_dVol),0)</f>
        <v>0</v>
      </c>
      <c r="AV42" s="34" t="n">
        <f aca="false">IF(AV$15=1,INDEX(Vol_O,22,AV$14)/12*(1+P_dVol),0)</f>
        <v>0</v>
      </c>
      <c r="AW42" s="34" t="n">
        <f aca="false">IF(AW$15=1,INDEX(Vol_O,22,AW$14)/12*(1+P_dVol),0)</f>
        <v>0</v>
      </c>
      <c r="AX42" s="34" t="n">
        <f aca="false">IF(AX$15=1,INDEX(Vol_O,22,AX$14)/12*(1+P_dVol),0)</f>
        <v>0</v>
      </c>
      <c r="AY42" s="34" t="n">
        <f aca="false">IF(AY$15=1,INDEX(Vol_O,22,AY$14)/12*(1+P_dVol),0)</f>
        <v>0</v>
      </c>
      <c r="AZ42" s="34" t="n">
        <f aca="false">IF(AZ$15=1,INDEX(Vol_O,22,AZ$14)/12*(1+P_dVol),0)</f>
        <v>0</v>
      </c>
      <c r="BA42" s="34" t="n">
        <f aca="false">IF(BA$15=1,INDEX(Vol_O,22,BA$14)/12*(1+P_dVol),0)</f>
        <v>0</v>
      </c>
      <c r="BB42" s="34" t="n">
        <f aca="false">IF(BB$15=1,INDEX(Vol_O,22,BB$14)/12*(1+P_dVol),0)</f>
        <v>0</v>
      </c>
      <c r="BC42" s="34" t="n">
        <f aca="false">IF(BC$15=1,INDEX(Vol_O,22,BC$14)/12*(1+P_dVol),0)</f>
        <v>0</v>
      </c>
      <c r="BD42" s="34" t="n">
        <f aca="false">IF(BD$15=1,INDEX(Vol_O,22,BD$14)/12*(1+P_dVol),0)</f>
        <v>0</v>
      </c>
      <c r="BE42" s="34" t="n">
        <f aca="false">IF(BE$15=1,INDEX(Vol_O,22,BE$14)/12*(1+P_dVol),0)</f>
        <v>0</v>
      </c>
      <c r="BF42" s="34" t="n">
        <f aca="false">IF(BF$15=1,INDEX(Vol_O,22,BF$14)/12*(1+P_dVol),0)</f>
        <v>0</v>
      </c>
      <c r="BG42" s="34" t="n">
        <f aca="false">IF(BG$15=1,INDEX(Vol_O,22,BG$14)/12*(1+P_dVol),0)</f>
        <v>0</v>
      </c>
      <c r="BH42" s="34" t="n">
        <f aca="false">IF(BH$15=1,INDEX(Vol_O,22,BH$14)/12*(1+P_dVol),0)</f>
        <v>0</v>
      </c>
      <c r="BI42" s="34" t="n">
        <f aca="false">IF(BI$15=1,INDEX(Vol_O,22,BI$14)/12*(1+P_dVol),0)</f>
        <v>0</v>
      </c>
      <c r="BJ42" s="34" t="n">
        <f aca="false">IF(BJ$15=1,INDEX(Vol_O,22,BJ$14)/12*(1+P_dVol),0)</f>
        <v>0</v>
      </c>
      <c r="BK42" s="34" t="n">
        <f aca="false">IF(BK$15=1,INDEX(Vol_O,22,BK$14)/12*(1+P_dVol),0)</f>
        <v>0</v>
      </c>
      <c r="BL42" s="34" t="n">
        <f aca="false">IF(BL$15=1,INDEX(Vol_O,22,BL$14)/12*(1+P_dVol),0)</f>
        <v>0</v>
      </c>
      <c r="BM42" s="34" t="n">
        <f aca="false">IF(BM$15=1,INDEX(Vol_O,22,BM$14)/12*(1+P_dVol),0)</f>
        <v>0</v>
      </c>
      <c r="BN42" s="34" t="n">
        <f aca="false">IF(BN$15=1,INDEX(Vol_O,22,BN$14)/12*(1+P_dVol),0)</f>
        <v>0</v>
      </c>
      <c r="BO42" s="34" t="n">
        <f aca="false">IF(BO$15=1,INDEX(Vol_O,22,BO$14)/12*(1+P_dVol),0)</f>
        <v>0</v>
      </c>
      <c r="BP42" s="34" t="n">
        <f aca="false">IF(BP$15=1,INDEX(Vol_O,22,BP$14)/12*(1+P_dVol),0)</f>
        <v>0</v>
      </c>
      <c r="BQ42" s="34" t="n">
        <f aca="false">IF(BQ$15=1,INDEX(Vol_O,22,BQ$14)/12*(1+P_dVol),0)</f>
        <v>0</v>
      </c>
      <c r="BR42" s="34" t="n">
        <f aca="false">IF(BR$15=1,INDEX(Vol_O,22,BR$14)/12*(1+P_dVol),0)</f>
        <v>0</v>
      </c>
      <c r="BS42" s="34" t="n">
        <f aca="false">IF(BS$15=1,INDEX(Vol_O,22,BS$14)/12*(1+P_dVol),0)</f>
        <v>0</v>
      </c>
      <c r="BT42" s="34" t="n">
        <f aca="false">IF(BT$15=1,INDEX(Vol_O,22,BT$14)/12*(1+P_dVol),0)</f>
        <v>0</v>
      </c>
      <c r="BU42" s="34" t="n">
        <f aca="false">IF(BU$15=1,INDEX(Vol_O,22,BU$14)/12*(1+P_dVol),0)</f>
        <v>0</v>
      </c>
      <c r="BV42" s="34" t="n">
        <f aca="false">IF(BV$15=1,INDEX(Vol_O,22,BV$14)/12*(1+P_dVol),0)</f>
        <v>0</v>
      </c>
      <c r="BW42" s="34" t="n">
        <f aca="false">IF(BW$15=1,INDEX(Vol_O,22,BW$14)/12*(1+P_dVol),0)</f>
        <v>0</v>
      </c>
      <c r="BX42" s="34" t="n">
        <f aca="false">IF(BX$15=1,INDEX(Vol_O,22,BX$14)/12*(1+P_dVol),0)</f>
        <v>0</v>
      </c>
      <c r="BY42" s="34" t="n">
        <f aca="false">IF(BY$15=1,INDEX(Vol_O,22,BY$14)/12*(1+P_dVol),0)</f>
        <v>0</v>
      </c>
      <c r="BZ42" s="34" t="n">
        <f aca="false">IF(BZ$15=1,INDEX(Vol_O,22,BZ$14)/12*(1+P_dVol),0)</f>
        <v>0</v>
      </c>
      <c r="CA42" s="34" t="n">
        <f aca="false">IF(CA$15=1,INDEX(Vol_O,22,CA$14)/12*(1+P_dVol),0)</f>
        <v>0</v>
      </c>
      <c r="CB42" s="34" t="n">
        <f aca="false">IF(CB$15=1,INDEX(Vol_O,22,CB$14)/12*(1+P_dVol),0)</f>
        <v>0</v>
      </c>
      <c r="CC42" s="34" t="n">
        <f aca="false">IF(CC$15=1,INDEX(Vol_O,22,CC$14)/12*(1+P_dVol),0)</f>
        <v>0</v>
      </c>
      <c r="CD42" s="34" t="n">
        <f aca="false">IF(CD$15=1,INDEX(Vol_O,22,CD$14)/12*(1+P_dVol),0)</f>
        <v>0</v>
      </c>
      <c r="CE42" s="34" t="n">
        <f aca="false">IF(CE$15=1,INDEX(Vol_O,22,CE$14)/12*(1+P_dVol),0)</f>
        <v>0</v>
      </c>
      <c r="CF42" s="34" t="n">
        <f aca="false">IF(CF$15=1,INDEX(Vol_O,22,CF$14)/12*(1+P_dVol),0)</f>
        <v>0</v>
      </c>
      <c r="CG42" s="34" t="n">
        <f aca="false">IF(CG$15=1,INDEX(Vol_O,22,CG$14)/12*(1+P_dVol),0)</f>
        <v>0</v>
      </c>
      <c r="CH42" s="34" t="n">
        <f aca="false">IF(CH$15=1,INDEX(Vol_O,22,CH$14)/12*(1+P_dVol),0)</f>
        <v>0</v>
      </c>
      <c r="CI42" s="34" t="n">
        <f aca="false">IF(CI$15=1,INDEX(Vol_O,22,CI$14)/12*(1+P_dVol),0)</f>
        <v>0</v>
      </c>
      <c r="CJ42" s="34" t="n">
        <f aca="false">IF(CJ$15=1,INDEX(Vol_O,22,CJ$14)/12*(1+P_dVol),0)</f>
        <v>0</v>
      </c>
      <c r="CK42" s="34" t="n">
        <f aca="false">IF(CK$15=1,INDEX(Vol_O,22,CK$14)/12*(1+P_dVol),0)</f>
        <v>0</v>
      </c>
      <c r="CL42" s="34" t="n">
        <f aca="false">IF(CL$15=1,INDEX(Vol_O,22,CL$14)/12*(1+P_dVol),0)</f>
        <v>0</v>
      </c>
      <c r="CM42" s="34" t="n">
        <f aca="false">IF(CM$15=1,INDEX(Vol_O,22,CM$14)/12*(1+P_dVol),0)</f>
        <v>0</v>
      </c>
      <c r="CN42" s="34" t="n">
        <f aca="false">IF(CN$15=1,INDEX(Vol_O,22,CN$14)/12*(1+P_dVol),0)</f>
        <v>0</v>
      </c>
      <c r="CO42" s="34" t="n">
        <f aca="false">IF(CO$15=1,INDEX(Vol_O,22,CO$14)/12*(1+P_dVol),0)</f>
        <v>0</v>
      </c>
      <c r="CP42" s="34" t="n">
        <f aca="false">IF(CP$15=1,INDEX(Vol_O,22,CP$14)/12*(1+P_dVol),0)</f>
        <v>0</v>
      </c>
      <c r="CQ42" s="34" t="n">
        <f aca="false">IF(CQ$15=1,INDEX(Vol_O,22,CQ$14)/12*(1+P_dVol),0)</f>
        <v>0</v>
      </c>
      <c r="CR42" s="34" t="n">
        <f aca="false">IF(CR$15=1,INDEX(Vol_O,22,CR$14)/12*(1+P_dVol),0)</f>
        <v>0</v>
      </c>
      <c r="CS42" s="34" t="n">
        <f aca="false">IF(CS$15=1,INDEX(Vol_O,22,CS$14)/12*(1+P_dVol),0)</f>
        <v>0</v>
      </c>
      <c r="CT42" s="34" t="n">
        <f aca="false">IF(CT$15=1,INDEX(Vol_O,22,CT$14)/12*(1+P_dVol),0)</f>
        <v>0</v>
      </c>
      <c r="CU42" s="34" t="n">
        <f aca="false">IF(CU$15=1,INDEX(Vol_O,22,CU$14)/12*(1+P_dVol),0)</f>
        <v>0</v>
      </c>
      <c r="CV42" s="34" t="n">
        <f aca="false">IF(CV$15=1,INDEX(Vol_O,22,CV$14)/12*(1+P_dVol),0)</f>
        <v>0</v>
      </c>
      <c r="CW42" s="34" t="n">
        <f aca="false">IF(CW$15=1,INDEX(Vol_O,22,CW$14)/12*(1+P_dVol),0)</f>
        <v>0</v>
      </c>
      <c r="CX42" s="34" t="n">
        <f aca="false">IF(CX$15=1,INDEX(Vol_O,22,CX$14)/12*(1+P_dVol),0)</f>
        <v>0</v>
      </c>
      <c r="CY42" s="34" t="n">
        <f aca="false">IF(CY$15=1,INDEX(Vol_O,22,CY$14)/12*(1+P_dVol),0)</f>
        <v>0</v>
      </c>
      <c r="CZ42" s="34" t="n">
        <f aca="false">IF(CZ$15=1,INDEX(Vol_O,22,CZ$14)/12*(1+P_dVol),0)</f>
        <v>0</v>
      </c>
      <c r="DA42" s="34" t="n">
        <f aca="false">IF(DA$15=1,INDEX(Vol_O,22,DA$14)/12*(1+P_dVol),0)</f>
        <v>0</v>
      </c>
      <c r="DB42" s="34" t="n">
        <f aca="false">IF(DB$15=1,INDEX(Vol_O,22,DB$14)/12*(1+P_dVol),0)</f>
        <v>0</v>
      </c>
      <c r="DC42" s="34" t="n">
        <f aca="false">IF(DC$15=1,INDEX(Vol_O,22,DC$14)/12*(1+P_dVol),0)</f>
        <v>0</v>
      </c>
      <c r="DD42" s="34" t="n">
        <f aca="false">IF(DD$15=1,INDEX(Vol_O,22,DD$14)/12*(1+P_dVol),0)</f>
        <v>0</v>
      </c>
      <c r="DE42" s="34" t="n">
        <f aca="false">IF(DE$15=1,INDEX(Vol_O,22,DE$14)/12*(1+P_dVol),0)</f>
        <v>0</v>
      </c>
      <c r="DF42" s="34" t="n">
        <f aca="false">IF(DF$15=1,INDEX(Vol_O,22,DF$14)/12*(1+P_dVol),0)</f>
        <v>0</v>
      </c>
      <c r="DG42" s="34" t="n">
        <f aca="false">IF(DG$15=1,INDEX(Vol_O,22,DG$14)/12*(1+P_dVol),0)</f>
        <v>0</v>
      </c>
      <c r="DH42" s="34" t="n">
        <f aca="false">IF(DH$15=1,INDEX(Vol_O,22,DH$14)/12*(1+P_dVol),0)</f>
        <v>0</v>
      </c>
      <c r="DI42" s="34" t="n">
        <f aca="false">IF(DI$15=1,INDEX(Vol_O,22,DI$14)/12*(1+P_dVol),0)</f>
        <v>0</v>
      </c>
      <c r="DJ42" s="34" t="n">
        <f aca="false">IF(DJ$15=1,INDEX(Vol_O,22,DJ$14)/12*(1+P_dVol),0)</f>
        <v>0</v>
      </c>
      <c r="DK42" s="34" t="n">
        <f aca="false">IF(DK$15=1,INDEX(Vol_O,22,DK$14)/12*(1+P_dVol),0)</f>
        <v>0</v>
      </c>
      <c r="DL42" s="34" t="n">
        <f aca="false">IF(DL$15=1,INDEX(Vol_O,22,DL$14)/12*(1+P_dVol),0)</f>
        <v>0</v>
      </c>
      <c r="DM42" s="34" t="n">
        <f aca="false">IF(DM$15=1,INDEX(Vol_O,22,DM$14)/12*(1+P_dVol),0)</f>
        <v>0</v>
      </c>
      <c r="DN42" s="34" t="n">
        <f aca="false">IF(DN$15=1,INDEX(Vol_O,22,DN$14)/12*(1+P_dVol),0)</f>
        <v>0</v>
      </c>
      <c r="DO42" s="34" t="n">
        <f aca="false">IF(DO$15=1,INDEX(Vol_O,22,DO$14)/12*(1+P_dVol),0)</f>
        <v>0</v>
      </c>
      <c r="DP42" s="34" t="n">
        <f aca="false">IF(DP$15=1,INDEX(Vol_O,22,DP$14)/12*(1+P_dVol),0)</f>
        <v>0</v>
      </c>
      <c r="DQ42" s="34" t="n">
        <f aca="false">IF(DQ$15=1,INDEX(Vol_O,22,DQ$14)/12*(1+P_dVol),0)</f>
        <v>0</v>
      </c>
      <c r="DR42" s="34" t="n">
        <f aca="false">IF(DR$15=1,INDEX(Vol_O,22,DR$14)/12*(1+P_dVol),0)</f>
        <v>0</v>
      </c>
      <c r="DS42" s="34" t="n">
        <f aca="false">IF(DS$15=1,INDEX(Vol_O,22,DS$14)/12*(1+P_dVol),0)</f>
        <v>0</v>
      </c>
      <c r="DT42" s="34" t="n">
        <f aca="false">IF(DT$15=1,INDEX(Vol_O,22,DT$14)/12*(1+P_dVol),0)</f>
        <v>0</v>
      </c>
      <c r="DU42" s="34" t="n">
        <f aca="false">IF(DU$15=1,INDEX(Vol_O,22,DU$14)/12*(1+P_dVol),0)</f>
        <v>0</v>
      </c>
      <c r="DV42" s="34" t="n">
        <f aca="false">IF(DV$15=1,INDEX(Vol_O,22,DV$14)/12*(1+P_dVol),0)</f>
        <v>0</v>
      </c>
      <c r="DW42" s="34" t="n">
        <f aca="false">IF(DW$15=1,INDEX(Vol_O,22,DW$14)/12*(1+P_dVol),0)</f>
        <v>0</v>
      </c>
      <c r="DX42" s="34" t="n">
        <f aca="false">IF(DX$15=1,INDEX(Vol_O,22,DX$14)/12*(1+P_dVol),0)</f>
        <v>0</v>
      </c>
      <c r="DY42" s="34" t="n">
        <f aca="false">IF(DY$15=1,INDEX(Vol_O,22,DY$14)/12*(1+P_dVol),0)</f>
        <v>0</v>
      </c>
      <c r="DZ42" s="34" t="n">
        <f aca="false">IF(DZ$15=1,INDEX(Vol_O,22,DZ$14)/12*(1+P_dVol),0)</f>
        <v>0</v>
      </c>
      <c r="EA42" s="34" t="n">
        <f aca="false">IF(EA$15=1,INDEX(Vol_O,22,EA$14)/12*(1+P_dVol),0)</f>
        <v>0</v>
      </c>
      <c r="EB42" s="34" t="n">
        <f aca="false">IF(EB$15=1,INDEX(Vol_O,22,EB$14)/12*(1+P_dVol),0)</f>
        <v>0</v>
      </c>
      <c r="EC42" s="34" t="n">
        <f aca="false">IF(EC$15=1,INDEX(Vol_O,22,EC$14)/12*(1+P_dVol),0)</f>
        <v>0</v>
      </c>
      <c r="ED42" s="34" t="n">
        <f aca="false">IF(ED$15=1,INDEX(Vol_O,22,ED$14)/12*(1+P_dVol),0)</f>
        <v>0</v>
      </c>
      <c r="EE42" s="34" t="n">
        <f aca="false">IF(EE$15=1,INDEX(Vol_O,22,EE$14)/12*(1+P_dVol),0)</f>
        <v>0</v>
      </c>
      <c r="EF42" s="34" t="n">
        <f aca="false">IF(EF$15=1,INDEX(Vol_O,22,EF$14)/12*(1+P_dVol),0)</f>
        <v>0</v>
      </c>
      <c r="EG42" s="34" t="n">
        <f aca="false">IF(EG$15=1,INDEX(Vol_O,22,EG$14)/12*(1+P_dVol),0)</f>
        <v>0</v>
      </c>
      <c r="EH42" s="34" t="n">
        <f aca="false">IF(EH$15=1,INDEX(Vol_O,22,EH$14)/12*(1+P_dVol),0)</f>
        <v>0</v>
      </c>
      <c r="EI42" s="34" t="n">
        <f aca="false">IF(EI$15=1,INDEX(Vol_O,22,EI$14)/12*(1+P_dVol),0)</f>
        <v>0</v>
      </c>
      <c r="EJ42" s="34" t="n">
        <f aca="false">IF(EJ$15=1,INDEX(Vol_O,22,EJ$14)/12*(1+P_dVol),0)</f>
        <v>0</v>
      </c>
      <c r="EK42" s="34" t="n">
        <f aca="false">IF(EK$15=1,INDEX(Vol_O,22,EK$14)/12*(1+P_dVol),0)</f>
        <v>0</v>
      </c>
      <c r="EL42" s="34" t="n">
        <f aca="false">IF(EL$15=1,INDEX(Vol_O,22,EL$14)/12*(1+P_dVol),0)</f>
        <v>0</v>
      </c>
      <c r="EM42" s="34" t="n">
        <f aca="false">IF(EM$15=1,INDEX(Vol_O,22,EM$14)/12*(1+P_dVol),0)</f>
        <v>0</v>
      </c>
      <c r="EN42" s="34" t="n">
        <f aca="false">IF(EN$15=1,INDEX(Vol_O,22,EN$14)/12*(1+P_dVol),0)</f>
        <v>0</v>
      </c>
      <c r="EO42" s="34" t="n">
        <f aca="false">IF(EO$15=1,INDEX(Vol_O,22,EO$14)/12*(1+P_dVol),0)</f>
        <v>0</v>
      </c>
      <c r="EP42" s="34" t="n">
        <f aca="false">IF(EP$15=1,INDEX(Vol_O,22,EP$14)/12*(1+P_dVol),0)</f>
        <v>0</v>
      </c>
      <c r="EQ42" s="34" t="n">
        <f aca="false">IF(EQ$15=1,INDEX(Vol_O,22,EQ$14)/12*(1+P_dVol),0)</f>
        <v>0</v>
      </c>
      <c r="ER42" s="34" t="n">
        <f aca="false">IF(ER$15=1,INDEX(Vol_O,22,ER$14)/12*(1+P_dVol),0)</f>
        <v>0</v>
      </c>
      <c r="ES42" s="34" t="n">
        <f aca="false">IF(ES$15=1,INDEX(Vol_O,22,ES$14)/12*(1+P_dVol),0)</f>
        <v>0</v>
      </c>
    </row>
    <row r="43" customFormat="false" ht="15" hidden="false" customHeight="false" outlineLevel="0" collapsed="false">
      <c r="A43" s="2" t="s">
        <v>606</v>
      </c>
      <c r="B43" s="39" t="str">
        <f aca="false">IF(INDEX(Prod_Nombre,23)="","Producto 23",INDEX(Prod_Nombre,23))&amp;" — unidades"</f>
        <v>Producto 23 — unidades</v>
      </c>
      <c r="C43" s="6" t="s">
        <v>286</v>
      </c>
      <c r="E43" s="40" t="n">
        <f aca="false">SUM(F43:ES43)</f>
        <v>0</v>
      </c>
      <c r="F43" s="34" t="n">
        <f aca="false">IF(F$15=1,INDEX(Vol_O,23,F$14)/12*(1+P_dVol),0)</f>
        <v>0</v>
      </c>
      <c r="G43" s="34" t="n">
        <f aca="false">IF(G$15=1,INDEX(Vol_O,23,G$14)/12*(1+P_dVol),0)</f>
        <v>0</v>
      </c>
      <c r="H43" s="34" t="n">
        <f aca="false">IF(H$15=1,INDEX(Vol_O,23,H$14)/12*(1+P_dVol),0)</f>
        <v>0</v>
      </c>
      <c r="I43" s="34" t="n">
        <f aca="false">IF(I$15=1,INDEX(Vol_O,23,I$14)/12*(1+P_dVol),0)</f>
        <v>0</v>
      </c>
      <c r="J43" s="34" t="n">
        <f aca="false">IF(J$15=1,INDEX(Vol_O,23,J$14)/12*(1+P_dVol),0)</f>
        <v>0</v>
      </c>
      <c r="K43" s="34" t="n">
        <f aca="false">IF(K$15=1,INDEX(Vol_O,23,K$14)/12*(1+P_dVol),0)</f>
        <v>0</v>
      </c>
      <c r="L43" s="34" t="n">
        <f aca="false">IF(L$15=1,INDEX(Vol_O,23,L$14)/12*(1+P_dVol),0)</f>
        <v>0</v>
      </c>
      <c r="M43" s="34" t="n">
        <f aca="false">IF(M$15=1,INDEX(Vol_O,23,M$14)/12*(1+P_dVol),0)</f>
        <v>0</v>
      </c>
      <c r="N43" s="34" t="n">
        <f aca="false">IF(N$15=1,INDEX(Vol_O,23,N$14)/12*(1+P_dVol),0)</f>
        <v>0</v>
      </c>
      <c r="O43" s="34" t="n">
        <f aca="false">IF(O$15=1,INDEX(Vol_O,23,O$14)/12*(1+P_dVol),0)</f>
        <v>0</v>
      </c>
      <c r="P43" s="34" t="n">
        <f aca="false">IF(P$15=1,INDEX(Vol_O,23,P$14)/12*(1+P_dVol),0)</f>
        <v>0</v>
      </c>
      <c r="Q43" s="34" t="n">
        <f aca="false">IF(Q$15=1,INDEX(Vol_O,23,Q$14)/12*(1+P_dVol),0)</f>
        <v>0</v>
      </c>
      <c r="R43" s="34" t="n">
        <f aca="false">IF(R$15=1,INDEX(Vol_O,23,R$14)/12*(1+P_dVol),0)</f>
        <v>0</v>
      </c>
      <c r="S43" s="34" t="n">
        <f aca="false">IF(S$15=1,INDEX(Vol_O,23,S$14)/12*(1+P_dVol),0)</f>
        <v>0</v>
      </c>
      <c r="T43" s="34" t="n">
        <f aca="false">IF(T$15=1,INDEX(Vol_O,23,T$14)/12*(1+P_dVol),0)</f>
        <v>0</v>
      </c>
      <c r="U43" s="34" t="n">
        <f aca="false">IF(U$15=1,INDEX(Vol_O,23,U$14)/12*(1+P_dVol),0)</f>
        <v>0</v>
      </c>
      <c r="V43" s="34" t="n">
        <f aca="false">IF(V$15=1,INDEX(Vol_O,23,V$14)/12*(1+P_dVol),0)</f>
        <v>0</v>
      </c>
      <c r="W43" s="34" t="n">
        <f aca="false">IF(W$15=1,INDEX(Vol_O,23,W$14)/12*(1+P_dVol),0)</f>
        <v>0</v>
      </c>
      <c r="X43" s="34" t="n">
        <f aca="false">IF(X$15=1,INDEX(Vol_O,23,X$14)/12*(1+P_dVol),0)</f>
        <v>0</v>
      </c>
      <c r="Y43" s="34" t="n">
        <f aca="false">IF(Y$15=1,INDEX(Vol_O,23,Y$14)/12*(1+P_dVol),0)</f>
        <v>0</v>
      </c>
      <c r="Z43" s="34" t="n">
        <f aca="false">IF(Z$15=1,INDEX(Vol_O,23,Z$14)/12*(1+P_dVol),0)</f>
        <v>0</v>
      </c>
      <c r="AA43" s="34" t="n">
        <f aca="false">IF(AA$15=1,INDEX(Vol_O,23,AA$14)/12*(1+P_dVol),0)</f>
        <v>0</v>
      </c>
      <c r="AB43" s="34" t="n">
        <f aca="false">IF(AB$15=1,INDEX(Vol_O,23,AB$14)/12*(1+P_dVol),0)</f>
        <v>0</v>
      </c>
      <c r="AC43" s="34" t="n">
        <f aca="false">IF(AC$15=1,INDEX(Vol_O,23,AC$14)/12*(1+P_dVol),0)</f>
        <v>0</v>
      </c>
      <c r="AD43" s="34" t="n">
        <f aca="false">IF(AD$15=1,INDEX(Vol_O,23,AD$14)/12*(1+P_dVol),0)</f>
        <v>0</v>
      </c>
      <c r="AE43" s="34" t="n">
        <f aca="false">IF(AE$15=1,INDEX(Vol_O,23,AE$14)/12*(1+P_dVol),0)</f>
        <v>0</v>
      </c>
      <c r="AF43" s="34" t="n">
        <f aca="false">IF(AF$15=1,INDEX(Vol_O,23,AF$14)/12*(1+P_dVol),0)</f>
        <v>0</v>
      </c>
      <c r="AG43" s="34" t="n">
        <f aca="false">IF(AG$15=1,INDEX(Vol_O,23,AG$14)/12*(1+P_dVol),0)</f>
        <v>0</v>
      </c>
      <c r="AH43" s="34" t="n">
        <f aca="false">IF(AH$15=1,INDEX(Vol_O,23,AH$14)/12*(1+P_dVol),0)</f>
        <v>0</v>
      </c>
      <c r="AI43" s="34" t="n">
        <f aca="false">IF(AI$15=1,INDEX(Vol_O,23,AI$14)/12*(1+P_dVol),0)</f>
        <v>0</v>
      </c>
      <c r="AJ43" s="34" t="n">
        <f aca="false">IF(AJ$15=1,INDEX(Vol_O,23,AJ$14)/12*(1+P_dVol),0)</f>
        <v>0</v>
      </c>
      <c r="AK43" s="34" t="n">
        <f aca="false">IF(AK$15=1,INDEX(Vol_O,23,AK$14)/12*(1+P_dVol),0)</f>
        <v>0</v>
      </c>
      <c r="AL43" s="34" t="n">
        <f aca="false">IF(AL$15=1,INDEX(Vol_O,23,AL$14)/12*(1+P_dVol),0)</f>
        <v>0</v>
      </c>
      <c r="AM43" s="34" t="n">
        <f aca="false">IF(AM$15=1,INDEX(Vol_O,23,AM$14)/12*(1+P_dVol),0)</f>
        <v>0</v>
      </c>
      <c r="AN43" s="34" t="n">
        <f aca="false">IF(AN$15=1,INDEX(Vol_O,23,AN$14)/12*(1+P_dVol),0)</f>
        <v>0</v>
      </c>
      <c r="AO43" s="34" t="n">
        <f aca="false">IF(AO$15=1,INDEX(Vol_O,23,AO$14)/12*(1+P_dVol),0)</f>
        <v>0</v>
      </c>
      <c r="AP43" s="34" t="n">
        <f aca="false">IF(AP$15=1,INDEX(Vol_O,23,AP$14)/12*(1+P_dVol),0)</f>
        <v>0</v>
      </c>
      <c r="AQ43" s="34" t="n">
        <f aca="false">IF(AQ$15=1,INDEX(Vol_O,23,AQ$14)/12*(1+P_dVol),0)</f>
        <v>0</v>
      </c>
      <c r="AR43" s="34" t="n">
        <f aca="false">IF(AR$15=1,INDEX(Vol_O,23,AR$14)/12*(1+P_dVol),0)</f>
        <v>0</v>
      </c>
      <c r="AS43" s="34" t="n">
        <f aca="false">IF(AS$15=1,INDEX(Vol_O,23,AS$14)/12*(1+P_dVol),0)</f>
        <v>0</v>
      </c>
      <c r="AT43" s="34" t="n">
        <f aca="false">IF(AT$15=1,INDEX(Vol_O,23,AT$14)/12*(1+P_dVol),0)</f>
        <v>0</v>
      </c>
      <c r="AU43" s="34" t="n">
        <f aca="false">IF(AU$15=1,INDEX(Vol_O,23,AU$14)/12*(1+P_dVol),0)</f>
        <v>0</v>
      </c>
      <c r="AV43" s="34" t="n">
        <f aca="false">IF(AV$15=1,INDEX(Vol_O,23,AV$14)/12*(1+P_dVol),0)</f>
        <v>0</v>
      </c>
      <c r="AW43" s="34" t="n">
        <f aca="false">IF(AW$15=1,INDEX(Vol_O,23,AW$14)/12*(1+P_dVol),0)</f>
        <v>0</v>
      </c>
      <c r="AX43" s="34" t="n">
        <f aca="false">IF(AX$15=1,INDEX(Vol_O,23,AX$14)/12*(1+P_dVol),0)</f>
        <v>0</v>
      </c>
      <c r="AY43" s="34" t="n">
        <f aca="false">IF(AY$15=1,INDEX(Vol_O,23,AY$14)/12*(1+P_dVol),0)</f>
        <v>0</v>
      </c>
      <c r="AZ43" s="34" t="n">
        <f aca="false">IF(AZ$15=1,INDEX(Vol_O,23,AZ$14)/12*(1+P_dVol),0)</f>
        <v>0</v>
      </c>
      <c r="BA43" s="34" t="n">
        <f aca="false">IF(BA$15=1,INDEX(Vol_O,23,BA$14)/12*(1+P_dVol),0)</f>
        <v>0</v>
      </c>
      <c r="BB43" s="34" t="n">
        <f aca="false">IF(BB$15=1,INDEX(Vol_O,23,BB$14)/12*(1+P_dVol),0)</f>
        <v>0</v>
      </c>
      <c r="BC43" s="34" t="n">
        <f aca="false">IF(BC$15=1,INDEX(Vol_O,23,BC$14)/12*(1+P_dVol),0)</f>
        <v>0</v>
      </c>
      <c r="BD43" s="34" t="n">
        <f aca="false">IF(BD$15=1,INDEX(Vol_O,23,BD$14)/12*(1+P_dVol),0)</f>
        <v>0</v>
      </c>
      <c r="BE43" s="34" t="n">
        <f aca="false">IF(BE$15=1,INDEX(Vol_O,23,BE$14)/12*(1+P_dVol),0)</f>
        <v>0</v>
      </c>
      <c r="BF43" s="34" t="n">
        <f aca="false">IF(BF$15=1,INDEX(Vol_O,23,BF$14)/12*(1+P_dVol),0)</f>
        <v>0</v>
      </c>
      <c r="BG43" s="34" t="n">
        <f aca="false">IF(BG$15=1,INDEX(Vol_O,23,BG$14)/12*(1+P_dVol),0)</f>
        <v>0</v>
      </c>
      <c r="BH43" s="34" t="n">
        <f aca="false">IF(BH$15=1,INDEX(Vol_O,23,BH$14)/12*(1+P_dVol),0)</f>
        <v>0</v>
      </c>
      <c r="BI43" s="34" t="n">
        <f aca="false">IF(BI$15=1,INDEX(Vol_O,23,BI$14)/12*(1+P_dVol),0)</f>
        <v>0</v>
      </c>
      <c r="BJ43" s="34" t="n">
        <f aca="false">IF(BJ$15=1,INDEX(Vol_O,23,BJ$14)/12*(1+P_dVol),0)</f>
        <v>0</v>
      </c>
      <c r="BK43" s="34" t="n">
        <f aca="false">IF(BK$15=1,INDEX(Vol_O,23,BK$14)/12*(1+P_dVol),0)</f>
        <v>0</v>
      </c>
      <c r="BL43" s="34" t="n">
        <f aca="false">IF(BL$15=1,INDEX(Vol_O,23,BL$14)/12*(1+P_dVol),0)</f>
        <v>0</v>
      </c>
      <c r="BM43" s="34" t="n">
        <f aca="false">IF(BM$15=1,INDEX(Vol_O,23,BM$14)/12*(1+P_dVol),0)</f>
        <v>0</v>
      </c>
      <c r="BN43" s="34" t="n">
        <f aca="false">IF(BN$15=1,INDEX(Vol_O,23,BN$14)/12*(1+P_dVol),0)</f>
        <v>0</v>
      </c>
      <c r="BO43" s="34" t="n">
        <f aca="false">IF(BO$15=1,INDEX(Vol_O,23,BO$14)/12*(1+P_dVol),0)</f>
        <v>0</v>
      </c>
      <c r="BP43" s="34" t="n">
        <f aca="false">IF(BP$15=1,INDEX(Vol_O,23,BP$14)/12*(1+P_dVol),0)</f>
        <v>0</v>
      </c>
      <c r="BQ43" s="34" t="n">
        <f aca="false">IF(BQ$15=1,INDEX(Vol_O,23,BQ$14)/12*(1+P_dVol),0)</f>
        <v>0</v>
      </c>
      <c r="BR43" s="34" t="n">
        <f aca="false">IF(BR$15=1,INDEX(Vol_O,23,BR$14)/12*(1+P_dVol),0)</f>
        <v>0</v>
      </c>
      <c r="BS43" s="34" t="n">
        <f aca="false">IF(BS$15=1,INDEX(Vol_O,23,BS$14)/12*(1+P_dVol),0)</f>
        <v>0</v>
      </c>
      <c r="BT43" s="34" t="n">
        <f aca="false">IF(BT$15=1,INDEX(Vol_O,23,BT$14)/12*(1+P_dVol),0)</f>
        <v>0</v>
      </c>
      <c r="BU43" s="34" t="n">
        <f aca="false">IF(BU$15=1,INDEX(Vol_O,23,BU$14)/12*(1+P_dVol),0)</f>
        <v>0</v>
      </c>
      <c r="BV43" s="34" t="n">
        <f aca="false">IF(BV$15=1,INDEX(Vol_O,23,BV$14)/12*(1+P_dVol),0)</f>
        <v>0</v>
      </c>
      <c r="BW43" s="34" t="n">
        <f aca="false">IF(BW$15=1,INDEX(Vol_O,23,BW$14)/12*(1+P_dVol),0)</f>
        <v>0</v>
      </c>
      <c r="BX43" s="34" t="n">
        <f aca="false">IF(BX$15=1,INDEX(Vol_O,23,BX$14)/12*(1+P_dVol),0)</f>
        <v>0</v>
      </c>
      <c r="BY43" s="34" t="n">
        <f aca="false">IF(BY$15=1,INDEX(Vol_O,23,BY$14)/12*(1+P_dVol),0)</f>
        <v>0</v>
      </c>
      <c r="BZ43" s="34" t="n">
        <f aca="false">IF(BZ$15=1,INDEX(Vol_O,23,BZ$14)/12*(1+P_dVol),0)</f>
        <v>0</v>
      </c>
      <c r="CA43" s="34" t="n">
        <f aca="false">IF(CA$15=1,INDEX(Vol_O,23,CA$14)/12*(1+P_dVol),0)</f>
        <v>0</v>
      </c>
      <c r="CB43" s="34" t="n">
        <f aca="false">IF(CB$15=1,INDEX(Vol_O,23,CB$14)/12*(1+P_dVol),0)</f>
        <v>0</v>
      </c>
      <c r="CC43" s="34" t="n">
        <f aca="false">IF(CC$15=1,INDEX(Vol_O,23,CC$14)/12*(1+P_dVol),0)</f>
        <v>0</v>
      </c>
      <c r="CD43" s="34" t="n">
        <f aca="false">IF(CD$15=1,INDEX(Vol_O,23,CD$14)/12*(1+P_dVol),0)</f>
        <v>0</v>
      </c>
      <c r="CE43" s="34" t="n">
        <f aca="false">IF(CE$15=1,INDEX(Vol_O,23,CE$14)/12*(1+P_dVol),0)</f>
        <v>0</v>
      </c>
      <c r="CF43" s="34" t="n">
        <f aca="false">IF(CF$15=1,INDEX(Vol_O,23,CF$14)/12*(1+P_dVol),0)</f>
        <v>0</v>
      </c>
      <c r="CG43" s="34" t="n">
        <f aca="false">IF(CG$15=1,INDEX(Vol_O,23,CG$14)/12*(1+P_dVol),0)</f>
        <v>0</v>
      </c>
      <c r="CH43" s="34" t="n">
        <f aca="false">IF(CH$15=1,INDEX(Vol_O,23,CH$14)/12*(1+P_dVol),0)</f>
        <v>0</v>
      </c>
      <c r="CI43" s="34" t="n">
        <f aca="false">IF(CI$15=1,INDEX(Vol_O,23,CI$14)/12*(1+P_dVol),0)</f>
        <v>0</v>
      </c>
      <c r="CJ43" s="34" t="n">
        <f aca="false">IF(CJ$15=1,INDEX(Vol_O,23,CJ$14)/12*(1+P_dVol),0)</f>
        <v>0</v>
      </c>
      <c r="CK43" s="34" t="n">
        <f aca="false">IF(CK$15=1,INDEX(Vol_O,23,CK$14)/12*(1+P_dVol),0)</f>
        <v>0</v>
      </c>
      <c r="CL43" s="34" t="n">
        <f aca="false">IF(CL$15=1,INDEX(Vol_O,23,CL$14)/12*(1+P_dVol),0)</f>
        <v>0</v>
      </c>
      <c r="CM43" s="34" t="n">
        <f aca="false">IF(CM$15=1,INDEX(Vol_O,23,CM$14)/12*(1+P_dVol),0)</f>
        <v>0</v>
      </c>
      <c r="CN43" s="34" t="n">
        <f aca="false">IF(CN$15=1,INDEX(Vol_O,23,CN$14)/12*(1+P_dVol),0)</f>
        <v>0</v>
      </c>
      <c r="CO43" s="34" t="n">
        <f aca="false">IF(CO$15=1,INDEX(Vol_O,23,CO$14)/12*(1+P_dVol),0)</f>
        <v>0</v>
      </c>
      <c r="CP43" s="34" t="n">
        <f aca="false">IF(CP$15=1,INDEX(Vol_O,23,CP$14)/12*(1+P_dVol),0)</f>
        <v>0</v>
      </c>
      <c r="CQ43" s="34" t="n">
        <f aca="false">IF(CQ$15=1,INDEX(Vol_O,23,CQ$14)/12*(1+P_dVol),0)</f>
        <v>0</v>
      </c>
      <c r="CR43" s="34" t="n">
        <f aca="false">IF(CR$15=1,INDEX(Vol_O,23,CR$14)/12*(1+P_dVol),0)</f>
        <v>0</v>
      </c>
      <c r="CS43" s="34" t="n">
        <f aca="false">IF(CS$15=1,INDEX(Vol_O,23,CS$14)/12*(1+P_dVol),0)</f>
        <v>0</v>
      </c>
      <c r="CT43" s="34" t="n">
        <f aca="false">IF(CT$15=1,INDEX(Vol_O,23,CT$14)/12*(1+P_dVol),0)</f>
        <v>0</v>
      </c>
      <c r="CU43" s="34" t="n">
        <f aca="false">IF(CU$15=1,INDEX(Vol_O,23,CU$14)/12*(1+P_dVol),0)</f>
        <v>0</v>
      </c>
      <c r="CV43" s="34" t="n">
        <f aca="false">IF(CV$15=1,INDEX(Vol_O,23,CV$14)/12*(1+P_dVol),0)</f>
        <v>0</v>
      </c>
      <c r="CW43" s="34" t="n">
        <f aca="false">IF(CW$15=1,INDEX(Vol_O,23,CW$14)/12*(1+P_dVol),0)</f>
        <v>0</v>
      </c>
      <c r="CX43" s="34" t="n">
        <f aca="false">IF(CX$15=1,INDEX(Vol_O,23,CX$14)/12*(1+P_dVol),0)</f>
        <v>0</v>
      </c>
      <c r="CY43" s="34" t="n">
        <f aca="false">IF(CY$15=1,INDEX(Vol_O,23,CY$14)/12*(1+P_dVol),0)</f>
        <v>0</v>
      </c>
      <c r="CZ43" s="34" t="n">
        <f aca="false">IF(CZ$15=1,INDEX(Vol_O,23,CZ$14)/12*(1+P_dVol),0)</f>
        <v>0</v>
      </c>
      <c r="DA43" s="34" t="n">
        <f aca="false">IF(DA$15=1,INDEX(Vol_O,23,DA$14)/12*(1+P_dVol),0)</f>
        <v>0</v>
      </c>
      <c r="DB43" s="34" t="n">
        <f aca="false">IF(DB$15=1,INDEX(Vol_O,23,DB$14)/12*(1+P_dVol),0)</f>
        <v>0</v>
      </c>
      <c r="DC43" s="34" t="n">
        <f aca="false">IF(DC$15=1,INDEX(Vol_O,23,DC$14)/12*(1+P_dVol),0)</f>
        <v>0</v>
      </c>
      <c r="DD43" s="34" t="n">
        <f aca="false">IF(DD$15=1,INDEX(Vol_O,23,DD$14)/12*(1+P_dVol),0)</f>
        <v>0</v>
      </c>
      <c r="DE43" s="34" t="n">
        <f aca="false">IF(DE$15=1,INDEX(Vol_O,23,DE$14)/12*(1+P_dVol),0)</f>
        <v>0</v>
      </c>
      <c r="DF43" s="34" t="n">
        <f aca="false">IF(DF$15=1,INDEX(Vol_O,23,DF$14)/12*(1+P_dVol),0)</f>
        <v>0</v>
      </c>
      <c r="DG43" s="34" t="n">
        <f aca="false">IF(DG$15=1,INDEX(Vol_O,23,DG$14)/12*(1+P_dVol),0)</f>
        <v>0</v>
      </c>
      <c r="DH43" s="34" t="n">
        <f aca="false">IF(DH$15=1,INDEX(Vol_O,23,DH$14)/12*(1+P_dVol),0)</f>
        <v>0</v>
      </c>
      <c r="DI43" s="34" t="n">
        <f aca="false">IF(DI$15=1,INDEX(Vol_O,23,DI$14)/12*(1+P_dVol),0)</f>
        <v>0</v>
      </c>
      <c r="DJ43" s="34" t="n">
        <f aca="false">IF(DJ$15=1,INDEX(Vol_O,23,DJ$14)/12*(1+P_dVol),0)</f>
        <v>0</v>
      </c>
      <c r="DK43" s="34" t="n">
        <f aca="false">IF(DK$15=1,INDEX(Vol_O,23,DK$14)/12*(1+P_dVol),0)</f>
        <v>0</v>
      </c>
      <c r="DL43" s="34" t="n">
        <f aca="false">IF(DL$15=1,INDEX(Vol_O,23,DL$14)/12*(1+P_dVol),0)</f>
        <v>0</v>
      </c>
      <c r="DM43" s="34" t="n">
        <f aca="false">IF(DM$15=1,INDEX(Vol_O,23,DM$14)/12*(1+P_dVol),0)</f>
        <v>0</v>
      </c>
      <c r="DN43" s="34" t="n">
        <f aca="false">IF(DN$15=1,INDEX(Vol_O,23,DN$14)/12*(1+P_dVol),0)</f>
        <v>0</v>
      </c>
      <c r="DO43" s="34" t="n">
        <f aca="false">IF(DO$15=1,INDEX(Vol_O,23,DO$14)/12*(1+P_dVol),0)</f>
        <v>0</v>
      </c>
      <c r="DP43" s="34" t="n">
        <f aca="false">IF(DP$15=1,INDEX(Vol_O,23,DP$14)/12*(1+P_dVol),0)</f>
        <v>0</v>
      </c>
      <c r="DQ43" s="34" t="n">
        <f aca="false">IF(DQ$15=1,INDEX(Vol_O,23,DQ$14)/12*(1+P_dVol),0)</f>
        <v>0</v>
      </c>
      <c r="DR43" s="34" t="n">
        <f aca="false">IF(DR$15=1,INDEX(Vol_O,23,DR$14)/12*(1+P_dVol),0)</f>
        <v>0</v>
      </c>
      <c r="DS43" s="34" t="n">
        <f aca="false">IF(DS$15=1,INDEX(Vol_O,23,DS$14)/12*(1+P_dVol),0)</f>
        <v>0</v>
      </c>
      <c r="DT43" s="34" t="n">
        <f aca="false">IF(DT$15=1,INDEX(Vol_O,23,DT$14)/12*(1+P_dVol),0)</f>
        <v>0</v>
      </c>
      <c r="DU43" s="34" t="n">
        <f aca="false">IF(DU$15=1,INDEX(Vol_O,23,DU$14)/12*(1+P_dVol),0)</f>
        <v>0</v>
      </c>
      <c r="DV43" s="34" t="n">
        <f aca="false">IF(DV$15=1,INDEX(Vol_O,23,DV$14)/12*(1+P_dVol),0)</f>
        <v>0</v>
      </c>
      <c r="DW43" s="34" t="n">
        <f aca="false">IF(DW$15=1,INDEX(Vol_O,23,DW$14)/12*(1+P_dVol),0)</f>
        <v>0</v>
      </c>
      <c r="DX43" s="34" t="n">
        <f aca="false">IF(DX$15=1,INDEX(Vol_O,23,DX$14)/12*(1+P_dVol),0)</f>
        <v>0</v>
      </c>
      <c r="DY43" s="34" t="n">
        <f aca="false">IF(DY$15=1,INDEX(Vol_O,23,DY$14)/12*(1+P_dVol),0)</f>
        <v>0</v>
      </c>
      <c r="DZ43" s="34" t="n">
        <f aca="false">IF(DZ$15=1,INDEX(Vol_O,23,DZ$14)/12*(1+P_dVol),0)</f>
        <v>0</v>
      </c>
      <c r="EA43" s="34" t="n">
        <f aca="false">IF(EA$15=1,INDEX(Vol_O,23,EA$14)/12*(1+P_dVol),0)</f>
        <v>0</v>
      </c>
      <c r="EB43" s="34" t="n">
        <f aca="false">IF(EB$15=1,INDEX(Vol_O,23,EB$14)/12*(1+P_dVol),0)</f>
        <v>0</v>
      </c>
      <c r="EC43" s="34" t="n">
        <f aca="false">IF(EC$15=1,INDEX(Vol_O,23,EC$14)/12*(1+P_dVol),0)</f>
        <v>0</v>
      </c>
      <c r="ED43" s="34" t="n">
        <f aca="false">IF(ED$15=1,INDEX(Vol_O,23,ED$14)/12*(1+P_dVol),0)</f>
        <v>0</v>
      </c>
      <c r="EE43" s="34" t="n">
        <f aca="false">IF(EE$15=1,INDEX(Vol_O,23,EE$14)/12*(1+P_dVol),0)</f>
        <v>0</v>
      </c>
      <c r="EF43" s="34" t="n">
        <f aca="false">IF(EF$15=1,INDEX(Vol_O,23,EF$14)/12*(1+P_dVol),0)</f>
        <v>0</v>
      </c>
      <c r="EG43" s="34" t="n">
        <f aca="false">IF(EG$15=1,INDEX(Vol_O,23,EG$14)/12*(1+P_dVol),0)</f>
        <v>0</v>
      </c>
      <c r="EH43" s="34" t="n">
        <f aca="false">IF(EH$15=1,INDEX(Vol_O,23,EH$14)/12*(1+P_dVol),0)</f>
        <v>0</v>
      </c>
      <c r="EI43" s="34" t="n">
        <f aca="false">IF(EI$15=1,INDEX(Vol_O,23,EI$14)/12*(1+P_dVol),0)</f>
        <v>0</v>
      </c>
      <c r="EJ43" s="34" t="n">
        <f aca="false">IF(EJ$15=1,INDEX(Vol_O,23,EJ$14)/12*(1+P_dVol),0)</f>
        <v>0</v>
      </c>
      <c r="EK43" s="34" t="n">
        <f aca="false">IF(EK$15=1,INDEX(Vol_O,23,EK$14)/12*(1+P_dVol),0)</f>
        <v>0</v>
      </c>
      <c r="EL43" s="34" t="n">
        <f aca="false">IF(EL$15=1,INDEX(Vol_O,23,EL$14)/12*(1+P_dVol),0)</f>
        <v>0</v>
      </c>
      <c r="EM43" s="34" t="n">
        <f aca="false">IF(EM$15=1,INDEX(Vol_O,23,EM$14)/12*(1+P_dVol),0)</f>
        <v>0</v>
      </c>
      <c r="EN43" s="34" t="n">
        <f aca="false">IF(EN$15=1,INDEX(Vol_O,23,EN$14)/12*(1+P_dVol),0)</f>
        <v>0</v>
      </c>
      <c r="EO43" s="34" t="n">
        <f aca="false">IF(EO$15=1,INDEX(Vol_O,23,EO$14)/12*(1+P_dVol),0)</f>
        <v>0</v>
      </c>
      <c r="EP43" s="34" t="n">
        <f aca="false">IF(EP$15=1,INDEX(Vol_O,23,EP$14)/12*(1+P_dVol),0)</f>
        <v>0</v>
      </c>
      <c r="EQ43" s="34" t="n">
        <f aca="false">IF(EQ$15=1,INDEX(Vol_O,23,EQ$14)/12*(1+P_dVol),0)</f>
        <v>0</v>
      </c>
      <c r="ER43" s="34" t="n">
        <f aca="false">IF(ER$15=1,INDEX(Vol_O,23,ER$14)/12*(1+P_dVol),0)</f>
        <v>0</v>
      </c>
      <c r="ES43" s="34" t="n">
        <f aca="false">IF(ES$15=1,INDEX(Vol_O,23,ES$14)/12*(1+P_dVol),0)</f>
        <v>0</v>
      </c>
    </row>
    <row r="44" customFormat="false" ht="15" hidden="false" customHeight="false" outlineLevel="0" collapsed="false">
      <c r="A44" s="2" t="s">
        <v>607</v>
      </c>
      <c r="B44" s="39" t="str">
        <f aca="false">IF(INDEX(Prod_Nombre,24)="","Producto 24",INDEX(Prod_Nombre,24))&amp;" — unidades"</f>
        <v>Producto 24 — unidades</v>
      </c>
      <c r="C44" s="6" t="s">
        <v>286</v>
      </c>
      <c r="E44" s="40" t="n">
        <f aca="false">SUM(F44:ES44)</f>
        <v>0</v>
      </c>
      <c r="F44" s="34" t="n">
        <f aca="false">IF(F$15=1,INDEX(Vol_O,24,F$14)/12*(1+P_dVol),0)</f>
        <v>0</v>
      </c>
      <c r="G44" s="34" t="n">
        <f aca="false">IF(G$15=1,INDEX(Vol_O,24,G$14)/12*(1+P_dVol),0)</f>
        <v>0</v>
      </c>
      <c r="H44" s="34" t="n">
        <f aca="false">IF(H$15=1,INDEX(Vol_O,24,H$14)/12*(1+P_dVol),0)</f>
        <v>0</v>
      </c>
      <c r="I44" s="34" t="n">
        <f aca="false">IF(I$15=1,INDEX(Vol_O,24,I$14)/12*(1+P_dVol),0)</f>
        <v>0</v>
      </c>
      <c r="J44" s="34" t="n">
        <f aca="false">IF(J$15=1,INDEX(Vol_O,24,J$14)/12*(1+P_dVol),0)</f>
        <v>0</v>
      </c>
      <c r="K44" s="34" t="n">
        <f aca="false">IF(K$15=1,INDEX(Vol_O,24,K$14)/12*(1+P_dVol),0)</f>
        <v>0</v>
      </c>
      <c r="L44" s="34" t="n">
        <f aca="false">IF(L$15=1,INDEX(Vol_O,24,L$14)/12*(1+P_dVol),0)</f>
        <v>0</v>
      </c>
      <c r="M44" s="34" t="n">
        <f aca="false">IF(M$15=1,INDEX(Vol_O,24,M$14)/12*(1+P_dVol),0)</f>
        <v>0</v>
      </c>
      <c r="N44" s="34" t="n">
        <f aca="false">IF(N$15=1,INDEX(Vol_O,24,N$14)/12*(1+P_dVol),0)</f>
        <v>0</v>
      </c>
      <c r="O44" s="34" t="n">
        <f aca="false">IF(O$15=1,INDEX(Vol_O,24,O$14)/12*(1+P_dVol),0)</f>
        <v>0</v>
      </c>
      <c r="P44" s="34" t="n">
        <f aca="false">IF(P$15=1,INDEX(Vol_O,24,P$14)/12*(1+P_dVol),0)</f>
        <v>0</v>
      </c>
      <c r="Q44" s="34" t="n">
        <f aca="false">IF(Q$15=1,INDEX(Vol_O,24,Q$14)/12*(1+P_dVol),0)</f>
        <v>0</v>
      </c>
      <c r="R44" s="34" t="n">
        <f aca="false">IF(R$15=1,INDEX(Vol_O,24,R$14)/12*(1+P_dVol),0)</f>
        <v>0</v>
      </c>
      <c r="S44" s="34" t="n">
        <f aca="false">IF(S$15=1,INDEX(Vol_O,24,S$14)/12*(1+P_dVol),0)</f>
        <v>0</v>
      </c>
      <c r="T44" s="34" t="n">
        <f aca="false">IF(T$15=1,INDEX(Vol_O,24,T$14)/12*(1+P_dVol),0)</f>
        <v>0</v>
      </c>
      <c r="U44" s="34" t="n">
        <f aca="false">IF(U$15=1,INDEX(Vol_O,24,U$14)/12*(1+P_dVol),0)</f>
        <v>0</v>
      </c>
      <c r="V44" s="34" t="n">
        <f aca="false">IF(V$15=1,INDEX(Vol_O,24,V$14)/12*(1+P_dVol),0)</f>
        <v>0</v>
      </c>
      <c r="W44" s="34" t="n">
        <f aca="false">IF(W$15=1,INDEX(Vol_O,24,W$14)/12*(1+P_dVol),0)</f>
        <v>0</v>
      </c>
      <c r="X44" s="34" t="n">
        <f aca="false">IF(X$15=1,INDEX(Vol_O,24,X$14)/12*(1+P_dVol),0)</f>
        <v>0</v>
      </c>
      <c r="Y44" s="34" t="n">
        <f aca="false">IF(Y$15=1,INDEX(Vol_O,24,Y$14)/12*(1+P_dVol),0)</f>
        <v>0</v>
      </c>
      <c r="Z44" s="34" t="n">
        <f aca="false">IF(Z$15=1,INDEX(Vol_O,24,Z$14)/12*(1+P_dVol),0)</f>
        <v>0</v>
      </c>
      <c r="AA44" s="34" t="n">
        <f aca="false">IF(AA$15=1,INDEX(Vol_O,24,AA$14)/12*(1+P_dVol),0)</f>
        <v>0</v>
      </c>
      <c r="AB44" s="34" t="n">
        <f aca="false">IF(AB$15=1,INDEX(Vol_O,24,AB$14)/12*(1+P_dVol),0)</f>
        <v>0</v>
      </c>
      <c r="AC44" s="34" t="n">
        <f aca="false">IF(AC$15=1,INDEX(Vol_O,24,AC$14)/12*(1+P_dVol),0)</f>
        <v>0</v>
      </c>
      <c r="AD44" s="34" t="n">
        <f aca="false">IF(AD$15=1,INDEX(Vol_O,24,AD$14)/12*(1+P_dVol),0)</f>
        <v>0</v>
      </c>
      <c r="AE44" s="34" t="n">
        <f aca="false">IF(AE$15=1,INDEX(Vol_O,24,AE$14)/12*(1+P_dVol),0)</f>
        <v>0</v>
      </c>
      <c r="AF44" s="34" t="n">
        <f aca="false">IF(AF$15=1,INDEX(Vol_O,24,AF$14)/12*(1+P_dVol),0)</f>
        <v>0</v>
      </c>
      <c r="AG44" s="34" t="n">
        <f aca="false">IF(AG$15=1,INDEX(Vol_O,24,AG$14)/12*(1+P_dVol),0)</f>
        <v>0</v>
      </c>
      <c r="AH44" s="34" t="n">
        <f aca="false">IF(AH$15=1,INDEX(Vol_O,24,AH$14)/12*(1+P_dVol),0)</f>
        <v>0</v>
      </c>
      <c r="AI44" s="34" t="n">
        <f aca="false">IF(AI$15=1,INDEX(Vol_O,24,AI$14)/12*(1+P_dVol),0)</f>
        <v>0</v>
      </c>
      <c r="AJ44" s="34" t="n">
        <f aca="false">IF(AJ$15=1,INDEX(Vol_O,24,AJ$14)/12*(1+P_dVol),0)</f>
        <v>0</v>
      </c>
      <c r="AK44" s="34" t="n">
        <f aca="false">IF(AK$15=1,INDEX(Vol_O,24,AK$14)/12*(1+P_dVol),0)</f>
        <v>0</v>
      </c>
      <c r="AL44" s="34" t="n">
        <f aca="false">IF(AL$15=1,INDEX(Vol_O,24,AL$14)/12*(1+P_dVol),0)</f>
        <v>0</v>
      </c>
      <c r="AM44" s="34" t="n">
        <f aca="false">IF(AM$15=1,INDEX(Vol_O,24,AM$14)/12*(1+P_dVol),0)</f>
        <v>0</v>
      </c>
      <c r="AN44" s="34" t="n">
        <f aca="false">IF(AN$15=1,INDEX(Vol_O,24,AN$14)/12*(1+P_dVol),0)</f>
        <v>0</v>
      </c>
      <c r="AO44" s="34" t="n">
        <f aca="false">IF(AO$15=1,INDEX(Vol_O,24,AO$14)/12*(1+P_dVol),0)</f>
        <v>0</v>
      </c>
      <c r="AP44" s="34" t="n">
        <f aca="false">IF(AP$15=1,INDEX(Vol_O,24,AP$14)/12*(1+P_dVol),0)</f>
        <v>0</v>
      </c>
      <c r="AQ44" s="34" t="n">
        <f aca="false">IF(AQ$15=1,INDEX(Vol_O,24,AQ$14)/12*(1+P_dVol),0)</f>
        <v>0</v>
      </c>
      <c r="AR44" s="34" t="n">
        <f aca="false">IF(AR$15=1,INDEX(Vol_O,24,AR$14)/12*(1+P_dVol),0)</f>
        <v>0</v>
      </c>
      <c r="AS44" s="34" t="n">
        <f aca="false">IF(AS$15=1,INDEX(Vol_O,24,AS$14)/12*(1+P_dVol),0)</f>
        <v>0</v>
      </c>
      <c r="AT44" s="34" t="n">
        <f aca="false">IF(AT$15=1,INDEX(Vol_O,24,AT$14)/12*(1+P_dVol),0)</f>
        <v>0</v>
      </c>
      <c r="AU44" s="34" t="n">
        <f aca="false">IF(AU$15=1,INDEX(Vol_O,24,AU$14)/12*(1+P_dVol),0)</f>
        <v>0</v>
      </c>
      <c r="AV44" s="34" t="n">
        <f aca="false">IF(AV$15=1,INDEX(Vol_O,24,AV$14)/12*(1+P_dVol),0)</f>
        <v>0</v>
      </c>
      <c r="AW44" s="34" t="n">
        <f aca="false">IF(AW$15=1,INDEX(Vol_O,24,AW$14)/12*(1+P_dVol),0)</f>
        <v>0</v>
      </c>
      <c r="AX44" s="34" t="n">
        <f aca="false">IF(AX$15=1,INDEX(Vol_O,24,AX$14)/12*(1+P_dVol),0)</f>
        <v>0</v>
      </c>
      <c r="AY44" s="34" t="n">
        <f aca="false">IF(AY$15=1,INDEX(Vol_O,24,AY$14)/12*(1+P_dVol),0)</f>
        <v>0</v>
      </c>
      <c r="AZ44" s="34" t="n">
        <f aca="false">IF(AZ$15=1,INDEX(Vol_O,24,AZ$14)/12*(1+P_dVol),0)</f>
        <v>0</v>
      </c>
      <c r="BA44" s="34" t="n">
        <f aca="false">IF(BA$15=1,INDEX(Vol_O,24,BA$14)/12*(1+P_dVol),0)</f>
        <v>0</v>
      </c>
      <c r="BB44" s="34" t="n">
        <f aca="false">IF(BB$15=1,INDEX(Vol_O,24,BB$14)/12*(1+P_dVol),0)</f>
        <v>0</v>
      </c>
      <c r="BC44" s="34" t="n">
        <f aca="false">IF(BC$15=1,INDEX(Vol_O,24,BC$14)/12*(1+P_dVol),0)</f>
        <v>0</v>
      </c>
      <c r="BD44" s="34" t="n">
        <f aca="false">IF(BD$15=1,INDEX(Vol_O,24,BD$14)/12*(1+P_dVol),0)</f>
        <v>0</v>
      </c>
      <c r="BE44" s="34" t="n">
        <f aca="false">IF(BE$15=1,INDEX(Vol_O,24,BE$14)/12*(1+P_dVol),0)</f>
        <v>0</v>
      </c>
      <c r="BF44" s="34" t="n">
        <f aca="false">IF(BF$15=1,INDEX(Vol_O,24,BF$14)/12*(1+P_dVol),0)</f>
        <v>0</v>
      </c>
      <c r="BG44" s="34" t="n">
        <f aca="false">IF(BG$15=1,INDEX(Vol_O,24,BG$14)/12*(1+P_dVol),0)</f>
        <v>0</v>
      </c>
      <c r="BH44" s="34" t="n">
        <f aca="false">IF(BH$15=1,INDEX(Vol_O,24,BH$14)/12*(1+P_dVol),0)</f>
        <v>0</v>
      </c>
      <c r="BI44" s="34" t="n">
        <f aca="false">IF(BI$15=1,INDEX(Vol_O,24,BI$14)/12*(1+P_dVol),0)</f>
        <v>0</v>
      </c>
      <c r="BJ44" s="34" t="n">
        <f aca="false">IF(BJ$15=1,INDEX(Vol_O,24,BJ$14)/12*(1+P_dVol),0)</f>
        <v>0</v>
      </c>
      <c r="BK44" s="34" t="n">
        <f aca="false">IF(BK$15=1,INDEX(Vol_O,24,BK$14)/12*(1+P_dVol),0)</f>
        <v>0</v>
      </c>
      <c r="BL44" s="34" t="n">
        <f aca="false">IF(BL$15=1,INDEX(Vol_O,24,BL$14)/12*(1+P_dVol),0)</f>
        <v>0</v>
      </c>
      <c r="BM44" s="34" t="n">
        <f aca="false">IF(BM$15=1,INDEX(Vol_O,24,BM$14)/12*(1+P_dVol),0)</f>
        <v>0</v>
      </c>
      <c r="BN44" s="34" t="n">
        <f aca="false">IF(BN$15=1,INDEX(Vol_O,24,BN$14)/12*(1+P_dVol),0)</f>
        <v>0</v>
      </c>
      <c r="BO44" s="34" t="n">
        <f aca="false">IF(BO$15=1,INDEX(Vol_O,24,BO$14)/12*(1+P_dVol),0)</f>
        <v>0</v>
      </c>
      <c r="BP44" s="34" t="n">
        <f aca="false">IF(BP$15=1,INDEX(Vol_O,24,BP$14)/12*(1+P_dVol),0)</f>
        <v>0</v>
      </c>
      <c r="BQ44" s="34" t="n">
        <f aca="false">IF(BQ$15=1,INDEX(Vol_O,24,BQ$14)/12*(1+P_dVol),0)</f>
        <v>0</v>
      </c>
      <c r="BR44" s="34" t="n">
        <f aca="false">IF(BR$15=1,INDEX(Vol_O,24,BR$14)/12*(1+P_dVol),0)</f>
        <v>0</v>
      </c>
      <c r="BS44" s="34" t="n">
        <f aca="false">IF(BS$15=1,INDEX(Vol_O,24,BS$14)/12*(1+P_dVol),0)</f>
        <v>0</v>
      </c>
      <c r="BT44" s="34" t="n">
        <f aca="false">IF(BT$15=1,INDEX(Vol_O,24,BT$14)/12*(1+P_dVol),0)</f>
        <v>0</v>
      </c>
      <c r="BU44" s="34" t="n">
        <f aca="false">IF(BU$15=1,INDEX(Vol_O,24,BU$14)/12*(1+P_dVol),0)</f>
        <v>0</v>
      </c>
      <c r="BV44" s="34" t="n">
        <f aca="false">IF(BV$15=1,INDEX(Vol_O,24,BV$14)/12*(1+P_dVol),0)</f>
        <v>0</v>
      </c>
      <c r="BW44" s="34" t="n">
        <f aca="false">IF(BW$15=1,INDEX(Vol_O,24,BW$14)/12*(1+P_dVol),0)</f>
        <v>0</v>
      </c>
      <c r="BX44" s="34" t="n">
        <f aca="false">IF(BX$15=1,INDEX(Vol_O,24,BX$14)/12*(1+P_dVol),0)</f>
        <v>0</v>
      </c>
      <c r="BY44" s="34" t="n">
        <f aca="false">IF(BY$15=1,INDEX(Vol_O,24,BY$14)/12*(1+P_dVol),0)</f>
        <v>0</v>
      </c>
      <c r="BZ44" s="34" t="n">
        <f aca="false">IF(BZ$15=1,INDEX(Vol_O,24,BZ$14)/12*(1+P_dVol),0)</f>
        <v>0</v>
      </c>
      <c r="CA44" s="34" t="n">
        <f aca="false">IF(CA$15=1,INDEX(Vol_O,24,CA$14)/12*(1+P_dVol),0)</f>
        <v>0</v>
      </c>
      <c r="CB44" s="34" t="n">
        <f aca="false">IF(CB$15=1,INDEX(Vol_O,24,CB$14)/12*(1+P_dVol),0)</f>
        <v>0</v>
      </c>
      <c r="CC44" s="34" t="n">
        <f aca="false">IF(CC$15=1,INDEX(Vol_O,24,CC$14)/12*(1+P_dVol),0)</f>
        <v>0</v>
      </c>
      <c r="CD44" s="34" t="n">
        <f aca="false">IF(CD$15=1,INDEX(Vol_O,24,CD$14)/12*(1+P_dVol),0)</f>
        <v>0</v>
      </c>
      <c r="CE44" s="34" t="n">
        <f aca="false">IF(CE$15=1,INDEX(Vol_O,24,CE$14)/12*(1+P_dVol),0)</f>
        <v>0</v>
      </c>
      <c r="CF44" s="34" t="n">
        <f aca="false">IF(CF$15=1,INDEX(Vol_O,24,CF$14)/12*(1+P_dVol),0)</f>
        <v>0</v>
      </c>
      <c r="CG44" s="34" t="n">
        <f aca="false">IF(CG$15=1,INDEX(Vol_O,24,CG$14)/12*(1+P_dVol),0)</f>
        <v>0</v>
      </c>
      <c r="CH44" s="34" t="n">
        <f aca="false">IF(CH$15=1,INDEX(Vol_O,24,CH$14)/12*(1+P_dVol),0)</f>
        <v>0</v>
      </c>
      <c r="CI44" s="34" t="n">
        <f aca="false">IF(CI$15=1,INDEX(Vol_O,24,CI$14)/12*(1+P_dVol),0)</f>
        <v>0</v>
      </c>
      <c r="CJ44" s="34" t="n">
        <f aca="false">IF(CJ$15=1,INDEX(Vol_O,24,CJ$14)/12*(1+P_dVol),0)</f>
        <v>0</v>
      </c>
      <c r="CK44" s="34" t="n">
        <f aca="false">IF(CK$15=1,INDEX(Vol_O,24,CK$14)/12*(1+P_dVol),0)</f>
        <v>0</v>
      </c>
      <c r="CL44" s="34" t="n">
        <f aca="false">IF(CL$15=1,INDEX(Vol_O,24,CL$14)/12*(1+P_dVol),0)</f>
        <v>0</v>
      </c>
      <c r="CM44" s="34" t="n">
        <f aca="false">IF(CM$15=1,INDEX(Vol_O,24,CM$14)/12*(1+P_dVol),0)</f>
        <v>0</v>
      </c>
      <c r="CN44" s="34" t="n">
        <f aca="false">IF(CN$15=1,INDEX(Vol_O,24,CN$14)/12*(1+P_dVol),0)</f>
        <v>0</v>
      </c>
      <c r="CO44" s="34" t="n">
        <f aca="false">IF(CO$15=1,INDEX(Vol_O,24,CO$14)/12*(1+P_dVol),0)</f>
        <v>0</v>
      </c>
      <c r="CP44" s="34" t="n">
        <f aca="false">IF(CP$15=1,INDEX(Vol_O,24,CP$14)/12*(1+P_dVol),0)</f>
        <v>0</v>
      </c>
      <c r="CQ44" s="34" t="n">
        <f aca="false">IF(CQ$15=1,INDEX(Vol_O,24,CQ$14)/12*(1+P_dVol),0)</f>
        <v>0</v>
      </c>
      <c r="CR44" s="34" t="n">
        <f aca="false">IF(CR$15=1,INDEX(Vol_O,24,CR$14)/12*(1+P_dVol),0)</f>
        <v>0</v>
      </c>
      <c r="CS44" s="34" t="n">
        <f aca="false">IF(CS$15=1,INDEX(Vol_O,24,CS$14)/12*(1+P_dVol),0)</f>
        <v>0</v>
      </c>
      <c r="CT44" s="34" t="n">
        <f aca="false">IF(CT$15=1,INDEX(Vol_O,24,CT$14)/12*(1+P_dVol),0)</f>
        <v>0</v>
      </c>
      <c r="CU44" s="34" t="n">
        <f aca="false">IF(CU$15=1,INDEX(Vol_O,24,CU$14)/12*(1+P_dVol),0)</f>
        <v>0</v>
      </c>
      <c r="CV44" s="34" t="n">
        <f aca="false">IF(CV$15=1,INDEX(Vol_O,24,CV$14)/12*(1+P_dVol),0)</f>
        <v>0</v>
      </c>
      <c r="CW44" s="34" t="n">
        <f aca="false">IF(CW$15=1,INDEX(Vol_O,24,CW$14)/12*(1+P_dVol),0)</f>
        <v>0</v>
      </c>
      <c r="CX44" s="34" t="n">
        <f aca="false">IF(CX$15=1,INDEX(Vol_O,24,CX$14)/12*(1+P_dVol),0)</f>
        <v>0</v>
      </c>
      <c r="CY44" s="34" t="n">
        <f aca="false">IF(CY$15=1,INDEX(Vol_O,24,CY$14)/12*(1+P_dVol),0)</f>
        <v>0</v>
      </c>
      <c r="CZ44" s="34" t="n">
        <f aca="false">IF(CZ$15=1,INDEX(Vol_O,24,CZ$14)/12*(1+P_dVol),0)</f>
        <v>0</v>
      </c>
      <c r="DA44" s="34" t="n">
        <f aca="false">IF(DA$15=1,INDEX(Vol_O,24,DA$14)/12*(1+P_dVol),0)</f>
        <v>0</v>
      </c>
      <c r="DB44" s="34" t="n">
        <f aca="false">IF(DB$15=1,INDEX(Vol_O,24,DB$14)/12*(1+P_dVol),0)</f>
        <v>0</v>
      </c>
      <c r="DC44" s="34" t="n">
        <f aca="false">IF(DC$15=1,INDEX(Vol_O,24,DC$14)/12*(1+P_dVol),0)</f>
        <v>0</v>
      </c>
      <c r="DD44" s="34" t="n">
        <f aca="false">IF(DD$15=1,INDEX(Vol_O,24,DD$14)/12*(1+P_dVol),0)</f>
        <v>0</v>
      </c>
      <c r="DE44" s="34" t="n">
        <f aca="false">IF(DE$15=1,INDEX(Vol_O,24,DE$14)/12*(1+P_dVol),0)</f>
        <v>0</v>
      </c>
      <c r="DF44" s="34" t="n">
        <f aca="false">IF(DF$15=1,INDEX(Vol_O,24,DF$14)/12*(1+P_dVol),0)</f>
        <v>0</v>
      </c>
      <c r="DG44" s="34" t="n">
        <f aca="false">IF(DG$15=1,INDEX(Vol_O,24,DG$14)/12*(1+P_dVol),0)</f>
        <v>0</v>
      </c>
      <c r="DH44" s="34" t="n">
        <f aca="false">IF(DH$15=1,INDEX(Vol_O,24,DH$14)/12*(1+P_dVol),0)</f>
        <v>0</v>
      </c>
      <c r="DI44" s="34" t="n">
        <f aca="false">IF(DI$15=1,INDEX(Vol_O,24,DI$14)/12*(1+P_dVol),0)</f>
        <v>0</v>
      </c>
      <c r="DJ44" s="34" t="n">
        <f aca="false">IF(DJ$15=1,INDEX(Vol_O,24,DJ$14)/12*(1+P_dVol),0)</f>
        <v>0</v>
      </c>
      <c r="DK44" s="34" t="n">
        <f aca="false">IF(DK$15=1,INDEX(Vol_O,24,DK$14)/12*(1+P_dVol),0)</f>
        <v>0</v>
      </c>
      <c r="DL44" s="34" t="n">
        <f aca="false">IF(DL$15=1,INDEX(Vol_O,24,DL$14)/12*(1+P_dVol),0)</f>
        <v>0</v>
      </c>
      <c r="DM44" s="34" t="n">
        <f aca="false">IF(DM$15=1,INDEX(Vol_O,24,DM$14)/12*(1+P_dVol),0)</f>
        <v>0</v>
      </c>
      <c r="DN44" s="34" t="n">
        <f aca="false">IF(DN$15=1,INDEX(Vol_O,24,DN$14)/12*(1+P_dVol),0)</f>
        <v>0</v>
      </c>
      <c r="DO44" s="34" t="n">
        <f aca="false">IF(DO$15=1,INDEX(Vol_O,24,DO$14)/12*(1+P_dVol),0)</f>
        <v>0</v>
      </c>
      <c r="DP44" s="34" t="n">
        <f aca="false">IF(DP$15=1,INDEX(Vol_O,24,DP$14)/12*(1+P_dVol),0)</f>
        <v>0</v>
      </c>
      <c r="DQ44" s="34" t="n">
        <f aca="false">IF(DQ$15=1,INDEX(Vol_O,24,DQ$14)/12*(1+P_dVol),0)</f>
        <v>0</v>
      </c>
      <c r="DR44" s="34" t="n">
        <f aca="false">IF(DR$15=1,INDEX(Vol_O,24,DR$14)/12*(1+P_dVol),0)</f>
        <v>0</v>
      </c>
      <c r="DS44" s="34" t="n">
        <f aca="false">IF(DS$15=1,INDEX(Vol_O,24,DS$14)/12*(1+P_dVol),0)</f>
        <v>0</v>
      </c>
      <c r="DT44" s="34" t="n">
        <f aca="false">IF(DT$15=1,INDEX(Vol_O,24,DT$14)/12*(1+P_dVol),0)</f>
        <v>0</v>
      </c>
      <c r="DU44" s="34" t="n">
        <f aca="false">IF(DU$15=1,INDEX(Vol_O,24,DU$14)/12*(1+P_dVol),0)</f>
        <v>0</v>
      </c>
      <c r="DV44" s="34" t="n">
        <f aca="false">IF(DV$15=1,INDEX(Vol_O,24,DV$14)/12*(1+P_dVol),0)</f>
        <v>0</v>
      </c>
      <c r="DW44" s="34" t="n">
        <f aca="false">IF(DW$15=1,INDEX(Vol_O,24,DW$14)/12*(1+P_dVol),0)</f>
        <v>0</v>
      </c>
      <c r="DX44" s="34" t="n">
        <f aca="false">IF(DX$15=1,INDEX(Vol_O,24,DX$14)/12*(1+P_dVol),0)</f>
        <v>0</v>
      </c>
      <c r="DY44" s="34" t="n">
        <f aca="false">IF(DY$15=1,INDEX(Vol_O,24,DY$14)/12*(1+P_dVol),0)</f>
        <v>0</v>
      </c>
      <c r="DZ44" s="34" t="n">
        <f aca="false">IF(DZ$15=1,INDEX(Vol_O,24,DZ$14)/12*(1+P_dVol),0)</f>
        <v>0</v>
      </c>
      <c r="EA44" s="34" t="n">
        <f aca="false">IF(EA$15=1,INDEX(Vol_O,24,EA$14)/12*(1+P_dVol),0)</f>
        <v>0</v>
      </c>
      <c r="EB44" s="34" t="n">
        <f aca="false">IF(EB$15=1,INDEX(Vol_O,24,EB$14)/12*(1+P_dVol),0)</f>
        <v>0</v>
      </c>
      <c r="EC44" s="34" t="n">
        <f aca="false">IF(EC$15=1,INDEX(Vol_O,24,EC$14)/12*(1+P_dVol),0)</f>
        <v>0</v>
      </c>
      <c r="ED44" s="34" t="n">
        <f aca="false">IF(ED$15=1,INDEX(Vol_O,24,ED$14)/12*(1+P_dVol),0)</f>
        <v>0</v>
      </c>
      <c r="EE44" s="34" t="n">
        <f aca="false">IF(EE$15=1,INDEX(Vol_O,24,EE$14)/12*(1+P_dVol),0)</f>
        <v>0</v>
      </c>
      <c r="EF44" s="34" t="n">
        <f aca="false">IF(EF$15=1,INDEX(Vol_O,24,EF$14)/12*(1+P_dVol),0)</f>
        <v>0</v>
      </c>
      <c r="EG44" s="34" t="n">
        <f aca="false">IF(EG$15=1,INDEX(Vol_O,24,EG$14)/12*(1+P_dVol),0)</f>
        <v>0</v>
      </c>
      <c r="EH44" s="34" t="n">
        <f aca="false">IF(EH$15=1,INDEX(Vol_O,24,EH$14)/12*(1+P_dVol),0)</f>
        <v>0</v>
      </c>
      <c r="EI44" s="34" t="n">
        <f aca="false">IF(EI$15=1,INDEX(Vol_O,24,EI$14)/12*(1+P_dVol),0)</f>
        <v>0</v>
      </c>
      <c r="EJ44" s="34" t="n">
        <f aca="false">IF(EJ$15=1,INDEX(Vol_O,24,EJ$14)/12*(1+P_dVol),0)</f>
        <v>0</v>
      </c>
      <c r="EK44" s="34" t="n">
        <f aca="false">IF(EK$15=1,INDEX(Vol_O,24,EK$14)/12*(1+P_dVol),0)</f>
        <v>0</v>
      </c>
      <c r="EL44" s="34" t="n">
        <f aca="false">IF(EL$15=1,INDEX(Vol_O,24,EL$14)/12*(1+P_dVol),0)</f>
        <v>0</v>
      </c>
      <c r="EM44" s="34" t="n">
        <f aca="false">IF(EM$15=1,INDEX(Vol_O,24,EM$14)/12*(1+P_dVol),0)</f>
        <v>0</v>
      </c>
      <c r="EN44" s="34" t="n">
        <f aca="false">IF(EN$15=1,INDEX(Vol_O,24,EN$14)/12*(1+P_dVol),0)</f>
        <v>0</v>
      </c>
      <c r="EO44" s="34" t="n">
        <f aca="false">IF(EO$15=1,INDEX(Vol_O,24,EO$14)/12*(1+P_dVol),0)</f>
        <v>0</v>
      </c>
      <c r="EP44" s="34" t="n">
        <f aca="false">IF(EP$15=1,INDEX(Vol_O,24,EP$14)/12*(1+P_dVol),0)</f>
        <v>0</v>
      </c>
      <c r="EQ44" s="34" t="n">
        <f aca="false">IF(EQ$15=1,INDEX(Vol_O,24,EQ$14)/12*(1+P_dVol),0)</f>
        <v>0</v>
      </c>
      <c r="ER44" s="34" t="n">
        <f aca="false">IF(ER$15=1,INDEX(Vol_O,24,ER$14)/12*(1+P_dVol),0)</f>
        <v>0</v>
      </c>
      <c r="ES44" s="34" t="n">
        <f aca="false">IF(ES$15=1,INDEX(Vol_O,24,ES$14)/12*(1+P_dVol),0)</f>
        <v>0</v>
      </c>
    </row>
    <row r="45" customFormat="false" ht="15" hidden="false" customHeight="false" outlineLevel="0" collapsed="false">
      <c r="A45" s="2" t="s">
        <v>608</v>
      </c>
      <c r="B45" s="39" t="str">
        <f aca="false">IF(INDEX(Prod_Nombre,25)="","Producto 25",INDEX(Prod_Nombre,25))&amp;" — unidades"</f>
        <v>Producto 25 — unidades</v>
      </c>
      <c r="C45" s="6" t="s">
        <v>286</v>
      </c>
      <c r="E45" s="40" t="n">
        <f aca="false">SUM(F45:ES45)</f>
        <v>0</v>
      </c>
      <c r="F45" s="34" t="n">
        <f aca="false">IF(F$15=1,INDEX(Vol_O,25,F$14)/12*(1+P_dVol),0)</f>
        <v>0</v>
      </c>
      <c r="G45" s="34" t="n">
        <f aca="false">IF(G$15=1,INDEX(Vol_O,25,G$14)/12*(1+P_dVol),0)</f>
        <v>0</v>
      </c>
      <c r="H45" s="34" t="n">
        <f aca="false">IF(H$15=1,INDEX(Vol_O,25,H$14)/12*(1+P_dVol),0)</f>
        <v>0</v>
      </c>
      <c r="I45" s="34" t="n">
        <f aca="false">IF(I$15=1,INDEX(Vol_O,25,I$14)/12*(1+P_dVol),0)</f>
        <v>0</v>
      </c>
      <c r="J45" s="34" t="n">
        <f aca="false">IF(J$15=1,INDEX(Vol_O,25,J$14)/12*(1+P_dVol),0)</f>
        <v>0</v>
      </c>
      <c r="K45" s="34" t="n">
        <f aca="false">IF(K$15=1,INDEX(Vol_O,25,K$14)/12*(1+P_dVol),0)</f>
        <v>0</v>
      </c>
      <c r="L45" s="34" t="n">
        <f aca="false">IF(L$15=1,INDEX(Vol_O,25,L$14)/12*(1+P_dVol),0)</f>
        <v>0</v>
      </c>
      <c r="M45" s="34" t="n">
        <f aca="false">IF(M$15=1,INDEX(Vol_O,25,M$14)/12*(1+P_dVol),0)</f>
        <v>0</v>
      </c>
      <c r="N45" s="34" t="n">
        <f aca="false">IF(N$15=1,INDEX(Vol_O,25,N$14)/12*(1+P_dVol),0)</f>
        <v>0</v>
      </c>
      <c r="O45" s="34" t="n">
        <f aca="false">IF(O$15=1,INDEX(Vol_O,25,O$14)/12*(1+P_dVol),0)</f>
        <v>0</v>
      </c>
      <c r="P45" s="34" t="n">
        <f aca="false">IF(P$15=1,INDEX(Vol_O,25,P$14)/12*(1+P_dVol),0)</f>
        <v>0</v>
      </c>
      <c r="Q45" s="34" t="n">
        <f aca="false">IF(Q$15=1,INDEX(Vol_O,25,Q$14)/12*(1+P_dVol),0)</f>
        <v>0</v>
      </c>
      <c r="R45" s="34" t="n">
        <f aca="false">IF(R$15=1,INDEX(Vol_O,25,R$14)/12*(1+P_dVol),0)</f>
        <v>0</v>
      </c>
      <c r="S45" s="34" t="n">
        <f aca="false">IF(S$15=1,INDEX(Vol_O,25,S$14)/12*(1+P_dVol),0)</f>
        <v>0</v>
      </c>
      <c r="T45" s="34" t="n">
        <f aca="false">IF(T$15=1,INDEX(Vol_O,25,T$14)/12*(1+P_dVol),0)</f>
        <v>0</v>
      </c>
      <c r="U45" s="34" t="n">
        <f aca="false">IF(U$15=1,INDEX(Vol_O,25,U$14)/12*(1+P_dVol),0)</f>
        <v>0</v>
      </c>
      <c r="V45" s="34" t="n">
        <f aca="false">IF(V$15=1,INDEX(Vol_O,25,V$14)/12*(1+P_dVol),0)</f>
        <v>0</v>
      </c>
      <c r="W45" s="34" t="n">
        <f aca="false">IF(W$15=1,INDEX(Vol_O,25,W$14)/12*(1+P_dVol),0)</f>
        <v>0</v>
      </c>
      <c r="X45" s="34" t="n">
        <f aca="false">IF(X$15=1,INDEX(Vol_O,25,X$14)/12*(1+P_dVol),0)</f>
        <v>0</v>
      </c>
      <c r="Y45" s="34" t="n">
        <f aca="false">IF(Y$15=1,INDEX(Vol_O,25,Y$14)/12*(1+P_dVol),0)</f>
        <v>0</v>
      </c>
      <c r="Z45" s="34" t="n">
        <f aca="false">IF(Z$15=1,INDEX(Vol_O,25,Z$14)/12*(1+P_dVol),0)</f>
        <v>0</v>
      </c>
      <c r="AA45" s="34" t="n">
        <f aca="false">IF(AA$15=1,INDEX(Vol_O,25,AA$14)/12*(1+P_dVol),0)</f>
        <v>0</v>
      </c>
      <c r="AB45" s="34" t="n">
        <f aca="false">IF(AB$15=1,INDEX(Vol_O,25,AB$14)/12*(1+P_dVol),0)</f>
        <v>0</v>
      </c>
      <c r="AC45" s="34" t="n">
        <f aca="false">IF(AC$15=1,INDEX(Vol_O,25,AC$14)/12*(1+P_dVol),0)</f>
        <v>0</v>
      </c>
      <c r="AD45" s="34" t="n">
        <f aca="false">IF(AD$15=1,INDEX(Vol_O,25,AD$14)/12*(1+P_dVol),0)</f>
        <v>0</v>
      </c>
      <c r="AE45" s="34" t="n">
        <f aca="false">IF(AE$15=1,INDEX(Vol_O,25,AE$14)/12*(1+P_dVol),0)</f>
        <v>0</v>
      </c>
      <c r="AF45" s="34" t="n">
        <f aca="false">IF(AF$15=1,INDEX(Vol_O,25,AF$14)/12*(1+P_dVol),0)</f>
        <v>0</v>
      </c>
      <c r="AG45" s="34" t="n">
        <f aca="false">IF(AG$15=1,INDEX(Vol_O,25,AG$14)/12*(1+P_dVol),0)</f>
        <v>0</v>
      </c>
      <c r="AH45" s="34" t="n">
        <f aca="false">IF(AH$15=1,INDEX(Vol_O,25,AH$14)/12*(1+P_dVol),0)</f>
        <v>0</v>
      </c>
      <c r="AI45" s="34" t="n">
        <f aca="false">IF(AI$15=1,INDEX(Vol_O,25,AI$14)/12*(1+P_dVol),0)</f>
        <v>0</v>
      </c>
      <c r="AJ45" s="34" t="n">
        <f aca="false">IF(AJ$15=1,INDEX(Vol_O,25,AJ$14)/12*(1+P_dVol),0)</f>
        <v>0</v>
      </c>
      <c r="AK45" s="34" t="n">
        <f aca="false">IF(AK$15=1,INDEX(Vol_O,25,AK$14)/12*(1+P_dVol),0)</f>
        <v>0</v>
      </c>
      <c r="AL45" s="34" t="n">
        <f aca="false">IF(AL$15=1,INDEX(Vol_O,25,AL$14)/12*(1+P_dVol),0)</f>
        <v>0</v>
      </c>
      <c r="AM45" s="34" t="n">
        <f aca="false">IF(AM$15=1,INDEX(Vol_O,25,AM$14)/12*(1+P_dVol),0)</f>
        <v>0</v>
      </c>
      <c r="AN45" s="34" t="n">
        <f aca="false">IF(AN$15=1,INDEX(Vol_O,25,AN$14)/12*(1+P_dVol),0)</f>
        <v>0</v>
      </c>
      <c r="AO45" s="34" t="n">
        <f aca="false">IF(AO$15=1,INDEX(Vol_O,25,AO$14)/12*(1+P_dVol),0)</f>
        <v>0</v>
      </c>
      <c r="AP45" s="34" t="n">
        <f aca="false">IF(AP$15=1,INDEX(Vol_O,25,AP$14)/12*(1+P_dVol),0)</f>
        <v>0</v>
      </c>
      <c r="AQ45" s="34" t="n">
        <f aca="false">IF(AQ$15=1,INDEX(Vol_O,25,AQ$14)/12*(1+P_dVol),0)</f>
        <v>0</v>
      </c>
      <c r="AR45" s="34" t="n">
        <f aca="false">IF(AR$15=1,INDEX(Vol_O,25,AR$14)/12*(1+P_dVol),0)</f>
        <v>0</v>
      </c>
      <c r="AS45" s="34" t="n">
        <f aca="false">IF(AS$15=1,INDEX(Vol_O,25,AS$14)/12*(1+P_dVol),0)</f>
        <v>0</v>
      </c>
      <c r="AT45" s="34" t="n">
        <f aca="false">IF(AT$15=1,INDEX(Vol_O,25,AT$14)/12*(1+P_dVol),0)</f>
        <v>0</v>
      </c>
      <c r="AU45" s="34" t="n">
        <f aca="false">IF(AU$15=1,INDEX(Vol_O,25,AU$14)/12*(1+P_dVol),0)</f>
        <v>0</v>
      </c>
      <c r="AV45" s="34" t="n">
        <f aca="false">IF(AV$15=1,INDEX(Vol_O,25,AV$14)/12*(1+P_dVol),0)</f>
        <v>0</v>
      </c>
      <c r="AW45" s="34" t="n">
        <f aca="false">IF(AW$15=1,INDEX(Vol_O,25,AW$14)/12*(1+P_dVol),0)</f>
        <v>0</v>
      </c>
      <c r="AX45" s="34" t="n">
        <f aca="false">IF(AX$15=1,INDEX(Vol_O,25,AX$14)/12*(1+P_dVol),0)</f>
        <v>0</v>
      </c>
      <c r="AY45" s="34" t="n">
        <f aca="false">IF(AY$15=1,INDEX(Vol_O,25,AY$14)/12*(1+P_dVol),0)</f>
        <v>0</v>
      </c>
      <c r="AZ45" s="34" t="n">
        <f aca="false">IF(AZ$15=1,INDEX(Vol_O,25,AZ$14)/12*(1+P_dVol),0)</f>
        <v>0</v>
      </c>
      <c r="BA45" s="34" t="n">
        <f aca="false">IF(BA$15=1,INDEX(Vol_O,25,BA$14)/12*(1+P_dVol),0)</f>
        <v>0</v>
      </c>
      <c r="BB45" s="34" t="n">
        <f aca="false">IF(BB$15=1,INDEX(Vol_O,25,BB$14)/12*(1+P_dVol),0)</f>
        <v>0</v>
      </c>
      <c r="BC45" s="34" t="n">
        <f aca="false">IF(BC$15=1,INDEX(Vol_O,25,BC$14)/12*(1+P_dVol),0)</f>
        <v>0</v>
      </c>
      <c r="BD45" s="34" t="n">
        <f aca="false">IF(BD$15=1,INDEX(Vol_O,25,BD$14)/12*(1+P_dVol),0)</f>
        <v>0</v>
      </c>
      <c r="BE45" s="34" t="n">
        <f aca="false">IF(BE$15=1,INDEX(Vol_O,25,BE$14)/12*(1+P_dVol),0)</f>
        <v>0</v>
      </c>
      <c r="BF45" s="34" t="n">
        <f aca="false">IF(BF$15=1,INDEX(Vol_O,25,BF$14)/12*(1+P_dVol),0)</f>
        <v>0</v>
      </c>
      <c r="BG45" s="34" t="n">
        <f aca="false">IF(BG$15=1,INDEX(Vol_O,25,BG$14)/12*(1+P_dVol),0)</f>
        <v>0</v>
      </c>
      <c r="BH45" s="34" t="n">
        <f aca="false">IF(BH$15=1,INDEX(Vol_O,25,BH$14)/12*(1+P_dVol),0)</f>
        <v>0</v>
      </c>
      <c r="BI45" s="34" t="n">
        <f aca="false">IF(BI$15=1,INDEX(Vol_O,25,BI$14)/12*(1+P_dVol),0)</f>
        <v>0</v>
      </c>
      <c r="BJ45" s="34" t="n">
        <f aca="false">IF(BJ$15=1,INDEX(Vol_O,25,BJ$14)/12*(1+P_dVol),0)</f>
        <v>0</v>
      </c>
      <c r="BK45" s="34" t="n">
        <f aca="false">IF(BK$15=1,INDEX(Vol_O,25,BK$14)/12*(1+P_dVol),0)</f>
        <v>0</v>
      </c>
      <c r="BL45" s="34" t="n">
        <f aca="false">IF(BL$15=1,INDEX(Vol_O,25,BL$14)/12*(1+P_dVol),0)</f>
        <v>0</v>
      </c>
      <c r="BM45" s="34" t="n">
        <f aca="false">IF(BM$15=1,INDEX(Vol_O,25,BM$14)/12*(1+P_dVol),0)</f>
        <v>0</v>
      </c>
      <c r="BN45" s="34" t="n">
        <f aca="false">IF(BN$15=1,INDEX(Vol_O,25,BN$14)/12*(1+P_dVol),0)</f>
        <v>0</v>
      </c>
      <c r="BO45" s="34" t="n">
        <f aca="false">IF(BO$15=1,INDEX(Vol_O,25,BO$14)/12*(1+P_dVol),0)</f>
        <v>0</v>
      </c>
      <c r="BP45" s="34" t="n">
        <f aca="false">IF(BP$15=1,INDEX(Vol_O,25,BP$14)/12*(1+P_dVol),0)</f>
        <v>0</v>
      </c>
      <c r="BQ45" s="34" t="n">
        <f aca="false">IF(BQ$15=1,INDEX(Vol_O,25,BQ$14)/12*(1+P_dVol),0)</f>
        <v>0</v>
      </c>
      <c r="BR45" s="34" t="n">
        <f aca="false">IF(BR$15=1,INDEX(Vol_O,25,BR$14)/12*(1+P_dVol),0)</f>
        <v>0</v>
      </c>
      <c r="BS45" s="34" t="n">
        <f aca="false">IF(BS$15=1,INDEX(Vol_O,25,BS$14)/12*(1+P_dVol),0)</f>
        <v>0</v>
      </c>
      <c r="BT45" s="34" t="n">
        <f aca="false">IF(BT$15=1,INDEX(Vol_O,25,BT$14)/12*(1+P_dVol),0)</f>
        <v>0</v>
      </c>
      <c r="BU45" s="34" t="n">
        <f aca="false">IF(BU$15=1,INDEX(Vol_O,25,BU$14)/12*(1+P_dVol),0)</f>
        <v>0</v>
      </c>
      <c r="BV45" s="34" t="n">
        <f aca="false">IF(BV$15=1,INDEX(Vol_O,25,BV$14)/12*(1+P_dVol),0)</f>
        <v>0</v>
      </c>
      <c r="BW45" s="34" t="n">
        <f aca="false">IF(BW$15=1,INDEX(Vol_O,25,BW$14)/12*(1+P_dVol),0)</f>
        <v>0</v>
      </c>
      <c r="BX45" s="34" t="n">
        <f aca="false">IF(BX$15=1,INDEX(Vol_O,25,BX$14)/12*(1+P_dVol),0)</f>
        <v>0</v>
      </c>
      <c r="BY45" s="34" t="n">
        <f aca="false">IF(BY$15=1,INDEX(Vol_O,25,BY$14)/12*(1+P_dVol),0)</f>
        <v>0</v>
      </c>
      <c r="BZ45" s="34" t="n">
        <f aca="false">IF(BZ$15=1,INDEX(Vol_O,25,BZ$14)/12*(1+P_dVol),0)</f>
        <v>0</v>
      </c>
      <c r="CA45" s="34" t="n">
        <f aca="false">IF(CA$15=1,INDEX(Vol_O,25,CA$14)/12*(1+P_dVol),0)</f>
        <v>0</v>
      </c>
      <c r="CB45" s="34" t="n">
        <f aca="false">IF(CB$15=1,INDEX(Vol_O,25,CB$14)/12*(1+P_dVol),0)</f>
        <v>0</v>
      </c>
      <c r="CC45" s="34" t="n">
        <f aca="false">IF(CC$15=1,INDEX(Vol_O,25,CC$14)/12*(1+P_dVol),0)</f>
        <v>0</v>
      </c>
      <c r="CD45" s="34" t="n">
        <f aca="false">IF(CD$15=1,INDEX(Vol_O,25,CD$14)/12*(1+P_dVol),0)</f>
        <v>0</v>
      </c>
      <c r="CE45" s="34" t="n">
        <f aca="false">IF(CE$15=1,INDEX(Vol_O,25,CE$14)/12*(1+P_dVol),0)</f>
        <v>0</v>
      </c>
      <c r="CF45" s="34" t="n">
        <f aca="false">IF(CF$15=1,INDEX(Vol_O,25,CF$14)/12*(1+P_dVol),0)</f>
        <v>0</v>
      </c>
      <c r="CG45" s="34" t="n">
        <f aca="false">IF(CG$15=1,INDEX(Vol_O,25,CG$14)/12*(1+P_dVol),0)</f>
        <v>0</v>
      </c>
      <c r="CH45" s="34" t="n">
        <f aca="false">IF(CH$15=1,INDEX(Vol_O,25,CH$14)/12*(1+P_dVol),0)</f>
        <v>0</v>
      </c>
      <c r="CI45" s="34" t="n">
        <f aca="false">IF(CI$15=1,INDEX(Vol_O,25,CI$14)/12*(1+P_dVol),0)</f>
        <v>0</v>
      </c>
      <c r="CJ45" s="34" t="n">
        <f aca="false">IF(CJ$15=1,INDEX(Vol_O,25,CJ$14)/12*(1+P_dVol),0)</f>
        <v>0</v>
      </c>
      <c r="CK45" s="34" t="n">
        <f aca="false">IF(CK$15=1,INDEX(Vol_O,25,CK$14)/12*(1+P_dVol),0)</f>
        <v>0</v>
      </c>
      <c r="CL45" s="34" t="n">
        <f aca="false">IF(CL$15=1,INDEX(Vol_O,25,CL$14)/12*(1+P_dVol),0)</f>
        <v>0</v>
      </c>
      <c r="CM45" s="34" t="n">
        <f aca="false">IF(CM$15=1,INDEX(Vol_O,25,CM$14)/12*(1+P_dVol),0)</f>
        <v>0</v>
      </c>
      <c r="CN45" s="34" t="n">
        <f aca="false">IF(CN$15=1,INDEX(Vol_O,25,CN$14)/12*(1+P_dVol),0)</f>
        <v>0</v>
      </c>
      <c r="CO45" s="34" t="n">
        <f aca="false">IF(CO$15=1,INDEX(Vol_O,25,CO$14)/12*(1+P_dVol),0)</f>
        <v>0</v>
      </c>
      <c r="CP45" s="34" t="n">
        <f aca="false">IF(CP$15=1,INDEX(Vol_O,25,CP$14)/12*(1+P_dVol),0)</f>
        <v>0</v>
      </c>
      <c r="CQ45" s="34" t="n">
        <f aca="false">IF(CQ$15=1,INDEX(Vol_O,25,CQ$14)/12*(1+P_dVol),0)</f>
        <v>0</v>
      </c>
      <c r="CR45" s="34" t="n">
        <f aca="false">IF(CR$15=1,INDEX(Vol_O,25,CR$14)/12*(1+P_dVol),0)</f>
        <v>0</v>
      </c>
      <c r="CS45" s="34" t="n">
        <f aca="false">IF(CS$15=1,INDEX(Vol_O,25,CS$14)/12*(1+P_dVol),0)</f>
        <v>0</v>
      </c>
      <c r="CT45" s="34" t="n">
        <f aca="false">IF(CT$15=1,INDEX(Vol_O,25,CT$14)/12*(1+P_dVol),0)</f>
        <v>0</v>
      </c>
      <c r="CU45" s="34" t="n">
        <f aca="false">IF(CU$15=1,INDEX(Vol_O,25,CU$14)/12*(1+P_dVol),0)</f>
        <v>0</v>
      </c>
      <c r="CV45" s="34" t="n">
        <f aca="false">IF(CV$15=1,INDEX(Vol_O,25,CV$14)/12*(1+P_dVol),0)</f>
        <v>0</v>
      </c>
      <c r="CW45" s="34" t="n">
        <f aca="false">IF(CW$15=1,INDEX(Vol_O,25,CW$14)/12*(1+P_dVol),0)</f>
        <v>0</v>
      </c>
      <c r="CX45" s="34" t="n">
        <f aca="false">IF(CX$15=1,INDEX(Vol_O,25,CX$14)/12*(1+P_dVol),0)</f>
        <v>0</v>
      </c>
      <c r="CY45" s="34" t="n">
        <f aca="false">IF(CY$15=1,INDEX(Vol_O,25,CY$14)/12*(1+P_dVol),0)</f>
        <v>0</v>
      </c>
      <c r="CZ45" s="34" t="n">
        <f aca="false">IF(CZ$15=1,INDEX(Vol_O,25,CZ$14)/12*(1+P_dVol),0)</f>
        <v>0</v>
      </c>
      <c r="DA45" s="34" t="n">
        <f aca="false">IF(DA$15=1,INDEX(Vol_O,25,DA$14)/12*(1+P_dVol),0)</f>
        <v>0</v>
      </c>
      <c r="DB45" s="34" t="n">
        <f aca="false">IF(DB$15=1,INDEX(Vol_O,25,DB$14)/12*(1+P_dVol),0)</f>
        <v>0</v>
      </c>
      <c r="DC45" s="34" t="n">
        <f aca="false">IF(DC$15=1,INDEX(Vol_O,25,DC$14)/12*(1+P_dVol),0)</f>
        <v>0</v>
      </c>
      <c r="DD45" s="34" t="n">
        <f aca="false">IF(DD$15=1,INDEX(Vol_O,25,DD$14)/12*(1+P_dVol),0)</f>
        <v>0</v>
      </c>
      <c r="DE45" s="34" t="n">
        <f aca="false">IF(DE$15=1,INDEX(Vol_O,25,DE$14)/12*(1+P_dVol),0)</f>
        <v>0</v>
      </c>
      <c r="DF45" s="34" t="n">
        <f aca="false">IF(DF$15=1,INDEX(Vol_O,25,DF$14)/12*(1+P_dVol),0)</f>
        <v>0</v>
      </c>
      <c r="DG45" s="34" t="n">
        <f aca="false">IF(DG$15=1,INDEX(Vol_O,25,DG$14)/12*(1+P_dVol),0)</f>
        <v>0</v>
      </c>
      <c r="DH45" s="34" t="n">
        <f aca="false">IF(DH$15=1,INDEX(Vol_O,25,DH$14)/12*(1+P_dVol),0)</f>
        <v>0</v>
      </c>
      <c r="DI45" s="34" t="n">
        <f aca="false">IF(DI$15=1,INDEX(Vol_O,25,DI$14)/12*(1+P_dVol),0)</f>
        <v>0</v>
      </c>
      <c r="DJ45" s="34" t="n">
        <f aca="false">IF(DJ$15=1,INDEX(Vol_O,25,DJ$14)/12*(1+P_dVol),0)</f>
        <v>0</v>
      </c>
      <c r="DK45" s="34" t="n">
        <f aca="false">IF(DK$15=1,INDEX(Vol_O,25,DK$14)/12*(1+P_dVol),0)</f>
        <v>0</v>
      </c>
      <c r="DL45" s="34" t="n">
        <f aca="false">IF(DL$15=1,INDEX(Vol_O,25,DL$14)/12*(1+P_dVol),0)</f>
        <v>0</v>
      </c>
      <c r="DM45" s="34" t="n">
        <f aca="false">IF(DM$15=1,INDEX(Vol_O,25,DM$14)/12*(1+P_dVol),0)</f>
        <v>0</v>
      </c>
      <c r="DN45" s="34" t="n">
        <f aca="false">IF(DN$15=1,INDEX(Vol_O,25,DN$14)/12*(1+P_dVol),0)</f>
        <v>0</v>
      </c>
      <c r="DO45" s="34" t="n">
        <f aca="false">IF(DO$15=1,INDEX(Vol_O,25,DO$14)/12*(1+P_dVol),0)</f>
        <v>0</v>
      </c>
      <c r="DP45" s="34" t="n">
        <f aca="false">IF(DP$15=1,INDEX(Vol_O,25,DP$14)/12*(1+P_dVol),0)</f>
        <v>0</v>
      </c>
      <c r="DQ45" s="34" t="n">
        <f aca="false">IF(DQ$15=1,INDEX(Vol_O,25,DQ$14)/12*(1+P_dVol),0)</f>
        <v>0</v>
      </c>
      <c r="DR45" s="34" t="n">
        <f aca="false">IF(DR$15=1,INDEX(Vol_O,25,DR$14)/12*(1+P_dVol),0)</f>
        <v>0</v>
      </c>
      <c r="DS45" s="34" t="n">
        <f aca="false">IF(DS$15=1,INDEX(Vol_O,25,DS$14)/12*(1+P_dVol),0)</f>
        <v>0</v>
      </c>
      <c r="DT45" s="34" t="n">
        <f aca="false">IF(DT$15=1,INDEX(Vol_O,25,DT$14)/12*(1+P_dVol),0)</f>
        <v>0</v>
      </c>
      <c r="DU45" s="34" t="n">
        <f aca="false">IF(DU$15=1,INDEX(Vol_O,25,DU$14)/12*(1+P_dVol),0)</f>
        <v>0</v>
      </c>
      <c r="DV45" s="34" t="n">
        <f aca="false">IF(DV$15=1,INDEX(Vol_O,25,DV$14)/12*(1+P_dVol),0)</f>
        <v>0</v>
      </c>
      <c r="DW45" s="34" t="n">
        <f aca="false">IF(DW$15=1,INDEX(Vol_O,25,DW$14)/12*(1+P_dVol),0)</f>
        <v>0</v>
      </c>
      <c r="DX45" s="34" t="n">
        <f aca="false">IF(DX$15=1,INDEX(Vol_O,25,DX$14)/12*(1+P_dVol),0)</f>
        <v>0</v>
      </c>
      <c r="DY45" s="34" t="n">
        <f aca="false">IF(DY$15=1,INDEX(Vol_O,25,DY$14)/12*(1+P_dVol),0)</f>
        <v>0</v>
      </c>
      <c r="DZ45" s="34" t="n">
        <f aca="false">IF(DZ$15=1,INDEX(Vol_O,25,DZ$14)/12*(1+P_dVol),0)</f>
        <v>0</v>
      </c>
      <c r="EA45" s="34" t="n">
        <f aca="false">IF(EA$15=1,INDEX(Vol_O,25,EA$14)/12*(1+P_dVol),0)</f>
        <v>0</v>
      </c>
      <c r="EB45" s="34" t="n">
        <f aca="false">IF(EB$15=1,INDEX(Vol_O,25,EB$14)/12*(1+P_dVol),0)</f>
        <v>0</v>
      </c>
      <c r="EC45" s="34" t="n">
        <f aca="false">IF(EC$15=1,INDEX(Vol_O,25,EC$14)/12*(1+P_dVol),0)</f>
        <v>0</v>
      </c>
      <c r="ED45" s="34" t="n">
        <f aca="false">IF(ED$15=1,INDEX(Vol_O,25,ED$14)/12*(1+P_dVol),0)</f>
        <v>0</v>
      </c>
      <c r="EE45" s="34" t="n">
        <f aca="false">IF(EE$15=1,INDEX(Vol_O,25,EE$14)/12*(1+P_dVol),0)</f>
        <v>0</v>
      </c>
      <c r="EF45" s="34" t="n">
        <f aca="false">IF(EF$15=1,INDEX(Vol_O,25,EF$14)/12*(1+P_dVol),0)</f>
        <v>0</v>
      </c>
      <c r="EG45" s="34" t="n">
        <f aca="false">IF(EG$15=1,INDEX(Vol_O,25,EG$14)/12*(1+P_dVol),0)</f>
        <v>0</v>
      </c>
      <c r="EH45" s="34" t="n">
        <f aca="false">IF(EH$15=1,INDEX(Vol_O,25,EH$14)/12*(1+P_dVol),0)</f>
        <v>0</v>
      </c>
      <c r="EI45" s="34" t="n">
        <f aca="false">IF(EI$15=1,INDEX(Vol_O,25,EI$14)/12*(1+P_dVol),0)</f>
        <v>0</v>
      </c>
      <c r="EJ45" s="34" t="n">
        <f aca="false">IF(EJ$15=1,INDEX(Vol_O,25,EJ$14)/12*(1+P_dVol),0)</f>
        <v>0</v>
      </c>
      <c r="EK45" s="34" t="n">
        <f aca="false">IF(EK$15=1,INDEX(Vol_O,25,EK$14)/12*(1+P_dVol),0)</f>
        <v>0</v>
      </c>
      <c r="EL45" s="34" t="n">
        <f aca="false">IF(EL$15=1,INDEX(Vol_O,25,EL$14)/12*(1+P_dVol),0)</f>
        <v>0</v>
      </c>
      <c r="EM45" s="34" t="n">
        <f aca="false">IF(EM$15=1,INDEX(Vol_O,25,EM$14)/12*(1+P_dVol),0)</f>
        <v>0</v>
      </c>
      <c r="EN45" s="34" t="n">
        <f aca="false">IF(EN$15=1,INDEX(Vol_O,25,EN$14)/12*(1+P_dVol),0)</f>
        <v>0</v>
      </c>
      <c r="EO45" s="34" t="n">
        <f aca="false">IF(EO$15=1,INDEX(Vol_O,25,EO$14)/12*(1+P_dVol),0)</f>
        <v>0</v>
      </c>
      <c r="EP45" s="34" t="n">
        <f aca="false">IF(EP$15=1,INDEX(Vol_O,25,EP$14)/12*(1+P_dVol),0)</f>
        <v>0</v>
      </c>
      <c r="EQ45" s="34" t="n">
        <f aca="false">IF(EQ$15=1,INDEX(Vol_O,25,EQ$14)/12*(1+P_dVol),0)</f>
        <v>0</v>
      </c>
      <c r="ER45" s="34" t="n">
        <f aca="false">IF(ER$15=1,INDEX(Vol_O,25,ER$14)/12*(1+P_dVol),0)</f>
        <v>0</v>
      </c>
      <c r="ES45" s="34" t="n">
        <f aca="false">IF(ES$15=1,INDEX(Vol_O,25,ES$14)/12*(1+P_dVol),0)</f>
        <v>0</v>
      </c>
    </row>
    <row r="46" customFormat="false" ht="15" hidden="false" customHeight="false" outlineLevel="0" collapsed="false">
      <c r="A46" s="2" t="s">
        <v>609</v>
      </c>
      <c r="B46" s="39" t="str">
        <f aca="false">IF(INDEX(Prod_Nombre,1)="","Producto 1",INDEX(Prod_Nombre,1))&amp;" — ventas USD"</f>
        <v>Gabinetes metálicos 153 kg — ventas USD</v>
      </c>
      <c r="C46" s="6" t="s">
        <v>250</v>
      </c>
      <c r="E46" s="40" t="n">
        <f aca="false">SUM(F46:ES46)</f>
        <v>54428264.108153</v>
      </c>
      <c r="F46" s="34" t="n">
        <f aca="false">F$21*INDEX(Precio_O,1)*INDEX(IdxPrecio_O,1,MIN(10,F$17))*(1+P_dPrecio)</f>
        <v>270000</v>
      </c>
      <c r="G46" s="34" t="n">
        <f aca="false">G$21*INDEX(Precio_O,1)*INDEX(IdxPrecio_O,1,MIN(10,G$17))*(1+P_dPrecio)</f>
        <v>270000</v>
      </c>
      <c r="H46" s="34" t="n">
        <f aca="false">H$21*INDEX(Precio_O,1)*INDEX(IdxPrecio_O,1,MIN(10,H$17))*(1+P_dPrecio)</f>
        <v>270000</v>
      </c>
      <c r="I46" s="34" t="n">
        <f aca="false">I$21*INDEX(Precio_O,1)*INDEX(IdxPrecio_O,1,MIN(10,I$17))*(1+P_dPrecio)</f>
        <v>270000</v>
      </c>
      <c r="J46" s="34" t="n">
        <f aca="false">J$21*INDEX(Precio_O,1)*INDEX(IdxPrecio_O,1,MIN(10,J$17))*(1+P_dPrecio)</f>
        <v>270000</v>
      </c>
      <c r="K46" s="34" t="n">
        <f aca="false">K$21*INDEX(Precio_O,1)*INDEX(IdxPrecio_O,1,MIN(10,K$17))*(1+P_dPrecio)</f>
        <v>270000</v>
      </c>
      <c r="L46" s="34" t="n">
        <f aca="false">L$21*INDEX(Precio_O,1)*INDEX(IdxPrecio_O,1,MIN(10,L$17))*(1+P_dPrecio)</f>
        <v>270000</v>
      </c>
      <c r="M46" s="34" t="n">
        <f aca="false">M$21*INDEX(Precio_O,1)*INDEX(IdxPrecio_O,1,MIN(10,M$17))*(1+P_dPrecio)</f>
        <v>270000</v>
      </c>
      <c r="N46" s="34" t="n">
        <f aca="false">N$21*INDEX(Precio_O,1)*INDEX(IdxPrecio_O,1,MIN(10,N$17))*(1+P_dPrecio)</f>
        <v>270000</v>
      </c>
      <c r="O46" s="34" t="n">
        <f aca="false">O$21*INDEX(Precio_O,1)*INDEX(IdxPrecio_O,1,MIN(10,O$17))*(1+P_dPrecio)</f>
        <v>270000</v>
      </c>
      <c r="P46" s="34" t="n">
        <f aca="false">P$21*INDEX(Precio_O,1)*INDEX(IdxPrecio_O,1,MIN(10,P$17))*(1+P_dPrecio)</f>
        <v>270000</v>
      </c>
      <c r="Q46" s="34" t="n">
        <f aca="false">Q$21*INDEX(Precio_O,1)*INDEX(IdxPrecio_O,1,MIN(10,Q$17))*(1+P_dPrecio)</f>
        <v>270000</v>
      </c>
      <c r="R46" s="34" t="n">
        <f aca="false">R$21*INDEX(Precio_O,1)*INDEX(IdxPrecio_O,1,MIN(10,R$17))*(1+P_dPrecio)</f>
        <v>340875</v>
      </c>
      <c r="S46" s="34" t="n">
        <f aca="false">S$21*INDEX(Precio_O,1)*INDEX(IdxPrecio_O,1,MIN(10,S$17))*(1+P_dPrecio)</f>
        <v>340875</v>
      </c>
      <c r="T46" s="34" t="n">
        <f aca="false">T$21*INDEX(Precio_O,1)*INDEX(IdxPrecio_O,1,MIN(10,T$17))*(1+P_dPrecio)</f>
        <v>340875</v>
      </c>
      <c r="U46" s="34" t="n">
        <f aca="false">U$21*INDEX(Precio_O,1)*INDEX(IdxPrecio_O,1,MIN(10,U$17))*(1+P_dPrecio)</f>
        <v>340875</v>
      </c>
      <c r="V46" s="34" t="n">
        <f aca="false">V$21*INDEX(Precio_O,1)*INDEX(IdxPrecio_O,1,MIN(10,V$17))*(1+P_dPrecio)</f>
        <v>340875</v>
      </c>
      <c r="W46" s="34" t="n">
        <f aca="false">W$21*INDEX(Precio_O,1)*INDEX(IdxPrecio_O,1,MIN(10,W$17))*(1+P_dPrecio)</f>
        <v>340875</v>
      </c>
      <c r="X46" s="34" t="n">
        <f aca="false">X$21*INDEX(Precio_O,1)*INDEX(IdxPrecio_O,1,MIN(10,X$17))*(1+P_dPrecio)</f>
        <v>340875</v>
      </c>
      <c r="Y46" s="34" t="n">
        <f aca="false">Y$21*INDEX(Precio_O,1)*INDEX(IdxPrecio_O,1,MIN(10,Y$17))*(1+P_dPrecio)</f>
        <v>340875</v>
      </c>
      <c r="Z46" s="34" t="n">
        <f aca="false">Z$21*INDEX(Precio_O,1)*INDEX(IdxPrecio_O,1,MIN(10,Z$17))*(1+P_dPrecio)</f>
        <v>340875</v>
      </c>
      <c r="AA46" s="34" t="n">
        <f aca="false">AA$21*INDEX(Precio_O,1)*INDEX(IdxPrecio_O,1,MIN(10,AA$17))*(1+P_dPrecio)</f>
        <v>340875</v>
      </c>
      <c r="AB46" s="34" t="n">
        <f aca="false">AB$21*INDEX(Precio_O,1)*INDEX(IdxPrecio_O,1,MIN(10,AB$17))*(1+P_dPrecio)</f>
        <v>340875</v>
      </c>
      <c r="AC46" s="34" t="n">
        <f aca="false">AC$21*INDEX(Precio_O,1)*INDEX(IdxPrecio_O,1,MIN(10,AC$17))*(1+P_dPrecio)</f>
        <v>340875</v>
      </c>
      <c r="AD46" s="34" t="n">
        <f aca="false">AD$21*INDEX(Precio_O,1)*INDEX(IdxPrecio_O,1,MIN(10,AD$17))*(1+P_dPrecio)</f>
        <v>413140.5</v>
      </c>
      <c r="AE46" s="34" t="n">
        <f aca="false">AE$21*INDEX(Precio_O,1)*INDEX(IdxPrecio_O,1,MIN(10,AE$17))*(1+P_dPrecio)</f>
        <v>413140.5</v>
      </c>
      <c r="AF46" s="34" t="n">
        <f aca="false">AF$21*INDEX(Precio_O,1)*INDEX(IdxPrecio_O,1,MIN(10,AF$17))*(1+P_dPrecio)</f>
        <v>413140.5</v>
      </c>
      <c r="AG46" s="34" t="n">
        <f aca="false">AG$21*INDEX(Precio_O,1)*INDEX(IdxPrecio_O,1,MIN(10,AG$17))*(1+P_dPrecio)</f>
        <v>413140.5</v>
      </c>
      <c r="AH46" s="34" t="n">
        <f aca="false">AH$21*INDEX(Precio_O,1)*INDEX(IdxPrecio_O,1,MIN(10,AH$17))*(1+P_dPrecio)</f>
        <v>413140.5</v>
      </c>
      <c r="AI46" s="34" t="n">
        <f aca="false">AI$21*INDEX(Precio_O,1)*INDEX(IdxPrecio_O,1,MIN(10,AI$17))*(1+P_dPrecio)</f>
        <v>413140.5</v>
      </c>
      <c r="AJ46" s="34" t="n">
        <f aca="false">AJ$21*INDEX(Precio_O,1)*INDEX(IdxPrecio_O,1,MIN(10,AJ$17))*(1+P_dPrecio)</f>
        <v>413140.5</v>
      </c>
      <c r="AK46" s="34" t="n">
        <f aca="false">AK$21*INDEX(Precio_O,1)*INDEX(IdxPrecio_O,1,MIN(10,AK$17))*(1+P_dPrecio)</f>
        <v>413140.5</v>
      </c>
      <c r="AL46" s="34" t="n">
        <f aca="false">AL$21*INDEX(Precio_O,1)*INDEX(IdxPrecio_O,1,MIN(10,AL$17))*(1+P_dPrecio)</f>
        <v>413140.5</v>
      </c>
      <c r="AM46" s="34" t="n">
        <f aca="false">AM$21*INDEX(Precio_O,1)*INDEX(IdxPrecio_O,1,MIN(10,AM$17))*(1+P_dPrecio)</f>
        <v>413140.5</v>
      </c>
      <c r="AN46" s="34" t="n">
        <f aca="false">AN$21*INDEX(Precio_O,1)*INDEX(IdxPrecio_O,1,MIN(10,AN$17))*(1+P_dPrecio)</f>
        <v>413140.5</v>
      </c>
      <c r="AO46" s="34" t="n">
        <f aca="false">AO$21*INDEX(Precio_O,1)*INDEX(IdxPrecio_O,1,MIN(10,AO$17))*(1+P_dPrecio)</f>
        <v>413140.5</v>
      </c>
      <c r="AP46" s="34" t="n">
        <f aca="false">AP$21*INDEX(Precio_O,1)*INDEX(IdxPrecio_O,1,MIN(10,AP$17))*(1+P_dPrecio)</f>
        <v>486817.2225</v>
      </c>
      <c r="AQ46" s="34" t="n">
        <f aca="false">AQ$21*INDEX(Precio_O,1)*INDEX(IdxPrecio_O,1,MIN(10,AQ$17))*(1+P_dPrecio)</f>
        <v>486817.2225</v>
      </c>
      <c r="AR46" s="34" t="n">
        <f aca="false">AR$21*INDEX(Precio_O,1)*INDEX(IdxPrecio_O,1,MIN(10,AR$17))*(1+P_dPrecio)</f>
        <v>486817.2225</v>
      </c>
      <c r="AS46" s="34" t="n">
        <f aca="false">AS$21*INDEX(Precio_O,1)*INDEX(IdxPrecio_O,1,MIN(10,AS$17))*(1+P_dPrecio)</f>
        <v>486817.2225</v>
      </c>
      <c r="AT46" s="34" t="n">
        <f aca="false">AT$21*INDEX(Precio_O,1)*INDEX(IdxPrecio_O,1,MIN(10,AT$17))*(1+P_dPrecio)</f>
        <v>486817.2225</v>
      </c>
      <c r="AU46" s="34" t="n">
        <f aca="false">AU$21*INDEX(Precio_O,1)*INDEX(IdxPrecio_O,1,MIN(10,AU$17))*(1+P_dPrecio)</f>
        <v>486817.2225</v>
      </c>
      <c r="AV46" s="34" t="n">
        <f aca="false">AV$21*INDEX(Precio_O,1)*INDEX(IdxPrecio_O,1,MIN(10,AV$17))*(1+P_dPrecio)</f>
        <v>486817.2225</v>
      </c>
      <c r="AW46" s="34" t="n">
        <f aca="false">AW$21*INDEX(Precio_O,1)*INDEX(IdxPrecio_O,1,MIN(10,AW$17))*(1+P_dPrecio)</f>
        <v>486817.2225</v>
      </c>
      <c r="AX46" s="34" t="n">
        <f aca="false">AX$21*INDEX(Precio_O,1)*INDEX(IdxPrecio_O,1,MIN(10,AX$17))*(1+P_dPrecio)</f>
        <v>486817.2225</v>
      </c>
      <c r="AY46" s="34" t="n">
        <f aca="false">AY$21*INDEX(Precio_O,1)*INDEX(IdxPrecio_O,1,MIN(10,AY$17))*(1+P_dPrecio)</f>
        <v>486817.2225</v>
      </c>
      <c r="AZ46" s="34" t="n">
        <f aca="false">AZ$21*INDEX(Precio_O,1)*INDEX(IdxPrecio_O,1,MIN(10,AZ$17))*(1+P_dPrecio)</f>
        <v>486817.2225</v>
      </c>
      <c r="BA46" s="34" t="n">
        <f aca="false">BA$21*INDEX(Precio_O,1)*INDEX(IdxPrecio_O,1,MIN(10,BA$17))*(1+P_dPrecio)</f>
        <v>486817.2225</v>
      </c>
      <c r="BB46" s="34" t="n">
        <f aca="false">BB$21*INDEX(Precio_O,1)*INDEX(IdxPrecio_O,1,MIN(10,BB$17))*(1+P_dPrecio)</f>
        <v>491685.394725</v>
      </c>
      <c r="BC46" s="34" t="n">
        <f aca="false">BC$21*INDEX(Precio_O,1)*INDEX(IdxPrecio_O,1,MIN(10,BC$17))*(1+P_dPrecio)</f>
        <v>491685.394725</v>
      </c>
      <c r="BD46" s="34" t="n">
        <f aca="false">BD$21*INDEX(Precio_O,1)*INDEX(IdxPrecio_O,1,MIN(10,BD$17))*(1+P_dPrecio)</f>
        <v>491685.394725</v>
      </c>
      <c r="BE46" s="34" t="n">
        <f aca="false">BE$21*INDEX(Precio_O,1)*INDEX(IdxPrecio_O,1,MIN(10,BE$17))*(1+P_dPrecio)</f>
        <v>491685.394725</v>
      </c>
      <c r="BF46" s="34" t="n">
        <f aca="false">BF$21*INDEX(Precio_O,1)*INDEX(IdxPrecio_O,1,MIN(10,BF$17))*(1+P_dPrecio)</f>
        <v>491685.394725</v>
      </c>
      <c r="BG46" s="34" t="n">
        <f aca="false">BG$21*INDEX(Precio_O,1)*INDEX(IdxPrecio_O,1,MIN(10,BG$17))*(1+P_dPrecio)</f>
        <v>491685.394725</v>
      </c>
      <c r="BH46" s="34" t="n">
        <f aca="false">BH$21*INDEX(Precio_O,1)*INDEX(IdxPrecio_O,1,MIN(10,BH$17))*(1+P_dPrecio)</f>
        <v>491685.394725</v>
      </c>
      <c r="BI46" s="34" t="n">
        <f aca="false">BI$21*INDEX(Precio_O,1)*INDEX(IdxPrecio_O,1,MIN(10,BI$17))*(1+P_dPrecio)</f>
        <v>491685.394725</v>
      </c>
      <c r="BJ46" s="34" t="n">
        <f aca="false">BJ$21*INDEX(Precio_O,1)*INDEX(IdxPrecio_O,1,MIN(10,BJ$17))*(1+P_dPrecio)</f>
        <v>491685.394725</v>
      </c>
      <c r="BK46" s="34" t="n">
        <f aca="false">BK$21*INDEX(Precio_O,1)*INDEX(IdxPrecio_O,1,MIN(10,BK$17))*(1+P_dPrecio)</f>
        <v>491685.394725</v>
      </c>
      <c r="BL46" s="34" t="n">
        <f aca="false">BL$21*INDEX(Precio_O,1)*INDEX(IdxPrecio_O,1,MIN(10,BL$17))*(1+P_dPrecio)</f>
        <v>491685.394725</v>
      </c>
      <c r="BM46" s="34" t="n">
        <f aca="false">BM$21*INDEX(Precio_O,1)*INDEX(IdxPrecio_O,1,MIN(10,BM$17))*(1+P_dPrecio)</f>
        <v>491685.394725</v>
      </c>
      <c r="BN46" s="34" t="n">
        <f aca="false">BN$21*INDEX(Precio_O,1)*INDEX(IdxPrecio_O,1,MIN(10,BN$17))*(1+P_dPrecio)</f>
        <v>496602.24867225</v>
      </c>
      <c r="BO46" s="34" t="n">
        <f aca="false">BO$21*INDEX(Precio_O,1)*INDEX(IdxPrecio_O,1,MIN(10,BO$17))*(1+P_dPrecio)</f>
        <v>496602.24867225</v>
      </c>
      <c r="BP46" s="34" t="n">
        <f aca="false">BP$21*INDEX(Precio_O,1)*INDEX(IdxPrecio_O,1,MIN(10,BP$17))*(1+P_dPrecio)</f>
        <v>496602.24867225</v>
      </c>
      <c r="BQ46" s="34" t="n">
        <f aca="false">BQ$21*INDEX(Precio_O,1)*INDEX(IdxPrecio_O,1,MIN(10,BQ$17))*(1+P_dPrecio)</f>
        <v>496602.24867225</v>
      </c>
      <c r="BR46" s="34" t="n">
        <f aca="false">BR$21*INDEX(Precio_O,1)*INDEX(IdxPrecio_O,1,MIN(10,BR$17))*(1+P_dPrecio)</f>
        <v>496602.24867225</v>
      </c>
      <c r="BS46" s="34" t="n">
        <f aca="false">BS$21*INDEX(Precio_O,1)*INDEX(IdxPrecio_O,1,MIN(10,BS$17))*(1+P_dPrecio)</f>
        <v>496602.24867225</v>
      </c>
      <c r="BT46" s="34" t="n">
        <f aca="false">BT$21*INDEX(Precio_O,1)*INDEX(IdxPrecio_O,1,MIN(10,BT$17))*(1+P_dPrecio)</f>
        <v>496602.24867225</v>
      </c>
      <c r="BU46" s="34" t="n">
        <f aca="false">BU$21*INDEX(Precio_O,1)*INDEX(IdxPrecio_O,1,MIN(10,BU$17))*(1+P_dPrecio)</f>
        <v>496602.24867225</v>
      </c>
      <c r="BV46" s="34" t="n">
        <f aca="false">BV$21*INDEX(Precio_O,1)*INDEX(IdxPrecio_O,1,MIN(10,BV$17))*(1+P_dPrecio)</f>
        <v>496602.24867225</v>
      </c>
      <c r="BW46" s="34" t="n">
        <f aca="false">BW$21*INDEX(Precio_O,1)*INDEX(IdxPrecio_O,1,MIN(10,BW$17))*(1+P_dPrecio)</f>
        <v>496602.24867225</v>
      </c>
      <c r="BX46" s="34" t="n">
        <f aca="false">BX$21*INDEX(Precio_O,1)*INDEX(IdxPrecio_O,1,MIN(10,BX$17))*(1+P_dPrecio)</f>
        <v>496602.24867225</v>
      </c>
      <c r="BY46" s="34" t="n">
        <f aca="false">BY$21*INDEX(Precio_O,1)*INDEX(IdxPrecio_O,1,MIN(10,BY$17))*(1+P_dPrecio)</f>
        <v>496602.24867225</v>
      </c>
      <c r="BZ46" s="34" t="n">
        <f aca="false">BZ$21*INDEX(Precio_O,1)*INDEX(IdxPrecio_O,1,MIN(10,BZ$17))*(1+P_dPrecio)</f>
        <v>501568.271158972</v>
      </c>
      <c r="CA46" s="34" t="n">
        <f aca="false">CA$21*INDEX(Precio_O,1)*INDEX(IdxPrecio_O,1,MIN(10,CA$17))*(1+P_dPrecio)</f>
        <v>501568.271158972</v>
      </c>
      <c r="CB46" s="34" t="n">
        <f aca="false">CB$21*INDEX(Precio_O,1)*INDEX(IdxPrecio_O,1,MIN(10,CB$17))*(1+P_dPrecio)</f>
        <v>501568.271158972</v>
      </c>
      <c r="CC46" s="34" t="n">
        <f aca="false">CC$21*INDEX(Precio_O,1)*INDEX(IdxPrecio_O,1,MIN(10,CC$17))*(1+P_dPrecio)</f>
        <v>501568.271158972</v>
      </c>
      <c r="CD46" s="34" t="n">
        <f aca="false">CD$21*INDEX(Precio_O,1)*INDEX(IdxPrecio_O,1,MIN(10,CD$17))*(1+P_dPrecio)</f>
        <v>501568.271158972</v>
      </c>
      <c r="CE46" s="34" t="n">
        <f aca="false">CE$21*INDEX(Precio_O,1)*INDEX(IdxPrecio_O,1,MIN(10,CE$17))*(1+P_dPrecio)</f>
        <v>501568.271158972</v>
      </c>
      <c r="CF46" s="34" t="n">
        <f aca="false">CF$21*INDEX(Precio_O,1)*INDEX(IdxPrecio_O,1,MIN(10,CF$17))*(1+P_dPrecio)</f>
        <v>501568.271158972</v>
      </c>
      <c r="CG46" s="34" t="n">
        <f aca="false">CG$21*INDEX(Precio_O,1)*INDEX(IdxPrecio_O,1,MIN(10,CG$17))*(1+P_dPrecio)</f>
        <v>501568.271158972</v>
      </c>
      <c r="CH46" s="34" t="n">
        <f aca="false">CH$21*INDEX(Precio_O,1)*INDEX(IdxPrecio_O,1,MIN(10,CH$17))*(1+P_dPrecio)</f>
        <v>501568.271158972</v>
      </c>
      <c r="CI46" s="34" t="n">
        <f aca="false">CI$21*INDEX(Precio_O,1)*INDEX(IdxPrecio_O,1,MIN(10,CI$17))*(1+P_dPrecio)</f>
        <v>501568.271158972</v>
      </c>
      <c r="CJ46" s="34" t="n">
        <f aca="false">CJ$21*INDEX(Precio_O,1)*INDEX(IdxPrecio_O,1,MIN(10,CJ$17))*(1+P_dPrecio)</f>
        <v>501568.271158972</v>
      </c>
      <c r="CK46" s="34" t="n">
        <f aca="false">CK$21*INDEX(Precio_O,1)*INDEX(IdxPrecio_O,1,MIN(10,CK$17))*(1+P_dPrecio)</f>
        <v>501568.271158972</v>
      </c>
      <c r="CL46" s="34" t="n">
        <f aca="false">CL$21*INDEX(Precio_O,1)*INDEX(IdxPrecio_O,1,MIN(10,CL$17))*(1+P_dPrecio)</f>
        <v>506583.953870562</v>
      </c>
      <c r="CM46" s="34" t="n">
        <f aca="false">CM$21*INDEX(Precio_O,1)*INDEX(IdxPrecio_O,1,MIN(10,CM$17))*(1+P_dPrecio)</f>
        <v>506583.953870562</v>
      </c>
      <c r="CN46" s="34" t="n">
        <f aca="false">CN$21*INDEX(Precio_O,1)*INDEX(IdxPrecio_O,1,MIN(10,CN$17))*(1+P_dPrecio)</f>
        <v>506583.953870562</v>
      </c>
      <c r="CO46" s="34" t="n">
        <f aca="false">CO$21*INDEX(Precio_O,1)*INDEX(IdxPrecio_O,1,MIN(10,CO$17))*(1+P_dPrecio)</f>
        <v>506583.953870562</v>
      </c>
      <c r="CP46" s="34" t="n">
        <f aca="false">CP$21*INDEX(Precio_O,1)*INDEX(IdxPrecio_O,1,MIN(10,CP$17))*(1+P_dPrecio)</f>
        <v>506583.953870562</v>
      </c>
      <c r="CQ46" s="34" t="n">
        <f aca="false">CQ$21*INDEX(Precio_O,1)*INDEX(IdxPrecio_O,1,MIN(10,CQ$17))*(1+P_dPrecio)</f>
        <v>506583.953870562</v>
      </c>
      <c r="CR46" s="34" t="n">
        <f aca="false">CR$21*INDEX(Precio_O,1)*INDEX(IdxPrecio_O,1,MIN(10,CR$17))*(1+P_dPrecio)</f>
        <v>506583.953870562</v>
      </c>
      <c r="CS46" s="34" t="n">
        <f aca="false">CS$21*INDEX(Precio_O,1)*INDEX(IdxPrecio_O,1,MIN(10,CS$17))*(1+P_dPrecio)</f>
        <v>506583.953870562</v>
      </c>
      <c r="CT46" s="34" t="n">
        <f aca="false">CT$21*INDEX(Precio_O,1)*INDEX(IdxPrecio_O,1,MIN(10,CT$17))*(1+P_dPrecio)</f>
        <v>506583.953870562</v>
      </c>
      <c r="CU46" s="34" t="n">
        <f aca="false">CU$21*INDEX(Precio_O,1)*INDEX(IdxPrecio_O,1,MIN(10,CU$17))*(1+P_dPrecio)</f>
        <v>506583.953870562</v>
      </c>
      <c r="CV46" s="34" t="n">
        <f aca="false">CV$21*INDEX(Precio_O,1)*INDEX(IdxPrecio_O,1,MIN(10,CV$17))*(1+P_dPrecio)</f>
        <v>506583.953870562</v>
      </c>
      <c r="CW46" s="34" t="n">
        <f aca="false">CW$21*INDEX(Precio_O,1)*INDEX(IdxPrecio_O,1,MIN(10,CW$17))*(1+P_dPrecio)</f>
        <v>506583.953870562</v>
      </c>
      <c r="CX46" s="34" t="n">
        <f aca="false">CX$21*INDEX(Precio_O,1)*INDEX(IdxPrecio_O,1,MIN(10,CX$17))*(1+P_dPrecio)</f>
        <v>511649.793409268</v>
      </c>
      <c r="CY46" s="34" t="n">
        <f aca="false">CY$21*INDEX(Precio_O,1)*INDEX(IdxPrecio_O,1,MIN(10,CY$17))*(1+P_dPrecio)</f>
        <v>511649.793409268</v>
      </c>
      <c r="CZ46" s="34" t="n">
        <f aca="false">CZ$21*INDEX(Precio_O,1)*INDEX(IdxPrecio_O,1,MIN(10,CZ$17))*(1+P_dPrecio)</f>
        <v>511649.793409268</v>
      </c>
      <c r="DA46" s="34" t="n">
        <f aca="false">DA$21*INDEX(Precio_O,1)*INDEX(IdxPrecio_O,1,MIN(10,DA$17))*(1+P_dPrecio)</f>
        <v>511649.793409268</v>
      </c>
      <c r="DB46" s="34" t="n">
        <f aca="false">DB$21*INDEX(Precio_O,1)*INDEX(IdxPrecio_O,1,MIN(10,DB$17))*(1+P_dPrecio)</f>
        <v>511649.793409268</v>
      </c>
      <c r="DC46" s="34" t="n">
        <f aca="false">DC$21*INDEX(Precio_O,1)*INDEX(IdxPrecio_O,1,MIN(10,DC$17))*(1+P_dPrecio)</f>
        <v>511649.793409268</v>
      </c>
      <c r="DD46" s="34" t="n">
        <f aca="false">DD$21*INDEX(Precio_O,1)*INDEX(IdxPrecio_O,1,MIN(10,DD$17))*(1+P_dPrecio)</f>
        <v>511649.793409268</v>
      </c>
      <c r="DE46" s="34" t="n">
        <f aca="false">DE$21*INDEX(Precio_O,1)*INDEX(IdxPrecio_O,1,MIN(10,DE$17))*(1+P_dPrecio)</f>
        <v>511649.793409268</v>
      </c>
      <c r="DF46" s="34" t="n">
        <f aca="false">DF$21*INDEX(Precio_O,1)*INDEX(IdxPrecio_O,1,MIN(10,DF$17))*(1+P_dPrecio)</f>
        <v>511649.793409268</v>
      </c>
      <c r="DG46" s="34" t="n">
        <f aca="false">DG$21*INDEX(Precio_O,1)*INDEX(IdxPrecio_O,1,MIN(10,DG$17))*(1+P_dPrecio)</f>
        <v>511649.793409268</v>
      </c>
      <c r="DH46" s="34" t="n">
        <f aca="false">DH$21*INDEX(Precio_O,1)*INDEX(IdxPrecio_O,1,MIN(10,DH$17))*(1+P_dPrecio)</f>
        <v>511649.793409268</v>
      </c>
      <c r="DI46" s="34" t="n">
        <f aca="false">DI$21*INDEX(Precio_O,1)*INDEX(IdxPrecio_O,1,MIN(10,DI$17))*(1+P_dPrecio)</f>
        <v>511649.793409268</v>
      </c>
      <c r="DJ46" s="34" t="n">
        <f aca="false">DJ$21*INDEX(Precio_O,1)*INDEX(IdxPrecio_O,1,MIN(10,DJ$17))*(1+P_dPrecio)</f>
        <v>516766.291343361</v>
      </c>
      <c r="DK46" s="34" t="n">
        <f aca="false">DK$21*INDEX(Precio_O,1)*INDEX(IdxPrecio_O,1,MIN(10,DK$17))*(1+P_dPrecio)</f>
        <v>516766.291343361</v>
      </c>
      <c r="DL46" s="34" t="n">
        <f aca="false">DL$21*INDEX(Precio_O,1)*INDEX(IdxPrecio_O,1,MIN(10,DL$17))*(1+P_dPrecio)</f>
        <v>516766.291343361</v>
      </c>
      <c r="DM46" s="34" t="n">
        <f aca="false">DM$21*INDEX(Precio_O,1)*INDEX(IdxPrecio_O,1,MIN(10,DM$17))*(1+P_dPrecio)</f>
        <v>516766.291343361</v>
      </c>
      <c r="DN46" s="34" t="n">
        <f aca="false">DN$21*INDEX(Precio_O,1)*INDEX(IdxPrecio_O,1,MIN(10,DN$17))*(1+P_dPrecio)</f>
        <v>516766.291343361</v>
      </c>
      <c r="DO46" s="34" t="n">
        <f aca="false">DO$21*INDEX(Precio_O,1)*INDEX(IdxPrecio_O,1,MIN(10,DO$17))*(1+P_dPrecio)</f>
        <v>516766.291343361</v>
      </c>
      <c r="DP46" s="34" t="n">
        <f aca="false">DP$21*INDEX(Precio_O,1)*INDEX(IdxPrecio_O,1,MIN(10,DP$17))*(1+P_dPrecio)</f>
        <v>516766.291343361</v>
      </c>
      <c r="DQ46" s="34" t="n">
        <f aca="false">DQ$21*INDEX(Precio_O,1)*INDEX(IdxPrecio_O,1,MIN(10,DQ$17))*(1+P_dPrecio)</f>
        <v>516766.291343361</v>
      </c>
      <c r="DR46" s="34" t="n">
        <f aca="false">DR$21*INDEX(Precio_O,1)*INDEX(IdxPrecio_O,1,MIN(10,DR$17))*(1+P_dPrecio)</f>
        <v>516766.291343361</v>
      </c>
      <c r="DS46" s="34" t="n">
        <f aca="false">DS$21*INDEX(Precio_O,1)*INDEX(IdxPrecio_O,1,MIN(10,DS$17))*(1+P_dPrecio)</f>
        <v>516766.291343361</v>
      </c>
      <c r="DT46" s="34" t="n">
        <f aca="false">DT$21*INDEX(Precio_O,1)*INDEX(IdxPrecio_O,1,MIN(10,DT$17))*(1+P_dPrecio)</f>
        <v>516766.291343361</v>
      </c>
      <c r="DU46" s="34" t="n">
        <f aca="false">DU$21*INDEX(Precio_O,1)*INDEX(IdxPrecio_O,1,MIN(10,DU$17))*(1+P_dPrecio)</f>
        <v>516766.291343361</v>
      </c>
      <c r="DV46" s="34" t="n">
        <f aca="false">DV$21*INDEX(Precio_O,1)*INDEX(IdxPrecio_O,1,MIN(10,DV$17))*(1+P_dPrecio)</f>
        <v>0</v>
      </c>
      <c r="DW46" s="34" t="n">
        <f aca="false">DW$21*INDEX(Precio_O,1)*INDEX(IdxPrecio_O,1,MIN(10,DW$17))*(1+P_dPrecio)</f>
        <v>0</v>
      </c>
      <c r="DX46" s="34" t="n">
        <f aca="false">DX$21*INDEX(Precio_O,1)*INDEX(IdxPrecio_O,1,MIN(10,DX$17))*(1+P_dPrecio)</f>
        <v>0</v>
      </c>
      <c r="DY46" s="34" t="n">
        <f aca="false">DY$21*INDEX(Precio_O,1)*INDEX(IdxPrecio_O,1,MIN(10,DY$17))*(1+P_dPrecio)</f>
        <v>0</v>
      </c>
      <c r="DZ46" s="34" t="n">
        <f aca="false">DZ$21*INDEX(Precio_O,1)*INDEX(IdxPrecio_O,1,MIN(10,DZ$17))*(1+P_dPrecio)</f>
        <v>0</v>
      </c>
      <c r="EA46" s="34" t="n">
        <f aca="false">EA$21*INDEX(Precio_O,1)*INDEX(IdxPrecio_O,1,MIN(10,EA$17))*(1+P_dPrecio)</f>
        <v>0</v>
      </c>
      <c r="EB46" s="34" t="n">
        <f aca="false">EB$21*INDEX(Precio_O,1)*INDEX(IdxPrecio_O,1,MIN(10,EB$17))*(1+P_dPrecio)</f>
        <v>0</v>
      </c>
      <c r="EC46" s="34" t="n">
        <f aca="false">EC$21*INDEX(Precio_O,1)*INDEX(IdxPrecio_O,1,MIN(10,EC$17))*(1+P_dPrecio)</f>
        <v>0</v>
      </c>
      <c r="ED46" s="34" t="n">
        <f aca="false">ED$21*INDEX(Precio_O,1)*INDEX(IdxPrecio_O,1,MIN(10,ED$17))*(1+P_dPrecio)</f>
        <v>0</v>
      </c>
      <c r="EE46" s="34" t="n">
        <f aca="false">EE$21*INDEX(Precio_O,1)*INDEX(IdxPrecio_O,1,MIN(10,EE$17))*(1+P_dPrecio)</f>
        <v>0</v>
      </c>
      <c r="EF46" s="34" t="n">
        <f aca="false">EF$21*INDEX(Precio_O,1)*INDEX(IdxPrecio_O,1,MIN(10,EF$17))*(1+P_dPrecio)</f>
        <v>0</v>
      </c>
      <c r="EG46" s="34" t="n">
        <f aca="false">EG$21*INDEX(Precio_O,1)*INDEX(IdxPrecio_O,1,MIN(10,EG$17))*(1+P_dPrecio)</f>
        <v>0</v>
      </c>
      <c r="EH46" s="34" t="n">
        <f aca="false">EH$21*INDEX(Precio_O,1)*INDEX(IdxPrecio_O,1,MIN(10,EH$17))*(1+P_dPrecio)</f>
        <v>0</v>
      </c>
      <c r="EI46" s="34" t="n">
        <f aca="false">EI$21*INDEX(Precio_O,1)*INDEX(IdxPrecio_O,1,MIN(10,EI$17))*(1+P_dPrecio)</f>
        <v>0</v>
      </c>
      <c r="EJ46" s="34" t="n">
        <f aca="false">EJ$21*INDEX(Precio_O,1)*INDEX(IdxPrecio_O,1,MIN(10,EJ$17))*(1+P_dPrecio)</f>
        <v>0</v>
      </c>
      <c r="EK46" s="34" t="n">
        <f aca="false">EK$21*INDEX(Precio_O,1)*INDEX(IdxPrecio_O,1,MIN(10,EK$17))*(1+P_dPrecio)</f>
        <v>0</v>
      </c>
      <c r="EL46" s="34" t="n">
        <f aca="false">EL$21*INDEX(Precio_O,1)*INDEX(IdxPrecio_O,1,MIN(10,EL$17))*(1+P_dPrecio)</f>
        <v>0</v>
      </c>
      <c r="EM46" s="34" t="n">
        <f aca="false">EM$21*INDEX(Precio_O,1)*INDEX(IdxPrecio_O,1,MIN(10,EM$17))*(1+P_dPrecio)</f>
        <v>0</v>
      </c>
      <c r="EN46" s="34" t="n">
        <f aca="false">EN$21*INDEX(Precio_O,1)*INDEX(IdxPrecio_O,1,MIN(10,EN$17))*(1+P_dPrecio)</f>
        <v>0</v>
      </c>
      <c r="EO46" s="34" t="n">
        <f aca="false">EO$21*INDEX(Precio_O,1)*INDEX(IdxPrecio_O,1,MIN(10,EO$17))*(1+P_dPrecio)</f>
        <v>0</v>
      </c>
      <c r="EP46" s="34" t="n">
        <f aca="false">EP$21*INDEX(Precio_O,1)*INDEX(IdxPrecio_O,1,MIN(10,EP$17))*(1+P_dPrecio)</f>
        <v>0</v>
      </c>
      <c r="EQ46" s="34" t="n">
        <f aca="false">EQ$21*INDEX(Precio_O,1)*INDEX(IdxPrecio_O,1,MIN(10,EQ$17))*(1+P_dPrecio)</f>
        <v>0</v>
      </c>
      <c r="ER46" s="34" t="n">
        <f aca="false">ER$21*INDEX(Precio_O,1)*INDEX(IdxPrecio_O,1,MIN(10,ER$17))*(1+P_dPrecio)</f>
        <v>0</v>
      </c>
      <c r="ES46" s="34" t="n">
        <f aca="false">ES$21*INDEX(Precio_O,1)*INDEX(IdxPrecio_O,1,MIN(10,ES$17))*(1+P_dPrecio)</f>
        <v>0</v>
      </c>
    </row>
    <row r="47" customFormat="false" ht="15" hidden="false" customHeight="false" outlineLevel="0" collapsed="false">
      <c r="A47" s="2" t="s">
        <v>610</v>
      </c>
      <c r="B47" s="39" t="str">
        <f aca="false">IF(INDEX(Prod_Nombre,2)="","Producto 2",INDEX(Prod_Nombre,2))&amp;" — ventas USD"</f>
        <v>Cajas metálicas 13 kg — ventas USD</v>
      </c>
      <c r="C47" s="6" t="s">
        <v>250</v>
      </c>
      <c r="E47" s="40" t="n">
        <f aca="false">SUM(F47:ES47)</f>
        <v>26794183.6134924</v>
      </c>
      <c r="F47" s="34" t="n">
        <f aca="false">F$22*INDEX(Precio_O,2)*INDEX(IdxPrecio_O,1,MIN(10,F$17))*(1+P_dPrecio)</f>
        <v>134166.666666667</v>
      </c>
      <c r="G47" s="34" t="n">
        <f aca="false">G$22*INDEX(Precio_O,2)*INDEX(IdxPrecio_O,1,MIN(10,G$17))*(1+P_dPrecio)</f>
        <v>134166.666666667</v>
      </c>
      <c r="H47" s="34" t="n">
        <f aca="false">H$22*INDEX(Precio_O,2)*INDEX(IdxPrecio_O,1,MIN(10,H$17))*(1+P_dPrecio)</f>
        <v>134166.666666667</v>
      </c>
      <c r="I47" s="34" t="n">
        <f aca="false">I$22*INDEX(Precio_O,2)*INDEX(IdxPrecio_O,1,MIN(10,I$17))*(1+P_dPrecio)</f>
        <v>134166.666666667</v>
      </c>
      <c r="J47" s="34" t="n">
        <f aca="false">J$22*INDEX(Precio_O,2)*INDEX(IdxPrecio_O,1,MIN(10,J$17))*(1+P_dPrecio)</f>
        <v>134166.666666667</v>
      </c>
      <c r="K47" s="34" t="n">
        <f aca="false">K$22*INDEX(Precio_O,2)*INDEX(IdxPrecio_O,1,MIN(10,K$17))*(1+P_dPrecio)</f>
        <v>134166.666666667</v>
      </c>
      <c r="L47" s="34" t="n">
        <f aca="false">L$22*INDEX(Precio_O,2)*INDEX(IdxPrecio_O,1,MIN(10,L$17))*(1+P_dPrecio)</f>
        <v>134166.666666667</v>
      </c>
      <c r="M47" s="34" t="n">
        <f aca="false">M$22*INDEX(Precio_O,2)*INDEX(IdxPrecio_O,1,MIN(10,M$17))*(1+P_dPrecio)</f>
        <v>134166.666666667</v>
      </c>
      <c r="N47" s="34" t="n">
        <f aca="false">N$22*INDEX(Precio_O,2)*INDEX(IdxPrecio_O,1,MIN(10,N$17))*(1+P_dPrecio)</f>
        <v>134166.666666667</v>
      </c>
      <c r="O47" s="34" t="n">
        <f aca="false">O$22*INDEX(Precio_O,2)*INDEX(IdxPrecio_O,1,MIN(10,O$17))*(1+P_dPrecio)</f>
        <v>134166.666666667</v>
      </c>
      <c r="P47" s="34" t="n">
        <f aca="false">P$22*INDEX(Precio_O,2)*INDEX(IdxPrecio_O,1,MIN(10,P$17))*(1+P_dPrecio)</f>
        <v>134166.666666667</v>
      </c>
      <c r="Q47" s="34" t="n">
        <f aca="false">Q$22*INDEX(Precio_O,2)*INDEX(IdxPrecio_O,1,MIN(10,Q$17))*(1+P_dPrecio)</f>
        <v>134166.666666667</v>
      </c>
      <c r="R47" s="34" t="n">
        <f aca="false">R$22*INDEX(Precio_O,2)*INDEX(IdxPrecio_O,1,MIN(10,R$17))*(1+P_dPrecio)</f>
        <v>174225</v>
      </c>
      <c r="S47" s="34" t="n">
        <f aca="false">S$22*INDEX(Precio_O,2)*INDEX(IdxPrecio_O,1,MIN(10,S$17))*(1+P_dPrecio)</f>
        <v>174225</v>
      </c>
      <c r="T47" s="34" t="n">
        <f aca="false">T$22*INDEX(Precio_O,2)*INDEX(IdxPrecio_O,1,MIN(10,T$17))*(1+P_dPrecio)</f>
        <v>174225</v>
      </c>
      <c r="U47" s="34" t="n">
        <f aca="false">U$22*INDEX(Precio_O,2)*INDEX(IdxPrecio_O,1,MIN(10,U$17))*(1+P_dPrecio)</f>
        <v>174225</v>
      </c>
      <c r="V47" s="34" t="n">
        <f aca="false">V$22*INDEX(Precio_O,2)*INDEX(IdxPrecio_O,1,MIN(10,V$17))*(1+P_dPrecio)</f>
        <v>174225</v>
      </c>
      <c r="W47" s="34" t="n">
        <f aca="false">W$22*INDEX(Precio_O,2)*INDEX(IdxPrecio_O,1,MIN(10,W$17))*(1+P_dPrecio)</f>
        <v>174225</v>
      </c>
      <c r="X47" s="34" t="n">
        <f aca="false">X$22*INDEX(Precio_O,2)*INDEX(IdxPrecio_O,1,MIN(10,X$17))*(1+P_dPrecio)</f>
        <v>174225</v>
      </c>
      <c r="Y47" s="34" t="n">
        <f aca="false">Y$22*INDEX(Precio_O,2)*INDEX(IdxPrecio_O,1,MIN(10,Y$17))*(1+P_dPrecio)</f>
        <v>174225</v>
      </c>
      <c r="Z47" s="34" t="n">
        <f aca="false">Z$22*INDEX(Precio_O,2)*INDEX(IdxPrecio_O,1,MIN(10,Z$17))*(1+P_dPrecio)</f>
        <v>174225</v>
      </c>
      <c r="AA47" s="34" t="n">
        <f aca="false">AA$22*INDEX(Precio_O,2)*INDEX(IdxPrecio_O,1,MIN(10,AA$17))*(1+P_dPrecio)</f>
        <v>174225</v>
      </c>
      <c r="AB47" s="34" t="n">
        <f aca="false">AB$22*INDEX(Precio_O,2)*INDEX(IdxPrecio_O,1,MIN(10,AB$17))*(1+P_dPrecio)</f>
        <v>174225</v>
      </c>
      <c r="AC47" s="34" t="n">
        <f aca="false">AC$22*INDEX(Precio_O,2)*INDEX(IdxPrecio_O,1,MIN(10,AC$17))*(1+P_dPrecio)</f>
        <v>174225</v>
      </c>
      <c r="AD47" s="34" t="n">
        <f aca="false">AD$22*INDEX(Precio_O,2)*INDEX(IdxPrecio_O,1,MIN(10,AD$17))*(1+P_dPrecio)</f>
        <v>215071.083333333</v>
      </c>
      <c r="AE47" s="34" t="n">
        <f aca="false">AE$22*INDEX(Precio_O,2)*INDEX(IdxPrecio_O,1,MIN(10,AE$17))*(1+P_dPrecio)</f>
        <v>215071.083333333</v>
      </c>
      <c r="AF47" s="34" t="n">
        <f aca="false">AF$22*INDEX(Precio_O,2)*INDEX(IdxPrecio_O,1,MIN(10,AF$17))*(1+P_dPrecio)</f>
        <v>215071.083333333</v>
      </c>
      <c r="AG47" s="34" t="n">
        <f aca="false">AG$22*INDEX(Precio_O,2)*INDEX(IdxPrecio_O,1,MIN(10,AG$17))*(1+P_dPrecio)</f>
        <v>215071.083333333</v>
      </c>
      <c r="AH47" s="34" t="n">
        <f aca="false">AH$22*INDEX(Precio_O,2)*INDEX(IdxPrecio_O,1,MIN(10,AH$17))*(1+P_dPrecio)</f>
        <v>215071.083333333</v>
      </c>
      <c r="AI47" s="34" t="n">
        <f aca="false">AI$22*INDEX(Precio_O,2)*INDEX(IdxPrecio_O,1,MIN(10,AI$17))*(1+P_dPrecio)</f>
        <v>215071.083333333</v>
      </c>
      <c r="AJ47" s="34" t="n">
        <f aca="false">AJ$22*INDEX(Precio_O,2)*INDEX(IdxPrecio_O,1,MIN(10,AJ$17))*(1+P_dPrecio)</f>
        <v>215071.083333333</v>
      </c>
      <c r="AK47" s="34" t="n">
        <f aca="false">AK$22*INDEX(Precio_O,2)*INDEX(IdxPrecio_O,1,MIN(10,AK$17))*(1+P_dPrecio)</f>
        <v>215071.083333333</v>
      </c>
      <c r="AL47" s="34" t="n">
        <f aca="false">AL$22*INDEX(Precio_O,2)*INDEX(IdxPrecio_O,1,MIN(10,AL$17))*(1+P_dPrecio)</f>
        <v>215071.083333333</v>
      </c>
      <c r="AM47" s="34" t="n">
        <f aca="false">AM$22*INDEX(Precio_O,2)*INDEX(IdxPrecio_O,1,MIN(10,AM$17))*(1+P_dPrecio)</f>
        <v>215071.083333333</v>
      </c>
      <c r="AN47" s="34" t="n">
        <f aca="false">AN$22*INDEX(Precio_O,2)*INDEX(IdxPrecio_O,1,MIN(10,AN$17))*(1+P_dPrecio)</f>
        <v>215071.083333333</v>
      </c>
      <c r="AO47" s="34" t="n">
        <f aca="false">AO$22*INDEX(Precio_O,2)*INDEX(IdxPrecio_O,1,MIN(10,AO$17))*(1+P_dPrecio)</f>
        <v>215071.083333333</v>
      </c>
      <c r="AP47" s="34" t="n">
        <f aca="false">AP$22*INDEX(Precio_O,2)*INDEX(IdxPrecio_O,1,MIN(10,AP$17))*(1+P_dPrecio)</f>
        <v>236969.23</v>
      </c>
      <c r="AQ47" s="34" t="n">
        <f aca="false">AQ$22*INDEX(Precio_O,2)*INDEX(IdxPrecio_O,1,MIN(10,AQ$17))*(1+P_dPrecio)</f>
        <v>236969.23</v>
      </c>
      <c r="AR47" s="34" t="n">
        <f aca="false">AR$22*INDEX(Precio_O,2)*INDEX(IdxPrecio_O,1,MIN(10,AR$17))*(1+P_dPrecio)</f>
        <v>236969.23</v>
      </c>
      <c r="AS47" s="34" t="n">
        <f aca="false">AS$22*INDEX(Precio_O,2)*INDEX(IdxPrecio_O,1,MIN(10,AS$17))*(1+P_dPrecio)</f>
        <v>236969.23</v>
      </c>
      <c r="AT47" s="34" t="n">
        <f aca="false">AT$22*INDEX(Precio_O,2)*INDEX(IdxPrecio_O,1,MIN(10,AT$17))*(1+P_dPrecio)</f>
        <v>236969.23</v>
      </c>
      <c r="AU47" s="34" t="n">
        <f aca="false">AU$22*INDEX(Precio_O,2)*INDEX(IdxPrecio_O,1,MIN(10,AU$17))*(1+P_dPrecio)</f>
        <v>236969.23</v>
      </c>
      <c r="AV47" s="34" t="n">
        <f aca="false">AV$22*INDEX(Precio_O,2)*INDEX(IdxPrecio_O,1,MIN(10,AV$17))*(1+P_dPrecio)</f>
        <v>236969.23</v>
      </c>
      <c r="AW47" s="34" t="n">
        <f aca="false">AW$22*INDEX(Precio_O,2)*INDEX(IdxPrecio_O,1,MIN(10,AW$17))*(1+P_dPrecio)</f>
        <v>236969.23</v>
      </c>
      <c r="AX47" s="34" t="n">
        <f aca="false">AX$22*INDEX(Precio_O,2)*INDEX(IdxPrecio_O,1,MIN(10,AX$17))*(1+P_dPrecio)</f>
        <v>236969.23</v>
      </c>
      <c r="AY47" s="34" t="n">
        <f aca="false">AY$22*INDEX(Precio_O,2)*INDEX(IdxPrecio_O,1,MIN(10,AY$17))*(1+P_dPrecio)</f>
        <v>236969.23</v>
      </c>
      <c r="AZ47" s="34" t="n">
        <f aca="false">AZ$22*INDEX(Precio_O,2)*INDEX(IdxPrecio_O,1,MIN(10,AZ$17))*(1+P_dPrecio)</f>
        <v>236969.23</v>
      </c>
      <c r="BA47" s="34" t="n">
        <f aca="false">BA$22*INDEX(Precio_O,2)*INDEX(IdxPrecio_O,1,MIN(10,BA$17))*(1+P_dPrecio)</f>
        <v>236969.23</v>
      </c>
      <c r="BB47" s="34" t="n">
        <f aca="false">BB$22*INDEX(Precio_O,2)*INDEX(IdxPrecio_O,1,MIN(10,BB$17))*(1+P_dPrecio)</f>
        <v>239338.9223</v>
      </c>
      <c r="BC47" s="34" t="n">
        <f aca="false">BC$22*INDEX(Precio_O,2)*INDEX(IdxPrecio_O,1,MIN(10,BC$17))*(1+P_dPrecio)</f>
        <v>239338.9223</v>
      </c>
      <c r="BD47" s="34" t="n">
        <f aca="false">BD$22*INDEX(Precio_O,2)*INDEX(IdxPrecio_O,1,MIN(10,BD$17))*(1+P_dPrecio)</f>
        <v>239338.9223</v>
      </c>
      <c r="BE47" s="34" t="n">
        <f aca="false">BE$22*INDEX(Precio_O,2)*INDEX(IdxPrecio_O,1,MIN(10,BE$17))*(1+P_dPrecio)</f>
        <v>239338.9223</v>
      </c>
      <c r="BF47" s="34" t="n">
        <f aca="false">BF$22*INDEX(Precio_O,2)*INDEX(IdxPrecio_O,1,MIN(10,BF$17))*(1+P_dPrecio)</f>
        <v>239338.9223</v>
      </c>
      <c r="BG47" s="34" t="n">
        <f aca="false">BG$22*INDEX(Precio_O,2)*INDEX(IdxPrecio_O,1,MIN(10,BG$17))*(1+P_dPrecio)</f>
        <v>239338.9223</v>
      </c>
      <c r="BH47" s="34" t="n">
        <f aca="false">BH$22*INDEX(Precio_O,2)*INDEX(IdxPrecio_O,1,MIN(10,BH$17))*(1+P_dPrecio)</f>
        <v>239338.9223</v>
      </c>
      <c r="BI47" s="34" t="n">
        <f aca="false">BI$22*INDEX(Precio_O,2)*INDEX(IdxPrecio_O,1,MIN(10,BI$17))*(1+P_dPrecio)</f>
        <v>239338.9223</v>
      </c>
      <c r="BJ47" s="34" t="n">
        <f aca="false">BJ$22*INDEX(Precio_O,2)*INDEX(IdxPrecio_O,1,MIN(10,BJ$17))*(1+P_dPrecio)</f>
        <v>239338.9223</v>
      </c>
      <c r="BK47" s="34" t="n">
        <f aca="false">BK$22*INDEX(Precio_O,2)*INDEX(IdxPrecio_O,1,MIN(10,BK$17))*(1+P_dPrecio)</f>
        <v>239338.9223</v>
      </c>
      <c r="BL47" s="34" t="n">
        <f aca="false">BL$22*INDEX(Precio_O,2)*INDEX(IdxPrecio_O,1,MIN(10,BL$17))*(1+P_dPrecio)</f>
        <v>239338.9223</v>
      </c>
      <c r="BM47" s="34" t="n">
        <f aca="false">BM$22*INDEX(Precio_O,2)*INDEX(IdxPrecio_O,1,MIN(10,BM$17))*(1+P_dPrecio)</f>
        <v>239338.9223</v>
      </c>
      <c r="BN47" s="34" t="n">
        <f aca="false">BN$22*INDEX(Precio_O,2)*INDEX(IdxPrecio_O,1,MIN(10,BN$17))*(1+P_dPrecio)</f>
        <v>241732.311523</v>
      </c>
      <c r="BO47" s="34" t="n">
        <f aca="false">BO$22*INDEX(Precio_O,2)*INDEX(IdxPrecio_O,1,MIN(10,BO$17))*(1+P_dPrecio)</f>
        <v>241732.311523</v>
      </c>
      <c r="BP47" s="34" t="n">
        <f aca="false">BP$22*INDEX(Precio_O,2)*INDEX(IdxPrecio_O,1,MIN(10,BP$17))*(1+P_dPrecio)</f>
        <v>241732.311523</v>
      </c>
      <c r="BQ47" s="34" t="n">
        <f aca="false">BQ$22*INDEX(Precio_O,2)*INDEX(IdxPrecio_O,1,MIN(10,BQ$17))*(1+P_dPrecio)</f>
        <v>241732.311523</v>
      </c>
      <c r="BR47" s="34" t="n">
        <f aca="false">BR$22*INDEX(Precio_O,2)*INDEX(IdxPrecio_O,1,MIN(10,BR$17))*(1+P_dPrecio)</f>
        <v>241732.311523</v>
      </c>
      <c r="BS47" s="34" t="n">
        <f aca="false">BS$22*INDEX(Precio_O,2)*INDEX(IdxPrecio_O,1,MIN(10,BS$17))*(1+P_dPrecio)</f>
        <v>241732.311523</v>
      </c>
      <c r="BT47" s="34" t="n">
        <f aca="false">BT$22*INDEX(Precio_O,2)*INDEX(IdxPrecio_O,1,MIN(10,BT$17))*(1+P_dPrecio)</f>
        <v>241732.311523</v>
      </c>
      <c r="BU47" s="34" t="n">
        <f aca="false">BU$22*INDEX(Precio_O,2)*INDEX(IdxPrecio_O,1,MIN(10,BU$17))*(1+P_dPrecio)</f>
        <v>241732.311523</v>
      </c>
      <c r="BV47" s="34" t="n">
        <f aca="false">BV$22*INDEX(Precio_O,2)*INDEX(IdxPrecio_O,1,MIN(10,BV$17))*(1+P_dPrecio)</f>
        <v>241732.311523</v>
      </c>
      <c r="BW47" s="34" t="n">
        <f aca="false">BW$22*INDEX(Precio_O,2)*INDEX(IdxPrecio_O,1,MIN(10,BW$17))*(1+P_dPrecio)</f>
        <v>241732.311523</v>
      </c>
      <c r="BX47" s="34" t="n">
        <f aca="false">BX$22*INDEX(Precio_O,2)*INDEX(IdxPrecio_O,1,MIN(10,BX$17))*(1+P_dPrecio)</f>
        <v>241732.311523</v>
      </c>
      <c r="BY47" s="34" t="n">
        <f aca="false">BY$22*INDEX(Precio_O,2)*INDEX(IdxPrecio_O,1,MIN(10,BY$17))*(1+P_dPrecio)</f>
        <v>241732.311523</v>
      </c>
      <c r="BZ47" s="34" t="n">
        <f aca="false">BZ$22*INDEX(Precio_O,2)*INDEX(IdxPrecio_O,1,MIN(10,BZ$17))*(1+P_dPrecio)</f>
        <v>244149.63463823</v>
      </c>
      <c r="CA47" s="34" t="n">
        <f aca="false">CA$22*INDEX(Precio_O,2)*INDEX(IdxPrecio_O,1,MIN(10,CA$17))*(1+P_dPrecio)</f>
        <v>244149.63463823</v>
      </c>
      <c r="CB47" s="34" t="n">
        <f aca="false">CB$22*INDEX(Precio_O,2)*INDEX(IdxPrecio_O,1,MIN(10,CB$17))*(1+P_dPrecio)</f>
        <v>244149.63463823</v>
      </c>
      <c r="CC47" s="34" t="n">
        <f aca="false">CC$22*INDEX(Precio_O,2)*INDEX(IdxPrecio_O,1,MIN(10,CC$17))*(1+P_dPrecio)</f>
        <v>244149.63463823</v>
      </c>
      <c r="CD47" s="34" t="n">
        <f aca="false">CD$22*INDEX(Precio_O,2)*INDEX(IdxPrecio_O,1,MIN(10,CD$17))*(1+P_dPrecio)</f>
        <v>244149.63463823</v>
      </c>
      <c r="CE47" s="34" t="n">
        <f aca="false">CE$22*INDEX(Precio_O,2)*INDEX(IdxPrecio_O,1,MIN(10,CE$17))*(1+P_dPrecio)</f>
        <v>244149.63463823</v>
      </c>
      <c r="CF47" s="34" t="n">
        <f aca="false">CF$22*INDEX(Precio_O,2)*INDEX(IdxPrecio_O,1,MIN(10,CF$17))*(1+P_dPrecio)</f>
        <v>244149.63463823</v>
      </c>
      <c r="CG47" s="34" t="n">
        <f aca="false">CG$22*INDEX(Precio_O,2)*INDEX(IdxPrecio_O,1,MIN(10,CG$17))*(1+P_dPrecio)</f>
        <v>244149.63463823</v>
      </c>
      <c r="CH47" s="34" t="n">
        <f aca="false">CH$22*INDEX(Precio_O,2)*INDEX(IdxPrecio_O,1,MIN(10,CH$17))*(1+P_dPrecio)</f>
        <v>244149.63463823</v>
      </c>
      <c r="CI47" s="34" t="n">
        <f aca="false">CI$22*INDEX(Precio_O,2)*INDEX(IdxPrecio_O,1,MIN(10,CI$17))*(1+P_dPrecio)</f>
        <v>244149.63463823</v>
      </c>
      <c r="CJ47" s="34" t="n">
        <f aca="false">CJ$22*INDEX(Precio_O,2)*INDEX(IdxPrecio_O,1,MIN(10,CJ$17))*(1+P_dPrecio)</f>
        <v>244149.63463823</v>
      </c>
      <c r="CK47" s="34" t="n">
        <f aca="false">CK$22*INDEX(Precio_O,2)*INDEX(IdxPrecio_O,1,MIN(10,CK$17))*(1+P_dPrecio)</f>
        <v>244149.63463823</v>
      </c>
      <c r="CL47" s="34" t="n">
        <f aca="false">CL$22*INDEX(Precio_O,2)*INDEX(IdxPrecio_O,1,MIN(10,CL$17))*(1+P_dPrecio)</f>
        <v>246591.130984612</v>
      </c>
      <c r="CM47" s="34" t="n">
        <f aca="false">CM$22*INDEX(Precio_O,2)*INDEX(IdxPrecio_O,1,MIN(10,CM$17))*(1+P_dPrecio)</f>
        <v>246591.130984612</v>
      </c>
      <c r="CN47" s="34" t="n">
        <f aca="false">CN$22*INDEX(Precio_O,2)*INDEX(IdxPrecio_O,1,MIN(10,CN$17))*(1+P_dPrecio)</f>
        <v>246591.130984612</v>
      </c>
      <c r="CO47" s="34" t="n">
        <f aca="false">CO$22*INDEX(Precio_O,2)*INDEX(IdxPrecio_O,1,MIN(10,CO$17))*(1+P_dPrecio)</f>
        <v>246591.130984612</v>
      </c>
      <c r="CP47" s="34" t="n">
        <f aca="false">CP$22*INDEX(Precio_O,2)*INDEX(IdxPrecio_O,1,MIN(10,CP$17))*(1+P_dPrecio)</f>
        <v>246591.130984612</v>
      </c>
      <c r="CQ47" s="34" t="n">
        <f aca="false">CQ$22*INDEX(Precio_O,2)*INDEX(IdxPrecio_O,1,MIN(10,CQ$17))*(1+P_dPrecio)</f>
        <v>246591.130984612</v>
      </c>
      <c r="CR47" s="34" t="n">
        <f aca="false">CR$22*INDEX(Precio_O,2)*INDEX(IdxPrecio_O,1,MIN(10,CR$17))*(1+P_dPrecio)</f>
        <v>246591.130984612</v>
      </c>
      <c r="CS47" s="34" t="n">
        <f aca="false">CS$22*INDEX(Precio_O,2)*INDEX(IdxPrecio_O,1,MIN(10,CS$17))*(1+P_dPrecio)</f>
        <v>246591.130984612</v>
      </c>
      <c r="CT47" s="34" t="n">
        <f aca="false">CT$22*INDEX(Precio_O,2)*INDEX(IdxPrecio_O,1,MIN(10,CT$17))*(1+P_dPrecio)</f>
        <v>246591.130984612</v>
      </c>
      <c r="CU47" s="34" t="n">
        <f aca="false">CU$22*INDEX(Precio_O,2)*INDEX(IdxPrecio_O,1,MIN(10,CU$17))*(1+P_dPrecio)</f>
        <v>246591.130984612</v>
      </c>
      <c r="CV47" s="34" t="n">
        <f aca="false">CV$22*INDEX(Precio_O,2)*INDEX(IdxPrecio_O,1,MIN(10,CV$17))*(1+P_dPrecio)</f>
        <v>246591.130984612</v>
      </c>
      <c r="CW47" s="34" t="n">
        <f aca="false">CW$22*INDEX(Precio_O,2)*INDEX(IdxPrecio_O,1,MIN(10,CW$17))*(1+P_dPrecio)</f>
        <v>246591.130984612</v>
      </c>
      <c r="CX47" s="34" t="n">
        <f aca="false">CX$22*INDEX(Precio_O,2)*INDEX(IdxPrecio_O,1,MIN(10,CX$17))*(1+P_dPrecio)</f>
        <v>249057.042294458</v>
      </c>
      <c r="CY47" s="34" t="n">
        <f aca="false">CY$22*INDEX(Precio_O,2)*INDEX(IdxPrecio_O,1,MIN(10,CY$17))*(1+P_dPrecio)</f>
        <v>249057.042294458</v>
      </c>
      <c r="CZ47" s="34" t="n">
        <f aca="false">CZ$22*INDEX(Precio_O,2)*INDEX(IdxPrecio_O,1,MIN(10,CZ$17))*(1+P_dPrecio)</f>
        <v>249057.042294458</v>
      </c>
      <c r="DA47" s="34" t="n">
        <f aca="false">DA$22*INDEX(Precio_O,2)*INDEX(IdxPrecio_O,1,MIN(10,DA$17))*(1+P_dPrecio)</f>
        <v>249057.042294458</v>
      </c>
      <c r="DB47" s="34" t="n">
        <f aca="false">DB$22*INDEX(Precio_O,2)*INDEX(IdxPrecio_O,1,MIN(10,DB$17))*(1+P_dPrecio)</f>
        <v>249057.042294458</v>
      </c>
      <c r="DC47" s="34" t="n">
        <f aca="false">DC$22*INDEX(Precio_O,2)*INDEX(IdxPrecio_O,1,MIN(10,DC$17))*(1+P_dPrecio)</f>
        <v>249057.042294458</v>
      </c>
      <c r="DD47" s="34" t="n">
        <f aca="false">DD$22*INDEX(Precio_O,2)*INDEX(IdxPrecio_O,1,MIN(10,DD$17))*(1+P_dPrecio)</f>
        <v>249057.042294458</v>
      </c>
      <c r="DE47" s="34" t="n">
        <f aca="false">DE$22*INDEX(Precio_O,2)*INDEX(IdxPrecio_O,1,MIN(10,DE$17))*(1+P_dPrecio)</f>
        <v>249057.042294458</v>
      </c>
      <c r="DF47" s="34" t="n">
        <f aca="false">DF$22*INDEX(Precio_O,2)*INDEX(IdxPrecio_O,1,MIN(10,DF$17))*(1+P_dPrecio)</f>
        <v>249057.042294458</v>
      </c>
      <c r="DG47" s="34" t="n">
        <f aca="false">DG$22*INDEX(Precio_O,2)*INDEX(IdxPrecio_O,1,MIN(10,DG$17))*(1+P_dPrecio)</f>
        <v>249057.042294458</v>
      </c>
      <c r="DH47" s="34" t="n">
        <f aca="false">DH$22*INDEX(Precio_O,2)*INDEX(IdxPrecio_O,1,MIN(10,DH$17))*(1+P_dPrecio)</f>
        <v>249057.042294458</v>
      </c>
      <c r="DI47" s="34" t="n">
        <f aca="false">DI$22*INDEX(Precio_O,2)*INDEX(IdxPrecio_O,1,MIN(10,DI$17))*(1+P_dPrecio)</f>
        <v>249057.042294458</v>
      </c>
      <c r="DJ47" s="34" t="n">
        <f aca="false">DJ$22*INDEX(Precio_O,2)*INDEX(IdxPrecio_O,1,MIN(10,DJ$17))*(1+P_dPrecio)</f>
        <v>251547.612717403</v>
      </c>
      <c r="DK47" s="34" t="n">
        <f aca="false">DK$22*INDEX(Precio_O,2)*INDEX(IdxPrecio_O,1,MIN(10,DK$17))*(1+P_dPrecio)</f>
        <v>251547.612717403</v>
      </c>
      <c r="DL47" s="34" t="n">
        <f aca="false">DL$22*INDEX(Precio_O,2)*INDEX(IdxPrecio_O,1,MIN(10,DL$17))*(1+P_dPrecio)</f>
        <v>251547.612717403</v>
      </c>
      <c r="DM47" s="34" t="n">
        <f aca="false">DM$22*INDEX(Precio_O,2)*INDEX(IdxPrecio_O,1,MIN(10,DM$17))*(1+P_dPrecio)</f>
        <v>251547.612717403</v>
      </c>
      <c r="DN47" s="34" t="n">
        <f aca="false">DN$22*INDEX(Precio_O,2)*INDEX(IdxPrecio_O,1,MIN(10,DN$17))*(1+P_dPrecio)</f>
        <v>251547.612717403</v>
      </c>
      <c r="DO47" s="34" t="n">
        <f aca="false">DO$22*INDEX(Precio_O,2)*INDEX(IdxPrecio_O,1,MIN(10,DO$17))*(1+P_dPrecio)</f>
        <v>251547.612717403</v>
      </c>
      <c r="DP47" s="34" t="n">
        <f aca="false">DP$22*INDEX(Precio_O,2)*INDEX(IdxPrecio_O,1,MIN(10,DP$17))*(1+P_dPrecio)</f>
        <v>251547.612717403</v>
      </c>
      <c r="DQ47" s="34" t="n">
        <f aca="false">DQ$22*INDEX(Precio_O,2)*INDEX(IdxPrecio_O,1,MIN(10,DQ$17))*(1+P_dPrecio)</f>
        <v>251547.612717403</v>
      </c>
      <c r="DR47" s="34" t="n">
        <f aca="false">DR$22*INDEX(Precio_O,2)*INDEX(IdxPrecio_O,1,MIN(10,DR$17))*(1+P_dPrecio)</f>
        <v>251547.612717403</v>
      </c>
      <c r="DS47" s="34" t="n">
        <f aca="false">DS$22*INDEX(Precio_O,2)*INDEX(IdxPrecio_O,1,MIN(10,DS$17))*(1+P_dPrecio)</f>
        <v>251547.612717403</v>
      </c>
      <c r="DT47" s="34" t="n">
        <f aca="false">DT$22*INDEX(Precio_O,2)*INDEX(IdxPrecio_O,1,MIN(10,DT$17))*(1+P_dPrecio)</f>
        <v>251547.612717403</v>
      </c>
      <c r="DU47" s="34" t="n">
        <f aca="false">DU$22*INDEX(Precio_O,2)*INDEX(IdxPrecio_O,1,MIN(10,DU$17))*(1+P_dPrecio)</f>
        <v>251547.612717403</v>
      </c>
      <c r="DV47" s="34" t="n">
        <f aca="false">DV$22*INDEX(Precio_O,2)*INDEX(IdxPrecio_O,1,MIN(10,DV$17))*(1+P_dPrecio)</f>
        <v>0</v>
      </c>
      <c r="DW47" s="34" t="n">
        <f aca="false">DW$22*INDEX(Precio_O,2)*INDEX(IdxPrecio_O,1,MIN(10,DW$17))*(1+P_dPrecio)</f>
        <v>0</v>
      </c>
      <c r="DX47" s="34" t="n">
        <f aca="false">DX$22*INDEX(Precio_O,2)*INDEX(IdxPrecio_O,1,MIN(10,DX$17))*(1+P_dPrecio)</f>
        <v>0</v>
      </c>
      <c r="DY47" s="34" t="n">
        <f aca="false">DY$22*INDEX(Precio_O,2)*INDEX(IdxPrecio_O,1,MIN(10,DY$17))*(1+P_dPrecio)</f>
        <v>0</v>
      </c>
      <c r="DZ47" s="34" t="n">
        <f aca="false">DZ$22*INDEX(Precio_O,2)*INDEX(IdxPrecio_O,1,MIN(10,DZ$17))*(1+P_dPrecio)</f>
        <v>0</v>
      </c>
      <c r="EA47" s="34" t="n">
        <f aca="false">EA$22*INDEX(Precio_O,2)*INDEX(IdxPrecio_O,1,MIN(10,EA$17))*(1+P_dPrecio)</f>
        <v>0</v>
      </c>
      <c r="EB47" s="34" t="n">
        <f aca="false">EB$22*INDEX(Precio_O,2)*INDEX(IdxPrecio_O,1,MIN(10,EB$17))*(1+P_dPrecio)</f>
        <v>0</v>
      </c>
      <c r="EC47" s="34" t="n">
        <f aca="false">EC$22*INDEX(Precio_O,2)*INDEX(IdxPrecio_O,1,MIN(10,EC$17))*(1+P_dPrecio)</f>
        <v>0</v>
      </c>
      <c r="ED47" s="34" t="n">
        <f aca="false">ED$22*INDEX(Precio_O,2)*INDEX(IdxPrecio_O,1,MIN(10,ED$17))*(1+P_dPrecio)</f>
        <v>0</v>
      </c>
      <c r="EE47" s="34" t="n">
        <f aca="false">EE$22*INDEX(Precio_O,2)*INDEX(IdxPrecio_O,1,MIN(10,EE$17))*(1+P_dPrecio)</f>
        <v>0</v>
      </c>
      <c r="EF47" s="34" t="n">
        <f aca="false">EF$22*INDEX(Precio_O,2)*INDEX(IdxPrecio_O,1,MIN(10,EF$17))*(1+P_dPrecio)</f>
        <v>0</v>
      </c>
      <c r="EG47" s="34" t="n">
        <f aca="false">EG$22*INDEX(Precio_O,2)*INDEX(IdxPrecio_O,1,MIN(10,EG$17))*(1+P_dPrecio)</f>
        <v>0</v>
      </c>
      <c r="EH47" s="34" t="n">
        <f aca="false">EH$22*INDEX(Precio_O,2)*INDEX(IdxPrecio_O,1,MIN(10,EH$17))*(1+P_dPrecio)</f>
        <v>0</v>
      </c>
      <c r="EI47" s="34" t="n">
        <f aca="false">EI$22*INDEX(Precio_O,2)*INDEX(IdxPrecio_O,1,MIN(10,EI$17))*(1+P_dPrecio)</f>
        <v>0</v>
      </c>
      <c r="EJ47" s="34" t="n">
        <f aca="false">EJ$22*INDEX(Precio_O,2)*INDEX(IdxPrecio_O,1,MIN(10,EJ$17))*(1+P_dPrecio)</f>
        <v>0</v>
      </c>
      <c r="EK47" s="34" t="n">
        <f aca="false">EK$22*INDEX(Precio_O,2)*INDEX(IdxPrecio_O,1,MIN(10,EK$17))*(1+P_dPrecio)</f>
        <v>0</v>
      </c>
      <c r="EL47" s="34" t="n">
        <f aca="false">EL$22*INDEX(Precio_O,2)*INDEX(IdxPrecio_O,1,MIN(10,EL$17))*(1+P_dPrecio)</f>
        <v>0</v>
      </c>
      <c r="EM47" s="34" t="n">
        <f aca="false">EM$22*INDEX(Precio_O,2)*INDEX(IdxPrecio_O,1,MIN(10,EM$17))*(1+P_dPrecio)</f>
        <v>0</v>
      </c>
      <c r="EN47" s="34" t="n">
        <f aca="false">EN$22*INDEX(Precio_O,2)*INDEX(IdxPrecio_O,1,MIN(10,EN$17))*(1+P_dPrecio)</f>
        <v>0</v>
      </c>
      <c r="EO47" s="34" t="n">
        <f aca="false">EO$22*INDEX(Precio_O,2)*INDEX(IdxPrecio_O,1,MIN(10,EO$17))*(1+P_dPrecio)</f>
        <v>0</v>
      </c>
      <c r="EP47" s="34" t="n">
        <f aca="false">EP$22*INDEX(Precio_O,2)*INDEX(IdxPrecio_O,1,MIN(10,EP$17))*(1+P_dPrecio)</f>
        <v>0</v>
      </c>
      <c r="EQ47" s="34" t="n">
        <f aca="false">EQ$22*INDEX(Precio_O,2)*INDEX(IdxPrecio_O,1,MIN(10,EQ$17))*(1+P_dPrecio)</f>
        <v>0</v>
      </c>
      <c r="ER47" s="34" t="n">
        <f aca="false">ER$22*INDEX(Precio_O,2)*INDEX(IdxPrecio_O,1,MIN(10,ER$17))*(1+P_dPrecio)</f>
        <v>0</v>
      </c>
      <c r="ES47" s="34" t="n">
        <f aca="false">ES$22*INDEX(Precio_O,2)*INDEX(IdxPrecio_O,1,MIN(10,ES$17))*(1+P_dPrecio)</f>
        <v>0</v>
      </c>
    </row>
    <row r="48" customFormat="false" ht="15" hidden="false" customHeight="false" outlineLevel="0" collapsed="false">
      <c r="A48" s="2" t="s">
        <v>611</v>
      </c>
      <c r="B48" s="39" t="str">
        <f aca="false">IF(INDEX(Prod_Nombre,3)="","Producto 3",INDEX(Prod_Nombre,3))&amp;" — ventas USD"</f>
        <v>Producto 3 — ventas USD</v>
      </c>
      <c r="C48" s="6" t="s">
        <v>250</v>
      </c>
      <c r="E48" s="40" t="n">
        <f aca="false">SUM(F48:ES48)</f>
        <v>0</v>
      </c>
      <c r="F48" s="34" t="n">
        <f aca="false">F$23*INDEX(Precio_O,3)*INDEX(IdxPrecio_O,1,MIN(10,F$17))*(1+P_dPrecio)</f>
        <v>0</v>
      </c>
      <c r="G48" s="34" t="n">
        <f aca="false">G$23*INDEX(Precio_O,3)*INDEX(IdxPrecio_O,1,MIN(10,G$17))*(1+P_dPrecio)</f>
        <v>0</v>
      </c>
      <c r="H48" s="34" t="n">
        <f aca="false">H$23*INDEX(Precio_O,3)*INDEX(IdxPrecio_O,1,MIN(10,H$17))*(1+P_dPrecio)</f>
        <v>0</v>
      </c>
      <c r="I48" s="34" t="n">
        <f aca="false">I$23*INDEX(Precio_O,3)*INDEX(IdxPrecio_O,1,MIN(10,I$17))*(1+P_dPrecio)</f>
        <v>0</v>
      </c>
      <c r="J48" s="34" t="n">
        <f aca="false">J$23*INDEX(Precio_O,3)*INDEX(IdxPrecio_O,1,MIN(10,J$17))*(1+P_dPrecio)</f>
        <v>0</v>
      </c>
      <c r="K48" s="34" t="n">
        <f aca="false">K$23*INDEX(Precio_O,3)*INDEX(IdxPrecio_O,1,MIN(10,K$17))*(1+P_dPrecio)</f>
        <v>0</v>
      </c>
      <c r="L48" s="34" t="n">
        <f aca="false">L$23*INDEX(Precio_O,3)*INDEX(IdxPrecio_O,1,MIN(10,L$17))*(1+P_dPrecio)</f>
        <v>0</v>
      </c>
      <c r="M48" s="34" t="n">
        <f aca="false">M$23*INDEX(Precio_O,3)*INDEX(IdxPrecio_O,1,MIN(10,M$17))*(1+P_dPrecio)</f>
        <v>0</v>
      </c>
      <c r="N48" s="34" t="n">
        <f aca="false">N$23*INDEX(Precio_O,3)*INDEX(IdxPrecio_O,1,MIN(10,N$17))*(1+P_dPrecio)</f>
        <v>0</v>
      </c>
      <c r="O48" s="34" t="n">
        <f aca="false">O$23*INDEX(Precio_O,3)*INDEX(IdxPrecio_O,1,MIN(10,O$17))*(1+P_dPrecio)</f>
        <v>0</v>
      </c>
      <c r="P48" s="34" t="n">
        <f aca="false">P$23*INDEX(Precio_O,3)*INDEX(IdxPrecio_O,1,MIN(10,P$17))*(1+P_dPrecio)</f>
        <v>0</v>
      </c>
      <c r="Q48" s="34" t="n">
        <f aca="false">Q$23*INDEX(Precio_O,3)*INDEX(IdxPrecio_O,1,MIN(10,Q$17))*(1+P_dPrecio)</f>
        <v>0</v>
      </c>
      <c r="R48" s="34" t="n">
        <f aca="false">R$23*INDEX(Precio_O,3)*INDEX(IdxPrecio_O,1,MIN(10,R$17))*(1+P_dPrecio)</f>
        <v>0</v>
      </c>
      <c r="S48" s="34" t="n">
        <f aca="false">S$23*INDEX(Precio_O,3)*INDEX(IdxPrecio_O,1,MIN(10,S$17))*(1+P_dPrecio)</f>
        <v>0</v>
      </c>
      <c r="T48" s="34" t="n">
        <f aca="false">T$23*INDEX(Precio_O,3)*INDEX(IdxPrecio_O,1,MIN(10,T$17))*(1+P_dPrecio)</f>
        <v>0</v>
      </c>
      <c r="U48" s="34" t="n">
        <f aca="false">U$23*INDEX(Precio_O,3)*INDEX(IdxPrecio_O,1,MIN(10,U$17))*(1+P_dPrecio)</f>
        <v>0</v>
      </c>
      <c r="V48" s="34" t="n">
        <f aca="false">V$23*INDEX(Precio_O,3)*INDEX(IdxPrecio_O,1,MIN(10,V$17))*(1+P_dPrecio)</f>
        <v>0</v>
      </c>
      <c r="W48" s="34" t="n">
        <f aca="false">W$23*INDEX(Precio_O,3)*INDEX(IdxPrecio_O,1,MIN(10,W$17))*(1+P_dPrecio)</f>
        <v>0</v>
      </c>
      <c r="X48" s="34" t="n">
        <f aca="false">X$23*INDEX(Precio_O,3)*INDEX(IdxPrecio_O,1,MIN(10,X$17))*(1+P_dPrecio)</f>
        <v>0</v>
      </c>
      <c r="Y48" s="34" t="n">
        <f aca="false">Y$23*INDEX(Precio_O,3)*INDEX(IdxPrecio_O,1,MIN(10,Y$17))*(1+P_dPrecio)</f>
        <v>0</v>
      </c>
      <c r="Z48" s="34" t="n">
        <f aca="false">Z$23*INDEX(Precio_O,3)*INDEX(IdxPrecio_O,1,MIN(10,Z$17))*(1+P_dPrecio)</f>
        <v>0</v>
      </c>
      <c r="AA48" s="34" t="n">
        <f aca="false">AA$23*INDEX(Precio_O,3)*INDEX(IdxPrecio_O,1,MIN(10,AA$17))*(1+P_dPrecio)</f>
        <v>0</v>
      </c>
      <c r="AB48" s="34" t="n">
        <f aca="false">AB$23*INDEX(Precio_O,3)*INDEX(IdxPrecio_O,1,MIN(10,AB$17))*(1+P_dPrecio)</f>
        <v>0</v>
      </c>
      <c r="AC48" s="34" t="n">
        <f aca="false">AC$23*INDEX(Precio_O,3)*INDEX(IdxPrecio_O,1,MIN(10,AC$17))*(1+P_dPrecio)</f>
        <v>0</v>
      </c>
      <c r="AD48" s="34" t="n">
        <f aca="false">AD$23*INDEX(Precio_O,3)*INDEX(IdxPrecio_O,1,MIN(10,AD$17))*(1+P_dPrecio)</f>
        <v>0</v>
      </c>
      <c r="AE48" s="34" t="n">
        <f aca="false">AE$23*INDEX(Precio_O,3)*INDEX(IdxPrecio_O,1,MIN(10,AE$17))*(1+P_dPrecio)</f>
        <v>0</v>
      </c>
      <c r="AF48" s="34" t="n">
        <f aca="false">AF$23*INDEX(Precio_O,3)*INDEX(IdxPrecio_O,1,MIN(10,AF$17))*(1+P_dPrecio)</f>
        <v>0</v>
      </c>
      <c r="AG48" s="34" t="n">
        <f aca="false">AG$23*INDEX(Precio_O,3)*INDEX(IdxPrecio_O,1,MIN(10,AG$17))*(1+P_dPrecio)</f>
        <v>0</v>
      </c>
      <c r="AH48" s="34" t="n">
        <f aca="false">AH$23*INDEX(Precio_O,3)*INDEX(IdxPrecio_O,1,MIN(10,AH$17))*(1+P_dPrecio)</f>
        <v>0</v>
      </c>
      <c r="AI48" s="34" t="n">
        <f aca="false">AI$23*INDEX(Precio_O,3)*INDEX(IdxPrecio_O,1,MIN(10,AI$17))*(1+P_dPrecio)</f>
        <v>0</v>
      </c>
      <c r="AJ48" s="34" t="n">
        <f aca="false">AJ$23*INDEX(Precio_O,3)*INDEX(IdxPrecio_O,1,MIN(10,AJ$17))*(1+P_dPrecio)</f>
        <v>0</v>
      </c>
      <c r="AK48" s="34" t="n">
        <f aca="false">AK$23*INDEX(Precio_O,3)*INDEX(IdxPrecio_O,1,MIN(10,AK$17))*(1+P_dPrecio)</f>
        <v>0</v>
      </c>
      <c r="AL48" s="34" t="n">
        <f aca="false">AL$23*INDEX(Precio_O,3)*INDEX(IdxPrecio_O,1,MIN(10,AL$17))*(1+P_dPrecio)</f>
        <v>0</v>
      </c>
      <c r="AM48" s="34" t="n">
        <f aca="false">AM$23*INDEX(Precio_O,3)*INDEX(IdxPrecio_O,1,MIN(10,AM$17))*(1+P_dPrecio)</f>
        <v>0</v>
      </c>
      <c r="AN48" s="34" t="n">
        <f aca="false">AN$23*INDEX(Precio_O,3)*INDEX(IdxPrecio_O,1,MIN(10,AN$17))*(1+P_dPrecio)</f>
        <v>0</v>
      </c>
      <c r="AO48" s="34" t="n">
        <f aca="false">AO$23*INDEX(Precio_O,3)*INDEX(IdxPrecio_O,1,MIN(10,AO$17))*(1+P_dPrecio)</f>
        <v>0</v>
      </c>
      <c r="AP48" s="34" t="n">
        <f aca="false">AP$23*INDEX(Precio_O,3)*INDEX(IdxPrecio_O,1,MIN(10,AP$17))*(1+P_dPrecio)</f>
        <v>0</v>
      </c>
      <c r="AQ48" s="34" t="n">
        <f aca="false">AQ$23*INDEX(Precio_O,3)*INDEX(IdxPrecio_O,1,MIN(10,AQ$17))*(1+P_dPrecio)</f>
        <v>0</v>
      </c>
      <c r="AR48" s="34" t="n">
        <f aca="false">AR$23*INDEX(Precio_O,3)*INDEX(IdxPrecio_O,1,MIN(10,AR$17))*(1+P_dPrecio)</f>
        <v>0</v>
      </c>
      <c r="AS48" s="34" t="n">
        <f aca="false">AS$23*INDEX(Precio_O,3)*INDEX(IdxPrecio_O,1,MIN(10,AS$17))*(1+P_dPrecio)</f>
        <v>0</v>
      </c>
      <c r="AT48" s="34" t="n">
        <f aca="false">AT$23*INDEX(Precio_O,3)*INDEX(IdxPrecio_O,1,MIN(10,AT$17))*(1+P_dPrecio)</f>
        <v>0</v>
      </c>
      <c r="AU48" s="34" t="n">
        <f aca="false">AU$23*INDEX(Precio_O,3)*INDEX(IdxPrecio_O,1,MIN(10,AU$17))*(1+P_dPrecio)</f>
        <v>0</v>
      </c>
      <c r="AV48" s="34" t="n">
        <f aca="false">AV$23*INDEX(Precio_O,3)*INDEX(IdxPrecio_O,1,MIN(10,AV$17))*(1+P_dPrecio)</f>
        <v>0</v>
      </c>
      <c r="AW48" s="34" t="n">
        <f aca="false">AW$23*INDEX(Precio_O,3)*INDEX(IdxPrecio_O,1,MIN(10,AW$17))*(1+P_dPrecio)</f>
        <v>0</v>
      </c>
      <c r="AX48" s="34" t="n">
        <f aca="false">AX$23*INDEX(Precio_O,3)*INDEX(IdxPrecio_O,1,MIN(10,AX$17))*(1+P_dPrecio)</f>
        <v>0</v>
      </c>
      <c r="AY48" s="34" t="n">
        <f aca="false">AY$23*INDEX(Precio_O,3)*INDEX(IdxPrecio_O,1,MIN(10,AY$17))*(1+P_dPrecio)</f>
        <v>0</v>
      </c>
      <c r="AZ48" s="34" t="n">
        <f aca="false">AZ$23*INDEX(Precio_O,3)*INDEX(IdxPrecio_O,1,MIN(10,AZ$17))*(1+P_dPrecio)</f>
        <v>0</v>
      </c>
      <c r="BA48" s="34" t="n">
        <f aca="false">BA$23*INDEX(Precio_O,3)*INDEX(IdxPrecio_O,1,MIN(10,BA$17))*(1+P_dPrecio)</f>
        <v>0</v>
      </c>
      <c r="BB48" s="34" t="n">
        <f aca="false">BB$23*INDEX(Precio_O,3)*INDEX(IdxPrecio_O,1,MIN(10,BB$17))*(1+P_dPrecio)</f>
        <v>0</v>
      </c>
      <c r="BC48" s="34" t="n">
        <f aca="false">BC$23*INDEX(Precio_O,3)*INDEX(IdxPrecio_O,1,MIN(10,BC$17))*(1+P_dPrecio)</f>
        <v>0</v>
      </c>
      <c r="BD48" s="34" t="n">
        <f aca="false">BD$23*INDEX(Precio_O,3)*INDEX(IdxPrecio_O,1,MIN(10,BD$17))*(1+P_dPrecio)</f>
        <v>0</v>
      </c>
      <c r="BE48" s="34" t="n">
        <f aca="false">BE$23*INDEX(Precio_O,3)*INDEX(IdxPrecio_O,1,MIN(10,BE$17))*(1+P_dPrecio)</f>
        <v>0</v>
      </c>
      <c r="BF48" s="34" t="n">
        <f aca="false">BF$23*INDEX(Precio_O,3)*INDEX(IdxPrecio_O,1,MIN(10,BF$17))*(1+P_dPrecio)</f>
        <v>0</v>
      </c>
      <c r="BG48" s="34" t="n">
        <f aca="false">BG$23*INDEX(Precio_O,3)*INDEX(IdxPrecio_O,1,MIN(10,BG$17))*(1+P_dPrecio)</f>
        <v>0</v>
      </c>
      <c r="BH48" s="34" t="n">
        <f aca="false">BH$23*INDEX(Precio_O,3)*INDEX(IdxPrecio_O,1,MIN(10,BH$17))*(1+P_dPrecio)</f>
        <v>0</v>
      </c>
      <c r="BI48" s="34" t="n">
        <f aca="false">BI$23*INDEX(Precio_O,3)*INDEX(IdxPrecio_O,1,MIN(10,BI$17))*(1+P_dPrecio)</f>
        <v>0</v>
      </c>
      <c r="BJ48" s="34" t="n">
        <f aca="false">BJ$23*INDEX(Precio_O,3)*INDEX(IdxPrecio_O,1,MIN(10,BJ$17))*(1+P_dPrecio)</f>
        <v>0</v>
      </c>
      <c r="BK48" s="34" t="n">
        <f aca="false">BK$23*INDEX(Precio_O,3)*INDEX(IdxPrecio_O,1,MIN(10,BK$17))*(1+P_dPrecio)</f>
        <v>0</v>
      </c>
      <c r="BL48" s="34" t="n">
        <f aca="false">BL$23*INDEX(Precio_O,3)*INDEX(IdxPrecio_O,1,MIN(10,BL$17))*(1+P_dPrecio)</f>
        <v>0</v>
      </c>
      <c r="BM48" s="34" t="n">
        <f aca="false">BM$23*INDEX(Precio_O,3)*INDEX(IdxPrecio_O,1,MIN(10,BM$17))*(1+P_dPrecio)</f>
        <v>0</v>
      </c>
      <c r="BN48" s="34" t="n">
        <f aca="false">BN$23*INDEX(Precio_O,3)*INDEX(IdxPrecio_O,1,MIN(10,BN$17))*(1+P_dPrecio)</f>
        <v>0</v>
      </c>
      <c r="BO48" s="34" t="n">
        <f aca="false">BO$23*INDEX(Precio_O,3)*INDEX(IdxPrecio_O,1,MIN(10,BO$17))*(1+P_dPrecio)</f>
        <v>0</v>
      </c>
      <c r="BP48" s="34" t="n">
        <f aca="false">BP$23*INDEX(Precio_O,3)*INDEX(IdxPrecio_O,1,MIN(10,BP$17))*(1+P_dPrecio)</f>
        <v>0</v>
      </c>
      <c r="BQ48" s="34" t="n">
        <f aca="false">BQ$23*INDEX(Precio_O,3)*INDEX(IdxPrecio_O,1,MIN(10,BQ$17))*(1+P_dPrecio)</f>
        <v>0</v>
      </c>
      <c r="BR48" s="34" t="n">
        <f aca="false">BR$23*INDEX(Precio_O,3)*INDEX(IdxPrecio_O,1,MIN(10,BR$17))*(1+P_dPrecio)</f>
        <v>0</v>
      </c>
      <c r="BS48" s="34" t="n">
        <f aca="false">BS$23*INDEX(Precio_O,3)*INDEX(IdxPrecio_O,1,MIN(10,BS$17))*(1+P_dPrecio)</f>
        <v>0</v>
      </c>
      <c r="BT48" s="34" t="n">
        <f aca="false">BT$23*INDEX(Precio_O,3)*INDEX(IdxPrecio_O,1,MIN(10,BT$17))*(1+P_dPrecio)</f>
        <v>0</v>
      </c>
      <c r="BU48" s="34" t="n">
        <f aca="false">BU$23*INDEX(Precio_O,3)*INDEX(IdxPrecio_O,1,MIN(10,BU$17))*(1+P_dPrecio)</f>
        <v>0</v>
      </c>
      <c r="BV48" s="34" t="n">
        <f aca="false">BV$23*INDEX(Precio_O,3)*INDEX(IdxPrecio_O,1,MIN(10,BV$17))*(1+P_dPrecio)</f>
        <v>0</v>
      </c>
      <c r="BW48" s="34" t="n">
        <f aca="false">BW$23*INDEX(Precio_O,3)*INDEX(IdxPrecio_O,1,MIN(10,BW$17))*(1+P_dPrecio)</f>
        <v>0</v>
      </c>
      <c r="BX48" s="34" t="n">
        <f aca="false">BX$23*INDEX(Precio_O,3)*INDEX(IdxPrecio_O,1,MIN(10,BX$17))*(1+P_dPrecio)</f>
        <v>0</v>
      </c>
      <c r="BY48" s="34" t="n">
        <f aca="false">BY$23*INDEX(Precio_O,3)*INDEX(IdxPrecio_O,1,MIN(10,BY$17))*(1+P_dPrecio)</f>
        <v>0</v>
      </c>
      <c r="BZ48" s="34" t="n">
        <f aca="false">BZ$23*INDEX(Precio_O,3)*INDEX(IdxPrecio_O,1,MIN(10,BZ$17))*(1+P_dPrecio)</f>
        <v>0</v>
      </c>
      <c r="CA48" s="34" t="n">
        <f aca="false">CA$23*INDEX(Precio_O,3)*INDEX(IdxPrecio_O,1,MIN(10,CA$17))*(1+P_dPrecio)</f>
        <v>0</v>
      </c>
      <c r="CB48" s="34" t="n">
        <f aca="false">CB$23*INDEX(Precio_O,3)*INDEX(IdxPrecio_O,1,MIN(10,CB$17))*(1+P_dPrecio)</f>
        <v>0</v>
      </c>
      <c r="CC48" s="34" t="n">
        <f aca="false">CC$23*INDEX(Precio_O,3)*INDEX(IdxPrecio_O,1,MIN(10,CC$17))*(1+P_dPrecio)</f>
        <v>0</v>
      </c>
      <c r="CD48" s="34" t="n">
        <f aca="false">CD$23*INDEX(Precio_O,3)*INDEX(IdxPrecio_O,1,MIN(10,CD$17))*(1+P_dPrecio)</f>
        <v>0</v>
      </c>
      <c r="CE48" s="34" t="n">
        <f aca="false">CE$23*INDEX(Precio_O,3)*INDEX(IdxPrecio_O,1,MIN(10,CE$17))*(1+P_dPrecio)</f>
        <v>0</v>
      </c>
      <c r="CF48" s="34" t="n">
        <f aca="false">CF$23*INDEX(Precio_O,3)*INDEX(IdxPrecio_O,1,MIN(10,CF$17))*(1+P_dPrecio)</f>
        <v>0</v>
      </c>
      <c r="CG48" s="34" t="n">
        <f aca="false">CG$23*INDEX(Precio_O,3)*INDEX(IdxPrecio_O,1,MIN(10,CG$17))*(1+P_dPrecio)</f>
        <v>0</v>
      </c>
      <c r="CH48" s="34" t="n">
        <f aca="false">CH$23*INDEX(Precio_O,3)*INDEX(IdxPrecio_O,1,MIN(10,CH$17))*(1+P_dPrecio)</f>
        <v>0</v>
      </c>
      <c r="CI48" s="34" t="n">
        <f aca="false">CI$23*INDEX(Precio_O,3)*INDEX(IdxPrecio_O,1,MIN(10,CI$17))*(1+P_dPrecio)</f>
        <v>0</v>
      </c>
      <c r="CJ48" s="34" t="n">
        <f aca="false">CJ$23*INDEX(Precio_O,3)*INDEX(IdxPrecio_O,1,MIN(10,CJ$17))*(1+P_dPrecio)</f>
        <v>0</v>
      </c>
      <c r="CK48" s="34" t="n">
        <f aca="false">CK$23*INDEX(Precio_O,3)*INDEX(IdxPrecio_O,1,MIN(10,CK$17))*(1+P_dPrecio)</f>
        <v>0</v>
      </c>
      <c r="CL48" s="34" t="n">
        <f aca="false">CL$23*INDEX(Precio_O,3)*INDEX(IdxPrecio_O,1,MIN(10,CL$17))*(1+P_dPrecio)</f>
        <v>0</v>
      </c>
      <c r="CM48" s="34" t="n">
        <f aca="false">CM$23*INDEX(Precio_O,3)*INDEX(IdxPrecio_O,1,MIN(10,CM$17))*(1+P_dPrecio)</f>
        <v>0</v>
      </c>
      <c r="CN48" s="34" t="n">
        <f aca="false">CN$23*INDEX(Precio_O,3)*INDEX(IdxPrecio_O,1,MIN(10,CN$17))*(1+P_dPrecio)</f>
        <v>0</v>
      </c>
      <c r="CO48" s="34" t="n">
        <f aca="false">CO$23*INDEX(Precio_O,3)*INDEX(IdxPrecio_O,1,MIN(10,CO$17))*(1+P_dPrecio)</f>
        <v>0</v>
      </c>
      <c r="CP48" s="34" t="n">
        <f aca="false">CP$23*INDEX(Precio_O,3)*INDEX(IdxPrecio_O,1,MIN(10,CP$17))*(1+P_dPrecio)</f>
        <v>0</v>
      </c>
      <c r="CQ48" s="34" t="n">
        <f aca="false">CQ$23*INDEX(Precio_O,3)*INDEX(IdxPrecio_O,1,MIN(10,CQ$17))*(1+P_dPrecio)</f>
        <v>0</v>
      </c>
      <c r="CR48" s="34" t="n">
        <f aca="false">CR$23*INDEX(Precio_O,3)*INDEX(IdxPrecio_O,1,MIN(10,CR$17))*(1+P_dPrecio)</f>
        <v>0</v>
      </c>
      <c r="CS48" s="34" t="n">
        <f aca="false">CS$23*INDEX(Precio_O,3)*INDEX(IdxPrecio_O,1,MIN(10,CS$17))*(1+P_dPrecio)</f>
        <v>0</v>
      </c>
      <c r="CT48" s="34" t="n">
        <f aca="false">CT$23*INDEX(Precio_O,3)*INDEX(IdxPrecio_O,1,MIN(10,CT$17))*(1+P_dPrecio)</f>
        <v>0</v>
      </c>
      <c r="CU48" s="34" t="n">
        <f aca="false">CU$23*INDEX(Precio_O,3)*INDEX(IdxPrecio_O,1,MIN(10,CU$17))*(1+P_dPrecio)</f>
        <v>0</v>
      </c>
      <c r="CV48" s="34" t="n">
        <f aca="false">CV$23*INDEX(Precio_O,3)*INDEX(IdxPrecio_O,1,MIN(10,CV$17))*(1+P_dPrecio)</f>
        <v>0</v>
      </c>
      <c r="CW48" s="34" t="n">
        <f aca="false">CW$23*INDEX(Precio_O,3)*INDEX(IdxPrecio_O,1,MIN(10,CW$17))*(1+P_dPrecio)</f>
        <v>0</v>
      </c>
      <c r="CX48" s="34" t="n">
        <f aca="false">CX$23*INDEX(Precio_O,3)*INDEX(IdxPrecio_O,1,MIN(10,CX$17))*(1+P_dPrecio)</f>
        <v>0</v>
      </c>
      <c r="CY48" s="34" t="n">
        <f aca="false">CY$23*INDEX(Precio_O,3)*INDEX(IdxPrecio_O,1,MIN(10,CY$17))*(1+P_dPrecio)</f>
        <v>0</v>
      </c>
      <c r="CZ48" s="34" t="n">
        <f aca="false">CZ$23*INDEX(Precio_O,3)*INDEX(IdxPrecio_O,1,MIN(10,CZ$17))*(1+P_dPrecio)</f>
        <v>0</v>
      </c>
      <c r="DA48" s="34" t="n">
        <f aca="false">DA$23*INDEX(Precio_O,3)*INDEX(IdxPrecio_O,1,MIN(10,DA$17))*(1+P_dPrecio)</f>
        <v>0</v>
      </c>
      <c r="DB48" s="34" t="n">
        <f aca="false">DB$23*INDEX(Precio_O,3)*INDEX(IdxPrecio_O,1,MIN(10,DB$17))*(1+P_dPrecio)</f>
        <v>0</v>
      </c>
      <c r="DC48" s="34" t="n">
        <f aca="false">DC$23*INDEX(Precio_O,3)*INDEX(IdxPrecio_O,1,MIN(10,DC$17))*(1+P_dPrecio)</f>
        <v>0</v>
      </c>
      <c r="DD48" s="34" t="n">
        <f aca="false">DD$23*INDEX(Precio_O,3)*INDEX(IdxPrecio_O,1,MIN(10,DD$17))*(1+P_dPrecio)</f>
        <v>0</v>
      </c>
      <c r="DE48" s="34" t="n">
        <f aca="false">DE$23*INDEX(Precio_O,3)*INDEX(IdxPrecio_O,1,MIN(10,DE$17))*(1+P_dPrecio)</f>
        <v>0</v>
      </c>
      <c r="DF48" s="34" t="n">
        <f aca="false">DF$23*INDEX(Precio_O,3)*INDEX(IdxPrecio_O,1,MIN(10,DF$17))*(1+P_dPrecio)</f>
        <v>0</v>
      </c>
      <c r="DG48" s="34" t="n">
        <f aca="false">DG$23*INDEX(Precio_O,3)*INDEX(IdxPrecio_O,1,MIN(10,DG$17))*(1+P_dPrecio)</f>
        <v>0</v>
      </c>
      <c r="DH48" s="34" t="n">
        <f aca="false">DH$23*INDEX(Precio_O,3)*INDEX(IdxPrecio_O,1,MIN(10,DH$17))*(1+P_dPrecio)</f>
        <v>0</v>
      </c>
      <c r="DI48" s="34" t="n">
        <f aca="false">DI$23*INDEX(Precio_O,3)*INDEX(IdxPrecio_O,1,MIN(10,DI$17))*(1+P_dPrecio)</f>
        <v>0</v>
      </c>
      <c r="DJ48" s="34" t="n">
        <f aca="false">DJ$23*INDEX(Precio_O,3)*INDEX(IdxPrecio_O,1,MIN(10,DJ$17))*(1+P_dPrecio)</f>
        <v>0</v>
      </c>
      <c r="DK48" s="34" t="n">
        <f aca="false">DK$23*INDEX(Precio_O,3)*INDEX(IdxPrecio_O,1,MIN(10,DK$17))*(1+P_dPrecio)</f>
        <v>0</v>
      </c>
      <c r="DL48" s="34" t="n">
        <f aca="false">DL$23*INDEX(Precio_O,3)*INDEX(IdxPrecio_O,1,MIN(10,DL$17))*(1+P_dPrecio)</f>
        <v>0</v>
      </c>
      <c r="DM48" s="34" t="n">
        <f aca="false">DM$23*INDEX(Precio_O,3)*INDEX(IdxPrecio_O,1,MIN(10,DM$17))*(1+P_dPrecio)</f>
        <v>0</v>
      </c>
      <c r="DN48" s="34" t="n">
        <f aca="false">DN$23*INDEX(Precio_O,3)*INDEX(IdxPrecio_O,1,MIN(10,DN$17))*(1+P_dPrecio)</f>
        <v>0</v>
      </c>
      <c r="DO48" s="34" t="n">
        <f aca="false">DO$23*INDEX(Precio_O,3)*INDEX(IdxPrecio_O,1,MIN(10,DO$17))*(1+P_dPrecio)</f>
        <v>0</v>
      </c>
      <c r="DP48" s="34" t="n">
        <f aca="false">DP$23*INDEX(Precio_O,3)*INDEX(IdxPrecio_O,1,MIN(10,DP$17))*(1+P_dPrecio)</f>
        <v>0</v>
      </c>
      <c r="DQ48" s="34" t="n">
        <f aca="false">DQ$23*INDEX(Precio_O,3)*INDEX(IdxPrecio_O,1,MIN(10,DQ$17))*(1+P_dPrecio)</f>
        <v>0</v>
      </c>
      <c r="DR48" s="34" t="n">
        <f aca="false">DR$23*INDEX(Precio_O,3)*INDEX(IdxPrecio_O,1,MIN(10,DR$17))*(1+P_dPrecio)</f>
        <v>0</v>
      </c>
      <c r="DS48" s="34" t="n">
        <f aca="false">DS$23*INDEX(Precio_O,3)*INDEX(IdxPrecio_O,1,MIN(10,DS$17))*(1+P_dPrecio)</f>
        <v>0</v>
      </c>
      <c r="DT48" s="34" t="n">
        <f aca="false">DT$23*INDEX(Precio_O,3)*INDEX(IdxPrecio_O,1,MIN(10,DT$17))*(1+P_dPrecio)</f>
        <v>0</v>
      </c>
      <c r="DU48" s="34" t="n">
        <f aca="false">DU$23*INDEX(Precio_O,3)*INDEX(IdxPrecio_O,1,MIN(10,DU$17))*(1+P_dPrecio)</f>
        <v>0</v>
      </c>
      <c r="DV48" s="34" t="n">
        <f aca="false">DV$23*INDEX(Precio_O,3)*INDEX(IdxPrecio_O,1,MIN(10,DV$17))*(1+P_dPrecio)</f>
        <v>0</v>
      </c>
      <c r="DW48" s="34" t="n">
        <f aca="false">DW$23*INDEX(Precio_O,3)*INDEX(IdxPrecio_O,1,MIN(10,DW$17))*(1+P_dPrecio)</f>
        <v>0</v>
      </c>
      <c r="DX48" s="34" t="n">
        <f aca="false">DX$23*INDEX(Precio_O,3)*INDEX(IdxPrecio_O,1,MIN(10,DX$17))*(1+P_dPrecio)</f>
        <v>0</v>
      </c>
      <c r="DY48" s="34" t="n">
        <f aca="false">DY$23*INDEX(Precio_O,3)*INDEX(IdxPrecio_O,1,MIN(10,DY$17))*(1+P_dPrecio)</f>
        <v>0</v>
      </c>
      <c r="DZ48" s="34" t="n">
        <f aca="false">DZ$23*INDEX(Precio_O,3)*INDEX(IdxPrecio_O,1,MIN(10,DZ$17))*(1+P_dPrecio)</f>
        <v>0</v>
      </c>
      <c r="EA48" s="34" t="n">
        <f aca="false">EA$23*INDEX(Precio_O,3)*INDEX(IdxPrecio_O,1,MIN(10,EA$17))*(1+P_dPrecio)</f>
        <v>0</v>
      </c>
      <c r="EB48" s="34" t="n">
        <f aca="false">EB$23*INDEX(Precio_O,3)*INDEX(IdxPrecio_O,1,MIN(10,EB$17))*(1+P_dPrecio)</f>
        <v>0</v>
      </c>
      <c r="EC48" s="34" t="n">
        <f aca="false">EC$23*INDEX(Precio_O,3)*INDEX(IdxPrecio_O,1,MIN(10,EC$17))*(1+P_dPrecio)</f>
        <v>0</v>
      </c>
      <c r="ED48" s="34" t="n">
        <f aca="false">ED$23*INDEX(Precio_O,3)*INDEX(IdxPrecio_O,1,MIN(10,ED$17))*(1+P_dPrecio)</f>
        <v>0</v>
      </c>
      <c r="EE48" s="34" t="n">
        <f aca="false">EE$23*INDEX(Precio_O,3)*INDEX(IdxPrecio_O,1,MIN(10,EE$17))*(1+P_dPrecio)</f>
        <v>0</v>
      </c>
      <c r="EF48" s="34" t="n">
        <f aca="false">EF$23*INDEX(Precio_O,3)*INDEX(IdxPrecio_O,1,MIN(10,EF$17))*(1+P_dPrecio)</f>
        <v>0</v>
      </c>
      <c r="EG48" s="34" t="n">
        <f aca="false">EG$23*INDEX(Precio_O,3)*INDEX(IdxPrecio_O,1,MIN(10,EG$17))*(1+P_dPrecio)</f>
        <v>0</v>
      </c>
      <c r="EH48" s="34" t="n">
        <f aca="false">EH$23*INDEX(Precio_O,3)*INDEX(IdxPrecio_O,1,MIN(10,EH$17))*(1+P_dPrecio)</f>
        <v>0</v>
      </c>
      <c r="EI48" s="34" t="n">
        <f aca="false">EI$23*INDEX(Precio_O,3)*INDEX(IdxPrecio_O,1,MIN(10,EI$17))*(1+P_dPrecio)</f>
        <v>0</v>
      </c>
      <c r="EJ48" s="34" t="n">
        <f aca="false">EJ$23*INDEX(Precio_O,3)*INDEX(IdxPrecio_O,1,MIN(10,EJ$17))*(1+P_dPrecio)</f>
        <v>0</v>
      </c>
      <c r="EK48" s="34" t="n">
        <f aca="false">EK$23*INDEX(Precio_O,3)*INDEX(IdxPrecio_O,1,MIN(10,EK$17))*(1+P_dPrecio)</f>
        <v>0</v>
      </c>
      <c r="EL48" s="34" t="n">
        <f aca="false">EL$23*INDEX(Precio_O,3)*INDEX(IdxPrecio_O,1,MIN(10,EL$17))*(1+P_dPrecio)</f>
        <v>0</v>
      </c>
      <c r="EM48" s="34" t="n">
        <f aca="false">EM$23*INDEX(Precio_O,3)*INDEX(IdxPrecio_O,1,MIN(10,EM$17))*(1+P_dPrecio)</f>
        <v>0</v>
      </c>
      <c r="EN48" s="34" t="n">
        <f aca="false">EN$23*INDEX(Precio_O,3)*INDEX(IdxPrecio_O,1,MIN(10,EN$17))*(1+P_dPrecio)</f>
        <v>0</v>
      </c>
      <c r="EO48" s="34" t="n">
        <f aca="false">EO$23*INDEX(Precio_O,3)*INDEX(IdxPrecio_O,1,MIN(10,EO$17))*(1+P_dPrecio)</f>
        <v>0</v>
      </c>
      <c r="EP48" s="34" t="n">
        <f aca="false">EP$23*INDEX(Precio_O,3)*INDEX(IdxPrecio_O,1,MIN(10,EP$17))*(1+P_dPrecio)</f>
        <v>0</v>
      </c>
      <c r="EQ48" s="34" t="n">
        <f aca="false">EQ$23*INDEX(Precio_O,3)*INDEX(IdxPrecio_O,1,MIN(10,EQ$17))*(1+P_dPrecio)</f>
        <v>0</v>
      </c>
      <c r="ER48" s="34" t="n">
        <f aca="false">ER$23*INDEX(Precio_O,3)*INDEX(IdxPrecio_O,1,MIN(10,ER$17))*(1+P_dPrecio)</f>
        <v>0</v>
      </c>
      <c r="ES48" s="34" t="n">
        <f aca="false">ES$23*INDEX(Precio_O,3)*INDEX(IdxPrecio_O,1,MIN(10,ES$17))*(1+P_dPrecio)</f>
        <v>0</v>
      </c>
    </row>
    <row r="49" customFormat="false" ht="15" hidden="false" customHeight="false" outlineLevel="0" collapsed="false">
      <c r="A49" s="2" t="s">
        <v>612</v>
      </c>
      <c r="B49" s="39" t="str">
        <f aca="false">IF(INDEX(Prod_Nombre,4)="","Producto 4",INDEX(Prod_Nombre,4))&amp;" — ventas USD"</f>
        <v>Producto 4 — ventas USD</v>
      </c>
      <c r="C49" s="6" t="s">
        <v>250</v>
      </c>
      <c r="E49" s="40" t="n">
        <f aca="false">SUM(F49:ES49)</f>
        <v>0</v>
      </c>
      <c r="F49" s="34" t="n">
        <f aca="false">F$24*INDEX(Precio_O,4)*INDEX(IdxPrecio_O,1,MIN(10,F$17))*(1+P_dPrecio)</f>
        <v>0</v>
      </c>
      <c r="G49" s="34" t="n">
        <f aca="false">G$24*INDEX(Precio_O,4)*INDEX(IdxPrecio_O,1,MIN(10,G$17))*(1+P_dPrecio)</f>
        <v>0</v>
      </c>
      <c r="H49" s="34" t="n">
        <f aca="false">H$24*INDEX(Precio_O,4)*INDEX(IdxPrecio_O,1,MIN(10,H$17))*(1+P_dPrecio)</f>
        <v>0</v>
      </c>
      <c r="I49" s="34" t="n">
        <f aca="false">I$24*INDEX(Precio_O,4)*INDEX(IdxPrecio_O,1,MIN(10,I$17))*(1+P_dPrecio)</f>
        <v>0</v>
      </c>
      <c r="J49" s="34" t="n">
        <f aca="false">J$24*INDEX(Precio_O,4)*INDEX(IdxPrecio_O,1,MIN(10,J$17))*(1+P_dPrecio)</f>
        <v>0</v>
      </c>
      <c r="K49" s="34" t="n">
        <f aca="false">K$24*INDEX(Precio_O,4)*INDEX(IdxPrecio_O,1,MIN(10,K$17))*(1+P_dPrecio)</f>
        <v>0</v>
      </c>
      <c r="L49" s="34" t="n">
        <f aca="false">L$24*INDEX(Precio_O,4)*INDEX(IdxPrecio_O,1,MIN(10,L$17))*(1+P_dPrecio)</f>
        <v>0</v>
      </c>
      <c r="M49" s="34" t="n">
        <f aca="false">M$24*INDEX(Precio_O,4)*INDEX(IdxPrecio_O,1,MIN(10,M$17))*(1+P_dPrecio)</f>
        <v>0</v>
      </c>
      <c r="N49" s="34" t="n">
        <f aca="false">N$24*INDEX(Precio_O,4)*INDEX(IdxPrecio_O,1,MIN(10,N$17))*(1+P_dPrecio)</f>
        <v>0</v>
      </c>
      <c r="O49" s="34" t="n">
        <f aca="false">O$24*INDEX(Precio_O,4)*INDEX(IdxPrecio_O,1,MIN(10,O$17))*(1+P_dPrecio)</f>
        <v>0</v>
      </c>
      <c r="P49" s="34" t="n">
        <f aca="false">P$24*INDEX(Precio_O,4)*INDEX(IdxPrecio_O,1,MIN(10,P$17))*(1+P_dPrecio)</f>
        <v>0</v>
      </c>
      <c r="Q49" s="34" t="n">
        <f aca="false">Q$24*INDEX(Precio_O,4)*INDEX(IdxPrecio_O,1,MIN(10,Q$17))*(1+P_dPrecio)</f>
        <v>0</v>
      </c>
      <c r="R49" s="34" t="n">
        <f aca="false">R$24*INDEX(Precio_O,4)*INDEX(IdxPrecio_O,1,MIN(10,R$17))*(1+P_dPrecio)</f>
        <v>0</v>
      </c>
      <c r="S49" s="34" t="n">
        <f aca="false">S$24*INDEX(Precio_O,4)*INDEX(IdxPrecio_O,1,MIN(10,S$17))*(1+P_dPrecio)</f>
        <v>0</v>
      </c>
      <c r="T49" s="34" t="n">
        <f aca="false">T$24*INDEX(Precio_O,4)*INDEX(IdxPrecio_O,1,MIN(10,T$17))*(1+P_dPrecio)</f>
        <v>0</v>
      </c>
      <c r="U49" s="34" t="n">
        <f aca="false">U$24*INDEX(Precio_O,4)*INDEX(IdxPrecio_O,1,MIN(10,U$17))*(1+P_dPrecio)</f>
        <v>0</v>
      </c>
      <c r="V49" s="34" t="n">
        <f aca="false">V$24*INDEX(Precio_O,4)*INDEX(IdxPrecio_O,1,MIN(10,V$17))*(1+P_dPrecio)</f>
        <v>0</v>
      </c>
      <c r="W49" s="34" t="n">
        <f aca="false">W$24*INDEX(Precio_O,4)*INDEX(IdxPrecio_O,1,MIN(10,W$17))*(1+P_dPrecio)</f>
        <v>0</v>
      </c>
      <c r="X49" s="34" t="n">
        <f aca="false">X$24*INDEX(Precio_O,4)*INDEX(IdxPrecio_O,1,MIN(10,X$17))*(1+P_dPrecio)</f>
        <v>0</v>
      </c>
      <c r="Y49" s="34" t="n">
        <f aca="false">Y$24*INDEX(Precio_O,4)*INDEX(IdxPrecio_O,1,MIN(10,Y$17))*(1+P_dPrecio)</f>
        <v>0</v>
      </c>
      <c r="Z49" s="34" t="n">
        <f aca="false">Z$24*INDEX(Precio_O,4)*INDEX(IdxPrecio_O,1,MIN(10,Z$17))*(1+P_dPrecio)</f>
        <v>0</v>
      </c>
      <c r="AA49" s="34" t="n">
        <f aca="false">AA$24*INDEX(Precio_O,4)*INDEX(IdxPrecio_O,1,MIN(10,AA$17))*(1+P_dPrecio)</f>
        <v>0</v>
      </c>
      <c r="AB49" s="34" t="n">
        <f aca="false">AB$24*INDEX(Precio_O,4)*INDEX(IdxPrecio_O,1,MIN(10,AB$17))*(1+P_dPrecio)</f>
        <v>0</v>
      </c>
      <c r="AC49" s="34" t="n">
        <f aca="false">AC$24*INDEX(Precio_O,4)*INDEX(IdxPrecio_O,1,MIN(10,AC$17))*(1+P_dPrecio)</f>
        <v>0</v>
      </c>
      <c r="AD49" s="34" t="n">
        <f aca="false">AD$24*INDEX(Precio_O,4)*INDEX(IdxPrecio_O,1,MIN(10,AD$17))*(1+P_dPrecio)</f>
        <v>0</v>
      </c>
      <c r="AE49" s="34" t="n">
        <f aca="false">AE$24*INDEX(Precio_O,4)*INDEX(IdxPrecio_O,1,MIN(10,AE$17))*(1+P_dPrecio)</f>
        <v>0</v>
      </c>
      <c r="AF49" s="34" t="n">
        <f aca="false">AF$24*INDEX(Precio_O,4)*INDEX(IdxPrecio_O,1,MIN(10,AF$17))*(1+P_dPrecio)</f>
        <v>0</v>
      </c>
      <c r="AG49" s="34" t="n">
        <f aca="false">AG$24*INDEX(Precio_O,4)*INDEX(IdxPrecio_O,1,MIN(10,AG$17))*(1+P_dPrecio)</f>
        <v>0</v>
      </c>
      <c r="AH49" s="34" t="n">
        <f aca="false">AH$24*INDEX(Precio_O,4)*INDEX(IdxPrecio_O,1,MIN(10,AH$17))*(1+P_dPrecio)</f>
        <v>0</v>
      </c>
      <c r="AI49" s="34" t="n">
        <f aca="false">AI$24*INDEX(Precio_O,4)*INDEX(IdxPrecio_O,1,MIN(10,AI$17))*(1+P_dPrecio)</f>
        <v>0</v>
      </c>
      <c r="AJ49" s="34" t="n">
        <f aca="false">AJ$24*INDEX(Precio_O,4)*INDEX(IdxPrecio_O,1,MIN(10,AJ$17))*(1+P_dPrecio)</f>
        <v>0</v>
      </c>
      <c r="AK49" s="34" t="n">
        <f aca="false">AK$24*INDEX(Precio_O,4)*INDEX(IdxPrecio_O,1,MIN(10,AK$17))*(1+P_dPrecio)</f>
        <v>0</v>
      </c>
      <c r="AL49" s="34" t="n">
        <f aca="false">AL$24*INDEX(Precio_O,4)*INDEX(IdxPrecio_O,1,MIN(10,AL$17))*(1+P_dPrecio)</f>
        <v>0</v>
      </c>
      <c r="AM49" s="34" t="n">
        <f aca="false">AM$24*INDEX(Precio_O,4)*INDEX(IdxPrecio_O,1,MIN(10,AM$17))*(1+P_dPrecio)</f>
        <v>0</v>
      </c>
      <c r="AN49" s="34" t="n">
        <f aca="false">AN$24*INDEX(Precio_O,4)*INDEX(IdxPrecio_O,1,MIN(10,AN$17))*(1+P_dPrecio)</f>
        <v>0</v>
      </c>
      <c r="AO49" s="34" t="n">
        <f aca="false">AO$24*INDEX(Precio_O,4)*INDEX(IdxPrecio_O,1,MIN(10,AO$17))*(1+P_dPrecio)</f>
        <v>0</v>
      </c>
      <c r="AP49" s="34" t="n">
        <f aca="false">AP$24*INDEX(Precio_O,4)*INDEX(IdxPrecio_O,1,MIN(10,AP$17))*(1+P_dPrecio)</f>
        <v>0</v>
      </c>
      <c r="AQ49" s="34" t="n">
        <f aca="false">AQ$24*INDEX(Precio_O,4)*INDEX(IdxPrecio_O,1,MIN(10,AQ$17))*(1+P_dPrecio)</f>
        <v>0</v>
      </c>
      <c r="AR49" s="34" t="n">
        <f aca="false">AR$24*INDEX(Precio_O,4)*INDEX(IdxPrecio_O,1,MIN(10,AR$17))*(1+P_dPrecio)</f>
        <v>0</v>
      </c>
      <c r="AS49" s="34" t="n">
        <f aca="false">AS$24*INDEX(Precio_O,4)*INDEX(IdxPrecio_O,1,MIN(10,AS$17))*(1+P_dPrecio)</f>
        <v>0</v>
      </c>
      <c r="AT49" s="34" t="n">
        <f aca="false">AT$24*INDEX(Precio_O,4)*INDEX(IdxPrecio_O,1,MIN(10,AT$17))*(1+P_dPrecio)</f>
        <v>0</v>
      </c>
      <c r="AU49" s="34" t="n">
        <f aca="false">AU$24*INDEX(Precio_O,4)*INDEX(IdxPrecio_O,1,MIN(10,AU$17))*(1+P_dPrecio)</f>
        <v>0</v>
      </c>
      <c r="AV49" s="34" t="n">
        <f aca="false">AV$24*INDEX(Precio_O,4)*INDEX(IdxPrecio_O,1,MIN(10,AV$17))*(1+P_dPrecio)</f>
        <v>0</v>
      </c>
      <c r="AW49" s="34" t="n">
        <f aca="false">AW$24*INDEX(Precio_O,4)*INDEX(IdxPrecio_O,1,MIN(10,AW$17))*(1+P_dPrecio)</f>
        <v>0</v>
      </c>
      <c r="AX49" s="34" t="n">
        <f aca="false">AX$24*INDEX(Precio_O,4)*INDEX(IdxPrecio_O,1,MIN(10,AX$17))*(1+P_dPrecio)</f>
        <v>0</v>
      </c>
      <c r="AY49" s="34" t="n">
        <f aca="false">AY$24*INDEX(Precio_O,4)*INDEX(IdxPrecio_O,1,MIN(10,AY$17))*(1+P_dPrecio)</f>
        <v>0</v>
      </c>
      <c r="AZ49" s="34" t="n">
        <f aca="false">AZ$24*INDEX(Precio_O,4)*INDEX(IdxPrecio_O,1,MIN(10,AZ$17))*(1+P_dPrecio)</f>
        <v>0</v>
      </c>
      <c r="BA49" s="34" t="n">
        <f aca="false">BA$24*INDEX(Precio_O,4)*INDEX(IdxPrecio_O,1,MIN(10,BA$17))*(1+P_dPrecio)</f>
        <v>0</v>
      </c>
      <c r="BB49" s="34" t="n">
        <f aca="false">BB$24*INDEX(Precio_O,4)*INDEX(IdxPrecio_O,1,MIN(10,BB$17))*(1+P_dPrecio)</f>
        <v>0</v>
      </c>
      <c r="BC49" s="34" t="n">
        <f aca="false">BC$24*INDEX(Precio_O,4)*INDEX(IdxPrecio_O,1,MIN(10,BC$17))*(1+P_dPrecio)</f>
        <v>0</v>
      </c>
      <c r="BD49" s="34" t="n">
        <f aca="false">BD$24*INDEX(Precio_O,4)*INDEX(IdxPrecio_O,1,MIN(10,BD$17))*(1+P_dPrecio)</f>
        <v>0</v>
      </c>
      <c r="BE49" s="34" t="n">
        <f aca="false">BE$24*INDEX(Precio_O,4)*INDEX(IdxPrecio_O,1,MIN(10,BE$17))*(1+P_dPrecio)</f>
        <v>0</v>
      </c>
      <c r="BF49" s="34" t="n">
        <f aca="false">BF$24*INDEX(Precio_O,4)*INDEX(IdxPrecio_O,1,MIN(10,BF$17))*(1+P_dPrecio)</f>
        <v>0</v>
      </c>
      <c r="BG49" s="34" t="n">
        <f aca="false">BG$24*INDEX(Precio_O,4)*INDEX(IdxPrecio_O,1,MIN(10,BG$17))*(1+P_dPrecio)</f>
        <v>0</v>
      </c>
      <c r="BH49" s="34" t="n">
        <f aca="false">BH$24*INDEX(Precio_O,4)*INDEX(IdxPrecio_O,1,MIN(10,BH$17))*(1+P_dPrecio)</f>
        <v>0</v>
      </c>
      <c r="BI49" s="34" t="n">
        <f aca="false">BI$24*INDEX(Precio_O,4)*INDEX(IdxPrecio_O,1,MIN(10,BI$17))*(1+P_dPrecio)</f>
        <v>0</v>
      </c>
      <c r="BJ49" s="34" t="n">
        <f aca="false">BJ$24*INDEX(Precio_O,4)*INDEX(IdxPrecio_O,1,MIN(10,BJ$17))*(1+P_dPrecio)</f>
        <v>0</v>
      </c>
      <c r="BK49" s="34" t="n">
        <f aca="false">BK$24*INDEX(Precio_O,4)*INDEX(IdxPrecio_O,1,MIN(10,BK$17))*(1+P_dPrecio)</f>
        <v>0</v>
      </c>
      <c r="BL49" s="34" t="n">
        <f aca="false">BL$24*INDEX(Precio_O,4)*INDEX(IdxPrecio_O,1,MIN(10,BL$17))*(1+P_dPrecio)</f>
        <v>0</v>
      </c>
      <c r="BM49" s="34" t="n">
        <f aca="false">BM$24*INDEX(Precio_O,4)*INDEX(IdxPrecio_O,1,MIN(10,BM$17))*(1+P_dPrecio)</f>
        <v>0</v>
      </c>
      <c r="BN49" s="34" t="n">
        <f aca="false">BN$24*INDEX(Precio_O,4)*INDEX(IdxPrecio_O,1,MIN(10,BN$17))*(1+P_dPrecio)</f>
        <v>0</v>
      </c>
      <c r="BO49" s="34" t="n">
        <f aca="false">BO$24*INDEX(Precio_O,4)*INDEX(IdxPrecio_O,1,MIN(10,BO$17))*(1+P_dPrecio)</f>
        <v>0</v>
      </c>
      <c r="BP49" s="34" t="n">
        <f aca="false">BP$24*INDEX(Precio_O,4)*INDEX(IdxPrecio_O,1,MIN(10,BP$17))*(1+P_dPrecio)</f>
        <v>0</v>
      </c>
      <c r="BQ49" s="34" t="n">
        <f aca="false">BQ$24*INDEX(Precio_O,4)*INDEX(IdxPrecio_O,1,MIN(10,BQ$17))*(1+P_dPrecio)</f>
        <v>0</v>
      </c>
      <c r="BR49" s="34" t="n">
        <f aca="false">BR$24*INDEX(Precio_O,4)*INDEX(IdxPrecio_O,1,MIN(10,BR$17))*(1+P_dPrecio)</f>
        <v>0</v>
      </c>
      <c r="BS49" s="34" t="n">
        <f aca="false">BS$24*INDEX(Precio_O,4)*INDEX(IdxPrecio_O,1,MIN(10,BS$17))*(1+P_dPrecio)</f>
        <v>0</v>
      </c>
      <c r="BT49" s="34" t="n">
        <f aca="false">BT$24*INDEX(Precio_O,4)*INDEX(IdxPrecio_O,1,MIN(10,BT$17))*(1+P_dPrecio)</f>
        <v>0</v>
      </c>
      <c r="BU49" s="34" t="n">
        <f aca="false">BU$24*INDEX(Precio_O,4)*INDEX(IdxPrecio_O,1,MIN(10,BU$17))*(1+P_dPrecio)</f>
        <v>0</v>
      </c>
      <c r="BV49" s="34" t="n">
        <f aca="false">BV$24*INDEX(Precio_O,4)*INDEX(IdxPrecio_O,1,MIN(10,BV$17))*(1+P_dPrecio)</f>
        <v>0</v>
      </c>
      <c r="BW49" s="34" t="n">
        <f aca="false">BW$24*INDEX(Precio_O,4)*INDEX(IdxPrecio_O,1,MIN(10,BW$17))*(1+P_dPrecio)</f>
        <v>0</v>
      </c>
      <c r="BX49" s="34" t="n">
        <f aca="false">BX$24*INDEX(Precio_O,4)*INDEX(IdxPrecio_O,1,MIN(10,BX$17))*(1+P_dPrecio)</f>
        <v>0</v>
      </c>
      <c r="BY49" s="34" t="n">
        <f aca="false">BY$24*INDEX(Precio_O,4)*INDEX(IdxPrecio_O,1,MIN(10,BY$17))*(1+P_dPrecio)</f>
        <v>0</v>
      </c>
      <c r="BZ49" s="34" t="n">
        <f aca="false">BZ$24*INDEX(Precio_O,4)*INDEX(IdxPrecio_O,1,MIN(10,BZ$17))*(1+P_dPrecio)</f>
        <v>0</v>
      </c>
      <c r="CA49" s="34" t="n">
        <f aca="false">CA$24*INDEX(Precio_O,4)*INDEX(IdxPrecio_O,1,MIN(10,CA$17))*(1+P_dPrecio)</f>
        <v>0</v>
      </c>
      <c r="CB49" s="34" t="n">
        <f aca="false">CB$24*INDEX(Precio_O,4)*INDEX(IdxPrecio_O,1,MIN(10,CB$17))*(1+P_dPrecio)</f>
        <v>0</v>
      </c>
      <c r="CC49" s="34" t="n">
        <f aca="false">CC$24*INDEX(Precio_O,4)*INDEX(IdxPrecio_O,1,MIN(10,CC$17))*(1+P_dPrecio)</f>
        <v>0</v>
      </c>
      <c r="CD49" s="34" t="n">
        <f aca="false">CD$24*INDEX(Precio_O,4)*INDEX(IdxPrecio_O,1,MIN(10,CD$17))*(1+P_dPrecio)</f>
        <v>0</v>
      </c>
      <c r="CE49" s="34" t="n">
        <f aca="false">CE$24*INDEX(Precio_O,4)*INDEX(IdxPrecio_O,1,MIN(10,CE$17))*(1+P_dPrecio)</f>
        <v>0</v>
      </c>
      <c r="CF49" s="34" t="n">
        <f aca="false">CF$24*INDEX(Precio_O,4)*INDEX(IdxPrecio_O,1,MIN(10,CF$17))*(1+P_dPrecio)</f>
        <v>0</v>
      </c>
      <c r="CG49" s="34" t="n">
        <f aca="false">CG$24*INDEX(Precio_O,4)*INDEX(IdxPrecio_O,1,MIN(10,CG$17))*(1+P_dPrecio)</f>
        <v>0</v>
      </c>
      <c r="CH49" s="34" t="n">
        <f aca="false">CH$24*INDEX(Precio_O,4)*INDEX(IdxPrecio_O,1,MIN(10,CH$17))*(1+P_dPrecio)</f>
        <v>0</v>
      </c>
      <c r="CI49" s="34" t="n">
        <f aca="false">CI$24*INDEX(Precio_O,4)*INDEX(IdxPrecio_O,1,MIN(10,CI$17))*(1+P_dPrecio)</f>
        <v>0</v>
      </c>
      <c r="CJ49" s="34" t="n">
        <f aca="false">CJ$24*INDEX(Precio_O,4)*INDEX(IdxPrecio_O,1,MIN(10,CJ$17))*(1+P_dPrecio)</f>
        <v>0</v>
      </c>
      <c r="CK49" s="34" t="n">
        <f aca="false">CK$24*INDEX(Precio_O,4)*INDEX(IdxPrecio_O,1,MIN(10,CK$17))*(1+P_dPrecio)</f>
        <v>0</v>
      </c>
      <c r="CL49" s="34" t="n">
        <f aca="false">CL$24*INDEX(Precio_O,4)*INDEX(IdxPrecio_O,1,MIN(10,CL$17))*(1+P_dPrecio)</f>
        <v>0</v>
      </c>
      <c r="CM49" s="34" t="n">
        <f aca="false">CM$24*INDEX(Precio_O,4)*INDEX(IdxPrecio_O,1,MIN(10,CM$17))*(1+P_dPrecio)</f>
        <v>0</v>
      </c>
      <c r="CN49" s="34" t="n">
        <f aca="false">CN$24*INDEX(Precio_O,4)*INDEX(IdxPrecio_O,1,MIN(10,CN$17))*(1+P_dPrecio)</f>
        <v>0</v>
      </c>
      <c r="CO49" s="34" t="n">
        <f aca="false">CO$24*INDEX(Precio_O,4)*INDEX(IdxPrecio_O,1,MIN(10,CO$17))*(1+P_dPrecio)</f>
        <v>0</v>
      </c>
      <c r="CP49" s="34" t="n">
        <f aca="false">CP$24*INDEX(Precio_O,4)*INDEX(IdxPrecio_O,1,MIN(10,CP$17))*(1+P_dPrecio)</f>
        <v>0</v>
      </c>
      <c r="CQ49" s="34" t="n">
        <f aca="false">CQ$24*INDEX(Precio_O,4)*INDEX(IdxPrecio_O,1,MIN(10,CQ$17))*(1+P_dPrecio)</f>
        <v>0</v>
      </c>
      <c r="CR49" s="34" t="n">
        <f aca="false">CR$24*INDEX(Precio_O,4)*INDEX(IdxPrecio_O,1,MIN(10,CR$17))*(1+P_dPrecio)</f>
        <v>0</v>
      </c>
      <c r="CS49" s="34" t="n">
        <f aca="false">CS$24*INDEX(Precio_O,4)*INDEX(IdxPrecio_O,1,MIN(10,CS$17))*(1+P_dPrecio)</f>
        <v>0</v>
      </c>
      <c r="CT49" s="34" t="n">
        <f aca="false">CT$24*INDEX(Precio_O,4)*INDEX(IdxPrecio_O,1,MIN(10,CT$17))*(1+P_dPrecio)</f>
        <v>0</v>
      </c>
      <c r="CU49" s="34" t="n">
        <f aca="false">CU$24*INDEX(Precio_O,4)*INDEX(IdxPrecio_O,1,MIN(10,CU$17))*(1+P_dPrecio)</f>
        <v>0</v>
      </c>
      <c r="CV49" s="34" t="n">
        <f aca="false">CV$24*INDEX(Precio_O,4)*INDEX(IdxPrecio_O,1,MIN(10,CV$17))*(1+P_dPrecio)</f>
        <v>0</v>
      </c>
      <c r="CW49" s="34" t="n">
        <f aca="false">CW$24*INDEX(Precio_O,4)*INDEX(IdxPrecio_O,1,MIN(10,CW$17))*(1+P_dPrecio)</f>
        <v>0</v>
      </c>
      <c r="CX49" s="34" t="n">
        <f aca="false">CX$24*INDEX(Precio_O,4)*INDEX(IdxPrecio_O,1,MIN(10,CX$17))*(1+P_dPrecio)</f>
        <v>0</v>
      </c>
      <c r="CY49" s="34" t="n">
        <f aca="false">CY$24*INDEX(Precio_O,4)*INDEX(IdxPrecio_O,1,MIN(10,CY$17))*(1+P_dPrecio)</f>
        <v>0</v>
      </c>
      <c r="CZ49" s="34" t="n">
        <f aca="false">CZ$24*INDEX(Precio_O,4)*INDEX(IdxPrecio_O,1,MIN(10,CZ$17))*(1+P_dPrecio)</f>
        <v>0</v>
      </c>
      <c r="DA49" s="34" t="n">
        <f aca="false">DA$24*INDEX(Precio_O,4)*INDEX(IdxPrecio_O,1,MIN(10,DA$17))*(1+P_dPrecio)</f>
        <v>0</v>
      </c>
      <c r="DB49" s="34" t="n">
        <f aca="false">DB$24*INDEX(Precio_O,4)*INDEX(IdxPrecio_O,1,MIN(10,DB$17))*(1+P_dPrecio)</f>
        <v>0</v>
      </c>
      <c r="DC49" s="34" t="n">
        <f aca="false">DC$24*INDEX(Precio_O,4)*INDEX(IdxPrecio_O,1,MIN(10,DC$17))*(1+P_dPrecio)</f>
        <v>0</v>
      </c>
      <c r="DD49" s="34" t="n">
        <f aca="false">DD$24*INDEX(Precio_O,4)*INDEX(IdxPrecio_O,1,MIN(10,DD$17))*(1+P_dPrecio)</f>
        <v>0</v>
      </c>
      <c r="DE49" s="34" t="n">
        <f aca="false">DE$24*INDEX(Precio_O,4)*INDEX(IdxPrecio_O,1,MIN(10,DE$17))*(1+P_dPrecio)</f>
        <v>0</v>
      </c>
      <c r="DF49" s="34" t="n">
        <f aca="false">DF$24*INDEX(Precio_O,4)*INDEX(IdxPrecio_O,1,MIN(10,DF$17))*(1+P_dPrecio)</f>
        <v>0</v>
      </c>
      <c r="DG49" s="34" t="n">
        <f aca="false">DG$24*INDEX(Precio_O,4)*INDEX(IdxPrecio_O,1,MIN(10,DG$17))*(1+P_dPrecio)</f>
        <v>0</v>
      </c>
      <c r="DH49" s="34" t="n">
        <f aca="false">DH$24*INDEX(Precio_O,4)*INDEX(IdxPrecio_O,1,MIN(10,DH$17))*(1+P_dPrecio)</f>
        <v>0</v>
      </c>
      <c r="DI49" s="34" t="n">
        <f aca="false">DI$24*INDEX(Precio_O,4)*INDEX(IdxPrecio_O,1,MIN(10,DI$17))*(1+P_dPrecio)</f>
        <v>0</v>
      </c>
      <c r="DJ49" s="34" t="n">
        <f aca="false">DJ$24*INDEX(Precio_O,4)*INDEX(IdxPrecio_O,1,MIN(10,DJ$17))*(1+P_dPrecio)</f>
        <v>0</v>
      </c>
      <c r="DK49" s="34" t="n">
        <f aca="false">DK$24*INDEX(Precio_O,4)*INDEX(IdxPrecio_O,1,MIN(10,DK$17))*(1+P_dPrecio)</f>
        <v>0</v>
      </c>
      <c r="DL49" s="34" t="n">
        <f aca="false">DL$24*INDEX(Precio_O,4)*INDEX(IdxPrecio_O,1,MIN(10,DL$17))*(1+P_dPrecio)</f>
        <v>0</v>
      </c>
      <c r="DM49" s="34" t="n">
        <f aca="false">DM$24*INDEX(Precio_O,4)*INDEX(IdxPrecio_O,1,MIN(10,DM$17))*(1+P_dPrecio)</f>
        <v>0</v>
      </c>
      <c r="DN49" s="34" t="n">
        <f aca="false">DN$24*INDEX(Precio_O,4)*INDEX(IdxPrecio_O,1,MIN(10,DN$17))*(1+P_dPrecio)</f>
        <v>0</v>
      </c>
      <c r="DO49" s="34" t="n">
        <f aca="false">DO$24*INDEX(Precio_O,4)*INDEX(IdxPrecio_O,1,MIN(10,DO$17))*(1+P_dPrecio)</f>
        <v>0</v>
      </c>
      <c r="DP49" s="34" t="n">
        <f aca="false">DP$24*INDEX(Precio_O,4)*INDEX(IdxPrecio_O,1,MIN(10,DP$17))*(1+P_dPrecio)</f>
        <v>0</v>
      </c>
      <c r="DQ49" s="34" t="n">
        <f aca="false">DQ$24*INDEX(Precio_O,4)*INDEX(IdxPrecio_O,1,MIN(10,DQ$17))*(1+P_dPrecio)</f>
        <v>0</v>
      </c>
      <c r="DR49" s="34" t="n">
        <f aca="false">DR$24*INDEX(Precio_O,4)*INDEX(IdxPrecio_O,1,MIN(10,DR$17))*(1+P_dPrecio)</f>
        <v>0</v>
      </c>
      <c r="DS49" s="34" t="n">
        <f aca="false">DS$24*INDEX(Precio_O,4)*INDEX(IdxPrecio_O,1,MIN(10,DS$17))*(1+P_dPrecio)</f>
        <v>0</v>
      </c>
      <c r="DT49" s="34" t="n">
        <f aca="false">DT$24*INDEX(Precio_O,4)*INDEX(IdxPrecio_O,1,MIN(10,DT$17))*(1+P_dPrecio)</f>
        <v>0</v>
      </c>
      <c r="DU49" s="34" t="n">
        <f aca="false">DU$24*INDEX(Precio_O,4)*INDEX(IdxPrecio_O,1,MIN(10,DU$17))*(1+P_dPrecio)</f>
        <v>0</v>
      </c>
      <c r="DV49" s="34" t="n">
        <f aca="false">DV$24*INDEX(Precio_O,4)*INDEX(IdxPrecio_O,1,MIN(10,DV$17))*(1+P_dPrecio)</f>
        <v>0</v>
      </c>
      <c r="DW49" s="34" t="n">
        <f aca="false">DW$24*INDEX(Precio_O,4)*INDEX(IdxPrecio_O,1,MIN(10,DW$17))*(1+P_dPrecio)</f>
        <v>0</v>
      </c>
      <c r="DX49" s="34" t="n">
        <f aca="false">DX$24*INDEX(Precio_O,4)*INDEX(IdxPrecio_O,1,MIN(10,DX$17))*(1+P_dPrecio)</f>
        <v>0</v>
      </c>
      <c r="DY49" s="34" t="n">
        <f aca="false">DY$24*INDEX(Precio_O,4)*INDEX(IdxPrecio_O,1,MIN(10,DY$17))*(1+P_dPrecio)</f>
        <v>0</v>
      </c>
      <c r="DZ49" s="34" t="n">
        <f aca="false">DZ$24*INDEX(Precio_O,4)*INDEX(IdxPrecio_O,1,MIN(10,DZ$17))*(1+P_dPrecio)</f>
        <v>0</v>
      </c>
      <c r="EA49" s="34" t="n">
        <f aca="false">EA$24*INDEX(Precio_O,4)*INDEX(IdxPrecio_O,1,MIN(10,EA$17))*(1+P_dPrecio)</f>
        <v>0</v>
      </c>
      <c r="EB49" s="34" t="n">
        <f aca="false">EB$24*INDEX(Precio_O,4)*INDEX(IdxPrecio_O,1,MIN(10,EB$17))*(1+P_dPrecio)</f>
        <v>0</v>
      </c>
      <c r="EC49" s="34" t="n">
        <f aca="false">EC$24*INDEX(Precio_O,4)*INDEX(IdxPrecio_O,1,MIN(10,EC$17))*(1+P_dPrecio)</f>
        <v>0</v>
      </c>
      <c r="ED49" s="34" t="n">
        <f aca="false">ED$24*INDEX(Precio_O,4)*INDEX(IdxPrecio_O,1,MIN(10,ED$17))*(1+P_dPrecio)</f>
        <v>0</v>
      </c>
      <c r="EE49" s="34" t="n">
        <f aca="false">EE$24*INDEX(Precio_O,4)*INDEX(IdxPrecio_O,1,MIN(10,EE$17))*(1+P_dPrecio)</f>
        <v>0</v>
      </c>
      <c r="EF49" s="34" t="n">
        <f aca="false">EF$24*INDEX(Precio_O,4)*INDEX(IdxPrecio_O,1,MIN(10,EF$17))*(1+P_dPrecio)</f>
        <v>0</v>
      </c>
      <c r="EG49" s="34" t="n">
        <f aca="false">EG$24*INDEX(Precio_O,4)*INDEX(IdxPrecio_O,1,MIN(10,EG$17))*(1+P_dPrecio)</f>
        <v>0</v>
      </c>
      <c r="EH49" s="34" t="n">
        <f aca="false">EH$24*INDEX(Precio_O,4)*INDEX(IdxPrecio_O,1,MIN(10,EH$17))*(1+P_dPrecio)</f>
        <v>0</v>
      </c>
      <c r="EI49" s="34" t="n">
        <f aca="false">EI$24*INDEX(Precio_O,4)*INDEX(IdxPrecio_O,1,MIN(10,EI$17))*(1+P_dPrecio)</f>
        <v>0</v>
      </c>
      <c r="EJ49" s="34" t="n">
        <f aca="false">EJ$24*INDEX(Precio_O,4)*INDEX(IdxPrecio_O,1,MIN(10,EJ$17))*(1+P_dPrecio)</f>
        <v>0</v>
      </c>
      <c r="EK49" s="34" t="n">
        <f aca="false">EK$24*INDEX(Precio_O,4)*INDEX(IdxPrecio_O,1,MIN(10,EK$17))*(1+P_dPrecio)</f>
        <v>0</v>
      </c>
      <c r="EL49" s="34" t="n">
        <f aca="false">EL$24*INDEX(Precio_O,4)*INDEX(IdxPrecio_O,1,MIN(10,EL$17))*(1+P_dPrecio)</f>
        <v>0</v>
      </c>
      <c r="EM49" s="34" t="n">
        <f aca="false">EM$24*INDEX(Precio_O,4)*INDEX(IdxPrecio_O,1,MIN(10,EM$17))*(1+P_dPrecio)</f>
        <v>0</v>
      </c>
      <c r="EN49" s="34" t="n">
        <f aca="false">EN$24*INDEX(Precio_O,4)*INDEX(IdxPrecio_O,1,MIN(10,EN$17))*(1+P_dPrecio)</f>
        <v>0</v>
      </c>
      <c r="EO49" s="34" t="n">
        <f aca="false">EO$24*INDEX(Precio_O,4)*INDEX(IdxPrecio_O,1,MIN(10,EO$17))*(1+P_dPrecio)</f>
        <v>0</v>
      </c>
      <c r="EP49" s="34" t="n">
        <f aca="false">EP$24*INDEX(Precio_O,4)*INDEX(IdxPrecio_O,1,MIN(10,EP$17))*(1+P_dPrecio)</f>
        <v>0</v>
      </c>
      <c r="EQ49" s="34" t="n">
        <f aca="false">EQ$24*INDEX(Precio_O,4)*INDEX(IdxPrecio_O,1,MIN(10,EQ$17))*(1+P_dPrecio)</f>
        <v>0</v>
      </c>
      <c r="ER49" s="34" t="n">
        <f aca="false">ER$24*INDEX(Precio_O,4)*INDEX(IdxPrecio_O,1,MIN(10,ER$17))*(1+P_dPrecio)</f>
        <v>0</v>
      </c>
      <c r="ES49" s="34" t="n">
        <f aca="false">ES$24*INDEX(Precio_O,4)*INDEX(IdxPrecio_O,1,MIN(10,ES$17))*(1+P_dPrecio)</f>
        <v>0</v>
      </c>
    </row>
    <row r="50" customFormat="false" ht="15" hidden="false" customHeight="false" outlineLevel="0" collapsed="false">
      <c r="A50" s="2" t="s">
        <v>613</v>
      </c>
      <c r="B50" s="39" t="str">
        <f aca="false">IF(INDEX(Prod_Nombre,5)="","Producto 5",INDEX(Prod_Nombre,5))&amp;" — ventas USD"</f>
        <v>Producto 5 — ventas USD</v>
      </c>
      <c r="C50" s="6" t="s">
        <v>250</v>
      </c>
      <c r="E50" s="40" t="n">
        <f aca="false">SUM(F50:ES50)</f>
        <v>0</v>
      </c>
      <c r="F50" s="34" t="n">
        <f aca="false">F$25*INDEX(Precio_O,5)*INDEX(IdxPrecio_O,1,MIN(10,F$17))*(1+P_dPrecio)</f>
        <v>0</v>
      </c>
      <c r="G50" s="34" t="n">
        <f aca="false">G$25*INDEX(Precio_O,5)*INDEX(IdxPrecio_O,1,MIN(10,G$17))*(1+P_dPrecio)</f>
        <v>0</v>
      </c>
      <c r="H50" s="34" t="n">
        <f aca="false">H$25*INDEX(Precio_O,5)*INDEX(IdxPrecio_O,1,MIN(10,H$17))*(1+P_dPrecio)</f>
        <v>0</v>
      </c>
      <c r="I50" s="34" t="n">
        <f aca="false">I$25*INDEX(Precio_O,5)*INDEX(IdxPrecio_O,1,MIN(10,I$17))*(1+P_dPrecio)</f>
        <v>0</v>
      </c>
      <c r="J50" s="34" t="n">
        <f aca="false">J$25*INDEX(Precio_O,5)*INDEX(IdxPrecio_O,1,MIN(10,J$17))*(1+P_dPrecio)</f>
        <v>0</v>
      </c>
      <c r="K50" s="34" t="n">
        <f aca="false">K$25*INDEX(Precio_O,5)*INDEX(IdxPrecio_O,1,MIN(10,K$17))*(1+P_dPrecio)</f>
        <v>0</v>
      </c>
      <c r="L50" s="34" t="n">
        <f aca="false">L$25*INDEX(Precio_O,5)*INDEX(IdxPrecio_O,1,MIN(10,L$17))*(1+P_dPrecio)</f>
        <v>0</v>
      </c>
      <c r="M50" s="34" t="n">
        <f aca="false">M$25*INDEX(Precio_O,5)*INDEX(IdxPrecio_O,1,MIN(10,M$17))*(1+P_dPrecio)</f>
        <v>0</v>
      </c>
      <c r="N50" s="34" t="n">
        <f aca="false">N$25*INDEX(Precio_O,5)*INDEX(IdxPrecio_O,1,MIN(10,N$17))*(1+P_dPrecio)</f>
        <v>0</v>
      </c>
      <c r="O50" s="34" t="n">
        <f aca="false">O$25*INDEX(Precio_O,5)*INDEX(IdxPrecio_O,1,MIN(10,O$17))*(1+P_dPrecio)</f>
        <v>0</v>
      </c>
      <c r="P50" s="34" t="n">
        <f aca="false">P$25*INDEX(Precio_O,5)*INDEX(IdxPrecio_O,1,MIN(10,P$17))*(1+P_dPrecio)</f>
        <v>0</v>
      </c>
      <c r="Q50" s="34" t="n">
        <f aca="false">Q$25*INDEX(Precio_O,5)*INDEX(IdxPrecio_O,1,MIN(10,Q$17))*(1+P_dPrecio)</f>
        <v>0</v>
      </c>
      <c r="R50" s="34" t="n">
        <f aca="false">R$25*INDEX(Precio_O,5)*INDEX(IdxPrecio_O,1,MIN(10,R$17))*(1+P_dPrecio)</f>
        <v>0</v>
      </c>
      <c r="S50" s="34" t="n">
        <f aca="false">S$25*INDEX(Precio_O,5)*INDEX(IdxPrecio_O,1,MIN(10,S$17))*(1+P_dPrecio)</f>
        <v>0</v>
      </c>
      <c r="T50" s="34" t="n">
        <f aca="false">T$25*INDEX(Precio_O,5)*INDEX(IdxPrecio_O,1,MIN(10,T$17))*(1+P_dPrecio)</f>
        <v>0</v>
      </c>
      <c r="U50" s="34" t="n">
        <f aca="false">U$25*INDEX(Precio_O,5)*INDEX(IdxPrecio_O,1,MIN(10,U$17))*(1+P_dPrecio)</f>
        <v>0</v>
      </c>
      <c r="V50" s="34" t="n">
        <f aca="false">V$25*INDEX(Precio_O,5)*INDEX(IdxPrecio_O,1,MIN(10,V$17))*(1+P_dPrecio)</f>
        <v>0</v>
      </c>
      <c r="W50" s="34" t="n">
        <f aca="false">W$25*INDEX(Precio_O,5)*INDEX(IdxPrecio_O,1,MIN(10,W$17))*(1+P_dPrecio)</f>
        <v>0</v>
      </c>
      <c r="X50" s="34" t="n">
        <f aca="false">X$25*INDEX(Precio_O,5)*INDEX(IdxPrecio_O,1,MIN(10,X$17))*(1+P_dPrecio)</f>
        <v>0</v>
      </c>
      <c r="Y50" s="34" t="n">
        <f aca="false">Y$25*INDEX(Precio_O,5)*INDEX(IdxPrecio_O,1,MIN(10,Y$17))*(1+P_dPrecio)</f>
        <v>0</v>
      </c>
      <c r="Z50" s="34" t="n">
        <f aca="false">Z$25*INDEX(Precio_O,5)*INDEX(IdxPrecio_O,1,MIN(10,Z$17))*(1+P_dPrecio)</f>
        <v>0</v>
      </c>
      <c r="AA50" s="34" t="n">
        <f aca="false">AA$25*INDEX(Precio_O,5)*INDEX(IdxPrecio_O,1,MIN(10,AA$17))*(1+P_dPrecio)</f>
        <v>0</v>
      </c>
      <c r="AB50" s="34" t="n">
        <f aca="false">AB$25*INDEX(Precio_O,5)*INDEX(IdxPrecio_O,1,MIN(10,AB$17))*(1+P_dPrecio)</f>
        <v>0</v>
      </c>
      <c r="AC50" s="34" t="n">
        <f aca="false">AC$25*INDEX(Precio_O,5)*INDEX(IdxPrecio_O,1,MIN(10,AC$17))*(1+P_dPrecio)</f>
        <v>0</v>
      </c>
      <c r="AD50" s="34" t="n">
        <f aca="false">AD$25*INDEX(Precio_O,5)*INDEX(IdxPrecio_O,1,MIN(10,AD$17))*(1+P_dPrecio)</f>
        <v>0</v>
      </c>
      <c r="AE50" s="34" t="n">
        <f aca="false">AE$25*INDEX(Precio_O,5)*INDEX(IdxPrecio_O,1,MIN(10,AE$17))*(1+P_dPrecio)</f>
        <v>0</v>
      </c>
      <c r="AF50" s="34" t="n">
        <f aca="false">AF$25*INDEX(Precio_O,5)*INDEX(IdxPrecio_O,1,MIN(10,AF$17))*(1+P_dPrecio)</f>
        <v>0</v>
      </c>
      <c r="AG50" s="34" t="n">
        <f aca="false">AG$25*INDEX(Precio_O,5)*INDEX(IdxPrecio_O,1,MIN(10,AG$17))*(1+P_dPrecio)</f>
        <v>0</v>
      </c>
      <c r="AH50" s="34" t="n">
        <f aca="false">AH$25*INDEX(Precio_O,5)*INDEX(IdxPrecio_O,1,MIN(10,AH$17))*(1+P_dPrecio)</f>
        <v>0</v>
      </c>
      <c r="AI50" s="34" t="n">
        <f aca="false">AI$25*INDEX(Precio_O,5)*INDEX(IdxPrecio_O,1,MIN(10,AI$17))*(1+P_dPrecio)</f>
        <v>0</v>
      </c>
      <c r="AJ50" s="34" t="n">
        <f aca="false">AJ$25*INDEX(Precio_O,5)*INDEX(IdxPrecio_O,1,MIN(10,AJ$17))*(1+P_dPrecio)</f>
        <v>0</v>
      </c>
      <c r="AK50" s="34" t="n">
        <f aca="false">AK$25*INDEX(Precio_O,5)*INDEX(IdxPrecio_O,1,MIN(10,AK$17))*(1+P_dPrecio)</f>
        <v>0</v>
      </c>
      <c r="AL50" s="34" t="n">
        <f aca="false">AL$25*INDEX(Precio_O,5)*INDEX(IdxPrecio_O,1,MIN(10,AL$17))*(1+P_dPrecio)</f>
        <v>0</v>
      </c>
      <c r="AM50" s="34" t="n">
        <f aca="false">AM$25*INDEX(Precio_O,5)*INDEX(IdxPrecio_O,1,MIN(10,AM$17))*(1+P_dPrecio)</f>
        <v>0</v>
      </c>
      <c r="AN50" s="34" t="n">
        <f aca="false">AN$25*INDEX(Precio_O,5)*INDEX(IdxPrecio_O,1,MIN(10,AN$17))*(1+P_dPrecio)</f>
        <v>0</v>
      </c>
      <c r="AO50" s="34" t="n">
        <f aca="false">AO$25*INDEX(Precio_O,5)*INDEX(IdxPrecio_O,1,MIN(10,AO$17))*(1+P_dPrecio)</f>
        <v>0</v>
      </c>
      <c r="AP50" s="34" t="n">
        <f aca="false">AP$25*INDEX(Precio_O,5)*INDEX(IdxPrecio_O,1,MIN(10,AP$17))*(1+P_dPrecio)</f>
        <v>0</v>
      </c>
      <c r="AQ50" s="34" t="n">
        <f aca="false">AQ$25*INDEX(Precio_O,5)*INDEX(IdxPrecio_O,1,MIN(10,AQ$17))*(1+P_dPrecio)</f>
        <v>0</v>
      </c>
      <c r="AR50" s="34" t="n">
        <f aca="false">AR$25*INDEX(Precio_O,5)*INDEX(IdxPrecio_O,1,MIN(10,AR$17))*(1+P_dPrecio)</f>
        <v>0</v>
      </c>
      <c r="AS50" s="34" t="n">
        <f aca="false">AS$25*INDEX(Precio_O,5)*INDEX(IdxPrecio_O,1,MIN(10,AS$17))*(1+P_dPrecio)</f>
        <v>0</v>
      </c>
      <c r="AT50" s="34" t="n">
        <f aca="false">AT$25*INDEX(Precio_O,5)*INDEX(IdxPrecio_O,1,MIN(10,AT$17))*(1+P_dPrecio)</f>
        <v>0</v>
      </c>
      <c r="AU50" s="34" t="n">
        <f aca="false">AU$25*INDEX(Precio_O,5)*INDEX(IdxPrecio_O,1,MIN(10,AU$17))*(1+P_dPrecio)</f>
        <v>0</v>
      </c>
      <c r="AV50" s="34" t="n">
        <f aca="false">AV$25*INDEX(Precio_O,5)*INDEX(IdxPrecio_O,1,MIN(10,AV$17))*(1+P_dPrecio)</f>
        <v>0</v>
      </c>
      <c r="AW50" s="34" t="n">
        <f aca="false">AW$25*INDEX(Precio_O,5)*INDEX(IdxPrecio_O,1,MIN(10,AW$17))*(1+P_dPrecio)</f>
        <v>0</v>
      </c>
      <c r="AX50" s="34" t="n">
        <f aca="false">AX$25*INDEX(Precio_O,5)*INDEX(IdxPrecio_O,1,MIN(10,AX$17))*(1+P_dPrecio)</f>
        <v>0</v>
      </c>
      <c r="AY50" s="34" t="n">
        <f aca="false">AY$25*INDEX(Precio_O,5)*INDEX(IdxPrecio_O,1,MIN(10,AY$17))*(1+P_dPrecio)</f>
        <v>0</v>
      </c>
      <c r="AZ50" s="34" t="n">
        <f aca="false">AZ$25*INDEX(Precio_O,5)*INDEX(IdxPrecio_O,1,MIN(10,AZ$17))*(1+P_dPrecio)</f>
        <v>0</v>
      </c>
      <c r="BA50" s="34" t="n">
        <f aca="false">BA$25*INDEX(Precio_O,5)*INDEX(IdxPrecio_O,1,MIN(10,BA$17))*(1+P_dPrecio)</f>
        <v>0</v>
      </c>
      <c r="BB50" s="34" t="n">
        <f aca="false">BB$25*INDEX(Precio_O,5)*INDEX(IdxPrecio_O,1,MIN(10,BB$17))*(1+P_dPrecio)</f>
        <v>0</v>
      </c>
      <c r="BC50" s="34" t="n">
        <f aca="false">BC$25*INDEX(Precio_O,5)*INDEX(IdxPrecio_O,1,MIN(10,BC$17))*(1+P_dPrecio)</f>
        <v>0</v>
      </c>
      <c r="BD50" s="34" t="n">
        <f aca="false">BD$25*INDEX(Precio_O,5)*INDEX(IdxPrecio_O,1,MIN(10,BD$17))*(1+P_dPrecio)</f>
        <v>0</v>
      </c>
      <c r="BE50" s="34" t="n">
        <f aca="false">BE$25*INDEX(Precio_O,5)*INDEX(IdxPrecio_O,1,MIN(10,BE$17))*(1+P_dPrecio)</f>
        <v>0</v>
      </c>
      <c r="BF50" s="34" t="n">
        <f aca="false">BF$25*INDEX(Precio_O,5)*INDEX(IdxPrecio_O,1,MIN(10,BF$17))*(1+P_dPrecio)</f>
        <v>0</v>
      </c>
      <c r="BG50" s="34" t="n">
        <f aca="false">BG$25*INDEX(Precio_O,5)*INDEX(IdxPrecio_O,1,MIN(10,BG$17))*(1+P_dPrecio)</f>
        <v>0</v>
      </c>
      <c r="BH50" s="34" t="n">
        <f aca="false">BH$25*INDEX(Precio_O,5)*INDEX(IdxPrecio_O,1,MIN(10,BH$17))*(1+P_dPrecio)</f>
        <v>0</v>
      </c>
      <c r="BI50" s="34" t="n">
        <f aca="false">BI$25*INDEX(Precio_O,5)*INDEX(IdxPrecio_O,1,MIN(10,BI$17))*(1+P_dPrecio)</f>
        <v>0</v>
      </c>
      <c r="BJ50" s="34" t="n">
        <f aca="false">BJ$25*INDEX(Precio_O,5)*INDEX(IdxPrecio_O,1,MIN(10,BJ$17))*(1+P_dPrecio)</f>
        <v>0</v>
      </c>
      <c r="BK50" s="34" t="n">
        <f aca="false">BK$25*INDEX(Precio_O,5)*INDEX(IdxPrecio_O,1,MIN(10,BK$17))*(1+P_dPrecio)</f>
        <v>0</v>
      </c>
      <c r="BL50" s="34" t="n">
        <f aca="false">BL$25*INDEX(Precio_O,5)*INDEX(IdxPrecio_O,1,MIN(10,BL$17))*(1+P_dPrecio)</f>
        <v>0</v>
      </c>
      <c r="BM50" s="34" t="n">
        <f aca="false">BM$25*INDEX(Precio_O,5)*INDEX(IdxPrecio_O,1,MIN(10,BM$17))*(1+P_dPrecio)</f>
        <v>0</v>
      </c>
      <c r="BN50" s="34" t="n">
        <f aca="false">BN$25*INDEX(Precio_O,5)*INDEX(IdxPrecio_O,1,MIN(10,BN$17))*(1+P_dPrecio)</f>
        <v>0</v>
      </c>
      <c r="BO50" s="34" t="n">
        <f aca="false">BO$25*INDEX(Precio_O,5)*INDEX(IdxPrecio_O,1,MIN(10,BO$17))*(1+P_dPrecio)</f>
        <v>0</v>
      </c>
      <c r="BP50" s="34" t="n">
        <f aca="false">BP$25*INDEX(Precio_O,5)*INDEX(IdxPrecio_O,1,MIN(10,BP$17))*(1+P_dPrecio)</f>
        <v>0</v>
      </c>
      <c r="BQ50" s="34" t="n">
        <f aca="false">BQ$25*INDEX(Precio_O,5)*INDEX(IdxPrecio_O,1,MIN(10,BQ$17))*(1+P_dPrecio)</f>
        <v>0</v>
      </c>
      <c r="BR50" s="34" t="n">
        <f aca="false">BR$25*INDEX(Precio_O,5)*INDEX(IdxPrecio_O,1,MIN(10,BR$17))*(1+P_dPrecio)</f>
        <v>0</v>
      </c>
      <c r="BS50" s="34" t="n">
        <f aca="false">BS$25*INDEX(Precio_O,5)*INDEX(IdxPrecio_O,1,MIN(10,BS$17))*(1+P_dPrecio)</f>
        <v>0</v>
      </c>
      <c r="BT50" s="34" t="n">
        <f aca="false">BT$25*INDEX(Precio_O,5)*INDEX(IdxPrecio_O,1,MIN(10,BT$17))*(1+P_dPrecio)</f>
        <v>0</v>
      </c>
      <c r="BU50" s="34" t="n">
        <f aca="false">BU$25*INDEX(Precio_O,5)*INDEX(IdxPrecio_O,1,MIN(10,BU$17))*(1+P_dPrecio)</f>
        <v>0</v>
      </c>
      <c r="BV50" s="34" t="n">
        <f aca="false">BV$25*INDEX(Precio_O,5)*INDEX(IdxPrecio_O,1,MIN(10,BV$17))*(1+P_dPrecio)</f>
        <v>0</v>
      </c>
      <c r="BW50" s="34" t="n">
        <f aca="false">BW$25*INDEX(Precio_O,5)*INDEX(IdxPrecio_O,1,MIN(10,BW$17))*(1+P_dPrecio)</f>
        <v>0</v>
      </c>
      <c r="BX50" s="34" t="n">
        <f aca="false">BX$25*INDEX(Precio_O,5)*INDEX(IdxPrecio_O,1,MIN(10,BX$17))*(1+P_dPrecio)</f>
        <v>0</v>
      </c>
      <c r="BY50" s="34" t="n">
        <f aca="false">BY$25*INDEX(Precio_O,5)*INDEX(IdxPrecio_O,1,MIN(10,BY$17))*(1+P_dPrecio)</f>
        <v>0</v>
      </c>
      <c r="BZ50" s="34" t="n">
        <f aca="false">BZ$25*INDEX(Precio_O,5)*INDEX(IdxPrecio_O,1,MIN(10,BZ$17))*(1+P_dPrecio)</f>
        <v>0</v>
      </c>
      <c r="CA50" s="34" t="n">
        <f aca="false">CA$25*INDEX(Precio_O,5)*INDEX(IdxPrecio_O,1,MIN(10,CA$17))*(1+P_dPrecio)</f>
        <v>0</v>
      </c>
      <c r="CB50" s="34" t="n">
        <f aca="false">CB$25*INDEX(Precio_O,5)*INDEX(IdxPrecio_O,1,MIN(10,CB$17))*(1+P_dPrecio)</f>
        <v>0</v>
      </c>
      <c r="CC50" s="34" t="n">
        <f aca="false">CC$25*INDEX(Precio_O,5)*INDEX(IdxPrecio_O,1,MIN(10,CC$17))*(1+P_dPrecio)</f>
        <v>0</v>
      </c>
      <c r="CD50" s="34" t="n">
        <f aca="false">CD$25*INDEX(Precio_O,5)*INDEX(IdxPrecio_O,1,MIN(10,CD$17))*(1+P_dPrecio)</f>
        <v>0</v>
      </c>
      <c r="CE50" s="34" t="n">
        <f aca="false">CE$25*INDEX(Precio_O,5)*INDEX(IdxPrecio_O,1,MIN(10,CE$17))*(1+P_dPrecio)</f>
        <v>0</v>
      </c>
      <c r="CF50" s="34" t="n">
        <f aca="false">CF$25*INDEX(Precio_O,5)*INDEX(IdxPrecio_O,1,MIN(10,CF$17))*(1+P_dPrecio)</f>
        <v>0</v>
      </c>
      <c r="CG50" s="34" t="n">
        <f aca="false">CG$25*INDEX(Precio_O,5)*INDEX(IdxPrecio_O,1,MIN(10,CG$17))*(1+P_dPrecio)</f>
        <v>0</v>
      </c>
      <c r="CH50" s="34" t="n">
        <f aca="false">CH$25*INDEX(Precio_O,5)*INDEX(IdxPrecio_O,1,MIN(10,CH$17))*(1+P_dPrecio)</f>
        <v>0</v>
      </c>
      <c r="CI50" s="34" t="n">
        <f aca="false">CI$25*INDEX(Precio_O,5)*INDEX(IdxPrecio_O,1,MIN(10,CI$17))*(1+P_dPrecio)</f>
        <v>0</v>
      </c>
      <c r="CJ50" s="34" t="n">
        <f aca="false">CJ$25*INDEX(Precio_O,5)*INDEX(IdxPrecio_O,1,MIN(10,CJ$17))*(1+P_dPrecio)</f>
        <v>0</v>
      </c>
      <c r="CK50" s="34" t="n">
        <f aca="false">CK$25*INDEX(Precio_O,5)*INDEX(IdxPrecio_O,1,MIN(10,CK$17))*(1+P_dPrecio)</f>
        <v>0</v>
      </c>
      <c r="CL50" s="34" t="n">
        <f aca="false">CL$25*INDEX(Precio_O,5)*INDEX(IdxPrecio_O,1,MIN(10,CL$17))*(1+P_dPrecio)</f>
        <v>0</v>
      </c>
      <c r="CM50" s="34" t="n">
        <f aca="false">CM$25*INDEX(Precio_O,5)*INDEX(IdxPrecio_O,1,MIN(10,CM$17))*(1+P_dPrecio)</f>
        <v>0</v>
      </c>
      <c r="CN50" s="34" t="n">
        <f aca="false">CN$25*INDEX(Precio_O,5)*INDEX(IdxPrecio_O,1,MIN(10,CN$17))*(1+P_dPrecio)</f>
        <v>0</v>
      </c>
      <c r="CO50" s="34" t="n">
        <f aca="false">CO$25*INDEX(Precio_O,5)*INDEX(IdxPrecio_O,1,MIN(10,CO$17))*(1+P_dPrecio)</f>
        <v>0</v>
      </c>
      <c r="CP50" s="34" t="n">
        <f aca="false">CP$25*INDEX(Precio_O,5)*INDEX(IdxPrecio_O,1,MIN(10,CP$17))*(1+P_dPrecio)</f>
        <v>0</v>
      </c>
      <c r="CQ50" s="34" t="n">
        <f aca="false">CQ$25*INDEX(Precio_O,5)*INDEX(IdxPrecio_O,1,MIN(10,CQ$17))*(1+P_dPrecio)</f>
        <v>0</v>
      </c>
      <c r="CR50" s="34" t="n">
        <f aca="false">CR$25*INDEX(Precio_O,5)*INDEX(IdxPrecio_O,1,MIN(10,CR$17))*(1+P_dPrecio)</f>
        <v>0</v>
      </c>
      <c r="CS50" s="34" t="n">
        <f aca="false">CS$25*INDEX(Precio_O,5)*INDEX(IdxPrecio_O,1,MIN(10,CS$17))*(1+P_dPrecio)</f>
        <v>0</v>
      </c>
      <c r="CT50" s="34" t="n">
        <f aca="false">CT$25*INDEX(Precio_O,5)*INDEX(IdxPrecio_O,1,MIN(10,CT$17))*(1+P_dPrecio)</f>
        <v>0</v>
      </c>
      <c r="CU50" s="34" t="n">
        <f aca="false">CU$25*INDEX(Precio_O,5)*INDEX(IdxPrecio_O,1,MIN(10,CU$17))*(1+P_dPrecio)</f>
        <v>0</v>
      </c>
      <c r="CV50" s="34" t="n">
        <f aca="false">CV$25*INDEX(Precio_O,5)*INDEX(IdxPrecio_O,1,MIN(10,CV$17))*(1+P_dPrecio)</f>
        <v>0</v>
      </c>
      <c r="CW50" s="34" t="n">
        <f aca="false">CW$25*INDEX(Precio_O,5)*INDEX(IdxPrecio_O,1,MIN(10,CW$17))*(1+P_dPrecio)</f>
        <v>0</v>
      </c>
      <c r="CX50" s="34" t="n">
        <f aca="false">CX$25*INDEX(Precio_O,5)*INDEX(IdxPrecio_O,1,MIN(10,CX$17))*(1+P_dPrecio)</f>
        <v>0</v>
      </c>
      <c r="CY50" s="34" t="n">
        <f aca="false">CY$25*INDEX(Precio_O,5)*INDEX(IdxPrecio_O,1,MIN(10,CY$17))*(1+P_dPrecio)</f>
        <v>0</v>
      </c>
      <c r="CZ50" s="34" t="n">
        <f aca="false">CZ$25*INDEX(Precio_O,5)*INDEX(IdxPrecio_O,1,MIN(10,CZ$17))*(1+P_dPrecio)</f>
        <v>0</v>
      </c>
      <c r="DA50" s="34" t="n">
        <f aca="false">DA$25*INDEX(Precio_O,5)*INDEX(IdxPrecio_O,1,MIN(10,DA$17))*(1+P_dPrecio)</f>
        <v>0</v>
      </c>
      <c r="DB50" s="34" t="n">
        <f aca="false">DB$25*INDEX(Precio_O,5)*INDEX(IdxPrecio_O,1,MIN(10,DB$17))*(1+P_dPrecio)</f>
        <v>0</v>
      </c>
      <c r="DC50" s="34" t="n">
        <f aca="false">DC$25*INDEX(Precio_O,5)*INDEX(IdxPrecio_O,1,MIN(10,DC$17))*(1+P_dPrecio)</f>
        <v>0</v>
      </c>
      <c r="DD50" s="34" t="n">
        <f aca="false">DD$25*INDEX(Precio_O,5)*INDEX(IdxPrecio_O,1,MIN(10,DD$17))*(1+P_dPrecio)</f>
        <v>0</v>
      </c>
      <c r="DE50" s="34" t="n">
        <f aca="false">DE$25*INDEX(Precio_O,5)*INDEX(IdxPrecio_O,1,MIN(10,DE$17))*(1+P_dPrecio)</f>
        <v>0</v>
      </c>
      <c r="DF50" s="34" t="n">
        <f aca="false">DF$25*INDEX(Precio_O,5)*INDEX(IdxPrecio_O,1,MIN(10,DF$17))*(1+P_dPrecio)</f>
        <v>0</v>
      </c>
      <c r="DG50" s="34" t="n">
        <f aca="false">DG$25*INDEX(Precio_O,5)*INDEX(IdxPrecio_O,1,MIN(10,DG$17))*(1+P_dPrecio)</f>
        <v>0</v>
      </c>
      <c r="DH50" s="34" t="n">
        <f aca="false">DH$25*INDEX(Precio_O,5)*INDEX(IdxPrecio_O,1,MIN(10,DH$17))*(1+P_dPrecio)</f>
        <v>0</v>
      </c>
      <c r="DI50" s="34" t="n">
        <f aca="false">DI$25*INDEX(Precio_O,5)*INDEX(IdxPrecio_O,1,MIN(10,DI$17))*(1+P_dPrecio)</f>
        <v>0</v>
      </c>
      <c r="DJ50" s="34" t="n">
        <f aca="false">DJ$25*INDEX(Precio_O,5)*INDEX(IdxPrecio_O,1,MIN(10,DJ$17))*(1+P_dPrecio)</f>
        <v>0</v>
      </c>
      <c r="DK50" s="34" t="n">
        <f aca="false">DK$25*INDEX(Precio_O,5)*INDEX(IdxPrecio_O,1,MIN(10,DK$17))*(1+P_dPrecio)</f>
        <v>0</v>
      </c>
      <c r="DL50" s="34" t="n">
        <f aca="false">DL$25*INDEX(Precio_O,5)*INDEX(IdxPrecio_O,1,MIN(10,DL$17))*(1+P_dPrecio)</f>
        <v>0</v>
      </c>
      <c r="DM50" s="34" t="n">
        <f aca="false">DM$25*INDEX(Precio_O,5)*INDEX(IdxPrecio_O,1,MIN(10,DM$17))*(1+P_dPrecio)</f>
        <v>0</v>
      </c>
      <c r="DN50" s="34" t="n">
        <f aca="false">DN$25*INDEX(Precio_O,5)*INDEX(IdxPrecio_O,1,MIN(10,DN$17))*(1+P_dPrecio)</f>
        <v>0</v>
      </c>
      <c r="DO50" s="34" t="n">
        <f aca="false">DO$25*INDEX(Precio_O,5)*INDEX(IdxPrecio_O,1,MIN(10,DO$17))*(1+P_dPrecio)</f>
        <v>0</v>
      </c>
      <c r="DP50" s="34" t="n">
        <f aca="false">DP$25*INDEX(Precio_O,5)*INDEX(IdxPrecio_O,1,MIN(10,DP$17))*(1+P_dPrecio)</f>
        <v>0</v>
      </c>
      <c r="DQ50" s="34" t="n">
        <f aca="false">DQ$25*INDEX(Precio_O,5)*INDEX(IdxPrecio_O,1,MIN(10,DQ$17))*(1+P_dPrecio)</f>
        <v>0</v>
      </c>
      <c r="DR50" s="34" t="n">
        <f aca="false">DR$25*INDEX(Precio_O,5)*INDEX(IdxPrecio_O,1,MIN(10,DR$17))*(1+P_dPrecio)</f>
        <v>0</v>
      </c>
      <c r="DS50" s="34" t="n">
        <f aca="false">DS$25*INDEX(Precio_O,5)*INDEX(IdxPrecio_O,1,MIN(10,DS$17))*(1+P_dPrecio)</f>
        <v>0</v>
      </c>
      <c r="DT50" s="34" t="n">
        <f aca="false">DT$25*INDEX(Precio_O,5)*INDEX(IdxPrecio_O,1,MIN(10,DT$17))*(1+P_dPrecio)</f>
        <v>0</v>
      </c>
      <c r="DU50" s="34" t="n">
        <f aca="false">DU$25*INDEX(Precio_O,5)*INDEX(IdxPrecio_O,1,MIN(10,DU$17))*(1+P_dPrecio)</f>
        <v>0</v>
      </c>
      <c r="DV50" s="34" t="n">
        <f aca="false">DV$25*INDEX(Precio_O,5)*INDEX(IdxPrecio_O,1,MIN(10,DV$17))*(1+P_dPrecio)</f>
        <v>0</v>
      </c>
      <c r="DW50" s="34" t="n">
        <f aca="false">DW$25*INDEX(Precio_O,5)*INDEX(IdxPrecio_O,1,MIN(10,DW$17))*(1+P_dPrecio)</f>
        <v>0</v>
      </c>
      <c r="DX50" s="34" t="n">
        <f aca="false">DX$25*INDEX(Precio_O,5)*INDEX(IdxPrecio_O,1,MIN(10,DX$17))*(1+P_dPrecio)</f>
        <v>0</v>
      </c>
      <c r="DY50" s="34" t="n">
        <f aca="false">DY$25*INDEX(Precio_O,5)*INDEX(IdxPrecio_O,1,MIN(10,DY$17))*(1+P_dPrecio)</f>
        <v>0</v>
      </c>
      <c r="DZ50" s="34" t="n">
        <f aca="false">DZ$25*INDEX(Precio_O,5)*INDEX(IdxPrecio_O,1,MIN(10,DZ$17))*(1+P_dPrecio)</f>
        <v>0</v>
      </c>
      <c r="EA50" s="34" t="n">
        <f aca="false">EA$25*INDEX(Precio_O,5)*INDEX(IdxPrecio_O,1,MIN(10,EA$17))*(1+P_dPrecio)</f>
        <v>0</v>
      </c>
      <c r="EB50" s="34" t="n">
        <f aca="false">EB$25*INDEX(Precio_O,5)*INDEX(IdxPrecio_O,1,MIN(10,EB$17))*(1+P_dPrecio)</f>
        <v>0</v>
      </c>
      <c r="EC50" s="34" t="n">
        <f aca="false">EC$25*INDEX(Precio_O,5)*INDEX(IdxPrecio_O,1,MIN(10,EC$17))*(1+P_dPrecio)</f>
        <v>0</v>
      </c>
      <c r="ED50" s="34" t="n">
        <f aca="false">ED$25*INDEX(Precio_O,5)*INDEX(IdxPrecio_O,1,MIN(10,ED$17))*(1+P_dPrecio)</f>
        <v>0</v>
      </c>
      <c r="EE50" s="34" t="n">
        <f aca="false">EE$25*INDEX(Precio_O,5)*INDEX(IdxPrecio_O,1,MIN(10,EE$17))*(1+P_dPrecio)</f>
        <v>0</v>
      </c>
      <c r="EF50" s="34" t="n">
        <f aca="false">EF$25*INDEX(Precio_O,5)*INDEX(IdxPrecio_O,1,MIN(10,EF$17))*(1+P_dPrecio)</f>
        <v>0</v>
      </c>
      <c r="EG50" s="34" t="n">
        <f aca="false">EG$25*INDEX(Precio_O,5)*INDEX(IdxPrecio_O,1,MIN(10,EG$17))*(1+P_dPrecio)</f>
        <v>0</v>
      </c>
      <c r="EH50" s="34" t="n">
        <f aca="false">EH$25*INDEX(Precio_O,5)*INDEX(IdxPrecio_O,1,MIN(10,EH$17))*(1+P_dPrecio)</f>
        <v>0</v>
      </c>
      <c r="EI50" s="34" t="n">
        <f aca="false">EI$25*INDEX(Precio_O,5)*INDEX(IdxPrecio_O,1,MIN(10,EI$17))*(1+P_dPrecio)</f>
        <v>0</v>
      </c>
      <c r="EJ50" s="34" t="n">
        <f aca="false">EJ$25*INDEX(Precio_O,5)*INDEX(IdxPrecio_O,1,MIN(10,EJ$17))*(1+P_dPrecio)</f>
        <v>0</v>
      </c>
      <c r="EK50" s="34" t="n">
        <f aca="false">EK$25*INDEX(Precio_O,5)*INDEX(IdxPrecio_O,1,MIN(10,EK$17))*(1+P_dPrecio)</f>
        <v>0</v>
      </c>
      <c r="EL50" s="34" t="n">
        <f aca="false">EL$25*INDEX(Precio_O,5)*INDEX(IdxPrecio_O,1,MIN(10,EL$17))*(1+P_dPrecio)</f>
        <v>0</v>
      </c>
      <c r="EM50" s="34" t="n">
        <f aca="false">EM$25*INDEX(Precio_O,5)*INDEX(IdxPrecio_O,1,MIN(10,EM$17))*(1+P_dPrecio)</f>
        <v>0</v>
      </c>
      <c r="EN50" s="34" t="n">
        <f aca="false">EN$25*INDEX(Precio_O,5)*INDEX(IdxPrecio_O,1,MIN(10,EN$17))*(1+P_dPrecio)</f>
        <v>0</v>
      </c>
      <c r="EO50" s="34" t="n">
        <f aca="false">EO$25*INDEX(Precio_O,5)*INDEX(IdxPrecio_O,1,MIN(10,EO$17))*(1+P_dPrecio)</f>
        <v>0</v>
      </c>
      <c r="EP50" s="34" t="n">
        <f aca="false">EP$25*INDEX(Precio_O,5)*INDEX(IdxPrecio_O,1,MIN(10,EP$17))*(1+P_dPrecio)</f>
        <v>0</v>
      </c>
      <c r="EQ50" s="34" t="n">
        <f aca="false">EQ$25*INDEX(Precio_O,5)*INDEX(IdxPrecio_O,1,MIN(10,EQ$17))*(1+P_dPrecio)</f>
        <v>0</v>
      </c>
      <c r="ER50" s="34" t="n">
        <f aca="false">ER$25*INDEX(Precio_O,5)*INDEX(IdxPrecio_O,1,MIN(10,ER$17))*(1+P_dPrecio)</f>
        <v>0</v>
      </c>
      <c r="ES50" s="34" t="n">
        <f aca="false">ES$25*INDEX(Precio_O,5)*INDEX(IdxPrecio_O,1,MIN(10,ES$17))*(1+P_dPrecio)</f>
        <v>0</v>
      </c>
    </row>
    <row r="51" customFormat="false" ht="15" hidden="false" customHeight="false" outlineLevel="0" collapsed="false">
      <c r="A51" s="2" t="s">
        <v>614</v>
      </c>
      <c r="B51" s="39" t="str">
        <f aca="false">IF(INDEX(Prod_Nombre,6)="","Producto 6",INDEX(Prod_Nombre,6))&amp;" — ventas USD"</f>
        <v>Producto 6 — ventas USD</v>
      </c>
      <c r="C51" s="6" t="s">
        <v>250</v>
      </c>
      <c r="E51" s="40" t="n">
        <f aca="false">SUM(F51:ES51)</f>
        <v>0</v>
      </c>
      <c r="F51" s="34" t="n">
        <f aca="false">F$26*INDEX(Precio_O,6)*INDEX(IdxPrecio_O,1,MIN(10,F$17))*(1+P_dPrecio)</f>
        <v>0</v>
      </c>
      <c r="G51" s="34" t="n">
        <f aca="false">G$26*INDEX(Precio_O,6)*INDEX(IdxPrecio_O,1,MIN(10,G$17))*(1+P_dPrecio)</f>
        <v>0</v>
      </c>
      <c r="H51" s="34" t="n">
        <f aca="false">H$26*INDEX(Precio_O,6)*INDEX(IdxPrecio_O,1,MIN(10,H$17))*(1+P_dPrecio)</f>
        <v>0</v>
      </c>
      <c r="I51" s="34" t="n">
        <f aca="false">I$26*INDEX(Precio_O,6)*INDEX(IdxPrecio_O,1,MIN(10,I$17))*(1+P_dPrecio)</f>
        <v>0</v>
      </c>
      <c r="J51" s="34" t="n">
        <f aca="false">J$26*INDEX(Precio_O,6)*INDEX(IdxPrecio_O,1,MIN(10,J$17))*(1+P_dPrecio)</f>
        <v>0</v>
      </c>
      <c r="K51" s="34" t="n">
        <f aca="false">K$26*INDEX(Precio_O,6)*INDEX(IdxPrecio_O,1,MIN(10,K$17))*(1+P_dPrecio)</f>
        <v>0</v>
      </c>
      <c r="L51" s="34" t="n">
        <f aca="false">L$26*INDEX(Precio_O,6)*INDEX(IdxPrecio_O,1,MIN(10,L$17))*(1+P_dPrecio)</f>
        <v>0</v>
      </c>
      <c r="M51" s="34" t="n">
        <f aca="false">M$26*INDEX(Precio_O,6)*INDEX(IdxPrecio_O,1,MIN(10,M$17))*(1+P_dPrecio)</f>
        <v>0</v>
      </c>
      <c r="N51" s="34" t="n">
        <f aca="false">N$26*INDEX(Precio_O,6)*INDEX(IdxPrecio_O,1,MIN(10,N$17))*(1+P_dPrecio)</f>
        <v>0</v>
      </c>
      <c r="O51" s="34" t="n">
        <f aca="false">O$26*INDEX(Precio_O,6)*INDEX(IdxPrecio_O,1,MIN(10,O$17))*(1+P_dPrecio)</f>
        <v>0</v>
      </c>
      <c r="P51" s="34" t="n">
        <f aca="false">P$26*INDEX(Precio_O,6)*INDEX(IdxPrecio_O,1,MIN(10,P$17))*(1+P_dPrecio)</f>
        <v>0</v>
      </c>
      <c r="Q51" s="34" t="n">
        <f aca="false">Q$26*INDEX(Precio_O,6)*INDEX(IdxPrecio_O,1,MIN(10,Q$17))*(1+P_dPrecio)</f>
        <v>0</v>
      </c>
      <c r="R51" s="34" t="n">
        <f aca="false">R$26*INDEX(Precio_O,6)*INDEX(IdxPrecio_O,1,MIN(10,R$17))*(1+P_dPrecio)</f>
        <v>0</v>
      </c>
      <c r="S51" s="34" t="n">
        <f aca="false">S$26*INDEX(Precio_O,6)*INDEX(IdxPrecio_O,1,MIN(10,S$17))*(1+P_dPrecio)</f>
        <v>0</v>
      </c>
      <c r="T51" s="34" t="n">
        <f aca="false">T$26*INDEX(Precio_O,6)*INDEX(IdxPrecio_O,1,MIN(10,T$17))*(1+P_dPrecio)</f>
        <v>0</v>
      </c>
      <c r="U51" s="34" t="n">
        <f aca="false">U$26*INDEX(Precio_O,6)*INDEX(IdxPrecio_O,1,MIN(10,U$17))*(1+P_dPrecio)</f>
        <v>0</v>
      </c>
      <c r="V51" s="34" t="n">
        <f aca="false">V$26*INDEX(Precio_O,6)*INDEX(IdxPrecio_O,1,MIN(10,V$17))*(1+P_dPrecio)</f>
        <v>0</v>
      </c>
      <c r="W51" s="34" t="n">
        <f aca="false">W$26*INDEX(Precio_O,6)*INDEX(IdxPrecio_O,1,MIN(10,W$17))*(1+P_dPrecio)</f>
        <v>0</v>
      </c>
      <c r="X51" s="34" t="n">
        <f aca="false">X$26*INDEX(Precio_O,6)*INDEX(IdxPrecio_O,1,MIN(10,X$17))*(1+P_dPrecio)</f>
        <v>0</v>
      </c>
      <c r="Y51" s="34" t="n">
        <f aca="false">Y$26*INDEX(Precio_O,6)*INDEX(IdxPrecio_O,1,MIN(10,Y$17))*(1+P_dPrecio)</f>
        <v>0</v>
      </c>
      <c r="Z51" s="34" t="n">
        <f aca="false">Z$26*INDEX(Precio_O,6)*INDEX(IdxPrecio_O,1,MIN(10,Z$17))*(1+P_dPrecio)</f>
        <v>0</v>
      </c>
      <c r="AA51" s="34" t="n">
        <f aca="false">AA$26*INDEX(Precio_O,6)*INDEX(IdxPrecio_O,1,MIN(10,AA$17))*(1+P_dPrecio)</f>
        <v>0</v>
      </c>
      <c r="AB51" s="34" t="n">
        <f aca="false">AB$26*INDEX(Precio_O,6)*INDEX(IdxPrecio_O,1,MIN(10,AB$17))*(1+P_dPrecio)</f>
        <v>0</v>
      </c>
      <c r="AC51" s="34" t="n">
        <f aca="false">AC$26*INDEX(Precio_O,6)*INDEX(IdxPrecio_O,1,MIN(10,AC$17))*(1+P_dPrecio)</f>
        <v>0</v>
      </c>
      <c r="AD51" s="34" t="n">
        <f aca="false">AD$26*INDEX(Precio_O,6)*INDEX(IdxPrecio_O,1,MIN(10,AD$17))*(1+P_dPrecio)</f>
        <v>0</v>
      </c>
      <c r="AE51" s="34" t="n">
        <f aca="false">AE$26*INDEX(Precio_O,6)*INDEX(IdxPrecio_O,1,MIN(10,AE$17))*(1+P_dPrecio)</f>
        <v>0</v>
      </c>
      <c r="AF51" s="34" t="n">
        <f aca="false">AF$26*INDEX(Precio_O,6)*INDEX(IdxPrecio_O,1,MIN(10,AF$17))*(1+P_dPrecio)</f>
        <v>0</v>
      </c>
      <c r="AG51" s="34" t="n">
        <f aca="false">AG$26*INDEX(Precio_O,6)*INDEX(IdxPrecio_O,1,MIN(10,AG$17))*(1+P_dPrecio)</f>
        <v>0</v>
      </c>
      <c r="AH51" s="34" t="n">
        <f aca="false">AH$26*INDEX(Precio_O,6)*INDEX(IdxPrecio_O,1,MIN(10,AH$17))*(1+P_dPrecio)</f>
        <v>0</v>
      </c>
      <c r="AI51" s="34" t="n">
        <f aca="false">AI$26*INDEX(Precio_O,6)*INDEX(IdxPrecio_O,1,MIN(10,AI$17))*(1+P_dPrecio)</f>
        <v>0</v>
      </c>
      <c r="AJ51" s="34" t="n">
        <f aca="false">AJ$26*INDEX(Precio_O,6)*INDEX(IdxPrecio_O,1,MIN(10,AJ$17))*(1+P_dPrecio)</f>
        <v>0</v>
      </c>
      <c r="AK51" s="34" t="n">
        <f aca="false">AK$26*INDEX(Precio_O,6)*INDEX(IdxPrecio_O,1,MIN(10,AK$17))*(1+P_dPrecio)</f>
        <v>0</v>
      </c>
      <c r="AL51" s="34" t="n">
        <f aca="false">AL$26*INDEX(Precio_O,6)*INDEX(IdxPrecio_O,1,MIN(10,AL$17))*(1+P_dPrecio)</f>
        <v>0</v>
      </c>
      <c r="AM51" s="34" t="n">
        <f aca="false">AM$26*INDEX(Precio_O,6)*INDEX(IdxPrecio_O,1,MIN(10,AM$17))*(1+P_dPrecio)</f>
        <v>0</v>
      </c>
      <c r="AN51" s="34" t="n">
        <f aca="false">AN$26*INDEX(Precio_O,6)*INDEX(IdxPrecio_O,1,MIN(10,AN$17))*(1+P_dPrecio)</f>
        <v>0</v>
      </c>
      <c r="AO51" s="34" t="n">
        <f aca="false">AO$26*INDEX(Precio_O,6)*INDEX(IdxPrecio_O,1,MIN(10,AO$17))*(1+P_dPrecio)</f>
        <v>0</v>
      </c>
      <c r="AP51" s="34" t="n">
        <f aca="false">AP$26*INDEX(Precio_O,6)*INDEX(IdxPrecio_O,1,MIN(10,AP$17))*(1+P_dPrecio)</f>
        <v>0</v>
      </c>
      <c r="AQ51" s="34" t="n">
        <f aca="false">AQ$26*INDEX(Precio_O,6)*INDEX(IdxPrecio_O,1,MIN(10,AQ$17))*(1+P_dPrecio)</f>
        <v>0</v>
      </c>
      <c r="AR51" s="34" t="n">
        <f aca="false">AR$26*INDEX(Precio_O,6)*INDEX(IdxPrecio_O,1,MIN(10,AR$17))*(1+P_dPrecio)</f>
        <v>0</v>
      </c>
      <c r="AS51" s="34" t="n">
        <f aca="false">AS$26*INDEX(Precio_O,6)*INDEX(IdxPrecio_O,1,MIN(10,AS$17))*(1+P_dPrecio)</f>
        <v>0</v>
      </c>
      <c r="AT51" s="34" t="n">
        <f aca="false">AT$26*INDEX(Precio_O,6)*INDEX(IdxPrecio_O,1,MIN(10,AT$17))*(1+P_dPrecio)</f>
        <v>0</v>
      </c>
      <c r="AU51" s="34" t="n">
        <f aca="false">AU$26*INDEX(Precio_O,6)*INDEX(IdxPrecio_O,1,MIN(10,AU$17))*(1+P_dPrecio)</f>
        <v>0</v>
      </c>
      <c r="AV51" s="34" t="n">
        <f aca="false">AV$26*INDEX(Precio_O,6)*INDEX(IdxPrecio_O,1,MIN(10,AV$17))*(1+P_dPrecio)</f>
        <v>0</v>
      </c>
      <c r="AW51" s="34" t="n">
        <f aca="false">AW$26*INDEX(Precio_O,6)*INDEX(IdxPrecio_O,1,MIN(10,AW$17))*(1+P_dPrecio)</f>
        <v>0</v>
      </c>
      <c r="AX51" s="34" t="n">
        <f aca="false">AX$26*INDEX(Precio_O,6)*INDEX(IdxPrecio_O,1,MIN(10,AX$17))*(1+P_dPrecio)</f>
        <v>0</v>
      </c>
      <c r="AY51" s="34" t="n">
        <f aca="false">AY$26*INDEX(Precio_O,6)*INDEX(IdxPrecio_O,1,MIN(10,AY$17))*(1+P_dPrecio)</f>
        <v>0</v>
      </c>
      <c r="AZ51" s="34" t="n">
        <f aca="false">AZ$26*INDEX(Precio_O,6)*INDEX(IdxPrecio_O,1,MIN(10,AZ$17))*(1+P_dPrecio)</f>
        <v>0</v>
      </c>
      <c r="BA51" s="34" t="n">
        <f aca="false">BA$26*INDEX(Precio_O,6)*INDEX(IdxPrecio_O,1,MIN(10,BA$17))*(1+P_dPrecio)</f>
        <v>0</v>
      </c>
      <c r="BB51" s="34" t="n">
        <f aca="false">BB$26*INDEX(Precio_O,6)*INDEX(IdxPrecio_O,1,MIN(10,BB$17))*(1+P_dPrecio)</f>
        <v>0</v>
      </c>
      <c r="BC51" s="34" t="n">
        <f aca="false">BC$26*INDEX(Precio_O,6)*INDEX(IdxPrecio_O,1,MIN(10,BC$17))*(1+P_dPrecio)</f>
        <v>0</v>
      </c>
      <c r="BD51" s="34" t="n">
        <f aca="false">BD$26*INDEX(Precio_O,6)*INDEX(IdxPrecio_O,1,MIN(10,BD$17))*(1+P_dPrecio)</f>
        <v>0</v>
      </c>
      <c r="BE51" s="34" t="n">
        <f aca="false">BE$26*INDEX(Precio_O,6)*INDEX(IdxPrecio_O,1,MIN(10,BE$17))*(1+P_dPrecio)</f>
        <v>0</v>
      </c>
      <c r="BF51" s="34" t="n">
        <f aca="false">BF$26*INDEX(Precio_O,6)*INDEX(IdxPrecio_O,1,MIN(10,BF$17))*(1+P_dPrecio)</f>
        <v>0</v>
      </c>
      <c r="BG51" s="34" t="n">
        <f aca="false">BG$26*INDEX(Precio_O,6)*INDEX(IdxPrecio_O,1,MIN(10,BG$17))*(1+P_dPrecio)</f>
        <v>0</v>
      </c>
      <c r="BH51" s="34" t="n">
        <f aca="false">BH$26*INDEX(Precio_O,6)*INDEX(IdxPrecio_O,1,MIN(10,BH$17))*(1+P_dPrecio)</f>
        <v>0</v>
      </c>
      <c r="BI51" s="34" t="n">
        <f aca="false">BI$26*INDEX(Precio_O,6)*INDEX(IdxPrecio_O,1,MIN(10,BI$17))*(1+P_dPrecio)</f>
        <v>0</v>
      </c>
      <c r="BJ51" s="34" t="n">
        <f aca="false">BJ$26*INDEX(Precio_O,6)*INDEX(IdxPrecio_O,1,MIN(10,BJ$17))*(1+P_dPrecio)</f>
        <v>0</v>
      </c>
      <c r="BK51" s="34" t="n">
        <f aca="false">BK$26*INDEX(Precio_O,6)*INDEX(IdxPrecio_O,1,MIN(10,BK$17))*(1+P_dPrecio)</f>
        <v>0</v>
      </c>
      <c r="BL51" s="34" t="n">
        <f aca="false">BL$26*INDEX(Precio_O,6)*INDEX(IdxPrecio_O,1,MIN(10,BL$17))*(1+P_dPrecio)</f>
        <v>0</v>
      </c>
      <c r="BM51" s="34" t="n">
        <f aca="false">BM$26*INDEX(Precio_O,6)*INDEX(IdxPrecio_O,1,MIN(10,BM$17))*(1+P_dPrecio)</f>
        <v>0</v>
      </c>
      <c r="BN51" s="34" t="n">
        <f aca="false">BN$26*INDEX(Precio_O,6)*INDEX(IdxPrecio_O,1,MIN(10,BN$17))*(1+P_dPrecio)</f>
        <v>0</v>
      </c>
      <c r="BO51" s="34" t="n">
        <f aca="false">BO$26*INDEX(Precio_O,6)*INDEX(IdxPrecio_O,1,MIN(10,BO$17))*(1+P_dPrecio)</f>
        <v>0</v>
      </c>
      <c r="BP51" s="34" t="n">
        <f aca="false">BP$26*INDEX(Precio_O,6)*INDEX(IdxPrecio_O,1,MIN(10,BP$17))*(1+P_dPrecio)</f>
        <v>0</v>
      </c>
      <c r="BQ51" s="34" t="n">
        <f aca="false">BQ$26*INDEX(Precio_O,6)*INDEX(IdxPrecio_O,1,MIN(10,BQ$17))*(1+P_dPrecio)</f>
        <v>0</v>
      </c>
      <c r="BR51" s="34" t="n">
        <f aca="false">BR$26*INDEX(Precio_O,6)*INDEX(IdxPrecio_O,1,MIN(10,BR$17))*(1+P_dPrecio)</f>
        <v>0</v>
      </c>
      <c r="BS51" s="34" t="n">
        <f aca="false">BS$26*INDEX(Precio_O,6)*INDEX(IdxPrecio_O,1,MIN(10,BS$17))*(1+P_dPrecio)</f>
        <v>0</v>
      </c>
      <c r="BT51" s="34" t="n">
        <f aca="false">BT$26*INDEX(Precio_O,6)*INDEX(IdxPrecio_O,1,MIN(10,BT$17))*(1+P_dPrecio)</f>
        <v>0</v>
      </c>
      <c r="BU51" s="34" t="n">
        <f aca="false">BU$26*INDEX(Precio_O,6)*INDEX(IdxPrecio_O,1,MIN(10,BU$17))*(1+P_dPrecio)</f>
        <v>0</v>
      </c>
      <c r="BV51" s="34" t="n">
        <f aca="false">BV$26*INDEX(Precio_O,6)*INDEX(IdxPrecio_O,1,MIN(10,BV$17))*(1+P_dPrecio)</f>
        <v>0</v>
      </c>
      <c r="BW51" s="34" t="n">
        <f aca="false">BW$26*INDEX(Precio_O,6)*INDEX(IdxPrecio_O,1,MIN(10,BW$17))*(1+P_dPrecio)</f>
        <v>0</v>
      </c>
      <c r="BX51" s="34" t="n">
        <f aca="false">BX$26*INDEX(Precio_O,6)*INDEX(IdxPrecio_O,1,MIN(10,BX$17))*(1+P_dPrecio)</f>
        <v>0</v>
      </c>
      <c r="BY51" s="34" t="n">
        <f aca="false">BY$26*INDEX(Precio_O,6)*INDEX(IdxPrecio_O,1,MIN(10,BY$17))*(1+P_dPrecio)</f>
        <v>0</v>
      </c>
      <c r="BZ51" s="34" t="n">
        <f aca="false">BZ$26*INDEX(Precio_O,6)*INDEX(IdxPrecio_O,1,MIN(10,BZ$17))*(1+P_dPrecio)</f>
        <v>0</v>
      </c>
      <c r="CA51" s="34" t="n">
        <f aca="false">CA$26*INDEX(Precio_O,6)*INDEX(IdxPrecio_O,1,MIN(10,CA$17))*(1+P_dPrecio)</f>
        <v>0</v>
      </c>
      <c r="CB51" s="34" t="n">
        <f aca="false">CB$26*INDEX(Precio_O,6)*INDEX(IdxPrecio_O,1,MIN(10,CB$17))*(1+P_dPrecio)</f>
        <v>0</v>
      </c>
      <c r="CC51" s="34" t="n">
        <f aca="false">CC$26*INDEX(Precio_O,6)*INDEX(IdxPrecio_O,1,MIN(10,CC$17))*(1+P_dPrecio)</f>
        <v>0</v>
      </c>
      <c r="CD51" s="34" t="n">
        <f aca="false">CD$26*INDEX(Precio_O,6)*INDEX(IdxPrecio_O,1,MIN(10,CD$17))*(1+P_dPrecio)</f>
        <v>0</v>
      </c>
      <c r="CE51" s="34" t="n">
        <f aca="false">CE$26*INDEX(Precio_O,6)*INDEX(IdxPrecio_O,1,MIN(10,CE$17))*(1+P_dPrecio)</f>
        <v>0</v>
      </c>
      <c r="CF51" s="34" t="n">
        <f aca="false">CF$26*INDEX(Precio_O,6)*INDEX(IdxPrecio_O,1,MIN(10,CF$17))*(1+P_dPrecio)</f>
        <v>0</v>
      </c>
      <c r="CG51" s="34" t="n">
        <f aca="false">CG$26*INDEX(Precio_O,6)*INDEX(IdxPrecio_O,1,MIN(10,CG$17))*(1+P_dPrecio)</f>
        <v>0</v>
      </c>
      <c r="CH51" s="34" t="n">
        <f aca="false">CH$26*INDEX(Precio_O,6)*INDEX(IdxPrecio_O,1,MIN(10,CH$17))*(1+P_dPrecio)</f>
        <v>0</v>
      </c>
      <c r="CI51" s="34" t="n">
        <f aca="false">CI$26*INDEX(Precio_O,6)*INDEX(IdxPrecio_O,1,MIN(10,CI$17))*(1+P_dPrecio)</f>
        <v>0</v>
      </c>
      <c r="CJ51" s="34" t="n">
        <f aca="false">CJ$26*INDEX(Precio_O,6)*INDEX(IdxPrecio_O,1,MIN(10,CJ$17))*(1+P_dPrecio)</f>
        <v>0</v>
      </c>
      <c r="CK51" s="34" t="n">
        <f aca="false">CK$26*INDEX(Precio_O,6)*INDEX(IdxPrecio_O,1,MIN(10,CK$17))*(1+P_dPrecio)</f>
        <v>0</v>
      </c>
      <c r="CL51" s="34" t="n">
        <f aca="false">CL$26*INDEX(Precio_O,6)*INDEX(IdxPrecio_O,1,MIN(10,CL$17))*(1+P_dPrecio)</f>
        <v>0</v>
      </c>
      <c r="CM51" s="34" t="n">
        <f aca="false">CM$26*INDEX(Precio_O,6)*INDEX(IdxPrecio_O,1,MIN(10,CM$17))*(1+P_dPrecio)</f>
        <v>0</v>
      </c>
      <c r="CN51" s="34" t="n">
        <f aca="false">CN$26*INDEX(Precio_O,6)*INDEX(IdxPrecio_O,1,MIN(10,CN$17))*(1+P_dPrecio)</f>
        <v>0</v>
      </c>
      <c r="CO51" s="34" t="n">
        <f aca="false">CO$26*INDEX(Precio_O,6)*INDEX(IdxPrecio_O,1,MIN(10,CO$17))*(1+P_dPrecio)</f>
        <v>0</v>
      </c>
      <c r="CP51" s="34" t="n">
        <f aca="false">CP$26*INDEX(Precio_O,6)*INDEX(IdxPrecio_O,1,MIN(10,CP$17))*(1+P_dPrecio)</f>
        <v>0</v>
      </c>
      <c r="CQ51" s="34" t="n">
        <f aca="false">CQ$26*INDEX(Precio_O,6)*INDEX(IdxPrecio_O,1,MIN(10,CQ$17))*(1+P_dPrecio)</f>
        <v>0</v>
      </c>
      <c r="CR51" s="34" t="n">
        <f aca="false">CR$26*INDEX(Precio_O,6)*INDEX(IdxPrecio_O,1,MIN(10,CR$17))*(1+P_dPrecio)</f>
        <v>0</v>
      </c>
      <c r="CS51" s="34" t="n">
        <f aca="false">CS$26*INDEX(Precio_O,6)*INDEX(IdxPrecio_O,1,MIN(10,CS$17))*(1+P_dPrecio)</f>
        <v>0</v>
      </c>
      <c r="CT51" s="34" t="n">
        <f aca="false">CT$26*INDEX(Precio_O,6)*INDEX(IdxPrecio_O,1,MIN(10,CT$17))*(1+P_dPrecio)</f>
        <v>0</v>
      </c>
      <c r="CU51" s="34" t="n">
        <f aca="false">CU$26*INDEX(Precio_O,6)*INDEX(IdxPrecio_O,1,MIN(10,CU$17))*(1+P_dPrecio)</f>
        <v>0</v>
      </c>
      <c r="CV51" s="34" t="n">
        <f aca="false">CV$26*INDEX(Precio_O,6)*INDEX(IdxPrecio_O,1,MIN(10,CV$17))*(1+P_dPrecio)</f>
        <v>0</v>
      </c>
      <c r="CW51" s="34" t="n">
        <f aca="false">CW$26*INDEX(Precio_O,6)*INDEX(IdxPrecio_O,1,MIN(10,CW$17))*(1+P_dPrecio)</f>
        <v>0</v>
      </c>
      <c r="CX51" s="34" t="n">
        <f aca="false">CX$26*INDEX(Precio_O,6)*INDEX(IdxPrecio_O,1,MIN(10,CX$17))*(1+P_dPrecio)</f>
        <v>0</v>
      </c>
      <c r="CY51" s="34" t="n">
        <f aca="false">CY$26*INDEX(Precio_O,6)*INDEX(IdxPrecio_O,1,MIN(10,CY$17))*(1+P_dPrecio)</f>
        <v>0</v>
      </c>
      <c r="CZ51" s="34" t="n">
        <f aca="false">CZ$26*INDEX(Precio_O,6)*INDEX(IdxPrecio_O,1,MIN(10,CZ$17))*(1+P_dPrecio)</f>
        <v>0</v>
      </c>
      <c r="DA51" s="34" t="n">
        <f aca="false">DA$26*INDEX(Precio_O,6)*INDEX(IdxPrecio_O,1,MIN(10,DA$17))*(1+P_dPrecio)</f>
        <v>0</v>
      </c>
      <c r="DB51" s="34" t="n">
        <f aca="false">DB$26*INDEX(Precio_O,6)*INDEX(IdxPrecio_O,1,MIN(10,DB$17))*(1+P_dPrecio)</f>
        <v>0</v>
      </c>
      <c r="DC51" s="34" t="n">
        <f aca="false">DC$26*INDEX(Precio_O,6)*INDEX(IdxPrecio_O,1,MIN(10,DC$17))*(1+P_dPrecio)</f>
        <v>0</v>
      </c>
      <c r="DD51" s="34" t="n">
        <f aca="false">DD$26*INDEX(Precio_O,6)*INDEX(IdxPrecio_O,1,MIN(10,DD$17))*(1+P_dPrecio)</f>
        <v>0</v>
      </c>
      <c r="DE51" s="34" t="n">
        <f aca="false">DE$26*INDEX(Precio_O,6)*INDEX(IdxPrecio_O,1,MIN(10,DE$17))*(1+P_dPrecio)</f>
        <v>0</v>
      </c>
      <c r="DF51" s="34" t="n">
        <f aca="false">DF$26*INDEX(Precio_O,6)*INDEX(IdxPrecio_O,1,MIN(10,DF$17))*(1+P_dPrecio)</f>
        <v>0</v>
      </c>
      <c r="DG51" s="34" t="n">
        <f aca="false">DG$26*INDEX(Precio_O,6)*INDEX(IdxPrecio_O,1,MIN(10,DG$17))*(1+P_dPrecio)</f>
        <v>0</v>
      </c>
      <c r="DH51" s="34" t="n">
        <f aca="false">DH$26*INDEX(Precio_O,6)*INDEX(IdxPrecio_O,1,MIN(10,DH$17))*(1+P_dPrecio)</f>
        <v>0</v>
      </c>
      <c r="DI51" s="34" t="n">
        <f aca="false">DI$26*INDEX(Precio_O,6)*INDEX(IdxPrecio_O,1,MIN(10,DI$17))*(1+P_dPrecio)</f>
        <v>0</v>
      </c>
      <c r="DJ51" s="34" t="n">
        <f aca="false">DJ$26*INDEX(Precio_O,6)*INDEX(IdxPrecio_O,1,MIN(10,DJ$17))*(1+P_dPrecio)</f>
        <v>0</v>
      </c>
      <c r="DK51" s="34" t="n">
        <f aca="false">DK$26*INDEX(Precio_O,6)*INDEX(IdxPrecio_O,1,MIN(10,DK$17))*(1+P_dPrecio)</f>
        <v>0</v>
      </c>
      <c r="DL51" s="34" t="n">
        <f aca="false">DL$26*INDEX(Precio_O,6)*INDEX(IdxPrecio_O,1,MIN(10,DL$17))*(1+P_dPrecio)</f>
        <v>0</v>
      </c>
      <c r="DM51" s="34" t="n">
        <f aca="false">DM$26*INDEX(Precio_O,6)*INDEX(IdxPrecio_O,1,MIN(10,DM$17))*(1+P_dPrecio)</f>
        <v>0</v>
      </c>
      <c r="DN51" s="34" t="n">
        <f aca="false">DN$26*INDEX(Precio_O,6)*INDEX(IdxPrecio_O,1,MIN(10,DN$17))*(1+P_dPrecio)</f>
        <v>0</v>
      </c>
      <c r="DO51" s="34" t="n">
        <f aca="false">DO$26*INDEX(Precio_O,6)*INDEX(IdxPrecio_O,1,MIN(10,DO$17))*(1+P_dPrecio)</f>
        <v>0</v>
      </c>
      <c r="DP51" s="34" t="n">
        <f aca="false">DP$26*INDEX(Precio_O,6)*INDEX(IdxPrecio_O,1,MIN(10,DP$17))*(1+P_dPrecio)</f>
        <v>0</v>
      </c>
      <c r="DQ51" s="34" t="n">
        <f aca="false">DQ$26*INDEX(Precio_O,6)*INDEX(IdxPrecio_O,1,MIN(10,DQ$17))*(1+P_dPrecio)</f>
        <v>0</v>
      </c>
      <c r="DR51" s="34" t="n">
        <f aca="false">DR$26*INDEX(Precio_O,6)*INDEX(IdxPrecio_O,1,MIN(10,DR$17))*(1+P_dPrecio)</f>
        <v>0</v>
      </c>
      <c r="DS51" s="34" t="n">
        <f aca="false">DS$26*INDEX(Precio_O,6)*INDEX(IdxPrecio_O,1,MIN(10,DS$17))*(1+P_dPrecio)</f>
        <v>0</v>
      </c>
      <c r="DT51" s="34" t="n">
        <f aca="false">DT$26*INDEX(Precio_O,6)*INDEX(IdxPrecio_O,1,MIN(10,DT$17))*(1+P_dPrecio)</f>
        <v>0</v>
      </c>
      <c r="DU51" s="34" t="n">
        <f aca="false">DU$26*INDEX(Precio_O,6)*INDEX(IdxPrecio_O,1,MIN(10,DU$17))*(1+P_dPrecio)</f>
        <v>0</v>
      </c>
      <c r="DV51" s="34" t="n">
        <f aca="false">DV$26*INDEX(Precio_O,6)*INDEX(IdxPrecio_O,1,MIN(10,DV$17))*(1+P_dPrecio)</f>
        <v>0</v>
      </c>
      <c r="DW51" s="34" t="n">
        <f aca="false">DW$26*INDEX(Precio_O,6)*INDEX(IdxPrecio_O,1,MIN(10,DW$17))*(1+P_dPrecio)</f>
        <v>0</v>
      </c>
      <c r="DX51" s="34" t="n">
        <f aca="false">DX$26*INDEX(Precio_O,6)*INDEX(IdxPrecio_O,1,MIN(10,DX$17))*(1+P_dPrecio)</f>
        <v>0</v>
      </c>
      <c r="DY51" s="34" t="n">
        <f aca="false">DY$26*INDEX(Precio_O,6)*INDEX(IdxPrecio_O,1,MIN(10,DY$17))*(1+P_dPrecio)</f>
        <v>0</v>
      </c>
      <c r="DZ51" s="34" t="n">
        <f aca="false">DZ$26*INDEX(Precio_O,6)*INDEX(IdxPrecio_O,1,MIN(10,DZ$17))*(1+P_dPrecio)</f>
        <v>0</v>
      </c>
      <c r="EA51" s="34" t="n">
        <f aca="false">EA$26*INDEX(Precio_O,6)*INDEX(IdxPrecio_O,1,MIN(10,EA$17))*(1+P_dPrecio)</f>
        <v>0</v>
      </c>
      <c r="EB51" s="34" t="n">
        <f aca="false">EB$26*INDEX(Precio_O,6)*INDEX(IdxPrecio_O,1,MIN(10,EB$17))*(1+P_dPrecio)</f>
        <v>0</v>
      </c>
      <c r="EC51" s="34" t="n">
        <f aca="false">EC$26*INDEX(Precio_O,6)*INDEX(IdxPrecio_O,1,MIN(10,EC$17))*(1+P_dPrecio)</f>
        <v>0</v>
      </c>
      <c r="ED51" s="34" t="n">
        <f aca="false">ED$26*INDEX(Precio_O,6)*INDEX(IdxPrecio_O,1,MIN(10,ED$17))*(1+P_dPrecio)</f>
        <v>0</v>
      </c>
      <c r="EE51" s="34" t="n">
        <f aca="false">EE$26*INDEX(Precio_O,6)*INDEX(IdxPrecio_O,1,MIN(10,EE$17))*(1+P_dPrecio)</f>
        <v>0</v>
      </c>
      <c r="EF51" s="34" t="n">
        <f aca="false">EF$26*INDEX(Precio_O,6)*INDEX(IdxPrecio_O,1,MIN(10,EF$17))*(1+P_dPrecio)</f>
        <v>0</v>
      </c>
      <c r="EG51" s="34" t="n">
        <f aca="false">EG$26*INDEX(Precio_O,6)*INDEX(IdxPrecio_O,1,MIN(10,EG$17))*(1+P_dPrecio)</f>
        <v>0</v>
      </c>
      <c r="EH51" s="34" t="n">
        <f aca="false">EH$26*INDEX(Precio_O,6)*INDEX(IdxPrecio_O,1,MIN(10,EH$17))*(1+P_dPrecio)</f>
        <v>0</v>
      </c>
      <c r="EI51" s="34" t="n">
        <f aca="false">EI$26*INDEX(Precio_O,6)*INDEX(IdxPrecio_O,1,MIN(10,EI$17))*(1+P_dPrecio)</f>
        <v>0</v>
      </c>
      <c r="EJ51" s="34" t="n">
        <f aca="false">EJ$26*INDEX(Precio_O,6)*INDEX(IdxPrecio_O,1,MIN(10,EJ$17))*(1+P_dPrecio)</f>
        <v>0</v>
      </c>
      <c r="EK51" s="34" t="n">
        <f aca="false">EK$26*INDEX(Precio_O,6)*INDEX(IdxPrecio_O,1,MIN(10,EK$17))*(1+P_dPrecio)</f>
        <v>0</v>
      </c>
      <c r="EL51" s="34" t="n">
        <f aca="false">EL$26*INDEX(Precio_O,6)*INDEX(IdxPrecio_O,1,MIN(10,EL$17))*(1+P_dPrecio)</f>
        <v>0</v>
      </c>
      <c r="EM51" s="34" t="n">
        <f aca="false">EM$26*INDEX(Precio_O,6)*INDEX(IdxPrecio_O,1,MIN(10,EM$17))*(1+P_dPrecio)</f>
        <v>0</v>
      </c>
      <c r="EN51" s="34" t="n">
        <f aca="false">EN$26*INDEX(Precio_O,6)*INDEX(IdxPrecio_O,1,MIN(10,EN$17))*(1+P_dPrecio)</f>
        <v>0</v>
      </c>
      <c r="EO51" s="34" t="n">
        <f aca="false">EO$26*INDEX(Precio_O,6)*INDEX(IdxPrecio_O,1,MIN(10,EO$17))*(1+P_dPrecio)</f>
        <v>0</v>
      </c>
      <c r="EP51" s="34" t="n">
        <f aca="false">EP$26*INDEX(Precio_O,6)*INDEX(IdxPrecio_O,1,MIN(10,EP$17))*(1+P_dPrecio)</f>
        <v>0</v>
      </c>
      <c r="EQ51" s="34" t="n">
        <f aca="false">EQ$26*INDEX(Precio_O,6)*INDEX(IdxPrecio_O,1,MIN(10,EQ$17))*(1+P_dPrecio)</f>
        <v>0</v>
      </c>
      <c r="ER51" s="34" t="n">
        <f aca="false">ER$26*INDEX(Precio_O,6)*INDEX(IdxPrecio_O,1,MIN(10,ER$17))*(1+P_dPrecio)</f>
        <v>0</v>
      </c>
      <c r="ES51" s="34" t="n">
        <f aca="false">ES$26*INDEX(Precio_O,6)*INDEX(IdxPrecio_O,1,MIN(10,ES$17))*(1+P_dPrecio)</f>
        <v>0</v>
      </c>
    </row>
    <row r="52" customFormat="false" ht="15" hidden="false" customHeight="false" outlineLevel="0" collapsed="false">
      <c r="A52" s="2" t="s">
        <v>615</v>
      </c>
      <c r="B52" s="39" t="str">
        <f aca="false">IF(INDEX(Prod_Nombre,7)="","Producto 7",INDEX(Prod_Nombre,7))&amp;" — ventas USD"</f>
        <v>Producto 7 — ventas USD</v>
      </c>
      <c r="C52" s="6" t="s">
        <v>250</v>
      </c>
      <c r="E52" s="40" t="n">
        <f aca="false">SUM(F52:ES52)</f>
        <v>0</v>
      </c>
      <c r="F52" s="34" t="n">
        <f aca="false">F$27*INDEX(Precio_O,7)*INDEX(IdxPrecio_O,1,MIN(10,F$17))*(1+P_dPrecio)</f>
        <v>0</v>
      </c>
      <c r="G52" s="34" t="n">
        <f aca="false">G$27*INDEX(Precio_O,7)*INDEX(IdxPrecio_O,1,MIN(10,G$17))*(1+P_dPrecio)</f>
        <v>0</v>
      </c>
      <c r="H52" s="34" t="n">
        <f aca="false">H$27*INDEX(Precio_O,7)*INDEX(IdxPrecio_O,1,MIN(10,H$17))*(1+P_dPrecio)</f>
        <v>0</v>
      </c>
      <c r="I52" s="34" t="n">
        <f aca="false">I$27*INDEX(Precio_O,7)*INDEX(IdxPrecio_O,1,MIN(10,I$17))*(1+P_dPrecio)</f>
        <v>0</v>
      </c>
      <c r="J52" s="34" t="n">
        <f aca="false">J$27*INDEX(Precio_O,7)*INDEX(IdxPrecio_O,1,MIN(10,J$17))*(1+P_dPrecio)</f>
        <v>0</v>
      </c>
      <c r="K52" s="34" t="n">
        <f aca="false">K$27*INDEX(Precio_O,7)*INDEX(IdxPrecio_O,1,MIN(10,K$17))*(1+P_dPrecio)</f>
        <v>0</v>
      </c>
      <c r="L52" s="34" t="n">
        <f aca="false">L$27*INDEX(Precio_O,7)*INDEX(IdxPrecio_O,1,MIN(10,L$17))*(1+P_dPrecio)</f>
        <v>0</v>
      </c>
      <c r="M52" s="34" t="n">
        <f aca="false">M$27*INDEX(Precio_O,7)*INDEX(IdxPrecio_O,1,MIN(10,M$17))*(1+P_dPrecio)</f>
        <v>0</v>
      </c>
      <c r="N52" s="34" t="n">
        <f aca="false">N$27*INDEX(Precio_O,7)*INDEX(IdxPrecio_O,1,MIN(10,N$17))*(1+P_dPrecio)</f>
        <v>0</v>
      </c>
      <c r="O52" s="34" t="n">
        <f aca="false">O$27*INDEX(Precio_O,7)*INDEX(IdxPrecio_O,1,MIN(10,O$17))*(1+P_dPrecio)</f>
        <v>0</v>
      </c>
      <c r="P52" s="34" t="n">
        <f aca="false">P$27*INDEX(Precio_O,7)*INDEX(IdxPrecio_O,1,MIN(10,P$17))*(1+P_dPrecio)</f>
        <v>0</v>
      </c>
      <c r="Q52" s="34" t="n">
        <f aca="false">Q$27*INDEX(Precio_O,7)*INDEX(IdxPrecio_O,1,MIN(10,Q$17))*(1+P_dPrecio)</f>
        <v>0</v>
      </c>
      <c r="R52" s="34" t="n">
        <f aca="false">R$27*INDEX(Precio_O,7)*INDEX(IdxPrecio_O,1,MIN(10,R$17))*(1+P_dPrecio)</f>
        <v>0</v>
      </c>
      <c r="S52" s="34" t="n">
        <f aca="false">S$27*INDEX(Precio_O,7)*INDEX(IdxPrecio_O,1,MIN(10,S$17))*(1+P_dPrecio)</f>
        <v>0</v>
      </c>
      <c r="T52" s="34" t="n">
        <f aca="false">T$27*INDEX(Precio_O,7)*INDEX(IdxPrecio_O,1,MIN(10,T$17))*(1+P_dPrecio)</f>
        <v>0</v>
      </c>
      <c r="U52" s="34" t="n">
        <f aca="false">U$27*INDEX(Precio_O,7)*INDEX(IdxPrecio_O,1,MIN(10,U$17))*(1+P_dPrecio)</f>
        <v>0</v>
      </c>
      <c r="V52" s="34" t="n">
        <f aca="false">V$27*INDEX(Precio_O,7)*INDEX(IdxPrecio_O,1,MIN(10,V$17))*(1+P_dPrecio)</f>
        <v>0</v>
      </c>
      <c r="W52" s="34" t="n">
        <f aca="false">W$27*INDEX(Precio_O,7)*INDEX(IdxPrecio_O,1,MIN(10,W$17))*(1+P_dPrecio)</f>
        <v>0</v>
      </c>
      <c r="X52" s="34" t="n">
        <f aca="false">X$27*INDEX(Precio_O,7)*INDEX(IdxPrecio_O,1,MIN(10,X$17))*(1+P_dPrecio)</f>
        <v>0</v>
      </c>
      <c r="Y52" s="34" t="n">
        <f aca="false">Y$27*INDEX(Precio_O,7)*INDEX(IdxPrecio_O,1,MIN(10,Y$17))*(1+P_dPrecio)</f>
        <v>0</v>
      </c>
      <c r="Z52" s="34" t="n">
        <f aca="false">Z$27*INDEX(Precio_O,7)*INDEX(IdxPrecio_O,1,MIN(10,Z$17))*(1+P_dPrecio)</f>
        <v>0</v>
      </c>
      <c r="AA52" s="34" t="n">
        <f aca="false">AA$27*INDEX(Precio_O,7)*INDEX(IdxPrecio_O,1,MIN(10,AA$17))*(1+P_dPrecio)</f>
        <v>0</v>
      </c>
      <c r="AB52" s="34" t="n">
        <f aca="false">AB$27*INDEX(Precio_O,7)*INDEX(IdxPrecio_O,1,MIN(10,AB$17))*(1+P_dPrecio)</f>
        <v>0</v>
      </c>
      <c r="AC52" s="34" t="n">
        <f aca="false">AC$27*INDEX(Precio_O,7)*INDEX(IdxPrecio_O,1,MIN(10,AC$17))*(1+P_dPrecio)</f>
        <v>0</v>
      </c>
      <c r="AD52" s="34" t="n">
        <f aca="false">AD$27*INDEX(Precio_O,7)*INDEX(IdxPrecio_O,1,MIN(10,AD$17))*(1+P_dPrecio)</f>
        <v>0</v>
      </c>
      <c r="AE52" s="34" t="n">
        <f aca="false">AE$27*INDEX(Precio_O,7)*INDEX(IdxPrecio_O,1,MIN(10,AE$17))*(1+P_dPrecio)</f>
        <v>0</v>
      </c>
      <c r="AF52" s="34" t="n">
        <f aca="false">AF$27*INDEX(Precio_O,7)*INDEX(IdxPrecio_O,1,MIN(10,AF$17))*(1+P_dPrecio)</f>
        <v>0</v>
      </c>
      <c r="AG52" s="34" t="n">
        <f aca="false">AG$27*INDEX(Precio_O,7)*INDEX(IdxPrecio_O,1,MIN(10,AG$17))*(1+P_dPrecio)</f>
        <v>0</v>
      </c>
      <c r="AH52" s="34" t="n">
        <f aca="false">AH$27*INDEX(Precio_O,7)*INDEX(IdxPrecio_O,1,MIN(10,AH$17))*(1+P_dPrecio)</f>
        <v>0</v>
      </c>
      <c r="AI52" s="34" t="n">
        <f aca="false">AI$27*INDEX(Precio_O,7)*INDEX(IdxPrecio_O,1,MIN(10,AI$17))*(1+P_dPrecio)</f>
        <v>0</v>
      </c>
      <c r="AJ52" s="34" t="n">
        <f aca="false">AJ$27*INDEX(Precio_O,7)*INDEX(IdxPrecio_O,1,MIN(10,AJ$17))*(1+P_dPrecio)</f>
        <v>0</v>
      </c>
      <c r="AK52" s="34" t="n">
        <f aca="false">AK$27*INDEX(Precio_O,7)*INDEX(IdxPrecio_O,1,MIN(10,AK$17))*(1+P_dPrecio)</f>
        <v>0</v>
      </c>
      <c r="AL52" s="34" t="n">
        <f aca="false">AL$27*INDEX(Precio_O,7)*INDEX(IdxPrecio_O,1,MIN(10,AL$17))*(1+P_dPrecio)</f>
        <v>0</v>
      </c>
      <c r="AM52" s="34" t="n">
        <f aca="false">AM$27*INDEX(Precio_O,7)*INDEX(IdxPrecio_O,1,MIN(10,AM$17))*(1+P_dPrecio)</f>
        <v>0</v>
      </c>
      <c r="AN52" s="34" t="n">
        <f aca="false">AN$27*INDEX(Precio_O,7)*INDEX(IdxPrecio_O,1,MIN(10,AN$17))*(1+P_dPrecio)</f>
        <v>0</v>
      </c>
      <c r="AO52" s="34" t="n">
        <f aca="false">AO$27*INDEX(Precio_O,7)*INDEX(IdxPrecio_O,1,MIN(10,AO$17))*(1+P_dPrecio)</f>
        <v>0</v>
      </c>
      <c r="AP52" s="34" t="n">
        <f aca="false">AP$27*INDEX(Precio_O,7)*INDEX(IdxPrecio_O,1,MIN(10,AP$17))*(1+P_dPrecio)</f>
        <v>0</v>
      </c>
      <c r="AQ52" s="34" t="n">
        <f aca="false">AQ$27*INDEX(Precio_O,7)*INDEX(IdxPrecio_O,1,MIN(10,AQ$17))*(1+P_dPrecio)</f>
        <v>0</v>
      </c>
      <c r="AR52" s="34" t="n">
        <f aca="false">AR$27*INDEX(Precio_O,7)*INDEX(IdxPrecio_O,1,MIN(10,AR$17))*(1+P_dPrecio)</f>
        <v>0</v>
      </c>
      <c r="AS52" s="34" t="n">
        <f aca="false">AS$27*INDEX(Precio_O,7)*INDEX(IdxPrecio_O,1,MIN(10,AS$17))*(1+P_dPrecio)</f>
        <v>0</v>
      </c>
      <c r="AT52" s="34" t="n">
        <f aca="false">AT$27*INDEX(Precio_O,7)*INDEX(IdxPrecio_O,1,MIN(10,AT$17))*(1+P_dPrecio)</f>
        <v>0</v>
      </c>
      <c r="AU52" s="34" t="n">
        <f aca="false">AU$27*INDEX(Precio_O,7)*INDEX(IdxPrecio_O,1,MIN(10,AU$17))*(1+P_dPrecio)</f>
        <v>0</v>
      </c>
      <c r="AV52" s="34" t="n">
        <f aca="false">AV$27*INDEX(Precio_O,7)*INDEX(IdxPrecio_O,1,MIN(10,AV$17))*(1+P_dPrecio)</f>
        <v>0</v>
      </c>
      <c r="AW52" s="34" t="n">
        <f aca="false">AW$27*INDEX(Precio_O,7)*INDEX(IdxPrecio_O,1,MIN(10,AW$17))*(1+P_dPrecio)</f>
        <v>0</v>
      </c>
      <c r="AX52" s="34" t="n">
        <f aca="false">AX$27*INDEX(Precio_O,7)*INDEX(IdxPrecio_O,1,MIN(10,AX$17))*(1+P_dPrecio)</f>
        <v>0</v>
      </c>
      <c r="AY52" s="34" t="n">
        <f aca="false">AY$27*INDEX(Precio_O,7)*INDEX(IdxPrecio_O,1,MIN(10,AY$17))*(1+P_dPrecio)</f>
        <v>0</v>
      </c>
      <c r="AZ52" s="34" t="n">
        <f aca="false">AZ$27*INDEX(Precio_O,7)*INDEX(IdxPrecio_O,1,MIN(10,AZ$17))*(1+P_dPrecio)</f>
        <v>0</v>
      </c>
      <c r="BA52" s="34" t="n">
        <f aca="false">BA$27*INDEX(Precio_O,7)*INDEX(IdxPrecio_O,1,MIN(10,BA$17))*(1+P_dPrecio)</f>
        <v>0</v>
      </c>
      <c r="BB52" s="34" t="n">
        <f aca="false">BB$27*INDEX(Precio_O,7)*INDEX(IdxPrecio_O,1,MIN(10,BB$17))*(1+P_dPrecio)</f>
        <v>0</v>
      </c>
      <c r="BC52" s="34" t="n">
        <f aca="false">BC$27*INDEX(Precio_O,7)*INDEX(IdxPrecio_O,1,MIN(10,BC$17))*(1+P_dPrecio)</f>
        <v>0</v>
      </c>
      <c r="BD52" s="34" t="n">
        <f aca="false">BD$27*INDEX(Precio_O,7)*INDEX(IdxPrecio_O,1,MIN(10,BD$17))*(1+P_dPrecio)</f>
        <v>0</v>
      </c>
      <c r="BE52" s="34" t="n">
        <f aca="false">BE$27*INDEX(Precio_O,7)*INDEX(IdxPrecio_O,1,MIN(10,BE$17))*(1+P_dPrecio)</f>
        <v>0</v>
      </c>
      <c r="BF52" s="34" t="n">
        <f aca="false">BF$27*INDEX(Precio_O,7)*INDEX(IdxPrecio_O,1,MIN(10,BF$17))*(1+P_dPrecio)</f>
        <v>0</v>
      </c>
      <c r="BG52" s="34" t="n">
        <f aca="false">BG$27*INDEX(Precio_O,7)*INDEX(IdxPrecio_O,1,MIN(10,BG$17))*(1+P_dPrecio)</f>
        <v>0</v>
      </c>
      <c r="BH52" s="34" t="n">
        <f aca="false">BH$27*INDEX(Precio_O,7)*INDEX(IdxPrecio_O,1,MIN(10,BH$17))*(1+P_dPrecio)</f>
        <v>0</v>
      </c>
      <c r="BI52" s="34" t="n">
        <f aca="false">BI$27*INDEX(Precio_O,7)*INDEX(IdxPrecio_O,1,MIN(10,BI$17))*(1+P_dPrecio)</f>
        <v>0</v>
      </c>
      <c r="BJ52" s="34" t="n">
        <f aca="false">BJ$27*INDEX(Precio_O,7)*INDEX(IdxPrecio_O,1,MIN(10,BJ$17))*(1+P_dPrecio)</f>
        <v>0</v>
      </c>
      <c r="BK52" s="34" t="n">
        <f aca="false">BK$27*INDEX(Precio_O,7)*INDEX(IdxPrecio_O,1,MIN(10,BK$17))*(1+P_dPrecio)</f>
        <v>0</v>
      </c>
      <c r="BL52" s="34" t="n">
        <f aca="false">BL$27*INDEX(Precio_O,7)*INDEX(IdxPrecio_O,1,MIN(10,BL$17))*(1+P_dPrecio)</f>
        <v>0</v>
      </c>
      <c r="BM52" s="34" t="n">
        <f aca="false">BM$27*INDEX(Precio_O,7)*INDEX(IdxPrecio_O,1,MIN(10,BM$17))*(1+P_dPrecio)</f>
        <v>0</v>
      </c>
      <c r="BN52" s="34" t="n">
        <f aca="false">BN$27*INDEX(Precio_O,7)*INDEX(IdxPrecio_O,1,MIN(10,BN$17))*(1+P_dPrecio)</f>
        <v>0</v>
      </c>
      <c r="BO52" s="34" t="n">
        <f aca="false">BO$27*INDEX(Precio_O,7)*INDEX(IdxPrecio_O,1,MIN(10,BO$17))*(1+P_dPrecio)</f>
        <v>0</v>
      </c>
      <c r="BP52" s="34" t="n">
        <f aca="false">BP$27*INDEX(Precio_O,7)*INDEX(IdxPrecio_O,1,MIN(10,BP$17))*(1+P_dPrecio)</f>
        <v>0</v>
      </c>
      <c r="BQ52" s="34" t="n">
        <f aca="false">BQ$27*INDEX(Precio_O,7)*INDEX(IdxPrecio_O,1,MIN(10,BQ$17))*(1+P_dPrecio)</f>
        <v>0</v>
      </c>
      <c r="BR52" s="34" t="n">
        <f aca="false">BR$27*INDEX(Precio_O,7)*INDEX(IdxPrecio_O,1,MIN(10,BR$17))*(1+P_dPrecio)</f>
        <v>0</v>
      </c>
      <c r="BS52" s="34" t="n">
        <f aca="false">BS$27*INDEX(Precio_O,7)*INDEX(IdxPrecio_O,1,MIN(10,BS$17))*(1+P_dPrecio)</f>
        <v>0</v>
      </c>
      <c r="BT52" s="34" t="n">
        <f aca="false">BT$27*INDEX(Precio_O,7)*INDEX(IdxPrecio_O,1,MIN(10,BT$17))*(1+P_dPrecio)</f>
        <v>0</v>
      </c>
      <c r="BU52" s="34" t="n">
        <f aca="false">BU$27*INDEX(Precio_O,7)*INDEX(IdxPrecio_O,1,MIN(10,BU$17))*(1+P_dPrecio)</f>
        <v>0</v>
      </c>
      <c r="BV52" s="34" t="n">
        <f aca="false">BV$27*INDEX(Precio_O,7)*INDEX(IdxPrecio_O,1,MIN(10,BV$17))*(1+P_dPrecio)</f>
        <v>0</v>
      </c>
      <c r="BW52" s="34" t="n">
        <f aca="false">BW$27*INDEX(Precio_O,7)*INDEX(IdxPrecio_O,1,MIN(10,BW$17))*(1+P_dPrecio)</f>
        <v>0</v>
      </c>
      <c r="BX52" s="34" t="n">
        <f aca="false">BX$27*INDEX(Precio_O,7)*INDEX(IdxPrecio_O,1,MIN(10,BX$17))*(1+P_dPrecio)</f>
        <v>0</v>
      </c>
      <c r="BY52" s="34" t="n">
        <f aca="false">BY$27*INDEX(Precio_O,7)*INDEX(IdxPrecio_O,1,MIN(10,BY$17))*(1+P_dPrecio)</f>
        <v>0</v>
      </c>
      <c r="BZ52" s="34" t="n">
        <f aca="false">BZ$27*INDEX(Precio_O,7)*INDEX(IdxPrecio_O,1,MIN(10,BZ$17))*(1+P_dPrecio)</f>
        <v>0</v>
      </c>
      <c r="CA52" s="34" t="n">
        <f aca="false">CA$27*INDEX(Precio_O,7)*INDEX(IdxPrecio_O,1,MIN(10,CA$17))*(1+P_dPrecio)</f>
        <v>0</v>
      </c>
      <c r="CB52" s="34" t="n">
        <f aca="false">CB$27*INDEX(Precio_O,7)*INDEX(IdxPrecio_O,1,MIN(10,CB$17))*(1+P_dPrecio)</f>
        <v>0</v>
      </c>
      <c r="CC52" s="34" t="n">
        <f aca="false">CC$27*INDEX(Precio_O,7)*INDEX(IdxPrecio_O,1,MIN(10,CC$17))*(1+P_dPrecio)</f>
        <v>0</v>
      </c>
      <c r="CD52" s="34" t="n">
        <f aca="false">CD$27*INDEX(Precio_O,7)*INDEX(IdxPrecio_O,1,MIN(10,CD$17))*(1+P_dPrecio)</f>
        <v>0</v>
      </c>
      <c r="CE52" s="34" t="n">
        <f aca="false">CE$27*INDEX(Precio_O,7)*INDEX(IdxPrecio_O,1,MIN(10,CE$17))*(1+P_dPrecio)</f>
        <v>0</v>
      </c>
      <c r="CF52" s="34" t="n">
        <f aca="false">CF$27*INDEX(Precio_O,7)*INDEX(IdxPrecio_O,1,MIN(10,CF$17))*(1+P_dPrecio)</f>
        <v>0</v>
      </c>
      <c r="CG52" s="34" t="n">
        <f aca="false">CG$27*INDEX(Precio_O,7)*INDEX(IdxPrecio_O,1,MIN(10,CG$17))*(1+P_dPrecio)</f>
        <v>0</v>
      </c>
      <c r="CH52" s="34" t="n">
        <f aca="false">CH$27*INDEX(Precio_O,7)*INDEX(IdxPrecio_O,1,MIN(10,CH$17))*(1+P_dPrecio)</f>
        <v>0</v>
      </c>
      <c r="CI52" s="34" t="n">
        <f aca="false">CI$27*INDEX(Precio_O,7)*INDEX(IdxPrecio_O,1,MIN(10,CI$17))*(1+P_dPrecio)</f>
        <v>0</v>
      </c>
      <c r="CJ52" s="34" t="n">
        <f aca="false">CJ$27*INDEX(Precio_O,7)*INDEX(IdxPrecio_O,1,MIN(10,CJ$17))*(1+P_dPrecio)</f>
        <v>0</v>
      </c>
      <c r="CK52" s="34" t="n">
        <f aca="false">CK$27*INDEX(Precio_O,7)*INDEX(IdxPrecio_O,1,MIN(10,CK$17))*(1+P_dPrecio)</f>
        <v>0</v>
      </c>
      <c r="CL52" s="34" t="n">
        <f aca="false">CL$27*INDEX(Precio_O,7)*INDEX(IdxPrecio_O,1,MIN(10,CL$17))*(1+P_dPrecio)</f>
        <v>0</v>
      </c>
      <c r="CM52" s="34" t="n">
        <f aca="false">CM$27*INDEX(Precio_O,7)*INDEX(IdxPrecio_O,1,MIN(10,CM$17))*(1+P_dPrecio)</f>
        <v>0</v>
      </c>
      <c r="CN52" s="34" t="n">
        <f aca="false">CN$27*INDEX(Precio_O,7)*INDEX(IdxPrecio_O,1,MIN(10,CN$17))*(1+P_dPrecio)</f>
        <v>0</v>
      </c>
      <c r="CO52" s="34" t="n">
        <f aca="false">CO$27*INDEX(Precio_O,7)*INDEX(IdxPrecio_O,1,MIN(10,CO$17))*(1+P_dPrecio)</f>
        <v>0</v>
      </c>
      <c r="CP52" s="34" t="n">
        <f aca="false">CP$27*INDEX(Precio_O,7)*INDEX(IdxPrecio_O,1,MIN(10,CP$17))*(1+P_dPrecio)</f>
        <v>0</v>
      </c>
      <c r="CQ52" s="34" t="n">
        <f aca="false">CQ$27*INDEX(Precio_O,7)*INDEX(IdxPrecio_O,1,MIN(10,CQ$17))*(1+P_dPrecio)</f>
        <v>0</v>
      </c>
      <c r="CR52" s="34" t="n">
        <f aca="false">CR$27*INDEX(Precio_O,7)*INDEX(IdxPrecio_O,1,MIN(10,CR$17))*(1+P_dPrecio)</f>
        <v>0</v>
      </c>
      <c r="CS52" s="34" t="n">
        <f aca="false">CS$27*INDEX(Precio_O,7)*INDEX(IdxPrecio_O,1,MIN(10,CS$17))*(1+P_dPrecio)</f>
        <v>0</v>
      </c>
      <c r="CT52" s="34" t="n">
        <f aca="false">CT$27*INDEX(Precio_O,7)*INDEX(IdxPrecio_O,1,MIN(10,CT$17))*(1+P_dPrecio)</f>
        <v>0</v>
      </c>
      <c r="CU52" s="34" t="n">
        <f aca="false">CU$27*INDEX(Precio_O,7)*INDEX(IdxPrecio_O,1,MIN(10,CU$17))*(1+P_dPrecio)</f>
        <v>0</v>
      </c>
      <c r="CV52" s="34" t="n">
        <f aca="false">CV$27*INDEX(Precio_O,7)*INDEX(IdxPrecio_O,1,MIN(10,CV$17))*(1+P_dPrecio)</f>
        <v>0</v>
      </c>
      <c r="CW52" s="34" t="n">
        <f aca="false">CW$27*INDEX(Precio_O,7)*INDEX(IdxPrecio_O,1,MIN(10,CW$17))*(1+P_dPrecio)</f>
        <v>0</v>
      </c>
      <c r="CX52" s="34" t="n">
        <f aca="false">CX$27*INDEX(Precio_O,7)*INDEX(IdxPrecio_O,1,MIN(10,CX$17))*(1+P_dPrecio)</f>
        <v>0</v>
      </c>
      <c r="CY52" s="34" t="n">
        <f aca="false">CY$27*INDEX(Precio_O,7)*INDEX(IdxPrecio_O,1,MIN(10,CY$17))*(1+P_dPrecio)</f>
        <v>0</v>
      </c>
      <c r="CZ52" s="34" t="n">
        <f aca="false">CZ$27*INDEX(Precio_O,7)*INDEX(IdxPrecio_O,1,MIN(10,CZ$17))*(1+P_dPrecio)</f>
        <v>0</v>
      </c>
      <c r="DA52" s="34" t="n">
        <f aca="false">DA$27*INDEX(Precio_O,7)*INDEX(IdxPrecio_O,1,MIN(10,DA$17))*(1+P_dPrecio)</f>
        <v>0</v>
      </c>
      <c r="DB52" s="34" t="n">
        <f aca="false">DB$27*INDEX(Precio_O,7)*INDEX(IdxPrecio_O,1,MIN(10,DB$17))*(1+P_dPrecio)</f>
        <v>0</v>
      </c>
      <c r="DC52" s="34" t="n">
        <f aca="false">DC$27*INDEX(Precio_O,7)*INDEX(IdxPrecio_O,1,MIN(10,DC$17))*(1+P_dPrecio)</f>
        <v>0</v>
      </c>
      <c r="DD52" s="34" t="n">
        <f aca="false">DD$27*INDEX(Precio_O,7)*INDEX(IdxPrecio_O,1,MIN(10,DD$17))*(1+P_dPrecio)</f>
        <v>0</v>
      </c>
      <c r="DE52" s="34" t="n">
        <f aca="false">DE$27*INDEX(Precio_O,7)*INDEX(IdxPrecio_O,1,MIN(10,DE$17))*(1+P_dPrecio)</f>
        <v>0</v>
      </c>
      <c r="DF52" s="34" t="n">
        <f aca="false">DF$27*INDEX(Precio_O,7)*INDEX(IdxPrecio_O,1,MIN(10,DF$17))*(1+P_dPrecio)</f>
        <v>0</v>
      </c>
      <c r="DG52" s="34" t="n">
        <f aca="false">DG$27*INDEX(Precio_O,7)*INDEX(IdxPrecio_O,1,MIN(10,DG$17))*(1+P_dPrecio)</f>
        <v>0</v>
      </c>
      <c r="DH52" s="34" t="n">
        <f aca="false">DH$27*INDEX(Precio_O,7)*INDEX(IdxPrecio_O,1,MIN(10,DH$17))*(1+P_dPrecio)</f>
        <v>0</v>
      </c>
      <c r="DI52" s="34" t="n">
        <f aca="false">DI$27*INDEX(Precio_O,7)*INDEX(IdxPrecio_O,1,MIN(10,DI$17))*(1+P_dPrecio)</f>
        <v>0</v>
      </c>
      <c r="DJ52" s="34" t="n">
        <f aca="false">DJ$27*INDEX(Precio_O,7)*INDEX(IdxPrecio_O,1,MIN(10,DJ$17))*(1+P_dPrecio)</f>
        <v>0</v>
      </c>
      <c r="DK52" s="34" t="n">
        <f aca="false">DK$27*INDEX(Precio_O,7)*INDEX(IdxPrecio_O,1,MIN(10,DK$17))*(1+P_dPrecio)</f>
        <v>0</v>
      </c>
      <c r="DL52" s="34" t="n">
        <f aca="false">DL$27*INDEX(Precio_O,7)*INDEX(IdxPrecio_O,1,MIN(10,DL$17))*(1+P_dPrecio)</f>
        <v>0</v>
      </c>
      <c r="DM52" s="34" t="n">
        <f aca="false">DM$27*INDEX(Precio_O,7)*INDEX(IdxPrecio_O,1,MIN(10,DM$17))*(1+P_dPrecio)</f>
        <v>0</v>
      </c>
      <c r="DN52" s="34" t="n">
        <f aca="false">DN$27*INDEX(Precio_O,7)*INDEX(IdxPrecio_O,1,MIN(10,DN$17))*(1+P_dPrecio)</f>
        <v>0</v>
      </c>
      <c r="DO52" s="34" t="n">
        <f aca="false">DO$27*INDEX(Precio_O,7)*INDEX(IdxPrecio_O,1,MIN(10,DO$17))*(1+P_dPrecio)</f>
        <v>0</v>
      </c>
      <c r="DP52" s="34" t="n">
        <f aca="false">DP$27*INDEX(Precio_O,7)*INDEX(IdxPrecio_O,1,MIN(10,DP$17))*(1+P_dPrecio)</f>
        <v>0</v>
      </c>
      <c r="DQ52" s="34" t="n">
        <f aca="false">DQ$27*INDEX(Precio_O,7)*INDEX(IdxPrecio_O,1,MIN(10,DQ$17))*(1+P_dPrecio)</f>
        <v>0</v>
      </c>
      <c r="DR52" s="34" t="n">
        <f aca="false">DR$27*INDEX(Precio_O,7)*INDEX(IdxPrecio_O,1,MIN(10,DR$17))*(1+P_dPrecio)</f>
        <v>0</v>
      </c>
      <c r="DS52" s="34" t="n">
        <f aca="false">DS$27*INDEX(Precio_O,7)*INDEX(IdxPrecio_O,1,MIN(10,DS$17))*(1+P_dPrecio)</f>
        <v>0</v>
      </c>
      <c r="DT52" s="34" t="n">
        <f aca="false">DT$27*INDEX(Precio_O,7)*INDEX(IdxPrecio_O,1,MIN(10,DT$17))*(1+P_dPrecio)</f>
        <v>0</v>
      </c>
      <c r="DU52" s="34" t="n">
        <f aca="false">DU$27*INDEX(Precio_O,7)*INDEX(IdxPrecio_O,1,MIN(10,DU$17))*(1+P_dPrecio)</f>
        <v>0</v>
      </c>
      <c r="DV52" s="34" t="n">
        <f aca="false">DV$27*INDEX(Precio_O,7)*INDEX(IdxPrecio_O,1,MIN(10,DV$17))*(1+P_dPrecio)</f>
        <v>0</v>
      </c>
      <c r="DW52" s="34" t="n">
        <f aca="false">DW$27*INDEX(Precio_O,7)*INDEX(IdxPrecio_O,1,MIN(10,DW$17))*(1+P_dPrecio)</f>
        <v>0</v>
      </c>
      <c r="DX52" s="34" t="n">
        <f aca="false">DX$27*INDEX(Precio_O,7)*INDEX(IdxPrecio_O,1,MIN(10,DX$17))*(1+P_dPrecio)</f>
        <v>0</v>
      </c>
      <c r="DY52" s="34" t="n">
        <f aca="false">DY$27*INDEX(Precio_O,7)*INDEX(IdxPrecio_O,1,MIN(10,DY$17))*(1+P_dPrecio)</f>
        <v>0</v>
      </c>
      <c r="DZ52" s="34" t="n">
        <f aca="false">DZ$27*INDEX(Precio_O,7)*INDEX(IdxPrecio_O,1,MIN(10,DZ$17))*(1+P_dPrecio)</f>
        <v>0</v>
      </c>
      <c r="EA52" s="34" t="n">
        <f aca="false">EA$27*INDEX(Precio_O,7)*INDEX(IdxPrecio_O,1,MIN(10,EA$17))*(1+P_dPrecio)</f>
        <v>0</v>
      </c>
      <c r="EB52" s="34" t="n">
        <f aca="false">EB$27*INDEX(Precio_O,7)*INDEX(IdxPrecio_O,1,MIN(10,EB$17))*(1+P_dPrecio)</f>
        <v>0</v>
      </c>
      <c r="EC52" s="34" t="n">
        <f aca="false">EC$27*INDEX(Precio_O,7)*INDEX(IdxPrecio_O,1,MIN(10,EC$17))*(1+P_dPrecio)</f>
        <v>0</v>
      </c>
      <c r="ED52" s="34" t="n">
        <f aca="false">ED$27*INDEX(Precio_O,7)*INDEX(IdxPrecio_O,1,MIN(10,ED$17))*(1+P_dPrecio)</f>
        <v>0</v>
      </c>
      <c r="EE52" s="34" t="n">
        <f aca="false">EE$27*INDEX(Precio_O,7)*INDEX(IdxPrecio_O,1,MIN(10,EE$17))*(1+P_dPrecio)</f>
        <v>0</v>
      </c>
      <c r="EF52" s="34" t="n">
        <f aca="false">EF$27*INDEX(Precio_O,7)*INDEX(IdxPrecio_O,1,MIN(10,EF$17))*(1+P_dPrecio)</f>
        <v>0</v>
      </c>
      <c r="EG52" s="34" t="n">
        <f aca="false">EG$27*INDEX(Precio_O,7)*INDEX(IdxPrecio_O,1,MIN(10,EG$17))*(1+P_dPrecio)</f>
        <v>0</v>
      </c>
      <c r="EH52" s="34" t="n">
        <f aca="false">EH$27*INDEX(Precio_O,7)*INDEX(IdxPrecio_O,1,MIN(10,EH$17))*(1+P_dPrecio)</f>
        <v>0</v>
      </c>
      <c r="EI52" s="34" t="n">
        <f aca="false">EI$27*INDEX(Precio_O,7)*INDEX(IdxPrecio_O,1,MIN(10,EI$17))*(1+P_dPrecio)</f>
        <v>0</v>
      </c>
      <c r="EJ52" s="34" t="n">
        <f aca="false">EJ$27*INDEX(Precio_O,7)*INDEX(IdxPrecio_O,1,MIN(10,EJ$17))*(1+P_dPrecio)</f>
        <v>0</v>
      </c>
      <c r="EK52" s="34" t="n">
        <f aca="false">EK$27*INDEX(Precio_O,7)*INDEX(IdxPrecio_O,1,MIN(10,EK$17))*(1+P_dPrecio)</f>
        <v>0</v>
      </c>
      <c r="EL52" s="34" t="n">
        <f aca="false">EL$27*INDEX(Precio_O,7)*INDEX(IdxPrecio_O,1,MIN(10,EL$17))*(1+P_dPrecio)</f>
        <v>0</v>
      </c>
      <c r="EM52" s="34" t="n">
        <f aca="false">EM$27*INDEX(Precio_O,7)*INDEX(IdxPrecio_O,1,MIN(10,EM$17))*(1+P_dPrecio)</f>
        <v>0</v>
      </c>
      <c r="EN52" s="34" t="n">
        <f aca="false">EN$27*INDEX(Precio_O,7)*INDEX(IdxPrecio_O,1,MIN(10,EN$17))*(1+P_dPrecio)</f>
        <v>0</v>
      </c>
      <c r="EO52" s="34" t="n">
        <f aca="false">EO$27*INDEX(Precio_O,7)*INDEX(IdxPrecio_O,1,MIN(10,EO$17))*(1+P_dPrecio)</f>
        <v>0</v>
      </c>
      <c r="EP52" s="34" t="n">
        <f aca="false">EP$27*INDEX(Precio_O,7)*INDEX(IdxPrecio_O,1,MIN(10,EP$17))*(1+P_dPrecio)</f>
        <v>0</v>
      </c>
      <c r="EQ52" s="34" t="n">
        <f aca="false">EQ$27*INDEX(Precio_O,7)*INDEX(IdxPrecio_O,1,MIN(10,EQ$17))*(1+P_dPrecio)</f>
        <v>0</v>
      </c>
      <c r="ER52" s="34" t="n">
        <f aca="false">ER$27*INDEX(Precio_O,7)*INDEX(IdxPrecio_O,1,MIN(10,ER$17))*(1+P_dPrecio)</f>
        <v>0</v>
      </c>
      <c r="ES52" s="34" t="n">
        <f aca="false">ES$27*INDEX(Precio_O,7)*INDEX(IdxPrecio_O,1,MIN(10,ES$17))*(1+P_dPrecio)</f>
        <v>0</v>
      </c>
    </row>
    <row r="53" customFormat="false" ht="15" hidden="false" customHeight="false" outlineLevel="0" collapsed="false">
      <c r="A53" s="2" t="s">
        <v>616</v>
      </c>
      <c r="B53" s="39" t="str">
        <f aca="false">IF(INDEX(Prod_Nombre,8)="","Producto 8",INDEX(Prod_Nombre,8))&amp;" — ventas USD"</f>
        <v>Producto 8 — ventas USD</v>
      </c>
      <c r="C53" s="6" t="s">
        <v>250</v>
      </c>
      <c r="E53" s="40" t="n">
        <f aca="false">SUM(F53:ES53)</f>
        <v>0</v>
      </c>
      <c r="F53" s="34" t="n">
        <f aca="false">F$28*INDEX(Precio_O,8)*INDEX(IdxPrecio_O,1,MIN(10,F$17))*(1+P_dPrecio)</f>
        <v>0</v>
      </c>
      <c r="G53" s="34" t="n">
        <f aca="false">G$28*INDEX(Precio_O,8)*INDEX(IdxPrecio_O,1,MIN(10,G$17))*(1+P_dPrecio)</f>
        <v>0</v>
      </c>
      <c r="H53" s="34" t="n">
        <f aca="false">H$28*INDEX(Precio_O,8)*INDEX(IdxPrecio_O,1,MIN(10,H$17))*(1+P_dPrecio)</f>
        <v>0</v>
      </c>
      <c r="I53" s="34" t="n">
        <f aca="false">I$28*INDEX(Precio_O,8)*INDEX(IdxPrecio_O,1,MIN(10,I$17))*(1+P_dPrecio)</f>
        <v>0</v>
      </c>
      <c r="J53" s="34" t="n">
        <f aca="false">J$28*INDEX(Precio_O,8)*INDEX(IdxPrecio_O,1,MIN(10,J$17))*(1+P_dPrecio)</f>
        <v>0</v>
      </c>
      <c r="K53" s="34" t="n">
        <f aca="false">K$28*INDEX(Precio_O,8)*INDEX(IdxPrecio_O,1,MIN(10,K$17))*(1+P_dPrecio)</f>
        <v>0</v>
      </c>
      <c r="L53" s="34" t="n">
        <f aca="false">L$28*INDEX(Precio_O,8)*INDEX(IdxPrecio_O,1,MIN(10,L$17))*(1+P_dPrecio)</f>
        <v>0</v>
      </c>
      <c r="M53" s="34" t="n">
        <f aca="false">M$28*INDEX(Precio_O,8)*INDEX(IdxPrecio_O,1,MIN(10,M$17))*(1+P_dPrecio)</f>
        <v>0</v>
      </c>
      <c r="N53" s="34" t="n">
        <f aca="false">N$28*INDEX(Precio_O,8)*INDEX(IdxPrecio_O,1,MIN(10,N$17))*(1+P_dPrecio)</f>
        <v>0</v>
      </c>
      <c r="O53" s="34" t="n">
        <f aca="false">O$28*INDEX(Precio_O,8)*INDEX(IdxPrecio_O,1,MIN(10,O$17))*(1+P_dPrecio)</f>
        <v>0</v>
      </c>
      <c r="P53" s="34" t="n">
        <f aca="false">P$28*INDEX(Precio_O,8)*INDEX(IdxPrecio_O,1,MIN(10,P$17))*(1+P_dPrecio)</f>
        <v>0</v>
      </c>
      <c r="Q53" s="34" t="n">
        <f aca="false">Q$28*INDEX(Precio_O,8)*INDEX(IdxPrecio_O,1,MIN(10,Q$17))*(1+P_dPrecio)</f>
        <v>0</v>
      </c>
      <c r="R53" s="34" t="n">
        <f aca="false">R$28*INDEX(Precio_O,8)*INDEX(IdxPrecio_O,1,MIN(10,R$17))*(1+P_dPrecio)</f>
        <v>0</v>
      </c>
      <c r="S53" s="34" t="n">
        <f aca="false">S$28*INDEX(Precio_O,8)*INDEX(IdxPrecio_O,1,MIN(10,S$17))*(1+P_dPrecio)</f>
        <v>0</v>
      </c>
      <c r="T53" s="34" t="n">
        <f aca="false">T$28*INDEX(Precio_O,8)*INDEX(IdxPrecio_O,1,MIN(10,T$17))*(1+P_dPrecio)</f>
        <v>0</v>
      </c>
      <c r="U53" s="34" t="n">
        <f aca="false">U$28*INDEX(Precio_O,8)*INDEX(IdxPrecio_O,1,MIN(10,U$17))*(1+P_dPrecio)</f>
        <v>0</v>
      </c>
      <c r="V53" s="34" t="n">
        <f aca="false">V$28*INDEX(Precio_O,8)*INDEX(IdxPrecio_O,1,MIN(10,V$17))*(1+P_dPrecio)</f>
        <v>0</v>
      </c>
      <c r="W53" s="34" t="n">
        <f aca="false">W$28*INDEX(Precio_O,8)*INDEX(IdxPrecio_O,1,MIN(10,W$17))*(1+P_dPrecio)</f>
        <v>0</v>
      </c>
      <c r="X53" s="34" t="n">
        <f aca="false">X$28*INDEX(Precio_O,8)*INDEX(IdxPrecio_O,1,MIN(10,X$17))*(1+P_dPrecio)</f>
        <v>0</v>
      </c>
      <c r="Y53" s="34" t="n">
        <f aca="false">Y$28*INDEX(Precio_O,8)*INDEX(IdxPrecio_O,1,MIN(10,Y$17))*(1+P_dPrecio)</f>
        <v>0</v>
      </c>
      <c r="Z53" s="34" t="n">
        <f aca="false">Z$28*INDEX(Precio_O,8)*INDEX(IdxPrecio_O,1,MIN(10,Z$17))*(1+P_dPrecio)</f>
        <v>0</v>
      </c>
      <c r="AA53" s="34" t="n">
        <f aca="false">AA$28*INDEX(Precio_O,8)*INDEX(IdxPrecio_O,1,MIN(10,AA$17))*(1+P_dPrecio)</f>
        <v>0</v>
      </c>
      <c r="AB53" s="34" t="n">
        <f aca="false">AB$28*INDEX(Precio_O,8)*INDEX(IdxPrecio_O,1,MIN(10,AB$17))*(1+P_dPrecio)</f>
        <v>0</v>
      </c>
      <c r="AC53" s="34" t="n">
        <f aca="false">AC$28*INDEX(Precio_O,8)*INDEX(IdxPrecio_O,1,MIN(10,AC$17))*(1+P_dPrecio)</f>
        <v>0</v>
      </c>
      <c r="AD53" s="34" t="n">
        <f aca="false">AD$28*INDEX(Precio_O,8)*INDEX(IdxPrecio_O,1,MIN(10,AD$17))*(1+P_dPrecio)</f>
        <v>0</v>
      </c>
      <c r="AE53" s="34" t="n">
        <f aca="false">AE$28*INDEX(Precio_O,8)*INDEX(IdxPrecio_O,1,MIN(10,AE$17))*(1+P_dPrecio)</f>
        <v>0</v>
      </c>
      <c r="AF53" s="34" t="n">
        <f aca="false">AF$28*INDEX(Precio_O,8)*INDEX(IdxPrecio_O,1,MIN(10,AF$17))*(1+P_dPrecio)</f>
        <v>0</v>
      </c>
      <c r="AG53" s="34" t="n">
        <f aca="false">AG$28*INDEX(Precio_O,8)*INDEX(IdxPrecio_O,1,MIN(10,AG$17))*(1+P_dPrecio)</f>
        <v>0</v>
      </c>
      <c r="AH53" s="34" t="n">
        <f aca="false">AH$28*INDEX(Precio_O,8)*INDEX(IdxPrecio_O,1,MIN(10,AH$17))*(1+P_dPrecio)</f>
        <v>0</v>
      </c>
      <c r="AI53" s="34" t="n">
        <f aca="false">AI$28*INDEX(Precio_O,8)*INDEX(IdxPrecio_O,1,MIN(10,AI$17))*(1+P_dPrecio)</f>
        <v>0</v>
      </c>
      <c r="AJ53" s="34" t="n">
        <f aca="false">AJ$28*INDEX(Precio_O,8)*INDEX(IdxPrecio_O,1,MIN(10,AJ$17))*(1+P_dPrecio)</f>
        <v>0</v>
      </c>
      <c r="AK53" s="34" t="n">
        <f aca="false">AK$28*INDEX(Precio_O,8)*INDEX(IdxPrecio_O,1,MIN(10,AK$17))*(1+P_dPrecio)</f>
        <v>0</v>
      </c>
      <c r="AL53" s="34" t="n">
        <f aca="false">AL$28*INDEX(Precio_O,8)*INDEX(IdxPrecio_O,1,MIN(10,AL$17))*(1+P_dPrecio)</f>
        <v>0</v>
      </c>
      <c r="AM53" s="34" t="n">
        <f aca="false">AM$28*INDEX(Precio_O,8)*INDEX(IdxPrecio_O,1,MIN(10,AM$17))*(1+P_dPrecio)</f>
        <v>0</v>
      </c>
      <c r="AN53" s="34" t="n">
        <f aca="false">AN$28*INDEX(Precio_O,8)*INDEX(IdxPrecio_O,1,MIN(10,AN$17))*(1+P_dPrecio)</f>
        <v>0</v>
      </c>
      <c r="AO53" s="34" t="n">
        <f aca="false">AO$28*INDEX(Precio_O,8)*INDEX(IdxPrecio_O,1,MIN(10,AO$17))*(1+P_dPrecio)</f>
        <v>0</v>
      </c>
      <c r="AP53" s="34" t="n">
        <f aca="false">AP$28*INDEX(Precio_O,8)*INDEX(IdxPrecio_O,1,MIN(10,AP$17))*(1+P_dPrecio)</f>
        <v>0</v>
      </c>
      <c r="AQ53" s="34" t="n">
        <f aca="false">AQ$28*INDEX(Precio_O,8)*INDEX(IdxPrecio_O,1,MIN(10,AQ$17))*(1+P_dPrecio)</f>
        <v>0</v>
      </c>
      <c r="AR53" s="34" t="n">
        <f aca="false">AR$28*INDEX(Precio_O,8)*INDEX(IdxPrecio_O,1,MIN(10,AR$17))*(1+P_dPrecio)</f>
        <v>0</v>
      </c>
      <c r="AS53" s="34" t="n">
        <f aca="false">AS$28*INDEX(Precio_O,8)*INDEX(IdxPrecio_O,1,MIN(10,AS$17))*(1+P_dPrecio)</f>
        <v>0</v>
      </c>
      <c r="AT53" s="34" t="n">
        <f aca="false">AT$28*INDEX(Precio_O,8)*INDEX(IdxPrecio_O,1,MIN(10,AT$17))*(1+P_dPrecio)</f>
        <v>0</v>
      </c>
      <c r="AU53" s="34" t="n">
        <f aca="false">AU$28*INDEX(Precio_O,8)*INDEX(IdxPrecio_O,1,MIN(10,AU$17))*(1+P_dPrecio)</f>
        <v>0</v>
      </c>
      <c r="AV53" s="34" t="n">
        <f aca="false">AV$28*INDEX(Precio_O,8)*INDEX(IdxPrecio_O,1,MIN(10,AV$17))*(1+P_dPrecio)</f>
        <v>0</v>
      </c>
      <c r="AW53" s="34" t="n">
        <f aca="false">AW$28*INDEX(Precio_O,8)*INDEX(IdxPrecio_O,1,MIN(10,AW$17))*(1+P_dPrecio)</f>
        <v>0</v>
      </c>
      <c r="AX53" s="34" t="n">
        <f aca="false">AX$28*INDEX(Precio_O,8)*INDEX(IdxPrecio_O,1,MIN(10,AX$17))*(1+P_dPrecio)</f>
        <v>0</v>
      </c>
      <c r="AY53" s="34" t="n">
        <f aca="false">AY$28*INDEX(Precio_O,8)*INDEX(IdxPrecio_O,1,MIN(10,AY$17))*(1+P_dPrecio)</f>
        <v>0</v>
      </c>
      <c r="AZ53" s="34" t="n">
        <f aca="false">AZ$28*INDEX(Precio_O,8)*INDEX(IdxPrecio_O,1,MIN(10,AZ$17))*(1+P_dPrecio)</f>
        <v>0</v>
      </c>
      <c r="BA53" s="34" t="n">
        <f aca="false">BA$28*INDEX(Precio_O,8)*INDEX(IdxPrecio_O,1,MIN(10,BA$17))*(1+P_dPrecio)</f>
        <v>0</v>
      </c>
      <c r="BB53" s="34" t="n">
        <f aca="false">BB$28*INDEX(Precio_O,8)*INDEX(IdxPrecio_O,1,MIN(10,BB$17))*(1+P_dPrecio)</f>
        <v>0</v>
      </c>
      <c r="BC53" s="34" t="n">
        <f aca="false">BC$28*INDEX(Precio_O,8)*INDEX(IdxPrecio_O,1,MIN(10,BC$17))*(1+P_dPrecio)</f>
        <v>0</v>
      </c>
      <c r="BD53" s="34" t="n">
        <f aca="false">BD$28*INDEX(Precio_O,8)*INDEX(IdxPrecio_O,1,MIN(10,BD$17))*(1+P_dPrecio)</f>
        <v>0</v>
      </c>
      <c r="BE53" s="34" t="n">
        <f aca="false">BE$28*INDEX(Precio_O,8)*INDEX(IdxPrecio_O,1,MIN(10,BE$17))*(1+P_dPrecio)</f>
        <v>0</v>
      </c>
      <c r="BF53" s="34" t="n">
        <f aca="false">BF$28*INDEX(Precio_O,8)*INDEX(IdxPrecio_O,1,MIN(10,BF$17))*(1+P_dPrecio)</f>
        <v>0</v>
      </c>
      <c r="BG53" s="34" t="n">
        <f aca="false">BG$28*INDEX(Precio_O,8)*INDEX(IdxPrecio_O,1,MIN(10,BG$17))*(1+P_dPrecio)</f>
        <v>0</v>
      </c>
      <c r="BH53" s="34" t="n">
        <f aca="false">BH$28*INDEX(Precio_O,8)*INDEX(IdxPrecio_O,1,MIN(10,BH$17))*(1+P_dPrecio)</f>
        <v>0</v>
      </c>
      <c r="BI53" s="34" t="n">
        <f aca="false">BI$28*INDEX(Precio_O,8)*INDEX(IdxPrecio_O,1,MIN(10,BI$17))*(1+P_dPrecio)</f>
        <v>0</v>
      </c>
      <c r="BJ53" s="34" t="n">
        <f aca="false">BJ$28*INDEX(Precio_O,8)*INDEX(IdxPrecio_O,1,MIN(10,BJ$17))*(1+P_dPrecio)</f>
        <v>0</v>
      </c>
      <c r="BK53" s="34" t="n">
        <f aca="false">BK$28*INDEX(Precio_O,8)*INDEX(IdxPrecio_O,1,MIN(10,BK$17))*(1+P_dPrecio)</f>
        <v>0</v>
      </c>
      <c r="BL53" s="34" t="n">
        <f aca="false">BL$28*INDEX(Precio_O,8)*INDEX(IdxPrecio_O,1,MIN(10,BL$17))*(1+P_dPrecio)</f>
        <v>0</v>
      </c>
      <c r="BM53" s="34" t="n">
        <f aca="false">BM$28*INDEX(Precio_O,8)*INDEX(IdxPrecio_O,1,MIN(10,BM$17))*(1+P_dPrecio)</f>
        <v>0</v>
      </c>
      <c r="BN53" s="34" t="n">
        <f aca="false">BN$28*INDEX(Precio_O,8)*INDEX(IdxPrecio_O,1,MIN(10,BN$17))*(1+P_dPrecio)</f>
        <v>0</v>
      </c>
      <c r="BO53" s="34" t="n">
        <f aca="false">BO$28*INDEX(Precio_O,8)*INDEX(IdxPrecio_O,1,MIN(10,BO$17))*(1+P_dPrecio)</f>
        <v>0</v>
      </c>
      <c r="BP53" s="34" t="n">
        <f aca="false">BP$28*INDEX(Precio_O,8)*INDEX(IdxPrecio_O,1,MIN(10,BP$17))*(1+P_dPrecio)</f>
        <v>0</v>
      </c>
      <c r="BQ53" s="34" t="n">
        <f aca="false">BQ$28*INDEX(Precio_O,8)*INDEX(IdxPrecio_O,1,MIN(10,BQ$17))*(1+P_dPrecio)</f>
        <v>0</v>
      </c>
      <c r="BR53" s="34" t="n">
        <f aca="false">BR$28*INDEX(Precio_O,8)*INDEX(IdxPrecio_O,1,MIN(10,BR$17))*(1+P_dPrecio)</f>
        <v>0</v>
      </c>
      <c r="BS53" s="34" t="n">
        <f aca="false">BS$28*INDEX(Precio_O,8)*INDEX(IdxPrecio_O,1,MIN(10,BS$17))*(1+P_dPrecio)</f>
        <v>0</v>
      </c>
      <c r="BT53" s="34" t="n">
        <f aca="false">BT$28*INDEX(Precio_O,8)*INDEX(IdxPrecio_O,1,MIN(10,BT$17))*(1+P_dPrecio)</f>
        <v>0</v>
      </c>
      <c r="BU53" s="34" t="n">
        <f aca="false">BU$28*INDEX(Precio_O,8)*INDEX(IdxPrecio_O,1,MIN(10,BU$17))*(1+P_dPrecio)</f>
        <v>0</v>
      </c>
      <c r="BV53" s="34" t="n">
        <f aca="false">BV$28*INDEX(Precio_O,8)*INDEX(IdxPrecio_O,1,MIN(10,BV$17))*(1+P_dPrecio)</f>
        <v>0</v>
      </c>
      <c r="BW53" s="34" t="n">
        <f aca="false">BW$28*INDEX(Precio_O,8)*INDEX(IdxPrecio_O,1,MIN(10,BW$17))*(1+P_dPrecio)</f>
        <v>0</v>
      </c>
      <c r="BX53" s="34" t="n">
        <f aca="false">BX$28*INDEX(Precio_O,8)*INDEX(IdxPrecio_O,1,MIN(10,BX$17))*(1+P_dPrecio)</f>
        <v>0</v>
      </c>
      <c r="BY53" s="34" t="n">
        <f aca="false">BY$28*INDEX(Precio_O,8)*INDEX(IdxPrecio_O,1,MIN(10,BY$17))*(1+P_dPrecio)</f>
        <v>0</v>
      </c>
      <c r="BZ53" s="34" t="n">
        <f aca="false">BZ$28*INDEX(Precio_O,8)*INDEX(IdxPrecio_O,1,MIN(10,BZ$17))*(1+P_dPrecio)</f>
        <v>0</v>
      </c>
      <c r="CA53" s="34" t="n">
        <f aca="false">CA$28*INDEX(Precio_O,8)*INDEX(IdxPrecio_O,1,MIN(10,CA$17))*(1+P_dPrecio)</f>
        <v>0</v>
      </c>
      <c r="CB53" s="34" t="n">
        <f aca="false">CB$28*INDEX(Precio_O,8)*INDEX(IdxPrecio_O,1,MIN(10,CB$17))*(1+P_dPrecio)</f>
        <v>0</v>
      </c>
      <c r="CC53" s="34" t="n">
        <f aca="false">CC$28*INDEX(Precio_O,8)*INDEX(IdxPrecio_O,1,MIN(10,CC$17))*(1+P_dPrecio)</f>
        <v>0</v>
      </c>
      <c r="CD53" s="34" t="n">
        <f aca="false">CD$28*INDEX(Precio_O,8)*INDEX(IdxPrecio_O,1,MIN(10,CD$17))*(1+P_dPrecio)</f>
        <v>0</v>
      </c>
      <c r="CE53" s="34" t="n">
        <f aca="false">CE$28*INDEX(Precio_O,8)*INDEX(IdxPrecio_O,1,MIN(10,CE$17))*(1+P_dPrecio)</f>
        <v>0</v>
      </c>
      <c r="CF53" s="34" t="n">
        <f aca="false">CF$28*INDEX(Precio_O,8)*INDEX(IdxPrecio_O,1,MIN(10,CF$17))*(1+P_dPrecio)</f>
        <v>0</v>
      </c>
      <c r="CG53" s="34" t="n">
        <f aca="false">CG$28*INDEX(Precio_O,8)*INDEX(IdxPrecio_O,1,MIN(10,CG$17))*(1+P_dPrecio)</f>
        <v>0</v>
      </c>
      <c r="CH53" s="34" t="n">
        <f aca="false">CH$28*INDEX(Precio_O,8)*INDEX(IdxPrecio_O,1,MIN(10,CH$17))*(1+P_dPrecio)</f>
        <v>0</v>
      </c>
      <c r="CI53" s="34" t="n">
        <f aca="false">CI$28*INDEX(Precio_O,8)*INDEX(IdxPrecio_O,1,MIN(10,CI$17))*(1+P_dPrecio)</f>
        <v>0</v>
      </c>
      <c r="CJ53" s="34" t="n">
        <f aca="false">CJ$28*INDEX(Precio_O,8)*INDEX(IdxPrecio_O,1,MIN(10,CJ$17))*(1+P_dPrecio)</f>
        <v>0</v>
      </c>
      <c r="CK53" s="34" t="n">
        <f aca="false">CK$28*INDEX(Precio_O,8)*INDEX(IdxPrecio_O,1,MIN(10,CK$17))*(1+P_dPrecio)</f>
        <v>0</v>
      </c>
      <c r="CL53" s="34" t="n">
        <f aca="false">CL$28*INDEX(Precio_O,8)*INDEX(IdxPrecio_O,1,MIN(10,CL$17))*(1+P_dPrecio)</f>
        <v>0</v>
      </c>
      <c r="CM53" s="34" t="n">
        <f aca="false">CM$28*INDEX(Precio_O,8)*INDEX(IdxPrecio_O,1,MIN(10,CM$17))*(1+P_dPrecio)</f>
        <v>0</v>
      </c>
      <c r="CN53" s="34" t="n">
        <f aca="false">CN$28*INDEX(Precio_O,8)*INDEX(IdxPrecio_O,1,MIN(10,CN$17))*(1+P_dPrecio)</f>
        <v>0</v>
      </c>
      <c r="CO53" s="34" t="n">
        <f aca="false">CO$28*INDEX(Precio_O,8)*INDEX(IdxPrecio_O,1,MIN(10,CO$17))*(1+P_dPrecio)</f>
        <v>0</v>
      </c>
      <c r="CP53" s="34" t="n">
        <f aca="false">CP$28*INDEX(Precio_O,8)*INDEX(IdxPrecio_O,1,MIN(10,CP$17))*(1+P_dPrecio)</f>
        <v>0</v>
      </c>
      <c r="CQ53" s="34" t="n">
        <f aca="false">CQ$28*INDEX(Precio_O,8)*INDEX(IdxPrecio_O,1,MIN(10,CQ$17))*(1+P_dPrecio)</f>
        <v>0</v>
      </c>
      <c r="CR53" s="34" t="n">
        <f aca="false">CR$28*INDEX(Precio_O,8)*INDEX(IdxPrecio_O,1,MIN(10,CR$17))*(1+P_dPrecio)</f>
        <v>0</v>
      </c>
      <c r="CS53" s="34" t="n">
        <f aca="false">CS$28*INDEX(Precio_O,8)*INDEX(IdxPrecio_O,1,MIN(10,CS$17))*(1+P_dPrecio)</f>
        <v>0</v>
      </c>
      <c r="CT53" s="34" t="n">
        <f aca="false">CT$28*INDEX(Precio_O,8)*INDEX(IdxPrecio_O,1,MIN(10,CT$17))*(1+P_dPrecio)</f>
        <v>0</v>
      </c>
      <c r="CU53" s="34" t="n">
        <f aca="false">CU$28*INDEX(Precio_O,8)*INDEX(IdxPrecio_O,1,MIN(10,CU$17))*(1+P_dPrecio)</f>
        <v>0</v>
      </c>
      <c r="CV53" s="34" t="n">
        <f aca="false">CV$28*INDEX(Precio_O,8)*INDEX(IdxPrecio_O,1,MIN(10,CV$17))*(1+P_dPrecio)</f>
        <v>0</v>
      </c>
      <c r="CW53" s="34" t="n">
        <f aca="false">CW$28*INDEX(Precio_O,8)*INDEX(IdxPrecio_O,1,MIN(10,CW$17))*(1+P_dPrecio)</f>
        <v>0</v>
      </c>
      <c r="CX53" s="34" t="n">
        <f aca="false">CX$28*INDEX(Precio_O,8)*INDEX(IdxPrecio_O,1,MIN(10,CX$17))*(1+P_dPrecio)</f>
        <v>0</v>
      </c>
      <c r="CY53" s="34" t="n">
        <f aca="false">CY$28*INDEX(Precio_O,8)*INDEX(IdxPrecio_O,1,MIN(10,CY$17))*(1+P_dPrecio)</f>
        <v>0</v>
      </c>
      <c r="CZ53" s="34" t="n">
        <f aca="false">CZ$28*INDEX(Precio_O,8)*INDEX(IdxPrecio_O,1,MIN(10,CZ$17))*(1+P_dPrecio)</f>
        <v>0</v>
      </c>
      <c r="DA53" s="34" t="n">
        <f aca="false">DA$28*INDEX(Precio_O,8)*INDEX(IdxPrecio_O,1,MIN(10,DA$17))*(1+P_dPrecio)</f>
        <v>0</v>
      </c>
      <c r="DB53" s="34" t="n">
        <f aca="false">DB$28*INDEX(Precio_O,8)*INDEX(IdxPrecio_O,1,MIN(10,DB$17))*(1+P_dPrecio)</f>
        <v>0</v>
      </c>
      <c r="DC53" s="34" t="n">
        <f aca="false">DC$28*INDEX(Precio_O,8)*INDEX(IdxPrecio_O,1,MIN(10,DC$17))*(1+P_dPrecio)</f>
        <v>0</v>
      </c>
      <c r="DD53" s="34" t="n">
        <f aca="false">DD$28*INDEX(Precio_O,8)*INDEX(IdxPrecio_O,1,MIN(10,DD$17))*(1+P_dPrecio)</f>
        <v>0</v>
      </c>
      <c r="DE53" s="34" t="n">
        <f aca="false">DE$28*INDEX(Precio_O,8)*INDEX(IdxPrecio_O,1,MIN(10,DE$17))*(1+P_dPrecio)</f>
        <v>0</v>
      </c>
      <c r="DF53" s="34" t="n">
        <f aca="false">DF$28*INDEX(Precio_O,8)*INDEX(IdxPrecio_O,1,MIN(10,DF$17))*(1+P_dPrecio)</f>
        <v>0</v>
      </c>
      <c r="DG53" s="34" t="n">
        <f aca="false">DG$28*INDEX(Precio_O,8)*INDEX(IdxPrecio_O,1,MIN(10,DG$17))*(1+P_dPrecio)</f>
        <v>0</v>
      </c>
      <c r="DH53" s="34" t="n">
        <f aca="false">DH$28*INDEX(Precio_O,8)*INDEX(IdxPrecio_O,1,MIN(10,DH$17))*(1+P_dPrecio)</f>
        <v>0</v>
      </c>
      <c r="DI53" s="34" t="n">
        <f aca="false">DI$28*INDEX(Precio_O,8)*INDEX(IdxPrecio_O,1,MIN(10,DI$17))*(1+P_dPrecio)</f>
        <v>0</v>
      </c>
      <c r="DJ53" s="34" t="n">
        <f aca="false">DJ$28*INDEX(Precio_O,8)*INDEX(IdxPrecio_O,1,MIN(10,DJ$17))*(1+P_dPrecio)</f>
        <v>0</v>
      </c>
      <c r="DK53" s="34" t="n">
        <f aca="false">DK$28*INDEX(Precio_O,8)*INDEX(IdxPrecio_O,1,MIN(10,DK$17))*(1+P_dPrecio)</f>
        <v>0</v>
      </c>
      <c r="DL53" s="34" t="n">
        <f aca="false">DL$28*INDEX(Precio_O,8)*INDEX(IdxPrecio_O,1,MIN(10,DL$17))*(1+P_dPrecio)</f>
        <v>0</v>
      </c>
      <c r="DM53" s="34" t="n">
        <f aca="false">DM$28*INDEX(Precio_O,8)*INDEX(IdxPrecio_O,1,MIN(10,DM$17))*(1+P_dPrecio)</f>
        <v>0</v>
      </c>
      <c r="DN53" s="34" t="n">
        <f aca="false">DN$28*INDEX(Precio_O,8)*INDEX(IdxPrecio_O,1,MIN(10,DN$17))*(1+P_dPrecio)</f>
        <v>0</v>
      </c>
      <c r="DO53" s="34" t="n">
        <f aca="false">DO$28*INDEX(Precio_O,8)*INDEX(IdxPrecio_O,1,MIN(10,DO$17))*(1+P_dPrecio)</f>
        <v>0</v>
      </c>
      <c r="DP53" s="34" t="n">
        <f aca="false">DP$28*INDEX(Precio_O,8)*INDEX(IdxPrecio_O,1,MIN(10,DP$17))*(1+P_dPrecio)</f>
        <v>0</v>
      </c>
      <c r="DQ53" s="34" t="n">
        <f aca="false">DQ$28*INDEX(Precio_O,8)*INDEX(IdxPrecio_O,1,MIN(10,DQ$17))*(1+P_dPrecio)</f>
        <v>0</v>
      </c>
      <c r="DR53" s="34" t="n">
        <f aca="false">DR$28*INDEX(Precio_O,8)*INDEX(IdxPrecio_O,1,MIN(10,DR$17))*(1+P_dPrecio)</f>
        <v>0</v>
      </c>
      <c r="DS53" s="34" t="n">
        <f aca="false">DS$28*INDEX(Precio_O,8)*INDEX(IdxPrecio_O,1,MIN(10,DS$17))*(1+P_dPrecio)</f>
        <v>0</v>
      </c>
      <c r="DT53" s="34" t="n">
        <f aca="false">DT$28*INDEX(Precio_O,8)*INDEX(IdxPrecio_O,1,MIN(10,DT$17))*(1+P_dPrecio)</f>
        <v>0</v>
      </c>
      <c r="DU53" s="34" t="n">
        <f aca="false">DU$28*INDEX(Precio_O,8)*INDEX(IdxPrecio_O,1,MIN(10,DU$17))*(1+P_dPrecio)</f>
        <v>0</v>
      </c>
      <c r="DV53" s="34" t="n">
        <f aca="false">DV$28*INDEX(Precio_O,8)*INDEX(IdxPrecio_O,1,MIN(10,DV$17))*(1+P_dPrecio)</f>
        <v>0</v>
      </c>
      <c r="DW53" s="34" t="n">
        <f aca="false">DW$28*INDEX(Precio_O,8)*INDEX(IdxPrecio_O,1,MIN(10,DW$17))*(1+P_dPrecio)</f>
        <v>0</v>
      </c>
      <c r="DX53" s="34" t="n">
        <f aca="false">DX$28*INDEX(Precio_O,8)*INDEX(IdxPrecio_O,1,MIN(10,DX$17))*(1+P_dPrecio)</f>
        <v>0</v>
      </c>
      <c r="DY53" s="34" t="n">
        <f aca="false">DY$28*INDEX(Precio_O,8)*INDEX(IdxPrecio_O,1,MIN(10,DY$17))*(1+P_dPrecio)</f>
        <v>0</v>
      </c>
      <c r="DZ53" s="34" t="n">
        <f aca="false">DZ$28*INDEX(Precio_O,8)*INDEX(IdxPrecio_O,1,MIN(10,DZ$17))*(1+P_dPrecio)</f>
        <v>0</v>
      </c>
      <c r="EA53" s="34" t="n">
        <f aca="false">EA$28*INDEX(Precio_O,8)*INDEX(IdxPrecio_O,1,MIN(10,EA$17))*(1+P_dPrecio)</f>
        <v>0</v>
      </c>
      <c r="EB53" s="34" t="n">
        <f aca="false">EB$28*INDEX(Precio_O,8)*INDEX(IdxPrecio_O,1,MIN(10,EB$17))*(1+P_dPrecio)</f>
        <v>0</v>
      </c>
      <c r="EC53" s="34" t="n">
        <f aca="false">EC$28*INDEX(Precio_O,8)*INDEX(IdxPrecio_O,1,MIN(10,EC$17))*(1+P_dPrecio)</f>
        <v>0</v>
      </c>
      <c r="ED53" s="34" t="n">
        <f aca="false">ED$28*INDEX(Precio_O,8)*INDEX(IdxPrecio_O,1,MIN(10,ED$17))*(1+P_dPrecio)</f>
        <v>0</v>
      </c>
      <c r="EE53" s="34" t="n">
        <f aca="false">EE$28*INDEX(Precio_O,8)*INDEX(IdxPrecio_O,1,MIN(10,EE$17))*(1+P_dPrecio)</f>
        <v>0</v>
      </c>
      <c r="EF53" s="34" t="n">
        <f aca="false">EF$28*INDEX(Precio_O,8)*INDEX(IdxPrecio_O,1,MIN(10,EF$17))*(1+P_dPrecio)</f>
        <v>0</v>
      </c>
      <c r="EG53" s="34" t="n">
        <f aca="false">EG$28*INDEX(Precio_O,8)*INDEX(IdxPrecio_O,1,MIN(10,EG$17))*(1+P_dPrecio)</f>
        <v>0</v>
      </c>
      <c r="EH53" s="34" t="n">
        <f aca="false">EH$28*INDEX(Precio_O,8)*INDEX(IdxPrecio_O,1,MIN(10,EH$17))*(1+P_dPrecio)</f>
        <v>0</v>
      </c>
      <c r="EI53" s="34" t="n">
        <f aca="false">EI$28*INDEX(Precio_O,8)*INDEX(IdxPrecio_O,1,MIN(10,EI$17))*(1+P_dPrecio)</f>
        <v>0</v>
      </c>
      <c r="EJ53" s="34" t="n">
        <f aca="false">EJ$28*INDEX(Precio_O,8)*INDEX(IdxPrecio_O,1,MIN(10,EJ$17))*(1+P_dPrecio)</f>
        <v>0</v>
      </c>
      <c r="EK53" s="34" t="n">
        <f aca="false">EK$28*INDEX(Precio_O,8)*INDEX(IdxPrecio_O,1,MIN(10,EK$17))*(1+P_dPrecio)</f>
        <v>0</v>
      </c>
      <c r="EL53" s="34" t="n">
        <f aca="false">EL$28*INDEX(Precio_O,8)*INDEX(IdxPrecio_O,1,MIN(10,EL$17))*(1+P_dPrecio)</f>
        <v>0</v>
      </c>
      <c r="EM53" s="34" t="n">
        <f aca="false">EM$28*INDEX(Precio_O,8)*INDEX(IdxPrecio_O,1,MIN(10,EM$17))*(1+P_dPrecio)</f>
        <v>0</v>
      </c>
      <c r="EN53" s="34" t="n">
        <f aca="false">EN$28*INDEX(Precio_O,8)*INDEX(IdxPrecio_O,1,MIN(10,EN$17))*(1+P_dPrecio)</f>
        <v>0</v>
      </c>
      <c r="EO53" s="34" t="n">
        <f aca="false">EO$28*INDEX(Precio_O,8)*INDEX(IdxPrecio_O,1,MIN(10,EO$17))*(1+P_dPrecio)</f>
        <v>0</v>
      </c>
      <c r="EP53" s="34" t="n">
        <f aca="false">EP$28*INDEX(Precio_O,8)*INDEX(IdxPrecio_O,1,MIN(10,EP$17))*(1+P_dPrecio)</f>
        <v>0</v>
      </c>
      <c r="EQ53" s="34" t="n">
        <f aca="false">EQ$28*INDEX(Precio_O,8)*INDEX(IdxPrecio_O,1,MIN(10,EQ$17))*(1+P_dPrecio)</f>
        <v>0</v>
      </c>
      <c r="ER53" s="34" t="n">
        <f aca="false">ER$28*INDEX(Precio_O,8)*INDEX(IdxPrecio_O,1,MIN(10,ER$17))*(1+P_dPrecio)</f>
        <v>0</v>
      </c>
      <c r="ES53" s="34" t="n">
        <f aca="false">ES$28*INDEX(Precio_O,8)*INDEX(IdxPrecio_O,1,MIN(10,ES$17))*(1+P_dPrecio)</f>
        <v>0</v>
      </c>
    </row>
    <row r="54" customFormat="false" ht="15" hidden="false" customHeight="false" outlineLevel="0" collapsed="false">
      <c r="A54" s="2" t="s">
        <v>617</v>
      </c>
      <c r="B54" s="39" t="str">
        <f aca="false">IF(INDEX(Prod_Nombre,9)="","Producto 9",INDEX(Prod_Nombre,9))&amp;" — ventas USD"</f>
        <v>Producto 9 — ventas USD</v>
      </c>
      <c r="C54" s="6" t="s">
        <v>250</v>
      </c>
      <c r="E54" s="40" t="n">
        <f aca="false">SUM(F54:ES54)</f>
        <v>0</v>
      </c>
      <c r="F54" s="34" t="n">
        <f aca="false">F$29*INDEX(Precio_O,9)*INDEX(IdxPrecio_O,1,MIN(10,F$17))*(1+P_dPrecio)</f>
        <v>0</v>
      </c>
      <c r="G54" s="34" t="n">
        <f aca="false">G$29*INDEX(Precio_O,9)*INDEX(IdxPrecio_O,1,MIN(10,G$17))*(1+P_dPrecio)</f>
        <v>0</v>
      </c>
      <c r="H54" s="34" t="n">
        <f aca="false">H$29*INDEX(Precio_O,9)*INDEX(IdxPrecio_O,1,MIN(10,H$17))*(1+P_dPrecio)</f>
        <v>0</v>
      </c>
      <c r="I54" s="34" t="n">
        <f aca="false">I$29*INDEX(Precio_O,9)*INDEX(IdxPrecio_O,1,MIN(10,I$17))*(1+P_dPrecio)</f>
        <v>0</v>
      </c>
      <c r="J54" s="34" t="n">
        <f aca="false">J$29*INDEX(Precio_O,9)*INDEX(IdxPrecio_O,1,MIN(10,J$17))*(1+P_dPrecio)</f>
        <v>0</v>
      </c>
      <c r="K54" s="34" t="n">
        <f aca="false">K$29*INDEX(Precio_O,9)*INDEX(IdxPrecio_O,1,MIN(10,K$17))*(1+P_dPrecio)</f>
        <v>0</v>
      </c>
      <c r="L54" s="34" t="n">
        <f aca="false">L$29*INDEX(Precio_O,9)*INDEX(IdxPrecio_O,1,MIN(10,L$17))*(1+P_dPrecio)</f>
        <v>0</v>
      </c>
      <c r="M54" s="34" t="n">
        <f aca="false">M$29*INDEX(Precio_O,9)*INDEX(IdxPrecio_O,1,MIN(10,M$17))*(1+P_dPrecio)</f>
        <v>0</v>
      </c>
      <c r="N54" s="34" t="n">
        <f aca="false">N$29*INDEX(Precio_O,9)*INDEX(IdxPrecio_O,1,MIN(10,N$17))*(1+P_dPrecio)</f>
        <v>0</v>
      </c>
      <c r="O54" s="34" t="n">
        <f aca="false">O$29*INDEX(Precio_O,9)*INDEX(IdxPrecio_O,1,MIN(10,O$17))*(1+P_dPrecio)</f>
        <v>0</v>
      </c>
      <c r="P54" s="34" t="n">
        <f aca="false">P$29*INDEX(Precio_O,9)*INDEX(IdxPrecio_O,1,MIN(10,P$17))*(1+P_dPrecio)</f>
        <v>0</v>
      </c>
      <c r="Q54" s="34" t="n">
        <f aca="false">Q$29*INDEX(Precio_O,9)*INDEX(IdxPrecio_O,1,MIN(10,Q$17))*(1+P_dPrecio)</f>
        <v>0</v>
      </c>
      <c r="R54" s="34" t="n">
        <f aca="false">R$29*INDEX(Precio_O,9)*INDEX(IdxPrecio_O,1,MIN(10,R$17))*(1+P_dPrecio)</f>
        <v>0</v>
      </c>
      <c r="S54" s="34" t="n">
        <f aca="false">S$29*INDEX(Precio_O,9)*INDEX(IdxPrecio_O,1,MIN(10,S$17))*(1+P_dPrecio)</f>
        <v>0</v>
      </c>
      <c r="T54" s="34" t="n">
        <f aca="false">T$29*INDEX(Precio_O,9)*INDEX(IdxPrecio_O,1,MIN(10,T$17))*(1+P_dPrecio)</f>
        <v>0</v>
      </c>
      <c r="U54" s="34" t="n">
        <f aca="false">U$29*INDEX(Precio_O,9)*INDEX(IdxPrecio_O,1,MIN(10,U$17))*(1+P_dPrecio)</f>
        <v>0</v>
      </c>
      <c r="V54" s="34" t="n">
        <f aca="false">V$29*INDEX(Precio_O,9)*INDEX(IdxPrecio_O,1,MIN(10,V$17))*(1+P_dPrecio)</f>
        <v>0</v>
      </c>
      <c r="W54" s="34" t="n">
        <f aca="false">W$29*INDEX(Precio_O,9)*INDEX(IdxPrecio_O,1,MIN(10,W$17))*(1+P_dPrecio)</f>
        <v>0</v>
      </c>
      <c r="X54" s="34" t="n">
        <f aca="false">X$29*INDEX(Precio_O,9)*INDEX(IdxPrecio_O,1,MIN(10,X$17))*(1+P_dPrecio)</f>
        <v>0</v>
      </c>
      <c r="Y54" s="34" t="n">
        <f aca="false">Y$29*INDEX(Precio_O,9)*INDEX(IdxPrecio_O,1,MIN(10,Y$17))*(1+P_dPrecio)</f>
        <v>0</v>
      </c>
      <c r="Z54" s="34" t="n">
        <f aca="false">Z$29*INDEX(Precio_O,9)*INDEX(IdxPrecio_O,1,MIN(10,Z$17))*(1+P_dPrecio)</f>
        <v>0</v>
      </c>
      <c r="AA54" s="34" t="n">
        <f aca="false">AA$29*INDEX(Precio_O,9)*INDEX(IdxPrecio_O,1,MIN(10,AA$17))*(1+P_dPrecio)</f>
        <v>0</v>
      </c>
      <c r="AB54" s="34" t="n">
        <f aca="false">AB$29*INDEX(Precio_O,9)*INDEX(IdxPrecio_O,1,MIN(10,AB$17))*(1+P_dPrecio)</f>
        <v>0</v>
      </c>
      <c r="AC54" s="34" t="n">
        <f aca="false">AC$29*INDEX(Precio_O,9)*INDEX(IdxPrecio_O,1,MIN(10,AC$17))*(1+P_dPrecio)</f>
        <v>0</v>
      </c>
      <c r="AD54" s="34" t="n">
        <f aca="false">AD$29*INDEX(Precio_O,9)*INDEX(IdxPrecio_O,1,MIN(10,AD$17))*(1+P_dPrecio)</f>
        <v>0</v>
      </c>
      <c r="AE54" s="34" t="n">
        <f aca="false">AE$29*INDEX(Precio_O,9)*INDEX(IdxPrecio_O,1,MIN(10,AE$17))*(1+P_dPrecio)</f>
        <v>0</v>
      </c>
      <c r="AF54" s="34" t="n">
        <f aca="false">AF$29*INDEX(Precio_O,9)*INDEX(IdxPrecio_O,1,MIN(10,AF$17))*(1+P_dPrecio)</f>
        <v>0</v>
      </c>
      <c r="AG54" s="34" t="n">
        <f aca="false">AG$29*INDEX(Precio_O,9)*INDEX(IdxPrecio_O,1,MIN(10,AG$17))*(1+P_dPrecio)</f>
        <v>0</v>
      </c>
      <c r="AH54" s="34" t="n">
        <f aca="false">AH$29*INDEX(Precio_O,9)*INDEX(IdxPrecio_O,1,MIN(10,AH$17))*(1+P_dPrecio)</f>
        <v>0</v>
      </c>
      <c r="AI54" s="34" t="n">
        <f aca="false">AI$29*INDEX(Precio_O,9)*INDEX(IdxPrecio_O,1,MIN(10,AI$17))*(1+P_dPrecio)</f>
        <v>0</v>
      </c>
      <c r="AJ54" s="34" t="n">
        <f aca="false">AJ$29*INDEX(Precio_O,9)*INDEX(IdxPrecio_O,1,MIN(10,AJ$17))*(1+P_dPrecio)</f>
        <v>0</v>
      </c>
      <c r="AK54" s="34" t="n">
        <f aca="false">AK$29*INDEX(Precio_O,9)*INDEX(IdxPrecio_O,1,MIN(10,AK$17))*(1+P_dPrecio)</f>
        <v>0</v>
      </c>
      <c r="AL54" s="34" t="n">
        <f aca="false">AL$29*INDEX(Precio_O,9)*INDEX(IdxPrecio_O,1,MIN(10,AL$17))*(1+P_dPrecio)</f>
        <v>0</v>
      </c>
      <c r="AM54" s="34" t="n">
        <f aca="false">AM$29*INDEX(Precio_O,9)*INDEX(IdxPrecio_O,1,MIN(10,AM$17))*(1+P_dPrecio)</f>
        <v>0</v>
      </c>
      <c r="AN54" s="34" t="n">
        <f aca="false">AN$29*INDEX(Precio_O,9)*INDEX(IdxPrecio_O,1,MIN(10,AN$17))*(1+P_dPrecio)</f>
        <v>0</v>
      </c>
      <c r="AO54" s="34" t="n">
        <f aca="false">AO$29*INDEX(Precio_O,9)*INDEX(IdxPrecio_O,1,MIN(10,AO$17))*(1+P_dPrecio)</f>
        <v>0</v>
      </c>
      <c r="AP54" s="34" t="n">
        <f aca="false">AP$29*INDEX(Precio_O,9)*INDEX(IdxPrecio_O,1,MIN(10,AP$17))*(1+P_dPrecio)</f>
        <v>0</v>
      </c>
      <c r="AQ54" s="34" t="n">
        <f aca="false">AQ$29*INDEX(Precio_O,9)*INDEX(IdxPrecio_O,1,MIN(10,AQ$17))*(1+P_dPrecio)</f>
        <v>0</v>
      </c>
      <c r="AR54" s="34" t="n">
        <f aca="false">AR$29*INDEX(Precio_O,9)*INDEX(IdxPrecio_O,1,MIN(10,AR$17))*(1+P_dPrecio)</f>
        <v>0</v>
      </c>
      <c r="AS54" s="34" t="n">
        <f aca="false">AS$29*INDEX(Precio_O,9)*INDEX(IdxPrecio_O,1,MIN(10,AS$17))*(1+P_dPrecio)</f>
        <v>0</v>
      </c>
      <c r="AT54" s="34" t="n">
        <f aca="false">AT$29*INDEX(Precio_O,9)*INDEX(IdxPrecio_O,1,MIN(10,AT$17))*(1+P_dPrecio)</f>
        <v>0</v>
      </c>
      <c r="AU54" s="34" t="n">
        <f aca="false">AU$29*INDEX(Precio_O,9)*INDEX(IdxPrecio_O,1,MIN(10,AU$17))*(1+P_dPrecio)</f>
        <v>0</v>
      </c>
      <c r="AV54" s="34" t="n">
        <f aca="false">AV$29*INDEX(Precio_O,9)*INDEX(IdxPrecio_O,1,MIN(10,AV$17))*(1+P_dPrecio)</f>
        <v>0</v>
      </c>
      <c r="AW54" s="34" t="n">
        <f aca="false">AW$29*INDEX(Precio_O,9)*INDEX(IdxPrecio_O,1,MIN(10,AW$17))*(1+P_dPrecio)</f>
        <v>0</v>
      </c>
      <c r="AX54" s="34" t="n">
        <f aca="false">AX$29*INDEX(Precio_O,9)*INDEX(IdxPrecio_O,1,MIN(10,AX$17))*(1+P_dPrecio)</f>
        <v>0</v>
      </c>
      <c r="AY54" s="34" t="n">
        <f aca="false">AY$29*INDEX(Precio_O,9)*INDEX(IdxPrecio_O,1,MIN(10,AY$17))*(1+P_dPrecio)</f>
        <v>0</v>
      </c>
      <c r="AZ54" s="34" t="n">
        <f aca="false">AZ$29*INDEX(Precio_O,9)*INDEX(IdxPrecio_O,1,MIN(10,AZ$17))*(1+P_dPrecio)</f>
        <v>0</v>
      </c>
      <c r="BA54" s="34" t="n">
        <f aca="false">BA$29*INDEX(Precio_O,9)*INDEX(IdxPrecio_O,1,MIN(10,BA$17))*(1+P_dPrecio)</f>
        <v>0</v>
      </c>
      <c r="BB54" s="34" t="n">
        <f aca="false">BB$29*INDEX(Precio_O,9)*INDEX(IdxPrecio_O,1,MIN(10,BB$17))*(1+P_dPrecio)</f>
        <v>0</v>
      </c>
      <c r="BC54" s="34" t="n">
        <f aca="false">BC$29*INDEX(Precio_O,9)*INDEX(IdxPrecio_O,1,MIN(10,BC$17))*(1+P_dPrecio)</f>
        <v>0</v>
      </c>
      <c r="BD54" s="34" t="n">
        <f aca="false">BD$29*INDEX(Precio_O,9)*INDEX(IdxPrecio_O,1,MIN(10,BD$17))*(1+P_dPrecio)</f>
        <v>0</v>
      </c>
      <c r="BE54" s="34" t="n">
        <f aca="false">BE$29*INDEX(Precio_O,9)*INDEX(IdxPrecio_O,1,MIN(10,BE$17))*(1+P_dPrecio)</f>
        <v>0</v>
      </c>
      <c r="BF54" s="34" t="n">
        <f aca="false">BF$29*INDEX(Precio_O,9)*INDEX(IdxPrecio_O,1,MIN(10,BF$17))*(1+P_dPrecio)</f>
        <v>0</v>
      </c>
      <c r="BG54" s="34" t="n">
        <f aca="false">BG$29*INDEX(Precio_O,9)*INDEX(IdxPrecio_O,1,MIN(10,BG$17))*(1+P_dPrecio)</f>
        <v>0</v>
      </c>
      <c r="BH54" s="34" t="n">
        <f aca="false">BH$29*INDEX(Precio_O,9)*INDEX(IdxPrecio_O,1,MIN(10,BH$17))*(1+P_dPrecio)</f>
        <v>0</v>
      </c>
      <c r="BI54" s="34" t="n">
        <f aca="false">BI$29*INDEX(Precio_O,9)*INDEX(IdxPrecio_O,1,MIN(10,BI$17))*(1+P_dPrecio)</f>
        <v>0</v>
      </c>
      <c r="BJ54" s="34" t="n">
        <f aca="false">BJ$29*INDEX(Precio_O,9)*INDEX(IdxPrecio_O,1,MIN(10,BJ$17))*(1+P_dPrecio)</f>
        <v>0</v>
      </c>
      <c r="BK54" s="34" t="n">
        <f aca="false">BK$29*INDEX(Precio_O,9)*INDEX(IdxPrecio_O,1,MIN(10,BK$17))*(1+P_dPrecio)</f>
        <v>0</v>
      </c>
      <c r="BL54" s="34" t="n">
        <f aca="false">BL$29*INDEX(Precio_O,9)*INDEX(IdxPrecio_O,1,MIN(10,BL$17))*(1+P_dPrecio)</f>
        <v>0</v>
      </c>
      <c r="BM54" s="34" t="n">
        <f aca="false">BM$29*INDEX(Precio_O,9)*INDEX(IdxPrecio_O,1,MIN(10,BM$17))*(1+P_dPrecio)</f>
        <v>0</v>
      </c>
      <c r="BN54" s="34" t="n">
        <f aca="false">BN$29*INDEX(Precio_O,9)*INDEX(IdxPrecio_O,1,MIN(10,BN$17))*(1+P_dPrecio)</f>
        <v>0</v>
      </c>
      <c r="BO54" s="34" t="n">
        <f aca="false">BO$29*INDEX(Precio_O,9)*INDEX(IdxPrecio_O,1,MIN(10,BO$17))*(1+P_dPrecio)</f>
        <v>0</v>
      </c>
      <c r="BP54" s="34" t="n">
        <f aca="false">BP$29*INDEX(Precio_O,9)*INDEX(IdxPrecio_O,1,MIN(10,BP$17))*(1+P_dPrecio)</f>
        <v>0</v>
      </c>
      <c r="BQ54" s="34" t="n">
        <f aca="false">BQ$29*INDEX(Precio_O,9)*INDEX(IdxPrecio_O,1,MIN(10,BQ$17))*(1+P_dPrecio)</f>
        <v>0</v>
      </c>
      <c r="BR54" s="34" t="n">
        <f aca="false">BR$29*INDEX(Precio_O,9)*INDEX(IdxPrecio_O,1,MIN(10,BR$17))*(1+P_dPrecio)</f>
        <v>0</v>
      </c>
      <c r="BS54" s="34" t="n">
        <f aca="false">BS$29*INDEX(Precio_O,9)*INDEX(IdxPrecio_O,1,MIN(10,BS$17))*(1+P_dPrecio)</f>
        <v>0</v>
      </c>
      <c r="BT54" s="34" t="n">
        <f aca="false">BT$29*INDEX(Precio_O,9)*INDEX(IdxPrecio_O,1,MIN(10,BT$17))*(1+P_dPrecio)</f>
        <v>0</v>
      </c>
      <c r="BU54" s="34" t="n">
        <f aca="false">BU$29*INDEX(Precio_O,9)*INDEX(IdxPrecio_O,1,MIN(10,BU$17))*(1+P_dPrecio)</f>
        <v>0</v>
      </c>
      <c r="BV54" s="34" t="n">
        <f aca="false">BV$29*INDEX(Precio_O,9)*INDEX(IdxPrecio_O,1,MIN(10,BV$17))*(1+P_dPrecio)</f>
        <v>0</v>
      </c>
      <c r="BW54" s="34" t="n">
        <f aca="false">BW$29*INDEX(Precio_O,9)*INDEX(IdxPrecio_O,1,MIN(10,BW$17))*(1+P_dPrecio)</f>
        <v>0</v>
      </c>
      <c r="BX54" s="34" t="n">
        <f aca="false">BX$29*INDEX(Precio_O,9)*INDEX(IdxPrecio_O,1,MIN(10,BX$17))*(1+P_dPrecio)</f>
        <v>0</v>
      </c>
      <c r="BY54" s="34" t="n">
        <f aca="false">BY$29*INDEX(Precio_O,9)*INDEX(IdxPrecio_O,1,MIN(10,BY$17))*(1+P_dPrecio)</f>
        <v>0</v>
      </c>
      <c r="BZ54" s="34" t="n">
        <f aca="false">BZ$29*INDEX(Precio_O,9)*INDEX(IdxPrecio_O,1,MIN(10,BZ$17))*(1+P_dPrecio)</f>
        <v>0</v>
      </c>
      <c r="CA54" s="34" t="n">
        <f aca="false">CA$29*INDEX(Precio_O,9)*INDEX(IdxPrecio_O,1,MIN(10,CA$17))*(1+P_dPrecio)</f>
        <v>0</v>
      </c>
      <c r="CB54" s="34" t="n">
        <f aca="false">CB$29*INDEX(Precio_O,9)*INDEX(IdxPrecio_O,1,MIN(10,CB$17))*(1+P_dPrecio)</f>
        <v>0</v>
      </c>
      <c r="CC54" s="34" t="n">
        <f aca="false">CC$29*INDEX(Precio_O,9)*INDEX(IdxPrecio_O,1,MIN(10,CC$17))*(1+P_dPrecio)</f>
        <v>0</v>
      </c>
      <c r="CD54" s="34" t="n">
        <f aca="false">CD$29*INDEX(Precio_O,9)*INDEX(IdxPrecio_O,1,MIN(10,CD$17))*(1+P_dPrecio)</f>
        <v>0</v>
      </c>
      <c r="CE54" s="34" t="n">
        <f aca="false">CE$29*INDEX(Precio_O,9)*INDEX(IdxPrecio_O,1,MIN(10,CE$17))*(1+P_dPrecio)</f>
        <v>0</v>
      </c>
      <c r="CF54" s="34" t="n">
        <f aca="false">CF$29*INDEX(Precio_O,9)*INDEX(IdxPrecio_O,1,MIN(10,CF$17))*(1+P_dPrecio)</f>
        <v>0</v>
      </c>
      <c r="CG54" s="34" t="n">
        <f aca="false">CG$29*INDEX(Precio_O,9)*INDEX(IdxPrecio_O,1,MIN(10,CG$17))*(1+P_dPrecio)</f>
        <v>0</v>
      </c>
      <c r="CH54" s="34" t="n">
        <f aca="false">CH$29*INDEX(Precio_O,9)*INDEX(IdxPrecio_O,1,MIN(10,CH$17))*(1+P_dPrecio)</f>
        <v>0</v>
      </c>
      <c r="CI54" s="34" t="n">
        <f aca="false">CI$29*INDEX(Precio_O,9)*INDEX(IdxPrecio_O,1,MIN(10,CI$17))*(1+P_dPrecio)</f>
        <v>0</v>
      </c>
      <c r="CJ54" s="34" t="n">
        <f aca="false">CJ$29*INDEX(Precio_O,9)*INDEX(IdxPrecio_O,1,MIN(10,CJ$17))*(1+P_dPrecio)</f>
        <v>0</v>
      </c>
      <c r="CK54" s="34" t="n">
        <f aca="false">CK$29*INDEX(Precio_O,9)*INDEX(IdxPrecio_O,1,MIN(10,CK$17))*(1+P_dPrecio)</f>
        <v>0</v>
      </c>
      <c r="CL54" s="34" t="n">
        <f aca="false">CL$29*INDEX(Precio_O,9)*INDEX(IdxPrecio_O,1,MIN(10,CL$17))*(1+P_dPrecio)</f>
        <v>0</v>
      </c>
      <c r="CM54" s="34" t="n">
        <f aca="false">CM$29*INDEX(Precio_O,9)*INDEX(IdxPrecio_O,1,MIN(10,CM$17))*(1+P_dPrecio)</f>
        <v>0</v>
      </c>
      <c r="CN54" s="34" t="n">
        <f aca="false">CN$29*INDEX(Precio_O,9)*INDEX(IdxPrecio_O,1,MIN(10,CN$17))*(1+P_dPrecio)</f>
        <v>0</v>
      </c>
      <c r="CO54" s="34" t="n">
        <f aca="false">CO$29*INDEX(Precio_O,9)*INDEX(IdxPrecio_O,1,MIN(10,CO$17))*(1+P_dPrecio)</f>
        <v>0</v>
      </c>
      <c r="CP54" s="34" t="n">
        <f aca="false">CP$29*INDEX(Precio_O,9)*INDEX(IdxPrecio_O,1,MIN(10,CP$17))*(1+P_dPrecio)</f>
        <v>0</v>
      </c>
      <c r="CQ54" s="34" t="n">
        <f aca="false">CQ$29*INDEX(Precio_O,9)*INDEX(IdxPrecio_O,1,MIN(10,CQ$17))*(1+P_dPrecio)</f>
        <v>0</v>
      </c>
      <c r="CR54" s="34" t="n">
        <f aca="false">CR$29*INDEX(Precio_O,9)*INDEX(IdxPrecio_O,1,MIN(10,CR$17))*(1+P_dPrecio)</f>
        <v>0</v>
      </c>
      <c r="CS54" s="34" t="n">
        <f aca="false">CS$29*INDEX(Precio_O,9)*INDEX(IdxPrecio_O,1,MIN(10,CS$17))*(1+P_dPrecio)</f>
        <v>0</v>
      </c>
      <c r="CT54" s="34" t="n">
        <f aca="false">CT$29*INDEX(Precio_O,9)*INDEX(IdxPrecio_O,1,MIN(10,CT$17))*(1+P_dPrecio)</f>
        <v>0</v>
      </c>
      <c r="CU54" s="34" t="n">
        <f aca="false">CU$29*INDEX(Precio_O,9)*INDEX(IdxPrecio_O,1,MIN(10,CU$17))*(1+P_dPrecio)</f>
        <v>0</v>
      </c>
      <c r="CV54" s="34" t="n">
        <f aca="false">CV$29*INDEX(Precio_O,9)*INDEX(IdxPrecio_O,1,MIN(10,CV$17))*(1+P_dPrecio)</f>
        <v>0</v>
      </c>
      <c r="CW54" s="34" t="n">
        <f aca="false">CW$29*INDEX(Precio_O,9)*INDEX(IdxPrecio_O,1,MIN(10,CW$17))*(1+P_dPrecio)</f>
        <v>0</v>
      </c>
      <c r="CX54" s="34" t="n">
        <f aca="false">CX$29*INDEX(Precio_O,9)*INDEX(IdxPrecio_O,1,MIN(10,CX$17))*(1+P_dPrecio)</f>
        <v>0</v>
      </c>
      <c r="CY54" s="34" t="n">
        <f aca="false">CY$29*INDEX(Precio_O,9)*INDEX(IdxPrecio_O,1,MIN(10,CY$17))*(1+P_dPrecio)</f>
        <v>0</v>
      </c>
      <c r="CZ54" s="34" t="n">
        <f aca="false">CZ$29*INDEX(Precio_O,9)*INDEX(IdxPrecio_O,1,MIN(10,CZ$17))*(1+P_dPrecio)</f>
        <v>0</v>
      </c>
      <c r="DA54" s="34" t="n">
        <f aca="false">DA$29*INDEX(Precio_O,9)*INDEX(IdxPrecio_O,1,MIN(10,DA$17))*(1+P_dPrecio)</f>
        <v>0</v>
      </c>
      <c r="DB54" s="34" t="n">
        <f aca="false">DB$29*INDEX(Precio_O,9)*INDEX(IdxPrecio_O,1,MIN(10,DB$17))*(1+P_dPrecio)</f>
        <v>0</v>
      </c>
      <c r="DC54" s="34" t="n">
        <f aca="false">DC$29*INDEX(Precio_O,9)*INDEX(IdxPrecio_O,1,MIN(10,DC$17))*(1+P_dPrecio)</f>
        <v>0</v>
      </c>
      <c r="DD54" s="34" t="n">
        <f aca="false">DD$29*INDEX(Precio_O,9)*INDEX(IdxPrecio_O,1,MIN(10,DD$17))*(1+P_dPrecio)</f>
        <v>0</v>
      </c>
      <c r="DE54" s="34" t="n">
        <f aca="false">DE$29*INDEX(Precio_O,9)*INDEX(IdxPrecio_O,1,MIN(10,DE$17))*(1+P_dPrecio)</f>
        <v>0</v>
      </c>
      <c r="DF54" s="34" t="n">
        <f aca="false">DF$29*INDEX(Precio_O,9)*INDEX(IdxPrecio_O,1,MIN(10,DF$17))*(1+P_dPrecio)</f>
        <v>0</v>
      </c>
      <c r="DG54" s="34" t="n">
        <f aca="false">DG$29*INDEX(Precio_O,9)*INDEX(IdxPrecio_O,1,MIN(10,DG$17))*(1+P_dPrecio)</f>
        <v>0</v>
      </c>
      <c r="DH54" s="34" t="n">
        <f aca="false">DH$29*INDEX(Precio_O,9)*INDEX(IdxPrecio_O,1,MIN(10,DH$17))*(1+P_dPrecio)</f>
        <v>0</v>
      </c>
      <c r="DI54" s="34" t="n">
        <f aca="false">DI$29*INDEX(Precio_O,9)*INDEX(IdxPrecio_O,1,MIN(10,DI$17))*(1+P_dPrecio)</f>
        <v>0</v>
      </c>
      <c r="DJ54" s="34" t="n">
        <f aca="false">DJ$29*INDEX(Precio_O,9)*INDEX(IdxPrecio_O,1,MIN(10,DJ$17))*(1+P_dPrecio)</f>
        <v>0</v>
      </c>
      <c r="DK54" s="34" t="n">
        <f aca="false">DK$29*INDEX(Precio_O,9)*INDEX(IdxPrecio_O,1,MIN(10,DK$17))*(1+P_dPrecio)</f>
        <v>0</v>
      </c>
      <c r="DL54" s="34" t="n">
        <f aca="false">DL$29*INDEX(Precio_O,9)*INDEX(IdxPrecio_O,1,MIN(10,DL$17))*(1+P_dPrecio)</f>
        <v>0</v>
      </c>
      <c r="DM54" s="34" t="n">
        <f aca="false">DM$29*INDEX(Precio_O,9)*INDEX(IdxPrecio_O,1,MIN(10,DM$17))*(1+P_dPrecio)</f>
        <v>0</v>
      </c>
      <c r="DN54" s="34" t="n">
        <f aca="false">DN$29*INDEX(Precio_O,9)*INDEX(IdxPrecio_O,1,MIN(10,DN$17))*(1+P_dPrecio)</f>
        <v>0</v>
      </c>
      <c r="DO54" s="34" t="n">
        <f aca="false">DO$29*INDEX(Precio_O,9)*INDEX(IdxPrecio_O,1,MIN(10,DO$17))*(1+P_dPrecio)</f>
        <v>0</v>
      </c>
      <c r="DP54" s="34" t="n">
        <f aca="false">DP$29*INDEX(Precio_O,9)*INDEX(IdxPrecio_O,1,MIN(10,DP$17))*(1+P_dPrecio)</f>
        <v>0</v>
      </c>
      <c r="DQ54" s="34" t="n">
        <f aca="false">DQ$29*INDEX(Precio_O,9)*INDEX(IdxPrecio_O,1,MIN(10,DQ$17))*(1+P_dPrecio)</f>
        <v>0</v>
      </c>
      <c r="DR54" s="34" t="n">
        <f aca="false">DR$29*INDEX(Precio_O,9)*INDEX(IdxPrecio_O,1,MIN(10,DR$17))*(1+P_dPrecio)</f>
        <v>0</v>
      </c>
      <c r="DS54" s="34" t="n">
        <f aca="false">DS$29*INDEX(Precio_O,9)*INDEX(IdxPrecio_O,1,MIN(10,DS$17))*(1+P_dPrecio)</f>
        <v>0</v>
      </c>
      <c r="DT54" s="34" t="n">
        <f aca="false">DT$29*INDEX(Precio_O,9)*INDEX(IdxPrecio_O,1,MIN(10,DT$17))*(1+P_dPrecio)</f>
        <v>0</v>
      </c>
      <c r="DU54" s="34" t="n">
        <f aca="false">DU$29*INDEX(Precio_O,9)*INDEX(IdxPrecio_O,1,MIN(10,DU$17))*(1+P_dPrecio)</f>
        <v>0</v>
      </c>
      <c r="DV54" s="34" t="n">
        <f aca="false">DV$29*INDEX(Precio_O,9)*INDEX(IdxPrecio_O,1,MIN(10,DV$17))*(1+P_dPrecio)</f>
        <v>0</v>
      </c>
      <c r="DW54" s="34" t="n">
        <f aca="false">DW$29*INDEX(Precio_O,9)*INDEX(IdxPrecio_O,1,MIN(10,DW$17))*(1+P_dPrecio)</f>
        <v>0</v>
      </c>
      <c r="DX54" s="34" t="n">
        <f aca="false">DX$29*INDEX(Precio_O,9)*INDEX(IdxPrecio_O,1,MIN(10,DX$17))*(1+P_dPrecio)</f>
        <v>0</v>
      </c>
      <c r="DY54" s="34" t="n">
        <f aca="false">DY$29*INDEX(Precio_O,9)*INDEX(IdxPrecio_O,1,MIN(10,DY$17))*(1+P_dPrecio)</f>
        <v>0</v>
      </c>
      <c r="DZ54" s="34" t="n">
        <f aca="false">DZ$29*INDEX(Precio_O,9)*INDEX(IdxPrecio_O,1,MIN(10,DZ$17))*(1+P_dPrecio)</f>
        <v>0</v>
      </c>
      <c r="EA54" s="34" t="n">
        <f aca="false">EA$29*INDEX(Precio_O,9)*INDEX(IdxPrecio_O,1,MIN(10,EA$17))*(1+P_dPrecio)</f>
        <v>0</v>
      </c>
      <c r="EB54" s="34" t="n">
        <f aca="false">EB$29*INDEX(Precio_O,9)*INDEX(IdxPrecio_O,1,MIN(10,EB$17))*(1+P_dPrecio)</f>
        <v>0</v>
      </c>
      <c r="EC54" s="34" t="n">
        <f aca="false">EC$29*INDEX(Precio_O,9)*INDEX(IdxPrecio_O,1,MIN(10,EC$17))*(1+P_dPrecio)</f>
        <v>0</v>
      </c>
      <c r="ED54" s="34" t="n">
        <f aca="false">ED$29*INDEX(Precio_O,9)*INDEX(IdxPrecio_O,1,MIN(10,ED$17))*(1+P_dPrecio)</f>
        <v>0</v>
      </c>
      <c r="EE54" s="34" t="n">
        <f aca="false">EE$29*INDEX(Precio_O,9)*INDEX(IdxPrecio_O,1,MIN(10,EE$17))*(1+P_dPrecio)</f>
        <v>0</v>
      </c>
      <c r="EF54" s="34" t="n">
        <f aca="false">EF$29*INDEX(Precio_O,9)*INDEX(IdxPrecio_O,1,MIN(10,EF$17))*(1+P_dPrecio)</f>
        <v>0</v>
      </c>
      <c r="EG54" s="34" t="n">
        <f aca="false">EG$29*INDEX(Precio_O,9)*INDEX(IdxPrecio_O,1,MIN(10,EG$17))*(1+P_dPrecio)</f>
        <v>0</v>
      </c>
      <c r="EH54" s="34" t="n">
        <f aca="false">EH$29*INDEX(Precio_O,9)*INDEX(IdxPrecio_O,1,MIN(10,EH$17))*(1+P_dPrecio)</f>
        <v>0</v>
      </c>
      <c r="EI54" s="34" t="n">
        <f aca="false">EI$29*INDEX(Precio_O,9)*INDEX(IdxPrecio_O,1,MIN(10,EI$17))*(1+P_dPrecio)</f>
        <v>0</v>
      </c>
      <c r="EJ54" s="34" t="n">
        <f aca="false">EJ$29*INDEX(Precio_O,9)*INDEX(IdxPrecio_O,1,MIN(10,EJ$17))*(1+P_dPrecio)</f>
        <v>0</v>
      </c>
      <c r="EK54" s="34" t="n">
        <f aca="false">EK$29*INDEX(Precio_O,9)*INDEX(IdxPrecio_O,1,MIN(10,EK$17))*(1+P_dPrecio)</f>
        <v>0</v>
      </c>
      <c r="EL54" s="34" t="n">
        <f aca="false">EL$29*INDEX(Precio_O,9)*INDEX(IdxPrecio_O,1,MIN(10,EL$17))*(1+P_dPrecio)</f>
        <v>0</v>
      </c>
      <c r="EM54" s="34" t="n">
        <f aca="false">EM$29*INDEX(Precio_O,9)*INDEX(IdxPrecio_O,1,MIN(10,EM$17))*(1+P_dPrecio)</f>
        <v>0</v>
      </c>
      <c r="EN54" s="34" t="n">
        <f aca="false">EN$29*INDEX(Precio_O,9)*INDEX(IdxPrecio_O,1,MIN(10,EN$17))*(1+P_dPrecio)</f>
        <v>0</v>
      </c>
      <c r="EO54" s="34" t="n">
        <f aca="false">EO$29*INDEX(Precio_O,9)*INDEX(IdxPrecio_O,1,MIN(10,EO$17))*(1+P_dPrecio)</f>
        <v>0</v>
      </c>
      <c r="EP54" s="34" t="n">
        <f aca="false">EP$29*INDEX(Precio_O,9)*INDEX(IdxPrecio_O,1,MIN(10,EP$17))*(1+P_dPrecio)</f>
        <v>0</v>
      </c>
      <c r="EQ54" s="34" t="n">
        <f aca="false">EQ$29*INDEX(Precio_O,9)*INDEX(IdxPrecio_O,1,MIN(10,EQ$17))*(1+P_dPrecio)</f>
        <v>0</v>
      </c>
      <c r="ER54" s="34" t="n">
        <f aca="false">ER$29*INDEX(Precio_O,9)*INDEX(IdxPrecio_O,1,MIN(10,ER$17))*(1+P_dPrecio)</f>
        <v>0</v>
      </c>
      <c r="ES54" s="34" t="n">
        <f aca="false">ES$29*INDEX(Precio_O,9)*INDEX(IdxPrecio_O,1,MIN(10,ES$17))*(1+P_dPrecio)</f>
        <v>0</v>
      </c>
    </row>
    <row r="55" customFormat="false" ht="15" hidden="false" customHeight="false" outlineLevel="0" collapsed="false">
      <c r="A55" s="2" t="s">
        <v>618</v>
      </c>
      <c r="B55" s="39" t="str">
        <f aca="false">IF(INDEX(Prod_Nombre,10)="","Producto 10",INDEX(Prod_Nombre,10))&amp;" — ventas USD"</f>
        <v>Producto 10 — ventas USD</v>
      </c>
      <c r="C55" s="6" t="s">
        <v>250</v>
      </c>
      <c r="E55" s="40" t="n">
        <f aca="false">SUM(F55:ES55)</f>
        <v>0</v>
      </c>
      <c r="F55" s="34" t="n">
        <f aca="false">F$30*INDEX(Precio_O,10)*INDEX(IdxPrecio_O,1,MIN(10,F$17))*(1+P_dPrecio)</f>
        <v>0</v>
      </c>
      <c r="G55" s="34" t="n">
        <f aca="false">G$30*INDEX(Precio_O,10)*INDEX(IdxPrecio_O,1,MIN(10,G$17))*(1+P_dPrecio)</f>
        <v>0</v>
      </c>
      <c r="H55" s="34" t="n">
        <f aca="false">H$30*INDEX(Precio_O,10)*INDEX(IdxPrecio_O,1,MIN(10,H$17))*(1+P_dPrecio)</f>
        <v>0</v>
      </c>
      <c r="I55" s="34" t="n">
        <f aca="false">I$30*INDEX(Precio_O,10)*INDEX(IdxPrecio_O,1,MIN(10,I$17))*(1+P_dPrecio)</f>
        <v>0</v>
      </c>
      <c r="J55" s="34" t="n">
        <f aca="false">J$30*INDEX(Precio_O,10)*INDEX(IdxPrecio_O,1,MIN(10,J$17))*(1+P_dPrecio)</f>
        <v>0</v>
      </c>
      <c r="K55" s="34" t="n">
        <f aca="false">K$30*INDEX(Precio_O,10)*INDEX(IdxPrecio_O,1,MIN(10,K$17))*(1+P_dPrecio)</f>
        <v>0</v>
      </c>
      <c r="L55" s="34" t="n">
        <f aca="false">L$30*INDEX(Precio_O,10)*INDEX(IdxPrecio_O,1,MIN(10,L$17))*(1+P_dPrecio)</f>
        <v>0</v>
      </c>
      <c r="M55" s="34" t="n">
        <f aca="false">M$30*INDEX(Precio_O,10)*INDEX(IdxPrecio_O,1,MIN(10,M$17))*(1+P_dPrecio)</f>
        <v>0</v>
      </c>
      <c r="N55" s="34" t="n">
        <f aca="false">N$30*INDEX(Precio_O,10)*INDEX(IdxPrecio_O,1,MIN(10,N$17))*(1+P_dPrecio)</f>
        <v>0</v>
      </c>
      <c r="O55" s="34" t="n">
        <f aca="false">O$30*INDEX(Precio_O,10)*INDEX(IdxPrecio_O,1,MIN(10,O$17))*(1+P_dPrecio)</f>
        <v>0</v>
      </c>
      <c r="P55" s="34" t="n">
        <f aca="false">P$30*INDEX(Precio_O,10)*INDEX(IdxPrecio_O,1,MIN(10,P$17))*(1+P_dPrecio)</f>
        <v>0</v>
      </c>
      <c r="Q55" s="34" t="n">
        <f aca="false">Q$30*INDEX(Precio_O,10)*INDEX(IdxPrecio_O,1,MIN(10,Q$17))*(1+P_dPrecio)</f>
        <v>0</v>
      </c>
      <c r="R55" s="34" t="n">
        <f aca="false">R$30*INDEX(Precio_O,10)*INDEX(IdxPrecio_O,1,MIN(10,R$17))*(1+P_dPrecio)</f>
        <v>0</v>
      </c>
      <c r="S55" s="34" t="n">
        <f aca="false">S$30*INDEX(Precio_O,10)*INDEX(IdxPrecio_O,1,MIN(10,S$17))*(1+P_dPrecio)</f>
        <v>0</v>
      </c>
      <c r="T55" s="34" t="n">
        <f aca="false">T$30*INDEX(Precio_O,10)*INDEX(IdxPrecio_O,1,MIN(10,T$17))*(1+P_dPrecio)</f>
        <v>0</v>
      </c>
      <c r="U55" s="34" t="n">
        <f aca="false">U$30*INDEX(Precio_O,10)*INDEX(IdxPrecio_O,1,MIN(10,U$17))*(1+P_dPrecio)</f>
        <v>0</v>
      </c>
      <c r="V55" s="34" t="n">
        <f aca="false">V$30*INDEX(Precio_O,10)*INDEX(IdxPrecio_O,1,MIN(10,V$17))*(1+P_dPrecio)</f>
        <v>0</v>
      </c>
      <c r="W55" s="34" t="n">
        <f aca="false">W$30*INDEX(Precio_O,10)*INDEX(IdxPrecio_O,1,MIN(10,W$17))*(1+P_dPrecio)</f>
        <v>0</v>
      </c>
      <c r="X55" s="34" t="n">
        <f aca="false">X$30*INDEX(Precio_O,10)*INDEX(IdxPrecio_O,1,MIN(10,X$17))*(1+P_dPrecio)</f>
        <v>0</v>
      </c>
      <c r="Y55" s="34" t="n">
        <f aca="false">Y$30*INDEX(Precio_O,10)*INDEX(IdxPrecio_O,1,MIN(10,Y$17))*(1+P_dPrecio)</f>
        <v>0</v>
      </c>
      <c r="Z55" s="34" t="n">
        <f aca="false">Z$30*INDEX(Precio_O,10)*INDEX(IdxPrecio_O,1,MIN(10,Z$17))*(1+P_dPrecio)</f>
        <v>0</v>
      </c>
      <c r="AA55" s="34" t="n">
        <f aca="false">AA$30*INDEX(Precio_O,10)*INDEX(IdxPrecio_O,1,MIN(10,AA$17))*(1+P_dPrecio)</f>
        <v>0</v>
      </c>
      <c r="AB55" s="34" t="n">
        <f aca="false">AB$30*INDEX(Precio_O,10)*INDEX(IdxPrecio_O,1,MIN(10,AB$17))*(1+P_dPrecio)</f>
        <v>0</v>
      </c>
      <c r="AC55" s="34" t="n">
        <f aca="false">AC$30*INDEX(Precio_O,10)*INDEX(IdxPrecio_O,1,MIN(10,AC$17))*(1+P_dPrecio)</f>
        <v>0</v>
      </c>
      <c r="AD55" s="34" t="n">
        <f aca="false">AD$30*INDEX(Precio_O,10)*INDEX(IdxPrecio_O,1,MIN(10,AD$17))*(1+P_dPrecio)</f>
        <v>0</v>
      </c>
      <c r="AE55" s="34" t="n">
        <f aca="false">AE$30*INDEX(Precio_O,10)*INDEX(IdxPrecio_O,1,MIN(10,AE$17))*(1+P_dPrecio)</f>
        <v>0</v>
      </c>
      <c r="AF55" s="34" t="n">
        <f aca="false">AF$30*INDEX(Precio_O,10)*INDEX(IdxPrecio_O,1,MIN(10,AF$17))*(1+P_dPrecio)</f>
        <v>0</v>
      </c>
      <c r="AG55" s="34" t="n">
        <f aca="false">AG$30*INDEX(Precio_O,10)*INDEX(IdxPrecio_O,1,MIN(10,AG$17))*(1+P_dPrecio)</f>
        <v>0</v>
      </c>
      <c r="AH55" s="34" t="n">
        <f aca="false">AH$30*INDEX(Precio_O,10)*INDEX(IdxPrecio_O,1,MIN(10,AH$17))*(1+P_dPrecio)</f>
        <v>0</v>
      </c>
      <c r="AI55" s="34" t="n">
        <f aca="false">AI$30*INDEX(Precio_O,10)*INDEX(IdxPrecio_O,1,MIN(10,AI$17))*(1+P_dPrecio)</f>
        <v>0</v>
      </c>
      <c r="AJ55" s="34" t="n">
        <f aca="false">AJ$30*INDEX(Precio_O,10)*INDEX(IdxPrecio_O,1,MIN(10,AJ$17))*(1+P_dPrecio)</f>
        <v>0</v>
      </c>
      <c r="AK55" s="34" t="n">
        <f aca="false">AK$30*INDEX(Precio_O,10)*INDEX(IdxPrecio_O,1,MIN(10,AK$17))*(1+P_dPrecio)</f>
        <v>0</v>
      </c>
      <c r="AL55" s="34" t="n">
        <f aca="false">AL$30*INDEX(Precio_O,10)*INDEX(IdxPrecio_O,1,MIN(10,AL$17))*(1+P_dPrecio)</f>
        <v>0</v>
      </c>
      <c r="AM55" s="34" t="n">
        <f aca="false">AM$30*INDEX(Precio_O,10)*INDEX(IdxPrecio_O,1,MIN(10,AM$17))*(1+P_dPrecio)</f>
        <v>0</v>
      </c>
      <c r="AN55" s="34" t="n">
        <f aca="false">AN$30*INDEX(Precio_O,10)*INDEX(IdxPrecio_O,1,MIN(10,AN$17))*(1+P_dPrecio)</f>
        <v>0</v>
      </c>
      <c r="AO55" s="34" t="n">
        <f aca="false">AO$30*INDEX(Precio_O,10)*INDEX(IdxPrecio_O,1,MIN(10,AO$17))*(1+P_dPrecio)</f>
        <v>0</v>
      </c>
      <c r="AP55" s="34" t="n">
        <f aca="false">AP$30*INDEX(Precio_O,10)*INDEX(IdxPrecio_O,1,MIN(10,AP$17))*(1+P_dPrecio)</f>
        <v>0</v>
      </c>
      <c r="AQ55" s="34" t="n">
        <f aca="false">AQ$30*INDEX(Precio_O,10)*INDEX(IdxPrecio_O,1,MIN(10,AQ$17))*(1+P_dPrecio)</f>
        <v>0</v>
      </c>
      <c r="AR55" s="34" t="n">
        <f aca="false">AR$30*INDEX(Precio_O,10)*INDEX(IdxPrecio_O,1,MIN(10,AR$17))*(1+P_dPrecio)</f>
        <v>0</v>
      </c>
      <c r="AS55" s="34" t="n">
        <f aca="false">AS$30*INDEX(Precio_O,10)*INDEX(IdxPrecio_O,1,MIN(10,AS$17))*(1+P_dPrecio)</f>
        <v>0</v>
      </c>
      <c r="AT55" s="34" t="n">
        <f aca="false">AT$30*INDEX(Precio_O,10)*INDEX(IdxPrecio_O,1,MIN(10,AT$17))*(1+P_dPrecio)</f>
        <v>0</v>
      </c>
      <c r="AU55" s="34" t="n">
        <f aca="false">AU$30*INDEX(Precio_O,10)*INDEX(IdxPrecio_O,1,MIN(10,AU$17))*(1+P_dPrecio)</f>
        <v>0</v>
      </c>
      <c r="AV55" s="34" t="n">
        <f aca="false">AV$30*INDEX(Precio_O,10)*INDEX(IdxPrecio_O,1,MIN(10,AV$17))*(1+P_dPrecio)</f>
        <v>0</v>
      </c>
      <c r="AW55" s="34" t="n">
        <f aca="false">AW$30*INDEX(Precio_O,10)*INDEX(IdxPrecio_O,1,MIN(10,AW$17))*(1+P_dPrecio)</f>
        <v>0</v>
      </c>
      <c r="AX55" s="34" t="n">
        <f aca="false">AX$30*INDEX(Precio_O,10)*INDEX(IdxPrecio_O,1,MIN(10,AX$17))*(1+P_dPrecio)</f>
        <v>0</v>
      </c>
      <c r="AY55" s="34" t="n">
        <f aca="false">AY$30*INDEX(Precio_O,10)*INDEX(IdxPrecio_O,1,MIN(10,AY$17))*(1+P_dPrecio)</f>
        <v>0</v>
      </c>
      <c r="AZ55" s="34" t="n">
        <f aca="false">AZ$30*INDEX(Precio_O,10)*INDEX(IdxPrecio_O,1,MIN(10,AZ$17))*(1+P_dPrecio)</f>
        <v>0</v>
      </c>
      <c r="BA55" s="34" t="n">
        <f aca="false">BA$30*INDEX(Precio_O,10)*INDEX(IdxPrecio_O,1,MIN(10,BA$17))*(1+P_dPrecio)</f>
        <v>0</v>
      </c>
      <c r="BB55" s="34" t="n">
        <f aca="false">BB$30*INDEX(Precio_O,10)*INDEX(IdxPrecio_O,1,MIN(10,BB$17))*(1+P_dPrecio)</f>
        <v>0</v>
      </c>
      <c r="BC55" s="34" t="n">
        <f aca="false">BC$30*INDEX(Precio_O,10)*INDEX(IdxPrecio_O,1,MIN(10,BC$17))*(1+P_dPrecio)</f>
        <v>0</v>
      </c>
      <c r="BD55" s="34" t="n">
        <f aca="false">BD$30*INDEX(Precio_O,10)*INDEX(IdxPrecio_O,1,MIN(10,BD$17))*(1+P_dPrecio)</f>
        <v>0</v>
      </c>
      <c r="BE55" s="34" t="n">
        <f aca="false">BE$30*INDEX(Precio_O,10)*INDEX(IdxPrecio_O,1,MIN(10,BE$17))*(1+P_dPrecio)</f>
        <v>0</v>
      </c>
      <c r="BF55" s="34" t="n">
        <f aca="false">BF$30*INDEX(Precio_O,10)*INDEX(IdxPrecio_O,1,MIN(10,BF$17))*(1+P_dPrecio)</f>
        <v>0</v>
      </c>
      <c r="BG55" s="34" t="n">
        <f aca="false">BG$30*INDEX(Precio_O,10)*INDEX(IdxPrecio_O,1,MIN(10,BG$17))*(1+P_dPrecio)</f>
        <v>0</v>
      </c>
      <c r="BH55" s="34" t="n">
        <f aca="false">BH$30*INDEX(Precio_O,10)*INDEX(IdxPrecio_O,1,MIN(10,BH$17))*(1+P_dPrecio)</f>
        <v>0</v>
      </c>
      <c r="BI55" s="34" t="n">
        <f aca="false">BI$30*INDEX(Precio_O,10)*INDEX(IdxPrecio_O,1,MIN(10,BI$17))*(1+P_dPrecio)</f>
        <v>0</v>
      </c>
      <c r="BJ55" s="34" t="n">
        <f aca="false">BJ$30*INDEX(Precio_O,10)*INDEX(IdxPrecio_O,1,MIN(10,BJ$17))*(1+P_dPrecio)</f>
        <v>0</v>
      </c>
      <c r="BK55" s="34" t="n">
        <f aca="false">BK$30*INDEX(Precio_O,10)*INDEX(IdxPrecio_O,1,MIN(10,BK$17))*(1+P_dPrecio)</f>
        <v>0</v>
      </c>
      <c r="BL55" s="34" t="n">
        <f aca="false">BL$30*INDEX(Precio_O,10)*INDEX(IdxPrecio_O,1,MIN(10,BL$17))*(1+P_dPrecio)</f>
        <v>0</v>
      </c>
      <c r="BM55" s="34" t="n">
        <f aca="false">BM$30*INDEX(Precio_O,10)*INDEX(IdxPrecio_O,1,MIN(10,BM$17))*(1+P_dPrecio)</f>
        <v>0</v>
      </c>
      <c r="BN55" s="34" t="n">
        <f aca="false">BN$30*INDEX(Precio_O,10)*INDEX(IdxPrecio_O,1,MIN(10,BN$17))*(1+P_dPrecio)</f>
        <v>0</v>
      </c>
      <c r="BO55" s="34" t="n">
        <f aca="false">BO$30*INDEX(Precio_O,10)*INDEX(IdxPrecio_O,1,MIN(10,BO$17))*(1+P_dPrecio)</f>
        <v>0</v>
      </c>
      <c r="BP55" s="34" t="n">
        <f aca="false">BP$30*INDEX(Precio_O,10)*INDEX(IdxPrecio_O,1,MIN(10,BP$17))*(1+P_dPrecio)</f>
        <v>0</v>
      </c>
      <c r="BQ55" s="34" t="n">
        <f aca="false">BQ$30*INDEX(Precio_O,10)*INDEX(IdxPrecio_O,1,MIN(10,BQ$17))*(1+P_dPrecio)</f>
        <v>0</v>
      </c>
      <c r="BR55" s="34" t="n">
        <f aca="false">BR$30*INDEX(Precio_O,10)*INDEX(IdxPrecio_O,1,MIN(10,BR$17))*(1+P_dPrecio)</f>
        <v>0</v>
      </c>
      <c r="BS55" s="34" t="n">
        <f aca="false">BS$30*INDEX(Precio_O,10)*INDEX(IdxPrecio_O,1,MIN(10,BS$17))*(1+P_dPrecio)</f>
        <v>0</v>
      </c>
      <c r="BT55" s="34" t="n">
        <f aca="false">BT$30*INDEX(Precio_O,10)*INDEX(IdxPrecio_O,1,MIN(10,BT$17))*(1+P_dPrecio)</f>
        <v>0</v>
      </c>
      <c r="BU55" s="34" t="n">
        <f aca="false">BU$30*INDEX(Precio_O,10)*INDEX(IdxPrecio_O,1,MIN(10,BU$17))*(1+P_dPrecio)</f>
        <v>0</v>
      </c>
      <c r="BV55" s="34" t="n">
        <f aca="false">BV$30*INDEX(Precio_O,10)*INDEX(IdxPrecio_O,1,MIN(10,BV$17))*(1+P_dPrecio)</f>
        <v>0</v>
      </c>
      <c r="BW55" s="34" t="n">
        <f aca="false">BW$30*INDEX(Precio_O,10)*INDEX(IdxPrecio_O,1,MIN(10,BW$17))*(1+P_dPrecio)</f>
        <v>0</v>
      </c>
      <c r="BX55" s="34" t="n">
        <f aca="false">BX$30*INDEX(Precio_O,10)*INDEX(IdxPrecio_O,1,MIN(10,BX$17))*(1+P_dPrecio)</f>
        <v>0</v>
      </c>
      <c r="BY55" s="34" t="n">
        <f aca="false">BY$30*INDEX(Precio_O,10)*INDEX(IdxPrecio_O,1,MIN(10,BY$17))*(1+P_dPrecio)</f>
        <v>0</v>
      </c>
      <c r="BZ55" s="34" t="n">
        <f aca="false">BZ$30*INDEX(Precio_O,10)*INDEX(IdxPrecio_O,1,MIN(10,BZ$17))*(1+P_dPrecio)</f>
        <v>0</v>
      </c>
      <c r="CA55" s="34" t="n">
        <f aca="false">CA$30*INDEX(Precio_O,10)*INDEX(IdxPrecio_O,1,MIN(10,CA$17))*(1+P_dPrecio)</f>
        <v>0</v>
      </c>
      <c r="CB55" s="34" t="n">
        <f aca="false">CB$30*INDEX(Precio_O,10)*INDEX(IdxPrecio_O,1,MIN(10,CB$17))*(1+P_dPrecio)</f>
        <v>0</v>
      </c>
      <c r="CC55" s="34" t="n">
        <f aca="false">CC$30*INDEX(Precio_O,10)*INDEX(IdxPrecio_O,1,MIN(10,CC$17))*(1+P_dPrecio)</f>
        <v>0</v>
      </c>
      <c r="CD55" s="34" t="n">
        <f aca="false">CD$30*INDEX(Precio_O,10)*INDEX(IdxPrecio_O,1,MIN(10,CD$17))*(1+P_dPrecio)</f>
        <v>0</v>
      </c>
      <c r="CE55" s="34" t="n">
        <f aca="false">CE$30*INDEX(Precio_O,10)*INDEX(IdxPrecio_O,1,MIN(10,CE$17))*(1+P_dPrecio)</f>
        <v>0</v>
      </c>
      <c r="CF55" s="34" t="n">
        <f aca="false">CF$30*INDEX(Precio_O,10)*INDEX(IdxPrecio_O,1,MIN(10,CF$17))*(1+P_dPrecio)</f>
        <v>0</v>
      </c>
      <c r="CG55" s="34" t="n">
        <f aca="false">CG$30*INDEX(Precio_O,10)*INDEX(IdxPrecio_O,1,MIN(10,CG$17))*(1+P_dPrecio)</f>
        <v>0</v>
      </c>
      <c r="CH55" s="34" t="n">
        <f aca="false">CH$30*INDEX(Precio_O,10)*INDEX(IdxPrecio_O,1,MIN(10,CH$17))*(1+P_dPrecio)</f>
        <v>0</v>
      </c>
      <c r="CI55" s="34" t="n">
        <f aca="false">CI$30*INDEX(Precio_O,10)*INDEX(IdxPrecio_O,1,MIN(10,CI$17))*(1+P_dPrecio)</f>
        <v>0</v>
      </c>
      <c r="CJ55" s="34" t="n">
        <f aca="false">CJ$30*INDEX(Precio_O,10)*INDEX(IdxPrecio_O,1,MIN(10,CJ$17))*(1+P_dPrecio)</f>
        <v>0</v>
      </c>
      <c r="CK55" s="34" t="n">
        <f aca="false">CK$30*INDEX(Precio_O,10)*INDEX(IdxPrecio_O,1,MIN(10,CK$17))*(1+P_dPrecio)</f>
        <v>0</v>
      </c>
      <c r="CL55" s="34" t="n">
        <f aca="false">CL$30*INDEX(Precio_O,10)*INDEX(IdxPrecio_O,1,MIN(10,CL$17))*(1+P_dPrecio)</f>
        <v>0</v>
      </c>
      <c r="CM55" s="34" t="n">
        <f aca="false">CM$30*INDEX(Precio_O,10)*INDEX(IdxPrecio_O,1,MIN(10,CM$17))*(1+P_dPrecio)</f>
        <v>0</v>
      </c>
      <c r="CN55" s="34" t="n">
        <f aca="false">CN$30*INDEX(Precio_O,10)*INDEX(IdxPrecio_O,1,MIN(10,CN$17))*(1+P_dPrecio)</f>
        <v>0</v>
      </c>
      <c r="CO55" s="34" t="n">
        <f aca="false">CO$30*INDEX(Precio_O,10)*INDEX(IdxPrecio_O,1,MIN(10,CO$17))*(1+P_dPrecio)</f>
        <v>0</v>
      </c>
      <c r="CP55" s="34" t="n">
        <f aca="false">CP$30*INDEX(Precio_O,10)*INDEX(IdxPrecio_O,1,MIN(10,CP$17))*(1+P_dPrecio)</f>
        <v>0</v>
      </c>
      <c r="CQ55" s="34" t="n">
        <f aca="false">CQ$30*INDEX(Precio_O,10)*INDEX(IdxPrecio_O,1,MIN(10,CQ$17))*(1+P_dPrecio)</f>
        <v>0</v>
      </c>
      <c r="CR55" s="34" t="n">
        <f aca="false">CR$30*INDEX(Precio_O,10)*INDEX(IdxPrecio_O,1,MIN(10,CR$17))*(1+P_dPrecio)</f>
        <v>0</v>
      </c>
      <c r="CS55" s="34" t="n">
        <f aca="false">CS$30*INDEX(Precio_O,10)*INDEX(IdxPrecio_O,1,MIN(10,CS$17))*(1+P_dPrecio)</f>
        <v>0</v>
      </c>
      <c r="CT55" s="34" t="n">
        <f aca="false">CT$30*INDEX(Precio_O,10)*INDEX(IdxPrecio_O,1,MIN(10,CT$17))*(1+P_dPrecio)</f>
        <v>0</v>
      </c>
      <c r="CU55" s="34" t="n">
        <f aca="false">CU$30*INDEX(Precio_O,10)*INDEX(IdxPrecio_O,1,MIN(10,CU$17))*(1+P_dPrecio)</f>
        <v>0</v>
      </c>
      <c r="CV55" s="34" t="n">
        <f aca="false">CV$30*INDEX(Precio_O,10)*INDEX(IdxPrecio_O,1,MIN(10,CV$17))*(1+P_dPrecio)</f>
        <v>0</v>
      </c>
      <c r="CW55" s="34" t="n">
        <f aca="false">CW$30*INDEX(Precio_O,10)*INDEX(IdxPrecio_O,1,MIN(10,CW$17))*(1+P_dPrecio)</f>
        <v>0</v>
      </c>
      <c r="CX55" s="34" t="n">
        <f aca="false">CX$30*INDEX(Precio_O,10)*INDEX(IdxPrecio_O,1,MIN(10,CX$17))*(1+P_dPrecio)</f>
        <v>0</v>
      </c>
      <c r="CY55" s="34" t="n">
        <f aca="false">CY$30*INDEX(Precio_O,10)*INDEX(IdxPrecio_O,1,MIN(10,CY$17))*(1+P_dPrecio)</f>
        <v>0</v>
      </c>
      <c r="CZ55" s="34" t="n">
        <f aca="false">CZ$30*INDEX(Precio_O,10)*INDEX(IdxPrecio_O,1,MIN(10,CZ$17))*(1+P_dPrecio)</f>
        <v>0</v>
      </c>
      <c r="DA55" s="34" t="n">
        <f aca="false">DA$30*INDEX(Precio_O,10)*INDEX(IdxPrecio_O,1,MIN(10,DA$17))*(1+P_dPrecio)</f>
        <v>0</v>
      </c>
      <c r="DB55" s="34" t="n">
        <f aca="false">DB$30*INDEX(Precio_O,10)*INDEX(IdxPrecio_O,1,MIN(10,DB$17))*(1+P_dPrecio)</f>
        <v>0</v>
      </c>
      <c r="DC55" s="34" t="n">
        <f aca="false">DC$30*INDEX(Precio_O,10)*INDEX(IdxPrecio_O,1,MIN(10,DC$17))*(1+P_dPrecio)</f>
        <v>0</v>
      </c>
      <c r="DD55" s="34" t="n">
        <f aca="false">DD$30*INDEX(Precio_O,10)*INDEX(IdxPrecio_O,1,MIN(10,DD$17))*(1+P_dPrecio)</f>
        <v>0</v>
      </c>
      <c r="DE55" s="34" t="n">
        <f aca="false">DE$30*INDEX(Precio_O,10)*INDEX(IdxPrecio_O,1,MIN(10,DE$17))*(1+P_dPrecio)</f>
        <v>0</v>
      </c>
      <c r="DF55" s="34" t="n">
        <f aca="false">DF$30*INDEX(Precio_O,10)*INDEX(IdxPrecio_O,1,MIN(10,DF$17))*(1+P_dPrecio)</f>
        <v>0</v>
      </c>
      <c r="DG55" s="34" t="n">
        <f aca="false">DG$30*INDEX(Precio_O,10)*INDEX(IdxPrecio_O,1,MIN(10,DG$17))*(1+P_dPrecio)</f>
        <v>0</v>
      </c>
      <c r="DH55" s="34" t="n">
        <f aca="false">DH$30*INDEX(Precio_O,10)*INDEX(IdxPrecio_O,1,MIN(10,DH$17))*(1+P_dPrecio)</f>
        <v>0</v>
      </c>
      <c r="DI55" s="34" t="n">
        <f aca="false">DI$30*INDEX(Precio_O,10)*INDEX(IdxPrecio_O,1,MIN(10,DI$17))*(1+P_dPrecio)</f>
        <v>0</v>
      </c>
      <c r="DJ55" s="34" t="n">
        <f aca="false">DJ$30*INDEX(Precio_O,10)*INDEX(IdxPrecio_O,1,MIN(10,DJ$17))*(1+P_dPrecio)</f>
        <v>0</v>
      </c>
      <c r="DK55" s="34" t="n">
        <f aca="false">DK$30*INDEX(Precio_O,10)*INDEX(IdxPrecio_O,1,MIN(10,DK$17))*(1+P_dPrecio)</f>
        <v>0</v>
      </c>
      <c r="DL55" s="34" t="n">
        <f aca="false">DL$30*INDEX(Precio_O,10)*INDEX(IdxPrecio_O,1,MIN(10,DL$17))*(1+P_dPrecio)</f>
        <v>0</v>
      </c>
      <c r="DM55" s="34" t="n">
        <f aca="false">DM$30*INDEX(Precio_O,10)*INDEX(IdxPrecio_O,1,MIN(10,DM$17))*(1+P_dPrecio)</f>
        <v>0</v>
      </c>
      <c r="DN55" s="34" t="n">
        <f aca="false">DN$30*INDEX(Precio_O,10)*INDEX(IdxPrecio_O,1,MIN(10,DN$17))*(1+P_dPrecio)</f>
        <v>0</v>
      </c>
      <c r="DO55" s="34" t="n">
        <f aca="false">DO$30*INDEX(Precio_O,10)*INDEX(IdxPrecio_O,1,MIN(10,DO$17))*(1+P_dPrecio)</f>
        <v>0</v>
      </c>
      <c r="DP55" s="34" t="n">
        <f aca="false">DP$30*INDEX(Precio_O,10)*INDEX(IdxPrecio_O,1,MIN(10,DP$17))*(1+P_dPrecio)</f>
        <v>0</v>
      </c>
      <c r="DQ55" s="34" t="n">
        <f aca="false">DQ$30*INDEX(Precio_O,10)*INDEX(IdxPrecio_O,1,MIN(10,DQ$17))*(1+P_dPrecio)</f>
        <v>0</v>
      </c>
      <c r="DR55" s="34" t="n">
        <f aca="false">DR$30*INDEX(Precio_O,10)*INDEX(IdxPrecio_O,1,MIN(10,DR$17))*(1+P_dPrecio)</f>
        <v>0</v>
      </c>
      <c r="DS55" s="34" t="n">
        <f aca="false">DS$30*INDEX(Precio_O,10)*INDEX(IdxPrecio_O,1,MIN(10,DS$17))*(1+P_dPrecio)</f>
        <v>0</v>
      </c>
      <c r="DT55" s="34" t="n">
        <f aca="false">DT$30*INDEX(Precio_O,10)*INDEX(IdxPrecio_O,1,MIN(10,DT$17))*(1+P_dPrecio)</f>
        <v>0</v>
      </c>
      <c r="DU55" s="34" t="n">
        <f aca="false">DU$30*INDEX(Precio_O,10)*INDEX(IdxPrecio_O,1,MIN(10,DU$17))*(1+P_dPrecio)</f>
        <v>0</v>
      </c>
      <c r="DV55" s="34" t="n">
        <f aca="false">DV$30*INDEX(Precio_O,10)*INDEX(IdxPrecio_O,1,MIN(10,DV$17))*(1+P_dPrecio)</f>
        <v>0</v>
      </c>
      <c r="DW55" s="34" t="n">
        <f aca="false">DW$30*INDEX(Precio_O,10)*INDEX(IdxPrecio_O,1,MIN(10,DW$17))*(1+P_dPrecio)</f>
        <v>0</v>
      </c>
      <c r="DX55" s="34" t="n">
        <f aca="false">DX$30*INDEX(Precio_O,10)*INDEX(IdxPrecio_O,1,MIN(10,DX$17))*(1+P_dPrecio)</f>
        <v>0</v>
      </c>
      <c r="DY55" s="34" t="n">
        <f aca="false">DY$30*INDEX(Precio_O,10)*INDEX(IdxPrecio_O,1,MIN(10,DY$17))*(1+P_dPrecio)</f>
        <v>0</v>
      </c>
      <c r="DZ55" s="34" t="n">
        <f aca="false">DZ$30*INDEX(Precio_O,10)*INDEX(IdxPrecio_O,1,MIN(10,DZ$17))*(1+P_dPrecio)</f>
        <v>0</v>
      </c>
      <c r="EA55" s="34" t="n">
        <f aca="false">EA$30*INDEX(Precio_O,10)*INDEX(IdxPrecio_O,1,MIN(10,EA$17))*(1+P_dPrecio)</f>
        <v>0</v>
      </c>
      <c r="EB55" s="34" t="n">
        <f aca="false">EB$30*INDEX(Precio_O,10)*INDEX(IdxPrecio_O,1,MIN(10,EB$17))*(1+P_dPrecio)</f>
        <v>0</v>
      </c>
      <c r="EC55" s="34" t="n">
        <f aca="false">EC$30*INDEX(Precio_O,10)*INDEX(IdxPrecio_O,1,MIN(10,EC$17))*(1+P_dPrecio)</f>
        <v>0</v>
      </c>
      <c r="ED55" s="34" t="n">
        <f aca="false">ED$30*INDEX(Precio_O,10)*INDEX(IdxPrecio_O,1,MIN(10,ED$17))*(1+P_dPrecio)</f>
        <v>0</v>
      </c>
      <c r="EE55" s="34" t="n">
        <f aca="false">EE$30*INDEX(Precio_O,10)*INDEX(IdxPrecio_O,1,MIN(10,EE$17))*(1+P_dPrecio)</f>
        <v>0</v>
      </c>
      <c r="EF55" s="34" t="n">
        <f aca="false">EF$30*INDEX(Precio_O,10)*INDEX(IdxPrecio_O,1,MIN(10,EF$17))*(1+P_dPrecio)</f>
        <v>0</v>
      </c>
      <c r="EG55" s="34" t="n">
        <f aca="false">EG$30*INDEX(Precio_O,10)*INDEX(IdxPrecio_O,1,MIN(10,EG$17))*(1+P_dPrecio)</f>
        <v>0</v>
      </c>
      <c r="EH55" s="34" t="n">
        <f aca="false">EH$30*INDEX(Precio_O,10)*INDEX(IdxPrecio_O,1,MIN(10,EH$17))*(1+P_dPrecio)</f>
        <v>0</v>
      </c>
      <c r="EI55" s="34" t="n">
        <f aca="false">EI$30*INDEX(Precio_O,10)*INDEX(IdxPrecio_O,1,MIN(10,EI$17))*(1+P_dPrecio)</f>
        <v>0</v>
      </c>
      <c r="EJ55" s="34" t="n">
        <f aca="false">EJ$30*INDEX(Precio_O,10)*INDEX(IdxPrecio_O,1,MIN(10,EJ$17))*(1+P_dPrecio)</f>
        <v>0</v>
      </c>
      <c r="EK55" s="34" t="n">
        <f aca="false">EK$30*INDEX(Precio_O,10)*INDEX(IdxPrecio_O,1,MIN(10,EK$17))*(1+P_dPrecio)</f>
        <v>0</v>
      </c>
      <c r="EL55" s="34" t="n">
        <f aca="false">EL$30*INDEX(Precio_O,10)*INDEX(IdxPrecio_O,1,MIN(10,EL$17))*(1+P_dPrecio)</f>
        <v>0</v>
      </c>
      <c r="EM55" s="34" t="n">
        <f aca="false">EM$30*INDEX(Precio_O,10)*INDEX(IdxPrecio_O,1,MIN(10,EM$17))*(1+P_dPrecio)</f>
        <v>0</v>
      </c>
      <c r="EN55" s="34" t="n">
        <f aca="false">EN$30*INDEX(Precio_O,10)*INDEX(IdxPrecio_O,1,MIN(10,EN$17))*(1+P_dPrecio)</f>
        <v>0</v>
      </c>
      <c r="EO55" s="34" t="n">
        <f aca="false">EO$30*INDEX(Precio_O,10)*INDEX(IdxPrecio_O,1,MIN(10,EO$17))*(1+P_dPrecio)</f>
        <v>0</v>
      </c>
      <c r="EP55" s="34" t="n">
        <f aca="false">EP$30*INDEX(Precio_O,10)*INDEX(IdxPrecio_O,1,MIN(10,EP$17))*(1+P_dPrecio)</f>
        <v>0</v>
      </c>
      <c r="EQ55" s="34" t="n">
        <f aca="false">EQ$30*INDEX(Precio_O,10)*INDEX(IdxPrecio_O,1,MIN(10,EQ$17))*(1+P_dPrecio)</f>
        <v>0</v>
      </c>
      <c r="ER55" s="34" t="n">
        <f aca="false">ER$30*INDEX(Precio_O,10)*INDEX(IdxPrecio_O,1,MIN(10,ER$17))*(1+P_dPrecio)</f>
        <v>0</v>
      </c>
      <c r="ES55" s="34" t="n">
        <f aca="false">ES$30*INDEX(Precio_O,10)*INDEX(IdxPrecio_O,1,MIN(10,ES$17))*(1+P_dPrecio)</f>
        <v>0</v>
      </c>
    </row>
    <row r="56" customFormat="false" ht="15" hidden="false" customHeight="false" outlineLevel="0" collapsed="false">
      <c r="A56" s="2" t="s">
        <v>619</v>
      </c>
      <c r="B56" s="39" t="str">
        <f aca="false">IF(INDEX(Prod_Nombre,11)="","Producto 11",INDEX(Prod_Nombre,11))&amp;" — ventas USD"</f>
        <v>Producto 11 — ventas USD</v>
      </c>
      <c r="C56" s="6" t="s">
        <v>250</v>
      </c>
      <c r="E56" s="40" t="n">
        <f aca="false">SUM(F56:ES56)</f>
        <v>0</v>
      </c>
      <c r="F56" s="34" t="n">
        <f aca="false">F$31*INDEX(Precio_O,11)*INDEX(IdxPrecio_O,1,MIN(10,F$17))*(1+P_dPrecio)</f>
        <v>0</v>
      </c>
      <c r="G56" s="34" t="n">
        <f aca="false">G$31*INDEX(Precio_O,11)*INDEX(IdxPrecio_O,1,MIN(10,G$17))*(1+P_dPrecio)</f>
        <v>0</v>
      </c>
      <c r="H56" s="34" t="n">
        <f aca="false">H$31*INDEX(Precio_O,11)*INDEX(IdxPrecio_O,1,MIN(10,H$17))*(1+P_dPrecio)</f>
        <v>0</v>
      </c>
      <c r="I56" s="34" t="n">
        <f aca="false">I$31*INDEX(Precio_O,11)*INDEX(IdxPrecio_O,1,MIN(10,I$17))*(1+P_dPrecio)</f>
        <v>0</v>
      </c>
      <c r="J56" s="34" t="n">
        <f aca="false">J$31*INDEX(Precio_O,11)*INDEX(IdxPrecio_O,1,MIN(10,J$17))*(1+P_dPrecio)</f>
        <v>0</v>
      </c>
      <c r="K56" s="34" t="n">
        <f aca="false">K$31*INDEX(Precio_O,11)*INDEX(IdxPrecio_O,1,MIN(10,K$17))*(1+P_dPrecio)</f>
        <v>0</v>
      </c>
      <c r="L56" s="34" t="n">
        <f aca="false">L$31*INDEX(Precio_O,11)*INDEX(IdxPrecio_O,1,MIN(10,L$17))*(1+P_dPrecio)</f>
        <v>0</v>
      </c>
      <c r="M56" s="34" t="n">
        <f aca="false">M$31*INDEX(Precio_O,11)*INDEX(IdxPrecio_O,1,MIN(10,M$17))*(1+P_dPrecio)</f>
        <v>0</v>
      </c>
      <c r="N56" s="34" t="n">
        <f aca="false">N$31*INDEX(Precio_O,11)*INDEX(IdxPrecio_O,1,MIN(10,N$17))*(1+P_dPrecio)</f>
        <v>0</v>
      </c>
      <c r="O56" s="34" t="n">
        <f aca="false">O$31*INDEX(Precio_O,11)*INDEX(IdxPrecio_O,1,MIN(10,O$17))*(1+P_dPrecio)</f>
        <v>0</v>
      </c>
      <c r="P56" s="34" t="n">
        <f aca="false">P$31*INDEX(Precio_O,11)*INDEX(IdxPrecio_O,1,MIN(10,P$17))*(1+P_dPrecio)</f>
        <v>0</v>
      </c>
      <c r="Q56" s="34" t="n">
        <f aca="false">Q$31*INDEX(Precio_O,11)*INDEX(IdxPrecio_O,1,MIN(10,Q$17))*(1+P_dPrecio)</f>
        <v>0</v>
      </c>
      <c r="R56" s="34" t="n">
        <f aca="false">R$31*INDEX(Precio_O,11)*INDEX(IdxPrecio_O,1,MIN(10,R$17))*(1+P_dPrecio)</f>
        <v>0</v>
      </c>
      <c r="S56" s="34" t="n">
        <f aca="false">S$31*INDEX(Precio_O,11)*INDEX(IdxPrecio_O,1,MIN(10,S$17))*(1+P_dPrecio)</f>
        <v>0</v>
      </c>
      <c r="T56" s="34" t="n">
        <f aca="false">T$31*INDEX(Precio_O,11)*INDEX(IdxPrecio_O,1,MIN(10,T$17))*(1+P_dPrecio)</f>
        <v>0</v>
      </c>
      <c r="U56" s="34" t="n">
        <f aca="false">U$31*INDEX(Precio_O,11)*INDEX(IdxPrecio_O,1,MIN(10,U$17))*(1+P_dPrecio)</f>
        <v>0</v>
      </c>
      <c r="V56" s="34" t="n">
        <f aca="false">V$31*INDEX(Precio_O,11)*INDEX(IdxPrecio_O,1,MIN(10,V$17))*(1+P_dPrecio)</f>
        <v>0</v>
      </c>
      <c r="W56" s="34" t="n">
        <f aca="false">W$31*INDEX(Precio_O,11)*INDEX(IdxPrecio_O,1,MIN(10,W$17))*(1+P_dPrecio)</f>
        <v>0</v>
      </c>
      <c r="X56" s="34" t="n">
        <f aca="false">X$31*INDEX(Precio_O,11)*INDEX(IdxPrecio_O,1,MIN(10,X$17))*(1+P_dPrecio)</f>
        <v>0</v>
      </c>
      <c r="Y56" s="34" t="n">
        <f aca="false">Y$31*INDEX(Precio_O,11)*INDEX(IdxPrecio_O,1,MIN(10,Y$17))*(1+P_dPrecio)</f>
        <v>0</v>
      </c>
      <c r="Z56" s="34" t="n">
        <f aca="false">Z$31*INDEX(Precio_O,11)*INDEX(IdxPrecio_O,1,MIN(10,Z$17))*(1+P_dPrecio)</f>
        <v>0</v>
      </c>
      <c r="AA56" s="34" t="n">
        <f aca="false">AA$31*INDEX(Precio_O,11)*INDEX(IdxPrecio_O,1,MIN(10,AA$17))*(1+P_dPrecio)</f>
        <v>0</v>
      </c>
      <c r="AB56" s="34" t="n">
        <f aca="false">AB$31*INDEX(Precio_O,11)*INDEX(IdxPrecio_O,1,MIN(10,AB$17))*(1+P_dPrecio)</f>
        <v>0</v>
      </c>
      <c r="AC56" s="34" t="n">
        <f aca="false">AC$31*INDEX(Precio_O,11)*INDEX(IdxPrecio_O,1,MIN(10,AC$17))*(1+P_dPrecio)</f>
        <v>0</v>
      </c>
      <c r="AD56" s="34" t="n">
        <f aca="false">AD$31*INDEX(Precio_O,11)*INDEX(IdxPrecio_O,1,MIN(10,AD$17))*(1+P_dPrecio)</f>
        <v>0</v>
      </c>
      <c r="AE56" s="34" t="n">
        <f aca="false">AE$31*INDEX(Precio_O,11)*INDEX(IdxPrecio_O,1,MIN(10,AE$17))*(1+P_dPrecio)</f>
        <v>0</v>
      </c>
      <c r="AF56" s="34" t="n">
        <f aca="false">AF$31*INDEX(Precio_O,11)*INDEX(IdxPrecio_O,1,MIN(10,AF$17))*(1+P_dPrecio)</f>
        <v>0</v>
      </c>
      <c r="AG56" s="34" t="n">
        <f aca="false">AG$31*INDEX(Precio_O,11)*INDEX(IdxPrecio_O,1,MIN(10,AG$17))*(1+P_dPrecio)</f>
        <v>0</v>
      </c>
      <c r="AH56" s="34" t="n">
        <f aca="false">AH$31*INDEX(Precio_O,11)*INDEX(IdxPrecio_O,1,MIN(10,AH$17))*(1+P_dPrecio)</f>
        <v>0</v>
      </c>
      <c r="AI56" s="34" t="n">
        <f aca="false">AI$31*INDEX(Precio_O,11)*INDEX(IdxPrecio_O,1,MIN(10,AI$17))*(1+P_dPrecio)</f>
        <v>0</v>
      </c>
      <c r="AJ56" s="34" t="n">
        <f aca="false">AJ$31*INDEX(Precio_O,11)*INDEX(IdxPrecio_O,1,MIN(10,AJ$17))*(1+P_dPrecio)</f>
        <v>0</v>
      </c>
      <c r="AK56" s="34" t="n">
        <f aca="false">AK$31*INDEX(Precio_O,11)*INDEX(IdxPrecio_O,1,MIN(10,AK$17))*(1+P_dPrecio)</f>
        <v>0</v>
      </c>
      <c r="AL56" s="34" t="n">
        <f aca="false">AL$31*INDEX(Precio_O,11)*INDEX(IdxPrecio_O,1,MIN(10,AL$17))*(1+P_dPrecio)</f>
        <v>0</v>
      </c>
      <c r="AM56" s="34" t="n">
        <f aca="false">AM$31*INDEX(Precio_O,11)*INDEX(IdxPrecio_O,1,MIN(10,AM$17))*(1+P_dPrecio)</f>
        <v>0</v>
      </c>
      <c r="AN56" s="34" t="n">
        <f aca="false">AN$31*INDEX(Precio_O,11)*INDEX(IdxPrecio_O,1,MIN(10,AN$17))*(1+P_dPrecio)</f>
        <v>0</v>
      </c>
      <c r="AO56" s="34" t="n">
        <f aca="false">AO$31*INDEX(Precio_O,11)*INDEX(IdxPrecio_O,1,MIN(10,AO$17))*(1+P_dPrecio)</f>
        <v>0</v>
      </c>
      <c r="AP56" s="34" t="n">
        <f aca="false">AP$31*INDEX(Precio_O,11)*INDEX(IdxPrecio_O,1,MIN(10,AP$17))*(1+P_dPrecio)</f>
        <v>0</v>
      </c>
      <c r="AQ56" s="34" t="n">
        <f aca="false">AQ$31*INDEX(Precio_O,11)*INDEX(IdxPrecio_O,1,MIN(10,AQ$17))*(1+P_dPrecio)</f>
        <v>0</v>
      </c>
      <c r="AR56" s="34" t="n">
        <f aca="false">AR$31*INDEX(Precio_O,11)*INDEX(IdxPrecio_O,1,MIN(10,AR$17))*(1+P_dPrecio)</f>
        <v>0</v>
      </c>
      <c r="AS56" s="34" t="n">
        <f aca="false">AS$31*INDEX(Precio_O,11)*INDEX(IdxPrecio_O,1,MIN(10,AS$17))*(1+P_dPrecio)</f>
        <v>0</v>
      </c>
      <c r="AT56" s="34" t="n">
        <f aca="false">AT$31*INDEX(Precio_O,11)*INDEX(IdxPrecio_O,1,MIN(10,AT$17))*(1+P_dPrecio)</f>
        <v>0</v>
      </c>
      <c r="AU56" s="34" t="n">
        <f aca="false">AU$31*INDEX(Precio_O,11)*INDEX(IdxPrecio_O,1,MIN(10,AU$17))*(1+P_dPrecio)</f>
        <v>0</v>
      </c>
      <c r="AV56" s="34" t="n">
        <f aca="false">AV$31*INDEX(Precio_O,11)*INDEX(IdxPrecio_O,1,MIN(10,AV$17))*(1+P_dPrecio)</f>
        <v>0</v>
      </c>
      <c r="AW56" s="34" t="n">
        <f aca="false">AW$31*INDEX(Precio_O,11)*INDEX(IdxPrecio_O,1,MIN(10,AW$17))*(1+P_dPrecio)</f>
        <v>0</v>
      </c>
      <c r="AX56" s="34" t="n">
        <f aca="false">AX$31*INDEX(Precio_O,11)*INDEX(IdxPrecio_O,1,MIN(10,AX$17))*(1+P_dPrecio)</f>
        <v>0</v>
      </c>
      <c r="AY56" s="34" t="n">
        <f aca="false">AY$31*INDEX(Precio_O,11)*INDEX(IdxPrecio_O,1,MIN(10,AY$17))*(1+P_dPrecio)</f>
        <v>0</v>
      </c>
      <c r="AZ56" s="34" t="n">
        <f aca="false">AZ$31*INDEX(Precio_O,11)*INDEX(IdxPrecio_O,1,MIN(10,AZ$17))*(1+P_dPrecio)</f>
        <v>0</v>
      </c>
      <c r="BA56" s="34" t="n">
        <f aca="false">BA$31*INDEX(Precio_O,11)*INDEX(IdxPrecio_O,1,MIN(10,BA$17))*(1+P_dPrecio)</f>
        <v>0</v>
      </c>
      <c r="BB56" s="34" t="n">
        <f aca="false">BB$31*INDEX(Precio_O,11)*INDEX(IdxPrecio_O,1,MIN(10,BB$17))*(1+P_dPrecio)</f>
        <v>0</v>
      </c>
      <c r="BC56" s="34" t="n">
        <f aca="false">BC$31*INDEX(Precio_O,11)*INDEX(IdxPrecio_O,1,MIN(10,BC$17))*(1+P_dPrecio)</f>
        <v>0</v>
      </c>
      <c r="BD56" s="34" t="n">
        <f aca="false">BD$31*INDEX(Precio_O,11)*INDEX(IdxPrecio_O,1,MIN(10,BD$17))*(1+P_dPrecio)</f>
        <v>0</v>
      </c>
      <c r="BE56" s="34" t="n">
        <f aca="false">BE$31*INDEX(Precio_O,11)*INDEX(IdxPrecio_O,1,MIN(10,BE$17))*(1+P_dPrecio)</f>
        <v>0</v>
      </c>
      <c r="BF56" s="34" t="n">
        <f aca="false">BF$31*INDEX(Precio_O,11)*INDEX(IdxPrecio_O,1,MIN(10,BF$17))*(1+P_dPrecio)</f>
        <v>0</v>
      </c>
      <c r="BG56" s="34" t="n">
        <f aca="false">BG$31*INDEX(Precio_O,11)*INDEX(IdxPrecio_O,1,MIN(10,BG$17))*(1+P_dPrecio)</f>
        <v>0</v>
      </c>
      <c r="BH56" s="34" t="n">
        <f aca="false">BH$31*INDEX(Precio_O,11)*INDEX(IdxPrecio_O,1,MIN(10,BH$17))*(1+P_dPrecio)</f>
        <v>0</v>
      </c>
      <c r="BI56" s="34" t="n">
        <f aca="false">BI$31*INDEX(Precio_O,11)*INDEX(IdxPrecio_O,1,MIN(10,BI$17))*(1+P_dPrecio)</f>
        <v>0</v>
      </c>
      <c r="BJ56" s="34" t="n">
        <f aca="false">BJ$31*INDEX(Precio_O,11)*INDEX(IdxPrecio_O,1,MIN(10,BJ$17))*(1+P_dPrecio)</f>
        <v>0</v>
      </c>
      <c r="BK56" s="34" t="n">
        <f aca="false">BK$31*INDEX(Precio_O,11)*INDEX(IdxPrecio_O,1,MIN(10,BK$17))*(1+P_dPrecio)</f>
        <v>0</v>
      </c>
      <c r="BL56" s="34" t="n">
        <f aca="false">BL$31*INDEX(Precio_O,11)*INDEX(IdxPrecio_O,1,MIN(10,BL$17))*(1+P_dPrecio)</f>
        <v>0</v>
      </c>
      <c r="BM56" s="34" t="n">
        <f aca="false">BM$31*INDEX(Precio_O,11)*INDEX(IdxPrecio_O,1,MIN(10,BM$17))*(1+P_dPrecio)</f>
        <v>0</v>
      </c>
      <c r="BN56" s="34" t="n">
        <f aca="false">BN$31*INDEX(Precio_O,11)*INDEX(IdxPrecio_O,1,MIN(10,BN$17))*(1+P_dPrecio)</f>
        <v>0</v>
      </c>
      <c r="BO56" s="34" t="n">
        <f aca="false">BO$31*INDEX(Precio_O,11)*INDEX(IdxPrecio_O,1,MIN(10,BO$17))*(1+P_dPrecio)</f>
        <v>0</v>
      </c>
      <c r="BP56" s="34" t="n">
        <f aca="false">BP$31*INDEX(Precio_O,11)*INDEX(IdxPrecio_O,1,MIN(10,BP$17))*(1+P_dPrecio)</f>
        <v>0</v>
      </c>
      <c r="BQ56" s="34" t="n">
        <f aca="false">BQ$31*INDEX(Precio_O,11)*INDEX(IdxPrecio_O,1,MIN(10,BQ$17))*(1+P_dPrecio)</f>
        <v>0</v>
      </c>
      <c r="BR56" s="34" t="n">
        <f aca="false">BR$31*INDEX(Precio_O,11)*INDEX(IdxPrecio_O,1,MIN(10,BR$17))*(1+P_dPrecio)</f>
        <v>0</v>
      </c>
      <c r="BS56" s="34" t="n">
        <f aca="false">BS$31*INDEX(Precio_O,11)*INDEX(IdxPrecio_O,1,MIN(10,BS$17))*(1+P_dPrecio)</f>
        <v>0</v>
      </c>
      <c r="BT56" s="34" t="n">
        <f aca="false">BT$31*INDEX(Precio_O,11)*INDEX(IdxPrecio_O,1,MIN(10,BT$17))*(1+P_dPrecio)</f>
        <v>0</v>
      </c>
      <c r="BU56" s="34" t="n">
        <f aca="false">BU$31*INDEX(Precio_O,11)*INDEX(IdxPrecio_O,1,MIN(10,BU$17))*(1+P_dPrecio)</f>
        <v>0</v>
      </c>
      <c r="BV56" s="34" t="n">
        <f aca="false">BV$31*INDEX(Precio_O,11)*INDEX(IdxPrecio_O,1,MIN(10,BV$17))*(1+P_dPrecio)</f>
        <v>0</v>
      </c>
      <c r="BW56" s="34" t="n">
        <f aca="false">BW$31*INDEX(Precio_O,11)*INDEX(IdxPrecio_O,1,MIN(10,BW$17))*(1+P_dPrecio)</f>
        <v>0</v>
      </c>
      <c r="BX56" s="34" t="n">
        <f aca="false">BX$31*INDEX(Precio_O,11)*INDEX(IdxPrecio_O,1,MIN(10,BX$17))*(1+P_dPrecio)</f>
        <v>0</v>
      </c>
      <c r="BY56" s="34" t="n">
        <f aca="false">BY$31*INDEX(Precio_O,11)*INDEX(IdxPrecio_O,1,MIN(10,BY$17))*(1+P_dPrecio)</f>
        <v>0</v>
      </c>
      <c r="BZ56" s="34" t="n">
        <f aca="false">BZ$31*INDEX(Precio_O,11)*INDEX(IdxPrecio_O,1,MIN(10,BZ$17))*(1+P_dPrecio)</f>
        <v>0</v>
      </c>
      <c r="CA56" s="34" t="n">
        <f aca="false">CA$31*INDEX(Precio_O,11)*INDEX(IdxPrecio_O,1,MIN(10,CA$17))*(1+P_dPrecio)</f>
        <v>0</v>
      </c>
      <c r="CB56" s="34" t="n">
        <f aca="false">CB$31*INDEX(Precio_O,11)*INDEX(IdxPrecio_O,1,MIN(10,CB$17))*(1+P_dPrecio)</f>
        <v>0</v>
      </c>
      <c r="CC56" s="34" t="n">
        <f aca="false">CC$31*INDEX(Precio_O,11)*INDEX(IdxPrecio_O,1,MIN(10,CC$17))*(1+P_dPrecio)</f>
        <v>0</v>
      </c>
      <c r="CD56" s="34" t="n">
        <f aca="false">CD$31*INDEX(Precio_O,11)*INDEX(IdxPrecio_O,1,MIN(10,CD$17))*(1+P_dPrecio)</f>
        <v>0</v>
      </c>
      <c r="CE56" s="34" t="n">
        <f aca="false">CE$31*INDEX(Precio_O,11)*INDEX(IdxPrecio_O,1,MIN(10,CE$17))*(1+P_dPrecio)</f>
        <v>0</v>
      </c>
      <c r="CF56" s="34" t="n">
        <f aca="false">CF$31*INDEX(Precio_O,11)*INDEX(IdxPrecio_O,1,MIN(10,CF$17))*(1+P_dPrecio)</f>
        <v>0</v>
      </c>
      <c r="CG56" s="34" t="n">
        <f aca="false">CG$31*INDEX(Precio_O,11)*INDEX(IdxPrecio_O,1,MIN(10,CG$17))*(1+P_dPrecio)</f>
        <v>0</v>
      </c>
      <c r="CH56" s="34" t="n">
        <f aca="false">CH$31*INDEX(Precio_O,11)*INDEX(IdxPrecio_O,1,MIN(10,CH$17))*(1+P_dPrecio)</f>
        <v>0</v>
      </c>
      <c r="CI56" s="34" t="n">
        <f aca="false">CI$31*INDEX(Precio_O,11)*INDEX(IdxPrecio_O,1,MIN(10,CI$17))*(1+P_dPrecio)</f>
        <v>0</v>
      </c>
      <c r="CJ56" s="34" t="n">
        <f aca="false">CJ$31*INDEX(Precio_O,11)*INDEX(IdxPrecio_O,1,MIN(10,CJ$17))*(1+P_dPrecio)</f>
        <v>0</v>
      </c>
      <c r="CK56" s="34" t="n">
        <f aca="false">CK$31*INDEX(Precio_O,11)*INDEX(IdxPrecio_O,1,MIN(10,CK$17))*(1+P_dPrecio)</f>
        <v>0</v>
      </c>
      <c r="CL56" s="34" t="n">
        <f aca="false">CL$31*INDEX(Precio_O,11)*INDEX(IdxPrecio_O,1,MIN(10,CL$17))*(1+P_dPrecio)</f>
        <v>0</v>
      </c>
      <c r="CM56" s="34" t="n">
        <f aca="false">CM$31*INDEX(Precio_O,11)*INDEX(IdxPrecio_O,1,MIN(10,CM$17))*(1+P_dPrecio)</f>
        <v>0</v>
      </c>
      <c r="CN56" s="34" t="n">
        <f aca="false">CN$31*INDEX(Precio_O,11)*INDEX(IdxPrecio_O,1,MIN(10,CN$17))*(1+P_dPrecio)</f>
        <v>0</v>
      </c>
      <c r="CO56" s="34" t="n">
        <f aca="false">CO$31*INDEX(Precio_O,11)*INDEX(IdxPrecio_O,1,MIN(10,CO$17))*(1+P_dPrecio)</f>
        <v>0</v>
      </c>
      <c r="CP56" s="34" t="n">
        <f aca="false">CP$31*INDEX(Precio_O,11)*INDEX(IdxPrecio_O,1,MIN(10,CP$17))*(1+P_dPrecio)</f>
        <v>0</v>
      </c>
      <c r="CQ56" s="34" t="n">
        <f aca="false">CQ$31*INDEX(Precio_O,11)*INDEX(IdxPrecio_O,1,MIN(10,CQ$17))*(1+P_dPrecio)</f>
        <v>0</v>
      </c>
      <c r="CR56" s="34" t="n">
        <f aca="false">CR$31*INDEX(Precio_O,11)*INDEX(IdxPrecio_O,1,MIN(10,CR$17))*(1+P_dPrecio)</f>
        <v>0</v>
      </c>
      <c r="CS56" s="34" t="n">
        <f aca="false">CS$31*INDEX(Precio_O,11)*INDEX(IdxPrecio_O,1,MIN(10,CS$17))*(1+P_dPrecio)</f>
        <v>0</v>
      </c>
      <c r="CT56" s="34" t="n">
        <f aca="false">CT$31*INDEX(Precio_O,11)*INDEX(IdxPrecio_O,1,MIN(10,CT$17))*(1+P_dPrecio)</f>
        <v>0</v>
      </c>
      <c r="CU56" s="34" t="n">
        <f aca="false">CU$31*INDEX(Precio_O,11)*INDEX(IdxPrecio_O,1,MIN(10,CU$17))*(1+P_dPrecio)</f>
        <v>0</v>
      </c>
      <c r="CV56" s="34" t="n">
        <f aca="false">CV$31*INDEX(Precio_O,11)*INDEX(IdxPrecio_O,1,MIN(10,CV$17))*(1+P_dPrecio)</f>
        <v>0</v>
      </c>
      <c r="CW56" s="34" t="n">
        <f aca="false">CW$31*INDEX(Precio_O,11)*INDEX(IdxPrecio_O,1,MIN(10,CW$17))*(1+P_dPrecio)</f>
        <v>0</v>
      </c>
      <c r="CX56" s="34" t="n">
        <f aca="false">CX$31*INDEX(Precio_O,11)*INDEX(IdxPrecio_O,1,MIN(10,CX$17))*(1+P_dPrecio)</f>
        <v>0</v>
      </c>
      <c r="CY56" s="34" t="n">
        <f aca="false">CY$31*INDEX(Precio_O,11)*INDEX(IdxPrecio_O,1,MIN(10,CY$17))*(1+P_dPrecio)</f>
        <v>0</v>
      </c>
      <c r="CZ56" s="34" t="n">
        <f aca="false">CZ$31*INDEX(Precio_O,11)*INDEX(IdxPrecio_O,1,MIN(10,CZ$17))*(1+P_dPrecio)</f>
        <v>0</v>
      </c>
      <c r="DA56" s="34" t="n">
        <f aca="false">DA$31*INDEX(Precio_O,11)*INDEX(IdxPrecio_O,1,MIN(10,DA$17))*(1+P_dPrecio)</f>
        <v>0</v>
      </c>
      <c r="DB56" s="34" t="n">
        <f aca="false">DB$31*INDEX(Precio_O,11)*INDEX(IdxPrecio_O,1,MIN(10,DB$17))*(1+P_dPrecio)</f>
        <v>0</v>
      </c>
      <c r="DC56" s="34" t="n">
        <f aca="false">DC$31*INDEX(Precio_O,11)*INDEX(IdxPrecio_O,1,MIN(10,DC$17))*(1+P_dPrecio)</f>
        <v>0</v>
      </c>
      <c r="DD56" s="34" t="n">
        <f aca="false">DD$31*INDEX(Precio_O,11)*INDEX(IdxPrecio_O,1,MIN(10,DD$17))*(1+P_dPrecio)</f>
        <v>0</v>
      </c>
      <c r="DE56" s="34" t="n">
        <f aca="false">DE$31*INDEX(Precio_O,11)*INDEX(IdxPrecio_O,1,MIN(10,DE$17))*(1+P_dPrecio)</f>
        <v>0</v>
      </c>
      <c r="DF56" s="34" t="n">
        <f aca="false">DF$31*INDEX(Precio_O,11)*INDEX(IdxPrecio_O,1,MIN(10,DF$17))*(1+P_dPrecio)</f>
        <v>0</v>
      </c>
      <c r="DG56" s="34" t="n">
        <f aca="false">DG$31*INDEX(Precio_O,11)*INDEX(IdxPrecio_O,1,MIN(10,DG$17))*(1+P_dPrecio)</f>
        <v>0</v>
      </c>
      <c r="DH56" s="34" t="n">
        <f aca="false">DH$31*INDEX(Precio_O,11)*INDEX(IdxPrecio_O,1,MIN(10,DH$17))*(1+P_dPrecio)</f>
        <v>0</v>
      </c>
      <c r="DI56" s="34" t="n">
        <f aca="false">DI$31*INDEX(Precio_O,11)*INDEX(IdxPrecio_O,1,MIN(10,DI$17))*(1+P_dPrecio)</f>
        <v>0</v>
      </c>
      <c r="DJ56" s="34" t="n">
        <f aca="false">DJ$31*INDEX(Precio_O,11)*INDEX(IdxPrecio_O,1,MIN(10,DJ$17))*(1+P_dPrecio)</f>
        <v>0</v>
      </c>
      <c r="DK56" s="34" t="n">
        <f aca="false">DK$31*INDEX(Precio_O,11)*INDEX(IdxPrecio_O,1,MIN(10,DK$17))*(1+P_dPrecio)</f>
        <v>0</v>
      </c>
      <c r="DL56" s="34" t="n">
        <f aca="false">DL$31*INDEX(Precio_O,11)*INDEX(IdxPrecio_O,1,MIN(10,DL$17))*(1+P_dPrecio)</f>
        <v>0</v>
      </c>
      <c r="DM56" s="34" t="n">
        <f aca="false">DM$31*INDEX(Precio_O,11)*INDEX(IdxPrecio_O,1,MIN(10,DM$17))*(1+P_dPrecio)</f>
        <v>0</v>
      </c>
      <c r="DN56" s="34" t="n">
        <f aca="false">DN$31*INDEX(Precio_O,11)*INDEX(IdxPrecio_O,1,MIN(10,DN$17))*(1+P_dPrecio)</f>
        <v>0</v>
      </c>
      <c r="DO56" s="34" t="n">
        <f aca="false">DO$31*INDEX(Precio_O,11)*INDEX(IdxPrecio_O,1,MIN(10,DO$17))*(1+P_dPrecio)</f>
        <v>0</v>
      </c>
      <c r="DP56" s="34" t="n">
        <f aca="false">DP$31*INDEX(Precio_O,11)*INDEX(IdxPrecio_O,1,MIN(10,DP$17))*(1+P_dPrecio)</f>
        <v>0</v>
      </c>
      <c r="DQ56" s="34" t="n">
        <f aca="false">DQ$31*INDEX(Precio_O,11)*INDEX(IdxPrecio_O,1,MIN(10,DQ$17))*(1+P_dPrecio)</f>
        <v>0</v>
      </c>
      <c r="DR56" s="34" t="n">
        <f aca="false">DR$31*INDEX(Precio_O,11)*INDEX(IdxPrecio_O,1,MIN(10,DR$17))*(1+P_dPrecio)</f>
        <v>0</v>
      </c>
      <c r="DS56" s="34" t="n">
        <f aca="false">DS$31*INDEX(Precio_O,11)*INDEX(IdxPrecio_O,1,MIN(10,DS$17))*(1+P_dPrecio)</f>
        <v>0</v>
      </c>
      <c r="DT56" s="34" t="n">
        <f aca="false">DT$31*INDEX(Precio_O,11)*INDEX(IdxPrecio_O,1,MIN(10,DT$17))*(1+P_dPrecio)</f>
        <v>0</v>
      </c>
      <c r="DU56" s="34" t="n">
        <f aca="false">DU$31*INDEX(Precio_O,11)*INDEX(IdxPrecio_O,1,MIN(10,DU$17))*(1+P_dPrecio)</f>
        <v>0</v>
      </c>
      <c r="DV56" s="34" t="n">
        <f aca="false">DV$31*INDEX(Precio_O,11)*INDEX(IdxPrecio_O,1,MIN(10,DV$17))*(1+P_dPrecio)</f>
        <v>0</v>
      </c>
      <c r="DW56" s="34" t="n">
        <f aca="false">DW$31*INDEX(Precio_O,11)*INDEX(IdxPrecio_O,1,MIN(10,DW$17))*(1+P_dPrecio)</f>
        <v>0</v>
      </c>
      <c r="DX56" s="34" t="n">
        <f aca="false">DX$31*INDEX(Precio_O,11)*INDEX(IdxPrecio_O,1,MIN(10,DX$17))*(1+P_dPrecio)</f>
        <v>0</v>
      </c>
      <c r="DY56" s="34" t="n">
        <f aca="false">DY$31*INDEX(Precio_O,11)*INDEX(IdxPrecio_O,1,MIN(10,DY$17))*(1+P_dPrecio)</f>
        <v>0</v>
      </c>
      <c r="DZ56" s="34" t="n">
        <f aca="false">DZ$31*INDEX(Precio_O,11)*INDEX(IdxPrecio_O,1,MIN(10,DZ$17))*(1+P_dPrecio)</f>
        <v>0</v>
      </c>
      <c r="EA56" s="34" t="n">
        <f aca="false">EA$31*INDEX(Precio_O,11)*INDEX(IdxPrecio_O,1,MIN(10,EA$17))*(1+P_dPrecio)</f>
        <v>0</v>
      </c>
      <c r="EB56" s="34" t="n">
        <f aca="false">EB$31*INDEX(Precio_O,11)*INDEX(IdxPrecio_O,1,MIN(10,EB$17))*(1+P_dPrecio)</f>
        <v>0</v>
      </c>
      <c r="EC56" s="34" t="n">
        <f aca="false">EC$31*INDEX(Precio_O,11)*INDEX(IdxPrecio_O,1,MIN(10,EC$17))*(1+P_dPrecio)</f>
        <v>0</v>
      </c>
      <c r="ED56" s="34" t="n">
        <f aca="false">ED$31*INDEX(Precio_O,11)*INDEX(IdxPrecio_O,1,MIN(10,ED$17))*(1+P_dPrecio)</f>
        <v>0</v>
      </c>
      <c r="EE56" s="34" t="n">
        <f aca="false">EE$31*INDEX(Precio_O,11)*INDEX(IdxPrecio_O,1,MIN(10,EE$17))*(1+P_dPrecio)</f>
        <v>0</v>
      </c>
      <c r="EF56" s="34" t="n">
        <f aca="false">EF$31*INDEX(Precio_O,11)*INDEX(IdxPrecio_O,1,MIN(10,EF$17))*(1+P_dPrecio)</f>
        <v>0</v>
      </c>
      <c r="EG56" s="34" t="n">
        <f aca="false">EG$31*INDEX(Precio_O,11)*INDEX(IdxPrecio_O,1,MIN(10,EG$17))*(1+P_dPrecio)</f>
        <v>0</v>
      </c>
      <c r="EH56" s="34" t="n">
        <f aca="false">EH$31*INDEX(Precio_O,11)*INDEX(IdxPrecio_O,1,MIN(10,EH$17))*(1+P_dPrecio)</f>
        <v>0</v>
      </c>
      <c r="EI56" s="34" t="n">
        <f aca="false">EI$31*INDEX(Precio_O,11)*INDEX(IdxPrecio_O,1,MIN(10,EI$17))*(1+P_dPrecio)</f>
        <v>0</v>
      </c>
      <c r="EJ56" s="34" t="n">
        <f aca="false">EJ$31*INDEX(Precio_O,11)*INDEX(IdxPrecio_O,1,MIN(10,EJ$17))*(1+P_dPrecio)</f>
        <v>0</v>
      </c>
      <c r="EK56" s="34" t="n">
        <f aca="false">EK$31*INDEX(Precio_O,11)*INDEX(IdxPrecio_O,1,MIN(10,EK$17))*(1+P_dPrecio)</f>
        <v>0</v>
      </c>
      <c r="EL56" s="34" t="n">
        <f aca="false">EL$31*INDEX(Precio_O,11)*INDEX(IdxPrecio_O,1,MIN(10,EL$17))*(1+P_dPrecio)</f>
        <v>0</v>
      </c>
      <c r="EM56" s="34" t="n">
        <f aca="false">EM$31*INDEX(Precio_O,11)*INDEX(IdxPrecio_O,1,MIN(10,EM$17))*(1+P_dPrecio)</f>
        <v>0</v>
      </c>
      <c r="EN56" s="34" t="n">
        <f aca="false">EN$31*INDEX(Precio_O,11)*INDEX(IdxPrecio_O,1,MIN(10,EN$17))*(1+P_dPrecio)</f>
        <v>0</v>
      </c>
      <c r="EO56" s="34" t="n">
        <f aca="false">EO$31*INDEX(Precio_O,11)*INDEX(IdxPrecio_O,1,MIN(10,EO$17))*(1+P_dPrecio)</f>
        <v>0</v>
      </c>
      <c r="EP56" s="34" t="n">
        <f aca="false">EP$31*INDEX(Precio_O,11)*INDEX(IdxPrecio_O,1,MIN(10,EP$17))*(1+P_dPrecio)</f>
        <v>0</v>
      </c>
      <c r="EQ56" s="34" t="n">
        <f aca="false">EQ$31*INDEX(Precio_O,11)*INDEX(IdxPrecio_O,1,MIN(10,EQ$17))*(1+P_dPrecio)</f>
        <v>0</v>
      </c>
      <c r="ER56" s="34" t="n">
        <f aca="false">ER$31*INDEX(Precio_O,11)*INDEX(IdxPrecio_O,1,MIN(10,ER$17))*(1+P_dPrecio)</f>
        <v>0</v>
      </c>
      <c r="ES56" s="34" t="n">
        <f aca="false">ES$31*INDEX(Precio_O,11)*INDEX(IdxPrecio_O,1,MIN(10,ES$17))*(1+P_dPrecio)</f>
        <v>0</v>
      </c>
    </row>
    <row r="57" customFormat="false" ht="15" hidden="false" customHeight="false" outlineLevel="0" collapsed="false">
      <c r="A57" s="2" t="s">
        <v>620</v>
      </c>
      <c r="B57" s="39" t="str">
        <f aca="false">IF(INDEX(Prod_Nombre,12)="","Producto 12",INDEX(Prod_Nombre,12))&amp;" — ventas USD"</f>
        <v>Producto 12 — ventas USD</v>
      </c>
      <c r="C57" s="6" t="s">
        <v>250</v>
      </c>
      <c r="E57" s="40" t="n">
        <f aca="false">SUM(F57:ES57)</f>
        <v>0</v>
      </c>
      <c r="F57" s="34" t="n">
        <f aca="false">F$32*INDEX(Precio_O,12)*INDEX(IdxPrecio_O,1,MIN(10,F$17))*(1+P_dPrecio)</f>
        <v>0</v>
      </c>
      <c r="G57" s="34" t="n">
        <f aca="false">G$32*INDEX(Precio_O,12)*INDEX(IdxPrecio_O,1,MIN(10,G$17))*(1+P_dPrecio)</f>
        <v>0</v>
      </c>
      <c r="H57" s="34" t="n">
        <f aca="false">H$32*INDEX(Precio_O,12)*INDEX(IdxPrecio_O,1,MIN(10,H$17))*(1+P_dPrecio)</f>
        <v>0</v>
      </c>
      <c r="I57" s="34" t="n">
        <f aca="false">I$32*INDEX(Precio_O,12)*INDEX(IdxPrecio_O,1,MIN(10,I$17))*(1+P_dPrecio)</f>
        <v>0</v>
      </c>
      <c r="J57" s="34" t="n">
        <f aca="false">J$32*INDEX(Precio_O,12)*INDEX(IdxPrecio_O,1,MIN(10,J$17))*(1+P_dPrecio)</f>
        <v>0</v>
      </c>
      <c r="K57" s="34" t="n">
        <f aca="false">K$32*INDEX(Precio_O,12)*INDEX(IdxPrecio_O,1,MIN(10,K$17))*(1+P_dPrecio)</f>
        <v>0</v>
      </c>
      <c r="L57" s="34" t="n">
        <f aca="false">L$32*INDEX(Precio_O,12)*INDEX(IdxPrecio_O,1,MIN(10,L$17))*(1+P_dPrecio)</f>
        <v>0</v>
      </c>
      <c r="M57" s="34" t="n">
        <f aca="false">M$32*INDEX(Precio_O,12)*INDEX(IdxPrecio_O,1,MIN(10,M$17))*(1+P_dPrecio)</f>
        <v>0</v>
      </c>
      <c r="N57" s="34" t="n">
        <f aca="false">N$32*INDEX(Precio_O,12)*INDEX(IdxPrecio_O,1,MIN(10,N$17))*(1+P_dPrecio)</f>
        <v>0</v>
      </c>
      <c r="O57" s="34" t="n">
        <f aca="false">O$32*INDEX(Precio_O,12)*INDEX(IdxPrecio_O,1,MIN(10,O$17))*(1+P_dPrecio)</f>
        <v>0</v>
      </c>
      <c r="P57" s="34" t="n">
        <f aca="false">P$32*INDEX(Precio_O,12)*INDEX(IdxPrecio_O,1,MIN(10,P$17))*(1+P_dPrecio)</f>
        <v>0</v>
      </c>
      <c r="Q57" s="34" t="n">
        <f aca="false">Q$32*INDEX(Precio_O,12)*INDEX(IdxPrecio_O,1,MIN(10,Q$17))*(1+P_dPrecio)</f>
        <v>0</v>
      </c>
      <c r="R57" s="34" t="n">
        <f aca="false">R$32*INDEX(Precio_O,12)*INDEX(IdxPrecio_O,1,MIN(10,R$17))*(1+P_dPrecio)</f>
        <v>0</v>
      </c>
      <c r="S57" s="34" t="n">
        <f aca="false">S$32*INDEX(Precio_O,12)*INDEX(IdxPrecio_O,1,MIN(10,S$17))*(1+P_dPrecio)</f>
        <v>0</v>
      </c>
      <c r="T57" s="34" t="n">
        <f aca="false">T$32*INDEX(Precio_O,12)*INDEX(IdxPrecio_O,1,MIN(10,T$17))*(1+P_dPrecio)</f>
        <v>0</v>
      </c>
      <c r="U57" s="34" t="n">
        <f aca="false">U$32*INDEX(Precio_O,12)*INDEX(IdxPrecio_O,1,MIN(10,U$17))*(1+P_dPrecio)</f>
        <v>0</v>
      </c>
      <c r="V57" s="34" t="n">
        <f aca="false">V$32*INDEX(Precio_O,12)*INDEX(IdxPrecio_O,1,MIN(10,V$17))*(1+P_dPrecio)</f>
        <v>0</v>
      </c>
      <c r="W57" s="34" t="n">
        <f aca="false">W$32*INDEX(Precio_O,12)*INDEX(IdxPrecio_O,1,MIN(10,W$17))*(1+P_dPrecio)</f>
        <v>0</v>
      </c>
      <c r="X57" s="34" t="n">
        <f aca="false">X$32*INDEX(Precio_O,12)*INDEX(IdxPrecio_O,1,MIN(10,X$17))*(1+P_dPrecio)</f>
        <v>0</v>
      </c>
      <c r="Y57" s="34" t="n">
        <f aca="false">Y$32*INDEX(Precio_O,12)*INDEX(IdxPrecio_O,1,MIN(10,Y$17))*(1+P_dPrecio)</f>
        <v>0</v>
      </c>
      <c r="Z57" s="34" t="n">
        <f aca="false">Z$32*INDEX(Precio_O,12)*INDEX(IdxPrecio_O,1,MIN(10,Z$17))*(1+P_dPrecio)</f>
        <v>0</v>
      </c>
      <c r="AA57" s="34" t="n">
        <f aca="false">AA$32*INDEX(Precio_O,12)*INDEX(IdxPrecio_O,1,MIN(10,AA$17))*(1+P_dPrecio)</f>
        <v>0</v>
      </c>
      <c r="AB57" s="34" t="n">
        <f aca="false">AB$32*INDEX(Precio_O,12)*INDEX(IdxPrecio_O,1,MIN(10,AB$17))*(1+P_dPrecio)</f>
        <v>0</v>
      </c>
      <c r="AC57" s="34" t="n">
        <f aca="false">AC$32*INDEX(Precio_O,12)*INDEX(IdxPrecio_O,1,MIN(10,AC$17))*(1+P_dPrecio)</f>
        <v>0</v>
      </c>
      <c r="AD57" s="34" t="n">
        <f aca="false">AD$32*INDEX(Precio_O,12)*INDEX(IdxPrecio_O,1,MIN(10,AD$17))*(1+P_dPrecio)</f>
        <v>0</v>
      </c>
      <c r="AE57" s="34" t="n">
        <f aca="false">AE$32*INDEX(Precio_O,12)*INDEX(IdxPrecio_O,1,MIN(10,AE$17))*(1+P_dPrecio)</f>
        <v>0</v>
      </c>
      <c r="AF57" s="34" t="n">
        <f aca="false">AF$32*INDEX(Precio_O,12)*INDEX(IdxPrecio_O,1,MIN(10,AF$17))*(1+P_dPrecio)</f>
        <v>0</v>
      </c>
      <c r="AG57" s="34" t="n">
        <f aca="false">AG$32*INDEX(Precio_O,12)*INDEX(IdxPrecio_O,1,MIN(10,AG$17))*(1+P_dPrecio)</f>
        <v>0</v>
      </c>
      <c r="AH57" s="34" t="n">
        <f aca="false">AH$32*INDEX(Precio_O,12)*INDEX(IdxPrecio_O,1,MIN(10,AH$17))*(1+P_dPrecio)</f>
        <v>0</v>
      </c>
      <c r="AI57" s="34" t="n">
        <f aca="false">AI$32*INDEX(Precio_O,12)*INDEX(IdxPrecio_O,1,MIN(10,AI$17))*(1+P_dPrecio)</f>
        <v>0</v>
      </c>
      <c r="AJ57" s="34" t="n">
        <f aca="false">AJ$32*INDEX(Precio_O,12)*INDEX(IdxPrecio_O,1,MIN(10,AJ$17))*(1+P_dPrecio)</f>
        <v>0</v>
      </c>
      <c r="AK57" s="34" t="n">
        <f aca="false">AK$32*INDEX(Precio_O,12)*INDEX(IdxPrecio_O,1,MIN(10,AK$17))*(1+P_dPrecio)</f>
        <v>0</v>
      </c>
      <c r="AL57" s="34" t="n">
        <f aca="false">AL$32*INDEX(Precio_O,12)*INDEX(IdxPrecio_O,1,MIN(10,AL$17))*(1+P_dPrecio)</f>
        <v>0</v>
      </c>
      <c r="AM57" s="34" t="n">
        <f aca="false">AM$32*INDEX(Precio_O,12)*INDEX(IdxPrecio_O,1,MIN(10,AM$17))*(1+P_dPrecio)</f>
        <v>0</v>
      </c>
      <c r="AN57" s="34" t="n">
        <f aca="false">AN$32*INDEX(Precio_O,12)*INDEX(IdxPrecio_O,1,MIN(10,AN$17))*(1+P_dPrecio)</f>
        <v>0</v>
      </c>
      <c r="AO57" s="34" t="n">
        <f aca="false">AO$32*INDEX(Precio_O,12)*INDEX(IdxPrecio_O,1,MIN(10,AO$17))*(1+P_dPrecio)</f>
        <v>0</v>
      </c>
      <c r="AP57" s="34" t="n">
        <f aca="false">AP$32*INDEX(Precio_O,12)*INDEX(IdxPrecio_O,1,MIN(10,AP$17))*(1+P_dPrecio)</f>
        <v>0</v>
      </c>
      <c r="AQ57" s="34" t="n">
        <f aca="false">AQ$32*INDEX(Precio_O,12)*INDEX(IdxPrecio_O,1,MIN(10,AQ$17))*(1+P_dPrecio)</f>
        <v>0</v>
      </c>
      <c r="AR57" s="34" t="n">
        <f aca="false">AR$32*INDEX(Precio_O,12)*INDEX(IdxPrecio_O,1,MIN(10,AR$17))*(1+P_dPrecio)</f>
        <v>0</v>
      </c>
      <c r="AS57" s="34" t="n">
        <f aca="false">AS$32*INDEX(Precio_O,12)*INDEX(IdxPrecio_O,1,MIN(10,AS$17))*(1+P_dPrecio)</f>
        <v>0</v>
      </c>
      <c r="AT57" s="34" t="n">
        <f aca="false">AT$32*INDEX(Precio_O,12)*INDEX(IdxPrecio_O,1,MIN(10,AT$17))*(1+P_dPrecio)</f>
        <v>0</v>
      </c>
      <c r="AU57" s="34" t="n">
        <f aca="false">AU$32*INDEX(Precio_O,12)*INDEX(IdxPrecio_O,1,MIN(10,AU$17))*(1+P_dPrecio)</f>
        <v>0</v>
      </c>
      <c r="AV57" s="34" t="n">
        <f aca="false">AV$32*INDEX(Precio_O,12)*INDEX(IdxPrecio_O,1,MIN(10,AV$17))*(1+P_dPrecio)</f>
        <v>0</v>
      </c>
      <c r="AW57" s="34" t="n">
        <f aca="false">AW$32*INDEX(Precio_O,12)*INDEX(IdxPrecio_O,1,MIN(10,AW$17))*(1+P_dPrecio)</f>
        <v>0</v>
      </c>
      <c r="AX57" s="34" t="n">
        <f aca="false">AX$32*INDEX(Precio_O,12)*INDEX(IdxPrecio_O,1,MIN(10,AX$17))*(1+P_dPrecio)</f>
        <v>0</v>
      </c>
      <c r="AY57" s="34" t="n">
        <f aca="false">AY$32*INDEX(Precio_O,12)*INDEX(IdxPrecio_O,1,MIN(10,AY$17))*(1+P_dPrecio)</f>
        <v>0</v>
      </c>
      <c r="AZ57" s="34" t="n">
        <f aca="false">AZ$32*INDEX(Precio_O,12)*INDEX(IdxPrecio_O,1,MIN(10,AZ$17))*(1+P_dPrecio)</f>
        <v>0</v>
      </c>
      <c r="BA57" s="34" t="n">
        <f aca="false">BA$32*INDEX(Precio_O,12)*INDEX(IdxPrecio_O,1,MIN(10,BA$17))*(1+P_dPrecio)</f>
        <v>0</v>
      </c>
      <c r="BB57" s="34" t="n">
        <f aca="false">BB$32*INDEX(Precio_O,12)*INDEX(IdxPrecio_O,1,MIN(10,BB$17))*(1+P_dPrecio)</f>
        <v>0</v>
      </c>
      <c r="BC57" s="34" t="n">
        <f aca="false">BC$32*INDEX(Precio_O,12)*INDEX(IdxPrecio_O,1,MIN(10,BC$17))*(1+P_dPrecio)</f>
        <v>0</v>
      </c>
      <c r="BD57" s="34" t="n">
        <f aca="false">BD$32*INDEX(Precio_O,12)*INDEX(IdxPrecio_O,1,MIN(10,BD$17))*(1+P_dPrecio)</f>
        <v>0</v>
      </c>
      <c r="BE57" s="34" t="n">
        <f aca="false">BE$32*INDEX(Precio_O,12)*INDEX(IdxPrecio_O,1,MIN(10,BE$17))*(1+P_dPrecio)</f>
        <v>0</v>
      </c>
      <c r="BF57" s="34" t="n">
        <f aca="false">BF$32*INDEX(Precio_O,12)*INDEX(IdxPrecio_O,1,MIN(10,BF$17))*(1+P_dPrecio)</f>
        <v>0</v>
      </c>
      <c r="BG57" s="34" t="n">
        <f aca="false">BG$32*INDEX(Precio_O,12)*INDEX(IdxPrecio_O,1,MIN(10,BG$17))*(1+P_dPrecio)</f>
        <v>0</v>
      </c>
      <c r="BH57" s="34" t="n">
        <f aca="false">BH$32*INDEX(Precio_O,12)*INDEX(IdxPrecio_O,1,MIN(10,BH$17))*(1+P_dPrecio)</f>
        <v>0</v>
      </c>
      <c r="BI57" s="34" t="n">
        <f aca="false">BI$32*INDEX(Precio_O,12)*INDEX(IdxPrecio_O,1,MIN(10,BI$17))*(1+P_dPrecio)</f>
        <v>0</v>
      </c>
      <c r="BJ57" s="34" t="n">
        <f aca="false">BJ$32*INDEX(Precio_O,12)*INDEX(IdxPrecio_O,1,MIN(10,BJ$17))*(1+P_dPrecio)</f>
        <v>0</v>
      </c>
      <c r="BK57" s="34" t="n">
        <f aca="false">BK$32*INDEX(Precio_O,12)*INDEX(IdxPrecio_O,1,MIN(10,BK$17))*(1+P_dPrecio)</f>
        <v>0</v>
      </c>
      <c r="BL57" s="34" t="n">
        <f aca="false">BL$32*INDEX(Precio_O,12)*INDEX(IdxPrecio_O,1,MIN(10,BL$17))*(1+P_dPrecio)</f>
        <v>0</v>
      </c>
      <c r="BM57" s="34" t="n">
        <f aca="false">BM$32*INDEX(Precio_O,12)*INDEX(IdxPrecio_O,1,MIN(10,BM$17))*(1+P_dPrecio)</f>
        <v>0</v>
      </c>
      <c r="BN57" s="34" t="n">
        <f aca="false">BN$32*INDEX(Precio_O,12)*INDEX(IdxPrecio_O,1,MIN(10,BN$17))*(1+P_dPrecio)</f>
        <v>0</v>
      </c>
      <c r="BO57" s="34" t="n">
        <f aca="false">BO$32*INDEX(Precio_O,12)*INDEX(IdxPrecio_O,1,MIN(10,BO$17))*(1+P_dPrecio)</f>
        <v>0</v>
      </c>
      <c r="BP57" s="34" t="n">
        <f aca="false">BP$32*INDEX(Precio_O,12)*INDEX(IdxPrecio_O,1,MIN(10,BP$17))*(1+P_dPrecio)</f>
        <v>0</v>
      </c>
      <c r="BQ57" s="34" t="n">
        <f aca="false">BQ$32*INDEX(Precio_O,12)*INDEX(IdxPrecio_O,1,MIN(10,BQ$17))*(1+P_dPrecio)</f>
        <v>0</v>
      </c>
      <c r="BR57" s="34" t="n">
        <f aca="false">BR$32*INDEX(Precio_O,12)*INDEX(IdxPrecio_O,1,MIN(10,BR$17))*(1+P_dPrecio)</f>
        <v>0</v>
      </c>
      <c r="BS57" s="34" t="n">
        <f aca="false">BS$32*INDEX(Precio_O,12)*INDEX(IdxPrecio_O,1,MIN(10,BS$17))*(1+P_dPrecio)</f>
        <v>0</v>
      </c>
      <c r="BT57" s="34" t="n">
        <f aca="false">BT$32*INDEX(Precio_O,12)*INDEX(IdxPrecio_O,1,MIN(10,BT$17))*(1+P_dPrecio)</f>
        <v>0</v>
      </c>
      <c r="BU57" s="34" t="n">
        <f aca="false">BU$32*INDEX(Precio_O,12)*INDEX(IdxPrecio_O,1,MIN(10,BU$17))*(1+P_dPrecio)</f>
        <v>0</v>
      </c>
      <c r="BV57" s="34" t="n">
        <f aca="false">BV$32*INDEX(Precio_O,12)*INDEX(IdxPrecio_O,1,MIN(10,BV$17))*(1+P_dPrecio)</f>
        <v>0</v>
      </c>
      <c r="BW57" s="34" t="n">
        <f aca="false">BW$32*INDEX(Precio_O,12)*INDEX(IdxPrecio_O,1,MIN(10,BW$17))*(1+P_dPrecio)</f>
        <v>0</v>
      </c>
      <c r="BX57" s="34" t="n">
        <f aca="false">BX$32*INDEX(Precio_O,12)*INDEX(IdxPrecio_O,1,MIN(10,BX$17))*(1+P_dPrecio)</f>
        <v>0</v>
      </c>
      <c r="BY57" s="34" t="n">
        <f aca="false">BY$32*INDEX(Precio_O,12)*INDEX(IdxPrecio_O,1,MIN(10,BY$17))*(1+P_dPrecio)</f>
        <v>0</v>
      </c>
      <c r="BZ57" s="34" t="n">
        <f aca="false">BZ$32*INDEX(Precio_O,12)*INDEX(IdxPrecio_O,1,MIN(10,BZ$17))*(1+P_dPrecio)</f>
        <v>0</v>
      </c>
      <c r="CA57" s="34" t="n">
        <f aca="false">CA$32*INDEX(Precio_O,12)*INDEX(IdxPrecio_O,1,MIN(10,CA$17))*(1+P_dPrecio)</f>
        <v>0</v>
      </c>
      <c r="CB57" s="34" t="n">
        <f aca="false">CB$32*INDEX(Precio_O,12)*INDEX(IdxPrecio_O,1,MIN(10,CB$17))*(1+P_dPrecio)</f>
        <v>0</v>
      </c>
      <c r="CC57" s="34" t="n">
        <f aca="false">CC$32*INDEX(Precio_O,12)*INDEX(IdxPrecio_O,1,MIN(10,CC$17))*(1+P_dPrecio)</f>
        <v>0</v>
      </c>
      <c r="CD57" s="34" t="n">
        <f aca="false">CD$32*INDEX(Precio_O,12)*INDEX(IdxPrecio_O,1,MIN(10,CD$17))*(1+P_dPrecio)</f>
        <v>0</v>
      </c>
      <c r="CE57" s="34" t="n">
        <f aca="false">CE$32*INDEX(Precio_O,12)*INDEX(IdxPrecio_O,1,MIN(10,CE$17))*(1+P_dPrecio)</f>
        <v>0</v>
      </c>
      <c r="CF57" s="34" t="n">
        <f aca="false">CF$32*INDEX(Precio_O,12)*INDEX(IdxPrecio_O,1,MIN(10,CF$17))*(1+P_dPrecio)</f>
        <v>0</v>
      </c>
      <c r="CG57" s="34" t="n">
        <f aca="false">CG$32*INDEX(Precio_O,12)*INDEX(IdxPrecio_O,1,MIN(10,CG$17))*(1+P_dPrecio)</f>
        <v>0</v>
      </c>
      <c r="CH57" s="34" t="n">
        <f aca="false">CH$32*INDEX(Precio_O,12)*INDEX(IdxPrecio_O,1,MIN(10,CH$17))*(1+P_dPrecio)</f>
        <v>0</v>
      </c>
      <c r="CI57" s="34" t="n">
        <f aca="false">CI$32*INDEX(Precio_O,12)*INDEX(IdxPrecio_O,1,MIN(10,CI$17))*(1+P_dPrecio)</f>
        <v>0</v>
      </c>
      <c r="CJ57" s="34" t="n">
        <f aca="false">CJ$32*INDEX(Precio_O,12)*INDEX(IdxPrecio_O,1,MIN(10,CJ$17))*(1+P_dPrecio)</f>
        <v>0</v>
      </c>
      <c r="CK57" s="34" t="n">
        <f aca="false">CK$32*INDEX(Precio_O,12)*INDEX(IdxPrecio_O,1,MIN(10,CK$17))*(1+P_dPrecio)</f>
        <v>0</v>
      </c>
      <c r="CL57" s="34" t="n">
        <f aca="false">CL$32*INDEX(Precio_O,12)*INDEX(IdxPrecio_O,1,MIN(10,CL$17))*(1+P_dPrecio)</f>
        <v>0</v>
      </c>
      <c r="CM57" s="34" t="n">
        <f aca="false">CM$32*INDEX(Precio_O,12)*INDEX(IdxPrecio_O,1,MIN(10,CM$17))*(1+P_dPrecio)</f>
        <v>0</v>
      </c>
      <c r="CN57" s="34" t="n">
        <f aca="false">CN$32*INDEX(Precio_O,12)*INDEX(IdxPrecio_O,1,MIN(10,CN$17))*(1+P_dPrecio)</f>
        <v>0</v>
      </c>
      <c r="CO57" s="34" t="n">
        <f aca="false">CO$32*INDEX(Precio_O,12)*INDEX(IdxPrecio_O,1,MIN(10,CO$17))*(1+P_dPrecio)</f>
        <v>0</v>
      </c>
      <c r="CP57" s="34" t="n">
        <f aca="false">CP$32*INDEX(Precio_O,12)*INDEX(IdxPrecio_O,1,MIN(10,CP$17))*(1+P_dPrecio)</f>
        <v>0</v>
      </c>
      <c r="CQ57" s="34" t="n">
        <f aca="false">CQ$32*INDEX(Precio_O,12)*INDEX(IdxPrecio_O,1,MIN(10,CQ$17))*(1+P_dPrecio)</f>
        <v>0</v>
      </c>
      <c r="CR57" s="34" t="n">
        <f aca="false">CR$32*INDEX(Precio_O,12)*INDEX(IdxPrecio_O,1,MIN(10,CR$17))*(1+P_dPrecio)</f>
        <v>0</v>
      </c>
      <c r="CS57" s="34" t="n">
        <f aca="false">CS$32*INDEX(Precio_O,12)*INDEX(IdxPrecio_O,1,MIN(10,CS$17))*(1+P_dPrecio)</f>
        <v>0</v>
      </c>
      <c r="CT57" s="34" t="n">
        <f aca="false">CT$32*INDEX(Precio_O,12)*INDEX(IdxPrecio_O,1,MIN(10,CT$17))*(1+P_dPrecio)</f>
        <v>0</v>
      </c>
      <c r="CU57" s="34" t="n">
        <f aca="false">CU$32*INDEX(Precio_O,12)*INDEX(IdxPrecio_O,1,MIN(10,CU$17))*(1+P_dPrecio)</f>
        <v>0</v>
      </c>
      <c r="CV57" s="34" t="n">
        <f aca="false">CV$32*INDEX(Precio_O,12)*INDEX(IdxPrecio_O,1,MIN(10,CV$17))*(1+P_dPrecio)</f>
        <v>0</v>
      </c>
      <c r="CW57" s="34" t="n">
        <f aca="false">CW$32*INDEX(Precio_O,12)*INDEX(IdxPrecio_O,1,MIN(10,CW$17))*(1+P_dPrecio)</f>
        <v>0</v>
      </c>
      <c r="CX57" s="34" t="n">
        <f aca="false">CX$32*INDEX(Precio_O,12)*INDEX(IdxPrecio_O,1,MIN(10,CX$17))*(1+P_dPrecio)</f>
        <v>0</v>
      </c>
      <c r="CY57" s="34" t="n">
        <f aca="false">CY$32*INDEX(Precio_O,12)*INDEX(IdxPrecio_O,1,MIN(10,CY$17))*(1+P_dPrecio)</f>
        <v>0</v>
      </c>
      <c r="CZ57" s="34" t="n">
        <f aca="false">CZ$32*INDEX(Precio_O,12)*INDEX(IdxPrecio_O,1,MIN(10,CZ$17))*(1+P_dPrecio)</f>
        <v>0</v>
      </c>
      <c r="DA57" s="34" t="n">
        <f aca="false">DA$32*INDEX(Precio_O,12)*INDEX(IdxPrecio_O,1,MIN(10,DA$17))*(1+P_dPrecio)</f>
        <v>0</v>
      </c>
      <c r="DB57" s="34" t="n">
        <f aca="false">DB$32*INDEX(Precio_O,12)*INDEX(IdxPrecio_O,1,MIN(10,DB$17))*(1+P_dPrecio)</f>
        <v>0</v>
      </c>
      <c r="DC57" s="34" t="n">
        <f aca="false">DC$32*INDEX(Precio_O,12)*INDEX(IdxPrecio_O,1,MIN(10,DC$17))*(1+P_dPrecio)</f>
        <v>0</v>
      </c>
      <c r="DD57" s="34" t="n">
        <f aca="false">DD$32*INDEX(Precio_O,12)*INDEX(IdxPrecio_O,1,MIN(10,DD$17))*(1+P_dPrecio)</f>
        <v>0</v>
      </c>
      <c r="DE57" s="34" t="n">
        <f aca="false">DE$32*INDEX(Precio_O,12)*INDEX(IdxPrecio_O,1,MIN(10,DE$17))*(1+P_dPrecio)</f>
        <v>0</v>
      </c>
      <c r="DF57" s="34" t="n">
        <f aca="false">DF$32*INDEX(Precio_O,12)*INDEX(IdxPrecio_O,1,MIN(10,DF$17))*(1+P_dPrecio)</f>
        <v>0</v>
      </c>
      <c r="DG57" s="34" t="n">
        <f aca="false">DG$32*INDEX(Precio_O,12)*INDEX(IdxPrecio_O,1,MIN(10,DG$17))*(1+P_dPrecio)</f>
        <v>0</v>
      </c>
      <c r="DH57" s="34" t="n">
        <f aca="false">DH$32*INDEX(Precio_O,12)*INDEX(IdxPrecio_O,1,MIN(10,DH$17))*(1+P_dPrecio)</f>
        <v>0</v>
      </c>
      <c r="DI57" s="34" t="n">
        <f aca="false">DI$32*INDEX(Precio_O,12)*INDEX(IdxPrecio_O,1,MIN(10,DI$17))*(1+P_dPrecio)</f>
        <v>0</v>
      </c>
      <c r="DJ57" s="34" t="n">
        <f aca="false">DJ$32*INDEX(Precio_O,12)*INDEX(IdxPrecio_O,1,MIN(10,DJ$17))*(1+P_dPrecio)</f>
        <v>0</v>
      </c>
      <c r="DK57" s="34" t="n">
        <f aca="false">DK$32*INDEX(Precio_O,12)*INDEX(IdxPrecio_O,1,MIN(10,DK$17))*(1+P_dPrecio)</f>
        <v>0</v>
      </c>
      <c r="DL57" s="34" t="n">
        <f aca="false">DL$32*INDEX(Precio_O,12)*INDEX(IdxPrecio_O,1,MIN(10,DL$17))*(1+P_dPrecio)</f>
        <v>0</v>
      </c>
      <c r="DM57" s="34" t="n">
        <f aca="false">DM$32*INDEX(Precio_O,12)*INDEX(IdxPrecio_O,1,MIN(10,DM$17))*(1+P_dPrecio)</f>
        <v>0</v>
      </c>
      <c r="DN57" s="34" t="n">
        <f aca="false">DN$32*INDEX(Precio_O,12)*INDEX(IdxPrecio_O,1,MIN(10,DN$17))*(1+P_dPrecio)</f>
        <v>0</v>
      </c>
      <c r="DO57" s="34" t="n">
        <f aca="false">DO$32*INDEX(Precio_O,12)*INDEX(IdxPrecio_O,1,MIN(10,DO$17))*(1+P_dPrecio)</f>
        <v>0</v>
      </c>
      <c r="DP57" s="34" t="n">
        <f aca="false">DP$32*INDEX(Precio_O,12)*INDEX(IdxPrecio_O,1,MIN(10,DP$17))*(1+P_dPrecio)</f>
        <v>0</v>
      </c>
      <c r="DQ57" s="34" t="n">
        <f aca="false">DQ$32*INDEX(Precio_O,12)*INDEX(IdxPrecio_O,1,MIN(10,DQ$17))*(1+P_dPrecio)</f>
        <v>0</v>
      </c>
      <c r="DR57" s="34" t="n">
        <f aca="false">DR$32*INDEX(Precio_O,12)*INDEX(IdxPrecio_O,1,MIN(10,DR$17))*(1+P_dPrecio)</f>
        <v>0</v>
      </c>
      <c r="DS57" s="34" t="n">
        <f aca="false">DS$32*INDEX(Precio_O,12)*INDEX(IdxPrecio_O,1,MIN(10,DS$17))*(1+P_dPrecio)</f>
        <v>0</v>
      </c>
      <c r="DT57" s="34" t="n">
        <f aca="false">DT$32*INDEX(Precio_O,12)*INDEX(IdxPrecio_O,1,MIN(10,DT$17))*(1+P_dPrecio)</f>
        <v>0</v>
      </c>
      <c r="DU57" s="34" t="n">
        <f aca="false">DU$32*INDEX(Precio_O,12)*INDEX(IdxPrecio_O,1,MIN(10,DU$17))*(1+P_dPrecio)</f>
        <v>0</v>
      </c>
      <c r="DV57" s="34" t="n">
        <f aca="false">DV$32*INDEX(Precio_O,12)*INDEX(IdxPrecio_O,1,MIN(10,DV$17))*(1+P_dPrecio)</f>
        <v>0</v>
      </c>
      <c r="DW57" s="34" t="n">
        <f aca="false">DW$32*INDEX(Precio_O,12)*INDEX(IdxPrecio_O,1,MIN(10,DW$17))*(1+P_dPrecio)</f>
        <v>0</v>
      </c>
      <c r="DX57" s="34" t="n">
        <f aca="false">DX$32*INDEX(Precio_O,12)*INDEX(IdxPrecio_O,1,MIN(10,DX$17))*(1+P_dPrecio)</f>
        <v>0</v>
      </c>
      <c r="DY57" s="34" t="n">
        <f aca="false">DY$32*INDEX(Precio_O,12)*INDEX(IdxPrecio_O,1,MIN(10,DY$17))*(1+P_dPrecio)</f>
        <v>0</v>
      </c>
      <c r="DZ57" s="34" t="n">
        <f aca="false">DZ$32*INDEX(Precio_O,12)*INDEX(IdxPrecio_O,1,MIN(10,DZ$17))*(1+P_dPrecio)</f>
        <v>0</v>
      </c>
      <c r="EA57" s="34" t="n">
        <f aca="false">EA$32*INDEX(Precio_O,12)*INDEX(IdxPrecio_O,1,MIN(10,EA$17))*(1+P_dPrecio)</f>
        <v>0</v>
      </c>
      <c r="EB57" s="34" t="n">
        <f aca="false">EB$32*INDEX(Precio_O,12)*INDEX(IdxPrecio_O,1,MIN(10,EB$17))*(1+P_dPrecio)</f>
        <v>0</v>
      </c>
      <c r="EC57" s="34" t="n">
        <f aca="false">EC$32*INDEX(Precio_O,12)*INDEX(IdxPrecio_O,1,MIN(10,EC$17))*(1+P_dPrecio)</f>
        <v>0</v>
      </c>
      <c r="ED57" s="34" t="n">
        <f aca="false">ED$32*INDEX(Precio_O,12)*INDEX(IdxPrecio_O,1,MIN(10,ED$17))*(1+P_dPrecio)</f>
        <v>0</v>
      </c>
      <c r="EE57" s="34" t="n">
        <f aca="false">EE$32*INDEX(Precio_O,12)*INDEX(IdxPrecio_O,1,MIN(10,EE$17))*(1+P_dPrecio)</f>
        <v>0</v>
      </c>
      <c r="EF57" s="34" t="n">
        <f aca="false">EF$32*INDEX(Precio_O,12)*INDEX(IdxPrecio_O,1,MIN(10,EF$17))*(1+P_dPrecio)</f>
        <v>0</v>
      </c>
      <c r="EG57" s="34" t="n">
        <f aca="false">EG$32*INDEX(Precio_O,12)*INDEX(IdxPrecio_O,1,MIN(10,EG$17))*(1+P_dPrecio)</f>
        <v>0</v>
      </c>
      <c r="EH57" s="34" t="n">
        <f aca="false">EH$32*INDEX(Precio_O,12)*INDEX(IdxPrecio_O,1,MIN(10,EH$17))*(1+P_dPrecio)</f>
        <v>0</v>
      </c>
      <c r="EI57" s="34" t="n">
        <f aca="false">EI$32*INDEX(Precio_O,12)*INDEX(IdxPrecio_O,1,MIN(10,EI$17))*(1+P_dPrecio)</f>
        <v>0</v>
      </c>
      <c r="EJ57" s="34" t="n">
        <f aca="false">EJ$32*INDEX(Precio_O,12)*INDEX(IdxPrecio_O,1,MIN(10,EJ$17))*(1+P_dPrecio)</f>
        <v>0</v>
      </c>
      <c r="EK57" s="34" t="n">
        <f aca="false">EK$32*INDEX(Precio_O,12)*INDEX(IdxPrecio_O,1,MIN(10,EK$17))*(1+P_dPrecio)</f>
        <v>0</v>
      </c>
      <c r="EL57" s="34" t="n">
        <f aca="false">EL$32*INDEX(Precio_O,12)*INDEX(IdxPrecio_O,1,MIN(10,EL$17))*(1+P_dPrecio)</f>
        <v>0</v>
      </c>
      <c r="EM57" s="34" t="n">
        <f aca="false">EM$32*INDEX(Precio_O,12)*INDEX(IdxPrecio_O,1,MIN(10,EM$17))*(1+P_dPrecio)</f>
        <v>0</v>
      </c>
      <c r="EN57" s="34" t="n">
        <f aca="false">EN$32*INDEX(Precio_O,12)*INDEX(IdxPrecio_O,1,MIN(10,EN$17))*(1+P_dPrecio)</f>
        <v>0</v>
      </c>
      <c r="EO57" s="34" t="n">
        <f aca="false">EO$32*INDEX(Precio_O,12)*INDEX(IdxPrecio_O,1,MIN(10,EO$17))*(1+P_dPrecio)</f>
        <v>0</v>
      </c>
      <c r="EP57" s="34" t="n">
        <f aca="false">EP$32*INDEX(Precio_O,12)*INDEX(IdxPrecio_O,1,MIN(10,EP$17))*(1+P_dPrecio)</f>
        <v>0</v>
      </c>
      <c r="EQ57" s="34" t="n">
        <f aca="false">EQ$32*INDEX(Precio_O,12)*INDEX(IdxPrecio_O,1,MIN(10,EQ$17))*(1+P_dPrecio)</f>
        <v>0</v>
      </c>
      <c r="ER57" s="34" t="n">
        <f aca="false">ER$32*INDEX(Precio_O,12)*INDEX(IdxPrecio_O,1,MIN(10,ER$17))*(1+P_dPrecio)</f>
        <v>0</v>
      </c>
      <c r="ES57" s="34" t="n">
        <f aca="false">ES$32*INDEX(Precio_O,12)*INDEX(IdxPrecio_O,1,MIN(10,ES$17))*(1+P_dPrecio)</f>
        <v>0</v>
      </c>
    </row>
    <row r="58" customFormat="false" ht="15" hidden="false" customHeight="false" outlineLevel="0" collapsed="false">
      <c r="A58" s="2" t="s">
        <v>621</v>
      </c>
      <c r="B58" s="39" t="str">
        <f aca="false">IF(INDEX(Prod_Nombre,13)="","Producto 13",INDEX(Prod_Nombre,13))&amp;" — ventas USD"</f>
        <v>Producto 13 — ventas USD</v>
      </c>
      <c r="C58" s="6" t="s">
        <v>250</v>
      </c>
      <c r="E58" s="40" t="n">
        <f aca="false">SUM(F58:ES58)</f>
        <v>0</v>
      </c>
      <c r="F58" s="34" t="n">
        <f aca="false">F$33*INDEX(Precio_O,13)*INDEX(IdxPrecio_O,1,MIN(10,F$17))*(1+P_dPrecio)</f>
        <v>0</v>
      </c>
      <c r="G58" s="34" t="n">
        <f aca="false">G$33*INDEX(Precio_O,13)*INDEX(IdxPrecio_O,1,MIN(10,G$17))*(1+P_dPrecio)</f>
        <v>0</v>
      </c>
      <c r="H58" s="34" t="n">
        <f aca="false">H$33*INDEX(Precio_O,13)*INDEX(IdxPrecio_O,1,MIN(10,H$17))*(1+P_dPrecio)</f>
        <v>0</v>
      </c>
      <c r="I58" s="34" t="n">
        <f aca="false">I$33*INDEX(Precio_O,13)*INDEX(IdxPrecio_O,1,MIN(10,I$17))*(1+P_dPrecio)</f>
        <v>0</v>
      </c>
      <c r="J58" s="34" t="n">
        <f aca="false">J$33*INDEX(Precio_O,13)*INDEX(IdxPrecio_O,1,MIN(10,J$17))*(1+P_dPrecio)</f>
        <v>0</v>
      </c>
      <c r="K58" s="34" t="n">
        <f aca="false">K$33*INDEX(Precio_O,13)*INDEX(IdxPrecio_O,1,MIN(10,K$17))*(1+P_dPrecio)</f>
        <v>0</v>
      </c>
      <c r="L58" s="34" t="n">
        <f aca="false">L$33*INDEX(Precio_O,13)*INDEX(IdxPrecio_O,1,MIN(10,L$17))*(1+P_dPrecio)</f>
        <v>0</v>
      </c>
      <c r="M58" s="34" t="n">
        <f aca="false">M$33*INDEX(Precio_O,13)*INDEX(IdxPrecio_O,1,MIN(10,M$17))*(1+P_dPrecio)</f>
        <v>0</v>
      </c>
      <c r="N58" s="34" t="n">
        <f aca="false">N$33*INDEX(Precio_O,13)*INDEX(IdxPrecio_O,1,MIN(10,N$17))*(1+P_dPrecio)</f>
        <v>0</v>
      </c>
      <c r="O58" s="34" t="n">
        <f aca="false">O$33*INDEX(Precio_O,13)*INDEX(IdxPrecio_O,1,MIN(10,O$17))*(1+P_dPrecio)</f>
        <v>0</v>
      </c>
      <c r="P58" s="34" t="n">
        <f aca="false">P$33*INDEX(Precio_O,13)*INDEX(IdxPrecio_O,1,MIN(10,P$17))*(1+P_dPrecio)</f>
        <v>0</v>
      </c>
      <c r="Q58" s="34" t="n">
        <f aca="false">Q$33*INDEX(Precio_O,13)*INDEX(IdxPrecio_O,1,MIN(10,Q$17))*(1+P_dPrecio)</f>
        <v>0</v>
      </c>
      <c r="R58" s="34" t="n">
        <f aca="false">R$33*INDEX(Precio_O,13)*INDEX(IdxPrecio_O,1,MIN(10,R$17))*(1+P_dPrecio)</f>
        <v>0</v>
      </c>
      <c r="S58" s="34" t="n">
        <f aca="false">S$33*INDEX(Precio_O,13)*INDEX(IdxPrecio_O,1,MIN(10,S$17))*(1+P_dPrecio)</f>
        <v>0</v>
      </c>
      <c r="T58" s="34" t="n">
        <f aca="false">T$33*INDEX(Precio_O,13)*INDEX(IdxPrecio_O,1,MIN(10,T$17))*(1+P_dPrecio)</f>
        <v>0</v>
      </c>
      <c r="U58" s="34" t="n">
        <f aca="false">U$33*INDEX(Precio_O,13)*INDEX(IdxPrecio_O,1,MIN(10,U$17))*(1+P_dPrecio)</f>
        <v>0</v>
      </c>
      <c r="V58" s="34" t="n">
        <f aca="false">V$33*INDEX(Precio_O,13)*INDEX(IdxPrecio_O,1,MIN(10,V$17))*(1+P_dPrecio)</f>
        <v>0</v>
      </c>
      <c r="W58" s="34" t="n">
        <f aca="false">W$33*INDEX(Precio_O,13)*INDEX(IdxPrecio_O,1,MIN(10,W$17))*(1+P_dPrecio)</f>
        <v>0</v>
      </c>
      <c r="X58" s="34" t="n">
        <f aca="false">X$33*INDEX(Precio_O,13)*INDEX(IdxPrecio_O,1,MIN(10,X$17))*(1+P_dPrecio)</f>
        <v>0</v>
      </c>
      <c r="Y58" s="34" t="n">
        <f aca="false">Y$33*INDEX(Precio_O,13)*INDEX(IdxPrecio_O,1,MIN(10,Y$17))*(1+P_dPrecio)</f>
        <v>0</v>
      </c>
      <c r="Z58" s="34" t="n">
        <f aca="false">Z$33*INDEX(Precio_O,13)*INDEX(IdxPrecio_O,1,MIN(10,Z$17))*(1+P_dPrecio)</f>
        <v>0</v>
      </c>
      <c r="AA58" s="34" t="n">
        <f aca="false">AA$33*INDEX(Precio_O,13)*INDEX(IdxPrecio_O,1,MIN(10,AA$17))*(1+P_dPrecio)</f>
        <v>0</v>
      </c>
      <c r="AB58" s="34" t="n">
        <f aca="false">AB$33*INDEX(Precio_O,13)*INDEX(IdxPrecio_O,1,MIN(10,AB$17))*(1+P_dPrecio)</f>
        <v>0</v>
      </c>
      <c r="AC58" s="34" t="n">
        <f aca="false">AC$33*INDEX(Precio_O,13)*INDEX(IdxPrecio_O,1,MIN(10,AC$17))*(1+P_dPrecio)</f>
        <v>0</v>
      </c>
      <c r="AD58" s="34" t="n">
        <f aca="false">AD$33*INDEX(Precio_O,13)*INDEX(IdxPrecio_O,1,MIN(10,AD$17))*(1+P_dPrecio)</f>
        <v>0</v>
      </c>
      <c r="AE58" s="34" t="n">
        <f aca="false">AE$33*INDEX(Precio_O,13)*INDEX(IdxPrecio_O,1,MIN(10,AE$17))*(1+P_dPrecio)</f>
        <v>0</v>
      </c>
      <c r="AF58" s="34" t="n">
        <f aca="false">AF$33*INDEX(Precio_O,13)*INDEX(IdxPrecio_O,1,MIN(10,AF$17))*(1+P_dPrecio)</f>
        <v>0</v>
      </c>
      <c r="AG58" s="34" t="n">
        <f aca="false">AG$33*INDEX(Precio_O,13)*INDEX(IdxPrecio_O,1,MIN(10,AG$17))*(1+P_dPrecio)</f>
        <v>0</v>
      </c>
      <c r="AH58" s="34" t="n">
        <f aca="false">AH$33*INDEX(Precio_O,13)*INDEX(IdxPrecio_O,1,MIN(10,AH$17))*(1+P_dPrecio)</f>
        <v>0</v>
      </c>
      <c r="AI58" s="34" t="n">
        <f aca="false">AI$33*INDEX(Precio_O,13)*INDEX(IdxPrecio_O,1,MIN(10,AI$17))*(1+P_dPrecio)</f>
        <v>0</v>
      </c>
      <c r="AJ58" s="34" t="n">
        <f aca="false">AJ$33*INDEX(Precio_O,13)*INDEX(IdxPrecio_O,1,MIN(10,AJ$17))*(1+P_dPrecio)</f>
        <v>0</v>
      </c>
      <c r="AK58" s="34" t="n">
        <f aca="false">AK$33*INDEX(Precio_O,13)*INDEX(IdxPrecio_O,1,MIN(10,AK$17))*(1+P_dPrecio)</f>
        <v>0</v>
      </c>
      <c r="AL58" s="34" t="n">
        <f aca="false">AL$33*INDEX(Precio_O,13)*INDEX(IdxPrecio_O,1,MIN(10,AL$17))*(1+P_dPrecio)</f>
        <v>0</v>
      </c>
      <c r="AM58" s="34" t="n">
        <f aca="false">AM$33*INDEX(Precio_O,13)*INDEX(IdxPrecio_O,1,MIN(10,AM$17))*(1+P_dPrecio)</f>
        <v>0</v>
      </c>
      <c r="AN58" s="34" t="n">
        <f aca="false">AN$33*INDEX(Precio_O,13)*INDEX(IdxPrecio_O,1,MIN(10,AN$17))*(1+P_dPrecio)</f>
        <v>0</v>
      </c>
      <c r="AO58" s="34" t="n">
        <f aca="false">AO$33*INDEX(Precio_O,13)*INDEX(IdxPrecio_O,1,MIN(10,AO$17))*(1+P_dPrecio)</f>
        <v>0</v>
      </c>
      <c r="AP58" s="34" t="n">
        <f aca="false">AP$33*INDEX(Precio_O,13)*INDEX(IdxPrecio_O,1,MIN(10,AP$17))*(1+P_dPrecio)</f>
        <v>0</v>
      </c>
      <c r="AQ58" s="34" t="n">
        <f aca="false">AQ$33*INDEX(Precio_O,13)*INDEX(IdxPrecio_O,1,MIN(10,AQ$17))*(1+P_dPrecio)</f>
        <v>0</v>
      </c>
      <c r="AR58" s="34" t="n">
        <f aca="false">AR$33*INDEX(Precio_O,13)*INDEX(IdxPrecio_O,1,MIN(10,AR$17))*(1+P_dPrecio)</f>
        <v>0</v>
      </c>
      <c r="AS58" s="34" t="n">
        <f aca="false">AS$33*INDEX(Precio_O,13)*INDEX(IdxPrecio_O,1,MIN(10,AS$17))*(1+P_dPrecio)</f>
        <v>0</v>
      </c>
      <c r="AT58" s="34" t="n">
        <f aca="false">AT$33*INDEX(Precio_O,13)*INDEX(IdxPrecio_O,1,MIN(10,AT$17))*(1+P_dPrecio)</f>
        <v>0</v>
      </c>
      <c r="AU58" s="34" t="n">
        <f aca="false">AU$33*INDEX(Precio_O,13)*INDEX(IdxPrecio_O,1,MIN(10,AU$17))*(1+P_dPrecio)</f>
        <v>0</v>
      </c>
      <c r="AV58" s="34" t="n">
        <f aca="false">AV$33*INDEX(Precio_O,13)*INDEX(IdxPrecio_O,1,MIN(10,AV$17))*(1+P_dPrecio)</f>
        <v>0</v>
      </c>
      <c r="AW58" s="34" t="n">
        <f aca="false">AW$33*INDEX(Precio_O,13)*INDEX(IdxPrecio_O,1,MIN(10,AW$17))*(1+P_dPrecio)</f>
        <v>0</v>
      </c>
      <c r="AX58" s="34" t="n">
        <f aca="false">AX$33*INDEX(Precio_O,13)*INDEX(IdxPrecio_O,1,MIN(10,AX$17))*(1+P_dPrecio)</f>
        <v>0</v>
      </c>
      <c r="AY58" s="34" t="n">
        <f aca="false">AY$33*INDEX(Precio_O,13)*INDEX(IdxPrecio_O,1,MIN(10,AY$17))*(1+P_dPrecio)</f>
        <v>0</v>
      </c>
      <c r="AZ58" s="34" t="n">
        <f aca="false">AZ$33*INDEX(Precio_O,13)*INDEX(IdxPrecio_O,1,MIN(10,AZ$17))*(1+P_dPrecio)</f>
        <v>0</v>
      </c>
      <c r="BA58" s="34" t="n">
        <f aca="false">BA$33*INDEX(Precio_O,13)*INDEX(IdxPrecio_O,1,MIN(10,BA$17))*(1+P_dPrecio)</f>
        <v>0</v>
      </c>
      <c r="BB58" s="34" t="n">
        <f aca="false">BB$33*INDEX(Precio_O,13)*INDEX(IdxPrecio_O,1,MIN(10,BB$17))*(1+P_dPrecio)</f>
        <v>0</v>
      </c>
      <c r="BC58" s="34" t="n">
        <f aca="false">BC$33*INDEX(Precio_O,13)*INDEX(IdxPrecio_O,1,MIN(10,BC$17))*(1+P_dPrecio)</f>
        <v>0</v>
      </c>
      <c r="BD58" s="34" t="n">
        <f aca="false">BD$33*INDEX(Precio_O,13)*INDEX(IdxPrecio_O,1,MIN(10,BD$17))*(1+P_dPrecio)</f>
        <v>0</v>
      </c>
      <c r="BE58" s="34" t="n">
        <f aca="false">BE$33*INDEX(Precio_O,13)*INDEX(IdxPrecio_O,1,MIN(10,BE$17))*(1+P_dPrecio)</f>
        <v>0</v>
      </c>
      <c r="BF58" s="34" t="n">
        <f aca="false">BF$33*INDEX(Precio_O,13)*INDEX(IdxPrecio_O,1,MIN(10,BF$17))*(1+P_dPrecio)</f>
        <v>0</v>
      </c>
      <c r="BG58" s="34" t="n">
        <f aca="false">BG$33*INDEX(Precio_O,13)*INDEX(IdxPrecio_O,1,MIN(10,BG$17))*(1+P_dPrecio)</f>
        <v>0</v>
      </c>
      <c r="BH58" s="34" t="n">
        <f aca="false">BH$33*INDEX(Precio_O,13)*INDEX(IdxPrecio_O,1,MIN(10,BH$17))*(1+P_dPrecio)</f>
        <v>0</v>
      </c>
      <c r="BI58" s="34" t="n">
        <f aca="false">BI$33*INDEX(Precio_O,13)*INDEX(IdxPrecio_O,1,MIN(10,BI$17))*(1+P_dPrecio)</f>
        <v>0</v>
      </c>
      <c r="BJ58" s="34" t="n">
        <f aca="false">BJ$33*INDEX(Precio_O,13)*INDEX(IdxPrecio_O,1,MIN(10,BJ$17))*(1+P_dPrecio)</f>
        <v>0</v>
      </c>
      <c r="BK58" s="34" t="n">
        <f aca="false">BK$33*INDEX(Precio_O,13)*INDEX(IdxPrecio_O,1,MIN(10,BK$17))*(1+P_dPrecio)</f>
        <v>0</v>
      </c>
      <c r="BL58" s="34" t="n">
        <f aca="false">BL$33*INDEX(Precio_O,13)*INDEX(IdxPrecio_O,1,MIN(10,BL$17))*(1+P_dPrecio)</f>
        <v>0</v>
      </c>
      <c r="BM58" s="34" t="n">
        <f aca="false">BM$33*INDEX(Precio_O,13)*INDEX(IdxPrecio_O,1,MIN(10,BM$17))*(1+P_dPrecio)</f>
        <v>0</v>
      </c>
      <c r="BN58" s="34" t="n">
        <f aca="false">BN$33*INDEX(Precio_O,13)*INDEX(IdxPrecio_O,1,MIN(10,BN$17))*(1+P_dPrecio)</f>
        <v>0</v>
      </c>
      <c r="BO58" s="34" t="n">
        <f aca="false">BO$33*INDEX(Precio_O,13)*INDEX(IdxPrecio_O,1,MIN(10,BO$17))*(1+P_dPrecio)</f>
        <v>0</v>
      </c>
      <c r="BP58" s="34" t="n">
        <f aca="false">BP$33*INDEX(Precio_O,13)*INDEX(IdxPrecio_O,1,MIN(10,BP$17))*(1+P_dPrecio)</f>
        <v>0</v>
      </c>
      <c r="BQ58" s="34" t="n">
        <f aca="false">BQ$33*INDEX(Precio_O,13)*INDEX(IdxPrecio_O,1,MIN(10,BQ$17))*(1+P_dPrecio)</f>
        <v>0</v>
      </c>
      <c r="BR58" s="34" t="n">
        <f aca="false">BR$33*INDEX(Precio_O,13)*INDEX(IdxPrecio_O,1,MIN(10,BR$17))*(1+P_dPrecio)</f>
        <v>0</v>
      </c>
      <c r="BS58" s="34" t="n">
        <f aca="false">BS$33*INDEX(Precio_O,13)*INDEX(IdxPrecio_O,1,MIN(10,BS$17))*(1+P_dPrecio)</f>
        <v>0</v>
      </c>
      <c r="BT58" s="34" t="n">
        <f aca="false">BT$33*INDEX(Precio_O,13)*INDEX(IdxPrecio_O,1,MIN(10,BT$17))*(1+P_dPrecio)</f>
        <v>0</v>
      </c>
      <c r="BU58" s="34" t="n">
        <f aca="false">BU$33*INDEX(Precio_O,13)*INDEX(IdxPrecio_O,1,MIN(10,BU$17))*(1+P_dPrecio)</f>
        <v>0</v>
      </c>
      <c r="BV58" s="34" t="n">
        <f aca="false">BV$33*INDEX(Precio_O,13)*INDEX(IdxPrecio_O,1,MIN(10,BV$17))*(1+P_dPrecio)</f>
        <v>0</v>
      </c>
      <c r="BW58" s="34" t="n">
        <f aca="false">BW$33*INDEX(Precio_O,13)*INDEX(IdxPrecio_O,1,MIN(10,BW$17))*(1+P_dPrecio)</f>
        <v>0</v>
      </c>
      <c r="BX58" s="34" t="n">
        <f aca="false">BX$33*INDEX(Precio_O,13)*INDEX(IdxPrecio_O,1,MIN(10,BX$17))*(1+P_dPrecio)</f>
        <v>0</v>
      </c>
      <c r="BY58" s="34" t="n">
        <f aca="false">BY$33*INDEX(Precio_O,13)*INDEX(IdxPrecio_O,1,MIN(10,BY$17))*(1+P_dPrecio)</f>
        <v>0</v>
      </c>
      <c r="BZ58" s="34" t="n">
        <f aca="false">BZ$33*INDEX(Precio_O,13)*INDEX(IdxPrecio_O,1,MIN(10,BZ$17))*(1+P_dPrecio)</f>
        <v>0</v>
      </c>
      <c r="CA58" s="34" t="n">
        <f aca="false">CA$33*INDEX(Precio_O,13)*INDEX(IdxPrecio_O,1,MIN(10,CA$17))*(1+P_dPrecio)</f>
        <v>0</v>
      </c>
      <c r="CB58" s="34" t="n">
        <f aca="false">CB$33*INDEX(Precio_O,13)*INDEX(IdxPrecio_O,1,MIN(10,CB$17))*(1+P_dPrecio)</f>
        <v>0</v>
      </c>
      <c r="CC58" s="34" t="n">
        <f aca="false">CC$33*INDEX(Precio_O,13)*INDEX(IdxPrecio_O,1,MIN(10,CC$17))*(1+P_dPrecio)</f>
        <v>0</v>
      </c>
      <c r="CD58" s="34" t="n">
        <f aca="false">CD$33*INDEX(Precio_O,13)*INDEX(IdxPrecio_O,1,MIN(10,CD$17))*(1+P_dPrecio)</f>
        <v>0</v>
      </c>
      <c r="CE58" s="34" t="n">
        <f aca="false">CE$33*INDEX(Precio_O,13)*INDEX(IdxPrecio_O,1,MIN(10,CE$17))*(1+P_dPrecio)</f>
        <v>0</v>
      </c>
      <c r="CF58" s="34" t="n">
        <f aca="false">CF$33*INDEX(Precio_O,13)*INDEX(IdxPrecio_O,1,MIN(10,CF$17))*(1+P_dPrecio)</f>
        <v>0</v>
      </c>
      <c r="CG58" s="34" t="n">
        <f aca="false">CG$33*INDEX(Precio_O,13)*INDEX(IdxPrecio_O,1,MIN(10,CG$17))*(1+P_dPrecio)</f>
        <v>0</v>
      </c>
      <c r="CH58" s="34" t="n">
        <f aca="false">CH$33*INDEX(Precio_O,13)*INDEX(IdxPrecio_O,1,MIN(10,CH$17))*(1+P_dPrecio)</f>
        <v>0</v>
      </c>
      <c r="CI58" s="34" t="n">
        <f aca="false">CI$33*INDEX(Precio_O,13)*INDEX(IdxPrecio_O,1,MIN(10,CI$17))*(1+P_dPrecio)</f>
        <v>0</v>
      </c>
      <c r="CJ58" s="34" t="n">
        <f aca="false">CJ$33*INDEX(Precio_O,13)*INDEX(IdxPrecio_O,1,MIN(10,CJ$17))*(1+P_dPrecio)</f>
        <v>0</v>
      </c>
      <c r="CK58" s="34" t="n">
        <f aca="false">CK$33*INDEX(Precio_O,13)*INDEX(IdxPrecio_O,1,MIN(10,CK$17))*(1+P_dPrecio)</f>
        <v>0</v>
      </c>
      <c r="CL58" s="34" t="n">
        <f aca="false">CL$33*INDEX(Precio_O,13)*INDEX(IdxPrecio_O,1,MIN(10,CL$17))*(1+P_dPrecio)</f>
        <v>0</v>
      </c>
      <c r="CM58" s="34" t="n">
        <f aca="false">CM$33*INDEX(Precio_O,13)*INDEX(IdxPrecio_O,1,MIN(10,CM$17))*(1+P_dPrecio)</f>
        <v>0</v>
      </c>
      <c r="CN58" s="34" t="n">
        <f aca="false">CN$33*INDEX(Precio_O,13)*INDEX(IdxPrecio_O,1,MIN(10,CN$17))*(1+P_dPrecio)</f>
        <v>0</v>
      </c>
      <c r="CO58" s="34" t="n">
        <f aca="false">CO$33*INDEX(Precio_O,13)*INDEX(IdxPrecio_O,1,MIN(10,CO$17))*(1+P_dPrecio)</f>
        <v>0</v>
      </c>
      <c r="CP58" s="34" t="n">
        <f aca="false">CP$33*INDEX(Precio_O,13)*INDEX(IdxPrecio_O,1,MIN(10,CP$17))*(1+P_dPrecio)</f>
        <v>0</v>
      </c>
      <c r="CQ58" s="34" t="n">
        <f aca="false">CQ$33*INDEX(Precio_O,13)*INDEX(IdxPrecio_O,1,MIN(10,CQ$17))*(1+P_dPrecio)</f>
        <v>0</v>
      </c>
      <c r="CR58" s="34" t="n">
        <f aca="false">CR$33*INDEX(Precio_O,13)*INDEX(IdxPrecio_O,1,MIN(10,CR$17))*(1+P_dPrecio)</f>
        <v>0</v>
      </c>
      <c r="CS58" s="34" t="n">
        <f aca="false">CS$33*INDEX(Precio_O,13)*INDEX(IdxPrecio_O,1,MIN(10,CS$17))*(1+P_dPrecio)</f>
        <v>0</v>
      </c>
      <c r="CT58" s="34" t="n">
        <f aca="false">CT$33*INDEX(Precio_O,13)*INDEX(IdxPrecio_O,1,MIN(10,CT$17))*(1+P_dPrecio)</f>
        <v>0</v>
      </c>
      <c r="CU58" s="34" t="n">
        <f aca="false">CU$33*INDEX(Precio_O,13)*INDEX(IdxPrecio_O,1,MIN(10,CU$17))*(1+P_dPrecio)</f>
        <v>0</v>
      </c>
      <c r="CV58" s="34" t="n">
        <f aca="false">CV$33*INDEX(Precio_O,13)*INDEX(IdxPrecio_O,1,MIN(10,CV$17))*(1+P_dPrecio)</f>
        <v>0</v>
      </c>
      <c r="CW58" s="34" t="n">
        <f aca="false">CW$33*INDEX(Precio_O,13)*INDEX(IdxPrecio_O,1,MIN(10,CW$17))*(1+P_dPrecio)</f>
        <v>0</v>
      </c>
      <c r="CX58" s="34" t="n">
        <f aca="false">CX$33*INDEX(Precio_O,13)*INDEX(IdxPrecio_O,1,MIN(10,CX$17))*(1+P_dPrecio)</f>
        <v>0</v>
      </c>
      <c r="CY58" s="34" t="n">
        <f aca="false">CY$33*INDEX(Precio_O,13)*INDEX(IdxPrecio_O,1,MIN(10,CY$17))*(1+P_dPrecio)</f>
        <v>0</v>
      </c>
      <c r="CZ58" s="34" t="n">
        <f aca="false">CZ$33*INDEX(Precio_O,13)*INDEX(IdxPrecio_O,1,MIN(10,CZ$17))*(1+P_dPrecio)</f>
        <v>0</v>
      </c>
      <c r="DA58" s="34" t="n">
        <f aca="false">DA$33*INDEX(Precio_O,13)*INDEX(IdxPrecio_O,1,MIN(10,DA$17))*(1+P_dPrecio)</f>
        <v>0</v>
      </c>
      <c r="DB58" s="34" t="n">
        <f aca="false">DB$33*INDEX(Precio_O,13)*INDEX(IdxPrecio_O,1,MIN(10,DB$17))*(1+P_dPrecio)</f>
        <v>0</v>
      </c>
      <c r="DC58" s="34" t="n">
        <f aca="false">DC$33*INDEX(Precio_O,13)*INDEX(IdxPrecio_O,1,MIN(10,DC$17))*(1+P_dPrecio)</f>
        <v>0</v>
      </c>
      <c r="DD58" s="34" t="n">
        <f aca="false">DD$33*INDEX(Precio_O,13)*INDEX(IdxPrecio_O,1,MIN(10,DD$17))*(1+P_dPrecio)</f>
        <v>0</v>
      </c>
      <c r="DE58" s="34" t="n">
        <f aca="false">DE$33*INDEX(Precio_O,13)*INDEX(IdxPrecio_O,1,MIN(10,DE$17))*(1+P_dPrecio)</f>
        <v>0</v>
      </c>
      <c r="DF58" s="34" t="n">
        <f aca="false">DF$33*INDEX(Precio_O,13)*INDEX(IdxPrecio_O,1,MIN(10,DF$17))*(1+P_dPrecio)</f>
        <v>0</v>
      </c>
      <c r="DG58" s="34" t="n">
        <f aca="false">DG$33*INDEX(Precio_O,13)*INDEX(IdxPrecio_O,1,MIN(10,DG$17))*(1+P_dPrecio)</f>
        <v>0</v>
      </c>
      <c r="DH58" s="34" t="n">
        <f aca="false">DH$33*INDEX(Precio_O,13)*INDEX(IdxPrecio_O,1,MIN(10,DH$17))*(1+P_dPrecio)</f>
        <v>0</v>
      </c>
      <c r="DI58" s="34" t="n">
        <f aca="false">DI$33*INDEX(Precio_O,13)*INDEX(IdxPrecio_O,1,MIN(10,DI$17))*(1+P_dPrecio)</f>
        <v>0</v>
      </c>
      <c r="DJ58" s="34" t="n">
        <f aca="false">DJ$33*INDEX(Precio_O,13)*INDEX(IdxPrecio_O,1,MIN(10,DJ$17))*(1+P_dPrecio)</f>
        <v>0</v>
      </c>
      <c r="DK58" s="34" t="n">
        <f aca="false">DK$33*INDEX(Precio_O,13)*INDEX(IdxPrecio_O,1,MIN(10,DK$17))*(1+P_dPrecio)</f>
        <v>0</v>
      </c>
      <c r="DL58" s="34" t="n">
        <f aca="false">DL$33*INDEX(Precio_O,13)*INDEX(IdxPrecio_O,1,MIN(10,DL$17))*(1+P_dPrecio)</f>
        <v>0</v>
      </c>
      <c r="DM58" s="34" t="n">
        <f aca="false">DM$33*INDEX(Precio_O,13)*INDEX(IdxPrecio_O,1,MIN(10,DM$17))*(1+P_dPrecio)</f>
        <v>0</v>
      </c>
      <c r="DN58" s="34" t="n">
        <f aca="false">DN$33*INDEX(Precio_O,13)*INDEX(IdxPrecio_O,1,MIN(10,DN$17))*(1+P_dPrecio)</f>
        <v>0</v>
      </c>
      <c r="DO58" s="34" t="n">
        <f aca="false">DO$33*INDEX(Precio_O,13)*INDEX(IdxPrecio_O,1,MIN(10,DO$17))*(1+P_dPrecio)</f>
        <v>0</v>
      </c>
      <c r="DP58" s="34" t="n">
        <f aca="false">DP$33*INDEX(Precio_O,13)*INDEX(IdxPrecio_O,1,MIN(10,DP$17))*(1+P_dPrecio)</f>
        <v>0</v>
      </c>
      <c r="DQ58" s="34" t="n">
        <f aca="false">DQ$33*INDEX(Precio_O,13)*INDEX(IdxPrecio_O,1,MIN(10,DQ$17))*(1+P_dPrecio)</f>
        <v>0</v>
      </c>
      <c r="DR58" s="34" t="n">
        <f aca="false">DR$33*INDEX(Precio_O,13)*INDEX(IdxPrecio_O,1,MIN(10,DR$17))*(1+P_dPrecio)</f>
        <v>0</v>
      </c>
      <c r="DS58" s="34" t="n">
        <f aca="false">DS$33*INDEX(Precio_O,13)*INDEX(IdxPrecio_O,1,MIN(10,DS$17))*(1+P_dPrecio)</f>
        <v>0</v>
      </c>
      <c r="DT58" s="34" t="n">
        <f aca="false">DT$33*INDEX(Precio_O,13)*INDEX(IdxPrecio_O,1,MIN(10,DT$17))*(1+P_dPrecio)</f>
        <v>0</v>
      </c>
      <c r="DU58" s="34" t="n">
        <f aca="false">DU$33*INDEX(Precio_O,13)*INDEX(IdxPrecio_O,1,MIN(10,DU$17))*(1+P_dPrecio)</f>
        <v>0</v>
      </c>
      <c r="DV58" s="34" t="n">
        <f aca="false">DV$33*INDEX(Precio_O,13)*INDEX(IdxPrecio_O,1,MIN(10,DV$17))*(1+P_dPrecio)</f>
        <v>0</v>
      </c>
      <c r="DW58" s="34" t="n">
        <f aca="false">DW$33*INDEX(Precio_O,13)*INDEX(IdxPrecio_O,1,MIN(10,DW$17))*(1+P_dPrecio)</f>
        <v>0</v>
      </c>
      <c r="DX58" s="34" t="n">
        <f aca="false">DX$33*INDEX(Precio_O,13)*INDEX(IdxPrecio_O,1,MIN(10,DX$17))*(1+P_dPrecio)</f>
        <v>0</v>
      </c>
      <c r="DY58" s="34" t="n">
        <f aca="false">DY$33*INDEX(Precio_O,13)*INDEX(IdxPrecio_O,1,MIN(10,DY$17))*(1+P_dPrecio)</f>
        <v>0</v>
      </c>
      <c r="DZ58" s="34" t="n">
        <f aca="false">DZ$33*INDEX(Precio_O,13)*INDEX(IdxPrecio_O,1,MIN(10,DZ$17))*(1+P_dPrecio)</f>
        <v>0</v>
      </c>
      <c r="EA58" s="34" t="n">
        <f aca="false">EA$33*INDEX(Precio_O,13)*INDEX(IdxPrecio_O,1,MIN(10,EA$17))*(1+P_dPrecio)</f>
        <v>0</v>
      </c>
      <c r="EB58" s="34" t="n">
        <f aca="false">EB$33*INDEX(Precio_O,13)*INDEX(IdxPrecio_O,1,MIN(10,EB$17))*(1+P_dPrecio)</f>
        <v>0</v>
      </c>
      <c r="EC58" s="34" t="n">
        <f aca="false">EC$33*INDEX(Precio_O,13)*INDEX(IdxPrecio_O,1,MIN(10,EC$17))*(1+P_dPrecio)</f>
        <v>0</v>
      </c>
      <c r="ED58" s="34" t="n">
        <f aca="false">ED$33*INDEX(Precio_O,13)*INDEX(IdxPrecio_O,1,MIN(10,ED$17))*(1+P_dPrecio)</f>
        <v>0</v>
      </c>
      <c r="EE58" s="34" t="n">
        <f aca="false">EE$33*INDEX(Precio_O,13)*INDEX(IdxPrecio_O,1,MIN(10,EE$17))*(1+P_dPrecio)</f>
        <v>0</v>
      </c>
      <c r="EF58" s="34" t="n">
        <f aca="false">EF$33*INDEX(Precio_O,13)*INDEX(IdxPrecio_O,1,MIN(10,EF$17))*(1+P_dPrecio)</f>
        <v>0</v>
      </c>
      <c r="EG58" s="34" t="n">
        <f aca="false">EG$33*INDEX(Precio_O,13)*INDEX(IdxPrecio_O,1,MIN(10,EG$17))*(1+P_dPrecio)</f>
        <v>0</v>
      </c>
      <c r="EH58" s="34" t="n">
        <f aca="false">EH$33*INDEX(Precio_O,13)*INDEX(IdxPrecio_O,1,MIN(10,EH$17))*(1+P_dPrecio)</f>
        <v>0</v>
      </c>
      <c r="EI58" s="34" t="n">
        <f aca="false">EI$33*INDEX(Precio_O,13)*INDEX(IdxPrecio_O,1,MIN(10,EI$17))*(1+P_dPrecio)</f>
        <v>0</v>
      </c>
      <c r="EJ58" s="34" t="n">
        <f aca="false">EJ$33*INDEX(Precio_O,13)*INDEX(IdxPrecio_O,1,MIN(10,EJ$17))*(1+P_dPrecio)</f>
        <v>0</v>
      </c>
      <c r="EK58" s="34" t="n">
        <f aca="false">EK$33*INDEX(Precio_O,13)*INDEX(IdxPrecio_O,1,MIN(10,EK$17))*(1+P_dPrecio)</f>
        <v>0</v>
      </c>
      <c r="EL58" s="34" t="n">
        <f aca="false">EL$33*INDEX(Precio_O,13)*INDEX(IdxPrecio_O,1,MIN(10,EL$17))*(1+P_dPrecio)</f>
        <v>0</v>
      </c>
      <c r="EM58" s="34" t="n">
        <f aca="false">EM$33*INDEX(Precio_O,13)*INDEX(IdxPrecio_O,1,MIN(10,EM$17))*(1+P_dPrecio)</f>
        <v>0</v>
      </c>
      <c r="EN58" s="34" t="n">
        <f aca="false">EN$33*INDEX(Precio_O,13)*INDEX(IdxPrecio_O,1,MIN(10,EN$17))*(1+P_dPrecio)</f>
        <v>0</v>
      </c>
      <c r="EO58" s="34" t="n">
        <f aca="false">EO$33*INDEX(Precio_O,13)*INDEX(IdxPrecio_O,1,MIN(10,EO$17))*(1+P_dPrecio)</f>
        <v>0</v>
      </c>
      <c r="EP58" s="34" t="n">
        <f aca="false">EP$33*INDEX(Precio_O,13)*INDEX(IdxPrecio_O,1,MIN(10,EP$17))*(1+P_dPrecio)</f>
        <v>0</v>
      </c>
      <c r="EQ58" s="34" t="n">
        <f aca="false">EQ$33*INDEX(Precio_O,13)*INDEX(IdxPrecio_O,1,MIN(10,EQ$17))*(1+P_dPrecio)</f>
        <v>0</v>
      </c>
      <c r="ER58" s="34" t="n">
        <f aca="false">ER$33*INDEX(Precio_O,13)*INDEX(IdxPrecio_O,1,MIN(10,ER$17))*(1+P_dPrecio)</f>
        <v>0</v>
      </c>
      <c r="ES58" s="34" t="n">
        <f aca="false">ES$33*INDEX(Precio_O,13)*INDEX(IdxPrecio_O,1,MIN(10,ES$17))*(1+P_dPrecio)</f>
        <v>0</v>
      </c>
    </row>
    <row r="59" customFormat="false" ht="15" hidden="false" customHeight="false" outlineLevel="0" collapsed="false">
      <c r="A59" s="2" t="s">
        <v>622</v>
      </c>
      <c r="B59" s="39" t="str">
        <f aca="false">IF(INDEX(Prod_Nombre,14)="","Producto 14",INDEX(Prod_Nombre,14))&amp;" — ventas USD"</f>
        <v>Producto 14 — ventas USD</v>
      </c>
      <c r="C59" s="6" t="s">
        <v>250</v>
      </c>
      <c r="E59" s="40" t="n">
        <f aca="false">SUM(F59:ES59)</f>
        <v>0</v>
      </c>
      <c r="F59" s="34" t="n">
        <f aca="false">F$34*INDEX(Precio_O,14)*INDEX(IdxPrecio_O,1,MIN(10,F$17))*(1+P_dPrecio)</f>
        <v>0</v>
      </c>
      <c r="G59" s="34" t="n">
        <f aca="false">G$34*INDEX(Precio_O,14)*INDEX(IdxPrecio_O,1,MIN(10,G$17))*(1+P_dPrecio)</f>
        <v>0</v>
      </c>
      <c r="H59" s="34" t="n">
        <f aca="false">H$34*INDEX(Precio_O,14)*INDEX(IdxPrecio_O,1,MIN(10,H$17))*(1+P_dPrecio)</f>
        <v>0</v>
      </c>
      <c r="I59" s="34" t="n">
        <f aca="false">I$34*INDEX(Precio_O,14)*INDEX(IdxPrecio_O,1,MIN(10,I$17))*(1+P_dPrecio)</f>
        <v>0</v>
      </c>
      <c r="J59" s="34" t="n">
        <f aca="false">J$34*INDEX(Precio_O,14)*INDEX(IdxPrecio_O,1,MIN(10,J$17))*(1+P_dPrecio)</f>
        <v>0</v>
      </c>
      <c r="K59" s="34" t="n">
        <f aca="false">K$34*INDEX(Precio_O,14)*INDEX(IdxPrecio_O,1,MIN(10,K$17))*(1+P_dPrecio)</f>
        <v>0</v>
      </c>
      <c r="L59" s="34" t="n">
        <f aca="false">L$34*INDEX(Precio_O,14)*INDEX(IdxPrecio_O,1,MIN(10,L$17))*(1+P_dPrecio)</f>
        <v>0</v>
      </c>
      <c r="M59" s="34" t="n">
        <f aca="false">M$34*INDEX(Precio_O,14)*INDEX(IdxPrecio_O,1,MIN(10,M$17))*(1+P_dPrecio)</f>
        <v>0</v>
      </c>
      <c r="N59" s="34" t="n">
        <f aca="false">N$34*INDEX(Precio_O,14)*INDEX(IdxPrecio_O,1,MIN(10,N$17))*(1+P_dPrecio)</f>
        <v>0</v>
      </c>
      <c r="O59" s="34" t="n">
        <f aca="false">O$34*INDEX(Precio_O,14)*INDEX(IdxPrecio_O,1,MIN(10,O$17))*(1+P_dPrecio)</f>
        <v>0</v>
      </c>
      <c r="P59" s="34" t="n">
        <f aca="false">P$34*INDEX(Precio_O,14)*INDEX(IdxPrecio_O,1,MIN(10,P$17))*(1+P_dPrecio)</f>
        <v>0</v>
      </c>
      <c r="Q59" s="34" t="n">
        <f aca="false">Q$34*INDEX(Precio_O,14)*INDEX(IdxPrecio_O,1,MIN(10,Q$17))*(1+P_dPrecio)</f>
        <v>0</v>
      </c>
      <c r="R59" s="34" t="n">
        <f aca="false">R$34*INDEX(Precio_O,14)*INDEX(IdxPrecio_O,1,MIN(10,R$17))*(1+P_dPrecio)</f>
        <v>0</v>
      </c>
      <c r="S59" s="34" t="n">
        <f aca="false">S$34*INDEX(Precio_O,14)*INDEX(IdxPrecio_O,1,MIN(10,S$17))*(1+P_dPrecio)</f>
        <v>0</v>
      </c>
      <c r="T59" s="34" t="n">
        <f aca="false">T$34*INDEX(Precio_O,14)*INDEX(IdxPrecio_O,1,MIN(10,T$17))*(1+P_dPrecio)</f>
        <v>0</v>
      </c>
      <c r="U59" s="34" t="n">
        <f aca="false">U$34*INDEX(Precio_O,14)*INDEX(IdxPrecio_O,1,MIN(10,U$17))*(1+P_dPrecio)</f>
        <v>0</v>
      </c>
      <c r="V59" s="34" t="n">
        <f aca="false">V$34*INDEX(Precio_O,14)*INDEX(IdxPrecio_O,1,MIN(10,V$17))*(1+P_dPrecio)</f>
        <v>0</v>
      </c>
      <c r="W59" s="34" t="n">
        <f aca="false">W$34*INDEX(Precio_O,14)*INDEX(IdxPrecio_O,1,MIN(10,W$17))*(1+P_dPrecio)</f>
        <v>0</v>
      </c>
      <c r="X59" s="34" t="n">
        <f aca="false">X$34*INDEX(Precio_O,14)*INDEX(IdxPrecio_O,1,MIN(10,X$17))*(1+P_dPrecio)</f>
        <v>0</v>
      </c>
      <c r="Y59" s="34" t="n">
        <f aca="false">Y$34*INDEX(Precio_O,14)*INDEX(IdxPrecio_O,1,MIN(10,Y$17))*(1+P_dPrecio)</f>
        <v>0</v>
      </c>
      <c r="Z59" s="34" t="n">
        <f aca="false">Z$34*INDEX(Precio_O,14)*INDEX(IdxPrecio_O,1,MIN(10,Z$17))*(1+P_dPrecio)</f>
        <v>0</v>
      </c>
      <c r="AA59" s="34" t="n">
        <f aca="false">AA$34*INDEX(Precio_O,14)*INDEX(IdxPrecio_O,1,MIN(10,AA$17))*(1+P_dPrecio)</f>
        <v>0</v>
      </c>
      <c r="AB59" s="34" t="n">
        <f aca="false">AB$34*INDEX(Precio_O,14)*INDEX(IdxPrecio_O,1,MIN(10,AB$17))*(1+P_dPrecio)</f>
        <v>0</v>
      </c>
      <c r="AC59" s="34" t="n">
        <f aca="false">AC$34*INDEX(Precio_O,14)*INDEX(IdxPrecio_O,1,MIN(10,AC$17))*(1+P_dPrecio)</f>
        <v>0</v>
      </c>
      <c r="AD59" s="34" t="n">
        <f aca="false">AD$34*INDEX(Precio_O,14)*INDEX(IdxPrecio_O,1,MIN(10,AD$17))*(1+P_dPrecio)</f>
        <v>0</v>
      </c>
      <c r="AE59" s="34" t="n">
        <f aca="false">AE$34*INDEX(Precio_O,14)*INDEX(IdxPrecio_O,1,MIN(10,AE$17))*(1+P_dPrecio)</f>
        <v>0</v>
      </c>
      <c r="AF59" s="34" t="n">
        <f aca="false">AF$34*INDEX(Precio_O,14)*INDEX(IdxPrecio_O,1,MIN(10,AF$17))*(1+P_dPrecio)</f>
        <v>0</v>
      </c>
      <c r="AG59" s="34" t="n">
        <f aca="false">AG$34*INDEX(Precio_O,14)*INDEX(IdxPrecio_O,1,MIN(10,AG$17))*(1+P_dPrecio)</f>
        <v>0</v>
      </c>
      <c r="AH59" s="34" t="n">
        <f aca="false">AH$34*INDEX(Precio_O,14)*INDEX(IdxPrecio_O,1,MIN(10,AH$17))*(1+P_dPrecio)</f>
        <v>0</v>
      </c>
      <c r="AI59" s="34" t="n">
        <f aca="false">AI$34*INDEX(Precio_O,14)*INDEX(IdxPrecio_O,1,MIN(10,AI$17))*(1+P_dPrecio)</f>
        <v>0</v>
      </c>
      <c r="AJ59" s="34" t="n">
        <f aca="false">AJ$34*INDEX(Precio_O,14)*INDEX(IdxPrecio_O,1,MIN(10,AJ$17))*(1+P_dPrecio)</f>
        <v>0</v>
      </c>
      <c r="AK59" s="34" t="n">
        <f aca="false">AK$34*INDEX(Precio_O,14)*INDEX(IdxPrecio_O,1,MIN(10,AK$17))*(1+P_dPrecio)</f>
        <v>0</v>
      </c>
      <c r="AL59" s="34" t="n">
        <f aca="false">AL$34*INDEX(Precio_O,14)*INDEX(IdxPrecio_O,1,MIN(10,AL$17))*(1+P_dPrecio)</f>
        <v>0</v>
      </c>
      <c r="AM59" s="34" t="n">
        <f aca="false">AM$34*INDEX(Precio_O,14)*INDEX(IdxPrecio_O,1,MIN(10,AM$17))*(1+P_dPrecio)</f>
        <v>0</v>
      </c>
      <c r="AN59" s="34" t="n">
        <f aca="false">AN$34*INDEX(Precio_O,14)*INDEX(IdxPrecio_O,1,MIN(10,AN$17))*(1+P_dPrecio)</f>
        <v>0</v>
      </c>
      <c r="AO59" s="34" t="n">
        <f aca="false">AO$34*INDEX(Precio_O,14)*INDEX(IdxPrecio_O,1,MIN(10,AO$17))*(1+P_dPrecio)</f>
        <v>0</v>
      </c>
      <c r="AP59" s="34" t="n">
        <f aca="false">AP$34*INDEX(Precio_O,14)*INDEX(IdxPrecio_O,1,MIN(10,AP$17))*(1+P_dPrecio)</f>
        <v>0</v>
      </c>
      <c r="AQ59" s="34" t="n">
        <f aca="false">AQ$34*INDEX(Precio_O,14)*INDEX(IdxPrecio_O,1,MIN(10,AQ$17))*(1+P_dPrecio)</f>
        <v>0</v>
      </c>
      <c r="AR59" s="34" t="n">
        <f aca="false">AR$34*INDEX(Precio_O,14)*INDEX(IdxPrecio_O,1,MIN(10,AR$17))*(1+P_dPrecio)</f>
        <v>0</v>
      </c>
      <c r="AS59" s="34" t="n">
        <f aca="false">AS$34*INDEX(Precio_O,14)*INDEX(IdxPrecio_O,1,MIN(10,AS$17))*(1+P_dPrecio)</f>
        <v>0</v>
      </c>
      <c r="AT59" s="34" t="n">
        <f aca="false">AT$34*INDEX(Precio_O,14)*INDEX(IdxPrecio_O,1,MIN(10,AT$17))*(1+P_dPrecio)</f>
        <v>0</v>
      </c>
      <c r="AU59" s="34" t="n">
        <f aca="false">AU$34*INDEX(Precio_O,14)*INDEX(IdxPrecio_O,1,MIN(10,AU$17))*(1+P_dPrecio)</f>
        <v>0</v>
      </c>
      <c r="AV59" s="34" t="n">
        <f aca="false">AV$34*INDEX(Precio_O,14)*INDEX(IdxPrecio_O,1,MIN(10,AV$17))*(1+P_dPrecio)</f>
        <v>0</v>
      </c>
      <c r="AW59" s="34" t="n">
        <f aca="false">AW$34*INDEX(Precio_O,14)*INDEX(IdxPrecio_O,1,MIN(10,AW$17))*(1+P_dPrecio)</f>
        <v>0</v>
      </c>
      <c r="AX59" s="34" t="n">
        <f aca="false">AX$34*INDEX(Precio_O,14)*INDEX(IdxPrecio_O,1,MIN(10,AX$17))*(1+P_dPrecio)</f>
        <v>0</v>
      </c>
      <c r="AY59" s="34" t="n">
        <f aca="false">AY$34*INDEX(Precio_O,14)*INDEX(IdxPrecio_O,1,MIN(10,AY$17))*(1+P_dPrecio)</f>
        <v>0</v>
      </c>
      <c r="AZ59" s="34" t="n">
        <f aca="false">AZ$34*INDEX(Precio_O,14)*INDEX(IdxPrecio_O,1,MIN(10,AZ$17))*(1+P_dPrecio)</f>
        <v>0</v>
      </c>
      <c r="BA59" s="34" t="n">
        <f aca="false">BA$34*INDEX(Precio_O,14)*INDEX(IdxPrecio_O,1,MIN(10,BA$17))*(1+P_dPrecio)</f>
        <v>0</v>
      </c>
      <c r="BB59" s="34" t="n">
        <f aca="false">BB$34*INDEX(Precio_O,14)*INDEX(IdxPrecio_O,1,MIN(10,BB$17))*(1+P_dPrecio)</f>
        <v>0</v>
      </c>
      <c r="BC59" s="34" t="n">
        <f aca="false">BC$34*INDEX(Precio_O,14)*INDEX(IdxPrecio_O,1,MIN(10,BC$17))*(1+P_dPrecio)</f>
        <v>0</v>
      </c>
      <c r="BD59" s="34" t="n">
        <f aca="false">BD$34*INDEX(Precio_O,14)*INDEX(IdxPrecio_O,1,MIN(10,BD$17))*(1+P_dPrecio)</f>
        <v>0</v>
      </c>
      <c r="BE59" s="34" t="n">
        <f aca="false">BE$34*INDEX(Precio_O,14)*INDEX(IdxPrecio_O,1,MIN(10,BE$17))*(1+P_dPrecio)</f>
        <v>0</v>
      </c>
      <c r="BF59" s="34" t="n">
        <f aca="false">BF$34*INDEX(Precio_O,14)*INDEX(IdxPrecio_O,1,MIN(10,BF$17))*(1+P_dPrecio)</f>
        <v>0</v>
      </c>
      <c r="BG59" s="34" t="n">
        <f aca="false">BG$34*INDEX(Precio_O,14)*INDEX(IdxPrecio_O,1,MIN(10,BG$17))*(1+P_dPrecio)</f>
        <v>0</v>
      </c>
      <c r="BH59" s="34" t="n">
        <f aca="false">BH$34*INDEX(Precio_O,14)*INDEX(IdxPrecio_O,1,MIN(10,BH$17))*(1+P_dPrecio)</f>
        <v>0</v>
      </c>
      <c r="BI59" s="34" t="n">
        <f aca="false">BI$34*INDEX(Precio_O,14)*INDEX(IdxPrecio_O,1,MIN(10,BI$17))*(1+P_dPrecio)</f>
        <v>0</v>
      </c>
      <c r="BJ59" s="34" t="n">
        <f aca="false">BJ$34*INDEX(Precio_O,14)*INDEX(IdxPrecio_O,1,MIN(10,BJ$17))*(1+P_dPrecio)</f>
        <v>0</v>
      </c>
      <c r="BK59" s="34" t="n">
        <f aca="false">BK$34*INDEX(Precio_O,14)*INDEX(IdxPrecio_O,1,MIN(10,BK$17))*(1+P_dPrecio)</f>
        <v>0</v>
      </c>
      <c r="BL59" s="34" t="n">
        <f aca="false">BL$34*INDEX(Precio_O,14)*INDEX(IdxPrecio_O,1,MIN(10,BL$17))*(1+P_dPrecio)</f>
        <v>0</v>
      </c>
      <c r="BM59" s="34" t="n">
        <f aca="false">BM$34*INDEX(Precio_O,14)*INDEX(IdxPrecio_O,1,MIN(10,BM$17))*(1+P_dPrecio)</f>
        <v>0</v>
      </c>
      <c r="BN59" s="34" t="n">
        <f aca="false">BN$34*INDEX(Precio_O,14)*INDEX(IdxPrecio_O,1,MIN(10,BN$17))*(1+P_dPrecio)</f>
        <v>0</v>
      </c>
      <c r="BO59" s="34" t="n">
        <f aca="false">BO$34*INDEX(Precio_O,14)*INDEX(IdxPrecio_O,1,MIN(10,BO$17))*(1+P_dPrecio)</f>
        <v>0</v>
      </c>
      <c r="BP59" s="34" t="n">
        <f aca="false">BP$34*INDEX(Precio_O,14)*INDEX(IdxPrecio_O,1,MIN(10,BP$17))*(1+P_dPrecio)</f>
        <v>0</v>
      </c>
      <c r="BQ59" s="34" t="n">
        <f aca="false">BQ$34*INDEX(Precio_O,14)*INDEX(IdxPrecio_O,1,MIN(10,BQ$17))*(1+P_dPrecio)</f>
        <v>0</v>
      </c>
      <c r="BR59" s="34" t="n">
        <f aca="false">BR$34*INDEX(Precio_O,14)*INDEX(IdxPrecio_O,1,MIN(10,BR$17))*(1+P_dPrecio)</f>
        <v>0</v>
      </c>
      <c r="BS59" s="34" t="n">
        <f aca="false">BS$34*INDEX(Precio_O,14)*INDEX(IdxPrecio_O,1,MIN(10,BS$17))*(1+P_dPrecio)</f>
        <v>0</v>
      </c>
      <c r="BT59" s="34" t="n">
        <f aca="false">BT$34*INDEX(Precio_O,14)*INDEX(IdxPrecio_O,1,MIN(10,BT$17))*(1+P_dPrecio)</f>
        <v>0</v>
      </c>
      <c r="BU59" s="34" t="n">
        <f aca="false">BU$34*INDEX(Precio_O,14)*INDEX(IdxPrecio_O,1,MIN(10,BU$17))*(1+P_dPrecio)</f>
        <v>0</v>
      </c>
      <c r="BV59" s="34" t="n">
        <f aca="false">BV$34*INDEX(Precio_O,14)*INDEX(IdxPrecio_O,1,MIN(10,BV$17))*(1+P_dPrecio)</f>
        <v>0</v>
      </c>
      <c r="BW59" s="34" t="n">
        <f aca="false">BW$34*INDEX(Precio_O,14)*INDEX(IdxPrecio_O,1,MIN(10,BW$17))*(1+P_dPrecio)</f>
        <v>0</v>
      </c>
      <c r="BX59" s="34" t="n">
        <f aca="false">BX$34*INDEX(Precio_O,14)*INDEX(IdxPrecio_O,1,MIN(10,BX$17))*(1+P_dPrecio)</f>
        <v>0</v>
      </c>
      <c r="BY59" s="34" t="n">
        <f aca="false">BY$34*INDEX(Precio_O,14)*INDEX(IdxPrecio_O,1,MIN(10,BY$17))*(1+P_dPrecio)</f>
        <v>0</v>
      </c>
      <c r="BZ59" s="34" t="n">
        <f aca="false">BZ$34*INDEX(Precio_O,14)*INDEX(IdxPrecio_O,1,MIN(10,BZ$17))*(1+P_dPrecio)</f>
        <v>0</v>
      </c>
      <c r="CA59" s="34" t="n">
        <f aca="false">CA$34*INDEX(Precio_O,14)*INDEX(IdxPrecio_O,1,MIN(10,CA$17))*(1+P_dPrecio)</f>
        <v>0</v>
      </c>
      <c r="CB59" s="34" t="n">
        <f aca="false">CB$34*INDEX(Precio_O,14)*INDEX(IdxPrecio_O,1,MIN(10,CB$17))*(1+P_dPrecio)</f>
        <v>0</v>
      </c>
      <c r="CC59" s="34" t="n">
        <f aca="false">CC$34*INDEX(Precio_O,14)*INDEX(IdxPrecio_O,1,MIN(10,CC$17))*(1+P_dPrecio)</f>
        <v>0</v>
      </c>
      <c r="CD59" s="34" t="n">
        <f aca="false">CD$34*INDEX(Precio_O,14)*INDEX(IdxPrecio_O,1,MIN(10,CD$17))*(1+P_dPrecio)</f>
        <v>0</v>
      </c>
      <c r="CE59" s="34" t="n">
        <f aca="false">CE$34*INDEX(Precio_O,14)*INDEX(IdxPrecio_O,1,MIN(10,CE$17))*(1+P_dPrecio)</f>
        <v>0</v>
      </c>
      <c r="CF59" s="34" t="n">
        <f aca="false">CF$34*INDEX(Precio_O,14)*INDEX(IdxPrecio_O,1,MIN(10,CF$17))*(1+P_dPrecio)</f>
        <v>0</v>
      </c>
      <c r="CG59" s="34" t="n">
        <f aca="false">CG$34*INDEX(Precio_O,14)*INDEX(IdxPrecio_O,1,MIN(10,CG$17))*(1+P_dPrecio)</f>
        <v>0</v>
      </c>
      <c r="CH59" s="34" t="n">
        <f aca="false">CH$34*INDEX(Precio_O,14)*INDEX(IdxPrecio_O,1,MIN(10,CH$17))*(1+P_dPrecio)</f>
        <v>0</v>
      </c>
      <c r="CI59" s="34" t="n">
        <f aca="false">CI$34*INDEX(Precio_O,14)*INDEX(IdxPrecio_O,1,MIN(10,CI$17))*(1+P_dPrecio)</f>
        <v>0</v>
      </c>
      <c r="CJ59" s="34" t="n">
        <f aca="false">CJ$34*INDEX(Precio_O,14)*INDEX(IdxPrecio_O,1,MIN(10,CJ$17))*(1+P_dPrecio)</f>
        <v>0</v>
      </c>
      <c r="CK59" s="34" t="n">
        <f aca="false">CK$34*INDEX(Precio_O,14)*INDEX(IdxPrecio_O,1,MIN(10,CK$17))*(1+P_dPrecio)</f>
        <v>0</v>
      </c>
      <c r="CL59" s="34" t="n">
        <f aca="false">CL$34*INDEX(Precio_O,14)*INDEX(IdxPrecio_O,1,MIN(10,CL$17))*(1+P_dPrecio)</f>
        <v>0</v>
      </c>
      <c r="CM59" s="34" t="n">
        <f aca="false">CM$34*INDEX(Precio_O,14)*INDEX(IdxPrecio_O,1,MIN(10,CM$17))*(1+P_dPrecio)</f>
        <v>0</v>
      </c>
      <c r="CN59" s="34" t="n">
        <f aca="false">CN$34*INDEX(Precio_O,14)*INDEX(IdxPrecio_O,1,MIN(10,CN$17))*(1+P_dPrecio)</f>
        <v>0</v>
      </c>
      <c r="CO59" s="34" t="n">
        <f aca="false">CO$34*INDEX(Precio_O,14)*INDEX(IdxPrecio_O,1,MIN(10,CO$17))*(1+P_dPrecio)</f>
        <v>0</v>
      </c>
      <c r="CP59" s="34" t="n">
        <f aca="false">CP$34*INDEX(Precio_O,14)*INDEX(IdxPrecio_O,1,MIN(10,CP$17))*(1+P_dPrecio)</f>
        <v>0</v>
      </c>
      <c r="CQ59" s="34" t="n">
        <f aca="false">CQ$34*INDEX(Precio_O,14)*INDEX(IdxPrecio_O,1,MIN(10,CQ$17))*(1+P_dPrecio)</f>
        <v>0</v>
      </c>
      <c r="CR59" s="34" t="n">
        <f aca="false">CR$34*INDEX(Precio_O,14)*INDEX(IdxPrecio_O,1,MIN(10,CR$17))*(1+P_dPrecio)</f>
        <v>0</v>
      </c>
      <c r="CS59" s="34" t="n">
        <f aca="false">CS$34*INDEX(Precio_O,14)*INDEX(IdxPrecio_O,1,MIN(10,CS$17))*(1+P_dPrecio)</f>
        <v>0</v>
      </c>
      <c r="CT59" s="34" t="n">
        <f aca="false">CT$34*INDEX(Precio_O,14)*INDEX(IdxPrecio_O,1,MIN(10,CT$17))*(1+P_dPrecio)</f>
        <v>0</v>
      </c>
      <c r="CU59" s="34" t="n">
        <f aca="false">CU$34*INDEX(Precio_O,14)*INDEX(IdxPrecio_O,1,MIN(10,CU$17))*(1+P_dPrecio)</f>
        <v>0</v>
      </c>
      <c r="CV59" s="34" t="n">
        <f aca="false">CV$34*INDEX(Precio_O,14)*INDEX(IdxPrecio_O,1,MIN(10,CV$17))*(1+P_dPrecio)</f>
        <v>0</v>
      </c>
      <c r="CW59" s="34" t="n">
        <f aca="false">CW$34*INDEX(Precio_O,14)*INDEX(IdxPrecio_O,1,MIN(10,CW$17))*(1+P_dPrecio)</f>
        <v>0</v>
      </c>
      <c r="CX59" s="34" t="n">
        <f aca="false">CX$34*INDEX(Precio_O,14)*INDEX(IdxPrecio_O,1,MIN(10,CX$17))*(1+P_dPrecio)</f>
        <v>0</v>
      </c>
      <c r="CY59" s="34" t="n">
        <f aca="false">CY$34*INDEX(Precio_O,14)*INDEX(IdxPrecio_O,1,MIN(10,CY$17))*(1+P_dPrecio)</f>
        <v>0</v>
      </c>
      <c r="CZ59" s="34" t="n">
        <f aca="false">CZ$34*INDEX(Precio_O,14)*INDEX(IdxPrecio_O,1,MIN(10,CZ$17))*(1+P_dPrecio)</f>
        <v>0</v>
      </c>
      <c r="DA59" s="34" t="n">
        <f aca="false">DA$34*INDEX(Precio_O,14)*INDEX(IdxPrecio_O,1,MIN(10,DA$17))*(1+P_dPrecio)</f>
        <v>0</v>
      </c>
      <c r="DB59" s="34" t="n">
        <f aca="false">DB$34*INDEX(Precio_O,14)*INDEX(IdxPrecio_O,1,MIN(10,DB$17))*(1+P_dPrecio)</f>
        <v>0</v>
      </c>
      <c r="DC59" s="34" t="n">
        <f aca="false">DC$34*INDEX(Precio_O,14)*INDEX(IdxPrecio_O,1,MIN(10,DC$17))*(1+P_dPrecio)</f>
        <v>0</v>
      </c>
      <c r="DD59" s="34" t="n">
        <f aca="false">DD$34*INDEX(Precio_O,14)*INDEX(IdxPrecio_O,1,MIN(10,DD$17))*(1+P_dPrecio)</f>
        <v>0</v>
      </c>
      <c r="DE59" s="34" t="n">
        <f aca="false">DE$34*INDEX(Precio_O,14)*INDEX(IdxPrecio_O,1,MIN(10,DE$17))*(1+P_dPrecio)</f>
        <v>0</v>
      </c>
      <c r="DF59" s="34" t="n">
        <f aca="false">DF$34*INDEX(Precio_O,14)*INDEX(IdxPrecio_O,1,MIN(10,DF$17))*(1+P_dPrecio)</f>
        <v>0</v>
      </c>
      <c r="DG59" s="34" t="n">
        <f aca="false">DG$34*INDEX(Precio_O,14)*INDEX(IdxPrecio_O,1,MIN(10,DG$17))*(1+P_dPrecio)</f>
        <v>0</v>
      </c>
      <c r="DH59" s="34" t="n">
        <f aca="false">DH$34*INDEX(Precio_O,14)*INDEX(IdxPrecio_O,1,MIN(10,DH$17))*(1+P_dPrecio)</f>
        <v>0</v>
      </c>
      <c r="DI59" s="34" t="n">
        <f aca="false">DI$34*INDEX(Precio_O,14)*INDEX(IdxPrecio_O,1,MIN(10,DI$17))*(1+P_dPrecio)</f>
        <v>0</v>
      </c>
      <c r="DJ59" s="34" t="n">
        <f aca="false">DJ$34*INDEX(Precio_O,14)*INDEX(IdxPrecio_O,1,MIN(10,DJ$17))*(1+P_dPrecio)</f>
        <v>0</v>
      </c>
      <c r="DK59" s="34" t="n">
        <f aca="false">DK$34*INDEX(Precio_O,14)*INDEX(IdxPrecio_O,1,MIN(10,DK$17))*(1+P_dPrecio)</f>
        <v>0</v>
      </c>
      <c r="DL59" s="34" t="n">
        <f aca="false">DL$34*INDEX(Precio_O,14)*INDEX(IdxPrecio_O,1,MIN(10,DL$17))*(1+P_dPrecio)</f>
        <v>0</v>
      </c>
      <c r="DM59" s="34" t="n">
        <f aca="false">DM$34*INDEX(Precio_O,14)*INDEX(IdxPrecio_O,1,MIN(10,DM$17))*(1+P_dPrecio)</f>
        <v>0</v>
      </c>
      <c r="DN59" s="34" t="n">
        <f aca="false">DN$34*INDEX(Precio_O,14)*INDEX(IdxPrecio_O,1,MIN(10,DN$17))*(1+P_dPrecio)</f>
        <v>0</v>
      </c>
      <c r="DO59" s="34" t="n">
        <f aca="false">DO$34*INDEX(Precio_O,14)*INDEX(IdxPrecio_O,1,MIN(10,DO$17))*(1+P_dPrecio)</f>
        <v>0</v>
      </c>
      <c r="DP59" s="34" t="n">
        <f aca="false">DP$34*INDEX(Precio_O,14)*INDEX(IdxPrecio_O,1,MIN(10,DP$17))*(1+P_dPrecio)</f>
        <v>0</v>
      </c>
      <c r="DQ59" s="34" t="n">
        <f aca="false">DQ$34*INDEX(Precio_O,14)*INDEX(IdxPrecio_O,1,MIN(10,DQ$17))*(1+P_dPrecio)</f>
        <v>0</v>
      </c>
      <c r="DR59" s="34" t="n">
        <f aca="false">DR$34*INDEX(Precio_O,14)*INDEX(IdxPrecio_O,1,MIN(10,DR$17))*(1+P_dPrecio)</f>
        <v>0</v>
      </c>
      <c r="DS59" s="34" t="n">
        <f aca="false">DS$34*INDEX(Precio_O,14)*INDEX(IdxPrecio_O,1,MIN(10,DS$17))*(1+P_dPrecio)</f>
        <v>0</v>
      </c>
      <c r="DT59" s="34" t="n">
        <f aca="false">DT$34*INDEX(Precio_O,14)*INDEX(IdxPrecio_O,1,MIN(10,DT$17))*(1+P_dPrecio)</f>
        <v>0</v>
      </c>
      <c r="DU59" s="34" t="n">
        <f aca="false">DU$34*INDEX(Precio_O,14)*INDEX(IdxPrecio_O,1,MIN(10,DU$17))*(1+P_dPrecio)</f>
        <v>0</v>
      </c>
      <c r="DV59" s="34" t="n">
        <f aca="false">DV$34*INDEX(Precio_O,14)*INDEX(IdxPrecio_O,1,MIN(10,DV$17))*(1+P_dPrecio)</f>
        <v>0</v>
      </c>
      <c r="DW59" s="34" t="n">
        <f aca="false">DW$34*INDEX(Precio_O,14)*INDEX(IdxPrecio_O,1,MIN(10,DW$17))*(1+P_dPrecio)</f>
        <v>0</v>
      </c>
      <c r="DX59" s="34" t="n">
        <f aca="false">DX$34*INDEX(Precio_O,14)*INDEX(IdxPrecio_O,1,MIN(10,DX$17))*(1+P_dPrecio)</f>
        <v>0</v>
      </c>
      <c r="DY59" s="34" t="n">
        <f aca="false">DY$34*INDEX(Precio_O,14)*INDEX(IdxPrecio_O,1,MIN(10,DY$17))*(1+P_dPrecio)</f>
        <v>0</v>
      </c>
      <c r="DZ59" s="34" t="n">
        <f aca="false">DZ$34*INDEX(Precio_O,14)*INDEX(IdxPrecio_O,1,MIN(10,DZ$17))*(1+P_dPrecio)</f>
        <v>0</v>
      </c>
      <c r="EA59" s="34" t="n">
        <f aca="false">EA$34*INDEX(Precio_O,14)*INDEX(IdxPrecio_O,1,MIN(10,EA$17))*(1+P_dPrecio)</f>
        <v>0</v>
      </c>
      <c r="EB59" s="34" t="n">
        <f aca="false">EB$34*INDEX(Precio_O,14)*INDEX(IdxPrecio_O,1,MIN(10,EB$17))*(1+P_dPrecio)</f>
        <v>0</v>
      </c>
      <c r="EC59" s="34" t="n">
        <f aca="false">EC$34*INDEX(Precio_O,14)*INDEX(IdxPrecio_O,1,MIN(10,EC$17))*(1+P_dPrecio)</f>
        <v>0</v>
      </c>
      <c r="ED59" s="34" t="n">
        <f aca="false">ED$34*INDEX(Precio_O,14)*INDEX(IdxPrecio_O,1,MIN(10,ED$17))*(1+P_dPrecio)</f>
        <v>0</v>
      </c>
      <c r="EE59" s="34" t="n">
        <f aca="false">EE$34*INDEX(Precio_O,14)*INDEX(IdxPrecio_O,1,MIN(10,EE$17))*(1+P_dPrecio)</f>
        <v>0</v>
      </c>
      <c r="EF59" s="34" t="n">
        <f aca="false">EF$34*INDEX(Precio_O,14)*INDEX(IdxPrecio_O,1,MIN(10,EF$17))*(1+P_dPrecio)</f>
        <v>0</v>
      </c>
      <c r="EG59" s="34" t="n">
        <f aca="false">EG$34*INDEX(Precio_O,14)*INDEX(IdxPrecio_O,1,MIN(10,EG$17))*(1+P_dPrecio)</f>
        <v>0</v>
      </c>
      <c r="EH59" s="34" t="n">
        <f aca="false">EH$34*INDEX(Precio_O,14)*INDEX(IdxPrecio_O,1,MIN(10,EH$17))*(1+P_dPrecio)</f>
        <v>0</v>
      </c>
      <c r="EI59" s="34" t="n">
        <f aca="false">EI$34*INDEX(Precio_O,14)*INDEX(IdxPrecio_O,1,MIN(10,EI$17))*(1+P_dPrecio)</f>
        <v>0</v>
      </c>
      <c r="EJ59" s="34" t="n">
        <f aca="false">EJ$34*INDEX(Precio_O,14)*INDEX(IdxPrecio_O,1,MIN(10,EJ$17))*(1+P_dPrecio)</f>
        <v>0</v>
      </c>
      <c r="EK59" s="34" t="n">
        <f aca="false">EK$34*INDEX(Precio_O,14)*INDEX(IdxPrecio_O,1,MIN(10,EK$17))*(1+P_dPrecio)</f>
        <v>0</v>
      </c>
      <c r="EL59" s="34" t="n">
        <f aca="false">EL$34*INDEX(Precio_O,14)*INDEX(IdxPrecio_O,1,MIN(10,EL$17))*(1+P_dPrecio)</f>
        <v>0</v>
      </c>
      <c r="EM59" s="34" t="n">
        <f aca="false">EM$34*INDEX(Precio_O,14)*INDEX(IdxPrecio_O,1,MIN(10,EM$17))*(1+P_dPrecio)</f>
        <v>0</v>
      </c>
      <c r="EN59" s="34" t="n">
        <f aca="false">EN$34*INDEX(Precio_O,14)*INDEX(IdxPrecio_O,1,MIN(10,EN$17))*(1+P_dPrecio)</f>
        <v>0</v>
      </c>
      <c r="EO59" s="34" t="n">
        <f aca="false">EO$34*INDEX(Precio_O,14)*INDEX(IdxPrecio_O,1,MIN(10,EO$17))*(1+P_dPrecio)</f>
        <v>0</v>
      </c>
      <c r="EP59" s="34" t="n">
        <f aca="false">EP$34*INDEX(Precio_O,14)*INDEX(IdxPrecio_O,1,MIN(10,EP$17))*(1+P_dPrecio)</f>
        <v>0</v>
      </c>
      <c r="EQ59" s="34" t="n">
        <f aca="false">EQ$34*INDEX(Precio_O,14)*INDEX(IdxPrecio_O,1,MIN(10,EQ$17))*(1+P_dPrecio)</f>
        <v>0</v>
      </c>
      <c r="ER59" s="34" t="n">
        <f aca="false">ER$34*INDEX(Precio_O,14)*INDEX(IdxPrecio_O,1,MIN(10,ER$17))*(1+P_dPrecio)</f>
        <v>0</v>
      </c>
      <c r="ES59" s="34" t="n">
        <f aca="false">ES$34*INDEX(Precio_O,14)*INDEX(IdxPrecio_O,1,MIN(10,ES$17))*(1+P_dPrecio)</f>
        <v>0</v>
      </c>
    </row>
    <row r="60" customFormat="false" ht="15" hidden="false" customHeight="false" outlineLevel="0" collapsed="false">
      <c r="A60" s="2" t="s">
        <v>623</v>
      </c>
      <c r="B60" s="39" t="str">
        <f aca="false">IF(INDEX(Prod_Nombre,15)="","Producto 15",INDEX(Prod_Nombre,15))&amp;" — ventas USD"</f>
        <v>Producto 15 — ventas USD</v>
      </c>
      <c r="C60" s="6" t="s">
        <v>250</v>
      </c>
      <c r="E60" s="40" t="n">
        <f aca="false">SUM(F60:ES60)</f>
        <v>0</v>
      </c>
      <c r="F60" s="34" t="n">
        <f aca="false">F$35*INDEX(Precio_O,15)*INDEX(IdxPrecio_O,1,MIN(10,F$17))*(1+P_dPrecio)</f>
        <v>0</v>
      </c>
      <c r="G60" s="34" t="n">
        <f aca="false">G$35*INDEX(Precio_O,15)*INDEX(IdxPrecio_O,1,MIN(10,G$17))*(1+P_dPrecio)</f>
        <v>0</v>
      </c>
      <c r="H60" s="34" t="n">
        <f aca="false">H$35*INDEX(Precio_O,15)*INDEX(IdxPrecio_O,1,MIN(10,H$17))*(1+P_dPrecio)</f>
        <v>0</v>
      </c>
      <c r="I60" s="34" t="n">
        <f aca="false">I$35*INDEX(Precio_O,15)*INDEX(IdxPrecio_O,1,MIN(10,I$17))*(1+P_dPrecio)</f>
        <v>0</v>
      </c>
      <c r="J60" s="34" t="n">
        <f aca="false">J$35*INDEX(Precio_O,15)*INDEX(IdxPrecio_O,1,MIN(10,J$17))*(1+P_dPrecio)</f>
        <v>0</v>
      </c>
      <c r="K60" s="34" t="n">
        <f aca="false">K$35*INDEX(Precio_O,15)*INDEX(IdxPrecio_O,1,MIN(10,K$17))*(1+P_dPrecio)</f>
        <v>0</v>
      </c>
      <c r="L60" s="34" t="n">
        <f aca="false">L$35*INDEX(Precio_O,15)*INDEX(IdxPrecio_O,1,MIN(10,L$17))*(1+P_dPrecio)</f>
        <v>0</v>
      </c>
      <c r="M60" s="34" t="n">
        <f aca="false">M$35*INDEX(Precio_O,15)*INDEX(IdxPrecio_O,1,MIN(10,M$17))*(1+P_dPrecio)</f>
        <v>0</v>
      </c>
      <c r="N60" s="34" t="n">
        <f aca="false">N$35*INDEX(Precio_O,15)*INDEX(IdxPrecio_O,1,MIN(10,N$17))*(1+P_dPrecio)</f>
        <v>0</v>
      </c>
      <c r="O60" s="34" t="n">
        <f aca="false">O$35*INDEX(Precio_O,15)*INDEX(IdxPrecio_O,1,MIN(10,O$17))*(1+P_dPrecio)</f>
        <v>0</v>
      </c>
      <c r="P60" s="34" t="n">
        <f aca="false">P$35*INDEX(Precio_O,15)*INDEX(IdxPrecio_O,1,MIN(10,P$17))*(1+P_dPrecio)</f>
        <v>0</v>
      </c>
      <c r="Q60" s="34" t="n">
        <f aca="false">Q$35*INDEX(Precio_O,15)*INDEX(IdxPrecio_O,1,MIN(10,Q$17))*(1+P_dPrecio)</f>
        <v>0</v>
      </c>
      <c r="R60" s="34" t="n">
        <f aca="false">R$35*INDEX(Precio_O,15)*INDEX(IdxPrecio_O,1,MIN(10,R$17))*(1+P_dPrecio)</f>
        <v>0</v>
      </c>
      <c r="S60" s="34" t="n">
        <f aca="false">S$35*INDEX(Precio_O,15)*INDEX(IdxPrecio_O,1,MIN(10,S$17))*(1+P_dPrecio)</f>
        <v>0</v>
      </c>
      <c r="T60" s="34" t="n">
        <f aca="false">T$35*INDEX(Precio_O,15)*INDEX(IdxPrecio_O,1,MIN(10,T$17))*(1+P_dPrecio)</f>
        <v>0</v>
      </c>
      <c r="U60" s="34" t="n">
        <f aca="false">U$35*INDEX(Precio_O,15)*INDEX(IdxPrecio_O,1,MIN(10,U$17))*(1+P_dPrecio)</f>
        <v>0</v>
      </c>
      <c r="V60" s="34" t="n">
        <f aca="false">V$35*INDEX(Precio_O,15)*INDEX(IdxPrecio_O,1,MIN(10,V$17))*(1+P_dPrecio)</f>
        <v>0</v>
      </c>
      <c r="W60" s="34" t="n">
        <f aca="false">W$35*INDEX(Precio_O,15)*INDEX(IdxPrecio_O,1,MIN(10,W$17))*(1+P_dPrecio)</f>
        <v>0</v>
      </c>
      <c r="X60" s="34" t="n">
        <f aca="false">X$35*INDEX(Precio_O,15)*INDEX(IdxPrecio_O,1,MIN(10,X$17))*(1+P_dPrecio)</f>
        <v>0</v>
      </c>
      <c r="Y60" s="34" t="n">
        <f aca="false">Y$35*INDEX(Precio_O,15)*INDEX(IdxPrecio_O,1,MIN(10,Y$17))*(1+P_dPrecio)</f>
        <v>0</v>
      </c>
      <c r="Z60" s="34" t="n">
        <f aca="false">Z$35*INDEX(Precio_O,15)*INDEX(IdxPrecio_O,1,MIN(10,Z$17))*(1+P_dPrecio)</f>
        <v>0</v>
      </c>
      <c r="AA60" s="34" t="n">
        <f aca="false">AA$35*INDEX(Precio_O,15)*INDEX(IdxPrecio_O,1,MIN(10,AA$17))*(1+P_dPrecio)</f>
        <v>0</v>
      </c>
      <c r="AB60" s="34" t="n">
        <f aca="false">AB$35*INDEX(Precio_O,15)*INDEX(IdxPrecio_O,1,MIN(10,AB$17))*(1+P_dPrecio)</f>
        <v>0</v>
      </c>
      <c r="AC60" s="34" t="n">
        <f aca="false">AC$35*INDEX(Precio_O,15)*INDEX(IdxPrecio_O,1,MIN(10,AC$17))*(1+P_dPrecio)</f>
        <v>0</v>
      </c>
      <c r="AD60" s="34" t="n">
        <f aca="false">AD$35*INDEX(Precio_O,15)*INDEX(IdxPrecio_O,1,MIN(10,AD$17))*(1+P_dPrecio)</f>
        <v>0</v>
      </c>
      <c r="AE60" s="34" t="n">
        <f aca="false">AE$35*INDEX(Precio_O,15)*INDEX(IdxPrecio_O,1,MIN(10,AE$17))*(1+P_dPrecio)</f>
        <v>0</v>
      </c>
      <c r="AF60" s="34" t="n">
        <f aca="false">AF$35*INDEX(Precio_O,15)*INDEX(IdxPrecio_O,1,MIN(10,AF$17))*(1+P_dPrecio)</f>
        <v>0</v>
      </c>
      <c r="AG60" s="34" t="n">
        <f aca="false">AG$35*INDEX(Precio_O,15)*INDEX(IdxPrecio_O,1,MIN(10,AG$17))*(1+P_dPrecio)</f>
        <v>0</v>
      </c>
      <c r="AH60" s="34" t="n">
        <f aca="false">AH$35*INDEX(Precio_O,15)*INDEX(IdxPrecio_O,1,MIN(10,AH$17))*(1+P_dPrecio)</f>
        <v>0</v>
      </c>
      <c r="AI60" s="34" t="n">
        <f aca="false">AI$35*INDEX(Precio_O,15)*INDEX(IdxPrecio_O,1,MIN(10,AI$17))*(1+P_dPrecio)</f>
        <v>0</v>
      </c>
      <c r="AJ60" s="34" t="n">
        <f aca="false">AJ$35*INDEX(Precio_O,15)*INDEX(IdxPrecio_O,1,MIN(10,AJ$17))*(1+P_dPrecio)</f>
        <v>0</v>
      </c>
      <c r="AK60" s="34" t="n">
        <f aca="false">AK$35*INDEX(Precio_O,15)*INDEX(IdxPrecio_O,1,MIN(10,AK$17))*(1+P_dPrecio)</f>
        <v>0</v>
      </c>
      <c r="AL60" s="34" t="n">
        <f aca="false">AL$35*INDEX(Precio_O,15)*INDEX(IdxPrecio_O,1,MIN(10,AL$17))*(1+P_dPrecio)</f>
        <v>0</v>
      </c>
      <c r="AM60" s="34" t="n">
        <f aca="false">AM$35*INDEX(Precio_O,15)*INDEX(IdxPrecio_O,1,MIN(10,AM$17))*(1+P_dPrecio)</f>
        <v>0</v>
      </c>
      <c r="AN60" s="34" t="n">
        <f aca="false">AN$35*INDEX(Precio_O,15)*INDEX(IdxPrecio_O,1,MIN(10,AN$17))*(1+P_dPrecio)</f>
        <v>0</v>
      </c>
      <c r="AO60" s="34" t="n">
        <f aca="false">AO$35*INDEX(Precio_O,15)*INDEX(IdxPrecio_O,1,MIN(10,AO$17))*(1+P_dPrecio)</f>
        <v>0</v>
      </c>
      <c r="AP60" s="34" t="n">
        <f aca="false">AP$35*INDEX(Precio_O,15)*INDEX(IdxPrecio_O,1,MIN(10,AP$17))*(1+P_dPrecio)</f>
        <v>0</v>
      </c>
      <c r="AQ60" s="34" t="n">
        <f aca="false">AQ$35*INDEX(Precio_O,15)*INDEX(IdxPrecio_O,1,MIN(10,AQ$17))*(1+P_dPrecio)</f>
        <v>0</v>
      </c>
      <c r="AR60" s="34" t="n">
        <f aca="false">AR$35*INDEX(Precio_O,15)*INDEX(IdxPrecio_O,1,MIN(10,AR$17))*(1+P_dPrecio)</f>
        <v>0</v>
      </c>
      <c r="AS60" s="34" t="n">
        <f aca="false">AS$35*INDEX(Precio_O,15)*INDEX(IdxPrecio_O,1,MIN(10,AS$17))*(1+P_dPrecio)</f>
        <v>0</v>
      </c>
      <c r="AT60" s="34" t="n">
        <f aca="false">AT$35*INDEX(Precio_O,15)*INDEX(IdxPrecio_O,1,MIN(10,AT$17))*(1+P_dPrecio)</f>
        <v>0</v>
      </c>
      <c r="AU60" s="34" t="n">
        <f aca="false">AU$35*INDEX(Precio_O,15)*INDEX(IdxPrecio_O,1,MIN(10,AU$17))*(1+P_dPrecio)</f>
        <v>0</v>
      </c>
      <c r="AV60" s="34" t="n">
        <f aca="false">AV$35*INDEX(Precio_O,15)*INDEX(IdxPrecio_O,1,MIN(10,AV$17))*(1+P_dPrecio)</f>
        <v>0</v>
      </c>
      <c r="AW60" s="34" t="n">
        <f aca="false">AW$35*INDEX(Precio_O,15)*INDEX(IdxPrecio_O,1,MIN(10,AW$17))*(1+P_dPrecio)</f>
        <v>0</v>
      </c>
      <c r="AX60" s="34" t="n">
        <f aca="false">AX$35*INDEX(Precio_O,15)*INDEX(IdxPrecio_O,1,MIN(10,AX$17))*(1+P_dPrecio)</f>
        <v>0</v>
      </c>
      <c r="AY60" s="34" t="n">
        <f aca="false">AY$35*INDEX(Precio_O,15)*INDEX(IdxPrecio_O,1,MIN(10,AY$17))*(1+P_dPrecio)</f>
        <v>0</v>
      </c>
      <c r="AZ60" s="34" t="n">
        <f aca="false">AZ$35*INDEX(Precio_O,15)*INDEX(IdxPrecio_O,1,MIN(10,AZ$17))*(1+P_dPrecio)</f>
        <v>0</v>
      </c>
      <c r="BA60" s="34" t="n">
        <f aca="false">BA$35*INDEX(Precio_O,15)*INDEX(IdxPrecio_O,1,MIN(10,BA$17))*(1+P_dPrecio)</f>
        <v>0</v>
      </c>
      <c r="BB60" s="34" t="n">
        <f aca="false">BB$35*INDEX(Precio_O,15)*INDEX(IdxPrecio_O,1,MIN(10,BB$17))*(1+P_dPrecio)</f>
        <v>0</v>
      </c>
      <c r="BC60" s="34" t="n">
        <f aca="false">BC$35*INDEX(Precio_O,15)*INDEX(IdxPrecio_O,1,MIN(10,BC$17))*(1+P_dPrecio)</f>
        <v>0</v>
      </c>
      <c r="BD60" s="34" t="n">
        <f aca="false">BD$35*INDEX(Precio_O,15)*INDEX(IdxPrecio_O,1,MIN(10,BD$17))*(1+P_dPrecio)</f>
        <v>0</v>
      </c>
      <c r="BE60" s="34" t="n">
        <f aca="false">BE$35*INDEX(Precio_O,15)*INDEX(IdxPrecio_O,1,MIN(10,BE$17))*(1+P_dPrecio)</f>
        <v>0</v>
      </c>
      <c r="BF60" s="34" t="n">
        <f aca="false">BF$35*INDEX(Precio_O,15)*INDEX(IdxPrecio_O,1,MIN(10,BF$17))*(1+P_dPrecio)</f>
        <v>0</v>
      </c>
      <c r="BG60" s="34" t="n">
        <f aca="false">BG$35*INDEX(Precio_O,15)*INDEX(IdxPrecio_O,1,MIN(10,BG$17))*(1+P_dPrecio)</f>
        <v>0</v>
      </c>
      <c r="BH60" s="34" t="n">
        <f aca="false">BH$35*INDEX(Precio_O,15)*INDEX(IdxPrecio_O,1,MIN(10,BH$17))*(1+P_dPrecio)</f>
        <v>0</v>
      </c>
      <c r="BI60" s="34" t="n">
        <f aca="false">BI$35*INDEX(Precio_O,15)*INDEX(IdxPrecio_O,1,MIN(10,BI$17))*(1+P_dPrecio)</f>
        <v>0</v>
      </c>
      <c r="BJ60" s="34" t="n">
        <f aca="false">BJ$35*INDEX(Precio_O,15)*INDEX(IdxPrecio_O,1,MIN(10,BJ$17))*(1+P_dPrecio)</f>
        <v>0</v>
      </c>
      <c r="BK60" s="34" t="n">
        <f aca="false">BK$35*INDEX(Precio_O,15)*INDEX(IdxPrecio_O,1,MIN(10,BK$17))*(1+P_dPrecio)</f>
        <v>0</v>
      </c>
      <c r="BL60" s="34" t="n">
        <f aca="false">BL$35*INDEX(Precio_O,15)*INDEX(IdxPrecio_O,1,MIN(10,BL$17))*(1+P_dPrecio)</f>
        <v>0</v>
      </c>
      <c r="BM60" s="34" t="n">
        <f aca="false">BM$35*INDEX(Precio_O,15)*INDEX(IdxPrecio_O,1,MIN(10,BM$17))*(1+P_dPrecio)</f>
        <v>0</v>
      </c>
      <c r="BN60" s="34" t="n">
        <f aca="false">BN$35*INDEX(Precio_O,15)*INDEX(IdxPrecio_O,1,MIN(10,BN$17))*(1+P_dPrecio)</f>
        <v>0</v>
      </c>
      <c r="BO60" s="34" t="n">
        <f aca="false">BO$35*INDEX(Precio_O,15)*INDEX(IdxPrecio_O,1,MIN(10,BO$17))*(1+P_dPrecio)</f>
        <v>0</v>
      </c>
      <c r="BP60" s="34" t="n">
        <f aca="false">BP$35*INDEX(Precio_O,15)*INDEX(IdxPrecio_O,1,MIN(10,BP$17))*(1+P_dPrecio)</f>
        <v>0</v>
      </c>
      <c r="BQ60" s="34" t="n">
        <f aca="false">BQ$35*INDEX(Precio_O,15)*INDEX(IdxPrecio_O,1,MIN(10,BQ$17))*(1+P_dPrecio)</f>
        <v>0</v>
      </c>
      <c r="BR60" s="34" t="n">
        <f aca="false">BR$35*INDEX(Precio_O,15)*INDEX(IdxPrecio_O,1,MIN(10,BR$17))*(1+P_dPrecio)</f>
        <v>0</v>
      </c>
      <c r="BS60" s="34" t="n">
        <f aca="false">BS$35*INDEX(Precio_O,15)*INDEX(IdxPrecio_O,1,MIN(10,BS$17))*(1+P_dPrecio)</f>
        <v>0</v>
      </c>
      <c r="BT60" s="34" t="n">
        <f aca="false">BT$35*INDEX(Precio_O,15)*INDEX(IdxPrecio_O,1,MIN(10,BT$17))*(1+P_dPrecio)</f>
        <v>0</v>
      </c>
      <c r="BU60" s="34" t="n">
        <f aca="false">BU$35*INDEX(Precio_O,15)*INDEX(IdxPrecio_O,1,MIN(10,BU$17))*(1+P_dPrecio)</f>
        <v>0</v>
      </c>
      <c r="BV60" s="34" t="n">
        <f aca="false">BV$35*INDEX(Precio_O,15)*INDEX(IdxPrecio_O,1,MIN(10,BV$17))*(1+P_dPrecio)</f>
        <v>0</v>
      </c>
      <c r="BW60" s="34" t="n">
        <f aca="false">BW$35*INDEX(Precio_O,15)*INDEX(IdxPrecio_O,1,MIN(10,BW$17))*(1+P_dPrecio)</f>
        <v>0</v>
      </c>
      <c r="BX60" s="34" t="n">
        <f aca="false">BX$35*INDEX(Precio_O,15)*INDEX(IdxPrecio_O,1,MIN(10,BX$17))*(1+P_dPrecio)</f>
        <v>0</v>
      </c>
      <c r="BY60" s="34" t="n">
        <f aca="false">BY$35*INDEX(Precio_O,15)*INDEX(IdxPrecio_O,1,MIN(10,BY$17))*(1+P_dPrecio)</f>
        <v>0</v>
      </c>
      <c r="BZ60" s="34" t="n">
        <f aca="false">BZ$35*INDEX(Precio_O,15)*INDEX(IdxPrecio_O,1,MIN(10,BZ$17))*(1+P_dPrecio)</f>
        <v>0</v>
      </c>
      <c r="CA60" s="34" t="n">
        <f aca="false">CA$35*INDEX(Precio_O,15)*INDEX(IdxPrecio_O,1,MIN(10,CA$17))*(1+P_dPrecio)</f>
        <v>0</v>
      </c>
      <c r="CB60" s="34" t="n">
        <f aca="false">CB$35*INDEX(Precio_O,15)*INDEX(IdxPrecio_O,1,MIN(10,CB$17))*(1+P_dPrecio)</f>
        <v>0</v>
      </c>
      <c r="CC60" s="34" t="n">
        <f aca="false">CC$35*INDEX(Precio_O,15)*INDEX(IdxPrecio_O,1,MIN(10,CC$17))*(1+P_dPrecio)</f>
        <v>0</v>
      </c>
      <c r="CD60" s="34" t="n">
        <f aca="false">CD$35*INDEX(Precio_O,15)*INDEX(IdxPrecio_O,1,MIN(10,CD$17))*(1+P_dPrecio)</f>
        <v>0</v>
      </c>
      <c r="CE60" s="34" t="n">
        <f aca="false">CE$35*INDEX(Precio_O,15)*INDEX(IdxPrecio_O,1,MIN(10,CE$17))*(1+P_dPrecio)</f>
        <v>0</v>
      </c>
      <c r="CF60" s="34" t="n">
        <f aca="false">CF$35*INDEX(Precio_O,15)*INDEX(IdxPrecio_O,1,MIN(10,CF$17))*(1+P_dPrecio)</f>
        <v>0</v>
      </c>
      <c r="CG60" s="34" t="n">
        <f aca="false">CG$35*INDEX(Precio_O,15)*INDEX(IdxPrecio_O,1,MIN(10,CG$17))*(1+P_dPrecio)</f>
        <v>0</v>
      </c>
      <c r="CH60" s="34" t="n">
        <f aca="false">CH$35*INDEX(Precio_O,15)*INDEX(IdxPrecio_O,1,MIN(10,CH$17))*(1+P_dPrecio)</f>
        <v>0</v>
      </c>
      <c r="CI60" s="34" t="n">
        <f aca="false">CI$35*INDEX(Precio_O,15)*INDEX(IdxPrecio_O,1,MIN(10,CI$17))*(1+P_dPrecio)</f>
        <v>0</v>
      </c>
      <c r="CJ60" s="34" t="n">
        <f aca="false">CJ$35*INDEX(Precio_O,15)*INDEX(IdxPrecio_O,1,MIN(10,CJ$17))*(1+P_dPrecio)</f>
        <v>0</v>
      </c>
      <c r="CK60" s="34" t="n">
        <f aca="false">CK$35*INDEX(Precio_O,15)*INDEX(IdxPrecio_O,1,MIN(10,CK$17))*(1+P_dPrecio)</f>
        <v>0</v>
      </c>
      <c r="CL60" s="34" t="n">
        <f aca="false">CL$35*INDEX(Precio_O,15)*INDEX(IdxPrecio_O,1,MIN(10,CL$17))*(1+P_dPrecio)</f>
        <v>0</v>
      </c>
      <c r="CM60" s="34" t="n">
        <f aca="false">CM$35*INDEX(Precio_O,15)*INDEX(IdxPrecio_O,1,MIN(10,CM$17))*(1+P_dPrecio)</f>
        <v>0</v>
      </c>
      <c r="CN60" s="34" t="n">
        <f aca="false">CN$35*INDEX(Precio_O,15)*INDEX(IdxPrecio_O,1,MIN(10,CN$17))*(1+P_dPrecio)</f>
        <v>0</v>
      </c>
      <c r="CO60" s="34" t="n">
        <f aca="false">CO$35*INDEX(Precio_O,15)*INDEX(IdxPrecio_O,1,MIN(10,CO$17))*(1+P_dPrecio)</f>
        <v>0</v>
      </c>
      <c r="CP60" s="34" t="n">
        <f aca="false">CP$35*INDEX(Precio_O,15)*INDEX(IdxPrecio_O,1,MIN(10,CP$17))*(1+P_dPrecio)</f>
        <v>0</v>
      </c>
      <c r="CQ60" s="34" t="n">
        <f aca="false">CQ$35*INDEX(Precio_O,15)*INDEX(IdxPrecio_O,1,MIN(10,CQ$17))*(1+P_dPrecio)</f>
        <v>0</v>
      </c>
      <c r="CR60" s="34" t="n">
        <f aca="false">CR$35*INDEX(Precio_O,15)*INDEX(IdxPrecio_O,1,MIN(10,CR$17))*(1+P_dPrecio)</f>
        <v>0</v>
      </c>
      <c r="CS60" s="34" t="n">
        <f aca="false">CS$35*INDEX(Precio_O,15)*INDEX(IdxPrecio_O,1,MIN(10,CS$17))*(1+P_dPrecio)</f>
        <v>0</v>
      </c>
      <c r="CT60" s="34" t="n">
        <f aca="false">CT$35*INDEX(Precio_O,15)*INDEX(IdxPrecio_O,1,MIN(10,CT$17))*(1+P_dPrecio)</f>
        <v>0</v>
      </c>
      <c r="CU60" s="34" t="n">
        <f aca="false">CU$35*INDEX(Precio_O,15)*INDEX(IdxPrecio_O,1,MIN(10,CU$17))*(1+P_dPrecio)</f>
        <v>0</v>
      </c>
      <c r="CV60" s="34" t="n">
        <f aca="false">CV$35*INDEX(Precio_O,15)*INDEX(IdxPrecio_O,1,MIN(10,CV$17))*(1+P_dPrecio)</f>
        <v>0</v>
      </c>
      <c r="CW60" s="34" t="n">
        <f aca="false">CW$35*INDEX(Precio_O,15)*INDEX(IdxPrecio_O,1,MIN(10,CW$17))*(1+P_dPrecio)</f>
        <v>0</v>
      </c>
      <c r="CX60" s="34" t="n">
        <f aca="false">CX$35*INDEX(Precio_O,15)*INDEX(IdxPrecio_O,1,MIN(10,CX$17))*(1+P_dPrecio)</f>
        <v>0</v>
      </c>
      <c r="CY60" s="34" t="n">
        <f aca="false">CY$35*INDEX(Precio_O,15)*INDEX(IdxPrecio_O,1,MIN(10,CY$17))*(1+P_dPrecio)</f>
        <v>0</v>
      </c>
      <c r="CZ60" s="34" t="n">
        <f aca="false">CZ$35*INDEX(Precio_O,15)*INDEX(IdxPrecio_O,1,MIN(10,CZ$17))*(1+P_dPrecio)</f>
        <v>0</v>
      </c>
      <c r="DA60" s="34" t="n">
        <f aca="false">DA$35*INDEX(Precio_O,15)*INDEX(IdxPrecio_O,1,MIN(10,DA$17))*(1+P_dPrecio)</f>
        <v>0</v>
      </c>
      <c r="DB60" s="34" t="n">
        <f aca="false">DB$35*INDEX(Precio_O,15)*INDEX(IdxPrecio_O,1,MIN(10,DB$17))*(1+P_dPrecio)</f>
        <v>0</v>
      </c>
      <c r="DC60" s="34" t="n">
        <f aca="false">DC$35*INDEX(Precio_O,15)*INDEX(IdxPrecio_O,1,MIN(10,DC$17))*(1+P_dPrecio)</f>
        <v>0</v>
      </c>
      <c r="DD60" s="34" t="n">
        <f aca="false">DD$35*INDEX(Precio_O,15)*INDEX(IdxPrecio_O,1,MIN(10,DD$17))*(1+P_dPrecio)</f>
        <v>0</v>
      </c>
      <c r="DE60" s="34" t="n">
        <f aca="false">DE$35*INDEX(Precio_O,15)*INDEX(IdxPrecio_O,1,MIN(10,DE$17))*(1+P_dPrecio)</f>
        <v>0</v>
      </c>
      <c r="DF60" s="34" t="n">
        <f aca="false">DF$35*INDEX(Precio_O,15)*INDEX(IdxPrecio_O,1,MIN(10,DF$17))*(1+P_dPrecio)</f>
        <v>0</v>
      </c>
      <c r="DG60" s="34" t="n">
        <f aca="false">DG$35*INDEX(Precio_O,15)*INDEX(IdxPrecio_O,1,MIN(10,DG$17))*(1+P_dPrecio)</f>
        <v>0</v>
      </c>
      <c r="DH60" s="34" t="n">
        <f aca="false">DH$35*INDEX(Precio_O,15)*INDEX(IdxPrecio_O,1,MIN(10,DH$17))*(1+P_dPrecio)</f>
        <v>0</v>
      </c>
      <c r="DI60" s="34" t="n">
        <f aca="false">DI$35*INDEX(Precio_O,15)*INDEX(IdxPrecio_O,1,MIN(10,DI$17))*(1+P_dPrecio)</f>
        <v>0</v>
      </c>
      <c r="DJ60" s="34" t="n">
        <f aca="false">DJ$35*INDEX(Precio_O,15)*INDEX(IdxPrecio_O,1,MIN(10,DJ$17))*(1+P_dPrecio)</f>
        <v>0</v>
      </c>
      <c r="DK60" s="34" t="n">
        <f aca="false">DK$35*INDEX(Precio_O,15)*INDEX(IdxPrecio_O,1,MIN(10,DK$17))*(1+P_dPrecio)</f>
        <v>0</v>
      </c>
      <c r="DL60" s="34" t="n">
        <f aca="false">DL$35*INDEX(Precio_O,15)*INDEX(IdxPrecio_O,1,MIN(10,DL$17))*(1+P_dPrecio)</f>
        <v>0</v>
      </c>
      <c r="DM60" s="34" t="n">
        <f aca="false">DM$35*INDEX(Precio_O,15)*INDEX(IdxPrecio_O,1,MIN(10,DM$17))*(1+P_dPrecio)</f>
        <v>0</v>
      </c>
      <c r="DN60" s="34" t="n">
        <f aca="false">DN$35*INDEX(Precio_O,15)*INDEX(IdxPrecio_O,1,MIN(10,DN$17))*(1+P_dPrecio)</f>
        <v>0</v>
      </c>
      <c r="DO60" s="34" t="n">
        <f aca="false">DO$35*INDEX(Precio_O,15)*INDEX(IdxPrecio_O,1,MIN(10,DO$17))*(1+P_dPrecio)</f>
        <v>0</v>
      </c>
      <c r="DP60" s="34" t="n">
        <f aca="false">DP$35*INDEX(Precio_O,15)*INDEX(IdxPrecio_O,1,MIN(10,DP$17))*(1+P_dPrecio)</f>
        <v>0</v>
      </c>
      <c r="DQ60" s="34" t="n">
        <f aca="false">DQ$35*INDEX(Precio_O,15)*INDEX(IdxPrecio_O,1,MIN(10,DQ$17))*(1+P_dPrecio)</f>
        <v>0</v>
      </c>
      <c r="DR60" s="34" t="n">
        <f aca="false">DR$35*INDEX(Precio_O,15)*INDEX(IdxPrecio_O,1,MIN(10,DR$17))*(1+P_dPrecio)</f>
        <v>0</v>
      </c>
      <c r="DS60" s="34" t="n">
        <f aca="false">DS$35*INDEX(Precio_O,15)*INDEX(IdxPrecio_O,1,MIN(10,DS$17))*(1+P_dPrecio)</f>
        <v>0</v>
      </c>
      <c r="DT60" s="34" t="n">
        <f aca="false">DT$35*INDEX(Precio_O,15)*INDEX(IdxPrecio_O,1,MIN(10,DT$17))*(1+P_dPrecio)</f>
        <v>0</v>
      </c>
      <c r="DU60" s="34" t="n">
        <f aca="false">DU$35*INDEX(Precio_O,15)*INDEX(IdxPrecio_O,1,MIN(10,DU$17))*(1+P_dPrecio)</f>
        <v>0</v>
      </c>
      <c r="DV60" s="34" t="n">
        <f aca="false">DV$35*INDEX(Precio_O,15)*INDEX(IdxPrecio_O,1,MIN(10,DV$17))*(1+P_dPrecio)</f>
        <v>0</v>
      </c>
      <c r="DW60" s="34" t="n">
        <f aca="false">DW$35*INDEX(Precio_O,15)*INDEX(IdxPrecio_O,1,MIN(10,DW$17))*(1+P_dPrecio)</f>
        <v>0</v>
      </c>
      <c r="DX60" s="34" t="n">
        <f aca="false">DX$35*INDEX(Precio_O,15)*INDEX(IdxPrecio_O,1,MIN(10,DX$17))*(1+P_dPrecio)</f>
        <v>0</v>
      </c>
      <c r="DY60" s="34" t="n">
        <f aca="false">DY$35*INDEX(Precio_O,15)*INDEX(IdxPrecio_O,1,MIN(10,DY$17))*(1+P_dPrecio)</f>
        <v>0</v>
      </c>
      <c r="DZ60" s="34" t="n">
        <f aca="false">DZ$35*INDEX(Precio_O,15)*INDEX(IdxPrecio_O,1,MIN(10,DZ$17))*(1+P_dPrecio)</f>
        <v>0</v>
      </c>
      <c r="EA60" s="34" t="n">
        <f aca="false">EA$35*INDEX(Precio_O,15)*INDEX(IdxPrecio_O,1,MIN(10,EA$17))*(1+P_dPrecio)</f>
        <v>0</v>
      </c>
      <c r="EB60" s="34" t="n">
        <f aca="false">EB$35*INDEX(Precio_O,15)*INDEX(IdxPrecio_O,1,MIN(10,EB$17))*(1+P_dPrecio)</f>
        <v>0</v>
      </c>
      <c r="EC60" s="34" t="n">
        <f aca="false">EC$35*INDEX(Precio_O,15)*INDEX(IdxPrecio_O,1,MIN(10,EC$17))*(1+P_dPrecio)</f>
        <v>0</v>
      </c>
      <c r="ED60" s="34" t="n">
        <f aca="false">ED$35*INDEX(Precio_O,15)*INDEX(IdxPrecio_O,1,MIN(10,ED$17))*(1+P_dPrecio)</f>
        <v>0</v>
      </c>
      <c r="EE60" s="34" t="n">
        <f aca="false">EE$35*INDEX(Precio_O,15)*INDEX(IdxPrecio_O,1,MIN(10,EE$17))*(1+P_dPrecio)</f>
        <v>0</v>
      </c>
      <c r="EF60" s="34" t="n">
        <f aca="false">EF$35*INDEX(Precio_O,15)*INDEX(IdxPrecio_O,1,MIN(10,EF$17))*(1+P_dPrecio)</f>
        <v>0</v>
      </c>
      <c r="EG60" s="34" t="n">
        <f aca="false">EG$35*INDEX(Precio_O,15)*INDEX(IdxPrecio_O,1,MIN(10,EG$17))*(1+P_dPrecio)</f>
        <v>0</v>
      </c>
      <c r="EH60" s="34" t="n">
        <f aca="false">EH$35*INDEX(Precio_O,15)*INDEX(IdxPrecio_O,1,MIN(10,EH$17))*(1+P_dPrecio)</f>
        <v>0</v>
      </c>
      <c r="EI60" s="34" t="n">
        <f aca="false">EI$35*INDEX(Precio_O,15)*INDEX(IdxPrecio_O,1,MIN(10,EI$17))*(1+P_dPrecio)</f>
        <v>0</v>
      </c>
      <c r="EJ60" s="34" t="n">
        <f aca="false">EJ$35*INDEX(Precio_O,15)*INDEX(IdxPrecio_O,1,MIN(10,EJ$17))*(1+P_dPrecio)</f>
        <v>0</v>
      </c>
      <c r="EK60" s="34" t="n">
        <f aca="false">EK$35*INDEX(Precio_O,15)*INDEX(IdxPrecio_O,1,MIN(10,EK$17))*(1+P_dPrecio)</f>
        <v>0</v>
      </c>
      <c r="EL60" s="34" t="n">
        <f aca="false">EL$35*INDEX(Precio_O,15)*INDEX(IdxPrecio_O,1,MIN(10,EL$17))*(1+P_dPrecio)</f>
        <v>0</v>
      </c>
      <c r="EM60" s="34" t="n">
        <f aca="false">EM$35*INDEX(Precio_O,15)*INDEX(IdxPrecio_O,1,MIN(10,EM$17))*(1+P_dPrecio)</f>
        <v>0</v>
      </c>
      <c r="EN60" s="34" t="n">
        <f aca="false">EN$35*INDEX(Precio_O,15)*INDEX(IdxPrecio_O,1,MIN(10,EN$17))*(1+P_dPrecio)</f>
        <v>0</v>
      </c>
      <c r="EO60" s="34" t="n">
        <f aca="false">EO$35*INDEX(Precio_O,15)*INDEX(IdxPrecio_O,1,MIN(10,EO$17))*(1+P_dPrecio)</f>
        <v>0</v>
      </c>
      <c r="EP60" s="34" t="n">
        <f aca="false">EP$35*INDEX(Precio_O,15)*INDEX(IdxPrecio_O,1,MIN(10,EP$17))*(1+P_dPrecio)</f>
        <v>0</v>
      </c>
      <c r="EQ60" s="34" t="n">
        <f aca="false">EQ$35*INDEX(Precio_O,15)*INDEX(IdxPrecio_O,1,MIN(10,EQ$17))*(1+P_dPrecio)</f>
        <v>0</v>
      </c>
      <c r="ER60" s="34" t="n">
        <f aca="false">ER$35*INDEX(Precio_O,15)*INDEX(IdxPrecio_O,1,MIN(10,ER$17))*(1+P_dPrecio)</f>
        <v>0</v>
      </c>
      <c r="ES60" s="34" t="n">
        <f aca="false">ES$35*INDEX(Precio_O,15)*INDEX(IdxPrecio_O,1,MIN(10,ES$17))*(1+P_dPrecio)</f>
        <v>0</v>
      </c>
    </row>
    <row r="61" customFormat="false" ht="15" hidden="false" customHeight="false" outlineLevel="0" collapsed="false">
      <c r="A61" s="2" t="s">
        <v>624</v>
      </c>
      <c r="B61" s="39" t="str">
        <f aca="false">IF(INDEX(Prod_Nombre,16)="","Producto 16",INDEX(Prod_Nombre,16))&amp;" — ventas USD"</f>
        <v>Producto 16 — ventas USD</v>
      </c>
      <c r="C61" s="6" t="s">
        <v>250</v>
      </c>
      <c r="E61" s="40" t="n">
        <f aca="false">SUM(F61:ES61)</f>
        <v>0</v>
      </c>
      <c r="F61" s="34" t="n">
        <f aca="false">F$36*INDEX(Precio_O,16)*INDEX(IdxPrecio_O,1,MIN(10,F$17))*(1+P_dPrecio)</f>
        <v>0</v>
      </c>
      <c r="G61" s="34" t="n">
        <f aca="false">G$36*INDEX(Precio_O,16)*INDEX(IdxPrecio_O,1,MIN(10,G$17))*(1+P_dPrecio)</f>
        <v>0</v>
      </c>
      <c r="H61" s="34" t="n">
        <f aca="false">H$36*INDEX(Precio_O,16)*INDEX(IdxPrecio_O,1,MIN(10,H$17))*(1+P_dPrecio)</f>
        <v>0</v>
      </c>
      <c r="I61" s="34" t="n">
        <f aca="false">I$36*INDEX(Precio_O,16)*INDEX(IdxPrecio_O,1,MIN(10,I$17))*(1+P_dPrecio)</f>
        <v>0</v>
      </c>
      <c r="J61" s="34" t="n">
        <f aca="false">J$36*INDEX(Precio_O,16)*INDEX(IdxPrecio_O,1,MIN(10,J$17))*(1+P_dPrecio)</f>
        <v>0</v>
      </c>
      <c r="K61" s="34" t="n">
        <f aca="false">K$36*INDEX(Precio_O,16)*INDEX(IdxPrecio_O,1,MIN(10,K$17))*(1+P_dPrecio)</f>
        <v>0</v>
      </c>
      <c r="L61" s="34" t="n">
        <f aca="false">L$36*INDEX(Precio_O,16)*INDEX(IdxPrecio_O,1,MIN(10,L$17))*(1+P_dPrecio)</f>
        <v>0</v>
      </c>
      <c r="M61" s="34" t="n">
        <f aca="false">M$36*INDEX(Precio_O,16)*INDEX(IdxPrecio_O,1,MIN(10,M$17))*(1+P_dPrecio)</f>
        <v>0</v>
      </c>
      <c r="N61" s="34" t="n">
        <f aca="false">N$36*INDEX(Precio_O,16)*INDEX(IdxPrecio_O,1,MIN(10,N$17))*(1+P_dPrecio)</f>
        <v>0</v>
      </c>
      <c r="O61" s="34" t="n">
        <f aca="false">O$36*INDEX(Precio_O,16)*INDEX(IdxPrecio_O,1,MIN(10,O$17))*(1+P_dPrecio)</f>
        <v>0</v>
      </c>
      <c r="P61" s="34" t="n">
        <f aca="false">P$36*INDEX(Precio_O,16)*INDEX(IdxPrecio_O,1,MIN(10,P$17))*(1+P_dPrecio)</f>
        <v>0</v>
      </c>
      <c r="Q61" s="34" t="n">
        <f aca="false">Q$36*INDEX(Precio_O,16)*INDEX(IdxPrecio_O,1,MIN(10,Q$17))*(1+P_dPrecio)</f>
        <v>0</v>
      </c>
      <c r="R61" s="34" t="n">
        <f aca="false">R$36*INDEX(Precio_O,16)*INDEX(IdxPrecio_O,1,MIN(10,R$17))*(1+P_dPrecio)</f>
        <v>0</v>
      </c>
      <c r="S61" s="34" t="n">
        <f aca="false">S$36*INDEX(Precio_O,16)*INDEX(IdxPrecio_O,1,MIN(10,S$17))*(1+P_dPrecio)</f>
        <v>0</v>
      </c>
      <c r="T61" s="34" t="n">
        <f aca="false">T$36*INDEX(Precio_O,16)*INDEX(IdxPrecio_O,1,MIN(10,T$17))*(1+P_dPrecio)</f>
        <v>0</v>
      </c>
      <c r="U61" s="34" t="n">
        <f aca="false">U$36*INDEX(Precio_O,16)*INDEX(IdxPrecio_O,1,MIN(10,U$17))*(1+P_dPrecio)</f>
        <v>0</v>
      </c>
      <c r="V61" s="34" t="n">
        <f aca="false">V$36*INDEX(Precio_O,16)*INDEX(IdxPrecio_O,1,MIN(10,V$17))*(1+P_dPrecio)</f>
        <v>0</v>
      </c>
      <c r="W61" s="34" t="n">
        <f aca="false">W$36*INDEX(Precio_O,16)*INDEX(IdxPrecio_O,1,MIN(10,W$17))*(1+P_dPrecio)</f>
        <v>0</v>
      </c>
      <c r="X61" s="34" t="n">
        <f aca="false">X$36*INDEX(Precio_O,16)*INDEX(IdxPrecio_O,1,MIN(10,X$17))*(1+P_dPrecio)</f>
        <v>0</v>
      </c>
      <c r="Y61" s="34" t="n">
        <f aca="false">Y$36*INDEX(Precio_O,16)*INDEX(IdxPrecio_O,1,MIN(10,Y$17))*(1+P_dPrecio)</f>
        <v>0</v>
      </c>
      <c r="Z61" s="34" t="n">
        <f aca="false">Z$36*INDEX(Precio_O,16)*INDEX(IdxPrecio_O,1,MIN(10,Z$17))*(1+P_dPrecio)</f>
        <v>0</v>
      </c>
      <c r="AA61" s="34" t="n">
        <f aca="false">AA$36*INDEX(Precio_O,16)*INDEX(IdxPrecio_O,1,MIN(10,AA$17))*(1+P_dPrecio)</f>
        <v>0</v>
      </c>
      <c r="AB61" s="34" t="n">
        <f aca="false">AB$36*INDEX(Precio_O,16)*INDEX(IdxPrecio_O,1,MIN(10,AB$17))*(1+P_dPrecio)</f>
        <v>0</v>
      </c>
      <c r="AC61" s="34" t="n">
        <f aca="false">AC$36*INDEX(Precio_O,16)*INDEX(IdxPrecio_O,1,MIN(10,AC$17))*(1+P_dPrecio)</f>
        <v>0</v>
      </c>
      <c r="AD61" s="34" t="n">
        <f aca="false">AD$36*INDEX(Precio_O,16)*INDEX(IdxPrecio_O,1,MIN(10,AD$17))*(1+P_dPrecio)</f>
        <v>0</v>
      </c>
      <c r="AE61" s="34" t="n">
        <f aca="false">AE$36*INDEX(Precio_O,16)*INDEX(IdxPrecio_O,1,MIN(10,AE$17))*(1+P_dPrecio)</f>
        <v>0</v>
      </c>
      <c r="AF61" s="34" t="n">
        <f aca="false">AF$36*INDEX(Precio_O,16)*INDEX(IdxPrecio_O,1,MIN(10,AF$17))*(1+P_dPrecio)</f>
        <v>0</v>
      </c>
      <c r="AG61" s="34" t="n">
        <f aca="false">AG$36*INDEX(Precio_O,16)*INDEX(IdxPrecio_O,1,MIN(10,AG$17))*(1+P_dPrecio)</f>
        <v>0</v>
      </c>
      <c r="AH61" s="34" t="n">
        <f aca="false">AH$36*INDEX(Precio_O,16)*INDEX(IdxPrecio_O,1,MIN(10,AH$17))*(1+P_dPrecio)</f>
        <v>0</v>
      </c>
      <c r="AI61" s="34" t="n">
        <f aca="false">AI$36*INDEX(Precio_O,16)*INDEX(IdxPrecio_O,1,MIN(10,AI$17))*(1+P_dPrecio)</f>
        <v>0</v>
      </c>
      <c r="AJ61" s="34" t="n">
        <f aca="false">AJ$36*INDEX(Precio_O,16)*INDEX(IdxPrecio_O,1,MIN(10,AJ$17))*(1+P_dPrecio)</f>
        <v>0</v>
      </c>
      <c r="AK61" s="34" t="n">
        <f aca="false">AK$36*INDEX(Precio_O,16)*INDEX(IdxPrecio_O,1,MIN(10,AK$17))*(1+P_dPrecio)</f>
        <v>0</v>
      </c>
      <c r="AL61" s="34" t="n">
        <f aca="false">AL$36*INDEX(Precio_O,16)*INDEX(IdxPrecio_O,1,MIN(10,AL$17))*(1+P_dPrecio)</f>
        <v>0</v>
      </c>
      <c r="AM61" s="34" t="n">
        <f aca="false">AM$36*INDEX(Precio_O,16)*INDEX(IdxPrecio_O,1,MIN(10,AM$17))*(1+P_dPrecio)</f>
        <v>0</v>
      </c>
      <c r="AN61" s="34" t="n">
        <f aca="false">AN$36*INDEX(Precio_O,16)*INDEX(IdxPrecio_O,1,MIN(10,AN$17))*(1+P_dPrecio)</f>
        <v>0</v>
      </c>
      <c r="AO61" s="34" t="n">
        <f aca="false">AO$36*INDEX(Precio_O,16)*INDEX(IdxPrecio_O,1,MIN(10,AO$17))*(1+P_dPrecio)</f>
        <v>0</v>
      </c>
      <c r="AP61" s="34" t="n">
        <f aca="false">AP$36*INDEX(Precio_O,16)*INDEX(IdxPrecio_O,1,MIN(10,AP$17))*(1+P_dPrecio)</f>
        <v>0</v>
      </c>
      <c r="AQ61" s="34" t="n">
        <f aca="false">AQ$36*INDEX(Precio_O,16)*INDEX(IdxPrecio_O,1,MIN(10,AQ$17))*(1+P_dPrecio)</f>
        <v>0</v>
      </c>
      <c r="AR61" s="34" t="n">
        <f aca="false">AR$36*INDEX(Precio_O,16)*INDEX(IdxPrecio_O,1,MIN(10,AR$17))*(1+P_dPrecio)</f>
        <v>0</v>
      </c>
      <c r="AS61" s="34" t="n">
        <f aca="false">AS$36*INDEX(Precio_O,16)*INDEX(IdxPrecio_O,1,MIN(10,AS$17))*(1+P_dPrecio)</f>
        <v>0</v>
      </c>
      <c r="AT61" s="34" t="n">
        <f aca="false">AT$36*INDEX(Precio_O,16)*INDEX(IdxPrecio_O,1,MIN(10,AT$17))*(1+P_dPrecio)</f>
        <v>0</v>
      </c>
      <c r="AU61" s="34" t="n">
        <f aca="false">AU$36*INDEX(Precio_O,16)*INDEX(IdxPrecio_O,1,MIN(10,AU$17))*(1+P_dPrecio)</f>
        <v>0</v>
      </c>
      <c r="AV61" s="34" t="n">
        <f aca="false">AV$36*INDEX(Precio_O,16)*INDEX(IdxPrecio_O,1,MIN(10,AV$17))*(1+P_dPrecio)</f>
        <v>0</v>
      </c>
      <c r="AW61" s="34" t="n">
        <f aca="false">AW$36*INDEX(Precio_O,16)*INDEX(IdxPrecio_O,1,MIN(10,AW$17))*(1+P_dPrecio)</f>
        <v>0</v>
      </c>
      <c r="AX61" s="34" t="n">
        <f aca="false">AX$36*INDEX(Precio_O,16)*INDEX(IdxPrecio_O,1,MIN(10,AX$17))*(1+P_dPrecio)</f>
        <v>0</v>
      </c>
      <c r="AY61" s="34" t="n">
        <f aca="false">AY$36*INDEX(Precio_O,16)*INDEX(IdxPrecio_O,1,MIN(10,AY$17))*(1+P_dPrecio)</f>
        <v>0</v>
      </c>
      <c r="AZ61" s="34" t="n">
        <f aca="false">AZ$36*INDEX(Precio_O,16)*INDEX(IdxPrecio_O,1,MIN(10,AZ$17))*(1+P_dPrecio)</f>
        <v>0</v>
      </c>
      <c r="BA61" s="34" t="n">
        <f aca="false">BA$36*INDEX(Precio_O,16)*INDEX(IdxPrecio_O,1,MIN(10,BA$17))*(1+P_dPrecio)</f>
        <v>0</v>
      </c>
      <c r="BB61" s="34" t="n">
        <f aca="false">BB$36*INDEX(Precio_O,16)*INDEX(IdxPrecio_O,1,MIN(10,BB$17))*(1+P_dPrecio)</f>
        <v>0</v>
      </c>
      <c r="BC61" s="34" t="n">
        <f aca="false">BC$36*INDEX(Precio_O,16)*INDEX(IdxPrecio_O,1,MIN(10,BC$17))*(1+P_dPrecio)</f>
        <v>0</v>
      </c>
      <c r="BD61" s="34" t="n">
        <f aca="false">BD$36*INDEX(Precio_O,16)*INDEX(IdxPrecio_O,1,MIN(10,BD$17))*(1+P_dPrecio)</f>
        <v>0</v>
      </c>
      <c r="BE61" s="34" t="n">
        <f aca="false">BE$36*INDEX(Precio_O,16)*INDEX(IdxPrecio_O,1,MIN(10,BE$17))*(1+P_dPrecio)</f>
        <v>0</v>
      </c>
      <c r="BF61" s="34" t="n">
        <f aca="false">BF$36*INDEX(Precio_O,16)*INDEX(IdxPrecio_O,1,MIN(10,BF$17))*(1+P_dPrecio)</f>
        <v>0</v>
      </c>
      <c r="BG61" s="34" t="n">
        <f aca="false">BG$36*INDEX(Precio_O,16)*INDEX(IdxPrecio_O,1,MIN(10,BG$17))*(1+P_dPrecio)</f>
        <v>0</v>
      </c>
      <c r="BH61" s="34" t="n">
        <f aca="false">BH$36*INDEX(Precio_O,16)*INDEX(IdxPrecio_O,1,MIN(10,BH$17))*(1+P_dPrecio)</f>
        <v>0</v>
      </c>
      <c r="BI61" s="34" t="n">
        <f aca="false">BI$36*INDEX(Precio_O,16)*INDEX(IdxPrecio_O,1,MIN(10,BI$17))*(1+P_dPrecio)</f>
        <v>0</v>
      </c>
      <c r="BJ61" s="34" t="n">
        <f aca="false">BJ$36*INDEX(Precio_O,16)*INDEX(IdxPrecio_O,1,MIN(10,BJ$17))*(1+P_dPrecio)</f>
        <v>0</v>
      </c>
      <c r="BK61" s="34" t="n">
        <f aca="false">BK$36*INDEX(Precio_O,16)*INDEX(IdxPrecio_O,1,MIN(10,BK$17))*(1+P_dPrecio)</f>
        <v>0</v>
      </c>
      <c r="BL61" s="34" t="n">
        <f aca="false">BL$36*INDEX(Precio_O,16)*INDEX(IdxPrecio_O,1,MIN(10,BL$17))*(1+P_dPrecio)</f>
        <v>0</v>
      </c>
      <c r="BM61" s="34" t="n">
        <f aca="false">BM$36*INDEX(Precio_O,16)*INDEX(IdxPrecio_O,1,MIN(10,BM$17))*(1+P_dPrecio)</f>
        <v>0</v>
      </c>
      <c r="BN61" s="34" t="n">
        <f aca="false">BN$36*INDEX(Precio_O,16)*INDEX(IdxPrecio_O,1,MIN(10,BN$17))*(1+P_dPrecio)</f>
        <v>0</v>
      </c>
      <c r="BO61" s="34" t="n">
        <f aca="false">BO$36*INDEX(Precio_O,16)*INDEX(IdxPrecio_O,1,MIN(10,BO$17))*(1+P_dPrecio)</f>
        <v>0</v>
      </c>
      <c r="BP61" s="34" t="n">
        <f aca="false">BP$36*INDEX(Precio_O,16)*INDEX(IdxPrecio_O,1,MIN(10,BP$17))*(1+P_dPrecio)</f>
        <v>0</v>
      </c>
      <c r="BQ61" s="34" t="n">
        <f aca="false">BQ$36*INDEX(Precio_O,16)*INDEX(IdxPrecio_O,1,MIN(10,BQ$17))*(1+P_dPrecio)</f>
        <v>0</v>
      </c>
      <c r="BR61" s="34" t="n">
        <f aca="false">BR$36*INDEX(Precio_O,16)*INDEX(IdxPrecio_O,1,MIN(10,BR$17))*(1+P_dPrecio)</f>
        <v>0</v>
      </c>
      <c r="BS61" s="34" t="n">
        <f aca="false">BS$36*INDEX(Precio_O,16)*INDEX(IdxPrecio_O,1,MIN(10,BS$17))*(1+P_dPrecio)</f>
        <v>0</v>
      </c>
      <c r="BT61" s="34" t="n">
        <f aca="false">BT$36*INDEX(Precio_O,16)*INDEX(IdxPrecio_O,1,MIN(10,BT$17))*(1+P_dPrecio)</f>
        <v>0</v>
      </c>
      <c r="BU61" s="34" t="n">
        <f aca="false">BU$36*INDEX(Precio_O,16)*INDEX(IdxPrecio_O,1,MIN(10,BU$17))*(1+P_dPrecio)</f>
        <v>0</v>
      </c>
      <c r="BV61" s="34" t="n">
        <f aca="false">BV$36*INDEX(Precio_O,16)*INDEX(IdxPrecio_O,1,MIN(10,BV$17))*(1+P_dPrecio)</f>
        <v>0</v>
      </c>
      <c r="BW61" s="34" t="n">
        <f aca="false">BW$36*INDEX(Precio_O,16)*INDEX(IdxPrecio_O,1,MIN(10,BW$17))*(1+P_dPrecio)</f>
        <v>0</v>
      </c>
      <c r="BX61" s="34" t="n">
        <f aca="false">BX$36*INDEX(Precio_O,16)*INDEX(IdxPrecio_O,1,MIN(10,BX$17))*(1+P_dPrecio)</f>
        <v>0</v>
      </c>
      <c r="BY61" s="34" t="n">
        <f aca="false">BY$36*INDEX(Precio_O,16)*INDEX(IdxPrecio_O,1,MIN(10,BY$17))*(1+P_dPrecio)</f>
        <v>0</v>
      </c>
      <c r="BZ61" s="34" t="n">
        <f aca="false">BZ$36*INDEX(Precio_O,16)*INDEX(IdxPrecio_O,1,MIN(10,BZ$17))*(1+P_dPrecio)</f>
        <v>0</v>
      </c>
      <c r="CA61" s="34" t="n">
        <f aca="false">CA$36*INDEX(Precio_O,16)*INDEX(IdxPrecio_O,1,MIN(10,CA$17))*(1+P_dPrecio)</f>
        <v>0</v>
      </c>
      <c r="CB61" s="34" t="n">
        <f aca="false">CB$36*INDEX(Precio_O,16)*INDEX(IdxPrecio_O,1,MIN(10,CB$17))*(1+P_dPrecio)</f>
        <v>0</v>
      </c>
      <c r="CC61" s="34" t="n">
        <f aca="false">CC$36*INDEX(Precio_O,16)*INDEX(IdxPrecio_O,1,MIN(10,CC$17))*(1+P_dPrecio)</f>
        <v>0</v>
      </c>
      <c r="CD61" s="34" t="n">
        <f aca="false">CD$36*INDEX(Precio_O,16)*INDEX(IdxPrecio_O,1,MIN(10,CD$17))*(1+P_dPrecio)</f>
        <v>0</v>
      </c>
      <c r="CE61" s="34" t="n">
        <f aca="false">CE$36*INDEX(Precio_O,16)*INDEX(IdxPrecio_O,1,MIN(10,CE$17))*(1+P_dPrecio)</f>
        <v>0</v>
      </c>
      <c r="CF61" s="34" t="n">
        <f aca="false">CF$36*INDEX(Precio_O,16)*INDEX(IdxPrecio_O,1,MIN(10,CF$17))*(1+P_dPrecio)</f>
        <v>0</v>
      </c>
      <c r="CG61" s="34" t="n">
        <f aca="false">CG$36*INDEX(Precio_O,16)*INDEX(IdxPrecio_O,1,MIN(10,CG$17))*(1+P_dPrecio)</f>
        <v>0</v>
      </c>
      <c r="CH61" s="34" t="n">
        <f aca="false">CH$36*INDEX(Precio_O,16)*INDEX(IdxPrecio_O,1,MIN(10,CH$17))*(1+P_dPrecio)</f>
        <v>0</v>
      </c>
      <c r="CI61" s="34" t="n">
        <f aca="false">CI$36*INDEX(Precio_O,16)*INDEX(IdxPrecio_O,1,MIN(10,CI$17))*(1+P_dPrecio)</f>
        <v>0</v>
      </c>
      <c r="CJ61" s="34" t="n">
        <f aca="false">CJ$36*INDEX(Precio_O,16)*INDEX(IdxPrecio_O,1,MIN(10,CJ$17))*(1+P_dPrecio)</f>
        <v>0</v>
      </c>
      <c r="CK61" s="34" t="n">
        <f aca="false">CK$36*INDEX(Precio_O,16)*INDEX(IdxPrecio_O,1,MIN(10,CK$17))*(1+P_dPrecio)</f>
        <v>0</v>
      </c>
      <c r="CL61" s="34" t="n">
        <f aca="false">CL$36*INDEX(Precio_O,16)*INDEX(IdxPrecio_O,1,MIN(10,CL$17))*(1+P_dPrecio)</f>
        <v>0</v>
      </c>
      <c r="CM61" s="34" t="n">
        <f aca="false">CM$36*INDEX(Precio_O,16)*INDEX(IdxPrecio_O,1,MIN(10,CM$17))*(1+P_dPrecio)</f>
        <v>0</v>
      </c>
      <c r="CN61" s="34" t="n">
        <f aca="false">CN$36*INDEX(Precio_O,16)*INDEX(IdxPrecio_O,1,MIN(10,CN$17))*(1+P_dPrecio)</f>
        <v>0</v>
      </c>
      <c r="CO61" s="34" t="n">
        <f aca="false">CO$36*INDEX(Precio_O,16)*INDEX(IdxPrecio_O,1,MIN(10,CO$17))*(1+P_dPrecio)</f>
        <v>0</v>
      </c>
      <c r="CP61" s="34" t="n">
        <f aca="false">CP$36*INDEX(Precio_O,16)*INDEX(IdxPrecio_O,1,MIN(10,CP$17))*(1+P_dPrecio)</f>
        <v>0</v>
      </c>
      <c r="CQ61" s="34" t="n">
        <f aca="false">CQ$36*INDEX(Precio_O,16)*INDEX(IdxPrecio_O,1,MIN(10,CQ$17))*(1+P_dPrecio)</f>
        <v>0</v>
      </c>
      <c r="CR61" s="34" t="n">
        <f aca="false">CR$36*INDEX(Precio_O,16)*INDEX(IdxPrecio_O,1,MIN(10,CR$17))*(1+P_dPrecio)</f>
        <v>0</v>
      </c>
      <c r="CS61" s="34" t="n">
        <f aca="false">CS$36*INDEX(Precio_O,16)*INDEX(IdxPrecio_O,1,MIN(10,CS$17))*(1+P_dPrecio)</f>
        <v>0</v>
      </c>
      <c r="CT61" s="34" t="n">
        <f aca="false">CT$36*INDEX(Precio_O,16)*INDEX(IdxPrecio_O,1,MIN(10,CT$17))*(1+P_dPrecio)</f>
        <v>0</v>
      </c>
      <c r="CU61" s="34" t="n">
        <f aca="false">CU$36*INDEX(Precio_O,16)*INDEX(IdxPrecio_O,1,MIN(10,CU$17))*(1+P_dPrecio)</f>
        <v>0</v>
      </c>
      <c r="CV61" s="34" t="n">
        <f aca="false">CV$36*INDEX(Precio_O,16)*INDEX(IdxPrecio_O,1,MIN(10,CV$17))*(1+P_dPrecio)</f>
        <v>0</v>
      </c>
      <c r="CW61" s="34" t="n">
        <f aca="false">CW$36*INDEX(Precio_O,16)*INDEX(IdxPrecio_O,1,MIN(10,CW$17))*(1+P_dPrecio)</f>
        <v>0</v>
      </c>
      <c r="CX61" s="34" t="n">
        <f aca="false">CX$36*INDEX(Precio_O,16)*INDEX(IdxPrecio_O,1,MIN(10,CX$17))*(1+P_dPrecio)</f>
        <v>0</v>
      </c>
      <c r="CY61" s="34" t="n">
        <f aca="false">CY$36*INDEX(Precio_O,16)*INDEX(IdxPrecio_O,1,MIN(10,CY$17))*(1+P_dPrecio)</f>
        <v>0</v>
      </c>
      <c r="CZ61" s="34" t="n">
        <f aca="false">CZ$36*INDEX(Precio_O,16)*INDEX(IdxPrecio_O,1,MIN(10,CZ$17))*(1+P_dPrecio)</f>
        <v>0</v>
      </c>
      <c r="DA61" s="34" t="n">
        <f aca="false">DA$36*INDEX(Precio_O,16)*INDEX(IdxPrecio_O,1,MIN(10,DA$17))*(1+P_dPrecio)</f>
        <v>0</v>
      </c>
      <c r="DB61" s="34" t="n">
        <f aca="false">DB$36*INDEX(Precio_O,16)*INDEX(IdxPrecio_O,1,MIN(10,DB$17))*(1+P_dPrecio)</f>
        <v>0</v>
      </c>
      <c r="DC61" s="34" t="n">
        <f aca="false">DC$36*INDEX(Precio_O,16)*INDEX(IdxPrecio_O,1,MIN(10,DC$17))*(1+P_dPrecio)</f>
        <v>0</v>
      </c>
      <c r="DD61" s="34" t="n">
        <f aca="false">DD$36*INDEX(Precio_O,16)*INDEX(IdxPrecio_O,1,MIN(10,DD$17))*(1+P_dPrecio)</f>
        <v>0</v>
      </c>
      <c r="DE61" s="34" t="n">
        <f aca="false">DE$36*INDEX(Precio_O,16)*INDEX(IdxPrecio_O,1,MIN(10,DE$17))*(1+P_dPrecio)</f>
        <v>0</v>
      </c>
      <c r="DF61" s="34" t="n">
        <f aca="false">DF$36*INDEX(Precio_O,16)*INDEX(IdxPrecio_O,1,MIN(10,DF$17))*(1+P_dPrecio)</f>
        <v>0</v>
      </c>
      <c r="DG61" s="34" t="n">
        <f aca="false">DG$36*INDEX(Precio_O,16)*INDEX(IdxPrecio_O,1,MIN(10,DG$17))*(1+P_dPrecio)</f>
        <v>0</v>
      </c>
      <c r="DH61" s="34" t="n">
        <f aca="false">DH$36*INDEX(Precio_O,16)*INDEX(IdxPrecio_O,1,MIN(10,DH$17))*(1+P_dPrecio)</f>
        <v>0</v>
      </c>
      <c r="DI61" s="34" t="n">
        <f aca="false">DI$36*INDEX(Precio_O,16)*INDEX(IdxPrecio_O,1,MIN(10,DI$17))*(1+P_dPrecio)</f>
        <v>0</v>
      </c>
      <c r="DJ61" s="34" t="n">
        <f aca="false">DJ$36*INDEX(Precio_O,16)*INDEX(IdxPrecio_O,1,MIN(10,DJ$17))*(1+P_dPrecio)</f>
        <v>0</v>
      </c>
      <c r="DK61" s="34" t="n">
        <f aca="false">DK$36*INDEX(Precio_O,16)*INDEX(IdxPrecio_O,1,MIN(10,DK$17))*(1+P_dPrecio)</f>
        <v>0</v>
      </c>
      <c r="DL61" s="34" t="n">
        <f aca="false">DL$36*INDEX(Precio_O,16)*INDEX(IdxPrecio_O,1,MIN(10,DL$17))*(1+P_dPrecio)</f>
        <v>0</v>
      </c>
      <c r="DM61" s="34" t="n">
        <f aca="false">DM$36*INDEX(Precio_O,16)*INDEX(IdxPrecio_O,1,MIN(10,DM$17))*(1+P_dPrecio)</f>
        <v>0</v>
      </c>
      <c r="DN61" s="34" t="n">
        <f aca="false">DN$36*INDEX(Precio_O,16)*INDEX(IdxPrecio_O,1,MIN(10,DN$17))*(1+P_dPrecio)</f>
        <v>0</v>
      </c>
      <c r="DO61" s="34" t="n">
        <f aca="false">DO$36*INDEX(Precio_O,16)*INDEX(IdxPrecio_O,1,MIN(10,DO$17))*(1+P_dPrecio)</f>
        <v>0</v>
      </c>
      <c r="DP61" s="34" t="n">
        <f aca="false">DP$36*INDEX(Precio_O,16)*INDEX(IdxPrecio_O,1,MIN(10,DP$17))*(1+P_dPrecio)</f>
        <v>0</v>
      </c>
      <c r="DQ61" s="34" t="n">
        <f aca="false">DQ$36*INDEX(Precio_O,16)*INDEX(IdxPrecio_O,1,MIN(10,DQ$17))*(1+P_dPrecio)</f>
        <v>0</v>
      </c>
      <c r="DR61" s="34" t="n">
        <f aca="false">DR$36*INDEX(Precio_O,16)*INDEX(IdxPrecio_O,1,MIN(10,DR$17))*(1+P_dPrecio)</f>
        <v>0</v>
      </c>
      <c r="DS61" s="34" t="n">
        <f aca="false">DS$36*INDEX(Precio_O,16)*INDEX(IdxPrecio_O,1,MIN(10,DS$17))*(1+P_dPrecio)</f>
        <v>0</v>
      </c>
      <c r="DT61" s="34" t="n">
        <f aca="false">DT$36*INDEX(Precio_O,16)*INDEX(IdxPrecio_O,1,MIN(10,DT$17))*(1+P_dPrecio)</f>
        <v>0</v>
      </c>
      <c r="DU61" s="34" t="n">
        <f aca="false">DU$36*INDEX(Precio_O,16)*INDEX(IdxPrecio_O,1,MIN(10,DU$17))*(1+P_dPrecio)</f>
        <v>0</v>
      </c>
      <c r="DV61" s="34" t="n">
        <f aca="false">DV$36*INDEX(Precio_O,16)*INDEX(IdxPrecio_O,1,MIN(10,DV$17))*(1+P_dPrecio)</f>
        <v>0</v>
      </c>
      <c r="DW61" s="34" t="n">
        <f aca="false">DW$36*INDEX(Precio_O,16)*INDEX(IdxPrecio_O,1,MIN(10,DW$17))*(1+P_dPrecio)</f>
        <v>0</v>
      </c>
      <c r="DX61" s="34" t="n">
        <f aca="false">DX$36*INDEX(Precio_O,16)*INDEX(IdxPrecio_O,1,MIN(10,DX$17))*(1+P_dPrecio)</f>
        <v>0</v>
      </c>
      <c r="DY61" s="34" t="n">
        <f aca="false">DY$36*INDEX(Precio_O,16)*INDEX(IdxPrecio_O,1,MIN(10,DY$17))*(1+P_dPrecio)</f>
        <v>0</v>
      </c>
      <c r="DZ61" s="34" t="n">
        <f aca="false">DZ$36*INDEX(Precio_O,16)*INDEX(IdxPrecio_O,1,MIN(10,DZ$17))*(1+P_dPrecio)</f>
        <v>0</v>
      </c>
      <c r="EA61" s="34" t="n">
        <f aca="false">EA$36*INDEX(Precio_O,16)*INDEX(IdxPrecio_O,1,MIN(10,EA$17))*(1+P_dPrecio)</f>
        <v>0</v>
      </c>
      <c r="EB61" s="34" t="n">
        <f aca="false">EB$36*INDEX(Precio_O,16)*INDEX(IdxPrecio_O,1,MIN(10,EB$17))*(1+P_dPrecio)</f>
        <v>0</v>
      </c>
      <c r="EC61" s="34" t="n">
        <f aca="false">EC$36*INDEX(Precio_O,16)*INDEX(IdxPrecio_O,1,MIN(10,EC$17))*(1+P_dPrecio)</f>
        <v>0</v>
      </c>
      <c r="ED61" s="34" t="n">
        <f aca="false">ED$36*INDEX(Precio_O,16)*INDEX(IdxPrecio_O,1,MIN(10,ED$17))*(1+P_dPrecio)</f>
        <v>0</v>
      </c>
      <c r="EE61" s="34" t="n">
        <f aca="false">EE$36*INDEX(Precio_O,16)*INDEX(IdxPrecio_O,1,MIN(10,EE$17))*(1+P_dPrecio)</f>
        <v>0</v>
      </c>
      <c r="EF61" s="34" t="n">
        <f aca="false">EF$36*INDEX(Precio_O,16)*INDEX(IdxPrecio_O,1,MIN(10,EF$17))*(1+P_dPrecio)</f>
        <v>0</v>
      </c>
      <c r="EG61" s="34" t="n">
        <f aca="false">EG$36*INDEX(Precio_O,16)*INDEX(IdxPrecio_O,1,MIN(10,EG$17))*(1+P_dPrecio)</f>
        <v>0</v>
      </c>
      <c r="EH61" s="34" t="n">
        <f aca="false">EH$36*INDEX(Precio_O,16)*INDEX(IdxPrecio_O,1,MIN(10,EH$17))*(1+P_dPrecio)</f>
        <v>0</v>
      </c>
      <c r="EI61" s="34" t="n">
        <f aca="false">EI$36*INDEX(Precio_O,16)*INDEX(IdxPrecio_O,1,MIN(10,EI$17))*(1+P_dPrecio)</f>
        <v>0</v>
      </c>
      <c r="EJ61" s="34" t="n">
        <f aca="false">EJ$36*INDEX(Precio_O,16)*INDEX(IdxPrecio_O,1,MIN(10,EJ$17))*(1+P_dPrecio)</f>
        <v>0</v>
      </c>
      <c r="EK61" s="34" t="n">
        <f aca="false">EK$36*INDEX(Precio_O,16)*INDEX(IdxPrecio_O,1,MIN(10,EK$17))*(1+P_dPrecio)</f>
        <v>0</v>
      </c>
      <c r="EL61" s="34" t="n">
        <f aca="false">EL$36*INDEX(Precio_O,16)*INDEX(IdxPrecio_O,1,MIN(10,EL$17))*(1+P_dPrecio)</f>
        <v>0</v>
      </c>
      <c r="EM61" s="34" t="n">
        <f aca="false">EM$36*INDEX(Precio_O,16)*INDEX(IdxPrecio_O,1,MIN(10,EM$17))*(1+P_dPrecio)</f>
        <v>0</v>
      </c>
      <c r="EN61" s="34" t="n">
        <f aca="false">EN$36*INDEX(Precio_O,16)*INDEX(IdxPrecio_O,1,MIN(10,EN$17))*(1+P_dPrecio)</f>
        <v>0</v>
      </c>
      <c r="EO61" s="34" t="n">
        <f aca="false">EO$36*INDEX(Precio_O,16)*INDEX(IdxPrecio_O,1,MIN(10,EO$17))*(1+P_dPrecio)</f>
        <v>0</v>
      </c>
      <c r="EP61" s="34" t="n">
        <f aca="false">EP$36*INDEX(Precio_O,16)*INDEX(IdxPrecio_O,1,MIN(10,EP$17))*(1+P_dPrecio)</f>
        <v>0</v>
      </c>
      <c r="EQ61" s="34" t="n">
        <f aca="false">EQ$36*INDEX(Precio_O,16)*INDEX(IdxPrecio_O,1,MIN(10,EQ$17))*(1+P_dPrecio)</f>
        <v>0</v>
      </c>
      <c r="ER61" s="34" t="n">
        <f aca="false">ER$36*INDEX(Precio_O,16)*INDEX(IdxPrecio_O,1,MIN(10,ER$17))*(1+P_dPrecio)</f>
        <v>0</v>
      </c>
      <c r="ES61" s="34" t="n">
        <f aca="false">ES$36*INDEX(Precio_O,16)*INDEX(IdxPrecio_O,1,MIN(10,ES$17))*(1+P_dPrecio)</f>
        <v>0</v>
      </c>
    </row>
    <row r="62" customFormat="false" ht="15" hidden="false" customHeight="false" outlineLevel="0" collapsed="false">
      <c r="A62" s="2" t="s">
        <v>625</v>
      </c>
      <c r="B62" s="39" t="str">
        <f aca="false">IF(INDEX(Prod_Nombre,17)="","Producto 17",INDEX(Prod_Nombre,17))&amp;" — ventas USD"</f>
        <v>Producto 17 — ventas USD</v>
      </c>
      <c r="C62" s="6" t="s">
        <v>250</v>
      </c>
      <c r="E62" s="40" t="n">
        <f aca="false">SUM(F62:ES62)</f>
        <v>0</v>
      </c>
      <c r="F62" s="34" t="n">
        <f aca="false">F$37*INDEX(Precio_O,17)*INDEX(IdxPrecio_O,1,MIN(10,F$17))*(1+P_dPrecio)</f>
        <v>0</v>
      </c>
      <c r="G62" s="34" t="n">
        <f aca="false">G$37*INDEX(Precio_O,17)*INDEX(IdxPrecio_O,1,MIN(10,G$17))*(1+P_dPrecio)</f>
        <v>0</v>
      </c>
      <c r="H62" s="34" t="n">
        <f aca="false">H$37*INDEX(Precio_O,17)*INDEX(IdxPrecio_O,1,MIN(10,H$17))*(1+P_dPrecio)</f>
        <v>0</v>
      </c>
      <c r="I62" s="34" t="n">
        <f aca="false">I$37*INDEX(Precio_O,17)*INDEX(IdxPrecio_O,1,MIN(10,I$17))*(1+P_dPrecio)</f>
        <v>0</v>
      </c>
      <c r="J62" s="34" t="n">
        <f aca="false">J$37*INDEX(Precio_O,17)*INDEX(IdxPrecio_O,1,MIN(10,J$17))*(1+P_dPrecio)</f>
        <v>0</v>
      </c>
      <c r="K62" s="34" t="n">
        <f aca="false">K$37*INDEX(Precio_O,17)*INDEX(IdxPrecio_O,1,MIN(10,K$17))*(1+P_dPrecio)</f>
        <v>0</v>
      </c>
      <c r="L62" s="34" t="n">
        <f aca="false">L$37*INDEX(Precio_O,17)*INDEX(IdxPrecio_O,1,MIN(10,L$17))*(1+P_dPrecio)</f>
        <v>0</v>
      </c>
      <c r="M62" s="34" t="n">
        <f aca="false">M$37*INDEX(Precio_O,17)*INDEX(IdxPrecio_O,1,MIN(10,M$17))*(1+P_dPrecio)</f>
        <v>0</v>
      </c>
      <c r="N62" s="34" t="n">
        <f aca="false">N$37*INDEX(Precio_O,17)*INDEX(IdxPrecio_O,1,MIN(10,N$17))*(1+P_dPrecio)</f>
        <v>0</v>
      </c>
      <c r="O62" s="34" t="n">
        <f aca="false">O$37*INDEX(Precio_O,17)*INDEX(IdxPrecio_O,1,MIN(10,O$17))*(1+P_dPrecio)</f>
        <v>0</v>
      </c>
      <c r="P62" s="34" t="n">
        <f aca="false">P$37*INDEX(Precio_O,17)*INDEX(IdxPrecio_O,1,MIN(10,P$17))*(1+P_dPrecio)</f>
        <v>0</v>
      </c>
      <c r="Q62" s="34" t="n">
        <f aca="false">Q$37*INDEX(Precio_O,17)*INDEX(IdxPrecio_O,1,MIN(10,Q$17))*(1+P_dPrecio)</f>
        <v>0</v>
      </c>
      <c r="R62" s="34" t="n">
        <f aca="false">R$37*INDEX(Precio_O,17)*INDEX(IdxPrecio_O,1,MIN(10,R$17))*(1+P_dPrecio)</f>
        <v>0</v>
      </c>
      <c r="S62" s="34" t="n">
        <f aca="false">S$37*INDEX(Precio_O,17)*INDEX(IdxPrecio_O,1,MIN(10,S$17))*(1+P_dPrecio)</f>
        <v>0</v>
      </c>
      <c r="T62" s="34" t="n">
        <f aca="false">T$37*INDEX(Precio_O,17)*INDEX(IdxPrecio_O,1,MIN(10,T$17))*(1+P_dPrecio)</f>
        <v>0</v>
      </c>
      <c r="U62" s="34" t="n">
        <f aca="false">U$37*INDEX(Precio_O,17)*INDEX(IdxPrecio_O,1,MIN(10,U$17))*(1+P_dPrecio)</f>
        <v>0</v>
      </c>
      <c r="V62" s="34" t="n">
        <f aca="false">V$37*INDEX(Precio_O,17)*INDEX(IdxPrecio_O,1,MIN(10,V$17))*(1+P_dPrecio)</f>
        <v>0</v>
      </c>
      <c r="W62" s="34" t="n">
        <f aca="false">W$37*INDEX(Precio_O,17)*INDEX(IdxPrecio_O,1,MIN(10,W$17))*(1+P_dPrecio)</f>
        <v>0</v>
      </c>
      <c r="X62" s="34" t="n">
        <f aca="false">X$37*INDEX(Precio_O,17)*INDEX(IdxPrecio_O,1,MIN(10,X$17))*(1+P_dPrecio)</f>
        <v>0</v>
      </c>
      <c r="Y62" s="34" t="n">
        <f aca="false">Y$37*INDEX(Precio_O,17)*INDEX(IdxPrecio_O,1,MIN(10,Y$17))*(1+P_dPrecio)</f>
        <v>0</v>
      </c>
      <c r="Z62" s="34" t="n">
        <f aca="false">Z$37*INDEX(Precio_O,17)*INDEX(IdxPrecio_O,1,MIN(10,Z$17))*(1+P_dPrecio)</f>
        <v>0</v>
      </c>
      <c r="AA62" s="34" t="n">
        <f aca="false">AA$37*INDEX(Precio_O,17)*INDEX(IdxPrecio_O,1,MIN(10,AA$17))*(1+P_dPrecio)</f>
        <v>0</v>
      </c>
      <c r="AB62" s="34" t="n">
        <f aca="false">AB$37*INDEX(Precio_O,17)*INDEX(IdxPrecio_O,1,MIN(10,AB$17))*(1+P_dPrecio)</f>
        <v>0</v>
      </c>
      <c r="AC62" s="34" t="n">
        <f aca="false">AC$37*INDEX(Precio_O,17)*INDEX(IdxPrecio_O,1,MIN(10,AC$17))*(1+P_dPrecio)</f>
        <v>0</v>
      </c>
      <c r="AD62" s="34" t="n">
        <f aca="false">AD$37*INDEX(Precio_O,17)*INDEX(IdxPrecio_O,1,MIN(10,AD$17))*(1+P_dPrecio)</f>
        <v>0</v>
      </c>
      <c r="AE62" s="34" t="n">
        <f aca="false">AE$37*INDEX(Precio_O,17)*INDEX(IdxPrecio_O,1,MIN(10,AE$17))*(1+P_dPrecio)</f>
        <v>0</v>
      </c>
      <c r="AF62" s="34" t="n">
        <f aca="false">AF$37*INDEX(Precio_O,17)*INDEX(IdxPrecio_O,1,MIN(10,AF$17))*(1+P_dPrecio)</f>
        <v>0</v>
      </c>
      <c r="AG62" s="34" t="n">
        <f aca="false">AG$37*INDEX(Precio_O,17)*INDEX(IdxPrecio_O,1,MIN(10,AG$17))*(1+P_dPrecio)</f>
        <v>0</v>
      </c>
      <c r="AH62" s="34" t="n">
        <f aca="false">AH$37*INDEX(Precio_O,17)*INDEX(IdxPrecio_O,1,MIN(10,AH$17))*(1+P_dPrecio)</f>
        <v>0</v>
      </c>
      <c r="AI62" s="34" t="n">
        <f aca="false">AI$37*INDEX(Precio_O,17)*INDEX(IdxPrecio_O,1,MIN(10,AI$17))*(1+P_dPrecio)</f>
        <v>0</v>
      </c>
      <c r="AJ62" s="34" t="n">
        <f aca="false">AJ$37*INDEX(Precio_O,17)*INDEX(IdxPrecio_O,1,MIN(10,AJ$17))*(1+P_dPrecio)</f>
        <v>0</v>
      </c>
      <c r="AK62" s="34" t="n">
        <f aca="false">AK$37*INDEX(Precio_O,17)*INDEX(IdxPrecio_O,1,MIN(10,AK$17))*(1+P_dPrecio)</f>
        <v>0</v>
      </c>
      <c r="AL62" s="34" t="n">
        <f aca="false">AL$37*INDEX(Precio_O,17)*INDEX(IdxPrecio_O,1,MIN(10,AL$17))*(1+P_dPrecio)</f>
        <v>0</v>
      </c>
      <c r="AM62" s="34" t="n">
        <f aca="false">AM$37*INDEX(Precio_O,17)*INDEX(IdxPrecio_O,1,MIN(10,AM$17))*(1+P_dPrecio)</f>
        <v>0</v>
      </c>
      <c r="AN62" s="34" t="n">
        <f aca="false">AN$37*INDEX(Precio_O,17)*INDEX(IdxPrecio_O,1,MIN(10,AN$17))*(1+P_dPrecio)</f>
        <v>0</v>
      </c>
      <c r="AO62" s="34" t="n">
        <f aca="false">AO$37*INDEX(Precio_O,17)*INDEX(IdxPrecio_O,1,MIN(10,AO$17))*(1+P_dPrecio)</f>
        <v>0</v>
      </c>
      <c r="AP62" s="34" t="n">
        <f aca="false">AP$37*INDEX(Precio_O,17)*INDEX(IdxPrecio_O,1,MIN(10,AP$17))*(1+P_dPrecio)</f>
        <v>0</v>
      </c>
      <c r="AQ62" s="34" t="n">
        <f aca="false">AQ$37*INDEX(Precio_O,17)*INDEX(IdxPrecio_O,1,MIN(10,AQ$17))*(1+P_dPrecio)</f>
        <v>0</v>
      </c>
      <c r="AR62" s="34" t="n">
        <f aca="false">AR$37*INDEX(Precio_O,17)*INDEX(IdxPrecio_O,1,MIN(10,AR$17))*(1+P_dPrecio)</f>
        <v>0</v>
      </c>
      <c r="AS62" s="34" t="n">
        <f aca="false">AS$37*INDEX(Precio_O,17)*INDEX(IdxPrecio_O,1,MIN(10,AS$17))*(1+P_dPrecio)</f>
        <v>0</v>
      </c>
      <c r="AT62" s="34" t="n">
        <f aca="false">AT$37*INDEX(Precio_O,17)*INDEX(IdxPrecio_O,1,MIN(10,AT$17))*(1+P_dPrecio)</f>
        <v>0</v>
      </c>
      <c r="AU62" s="34" t="n">
        <f aca="false">AU$37*INDEX(Precio_O,17)*INDEX(IdxPrecio_O,1,MIN(10,AU$17))*(1+P_dPrecio)</f>
        <v>0</v>
      </c>
      <c r="AV62" s="34" t="n">
        <f aca="false">AV$37*INDEX(Precio_O,17)*INDEX(IdxPrecio_O,1,MIN(10,AV$17))*(1+P_dPrecio)</f>
        <v>0</v>
      </c>
      <c r="AW62" s="34" t="n">
        <f aca="false">AW$37*INDEX(Precio_O,17)*INDEX(IdxPrecio_O,1,MIN(10,AW$17))*(1+P_dPrecio)</f>
        <v>0</v>
      </c>
      <c r="AX62" s="34" t="n">
        <f aca="false">AX$37*INDEX(Precio_O,17)*INDEX(IdxPrecio_O,1,MIN(10,AX$17))*(1+P_dPrecio)</f>
        <v>0</v>
      </c>
      <c r="AY62" s="34" t="n">
        <f aca="false">AY$37*INDEX(Precio_O,17)*INDEX(IdxPrecio_O,1,MIN(10,AY$17))*(1+P_dPrecio)</f>
        <v>0</v>
      </c>
      <c r="AZ62" s="34" t="n">
        <f aca="false">AZ$37*INDEX(Precio_O,17)*INDEX(IdxPrecio_O,1,MIN(10,AZ$17))*(1+P_dPrecio)</f>
        <v>0</v>
      </c>
      <c r="BA62" s="34" t="n">
        <f aca="false">BA$37*INDEX(Precio_O,17)*INDEX(IdxPrecio_O,1,MIN(10,BA$17))*(1+P_dPrecio)</f>
        <v>0</v>
      </c>
      <c r="BB62" s="34" t="n">
        <f aca="false">BB$37*INDEX(Precio_O,17)*INDEX(IdxPrecio_O,1,MIN(10,BB$17))*(1+P_dPrecio)</f>
        <v>0</v>
      </c>
      <c r="BC62" s="34" t="n">
        <f aca="false">BC$37*INDEX(Precio_O,17)*INDEX(IdxPrecio_O,1,MIN(10,BC$17))*(1+P_dPrecio)</f>
        <v>0</v>
      </c>
      <c r="BD62" s="34" t="n">
        <f aca="false">BD$37*INDEX(Precio_O,17)*INDEX(IdxPrecio_O,1,MIN(10,BD$17))*(1+P_dPrecio)</f>
        <v>0</v>
      </c>
      <c r="BE62" s="34" t="n">
        <f aca="false">BE$37*INDEX(Precio_O,17)*INDEX(IdxPrecio_O,1,MIN(10,BE$17))*(1+P_dPrecio)</f>
        <v>0</v>
      </c>
      <c r="BF62" s="34" t="n">
        <f aca="false">BF$37*INDEX(Precio_O,17)*INDEX(IdxPrecio_O,1,MIN(10,BF$17))*(1+P_dPrecio)</f>
        <v>0</v>
      </c>
      <c r="BG62" s="34" t="n">
        <f aca="false">BG$37*INDEX(Precio_O,17)*INDEX(IdxPrecio_O,1,MIN(10,BG$17))*(1+P_dPrecio)</f>
        <v>0</v>
      </c>
      <c r="BH62" s="34" t="n">
        <f aca="false">BH$37*INDEX(Precio_O,17)*INDEX(IdxPrecio_O,1,MIN(10,BH$17))*(1+P_dPrecio)</f>
        <v>0</v>
      </c>
      <c r="BI62" s="34" t="n">
        <f aca="false">BI$37*INDEX(Precio_O,17)*INDEX(IdxPrecio_O,1,MIN(10,BI$17))*(1+P_dPrecio)</f>
        <v>0</v>
      </c>
      <c r="BJ62" s="34" t="n">
        <f aca="false">BJ$37*INDEX(Precio_O,17)*INDEX(IdxPrecio_O,1,MIN(10,BJ$17))*(1+P_dPrecio)</f>
        <v>0</v>
      </c>
      <c r="BK62" s="34" t="n">
        <f aca="false">BK$37*INDEX(Precio_O,17)*INDEX(IdxPrecio_O,1,MIN(10,BK$17))*(1+P_dPrecio)</f>
        <v>0</v>
      </c>
      <c r="BL62" s="34" t="n">
        <f aca="false">BL$37*INDEX(Precio_O,17)*INDEX(IdxPrecio_O,1,MIN(10,BL$17))*(1+P_dPrecio)</f>
        <v>0</v>
      </c>
      <c r="BM62" s="34" t="n">
        <f aca="false">BM$37*INDEX(Precio_O,17)*INDEX(IdxPrecio_O,1,MIN(10,BM$17))*(1+P_dPrecio)</f>
        <v>0</v>
      </c>
      <c r="BN62" s="34" t="n">
        <f aca="false">BN$37*INDEX(Precio_O,17)*INDEX(IdxPrecio_O,1,MIN(10,BN$17))*(1+P_dPrecio)</f>
        <v>0</v>
      </c>
      <c r="BO62" s="34" t="n">
        <f aca="false">BO$37*INDEX(Precio_O,17)*INDEX(IdxPrecio_O,1,MIN(10,BO$17))*(1+P_dPrecio)</f>
        <v>0</v>
      </c>
      <c r="BP62" s="34" t="n">
        <f aca="false">BP$37*INDEX(Precio_O,17)*INDEX(IdxPrecio_O,1,MIN(10,BP$17))*(1+P_dPrecio)</f>
        <v>0</v>
      </c>
      <c r="BQ62" s="34" t="n">
        <f aca="false">BQ$37*INDEX(Precio_O,17)*INDEX(IdxPrecio_O,1,MIN(10,BQ$17))*(1+P_dPrecio)</f>
        <v>0</v>
      </c>
      <c r="BR62" s="34" t="n">
        <f aca="false">BR$37*INDEX(Precio_O,17)*INDEX(IdxPrecio_O,1,MIN(10,BR$17))*(1+P_dPrecio)</f>
        <v>0</v>
      </c>
      <c r="BS62" s="34" t="n">
        <f aca="false">BS$37*INDEX(Precio_O,17)*INDEX(IdxPrecio_O,1,MIN(10,BS$17))*(1+P_dPrecio)</f>
        <v>0</v>
      </c>
      <c r="BT62" s="34" t="n">
        <f aca="false">BT$37*INDEX(Precio_O,17)*INDEX(IdxPrecio_O,1,MIN(10,BT$17))*(1+P_dPrecio)</f>
        <v>0</v>
      </c>
      <c r="BU62" s="34" t="n">
        <f aca="false">BU$37*INDEX(Precio_O,17)*INDEX(IdxPrecio_O,1,MIN(10,BU$17))*(1+P_dPrecio)</f>
        <v>0</v>
      </c>
      <c r="BV62" s="34" t="n">
        <f aca="false">BV$37*INDEX(Precio_O,17)*INDEX(IdxPrecio_O,1,MIN(10,BV$17))*(1+P_dPrecio)</f>
        <v>0</v>
      </c>
      <c r="BW62" s="34" t="n">
        <f aca="false">BW$37*INDEX(Precio_O,17)*INDEX(IdxPrecio_O,1,MIN(10,BW$17))*(1+P_dPrecio)</f>
        <v>0</v>
      </c>
      <c r="BX62" s="34" t="n">
        <f aca="false">BX$37*INDEX(Precio_O,17)*INDEX(IdxPrecio_O,1,MIN(10,BX$17))*(1+P_dPrecio)</f>
        <v>0</v>
      </c>
      <c r="BY62" s="34" t="n">
        <f aca="false">BY$37*INDEX(Precio_O,17)*INDEX(IdxPrecio_O,1,MIN(10,BY$17))*(1+P_dPrecio)</f>
        <v>0</v>
      </c>
      <c r="BZ62" s="34" t="n">
        <f aca="false">BZ$37*INDEX(Precio_O,17)*INDEX(IdxPrecio_O,1,MIN(10,BZ$17))*(1+P_dPrecio)</f>
        <v>0</v>
      </c>
      <c r="CA62" s="34" t="n">
        <f aca="false">CA$37*INDEX(Precio_O,17)*INDEX(IdxPrecio_O,1,MIN(10,CA$17))*(1+P_dPrecio)</f>
        <v>0</v>
      </c>
      <c r="CB62" s="34" t="n">
        <f aca="false">CB$37*INDEX(Precio_O,17)*INDEX(IdxPrecio_O,1,MIN(10,CB$17))*(1+P_dPrecio)</f>
        <v>0</v>
      </c>
      <c r="CC62" s="34" t="n">
        <f aca="false">CC$37*INDEX(Precio_O,17)*INDEX(IdxPrecio_O,1,MIN(10,CC$17))*(1+P_dPrecio)</f>
        <v>0</v>
      </c>
      <c r="CD62" s="34" t="n">
        <f aca="false">CD$37*INDEX(Precio_O,17)*INDEX(IdxPrecio_O,1,MIN(10,CD$17))*(1+P_dPrecio)</f>
        <v>0</v>
      </c>
      <c r="CE62" s="34" t="n">
        <f aca="false">CE$37*INDEX(Precio_O,17)*INDEX(IdxPrecio_O,1,MIN(10,CE$17))*(1+P_dPrecio)</f>
        <v>0</v>
      </c>
      <c r="CF62" s="34" t="n">
        <f aca="false">CF$37*INDEX(Precio_O,17)*INDEX(IdxPrecio_O,1,MIN(10,CF$17))*(1+P_dPrecio)</f>
        <v>0</v>
      </c>
      <c r="CG62" s="34" t="n">
        <f aca="false">CG$37*INDEX(Precio_O,17)*INDEX(IdxPrecio_O,1,MIN(10,CG$17))*(1+P_dPrecio)</f>
        <v>0</v>
      </c>
      <c r="CH62" s="34" t="n">
        <f aca="false">CH$37*INDEX(Precio_O,17)*INDEX(IdxPrecio_O,1,MIN(10,CH$17))*(1+P_dPrecio)</f>
        <v>0</v>
      </c>
      <c r="CI62" s="34" t="n">
        <f aca="false">CI$37*INDEX(Precio_O,17)*INDEX(IdxPrecio_O,1,MIN(10,CI$17))*(1+P_dPrecio)</f>
        <v>0</v>
      </c>
      <c r="CJ62" s="34" t="n">
        <f aca="false">CJ$37*INDEX(Precio_O,17)*INDEX(IdxPrecio_O,1,MIN(10,CJ$17))*(1+P_dPrecio)</f>
        <v>0</v>
      </c>
      <c r="CK62" s="34" t="n">
        <f aca="false">CK$37*INDEX(Precio_O,17)*INDEX(IdxPrecio_O,1,MIN(10,CK$17))*(1+P_dPrecio)</f>
        <v>0</v>
      </c>
      <c r="CL62" s="34" t="n">
        <f aca="false">CL$37*INDEX(Precio_O,17)*INDEX(IdxPrecio_O,1,MIN(10,CL$17))*(1+P_dPrecio)</f>
        <v>0</v>
      </c>
      <c r="CM62" s="34" t="n">
        <f aca="false">CM$37*INDEX(Precio_O,17)*INDEX(IdxPrecio_O,1,MIN(10,CM$17))*(1+P_dPrecio)</f>
        <v>0</v>
      </c>
      <c r="CN62" s="34" t="n">
        <f aca="false">CN$37*INDEX(Precio_O,17)*INDEX(IdxPrecio_O,1,MIN(10,CN$17))*(1+P_dPrecio)</f>
        <v>0</v>
      </c>
      <c r="CO62" s="34" t="n">
        <f aca="false">CO$37*INDEX(Precio_O,17)*INDEX(IdxPrecio_O,1,MIN(10,CO$17))*(1+P_dPrecio)</f>
        <v>0</v>
      </c>
      <c r="CP62" s="34" t="n">
        <f aca="false">CP$37*INDEX(Precio_O,17)*INDEX(IdxPrecio_O,1,MIN(10,CP$17))*(1+P_dPrecio)</f>
        <v>0</v>
      </c>
      <c r="CQ62" s="34" t="n">
        <f aca="false">CQ$37*INDEX(Precio_O,17)*INDEX(IdxPrecio_O,1,MIN(10,CQ$17))*(1+P_dPrecio)</f>
        <v>0</v>
      </c>
      <c r="CR62" s="34" t="n">
        <f aca="false">CR$37*INDEX(Precio_O,17)*INDEX(IdxPrecio_O,1,MIN(10,CR$17))*(1+P_dPrecio)</f>
        <v>0</v>
      </c>
      <c r="CS62" s="34" t="n">
        <f aca="false">CS$37*INDEX(Precio_O,17)*INDEX(IdxPrecio_O,1,MIN(10,CS$17))*(1+P_dPrecio)</f>
        <v>0</v>
      </c>
      <c r="CT62" s="34" t="n">
        <f aca="false">CT$37*INDEX(Precio_O,17)*INDEX(IdxPrecio_O,1,MIN(10,CT$17))*(1+P_dPrecio)</f>
        <v>0</v>
      </c>
      <c r="CU62" s="34" t="n">
        <f aca="false">CU$37*INDEX(Precio_O,17)*INDEX(IdxPrecio_O,1,MIN(10,CU$17))*(1+P_dPrecio)</f>
        <v>0</v>
      </c>
      <c r="CV62" s="34" t="n">
        <f aca="false">CV$37*INDEX(Precio_O,17)*INDEX(IdxPrecio_O,1,MIN(10,CV$17))*(1+P_dPrecio)</f>
        <v>0</v>
      </c>
      <c r="CW62" s="34" t="n">
        <f aca="false">CW$37*INDEX(Precio_O,17)*INDEX(IdxPrecio_O,1,MIN(10,CW$17))*(1+P_dPrecio)</f>
        <v>0</v>
      </c>
      <c r="CX62" s="34" t="n">
        <f aca="false">CX$37*INDEX(Precio_O,17)*INDEX(IdxPrecio_O,1,MIN(10,CX$17))*(1+P_dPrecio)</f>
        <v>0</v>
      </c>
      <c r="CY62" s="34" t="n">
        <f aca="false">CY$37*INDEX(Precio_O,17)*INDEX(IdxPrecio_O,1,MIN(10,CY$17))*(1+P_dPrecio)</f>
        <v>0</v>
      </c>
      <c r="CZ62" s="34" t="n">
        <f aca="false">CZ$37*INDEX(Precio_O,17)*INDEX(IdxPrecio_O,1,MIN(10,CZ$17))*(1+P_dPrecio)</f>
        <v>0</v>
      </c>
      <c r="DA62" s="34" t="n">
        <f aca="false">DA$37*INDEX(Precio_O,17)*INDEX(IdxPrecio_O,1,MIN(10,DA$17))*(1+P_dPrecio)</f>
        <v>0</v>
      </c>
      <c r="DB62" s="34" t="n">
        <f aca="false">DB$37*INDEX(Precio_O,17)*INDEX(IdxPrecio_O,1,MIN(10,DB$17))*(1+P_dPrecio)</f>
        <v>0</v>
      </c>
      <c r="DC62" s="34" t="n">
        <f aca="false">DC$37*INDEX(Precio_O,17)*INDEX(IdxPrecio_O,1,MIN(10,DC$17))*(1+P_dPrecio)</f>
        <v>0</v>
      </c>
      <c r="DD62" s="34" t="n">
        <f aca="false">DD$37*INDEX(Precio_O,17)*INDEX(IdxPrecio_O,1,MIN(10,DD$17))*(1+P_dPrecio)</f>
        <v>0</v>
      </c>
      <c r="DE62" s="34" t="n">
        <f aca="false">DE$37*INDEX(Precio_O,17)*INDEX(IdxPrecio_O,1,MIN(10,DE$17))*(1+P_dPrecio)</f>
        <v>0</v>
      </c>
      <c r="DF62" s="34" t="n">
        <f aca="false">DF$37*INDEX(Precio_O,17)*INDEX(IdxPrecio_O,1,MIN(10,DF$17))*(1+P_dPrecio)</f>
        <v>0</v>
      </c>
      <c r="DG62" s="34" t="n">
        <f aca="false">DG$37*INDEX(Precio_O,17)*INDEX(IdxPrecio_O,1,MIN(10,DG$17))*(1+P_dPrecio)</f>
        <v>0</v>
      </c>
      <c r="DH62" s="34" t="n">
        <f aca="false">DH$37*INDEX(Precio_O,17)*INDEX(IdxPrecio_O,1,MIN(10,DH$17))*(1+P_dPrecio)</f>
        <v>0</v>
      </c>
      <c r="DI62" s="34" t="n">
        <f aca="false">DI$37*INDEX(Precio_O,17)*INDEX(IdxPrecio_O,1,MIN(10,DI$17))*(1+P_dPrecio)</f>
        <v>0</v>
      </c>
      <c r="DJ62" s="34" t="n">
        <f aca="false">DJ$37*INDEX(Precio_O,17)*INDEX(IdxPrecio_O,1,MIN(10,DJ$17))*(1+P_dPrecio)</f>
        <v>0</v>
      </c>
      <c r="DK62" s="34" t="n">
        <f aca="false">DK$37*INDEX(Precio_O,17)*INDEX(IdxPrecio_O,1,MIN(10,DK$17))*(1+P_dPrecio)</f>
        <v>0</v>
      </c>
      <c r="DL62" s="34" t="n">
        <f aca="false">DL$37*INDEX(Precio_O,17)*INDEX(IdxPrecio_O,1,MIN(10,DL$17))*(1+P_dPrecio)</f>
        <v>0</v>
      </c>
      <c r="DM62" s="34" t="n">
        <f aca="false">DM$37*INDEX(Precio_O,17)*INDEX(IdxPrecio_O,1,MIN(10,DM$17))*(1+P_dPrecio)</f>
        <v>0</v>
      </c>
      <c r="DN62" s="34" t="n">
        <f aca="false">DN$37*INDEX(Precio_O,17)*INDEX(IdxPrecio_O,1,MIN(10,DN$17))*(1+P_dPrecio)</f>
        <v>0</v>
      </c>
      <c r="DO62" s="34" t="n">
        <f aca="false">DO$37*INDEX(Precio_O,17)*INDEX(IdxPrecio_O,1,MIN(10,DO$17))*(1+P_dPrecio)</f>
        <v>0</v>
      </c>
      <c r="DP62" s="34" t="n">
        <f aca="false">DP$37*INDEX(Precio_O,17)*INDEX(IdxPrecio_O,1,MIN(10,DP$17))*(1+P_dPrecio)</f>
        <v>0</v>
      </c>
      <c r="DQ62" s="34" t="n">
        <f aca="false">DQ$37*INDEX(Precio_O,17)*INDEX(IdxPrecio_O,1,MIN(10,DQ$17))*(1+P_dPrecio)</f>
        <v>0</v>
      </c>
      <c r="DR62" s="34" t="n">
        <f aca="false">DR$37*INDEX(Precio_O,17)*INDEX(IdxPrecio_O,1,MIN(10,DR$17))*(1+P_dPrecio)</f>
        <v>0</v>
      </c>
      <c r="DS62" s="34" t="n">
        <f aca="false">DS$37*INDEX(Precio_O,17)*INDEX(IdxPrecio_O,1,MIN(10,DS$17))*(1+P_dPrecio)</f>
        <v>0</v>
      </c>
      <c r="DT62" s="34" t="n">
        <f aca="false">DT$37*INDEX(Precio_O,17)*INDEX(IdxPrecio_O,1,MIN(10,DT$17))*(1+P_dPrecio)</f>
        <v>0</v>
      </c>
      <c r="DU62" s="34" t="n">
        <f aca="false">DU$37*INDEX(Precio_O,17)*INDEX(IdxPrecio_O,1,MIN(10,DU$17))*(1+P_dPrecio)</f>
        <v>0</v>
      </c>
      <c r="DV62" s="34" t="n">
        <f aca="false">DV$37*INDEX(Precio_O,17)*INDEX(IdxPrecio_O,1,MIN(10,DV$17))*(1+P_dPrecio)</f>
        <v>0</v>
      </c>
      <c r="DW62" s="34" t="n">
        <f aca="false">DW$37*INDEX(Precio_O,17)*INDEX(IdxPrecio_O,1,MIN(10,DW$17))*(1+P_dPrecio)</f>
        <v>0</v>
      </c>
      <c r="DX62" s="34" t="n">
        <f aca="false">DX$37*INDEX(Precio_O,17)*INDEX(IdxPrecio_O,1,MIN(10,DX$17))*(1+P_dPrecio)</f>
        <v>0</v>
      </c>
      <c r="DY62" s="34" t="n">
        <f aca="false">DY$37*INDEX(Precio_O,17)*INDEX(IdxPrecio_O,1,MIN(10,DY$17))*(1+P_dPrecio)</f>
        <v>0</v>
      </c>
      <c r="DZ62" s="34" t="n">
        <f aca="false">DZ$37*INDEX(Precio_O,17)*INDEX(IdxPrecio_O,1,MIN(10,DZ$17))*(1+P_dPrecio)</f>
        <v>0</v>
      </c>
      <c r="EA62" s="34" t="n">
        <f aca="false">EA$37*INDEX(Precio_O,17)*INDEX(IdxPrecio_O,1,MIN(10,EA$17))*(1+P_dPrecio)</f>
        <v>0</v>
      </c>
      <c r="EB62" s="34" t="n">
        <f aca="false">EB$37*INDEX(Precio_O,17)*INDEX(IdxPrecio_O,1,MIN(10,EB$17))*(1+P_dPrecio)</f>
        <v>0</v>
      </c>
      <c r="EC62" s="34" t="n">
        <f aca="false">EC$37*INDEX(Precio_O,17)*INDEX(IdxPrecio_O,1,MIN(10,EC$17))*(1+P_dPrecio)</f>
        <v>0</v>
      </c>
      <c r="ED62" s="34" t="n">
        <f aca="false">ED$37*INDEX(Precio_O,17)*INDEX(IdxPrecio_O,1,MIN(10,ED$17))*(1+P_dPrecio)</f>
        <v>0</v>
      </c>
      <c r="EE62" s="34" t="n">
        <f aca="false">EE$37*INDEX(Precio_O,17)*INDEX(IdxPrecio_O,1,MIN(10,EE$17))*(1+P_dPrecio)</f>
        <v>0</v>
      </c>
      <c r="EF62" s="34" t="n">
        <f aca="false">EF$37*INDEX(Precio_O,17)*INDEX(IdxPrecio_O,1,MIN(10,EF$17))*(1+P_dPrecio)</f>
        <v>0</v>
      </c>
      <c r="EG62" s="34" t="n">
        <f aca="false">EG$37*INDEX(Precio_O,17)*INDEX(IdxPrecio_O,1,MIN(10,EG$17))*(1+P_dPrecio)</f>
        <v>0</v>
      </c>
      <c r="EH62" s="34" t="n">
        <f aca="false">EH$37*INDEX(Precio_O,17)*INDEX(IdxPrecio_O,1,MIN(10,EH$17))*(1+P_dPrecio)</f>
        <v>0</v>
      </c>
      <c r="EI62" s="34" t="n">
        <f aca="false">EI$37*INDEX(Precio_O,17)*INDEX(IdxPrecio_O,1,MIN(10,EI$17))*(1+P_dPrecio)</f>
        <v>0</v>
      </c>
      <c r="EJ62" s="34" t="n">
        <f aca="false">EJ$37*INDEX(Precio_O,17)*INDEX(IdxPrecio_O,1,MIN(10,EJ$17))*(1+P_dPrecio)</f>
        <v>0</v>
      </c>
      <c r="EK62" s="34" t="n">
        <f aca="false">EK$37*INDEX(Precio_O,17)*INDEX(IdxPrecio_O,1,MIN(10,EK$17))*(1+P_dPrecio)</f>
        <v>0</v>
      </c>
      <c r="EL62" s="34" t="n">
        <f aca="false">EL$37*INDEX(Precio_O,17)*INDEX(IdxPrecio_O,1,MIN(10,EL$17))*(1+P_dPrecio)</f>
        <v>0</v>
      </c>
      <c r="EM62" s="34" t="n">
        <f aca="false">EM$37*INDEX(Precio_O,17)*INDEX(IdxPrecio_O,1,MIN(10,EM$17))*(1+P_dPrecio)</f>
        <v>0</v>
      </c>
      <c r="EN62" s="34" t="n">
        <f aca="false">EN$37*INDEX(Precio_O,17)*INDEX(IdxPrecio_O,1,MIN(10,EN$17))*(1+P_dPrecio)</f>
        <v>0</v>
      </c>
      <c r="EO62" s="34" t="n">
        <f aca="false">EO$37*INDEX(Precio_O,17)*INDEX(IdxPrecio_O,1,MIN(10,EO$17))*(1+P_dPrecio)</f>
        <v>0</v>
      </c>
      <c r="EP62" s="34" t="n">
        <f aca="false">EP$37*INDEX(Precio_O,17)*INDEX(IdxPrecio_O,1,MIN(10,EP$17))*(1+P_dPrecio)</f>
        <v>0</v>
      </c>
      <c r="EQ62" s="34" t="n">
        <f aca="false">EQ$37*INDEX(Precio_O,17)*INDEX(IdxPrecio_O,1,MIN(10,EQ$17))*(1+P_dPrecio)</f>
        <v>0</v>
      </c>
      <c r="ER62" s="34" t="n">
        <f aca="false">ER$37*INDEX(Precio_O,17)*INDEX(IdxPrecio_O,1,MIN(10,ER$17))*(1+P_dPrecio)</f>
        <v>0</v>
      </c>
      <c r="ES62" s="34" t="n">
        <f aca="false">ES$37*INDEX(Precio_O,17)*INDEX(IdxPrecio_O,1,MIN(10,ES$17))*(1+P_dPrecio)</f>
        <v>0</v>
      </c>
    </row>
    <row r="63" customFormat="false" ht="15" hidden="false" customHeight="false" outlineLevel="0" collapsed="false">
      <c r="A63" s="2" t="s">
        <v>626</v>
      </c>
      <c r="B63" s="39" t="str">
        <f aca="false">IF(INDEX(Prod_Nombre,18)="","Producto 18",INDEX(Prod_Nombre,18))&amp;" — ventas USD"</f>
        <v>Producto 18 — ventas USD</v>
      </c>
      <c r="C63" s="6" t="s">
        <v>250</v>
      </c>
      <c r="E63" s="40" t="n">
        <f aca="false">SUM(F63:ES63)</f>
        <v>0</v>
      </c>
      <c r="F63" s="34" t="n">
        <f aca="false">F$38*INDEX(Precio_O,18)*INDEX(IdxPrecio_O,1,MIN(10,F$17))*(1+P_dPrecio)</f>
        <v>0</v>
      </c>
      <c r="G63" s="34" t="n">
        <f aca="false">G$38*INDEX(Precio_O,18)*INDEX(IdxPrecio_O,1,MIN(10,G$17))*(1+P_dPrecio)</f>
        <v>0</v>
      </c>
      <c r="H63" s="34" t="n">
        <f aca="false">H$38*INDEX(Precio_O,18)*INDEX(IdxPrecio_O,1,MIN(10,H$17))*(1+P_dPrecio)</f>
        <v>0</v>
      </c>
      <c r="I63" s="34" t="n">
        <f aca="false">I$38*INDEX(Precio_O,18)*INDEX(IdxPrecio_O,1,MIN(10,I$17))*(1+P_dPrecio)</f>
        <v>0</v>
      </c>
      <c r="J63" s="34" t="n">
        <f aca="false">J$38*INDEX(Precio_O,18)*INDEX(IdxPrecio_O,1,MIN(10,J$17))*(1+P_dPrecio)</f>
        <v>0</v>
      </c>
      <c r="K63" s="34" t="n">
        <f aca="false">K$38*INDEX(Precio_O,18)*INDEX(IdxPrecio_O,1,MIN(10,K$17))*(1+P_dPrecio)</f>
        <v>0</v>
      </c>
      <c r="L63" s="34" t="n">
        <f aca="false">L$38*INDEX(Precio_O,18)*INDEX(IdxPrecio_O,1,MIN(10,L$17))*(1+P_dPrecio)</f>
        <v>0</v>
      </c>
      <c r="M63" s="34" t="n">
        <f aca="false">M$38*INDEX(Precio_O,18)*INDEX(IdxPrecio_O,1,MIN(10,M$17))*(1+P_dPrecio)</f>
        <v>0</v>
      </c>
      <c r="N63" s="34" t="n">
        <f aca="false">N$38*INDEX(Precio_O,18)*INDEX(IdxPrecio_O,1,MIN(10,N$17))*(1+P_dPrecio)</f>
        <v>0</v>
      </c>
      <c r="O63" s="34" t="n">
        <f aca="false">O$38*INDEX(Precio_O,18)*INDEX(IdxPrecio_O,1,MIN(10,O$17))*(1+P_dPrecio)</f>
        <v>0</v>
      </c>
      <c r="P63" s="34" t="n">
        <f aca="false">P$38*INDEX(Precio_O,18)*INDEX(IdxPrecio_O,1,MIN(10,P$17))*(1+P_dPrecio)</f>
        <v>0</v>
      </c>
      <c r="Q63" s="34" t="n">
        <f aca="false">Q$38*INDEX(Precio_O,18)*INDEX(IdxPrecio_O,1,MIN(10,Q$17))*(1+P_dPrecio)</f>
        <v>0</v>
      </c>
      <c r="R63" s="34" t="n">
        <f aca="false">R$38*INDEX(Precio_O,18)*INDEX(IdxPrecio_O,1,MIN(10,R$17))*(1+P_dPrecio)</f>
        <v>0</v>
      </c>
      <c r="S63" s="34" t="n">
        <f aca="false">S$38*INDEX(Precio_O,18)*INDEX(IdxPrecio_O,1,MIN(10,S$17))*(1+P_dPrecio)</f>
        <v>0</v>
      </c>
      <c r="T63" s="34" t="n">
        <f aca="false">T$38*INDEX(Precio_O,18)*INDEX(IdxPrecio_O,1,MIN(10,T$17))*(1+P_dPrecio)</f>
        <v>0</v>
      </c>
      <c r="U63" s="34" t="n">
        <f aca="false">U$38*INDEX(Precio_O,18)*INDEX(IdxPrecio_O,1,MIN(10,U$17))*(1+P_dPrecio)</f>
        <v>0</v>
      </c>
      <c r="V63" s="34" t="n">
        <f aca="false">V$38*INDEX(Precio_O,18)*INDEX(IdxPrecio_O,1,MIN(10,V$17))*(1+P_dPrecio)</f>
        <v>0</v>
      </c>
      <c r="W63" s="34" t="n">
        <f aca="false">W$38*INDEX(Precio_O,18)*INDEX(IdxPrecio_O,1,MIN(10,W$17))*(1+P_dPrecio)</f>
        <v>0</v>
      </c>
      <c r="X63" s="34" t="n">
        <f aca="false">X$38*INDEX(Precio_O,18)*INDEX(IdxPrecio_O,1,MIN(10,X$17))*(1+P_dPrecio)</f>
        <v>0</v>
      </c>
      <c r="Y63" s="34" t="n">
        <f aca="false">Y$38*INDEX(Precio_O,18)*INDEX(IdxPrecio_O,1,MIN(10,Y$17))*(1+P_dPrecio)</f>
        <v>0</v>
      </c>
      <c r="Z63" s="34" t="n">
        <f aca="false">Z$38*INDEX(Precio_O,18)*INDEX(IdxPrecio_O,1,MIN(10,Z$17))*(1+P_dPrecio)</f>
        <v>0</v>
      </c>
      <c r="AA63" s="34" t="n">
        <f aca="false">AA$38*INDEX(Precio_O,18)*INDEX(IdxPrecio_O,1,MIN(10,AA$17))*(1+P_dPrecio)</f>
        <v>0</v>
      </c>
      <c r="AB63" s="34" t="n">
        <f aca="false">AB$38*INDEX(Precio_O,18)*INDEX(IdxPrecio_O,1,MIN(10,AB$17))*(1+P_dPrecio)</f>
        <v>0</v>
      </c>
      <c r="AC63" s="34" t="n">
        <f aca="false">AC$38*INDEX(Precio_O,18)*INDEX(IdxPrecio_O,1,MIN(10,AC$17))*(1+P_dPrecio)</f>
        <v>0</v>
      </c>
      <c r="AD63" s="34" t="n">
        <f aca="false">AD$38*INDEX(Precio_O,18)*INDEX(IdxPrecio_O,1,MIN(10,AD$17))*(1+P_dPrecio)</f>
        <v>0</v>
      </c>
      <c r="AE63" s="34" t="n">
        <f aca="false">AE$38*INDEX(Precio_O,18)*INDEX(IdxPrecio_O,1,MIN(10,AE$17))*(1+P_dPrecio)</f>
        <v>0</v>
      </c>
      <c r="AF63" s="34" t="n">
        <f aca="false">AF$38*INDEX(Precio_O,18)*INDEX(IdxPrecio_O,1,MIN(10,AF$17))*(1+P_dPrecio)</f>
        <v>0</v>
      </c>
      <c r="AG63" s="34" t="n">
        <f aca="false">AG$38*INDEX(Precio_O,18)*INDEX(IdxPrecio_O,1,MIN(10,AG$17))*(1+P_dPrecio)</f>
        <v>0</v>
      </c>
      <c r="AH63" s="34" t="n">
        <f aca="false">AH$38*INDEX(Precio_O,18)*INDEX(IdxPrecio_O,1,MIN(10,AH$17))*(1+P_dPrecio)</f>
        <v>0</v>
      </c>
      <c r="AI63" s="34" t="n">
        <f aca="false">AI$38*INDEX(Precio_O,18)*INDEX(IdxPrecio_O,1,MIN(10,AI$17))*(1+P_dPrecio)</f>
        <v>0</v>
      </c>
      <c r="AJ63" s="34" t="n">
        <f aca="false">AJ$38*INDEX(Precio_O,18)*INDEX(IdxPrecio_O,1,MIN(10,AJ$17))*(1+P_dPrecio)</f>
        <v>0</v>
      </c>
      <c r="AK63" s="34" t="n">
        <f aca="false">AK$38*INDEX(Precio_O,18)*INDEX(IdxPrecio_O,1,MIN(10,AK$17))*(1+P_dPrecio)</f>
        <v>0</v>
      </c>
      <c r="AL63" s="34" t="n">
        <f aca="false">AL$38*INDEX(Precio_O,18)*INDEX(IdxPrecio_O,1,MIN(10,AL$17))*(1+P_dPrecio)</f>
        <v>0</v>
      </c>
      <c r="AM63" s="34" t="n">
        <f aca="false">AM$38*INDEX(Precio_O,18)*INDEX(IdxPrecio_O,1,MIN(10,AM$17))*(1+P_dPrecio)</f>
        <v>0</v>
      </c>
      <c r="AN63" s="34" t="n">
        <f aca="false">AN$38*INDEX(Precio_O,18)*INDEX(IdxPrecio_O,1,MIN(10,AN$17))*(1+P_dPrecio)</f>
        <v>0</v>
      </c>
      <c r="AO63" s="34" t="n">
        <f aca="false">AO$38*INDEX(Precio_O,18)*INDEX(IdxPrecio_O,1,MIN(10,AO$17))*(1+P_dPrecio)</f>
        <v>0</v>
      </c>
      <c r="AP63" s="34" t="n">
        <f aca="false">AP$38*INDEX(Precio_O,18)*INDEX(IdxPrecio_O,1,MIN(10,AP$17))*(1+P_dPrecio)</f>
        <v>0</v>
      </c>
      <c r="AQ63" s="34" t="n">
        <f aca="false">AQ$38*INDEX(Precio_O,18)*INDEX(IdxPrecio_O,1,MIN(10,AQ$17))*(1+P_dPrecio)</f>
        <v>0</v>
      </c>
      <c r="AR63" s="34" t="n">
        <f aca="false">AR$38*INDEX(Precio_O,18)*INDEX(IdxPrecio_O,1,MIN(10,AR$17))*(1+P_dPrecio)</f>
        <v>0</v>
      </c>
      <c r="AS63" s="34" t="n">
        <f aca="false">AS$38*INDEX(Precio_O,18)*INDEX(IdxPrecio_O,1,MIN(10,AS$17))*(1+P_dPrecio)</f>
        <v>0</v>
      </c>
      <c r="AT63" s="34" t="n">
        <f aca="false">AT$38*INDEX(Precio_O,18)*INDEX(IdxPrecio_O,1,MIN(10,AT$17))*(1+P_dPrecio)</f>
        <v>0</v>
      </c>
      <c r="AU63" s="34" t="n">
        <f aca="false">AU$38*INDEX(Precio_O,18)*INDEX(IdxPrecio_O,1,MIN(10,AU$17))*(1+P_dPrecio)</f>
        <v>0</v>
      </c>
      <c r="AV63" s="34" t="n">
        <f aca="false">AV$38*INDEX(Precio_O,18)*INDEX(IdxPrecio_O,1,MIN(10,AV$17))*(1+P_dPrecio)</f>
        <v>0</v>
      </c>
      <c r="AW63" s="34" t="n">
        <f aca="false">AW$38*INDEX(Precio_O,18)*INDEX(IdxPrecio_O,1,MIN(10,AW$17))*(1+P_dPrecio)</f>
        <v>0</v>
      </c>
      <c r="AX63" s="34" t="n">
        <f aca="false">AX$38*INDEX(Precio_O,18)*INDEX(IdxPrecio_O,1,MIN(10,AX$17))*(1+P_dPrecio)</f>
        <v>0</v>
      </c>
      <c r="AY63" s="34" t="n">
        <f aca="false">AY$38*INDEX(Precio_O,18)*INDEX(IdxPrecio_O,1,MIN(10,AY$17))*(1+P_dPrecio)</f>
        <v>0</v>
      </c>
      <c r="AZ63" s="34" t="n">
        <f aca="false">AZ$38*INDEX(Precio_O,18)*INDEX(IdxPrecio_O,1,MIN(10,AZ$17))*(1+P_dPrecio)</f>
        <v>0</v>
      </c>
      <c r="BA63" s="34" t="n">
        <f aca="false">BA$38*INDEX(Precio_O,18)*INDEX(IdxPrecio_O,1,MIN(10,BA$17))*(1+P_dPrecio)</f>
        <v>0</v>
      </c>
      <c r="BB63" s="34" t="n">
        <f aca="false">BB$38*INDEX(Precio_O,18)*INDEX(IdxPrecio_O,1,MIN(10,BB$17))*(1+P_dPrecio)</f>
        <v>0</v>
      </c>
      <c r="BC63" s="34" t="n">
        <f aca="false">BC$38*INDEX(Precio_O,18)*INDEX(IdxPrecio_O,1,MIN(10,BC$17))*(1+P_dPrecio)</f>
        <v>0</v>
      </c>
      <c r="BD63" s="34" t="n">
        <f aca="false">BD$38*INDEX(Precio_O,18)*INDEX(IdxPrecio_O,1,MIN(10,BD$17))*(1+P_dPrecio)</f>
        <v>0</v>
      </c>
      <c r="BE63" s="34" t="n">
        <f aca="false">BE$38*INDEX(Precio_O,18)*INDEX(IdxPrecio_O,1,MIN(10,BE$17))*(1+P_dPrecio)</f>
        <v>0</v>
      </c>
      <c r="BF63" s="34" t="n">
        <f aca="false">BF$38*INDEX(Precio_O,18)*INDEX(IdxPrecio_O,1,MIN(10,BF$17))*(1+P_dPrecio)</f>
        <v>0</v>
      </c>
      <c r="BG63" s="34" t="n">
        <f aca="false">BG$38*INDEX(Precio_O,18)*INDEX(IdxPrecio_O,1,MIN(10,BG$17))*(1+P_dPrecio)</f>
        <v>0</v>
      </c>
      <c r="BH63" s="34" t="n">
        <f aca="false">BH$38*INDEX(Precio_O,18)*INDEX(IdxPrecio_O,1,MIN(10,BH$17))*(1+P_dPrecio)</f>
        <v>0</v>
      </c>
      <c r="BI63" s="34" t="n">
        <f aca="false">BI$38*INDEX(Precio_O,18)*INDEX(IdxPrecio_O,1,MIN(10,BI$17))*(1+P_dPrecio)</f>
        <v>0</v>
      </c>
      <c r="BJ63" s="34" t="n">
        <f aca="false">BJ$38*INDEX(Precio_O,18)*INDEX(IdxPrecio_O,1,MIN(10,BJ$17))*(1+P_dPrecio)</f>
        <v>0</v>
      </c>
      <c r="BK63" s="34" t="n">
        <f aca="false">BK$38*INDEX(Precio_O,18)*INDEX(IdxPrecio_O,1,MIN(10,BK$17))*(1+P_dPrecio)</f>
        <v>0</v>
      </c>
      <c r="BL63" s="34" t="n">
        <f aca="false">BL$38*INDEX(Precio_O,18)*INDEX(IdxPrecio_O,1,MIN(10,BL$17))*(1+P_dPrecio)</f>
        <v>0</v>
      </c>
      <c r="BM63" s="34" t="n">
        <f aca="false">BM$38*INDEX(Precio_O,18)*INDEX(IdxPrecio_O,1,MIN(10,BM$17))*(1+P_dPrecio)</f>
        <v>0</v>
      </c>
      <c r="BN63" s="34" t="n">
        <f aca="false">BN$38*INDEX(Precio_O,18)*INDEX(IdxPrecio_O,1,MIN(10,BN$17))*(1+P_dPrecio)</f>
        <v>0</v>
      </c>
      <c r="BO63" s="34" t="n">
        <f aca="false">BO$38*INDEX(Precio_O,18)*INDEX(IdxPrecio_O,1,MIN(10,BO$17))*(1+P_dPrecio)</f>
        <v>0</v>
      </c>
      <c r="BP63" s="34" t="n">
        <f aca="false">BP$38*INDEX(Precio_O,18)*INDEX(IdxPrecio_O,1,MIN(10,BP$17))*(1+P_dPrecio)</f>
        <v>0</v>
      </c>
      <c r="BQ63" s="34" t="n">
        <f aca="false">BQ$38*INDEX(Precio_O,18)*INDEX(IdxPrecio_O,1,MIN(10,BQ$17))*(1+P_dPrecio)</f>
        <v>0</v>
      </c>
      <c r="BR63" s="34" t="n">
        <f aca="false">BR$38*INDEX(Precio_O,18)*INDEX(IdxPrecio_O,1,MIN(10,BR$17))*(1+P_dPrecio)</f>
        <v>0</v>
      </c>
      <c r="BS63" s="34" t="n">
        <f aca="false">BS$38*INDEX(Precio_O,18)*INDEX(IdxPrecio_O,1,MIN(10,BS$17))*(1+P_dPrecio)</f>
        <v>0</v>
      </c>
      <c r="BT63" s="34" t="n">
        <f aca="false">BT$38*INDEX(Precio_O,18)*INDEX(IdxPrecio_O,1,MIN(10,BT$17))*(1+P_dPrecio)</f>
        <v>0</v>
      </c>
      <c r="BU63" s="34" t="n">
        <f aca="false">BU$38*INDEX(Precio_O,18)*INDEX(IdxPrecio_O,1,MIN(10,BU$17))*(1+P_dPrecio)</f>
        <v>0</v>
      </c>
      <c r="BV63" s="34" t="n">
        <f aca="false">BV$38*INDEX(Precio_O,18)*INDEX(IdxPrecio_O,1,MIN(10,BV$17))*(1+P_dPrecio)</f>
        <v>0</v>
      </c>
      <c r="BW63" s="34" t="n">
        <f aca="false">BW$38*INDEX(Precio_O,18)*INDEX(IdxPrecio_O,1,MIN(10,BW$17))*(1+P_dPrecio)</f>
        <v>0</v>
      </c>
      <c r="BX63" s="34" t="n">
        <f aca="false">BX$38*INDEX(Precio_O,18)*INDEX(IdxPrecio_O,1,MIN(10,BX$17))*(1+P_dPrecio)</f>
        <v>0</v>
      </c>
      <c r="BY63" s="34" t="n">
        <f aca="false">BY$38*INDEX(Precio_O,18)*INDEX(IdxPrecio_O,1,MIN(10,BY$17))*(1+P_dPrecio)</f>
        <v>0</v>
      </c>
      <c r="BZ63" s="34" t="n">
        <f aca="false">BZ$38*INDEX(Precio_O,18)*INDEX(IdxPrecio_O,1,MIN(10,BZ$17))*(1+P_dPrecio)</f>
        <v>0</v>
      </c>
      <c r="CA63" s="34" t="n">
        <f aca="false">CA$38*INDEX(Precio_O,18)*INDEX(IdxPrecio_O,1,MIN(10,CA$17))*(1+P_dPrecio)</f>
        <v>0</v>
      </c>
      <c r="CB63" s="34" t="n">
        <f aca="false">CB$38*INDEX(Precio_O,18)*INDEX(IdxPrecio_O,1,MIN(10,CB$17))*(1+P_dPrecio)</f>
        <v>0</v>
      </c>
      <c r="CC63" s="34" t="n">
        <f aca="false">CC$38*INDEX(Precio_O,18)*INDEX(IdxPrecio_O,1,MIN(10,CC$17))*(1+P_dPrecio)</f>
        <v>0</v>
      </c>
      <c r="CD63" s="34" t="n">
        <f aca="false">CD$38*INDEX(Precio_O,18)*INDEX(IdxPrecio_O,1,MIN(10,CD$17))*(1+P_dPrecio)</f>
        <v>0</v>
      </c>
      <c r="CE63" s="34" t="n">
        <f aca="false">CE$38*INDEX(Precio_O,18)*INDEX(IdxPrecio_O,1,MIN(10,CE$17))*(1+P_dPrecio)</f>
        <v>0</v>
      </c>
      <c r="CF63" s="34" t="n">
        <f aca="false">CF$38*INDEX(Precio_O,18)*INDEX(IdxPrecio_O,1,MIN(10,CF$17))*(1+P_dPrecio)</f>
        <v>0</v>
      </c>
      <c r="CG63" s="34" t="n">
        <f aca="false">CG$38*INDEX(Precio_O,18)*INDEX(IdxPrecio_O,1,MIN(10,CG$17))*(1+P_dPrecio)</f>
        <v>0</v>
      </c>
      <c r="CH63" s="34" t="n">
        <f aca="false">CH$38*INDEX(Precio_O,18)*INDEX(IdxPrecio_O,1,MIN(10,CH$17))*(1+P_dPrecio)</f>
        <v>0</v>
      </c>
      <c r="CI63" s="34" t="n">
        <f aca="false">CI$38*INDEX(Precio_O,18)*INDEX(IdxPrecio_O,1,MIN(10,CI$17))*(1+P_dPrecio)</f>
        <v>0</v>
      </c>
      <c r="CJ63" s="34" t="n">
        <f aca="false">CJ$38*INDEX(Precio_O,18)*INDEX(IdxPrecio_O,1,MIN(10,CJ$17))*(1+P_dPrecio)</f>
        <v>0</v>
      </c>
      <c r="CK63" s="34" t="n">
        <f aca="false">CK$38*INDEX(Precio_O,18)*INDEX(IdxPrecio_O,1,MIN(10,CK$17))*(1+P_dPrecio)</f>
        <v>0</v>
      </c>
      <c r="CL63" s="34" t="n">
        <f aca="false">CL$38*INDEX(Precio_O,18)*INDEX(IdxPrecio_O,1,MIN(10,CL$17))*(1+P_dPrecio)</f>
        <v>0</v>
      </c>
      <c r="CM63" s="34" t="n">
        <f aca="false">CM$38*INDEX(Precio_O,18)*INDEX(IdxPrecio_O,1,MIN(10,CM$17))*(1+P_dPrecio)</f>
        <v>0</v>
      </c>
      <c r="CN63" s="34" t="n">
        <f aca="false">CN$38*INDEX(Precio_O,18)*INDEX(IdxPrecio_O,1,MIN(10,CN$17))*(1+P_dPrecio)</f>
        <v>0</v>
      </c>
      <c r="CO63" s="34" t="n">
        <f aca="false">CO$38*INDEX(Precio_O,18)*INDEX(IdxPrecio_O,1,MIN(10,CO$17))*(1+P_dPrecio)</f>
        <v>0</v>
      </c>
      <c r="CP63" s="34" t="n">
        <f aca="false">CP$38*INDEX(Precio_O,18)*INDEX(IdxPrecio_O,1,MIN(10,CP$17))*(1+P_dPrecio)</f>
        <v>0</v>
      </c>
      <c r="CQ63" s="34" t="n">
        <f aca="false">CQ$38*INDEX(Precio_O,18)*INDEX(IdxPrecio_O,1,MIN(10,CQ$17))*(1+P_dPrecio)</f>
        <v>0</v>
      </c>
      <c r="CR63" s="34" t="n">
        <f aca="false">CR$38*INDEX(Precio_O,18)*INDEX(IdxPrecio_O,1,MIN(10,CR$17))*(1+P_dPrecio)</f>
        <v>0</v>
      </c>
      <c r="CS63" s="34" t="n">
        <f aca="false">CS$38*INDEX(Precio_O,18)*INDEX(IdxPrecio_O,1,MIN(10,CS$17))*(1+P_dPrecio)</f>
        <v>0</v>
      </c>
      <c r="CT63" s="34" t="n">
        <f aca="false">CT$38*INDEX(Precio_O,18)*INDEX(IdxPrecio_O,1,MIN(10,CT$17))*(1+P_dPrecio)</f>
        <v>0</v>
      </c>
      <c r="CU63" s="34" t="n">
        <f aca="false">CU$38*INDEX(Precio_O,18)*INDEX(IdxPrecio_O,1,MIN(10,CU$17))*(1+P_dPrecio)</f>
        <v>0</v>
      </c>
      <c r="CV63" s="34" t="n">
        <f aca="false">CV$38*INDEX(Precio_O,18)*INDEX(IdxPrecio_O,1,MIN(10,CV$17))*(1+P_dPrecio)</f>
        <v>0</v>
      </c>
      <c r="CW63" s="34" t="n">
        <f aca="false">CW$38*INDEX(Precio_O,18)*INDEX(IdxPrecio_O,1,MIN(10,CW$17))*(1+P_dPrecio)</f>
        <v>0</v>
      </c>
      <c r="CX63" s="34" t="n">
        <f aca="false">CX$38*INDEX(Precio_O,18)*INDEX(IdxPrecio_O,1,MIN(10,CX$17))*(1+P_dPrecio)</f>
        <v>0</v>
      </c>
      <c r="CY63" s="34" t="n">
        <f aca="false">CY$38*INDEX(Precio_O,18)*INDEX(IdxPrecio_O,1,MIN(10,CY$17))*(1+P_dPrecio)</f>
        <v>0</v>
      </c>
      <c r="CZ63" s="34" t="n">
        <f aca="false">CZ$38*INDEX(Precio_O,18)*INDEX(IdxPrecio_O,1,MIN(10,CZ$17))*(1+P_dPrecio)</f>
        <v>0</v>
      </c>
      <c r="DA63" s="34" t="n">
        <f aca="false">DA$38*INDEX(Precio_O,18)*INDEX(IdxPrecio_O,1,MIN(10,DA$17))*(1+P_dPrecio)</f>
        <v>0</v>
      </c>
      <c r="DB63" s="34" t="n">
        <f aca="false">DB$38*INDEX(Precio_O,18)*INDEX(IdxPrecio_O,1,MIN(10,DB$17))*(1+P_dPrecio)</f>
        <v>0</v>
      </c>
      <c r="DC63" s="34" t="n">
        <f aca="false">DC$38*INDEX(Precio_O,18)*INDEX(IdxPrecio_O,1,MIN(10,DC$17))*(1+P_dPrecio)</f>
        <v>0</v>
      </c>
      <c r="DD63" s="34" t="n">
        <f aca="false">DD$38*INDEX(Precio_O,18)*INDEX(IdxPrecio_O,1,MIN(10,DD$17))*(1+P_dPrecio)</f>
        <v>0</v>
      </c>
      <c r="DE63" s="34" t="n">
        <f aca="false">DE$38*INDEX(Precio_O,18)*INDEX(IdxPrecio_O,1,MIN(10,DE$17))*(1+P_dPrecio)</f>
        <v>0</v>
      </c>
      <c r="DF63" s="34" t="n">
        <f aca="false">DF$38*INDEX(Precio_O,18)*INDEX(IdxPrecio_O,1,MIN(10,DF$17))*(1+P_dPrecio)</f>
        <v>0</v>
      </c>
      <c r="DG63" s="34" t="n">
        <f aca="false">DG$38*INDEX(Precio_O,18)*INDEX(IdxPrecio_O,1,MIN(10,DG$17))*(1+P_dPrecio)</f>
        <v>0</v>
      </c>
      <c r="DH63" s="34" t="n">
        <f aca="false">DH$38*INDEX(Precio_O,18)*INDEX(IdxPrecio_O,1,MIN(10,DH$17))*(1+P_dPrecio)</f>
        <v>0</v>
      </c>
      <c r="DI63" s="34" t="n">
        <f aca="false">DI$38*INDEX(Precio_O,18)*INDEX(IdxPrecio_O,1,MIN(10,DI$17))*(1+P_dPrecio)</f>
        <v>0</v>
      </c>
      <c r="DJ63" s="34" t="n">
        <f aca="false">DJ$38*INDEX(Precio_O,18)*INDEX(IdxPrecio_O,1,MIN(10,DJ$17))*(1+P_dPrecio)</f>
        <v>0</v>
      </c>
      <c r="DK63" s="34" t="n">
        <f aca="false">DK$38*INDEX(Precio_O,18)*INDEX(IdxPrecio_O,1,MIN(10,DK$17))*(1+P_dPrecio)</f>
        <v>0</v>
      </c>
      <c r="DL63" s="34" t="n">
        <f aca="false">DL$38*INDEX(Precio_O,18)*INDEX(IdxPrecio_O,1,MIN(10,DL$17))*(1+P_dPrecio)</f>
        <v>0</v>
      </c>
      <c r="DM63" s="34" t="n">
        <f aca="false">DM$38*INDEX(Precio_O,18)*INDEX(IdxPrecio_O,1,MIN(10,DM$17))*(1+P_dPrecio)</f>
        <v>0</v>
      </c>
      <c r="DN63" s="34" t="n">
        <f aca="false">DN$38*INDEX(Precio_O,18)*INDEX(IdxPrecio_O,1,MIN(10,DN$17))*(1+P_dPrecio)</f>
        <v>0</v>
      </c>
      <c r="DO63" s="34" t="n">
        <f aca="false">DO$38*INDEX(Precio_O,18)*INDEX(IdxPrecio_O,1,MIN(10,DO$17))*(1+P_dPrecio)</f>
        <v>0</v>
      </c>
      <c r="DP63" s="34" t="n">
        <f aca="false">DP$38*INDEX(Precio_O,18)*INDEX(IdxPrecio_O,1,MIN(10,DP$17))*(1+P_dPrecio)</f>
        <v>0</v>
      </c>
      <c r="DQ63" s="34" t="n">
        <f aca="false">DQ$38*INDEX(Precio_O,18)*INDEX(IdxPrecio_O,1,MIN(10,DQ$17))*(1+P_dPrecio)</f>
        <v>0</v>
      </c>
      <c r="DR63" s="34" t="n">
        <f aca="false">DR$38*INDEX(Precio_O,18)*INDEX(IdxPrecio_O,1,MIN(10,DR$17))*(1+P_dPrecio)</f>
        <v>0</v>
      </c>
      <c r="DS63" s="34" t="n">
        <f aca="false">DS$38*INDEX(Precio_O,18)*INDEX(IdxPrecio_O,1,MIN(10,DS$17))*(1+P_dPrecio)</f>
        <v>0</v>
      </c>
      <c r="DT63" s="34" t="n">
        <f aca="false">DT$38*INDEX(Precio_O,18)*INDEX(IdxPrecio_O,1,MIN(10,DT$17))*(1+P_dPrecio)</f>
        <v>0</v>
      </c>
      <c r="DU63" s="34" t="n">
        <f aca="false">DU$38*INDEX(Precio_O,18)*INDEX(IdxPrecio_O,1,MIN(10,DU$17))*(1+P_dPrecio)</f>
        <v>0</v>
      </c>
      <c r="DV63" s="34" t="n">
        <f aca="false">DV$38*INDEX(Precio_O,18)*INDEX(IdxPrecio_O,1,MIN(10,DV$17))*(1+P_dPrecio)</f>
        <v>0</v>
      </c>
      <c r="DW63" s="34" t="n">
        <f aca="false">DW$38*INDEX(Precio_O,18)*INDEX(IdxPrecio_O,1,MIN(10,DW$17))*(1+P_dPrecio)</f>
        <v>0</v>
      </c>
      <c r="DX63" s="34" t="n">
        <f aca="false">DX$38*INDEX(Precio_O,18)*INDEX(IdxPrecio_O,1,MIN(10,DX$17))*(1+P_dPrecio)</f>
        <v>0</v>
      </c>
      <c r="DY63" s="34" t="n">
        <f aca="false">DY$38*INDEX(Precio_O,18)*INDEX(IdxPrecio_O,1,MIN(10,DY$17))*(1+P_dPrecio)</f>
        <v>0</v>
      </c>
      <c r="DZ63" s="34" t="n">
        <f aca="false">DZ$38*INDEX(Precio_O,18)*INDEX(IdxPrecio_O,1,MIN(10,DZ$17))*(1+P_dPrecio)</f>
        <v>0</v>
      </c>
      <c r="EA63" s="34" t="n">
        <f aca="false">EA$38*INDEX(Precio_O,18)*INDEX(IdxPrecio_O,1,MIN(10,EA$17))*(1+P_dPrecio)</f>
        <v>0</v>
      </c>
      <c r="EB63" s="34" t="n">
        <f aca="false">EB$38*INDEX(Precio_O,18)*INDEX(IdxPrecio_O,1,MIN(10,EB$17))*(1+P_dPrecio)</f>
        <v>0</v>
      </c>
      <c r="EC63" s="34" t="n">
        <f aca="false">EC$38*INDEX(Precio_O,18)*INDEX(IdxPrecio_O,1,MIN(10,EC$17))*(1+P_dPrecio)</f>
        <v>0</v>
      </c>
      <c r="ED63" s="34" t="n">
        <f aca="false">ED$38*INDEX(Precio_O,18)*INDEX(IdxPrecio_O,1,MIN(10,ED$17))*(1+P_dPrecio)</f>
        <v>0</v>
      </c>
      <c r="EE63" s="34" t="n">
        <f aca="false">EE$38*INDEX(Precio_O,18)*INDEX(IdxPrecio_O,1,MIN(10,EE$17))*(1+P_dPrecio)</f>
        <v>0</v>
      </c>
      <c r="EF63" s="34" t="n">
        <f aca="false">EF$38*INDEX(Precio_O,18)*INDEX(IdxPrecio_O,1,MIN(10,EF$17))*(1+P_dPrecio)</f>
        <v>0</v>
      </c>
      <c r="EG63" s="34" t="n">
        <f aca="false">EG$38*INDEX(Precio_O,18)*INDEX(IdxPrecio_O,1,MIN(10,EG$17))*(1+P_dPrecio)</f>
        <v>0</v>
      </c>
      <c r="EH63" s="34" t="n">
        <f aca="false">EH$38*INDEX(Precio_O,18)*INDEX(IdxPrecio_O,1,MIN(10,EH$17))*(1+P_dPrecio)</f>
        <v>0</v>
      </c>
      <c r="EI63" s="34" t="n">
        <f aca="false">EI$38*INDEX(Precio_O,18)*INDEX(IdxPrecio_O,1,MIN(10,EI$17))*(1+P_dPrecio)</f>
        <v>0</v>
      </c>
      <c r="EJ63" s="34" t="n">
        <f aca="false">EJ$38*INDEX(Precio_O,18)*INDEX(IdxPrecio_O,1,MIN(10,EJ$17))*(1+P_dPrecio)</f>
        <v>0</v>
      </c>
      <c r="EK63" s="34" t="n">
        <f aca="false">EK$38*INDEX(Precio_O,18)*INDEX(IdxPrecio_O,1,MIN(10,EK$17))*(1+P_dPrecio)</f>
        <v>0</v>
      </c>
      <c r="EL63" s="34" t="n">
        <f aca="false">EL$38*INDEX(Precio_O,18)*INDEX(IdxPrecio_O,1,MIN(10,EL$17))*(1+P_dPrecio)</f>
        <v>0</v>
      </c>
      <c r="EM63" s="34" t="n">
        <f aca="false">EM$38*INDEX(Precio_O,18)*INDEX(IdxPrecio_O,1,MIN(10,EM$17))*(1+P_dPrecio)</f>
        <v>0</v>
      </c>
      <c r="EN63" s="34" t="n">
        <f aca="false">EN$38*INDEX(Precio_O,18)*INDEX(IdxPrecio_O,1,MIN(10,EN$17))*(1+P_dPrecio)</f>
        <v>0</v>
      </c>
      <c r="EO63" s="34" t="n">
        <f aca="false">EO$38*INDEX(Precio_O,18)*INDEX(IdxPrecio_O,1,MIN(10,EO$17))*(1+P_dPrecio)</f>
        <v>0</v>
      </c>
      <c r="EP63" s="34" t="n">
        <f aca="false">EP$38*INDEX(Precio_O,18)*INDEX(IdxPrecio_O,1,MIN(10,EP$17))*(1+P_dPrecio)</f>
        <v>0</v>
      </c>
      <c r="EQ63" s="34" t="n">
        <f aca="false">EQ$38*INDEX(Precio_O,18)*INDEX(IdxPrecio_O,1,MIN(10,EQ$17))*(1+P_dPrecio)</f>
        <v>0</v>
      </c>
      <c r="ER63" s="34" t="n">
        <f aca="false">ER$38*INDEX(Precio_O,18)*INDEX(IdxPrecio_O,1,MIN(10,ER$17))*(1+P_dPrecio)</f>
        <v>0</v>
      </c>
      <c r="ES63" s="34" t="n">
        <f aca="false">ES$38*INDEX(Precio_O,18)*INDEX(IdxPrecio_O,1,MIN(10,ES$17))*(1+P_dPrecio)</f>
        <v>0</v>
      </c>
    </row>
    <row r="64" customFormat="false" ht="15" hidden="false" customHeight="false" outlineLevel="0" collapsed="false">
      <c r="A64" s="2" t="s">
        <v>627</v>
      </c>
      <c r="B64" s="39" t="str">
        <f aca="false">IF(INDEX(Prod_Nombre,19)="","Producto 19",INDEX(Prod_Nombre,19))&amp;" — ventas USD"</f>
        <v>Producto 19 — ventas USD</v>
      </c>
      <c r="C64" s="6" t="s">
        <v>250</v>
      </c>
      <c r="E64" s="40" t="n">
        <f aca="false">SUM(F64:ES64)</f>
        <v>0</v>
      </c>
      <c r="F64" s="34" t="n">
        <f aca="false">F$39*INDEX(Precio_O,19)*INDEX(IdxPrecio_O,1,MIN(10,F$17))*(1+P_dPrecio)</f>
        <v>0</v>
      </c>
      <c r="G64" s="34" t="n">
        <f aca="false">G$39*INDEX(Precio_O,19)*INDEX(IdxPrecio_O,1,MIN(10,G$17))*(1+P_dPrecio)</f>
        <v>0</v>
      </c>
      <c r="H64" s="34" t="n">
        <f aca="false">H$39*INDEX(Precio_O,19)*INDEX(IdxPrecio_O,1,MIN(10,H$17))*(1+P_dPrecio)</f>
        <v>0</v>
      </c>
      <c r="I64" s="34" t="n">
        <f aca="false">I$39*INDEX(Precio_O,19)*INDEX(IdxPrecio_O,1,MIN(10,I$17))*(1+P_dPrecio)</f>
        <v>0</v>
      </c>
      <c r="J64" s="34" t="n">
        <f aca="false">J$39*INDEX(Precio_O,19)*INDEX(IdxPrecio_O,1,MIN(10,J$17))*(1+P_dPrecio)</f>
        <v>0</v>
      </c>
      <c r="K64" s="34" t="n">
        <f aca="false">K$39*INDEX(Precio_O,19)*INDEX(IdxPrecio_O,1,MIN(10,K$17))*(1+P_dPrecio)</f>
        <v>0</v>
      </c>
      <c r="L64" s="34" t="n">
        <f aca="false">L$39*INDEX(Precio_O,19)*INDEX(IdxPrecio_O,1,MIN(10,L$17))*(1+P_dPrecio)</f>
        <v>0</v>
      </c>
      <c r="M64" s="34" t="n">
        <f aca="false">M$39*INDEX(Precio_O,19)*INDEX(IdxPrecio_O,1,MIN(10,M$17))*(1+P_dPrecio)</f>
        <v>0</v>
      </c>
      <c r="N64" s="34" t="n">
        <f aca="false">N$39*INDEX(Precio_O,19)*INDEX(IdxPrecio_O,1,MIN(10,N$17))*(1+P_dPrecio)</f>
        <v>0</v>
      </c>
      <c r="O64" s="34" t="n">
        <f aca="false">O$39*INDEX(Precio_O,19)*INDEX(IdxPrecio_O,1,MIN(10,O$17))*(1+P_dPrecio)</f>
        <v>0</v>
      </c>
      <c r="P64" s="34" t="n">
        <f aca="false">P$39*INDEX(Precio_O,19)*INDEX(IdxPrecio_O,1,MIN(10,P$17))*(1+P_dPrecio)</f>
        <v>0</v>
      </c>
      <c r="Q64" s="34" t="n">
        <f aca="false">Q$39*INDEX(Precio_O,19)*INDEX(IdxPrecio_O,1,MIN(10,Q$17))*(1+P_dPrecio)</f>
        <v>0</v>
      </c>
      <c r="R64" s="34" t="n">
        <f aca="false">R$39*INDEX(Precio_O,19)*INDEX(IdxPrecio_O,1,MIN(10,R$17))*(1+P_dPrecio)</f>
        <v>0</v>
      </c>
      <c r="S64" s="34" t="n">
        <f aca="false">S$39*INDEX(Precio_O,19)*INDEX(IdxPrecio_O,1,MIN(10,S$17))*(1+P_dPrecio)</f>
        <v>0</v>
      </c>
      <c r="T64" s="34" t="n">
        <f aca="false">T$39*INDEX(Precio_O,19)*INDEX(IdxPrecio_O,1,MIN(10,T$17))*(1+P_dPrecio)</f>
        <v>0</v>
      </c>
      <c r="U64" s="34" t="n">
        <f aca="false">U$39*INDEX(Precio_O,19)*INDEX(IdxPrecio_O,1,MIN(10,U$17))*(1+P_dPrecio)</f>
        <v>0</v>
      </c>
      <c r="V64" s="34" t="n">
        <f aca="false">V$39*INDEX(Precio_O,19)*INDEX(IdxPrecio_O,1,MIN(10,V$17))*(1+P_dPrecio)</f>
        <v>0</v>
      </c>
      <c r="W64" s="34" t="n">
        <f aca="false">W$39*INDEX(Precio_O,19)*INDEX(IdxPrecio_O,1,MIN(10,W$17))*(1+P_dPrecio)</f>
        <v>0</v>
      </c>
      <c r="X64" s="34" t="n">
        <f aca="false">X$39*INDEX(Precio_O,19)*INDEX(IdxPrecio_O,1,MIN(10,X$17))*(1+P_dPrecio)</f>
        <v>0</v>
      </c>
      <c r="Y64" s="34" t="n">
        <f aca="false">Y$39*INDEX(Precio_O,19)*INDEX(IdxPrecio_O,1,MIN(10,Y$17))*(1+P_dPrecio)</f>
        <v>0</v>
      </c>
      <c r="Z64" s="34" t="n">
        <f aca="false">Z$39*INDEX(Precio_O,19)*INDEX(IdxPrecio_O,1,MIN(10,Z$17))*(1+P_dPrecio)</f>
        <v>0</v>
      </c>
      <c r="AA64" s="34" t="n">
        <f aca="false">AA$39*INDEX(Precio_O,19)*INDEX(IdxPrecio_O,1,MIN(10,AA$17))*(1+P_dPrecio)</f>
        <v>0</v>
      </c>
      <c r="AB64" s="34" t="n">
        <f aca="false">AB$39*INDEX(Precio_O,19)*INDEX(IdxPrecio_O,1,MIN(10,AB$17))*(1+P_dPrecio)</f>
        <v>0</v>
      </c>
      <c r="AC64" s="34" t="n">
        <f aca="false">AC$39*INDEX(Precio_O,19)*INDEX(IdxPrecio_O,1,MIN(10,AC$17))*(1+P_dPrecio)</f>
        <v>0</v>
      </c>
      <c r="AD64" s="34" t="n">
        <f aca="false">AD$39*INDEX(Precio_O,19)*INDEX(IdxPrecio_O,1,MIN(10,AD$17))*(1+P_dPrecio)</f>
        <v>0</v>
      </c>
      <c r="AE64" s="34" t="n">
        <f aca="false">AE$39*INDEX(Precio_O,19)*INDEX(IdxPrecio_O,1,MIN(10,AE$17))*(1+P_dPrecio)</f>
        <v>0</v>
      </c>
      <c r="AF64" s="34" t="n">
        <f aca="false">AF$39*INDEX(Precio_O,19)*INDEX(IdxPrecio_O,1,MIN(10,AF$17))*(1+P_dPrecio)</f>
        <v>0</v>
      </c>
      <c r="AG64" s="34" t="n">
        <f aca="false">AG$39*INDEX(Precio_O,19)*INDEX(IdxPrecio_O,1,MIN(10,AG$17))*(1+P_dPrecio)</f>
        <v>0</v>
      </c>
      <c r="AH64" s="34" t="n">
        <f aca="false">AH$39*INDEX(Precio_O,19)*INDEX(IdxPrecio_O,1,MIN(10,AH$17))*(1+P_dPrecio)</f>
        <v>0</v>
      </c>
      <c r="AI64" s="34" t="n">
        <f aca="false">AI$39*INDEX(Precio_O,19)*INDEX(IdxPrecio_O,1,MIN(10,AI$17))*(1+P_dPrecio)</f>
        <v>0</v>
      </c>
      <c r="AJ64" s="34" t="n">
        <f aca="false">AJ$39*INDEX(Precio_O,19)*INDEX(IdxPrecio_O,1,MIN(10,AJ$17))*(1+P_dPrecio)</f>
        <v>0</v>
      </c>
      <c r="AK64" s="34" t="n">
        <f aca="false">AK$39*INDEX(Precio_O,19)*INDEX(IdxPrecio_O,1,MIN(10,AK$17))*(1+P_dPrecio)</f>
        <v>0</v>
      </c>
      <c r="AL64" s="34" t="n">
        <f aca="false">AL$39*INDEX(Precio_O,19)*INDEX(IdxPrecio_O,1,MIN(10,AL$17))*(1+P_dPrecio)</f>
        <v>0</v>
      </c>
      <c r="AM64" s="34" t="n">
        <f aca="false">AM$39*INDEX(Precio_O,19)*INDEX(IdxPrecio_O,1,MIN(10,AM$17))*(1+P_dPrecio)</f>
        <v>0</v>
      </c>
      <c r="AN64" s="34" t="n">
        <f aca="false">AN$39*INDEX(Precio_O,19)*INDEX(IdxPrecio_O,1,MIN(10,AN$17))*(1+P_dPrecio)</f>
        <v>0</v>
      </c>
      <c r="AO64" s="34" t="n">
        <f aca="false">AO$39*INDEX(Precio_O,19)*INDEX(IdxPrecio_O,1,MIN(10,AO$17))*(1+P_dPrecio)</f>
        <v>0</v>
      </c>
      <c r="AP64" s="34" t="n">
        <f aca="false">AP$39*INDEX(Precio_O,19)*INDEX(IdxPrecio_O,1,MIN(10,AP$17))*(1+P_dPrecio)</f>
        <v>0</v>
      </c>
      <c r="AQ64" s="34" t="n">
        <f aca="false">AQ$39*INDEX(Precio_O,19)*INDEX(IdxPrecio_O,1,MIN(10,AQ$17))*(1+P_dPrecio)</f>
        <v>0</v>
      </c>
      <c r="AR64" s="34" t="n">
        <f aca="false">AR$39*INDEX(Precio_O,19)*INDEX(IdxPrecio_O,1,MIN(10,AR$17))*(1+P_dPrecio)</f>
        <v>0</v>
      </c>
      <c r="AS64" s="34" t="n">
        <f aca="false">AS$39*INDEX(Precio_O,19)*INDEX(IdxPrecio_O,1,MIN(10,AS$17))*(1+P_dPrecio)</f>
        <v>0</v>
      </c>
      <c r="AT64" s="34" t="n">
        <f aca="false">AT$39*INDEX(Precio_O,19)*INDEX(IdxPrecio_O,1,MIN(10,AT$17))*(1+P_dPrecio)</f>
        <v>0</v>
      </c>
      <c r="AU64" s="34" t="n">
        <f aca="false">AU$39*INDEX(Precio_O,19)*INDEX(IdxPrecio_O,1,MIN(10,AU$17))*(1+P_dPrecio)</f>
        <v>0</v>
      </c>
      <c r="AV64" s="34" t="n">
        <f aca="false">AV$39*INDEX(Precio_O,19)*INDEX(IdxPrecio_O,1,MIN(10,AV$17))*(1+P_dPrecio)</f>
        <v>0</v>
      </c>
      <c r="AW64" s="34" t="n">
        <f aca="false">AW$39*INDEX(Precio_O,19)*INDEX(IdxPrecio_O,1,MIN(10,AW$17))*(1+P_dPrecio)</f>
        <v>0</v>
      </c>
      <c r="AX64" s="34" t="n">
        <f aca="false">AX$39*INDEX(Precio_O,19)*INDEX(IdxPrecio_O,1,MIN(10,AX$17))*(1+P_dPrecio)</f>
        <v>0</v>
      </c>
      <c r="AY64" s="34" t="n">
        <f aca="false">AY$39*INDEX(Precio_O,19)*INDEX(IdxPrecio_O,1,MIN(10,AY$17))*(1+P_dPrecio)</f>
        <v>0</v>
      </c>
      <c r="AZ64" s="34" t="n">
        <f aca="false">AZ$39*INDEX(Precio_O,19)*INDEX(IdxPrecio_O,1,MIN(10,AZ$17))*(1+P_dPrecio)</f>
        <v>0</v>
      </c>
      <c r="BA64" s="34" t="n">
        <f aca="false">BA$39*INDEX(Precio_O,19)*INDEX(IdxPrecio_O,1,MIN(10,BA$17))*(1+P_dPrecio)</f>
        <v>0</v>
      </c>
      <c r="BB64" s="34" t="n">
        <f aca="false">BB$39*INDEX(Precio_O,19)*INDEX(IdxPrecio_O,1,MIN(10,BB$17))*(1+P_dPrecio)</f>
        <v>0</v>
      </c>
      <c r="BC64" s="34" t="n">
        <f aca="false">BC$39*INDEX(Precio_O,19)*INDEX(IdxPrecio_O,1,MIN(10,BC$17))*(1+P_dPrecio)</f>
        <v>0</v>
      </c>
      <c r="BD64" s="34" t="n">
        <f aca="false">BD$39*INDEX(Precio_O,19)*INDEX(IdxPrecio_O,1,MIN(10,BD$17))*(1+P_dPrecio)</f>
        <v>0</v>
      </c>
      <c r="BE64" s="34" t="n">
        <f aca="false">BE$39*INDEX(Precio_O,19)*INDEX(IdxPrecio_O,1,MIN(10,BE$17))*(1+P_dPrecio)</f>
        <v>0</v>
      </c>
      <c r="BF64" s="34" t="n">
        <f aca="false">BF$39*INDEX(Precio_O,19)*INDEX(IdxPrecio_O,1,MIN(10,BF$17))*(1+P_dPrecio)</f>
        <v>0</v>
      </c>
      <c r="BG64" s="34" t="n">
        <f aca="false">BG$39*INDEX(Precio_O,19)*INDEX(IdxPrecio_O,1,MIN(10,BG$17))*(1+P_dPrecio)</f>
        <v>0</v>
      </c>
      <c r="BH64" s="34" t="n">
        <f aca="false">BH$39*INDEX(Precio_O,19)*INDEX(IdxPrecio_O,1,MIN(10,BH$17))*(1+P_dPrecio)</f>
        <v>0</v>
      </c>
      <c r="BI64" s="34" t="n">
        <f aca="false">BI$39*INDEX(Precio_O,19)*INDEX(IdxPrecio_O,1,MIN(10,BI$17))*(1+P_dPrecio)</f>
        <v>0</v>
      </c>
      <c r="BJ64" s="34" t="n">
        <f aca="false">BJ$39*INDEX(Precio_O,19)*INDEX(IdxPrecio_O,1,MIN(10,BJ$17))*(1+P_dPrecio)</f>
        <v>0</v>
      </c>
      <c r="BK64" s="34" t="n">
        <f aca="false">BK$39*INDEX(Precio_O,19)*INDEX(IdxPrecio_O,1,MIN(10,BK$17))*(1+P_dPrecio)</f>
        <v>0</v>
      </c>
      <c r="BL64" s="34" t="n">
        <f aca="false">BL$39*INDEX(Precio_O,19)*INDEX(IdxPrecio_O,1,MIN(10,BL$17))*(1+P_dPrecio)</f>
        <v>0</v>
      </c>
      <c r="BM64" s="34" t="n">
        <f aca="false">BM$39*INDEX(Precio_O,19)*INDEX(IdxPrecio_O,1,MIN(10,BM$17))*(1+P_dPrecio)</f>
        <v>0</v>
      </c>
      <c r="BN64" s="34" t="n">
        <f aca="false">BN$39*INDEX(Precio_O,19)*INDEX(IdxPrecio_O,1,MIN(10,BN$17))*(1+P_dPrecio)</f>
        <v>0</v>
      </c>
      <c r="BO64" s="34" t="n">
        <f aca="false">BO$39*INDEX(Precio_O,19)*INDEX(IdxPrecio_O,1,MIN(10,BO$17))*(1+P_dPrecio)</f>
        <v>0</v>
      </c>
      <c r="BP64" s="34" t="n">
        <f aca="false">BP$39*INDEX(Precio_O,19)*INDEX(IdxPrecio_O,1,MIN(10,BP$17))*(1+P_dPrecio)</f>
        <v>0</v>
      </c>
      <c r="BQ64" s="34" t="n">
        <f aca="false">BQ$39*INDEX(Precio_O,19)*INDEX(IdxPrecio_O,1,MIN(10,BQ$17))*(1+P_dPrecio)</f>
        <v>0</v>
      </c>
      <c r="BR64" s="34" t="n">
        <f aca="false">BR$39*INDEX(Precio_O,19)*INDEX(IdxPrecio_O,1,MIN(10,BR$17))*(1+P_dPrecio)</f>
        <v>0</v>
      </c>
      <c r="BS64" s="34" t="n">
        <f aca="false">BS$39*INDEX(Precio_O,19)*INDEX(IdxPrecio_O,1,MIN(10,BS$17))*(1+P_dPrecio)</f>
        <v>0</v>
      </c>
      <c r="BT64" s="34" t="n">
        <f aca="false">BT$39*INDEX(Precio_O,19)*INDEX(IdxPrecio_O,1,MIN(10,BT$17))*(1+P_dPrecio)</f>
        <v>0</v>
      </c>
      <c r="BU64" s="34" t="n">
        <f aca="false">BU$39*INDEX(Precio_O,19)*INDEX(IdxPrecio_O,1,MIN(10,BU$17))*(1+P_dPrecio)</f>
        <v>0</v>
      </c>
      <c r="BV64" s="34" t="n">
        <f aca="false">BV$39*INDEX(Precio_O,19)*INDEX(IdxPrecio_O,1,MIN(10,BV$17))*(1+P_dPrecio)</f>
        <v>0</v>
      </c>
      <c r="BW64" s="34" t="n">
        <f aca="false">BW$39*INDEX(Precio_O,19)*INDEX(IdxPrecio_O,1,MIN(10,BW$17))*(1+P_dPrecio)</f>
        <v>0</v>
      </c>
      <c r="BX64" s="34" t="n">
        <f aca="false">BX$39*INDEX(Precio_O,19)*INDEX(IdxPrecio_O,1,MIN(10,BX$17))*(1+P_dPrecio)</f>
        <v>0</v>
      </c>
      <c r="BY64" s="34" t="n">
        <f aca="false">BY$39*INDEX(Precio_O,19)*INDEX(IdxPrecio_O,1,MIN(10,BY$17))*(1+P_dPrecio)</f>
        <v>0</v>
      </c>
      <c r="BZ64" s="34" t="n">
        <f aca="false">BZ$39*INDEX(Precio_O,19)*INDEX(IdxPrecio_O,1,MIN(10,BZ$17))*(1+P_dPrecio)</f>
        <v>0</v>
      </c>
      <c r="CA64" s="34" t="n">
        <f aca="false">CA$39*INDEX(Precio_O,19)*INDEX(IdxPrecio_O,1,MIN(10,CA$17))*(1+P_dPrecio)</f>
        <v>0</v>
      </c>
      <c r="CB64" s="34" t="n">
        <f aca="false">CB$39*INDEX(Precio_O,19)*INDEX(IdxPrecio_O,1,MIN(10,CB$17))*(1+P_dPrecio)</f>
        <v>0</v>
      </c>
      <c r="CC64" s="34" t="n">
        <f aca="false">CC$39*INDEX(Precio_O,19)*INDEX(IdxPrecio_O,1,MIN(10,CC$17))*(1+P_dPrecio)</f>
        <v>0</v>
      </c>
      <c r="CD64" s="34" t="n">
        <f aca="false">CD$39*INDEX(Precio_O,19)*INDEX(IdxPrecio_O,1,MIN(10,CD$17))*(1+P_dPrecio)</f>
        <v>0</v>
      </c>
      <c r="CE64" s="34" t="n">
        <f aca="false">CE$39*INDEX(Precio_O,19)*INDEX(IdxPrecio_O,1,MIN(10,CE$17))*(1+P_dPrecio)</f>
        <v>0</v>
      </c>
      <c r="CF64" s="34" t="n">
        <f aca="false">CF$39*INDEX(Precio_O,19)*INDEX(IdxPrecio_O,1,MIN(10,CF$17))*(1+P_dPrecio)</f>
        <v>0</v>
      </c>
      <c r="CG64" s="34" t="n">
        <f aca="false">CG$39*INDEX(Precio_O,19)*INDEX(IdxPrecio_O,1,MIN(10,CG$17))*(1+P_dPrecio)</f>
        <v>0</v>
      </c>
      <c r="CH64" s="34" t="n">
        <f aca="false">CH$39*INDEX(Precio_O,19)*INDEX(IdxPrecio_O,1,MIN(10,CH$17))*(1+P_dPrecio)</f>
        <v>0</v>
      </c>
      <c r="CI64" s="34" t="n">
        <f aca="false">CI$39*INDEX(Precio_O,19)*INDEX(IdxPrecio_O,1,MIN(10,CI$17))*(1+P_dPrecio)</f>
        <v>0</v>
      </c>
      <c r="CJ64" s="34" t="n">
        <f aca="false">CJ$39*INDEX(Precio_O,19)*INDEX(IdxPrecio_O,1,MIN(10,CJ$17))*(1+P_dPrecio)</f>
        <v>0</v>
      </c>
      <c r="CK64" s="34" t="n">
        <f aca="false">CK$39*INDEX(Precio_O,19)*INDEX(IdxPrecio_O,1,MIN(10,CK$17))*(1+P_dPrecio)</f>
        <v>0</v>
      </c>
      <c r="CL64" s="34" t="n">
        <f aca="false">CL$39*INDEX(Precio_O,19)*INDEX(IdxPrecio_O,1,MIN(10,CL$17))*(1+P_dPrecio)</f>
        <v>0</v>
      </c>
      <c r="CM64" s="34" t="n">
        <f aca="false">CM$39*INDEX(Precio_O,19)*INDEX(IdxPrecio_O,1,MIN(10,CM$17))*(1+P_dPrecio)</f>
        <v>0</v>
      </c>
      <c r="CN64" s="34" t="n">
        <f aca="false">CN$39*INDEX(Precio_O,19)*INDEX(IdxPrecio_O,1,MIN(10,CN$17))*(1+P_dPrecio)</f>
        <v>0</v>
      </c>
      <c r="CO64" s="34" t="n">
        <f aca="false">CO$39*INDEX(Precio_O,19)*INDEX(IdxPrecio_O,1,MIN(10,CO$17))*(1+P_dPrecio)</f>
        <v>0</v>
      </c>
      <c r="CP64" s="34" t="n">
        <f aca="false">CP$39*INDEX(Precio_O,19)*INDEX(IdxPrecio_O,1,MIN(10,CP$17))*(1+P_dPrecio)</f>
        <v>0</v>
      </c>
      <c r="CQ64" s="34" t="n">
        <f aca="false">CQ$39*INDEX(Precio_O,19)*INDEX(IdxPrecio_O,1,MIN(10,CQ$17))*(1+P_dPrecio)</f>
        <v>0</v>
      </c>
      <c r="CR64" s="34" t="n">
        <f aca="false">CR$39*INDEX(Precio_O,19)*INDEX(IdxPrecio_O,1,MIN(10,CR$17))*(1+P_dPrecio)</f>
        <v>0</v>
      </c>
      <c r="CS64" s="34" t="n">
        <f aca="false">CS$39*INDEX(Precio_O,19)*INDEX(IdxPrecio_O,1,MIN(10,CS$17))*(1+P_dPrecio)</f>
        <v>0</v>
      </c>
      <c r="CT64" s="34" t="n">
        <f aca="false">CT$39*INDEX(Precio_O,19)*INDEX(IdxPrecio_O,1,MIN(10,CT$17))*(1+P_dPrecio)</f>
        <v>0</v>
      </c>
      <c r="CU64" s="34" t="n">
        <f aca="false">CU$39*INDEX(Precio_O,19)*INDEX(IdxPrecio_O,1,MIN(10,CU$17))*(1+P_dPrecio)</f>
        <v>0</v>
      </c>
      <c r="CV64" s="34" t="n">
        <f aca="false">CV$39*INDEX(Precio_O,19)*INDEX(IdxPrecio_O,1,MIN(10,CV$17))*(1+P_dPrecio)</f>
        <v>0</v>
      </c>
      <c r="CW64" s="34" t="n">
        <f aca="false">CW$39*INDEX(Precio_O,19)*INDEX(IdxPrecio_O,1,MIN(10,CW$17))*(1+P_dPrecio)</f>
        <v>0</v>
      </c>
      <c r="CX64" s="34" t="n">
        <f aca="false">CX$39*INDEX(Precio_O,19)*INDEX(IdxPrecio_O,1,MIN(10,CX$17))*(1+P_dPrecio)</f>
        <v>0</v>
      </c>
      <c r="CY64" s="34" t="n">
        <f aca="false">CY$39*INDEX(Precio_O,19)*INDEX(IdxPrecio_O,1,MIN(10,CY$17))*(1+P_dPrecio)</f>
        <v>0</v>
      </c>
      <c r="CZ64" s="34" t="n">
        <f aca="false">CZ$39*INDEX(Precio_O,19)*INDEX(IdxPrecio_O,1,MIN(10,CZ$17))*(1+P_dPrecio)</f>
        <v>0</v>
      </c>
      <c r="DA64" s="34" t="n">
        <f aca="false">DA$39*INDEX(Precio_O,19)*INDEX(IdxPrecio_O,1,MIN(10,DA$17))*(1+P_dPrecio)</f>
        <v>0</v>
      </c>
      <c r="DB64" s="34" t="n">
        <f aca="false">DB$39*INDEX(Precio_O,19)*INDEX(IdxPrecio_O,1,MIN(10,DB$17))*(1+P_dPrecio)</f>
        <v>0</v>
      </c>
      <c r="DC64" s="34" t="n">
        <f aca="false">DC$39*INDEX(Precio_O,19)*INDEX(IdxPrecio_O,1,MIN(10,DC$17))*(1+P_dPrecio)</f>
        <v>0</v>
      </c>
      <c r="DD64" s="34" t="n">
        <f aca="false">DD$39*INDEX(Precio_O,19)*INDEX(IdxPrecio_O,1,MIN(10,DD$17))*(1+P_dPrecio)</f>
        <v>0</v>
      </c>
      <c r="DE64" s="34" t="n">
        <f aca="false">DE$39*INDEX(Precio_O,19)*INDEX(IdxPrecio_O,1,MIN(10,DE$17))*(1+P_dPrecio)</f>
        <v>0</v>
      </c>
      <c r="DF64" s="34" t="n">
        <f aca="false">DF$39*INDEX(Precio_O,19)*INDEX(IdxPrecio_O,1,MIN(10,DF$17))*(1+P_dPrecio)</f>
        <v>0</v>
      </c>
      <c r="DG64" s="34" t="n">
        <f aca="false">DG$39*INDEX(Precio_O,19)*INDEX(IdxPrecio_O,1,MIN(10,DG$17))*(1+P_dPrecio)</f>
        <v>0</v>
      </c>
      <c r="DH64" s="34" t="n">
        <f aca="false">DH$39*INDEX(Precio_O,19)*INDEX(IdxPrecio_O,1,MIN(10,DH$17))*(1+P_dPrecio)</f>
        <v>0</v>
      </c>
      <c r="DI64" s="34" t="n">
        <f aca="false">DI$39*INDEX(Precio_O,19)*INDEX(IdxPrecio_O,1,MIN(10,DI$17))*(1+P_dPrecio)</f>
        <v>0</v>
      </c>
      <c r="DJ64" s="34" t="n">
        <f aca="false">DJ$39*INDEX(Precio_O,19)*INDEX(IdxPrecio_O,1,MIN(10,DJ$17))*(1+P_dPrecio)</f>
        <v>0</v>
      </c>
      <c r="DK64" s="34" t="n">
        <f aca="false">DK$39*INDEX(Precio_O,19)*INDEX(IdxPrecio_O,1,MIN(10,DK$17))*(1+P_dPrecio)</f>
        <v>0</v>
      </c>
      <c r="DL64" s="34" t="n">
        <f aca="false">DL$39*INDEX(Precio_O,19)*INDEX(IdxPrecio_O,1,MIN(10,DL$17))*(1+P_dPrecio)</f>
        <v>0</v>
      </c>
      <c r="DM64" s="34" t="n">
        <f aca="false">DM$39*INDEX(Precio_O,19)*INDEX(IdxPrecio_O,1,MIN(10,DM$17))*(1+P_dPrecio)</f>
        <v>0</v>
      </c>
      <c r="DN64" s="34" t="n">
        <f aca="false">DN$39*INDEX(Precio_O,19)*INDEX(IdxPrecio_O,1,MIN(10,DN$17))*(1+P_dPrecio)</f>
        <v>0</v>
      </c>
      <c r="DO64" s="34" t="n">
        <f aca="false">DO$39*INDEX(Precio_O,19)*INDEX(IdxPrecio_O,1,MIN(10,DO$17))*(1+P_dPrecio)</f>
        <v>0</v>
      </c>
      <c r="DP64" s="34" t="n">
        <f aca="false">DP$39*INDEX(Precio_O,19)*INDEX(IdxPrecio_O,1,MIN(10,DP$17))*(1+P_dPrecio)</f>
        <v>0</v>
      </c>
      <c r="DQ64" s="34" t="n">
        <f aca="false">DQ$39*INDEX(Precio_O,19)*INDEX(IdxPrecio_O,1,MIN(10,DQ$17))*(1+P_dPrecio)</f>
        <v>0</v>
      </c>
      <c r="DR64" s="34" t="n">
        <f aca="false">DR$39*INDEX(Precio_O,19)*INDEX(IdxPrecio_O,1,MIN(10,DR$17))*(1+P_dPrecio)</f>
        <v>0</v>
      </c>
      <c r="DS64" s="34" t="n">
        <f aca="false">DS$39*INDEX(Precio_O,19)*INDEX(IdxPrecio_O,1,MIN(10,DS$17))*(1+P_dPrecio)</f>
        <v>0</v>
      </c>
      <c r="DT64" s="34" t="n">
        <f aca="false">DT$39*INDEX(Precio_O,19)*INDEX(IdxPrecio_O,1,MIN(10,DT$17))*(1+P_dPrecio)</f>
        <v>0</v>
      </c>
      <c r="DU64" s="34" t="n">
        <f aca="false">DU$39*INDEX(Precio_O,19)*INDEX(IdxPrecio_O,1,MIN(10,DU$17))*(1+P_dPrecio)</f>
        <v>0</v>
      </c>
      <c r="DV64" s="34" t="n">
        <f aca="false">DV$39*INDEX(Precio_O,19)*INDEX(IdxPrecio_O,1,MIN(10,DV$17))*(1+P_dPrecio)</f>
        <v>0</v>
      </c>
      <c r="DW64" s="34" t="n">
        <f aca="false">DW$39*INDEX(Precio_O,19)*INDEX(IdxPrecio_O,1,MIN(10,DW$17))*(1+P_dPrecio)</f>
        <v>0</v>
      </c>
      <c r="DX64" s="34" t="n">
        <f aca="false">DX$39*INDEX(Precio_O,19)*INDEX(IdxPrecio_O,1,MIN(10,DX$17))*(1+P_dPrecio)</f>
        <v>0</v>
      </c>
      <c r="DY64" s="34" t="n">
        <f aca="false">DY$39*INDEX(Precio_O,19)*INDEX(IdxPrecio_O,1,MIN(10,DY$17))*(1+P_dPrecio)</f>
        <v>0</v>
      </c>
      <c r="DZ64" s="34" t="n">
        <f aca="false">DZ$39*INDEX(Precio_O,19)*INDEX(IdxPrecio_O,1,MIN(10,DZ$17))*(1+P_dPrecio)</f>
        <v>0</v>
      </c>
      <c r="EA64" s="34" t="n">
        <f aca="false">EA$39*INDEX(Precio_O,19)*INDEX(IdxPrecio_O,1,MIN(10,EA$17))*(1+P_dPrecio)</f>
        <v>0</v>
      </c>
      <c r="EB64" s="34" t="n">
        <f aca="false">EB$39*INDEX(Precio_O,19)*INDEX(IdxPrecio_O,1,MIN(10,EB$17))*(1+P_dPrecio)</f>
        <v>0</v>
      </c>
      <c r="EC64" s="34" t="n">
        <f aca="false">EC$39*INDEX(Precio_O,19)*INDEX(IdxPrecio_O,1,MIN(10,EC$17))*(1+P_dPrecio)</f>
        <v>0</v>
      </c>
      <c r="ED64" s="34" t="n">
        <f aca="false">ED$39*INDEX(Precio_O,19)*INDEX(IdxPrecio_O,1,MIN(10,ED$17))*(1+P_dPrecio)</f>
        <v>0</v>
      </c>
      <c r="EE64" s="34" t="n">
        <f aca="false">EE$39*INDEX(Precio_O,19)*INDEX(IdxPrecio_O,1,MIN(10,EE$17))*(1+P_dPrecio)</f>
        <v>0</v>
      </c>
      <c r="EF64" s="34" t="n">
        <f aca="false">EF$39*INDEX(Precio_O,19)*INDEX(IdxPrecio_O,1,MIN(10,EF$17))*(1+P_dPrecio)</f>
        <v>0</v>
      </c>
      <c r="EG64" s="34" t="n">
        <f aca="false">EG$39*INDEX(Precio_O,19)*INDEX(IdxPrecio_O,1,MIN(10,EG$17))*(1+P_dPrecio)</f>
        <v>0</v>
      </c>
      <c r="EH64" s="34" t="n">
        <f aca="false">EH$39*INDEX(Precio_O,19)*INDEX(IdxPrecio_O,1,MIN(10,EH$17))*(1+P_dPrecio)</f>
        <v>0</v>
      </c>
      <c r="EI64" s="34" t="n">
        <f aca="false">EI$39*INDEX(Precio_O,19)*INDEX(IdxPrecio_O,1,MIN(10,EI$17))*(1+P_dPrecio)</f>
        <v>0</v>
      </c>
      <c r="EJ64" s="34" t="n">
        <f aca="false">EJ$39*INDEX(Precio_O,19)*INDEX(IdxPrecio_O,1,MIN(10,EJ$17))*(1+P_dPrecio)</f>
        <v>0</v>
      </c>
      <c r="EK64" s="34" t="n">
        <f aca="false">EK$39*INDEX(Precio_O,19)*INDEX(IdxPrecio_O,1,MIN(10,EK$17))*(1+P_dPrecio)</f>
        <v>0</v>
      </c>
      <c r="EL64" s="34" t="n">
        <f aca="false">EL$39*INDEX(Precio_O,19)*INDEX(IdxPrecio_O,1,MIN(10,EL$17))*(1+P_dPrecio)</f>
        <v>0</v>
      </c>
      <c r="EM64" s="34" t="n">
        <f aca="false">EM$39*INDEX(Precio_O,19)*INDEX(IdxPrecio_O,1,MIN(10,EM$17))*(1+P_dPrecio)</f>
        <v>0</v>
      </c>
      <c r="EN64" s="34" t="n">
        <f aca="false">EN$39*INDEX(Precio_O,19)*INDEX(IdxPrecio_O,1,MIN(10,EN$17))*(1+P_dPrecio)</f>
        <v>0</v>
      </c>
      <c r="EO64" s="34" t="n">
        <f aca="false">EO$39*INDEX(Precio_O,19)*INDEX(IdxPrecio_O,1,MIN(10,EO$17))*(1+P_dPrecio)</f>
        <v>0</v>
      </c>
      <c r="EP64" s="34" t="n">
        <f aca="false">EP$39*INDEX(Precio_O,19)*INDEX(IdxPrecio_O,1,MIN(10,EP$17))*(1+P_dPrecio)</f>
        <v>0</v>
      </c>
      <c r="EQ64" s="34" t="n">
        <f aca="false">EQ$39*INDEX(Precio_O,19)*INDEX(IdxPrecio_O,1,MIN(10,EQ$17))*(1+P_dPrecio)</f>
        <v>0</v>
      </c>
      <c r="ER64" s="34" t="n">
        <f aca="false">ER$39*INDEX(Precio_O,19)*INDEX(IdxPrecio_O,1,MIN(10,ER$17))*(1+P_dPrecio)</f>
        <v>0</v>
      </c>
      <c r="ES64" s="34" t="n">
        <f aca="false">ES$39*INDEX(Precio_O,19)*INDEX(IdxPrecio_O,1,MIN(10,ES$17))*(1+P_dPrecio)</f>
        <v>0</v>
      </c>
    </row>
    <row r="65" customFormat="false" ht="15" hidden="false" customHeight="false" outlineLevel="0" collapsed="false">
      <c r="A65" s="2" t="s">
        <v>628</v>
      </c>
      <c r="B65" s="39" t="str">
        <f aca="false">IF(INDEX(Prod_Nombre,20)="","Producto 20",INDEX(Prod_Nombre,20))&amp;" — ventas USD"</f>
        <v>Producto 20 — ventas USD</v>
      </c>
      <c r="C65" s="6" t="s">
        <v>250</v>
      </c>
      <c r="E65" s="40" t="n">
        <f aca="false">SUM(F65:ES65)</f>
        <v>0</v>
      </c>
      <c r="F65" s="34" t="n">
        <f aca="false">F$40*INDEX(Precio_O,20)*INDEX(IdxPrecio_O,1,MIN(10,F$17))*(1+P_dPrecio)</f>
        <v>0</v>
      </c>
      <c r="G65" s="34" t="n">
        <f aca="false">G$40*INDEX(Precio_O,20)*INDEX(IdxPrecio_O,1,MIN(10,G$17))*(1+P_dPrecio)</f>
        <v>0</v>
      </c>
      <c r="H65" s="34" t="n">
        <f aca="false">H$40*INDEX(Precio_O,20)*INDEX(IdxPrecio_O,1,MIN(10,H$17))*(1+P_dPrecio)</f>
        <v>0</v>
      </c>
      <c r="I65" s="34" t="n">
        <f aca="false">I$40*INDEX(Precio_O,20)*INDEX(IdxPrecio_O,1,MIN(10,I$17))*(1+P_dPrecio)</f>
        <v>0</v>
      </c>
      <c r="J65" s="34" t="n">
        <f aca="false">J$40*INDEX(Precio_O,20)*INDEX(IdxPrecio_O,1,MIN(10,J$17))*(1+P_dPrecio)</f>
        <v>0</v>
      </c>
      <c r="K65" s="34" t="n">
        <f aca="false">K$40*INDEX(Precio_O,20)*INDEX(IdxPrecio_O,1,MIN(10,K$17))*(1+P_dPrecio)</f>
        <v>0</v>
      </c>
      <c r="L65" s="34" t="n">
        <f aca="false">L$40*INDEX(Precio_O,20)*INDEX(IdxPrecio_O,1,MIN(10,L$17))*(1+P_dPrecio)</f>
        <v>0</v>
      </c>
      <c r="M65" s="34" t="n">
        <f aca="false">M$40*INDEX(Precio_O,20)*INDEX(IdxPrecio_O,1,MIN(10,M$17))*(1+P_dPrecio)</f>
        <v>0</v>
      </c>
      <c r="N65" s="34" t="n">
        <f aca="false">N$40*INDEX(Precio_O,20)*INDEX(IdxPrecio_O,1,MIN(10,N$17))*(1+P_dPrecio)</f>
        <v>0</v>
      </c>
      <c r="O65" s="34" t="n">
        <f aca="false">O$40*INDEX(Precio_O,20)*INDEX(IdxPrecio_O,1,MIN(10,O$17))*(1+P_dPrecio)</f>
        <v>0</v>
      </c>
      <c r="P65" s="34" t="n">
        <f aca="false">P$40*INDEX(Precio_O,20)*INDEX(IdxPrecio_O,1,MIN(10,P$17))*(1+P_dPrecio)</f>
        <v>0</v>
      </c>
      <c r="Q65" s="34" t="n">
        <f aca="false">Q$40*INDEX(Precio_O,20)*INDEX(IdxPrecio_O,1,MIN(10,Q$17))*(1+P_dPrecio)</f>
        <v>0</v>
      </c>
      <c r="R65" s="34" t="n">
        <f aca="false">R$40*INDEX(Precio_O,20)*INDEX(IdxPrecio_O,1,MIN(10,R$17))*(1+P_dPrecio)</f>
        <v>0</v>
      </c>
      <c r="S65" s="34" t="n">
        <f aca="false">S$40*INDEX(Precio_O,20)*INDEX(IdxPrecio_O,1,MIN(10,S$17))*(1+P_dPrecio)</f>
        <v>0</v>
      </c>
      <c r="T65" s="34" t="n">
        <f aca="false">T$40*INDEX(Precio_O,20)*INDEX(IdxPrecio_O,1,MIN(10,T$17))*(1+P_dPrecio)</f>
        <v>0</v>
      </c>
      <c r="U65" s="34" t="n">
        <f aca="false">U$40*INDEX(Precio_O,20)*INDEX(IdxPrecio_O,1,MIN(10,U$17))*(1+P_dPrecio)</f>
        <v>0</v>
      </c>
      <c r="V65" s="34" t="n">
        <f aca="false">V$40*INDEX(Precio_O,20)*INDEX(IdxPrecio_O,1,MIN(10,V$17))*(1+P_dPrecio)</f>
        <v>0</v>
      </c>
      <c r="W65" s="34" t="n">
        <f aca="false">W$40*INDEX(Precio_O,20)*INDEX(IdxPrecio_O,1,MIN(10,W$17))*(1+P_dPrecio)</f>
        <v>0</v>
      </c>
      <c r="X65" s="34" t="n">
        <f aca="false">X$40*INDEX(Precio_O,20)*INDEX(IdxPrecio_O,1,MIN(10,X$17))*(1+P_dPrecio)</f>
        <v>0</v>
      </c>
      <c r="Y65" s="34" t="n">
        <f aca="false">Y$40*INDEX(Precio_O,20)*INDEX(IdxPrecio_O,1,MIN(10,Y$17))*(1+P_dPrecio)</f>
        <v>0</v>
      </c>
      <c r="Z65" s="34" t="n">
        <f aca="false">Z$40*INDEX(Precio_O,20)*INDEX(IdxPrecio_O,1,MIN(10,Z$17))*(1+P_dPrecio)</f>
        <v>0</v>
      </c>
      <c r="AA65" s="34" t="n">
        <f aca="false">AA$40*INDEX(Precio_O,20)*INDEX(IdxPrecio_O,1,MIN(10,AA$17))*(1+P_dPrecio)</f>
        <v>0</v>
      </c>
      <c r="AB65" s="34" t="n">
        <f aca="false">AB$40*INDEX(Precio_O,20)*INDEX(IdxPrecio_O,1,MIN(10,AB$17))*(1+P_dPrecio)</f>
        <v>0</v>
      </c>
      <c r="AC65" s="34" t="n">
        <f aca="false">AC$40*INDEX(Precio_O,20)*INDEX(IdxPrecio_O,1,MIN(10,AC$17))*(1+P_dPrecio)</f>
        <v>0</v>
      </c>
      <c r="AD65" s="34" t="n">
        <f aca="false">AD$40*INDEX(Precio_O,20)*INDEX(IdxPrecio_O,1,MIN(10,AD$17))*(1+P_dPrecio)</f>
        <v>0</v>
      </c>
      <c r="AE65" s="34" t="n">
        <f aca="false">AE$40*INDEX(Precio_O,20)*INDEX(IdxPrecio_O,1,MIN(10,AE$17))*(1+P_dPrecio)</f>
        <v>0</v>
      </c>
      <c r="AF65" s="34" t="n">
        <f aca="false">AF$40*INDEX(Precio_O,20)*INDEX(IdxPrecio_O,1,MIN(10,AF$17))*(1+P_dPrecio)</f>
        <v>0</v>
      </c>
      <c r="AG65" s="34" t="n">
        <f aca="false">AG$40*INDEX(Precio_O,20)*INDEX(IdxPrecio_O,1,MIN(10,AG$17))*(1+P_dPrecio)</f>
        <v>0</v>
      </c>
      <c r="AH65" s="34" t="n">
        <f aca="false">AH$40*INDEX(Precio_O,20)*INDEX(IdxPrecio_O,1,MIN(10,AH$17))*(1+P_dPrecio)</f>
        <v>0</v>
      </c>
      <c r="AI65" s="34" t="n">
        <f aca="false">AI$40*INDEX(Precio_O,20)*INDEX(IdxPrecio_O,1,MIN(10,AI$17))*(1+P_dPrecio)</f>
        <v>0</v>
      </c>
      <c r="AJ65" s="34" t="n">
        <f aca="false">AJ$40*INDEX(Precio_O,20)*INDEX(IdxPrecio_O,1,MIN(10,AJ$17))*(1+P_dPrecio)</f>
        <v>0</v>
      </c>
      <c r="AK65" s="34" t="n">
        <f aca="false">AK$40*INDEX(Precio_O,20)*INDEX(IdxPrecio_O,1,MIN(10,AK$17))*(1+P_dPrecio)</f>
        <v>0</v>
      </c>
      <c r="AL65" s="34" t="n">
        <f aca="false">AL$40*INDEX(Precio_O,20)*INDEX(IdxPrecio_O,1,MIN(10,AL$17))*(1+P_dPrecio)</f>
        <v>0</v>
      </c>
      <c r="AM65" s="34" t="n">
        <f aca="false">AM$40*INDEX(Precio_O,20)*INDEX(IdxPrecio_O,1,MIN(10,AM$17))*(1+P_dPrecio)</f>
        <v>0</v>
      </c>
      <c r="AN65" s="34" t="n">
        <f aca="false">AN$40*INDEX(Precio_O,20)*INDEX(IdxPrecio_O,1,MIN(10,AN$17))*(1+P_dPrecio)</f>
        <v>0</v>
      </c>
      <c r="AO65" s="34" t="n">
        <f aca="false">AO$40*INDEX(Precio_O,20)*INDEX(IdxPrecio_O,1,MIN(10,AO$17))*(1+P_dPrecio)</f>
        <v>0</v>
      </c>
      <c r="AP65" s="34" t="n">
        <f aca="false">AP$40*INDEX(Precio_O,20)*INDEX(IdxPrecio_O,1,MIN(10,AP$17))*(1+P_dPrecio)</f>
        <v>0</v>
      </c>
      <c r="AQ65" s="34" t="n">
        <f aca="false">AQ$40*INDEX(Precio_O,20)*INDEX(IdxPrecio_O,1,MIN(10,AQ$17))*(1+P_dPrecio)</f>
        <v>0</v>
      </c>
      <c r="AR65" s="34" t="n">
        <f aca="false">AR$40*INDEX(Precio_O,20)*INDEX(IdxPrecio_O,1,MIN(10,AR$17))*(1+P_dPrecio)</f>
        <v>0</v>
      </c>
      <c r="AS65" s="34" t="n">
        <f aca="false">AS$40*INDEX(Precio_O,20)*INDEX(IdxPrecio_O,1,MIN(10,AS$17))*(1+P_dPrecio)</f>
        <v>0</v>
      </c>
      <c r="AT65" s="34" t="n">
        <f aca="false">AT$40*INDEX(Precio_O,20)*INDEX(IdxPrecio_O,1,MIN(10,AT$17))*(1+P_dPrecio)</f>
        <v>0</v>
      </c>
      <c r="AU65" s="34" t="n">
        <f aca="false">AU$40*INDEX(Precio_O,20)*INDEX(IdxPrecio_O,1,MIN(10,AU$17))*(1+P_dPrecio)</f>
        <v>0</v>
      </c>
      <c r="AV65" s="34" t="n">
        <f aca="false">AV$40*INDEX(Precio_O,20)*INDEX(IdxPrecio_O,1,MIN(10,AV$17))*(1+P_dPrecio)</f>
        <v>0</v>
      </c>
      <c r="AW65" s="34" t="n">
        <f aca="false">AW$40*INDEX(Precio_O,20)*INDEX(IdxPrecio_O,1,MIN(10,AW$17))*(1+P_dPrecio)</f>
        <v>0</v>
      </c>
      <c r="AX65" s="34" t="n">
        <f aca="false">AX$40*INDEX(Precio_O,20)*INDEX(IdxPrecio_O,1,MIN(10,AX$17))*(1+P_dPrecio)</f>
        <v>0</v>
      </c>
      <c r="AY65" s="34" t="n">
        <f aca="false">AY$40*INDEX(Precio_O,20)*INDEX(IdxPrecio_O,1,MIN(10,AY$17))*(1+P_dPrecio)</f>
        <v>0</v>
      </c>
      <c r="AZ65" s="34" t="n">
        <f aca="false">AZ$40*INDEX(Precio_O,20)*INDEX(IdxPrecio_O,1,MIN(10,AZ$17))*(1+P_dPrecio)</f>
        <v>0</v>
      </c>
      <c r="BA65" s="34" t="n">
        <f aca="false">BA$40*INDEX(Precio_O,20)*INDEX(IdxPrecio_O,1,MIN(10,BA$17))*(1+P_dPrecio)</f>
        <v>0</v>
      </c>
      <c r="BB65" s="34" t="n">
        <f aca="false">BB$40*INDEX(Precio_O,20)*INDEX(IdxPrecio_O,1,MIN(10,BB$17))*(1+P_dPrecio)</f>
        <v>0</v>
      </c>
      <c r="BC65" s="34" t="n">
        <f aca="false">BC$40*INDEX(Precio_O,20)*INDEX(IdxPrecio_O,1,MIN(10,BC$17))*(1+P_dPrecio)</f>
        <v>0</v>
      </c>
      <c r="BD65" s="34" t="n">
        <f aca="false">BD$40*INDEX(Precio_O,20)*INDEX(IdxPrecio_O,1,MIN(10,BD$17))*(1+P_dPrecio)</f>
        <v>0</v>
      </c>
      <c r="BE65" s="34" t="n">
        <f aca="false">BE$40*INDEX(Precio_O,20)*INDEX(IdxPrecio_O,1,MIN(10,BE$17))*(1+P_dPrecio)</f>
        <v>0</v>
      </c>
      <c r="BF65" s="34" t="n">
        <f aca="false">BF$40*INDEX(Precio_O,20)*INDEX(IdxPrecio_O,1,MIN(10,BF$17))*(1+P_dPrecio)</f>
        <v>0</v>
      </c>
      <c r="BG65" s="34" t="n">
        <f aca="false">BG$40*INDEX(Precio_O,20)*INDEX(IdxPrecio_O,1,MIN(10,BG$17))*(1+P_dPrecio)</f>
        <v>0</v>
      </c>
      <c r="BH65" s="34" t="n">
        <f aca="false">BH$40*INDEX(Precio_O,20)*INDEX(IdxPrecio_O,1,MIN(10,BH$17))*(1+P_dPrecio)</f>
        <v>0</v>
      </c>
      <c r="BI65" s="34" t="n">
        <f aca="false">BI$40*INDEX(Precio_O,20)*INDEX(IdxPrecio_O,1,MIN(10,BI$17))*(1+P_dPrecio)</f>
        <v>0</v>
      </c>
      <c r="BJ65" s="34" t="n">
        <f aca="false">BJ$40*INDEX(Precio_O,20)*INDEX(IdxPrecio_O,1,MIN(10,BJ$17))*(1+P_dPrecio)</f>
        <v>0</v>
      </c>
      <c r="BK65" s="34" t="n">
        <f aca="false">BK$40*INDEX(Precio_O,20)*INDEX(IdxPrecio_O,1,MIN(10,BK$17))*(1+P_dPrecio)</f>
        <v>0</v>
      </c>
      <c r="BL65" s="34" t="n">
        <f aca="false">BL$40*INDEX(Precio_O,20)*INDEX(IdxPrecio_O,1,MIN(10,BL$17))*(1+P_dPrecio)</f>
        <v>0</v>
      </c>
      <c r="BM65" s="34" t="n">
        <f aca="false">BM$40*INDEX(Precio_O,20)*INDEX(IdxPrecio_O,1,MIN(10,BM$17))*(1+P_dPrecio)</f>
        <v>0</v>
      </c>
      <c r="BN65" s="34" t="n">
        <f aca="false">BN$40*INDEX(Precio_O,20)*INDEX(IdxPrecio_O,1,MIN(10,BN$17))*(1+P_dPrecio)</f>
        <v>0</v>
      </c>
      <c r="BO65" s="34" t="n">
        <f aca="false">BO$40*INDEX(Precio_O,20)*INDEX(IdxPrecio_O,1,MIN(10,BO$17))*(1+P_dPrecio)</f>
        <v>0</v>
      </c>
      <c r="BP65" s="34" t="n">
        <f aca="false">BP$40*INDEX(Precio_O,20)*INDEX(IdxPrecio_O,1,MIN(10,BP$17))*(1+P_dPrecio)</f>
        <v>0</v>
      </c>
      <c r="BQ65" s="34" t="n">
        <f aca="false">BQ$40*INDEX(Precio_O,20)*INDEX(IdxPrecio_O,1,MIN(10,BQ$17))*(1+P_dPrecio)</f>
        <v>0</v>
      </c>
      <c r="BR65" s="34" t="n">
        <f aca="false">BR$40*INDEX(Precio_O,20)*INDEX(IdxPrecio_O,1,MIN(10,BR$17))*(1+P_dPrecio)</f>
        <v>0</v>
      </c>
      <c r="BS65" s="34" t="n">
        <f aca="false">BS$40*INDEX(Precio_O,20)*INDEX(IdxPrecio_O,1,MIN(10,BS$17))*(1+P_dPrecio)</f>
        <v>0</v>
      </c>
      <c r="BT65" s="34" t="n">
        <f aca="false">BT$40*INDEX(Precio_O,20)*INDEX(IdxPrecio_O,1,MIN(10,BT$17))*(1+P_dPrecio)</f>
        <v>0</v>
      </c>
      <c r="BU65" s="34" t="n">
        <f aca="false">BU$40*INDEX(Precio_O,20)*INDEX(IdxPrecio_O,1,MIN(10,BU$17))*(1+P_dPrecio)</f>
        <v>0</v>
      </c>
      <c r="BV65" s="34" t="n">
        <f aca="false">BV$40*INDEX(Precio_O,20)*INDEX(IdxPrecio_O,1,MIN(10,BV$17))*(1+P_dPrecio)</f>
        <v>0</v>
      </c>
      <c r="BW65" s="34" t="n">
        <f aca="false">BW$40*INDEX(Precio_O,20)*INDEX(IdxPrecio_O,1,MIN(10,BW$17))*(1+P_dPrecio)</f>
        <v>0</v>
      </c>
      <c r="BX65" s="34" t="n">
        <f aca="false">BX$40*INDEX(Precio_O,20)*INDEX(IdxPrecio_O,1,MIN(10,BX$17))*(1+P_dPrecio)</f>
        <v>0</v>
      </c>
      <c r="BY65" s="34" t="n">
        <f aca="false">BY$40*INDEX(Precio_O,20)*INDEX(IdxPrecio_O,1,MIN(10,BY$17))*(1+P_dPrecio)</f>
        <v>0</v>
      </c>
      <c r="BZ65" s="34" t="n">
        <f aca="false">BZ$40*INDEX(Precio_O,20)*INDEX(IdxPrecio_O,1,MIN(10,BZ$17))*(1+P_dPrecio)</f>
        <v>0</v>
      </c>
      <c r="CA65" s="34" t="n">
        <f aca="false">CA$40*INDEX(Precio_O,20)*INDEX(IdxPrecio_O,1,MIN(10,CA$17))*(1+P_dPrecio)</f>
        <v>0</v>
      </c>
      <c r="CB65" s="34" t="n">
        <f aca="false">CB$40*INDEX(Precio_O,20)*INDEX(IdxPrecio_O,1,MIN(10,CB$17))*(1+P_dPrecio)</f>
        <v>0</v>
      </c>
      <c r="CC65" s="34" t="n">
        <f aca="false">CC$40*INDEX(Precio_O,20)*INDEX(IdxPrecio_O,1,MIN(10,CC$17))*(1+P_dPrecio)</f>
        <v>0</v>
      </c>
      <c r="CD65" s="34" t="n">
        <f aca="false">CD$40*INDEX(Precio_O,20)*INDEX(IdxPrecio_O,1,MIN(10,CD$17))*(1+P_dPrecio)</f>
        <v>0</v>
      </c>
      <c r="CE65" s="34" t="n">
        <f aca="false">CE$40*INDEX(Precio_O,20)*INDEX(IdxPrecio_O,1,MIN(10,CE$17))*(1+P_dPrecio)</f>
        <v>0</v>
      </c>
      <c r="CF65" s="34" t="n">
        <f aca="false">CF$40*INDEX(Precio_O,20)*INDEX(IdxPrecio_O,1,MIN(10,CF$17))*(1+P_dPrecio)</f>
        <v>0</v>
      </c>
      <c r="CG65" s="34" t="n">
        <f aca="false">CG$40*INDEX(Precio_O,20)*INDEX(IdxPrecio_O,1,MIN(10,CG$17))*(1+P_dPrecio)</f>
        <v>0</v>
      </c>
      <c r="CH65" s="34" t="n">
        <f aca="false">CH$40*INDEX(Precio_O,20)*INDEX(IdxPrecio_O,1,MIN(10,CH$17))*(1+P_dPrecio)</f>
        <v>0</v>
      </c>
      <c r="CI65" s="34" t="n">
        <f aca="false">CI$40*INDEX(Precio_O,20)*INDEX(IdxPrecio_O,1,MIN(10,CI$17))*(1+P_dPrecio)</f>
        <v>0</v>
      </c>
      <c r="CJ65" s="34" t="n">
        <f aca="false">CJ$40*INDEX(Precio_O,20)*INDEX(IdxPrecio_O,1,MIN(10,CJ$17))*(1+P_dPrecio)</f>
        <v>0</v>
      </c>
      <c r="CK65" s="34" t="n">
        <f aca="false">CK$40*INDEX(Precio_O,20)*INDEX(IdxPrecio_O,1,MIN(10,CK$17))*(1+P_dPrecio)</f>
        <v>0</v>
      </c>
      <c r="CL65" s="34" t="n">
        <f aca="false">CL$40*INDEX(Precio_O,20)*INDEX(IdxPrecio_O,1,MIN(10,CL$17))*(1+P_dPrecio)</f>
        <v>0</v>
      </c>
      <c r="CM65" s="34" t="n">
        <f aca="false">CM$40*INDEX(Precio_O,20)*INDEX(IdxPrecio_O,1,MIN(10,CM$17))*(1+P_dPrecio)</f>
        <v>0</v>
      </c>
      <c r="CN65" s="34" t="n">
        <f aca="false">CN$40*INDEX(Precio_O,20)*INDEX(IdxPrecio_O,1,MIN(10,CN$17))*(1+P_dPrecio)</f>
        <v>0</v>
      </c>
      <c r="CO65" s="34" t="n">
        <f aca="false">CO$40*INDEX(Precio_O,20)*INDEX(IdxPrecio_O,1,MIN(10,CO$17))*(1+P_dPrecio)</f>
        <v>0</v>
      </c>
      <c r="CP65" s="34" t="n">
        <f aca="false">CP$40*INDEX(Precio_O,20)*INDEX(IdxPrecio_O,1,MIN(10,CP$17))*(1+P_dPrecio)</f>
        <v>0</v>
      </c>
      <c r="CQ65" s="34" t="n">
        <f aca="false">CQ$40*INDEX(Precio_O,20)*INDEX(IdxPrecio_O,1,MIN(10,CQ$17))*(1+P_dPrecio)</f>
        <v>0</v>
      </c>
      <c r="CR65" s="34" t="n">
        <f aca="false">CR$40*INDEX(Precio_O,20)*INDEX(IdxPrecio_O,1,MIN(10,CR$17))*(1+P_dPrecio)</f>
        <v>0</v>
      </c>
      <c r="CS65" s="34" t="n">
        <f aca="false">CS$40*INDEX(Precio_O,20)*INDEX(IdxPrecio_O,1,MIN(10,CS$17))*(1+P_dPrecio)</f>
        <v>0</v>
      </c>
      <c r="CT65" s="34" t="n">
        <f aca="false">CT$40*INDEX(Precio_O,20)*INDEX(IdxPrecio_O,1,MIN(10,CT$17))*(1+P_dPrecio)</f>
        <v>0</v>
      </c>
      <c r="CU65" s="34" t="n">
        <f aca="false">CU$40*INDEX(Precio_O,20)*INDEX(IdxPrecio_O,1,MIN(10,CU$17))*(1+P_dPrecio)</f>
        <v>0</v>
      </c>
      <c r="CV65" s="34" t="n">
        <f aca="false">CV$40*INDEX(Precio_O,20)*INDEX(IdxPrecio_O,1,MIN(10,CV$17))*(1+P_dPrecio)</f>
        <v>0</v>
      </c>
      <c r="CW65" s="34" t="n">
        <f aca="false">CW$40*INDEX(Precio_O,20)*INDEX(IdxPrecio_O,1,MIN(10,CW$17))*(1+P_dPrecio)</f>
        <v>0</v>
      </c>
      <c r="CX65" s="34" t="n">
        <f aca="false">CX$40*INDEX(Precio_O,20)*INDEX(IdxPrecio_O,1,MIN(10,CX$17))*(1+P_dPrecio)</f>
        <v>0</v>
      </c>
      <c r="CY65" s="34" t="n">
        <f aca="false">CY$40*INDEX(Precio_O,20)*INDEX(IdxPrecio_O,1,MIN(10,CY$17))*(1+P_dPrecio)</f>
        <v>0</v>
      </c>
      <c r="CZ65" s="34" t="n">
        <f aca="false">CZ$40*INDEX(Precio_O,20)*INDEX(IdxPrecio_O,1,MIN(10,CZ$17))*(1+P_dPrecio)</f>
        <v>0</v>
      </c>
      <c r="DA65" s="34" t="n">
        <f aca="false">DA$40*INDEX(Precio_O,20)*INDEX(IdxPrecio_O,1,MIN(10,DA$17))*(1+P_dPrecio)</f>
        <v>0</v>
      </c>
      <c r="DB65" s="34" t="n">
        <f aca="false">DB$40*INDEX(Precio_O,20)*INDEX(IdxPrecio_O,1,MIN(10,DB$17))*(1+P_dPrecio)</f>
        <v>0</v>
      </c>
      <c r="DC65" s="34" t="n">
        <f aca="false">DC$40*INDEX(Precio_O,20)*INDEX(IdxPrecio_O,1,MIN(10,DC$17))*(1+P_dPrecio)</f>
        <v>0</v>
      </c>
      <c r="DD65" s="34" t="n">
        <f aca="false">DD$40*INDEX(Precio_O,20)*INDEX(IdxPrecio_O,1,MIN(10,DD$17))*(1+P_dPrecio)</f>
        <v>0</v>
      </c>
      <c r="DE65" s="34" t="n">
        <f aca="false">DE$40*INDEX(Precio_O,20)*INDEX(IdxPrecio_O,1,MIN(10,DE$17))*(1+P_dPrecio)</f>
        <v>0</v>
      </c>
      <c r="DF65" s="34" t="n">
        <f aca="false">DF$40*INDEX(Precio_O,20)*INDEX(IdxPrecio_O,1,MIN(10,DF$17))*(1+P_dPrecio)</f>
        <v>0</v>
      </c>
      <c r="DG65" s="34" t="n">
        <f aca="false">DG$40*INDEX(Precio_O,20)*INDEX(IdxPrecio_O,1,MIN(10,DG$17))*(1+P_dPrecio)</f>
        <v>0</v>
      </c>
      <c r="DH65" s="34" t="n">
        <f aca="false">DH$40*INDEX(Precio_O,20)*INDEX(IdxPrecio_O,1,MIN(10,DH$17))*(1+P_dPrecio)</f>
        <v>0</v>
      </c>
      <c r="DI65" s="34" t="n">
        <f aca="false">DI$40*INDEX(Precio_O,20)*INDEX(IdxPrecio_O,1,MIN(10,DI$17))*(1+P_dPrecio)</f>
        <v>0</v>
      </c>
      <c r="DJ65" s="34" t="n">
        <f aca="false">DJ$40*INDEX(Precio_O,20)*INDEX(IdxPrecio_O,1,MIN(10,DJ$17))*(1+P_dPrecio)</f>
        <v>0</v>
      </c>
      <c r="DK65" s="34" t="n">
        <f aca="false">DK$40*INDEX(Precio_O,20)*INDEX(IdxPrecio_O,1,MIN(10,DK$17))*(1+P_dPrecio)</f>
        <v>0</v>
      </c>
      <c r="DL65" s="34" t="n">
        <f aca="false">DL$40*INDEX(Precio_O,20)*INDEX(IdxPrecio_O,1,MIN(10,DL$17))*(1+P_dPrecio)</f>
        <v>0</v>
      </c>
      <c r="DM65" s="34" t="n">
        <f aca="false">DM$40*INDEX(Precio_O,20)*INDEX(IdxPrecio_O,1,MIN(10,DM$17))*(1+P_dPrecio)</f>
        <v>0</v>
      </c>
      <c r="DN65" s="34" t="n">
        <f aca="false">DN$40*INDEX(Precio_O,20)*INDEX(IdxPrecio_O,1,MIN(10,DN$17))*(1+P_dPrecio)</f>
        <v>0</v>
      </c>
      <c r="DO65" s="34" t="n">
        <f aca="false">DO$40*INDEX(Precio_O,20)*INDEX(IdxPrecio_O,1,MIN(10,DO$17))*(1+P_dPrecio)</f>
        <v>0</v>
      </c>
      <c r="DP65" s="34" t="n">
        <f aca="false">DP$40*INDEX(Precio_O,20)*INDEX(IdxPrecio_O,1,MIN(10,DP$17))*(1+P_dPrecio)</f>
        <v>0</v>
      </c>
      <c r="DQ65" s="34" t="n">
        <f aca="false">DQ$40*INDEX(Precio_O,20)*INDEX(IdxPrecio_O,1,MIN(10,DQ$17))*(1+P_dPrecio)</f>
        <v>0</v>
      </c>
      <c r="DR65" s="34" t="n">
        <f aca="false">DR$40*INDEX(Precio_O,20)*INDEX(IdxPrecio_O,1,MIN(10,DR$17))*(1+P_dPrecio)</f>
        <v>0</v>
      </c>
      <c r="DS65" s="34" t="n">
        <f aca="false">DS$40*INDEX(Precio_O,20)*INDEX(IdxPrecio_O,1,MIN(10,DS$17))*(1+P_dPrecio)</f>
        <v>0</v>
      </c>
      <c r="DT65" s="34" t="n">
        <f aca="false">DT$40*INDEX(Precio_O,20)*INDEX(IdxPrecio_O,1,MIN(10,DT$17))*(1+P_dPrecio)</f>
        <v>0</v>
      </c>
      <c r="DU65" s="34" t="n">
        <f aca="false">DU$40*INDEX(Precio_O,20)*INDEX(IdxPrecio_O,1,MIN(10,DU$17))*(1+P_dPrecio)</f>
        <v>0</v>
      </c>
      <c r="DV65" s="34" t="n">
        <f aca="false">DV$40*INDEX(Precio_O,20)*INDEX(IdxPrecio_O,1,MIN(10,DV$17))*(1+P_dPrecio)</f>
        <v>0</v>
      </c>
      <c r="DW65" s="34" t="n">
        <f aca="false">DW$40*INDEX(Precio_O,20)*INDEX(IdxPrecio_O,1,MIN(10,DW$17))*(1+P_dPrecio)</f>
        <v>0</v>
      </c>
      <c r="DX65" s="34" t="n">
        <f aca="false">DX$40*INDEX(Precio_O,20)*INDEX(IdxPrecio_O,1,MIN(10,DX$17))*(1+P_dPrecio)</f>
        <v>0</v>
      </c>
      <c r="DY65" s="34" t="n">
        <f aca="false">DY$40*INDEX(Precio_O,20)*INDEX(IdxPrecio_O,1,MIN(10,DY$17))*(1+P_dPrecio)</f>
        <v>0</v>
      </c>
      <c r="DZ65" s="34" t="n">
        <f aca="false">DZ$40*INDEX(Precio_O,20)*INDEX(IdxPrecio_O,1,MIN(10,DZ$17))*(1+P_dPrecio)</f>
        <v>0</v>
      </c>
      <c r="EA65" s="34" t="n">
        <f aca="false">EA$40*INDEX(Precio_O,20)*INDEX(IdxPrecio_O,1,MIN(10,EA$17))*(1+P_dPrecio)</f>
        <v>0</v>
      </c>
      <c r="EB65" s="34" t="n">
        <f aca="false">EB$40*INDEX(Precio_O,20)*INDEX(IdxPrecio_O,1,MIN(10,EB$17))*(1+P_dPrecio)</f>
        <v>0</v>
      </c>
      <c r="EC65" s="34" t="n">
        <f aca="false">EC$40*INDEX(Precio_O,20)*INDEX(IdxPrecio_O,1,MIN(10,EC$17))*(1+P_dPrecio)</f>
        <v>0</v>
      </c>
      <c r="ED65" s="34" t="n">
        <f aca="false">ED$40*INDEX(Precio_O,20)*INDEX(IdxPrecio_O,1,MIN(10,ED$17))*(1+P_dPrecio)</f>
        <v>0</v>
      </c>
      <c r="EE65" s="34" t="n">
        <f aca="false">EE$40*INDEX(Precio_O,20)*INDEX(IdxPrecio_O,1,MIN(10,EE$17))*(1+P_dPrecio)</f>
        <v>0</v>
      </c>
      <c r="EF65" s="34" t="n">
        <f aca="false">EF$40*INDEX(Precio_O,20)*INDEX(IdxPrecio_O,1,MIN(10,EF$17))*(1+P_dPrecio)</f>
        <v>0</v>
      </c>
      <c r="EG65" s="34" t="n">
        <f aca="false">EG$40*INDEX(Precio_O,20)*INDEX(IdxPrecio_O,1,MIN(10,EG$17))*(1+P_dPrecio)</f>
        <v>0</v>
      </c>
      <c r="EH65" s="34" t="n">
        <f aca="false">EH$40*INDEX(Precio_O,20)*INDEX(IdxPrecio_O,1,MIN(10,EH$17))*(1+P_dPrecio)</f>
        <v>0</v>
      </c>
      <c r="EI65" s="34" t="n">
        <f aca="false">EI$40*INDEX(Precio_O,20)*INDEX(IdxPrecio_O,1,MIN(10,EI$17))*(1+P_dPrecio)</f>
        <v>0</v>
      </c>
      <c r="EJ65" s="34" t="n">
        <f aca="false">EJ$40*INDEX(Precio_O,20)*INDEX(IdxPrecio_O,1,MIN(10,EJ$17))*(1+P_dPrecio)</f>
        <v>0</v>
      </c>
      <c r="EK65" s="34" t="n">
        <f aca="false">EK$40*INDEX(Precio_O,20)*INDEX(IdxPrecio_O,1,MIN(10,EK$17))*(1+P_dPrecio)</f>
        <v>0</v>
      </c>
      <c r="EL65" s="34" t="n">
        <f aca="false">EL$40*INDEX(Precio_O,20)*INDEX(IdxPrecio_O,1,MIN(10,EL$17))*(1+P_dPrecio)</f>
        <v>0</v>
      </c>
      <c r="EM65" s="34" t="n">
        <f aca="false">EM$40*INDEX(Precio_O,20)*INDEX(IdxPrecio_O,1,MIN(10,EM$17))*(1+P_dPrecio)</f>
        <v>0</v>
      </c>
      <c r="EN65" s="34" t="n">
        <f aca="false">EN$40*INDEX(Precio_O,20)*INDEX(IdxPrecio_O,1,MIN(10,EN$17))*(1+P_dPrecio)</f>
        <v>0</v>
      </c>
      <c r="EO65" s="34" t="n">
        <f aca="false">EO$40*INDEX(Precio_O,20)*INDEX(IdxPrecio_O,1,MIN(10,EO$17))*(1+P_dPrecio)</f>
        <v>0</v>
      </c>
      <c r="EP65" s="34" t="n">
        <f aca="false">EP$40*INDEX(Precio_O,20)*INDEX(IdxPrecio_O,1,MIN(10,EP$17))*(1+P_dPrecio)</f>
        <v>0</v>
      </c>
      <c r="EQ65" s="34" t="n">
        <f aca="false">EQ$40*INDEX(Precio_O,20)*INDEX(IdxPrecio_O,1,MIN(10,EQ$17))*(1+P_dPrecio)</f>
        <v>0</v>
      </c>
      <c r="ER65" s="34" t="n">
        <f aca="false">ER$40*INDEX(Precio_O,20)*INDEX(IdxPrecio_O,1,MIN(10,ER$17))*(1+P_dPrecio)</f>
        <v>0</v>
      </c>
      <c r="ES65" s="34" t="n">
        <f aca="false">ES$40*INDEX(Precio_O,20)*INDEX(IdxPrecio_O,1,MIN(10,ES$17))*(1+P_dPrecio)</f>
        <v>0</v>
      </c>
    </row>
    <row r="66" customFormat="false" ht="15" hidden="false" customHeight="false" outlineLevel="0" collapsed="false">
      <c r="A66" s="2" t="s">
        <v>629</v>
      </c>
      <c r="B66" s="39" t="str">
        <f aca="false">IF(INDEX(Prod_Nombre,21)="","Producto 21",INDEX(Prod_Nombre,21))&amp;" — ventas USD"</f>
        <v>Producto 21 — ventas USD</v>
      </c>
      <c r="C66" s="6" t="s">
        <v>250</v>
      </c>
      <c r="E66" s="40" t="n">
        <f aca="false">SUM(F66:ES66)</f>
        <v>0</v>
      </c>
      <c r="F66" s="34" t="n">
        <f aca="false">F$41*INDEX(Precio_O,21)*INDEX(IdxPrecio_O,1,MIN(10,F$17))*(1+P_dPrecio)</f>
        <v>0</v>
      </c>
      <c r="G66" s="34" t="n">
        <f aca="false">G$41*INDEX(Precio_O,21)*INDEX(IdxPrecio_O,1,MIN(10,G$17))*(1+P_dPrecio)</f>
        <v>0</v>
      </c>
      <c r="H66" s="34" t="n">
        <f aca="false">H$41*INDEX(Precio_O,21)*INDEX(IdxPrecio_O,1,MIN(10,H$17))*(1+P_dPrecio)</f>
        <v>0</v>
      </c>
      <c r="I66" s="34" t="n">
        <f aca="false">I$41*INDEX(Precio_O,21)*INDEX(IdxPrecio_O,1,MIN(10,I$17))*(1+P_dPrecio)</f>
        <v>0</v>
      </c>
      <c r="J66" s="34" t="n">
        <f aca="false">J$41*INDEX(Precio_O,21)*INDEX(IdxPrecio_O,1,MIN(10,J$17))*(1+P_dPrecio)</f>
        <v>0</v>
      </c>
      <c r="K66" s="34" t="n">
        <f aca="false">K$41*INDEX(Precio_O,21)*INDEX(IdxPrecio_O,1,MIN(10,K$17))*(1+P_dPrecio)</f>
        <v>0</v>
      </c>
      <c r="L66" s="34" t="n">
        <f aca="false">L$41*INDEX(Precio_O,21)*INDEX(IdxPrecio_O,1,MIN(10,L$17))*(1+P_dPrecio)</f>
        <v>0</v>
      </c>
      <c r="M66" s="34" t="n">
        <f aca="false">M$41*INDEX(Precio_O,21)*INDEX(IdxPrecio_O,1,MIN(10,M$17))*(1+P_dPrecio)</f>
        <v>0</v>
      </c>
      <c r="N66" s="34" t="n">
        <f aca="false">N$41*INDEX(Precio_O,21)*INDEX(IdxPrecio_O,1,MIN(10,N$17))*(1+P_dPrecio)</f>
        <v>0</v>
      </c>
      <c r="O66" s="34" t="n">
        <f aca="false">O$41*INDEX(Precio_O,21)*INDEX(IdxPrecio_O,1,MIN(10,O$17))*(1+P_dPrecio)</f>
        <v>0</v>
      </c>
      <c r="P66" s="34" t="n">
        <f aca="false">P$41*INDEX(Precio_O,21)*INDEX(IdxPrecio_O,1,MIN(10,P$17))*(1+P_dPrecio)</f>
        <v>0</v>
      </c>
      <c r="Q66" s="34" t="n">
        <f aca="false">Q$41*INDEX(Precio_O,21)*INDEX(IdxPrecio_O,1,MIN(10,Q$17))*(1+P_dPrecio)</f>
        <v>0</v>
      </c>
      <c r="R66" s="34" t="n">
        <f aca="false">R$41*INDEX(Precio_O,21)*INDEX(IdxPrecio_O,1,MIN(10,R$17))*(1+P_dPrecio)</f>
        <v>0</v>
      </c>
      <c r="S66" s="34" t="n">
        <f aca="false">S$41*INDEX(Precio_O,21)*INDEX(IdxPrecio_O,1,MIN(10,S$17))*(1+P_dPrecio)</f>
        <v>0</v>
      </c>
      <c r="T66" s="34" t="n">
        <f aca="false">T$41*INDEX(Precio_O,21)*INDEX(IdxPrecio_O,1,MIN(10,T$17))*(1+P_dPrecio)</f>
        <v>0</v>
      </c>
      <c r="U66" s="34" t="n">
        <f aca="false">U$41*INDEX(Precio_O,21)*INDEX(IdxPrecio_O,1,MIN(10,U$17))*(1+P_dPrecio)</f>
        <v>0</v>
      </c>
      <c r="V66" s="34" t="n">
        <f aca="false">V$41*INDEX(Precio_O,21)*INDEX(IdxPrecio_O,1,MIN(10,V$17))*(1+P_dPrecio)</f>
        <v>0</v>
      </c>
      <c r="W66" s="34" t="n">
        <f aca="false">W$41*INDEX(Precio_O,21)*INDEX(IdxPrecio_O,1,MIN(10,W$17))*(1+P_dPrecio)</f>
        <v>0</v>
      </c>
      <c r="X66" s="34" t="n">
        <f aca="false">X$41*INDEX(Precio_O,21)*INDEX(IdxPrecio_O,1,MIN(10,X$17))*(1+P_dPrecio)</f>
        <v>0</v>
      </c>
      <c r="Y66" s="34" t="n">
        <f aca="false">Y$41*INDEX(Precio_O,21)*INDEX(IdxPrecio_O,1,MIN(10,Y$17))*(1+P_dPrecio)</f>
        <v>0</v>
      </c>
      <c r="Z66" s="34" t="n">
        <f aca="false">Z$41*INDEX(Precio_O,21)*INDEX(IdxPrecio_O,1,MIN(10,Z$17))*(1+P_dPrecio)</f>
        <v>0</v>
      </c>
      <c r="AA66" s="34" t="n">
        <f aca="false">AA$41*INDEX(Precio_O,21)*INDEX(IdxPrecio_O,1,MIN(10,AA$17))*(1+P_dPrecio)</f>
        <v>0</v>
      </c>
      <c r="AB66" s="34" t="n">
        <f aca="false">AB$41*INDEX(Precio_O,21)*INDEX(IdxPrecio_O,1,MIN(10,AB$17))*(1+P_dPrecio)</f>
        <v>0</v>
      </c>
      <c r="AC66" s="34" t="n">
        <f aca="false">AC$41*INDEX(Precio_O,21)*INDEX(IdxPrecio_O,1,MIN(10,AC$17))*(1+P_dPrecio)</f>
        <v>0</v>
      </c>
      <c r="AD66" s="34" t="n">
        <f aca="false">AD$41*INDEX(Precio_O,21)*INDEX(IdxPrecio_O,1,MIN(10,AD$17))*(1+P_dPrecio)</f>
        <v>0</v>
      </c>
      <c r="AE66" s="34" t="n">
        <f aca="false">AE$41*INDEX(Precio_O,21)*INDEX(IdxPrecio_O,1,MIN(10,AE$17))*(1+P_dPrecio)</f>
        <v>0</v>
      </c>
      <c r="AF66" s="34" t="n">
        <f aca="false">AF$41*INDEX(Precio_O,21)*INDEX(IdxPrecio_O,1,MIN(10,AF$17))*(1+P_dPrecio)</f>
        <v>0</v>
      </c>
      <c r="AG66" s="34" t="n">
        <f aca="false">AG$41*INDEX(Precio_O,21)*INDEX(IdxPrecio_O,1,MIN(10,AG$17))*(1+P_dPrecio)</f>
        <v>0</v>
      </c>
      <c r="AH66" s="34" t="n">
        <f aca="false">AH$41*INDEX(Precio_O,21)*INDEX(IdxPrecio_O,1,MIN(10,AH$17))*(1+P_dPrecio)</f>
        <v>0</v>
      </c>
      <c r="AI66" s="34" t="n">
        <f aca="false">AI$41*INDEX(Precio_O,21)*INDEX(IdxPrecio_O,1,MIN(10,AI$17))*(1+P_dPrecio)</f>
        <v>0</v>
      </c>
      <c r="AJ66" s="34" t="n">
        <f aca="false">AJ$41*INDEX(Precio_O,21)*INDEX(IdxPrecio_O,1,MIN(10,AJ$17))*(1+P_dPrecio)</f>
        <v>0</v>
      </c>
      <c r="AK66" s="34" t="n">
        <f aca="false">AK$41*INDEX(Precio_O,21)*INDEX(IdxPrecio_O,1,MIN(10,AK$17))*(1+P_dPrecio)</f>
        <v>0</v>
      </c>
      <c r="AL66" s="34" t="n">
        <f aca="false">AL$41*INDEX(Precio_O,21)*INDEX(IdxPrecio_O,1,MIN(10,AL$17))*(1+P_dPrecio)</f>
        <v>0</v>
      </c>
      <c r="AM66" s="34" t="n">
        <f aca="false">AM$41*INDEX(Precio_O,21)*INDEX(IdxPrecio_O,1,MIN(10,AM$17))*(1+P_dPrecio)</f>
        <v>0</v>
      </c>
      <c r="AN66" s="34" t="n">
        <f aca="false">AN$41*INDEX(Precio_O,21)*INDEX(IdxPrecio_O,1,MIN(10,AN$17))*(1+P_dPrecio)</f>
        <v>0</v>
      </c>
      <c r="AO66" s="34" t="n">
        <f aca="false">AO$41*INDEX(Precio_O,21)*INDEX(IdxPrecio_O,1,MIN(10,AO$17))*(1+P_dPrecio)</f>
        <v>0</v>
      </c>
      <c r="AP66" s="34" t="n">
        <f aca="false">AP$41*INDEX(Precio_O,21)*INDEX(IdxPrecio_O,1,MIN(10,AP$17))*(1+P_dPrecio)</f>
        <v>0</v>
      </c>
      <c r="AQ66" s="34" t="n">
        <f aca="false">AQ$41*INDEX(Precio_O,21)*INDEX(IdxPrecio_O,1,MIN(10,AQ$17))*(1+P_dPrecio)</f>
        <v>0</v>
      </c>
      <c r="AR66" s="34" t="n">
        <f aca="false">AR$41*INDEX(Precio_O,21)*INDEX(IdxPrecio_O,1,MIN(10,AR$17))*(1+P_dPrecio)</f>
        <v>0</v>
      </c>
      <c r="AS66" s="34" t="n">
        <f aca="false">AS$41*INDEX(Precio_O,21)*INDEX(IdxPrecio_O,1,MIN(10,AS$17))*(1+P_dPrecio)</f>
        <v>0</v>
      </c>
      <c r="AT66" s="34" t="n">
        <f aca="false">AT$41*INDEX(Precio_O,21)*INDEX(IdxPrecio_O,1,MIN(10,AT$17))*(1+P_dPrecio)</f>
        <v>0</v>
      </c>
      <c r="AU66" s="34" t="n">
        <f aca="false">AU$41*INDEX(Precio_O,21)*INDEX(IdxPrecio_O,1,MIN(10,AU$17))*(1+P_dPrecio)</f>
        <v>0</v>
      </c>
      <c r="AV66" s="34" t="n">
        <f aca="false">AV$41*INDEX(Precio_O,21)*INDEX(IdxPrecio_O,1,MIN(10,AV$17))*(1+P_dPrecio)</f>
        <v>0</v>
      </c>
      <c r="AW66" s="34" t="n">
        <f aca="false">AW$41*INDEX(Precio_O,21)*INDEX(IdxPrecio_O,1,MIN(10,AW$17))*(1+P_dPrecio)</f>
        <v>0</v>
      </c>
      <c r="AX66" s="34" t="n">
        <f aca="false">AX$41*INDEX(Precio_O,21)*INDEX(IdxPrecio_O,1,MIN(10,AX$17))*(1+P_dPrecio)</f>
        <v>0</v>
      </c>
      <c r="AY66" s="34" t="n">
        <f aca="false">AY$41*INDEX(Precio_O,21)*INDEX(IdxPrecio_O,1,MIN(10,AY$17))*(1+P_dPrecio)</f>
        <v>0</v>
      </c>
      <c r="AZ66" s="34" t="n">
        <f aca="false">AZ$41*INDEX(Precio_O,21)*INDEX(IdxPrecio_O,1,MIN(10,AZ$17))*(1+P_dPrecio)</f>
        <v>0</v>
      </c>
      <c r="BA66" s="34" t="n">
        <f aca="false">BA$41*INDEX(Precio_O,21)*INDEX(IdxPrecio_O,1,MIN(10,BA$17))*(1+P_dPrecio)</f>
        <v>0</v>
      </c>
      <c r="BB66" s="34" t="n">
        <f aca="false">BB$41*INDEX(Precio_O,21)*INDEX(IdxPrecio_O,1,MIN(10,BB$17))*(1+P_dPrecio)</f>
        <v>0</v>
      </c>
      <c r="BC66" s="34" t="n">
        <f aca="false">BC$41*INDEX(Precio_O,21)*INDEX(IdxPrecio_O,1,MIN(10,BC$17))*(1+P_dPrecio)</f>
        <v>0</v>
      </c>
      <c r="BD66" s="34" t="n">
        <f aca="false">BD$41*INDEX(Precio_O,21)*INDEX(IdxPrecio_O,1,MIN(10,BD$17))*(1+P_dPrecio)</f>
        <v>0</v>
      </c>
      <c r="BE66" s="34" t="n">
        <f aca="false">BE$41*INDEX(Precio_O,21)*INDEX(IdxPrecio_O,1,MIN(10,BE$17))*(1+P_dPrecio)</f>
        <v>0</v>
      </c>
      <c r="BF66" s="34" t="n">
        <f aca="false">BF$41*INDEX(Precio_O,21)*INDEX(IdxPrecio_O,1,MIN(10,BF$17))*(1+P_dPrecio)</f>
        <v>0</v>
      </c>
      <c r="BG66" s="34" t="n">
        <f aca="false">BG$41*INDEX(Precio_O,21)*INDEX(IdxPrecio_O,1,MIN(10,BG$17))*(1+P_dPrecio)</f>
        <v>0</v>
      </c>
      <c r="BH66" s="34" t="n">
        <f aca="false">BH$41*INDEX(Precio_O,21)*INDEX(IdxPrecio_O,1,MIN(10,BH$17))*(1+P_dPrecio)</f>
        <v>0</v>
      </c>
      <c r="BI66" s="34" t="n">
        <f aca="false">BI$41*INDEX(Precio_O,21)*INDEX(IdxPrecio_O,1,MIN(10,BI$17))*(1+P_dPrecio)</f>
        <v>0</v>
      </c>
      <c r="BJ66" s="34" t="n">
        <f aca="false">BJ$41*INDEX(Precio_O,21)*INDEX(IdxPrecio_O,1,MIN(10,BJ$17))*(1+P_dPrecio)</f>
        <v>0</v>
      </c>
      <c r="BK66" s="34" t="n">
        <f aca="false">BK$41*INDEX(Precio_O,21)*INDEX(IdxPrecio_O,1,MIN(10,BK$17))*(1+P_dPrecio)</f>
        <v>0</v>
      </c>
      <c r="BL66" s="34" t="n">
        <f aca="false">BL$41*INDEX(Precio_O,21)*INDEX(IdxPrecio_O,1,MIN(10,BL$17))*(1+P_dPrecio)</f>
        <v>0</v>
      </c>
      <c r="BM66" s="34" t="n">
        <f aca="false">BM$41*INDEX(Precio_O,21)*INDEX(IdxPrecio_O,1,MIN(10,BM$17))*(1+P_dPrecio)</f>
        <v>0</v>
      </c>
      <c r="BN66" s="34" t="n">
        <f aca="false">BN$41*INDEX(Precio_O,21)*INDEX(IdxPrecio_O,1,MIN(10,BN$17))*(1+P_dPrecio)</f>
        <v>0</v>
      </c>
      <c r="BO66" s="34" t="n">
        <f aca="false">BO$41*INDEX(Precio_O,21)*INDEX(IdxPrecio_O,1,MIN(10,BO$17))*(1+P_dPrecio)</f>
        <v>0</v>
      </c>
      <c r="BP66" s="34" t="n">
        <f aca="false">BP$41*INDEX(Precio_O,21)*INDEX(IdxPrecio_O,1,MIN(10,BP$17))*(1+P_dPrecio)</f>
        <v>0</v>
      </c>
      <c r="BQ66" s="34" t="n">
        <f aca="false">BQ$41*INDEX(Precio_O,21)*INDEX(IdxPrecio_O,1,MIN(10,BQ$17))*(1+P_dPrecio)</f>
        <v>0</v>
      </c>
      <c r="BR66" s="34" t="n">
        <f aca="false">BR$41*INDEX(Precio_O,21)*INDEX(IdxPrecio_O,1,MIN(10,BR$17))*(1+P_dPrecio)</f>
        <v>0</v>
      </c>
      <c r="BS66" s="34" t="n">
        <f aca="false">BS$41*INDEX(Precio_O,21)*INDEX(IdxPrecio_O,1,MIN(10,BS$17))*(1+P_dPrecio)</f>
        <v>0</v>
      </c>
      <c r="BT66" s="34" t="n">
        <f aca="false">BT$41*INDEX(Precio_O,21)*INDEX(IdxPrecio_O,1,MIN(10,BT$17))*(1+P_dPrecio)</f>
        <v>0</v>
      </c>
      <c r="BU66" s="34" t="n">
        <f aca="false">BU$41*INDEX(Precio_O,21)*INDEX(IdxPrecio_O,1,MIN(10,BU$17))*(1+P_dPrecio)</f>
        <v>0</v>
      </c>
      <c r="BV66" s="34" t="n">
        <f aca="false">BV$41*INDEX(Precio_O,21)*INDEX(IdxPrecio_O,1,MIN(10,BV$17))*(1+P_dPrecio)</f>
        <v>0</v>
      </c>
      <c r="BW66" s="34" t="n">
        <f aca="false">BW$41*INDEX(Precio_O,21)*INDEX(IdxPrecio_O,1,MIN(10,BW$17))*(1+P_dPrecio)</f>
        <v>0</v>
      </c>
      <c r="BX66" s="34" t="n">
        <f aca="false">BX$41*INDEX(Precio_O,21)*INDEX(IdxPrecio_O,1,MIN(10,BX$17))*(1+P_dPrecio)</f>
        <v>0</v>
      </c>
      <c r="BY66" s="34" t="n">
        <f aca="false">BY$41*INDEX(Precio_O,21)*INDEX(IdxPrecio_O,1,MIN(10,BY$17))*(1+P_dPrecio)</f>
        <v>0</v>
      </c>
      <c r="BZ66" s="34" t="n">
        <f aca="false">BZ$41*INDEX(Precio_O,21)*INDEX(IdxPrecio_O,1,MIN(10,BZ$17))*(1+P_dPrecio)</f>
        <v>0</v>
      </c>
      <c r="CA66" s="34" t="n">
        <f aca="false">CA$41*INDEX(Precio_O,21)*INDEX(IdxPrecio_O,1,MIN(10,CA$17))*(1+P_dPrecio)</f>
        <v>0</v>
      </c>
      <c r="CB66" s="34" t="n">
        <f aca="false">CB$41*INDEX(Precio_O,21)*INDEX(IdxPrecio_O,1,MIN(10,CB$17))*(1+P_dPrecio)</f>
        <v>0</v>
      </c>
      <c r="CC66" s="34" t="n">
        <f aca="false">CC$41*INDEX(Precio_O,21)*INDEX(IdxPrecio_O,1,MIN(10,CC$17))*(1+P_dPrecio)</f>
        <v>0</v>
      </c>
      <c r="CD66" s="34" t="n">
        <f aca="false">CD$41*INDEX(Precio_O,21)*INDEX(IdxPrecio_O,1,MIN(10,CD$17))*(1+P_dPrecio)</f>
        <v>0</v>
      </c>
      <c r="CE66" s="34" t="n">
        <f aca="false">CE$41*INDEX(Precio_O,21)*INDEX(IdxPrecio_O,1,MIN(10,CE$17))*(1+P_dPrecio)</f>
        <v>0</v>
      </c>
      <c r="CF66" s="34" t="n">
        <f aca="false">CF$41*INDEX(Precio_O,21)*INDEX(IdxPrecio_O,1,MIN(10,CF$17))*(1+P_dPrecio)</f>
        <v>0</v>
      </c>
      <c r="CG66" s="34" t="n">
        <f aca="false">CG$41*INDEX(Precio_O,21)*INDEX(IdxPrecio_O,1,MIN(10,CG$17))*(1+P_dPrecio)</f>
        <v>0</v>
      </c>
      <c r="CH66" s="34" t="n">
        <f aca="false">CH$41*INDEX(Precio_O,21)*INDEX(IdxPrecio_O,1,MIN(10,CH$17))*(1+P_dPrecio)</f>
        <v>0</v>
      </c>
      <c r="CI66" s="34" t="n">
        <f aca="false">CI$41*INDEX(Precio_O,21)*INDEX(IdxPrecio_O,1,MIN(10,CI$17))*(1+P_dPrecio)</f>
        <v>0</v>
      </c>
      <c r="CJ66" s="34" t="n">
        <f aca="false">CJ$41*INDEX(Precio_O,21)*INDEX(IdxPrecio_O,1,MIN(10,CJ$17))*(1+P_dPrecio)</f>
        <v>0</v>
      </c>
      <c r="CK66" s="34" t="n">
        <f aca="false">CK$41*INDEX(Precio_O,21)*INDEX(IdxPrecio_O,1,MIN(10,CK$17))*(1+P_dPrecio)</f>
        <v>0</v>
      </c>
      <c r="CL66" s="34" t="n">
        <f aca="false">CL$41*INDEX(Precio_O,21)*INDEX(IdxPrecio_O,1,MIN(10,CL$17))*(1+P_dPrecio)</f>
        <v>0</v>
      </c>
      <c r="CM66" s="34" t="n">
        <f aca="false">CM$41*INDEX(Precio_O,21)*INDEX(IdxPrecio_O,1,MIN(10,CM$17))*(1+P_dPrecio)</f>
        <v>0</v>
      </c>
      <c r="CN66" s="34" t="n">
        <f aca="false">CN$41*INDEX(Precio_O,21)*INDEX(IdxPrecio_O,1,MIN(10,CN$17))*(1+P_dPrecio)</f>
        <v>0</v>
      </c>
      <c r="CO66" s="34" t="n">
        <f aca="false">CO$41*INDEX(Precio_O,21)*INDEX(IdxPrecio_O,1,MIN(10,CO$17))*(1+P_dPrecio)</f>
        <v>0</v>
      </c>
      <c r="CP66" s="34" t="n">
        <f aca="false">CP$41*INDEX(Precio_O,21)*INDEX(IdxPrecio_O,1,MIN(10,CP$17))*(1+P_dPrecio)</f>
        <v>0</v>
      </c>
      <c r="CQ66" s="34" t="n">
        <f aca="false">CQ$41*INDEX(Precio_O,21)*INDEX(IdxPrecio_O,1,MIN(10,CQ$17))*(1+P_dPrecio)</f>
        <v>0</v>
      </c>
      <c r="CR66" s="34" t="n">
        <f aca="false">CR$41*INDEX(Precio_O,21)*INDEX(IdxPrecio_O,1,MIN(10,CR$17))*(1+P_dPrecio)</f>
        <v>0</v>
      </c>
      <c r="CS66" s="34" t="n">
        <f aca="false">CS$41*INDEX(Precio_O,21)*INDEX(IdxPrecio_O,1,MIN(10,CS$17))*(1+P_dPrecio)</f>
        <v>0</v>
      </c>
      <c r="CT66" s="34" t="n">
        <f aca="false">CT$41*INDEX(Precio_O,21)*INDEX(IdxPrecio_O,1,MIN(10,CT$17))*(1+P_dPrecio)</f>
        <v>0</v>
      </c>
      <c r="CU66" s="34" t="n">
        <f aca="false">CU$41*INDEX(Precio_O,21)*INDEX(IdxPrecio_O,1,MIN(10,CU$17))*(1+P_dPrecio)</f>
        <v>0</v>
      </c>
      <c r="CV66" s="34" t="n">
        <f aca="false">CV$41*INDEX(Precio_O,21)*INDEX(IdxPrecio_O,1,MIN(10,CV$17))*(1+P_dPrecio)</f>
        <v>0</v>
      </c>
      <c r="CW66" s="34" t="n">
        <f aca="false">CW$41*INDEX(Precio_O,21)*INDEX(IdxPrecio_O,1,MIN(10,CW$17))*(1+P_dPrecio)</f>
        <v>0</v>
      </c>
      <c r="CX66" s="34" t="n">
        <f aca="false">CX$41*INDEX(Precio_O,21)*INDEX(IdxPrecio_O,1,MIN(10,CX$17))*(1+P_dPrecio)</f>
        <v>0</v>
      </c>
      <c r="CY66" s="34" t="n">
        <f aca="false">CY$41*INDEX(Precio_O,21)*INDEX(IdxPrecio_O,1,MIN(10,CY$17))*(1+P_dPrecio)</f>
        <v>0</v>
      </c>
      <c r="CZ66" s="34" t="n">
        <f aca="false">CZ$41*INDEX(Precio_O,21)*INDEX(IdxPrecio_O,1,MIN(10,CZ$17))*(1+P_dPrecio)</f>
        <v>0</v>
      </c>
      <c r="DA66" s="34" t="n">
        <f aca="false">DA$41*INDEX(Precio_O,21)*INDEX(IdxPrecio_O,1,MIN(10,DA$17))*(1+P_dPrecio)</f>
        <v>0</v>
      </c>
      <c r="DB66" s="34" t="n">
        <f aca="false">DB$41*INDEX(Precio_O,21)*INDEX(IdxPrecio_O,1,MIN(10,DB$17))*(1+P_dPrecio)</f>
        <v>0</v>
      </c>
      <c r="DC66" s="34" t="n">
        <f aca="false">DC$41*INDEX(Precio_O,21)*INDEX(IdxPrecio_O,1,MIN(10,DC$17))*(1+P_dPrecio)</f>
        <v>0</v>
      </c>
      <c r="DD66" s="34" t="n">
        <f aca="false">DD$41*INDEX(Precio_O,21)*INDEX(IdxPrecio_O,1,MIN(10,DD$17))*(1+P_dPrecio)</f>
        <v>0</v>
      </c>
      <c r="DE66" s="34" t="n">
        <f aca="false">DE$41*INDEX(Precio_O,21)*INDEX(IdxPrecio_O,1,MIN(10,DE$17))*(1+P_dPrecio)</f>
        <v>0</v>
      </c>
      <c r="DF66" s="34" t="n">
        <f aca="false">DF$41*INDEX(Precio_O,21)*INDEX(IdxPrecio_O,1,MIN(10,DF$17))*(1+P_dPrecio)</f>
        <v>0</v>
      </c>
      <c r="DG66" s="34" t="n">
        <f aca="false">DG$41*INDEX(Precio_O,21)*INDEX(IdxPrecio_O,1,MIN(10,DG$17))*(1+P_dPrecio)</f>
        <v>0</v>
      </c>
      <c r="DH66" s="34" t="n">
        <f aca="false">DH$41*INDEX(Precio_O,21)*INDEX(IdxPrecio_O,1,MIN(10,DH$17))*(1+P_dPrecio)</f>
        <v>0</v>
      </c>
      <c r="DI66" s="34" t="n">
        <f aca="false">DI$41*INDEX(Precio_O,21)*INDEX(IdxPrecio_O,1,MIN(10,DI$17))*(1+P_dPrecio)</f>
        <v>0</v>
      </c>
      <c r="DJ66" s="34" t="n">
        <f aca="false">DJ$41*INDEX(Precio_O,21)*INDEX(IdxPrecio_O,1,MIN(10,DJ$17))*(1+P_dPrecio)</f>
        <v>0</v>
      </c>
      <c r="DK66" s="34" t="n">
        <f aca="false">DK$41*INDEX(Precio_O,21)*INDEX(IdxPrecio_O,1,MIN(10,DK$17))*(1+P_dPrecio)</f>
        <v>0</v>
      </c>
      <c r="DL66" s="34" t="n">
        <f aca="false">DL$41*INDEX(Precio_O,21)*INDEX(IdxPrecio_O,1,MIN(10,DL$17))*(1+P_dPrecio)</f>
        <v>0</v>
      </c>
      <c r="DM66" s="34" t="n">
        <f aca="false">DM$41*INDEX(Precio_O,21)*INDEX(IdxPrecio_O,1,MIN(10,DM$17))*(1+P_dPrecio)</f>
        <v>0</v>
      </c>
      <c r="DN66" s="34" t="n">
        <f aca="false">DN$41*INDEX(Precio_O,21)*INDEX(IdxPrecio_O,1,MIN(10,DN$17))*(1+P_dPrecio)</f>
        <v>0</v>
      </c>
      <c r="DO66" s="34" t="n">
        <f aca="false">DO$41*INDEX(Precio_O,21)*INDEX(IdxPrecio_O,1,MIN(10,DO$17))*(1+P_dPrecio)</f>
        <v>0</v>
      </c>
      <c r="DP66" s="34" t="n">
        <f aca="false">DP$41*INDEX(Precio_O,21)*INDEX(IdxPrecio_O,1,MIN(10,DP$17))*(1+P_dPrecio)</f>
        <v>0</v>
      </c>
      <c r="DQ66" s="34" t="n">
        <f aca="false">DQ$41*INDEX(Precio_O,21)*INDEX(IdxPrecio_O,1,MIN(10,DQ$17))*(1+P_dPrecio)</f>
        <v>0</v>
      </c>
      <c r="DR66" s="34" t="n">
        <f aca="false">DR$41*INDEX(Precio_O,21)*INDEX(IdxPrecio_O,1,MIN(10,DR$17))*(1+P_dPrecio)</f>
        <v>0</v>
      </c>
      <c r="DS66" s="34" t="n">
        <f aca="false">DS$41*INDEX(Precio_O,21)*INDEX(IdxPrecio_O,1,MIN(10,DS$17))*(1+P_dPrecio)</f>
        <v>0</v>
      </c>
      <c r="DT66" s="34" t="n">
        <f aca="false">DT$41*INDEX(Precio_O,21)*INDEX(IdxPrecio_O,1,MIN(10,DT$17))*(1+P_dPrecio)</f>
        <v>0</v>
      </c>
      <c r="DU66" s="34" t="n">
        <f aca="false">DU$41*INDEX(Precio_O,21)*INDEX(IdxPrecio_O,1,MIN(10,DU$17))*(1+P_dPrecio)</f>
        <v>0</v>
      </c>
      <c r="DV66" s="34" t="n">
        <f aca="false">DV$41*INDEX(Precio_O,21)*INDEX(IdxPrecio_O,1,MIN(10,DV$17))*(1+P_dPrecio)</f>
        <v>0</v>
      </c>
      <c r="DW66" s="34" t="n">
        <f aca="false">DW$41*INDEX(Precio_O,21)*INDEX(IdxPrecio_O,1,MIN(10,DW$17))*(1+P_dPrecio)</f>
        <v>0</v>
      </c>
      <c r="DX66" s="34" t="n">
        <f aca="false">DX$41*INDEX(Precio_O,21)*INDEX(IdxPrecio_O,1,MIN(10,DX$17))*(1+P_dPrecio)</f>
        <v>0</v>
      </c>
      <c r="DY66" s="34" t="n">
        <f aca="false">DY$41*INDEX(Precio_O,21)*INDEX(IdxPrecio_O,1,MIN(10,DY$17))*(1+P_dPrecio)</f>
        <v>0</v>
      </c>
      <c r="DZ66" s="34" t="n">
        <f aca="false">DZ$41*INDEX(Precio_O,21)*INDEX(IdxPrecio_O,1,MIN(10,DZ$17))*(1+P_dPrecio)</f>
        <v>0</v>
      </c>
      <c r="EA66" s="34" t="n">
        <f aca="false">EA$41*INDEX(Precio_O,21)*INDEX(IdxPrecio_O,1,MIN(10,EA$17))*(1+P_dPrecio)</f>
        <v>0</v>
      </c>
      <c r="EB66" s="34" t="n">
        <f aca="false">EB$41*INDEX(Precio_O,21)*INDEX(IdxPrecio_O,1,MIN(10,EB$17))*(1+P_dPrecio)</f>
        <v>0</v>
      </c>
      <c r="EC66" s="34" t="n">
        <f aca="false">EC$41*INDEX(Precio_O,21)*INDEX(IdxPrecio_O,1,MIN(10,EC$17))*(1+P_dPrecio)</f>
        <v>0</v>
      </c>
      <c r="ED66" s="34" t="n">
        <f aca="false">ED$41*INDEX(Precio_O,21)*INDEX(IdxPrecio_O,1,MIN(10,ED$17))*(1+P_dPrecio)</f>
        <v>0</v>
      </c>
      <c r="EE66" s="34" t="n">
        <f aca="false">EE$41*INDEX(Precio_O,21)*INDEX(IdxPrecio_O,1,MIN(10,EE$17))*(1+P_dPrecio)</f>
        <v>0</v>
      </c>
      <c r="EF66" s="34" t="n">
        <f aca="false">EF$41*INDEX(Precio_O,21)*INDEX(IdxPrecio_O,1,MIN(10,EF$17))*(1+P_dPrecio)</f>
        <v>0</v>
      </c>
      <c r="EG66" s="34" t="n">
        <f aca="false">EG$41*INDEX(Precio_O,21)*INDEX(IdxPrecio_O,1,MIN(10,EG$17))*(1+P_dPrecio)</f>
        <v>0</v>
      </c>
      <c r="EH66" s="34" t="n">
        <f aca="false">EH$41*INDEX(Precio_O,21)*INDEX(IdxPrecio_O,1,MIN(10,EH$17))*(1+P_dPrecio)</f>
        <v>0</v>
      </c>
      <c r="EI66" s="34" t="n">
        <f aca="false">EI$41*INDEX(Precio_O,21)*INDEX(IdxPrecio_O,1,MIN(10,EI$17))*(1+P_dPrecio)</f>
        <v>0</v>
      </c>
      <c r="EJ66" s="34" t="n">
        <f aca="false">EJ$41*INDEX(Precio_O,21)*INDEX(IdxPrecio_O,1,MIN(10,EJ$17))*(1+P_dPrecio)</f>
        <v>0</v>
      </c>
      <c r="EK66" s="34" t="n">
        <f aca="false">EK$41*INDEX(Precio_O,21)*INDEX(IdxPrecio_O,1,MIN(10,EK$17))*(1+P_dPrecio)</f>
        <v>0</v>
      </c>
      <c r="EL66" s="34" t="n">
        <f aca="false">EL$41*INDEX(Precio_O,21)*INDEX(IdxPrecio_O,1,MIN(10,EL$17))*(1+P_dPrecio)</f>
        <v>0</v>
      </c>
      <c r="EM66" s="34" t="n">
        <f aca="false">EM$41*INDEX(Precio_O,21)*INDEX(IdxPrecio_O,1,MIN(10,EM$17))*(1+P_dPrecio)</f>
        <v>0</v>
      </c>
      <c r="EN66" s="34" t="n">
        <f aca="false">EN$41*INDEX(Precio_O,21)*INDEX(IdxPrecio_O,1,MIN(10,EN$17))*(1+P_dPrecio)</f>
        <v>0</v>
      </c>
      <c r="EO66" s="34" t="n">
        <f aca="false">EO$41*INDEX(Precio_O,21)*INDEX(IdxPrecio_O,1,MIN(10,EO$17))*(1+P_dPrecio)</f>
        <v>0</v>
      </c>
      <c r="EP66" s="34" t="n">
        <f aca="false">EP$41*INDEX(Precio_O,21)*INDEX(IdxPrecio_O,1,MIN(10,EP$17))*(1+P_dPrecio)</f>
        <v>0</v>
      </c>
      <c r="EQ66" s="34" t="n">
        <f aca="false">EQ$41*INDEX(Precio_O,21)*INDEX(IdxPrecio_O,1,MIN(10,EQ$17))*(1+P_dPrecio)</f>
        <v>0</v>
      </c>
      <c r="ER66" s="34" t="n">
        <f aca="false">ER$41*INDEX(Precio_O,21)*INDEX(IdxPrecio_O,1,MIN(10,ER$17))*(1+P_dPrecio)</f>
        <v>0</v>
      </c>
      <c r="ES66" s="34" t="n">
        <f aca="false">ES$41*INDEX(Precio_O,21)*INDEX(IdxPrecio_O,1,MIN(10,ES$17))*(1+P_dPrecio)</f>
        <v>0</v>
      </c>
    </row>
    <row r="67" customFormat="false" ht="15" hidden="false" customHeight="false" outlineLevel="0" collapsed="false">
      <c r="A67" s="2" t="s">
        <v>630</v>
      </c>
      <c r="B67" s="39" t="str">
        <f aca="false">IF(INDEX(Prod_Nombre,22)="","Producto 22",INDEX(Prod_Nombre,22))&amp;" — ventas USD"</f>
        <v>Producto 22 — ventas USD</v>
      </c>
      <c r="C67" s="6" t="s">
        <v>250</v>
      </c>
      <c r="E67" s="40" t="n">
        <f aca="false">SUM(F67:ES67)</f>
        <v>0</v>
      </c>
      <c r="F67" s="34" t="n">
        <f aca="false">F$42*INDEX(Precio_O,22)*INDEX(IdxPrecio_O,1,MIN(10,F$17))*(1+P_dPrecio)</f>
        <v>0</v>
      </c>
      <c r="G67" s="34" t="n">
        <f aca="false">G$42*INDEX(Precio_O,22)*INDEX(IdxPrecio_O,1,MIN(10,G$17))*(1+P_dPrecio)</f>
        <v>0</v>
      </c>
      <c r="H67" s="34" t="n">
        <f aca="false">H$42*INDEX(Precio_O,22)*INDEX(IdxPrecio_O,1,MIN(10,H$17))*(1+P_dPrecio)</f>
        <v>0</v>
      </c>
      <c r="I67" s="34" t="n">
        <f aca="false">I$42*INDEX(Precio_O,22)*INDEX(IdxPrecio_O,1,MIN(10,I$17))*(1+P_dPrecio)</f>
        <v>0</v>
      </c>
      <c r="J67" s="34" t="n">
        <f aca="false">J$42*INDEX(Precio_O,22)*INDEX(IdxPrecio_O,1,MIN(10,J$17))*(1+P_dPrecio)</f>
        <v>0</v>
      </c>
      <c r="K67" s="34" t="n">
        <f aca="false">K$42*INDEX(Precio_O,22)*INDEX(IdxPrecio_O,1,MIN(10,K$17))*(1+P_dPrecio)</f>
        <v>0</v>
      </c>
      <c r="L67" s="34" t="n">
        <f aca="false">L$42*INDEX(Precio_O,22)*INDEX(IdxPrecio_O,1,MIN(10,L$17))*(1+P_dPrecio)</f>
        <v>0</v>
      </c>
      <c r="M67" s="34" t="n">
        <f aca="false">M$42*INDEX(Precio_O,22)*INDEX(IdxPrecio_O,1,MIN(10,M$17))*(1+P_dPrecio)</f>
        <v>0</v>
      </c>
      <c r="N67" s="34" t="n">
        <f aca="false">N$42*INDEX(Precio_O,22)*INDEX(IdxPrecio_O,1,MIN(10,N$17))*(1+P_dPrecio)</f>
        <v>0</v>
      </c>
      <c r="O67" s="34" t="n">
        <f aca="false">O$42*INDEX(Precio_O,22)*INDEX(IdxPrecio_O,1,MIN(10,O$17))*(1+P_dPrecio)</f>
        <v>0</v>
      </c>
      <c r="P67" s="34" t="n">
        <f aca="false">P$42*INDEX(Precio_O,22)*INDEX(IdxPrecio_O,1,MIN(10,P$17))*(1+P_dPrecio)</f>
        <v>0</v>
      </c>
      <c r="Q67" s="34" t="n">
        <f aca="false">Q$42*INDEX(Precio_O,22)*INDEX(IdxPrecio_O,1,MIN(10,Q$17))*(1+P_dPrecio)</f>
        <v>0</v>
      </c>
      <c r="R67" s="34" t="n">
        <f aca="false">R$42*INDEX(Precio_O,22)*INDEX(IdxPrecio_O,1,MIN(10,R$17))*(1+P_dPrecio)</f>
        <v>0</v>
      </c>
      <c r="S67" s="34" t="n">
        <f aca="false">S$42*INDEX(Precio_O,22)*INDEX(IdxPrecio_O,1,MIN(10,S$17))*(1+P_dPrecio)</f>
        <v>0</v>
      </c>
      <c r="T67" s="34" t="n">
        <f aca="false">T$42*INDEX(Precio_O,22)*INDEX(IdxPrecio_O,1,MIN(10,T$17))*(1+P_dPrecio)</f>
        <v>0</v>
      </c>
      <c r="U67" s="34" t="n">
        <f aca="false">U$42*INDEX(Precio_O,22)*INDEX(IdxPrecio_O,1,MIN(10,U$17))*(1+P_dPrecio)</f>
        <v>0</v>
      </c>
      <c r="V67" s="34" t="n">
        <f aca="false">V$42*INDEX(Precio_O,22)*INDEX(IdxPrecio_O,1,MIN(10,V$17))*(1+P_dPrecio)</f>
        <v>0</v>
      </c>
      <c r="W67" s="34" t="n">
        <f aca="false">W$42*INDEX(Precio_O,22)*INDEX(IdxPrecio_O,1,MIN(10,W$17))*(1+P_dPrecio)</f>
        <v>0</v>
      </c>
      <c r="X67" s="34" t="n">
        <f aca="false">X$42*INDEX(Precio_O,22)*INDEX(IdxPrecio_O,1,MIN(10,X$17))*(1+P_dPrecio)</f>
        <v>0</v>
      </c>
      <c r="Y67" s="34" t="n">
        <f aca="false">Y$42*INDEX(Precio_O,22)*INDEX(IdxPrecio_O,1,MIN(10,Y$17))*(1+P_dPrecio)</f>
        <v>0</v>
      </c>
      <c r="Z67" s="34" t="n">
        <f aca="false">Z$42*INDEX(Precio_O,22)*INDEX(IdxPrecio_O,1,MIN(10,Z$17))*(1+P_dPrecio)</f>
        <v>0</v>
      </c>
      <c r="AA67" s="34" t="n">
        <f aca="false">AA$42*INDEX(Precio_O,22)*INDEX(IdxPrecio_O,1,MIN(10,AA$17))*(1+P_dPrecio)</f>
        <v>0</v>
      </c>
      <c r="AB67" s="34" t="n">
        <f aca="false">AB$42*INDEX(Precio_O,22)*INDEX(IdxPrecio_O,1,MIN(10,AB$17))*(1+P_dPrecio)</f>
        <v>0</v>
      </c>
      <c r="AC67" s="34" t="n">
        <f aca="false">AC$42*INDEX(Precio_O,22)*INDEX(IdxPrecio_O,1,MIN(10,AC$17))*(1+P_dPrecio)</f>
        <v>0</v>
      </c>
      <c r="AD67" s="34" t="n">
        <f aca="false">AD$42*INDEX(Precio_O,22)*INDEX(IdxPrecio_O,1,MIN(10,AD$17))*(1+P_dPrecio)</f>
        <v>0</v>
      </c>
      <c r="AE67" s="34" t="n">
        <f aca="false">AE$42*INDEX(Precio_O,22)*INDEX(IdxPrecio_O,1,MIN(10,AE$17))*(1+P_dPrecio)</f>
        <v>0</v>
      </c>
      <c r="AF67" s="34" t="n">
        <f aca="false">AF$42*INDEX(Precio_O,22)*INDEX(IdxPrecio_O,1,MIN(10,AF$17))*(1+P_dPrecio)</f>
        <v>0</v>
      </c>
      <c r="AG67" s="34" t="n">
        <f aca="false">AG$42*INDEX(Precio_O,22)*INDEX(IdxPrecio_O,1,MIN(10,AG$17))*(1+P_dPrecio)</f>
        <v>0</v>
      </c>
      <c r="AH67" s="34" t="n">
        <f aca="false">AH$42*INDEX(Precio_O,22)*INDEX(IdxPrecio_O,1,MIN(10,AH$17))*(1+P_dPrecio)</f>
        <v>0</v>
      </c>
      <c r="AI67" s="34" t="n">
        <f aca="false">AI$42*INDEX(Precio_O,22)*INDEX(IdxPrecio_O,1,MIN(10,AI$17))*(1+P_dPrecio)</f>
        <v>0</v>
      </c>
      <c r="AJ67" s="34" t="n">
        <f aca="false">AJ$42*INDEX(Precio_O,22)*INDEX(IdxPrecio_O,1,MIN(10,AJ$17))*(1+P_dPrecio)</f>
        <v>0</v>
      </c>
      <c r="AK67" s="34" t="n">
        <f aca="false">AK$42*INDEX(Precio_O,22)*INDEX(IdxPrecio_O,1,MIN(10,AK$17))*(1+P_dPrecio)</f>
        <v>0</v>
      </c>
      <c r="AL67" s="34" t="n">
        <f aca="false">AL$42*INDEX(Precio_O,22)*INDEX(IdxPrecio_O,1,MIN(10,AL$17))*(1+P_dPrecio)</f>
        <v>0</v>
      </c>
      <c r="AM67" s="34" t="n">
        <f aca="false">AM$42*INDEX(Precio_O,22)*INDEX(IdxPrecio_O,1,MIN(10,AM$17))*(1+P_dPrecio)</f>
        <v>0</v>
      </c>
      <c r="AN67" s="34" t="n">
        <f aca="false">AN$42*INDEX(Precio_O,22)*INDEX(IdxPrecio_O,1,MIN(10,AN$17))*(1+P_dPrecio)</f>
        <v>0</v>
      </c>
      <c r="AO67" s="34" t="n">
        <f aca="false">AO$42*INDEX(Precio_O,22)*INDEX(IdxPrecio_O,1,MIN(10,AO$17))*(1+P_dPrecio)</f>
        <v>0</v>
      </c>
      <c r="AP67" s="34" t="n">
        <f aca="false">AP$42*INDEX(Precio_O,22)*INDEX(IdxPrecio_O,1,MIN(10,AP$17))*(1+P_dPrecio)</f>
        <v>0</v>
      </c>
      <c r="AQ67" s="34" t="n">
        <f aca="false">AQ$42*INDEX(Precio_O,22)*INDEX(IdxPrecio_O,1,MIN(10,AQ$17))*(1+P_dPrecio)</f>
        <v>0</v>
      </c>
      <c r="AR67" s="34" t="n">
        <f aca="false">AR$42*INDEX(Precio_O,22)*INDEX(IdxPrecio_O,1,MIN(10,AR$17))*(1+P_dPrecio)</f>
        <v>0</v>
      </c>
      <c r="AS67" s="34" t="n">
        <f aca="false">AS$42*INDEX(Precio_O,22)*INDEX(IdxPrecio_O,1,MIN(10,AS$17))*(1+P_dPrecio)</f>
        <v>0</v>
      </c>
      <c r="AT67" s="34" t="n">
        <f aca="false">AT$42*INDEX(Precio_O,22)*INDEX(IdxPrecio_O,1,MIN(10,AT$17))*(1+P_dPrecio)</f>
        <v>0</v>
      </c>
      <c r="AU67" s="34" t="n">
        <f aca="false">AU$42*INDEX(Precio_O,22)*INDEX(IdxPrecio_O,1,MIN(10,AU$17))*(1+P_dPrecio)</f>
        <v>0</v>
      </c>
      <c r="AV67" s="34" t="n">
        <f aca="false">AV$42*INDEX(Precio_O,22)*INDEX(IdxPrecio_O,1,MIN(10,AV$17))*(1+P_dPrecio)</f>
        <v>0</v>
      </c>
      <c r="AW67" s="34" t="n">
        <f aca="false">AW$42*INDEX(Precio_O,22)*INDEX(IdxPrecio_O,1,MIN(10,AW$17))*(1+P_dPrecio)</f>
        <v>0</v>
      </c>
      <c r="AX67" s="34" t="n">
        <f aca="false">AX$42*INDEX(Precio_O,22)*INDEX(IdxPrecio_O,1,MIN(10,AX$17))*(1+P_dPrecio)</f>
        <v>0</v>
      </c>
      <c r="AY67" s="34" t="n">
        <f aca="false">AY$42*INDEX(Precio_O,22)*INDEX(IdxPrecio_O,1,MIN(10,AY$17))*(1+P_dPrecio)</f>
        <v>0</v>
      </c>
      <c r="AZ67" s="34" t="n">
        <f aca="false">AZ$42*INDEX(Precio_O,22)*INDEX(IdxPrecio_O,1,MIN(10,AZ$17))*(1+P_dPrecio)</f>
        <v>0</v>
      </c>
      <c r="BA67" s="34" t="n">
        <f aca="false">BA$42*INDEX(Precio_O,22)*INDEX(IdxPrecio_O,1,MIN(10,BA$17))*(1+P_dPrecio)</f>
        <v>0</v>
      </c>
      <c r="BB67" s="34" t="n">
        <f aca="false">BB$42*INDEX(Precio_O,22)*INDEX(IdxPrecio_O,1,MIN(10,BB$17))*(1+P_dPrecio)</f>
        <v>0</v>
      </c>
      <c r="BC67" s="34" t="n">
        <f aca="false">BC$42*INDEX(Precio_O,22)*INDEX(IdxPrecio_O,1,MIN(10,BC$17))*(1+P_dPrecio)</f>
        <v>0</v>
      </c>
      <c r="BD67" s="34" t="n">
        <f aca="false">BD$42*INDEX(Precio_O,22)*INDEX(IdxPrecio_O,1,MIN(10,BD$17))*(1+P_dPrecio)</f>
        <v>0</v>
      </c>
      <c r="BE67" s="34" t="n">
        <f aca="false">BE$42*INDEX(Precio_O,22)*INDEX(IdxPrecio_O,1,MIN(10,BE$17))*(1+P_dPrecio)</f>
        <v>0</v>
      </c>
      <c r="BF67" s="34" t="n">
        <f aca="false">BF$42*INDEX(Precio_O,22)*INDEX(IdxPrecio_O,1,MIN(10,BF$17))*(1+P_dPrecio)</f>
        <v>0</v>
      </c>
      <c r="BG67" s="34" t="n">
        <f aca="false">BG$42*INDEX(Precio_O,22)*INDEX(IdxPrecio_O,1,MIN(10,BG$17))*(1+P_dPrecio)</f>
        <v>0</v>
      </c>
      <c r="BH67" s="34" t="n">
        <f aca="false">BH$42*INDEX(Precio_O,22)*INDEX(IdxPrecio_O,1,MIN(10,BH$17))*(1+P_dPrecio)</f>
        <v>0</v>
      </c>
      <c r="BI67" s="34" t="n">
        <f aca="false">BI$42*INDEX(Precio_O,22)*INDEX(IdxPrecio_O,1,MIN(10,BI$17))*(1+P_dPrecio)</f>
        <v>0</v>
      </c>
      <c r="BJ67" s="34" t="n">
        <f aca="false">BJ$42*INDEX(Precio_O,22)*INDEX(IdxPrecio_O,1,MIN(10,BJ$17))*(1+P_dPrecio)</f>
        <v>0</v>
      </c>
      <c r="BK67" s="34" t="n">
        <f aca="false">BK$42*INDEX(Precio_O,22)*INDEX(IdxPrecio_O,1,MIN(10,BK$17))*(1+P_dPrecio)</f>
        <v>0</v>
      </c>
      <c r="BL67" s="34" t="n">
        <f aca="false">BL$42*INDEX(Precio_O,22)*INDEX(IdxPrecio_O,1,MIN(10,BL$17))*(1+P_dPrecio)</f>
        <v>0</v>
      </c>
      <c r="BM67" s="34" t="n">
        <f aca="false">BM$42*INDEX(Precio_O,22)*INDEX(IdxPrecio_O,1,MIN(10,BM$17))*(1+P_dPrecio)</f>
        <v>0</v>
      </c>
      <c r="BN67" s="34" t="n">
        <f aca="false">BN$42*INDEX(Precio_O,22)*INDEX(IdxPrecio_O,1,MIN(10,BN$17))*(1+P_dPrecio)</f>
        <v>0</v>
      </c>
      <c r="BO67" s="34" t="n">
        <f aca="false">BO$42*INDEX(Precio_O,22)*INDEX(IdxPrecio_O,1,MIN(10,BO$17))*(1+P_dPrecio)</f>
        <v>0</v>
      </c>
      <c r="BP67" s="34" t="n">
        <f aca="false">BP$42*INDEX(Precio_O,22)*INDEX(IdxPrecio_O,1,MIN(10,BP$17))*(1+P_dPrecio)</f>
        <v>0</v>
      </c>
      <c r="BQ67" s="34" t="n">
        <f aca="false">BQ$42*INDEX(Precio_O,22)*INDEX(IdxPrecio_O,1,MIN(10,BQ$17))*(1+P_dPrecio)</f>
        <v>0</v>
      </c>
      <c r="BR67" s="34" t="n">
        <f aca="false">BR$42*INDEX(Precio_O,22)*INDEX(IdxPrecio_O,1,MIN(10,BR$17))*(1+P_dPrecio)</f>
        <v>0</v>
      </c>
      <c r="BS67" s="34" t="n">
        <f aca="false">BS$42*INDEX(Precio_O,22)*INDEX(IdxPrecio_O,1,MIN(10,BS$17))*(1+P_dPrecio)</f>
        <v>0</v>
      </c>
      <c r="BT67" s="34" t="n">
        <f aca="false">BT$42*INDEX(Precio_O,22)*INDEX(IdxPrecio_O,1,MIN(10,BT$17))*(1+P_dPrecio)</f>
        <v>0</v>
      </c>
      <c r="BU67" s="34" t="n">
        <f aca="false">BU$42*INDEX(Precio_O,22)*INDEX(IdxPrecio_O,1,MIN(10,BU$17))*(1+P_dPrecio)</f>
        <v>0</v>
      </c>
      <c r="BV67" s="34" t="n">
        <f aca="false">BV$42*INDEX(Precio_O,22)*INDEX(IdxPrecio_O,1,MIN(10,BV$17))*(1+P_dPrecio)</f>
        <v>0</v>
      </c>
      <c r="BW67" s="34" t="n">
        <f aca="false">BW$42*INDEX(Precio_O,22)*INDEX(IdxPrecio_O,1,MIN(10,BW$17))*(1+P_dPrecio)</f>
        <v>0</v>
      </c>
      <c r="BX67" s="34" t="n">
        <f aca="false">BX$42*INDEX(Precio_O,22)*INDEX(IdxPrecio_O,1,MIN(10,BX$17))*(1+P_dPrecio)</f>
        <v>0</v>
      </c>
      <c r="BY67" s="34" t="n">
        <f aca="false">BY$42*INDEX(Precio_O,22)*INDEX(IdxPrecio_O,1,MIN(10,BY$17))*(1+P_dPrecio)</f>
        <v>0</v>
      </c>
      <c r="BZ67" s="34" t="n">
        <f aca="false">BZ$42*INDEX(Precio_O,22)*INDEX(IdxPrecio_O,1,MIN(10,BZ$17))*(1+P_dPrecio)</f>
        <v>0</v>
      </c>
      <c r="CA67" s="34" t="n">
        <f aca="false">CA$42*INDEX(Precio_O,22)*INDEX(IdxPrecio_O,1,MIN(10,CA$17))*(1+P_dPrecio)</f>
        <v>0</v>
      </c>
      <c r="CB67" s="34" t="n">
        <f aca="false">CB$42*INDEX(Precio_O,22)*INDEX(IdxPrecio_O,1,MIN(10,CB$17))*(1+P_dPrecio)</f>
        <v>0</v>
      </c>
      <c r="CC67" s="34" t="n">
        <f aca="false">CC$42*INDEX(Precio_O,22)*INDEX(IdxPrecio_O,1,MIN(10,CC$17))*(1+P_dPrecio)</f>
        <v>0</v>
      </c>
      <c r="CD67" s="34" t="n">
        <f aca="false">CD$42*INDEX(Precio_O,22)*INDEX(IdxPrecio_O,1,MIN(10,CD$17))*(1+P_dPrecio)</f>
        <v>0</v>
      </c>
      <c r="CE67" s="34" t="n">
        <f aca="false">CE$42*INDEX(Precio_O,22)*INDEX(IdxPrecio_O,1,MIN(10,CE$17))*(1+P_dPrecio)</f>
        <v>0</v>
      </c>
      <c r="CF67" s="34" t="n">
        <f aca="false">CF$42*INDEX(Precio_O,22)*INDEX(IdxPrecio_O,1,MIN(10,CF$17))*(1+P_dPrecio)</f>
        <v>0</v>
      </c>
      <c r="CG67" s="34" t="n">
        <f aca="false">CG$42*INDEX(Precio_O,22)*INDEX(IdxPrecio_O,1,MIN(10,CG$17))*(1+P_dPrecio)</f>
        <v>0</v>
      </c>
      <c r="CH67" s="34" t="n">
        <f aca="false">CH$42*INDEX(Precio_O,22)*INDEX(IdxPrecio_O,1,MIN(10,CH$17))*(1+P_dPrecio)</f>
        <v>0</v>
      </c>
      <c r="CI67" s="34" t="n">
        <f aca="false">CI$42*INDEX(Precio_O,22)*INDEX(IdxPrecio_O,1,MIN(10,CI$17))*(1+P_dPrecio)</f>
        <v>0</v>
      </c>
      <c r="CJ67" s="34" t="n">
        <f aca="false">CJ$42*INDEX(Precio_O,22)*INDEX(IdxPrecio_O,1,MIN(10,CJ$17))*(1+P_dPrecio)</f>
        <v>0</v>
      </c>
      <c r="CK67" s="34" t="n">
        <f aca="false">CK$42*INDEX(Precio_O,22)*INDEX(IdxPrecio_O,1,MIN(10,CK$17))*(1+P_dPrecio)</f>
        <v>0</v>
      </c>
      <c r="CL67" s="34" t="n">
        <f aca="false">CL$42*INDEX(Precio_O,22)*INDEX(IdxPrecio_O,1,MIN(10,CL$17))*(1+P_dPrecio)</f>
        <v>0</v>
      </c>
      <c r="CM67" s="34" t="n">
        <f aca="false">CM$42*INDEX(Precio_O,22)*INDEX(IdxPrecio_O,1,MIN(10,CM$17))*(1+P_dPrecio)</f>
        <v>0</v>
      </c>
      <c r="CN67" s="34" t="n">
        <f aca="false">CN$42*INDEX(Precio_O,22)*INDEX(IdxPrecio_O,1,MIN(10,CN$17))*(1+P_dPrecio)</f>
        <v>0</v>
      </c>
      <c r="CO67" s="34" t="n">
        <f aca="false">CO$42*INDEX(Precio_O,22)*INDEX(IdxPrecio_O,1,MIN(10,CO$17))*(1+P_dPrecio)</f>
        <v>0</v>
      </c>
      <c r="CP67" s="34" t="n">
        <f aca="false">CP$42*INDEX(Precio_O,22)*INDEX(IdxPrecio_O,1,MIN(10,CP$17))*(1+P_dPrecio)</f>
        <v>0</v>
      </c>
      <c r="CQ67" s="34" t="n">
        <f aca="false">CQ$42*INDEX(Precio_O,22)*INDEX(IdxPrecio_O,1,MIN(10,CQ$17))*(1+P_dPrecio)</f>
        <v>0</v>
      </c>
      <c r="CR67" s="34" t="n">
        <f aca="false">CR$42*INDEX(Precio_O,22)*INDEX(IdxPrecio_O,1,MIN(10,CR$17))*(1+P_dPrecio)</f>
        <v>0</v>
      </c>
      <c r="CS67" s="34" t="n">
        <f aca="false">CS$42*INDEX(Precio_O,22)*INDEX(IdxPrecio_O,1,MIN(10,CS$17))*(1+P_dPrecio)</f>
        <v>0</v>
      </c>
      <c r="CT67" s="34" t="n">
        <f aca="false">CT$42*INDEX(Precio_O,22)*INDEX(IdxPrecio_O,1,MIN(10,CT$17))*(1+P_dPrecio)</f>
        <v>0</v>
      </c>
      <c r="CU67" s="34" t="n">
        <f aca="false">CU$42*INDEX(Precio_O,22)*INDEX(IdxPrecio_O,1,MIN(10,CU$17))*(1+P_dPrecio)</f>
        <v>0</v>
      </c>
      <c r="CV67" s="34" t="n">
        <f aca="false">CV$42*INDEX(Precio_O,22)*INDEX(IdxPrecio_O,1,MIN(10,CV$17))*(1+P_dPrecio)</f>
        <v>0</v>
      </c>
      <c r="CW67" s="34" t="n">
        <f aca="false">CW$42*INDEX(Precio_O,22)*INDEX(IdxPrecio_O,1,MIN(10,CW$17))*(1+P_dPrecio)</f>
        <v>0</v>
      </c>
      <c r="CX67" s="34" t="n">
        <f aca="false">CX$42*INDEX(Precio_O,22)*INDEX(IdxPrecio_O,1,MIN(10,CX$17))*(1+P_dPrecio)</f>
        <v>0</v>
      </c>
      <c r="CY67" s="34" t="n">
        <f aca="false">CY$42*INDEX(Precio_O,22)*INDEX(IdxPrecio_O,1,MIN(10,CY$17))*(1+P_dPrecio)</f>
        <v>0</v>
      </c>
      <c r="CZ67" s="34" t="n">
        <f aca="false">CZ$42*INDEX(Precio_O,22)*INDEX(IdxPrecio_O,1,MIN(10,CZ$17))*(1+P_dPrecio)</f>
        <v>0</v>
      </c>
      <c r="DA67" s="34" t="n">
        <f aca="false">DA$42*INDEX(Precio_O,22)*INDEX(IdxPrecio_O,1,MIN(10,DA$17))*(1+P_dPrecio)</f>
        <v>0</v>
      </c>
      <c r="DB67" s="34" t="n">
        <f aca="false">DB$42*INDEX(Precio_O,22)*INDEX(IdxPrecio_O,1,MIN(10,DB$17))*(1+P_dPrecio)</f>
        <v>0</v>
      </c>
      <c r="DC67" s="34" t="n">
        <f aca="false">DC$42*INDEX(Precio_O,22)*INDEX(IdxPrecio_O,1,MIN(10,DC$17))*(1+P_dPrecio)</f>
        <v>0</v>
      </c>
      <c r="DD67" s="34" t="n">
        <f aca="false">DD$42*INDEX(Precio_O,22)*INDEX(IdxPrecio_O,1,MIN(10,DD$17))*(1+P_dPrecio)</f>
        <v>0</v>
      </c>
      <c r="DE67" s="34" t="n">
        <f aca="false">DE$42*INDEX(Precio_O,22)*INDEX(IdxPrecio_O,1,MIN(10,DE$17))*(1+P_dPrecio)</f>
        <v>0</v>
      </c>
      <c r="DF67" s="34" t="n">
        <f aca="false">DF$42*INDEX(Precio_O,22)*INDEX(IdxPrecio_O,1,MIN(10,DF$17))*(1+P_dPrecio)</f>
        <v>0</v>
      </c>
      <c r="DG67" s="34" t="n">
        <f aca="false">DG$42*INDEX(Precio_O,22)*INDEX(IdxPrecio_O,1,MIN(10,DG$17))*(1+P_dPrecio)</f>
        <v>0</v>
      </c>
      <c r="DH67" s="34" t="n">
        <f aca="false">DH$42*INDEX(Precio_O,22)*INDEX(IdxPrecio_O,1,MIN(10,DH$17))*(1+P_dPrecio)</f>
        <v>0</v>
      </c>
      <c r="DI67" s="34" t="n">
        <f aca="false">DI$42*INDEX(Precio_O,22)*INDEX(IdxPrecio_O,1,MIN(10,DI$17))*(1+P_dPrecio)</f>
        <v>0</v>
      </c>
      <c r="DJ67" s="34" t="n">
        <f aca="false">DJ$42*INDEX(Precio_O,22)*INDEX(IdxPrecio_O,1,MIN(10,DJ$17))*(1+P_dPrecio)</f>
        <v>0</v>
      </c>
      <c r="DK67" s="34" t="n">
        <f aca="false">DK$42*INDEX(Precio_O,22)*INDEX(IdxPrecio_O,1,MIN(10,DK$17))*(1+P_dPrecio)</f>
        <v>0</v>
      </c>
      <c r="DL67" s="34" t="n">
        <f aca="false">DL$42*INDEX(Precio_O,22)*INDEX(IdxPrecio_O,1,MIN(10,DL$17))*(1+P_dPrecio)</f>
        <v>0</v>
      </c>
      <c r="DM67" s="34" t="n">
        <f aca="false">DM$42*INDEX(Precio_O,22)*INDEX(IdxPrecio_O,1,MIN(10,DM$17))*(1+P_dPrecio)</f>
        <v>0</v>
      </c>
      <c r="DN67" s="34" t="n">
        <f aca="false">DN$42*INDEX(Precio_O,22)*INDEX(IdxPrecio_O,1,MIN(10,DN$17))*(1+P_dPrecio)</f>
        <v>0</v>
      </c>
      <c r="DO67" s="34" t="n">
        <f aca="false">DO$42*INDEX(Precio_O,22)*INDEX(IdxPrecio_O,1,MIN(10,DO$17))*(1+P_dPrecio)</f>
        <v>0</v>
      </c>
      <c r="DP67" s="34" t="n">
        <f aca="false">DP$42*INDEX(Precio_O,22)*INDEX(IdxPrecio_O,1,MIN(10,DP$17))*(1+P_dPrecio)</f>
        <v>0</v>
      </c>
      <c r="DQ67" s="34" t="n">
        <f aca="false">DQ$42*INDEX(Precio_O,22)*INDEX(IdxPrecio_O,1,MIN(10,DQ$17))*(1+P_dPrecio)</f>
        <v>0</v>
      </c>
      <c r="DR67" s="34" t="n">
        <f aca="false">DR$42*INDEX(Precio_O,22)*INDEX(IdxPrecio_O,1,MIN(10,DR$17))*(1+P_dPrecio)</f>
        <v>0</v>
      </c>
      <c r="DS67" s="34" t="n">
        <f aca="false">DS$42*INDEX(Precio_O,22)*INDEX(IdxPrecio_O,1,MIN(10,DS$17))*(1+P_dPrecio)</f>
        <v>0</v>
      </c>
      <c r="DT67" s="34" t="n">
        <f aca="false">DT$42*INDEX(Precio_O,22)*INDEX(IdxPrecio_O,1,MIN(10,DT$17))*(1+P_dPrecio)</f>
        <v>0</v>
      </c>
      <c r="DU67" s="34" t="n">
        <f aca="false">DU$42*INDEX(Precio_O,22)*INDEX(IdxPrecio_O,1,MIN(10,DU$17))*(1+P_dPrecio)</f>
        <v>0</v>
      </c>
      <c r="DV67" s="34" t="n">
        <f aca="false">DV$42*INDEX(Precio_O,22)*INDEX(IdxPrecio_O,1,MIN(10,DV$17))*(1+P_dPrecio)</f>
        <v>0</v>
      </c>
      <c r="DW67" s="34" t="n">
        <f aca="false">DW$42*INDEX(Precio_O,22)*INDEX(IdxPrecio_O,1,MIN(10,DW$17))*(1+P_dPrecio)</f>
        <v>0</v>
      </c>
      <c r="DX67" s="34" t="n">
        <f aca="false">DX$42*INDEX(Precio_O,22)*INDEX(IdxPrecio_O,1,MIN(10,DX$17))*(1+P_dPrecio)</f>
        <v>0</v>
      </c>
      <c r="DY67" s="34" t="n">
        <f aca="false">DY$42*INDEX(Precio_O,22)*INDEX(IdxPrecio_O,1,MIN(10,DY$17))*(1+P_dPrecio)</f>
        <v>0</v>
      </c>
      <c r="DZ67" s="34" t="n">
        <f aca="false">DZ$42*INDEX(Precio_O,22)*INDEX(IdxPrecio_O,1,MIN(10,DZ$17))*(1+P_dPrecio)</f>
        <v>0</v>
      </c>
      <c r="EA67" s="34" t="n">
        <f aca="false">EA$42*INDEX(Precio_O,22)*INDEX(IdxPrecio_O,1,MIN(10,EA$17))*(1+P_dPrecio)</f>
        <v>0</v>
      </c>
      <c r="EB67" s="34" t="n">
        <f aca="false">EB$42*INDEX(Precio_O,22)*INDEX(IdxPrecio_O,1,MIN(10,EB$17))*(1+P_dPrecio)</f>
        <v>0</v>
      </c>
      <c r="EC67" s="34" t="n">
        <f aca="false">EC$42*INDEX(Precio_O,22)*INDEX(IdxPrecio_O,1,MIN(10,EC$17))*(1+P_dPrecio)</f>
        <v>0</v>
      </c>
      <c r="ED67" s="34" t="n">
        <f aca="false">ED$42*INDEX(Precio_O,22)*INDEX(IdxPrecio_O,1,MIN(10,ED$17))*(1+P_dPrecio)</f>
        <v>0</v>
      </c>
      <c r="EE67" s="34" t="n">
        <f aca="false">EE$42*INDEX(Precio_O,22)*INDEX(IdxPrecio_O,1,MIN(10,EE$17))*(1+P_dPrecio)</f>
        <v>0</v>
      </c>
      <c r="EF67" s="34" t="n">
        <f aca="false">EF$42*INDEX(Precio_O,22)*INDEX(IdxPrecio_O,1,MIN(10,EF$17))*(1+P_dPrecio)</f>
        <v>0</v>
      </c>
      <c r="EG67" s="34" t="n">
        <f aca="false">EG$42*INDEX(Precio_O,22)*INDEX(IdxPrecio_O,1,MIN(10,EG$17))*(1+P_dPrecio)</f>
        <v>0</v>
      </c>
      <c r="EH67" s="34" t="n">
        <f aca="false">EH$42*INDEX(Precio_O,22)*INDEX(IdxPrecio_O,1,MIN(10,EH$17))*(1+P_dPrecio)</f>
        <v>0</v>
      </c>
      <c r="EI67" s="34" t="n">
        <f aca="false">EI$42*INDEX(Precio_O,22)*INDEX(IdxPrecio_O,1,MIN(10,EI$17))*(1+P_dPrecio)</f>
        <v>0</v>
      </c>
      <c r="EJ67" s="34" t="n">
        <f aca="false">EJ$42*INDEX(Precio_O,22)*INDEX(IdxPrecio_O,1,MIN(10,EJ$17))*(1+P_dPrecio)</f>
        <v>0</v>
      </c>
      <c r="EK67" s="34" t="n">
        <f aca="false">EK$42*INDEX(Precio_O,22)*INDEX(IdxPrecio_O,1,MIN(10,EK$17))*(1+P_dPrecio)</f>
        <v>0</v>
      </c>
      <c r="EL67" s="34" t="n">
        <f aca="false">EL$42*INDEX(Precio_O,22)*INDEX(IdxPrecio_O,1,MIN(10,EL$17))*(1+P_dPrecio)</f>
        <v>0</v>
      </c>
      <c r="EM67" s="34" t="n">
        <f aca="false">EM$42*INDEX(Precio_O,22)*INDEX(IdxPrecio_O,1,MIN(10,EM$17))*(1+P_dPrecio)</f>
        <v>0</v>
      </c>
      <c r="EN67" s="34" t="n">
        <f aca="false">EN$42*INDEX(Precio_O,22)*INDEX(IdxPrecio_O,1,MIN(10,EN$17))*(1+P_dPrecio)</f>
        <v>0</v>
      </c>
      <c r="EO67" s="34" t="n">
        <f aca="false">EO$42*INDEX(Precio_O,22)*INDEX(IdxPrecio_O,1,MIN(10,EO$17))*(1+P_dPrecio)</f>
        <v>0</v>
      </c>
      <c r="EP67" s="34" t="n">
        <f aca="false">EP$42*INDEX(Precio_O,22)*INDEX(IdxPrecio_O,1,MIN(10,EP$17))*(1+P_dPrecio)</f>
        <v>0</v>
      </c>
      <c r="EQ67" s="34" t="n">
        <f aca="false">EQ$42*INDEX(Precio_O,22)*INDEX(IdxPrecio_O,1,MIN(10,EQ$17))*(1+P_dPrecio)</f>
        <v>0</v>
      </c>
      <c r="ER67" s="34" t="n">
        <f aca="false">ER$42*INDEX(Precio_O,22)*INDEX(IdxPrecio_O,1,MIN(10,ER$17))*(1+P_dPrecio)</f>
        <v>0</v>
      </c>
      <c r="ES67" s="34" t="n">
        <f aca="false">ES$42*INDEX(Precio_O,22)*INDEX(IdxPrecio_O,1,MIN(10,ES$17))*(1+P_dPrecio)</f>
        <v>0</v>
      </c>
    </row>
    <row r="68" customFormat="false" ht="15" hidden="false" customHeight="false" outlineLevel="0" collapsed="false">
      <c r="A68" s="2" t="s">
        <v>631</v>
      </c>
      <c r="B68" s="39" t="str">
        <f aca="false">IF(INDEX(Prod_Nombre,23)="","Producto 23",INDEX(Prod_Nombre,23))&amp;" — ventas USD"</f>
        <v>Producto 23 — ventas USD</v>
      </c>
      <c r="C68" s="6" t="s">
        <v>250</v>
      </c>
      <c r="E68" s="40" t="n">
        <f aca="false">SUM(F68:ES68)</f>
        <v>0</v>
      </c>
      <c r="F68" s="34" t="n">
        <f aca="false">F$43*INDEX(Precio_O,23)*INDEX(IdxPrecio_O,1,MIN(10,F$17))*(1+P_dPrecio)</f>
        <v>0</v>
      </c>
      <c r="G68" s="34" t="n">
        <f aca="false">G$43*INDEX(Precio_O,23)*INDEX(IdxPrecio_O,1,MIN(10,G$17))*(1+P_dPrecio)</f>
        <v>0</v>
      </c>
      <c r="H68" s="34" t="n">
        <f aca="false">H$43*INDEX(Precio_O,23)*INDEX(IdxPrecio_O,1,MIN(10,H$17))*(1+P_dPrecio)</f>
        <v>0</v>
      </c>
      <c r="I68" s="34" t="n">
        <f aca="false">I$43*INDEX(Precio_O,23)*INDEX(IdxPrecio_O,1,MIN(10,I$17))*(1+P_dPrecio)</f>
        <v>0</v>
      </c>
      <c r="J68" s="34" t="n">
        <f aca="false">J$43*INDEX(Precio_O,23)*INDEX(IdxPrecio_O,1,MIN(10,J$17))*(1+P_dPrecio)</f>
        <v>0</v>
      </c>
      <c r="K68" s="34" t="n">
        <f aca="false">K$43*INDEX(Precio_O,23)*INDEX(IdxPrecio_O,1,MIN(10,K$17))*(1+P_dPrecio)</f>
        <v>0</v>
      </c>
      <c r="L68" s="34" t="n">
        <f aca="false">L$43*INDEX(Precio_O,23)*INDEX(IdxPrecio_O,1,MIN(10,L$17))*(1+P_dPrecio)</f>
        <v>0</v>
      </c>
      <c r="M68" s="34" t="n">
        <f aca="false">M$43*INDEX(Precio_O,23)*INDEX(IdxPrecio_O,1,MIN(10,M$17))*(1+P_dPrecio)</f>
        <v>0</v>
      </c>
      <c r="N68" s="34" t="n">
        <f aca="false">N$43*INDEX(Precio_O,23)*INDEX(IdxPrecio_O,1,MIN(10,N$17))*(1+P_dPrecio)</f>
        <v>0</v>
      </c>
      <c r="O68" s="34" t="n">
        <f aca="false">O$43*INDEX(Precio_O,23)*INDEX(IdxPrecio_O,1,MIN(10,O$17))*(1+P_dPrecio)</f>
        <v>0</v>
      </c>
      <c r="P68" s="34" t="n">
        <f aca="false">P$43*INDEX(Precio_O,23)*INDEX(IdxPrecio_O,1,MIN(10,P$17))*(1+P_dPrecio)</f>
        <v>0</v>
      </c>
      <c r="Q68" s="34" t="n">
        <f aca="false">Q$43*INDEX(Precio_O,23)*INDEX(IdxPrecio_O,1,MIN(10,Q$17))*(1+P_dPrecio)</f>
        <v>0</v>
      </c>
      <c r="R68" s="34" t="n">
        <f aca="false">R$43*INDEX(Precio_O,23)*INDEX(IdxPrecio_O,1,MIN(10,R$17))*(1+P_dPrecio)</f>
        <v>0</v>
      </c>
      <c r="S68" s="34" t="n">
        <f aca="false">S$43*INDEX(Precio_O,23)*INDEX(IdxPrecio_O,1,MIN(10,S$17))*(1+P_dPrecio)</f>
        <v>0</v>
      </c>
      <c r="T68" s="34" t="n">
        <f aca="false">T$43*INDEX(Precio_O,23)*INDEX(IdxPrecio_O,1,MIN(10,T$17))*(1+P_dPrecio)</f>
        <v>0</v>
      </c>
      <c r="U68" s="34" t="n">
        <f aca="false">U$43*INDEX(Precio_O,23)*INDEX(IdxPrecio_O,1,MIN(10,U$17))*(1+P_dPrecio)</f>
        <v>0</v>
      </c>
      <c r="V68" s="34" t="n">
        <f aca="false">V$43*INDEX(Precio_O,23)*INDEX(IdxPrecio_O,1,MIN(10,V$17))*(1+P_dPrecio)</f>
        <v>0</v>
      </c>
      <c r="W68" s="34" t="n">
        <f aca="false">W$43*INDEX(Precio_O,23)*INDEX(IdxPrecio_O,1,MIN(10,W$17))*(1+P_dPrecio)</f>
        <v>0</v>
      </c>
      <c r="X68" s="34" t="n">
        <f aca="false">X$43*INDEX(Precio_O,23)*INDEX(IdxPrecio_O,1,MIN(10,X$17))*(1+P_dPrecio)</f>
        <v>0</v>
      </c>
      <c r="Y68" s="34" t="n">
        <f aca="false">Y$43*INDEX(Precio_O,23)*INDEX(IdxPrecio_O,1,MIN(10,Y$17))*(1+P_dPrecio)</f>
        <v>0</v>
      </c>
      <c r="Z68" s="34" t="n">
        <f aca="false">Z$43*INDEX(Precio_O,23)*INDEX(IdxPrecio_O,1,MIN(10,Z$17))*(1+P_dPrecio)</f>
        <v>0</v>
      </c>
      <c r="AA68" s="34" t="n">
        <f aca="false">AA$43*INDEX(Precio_O,23)*INDEX(IdxPrecio_O,1,MIN(10,AA$17))*(1+P_dPrecio)</f>
        <v>0</v>
      </c>
      <c r="AB68" s="34" t="n">
        <f aca="false">AB$43*INDEX(Precio_O,23)*INDEX(IdxPrecio_O,1,MIN(10,AB$17))*(1+P_dPrecio)</f>
        <v>0</v>
      </c>
      <c r="AC68" s="34" t="n">
        <f aca="false">AC$43*INDEX(Precio_O,23)*INDEX(IdxPrecio_O,1,MIN(10,AC$17))*(1+P_dPrecio)</f>
        <v>0</v>
      </c>
      <c r="AD68" s="34" t="n">
        <f aca="false">AD$43*INDEX(Precio_O,23)*INDEX(IdxPrecio_O,1,MIN(10,AD$17))*(1+P_dPrecio)</f>
        <v>0</v>
      </c>
      <c r="AE68" s="34" t="n">
        <f aca="false">AE$43*INDEX(Precio_O,23)*INDEX(IdxPrecio_O,1,MIN(10,AE$17))*(1+P_dPrecio)</f>
        <v>0</v>
      </c>
      <c r="AF68" s="34" t="n">
        <f aca="false">AF$43*INDEX(Precio_O,23)*INDEX(IdxPrecio_O,1,MIN(10,AF$17))*(1+P_dPrecio)</f>
        <v>0</v>
      </c>
      <c r="AG68" s="34" t="n">
        <f aca="false">AG$43*INDEX(Precio_O,23)*INDEX(IdxPrecio_O,1,MIN(10,AG$17))*(1+P_dPrecio)</f>
        <v>0</v>
      </c>
      <c r="AH68" s="34" t="n">
        <f aca="false">AH$43*INDEX(Precio_O,23)*INDEX(IdxPrecio_O,1,MIN(10,AH$17))*(1+P_dPrecio)</f>
        <v>0</v>
      </c>
      <c r="AI68" s="34" t="n">
        <f aca="false">AI$43*INDEX(Precio_O,23)*INDEX(IdxPrecio_O,1,MIN(10,AI$17))*(1+P_dPrecio)</f>
        <v>0</v>
      </c>
      <c r="AJ68" s="34" t="n">
        <f aca="false">AJ$43*INDEX(Precio_O,23)*INDEX(IdxPrecio_O,1,MIN(10,AJ$17))*(1+P_dPrecio)</f>
        <v>0</v>
      </c>
      <c r="AK68" s="34" t="n">
        <f aca="false">AK$43*INDEX(Precio_O,23)*INDEX(IdxPrecio_O,1,MIN(10,AK$17))*(1+P_dPrecio)</f>
        <v>0</v>
      </c>
      <c r="AL68" s="34" t="n">
        <f aca="false">AL$43*INDEX(Precio_O,23)*INDEX(IdxPrecio_O,1,MIN(10,AL$17))*(1+P_dPrecio)</f>
        <v>0</v>
      </c>
      <c r="AM68" s="34" t="n">
        <f aca="false">AM$43*INDEX(Precio_O,23)*INDEX(IdxPrecio_O,1,MIN(10,AM$17))*(1+P_dPrecio)</f>
        <v>0</v>
      </c>
      <c r="AN68" s="34" t="n">
        <f aca="false">AN$43*INDEX(Precio_O,23)*INDEX(IdxPrecio_O,1,MIN(10,AN$17))*(1+P_dPrecio)</f>
        <v>0</v>
      </c>
      <c r="AO68" s="34" t="n">
        <f aca="false">AO$43*INDEX(Precio_O,23)*INDEX(IdxPrecio_O,1,MIN(10,AO$17))*(1+P_dPrecio)</f>
        <v>0</v>
      </c>
      <c r="AP68" s="34" t="n">
        <f aca="false">AP$43*INDEX(Precio_O,23)*INDEX(IdxPrecio_O,1,MIN(10,AP$17))*(1+P_dPrecio)</f>
        <v>0</v>
      </c>
      <c r="AQ68" s="34" t="n">
        <f aca="false">AQ$43*INDEX(Precio_O,23)*INDEX(IdxPrecio_O,1,MIN(10,AQ$17))*(1+P_dPrecio)</f>
        <v>0</v>
      </c>
      <c r="AR68" s="34" t="n">
        <f aca="false">AR$43*INDEX(Precio_O,23)*INDEX(IdxPrecio_O,1,MIN(10,AR$17))*(1+P_dPrecio)</f>
        <v>0</v>
      </c>
      <c r="AS68" s="34" t="n">
        <f aca="false">AS$43*INDEX(Precio_O,23)*INDEX(IdxPrecio_O,1,MIN(10,AS$17))*(1+P_dPrecio)</f>
        <v>0</v>
      </c>
      <c r="AT68" s="34" t="n">
        <f aca="false">AT$43*INDEX(Precio_O,23)*INDEX(IdxPrecio_O,1,MIN(10,AT$17))*(1+P_dPrecio)</f>
        <v>0</v>
      </c>
      <c r="AU68" s="34" t="n">
        <f aca="false">AU$43*INDEX(Precio_O,23)*INDEX(IdxPrecio_O,1,MIN(10,AU$17))*(1+P_dPrecio)</f>
        <v>0</v>
      </c>
      <c r="AV68" s="34" t="n">
        <f aca="false">AV$43*INDEX(Precio_O,23)*INDEX(IdxPrecio_O,1,MIN(10,AV$17))*(1+P_dPrecio)</f>
        <v>0</v>
      </c>
      <c r="AW68" s="34" t="n">
        <f aca="false">AW$43*INDEX(Precio_O,23)*INDEX(IdxPrecio_O,1,MIN(10,AW$17))*(1+P_dPrecio)</f>
        <v>0</v>
      </c>
      <c r="AX68" s="34" t="n">
        <f aca="false">AX$43*INDEX(Precio_O,23)*INDEX(IdxPrecio_O,1,MIN(10,AX$17))*(1+P_dPrecio)</f>
        <v>0</v>
      </c>
      <c r="AY68" s="34" t="n">
        <f aca="false">AY$43*INDEX(Precio_O,23)*INDEX(IdxPrecio_O,1,MIN(10,AY$17))*(1+P_dPrecio)</f>
        <v>0</v>
      </c>
      <c r="AZ68" s="34" t="n">
        <f aca="false">AZ$43*INDEX(Precio_O,23)*INDEX(IdxPrecio_O,1,MIN(10,AZ$17))*(1+P_dPrecio)</f>
        <v>0</v>
      </c>
      <c r="BA68" s="34" t="n">
        <f aca="false">BA$43*INDEX(Precio_O,23)*INDEX(IdxPrecio_O,1,MIN(10,BA$17))*(1+P_dPrecio)</f>
        <v>0</v>
      </c>
      <c r="BB68" s="34" t="n">
        <f aca="false">BB$43*INDEX(Precio_O,23)*INDEX(IdxPrecio_O,1,MIN(10,BB$17))*(1+P_dPrecio)</f>
        <v>0</v>
      </c>
      <c r="BC68" s="34" t="n">
        <f aca="false">BC$43*INDEX(Precio_O,23)*INDEX(IdxPrecio_O,1,MIN(10,BC$17))*(1+P_dPrecio)</f>
        <v>0</v>
      </c>
      <c r="BD68" s="34" t="n">
        <f aca="false">BD$43*INDEX(Precio_O,23)*INDEX(IdxPrecio_O,1,MIN(10,BD$17))*(1+P_dPrecio)</f>
        <v>0</v>
      </c>
      <c r="BE68" s="34" t="n">
        <f aca="false">BE$43*INDEX(Precio_O,23)*INDEX(IdxPrecio_O,1,MIN(10,BE$17))*(1+P_dPrecio)</f>
        <v>0</v>
      </c>
      <c r="BF68" s="34" t="n">
        <f aca="false">BF$43*INDEX(Precio_O,23)*INDEX(IdxPrecio_O,1,MIN(10,BF$17))*(1+P_dPrecio)</f>
        <v>0</v>
      </c>
      <c r="BG68" s="34" t="n">
        <f aca="false">BG$43*INDEX(Precio_O,23)*INDEX(IdxPrecio_O,1,MIN(10,BG$17))*(1+P_dPrecio)</f>
        <v>0</v>
      </c>
      <c r="BH68" s="34" t="n">
        <f aca="false">BH$43*INDEX(Precio_O,23)*INDEX(IdxPrecio_O,1,MIN(10,BH$17))*(1+P_dPrecio)</f>
        <v>0</v>
      </c>
      <c r="BI68" s="34" t="n">
        <f aca="false">BI$43*INDEX(Precio_O,23)*INDEX(IdxPrecio_O,1,MIN(10,BI$17))*(1+P_dPrecio)</f>
        <v>0</v>
      </c>
      <c r="BJ68" s="34" t="n">
        <f aca="false">BJ$43*INDEX(Precio_O,23)*INDEX(IdxPrecio_O,1,MIN(10,BJ$17))*(1+P_dPrecio)</f>
        <v>0</v>
      </c>
      <c r="BK68" s="34" t="n">
        <f aca="false">BK$43*INDEX(Precio_O,23)*INDEX(IdxPrecio_O,1,MIN(10,BK$17))*(1+P_dPrecio)</f>
        <v>0</v>
      </c>
      <c r="BL68" s="34" t="n">
        <f aca="false">BL$43*INDEX(Precio_O,23)*INDEX(IdxPrecio_O,1,MIN(10,BL$17))*(1+P_dPrecio)</f>
        <v>0</v>
      </c>
      <c r="BM68" s="34" t="n">
        <f aca="false">BM$43*INDEX(Precio_O,23)*INDEX(IdxPrecio_O,1,MIN(10,BM$17))*(1+P_dPrecio)</f>
        <v>0</v>
      </c>
      <c r="BN68" s="34" t="n">
        <f aca="false">BN$43*INDEX(Precio_O,23)*INDEX(IdxPrecio_O,1,MIN(10,BN$17))*(1+P_dPrecio)</f>
        <v>0</v>
      </c>
      <c r="BO68" s="34" t="n">
        <f aca="false">BO$43*INDEX(Precio_O,23)*INDEX(IdxPrecio_O,1,MIN(10,BO$17))*(1+P_dPrecio)</f>
        <v>0</v>
      </c>
      <c r="BP68" s="34" t="n">
        <f aca="false">BP$43*INDEX(Precio_O,23)*INDEX(IdxPrecio_O,1,MIN(10,BP$17))*(1+P_dPrecio)</f>
        <v>0</v>
      </c>
      <c r="BQ68" s="34" t="n">
        <f aca="false">BQ$43*INDEX(Precio_O,23)*INDEX(IdxPrecio_O,1,MIN(10,BQ$17))*(1+P_dPrecio)</f>
        <v>0</v>
      </c>
      <c r="BR68" s="34" t="n">
        <f aca="false">BR$43*INDEX(Precio_O,23)*INDEX(IdxPrecio_O,1,MIN(10,BR$17))*(1+P_dPrecio)</f>
        <v>0</v>
      </c>
      <c r="BS68" s="34" t="n">
        <f aca="false">BS$43*INDEX(Precio_O,23)*INDEX(IdxPrecio_O,1,MIN(10,BS$17))*(1+P_dPrecio)</f>
        <v>0</v>
      </c>
      <c r="BT68" s="34" t="n">
        <f aca="false">BT$43*INDEX(Precio_O,23)*INDEX(IdxPrecio_O,1,MIN(10,BT$17))*(1+P_dPrecio)</f>
        <v>0</v>
      </c>
      <c r="BU68" s="34" t="n">
        <f aca="false">BU$43*INDEX(Precio_O,23)*INDEX(IdxPrecio_O,1,MIN(10,BU$17))*(1+P_dPrecio)</f>
        <v>0</v>
      </c>
      <c r="BV68" s="34" t="n">
        <f aca="false">BV$43*INDEX(Precio_O,23)*INDEX(IdxPrecio_O,1,MIN(10,BV$17))*(1+P_dPrecio)</f>
        <v>0</v>
      </c>
      <c r="BW68" s="34" t="n">
        <f aca="false">BW$43*INDEX(Precio_O,23)*INDEX(IdxPrecio_O,1,MIN(10,BW$17))*(1+P_dPrecio)</f>
        <v>0</v>
      </c>
      <c r="BX68" s="34" t="n">
        <f aca="false">BX$43*INDEX(Precio_O,23)*INDEX(IdxPrecio_O,1,MIN(10,BX$17))*(1+P_dPrecio)</f>
        <v>0</v>
      </c>
      <c r="BY68" s="34" t="n">
        <f aca="false">BY$43*INDEX(Precio_O,23)*INDEX(IdxPrecio_O,1,MIN(10,BY$17))*(1+P_dPrecio)</f>
        <v>0</v>
      </c>
      <c r="BZ68" s="34" t="n">
        <f aca="false">BZ$43*INDEX(Precio_O,23)*INDEX(IdxPrecio_O,1,MIN(10,BZ$17))*(1+P_dPrecio)</f>
        <v>0</v>
      </c>
      <c r="CA68" s="34" t="n">
        <f aca="false">CA$43*INDEX(Precio_O,23)*INDEX(IdxPrecio_O,1,MIN(10,CA$17))*(1+P_dPrecio)</f>
        <v>0</v>
      </c>
      <c r="CB68" s="34" t="n">
        <f aca="false">CB$43*INDEX(Precio_O,23)*INDEX(IdxPrecio_O,1,MIN(10,CB$17))*(1+P_dPrecio)</f>
        <v>0</v>
      </c>
      <c r="CC68" s="34" t="n">
        <f aca="false">CC$43*INDEX(Precio_O,23)*INDEX(IdxPrecio_O,1,MIN(10,CC$17))*(1+P_dPrecio)</f>
        <v>0</v>
      </c>
      <c r="CD68" s="34" t="n">
        <f aca="false">CD$43*INDEX(Precio_O,23)*INDEX(IdxPrecio_O,1,MIN(10,CD$17))*(1+P_dPrecio)</f>
        <v>0</v>
      </c>
      <c r="CE68" s="34" t="n">
        <f aca="false">CE$43*INDEX(Precio_O,23)*INDEX(IdxPrecio_O,1,MIN(10,CE$17))*(1+P_dPrecio)</f>
        <v>0</v>
      </c>
      <c r="CF68" s="34" t="n">
        <f aca="false">CF$43*INDEX(Precio_O,23)*INDEX(IdxPrecio_O,1,MIN(10,CF$17))*(1+P_dPrecio)</f>
        <v>0</v>
      </c>
      <c r="CG68" s="34" t="n">
        <f aca="false">CG$43*INDEX(Precio_O,23)*INDEX(IdxPrecio_O,1,MIN(10,CG$17))*(1+P_dPrecio)</f>
        <v>0</v>
      </c>
      <c r="CH68" s="34" t="n">
        <f aca="false">CH$43*INDEX(Precio_O,23)*INDEX(IdxPrecio_O,1,MIN(10,CH$17))*(1+P_dPrecio)</f>
        <v>0</v>
      </c>
      <c r="CI68" s="34" t="n">
        <f aca="false">CI$43*INDEX(Precio_O,23)*INDEX(IdxPrecio_O,1,MIN(10,CI$17))*(1+P_dPrecio)</f>
        <v>0</v>
      </c>
      <c r="CJ68" s="34" t="n">
        <f aca="false">CJ$43*INDEX(Precio_O,23)*INDEX(IdxPrecio_O,1,MIN(10,CJ$17))*(1+P_dPrecio)</f>
        <v>0</v>
      </c>
      <c r="CK68" s="34" t="n">
        <f aca="false">CK$43*INDEX(Precio_O,23)*INDEX(IdxPrecio_O,1,MIN(10,CK$17))*(1+P_dPrecio)</f>
        <v>0</v>
      </c>
      <c r="CL68" s="34" t="n">
        <f aca="false">CL$43*INDEX(Precio_O,23)*INDEX(IdxPrecio_O,1,MIN(10,CL$17))*(1+P_dPrecio)</f>
        <v>0</v>
      </c>
      <c r="CM68" s="34" t="n">
        <f aca="false">CM$43*INDEX(Precio_O,23)*INDEX(IdxPrecio_O,1,MIN(10,CM$17))*(1+P_dPrecio)</f>
        <v>0</v>
      </c>
      <c r="CN68" s="34" t="n">
        <f aca="false">CN$43*INDEX(Precio_O,23)*INDEX(IdxPrecio_O,1,MIN(10,CN$17))*(1+P_dPrecio)</f>
        <v>0</v>
      </c>
      <c r="CO68" s="34" t="n">
        <f aca="false">CO$43*INDEX(Precio_O,23)*INDEX(IdxPrecio_O,1,MIN(10,CO$17))*(1+P_dPrecio)</f>
        <v>0</v>
      </c>
      <c r="CP68" s="34" t="n">
        <f aca="false">CP$43*INDEX(Precio_O,23)*INDEX(IdxPrecio_O,1,MIN(10,CP$17))*(1+P_dPrecio)</f>
        <v>0</v>
      </c>
      <c r="CQ68" s="34" t="n">
        <f aca="false">CQ$43*INDEX(Precio_O,23)*INDEX(IdxPrecio_O,1,MIN(10,CQ$17))*(1+P_dPrecio)</f>
        <v>0</v>
      </c>
      <c r="CR68" s="34" t="n">
        <f aca="false">CR$43*INDEX(Precio_O,23)*INDEX(IdxPrecio_O,1,MIN(10,CR$17))*(1+P_dPrecio)</f>
        <v>0</v>
      </c>
      <c r="CS68" s="34" t="n">
        <f aca="false">CS$43*INDEX(Precio_O,23)*INDEX(IdxPrecio_O,1,MIN(10,CS$17))*(1+P_dPrecio)</f>
        <v>0</v>
      </c>
      <c r="CT68" s="34" t="n">
        <f aca="false">CT$43*INDEX(Precio_O,23)*INDEX(IdxPrecio_O,1,MIN(10,CT$17))*(1+P_dPrecio)</f>
        <v>0</v>
      </c>
      <c r="CU68" s="34" t="n">
        <f aca="false">CU$43*INDEX(Precio_O,23)*INDEX(IdxPrecio_O,1,MIN(10,CU$17))*(1+P_dPrecio)</f>
        <v>0</v>
      </c>
      <c r="CV68" s="34" t="n">
        <f aca="false">CV$43*INDEX(Precio_O,23)*INDEX(IdxPrecio_O,1,MIN(10,CV$17))*(1+P_dPrecio)</f>
        <v>0</v>
      </c>
      <c r="CW68" s="34" t="n">
        <f aca="false">CW$43*INDEX(Precio_O,23)*INDEX(IdxPrecio_O,1,MIN(10,CW$17))*(1+P_dPrecio)</f>
        <v>0</v>
      </c>
      <c r="CX68" s="34" t="n">
        <f aca="false">CX$43*INDEX(Precio_O,23)*INDEX(IdxPrecio_O,1,MIN(10,CX$17))*(1+P_dPrecio)</f>
        <v>0</v>
      </c>
      <c r="CY68" s="34" t="n">
        <f aca="false">CY$43*INDEX(Precio_O,23)*INDEX(IdxPrecio_O,1,MIN(10,CY$17))*(1+P_dPrecio)</f>
        <v>0</v>
      </c>
      <c r="CZ68" s="34" t="n">
        <f aca="false">CZ$43*INDEX(Precio_O,23)*INDEX(IdxPrecio_O,1,MIN(10,CZ$17))*(1+P_dPrecio)</f>
        <v>0</v>
      </c>
      <c r="DA68" s="34" t="n">
        <f aca="false">DA$43*INDEX(Precio_O,23)*INDEX(IdxPrecio_O,1,MIN(10,DA$17))*(1+P_dPrecio)</f>
        <v>0</v>
      </c>
      <c r="DB68" s="34" t="n">
        <f aca="false">DB$43*INDEX(Precio_O,23)*INDEX(IdxPrecio_O,1,MIN(10,DB$17))*(1+P_dPrecio)</f>
        <v>0</v>
      </c>
      <c r="DC68" s="34" t="n">
        <f aca="false">DC$43*INDEX(Precio_O,23)*INDEX(IdxPrecio_O,1,MIN(10,DC$17))*(1+P_dPrecio)</f>
        <v>0</v>
      </c>
      <c r="DD68" s="34" t="n">
        <f aca="false">DD$43*INDEX(Precio_O,23)*INDEX(IdxPrecio_O,1,MIN(10,DD$17))*(1+P_dPrecio)</f>
        <v>0</v>
      </c>
      <c r="DE68" s="34" t="n">
        <f aca="false">DE$43*INDEX(Precio_O,23)*INDEX(IdxPrecio_O,1,MIN(10,DE$17))*(1+P_dPrecio)</f>
        <v>0</v>
      </c>
      <c r="DF68" s="34" t="n">
        <f aca="false">DF$43*INDEX(Precio_O,23)*INDEX(IdxPrecio_O,1,MIN(10,DF$17))*(1+P_dPrecio)</f>
        <v>0</v>
      </c>
      <c r="DG68" s="34" t="n">
        <f aca="false">DG$43*INDEX(Precio_O,23)*INDEX(IdxPrecio_O,1,MIN(10,DG$17))*(1+P_dPrecio)</f>
        <v>0</v>
      </c>
      <c r="DH68" s="34" t="n">
        <f aca="false">DH$43*INDEX(Precio_O,23)*INDEX(IdxPrecio_O,1,MIN(10,DH$17))*(1+P_dPrecio)</f>
        <v>0</v>
      </c>
      <c r="DI68" s="34" t="n">
        <f aca="false">DI$43*INDEX(Precio_O,23)*INDEX(IdxPrecio_O,1,MIN(10,DI$17))*(1+P_dPrecio)</f>
        <v>0</v>
      </c>
      <c r="DJ68" s="34" t="n">
        <f aca="false">DJ$43*INDEX(Precio_O,23)*INDEX(IdxPrecio_O,1,MIN(10,DJ$17))*(1+P_dPrecio)</f>
        <v>0</v>
      </c>
      <c r="DK68" s="34" t="n">
        <f aca="false">DK$43*INDEX(Precio_O,23)*INDEX(IdxPrecio_O,1,MIN(10,DK$17))*(1+P_dPrecio)</f>
        <v>0</v>
      </c>
      <c r="DL68" s="34" t="n">
        <f aca="false">DL$43*INDEX(Precio_O,23)*INDEX(IdxPrecio_O,1,MIN(10,DL$17))*(1+P_dPrecio)</f>
        <v>0</v>
      </c>
      <c r="DM68" s="34" t="n">
        <f aca="false">DM$43*INDEX(Precio_O,23)*INDEX(IdxPrecio_O,1,MIN(10,DM$17))*(1+P_dPrecio)</f>
        <v>0</v>
      </c>
      <c r="DN68" s="34" t="n">
        <f aca="false">DN$43*INDEX(Precio_O,23)*INDEX(IdxPrecio_O,1,MIN(10,DN$17))*(1+P_dPrecio)</f>
        <v>0</v>
      </c>
      <c r="DO68" s="34" t="n">
        <f aca="false">DO$43*INDEX(Precio_O,23)*INDEX(IdxPrecio_O,1,MIN(10,DO$17))*(1+P_dPrecio)</f>
        <v>0</v>
      </c>
      <c r="DP68" s="34" t="n">
        <f aca="false">DP$43*INDEX(Precio_O,23)*INDEX(IdxPrecio_O,1,MIN(10,DP$17))*(1+P_dPrecio)</f>
        <v>0</v>
      </c>
      <c r="DQ68" s="34" t="n">
        <f aca="false">DQ$43*INDEX(Precio_O,23)*INDEX(IdxPrecio_O,1,MIN(10,DQ$17))*(1+P_dPrecio)</f>
        <v>0</v>
      </c>
      <c r="DR68" s="34" t="n">
        <f aca="false">DR$43*INDEX(Precio_O,23)*INDEX(IdxPrecio_O,1,MIN(10,DR$17))*(1+P_dPrecio)</f>
        <v>0</v>
      </c>
      <c r="DS68" s="34" t="n">
        <f aca="false">DS$43*INDEX(Precio_O,23)*INDEX(IdxPrecio_O,1,MIN(10,DS$17))*(1+P_dPrecio)</f>
        <v>0</v>
      </c>
      <c r="DT68" s="34" t="n">
        <f aca="false">DT$43*INDEX(Precio_O,23)*INDEX(IdxPrecio_O,1,MIN(10,DT$17))*(1+P_dPrecio)</f>
        <v>0</v>
      </c>
      <c r="DU68" s="34" t="n">
        <f aca="false">DU$43*INDEX(Precio_O,23)*INDEX(IdxPrecio_O,1,MIN(10,DU$17))*(1+P_dPrecio)</f>
        <v>0</v>
      </c>
      <c r="DV68" s="34" t="n">
        <f aca="false">DV$43*INDEX(Precio_O,23)*INDEX(IdxPrecio_O,1,MIN(10,DV$17))*(1+P_dPrecio)</f>
        <v>0</v>
      </c>
      <c r="DW68" s="34" t="n">
        <f aca="false">DW$43*INDEX(Precio_O,23)*INDEX(IdxPrecio_O,1,MIN(10,DW$17))*(1+P_dPrecio)</f>
        <v>0</v>
      </c>
      <c r="DX68" s="34" t="n">
        <f aca="false">DX$43*INDEX(Precio_O,23)*INDEX(IdxPrecio_O,1,MIN(10,DX$17))*(1+P_dPrecio)</f>
        <v>0</v>
      </c>
      <c r="DY68" s="34" t="n">
        <f aca="false">DY$43*INDEX(Precio_O,23)*INDEX(IdxPrecio_O,1,MIN(10,DY$17))*(1+P_dPrecio)</f>
        <v>0</v>
      </c>
      <c r="DZ68" s="34" t="n">
        <f aca="false">DZ$43*INDEX(Precio_O,23)*INDEX(IdxPrecio_O,1,MIN(10,DZ$17))*(1+P_dPrecio)</f>
        <v>0</v>
      </c>
      <c r="EA68" s="34" t="n">
        <f aca="false">EA$43*INDEX(Precio_O,23)*INDEX(IdxPrecio_O,1,MIN(10,EA$17))*(1+P_dPrecio)</f>
        <v>0</v>
      </c>
      <c r="EB68" s="34" t="n">
        <f aca="false">EB$43*INDEX(Precio_O,23)*INDEX(IdxPrecio_O,1,MIN(10,EB$17))*(1+P_dPrecio)</f>
        <v>0</v>
      </c>
      <c r="EC68" s="34" t="n">
        <f aca="false">EC$43*INDEX(Precio_O,23)*INDEX(IdxPrecio_O,1,MIN(10,EC$17))*(1+P_dPrecio)</f>
        <v>0</v>
      </c>
      <c r="ED68" s="34" t="n">
        <f aca="false">ED$43*INDEX(Precio_O,23)*INDEX(IdxPrecio_O,1,MIN(10,ED$17))*(1+P_dPrecio)</f>
        <v>0</v>
      </c>
      <c r="EE68" s="34" t="n">
        <f aca="false">EE$43*INDEX(Precio_O,23)*INDEX(IdxPrecio_O,1,MIN(10,EE$17))*(1+P_dPrecio)</f>
        <v>0</v>
      </c>
      <c r="EF68" s="34" t="n">
        <f aca="false">EF$43*INDEX(Precio_O,23)*INDEX(IdxPrecio_O,1,MIN(10,EF$17))*(1+P_dPrecio)</f>
        <v>0</v>
      </c>
      <c r="EG68" s="34" t="n">
        <f aca="false">EG$43*INDEX(Precio_O,23)*INDEX(IdxPrecio_O,1,MIN(10,EG$17))*(1+P_dPrecio)</f>
        <v>0</v>
      </c>
      <c r="EH68" s="34" t="n">
        <f aca="false">EH$43*INDEX(Precio_O,23)*INDEX(IdxPrecio_O,1,MIN(10,EH$17))*(1+P_dPrecio)</f>
        <v>0</v>
      </c>
      <c r="EI68" s="34" t="n">
        <f aca="false">EI$43*INDEX(Precio_O,23)*INDEX(IdxPrecio_O,1,MIN(10,EI$17))*(1+P_dPrecio)</f>
        <v>0</v>
      </c>
      <c r="EJ68" s="34" t="n">
        <f aca="false">EJ$43*INDEX(Precio_O,23)*INDEX(IdxPrecio_O,1,MIN(10,EJ$17))*(1+P_dPrecio)</f>
        <v>0</v>
      </c>
      <c r="EK68" s="34" t="n">
        <f aca="false">EK$43*INDEX(Precio_O,23)*INDEX(IdxPrecio_O,1,MIN(10,EK$17))*(1+P_dPrecio)</f>
        <v>0</v>
      </c>
      <c r="EL68" s="34" t="n">
        <f aca="false">EL$43*INDEX(Precio_O,23)*INDEX(IdxPrecio_O,1,MIN(10,EL$17))*(1+P_dPrecio)</f>
        <v>0</v>
      </c>
      <c r="EM68" s="34" t="n">
        <f aca="false">EM$43*INDEX(Precio_O,23)*INDEX(IdxPrecio_O,1,MIN(10,EM$17))*(1+P_dPrecio)</f>
        <v>0</v>
      </c>
      <c r="EN68" s="34" t="n">
        <f aca="false">EN$43*INDEX(Precio_O,23)*INDEX(IdxPrecio_O,1,MIN(10,EN$17))*(1+P_dPrecio)</f>
        <v>0</v>
      </c>
      <c r="EO68" s="34" t="n">
        <f aca="false">EO$43*INDEX(Precio_O,23)*INDEX(IdxPrecio_O,1,MIN(10,EO$17))*(1+P_dPrecio)</f>
        <v>0</v>
      </c>
      <c r="EP68" s="34" t="n">
        <f aca="false">EP$43*INDEX(Precio_O,23)*INDEX(IdxPrecio_O,1,MIN(10,EP$17))*(1+P_dPrecio)</f>
        <v>0</v>
      </c>
      <c r="EQ68" s="34" t="n">
        <f aca="false">EQ$43*INDEX(Precio_O,23)*INDEX(IdxPrecio_O,1,MIN(10,EQ$17))*(1+P_dPrecio)</f>
        <v>0</v>
      </c>
      <c r="ER68" s="34" t="n">
        <f aca="false">ER$43*INDEX(Precio_O,23)*INDEX(IdxPrecio_O,1,MIN(10,ER$17))*(1+P_dPrecio)</f>
        <v>0</v>
      </c>
      <c r="ES68" s="34" t="n">
        <f aca="false">ES$43*INDEX(Precio_O,23)*INDEX(IdxPrecio_O,1,MIN(10,ES$17))*(1+P_dPrecio)</f>
        <v>0</v>
      </c>
    </row>
    <row r="69" customFormat="false" ht="15" hidden="false" customHeight="false" outlineLevel="0" collapsed="false">
      <c r="A69" s="2" t="s">
        <v>632</v>
      </c>
      <c r="B69" s="39" t="str">
        <f aca="false">IF(INDEX(Prod_Nombre,24)="","Producto 24",INDEX(Prod_Nombre,24))&amp;" — ventas USD"</f>
        <v>Producto 24 — ventas USD</v>
      </c>
      <c r="C69" s="6" t="s">
        <v>250</v>
      </c>
      <c r="E69" s="40" t="n">
        <f aca="false">SUM(F69:ES69)</f>
        <v>0</v>
      </c>
      <c r="F69" s="34" t="n">
        <f aca="false">F$44*INDEX(Precio_O,24)*INDEX(IdxPrecio_O,1,MIN(10,F$17))*(1+P_dPrecio)</f>
        <v>0</v>
      </c>
      <c r="G69" s="34" t="n">
        <f aca="false">G$44*INDEX(Precio_O,24)*INDEX(IdxPrecio_O,1,MIN(10,G$17))*(1+P_dPrecio)</f>
        <v>0</v>
      </c>
      <c r="H69" s="34" t="n">
        <f aca="false">H$44*INDEX(Precio_O,24)*INDEX(IdxPrecio_O,1,MIN(10,H$17))*(1+P_dPrecio)</f>
        <v>0</v>
      </c>
      <c r="I69" s="34" t="n">
        <f aca="false">I$44*INDEX(Precio_O,24)*INDEX(IdxPrecio_O,1,MIN(10,I$17))*(1+P_dPrecio)</f>
        <v>0</v>
      </c>
      <c r="J69" s="34" t="n">
        <f aca="false">J$44*INDEX(Precio_O,24)*INDEX(IdxPrecio_O,1,MIN(10,J$17))*(1+P_dPrecio)</f>
        <v>0</v>
      </c>
      <c r="K69" s="34" t="n">
        <f aca="false">K$44*INDEX(Precio_O,24)*INDEX(IdxPrecio_O,1,MIN(10,K$17))*(1+P_dPrecio)</f>
        <v>0</v>
      </c>
      <c r="L69" s="34" t="n">
        <f aca="false">L$44*INDEX(Precio_O,24)*INDEX(IdxPrecio_O,1,MIN(10,L$17))*(1+P_dPrecio)</f>
        <v>0</v>
      </c>
      <c r="M69" s="34" t="n">
        <f aca="false">M$44*INDEX(Precio_O,24)*INDEX(IdxPrecio_O,1,MIN(10,M$17))*(1+P_dPrecio)</f>
        <v>0</v>
      </c>
      <c r="N69" s="34" t="n">
        <f aca="false">N$44*INDEX(Precio_O,24)*INDEX(IdxPrecio_O,1,MIN(10,N$17))*(1+P_dPrecio)</f>
        <v>0</v>
      </c>
      <c r="O69" s="34" t="n">
        <f aca="false">O$44*INDEX(Precio_O,24)*INDEX(IdxPrecio_O,1,MIN(10,O$17))*(1+P_dPrecio)</f>
        <v>0</v>
      </c>
      <c r="P69" s="34" t="n">
        <f aca="false">P$44*INDEX(Precio_O,24)*INDEX(IdxPrecio_O,1,MIN(10,P$17))*(1+P_dPrecio)</f>
        <v>0</v>
      </c>
      <c r="Q69" s="34" t="n">
        <f aca="false">Q$44*INDEX(Precio_O,24)*INDEX(IdxPrecio_O,1,MIN(10,Q$17))*(1+P_dPrecio)</f>
        <v>0</v>
      </c>
      <c r="R69" s="34" t="n">
        <f aca="false">R$44*INDEX(Precio_O,24)*INDEX(IdxPrecio_O,1,MIN(10,R$17))*(1+P_dPrecio)</f>
        <v>0</v>
      </c>
      <c r="S69" s="34" t="n">
        <f aca="false">S$44*INDEX(Precio_O,24)*INDEX(IdxPrecio_O,1,MIN(10,S$17))*(1+P_dPrecio)</f>
        <v>0</v>
      </c>
      <c r="T69" s="34" t="n">
        <f aca="false">T$44*INDEX(Precio_O,24)*INDEX(IdxPrecio_O,1,MIN(10,T$17))*(1+P_dPrecio)</f>
        <v>0</v>
      </c>
      <c r="U69" s="34" t="n">
        <f aca="false">U$44*INDEX(Precio_O,24)*INDEX(IdxPrecio_O,1,MIN(10,U$17))*(1+P_dPrecio)</f>
        <v>0</v>
      </c>
      <c r="V69" s="34" t="n">
        <f aca="false">V$44*INDEX(Precio_O,24)*INDEX(IdxPrecio_O,1,MIN(10,V$17))*(1+P_dPrecio)</f>
        <v>0</v>
      </c>
      <c r="W69" s="34" t="n">
        <f aca="false">W$44*INDEX(Precio_O,24)*INDEX(IdxPrecio_O,1,MIN(10,W$17))*(1+P_dPrecio)</f>
        <v>0</v>
      </c>
      <c r="X69" s="34" t="n">
        <f aca="false">X$44*INDEX(Precio_O,24)*INDEX(IdxPrecio_O,1,MIN(10,X$17))*(1+P_dPrecio)</f>
        <v>0</v>
      </c>
      <c r="Y69" s="34" t="n">
        <f aca="false">Y$44*INDEX(Precio_O,24)*INDEX(IdxPrecio_O,1,MIN(10,Y$17))*(1+P_dPrecio)</f>
        <v>0</v>
      </c>
      <c r="Z69" s="34" t="n">
        <f aca="false">Z$44*INDEX(Precio_O,24)*INDEX(IdxPrecio_O,1,MIN(10,Z$17))*(1+P_dPrecio)</f>
        <v>0</v>
      </c>
      <c r="AA69" s="34" t="n">
        <f aca="false">AA$44*INDEX(Precio_O,24)*INDEX(IdxPrecio_O,1,MIN(10,AA$17))*(1+P_dPrecio)</f>
        <v>0</v>
      </c>
      <c r="AB69" s="34" t="n">
        <f aca="false">AB$44*INDEX(Precio_O,24)*INDEX(IdxPrecio_O,1,MIN(10,AB$17))*(1+P_dPrecio)</f>
        <v>0</v>
      </c>
      <c r="AC69" s="34" t="n">
        <f aca="false">AC$44*INDEX(Precio_O,24)*INDEX(IdxPrecio_O,1,MIN(10,AC$17))*(1+P_dPrecio)</f>
        <v>0</v>
      </c>
      <c r="AD69" s="34" t="n">
        <f aca="false">AD$44*INDEX(Precio_O,24)*INDEX(IdxPrecio_O,1,MIN(10,AD$17))*(1+P_dPrecio)</f>
        <v>0</v>
      </c>
      <c r="AE69" s="34" t="n">
        <f aca="false">AE$44*INDEX(Precio_O,24)*INDEX(IdxPrecio_O,1,MIN(10,AE$17))*(1+P_dPrecio)</f>
        <v>0</v>
      </c>
      <c r="AF69" s="34" t="n">
        <f aca="false">AF$44*INDEX(Precio_O,24)*INDEX(IdxPrecio_O,1,MIN(10,AF$17))*(1+P_dPrecio)</f>
        <v>0</v>
      </c>
      <c r="AG69" s="34" t="n">
        <f aca="false">AG$44*INDEX(Precio_O,24)*INDEX(IdxPrecio_O,1,MIN(10,AG$17))*(1+P_dPrecio)</f>
        <v>0</v>
      </c>
      <c r="AH69" s="34" t="n">
        <f aca="false">AH$44*INDEX(Precio_O,24)*INDEX(IdxPrecio_O,1,MIN(10,AH$17))*(1+P_dPrecio)</f>
        <v>0</v>
      </c>
      <c r="AI69" s="34" t="n">
        <f aca="false">AI$44*INDEX(Precio_O,24)*INDEX(IdxPrecio_O,1,MIN(10,AI$17))*(1+P_dPrecio)</f>
        <v>0</v>
      </c>
      <c r="AJ69" s="34" t="n">
        <f aca="false">AJ$44*INDEX(Precio_O,24)*INDEX(IdxPrecio_O,1,MIN(10,AJ$17))*(1+P_dPrecio)</f>
        <v>0</v>
      </c>
      <c r="AK69" s="34" t="n">
        <f aca="false">AK$44*INDEX(Precio_O,24)*INDEX(IdxPrecio_O,1,MIN(10,AK$17))*(1+P_dPrecio)</f>
        <v>0</v>
      </c>
      <c r="AL69" s="34" t="n">
        <f aca="false">AL$44*INDEX(Precio_O,24)*INDEX(IdxPrecio_O,1,MIN(10,AL$17))*(1+P_dPrecio)</f>
        <v>0</v>
      </c>
      <c r="AM69" s="34" t="n">
        <f aca="false">AM$44*INDEX(Precio_O,24)*INDEX(IdxPrecio_O,1,MIN(10,AM$17))*(1+P_dPrecio)</f>
        <v>0</v>
      </c>
      <c r="AN69" s="34" t="n">
        <f aca="false">AN$44*INDEX(Precio_O,24)*INDEX(IdxPrecio_O,1,MIN(10,AN$17))*(1+P_dPrecio)</f>
        <v>0</v>
      </c>
      <c r="AO69" s="34" t="n">
        <f aca="false">AO$44*INDEX(Precio_O,24)*INDEX(IdxPrecio_O,1,MIN(10,AO$17))*(1+P_dPrecio)</f>
        <v>0</v>
      </c>
      <c r="AP69" s="34" t="n">
        <f aca="false">AP$44*INDEX(Precio_O,24)*INDEX(IdxPrecio_O,1,MIN(10,AP$17))*(1+P_dPrecio)</f>
        <v>0</v>
      </c>
      <c r="AQ69" s="34" t="n">
        <f aca="false">AQ$44*INDEX(Precio_O,24)*INDEX(IdxPrecio_O,1,MIN(10,AQ$17))*(1+P_dPrecio)</f>
        <v>0</v>
      </c>
      <c r="AR69" s="34" t="n">
        <f aca="false">AR$44*INDEX(Precio_O,24)*INDEX(IdxPrecio_O,1,MIN(10,AR$17))*(1+P_dPrecio)</f>
        <v>0</v>
      </c>
      <c r="AS69" s="34" t="n">
        <f aca="false">AS$44*INDEX(Precio_O,24)*INDEX(IdxPrecio_O,1,MIN(10,AS$17))*(1+P_dPrecio)</f>
        <v>0</v>
      </c>
      <c r="AT69" s="34" t="n">
        <f aca="false">AT$44*INDEX(Precio_O,24)*INDEX(IdxPrecio_O,1,MIN(10,AT$17))*(1+P_dPrecio)</f>
        <v>0</v>
      </c>
      <c r="AU69" s="34" t="n">
        <f aca="false">AU$44*INDEX(Precio_O,24)*INDEX(IdxPrecio_O,1,MIN(10,AU$17))*(1+P_dPrecio)</f>
        <v>0</v>
      </c>
      <c r="AV69" s="34" t="n">
        <f aca="false">AV$44*INDEX(Precio_O,24)*INDEX(IdxPrecio_O,1,MIN(10,AV$17))*(1+P_dPrecio)</f>
        <v>0</v>
      </c>
      <c r="AW69" s="34" t="n">
        <f aca="false">AW$44*INDEX(Precio_O,24)*INDEX(IdxPrecio_O,1,MIN(10,AW$17))*(1+P_dPrecio)</f>
        <v>0</v>
      </c>
      <c r="AX69" s="34" t="n">
        <f aca="false">AX$44*INDEX(Precio_O,24)*INDEX(IdxPrecio_O,1,MIN(10,AX$17))*(1+P_dPrecio)</f>
        <v>0</v>
      </c>
      <c r="AY69" s="34" t="n">
        <f aca="false">AY$44*INDEX(Precio_O,24)*INDEX(IdxPrecio_O,1,MIN(10,AY$17))*(1+P_dPrecio)</f>
        <v>0</v>
      </c>
      <c r="AZ69" s="34" t="n">
        <f aca="false">AZ$44*INDEX(Precio_O,24)*INDEX(IdxPrecio_O,1,MIN(10,AZ$17))*(1+P_dPrecio)</f>
        <v>0</v>
      </c>
      <c r="BA69" s="34" t="n">
        <f aca="false">BA$44*INDEX(Precio_O,24)*INDEX(IdxPrecio_O,1,MIN(10,BA$17))*(1+P_dPrecio)</f>
        <v>0</v>
      </c>
      <c r="BB69" s="34" t="n">
        <f aca="false">BB$44*INDEX(Precio_O,24)*INDEX(IdxPrecio_O,1,MIN(10,BB$17))*(1+P_dPrecio)</f>
        <v>0</v>
      </c>
      <c r="BC69" s="34" t="n">
        <f aca="false">BC$44*INDEX(Precio_O,24)*INDEX(IdxPrecio_O,1,MIN(10,BC$17))*(1+P_dPrecio)</f>
        <v>0</v>
      </c>
      <c r="BD69" s="34" t="n">
        <f aca="false">BD$44*INDEX(Precio_O,24)*INDEX(IdxPrecio_O,1,MIN(10,BD$17))*(1+P_dPrecio)</f>
        <v>0</v>
      </c>
      <c r="BE69" s="34" t="n">
        <f aca="false">BE$44*INDEX(Precio_O,24)*INDEX(IdxPrecio_O,1,MIN(10,BE$17))*(1+P_dPrecio)</f>
        <v>0</v>
      </c>
      <c r="BF69" s="34" t="n">
        <f aca="false">BF$44*INDEX(Precio_O,24)*INDEX(IdxPrecio_O,1,MIN(10,BF$17))*(1+P_dPrecio)</f>
        <v>0</v>
      </c>
      <c r="BG69" s="34" t="n">
        <f aca="false">BG$44*INDEX(Precio_O,24)*INDEX(IdxPrecio_O,1,MIN(10,BG$17))*(1+P_dPrecio)</f>
        <v>0</v>
      </c>
      <c r="BH69" s="34" t="n">
        <f aca="false">BH$44*INDEX(Precio_O,24)*INDEX(IdxPrecio_O,1,MIN(10,BH$17))*(1+P_dPrecio)</f>
        <v>0</v>
      </c>
      <c r="BI69" s="34" t="n">
        <f aca="false">BI$44*INDEX(Precio_O,24)*INDEX(IdxPrecio_O,1,MIN(10,BI$17))*(1+P_dPrecio)</f>
        <v>0</v>
      </c>
      <c r="BJ69" s="34" t="n">
        <f aca="false">BJ$44*INDEX(Precio_O,24)*INDEX(IdxPrecio_O,1,MIN(10,BJ$17))*(1+P_dPrecio)</f>
        <v>0</v>
      </c>
      <c r="BK69" s="34" t="n">
        <f aca="false">BK$44*INDEX(Precio_O,24)*INDEX(IdxPrecio_O,1,MIN(10,BK$17))*(1+P_dPrecio)</f>
        <v>0</v>
      </c>
      <c r="BL69" s="34" t="n">
        <f aca="false">BL$44*INDEX(Precio_O,24)*INDEX(IdxPrecio_O,1,MIN(10,BL$17))*(1+P_dPrecio)</f>
        <v>0</v>
      </c>
      <c r="BM69" s="34" t="n">
        <f aca="false">BM$44*INDEX(Precio_O,24)*INDEX(IdxPrecio_O,1,MIN(10,BM$17))*(1+P_dPrecio)</f>
        <v>0</v>
      </c>
      <c r="BN69" s="34" t="n">
        <f aca="false">BN$44*INDEX(Precio_O,24)*INDEX(IdxPrecio_O,1,MIN(10,BN$17))*(1+P_dPrecio)</f>
        <v>0</v>
      </c>
      <c r="BO69" s="34" t="n">
        <f aca="false">BO$44*INDEX(Precio_O,24)*INDEX(IdxPrecio_O,1,MIN(10,BO$17))*(1+P_dPrecio)</f>
        <v>0</v>
      </c>
      <c r="BP69" s="34" t="n">
        <f aca="false">BP$44*INDEX(Precio_O,24)*INDEX(IdxPrecio_O,1,MIN(10,BP$17))*(1+P_dPrecio)</f>
        <v>0</v>
      </c>
      <c r="BQ69" s="34" t="n">
        <f aca="false">BQ$44*INDEX(Precio_O,24)*INDEX(IdxPrecio_O,1,MIN(10,BQ$17))*(1+P_dPrecio)</f>
        <v>0</v>
      </c>
      <c r="BR69" s="34" t="n">
        <f aca="false">BR$44*INDEX(Precio_O,24)*INDEX(IdxPrecio_O,1,MIN(10,BR$17))*(1+P_dPrecio)</f>
        <v>0</v>
      </c>
      <c r="BS69" s="34" t="n">
        <f aca="false">BS$44*INDEX(Precio_O,24)*INDEX(IdxPrecio_O,1,MIN(10,BS$17))*(1+P_dPrecio)</f>
        <v>0</v>
      </c>
      <c r="BT69" s="34" t="n">
        <f aca="false">BT$44*INDEX(Precio_O,24)*INDEX(IdxPrecio_O,1,MIN(10,BT$17))*(1+P_dPrecio)</f>
        <v>0</v>
      </c>
      <c r="BU69" s="34" t="n">
        <f aca="false">BU$44*INDEX(Precio_O,24)*INDEX(IdxPrecio_O,1,MIN(10,BU$17))*(1+P_dPrecio)</f>
        <v>0</v>
      </c>
      <c r="BV69" s="34" t="n">
        <f aca="false">BV$44*INDEX(Precio_O,24)*INDEX(IdxPrecio_O,1,MIN(10,BV$17))*(1+P_dPrecio)</f>
        <v>0</v>
      </c>
      <c r="BW69" s="34" t="n">
        <f aca="false">BW$44*INDEX(Precio_O,24)*INDEX(IdxPrecio_O,1,MIN(10,BW$17))*(1+P_dPrecio)</f>
        <v>0</v>
      </c>
      <c r="BX69" s="34" t="n">
        <f aca="false">BX$44*INDEX(Precio_O,24)*INDEX(IdxPrecio_O,1,MIN(10,BX$17))*(1+P_dPrecio)</f>
        <v>0</v>
      </c>
      <c r="BY69" s="34" t="n">
        <f aca="false">BY$44*INDEX(Precio_O,24)*INDEX(IdxPrecio_O,1,MIN(10,BY$17))*(1+P_dPrecio)</f>
        <v>0</v>
      </c>
      <c r="BZ69" s="34" t="n">
        <f aca="false">BZ$44*INDEX(Precio_O,24)*INDEX(IdxPrecio_O,1,MIN(10,BZ$17))*(1+P_dPrecio)</f>
        <v>0</v>
      </c>
      <c r="CA69" s="34" t="n">
        <f aca="false">CA$44*INDEX(Precio_O,24)*INDEX(IdxPrecio_O,1,MIN(10,CA$17))*(1+P_dPrecio)</f>
        <v>0</v>
      </c>
      <c r="CB69" s="34" t="n">
        <f aca="false">CB$44*INDEX(Precio_O,24)*INDEX(IdxPrecio_O,1,MIN(10,CB$17))*(1+P_dPrecio)</f>
        <v>0</v>
      </c>
      <c r="CC69" s="34" t="n">
        <f aca="false">CC$44*INDEX(Precio_O,24)*INDEX(IdxPrecio_O,1,MIN(10,CC$17))*(1+P_dPrecio)</f>
        <v>0</v>
      </c>
      <c r="CD69" s="34" t="n">
        <f aca="false">CD$44*INDEX(Precio_O,24)*INDEX(IdxPrecio_O,1,MIN(10,CD$17))*(1+P_dPrecio)</f>
        <v>0</v>
      </c>
      <c r="CE69" s="34" t="n">
        <f aca="false">CE$44*INDEX(Precio_O,24)*INDEX(IdxPrecio_O,1,MIN(10,CE$17))*(1+P_dPrecio)</f>
        <v>0</v>
      </c>
      <c r="CF69" s="34" t="n">
        <f aca="false">CF$44*INDEX(Precio_O,24)*INDEX(IdxPrecio_O,1,MIN(10,CF$17))*(1+P_dPrecio)</f>
        <v>0</v>
      </c>
      <c r="CG69" s="34" t="n">
        <f aca="false">CG$44*INDEX(Precio_O,24)*INDEX(IdxPrecio_O,1,MIN(10,CG$17))*(1+P_dPrecio)</f>
        <v>0</v>
      </c>
      <c r="CH69" s="34" t="n">
        <f aca="false">CH$44*INDEX(Precio_O,24)*INDEX(IdxPrecio_O,1,MIN(10,CH$17))*(1+P_dPrecio)</f>
        <v>0</v>
      </c>
      <c r="CI69" s="34" t="n">
        <f aca="false">CI$44*INDEX(Precio_O,24)*INDEX(IdxPrecio_O,1,MIN(10,CI$17))*(1+P_dPrecio)</f>
        <v>0</v>
      </c>
      <c r="CJ69" s="34" t="n">
        <f aca="false">CJ$44*INDEX(Precio_O,24)*INDEX(IdxPrecio_O,1,MIN(10,CJ$17))*(1+P_dPrecio)</f>
        <v>0</v>
      </c>
      <c r="CK69" s="34" t="n">
        <f aca="false">CK$44*INDEX(Precio_O,24)*INDEX(IdxPrecio_O,1,MIN(10,CK$17))*(1+P_dPrecio)</f>
        <v>0</v>
      </c>
      <c r="CL69" s="34" t="n">
        <f aca="false">CL$44*INDEX(Precio_O,24)*INDEX(IdxPrecio_O,1,MIN(10,CL$17))*(1+P_dPrecio)</f>
        <v>0</v>
      </c>
      <c r="CM69" s="34" t="n">
        <f aca="false">CM$44*INDEX(Precio_O,24)*INDEX(IdxPrecio_O,1,MIN(10,CM$17))*(1+P_dPrecio)</f>
        <v>0</v>
      </c>
      <c r="CN69" s="34" t="n">
        <f aca="false">CN$44*INDEX(Precio_O,24)*INDEX(IdxPrecio_O,1,MIN(10,CN$17))*(1+P_dPrecio)</f>
        <v>0</v>
      </c>
      <c r="CO69" s="34" t="n">
        <f aca="false">CO$44*INDEX(Precio_O,24)*INDEX(IdxPrecio_O,1,MIN(10,CO$17))*(1+P_dPrecio)</f>
        <v>0</v>
      </c>
      <c r="CP69" s="34" t="n">
        <f aca="false">CP$44*INDEX(Precio_O,24)*INDEX(IdxPrecio_O,1,MIN(10,CP$17))*(1+P_dPrecio)</f>
        <v>0</v>
      </c>
      <c r="CQ69" s="34" t="n">
        <f aca="false">CQ$44*INDEX(Precio_O,24)*INDEX(IdxPrecio_O,1,MIN(10,CQ$17))*(1+P_dPrecio)</f>
        <v>0</v>
      </c>
      <c r="CR69" s="34" t="n">
        <f aca="false">CR$44*INDEX(Precio_O,24)*INDEX(IdxPrecio_O,1,MIN(10,CR$17))*(1+P_dPrecio)</f>
        <v>0</v>
      </c>
      <c r="CS69" s="34" t="n">
        <f aca="false">CS$44*INDEX(Precio_O,24)*INDEX(IdxPrecio_O,1,MIN(10,CS$17))*(1+P_dPrecio)</f>
        <v>0</v>
      </c>
      <c r="CT69" s="34" t="n">
        <f aca="false">CT$44*INDEX(Precio_O,24)*INDEX(IdxPrecio_O,1,MIN(10,CT$17))*(1+P_dPrecio)</f>
        <v>0</v>
      </c>
      <c r="CU69" s="34" t="n">
        <f aca="false">CU$44*INDEX(Precio_O,24)*INDEX(IdxPrecio_O,1,MIN(10,CU$17))*(1+P_dPrecio)</f>
        <v>0</v>
      </c>
      <c r="CV69" s="34" t="n">
        <f aca="false">CV$44*INDEX(Precio_O,24)*INDEX(IdxPrecio_O,1,MIN(10,CV$17))*(1+P_dPrecio)</f>
        <v>0</v>
      </c>
      <c r="CW69" s="34" t="n">
        <f aca="false">CW$44*INDEX(Precio_O,24)*INDEX(IdxPrecio_O,1,MIN(10,CW$17))*(1+P_dPrecio)</f>
        <v>0</v>
      </c>
      <c r="CX69" s="34" t="n">
        <f aca="false">CX$44*INDEX(Precio_O,24)*INDEX(IdxPrecio_O,1,MIN(10,CX$17))*(1+P_dPrecio)</f>
        <v>0</v>
      </c>
      <c r="CY69" s="34" t="n">
        <f aca="false">CY$44*INDEX(Precio_O,24)*INDEX(IdxPrecio_O,1,MIN(10,CY$17))*(1+P_dPrecio)</f>
        <v>0</v>
      </c>
      <c r="CZ69" s="34" t="n">
        <f aca="false">CZ$44*INDEX(Precio_O,24)*INDEX(IdxPrecio_O,1,MIN(10,CZ$17))*(1+P_dPrecio)</f>
        <v>0</v>
      </c>
      <c r="DA69" s="34" t="n">
        <f aca="false">DA$44*INDEX(Precio_O,24)*INDEX(IdxPrecio_O,1,MIN(10,DA$17))*(1+P_dPrecio)</f>
        <v>0</v>
      </c>
      <c r="DB69" s="34" t="n">
        <f aca="false">DB$44*INDEX(Precio_O,24)*INDEX(IdxPrecio_O,1,MIN(10,DB$17))*(1+P_dPrecio)</f>
        <v>0</v>
      </c>
      <c r="DC69" s="34" t="n">
        <f aca="false">DC$44*INDEX(Precio_O,24)*INDEX(IdxPrecio_O,1,MIN(10,DC$17))*(1+P_dPrecio)</f>
        <v>0</v>
      </c>
      <c r="DD69" s="34" t="n">
        <f aca="false">DD$44*INDEX(Precio_O,24)*INDEX(IdxPrecio_O,1,MIN(10,DD$17))*(1+P_dPrecio)</f>
        <v>0</v>
      </c>
      <c r="DE69" s="34" t="n">
        <f aca="false">DE$44*INDEX(Precio_O,24)*INDEX(IdxPrecio_O,1,MIN(10,DE$17))*(1+P_dPrecio)</f>
        <v>0</v>
      </c>
      <c r="DF69" s="34" t="n">
        <f aca="false">DF$44*INDEX(Precio_O,24)*INDEX(IdxPrecio_O,1,MIN(10,DF$17))*(1+P_dPrecio)</f>
        <v>0</v>
      </c>
      <c r="DG69" s="34" t="n">
        <f aca="false">DG$44*INDEX(Precio_O,24)*INDEX(IdxPrecio_O,1,MIN(10,DG$17))*(1+P_dPrecio)</f>
        <v>0</v>
      </c>
      <c r="DH69" s="34" t="n">
        <f aca="false">DH$44*INDEX(Precio_O,24)*INDEX(IdxPrecio_O,1,MIN(10,DH$17))*(1+P_dPrecio)</f>
        <v>0</v>
      </c>
      <c r="DI69" s="34" t="n">
        <f aca="false">DI$44*INDEX(Precio_O,24)*INDEX(IdxPrecio_O,1,MIN(10,DI$17))*(1+P_dPrecio)</f>
        <v>0</v>
      </c>
      <c r="DJ69" s="34" t="n">
        <f aca="false">DJ$44*INDEX(Precio_O,24)*INDEX(IdxPrecio_O,1,MIN(10,DJ$17))*(1+P_dPrecio)</f>
        <v>0</v>
      </c>
      <c r="DK69" s="34" t="n">
        <f aca="false">DK$44*INDEX(Precio_O,24)*INDEX(IdxPrecio_O,1,MIN(10,DK$17))*(1+P_dPrecio)</f>
        <v>0</v>
      </c>
      <c r="DL69" s="34" t="n">
        <f aca="false">DL$44*INDEX(Precio_O,24)*INDEX(IdxPrecio_O,1,MIN(10,DL$17))*(1+P_dPrecio)</f>
        <v>0</v>
      </c>
      <c r="DM69" s="34" t="n">
        <f aca="false">DM$44*INDEX(Precio_O,24)*INDEX(IdxPrecio_O,1,MIN(10,DM$17))*(1+P_dPrecio)</f>
        <v>0</v>
      </c>
      <c r="DN69" s="34" t="n">
        <f aca="false">DN$44*INDEX(Precio_O,24)*INDEX(IdxPrecio_O,1,MIN(10,DN$17))*(1+P_dPrecio)</f>
        <v>0</v>
      </c>
      <c r="DO69" s="34" t="n">
        <f aca="false">DO$44*INDEX(Precio_O,24)*INDEX(IdxPrecio_O,1,MIN(10,DO$17))*(1+P_dPrecio)</f>
        <v>0</v>
      </c>
      <c r="DP69" s="34" t="n">
        <f aca="false">DP$44*INDEX(Precio_O,24)*INDEX(IdxPrecio_O,1,MIN(10,DP$17))*(1+P_dPrecio)</f>
        <v>0</v>
      </c>
      <c r="DQ69" s="34" t="n">
        <f aca="false">DQ$44*INDEX(Precio_O,24)*INDEX(IdxPrecio_O,1,MIN(10,DQ$17))*(1+P_dPrecio)</f>
        <v>0</v>
      </c>
      <c r="DR69" s="34" t="n">
        <f aca="false">DR$44*INDEX(Precio_O,24)*INDEX(IdxPrecio_O,1,MIN(10,DR$17))*(1+P_dPrecio)</f>
        <v>0</v>
      </c>
      <c r="DS69" s="34" t="n">
        <f aca="false">DS$44*INDEX(Precio_O,24)*INDEX(IdxPrecio_O,1,MIN(10,DS$17))*(1+P_dPrecio)</f>
        <v>0</v>
      </c>
      <c r="DT69" s="34" t="n">
        <f aca="false">DT$44*INDEX(Precio_O,24)*INDEX(IdxPrecio_O,1,MIN(10,DT$17))*(1+P_dPrecio)</f>
        <v>0</v>
      </c>
      <c r="DU69" s="34" t="n">
        <f aca="false">DU$44*INDEX(Precio_O,24)*INDEX(IdxPrecio_O,1,MIN(10,DU$17))*(1+P_dPrecio)</f>
        <v>0</v>
      </c>
      <c r="DV69" s="34" t="n">
        <f aca="false">DV$44*INDEX(Precio_O,24)*INDEX(IdxPrecio_O,1,MIN(10,DV$17))*(1+P_dPrecio)</f>
        <v>0</v>
      </c>
      <c r="DW69" s="34" t="n">
        <f aca="false">DW$44*INDEX(Precio_O,24)*INDEX(IdxPrecio_O,1,MIN(10,DW$17))*(1+P_dPrecio)</f>
        <v>0</v>
      </c>
      <c r="DX69" s="34" t="n">
        <f aca="false">DX$44*INDEX(Precio_O,24)*INDEX(IdxPrecio_O,1,MIN(10,DX$17))*(1+P_dPrecio)</f>
        <v>0</v>
      </c>
      <c r="DY69" s="34" t="n">
        <f aca="false">DY$44*INDEX(Precio_O,24)*INDEX(IdxPrecio_O,1,MIN(10,DY$17))*(1+P_dPrecio)</f>
        <v>0</v>
      </c>
      <c r="DZ69" s="34" t="n">
        <f aca="false">DZ$44*INDEX(Precio_O,24)*INDEX(IdxPrecio_O,1,MIN(10,DZ$17))*(1+P_dPrecio)</f>
        <v>0</v>
      </c>
      <c r="EA69" s="34" t="n">
        <f aca="false">EA$44*INDEX(Precio_O,24)*INDEX(IdxPrecio_O,1,MIN(10,EA$17))*(1+P_dPrecio)</f>
        <v>0</v>
      </c>
      <c r="EB69" s="34" t="n">
        <f aca="false">EB$44*INDEX(Precio_O,24)*INDEX(IdxPrecio_O,1,MIN(10,EB$17))*(1+P_dPrecio)</f>
        <v>0</v>
      </c>
      <c r="EC69" s="34" t="n">
        <f aca="false">EC$44*INDEX(Precio_O,24)*INDEX(IdxPrecio_O,1,MIN(10,EC$17))*(1+P_dPrecio)</f>
        <v>0</v>
      </c>
      <c r="ED69" s="34" t="n">
        <f aca="false">ED$44*INDEX(Precio_O,24)*INDEX(IdxPrecio_O,1,MIN(10,ED$17))*(1+P_dPrecio)</f>
        <v>0</v>
      </c>
      <c r="EE69" s="34" t="n">
        <f aca="false">EE$44*INDEX(Precio_O,24)*INDEX(IdxPrecio_O,1,MIN(10,EE$17))*(1+P_dPrecio)</f>
        <v>0</v>
      </c>
      <c r="EF69" s="34" t="n">
        <f aca="false">EF$44*INDEX(Precio_O,24)*INDEX(IdxPrecio_O,1,MIN(10,EF$17))*(1+P_dPrecio)</f>
        <v>0</v>
      </c>
      <c r="EG69" s="34" t="n">
        <f aca="false">EG$44*INDEX(Precio_O,24)*INDEX(IdxPrecio_O,1,MIN(10,EG$17))*(1+P_dPrecio)</f>
        <v>0</v>
      </c>
      <c r="EH69" s="34" t="n">
        <f aca="false">EH$44*INDEX(Precio_O,24)*INDEX(IdxPrecio_O,1,MIN(10,EH$17))*(1+P_dPrecio)</f>
        <v>0</v>
      </c>
      <c r="EI69" s="34" t="n">
        <f aca="false">EI$44*INDEX(Precio_O,24)*INDEX(IdxPrecio_O,1,MIN(10,EI$17))*(1+P_dPrecio)</f>
        <v>0</v>
      </c>
      <c r="EJ69" s="34" t="n">
        <f aca="false">EJ$44*INDEX(Precio_O,24)*INDEX(IdxPrecio_O,1,MIN(10,EJ$17))*(1+P_dPrecio)</f>
        <v>0</v>
      </c>
      <c r="EK69" s="34" t="n">
        <f aca="false">EK$44*INDEX(Precio_O,24)*INDEX(IdxPrecio_O,1,MIN(10,EK$17))*(1+P_dPrecio)</f>
        <v>0</v>
      </c>
      <c r="EL69" s="34" t="n">
        <f aca="false">EL$44*INDEX(Precio_O,24)*INDEX(IdxPrecio_O,1,MIN(10,EL$17))*(1+P_dPrecio)</f>
        <v>0</v>
      </c>
      <c r="EM69" s="34" t="n">
        <f aca="false">EM$44*INDEX(Precio_O,24)*INDEX(IdxPrecio_O,1,MIN(10,EM$17))*(1+P_dPrecio)</f>
        <v>0</v>
      </c>
      <c r="EN69" s="34" t="n">
        <f aca="false">EN$44*INDEX(Precio_O,24)*INDEX(IdxPrecio_O,1,MIN(10,EN$17))*(1+P_dPrecio)</f>
        <v>0</v>
      </c>
      <c r="EO69" s="34" t="n">
        <f aca="false">EO$44*INDEX(Precio_O,24)*INDEX(IdxPrecio_O,1,MIN(10,EO$17))*(1+P_dPrecio)</f>
        <v>0</v>
      </c>
      <c r="EP69" s="34" t="n">
        <f aca="false">EP$44*INDEX(Precio_O,24)*INDEX(IdxPrecio_O,1,MIN(10,EP$17))*(1+P_dPrecio)</f>
        <v>0</v>
      </c>
      <c r="EQ69" s="34" t="n">
        <f aca="false">EQ$44*INDEX(Precio_O,24)*INDEX(IdxPrecio_O,1,MIN(10,EQ$17))*(1+P_dPrecio)</f>
        <v>0</v>
      </c>
      <c r="ER69" s="34" t="n">
        <f aca="false">ER$44*INDEX(Precio_O,24)*INDEX(IdxPrecio_O,1,MIN(10,ER$17))*(1+P_dPrecio)</f>
        <v>0</v>
      </c>
      <c r="ES69" s="34" t="n">
        <f aca="false">ES$44*INDEX(Precio_O,24)*INDEX(IdxPrecio_O,1,MIN(10,ES$17))*(1+P_dPrecio)</f>
        <v>0</v>
      </c>
    </row>
    <row r="70" customFormat="false" ht="15" hidden="false" customHeight="false" outlineLevel="0" collapsed="false">
      <c r="A70" s="2" t="s">
        <v>633</v>
      </c>
      <c r="B70" s="39" t="str">
        <f aca="false">IF(INDEX(Prod_Nombre,25)="","Producto 25",INDEX(Prod_Nombre,25))&amp;" — ventas USD"</f>
        <v>Producto 25 — ventas USD</v>
      </c>
      <c r="C70" s="6" t="s">
        <v>250</v>
      </c>
      <c r="E70" s="40" t="n">
        <f aca="false">SUM(F70:ES70)</f>
        <v>0</v>
      </c>
      <c r="F70" s="34" t="n">
        <f aca="false">F$45*INDEX(Precio_O,25)*INDEX(IdxPrecio_O,1,MIN(10,F$17))*(1+P_dPrecio)</f>
        <v>0</v>
      </c>
      <c r="G70" s="34" t="n">
        <f aca="false">G$45*INDEX(Precio_O,25)*INDEX(IdxPrecio_O,1,MIN(10,G$17))*(1+P_dPrecio)</f>
        <v>0</v>
      </c>
      <c r="H70" s="34" t="n">
        <f aca="false">H$45*INDEX(Precio_O,25)*INDEX(IdxPrecio_O,1,MIN(10,H$17))*(1+P_dPrecio)</f>
        <v>0</v>
      </c>
      <c r="I70" s="34" t="n">
        <f aca="false">I$45*INDEX(Precio_O,25)*INDEX(IdxPrecio_O,1,MIN(10,I$17))*(1+P_dPrecio)</f>
        <v>0</v>
      </c>
      <c r="J70" s="34" t="n">
        <f aca="false">J$45*INDEX(Precio_O,25)*INDEX(IdxPrecio_O,1,MIN(10,J$17))*(1+P_dPrecio)</f>
        <v>0</v>
      </c>
      <c r="K70" s="34" t="n">
        <f aca="false">K$45*INDEX(Precio_O,25)*INDEX(IdxPrecio_O,1,MIN(10,K$17))*(1+P_dPrecio)</f>
        <v>0</v>
      </c>
      <c r="L70" s="34" t="n">
        <f aca="false">L$45*INDEX(Precio_O,25)*INDEX(IdxPrecio_O,1,MIN(10,L$17))*(1+P_dPrecio)</f>
        <v>0</v>
      </c>
      <c r="M70" s="34" t="n">
        <f aca="false">M$45*INDEX(Precio_O,25)*INDEX(IdxPrecio_O,1,MIN(10,M$17))*(1+P_dPrecio)</f>
        <v>0</v>
      </c>
      <c r="N70" s="34" t="n">
        <f aca="false">N$45*INDEX(Precio_O,25)*INDEX(IdxPrecio_O,1,MIN(10,N$17))*(1+P_dPrecio)</f>
        <v>0</v>
      </c>
      <c r="O70" s="34" t="n">
        <f aca="false">O$45*INDEX(Precio_O,25)*INDEX(IdxPrecio_O,1,MIN(10,O$17))*(1+P_dPrecio)</f>
        <v>0</v>
      </c>
      <c r="P70" s="34" t="n">
        <f aca="false">P$45*INDEX(Precio_O,25)*INDEX(IdxPrecio_O,1,MIN(10,P$17))*(1+P_dPrecio)</f>
        <v>0</v>
      </c>
      <c r="Q70" s="34" t="n">
        <f aca="false">Q$45*INDEX(Precio_O,25)*INDEX(IdxPrecio_O,1,MIN(10,Q$17))*(1+P_dPrecio)</f>
        <v>0</v>
      </c>
      <c r="R70" s="34" t="n">
        <f aca="false">R$45*INDEX(Precio_O,25)*INDEX(IdxPrecio_O,1,MIN(10,R$17))*(1+P_dPrecio)</f>
        <v>0</v>
      </c>
      <c r="S70" s="34" t="n">
        <f aca="false">S$45*INDEX(Precio_O,25)*INDEX(IdxPrecio_O,1,MIN(10,S$17))*(1+P_dPrecio)</f>
        <v>0</v>
      </c>
      <c r="T70" s="34" t="n">
        <f aca="false">T$45*INDEX(Precio_O,25)*INDEX(IdxPrecio_O,1,MIN(10,T$17))*(1+P_dPrecio)</f>
        <v>0</v>
      </c>
      <c r="U70" s="34" t="n">
        <f aca="false">U$45*INDEX(Precio_O,25)*INDEX(IdxPrecio_O,1,MIN(10,U$17))*(1+P_dPrecio)</f>
        <v>0</v>
      </c>
      <c r="V70" s="34" t="n">
        <f aca="false">V$45*INDEX(Precio_O,25)*INDEX(IdxPrecio_O,1,MIN(10,V$17))*(1+P_dPrecio)</f>
        <v>0</v>
      </c>
      <c r="W70" s="34" t="n">
        <f aca="false">W$45*INDEX(Precio_O,25)*INDEX(IdxPrecio_O,1,MIN(10,W$17))*(1+P_dPrecio)</f>
        <v>0</v>
      </c>
      <c r="X70" s="34" t="n">
        <f aca="false">X$45*INDEX(Precio_O,25)*INDEX(IdxPrecio_O,1,MIN(10,X$17))*(1+P_dPrecio)</f>
        <v>0</v>
      </c>
      <c r="Y70" s="34" t="n">
        <f aca="false">Y$45*INDEX(Precio_O,25)*INDEX(IdxPrecio_O,1,MIN(10,Y$17))*(1+P_dPrecio)</f>
        <v>0</v>
      </c>
      <c r="Z70" s="34" t="n">
        <f aca="false">Z$45*INDEX(Precio_O,25)*INDEX(IdxPrecio_O,1,MIN(10,Z$17))*(1+P_dPrecio)</f>
        <v>0</v>
      </c>
      <c r="AA70" s="34" t="n">
        <f aca="false">AA$45*INDEX(Precio_O,25)*INDEX(IdxPrecio_O,1,MIN(10,AA$17))*(1+P_dPrecio)</f>
        <v>0</v>
      </c>
      <c r="AB70" s="34" t="n">
        <f aca="false">AB$45*INDEX(Precio_O,25)*INDEX(IdxPrecio_O,1,MIN(10,AB$17))*(1+P_dPrecio)</f>
        <v>0</v>
      </c>
      <c r="AC70" s="34" t="n">
        <f aca="false">AC$45*INDEX(Precio_O,25)*INDEX(IdxPrecio_O,1,MIN(10,AC$17))*(1+P_dPrecio)</f>
        <v>0</v>
      </c>
      <c r="AD70" s="34" t="n">
        <f aca="false">AD$45*INDEX(Precio_O,25)*INDEX(IdxPrecio_O,1,MIN(10,AD$17))*(1+P_dPrecio)</f>
        <v>0</v>
      </c>
      <c r="AE70" s="34" t="n">
        <f aca="false">AE$45*INDEX(Precio_O,25)*INDEX(IdxPrecio_O,1,MIN(10,AE$17))*(1+P_dPrecio)</f>
        <v>0</v>
      </c>
      <c r="AF70" s="34" t="n">
        <f aca="false">AF$45*INDEX(Precio_O,25)*INDEX(IdxPrecio_O,1,MIN(10,AF$17))*(1+P_dPrecio)</f>
        <v>0</v>
      </c>
      <c r="AG70" s="34" t="n">
        <f aca="false">AG$45*INDEX(Precio_O,25)*INDEX(IdxPrecio_O,1,MIN(10,AG$17))*(1+P_dPrecio)</f>
        <v>0</v>
      </c>
      <c r="AH70" s="34" t="n">
        <f aca="false">AH$45*INDEX(Precio_O,25)*INDEX(IdxPrecio_O,1,MIN(10,AH$17))*(1+P_dPrecio)</f>
        <v>0</v>
      </c>
      <c r="AI70" s="34" t="n">
        <f aca="false">AI$45*INDEX(Precio_O,25)*INDEX(IdxPrecio_O,1,MIN(10,AI$17))*(1+P_dPrecio)</f>
        <v>0</v>
      </c>
      <c r="AJ70" s="34" t="n">
        <f aca="false">AJ$45*INDEX(Precio_O,25)*INDEX(IdxPrecio_O,1,MIN(10,AJ$17))*(1+P_dPrecio)</f>
        <v>0</v>
      </c>
      <c r="AK70" s="34" t="n">
        <f aca="false">AK$45*INDEX(Precio_O,25)*INDEX(IdxPrecio_O,1,MIN(10,AK$17))*(1+P_dPrecio)</f>
        <v>0</v>
      </c>
      <c r="AL70" s="34" t="n">
        <f aca="false">AL$45*INDEX(Precio_O,25)*INDEX(IdxPrecio_O,1,MIN(10,AL$17))*(1+P_dPrecio)</f>
        <v>0</v>
      </c>
      <c r="AM70" s="34" t="n">
        <f aca="false">AM$45*INDEX(Precio_O,25)*INDEX(IdxPrecio_O,1,MIN(10,AM$17))*(1+P_dPrecio)</f>
        <v>0</v>
      </c>
      <c r="AN70" s="34" t="n">
        <f aca="false">AN$45*INDEX(Precio_O,25)*INDEX(IdxPrecio_O,1,MIN(10,AN$17))*(1+P_dPrecio)</f>
        <v>0</v>
      </c>
      <c r="AO70" s="34" t="n">
        <f aca="false">AO$45*INDEX(Precio_O,25)*INDEX(IdxPrecio_O,1,MIN(10,AO$17))*(1+P_dPrecio)</f>
        <v>0</v>
      </c>
      <c r="AP70" s="34" t="n">
        <f aca="false">AP$45*INDEX(Precio_O,25)*INDEX(IdxPrecio_O,1,MIN(10,AP$17))*(1+P_dPrecio)</f>
        <v>0</v>
      </c>
      <c r="AQ70" s="34" t="n">
        <f aca="false">AQ$45*INDEX(Precio_O,25)*INDEX(IdxPrecio_O,1,MIN(10,AQ$17))*(1+P_dPrecio)</f>
        <v>0</v>
      </c>
      <c r="AR70" s="34" t="n">
        <f aca="false">AR$45*INDEX(Precio_O,25)*INDEX(IdxPrecio_O,1,MIN(10,AR$17))*(1+P_dPrecio)</f>
        <v>0</v>
      </c>
      <c r="AS70" s="34" t="n">
        <f aca="false">AS$45*INDEX(Precio_O,25)*INDEX(IdxPrecio_O,1,MIN(10,AS$17))*(1+P_dPrecio)</f>
        <v>0</v>
      </c>
      <c r="AT70" s="34" t="n">
        <f aca="false">AT$45*INDEX(Precio_O,25)*INDEX(IdxPrecio_O,1,MIN(10,AT$17))*(1+P_dPrecio)</f>
        <v>0</v>
      </c>
      <c r="AU70" s="34" t="n">
        <f aca="false">AU$45*INDEX(Precio_O,25)*INDEX(IdxPrecio_O,1,MIN(10,AU$17))*(1+P_dPrecio)</f>
        <v>0</v>
      </c>
      <c r="AV70" s="34" t="n">
        <f aca="false">AV$45*INDEX(Precio_O,25)*INDEX(IdxPrecio_O,1,MIN(10,AV$17))*(1+P_dPrecio)</f>
        <v>0</v>
      </c>
      <c r="AW70" s="34" t="n">
        <f aca="false">AW$45*INDEX(Precio_O,25)*INDEX(IdxPrecio_O,1,MIN(10,AW$17))*(1+P_dPrecio)</f>
        <v>0</v>
      </c>
      <c r="AX70" s="34" t="n">
        <f aca="false">AX$45*INDEX(Precio_O,25)*INDEX(IdxPrecio_O,1,MIN(10,AX$17))*(1+P_dPrecio)</f>
        <v>0</v>
      </c>
      <c r="AY70" s="34" t="n">
        <f aca="false">AY$45*INDEX(Precio_O,25)*INDEX(IdxPrecio_O,1,MIN(10,AY$17))*(1+P_dPrecio)</f>
        <v>0</v>
      </c>
      <c r="AZ70" s="34" t="n">
        <f aca="false">AZ$45*INDEX(Precio_O,25)*INDEX(IdxPrecio_O,1,MIN(10,AZ$17))*(1+P_dPrecio)</f>
        <v>0</v>
      </c>
      <c r="BA70" s="34" t="n">
        <f aca="false">BA$45*INDEX(Precio_O,25)*INDEX(IdxPrecio_O,1,MIN(10,BA$17))*(1+P_dPrecio)</f>
        <v>0</v>
      </c>
      <c r="BB70" s="34" t="n">
        <f aca="false">BB$45*INDEX(Precio_O,25)*INDEX(IdxPrecio_O,1,MIN(10,BB$17))*(1+P_dPrecio)</f>
        <v>0</v>
      </c>
      <c r="BC70" s="34" t="n">
        <f aca="false">BC$45*INDEX(Precio_O,25)*INDEX(IdxPrecio_O,1,MIN(10,BC$17))*(1+P_dPrecio)</f>
        <v>0</v>
      </c>
      <c r="BD70" s="34" t="n">
        <f aca="false">BD$45*INDEX(Precio_O,25)*INDEX(IdxPrecio_O,1,MIN(10,BD$17))*(1+P_dPrecio)</f>
        <v>0</v>
      </c>
      <c r="BE70" s="34" t="n">
        <f aca="false">BE$45*INDEX(Precio_O,25)*INDEX(IdxPrecio_O,1,MIN(10,BE$17))*(1+P_dPrecio)</f>
        <v>0</v>
      </c>
      <c r="BF70" s="34" t="n">
        <f aca="false">BF$45*INDEX(Precio_O,25)*INDEX(IdxPrecio_O,1,MIN(10,BF$17))*(1+P_dPrecio)</f>
        <v>0</v>
      </c>
      <c r="BG70" s="34" t="n">
        <f aca="false">BG$45*INDEX(Precio_O,25)*INDEX(IdxPrecio_O,1,MIN(10,BG$17))*(1+P_dPrecio)</f>
        <v>0</v>
      </c>
      <c r="BH70" s="34" t="n">
        <f aca="false">BH$45*INDEX(Precio_O,25)*INDEX(IdxPrecio_O,1,MIN(10,BH$17))*(1+P_dPrecio)</f>
        <v>0</v>
      </c>
      <c r="BI70" s="34" t="n">
        <f aca="false">BI$45*INDEX(Precio_O,25)*INDEX(IdxPrecio_O,1,MIN(10,BI$17))*(1+P_dPrecio)</f>
        <v>0</v>
      </c>
      <c r="BJ70" s="34" t="n">
        <f aca="false">BJ$45*INDEX(Precio_O,25)*INDEX(IdxPrecio_O,1,MIN(10,BJ$17))*(1+P_dPrecio)</f>
        <v>0</v>
      </c>
      <c r="BK70" s="34" t="n">
        <f aca="false">BK$45*INDEX(Precio_O,25)*INDEX(IdxPrecio_O,1,MIN(10,BK$17))*(1+P_dPrecio)</f>
        <v>0</v>
      </c>
      <c r="BL70" s="34" t="n">
        <f aca="false">BL$45*INDEX(Precio_O,25)*INDEX(IdxPrecio_O,1,MIN(10,BL$17))*(1+P_dPrecio)</f>
        <v>0</v>
      </c>
      <c r="BM70" s="34" t="n">
        <f aca="false">BM$45*INDEX(Precio_O,25)*INDEX(IdxPrecio_O,1,MIN(10,BM$17))*(1+P_dPrecio)</f>
        <v>0</v>
      </c>
      <c r="BN70" s="34" t="n">
        <f aca="false">BN$45*INDEX(Precio_O,25)*INDEX(IdxPrecio_O,1,MIN(10,BN$17))*(1+P_dPrecio)</f>
        <v>0</v>
      </c>
      <c r="BO70" s="34" t="n">
        <f aca="false">BO$45*INDEX(Precio_O,25)*INDEX(IdxPrecio_O,1,MIN(10,BO$17))*(1+P_dPrecio)</f>
        <v>0</v>
      </c>
      <c r="BP70" s="34" t="n">
        <f aca="false">BP$45*INDEX(Precio_O,25)*INDEX(IdxPrecio_O,1,MIN(10,BP$17))*(1+P_dPrecio)</f>
        <v>0</v>
      </c>
      <c r="BQ70" s="34" t="n">
        <f aca="false">BQ$45*INDEX(Precio_O,25)*INDEX(IdxPrecio_O,1,MIN(10,BQ$17))*(1+P_dPrecio)</f>
        <v>0</v>
      </c>
      <c r="BR70" s="34" t="n">
        <f aca="false">BR$45*INDEX(Precio_O,25)*INDEX(IdxPrecio_O,1,MIN(10,BR$17))*(1+P_dPrecio)</f>
        <v>0</v>
      </c>
      <c r="BS70" s="34" t="n">
        <f aca="false">BS$45*INDEX(Precio_O,25)*INDEX(IdxPrecio_O,1,MIN(10,BS$17))*(1+P_dPrecio)</f>
        <v>0</v>
      </c>
      <c r="BT70" s="34" t="n">
        <f aca="false">BT$45*INDEX(Precio_O,25)*INDEX(IdxPrecio_O,1,MIN(10,BT$17))*(1+P_dPrecio)</f>
        <v>0</v>
      </c>
      <c r="BU70" s="34" t="n">
        <f aca="false">BU$45*INDEX(Precio_O,25)*INDEX(IdxPrecio_O,1,MIN(10,BU$17))*(1+P_dPrecio)</f>
        <v>0</v>
      </c>
      <c r="BV70" s="34" t="n">
        <f aca="false">BV$45*INDEX(Precio_O,25)*INDEX(IdxPrecio_O,1,MIN(10,BV$17))*(1+P_dPrecio)</f>
        <v>0</v>
      </c>
      <c r="BW70" s="34" t="n">
        <f aca="false">BW$45*INDEX(Precio_O,25)*INDEX(IdxPrecio_O,1,MIN(10,BW$17))*(1+P_dPrecio)</f>
        <v>0</v>
      </c>
      <c r="BX70" s="34" t="n">
        <f aca="false">BX$45*INDEX(Precio_O,25)*INDEX(IdxPrecio_O,1,MIN(10,BX$17))*(1+P_dPrecio)</f>
        <v>0</v>
      </c>
      <c r="BY70" s="34" t="n">
        <f aca="false">BY$45*INDEX(Precio_O,25)*INDEX(IdxPrecio_O,1,MIN(10,BY$17))*(1+P_dPrecio)</f>
        <v>0</v>
      </c>
      <c r="BZ70" s="34" t="n">
        <f aca="false">BZ$45*INDEX(Precio_O,25)*INDEX(IdxPrecio_O,1,MIN(10,BZ$17))*(1+P_dPrecio)</f>
        <v>0</v>
      </c>
      <c r="CA70" s="34" t="n">
        <f aca="false">CA$45*INDEX(Precio_O,25)*INDEX(IdxPrecio_O,1,MIN(10,CA$17))*(1+P_dPrecio)</f>
        <v>0</v>
      </c>
      <c r="CB70" s="34" t="n">
        <f aca="false">CB$45*INDEX(Precio_O,25)*INDEX(IdxPrecio_O,1,MIN(10,CB$17))*(1+P_dPrecio)</f>
        <v>0</v>
      </c>
      <c r="CC70" s="34" t="n">
        <f aca="false">CC$45*INDEX(Precio_O,25)*INDEX(IdxPrecio_O,1,MIN(10,CC$17))*(1+P_dPrecio)</f>
        <v>0</v>
      </c>
      <c r="CD70" s="34" t="n">
        <f aca="false">CD$45*INDEX(Precio_O,25)*INDEX(IdxPrecio_O,1,MIN(10,CD$17))*(1+P_dPrecio)</f>
        <v>0</v>
      </c>
      <c r="CE70" s="34" t="n">
        <f aca="false">CE$45*INDEX(Precio_O,25)*INDEX(IdxPrecio_O,1,MIN(10,CE$17))*(1+P_dPrecio)</f>
        <v>0</v>
      </c>
      <c r="CF70" s="34" t="n">
        <f aca="false">CF$45*INDEX(Precio_O,25)*INDEX(IdxPrecio_O,1,MIN(10,CF$17))*(1+P_dPrecio)</f>
        <v>0</v>
      </c>
      <c r="CG70" s="34" t="n">
        <f aca="false">CG$45*INDEX(Precio_O,25)*INDEX(IdxPrecio_O,1,MIN(10,CG$17))*(1+P_dPrecio)</f>
        <v>0</v>
      </c>
      <c r="CH70" s="34" t="n">
        <f aca="false">CH$45*INDEX(Precio_O,25)*INDEX(IdxPrecio_O,1,MIN(10,CH$17))*(1+P_dPrecio)</f>
        <v>0</v>
      </c>
      <c r="CI70" s="34" t="n">
        <f aca="false">CI$45*INDEX(Precio_O,25)*INDEX(IdxPrecio_O,1,MIN(10,CI$17))*(1+P_dPrecio)</f>
        <v>0</v>
      </c>
      <c r="CJ70" s="34" t="n">
        <f aca="false">CJ$45*INDEX(Precio_O,25)*INDEX(IdxPrecio_O,1,MIN(10,CJ$17))*(1+P_dPrecio)</f>
        <v>0</v>
      </c>
      <c r="CK70" s="34" t="n">
        <f aca="false">CK$45*INDEX(Precio_O,25)*INDEX(IdxPrecio_O,1,MIN(10,CK$17))*(1+P_dPrecio)</f>
        <v>0</v>
      </c>
      <c r="CL70" s="34" t="n">
        <f aca="false">CL$45*INDEX(Precio_O,25)*INDEX(IdxPrecio_O,1,MIN(10,CL$17))*(1+P_dPrecio)</f>
        <v>0</v>
      </c>
      <c r="CM70" s="34" t="n">
        <f aca="false">CM$45*INDEX(Precio_O,25)*INDEX(IdxPrecio_O,1,MIN(10,CM$17))*(1+P_dPrecio)</f>
        <v>0</v>
      </c>
      <c r="CN70" s="34" t="n">
        <f aca="false">CN$45*INDEX(Precio_O,25)*INDEX(IdxPrecio_O,1,MIN(10,CN$17))*(1+P_dPrecio)</f>
        <v>0</v>
      </c>
      <c r="CO70" s="34" t="n">
        <f aca="false">CO$45*INDEX(Precio_O,25)*INDEX(IdxPrecio_O,1,MIN(10,CO$17))*(1+P_dPrecio)</f>
        <v>0</v>
      </c>
      <c r="CP70" s="34" t="n">
        <f aca="false">CP$45*INDEX(Precio_O,25)*INDEX(IdxPrecio_O,1,MIN(10,CP$17))*(1+P_dPrecio)</f>
        <v>0</v>
      </c>
      <c r="CQ70" s="34" t="n">
        <f aca="false">CQ$45*INDEX(Precio_O,25)*INDEX(IdxPrecio_O,1,MIN(10,CQ$17))*(1+P_dPrecio)</f>
        <v>0</v>
      </c>
      <c r="CR70" s="34" t="n">
        <f aca="false">CR$45*INDEX(Precio_O,25)*INDEX(IdxPrecio_O,1,MIN(10,CR$17))*(1+P_dPrecio)</f>
        <v>0</v>
      </c>
      <c r="CS70" s="34" t="n">
        <f aca="false">CS$45*INDEX(Precio_O,25)*INDEX(IdxPrecio_O,1,MIN(10,CS$17))*(1+P_dPrecio)</f>
        <v>0</v>
      </c>
      <c r="CT70" s="34" t="n">
        <f aca="false">CT$45*INDEX(Precio_O,25)*INDEX(IdxPrecio_O,1,MIN(10,CT$17))*(1+P_dPrecio)</f>
        <v>0</v>
      </c>
      <c r="CU70" s="34" t="n">
        <f aca="false">CU$45*INDEX(Precio_O,25)*INDEX(IdxPrecio_O,1,MIN(10,CU$17))*(1+P_dPrecio)</f>
        <v>0</v>
      </c>
      <c r="CV70" s="34" t="n">
        <f aca="false">CV$45*INDEX(Precio_O,25)*INDEX(IdxPrecio_O,1,MIN(10,CV$17))*(1+P_dPrecio)</f>
        <v>0</v>
      </c>
      <c r="CW70" s="34" t="n">
        <f aca="false">CW$45*INDEX(Precio_O,25)*INDEX(IdxPrecio_O,1,MIN(10,CW$17))*(1+P_dPrecio)</f>
        <v>0</v>
      </c>
      <c r="CX70" s="34" t="n">
        <f aca="false">CX$45*INDEX(Precio_O,25)*INDEX(IdxPrecio_O,1,MIN(10,CX$17))*(1+P_dPrecio)</f>
        <v>0</v>
      </c>
      <c r="CY70" s="34" t="n">
        <f aca="false">CY$45*INDEX(Precio_O,25)*INDEX(IdxPrecio_O,1,MIN(10,CY$17))*(1+P_dPrecio)</f>
        <v>0</v>
      </c>
      <c r="CZ70" s="34" t="n">
        <f aca="false">CZ$45*INDEX(Precio_O,25)*INDEX(IdxPrecio_O,1,MIN(10,CZ$17))*(1+P_dPrecio)</f>
        <v>0</v>
      </c>
      <c r="DA70" s="34" t="n">
        <f aca="false">DA$45*INDEX(Precio_O,25)*INDEX(IdxPrecio_O,1,MIN(10,DA$17))*(1+P_dPrecio)</f>
        <v>0</v>
      </c>
      <c r="DB70" s="34" t="n">
        <f aca="false">DB$45*INDEX(Precio_O,25)*INDEX(IdxPrecio_O,1,MIN(10,DB$17))*(1+P_dPrecio)</f>
        <v>0</v>
      </c>
      <c r="DC70" s="34" t="n">
        <f aca="false">DC$45*INDEX(Precio_O,25)*INDEX(IdxPrecio_O,1,MIN(10,DC$17))*(1+P_dPrecio)</f>
        <v>0</v>
      </c>
      <c r="DD70" s="34" t="n">
        <f aca="false">DD$45*INDEX(Precio_O,25)*INDEX(IdxPrecio_O,1,MIN(10,DD$17))*(1+P_dPrecio)</f>
        <v>0</v>
      </c>
      <c r="DE70" s="34" t="n">
        <f aca="false">DE$45*INDEX(Precio_O,25)*INDEX(IdxPrecio_O,1,MIN(10,DE$17))*(1+P_dPrecio)</f>
        <v>0</v>
      </c>
      <c r="DF70" s="34" t="n">
        <f aca="false">DF$45*INDEX(Precio_O,25)*INDEX(IdxPrecio_O,1,MIN(10,DF$17))*(1+P_dPrecio)</f>
        <v>0</v>
      </c>
      <c r="DG70" s="34" t="n">
        <f aca="false">DG$45*INDEX(Precio_O,25)*INDEX(IdxPrecio_O,1,MIN(10,DG$17))*(1+P_dPrecio)</f>
        <v>0</v>
      </c>
      <c r="DH70" s="34" t="n">
        <f aca="false">DH$45*INDEX(Precio_O,25)*INDEX(IdxPrecio_O,1,MIN(10,DH$17))*(1+P_dPrecio)</f>
        <v>0</v>
      </c>
      <c r="DI70" s="34" t="n">
        <f aca="false">DI$45*INDEX(Precio_O,25)*INDEX(IdxPrecio_O,1,MIN(10,DI$17))*(1+P_dPrecio)</f>
        <v>0</v>
      </c>
      <c r="DJ70" s="34" t="n">
        <f aca="false">DJ$45*INDEX(Precio_O,25)*INDEX(IdxPrecio_O,1,MIN(10,DJ$17))*(1+P_dPrecio)</f>
        <v>0</v>
      </c>
      <c r="DK70" s="34" t="n">
        <f aca="false">DK$45*INDEX(Precio_O,25)*INDEX(IdxPrecio_O,1,MIN(10,DK$17))*(1+P_dPrecio)</f>
        <v>0</v>
      </c>
      <c r="DL70" s="34" t="n">
        <f aca="false">DL$45*INDEX(Precio_O,25)*INDEX(IdxPrecio_O,1,MIN(10,DL$17))*(1+P_dPrecio)</f>
        <v>0</v>
      </c>
      <c r="DM70" s="34" t="n">
        <f aca="false">DM$45*INDEX(Precio_O,25)*INDEX(IdxPrecio_O,1,MIN(10,DM$17))*(1+P_dPrecio)</f>
        <v>0</v>
      </c>
      <c r="DN70" s="34" t="n">
        <f aca="false">DN$45*INDEX(Precio_O,25)*INDEX(IdxPrecio_O,1,MIN(10,DN$17))*(1+P_dPrecio)</f>
        <v>0</v>
      </c>
      <c r="DO70" s="34" t="n">
        <f aca="false">DO$45*INDEX(Precio_O,25)*INDEX(IdxPrecio_O,1,MIN(10,DO$17))*(1+P_dPrecio)</f>
        <v>0</v>
      </c>
      <c r="DP70" s="34" t="n">
        <f aca="false">DP$45*INDEX(Precio_O,25)*INDEX(IdxPrecio_O,1,MIN(10,DP$17))*(1+P_dPrecio)</f>
        <v>0</v>
      </c>
      <c r="DQ70" s="34" t="n">
        <f aca="false">DQ$45*INDEX(Precio_O,25)*INDEX(IdxPrecio_O,1,MIN(10,DQ$17))*(1+P_dPrecio)</f>
        <v>0</v>
      </c>
      <c r="DR70" s="34" t="n">
        <f aca="false">DR$45*INDEX(Precio_O,25)*INDEX(IdxPrecio_O,1,MIN(10,DR$17))*(1+P_dPrecio)</f>
        <v>0</v>
      </c>
      <c r="DS70" s="34" t="n">
        <f aca="false">DS$45*INDEX(Precio_O,25)*INDEX(IdxPrecio_O,1,MIN(10,DS$17))*(1+P_dPrecio)</f>
        <v>0</v>
      </c>
      <c r="DT70" s="34" t="n">
        <f aca="false">DT$45*INDEX(Precio_O,25)*INDEX(IdxPrecio_O,1,MIN(10,DT$17))*(1+P_dPrecio)</f>
        <v>0</v>
      </c>
      <c r="DU70" s="34" t="n">
        <f aca="false">DU$45*INDEX(Precio_O,25)*INDEX(IdxPrecio_O,1,MIN(10,DU$17))*(1+P_dPrecio)</f>
        <v>0</v>
      </c>
      <c r="DV70" s="34" t="n">
        <f aca="false">DV$45*INDEX(Precio_O,25)*INDEX(IdxPrecio_O,1,MIN(10,DV$17))*(1+P_dPrecio)</f>
        <v>0</v>
      </c>
      <c r="DW70" s="34" t="n">
        <f aca="false">DW$45*INDEX(Precio_O,25)*INDEX(IdxPrecio_O,1,MIN(10,DW$17))*(1+P_dPrecio)</f>
        <v>0</v>
      </c>
      <c r="DX70" s="34" t="n">
        <f aca="false">DX$45*INDEX(Precio_O,25)*INDEX(IdxPrecio_O,1,MIN(10,DX$17))*(1+P_dPrecio)</f>
        <v>0</v>
      </c>
      <c r="DY70" s="34" t="n">
        <f aca="false">DY$45*INDEX(Precio_O,25)*INDEX(IdxPrecio_O,1,MIN(10,DY$17))*(1+P_dPrecio)</f>
        <v>0</v>
      </c>
      <c r="DZ70" s="34" t="n">
        <f aca="false">DZ$45*INDEX(Precio_O,25)*INDEX(IdxPrecio_O,1,MIN(10,DZ$17))*(1+P_dPrecio)</f>
        <v>0</v>
      </c>
      <c r="EA70" s="34" t="n">
        <f aca="false">EA$45*INDEX(Precio_O,25)*INDEX(IdxPrecio_O,1,MIN(10,EA$17))*(1+P_dPrecio)</f>
        <v>0</v>
      </c>
      <c r="EB70" s="34" t="n">
        <f aca="false">EB$45*INDEX(Precio_O,25)*INDEX(IdxPrecio_O,1,MIN(10,EB$17))*(1+P_dPrecio)</f>
        <v>0</v>
      </c>
      <c r="EC70" s="34" t="n">
        <f aca="false">EC$45*INDEX(Precio_O,25)*INDEX(IdxPrecio_O,1,MIN(10,EC$17))*(1+P_dPrecio)</f>
        <v>0</v>
      </c>
      <c r="ED70" s="34" t="n">
        <f aca="false">ED$45*INDEX(Precio_O,25)*INDEX(IdxPrecio_O,1,MIN(10,ED$17))*(1+P_dPrecio)</f>
        <v>0</v>
      </c>
      <c r="EE70" s="34" t="n">
        <f aca="false">EE$45*INDEX(Precio_O,25)*INDEX(IdxPrecio_O,1,MIN(10,EE$17))*(1+P_dPrecio)</f>
        <v>0</v>
      </c>
      <c r="EF70" s="34" t="n">
        <f aca="false">EF$45*INDEX(Precio_O,25)*INDEX(IdxPrecio_O,1,MIN(10,EF$17))*(1+P_dPrecio)</f>
        <v>0</v>
      </c>
      <c r="EG70" s="34" t="n">
        <f aca="false">EG$45*INDEX(Precio_O,25)*INDEX(IdxPrecio_O,1,MIN(10,EG$17))*(1+P_dPrecio)</f>
        <v>0</v>
      </c>
      <c r="EH70" s="34" t="n">
        <f aca="false">EH$45*INDEX(Precio_O,25)*INDEX(IdxPrecio_O,1,MIN(10,EH$17))*(1+P_dPrecio)</f>
        <v>0</v>
      </c>
      <c r="EI70" s="34" t="n">
        <f aca="false">EI$45*INDEX(Precio_O,25)*INDEX(IdxPrecio_O,1,MIN(10,EI$17))*(1+P_dPrecio)</f>
        <v>0</v>
      </c>
      <c r="EJ70" s="34" t="n">
        <f aca="false">EJ$45*INDEX(Precio_O,25)*INDEX(IdxPrecio_O,1,MIN(10,EJ$17))*(1+P_dPrecio)</f>
        <v>0</v>
      </c>
      <c r="EK70" s="34" t="n">
        <f aca="false">EK$45*INDEX(Precio_O,25)*INDEX(IdxPrecio_O,1,MIN(10,EK$17))*(1+P_dPrecio)</f>
        <v>0</v>
      </c>
      <c r="EL70" s="34" t="n">
        <f aca="false">EL$45*INDEX(Precio_O,25)*INDEX(IdxPrecio_O,1,MIN(10,EL$17))*(1+P_dPrecio)</f>
        <v>0</v>
      </c>
      <c r="EM70" s="34" t="n">
        <f aca="false">EM$45*INDEX(Precio_O,25)*INDEX(IdxPrecio_O,1,MIN(10,EM$17))*(1+P_dPrecio)</f>
        <v>0</v>
      </c>
      <c r="EN70" s="34" t="n">
        <f aca="false">EN$45*INDEX(Precio_O,25)*INDEX(IdxPrecio_O,1,MIN(10,EN$17))*(1+P_dPrecio)</f>
        <v>0</v>
      </c>
      <c r="EO70" s="34" t="n">
        <f aca="false">EO$45*INDEX(Precio_O,25)*INDEX(IdxPrecio_O,1,MIN(10,EO$17))*(1+P_dPrecio)</f>
        <v>0</v>
      </c>
      <c r="EP70" s="34" t="n">
        <f aca="false">EP$45*INDEX(Precio_O,25)*INDEX(IdxPrecio_O,1,MIN(10,EP$17))*(1+P_dPrecio)</f>
        <v>0</v>
      </c>
      <c r="EQ70" s="34" t="n">
        <f aca="false">EQ$45*INDEX(Precio_O,25)*INDEX(IdxPrecio_O,1,MIN(10,EQ$17))*(1+P_dPrecio)</f>
        <v>0</v>
      </c>
      <c r="ER70" s="34" t="n">
        <f aca="false">ER$45*INDEX(Precio_O,25)*INDEX(IdxPrecio_O,1,MIN(10,ER$17))*(1+P_dPrecio)</f>
        <v>0</v>
      </c>
      <c r="ES70" s="34" t="n">
        <f aca="false">ES$45*INDEX(Precio_O,25)*INDEX(IdxPrecio_O,1,MIN(10,ES$17))*(1+P_dPrecio)</f>
        <v>0</v>
      </c>
    </row>
    <row r="71" customFormat="false" ht="15" hidden="false" customHeight="false" outlineLevel="0" collapsed="false">
      <c r="A71" s="2" t="s">
        <v>634</v>
      </c>
      <c r="B71" s="52" t="s">
        <v>635</v>
      </c>
      <c r="C71" s="6" t="s">
        <v>250</v>
      </c>
      <c r="E71" s="40" t="n">
        <f aca="false">SUM(F71:ES71)</f>
        <v>81222447.7216454</v>
      </c>
      <c r="F71" s="10" t="n">
        <f aca="false">SUM(F$46:F$70)</f>
        <v>404166.666666667</v>
      </c>
      <c r="G71" s="10" t="n">
        <f aca="false">SUM(G$46:G$70)</f>
        <v>404166.666666667</v>
      </c>
      <c r="H71" s="10" t="n">
        <f aca="false">SUM(H$46:H$70)</f>
        <v>404166.666666667</v>
      </c>
      <c r="I71" s="10" t="n">
        <f aca="false">SUM(I$46:I$70)</f>
        <v>404166.666666667</v>
      </c>
      <c r="J71" s="10" t="n">
        <f aca="false">SUM(J$46:J$70)</f>
        <v>404166.666666667</v>
      </c>
      <c r="K71" s="10" t="n">
        <f aca="false">SUM(K$46:K$70)</f>
        <v>404166.666666667</v>
      </c>
      <c r="L71" s="10" t="n">
        <f aca="false">SUM(L$46:L$70)</f>
        <v>404166.666666667</v>
      </c>
      <c r="M71" s="10" t="n">
        <f aca="false">SUM(M$46:M$70)</f>
        <v>404166.666666667</v>
      </c>
      <c r="N71" s="10" t="n">
        <f aca="false">SUM(N$46:N$70)</f>
        <v>404166.666666667</v>
      </c>
      <c r="O71" s="10" t="n">
        <f aca="false">SUM(O$46:O$70)</f>
        <v>404166.666666667</v>
      </c>
      <c r="P71" s="10" t="n">
        <f aca="false">SUM(P$46:P$70)</f>
        <v>404166.666666667</v>
      </c>
      <c r="Q71" s="10" t="n">
        <f aca="false">SUM(Q$46:Q$70)</f>
        <v>404166.666666667</v>
      </c>
      <c r="R71" s="10" t="n">
        <f aca="false">SUM(R$46:R$70)</f>
        <v>515100</v>
      </c>
      <c r="S71" s="10" t="n">
        <f aca="false">SUM(S$46:S$70)</f>
        <v>515100</v>
      </c>
      <c r="T71" s="10" t="n">
        <f aca="false">SUM(T$46:T$70)</f>
        <v>515100</v>
      </c>
      <c r="U71" s="10" t="n">
        <f aca="false">SUM(U$46:U$70)</f>
        <v>515100</v>
      </c>
      <c r="V71" s="10" t="n">
        <f aca="false">SUM(V$46:V$70)</f>
        <v>515100</v>
      </c>
      <c r="W71" s="10" t="n">
        <f aca="false">SUM(W$46:W$70)</f>
        <v>515100</v>
      </c>
      <c r="X71" s="10" t="n">
        <f aca="false">SUM(X$46:X$70)</f>
        <v>515100</v>
      </c>
      <c r="Y71" s="10" t="n">
        <f aca="false">SUM(Y$46:Y$70)</f>
        <v>515100</v>
      </c>
      <c r="Z71" s="10" t="n">
        <f aca="false">SUM(Z$46:Z$70)</f>
        <v>515100</v>
      </c>
      <c r="AA71" s="10" t="n">
        <f aca="false">SUM(AA$46:AA$70)</f>
        <v>515100</v>
      </c>
      <c r="AB71" s="10" t="n">
        <f aca="false">SUM(AB$46:AB$70)</f>
        <v>515100</v>
      </c>
      <c r="AC71" s="10" t="n">
        <f aca="false">SUM(AC$46:AC$70)</f>
        <v>515100</v>
      </c>
      <c r="AD71" s="10" t="n">
        <f aca="false">SUM(AD$46:AD$70)</f>
        <v>628211.583333333</v>
      </c>
      <c r="AE71" s="10" t="n">
        <f aca="false">SUM(AE$46:AE$70)</f>
        <v>628211.583333333</v>
      </c>
      <c r="AF71" s="10" t="n">
        <f aca="false">SUM(AF$46:AF$70)</f>
        <v>628211.583333333</v>
      </c>
      <c r="AG71" s="10" t="n">
        <f aca="false">SUM(AG$46:AG$70)</f>
        <v>628211.583333333</v>
      </c>
      <c r="AH71" s="10" t="n">
        <f aca="false">SUM(AH$46:AH$70)</f>
        <v>628211.583333333</v>
      </c>
      <c r="AI71" s="10" t="n">
        <f aca="false">SUM(AI$46:AI$70)</f>
        <v>628211.583333333</v>
      </c>
      <c r="AJ71" s="10" t="n">
        <f aca="false">SUM(AJ$46:AJ$70)</f>
        <v>628211.583333333</v>
      </c>
      <c r="AK71" s="10" t="n">
        <f aca="false">SUM(AK$46:AK$70)</f>
        <v>628211.583333333</v>
      </c>
      <c r="AL71" s="10" t="n">
        <f aca="false">SUM(AL$46:AL$70)</f>
        <v>628211.583333333</v>
      </c>
      <c r="AM71" s="10" t="n">
        <f aca="false">SUM(AM$46:AM$70)</f>
        <v>628211.583333333</v>
      </c>
      <c r="AN71" s="10" t="n">
        <f aca="false">SUM(AN$46:AN$70)</f>
        <v>628211.583333333</v>
      </c>
      <c r="AO71" s="10" t="n">
        <f aca="false">SUM(AO$46:AO$70)</f>
        <v>628211.583333333</v>
      </c>
      <c r="AP71" s="10" t="n">
        <f aca="false">SUM(AP$46:AP$70)</f>
        <v>723786.4525</v>
      </c>
      <c r="AQ71" s="10" t="n">
        <f aca="false">SUM(AQ$46:AQ$70)</f>
        <v>723786.4525</v>
      </c>
      <c r="AR71" s="10" t="n">
        <f aca="false">SUM(AR$46:AR$70)</f>
        <v>723786.4525</v>
      </c>
      <c r="AS71" s="10" t="n">
        <f aca="false">SUM(AS$46:AS$70)</f>
        <v>723786.4525</v>
      </c>
      <c r="AT71" s="10" t="n">
        <f aca="false">SUM(AT$46:AT$70)</f>
        <v>723786.4525</v>
      </c>
      <c r="AU71" s="10" t="n">
        <f aca="false">SUM(AU$46:AU$70)</f>
        <v>723786.4525</v>
      </c>
      <c r="AV71" s="10" t="n">
        <f aca="false">SUM(AV$46:AV$70)</f>
        <v>723786.4525</v>
      </c>
      <c r="AW71" s="10" t="n">
        <f aca="false">SUM(AW$46:AW$70)</f>
        <v>723786.4525</v>
      </c>
      <c r="AX71" s="10" t="n">
        <f aca="false">SUM(AX$46:AX$70)</f>
        <v>723786.4525</v>
      </c>
      <c r="AY71" s="10" t="n">
        <f aca="false">SUM(AY$46:AY$70)</f>
        <v>723786.4525</v>
      </c>
      <c r="AZ71" s="10" t="n">
        <f aca="false">SUM(AZ$46:AZ$70)</f>
        <v>723786.4525</v>
      </c>
      <c r="BA71" s="10" t="n">
        <f aca="false">SUM(BA$46:BA$70)</f>
        <v>723786.4525</v>
      </c>
      <c r="BB71" s="10" t="n">
        <f aca="false">SUM(BB$46:BB$70)</f>
        <v>731024.317025</v>
      </c>
      <c r="BC71" s="10" t="n">
        <f aca="false">SUM(BC$46:BC$70)</f>
        <v>731024.317025</v>
      </c>
      <c r="BD71" s="10" t="n">
        <f aca="false">SUM(BD$46:BD$70)</f>
        <v>731024.317025</v>
      </c>
      <c r="BE71" s="10" t="n">
        <f aca="false">SUM(BE$46:BE$70)</f>
        <v>731024.317025</v>
      </c>
      <c r="BF71" s="10" t="n">
        <f aca="false">SUM(BF$46:BF$70)</f>
        <v>731024.317025</v>
      </c>
      <c r="BG71" s="10" t="n">
        <f aca="false">SUM(BG$46:BG$70)</f>
        <v>731024.317025</v>
      </c>
      <c r="BH71" s="10" t="n">
        <f aca="false">SUM(BH$46:BH$70)</f>
        <v>731024.317025</v>
      </c>
      <c r="BI71" s="10" t="n">
        <f aca="false">SUM(BI$46:BI$70)</f>
        <v>731024.317025</v>
      </c>
      <c r="BJ71" s="10" t="n">
        <f aca="false">SUM(BJ$46:BJ$70)</f>
        <v>731024.317025</v>
      </c>
      <c r="BK71" s="10" t="n">
        <f aca="false">SUM(BK$46:BK$70)</f>
        <v>731024.317025</v>
      </c>
      <c r="BL71" s="10" t="n">
        <f aca="false">SUM(BL$46:BL$70)</f>
        <v>731024.317025</v>
      </c>
      <c r="BM71" s="10" t="n">
        <f aca="false">SUM(BM$46:BM$70)</f>
        <v>731024.317025</v>
      </c>
      <c r="BN71" s="10" t="n">
        <f aca="false">SUM(BN$46:BN$70)</f>
        <v>738334.56019525</v>
      </c>
      <c r="BO71" s="10" t="n">
        <f aca="false">SUM(BO$46:BO$70)</f>
        <v>738334.56019525</v>
      </c>
      <c r="BP71" s="10" t="n">
        <f aca="false">SUM(BP$46:BP$70)</f>
        <v>738334.56019525</v>
      </c>
      <c r="BQ71" s="10" t="n">
        <f aca="false">SUM(BQ$46:BQ$70)</f>
        <v>738334.56019525</v>
      </c>
      <c r="BR71" s="10" t="n">
        <f aca="false">SUM(BR$46:BR$70)</f>
        <v>738334.56019525</v>
      </c>
      <c r="BS71" s="10" t="n">
        <f aca="false">SUM(BS$46:BS$70)</f>
        <v>738334.56019525</v>
      </c>
      <c r="BT71" s="10" t="n">
        <f aca="false">SUM(BT$46:BT$70)</f>
        <v>738334.56019525</v>
      </c>
      <c r="BU71" s="10" t="n">
        <f aca="false">SUM(BU$46:BU$70)</f>
        <v>738334.56019525</v>
      </c>
      <c r="BV71" s="10" t="n">
        <f aca="false">SUM(BV$46:BV$70)</f>
        <v>738334.56019525</v>
      </c>
      <c r="BW71" s="10" t="n">
        <f aca="false">SUM(BW$46:BW$70)</f>
        <v>738334.56019525</v>
      </c>
      <c r="BX71" s="10" t="n">
        <f aca="false">SUM(BX$46:BX$70)</f>
        <v>738334.56019525</v>
      </c>
      <c r="BY71" s="10" t="n">
        <f aca="false">SUM(BY$46:BY$70)</f>
        <v>738334.56019525</v>
      </c>
      <c r="BZ71" s="10" t="n">
        <f aca="false">SUM(BZ$46:BZ$70)</f>
        <v>745717.905797202</v>
      </c>
      <c r="CA71" s="10" t="n">
        <f aca="false">SUM(CA$46:CA$70)</f>
        <v>745717.905797202</v>
      </c>
      <c r="CB71" s="10" t="n">
        <f aca="false">SUM(CB$46:CB$70)</f>
        <v>745717.905797202</v>
      </c>
      <c r="CC71" s="10" t="n">
        <f aca="false">SUM(CC$46:CC$70)</f>
        <v>745717.905797202</v>
      </c>
      <c r="CD71" s="10" t="n">
        <f aca="false">SUM(CD$46:CD$70)</f>
        <v>745717.905797202</v>
      </c>
      <c r="CE71" s="10" t="n">
        <f aca="false">SUM(CE$46:CE$70)</f>
        <v>745717.905797202</v>
      </c>
      <c r="CF71" s="10" t="n">
        <f aca="false">SUM(CF$46:CF$70)</f>
        <v>745717.905797202</v>
      </c>
      <c r="CG71" s="10" t="n">
        <f aca="false">SUM(CG$46:CG$70)</f>
        <v>745717.905797202</v>
      </c>
      <c r="CH71" s="10" t="n">
        <f aca="false">SUM(CH$46:CH$70)</f>
        <v>745717.905797202</v>
      </c>
      <c r="CI71" s="10" t="n">
        <f aca="false">SUM(CI$46:CI$70)</f>
        <v>745717.905797202</v>
      </c>
      <c r="CJ71" s="10" t="n">
        <f aca="false">SUM(CJ$46:CJ$70)</f>
        <v>745717.905797202</v>
      </c>
      <c r="CK71" s="10" t="n">
        <f aca="false">SUM(CK$46:CK$70)</f>
        <v>745717.905797202</v>
      </c>
      <c r="CL71" s="10" t="n">
        <f aca="false">SUM(CL$46:CL$70)</f>
        <v>753175.084855174</v>
      </c>
      <c r="CM71" s="10" t="n">
        <f aca="false">SUM(CM$46:CM$70)</f>
        <v>753175.084855174</v>
      </c>
      <c r="CN71" s="10" t="n">
        <f aca="false">SUM(CN$46:CN$70)</f>
        <v>753175.084855174</v>
      </c>
      <c r="CO71" s="10" t="n">
        <f aca="false">SUM(CO$46:CO$70)</f>
        <v>753175.084855174</v>
      </c>
      <c r="CP71" s="10" t="n">
        <f aca="false">SUM(CP$46:CP$70)</f>
        <v>753175.084855174</v>
      </c>
      <c r="CQ71" s="10" t="n">
        <f aca="false">SUM(CQ$46:CQ$70)</f>
        <v>753175.084855174</v>
      </c>
      <c r="CR71" s="10" t="n">
        <f aca="false">SUM(CR$46:CR$70)</f>
        <v>753175.084855174</v>
      </c>
      <c r="CS71" s="10" t="n">
        <f aca="false">SUM(CS$46:CS$70)</f>
        <v>753175.084855174</v>
      </c>
      <c r="CT71" s="10" t="n">
        <f aca="false">SUM(CT$46:CT$70)</f>
        <v>753175.084855174</v>
      </c>
      <c r="CU71" s="10" t="n">
        <f aca="false">SUM(CU$46:CU$70)</f>
        <v>753175.084855174</v>
      </c>
      <c r="CV71" s="10" t="n">
        <f aca="false">SUM(CV$46:CV$70)</f>
        <v>753175.084855174</v>
      </c>
      <c r="CW71" s="10" t="n">
        <f aca="false">SUM(CW$46:CW$70)</f>
        <v>753175.084855174</v>
      </c>
      <c r="CX71" s="10" t="n">
        <f aca="false">SUM(CX$46:CX$70)</f>
        <v>760706.835703726</v>
      </c>
      <c r="CY71" s="10" t="n">
        <f aca="false">SUM(CY$46:CY$70)</f>
        <v>760706.835703726</v>
      </c>
      <c r="CZ71" s="10" t="n">
        <f aca="false">SUM(CZ$46:CZ$70)</f>
        <v>760706.835703726</v>
      </c>
      <c r="DA71" s="10" t="n">
        <f aca="false">SUM(DA$46:DA$70)</f>
        <v>760706.835703726</v>
      </c>
      <c r="DB71" s="10" t="n">
        <f aca="false">SUM(DB$46:DB$70)</f>
        <v>760706.835703726</v>
      </c>
      <c r="DC71" s="10" t="n">
        <f aca="false">SUM(DC$46:DC$70)</f>
        <v>760706.835703726</v>
      </c>
      <c r="DD71" s="10" t="n">
        <f aca="false">SUM(DD$46:DD$70)</f>
        <v>760706.835703726</v>
      </c>
      <c r="DE71" s="10" t="n">
        <f aca="false">SUM(DE$46:DE$70)</f>
        <v>760706.835703726</v>
      </c>
      <c r="DF71" s="10" t="n">
        <f aca="false">SUM(DF$46:DF$70)</f>
        <v>760706.835703726</v>
      </c>
      <c r="DG71" s="10" t="n">
        <f aca="false">SUM(DG$46:DG$70)</f>
        <v>760706.835703726</v>
      </c>
      <c r="DH71" s="10" t="n">
        <f aca="false">SUM(DH$46:DH$70)</f>
        <v>760706.835703726</v>
      </c>
      <c r="DI71" s="10" t="n">
        <f aca="false">SUM(DI$46:DI$70)</f>
        <v>760706.835703726</v>
      </c>
      <c r="DJ71" s="10" t="n">
        <f aca="false">SUM(DJ$46:DJ$70)</f>
        <v>768313.904060764</v>
      </c>
      <c r="DK71" s="10" t="n">
        <f aca="false">SUM(DK$46:DK$70)</f>
        <v>768313.904060764</v>
      </c>
      <c r="DL71" s="10" t="n">
        <f aca="false">SUM(DL$46:DL$70)</f>
        <v>768313.904060764</v>
      </c>
      <c r="DM71" s="10" t="n">
        <f aca="false">SUM(DM$46:DM$70)</f>
        <v>768313.904060764</v>
      </c>
      <c r="DN71" s="10" t="n">
        <f aca="false">SUM(DN$46:DN$70)</f>
        <v>768313.904060764</v>
      </c>
      <c r="DO71" s="10" t="n">
        <f aca="false">SUM(DO$46:DO$70)</f>
        <v>768313.904060764</v>
      </c>
      <c r="DP71" s="10" t="n">
        <f aca="false">SUM(DP$46:DP$70)</f>
        <v>768313.904060764</v>
      </c>
      <c r="DQ71" s="10" t="n">
        <f aca="false">SUM(DQ$46:DQ$70)</f>
        <v>768313.904060764</v>
      </c>
      <c r="DR71" s="10" t="n">
        <f aca="false">SUM(DR$46:DR$70)</f>
        <v>768313.904060764</v>
      </c>
      <c r="DS71" s="10" t="n">
        <f aca="false">SUM(DS$46:DS$70)</f>
        <v>768313.904060764</v>
      </c>
      <c r="DT71" s="10" t="n">
        <f aca="false">SUM(DT$46:DT$70)</f>
        <v>768313.904060764</v>
      </c>
      <c r="DU71" s="10" t="n">
        <f aca="false">SUM(DU$46:DU$70)</f>
        <v>768313.904060764</v>
      </c>
      <c r="DV71" s="10" t="n">
        <f aca="false">SUM(DV$46:DV$70)</f>
        <v>0</v>
      </c>
      <c r="DW71" s="10" t="n">
        <f aca="false">SUM(DW$46:DW$70)</f>
        <v>0</v>
      </c>
      <c r="DX71" s="10" t="n">
        <f aca="false">SUM(DX$46:DX$70)</f>
        <v>0</v>
      </c>
      <c r="DY71" s="10" t="n">
        <f aca="false">SUM(DY$46:DY$70)</f>
        <v>0</v>
      </c>
      <c r="DZ71" s="10" t="n">
        <f aca="false">SUM(DZ$46:DZ$70)</f>
        <v>0</v>
      </c>
      <c r="EA71" s="10" t="n">
        <f aca="false">SUM(EA$46:EA$70)</f>
        <v>0</v>
      </c>
      <c r="EB71" s="10" t="n">
        <f aca="false">SUM(EB$46:EB$70)</f>
        <v>0</v>
      </c>
      <c r="EC71" s="10" t="n">
        <f aca="false">SUM(EC$46:EC$70)</f>
        <v>0</v>
      </c>
      <c r="ED71" s="10" t="n">
        <f aca="false">SUM(ED$46:ED$70)</f>
        <v>0</v>
      </c>
      <c r="EE71" s="10" t="n">
        <f aca="false">SUM(EE$46:EE$70)</f>
        <v>0</v>
      </c>
      <c r="EF71" s="10" t="n">
        <f aca="false">SUM(EF$46:EF$70)</f>
        <v>0</v>
      </c>
      <c r="EG71" s="10" t="n">
        <f aca="false">SUM(EG$46:EG$70)</f>
        <v>0</v>
      </c>
      <c r="EH71" s="10" t="n">
        <f aca="false">SUM(EH$46:EH$70)</f>
        <v>0</v>
      </c>
      <c r="EI71" s="10" t="n">
        <f aca="false">SUM(EI$46:EI$70)</f>
        <v>0</v>
      </c>
      <c r="EJ71" s="10" t="n">
        <f aca="false">SUM(EJ$46:EJ$70)</f>
        <v>0</v>
      </c>
      <c r="EK71" s="10" t="n">
        <f aca="false">SUM(EK$46:EK$70)</f>
        <v>0</v>
      </c>
      <c r="EL71" s="10" t="n">
        <f aca="false">SUM(EL$46:EL$70)</f>
        <v>0</v>
      </c>
      <c r="EM71" s="10" t="n">
        <f aca="false">SUM(EM$46:EM$70)</f>
        <v>0</v>
      </c>
      <c r="EN71" s="10" t="n">
        <f aca="false">SUM(EN$46:EN$70)</f>
        <v>0</v>
      </c>
      <c r="EO71" s="10" t="n">
        <f aca="false">SUM(EO$46:EO$70)</f>
        <v>0</v>
      </c>
      <c r="EP71" s="10" t="n">
        <f aca="false">SUM(EP$46:EP$70)</f>
        <v>0</v>
      </c>
      <c r="EQ71" s="10" t="n">
        <f aca="false">SUM(EQ$46:EQ$70)</f>
        <v>0</v>
      </c>
      <c r="ER71" s="10" t="n">
        <f aca="false">SUM(ER$46:ER$70)</f>
        <v>0</v>
      </c>
      <c r="ES71" s="10" t="n">
        <f aca="false">SUM(ES$46:ES$70)</f>
        <v>0</v>
      </c>
    </row>
    <row r="72" customFormat="false" ht="15" hidden="false" customHeight="false" outlineLevel="0" collapsed="false">
      <c r="A72" s="4"/>
      <c r="B72" s="3" t="s">
        <v>636</v>
      </c>
      <c r="C72" s="4"/>
      <c r="D72" s="4"/>
      <c r="E72" s="4"/>
    </row>
    <row r="73" customFormat="false" ht="15" hidden="false" customHeight="false" outlineLevel="0" collapsed="false">
      <c r="A73" s="2" t="s">
        <v>637</v>
      </c>
      <c r="B73" s="6" t="s">
        <v>638</v>
      </c>
      <c r="C73" s="6" t="s">
        <v>250</v>
      </c>
      <c r="E73" s="40" t="n">
        <f aca="false">SUM(F73:ES73)</f>
        <v>25293483.38356</v>
      </c>
      <c r="F73" s="34" t="n">
        <f aca="false">SUMPRODUCT(F21:F45,MP_O)*INDEX(IdxMP_O,1,MIN(10,F$17))*(1+P_dMat)/(1-P_Merma)</f>
        <v>125875</v>
      </c>
      <c r="G73" s="34" t="n">
        <f aca="false">SUMPRODUCT(G21:G45,MP_O)*INDEX(IdxMP_O,1,MIN(10,G$17))*(1+P_dMat)/(1-P_Merma)</f>
        <v>125875</v>
      </c>
      <c r="H73" s="34" t="n">
        <f aca="false">SUMPRODUCT(H21:H45,MP_O)*INDEX(IdxMP_O,1,MIN(10,H$17))*(1+P_dMat)/(1-P_Merma)</f>
        <v>125875</v>
      </c>
      <c r="I73" s="34" t="n">
        <f aca="false">SUMPRODUCT(I21:I45,MP_O)*INDEX(IdxMP_O,1,MIN(10,I$17))*(1+P_dMat)/(1-P_Merma)</f>
        <v>125875</v>
      </c>
      <c r="J73" s="34" t="n">
        <f aca="false">SUMPRODUCT(J21:J45,MP_O)*INDEX(IdxMP_O,1,MIN(10,J$17))*(1+P_dMat)/(1-P_Merma)</f>
        <v>125875</v>
      </c>
      <c r="K73" s="34" t="n">
        <f aca="false">SUMPRODUCT(K21:K45,MP_O)*INDEX(IdxMP_O,1,MIN(10,K$17))*(1+P_dMat)/(1-P_Merma)</f>
        <v>125875</v>
      </c>
      <c r="L73" s="34" t="n">
        <f aca="false">SUMPRODUCT(L21:L45,MP_O)*INDEX(IdxMP_O,1,MIN(10,L$17))*(1+P_dMat)/(1-P_Merma)</f>
        <v>125875</v>
      </c>
      <c r="M73" s="34" t="n">
        <f aca="false">SUMPRODUCT(M21:M45,MP_O)*INDEX(IdxMP_O,1,MIN(10,M$17))*(1+P_dMat)/(1-P_Merma)</f>
        <v>125875</v>
      </c>
      <c r="N73" s="34" t="n">
        <f aca="false">SUMPRODUCT(N21:N45,MP_O)*INDEX(IdxMP_O,1,MIN(10,N$17))*(1+P_dMat)/(1-P_Merma)</f>
        <v>125875</v>
      </c>
      <c r="O73" s="34" t="n">
        <f aca="false">SUMPRODUCT(O21:O45,MP_O)*INDEX(IdxMP_O,1,MIN(10,O$17))*(1+P_dMat)/(1-P_Merma)</f>
        <v>125875</v>
      </c>
      <c r="P73" s="34" t="n">
        <f aca="false">SUMPRODUCT(P21:P45,MP_O)*INDEX(IdxMP_O,1,MIN(10,P$17))*(1+P_dMat)/(1-P_Merma)</f>
        <v>125875</v>
      </c>
      <c r="Q73" s="34" t="n">
        <f aca="false">SUMPRODUCT(Q21:Q45,MP_O)*INDEX(IdxMP_O,1,MIN(10,Q$17))*(1+P_dMat)/(1-P_Merma)</f>
        <v>125875</v>
      </c>
      <c r="R73" s="34" t="n">
        <f aca="false">SUMPRODUCT(R21:R45,MP_O)*INDEX(IdxMP_O,1,MIN(10,R$17))*(1+P_dMat)/(1-P_Merma)</f>
        <v>160476.375</v>
      </c>
      <c r="S73" s="34" t="n">
        <f aca="false">SUMPRODUCT(S21:S45,MP_O)*INDEX(IdxMP_O,1,MIN(10,S$17))*(1+P_dMat)/(1-P_Merma)</f>
        <v>160476.375</v>
      </c>
      <c r="T73" s="34" t="n">
        <f aca="false">SUMPRODUCT(T21:T45,MP_O)*INDEX(IdxMP_O,1,MIN(10,T$17))*(1+P_dMat)/(1-P_Merma)</f>
        <v>160476.375</v>
      </c>
      <c r="U73" s="34" t="n">
        <f aca="false">SUMPRODUCT(U21:U45,MP_O)*INDEX(IdxMP_O,1,MIN(10,U$17))*(1+P_dMat)/(1-P_Merma)</f>
        <v>160476.375</v>
      </c>
      <c r="V73" s="34" t="n">
        <f aca="false">SUMPRODUCT(V21:V45,MP_O)*INDEX(IdxMP_O,1,MIN(10,V$17))*(1+P_dMat)/(1-P_Merma)</f>
        <v>160476.375</v>
      </c>
      <c r="W73" s="34" t="n">
        <f aca="false">SUMPRODUCT(W21:W45,MP_O)*INDEX(IdxMP_O,1,MIN(10,W$17))*(1+P_dMat)/(1-P_Merma)</f>
        <v>160476.375</v>
      </c>
      <c r="X73" s="34" t="n">
        <f aca="false">SUMPRODUCT(X21:X45,MP_O)*INDEX(IdxMP_O,1,MIN(10,X$17))*(1+P_dMat)/(1-P_Merma)</f>
        <v>160476.375</v>
      </c>
      <c r="Y73" s="34" t="n">
        <f aca="false">SUMPRODUCT(Y21:Y45,MP_O)*INDEX(IdxMP_O,1,MIN(10,Y$17))*(1+P_dMat)/(1-P_Merma)</f>
        <v>160476.375</v>
      </c>
      <c r="Z73" s="34" t="n">
        <f aca="false">SUMPRODUCT(Z21:Z45,MP_O)*INDEX(IdxMP_O,1,MIN(10,Z$17))*(1+P_dMat)/(1-P_Merma)</f>
        <v>160476.375</v>
      </c>
      <c r="AA73" s="34" t="n">
        <f aca="false">SUMPRODUCT(AA21:AA45,MP_O)*INDEX(IdxMP_O,1,MIN(10,AA$17))*(1+P_dMat)/(1-P_Merma)</f>
        <v>160476.375</v>
      </c>
      <c r="AB73" s="34" t="n">
        <f aca="false">SUMPRODUCT(AB21:AB45,MP_O)*INDEX(IdxMP_O,1,MIN(10,AB$17))*(1+P_dMat)/(1-P_Merma)</f>
        <v>160476.375</v>
      </c>
      <c r="AC73" s="34" t="n">
        <f aca="false">SUMPRODUCT(AC21:AC45,MP_O)*INDEX(IdxMP_O,1,MIN(10,AC$17))*(1+P_dMat)/(1-P_Merma)</f>
        <v>160476.375</v>
      </c>
      <c r="AD73" s="34" t="n">
        <f aca="false">SUMPRODUCT(AD21:AD45,MP_O)*INDEX(IdxMP_O,1,MIN(10,AD$17))*(1+P_dMat)/(1-P_Merma)</f>
        <v>195757.19</v>
      </c>
      <c r="AE73" s="34" t="n">
        <f aca="false">SUMPRODUCT(AE21:AE45,MP_O)*INDEX(IdxMP_O,1,MIN(10,AE$17))*(1+P_dMat)/(1-P_Merma)</f>
        <v>195757.19</v>
      </c>
      <c r="AF73" s="34" t="n">
        <f aca="false">SUMPRODUCT(AF21:AF45,MP_O)*INDEX(IdxMP_O,1,MIN(10,AF$17))*(1+P_dMat)/(1-P_Merma)</f>
        <v>195757.19</v>
      </c>
      <c r="AG73" s="34" t="n">
        <f aca="false">SUMPRODUCT(AG21:AG45,MP_O)*INDEX(IdxMP_O,1,MIN(10,AG$17))*(1+P_dMat)/(1-P_Merma)</f>
        <v>195757.19</v>
      </c>
      <c r="AH73" s="34" t="n">
        <f aca="false">SUMPRODUCT(AH21:AH45,MP_O)*INDEX(IdxMP_O,1,MIN(10,AH$17))*(1+P_dMat)/(1-P_Merma)</f>
        <v>195757.19</v>
      </c>
      <c r="AI73" s="34" t="n">
        <f aca="false">SUMPRODUCT(AI21:AI45,MP_O)*INDEX(IdxMP_O,1,MIN(10,AI$17))*(1+P_dMat)/(1-P_Merma)</f>
        <v>195757.19</v>
      </c>
      <c r="AJ73" s="34" t="n">
        <f aca="false">SUMPRODUCT(AJ21:AJ45,MP_O)*INDEX(IdxMP_O,1,MIN(10,AJ$17))*(1+P_dMat)/(1-P_Merma)</f>
        <v>195757.19</v>
      </c>
      <c r="AK73" s="34" t="n">
        <f aca="false">SUMPRODUCT(AK21:AK45,MP_O)*INDEX(IdxMP_O,1,MIN(10,AK$17))*(1+P_dMat)/(1-P_Merma)</f>
        <v>195757.19</v>
      </c>
      <c r="AL73" s="34" t="n">
        <f aca="false">SUMPRODUCT(AL21:AL45,MP_O)*INDEX(IdxMP_O,1,MIN(10,AL$17))*(1+P_dMat)/(1-P_Merma)</f>
        <v>195757.19</v>
      </c>
      <c r="AM73" s="34" t="n">
        <f aca="false">SUMPRODUCT(AM21:AM45,MP_O)*INDEX(IdxMP_O,1,MIN(10,AM$17))*(1+P_dMat)/(1-P_Merma)</f>
        <v>195757.19</v>
      </c>
      <c r="AN73" s="34" t="n">
        <f aca="false">SUMPRODUCT(AN21:AN45,MP_O)*INDEX(IdxMP_O,1,MIN(10,AN$17))*(1+P_dMat)/(1-P_Merma)</f>
        <v>195757.19</v>
      </c>
      <c r="AO73" s="34" t="n">
        <f aca="false">SUMPRODUCT(AO21:AO45,MP_O)*INDEX(IdxMP_O,1,MIN(10,AO$17))*(1+P_dMat)/(1-P_Merma)</f>
        <v>195757.19</v>
      </c>
      <c r="AP73" s="34" t="n">
        <f aca="false">SUMPRODUCT(AP21:AP45,MP_O)*INDEX(IdxMP_O,1,MIN(10,AP$17))*(1+P_dMat)/(1-P_Merma)</f>
        <v>225365.4649875</v>
      </c>
      <c r="AQ73" s="34" t="n">
        <f aca="false">SUMPRODUCT(AQ21:AQ45,MP_O)*INDEX(IdxMP_O,1,MIN(10,AQ$17))*(1+P_dMat)/(1-P_Merma)</f>
        <v>225365.4649875</v>
      </c>
      <c r="AR73" s="34" t="n">
        <f aca="false">SUMPRODUCT(AR21:AR45,MP_O)*INDEX(IdxMP_O,1,MIN(10,AR$17))*(1+P_dMat)/(1-P_Merma)</f>
        <v>225365.4649875</v>
      </c>
      <c r="AS73" s="34" t="n">
        <f aca="false">SUMPRODUCT(AS21:AS45,MP_O)*INDEX(IdxMP_O,1,MIN(10,AS$17))*(1+P_dMat)/(1-P_Merma)</f>
        <v>225365.4649875</v>
      </c>
      <c r="AT73" s="34" t="n">
        <f aca="false">SUMPRODUCT(AT21:AT45,MP_O)*INDEX(IdxMP_O,1,MIN(10,AT$17))*(1+P_dMat)/(1-P_Merma)</f>
        <v>225365.4649875</v>
      </c>
      <c r="AU73" s="34" t="n">
        <f aca="false">SUMPRODUCT(AU21:AU45,MP_O)*INDEX(IdxMP_O,1,MIN(10,AU$17))*(1+P_dMat)/(1-P_Merma)</f>
        <v>225365.4649875</v>
      </c>
      <c r="AV73" s="34" t="n">
        <f aca="false">SUMPRODUCT(AV21:AV45,MP_O)*INDEX(IdxMP_O,1,MIN(10,AV$17))*(1+P_dMat)/(1-P_Merma)</f>
        <v>225365.4649875</v>
      </c>
      <c r="AW73" s="34" t="n">
        <f aca="false">SUMPRODUCT(AW21:AW45,MP_O)*INDEX(IdxMP_O,1,MIN(10,AW$17))*(1+P_dMat)/(1-P_Merma)</f>
        <v>225365.4649875</v>
      </c>
      <c r="AX73" s="34" t="n">
        <f aca="false">SUMPRODUCT(AX21:AX45,MP_O)*INDEX(IdxMP_O,1,MIN(10,AX$17))*(1+P_dMat)/(1-P_Merma)</f>
        <v>225365.4649875</v>
      </c>
      <c r="AY73" s="34" t="n">
        <f aca="false">SUMPRODUCT(AY21:AY45,MP_O)*INDEX(IdxMP_O,1,MIN(10,AY$17))*(1+P_dMat)/(1-P_Merma)</f>
        <v>225365.4649875</v>
      </c>
      <c r="AZ73" s="34" t="n">
        <f aca="false">SUMPRODUCT(AZ21:AZ45,MP_O)*INDEX(IdxMP_O,1,MIN(10,AZ$17))*(1+P_dMat)/(1-P_Merma)</f>
        <v>225365.4649875</v>
      </c>
      <c r="BA73" s="34" t="n">
        <f aca="false">SUMPRODUCT(BA21:BA45,MP_O)*INDEX(IdxMP_O,1,MIN(10,BA$17))*(1+P_dMat)/(1-P_Merma)</f>
        <v>225365.4649875</v>
      </c>
      <c r="BB73" s="34" t="n">
        <f aca="false">SUMPRODUCT(BB21:BB45,MP_O)*INDEX(IdxMP_O,1,MIN(10,BB$17))*(1+P_dMat)/(1-P_Merma)</f>
        <v>227619.119637375</v>
      </c>
      <c r="BC73" s="34" t="n">
        <f aca="false">SUMPRODUCT(BC21:BC45,MP_O)*INDEX(IdxMP_O,1,MIN(10,BC$17))*(1+P_dMat)/(1-P_Merma)</f>
        <v>227619.119637375</v>
      </c>
      <c r="BD73" s="34" t="n">
        <f aca="false">SUMPRODUCT(BD21:BD45,MP_O)*INDEX(IdxMP_O,1,MIN(10,BD$17))*(1+P_dMat)/(1-P_Merma)</f>
        <v>227619.119637375</v>
      </c>
      <c r="BE73" s="34" t="n">
        <f aca="false">SUMPRODUCT(BE21:BE45,MP_O)*INDEX(IdxMP_O,1,MIN(10,BE$17))*(1+P_dMat)/(1-P_Merma)</f>
        <v>227619.119637375</v>
      </c>
      <c r="BF73" s="34" t="n">
        <f aca="false">SUMPRODUCT(BF21:BF45,MP_O)*INDEX(IdxMP_O,1,MIN(10,BF$17))*(1+P_dMat)/(1-P_Merma)</f>
        <v>227619.119637375</v>
      </c>
      <c r="BG73" s="34" t="n">
        <f aca="false">SUMPRODUCT(BG21:BG45,MP_O)*INDEX(IdxMP_O,1,MIN(10,BG$17))*(1+P_dMat)/(1-P_Merma)</f>
        <v>227619.119637375</v>
      </c>
      <c r="BH73" s="34" t="n">
        <f aca="false">SUMPRODUCT(BH21:BH45,MP_O)*INDEX(IdxMP_O,1,MIN(10,BH$17))*(1+P_dMat)/(1-P_Merma)</f>
        <v>227619.119637375</v>
      </c>
      <c r="BI73" s="34" t="n">
        <f aca="false">SUMPRODUCT(BI21:BI45,MP_O)*INDEX(IdxMP_O,1,MIN(10,BI$17))*(1+P_dMat)/(1-P_Merma)</f>
        <v>227619.119637375</v>
      </c>
      <c r="BJ73" s="34" t="n">
        <f aca="false">SUMPRODUCT(BJ21:BJ45,MP_O)*INDEX(IdxMP_O,1,MIN(10,BJ$17))*(1+P_dMat)/(1-P_Merma)</f>
        <v>227619.119637375</v>
      </c>
      <c r="BK73" s="34" t="n">
        <f aca="false">SUMPRODUCT(BK21:BK45,MP_O)*INDEX(IdxMP_O,1,MIN(10,BK$17))*(1+P_dMat)/(1-P_Merma)</f>
        <v>227619.119637375</v>
      </c>
      <c r="BL73" s="34" t="n">
        <f aca="false">SUMPRODUCT(BL21:BL45,MP_O)*INDEX(IdxMP_O,1,MIN(10,BL$17))*(1+P_dMat)/(1-P_Merma)</f>
        <v>227619.119637375</v>
      </c>
      <c r="BM73" s="34" t="n">
        <f aca="false">SUMPRODUCT(BM21:BM45,MP_O)*INDEX(IdxMP_O,1,MIN(10,BM$17))*(1+P_dMat)/(1-P_Merma)</f>
        <v>227619.119637375</v>
      </c>
      <c r="BN73" s="34" t="n">
        <f aca="false">SUMPRODUCT(BN21:BN45,MP_O)*INDEX(IdxMP_O,1,MIN(10,BN$17))*(1+P_dMat)/(1-P_Merma)</f>
        <v>229895.310833749</v>
      </c>
      <c r="BO73" s="34" t="n">
        <f aca="false">SUMPRODUCT(BO21:BO45,MP_O)*INDEX(IdxMP_O,1,MIN(10,BO$17))*(1+P_dMat)/(1-P_Merma)</f>
        <v>229895.310833749</v>
      </c>
      <c r="BP73" s="34" t="n">
        <f aca="false">SUMPRODUCT(BP21:BP45,MP_O)*INDEX(IdxMP_O,1,MIN(10,BP$17))*(1+P_dMat)/(1-P_Merma)</f>
        <v>229895.310833749</v>
      </c>
      <c r="BQ73" s="34" t="n">
        <f aca="false">SUMPRODUCT(BQ21:BQ45,MP_O)*INDEX(IdxMP_O,1,MIN(10,BQ$17))*(1+P_dMat)/(1-P_Merma)</f>
        <v>229895.310833749</v>
      </c>
      <c r="BR73" s="34" t="n">
        <f aca="false">SUMPRODUCT(BR21:BR45,MP_O)*INDEX(IdxMP_O,1,MIN(10,BR$17))*(1+P_dMat)/(1-P_Merma)</f>
        <v>229895.310833749</v>
      </c>
      <c r="BS73" s="34" t="n">
        <f aca="false">SUMPRODUCT(BS21:BS45,MP_O)*INDEX(IdxMP_O,1,MIN(10,BS$17))*(1+P_dMat)/(1-P_Merma)</f>
        <v>229895.310833749</v>
      </c>
      <c r="BT73" s="34" t="n">
        <f aca="false">SUMPRODUCT(BT21:BT45,MP_O)*INDEX(IdxMP_O,1,MIN(10,BT$17))*(1+P_dMat)/(1-P_Merma)</f>
        <v>229895.310833749</v>
      </c>
      <c r="BU73" s="34" t="n">
        <f aca="false">SUMPRODUCT(BU21:BU45,MP_O)*INDEX(IdxMP_O,1,MIN(10,BU$17))*(1+P_dMat)/(1-P_Merma)</f>
        <v>229895.310833749</v>
      </c>
      <c r="BV73" s="34" t="n">
        <f aca="false">SUMPRODUCT(BV21:BV45,MP_O)*INDEX(IdxMP_O,1,MIN(10,BV$17))*(1+P_dMat)/(1-P_Merma)</f>
        <v>229895.310833749</v>
      </c>
      <c r="BW73" s="34" t="n">
        <f aca="false">SUMPRODUCT(BW21:BW45,MP_O)*INDEX(IdxMP_O,1,MIN(10,BW$17))*(1+P_dMat)/(1-P_Merma)</f>
        <v>229895.310833749</v>
      </c>
      <c r="BX73" s="34" t="n">
        <f aca="false">SUMPRODUCT(BX21:BX45,MP_O)*INDEX(IdxMP_O,1,MIN(10,BX$17))*(1+P_dMat)/(1-P_Merma)</f>
        <v>229895.310833749</v>
      </c>
      <c r="BY73" s="34" t="n">
        <f aca="false">SUMPRODUCT(BY21:BY45,MP_O)*INDEX(IdxMP_O,1,MIN(10,BY$17))*(1+P_dMat)/(1-P_Merma)</f>
        <v>229895.310833749</v>
      </c>
      <c r="BZ73" s="34" t="n">
        <f aca="false">SUMPRODUCT(BZ21:BZ45,MP_O)*INDEX(IdxMP_O,1,MIN(10,BZ$17))*(1+P_dMat)/(1-P_Merma)</f>
        <v>232194.263942086</v>
      </c>
      <c r="CA73" s="34" t="n">
        <f aca="false">SUMPRODUCT(CA21:CA45,MP_O)*INDEX(IdxMP_O,1,MIN(10,CA$17))*(1+P_dMat)/(1-P_Merma)</f>
        <v>232194.263942086</v>
      </c>
      <c r="CB73" s="34" t="n">
        <f aca="false">SUMPRODUCT(CB21:CB45,MP_O)*INDEX(IdxMP_O,1,MIN(10,CB$17))*(1+P_dMat)/(1-P_Merma)</f>
        <v>232194.263942086</v>
      </c>
      <c r="CC73" s="34" t="n">
        <f aca="false">SUMPRODUCT(CC21:CC45,MP_O)*INDEX(IdxMP_O,1,MIN(10,CC$17))*(1+P_dMat)/(1-P_Merma)</f>
        <v>232194.263942086</v>
      </c>
      <c r="CD73" s="34" t="n">
        <f aca="false">SUMPRODUCT(CD21:CD45,MP_O)*INDEX(IdxMP_O,1,MIN(10,CD$17))*(1+P_dMat)/(1-P_Merma)</f>
        <v>232194.263942086</v>
      </c>
      <c r="CE73" s="34" t="n">
        <f aca="false">SUMPRODUCT(CE21:CE45,MP_O)*INDEX(IdxMP_O,1,MIN(10,CE$17))*(1+P_dMat)/(1-P_Merma)</f>
        <v>232194.263942086</v>
      </c>
      <c r="CF73" s="34" t="n">
        <f aca="false">SUMPRODUCT(CF21:CF45,MP_O)*INDEX(IdxMP_O,1,MIN(10,CF$17))*(1+P_dMat)/(1-P_Merma)</f>
        <v>232194.263942086</v>
      </c>
      <c r="CG73" s="34" t="n">
        <f aca="false">SUMPRODUCT(CG21:CG45,MP_O)*INDEX(IdxMP_O,1,MIN(10,CG$17))*(1+P_dMat)/(1-P_Merma)</f>
        <v>232194.263942086</v>
      </c>
      <c r="CH73" s="34" t="n">
        <f aca="false">SUMPRODUCT(CH21:CH45,MP_O)*INDEX(IdxMP_O,1,MIN(10,CH$17))*(1+P_dMat)/(1-P_Merma)</f>
        <v>232194.263942086</v>
      </c>
      <c r="CI73" s="34" t="n">
        <f aca="false">SUMPRODUCT(CI21:CI45,MP_O)*INDEX(IdxMP_O,1,MIN(10,CI$17))*(1+P_dMat)/(1-P_Merma)</f>
        <v>232194.263942086</v>
      </c>
      <c r="CJ73" s="34" t="n">
        <f aca="false">SUMPRODUCT(CJ21:CJ45,MP_O)*INDEX(IdxMP_O,1,MIN(10,CJ$17))*(1+P_dMat)/(1-P_Merma)</f>
        <v>232194.263942086</v>
      </c>
      <c r="CK73" s="34" t="n">
        <f aca="false">SUMPRODUCT(CK21:CK45,MP_O)*INDEX(IdxMP_O,1,MIN(10,CK$17))*(1+P_dMat)/(1-P_Merma)</f>
        <v>232194.263942086</v>
      </c>
      <c r="CL73" s="34" t="n">
        <f aca="false">SUMPRODUCT(CL21:CL45,MP_O)*INDEX(IdxMP_O,1,MIN(10,CL$17))*(1+P_dMat)/(1-P_Merma)</f>
        <v>234516.206581507</v>
      </c>
      <c r="CM73" s="34" t="n">
        <f aca="false">SUMPRODUCT(CM21:CM45,MP_O)*INDEX(IdxMP_O,1,MIN(10,CM$17))*(1+P_dMat)/(1-P_Merma)</f>
        <v>234516.206581507</v>
      </c>
      <c r="CN73" s="34" t="n">
        <f aca="false">SUMPRODUCT(CN21:CN45,MP_O)*INDEX(IdxMP_O,1,MIN(10,CN$17))*(1+P_dMat)/(1-P_Merma)</f>
        <v>234516.206581507</v>
      </c>
      <c r="CO73" s="34" t="n">
        <f aca="false">SUMPRODUCT(CO21:CO45,MP_O)*INDEX(IdxMP_O,1,MIN(10,CO$17))*(1+P_dMat)/(1-P_Merma)</f>
        <v>234516.206581507</v>
      </c>
      <c r="CP73" s="34" t="n">
        <f aca="false">SUMPRODUCT(CP21:CP45,MP_O)*INDEX(IdxMP_O,1,MIN(10,CP$17))*(1+P_dMat)/(1-P_Merma)</f>
        <v>234516.206581507</v>
      </c>
      <c r="CQ73" s="34" t="n">
        <f aca="false">SUMPRODUCT(CQ21:CQ45,MP_O)*INDEX(IdxMP_O,1,MIN(10,CQ$17))*(1+P_dMat)/(1-P_Merma)</f>
        <v>234516.206581507</v>
      </c>
      <c r="CR73" s="34" t="n">
        <f aca="false">SUMPRODUCT(CR21:CR45,MP_O)*INDEX(IdxMP_O,1,MIN(10,CR$17))*(1+P_dMat)/(1-P_Merma)</f>
        <v>234516.206581507</v>
      </c>
      <c r="CS73" s="34" t="n">
        <f aca="false">SUMPRODUCT(CS21:CS45,MP_O)*INDEX(IdxMP_O,1,MIN(10,CS$17))*(1+P_dMat)/(1-P_Merma)</f>
        <v>234516.206581507</v>
      </c>
      <c r="CT73" s="34" t="n">
        <f aca="false">SUMPRODUCT(CT21:CT45,MP_O)*INDEX(IdxMP_O,1,MIN(10,CT$17))*(1+P_dMat)/(1-P_Merma)</f>
        <v>234516.206581507</v>
      </c>
      <c r="CU73" s="34" t="n">
        <f aca="false">SUMPRODUCT(CU21:CU45,MP_O)*INDEX(IdxMP_O,1,MIN(10,CU$17))*(1+P_dMat)/(1-P_Merma)</f>
        <v>234516.206581507</v>
      </c>
      <c r="CV73" s="34" t="n">
        <f aca="false">SUMPRODUCT(CV21:CV45,MP_O)*INDEX(IdxMP_O,1,MIN(10,CV$17))*(1+P_dMat)/(1-P_Merma)</f>
        <v>234516.206581507</v>
      </c>
      <c r="CW73" s="34" t="n">
        <f aca="false">SUMPRODUCT(CW21:CW45,MP_O)*INDEX(IdxMP_O,1,MIN(10,CW$17))*(1+P_dMat)/(1-P_Merma)</f>
        <v>234516.206581507</v>
      </c>
      <c r="CX73" s="34" t="n">
        <f aca="false">SUMPRODUCT(CX21:CX45,MP_O)*INDEX(IdxMP_O,1,MIN(10,CX$17))*(1+P_dMat)/(1-P_Merma)</f>
        <v>236861.368647322</v>
      </c>
      <c r="CY73" s="34" t="n">
        <f aca="false">SUMPRODUCT(CY21:CY45,MP_O)*INDEX(IdxMP_O,1,MIN(10,CY$17))*(1+P_dMat)/(1-P_Merma)</f>
        <v>236861.368647322</v>
      </c>
      <c r="CZ73" s="34" t="n">
        <f aca="false">SUMPRODUCT(CZ21:CZ45,MP_O)*INDEX(IdxMP_O,1,MIN(10,CZ$17))*(1+P_dMat)/(1-P_Merma)</f>
        <v>236861.368647322</v>
      </c>
      <c r="DA73" s="34" t="n">
        <f aca="false">SUMPRODUCT(DA21:DA45,MP_O)*INDEX(IdxMP_O,1,MIN(10,DA$17))*(1+P_dMat)/(1-P_Merma)</f>
        <v>236861.368647322</v>
      </c>
      <c r="DB73" s="34" t="n">
        <f aca="false">SUMPRODUCT(DB21:DB45,MP_O)*INDEX(IdxMP_O,1,MIN(10,DB$17))*(1+P_dMat)/(1-P_Merma)</f>
        <v>236861.368647322</v>
      </c>
      <c r="DC73" s="34" t="n">
        <f aca="false">SUMPRODUCT(DC21:DC45,MP_O)*INDEX(IdxMP_O,1,MIN(10,DC$17))*(1+P_dMat)/(1-P_Merma)</f>
        <v>236861.368647322</v>
      </c>
      <c r="DD73" s="34" t="n">
        <f aca="false">SUMPRODUCT(DD21:DD45,MP_O)*INDEX(IdxMP_O,1,MIN(10,DD$17))*(1+P_dMat)/(1-P_Merma)</f>
        <v>236861.368647322</v>
      </c>
      <c r="DE73" s="34" t="n">
        <f aca="false">SUMPRODUCT(DE21:DE45,MP_O)*INDEX(IdxMP_O,1,MIN(10,DE$17))*(1+P_dMat)/(1-P_Merma)</f>
        <v>236861.368647322</v>
      </c>
      <c r="DF73" s="34" t="n">
        <f aca="false">SUMPRODUCT(DF21:DF45,MP_O)*INDEX(IdxMP_O,1,MIN(10,DF$17))*(1+P_dMat)/(1-P_Merma)</f>
        <v>236861.368647322</v>
      </c>
      <c r="DG73" s="34" t="n">
        <f aca="false">SUMPRODUCT(DG21:DG45,MP_O)*INDEX(IdxMP_O,1,MIN(10,DG$17))*(1+P_dMat)/(1-P_Merma)</f>
        <v>236861.368647322</v>
      </c>
      <c r="DH73" s="34" t="n">
        <f aca="false">SUMPRODUCT(DH21:DH45,MP_O)*INDEX(IdxMP_O,1,MIN(10,DH$17))*(1+P_dMat)/(1-P_Merma)</f>
        <v>236861.368647322</v>
      </c>
      <c r="DI73" s="34" t="n">
        <f aca="false">SUMPRODUCT(DI21:DI45,MP_O)*INDEX(IdxMP_O,1,MIN(10,DI$17))*(1+P_dMat)/(1-P_Merma)</f>
        <v>236861.368647322</v>
      </c>
      <c r="DJ73" s="34" t="n">
        <f aca="false">SUMPRODUCT(DJ21:DJ45,MP_O)*INDEX(IdxMP_O,1,MIN(10,DJ$17))*(1+P_dMat)/(1-P_Merma)</f>
        <v>239229.982333795</v>
      </c>
      <c r="DK73" s="34" t="n">
        <f aca="false">SUMPRODUCT(DK21:DK45,MP_O)*INDEX(IdxMP_O,1,MIN(10,DK$17))*(1+P_dMat)/(1-P_Merma)</f>
        <v>239229.982333795</v>
      </c>
      <c r="DL73" s="34" t="n">
        <f aca="false">SUMPRODUCT(DL21:DL45,MP_O)*INDEX(IdxMP_O,1,MIN(10,DL$17))*(1+P_dMat)/(1-P_Merma)</f>
        <v>239229.982333795</v>
      </c>
      <c r="DM73" s="34" t="n">
        <f aca="false">SUMPRODUCT(DM21:DM45,MP_O)*INDEX(IdxMP_O,1,MIN(10,DM$17))*(1+P_dMat)/(1-P_Merma)</f>
        <v>239229.982333795</v>
      </c>
      <c r="DN73" s="34" t="n">
        <f aca="false">SUMPRODUCT(DN21:DN45,MP_O)*INDEX(IdxMP_O,1,MIN(10,DN$17))*(1+P_dMat)/(1-P_Merma)</f>
        <v>239229.982333795</v>
      </c>
      <c r="DO73" s="34" t="n">
        <f aca="false">SUMPRODUCT(DO21:DO45,MP_O)*INDEX(IdxMP_O,1,MIN(10,DO$17))*(1+P_dMat)/(1-P_Merma)</f>
        <v>239229.982333795</v>
      </c>
      <c r="DP73" s="34" t="n">
        <f aca="false">SUMPRODUCT(DP21:DP45,MP_O)*INDEX(IdxMP_O,1,MIN(10,DP$17))*(1+P_dMat)/(1-P_Merma)</f>
        <v>239229.982333795</v>
      </c>
      <c r="DQ73" s="34" t="n">
        <f aca="false">SUMPRODUCT(DQ21:DQ45,MP_O)*INDEX(IdxMP_O,1,MIN(10,DQ$17))*(1+P_dMat)/(1-P_Merma)</f>
        <v>239229.982333795</v>
      </c>
      <c r="DR73" s="34" t="n">
        <f aca="false">SUMPRODUCT(DR21:DR45,MP_O)*INDEX(IdxMP_O,1,MIN(10,DR$17))*(1+P_dMat)/(1-P_Merma)</f>
        <v>239229.982333795</v>
      </c>
      <c r="DS73" s="34" t="n">
        <f aca="false">SUMPRODUCT(DS21:DS45,MP_O)*INDEX(IdxMP_O,1,MIN(10,DS$17))*(1+P_dMat)/(1-P_Merma)</f>
        <v>239229.982333795</v>
      </c>
      <c r="DT73" s="34" t="n">
        <f aca="false">SUMPRODUCT(DT21:DT45,MP_O)*INDEX(IdxMP_O,1,MIN(10,DT$17))*(1+P_dMat)/(1-P_Merma)</f>
        <v>239229.982333795</v>
      </c>
      <c r="DU73" s="34" t="n">
        <f aca="false">SUMPRODUCT(DU21:DU45,MP_O)*INDEX(IdxMP_O,1,MIN(10,DU$17))*(1+P_dMat)/(1-P_Merma)</f>
        <v>239229.982333795</v>
      </c>
      <c r="DV73" s="34" t="n">
        <f aca="false">SUMPRODUCT(DV21:DV45,MP_O)*INDEX(IdxMP_O,1,MIN(10,DV$17))*(1+P_dMat)/(1-P_Merma)</f>
        <v>0</v>
      </c>
      <c r="DW73" s="34" t="n">
        <f aca="false">SUMPRODUCT(DW21:DW45,MP_O)*INDEX(IdxMP_O,1,MIN(10,DW$17))*(1+P_dMat)/(1-P_Merma)</f>
        <v>0</v>
      </c>
      <c r="DX73" s="34" t="n">
        <f aca="false">SUMPRODUCT(DX21:DX45,MP_O)*INDEX(IdxMP_O,1,MIN(10,DX$17))*(1+P_dMat)/(1-P_Merma)</f>
        <v>0</v>
      </c>
      <c r="DY73" s="34" t="n">
        <f aca="false">SUMPRODUCT(DY21:DY45,MP_O)*INDEX(IdxMP_O,1,MIN(10,DY$17))*(1+P_dMat)/(1-P_Merma)</f>
        <v>0</v>
      </c>
      <c r="DZ73" s="34" t="n">
        <f aca="false">SUMPRODUCT(DZ21:DZ45,MP_O)*INDEX(IdxMP_O,1,MIN(10,DZ$17))*(1+P_dMat)/(1-P_Merma)</f>
        <v>0</v>
      </c>
      <c r="EA73" s="34" t="n">
        <f aca="false">SUMPRODUCT(EA21:EA45,MP_O)*INDEX(IdxMP_O,1,MIN(10,EA$17))*(1+P_dMat)/(1-P_Merma)</f>
        <v>0</v>
      </c>
      <c r="EB73" s="34" t="n">
        <f aca="false">SUMPRODUCT(EB21:EB45,MP_O)*INDEX(IdxMP_O,1,MIN(10,EB$17))*(1+P_dMat)/(1-P_Merma)</f>
        <v>0</v>
      </c>
      <c r="EC73" s="34" t="n">
        <f aca="false">SUMPRODUCT(EC21:EC45,MP_O)*INDEX(IdxMP_O,1,MIN(10,EC$17))*(1+P_dMat)/(1-P_Merma)</f>
        <v>0</v>
      </c>
      <c r="ED73" s="34" t="n">
        <f aca="false">SUMPRODUCT(ED21:ED45,MP_O)*INDEX(IdxMP_O,1,MIN(10,ED$17))*(1+P_dMat)/(1-P_Merma)</f>
        <v>0</v>
      </c>
      <c r="EE73" s="34" t="n">
        <f aca="false">SUMPRODUCT(EE21:EE45,MP_O)*INDEX(IdxMP_O,1,MIN(10,EE$17))*(1+P_dMat)/(1-P_Merma)</f>
        <v>0</v>
      </c>
      <c r="EF73" s="34" t="n">
        <f aca="false">SUMPRODUCT(EF21:EF45,MP_O)*INDEX(IdxMP_O,1,MIN(10,EF$17))*(1+P_dMat)/(1-P_Merma)</f>
        <v>0</v>
      </c>
      <c r="EG73" s="34" t="n">
        <f aca="false">SUMPRODUCT(EG21:EG45,MP_O)*INDEX(IdxMP_O,1,MIN(10,EG$17))*(1+P_dMat)/(1-P_Merma)</f>
        <v>0</v>
      </c>
      <c r="EH73" s="34" t="n">
        <f aca="false">SUMPRODUCT(EH21:EH45,MP_O)*INDEX(IdxMP_O,1,MIN(10,EH$17))*(1+P_dMat)/(1-P_Merma)</f>
        <v>0</v>
      </c>
      <c r="EI73" s="34" t="n">
        <f aca="false">SUMPRODUCT(EI21:EI45,MP_O)*INDEX(IdxMP_O,1,MIN(10,EI$17))*(1+P_dMat)/(1-P_Merma)</f>
        <v>0</v>
      </c>
      <c r="EJ73" s="34" t="n">
        <f aca="false">SUMPRODUCT(EJ21:EJ45,MP_O)*INDEX(IdxMP_O,1,MIN(10,EJ$17))*(1+P_dMat)/(1-P_Merma)</f>
        <v>0</v>
      </c>
      <c r="EK73" s="34" t="n">
        <f aca="false">SUMPRODUCT(EK21:EK45,MP_O)*INDEX(IdxMP_O,1,MIN(10,EK$17))*(1+P_dMat)/(1-P_Merma)</f>
        <v>0</v>
      </c>
      <c r="EL73" s="34" t="n">
        <f aca="false">SUMPRODUCT(EL21:EL45,MP_O)*INDEX(IdxMP_O,1,MIN(10,EL$17))*(1+P_dMat)/(1-P_Merma)</f>
        <v>0</v>
      </c>
      <c r="EM73" s="34" t="n">
        <f aca="false">SUMPRODUCT(EM21:EM45,MP_O)*INDEX(IdxMP_O,1,MIN(10,EM$17))*(1+P_dMat)/(1-P_Merma)</f>
        <v>0</v>
      </c>
      <c r="EN73" s="34" t="n">
        <f aca="false">SUMPRODUCT(EN21:EN45,MP_O)*INDEX(IdxMP_O,1,MIN(10,EN$17))*(1+P_dMat)/(1-P_Merma)</f>
        <v>0</v>
      </c>
      <c r="EO73" s="34" t="n">
        <f aca="false">SUMPRODUCT(EO21:EO45,MP_O)*INDEX(IdxMP_O,1,MIN(10,EO$17))*(1+P_dMat)/(1-P_Merma)</f>
        <v>0</v>
      </c>
      <c r="EP73" s="34" t="n">
        <f aca="false">SUMPRODUCT(EP21:EP45,MP_O)*INDEX(IdxMP_O,1,MIN(10,EP$17))*(1+P_dMat)/(1-P_Merma)</f>
        <v>0</v>
      </c>
      <c r="EQ73" s="34" t="n">
        <f aca="false">SUMPRODUCT(EQ21:EQ45,MP_O)*INDEX(IdxMP_O,1,MIN(10,EQ$17))*(1+P_dMat)/(1-P_Merma)</f>
        <v>0</v>
      </c>
      <c r="ER73" s="34" t="n">
        <f aca="false">SUMPRODUCT(ER21:ER45,MP_O)*INDEX(IdxMP_O,1,MIN(10,ER$17))*(1+P_dMat)/(1-P_Merma)</f>
        <v>0</v>
      </c>
      <c r="ES73" s="34" t="n">
        <f aca="false">SUMPRODUCT(ES21:ES45,MP_O)*INDEX(IdxMP_O,1,MIN(10,ES$17))*(1+P_dMat)/(1-P_Merma)</f>
        <v>0</v>
      </c>
    </row>
    <row r="74" customFormat="false" ht="15" hidden="false" customHeight="false" outlineLevel="0" collapsed="false">
      <c r="A74" s="2" t="s">
        <v>639</v>
      </c>
      <c r="B74" s="6" t="s">
        <v>640</v>
      </c>
      <c r="C74" s="6" t="s">
        <v>250</v>
      </c>
      <c r="E74" s="40" t="n">
        <f aca="false">SUM(F74:ES74)</f>
        <v>14024610</v>
      </c>
      <c r="F74" s="34" t="n">
        <f aca="false">SUMPRODUCT(F21:F45,INS_O)*INDEX(IdxOV_O,1,MIN(10,F$17))*(1+P_dMat)/(1-P_Merma)</f>
        <v>73297.5</v>
      </c>
      <c r="G74" s="34" t="n">
        <f aca="false">SUMPRODUCT(G21:G45,INS_O)*INDEX(IdxOV_O,1,MIN(10,G$17))*(1+P_dMat)/(1-P_Merma)</f>
        <v>73297.5</v>
      </c>
      <c r="H74" s="34" t="n">
        <f aca="false">SUMPRODUCT(H21:H45,INS_O)*INDEX(IdxOV_O,1,MIN(10,H$17))*(1+P_dMat)/(1-P_Merma)</f>
        <v>73297.5</v>
      </c>
      <c r="I74" s="34" t="n">
        <f aca="false">SUMPRODUCT(I21:I45,INS_O)*INDEX(IdxOV_O,1,MIN(10,I$17))*(1+P_dMat)/(1-P_Merma)</f>
        <v>73297.5</v>
      </c>
      <c r="J74" s="34" t="n">
        <f aca="false">SUMPRODUCT(J21:J45,INS_O)*INDEX(IdxOV_O,1,MIN(10,J$17))*(1+P_dMat)/(1-P_Merma)</f>
        <v>73297.5</v>
      </c>
      <c r="K74" s="34" t="n">
        <f aca="false">SUMPRODUCT(K21:K45,INS_O)*INDEX(IdxOV_O,1,MIN(10,K$17))*(1+P_dMat)/(1-P_Merma)</f>
        <v>73297.5</v>
      </c>
      <c r="L74" s="34" t="n">
        <f aca="false">SUMPRODUCT(L21:L45,INS_O)*INDEX(IdxOV_O,1,MIN(10,L$17))*(1+P_dMat)/(1-P_Merma)</f>
        <v>73297.5</v>
      </c>
      <c r="M74" s="34" t="n">
        <f aca="false">SUMPRODUCT(M21:M45,INS_O)*INDEX(IdxOV_O,1,MIN(10,M$17))*(1+P_dMat)/(1-P_Merma)</f>
        <v>73297.5</v>
      </c>
      <c r="N74" s="34" t="n">
        <f aca="false">SUMPRODUCT(N21:N45,INS_O)*INDEX(IdxOV_O,1,MIN(10,N$17))*(1+P_dMat)/(1-P_Merma)</f>
        <v>73297.5</v>
      </c>
      <c r="O74" s="34" t="n">
        <f aca="false">SUMPRODUCT(O21:O45,INS_O)*INDEX(IdxOV_O,1,MIN(10,O$17))*(1+P_dMat)/(1-P_Merma)</f>
        <v>73297.5</v>
      </c>
      <c r="P74" s="34" t="n">
        <f aca="false">SUMPRODUCT(P21:P45,INS_O)*INDEX(IdxOV_O,1,MIN(10,P$17))*(1+P_dMat)/(1-P_Merma)</f>
        <v>73297.5</v>
      </c>
      <c r="Q74" s="34" t="n">
        <f aca="false">SUMPRODUCT(Q21:Q45,INS_O)*INDEX(IdxOV_O,1,MIN(10,Q$17))*(1+P_dMat)/(1-P_Merma)</f>
        <v>73297.5</v>
      </c>
      <c r="R74" s="34" t="n">
        <f aca="false">SUMPRODUCT(R21:R45,INS_O)*INDEX(IdxOV_O,1,MIN(10,R$17))*(1+P_dMat)/(1-P_Merma)</f>
        <v>92632.5</v>
      </c>
      <c r="S74" s="34" t="n">
        <f aca="false">SUMPRODUCT(S21:S45,INS_O)*INDEX(IdxOV_O,1,MIN(10,S$17))*(1+P_dMat)/(1-P_Merma)</f>
        <v>92632.5</v>
      </c>
      <c r="T74" s="34" t="n">
        <f aca="false">SUMPRODUCT(T21:T45,INS_O)*INDEX(IdxOV_O,1,MIN(10,T$17))*(1+P_dMat)/(1-P_Merma)</f>
        <v>92632.5</v>
      </c>
      <c r="U74" s="34" t="n">
        <f aca="false">SUMPRODUCT(U21:U45,INS_O)*INDEX(IdxOV_O,1,MIN(10,U$17))*(1+P_dMat)/(1-P_Merma)</f>
        <v>92632.5</v>
      </c>
      <c r="V74" s="34" t="n">
        <f aca="false">SUMPRODUCT(V21:V45,INS_O)*INDEX(IdxOV_O,1,MIN(10,V$17))*(1+P_dMat)/(1-P_Merma)</f>
        <v>92632.5</v>
      </c>
      <c r="W74" s="34" t="n">
        <f aca="false">SUMPRODUCT(W21:W45,INS_O)*INDEX(IdxOV_O,1,MIN(10,W$17))*(1+P_dMat)/(1-P_Merma)</f>
        <v>92632.5</v>
      </c>
      <c r="X74" s="34" t="n">
        <f aca="false">SUMPRODUCT(X21:X45,INS_O)*INDEX(IdxOV_O,1,MIN(10,X$17))*(1+P_dMat)/(1-P_Merma)</f>
        <v>92632.5</v>
      </c>
      <c r="Y74" s="34" t="n">
        <f aca="false">SUMPRODUCT(Y21:Y45,INS_O)*INDEX(IdxOV_O,1,MIN(10,Y$17))*(1+P_dMat)/(1-P_Merma)</f>
        <v>92632.5</v>
      </c>
      <c r="Z74" s="34" t="n">
        <f aca="false">SUMPRODUCT(Z21:Z45,INS_O)*INDEX(IdxOV_O,1,MIN(10,Z$17))*(1+P_dMat)/(1-P_Merma)</f>
        <v>92632.5</v>
      </c>
      <c r="AA74" s="34" t="n">
        <f aca="false">SUMPRODUCT(AA21:AA45,INS_O)*INDEX(IdxOV_O,1,MIN(10,AA$17))*(1+P_dMat)/(1-P_Merma)</f>
        <v>92632.5</v>
      </c>
      <c r="AB74" s="34" t="n">
        <f aca="false">SUMPRODUCT(AB21:AB45,INS_O)*INDEX(IdxOV_O,1,MIN(10,AB$17))*(1+P_dMat)/(1-P_Merma)</f>
        <v>92632.5</v>
      </c>
      <c r="AC74" s="34" t="n">
        <f aca="false">SUMPRODUCT(AC21:AC45,INS_O)*INDEX(IdxOV_O,1,MIN(10,AC$17))*(1+P_dMat)/(1-P_Merma)</f>
        <v>92632.5</v>
      </c>
      <c r="AD74" s="34" t="n">
        <f aca="false">SUMPRODUCT(AD21:AD45,INS_O)*INDEX(IdxOV_O,1,MIN(10,AD$17))*(1+P_dMat)/(1-P_Merma)</f>
        <v>111967.5</v>
      </c>
      <c r="AE74" s="34" t="n">
        <f aca="false">SUMPRODUCT(AE21:AE45,INS_O)*INDEX(IdxOV_O,1,MIN(10,AE$17))*(1+P_dMat)/(1-P_Merma)</f>
        <v>111967.5</v>
      </c>
      <c r="AF74" s="34" t="n">
        <f aca="false">SUMPRODUCT(AF21:AF45,INS_O)*INDEX(IdxOV_O,1,MIN(10,AF$17))*(1+P_dMat)/(1-P_Merma)</f>
        <v>111967.5</v>
      </c>
      <c r="AG74" s="34" t="n">
        <f aca="false">SUMPRODUCT(AG21:AG45,INS_O)*INDEX(IdxOV_O,1,MIN(10,AG$17))*(1+P_dMat)/(1-P_Merma)</f>
        <v>111967.5</v>
      </c>
      <c r="AH74" s="34" t="n">
        <f aca="false">SUMPRODUCT(AH21:AH45,INS_O)*INDEX(IdxOV_O,1,MIN(10,AH$17))*(1+P_dMat)/(1-P_Merma)</f>
        <v>111967.5</v>
      </c>
      <c r="AI74" s="34" t="n">
        <f aca="false">SUMPRODUCT(AI21:AI45,INS_O)*INDEX(IdxOV_O,1,MIN(10,AI$17))*(1+P_dMat)/(1-P_Merma)</f>
        <v>111967.5</v>
      </c>
      <c r="AJ74" s="34" t="n">
        <f aca="false">SUMPRODUCT(AJ21:AJ45,INS_O)*INDEX(IdxOV_O,1,MIN(10,AJ$17))*(1+P_dMat)/(1-P_Merma)</f>
        <v>111967.5</v>
      </c>
      <c r="AK74" s="34" t="n">
        <f aca="false">SUMPRODUCT(AK21:AK45,INS_O)*INDEX(IdxOV_O,1,MIN(10,AK$17))*(1+P_dMat)/(1-P_Merma)</f>
        <v>111967.5</v>
      </c>
      <c r="AL74" s="34" t="n">
        <f aca="false">SUMPRODUCT(AL21:AL45,INS_O)*INDEX(IdxOV_O,1,MIN(10,AL$17))*(1+P_dMat)/(1-P_Merma)</f>
        <v>111967.5</v>
      </c>
      <c r="AM74" s="34" t="n">
        <f aca="false">SUMPRODUCT(AM21:AM45,INS_O)*INDEX(IdxOV_O,1,MIN(10,AM$17))*(1+P_dMat)/(1-P_Merma)</f>
        <v>111967.5</v>
      </c>
      <c r="AN74" s="34" t="n">
        <f aca="false">SUMPRODUCT(AN21:AN45,INS_O)*INDEX(IdxOV_O,1,MIN(10,AN$17))*(1+P_dMat)/(1-P_Merma)</f>
        <v>111967.5</v>
      </c>
      <c r="AO74" s="34" t="n">
        <f aca="false">SUMPRODUCT(AO21:AO45,INS_O)*INDEX(IdxOV_O,1,MIN(10,AO$17))*(1+P_dMat)/(1-P_Merma)</f>
        <v>111967.5</v>
      </c>
      <c r="AP74" s="34" t="n">
        <f aca="false">SUMPRODUCT(AP21:AP45,INS_O)*INDEX(IdxOV_O,1,MIN(10,AP$17))*(1+P_dMat)/(1-P_Merma)</f>
        <v>127260</v>
      </c>
      <c r="AQ74" s="34" t="n">
        <f aca="false">SUMPRODUCT(AQ21:AQ45,INS_O)*INDEX(IdxOV_O,1,MIN(10,AQ$17))*(1+P_dMat)/(1-P_Merma)</f>
        <v>127260</v>
      </c>
      <c r="AR74" s="34" t="n">
        <f aca="false">SUMPRODUCT(AR21:AR45,INS_O)*INDEX(IdxOV_O,1,MIN(10,AR$17))*(1+P_dMat)/(1-P_Merma)</f>
        <v>127260</v>
      </c>
      <c r="AS74" s="34" t="n">
        <f aca="false">SUMPRODUCT(AS21:AS45,INS_O)*INDEX(IdxOV_O,1,MIN(10,AS$17))*(1+P_dMat)/(1-P_Merma)</f>
        <v>127260</v>
      </c>
      <c r="AT74" s="34" t="n">
        <f aca="false">SUMPRODUCT(AT21:AT45,INS_O)*INDEX(IdxOV_O,1,MIN(10,AT$17))*(1+P_dMat)/(1-P_Merma)</f>
        <v>127260</v>
      </c>
      <c r="AU74" s="34" t="n">
        <f aca="false">SUMPRODUCT(AU21:AU45,INS_O)*INDEX(IdxOV_O,1,MIN(10,AU$17))*(1+P_dMat)/(1-P_Merma)</f>
        <v>127260</v>
      </c>
      <c r="AV74" s="34" t="n">
        <f aca="false">SUMPRODUCT(AV21:AV45,INS_O)*INDEX(IdxOV_O,1,MIN(10,AV$17))*(1+P_dMat)/(1-P_Merma)</f>
        <v>127260</v>
      </c>
      <c r="AW74" s="34" t="n">
        <f aca="false">SUMPRODUCT(AW21:AW45,INS_O)*INDEX(IdxOV_O,1,MIN(10,AW$17))*(1+P_dMat)/(1-P_Merma)</f>
        <v>127260</v>
      </c>
      <c r="AX74" s="34" t="n">
        <f aca="false">SUMPRODUCT(AX21:AX45,INS_O)*INDEX(IdxOV_O,1,MIN(10,AX$17))*(1+P_dMat)/(1-P_Merma)</f>
        <v>127260</v>
      </c>
      <c r="AY74" s="34" t="n">
        <f aca="false">SUMPRODUCT(AY21:AY45,INS_O)*INDEX(IdxOV_O,1,MIN(10,AY$17))*(1+P_dMat)/(1-P_Merma)</f>
        <v>127260</v>
      </c>
      <c r="AZ74" s="34" t="n">
        <f aca="false">SUMPRODUCT(AZ21:AZ45,INS_O)*INDEX(IdxOV_O,1,MIN(10,AZ$17))*(1+P_dMat)/(1-P_Merma)</f>
        <v>127260</v>
      </c>
      <c r="BA74" s="34" t="n">
        <f aca="false">SUMPRODUCT(BA21:BA45,INS_O)*INDEX(IdxOV_O,1,MIN(10,BA$17))*(1+P_dMat)/(1-P_Merma)</f>
        <v>127260</v>
      </c>
      <c r="BB74" s="34" t="n">
        <f aca="false">SUMPRODUCT(BB21:BB45,INS_O)*INDEX(IdxOV_O,1,MIN(10,BB$17))*(1+P_dMat)/(1-P_Merma)</f>
        <v>127260</v>
      </c>
      <c r="BC74" s="34" t="n">
        <f aca="false">SUMPRODUCT(BC21:BC45,INS_O)*INDEX(IdxOV_O,1,MIN(10,BC$17))*(1+P_dMat)/(1-P_Merma)</f>
        <v>127260</v>
      </c>
      <c r="BD74" s="34" t="n">
        <f aca="false">SUMPRODUCT(BD21:BD45,INS_O)*INDEX(IdxOV_O,1,MIN(10,BD$17))*(1+P_dMat)/(1-P_Merma)</f>
        <v>127260</v>
      </c>
      <c r="BE74" s="34" t="n">
        <f aca="false">SUMPRODUCT(BE21:BE45,INS_O)*INDEX(IdxOV_O,1,MIN(10,BE$17))*(1+P_dMat)/(1-P_Merma)</f>
        <v>127260</v>
      </c>
      <c r="BF74" s="34" t="n">
        <f aca="false">SUMPRODUCT(BF21:BF45,INS_O)*INDEX(IdxOV_O,1,MIN(10,BF$17))*(1+P_dMat)/(1-P_Merma)</f>
        <v>127260</v>
      </c>
      <c r="BG74" s="34" t="n">
        <f aca="false">SUMPRODUCT(BG21:BG45,INS_O)*INDEX(IdxOV_O,1,MIN(10,BG$17))*(1+P_dMat)/(1-P_Merma)</f>
        <v>127260</v>
      </c>
      <c r="BH74" s="34" t="n">
        <f aca="false">SUMPRODUCT(BH21:BH45,INS_O)*INDEX(IdxOV_O,1,MIN(10,BH$17))*(1+P_dMat)/(1-P_Merma)</f>
        <v>127260</v>
      </c>
      <c r="BI74" s="34" t="n">
        <f aca="false">SUMPRODUCT(BI21:BI45,INS_O)*INDEX(IdxOV_O,1,MIN(10,BI$17))*(1+P_dMat)/(1-P_Merma)</f>
        <v>127260</v>
      </c>
      <c r="BJ74" s="34" t="n">
        <f aca="false">SUMPRODUCT(BJ21:BJ45,INS_O)*INDEX(IdxOV_O,1,MIN(10,BJ$17))*(1+P_dMat)/(1-P_Merma)</f>
        <v>127260</v>
      </c>
      <c r="BK74" s="34" t="n">
        <f aca="false">SUMPRODUCT(BK21:BK45,INS_O)*INDEX(IdxOV_O,1,MIN(10,BK$17))*(1+P_dMat)/(1-P_Merma)</f>
        <v>127260</v>
      </c>
      <c r="BL74" s="34" t="n">
        <f aca="false">SUMPRODUCT(BL21:BL45,INS_O)*INDEX(IdxOV_O,1,MIN(10,BL$17))*(1+P_dMat)/(1-P_Merma)</f>
        <v>127260</v>
      </c>
      <c r="BM74" s="34" t="n">
        <f aca="false">SUMPRODUCT(BM21:BM45,INS_O)*INDEX(IdxOV_O,1,MIN(10,BM$17))*(1+P_dMat)/(1-P_Merma)</f>
        <v>127260</v>
      </c>
      <c r="BN74" s="34" t="n">
        <f aca="false">SUMPRODUCT(BN21:BN45,INS_O)*INDEX(IdxOV_O,1,MIN(10,BN$17))*(1+P_dMat)/(1-P_Merma)</f>
        <v>127260</v>
      </c>
      <c r="BO74" s="34" t="n">
        <f aca="false">SUMPRODUCT(BO21:BO45,INS_O)*INDEX(IdxOV_O,1,MIN(10,BO$17))*(1+P_dMat)/(1-P_Merma)</f>
        <v>127260</v>
      </c>
      <c r="BP74" s="34" t="n">
        <f aca="false">SUMPRODUCT(BP21:BP45,INS_O)*INDEX(IdxOV_O,1,MIN(10,BP$17))*(1+P_dMat)/(1-P_Merma)</f>
        <v>127260</v>
      </c>
      <c r="BQ74" s="34" t="n">
        <f aca="false">SUMPRODUCT(BQ21:BQ45,INS_O)*INDEX(IdxOV_O,1,MIN(10,BQ$17))*(1+P_dMat)/(1-P_Merma)</f>
        <v>127260</v>
      </c>
      <c r="BR74" s="34" t="n">
        <f aca="false">SUMPRODUCT(BR21:BR45,INS_O)*INDEX(IdxOV_O,1,MIN(10,BR$17))*(1+P_dMat)/(1-P_Merma)</f>
        <v>127260</v>
      </c>
      <c r="BS74" s="34" t="n">
        <f aca="false">SUMPRODUCT(BS21:BS45,INS_O)*INDEX(IdxOV_O,1,MIN(10,BS$17))*(1+P_dMat)/(1-P_Merma)</f>
        <v>127260</v>
      </c>
      <c r="BT74" s="34" t="n">
        <f aca="false">SUMPRODUCT(BT21:BT45,INS_O)*INDEX(IdxOV_O,1,MIN(10,BT$17))*(1+P_dMat)/(1-P_Merma)</f>
        <v>127260</v>
      </c>
      <c r="BU74" s="34" t="n">
        <f aca="false">SUMPRODUCT(BU21:BU45,INS_O)*INDEX(IdxOV_O,1,MIN(10,BU$17))*(1+P_dMat)/(1-P_Merma)</f>
        <v>127260</v>
      </c>
      <c r="BV74" s="34" t="n">
        <f aca="false">SUMPRODUCT(BV21:BV45,INS_O)*INDEX(IdxOV_O,1,MIN(10,BV$17))*(1+P_dMat)/(1-P_Merma)</f>
        <v>127260</v>
      </c>
      <c r="BW74" s="34" t="n">
        <f aca="false">SUMPRODUCT(BW21:BW45,INS_O)*INDEX(IdxOV_O,1,MIN(10,BW$17))*(1+P_dMat)/(1-P_Merma)</f>
        <v>127260</v>
      </c>
      <c r="BX74" s="34" t="n">
        <f aca="false">SUMPRODUCT(BX21:BX45,INS_O)*INDEX(IdxOV_O,1,MIN(10,BX$17))*(1+P_dMat)/(1-P_Merma)</f>
        <v>127260</v>
      </c>
      <c r="BY74" s="34" t="n">
        <f aca="false">SUMPRODUCT(BY21:BY45,INS_O)*INDEX(IdxOV_O,1,MIN(10,BY$17))*(1+P_dMat)/(1-P_Merma)</f>
        <v>127260</v>
      </c>
      <c r="BZ74" s="34" t="n">
        <f aca="false">SUMPRODUCT(BZ21:BZ45,INS_O)*INDEX(IdxOV_O,1,MIN(10,BZ$17))*(1+P_dMat)/(1-P_Merma)</f>
        <v>127260</v>
      </c>
      <c r="CA74" s="34" t="n">
        <f aca="false">SUMPRODUCT(CA21:CA45,INS_O)*INDEX(IdxOV_O,1,MIN(10,CA$17))*(1+P_dMat)/(1-P_Merma)</f>
        <v>127260</v>
      </c>
      <c r="CB74" s="34" t="n">
        <f aca="false">SUMPRODUCT(CB21:CB45,INS_O)*INDEX(IdxOV_O,1,MIN(10,CB$17))*(1+P_dMat)/(1-P_Merma)</f>
        <v>127260</v>
      </c>
      <c r="CC74" s="34" t="n">
        <f aca="false">SUMPRODUCT(CC21:CC45,INS_O)*INDEX(IdxOV_O,1,MIN(10,CC$17))*(1+P_dMat)/(1-P_Merma)</f>
        <v>127260</v>
      </c>
      <c r="CD74" s="34" t="n">
        <f aca="false">SUMPRODUCT(CD21:CD45,INS_O)*INDEX(IdxOV_O,1,MIN(10,CD$17))*(1+P_dMat)/(1-P_Merma)</f>
        <v>127260</v>
      </c>
      <c r="CE74" s="34" t="n">
        <f aca="false">SUMPRODUCT(CE21:CE45,INS_O)*INDEX(IdxOV_O,1,MIN(10,CE$17))*(1+P_dMat)/(1-P_Merma)</f>
        <v>127260</v>
      </c>
      <c r="CF74" s="34" t="n">
        <f aca="false">SUMPRODUCT(CF21:CF45,INS_O)*INDEX(IdxOV_O,1,MIN(10,CF$17))*(1+P_dMat)/(1-P_Merma)</f>
        <v>127260</v>
      </c>
      <c r="CG74" s="34" t="n">
        <f aca="false">SUMPRODUCT(CG21:CG45,INS_O)*INDEX(IdxOV_O,1,MIN(10,CG$17))*(1+P_dMat)/(1-P_Merma)</f>
        <v>127260</v>
      </c>
      <c r="CH74" s="34" t="n">
        <f aca="false">SUMPRODUCT(CH21:CH45,INS_O)*INDEX(IdxOV_O,1,MIN(10,CH$17))*(1+P_dMat)/(1-P_Merma)</f>
        <v>127260</v>
      </c>
      <c r="CI74" s="34" t="n">
        <f aca="false">SUMPRODUCT(CI21:CI45,INS_O)*INDEX(IdxOV_O,1,MIN(10,CI$17))*(1+P_dMat)/(1-P_Merma)</f>
        <v>127260</v>
      </c>
      <c r="CJ74" s="34" t="n">
        <f aca="false">SUMPRODUCT(CJ21:CJ45,INS_O)*INDEX(IdxOV_O,1,MIN(10,CJ$17))*(1+P_dMat)/(1-P_Merma)</f>
        <v>127260</v>
      </c>
      <c r="CK74" s="34" t="n">
        <f aca="false">SUMPRODUCT(CK21:CK45,INS_O)*INDEX(IdxOV_O,1,MIN(10,CK$17))*(1+P_dMat)/(1-P_Merma)</f>
        <v>127260</v>
      </c>
      <c r="CL74" s="34" t="n">
        <f aca="false">SUMPRODUCT(CL21:CL45,INS_O)*INDEX(IdxOV_O,1,MIN(10,CL$17))*(1+P_dMat)/(1-P_Merma)</f>
        <v>127260</v>
      </c>
      <c r="CM74" s="34" t="n">
        <f aca="false">SUMPRODUCT(CM21:CM45,INS_O)*INDEX(IdxOV_O,1,MIN(10,CM$17))*(1+P_dMat)/(1-P_Merma)</f>
        <v>127260</v>
      </c>
      <c r="CN74" s="34" t="n">
        <f aca="false">SUMPRODUCT(CN21:CN45,INS_O)*INDEX(IdxOV_O,1,MIN(10,CN$17))*(1+P_dMat)/(1-P_Merma)</f>
        <v>127260</v>
      </c>
      <c r="CO74" s="34" t="n">
        <f aca="false">SUMPRODUCT(CO21:CO45,INS_O)*INDEX(IdxOV_O,1,MIN(10,CO$17))*(1+P_dMat)/(1-P_Merma)</f>
        <v>127260</v>
      </c>
      <c r="CP74" s="34" t="n">
        <f aca="false">SUMPRODUCT(CP21:CP45,INS_O)*INDEX(IdxOV_O,1,MIN(10,CP$17))*(1+P_dMat)/(1-P_Merma)</f>
        <v>127260</v>
      </c>
      <c r="CQ74" s="34" t="n">
        <f aca="false">SUMPRODUCT(CQ21:CQ45,INS_O)*INDEX(IdxOV_O,1,MIN(10,CQ$17))*(1+P_dMat)/(1-P_Merma)</f>
        <v>127260</v>
      </c>
      <c r="CR74" s="34" t="n">
        <f aca="false">SUMPRODUCT(CR21:CR45,INS_O)*INDEX(IdxOV_O,1,MIN(10,CR$17))*(1+P_dMat)/(1-P_Merma)</f>
        <v>127260</v>
      </c>
      <c r="CS74" s="34" t="n">
        <f aca="false">SUMPRODUCT(CS21:CS45,INS_O)*INDEX(IdxOV_O,1,MIN(10,CS$17))*(1+P_dMat)/(1-P_Merma)</f>
        <v>127260</v>
      </c>
      <c r="CT74" s="34" t="n">
        <f aca="false">SUMPRODUCT(CT21:CT45,INS_O)*INDEX(IdxOV_O,1,MIN(10,CT$17))*(1+P_dMat)/(1-P_Merma)</f>
        <v>127260</v>
      </c>
      <c r="CU74" s="34" t="n">
        <f aca="false">SUMPRODUCT(CU21:CU45,INS_O)*INDEX(IdxOV_O,1,MIN(10,CU$17))*(1+P_dMat)/(1-P_Merma)</f>
        <v>127260</v>
      </c>
      <c r="CV74" s="34" t="n">
        <f aca="false">SUMPRODUCT(CV21:CV45,INS_O)*INDEX(IdxOV_O,1,MIN(10,CV$17))*(1+P_dMat)/(1-P_Merma)</f>
        <v>127260</v>
      </c>
      <c r="CW74" s="34" t="n">
        <f aca="false">SUMPRODUCT(CW21:CW45,INS_O)*INDEX(IdxOV_O,1,MIN(10,CW$17))*(1+P_dMat)/(1-P_Merma)</f>
        <v>127260</v>
      </c>
      <c r="CX74" s="34" t="n">
        <f aca="false">SUMPRODUCT(CX21:CX45,INS_O)*INDEX(IdxOV_O,1,MIN(10,CX$17))*(1+P_dMat)/(1-P_Merma)</f>
        <v>127260</v>
      </c>
      <c r="CY74" s="34" t="n">
        <f aca="false">SUMPRODUCT(CY21:CY45,INS_O)*INDEX(IdxOV_O,1,MIN(10,CY$17))*(1+P_dMat)/(1-P_Merma)</f>
        <v>127260</v>
      </c>
      <c r="CZ74" s="34" t="n">
        <f aca="false">SUMPRODUCT(CZ21:CZ45,INS_O)*INDEX(IdxOV_O,1,MIN(10,CZ$17))*(1+P_dMat)/(1-P_Merma)</f>
        <v>127260</v>
      </c>
      <c r="DA74" s="34" t="n">
        <f aca="false">SUMPRODUCT(DA21:DA45,INS_O)*INDEX(IdxOV_O,1,MIN(10,DA$17))*(1+P_dMat)/(1-P_Merma)</f>
        <v>127260</v>
      </c>
      <c r="DB74" s="34" t="n">
        <f aca="false">SUMPRODUCT(DB21:DB45,INS_O)*INDEX(IdxOV_O,1,MIN(10,DB$17))*(1+P_dMat)/(1-P_Merma)</f>
        <v>127260</v>
      </c>
      <c r="DC74" s="34" t="n">
        <f aca="false">SUMPRODUCT(DC21:DC45,INS_O)*INDEX(IdxOV_O,1,MIN(10,DC$17))*(1+P_dMat)/(1-P_Merma)</f>
        <v>127260</v>
      </c>
      <c r="DD74" s="34" t="n">
        <f aca="false">SUMPRODUCT(DD21:DD45,INS_O)*INDEX(IdxOV_O,1,MIN(10,DD$17))*(1+P_dMat)/(1-P_Merma)</f>
        <v>127260</v>
      </c>
      <c r="DE74" s="34" t="n">
        <f aca="false">SUMPRODUCT(DE21:DE45,INS_O)*INDEX(IdxOV_O,1,MIN(10,DE$17))*(1+P_dMat)/(1-P_Merma)</f>
        <v>127260</v>
      </c>
      <c r="DF74" s="34" t="n">
        <f aca="false">SUMPRODUCT(DF21:DF45,INS_O)*INDEX(IdxOV_O,1,MIN(10,DF$17))*(1+P_dMat)/(1-P_Merma)</f>
        <v>127260</v>
      </c>
      <c r="DG74" s="34" t="n">
        <f aca="false">SUMPRODUCT(DG21:DG45,INS_O)*INDEX(IdxOV_O,1,MIN(10,DG$17))*(1+P_dMat)/(1-P_Merma)</f>
        <v>127260</v>
      </c>
      <c r="DH74" s="34" t="n">
        <f aca="false">SUMPRODUCT(DH21:DH45,INS_O)*INDEX(IdxOV_O,1,MIN(10,DH$17))*(1+P_dMat)/(1-P_Merma)</f>
        <v>127260</v>
      </c>
      <c r="DI74" s="34" t="n">
        <f aca="false">SUMPRODUCT(DI21:DI45,INS_O)*INDEX(IdxOV_O,1,MIN(10,DI$17))*(1+P_dMat)/(1-P_Merma)</f>
        <v>127260</v>
      </c>
      <c r="DJ74" s="34" t="n">
        <f aca="false">SUMPRODUCT(DJ21:DJ45,INS_O)*INDEX(IdxOV_O,1,MIN(10,DJ$17))*(1+P_dMat)/(1-P_Merma)</f>
        <v>127260</v>
      </c>
      <c r="DK74" s="34" t="n">
        <f aca="false">SUMPRODUCT(DK21:DK45,INS_O)*INDEX(IdxOV_O,1,MIN(10,DK$17))*(1+P_dMat)/(1-P_Merma)</f>
        <v>127260</v>
      </c>
      <c r="DL74" s="34" t="n">
        <f aca="false">SUMPRODUCT(DL21:DL45,INS_O)*INDEX(IdxOV_O,1,MIN(10,DL$17))*(1+P_dMat)/(1-P_Merma)</f>
        <v>127260</v>
      </c>
      <c r="DM74" s="34" t="n">
        <f aca="false">SUMPRODUCT(DM21:DM45,INS_O)*INDEX(IdxOV_O,1,MIN(10,DM$17))*(1+P_dMat)/(1-P_Merma)</f>
        <v>127260</v>
      </c>
      <c r="DN74" s="34" t="n">
        <f aca="false">SUMPRODUCT(DN21:DN45,INS_O)*INDEX(IdxOV_O,1,MIN(10,DN$17))*(1+P_dMat)/(1-P_Merma)</f>
        <v>127260</v>
      </c>
      <c r="DO74" s="34" t="n">
        <f aca="false">SUMPRODUCT(DO21:DO45,INS_O)*INDEX(IdxOV_O,1,MIN(10,DO$17))*(1+P_dMat)/(1-P_Merma)</f>
        <v>127260</v>
      </c>
      <c r="DP74" s="34" t="n">
        <f aca="false">SUMPRODUCT(DP21:DP45,INS_O)*INDEX(IdxOV_O,1,MIN(10,DP$17))*(1+P_dMat)/(1-P_Merma)</f>
        <v>127260</v>
      </c>
      <c r="DQ74" s="34" t="n">
        <f aca="false">SUMPRODUCT(DQ21:DQ45,INS_O)*INDEX(IdxOV_O,1,MIN(10,DQ$17))*(1+P_dMat)/(1-P_Merma)</f>
        <v>127260</v>
      </c>
      <c r="DR74" s="34" t="n">
        <f aca="false">SUMPRODUCT(DR21:DR45,INS_O)*INDEX(IdxOV_O,1,MIN(10,DR$17))*(1+P_dMat)/(1-P_Merma)</f>
        <v>127260</v>
      </c>
      <c r="DS74" s="34" t="n">
        <f aca="false">SUMPRODUCT(DS21:DS45,INS_O)*INDEX(IdxOV_O,1,MIN(10,DS$17))*(1+P_dMat)/(1-P_Merma)</f>
        <v>127260</v>
      </c>
      <c r="DT74" s="34" t="n">
        <f aca="false">SUMPRODUCT(DT21:DT45,INS_O)*INDEX(IdxOV_O,1,MIN(10,DT$17))*(1+P_dMat)/(1-P_Merma)</f>
        <v>127260</v>
      </c>
      <c r="DU74" s="34" t="n">
        <f aca="false">SUMPRODUCT(DU21:DU45,INS_O)*INDEX(IdxOV_O,1,MIN(10,DU$17))*(1+P_dMat)/(1-P_Merma)</f>
        <v>127260</v>
      </c>
      <c r="DV74" s="34" t="n">
        <f aca="false">SUMPRODUCT(DV21:DV45,INS_O)*INDEX(IdxOV_O,1,MIN(10,DV$17))*(1+P_dMat)/(1-P_Merma)</f>
        <v>0</v>
      </c>
      <c r="DW74" s="34" t="n">
        <f aca="false">SUMPRODUCT(DW21:DW45,INS_O)*INDEX(IdxOV_O,1,MIN(10,DW$17))*(1+P_dMat)/(1-P_Merma)</f>
        <v>0</v>
      </c>
      <c r="DX74" s="34" t="n">
        <f aca="false">SUMPRODUCT(DX21:DX45,INS_O)*INDEX(IdxOV_O,1,MIN(10,DX$17))*(1+P_dMat)/(1-P_Merma)</f>
        <v>0</v>
      </c>
      <c r="DY74" s="34" t="n">
        <f aca="false">SUMPRODUCT(DY21:DY45,INS_O)*INDEX(IdxOV_O,1,MIN(10,DY$17))*(1+P_dMat)/(1-P_Merma)</f>
        <v>0</v>
      </c>
      <c r="DZ74" s="34" t="n">
        <f aca="false">SUMPRODUCT(DZ21:DZ45,INS_O)*INDEX(IdxOV_O,1,MIN(10,DZ$17))*(1+P_dMat)/(1-P_Merma)</f>
        <v>0</v>
      </c>
      <c r="EA74" s="34" t="n">
        <f aca="false">SUMPRODUCT(EA21:EA45,INS_O)*INDEX(IdxOV_O,1,MIN(10,EA$17))*(1+P_dMat)/(1-P_Merma)</f>
        <v>0</v>
      </c>
      <c r="EB74" s="34" t="n">
        <f aca="false">SUMPRODUCT(EB21:EB45,INS_O)*INDEX(IdxOV_O,1,MIN(10,EB$17))*(1+P_dMat)/(1-P_Merma)</f>
        <v>0</v>
      </c>
      <c r="EC74" s="34" t="n">
        <f aca="false">SUMPRODUCT(EC21:EC45,INS_O)*INDEX(IdxOV_O,1,MIN(10,EC$17))*(1+P_dMat)/(1-P_Merma)</f>
        <v>0</v>
      </c>
      <c r="ED74" s="34" t="n">
        <f aca="false">SUMPRODUCT(ED21:ED45,INS_O)*INDEX(IdxOV_O,1,MIN(10,ED$17))*(1+P_dMat)/(1-P_Merma)</f>
        <v>0</v>
      </c>
      <c r="EE74" s="34" t="n">
        <f aca="false">SUMPRODUCT(EE21:EE45,INS_O)*INDEX(IdxOV_O,1,MIN(10,EE$17))*(1+P_dMat)/(1-P_Merma)</f>
        <v>0</v>
      </c>
      <c r="EF74" s="34" t="n">
        <f aca="false">SUMPRODUCT(EF21:EF45,INS_O)*INDEX(IdxOV_O,1,MIN(10,EF$17))*(1+P_dMat)/(1-P_Merma)</f>
        <v>0</v>
      </c>
      <c r="EG74" s="34" t="n">
        <f aca="false">SUMPRODUCT(EG21:EG45,INS_O)*INDEX(IdxOV_O,1,MIN(10,EG$17))*(1+P_dMat)/(1-P_Merma)</f>
        <v>0</v>
      </c>
      <c r="EH74" s="34" t="n">
        <f aca="false">SUMPRODUCT(EH21:EH45,INS_O)*INDEX(IdxOV_O,1,MIN(10,EH$17))*(1+P_dMat)/(1-P_Merma)</f>
        <v>0</v>
      </c>
      <c r="EI74" s="34" t="n">
        <f aca="false">SUMPRODUCT(EI21:EI45,INS_O)*INDEX(IdxOV_O,1,MIN(10,EI$17))*(1+P_dMat)/(1-P_Merma)</f>
        <v>0</v>
      </c>
      <c r="EJ74" s="34" t="n">
        <f aca="false">SUMPRODUCT(EJ21:EJ45,INS_O)*INDEX(IdxOV_O,1,MIN(10,EJ$17))*(1+P_dMat)/(1-P_Merma)</f>
        <v>0</v>
      </c>
      <c r="EK74" s="34" t="n">
        <f aca="false">SUMPRODUCT(EK21:EK45,INS_O)*INDEX(IdxOV_O,1,MIN(10,EK$17))*(1+P_dMat)/(1-P_Merma)</f>
        <v>0</v>
      </c>
      <c r="EL74" s="34" t="n">
        <f aca="false">SUMPRODUCT(EL21:EL45,INS_O)*INDEX(IdxOV_O,1,MIN(10,EL$17))*(1+P_dMat)/(1-P_Merma)</f>
        <v>0</v>
      </c>
      <c r="EM74" s="34" t="n">
        <f aca="false">SUMPRODUCT(EM21:EM45,INS_O)*INDEX(IdxOV_O,1,MIN(10,EM$17))*(1+P_dMat)/(1-P_Merma)</f>
        <v>0</v>
      </c>
      <c r="EN74" s="34" t="n">
        <f aca="false">SUMPRODUCT(EN21:EN45,INS_O)*INDEX(IdxOV_O,1,MIN(10,EN$17))*(1+P_dMat)/(1-P_Merma)</f>
        <v>0</v>
      </c>
      <c r="EO74" s="34" t="n">
        <f aca="false">SUMPRODUCT(EO21:EO45,INS_O)*INDEX(IdxOV_O,1,MIN(10,EO$17))*(1+P_dMat)/(1-P_Merma)</f>
        <v>0</v>
      </c>
      <c r="EP74" s="34" t="n">
        <f aca="false">SUMPRODUCT(EP21:EP45,INS_O)*INDEX(IdxOV_O,1,MIN(10,EP$17))*(1+P_dMat)/(1-P_Merma)</f>
        <v>0</v>
      </c>
      <c r="EQ74" s="34" t="n">
        <f aca="false">SUMPRODUCT(EQ21:EQ45,INS_O)*INDEX(IdxOV_O,1,MIN(10,EQ$17))*(1+P_dMat)/(1-P_Merma)</f>
        <v>0</v>
      </c>
      <c r="ER74" s="34" t="n">
        <f aca="false">SUMPRODUCT(ER21:ER45,INS_O)*INDEX(IdxOV_O,1,MIN(10,ER$17))*(1+P_dMat)/(1-P_Merma)</f>
        <v>0</v>
      </c>
      <c r="ES74" s="34" t="n">
        <f aca="false">SUMPRODUCT(ES21:ES45,INS_O)*INDEX(IdxOV_O,1,MIN(10,ES$17))*(1+P_dMat)/(1-P_Merma)</f>
        <v>0</v>
      </c>
    </row>
    <row r="75" customFormat="false" ht="15" hidden="false" customHeight="false" outlineLevel="0" collapsed="false">
      <c r="A75" s="2" t="s">
        <v>641</v>
      </c>
      <c r="B75" s="6" t="s">
        <v>642</v>
      </c>
      <c r="C75" s="6" t="s">
        <v>250</v>
      </c>
      <c r="E75" s="40" t="n">
        <f aca="false">SUM(F75:ES75)</f>
        <v>8388891.936</v>
      </c>
      <c r="F75" s="34" t="n">
        <f aca="false">SUMPRODUCT(F21:F45,OV_O)*INDEX(IdxOV_O,1,MIN(10,F$17))*(1+P_dMat)/(1-P_Merma)</f>
        <v>43834.333</v>
      </c>
      <c r="G75" s="34" t="n">
        <f aca="false">SUMPRODUCT(G21:G45,OV_O)*INDEX(IdxOV_O,1,MIN(10,G$17))*(1+P_dMat)/(1-P_Merma)</f>
        <v>43834.333</v>
      </c>
      <c r="H75" s="34" t="n">
        <f aca="false">SUMPRODUCT(H21:H45,OV_O)*INDEX(IdxOV_O,1,MIN(10,H$17))*(1+P_dMat)/(1-P_Merma)</f>
        <v>43834.333</v>
      </c>
      <c r="I75" s="34" t="n">
        <f aca="false">SUMPRODUCT(I21:I45,OV_O)*INDEX(IdxOV_O,1,MIN(10,I$17))*(1+P_dMat)/(1-P_Merma)</f>
        <v>43834.333</v>
      </c>
      <c r="J75" s="34" t="n">
        <f aca="false">SUMPRODUCT(J21:J45,OV_O)*INDEX(IdxOV_O,1,MIN(10,J$17))*(1+P_dMat)/(1-P_Merma)</f>
        <v>43834.333</v>
      </c>
      <c r="K75" s="34" t="n">
        <f aca="false">SUMPRODUCT(K21:K45,OV_O)*INDEX(IdxOV_O,1,MIN(10,K$17))*(1+P_dMat)/(1-P_Merma)</f>
        <v>43834.333</v>
      </c>
      <c r="L75" s="34" t="n">
        <f aca="false">SUMPRODUCT(L21:L45,OV_O)*INDEX(IdxOV_O,1,MIN(10,L$17))*(1+P_dMat)/(1-P_Merma)</f>
        <v>43834.333</v>
      </c>
      <c r="M75" s="34" t="n">
        <f aca="false">SUMPRODUCT(M21:M45,OV_O)*INDEX(IdxOV_O,1,MIN(10,M$17))*(1+P_dMat)/(1-P_Merma)</f>
        <v>43834.333</v>
      </c>
      <c r="N75" s="34" t="n">
        <f aca="false">SUMPRODUCT(N21:N45,OV_O)*INDEX(IdxOV_O,1,MIN(10,N$17))*(1+P_dMat)/(1-P_Merma)</f>
        <v>43834.333</v>
      </c>
      <c r="O75" s="34" t="n">
        <f aca="false">SUMPRODUCT(O21:O45,OV_O)*INDEX(IdxOV_O,1,MIN(10,O$17))*(1+P_dMat)/(1-P_Merma)</f>
        <v>43834.333</v>
      </c>
      <c r="P75" s="34" t="n">
        <f aca="false">SUMPRODUCT(P21:P45,OV_O)*INDEX(IdxOV_O,1,MIN(10,P$17))*(1+P_dMat)/(1-P_Merma)</f>
        <v>43834.333</v>
      </c>
      <c r="Q75" s="34" t="n">
        <f aca="false">SUMPRODUCT(Q21:Q45,OV_O)*INDEX(IdxOV_O,1,MIN(10,Q$17))*(1+P_dMat)/(1-P_Merma)</f>
        <v>43834.333</v>
      </c>
      <c r="R75" s="34" t="n">
        <f aca="false">SUMPRODUCT(R21:R45,OV_O)*INDEX(IdxOV_O,1,MIN(10,R$17))*(1+P_dMat)/(1-P_Merma)</f>
        <v>55361.66625</v>
      </c>
      <c r="S75" s="34" t="n">
        <f aca="false">SUMPRODUCT(S21:S45,OV_O)*INDEX(IdxOV_O,1,MIN(10,S$17))*(1+P_dMat)/(1-P_Merma)</f>
        <v>55361.66625</v>
      </c>
      <c r="T75" s="34" t="n">
        <f aca="false">SUMPRODUCT(T21:T45,OV_O)*INDEX(IdxOV_O,1,MIN(10,T$17))*(1+P_dMat)/(1-P_Merma)</f>
        <v>55361.66625</v>
      </c>
      <c r="U75" s="34" t="n">
        <f aca="false">SUMPRODUCT(U21:U45,OV_O)*INDEX(IdxOV_O,1,MIN(10,U$17))*(1+P_dMat)/(1-P_Merma)</f>
        <v>55361.66625</v>
      </c>
      <c r="V75" s="34" t="n">
        <f aca="false">SUMPRODUCT(V21:V45,OV_O)*INDEX(IdxOV_O,1,MIN(10,V$17))*(1+P_dMat)/(1-P_Merma)</f>
        <v>55361.66625</v>
      </c>
      <c r="W75" s="34" t="n">
        <f aca="false">SUMPRODUCT(W21:W45,OV_O)*INDEX(IdxOV_O,1,MIN(10,W$17))*(1+P_dMat)/(1-P_Merma)</f>
        <v>55361.66625</v>
      </c>
      <c r="X75" s="34" t="n">
        <f aca="false">SUMPRODUCT(X21:X45,OV_O)*INDEX(IdxOV_O,1,MIN(10,X$17))*(1+P_dMat)/(1-P_Merma)</f>
        <v>55361.66625</v>
      </c>
      <c r="Y75" s="34" t="n">
        <f aca="false">SUMPRODUCT(Y21:Y45,OV_O)*INDEX(IdxOV_O,1,MIN(10,Y$17))*(1+P_dMat)/(1-P_Merma)</f>
        <v>55361.66625</v>
      </c>
      <c r="Z75" s="34" t="n">
        <f aca="false">SUMPRODUCT(Z21:Z45,OV_O)*INDEX(IdxOV_O,1,MIN(10,Z$17))*(1+P_dMat)/(1-P_Merma)</f>
        <v>55361.66625</v>
      </c>
      <c r="AA75" s="34" t="n">
        <f aca="false">SUMPRODUCT(AA21:AA45,OV_O)*INDEX(IdxOV_O,1,MIN(10,AA$17))*(1+P_dMat)/(1-P_Merma)</f>
        <v>55361.66625</v>
      </c>
      <c r="AB75" s="34" t="n">
        <f aca="false">SUMPRODUCT(AB21:AB45,OV_O)*INDEX(IdxOV_O,1,MIN(10,AB$17))*(1+P_dMat)/(1-P_Merma)</f>
        <v>55361.66625</v>
      </c>
      <c r="AC75" s="34" t="n">
        <f aca="false">SUMPRODUCT(AC21:AC45,OV_O)*INDEX(IdxOV_O,1,MIN(10,AC$17))*(1+P_dMat)/(1-P_Merma)</f>
        <v>55361.66625</v>
      </c>
      <c r="AD75" s="34" t="n">
        <f aca="false">SUMPRODUCT(AD21:AD45,OV_O)*INDEX(IdxOV_O,1,MIN(10,AD$17))*(1+P_dMat)/(1-P_Merma)</f>
        <v>66888.9995</v>
      </c>
      <c r="AE75" s="34" t="n">
        <f aca="false">SUMPRODUCT(AE21:AE45,OV_O)*INDEX(IdxOV_O,1,MIN(10,AE$17))*(1+P_dMat)/(1-P_Merma)</f>
        <v>66888.9995</v>
      </c>
      <c r="AF75" s="34" t="n">
        <f aca="false">SUMPRODUCT(AF21:AF45,OV_O)*INDEX(IdxOV_O,1,MIN(10,AF$17))*(1+P_dMat)/(1-P_Merma)</f>
        <v>66888.9995</v>
      </c>
      <c r="AG75" s="34" t="n">
        <f aca="false">SUMPRODUCT(AG21:AG45,OV_O)*INDEX(IdxOV_O,1,MIN(10,AG$17))*(1+P_dMat)/(1-P_Merma)</f>
        <v>66888.9995</v>
      </c>
      <c r="AH75" s="34" t="n">
        <f aca="false">SUMPRODUCT(AH21:AH45,OV_O)*INDEX(IdxOV_O,1,MIN(10,AH$17))*(1+P_dMat)/(1-P_Merma)</f>
        <v>66888.9995</v>
      </c>
      <c r="AI75" s="34" t="n">
        <f aca="false">SUMPRODUCT(AI21:AI45,OV_O)*INDEX(IdxOV_O,1,MIN(10,AI$17))*(1+P_dMat)/(1-P_Merma)</f>
        <v>66888.9995</v>
      </c>
      <c r="AJ75" s="34" t="n">
        <f aca="false">SUMPRODUCT(AJ21:AJ45,OV_O)*INDEX(IdxOV_O,1,MIN(10,AJ$17))*(1+P_dMat)/(1-P_Merma)</f>
        <v>66888.9995</v>
      </c>
      <c r="AK75" s="34" t="n">
        <f aca="false">SUMPRODUCT(AK21:AK45,OV_O)*INDEX(IdxOV_O,1,MIN(10,AK$17))*(1+P_dMat)/(1-P_Merma)</f>
        <v>66888.9995</v>
      </c>
      <c r="AL75" s="34" t="n">
        <f aca="false">SUMPRODUCT(AL21:AL45,OV_O)*INDEX(IdxOV_O,1,MIN(10,AL$17))*(1+P_dMat)/(1-P_Merma)</f>
        <v>66888.9995</v>
      </c>
      <c r="AM75" s="34" t="n">
        <f aca="false">SUMPRODUCT(AM21:AM45,OV_O)*INDEX(IdxOV_O,1,MIN(10,AM$17))*(1+P_dMat)/(1-P_Merma)</f>
        <v>66888.9995</v>
      </c>
      <c r="AN75" s="34" t="n">
        <f aca="false">SUMPRODUCT(AN21:AN45,OV_O)*INDEX(IdxOV_O,1,MIN(10,AN$17))*(1+P_dMat)/(1-P_Merma)</f>
        <v>66888.9995</v>
      </c>
      <c r="AO75" s="34" t="n">
        <f aca="false">SUMPRODUCT(AO21:AO45,OV_O)*INDEX(IdxOV_O,1,MIN(10,AO$17))*(1+P_dMat)/(1-P_Merma)</f>
        <v>66888.9995</v>
      </c>
      <c r="AP75" s="34" t="n">
        <f aca="false">SUMPRODUCT(AP21:AP45,OV_O)*INDEX(IdxOV_O,1,MIN(10,AP$17))*(1+P_dMat)/(1-P_Merma)</f>
        <v>76141.33275</v>
      </c>
      <c r="AQ75" s="34" t="n">
        <f aca="false">SUMPRODUCT(AQ21:AQ45,OV_O)*INDEX(IdxOV_O,1,MIN(10,AQ$17))*(1+P_dMat)/(1-P_Merma)</f>
        <v>76141.33275</v>
      </c>
      <c r="AR75" s="34" t="n">
        <f aca="false">SUMPRODUCT(AR21:AR45,OV_O)*INDEX(IdxOV_O,1,MIN(10,AR$17))*(1+P_dMat)/(1-P_Merma)</f>
        <v>76141.33275</v>
      </c>
      <c r="AS75" s="34" t="n">
        <f aca="false">SUMPRODUCT(AS21:AS45,OV_O)*INDEX(IdxOV_O,1,MIN(10,AS$17))*(1+P_dMat)/(1-P_Merma)</f>
        <v>76141.33275</v>
      </c>
      <c r="AT75" s="34" t="n">
        <f aca="false">SUMPRODUCT(AT21:AT45,OV_O)*INDEX(IdxOV_O,1,MIN(10,AT$17))*(1+P_dMat)/(1-P_Merma)</f>
        <v>76141.33275</v>
      </c>
      <c r="AU75" s="34" t="n">
        <f aca="false">SUMPRODUCT(AU21:AU45,OV_O)*INDEX(IdxOV_O,1,MIN(10,AU$17))*(1+P_dMat)/(1-P_Merma)</f>
        <v>76141.33275</v>
      </c>
      <c r="AV75" s="34" t="n">
        <f aca="false">SUMPRODUCT(AV21:AV45,OV_O)*INDEX(IdxOV_O,1,MIN(10,AV$17))*(1+P_dMat)/(1-P_Merma)</f>
        <v>76141.33275</v>
      </c>
      <c r="AW75" s="34" t="n">
        <f aca="false">SUMPRODUCT(AW21:AW45,OV_O)*INDEX(IdxOV_O,1,MIN(10,AW$17))*(1+P_dMat)/(1-P_Merma)</f>
        <v>76141.33275</v>
      </c>
      <c r="AX75" s="34" t="n">
        <f aca="false">SUMPRODUCT(AX21:AX45,OV_O)*INDEX(IdxOV_O,1,MIN(10,AX$17))*(1+P_dMat)/(1-P_Merma)</f>
        <v>76141.33275</v>
      </c>
      <c r="AY75" s="34" t="n">
        <f aca="false">SUMPRODUCT(AY21:AY45,OV_O)*INDEX(IdxOV_O,1,MIN(10,AY$17))*(1+P_dMat)/(1-P_Merma)</f>
        <v>76141.33275</v>
      </c>
      <c r="AZ75" s="34" t="n">
        <f aca="false">SUMPRODUCT(AZ21:AZ45,OV_O)*INDEX(IdxOV_O,1,MIN(10,AZ$17))*(1+P_dMat)/(1-P_Merma)</f>
        <v>76141.33275</v>
      </c>
      <c r="BA75" s="34" t="n">
        <f aca="false">SUMPRODUCT(BA21:BA45,OV_O)*INDEX(IdxOV_O,1,MIN(10,BA$17))*(1+P_dMat)/(1-P_Merma)</f>
        <v>76141.33275</v>
      </c>
      <c r="BB75" s="34" t="n">
        <f aca="false">SUMPRODUCT(BB21:BB45,OV_O)*INDEX(IdxOV_O,1,MIN(10,BB$17))*(1+P_dMat)/(1-P_Merma)</f>
        <v>76141.33275</v>
      </c>
      <c r="BC75" s="34" t="n">
        <f aca="false">SUMPRODUCT(BC21:BC45,OV_O)*INDEX(IdxOV_O,1,MIN(10,BC$17))*(1+P_dMat)/(1-P_Merma)</f>
        <v>76141.33275</v>
      </c>
      <c r="BD75" s="34" t="n">
        <f aca="false">SUMPRODUCT(BD21:BD45,OV_O)*INDEX(IdxOV_O,1,MIN(10,BD$17))*(1+P_dMat)/(1-P_Merma)</f>
        <v>76141.33275</v>
      </c>
      <c r="BE75" s="34" t="n">
        <f aca="false">SUMPRODUCT(BE21:BE45,OV_O)*INDEX(IdxOV_O,1,MIN(10,BE$17))*(1+P_dMat)/(1-P_Merma)</f>
        <v>76141.33275</v>
      </c>
      <c r="BF75" s="34" t="n">
        <f aca="false">SUMPRODUCT(BF21:BF45,OV_O)*INDEX(IdxOV_O,1,MIN(10,BF$17))*(1+P_dMat)/(1-P_Merma)</f>
        <v>76141.33275</v>
      </c>
      <c r="BG75" s="34" t="n">
        <f aca="false">SUMPRODUCT(BG21:BG45,OV_O)*INDEX(IdxOV_O,1,MIN(10,BG$17))*(1+P_dMat)/(1-P_Merma)</f>
        <v>76141.33275</v>
      </c>
      <c r="BH75" s="34" t="n">
        <f aca="false">SUMPRODUCT(BH21:BH45,OV_O)*INDEX(IdxOV_O,1,MIN(10,BH$17))*(1+P_dMat)/(1-P_Merma)</f>
        <v>76141.33275</v>
      </c>
      <c r="BI75" s="34" t="n">
        <f aca="false">SUMPRODUCT(BI21:BI45,OV_O)*INDEX(IdxOV_O,1,MIN(10,BI$17))*(1+P_dMat)/(1-P_Merma)</f>
        <v>76141.33275</v>
      </c>
      <c r="BJ75" s="34" t="n">
        <f aca="false">SUMPRODUCT(BJ21:BJ45,OV_O)*INDEX(IdxOV_O,1,MIN(10,BJ$17))*(1+P_dMat)/(1-P_Merma)</f>
        <v>76141.33275</v>
      </c>
      <c r="BK75" s="34" t="n">
        <f aca="false">SUMPRODUCT(BK21:BK45,OV_O)*INDEX(IdxOV_O,1,MIN(10,BK$17))*(1+P_dMat)/(1-P_Merma)</f>
        <v>76141.33275</v>
      </c>
      <c r="BL75" s="34" t="n">
        <f aca="false">SUMPRODUCT(BL21:BL45,OV_O)*INDEX(IdxOV_O,1,MIN(10,BL$17))*(1+P_dMat)/(1-P_Merma)</f>
        <v>76141.33275</v>
      </c>
      <c r="BM75" s="34" t="n">
        <f aca="false">SUMPRODUCT(BM21:BM45,OV_O)*INDEX(IdxOV_O,1,MIN(10,BM$17))*(1+P_dMat)/(1-P_Merma)</f>
        <v>76141.33275</v>
      </c>
      <c r="BN75" s="34" t="n">
        <f aca="false">SUMPRODUCT(BN21:BN45,OV_O)*INDEX(IdxOV_O,1,MIN(10,BN$17))*(1+P_dMat)/(1-P_Merma)</f>
        <v>76141.33275</v>
      </c>
      <c r="BO75" s="34" t="n">
        <f aca="false">SUMPRODUCT(BO21:BO45,OV_O)*INDEX(IdxOV_O,1,MIN(10,BO$17))*(1+P_dMat)/(1-P_Merma)</f>
        <v>76141.33275</v>
      </c>
      <c r="BP75" s="34" t="n">
        <f aca="false">SUMPRODUCT(BP21:BP45,OV_O)*INDEX(IdxOV_O,1,MIN(10,BP$17))*(1+P_dMat)/(1-P_Merma)</f>
        <v>76141.33275</v>
      </c>
      <c r="BQ75" s="34" t="n">
        <f aca="false">SUMPRODUCT(BQ21:BQ45,OV_O)*INDEX(IdxOV_O,1,MIN(10,BQ$17))*(1+P_dMat)/(1-P_Merma)</f>
        <v>76141.33275</v>
      </c>
      <c r="BR75" s="34" t="n">
        <f aca="false">SUMPRODUCT(BR21:BR45,OV_O)*INDEX(IdxOV_O,1,MIN(10,BR$17))*(1+P_dMat)/(1-P_Merma)</f>
        <v>76141.33275</v>
      </c>
      <c r="BS75" s="34" t="n">
        <f aca="false">SUMPRODUCT(BS21:BS45,OV_O)*INDEX(IdxOV_O,1,MIN(10,BS$17))*(1+P_dMat)/(1-P_Merma)</f>
        <v>76141.33275</v>
      </c>
      <c r="BT75" s="34" t="n">
        <f aca="false">SUMPRODUCT(BT21:BT45,OV_O)*INDEX(IdxOV_O,1,MIN(10,BT$17))*(1+P_dMat)/(1-P_Merma)</f>
        <v>76141.33275</v>
      </c>
      <c r="BU75" s="34" t="n">
        <f aca="false">SUMPRODUCT(BU21:BU45,OV_O)*INDEX(IdxOV_O,1,MIN(10,BU$17))*(1+P_dMat)/(1-P_Merma)</f>
        <v>76141.33275</v>
      </c>
      <c r="BV75" s="34" t="n">
        <f aca="false">SUMPRODUCT(BV21:BV45,OV_O)*INDEX(IdxOV_O,1,MIN(10,BV$17))*(1+P_dMat)/(1-P_Merma)</f>
        <v>76141.33275</v>
      </c>
      <c r="BW75" s="34" t="n">
        <f aca="false">SUMPRODUCT(BW21:BW45,OV_O)*INDEX(IdxOV_O,1,MIN(10,BW$17))*(1+P_dMat)/(1-P_Merma)</f>
        <v>76141.33275</v>
      </c>
      <c r="BX75" s="34" t="n">
        <f aca="false">SUMPRODUCT(BX21:BX45,OV_O)*INDEX(IdxOV_O,1,MIN(10,BX$17))*(1+P_dMat)/(1-P_Merma)</f>
        <v>76141.33275</v>
      </c>
      <c r="BY75" s="34" t="n">
        <f aca="false">SUMPRODUCT(BY21:BY45,OV_O)*INDEX(IdxOV_O,1,MIN(10,BY$17))*(1+P_dMat)/(1-P_Merma)</f>
        <v>76141.33275</v>
      </c>
      <c r="BZ75" s="34" t="n">
        <f aca="false">SUMPRODUCT(BZ21:BZ45,OV_O)*INDEX(IdxOV_O,1,MIN(10,BZ$17))*(1+P_dMat)/(1-P_Merma)</f>
        <v>76141.33275</v>
      </c>
      <c r="CA75" s="34" t="n">
        <f aca="false">SUMPRODUCT(CA21:CA45,OV_O)*INDEX(IdxOV_O,1,MIN(10,CA$17))*(1+P_dMat)/(1-P_Merma)</f>
        <v>76141.33275</v>
      </c>
      <c r="CB75" s="34" t="n">
        <f aca="false">SUMPRODUCT(CB21:CB45,OV_O)*INDEX(IdxOV_O,1,MIN(10,CB$17))*(1+P_dMat)/(1-P_Merma)</f>
        <v>76141.33275</v>
      </c>
      <c r="CC75" s="34" t="n">
        <f aca="false">SUMPRODUCT(CC21:CC45,OV_O)*INDEX(IdxOV_O,1,MIN(10,CC$17))*(1+P_dMat)/(1-P_Merma)</f>
        <v>76141.33275</v>
      </c>
      <c r="CD75" s="34" t="n">
        <f aca="false">SUMPRODUCT(CD21:CD45,OV_O)*INDEX(IdxOV_O,1,MIN(10,CD$17))*(1+P_dMat)/(1-P_Merma)</f>
        <v>76141.33275</v>
      </c>
      <c r="CE75" s="34" t="n">
        <f aca="false">SUMPRODUCT(CE21:CE45,OV_O)*INDEX(IdxOV_O,1,MIN(10,CE$17))*(1+P_dMat)/(1-P_Merma)</f>
        <v>76141.33275</v>
      </c>
      <c r="CF75" s="34" t="n">
        <f aca="false">SUMPRODUCT(CF21:CF45,OV_O)*INDEX(IdxOV_O,1,MIN(10,CF$17))*(1+P_dMat)/(1-P_Merma)</f>
        <v>76141.33275</v>
      </c>
      <c r="CG75" s="34" t="n">
        <f aca="false">SUMPRODUCT(CG21:CG45,OV_O)*INDEX(IdxOV_O,1,MIN(10,CG$17))*(1+P_dMat)/(1-P_Merma)</f>
        <v>76141.33275</v>
      </c>
      <c r="CH75" s="34" t="n">
        <f aca="false">SUMPRODUCT(CH21:CH45,OV_O)*INDEX(IdxOV_O,1,MIN(10,CH$17))*(1+P_dMat)/(1-P_Merma)</f>
        <v>76141.33275</v>
      </c>
      <c r="CI75" s="34" t="n">
        <f aca="false">SUMPRODUCT(CI21:CI45,OV_O)*INDEX(IdxOV_O,1,MIN(10,CI$17))*(1+P_dMat)/(1-P_Merma)</f>
        <v>76141.33275</v>
      </c>
      <c r="CJ75" s="34" t="n">
        <f aca="false">SUMPRODUCT(CJ21:CJ45,OV_O)*INDEX(IdxOV_O,1,MIN(10,CJ$17))*(1+P_dMat)/(1-P_Merma)</f>
        <v>76141.33275</v>
      </c>
      <c r="CK75" s="34" t="n">
        <f aca="false">SUMPRODUCT(CK21:CK45,OV_O)*INDEX(IdxOV_O,1,MIN(10,CK$17))*(1+P_dMat)/(1-P_Merma)</f>
        <v>76141.33275</v>
      </c>
      <c r="CL75" s="34" t="n">
        <f aca="false">SUMPRODUCT(CL21:CL45,OV_O)*INDEX(IdxOV_O,1,MIN(10,CL$17))*(1+P_dMat)/(1-P_Merma)</f>
        <v>76141.33275</v>
      </c>
      <c r="CM75" s="34" t="n">
        <f aca="false">SUMPRODUCT(CM21:CM45,OV_O)*INDEX(IdxOV_O,1,MIN(10,CM$17))*(1+P_dMat)/(1-P_Merma)</f>
        <v>76141.33275</v>
      </c>
      <c r="CN75" s="34" t="n">
        <f aca="false">SUMPRODUCT(CN21:CN45,OV_O)*INDEX(IdxOV_O,1,MIN(10,CN$17))*(1+P_dMat)/(1-P_Merma)</f>
        <v>76141.33275</v>
      </c>
      <c r="CO75" s="34" t="n">
        <f aca="false">SUMPRODUCT(CO21:CO45,OV_O)*INDEX(IdxOV_O,1,MIN(10,CO$17))*(1+P_dMat)/(1-P_Merma)</f>
        <v>76141.33275</v>
      </c>
      <c r="CP75" s="34" t="n">
        <f aca="false">SUMPRODUCT(CP21:CP45,OV_O)*INDEX(IdxOV_O,1,MIN(10,CP$17))*(1+P_dMat)/(1-P_Merma)</f>
        <v>76141.33275</v>
      </c>
      <c r="CQ75" s="34" t="n">
        <f aca="false">SUMPRODUCT(CQ21:CQ45,OV_O)*INDEX(IdxOV_O,1,MIN(10,CQ$17))*(1+P_dMat)/(1-P_Merma)</f>
        <v>76141.33275</v>
      </c>
      <c r="CR75" s="34" t="n">
        <f aca="false">SUMPRODUCT(CR21:CR45,OV_O)*INDEX(IdxOV_O,1,MIN(10,CR$17))*(1+P_dMat)/(1-P_Merma)</f>
        <v>76141.33275</v>
      </c>
      <c r="CS75" s="34" t="n">
        <f aca="false">SUMPRODUCT(CS21:CS45,OV_O)*INDEX(IdxOV_O,1,MIN(10,CS$17))*(1+P_dMat)/(1-P_Merma)</f>
        <v>76141.33275</v>
      </c>
      <c r="CT75" s="34" t="n">
        <f aca="false">SUMPRODUCT(CT21:CT45,OV_O)*INDEX(IdxOV_O,1,MIN(10,CT$17))*(1+P_dMat)/(1-P_Merma)</f>
        <v>76141.33275</v>
      </c>
      <c r="CU75" s="34" t="n">
        <f aca="false">SUMPRODUCT(CU21:CU45,OV_O)*INDEX(IdxOV_O,1,MIN(10,CU$17))*(1+P_dMat)/(1-P_Merma)</f>
        <v>76141.33275</v>
      </c>
      <c r="CV75" s="34" t="n">
        <f aca="false">SUMPRODUCT(CV21:CV45,OV_O)*INDEX(IdxOV_O,1,MIN(10,CV$17))*(1+P_dMat)/(1-P_Merma)</f>
        <v>76141.33275</v>
      </c>
      <c r="CW75" s="34" t="n">
        <f aca="false">SUMPRODUCT(CW21:CW45,OV_O)*INDEX(IdxOV_O,1,MIN(10,CW$17))*(1+P_dMat)/(1-P_Merma)</f>
        <v>76141.33275</v>
      </c>
      <c r="CX75" s="34" t="n">
        <f aca="false">SUMPRODUCT(CX21:CX45,OV_O)*INDEX(IdxOV_O,1,MIN(10,CX$17))*(1+P_dMat)/(1-P_Merma)</f>
        <v>76141.33275</v>
      </c>
      <c r="CY75" s="34" t="n">
        <f aca="false">SUMPRODUCT(CY21:CY45,OV_O)*INDEX(IdxOV_O,1,MIN(10,CY$17))*(1+P_dMat)/(1-P_Merma)</f>
        <v>76141.33275</v>
      </c>
      <c r="CZ75" s="34" t="n">
        <f aca="false">SUMPRODUCT(CZ21:CZ45,OV_O)*INDEX(IdxOV_O,1,MIN(10,CZ$17))*(1+P_dMat)/(1-P_Merma)</f>
        <v>76141.33275</v>
      </c>
      <c r="DA75" s="34" t="n">
        <f aca="false">SUMPRODUCT(DA21:DA45,OV_O)*INDEX(IdxOV_O,1,MIN(10,DA$17))*(1+P_dMat)/(1-P_Merma)</f>
        <v>76141.33275</v>
      </c>
      <c r="DB75" s="34" t="n">
        <f aca="false">SUMPRODUCT(DB21:DB45,OV_O)*INDEX(IdxOV_O,1,MIN(10,DB$17))*(1+P_dMat)/(1-P_Merma)</f>
        <v>76141.33275</v>
      </c>
      <c r="DC75" s="34" t="n">
        <f aca="false">SUMPRODUCT(DC21:DC45,OV_O)*INDEX(IdxOV_O,1,MIN(10,DC$17))*(1+P_dMat)/(1-P_Merma)</f>
        <v>76141.33275</v>
      </c>
      <c r="DD75" s="34" t="n">
        <f aca="false">SUMPRODUCT(DD21:DD45,OV_O)*INDEX(IdxOV_O,1,MIN(10,DD$17))*(1+P_dMat)/(1-P_Merma)</f>
        <v>76141.33275</v>
      </c>
      <c r="DE75" s="34" t="n">
        <f aca="false">SUMPRODUCT(DE21:DE45,OV_O)*INDEX(IdxOV_O,1,MIN(10,DE$17))*(1+P_dMat)/(1-P_Merma)</f>
        <v>76141.33275</v>
      </c>
      <c r="DF75" s="34" t="n">
        <f aca="false">SUMPRODUCT(DF21:DF45,OV_O)*INDEX(IdxOV_O,1,MIN(10,DF$17))*(1+P_dMat)/(1-P_Merma)</f>
        <v>76141.33275</v>
      </c>
      <c r="DG75" s="34" t="n">
        <f aca="false">SUMPRODUCT(DG21:DG45,OV_O)*INDEX(IdxOV_O,1,MIN(10,DG$17))*(1+P_dMat)/(1-P_Merma)</f>
        <v>76141.33275</v>
      </c>
      <c r="DH75" s="34" t="n">
        <f aca="false">SUMPRODUCT(DH21:DH45,OV_O)*INDEX(IdxOV_O,1,MIN(10,DH$17))*(1+P_dMat)/(1-P_Merma)</f>
        <v>76141.33275</v>
      </c>
      <c r="DI75" s="34" t="n">
        <f aca="false">SUMPRODUCT(DI21:DI45,OV_O)*INDEX(IdxOV_O,1,MIN(10,DI$17))*(1+P_dMat)/(1-P_Merma)</f>
        <v>76141.33275</v>
      </c>
      <c r="DJ75" s="34" t="n">
        <f aca="false">SUMPRODUCT(DJ21:DJ45,OV_O)*INDEX(IdxOV_O,1,MIN(10,DJ$17))*(1+P_dMat)/(1-P_Merma)</f>
        <v>76141.33275</v>
      </c>
      <c r="DK75" s="34" t="n">
        <f aca="false">SUMPRODUCT(DK21:DK45,OV_O)*INDEX(IdxOV_O,1,MIN(10,DK$17))*(1+P_dMat)/(1-P_Merma)</f>
        <v>76141.33275</v>
      </c>
      <c r="DL75" s="34" t="n">
        <f aca="false">SUMPRODUCT(DL21:DL45,OV_O)*INDEX(IdxOV_O,1,MIN(10,DL$17))*(1+P_dMat)/(1-P_Merma)</f>
        <v>76141.33275</v>
      </c>
      <c r="DM75" s="34" t="n">
        <f aca="false">SUMPRODUCT(DM21:DM45,OV_O)*INDEX(IdxOV_O,1,MIN(10,DM$17))*(1+P_dMat)/(1-P_Merma)</f>
        <v>76141.33275</v>
      </c>
      <c r="DN75" s="34" t="n">
        <f aca="false">SUMPRODUCT(DN21:DN45,OV_O)*INDEX(IdxOV_O,1,MIN(10,DN$17))*(1+P_dMat)/(1-P_Merma)</f>
        <v>76141.33275</v>
      </c>
      <c r="DO75" s="34" t="n">
        <f aca="false">SUMPRODUCT(DO21:DO45,OV_O)*INDEX(IdxOV_O,1,MIN(10,DO$17))*(1+P_dMat)/(1-P_Merma)</f>
        <v>76141.33275</v>
      </c>
      <c r="DP75" s="34" t="n">
        <f aca="false">SUMPRODUCT(DP21:DP45,OV_O)*INDEX(IdxOV_O,1,MIN(10,DP$17))*(1+P_dMat)/(1-P_Merma)</f>
        <v>76141.33275</v>
      </c>
      <c r="DQ75" s="34" t="n">
        <f aca="false">SUMPRODUCT(DQ21:DQ45,OV_O)*INDEX(IdxOV_O,1,MIN(10,DQ$17))*(1+P_dMat)/(1-P_Merma)</f>
        <v>76141.33275</v>
      </c>
      <c r="DR75" s="34" t="n">
        <f aca="false">SUMPRODUCT(DR21:DR45,OV_O)*INDEX(IdxOV_O,1,MIN(10,DR$17))*(1+P_dMat)/(1-P_Merma)</f>
        <v>76141.33275</v>
      </c>
      <c r="DS75" s="34" t="n">
        <f aca="false">SUMPRODUCT(DS21:DS45,OV_O)*INDEX(IdxOV_O,1,MIN(10,DS$17))*(1+P_dMat)/(1-P_Merma)</f>
        <v>76141.33275</v>
      </c>
      <c r="DT75" s="34" t="n">
        <f aca="false">SUMPRODUCT(DT21:DT45,OV_O)*INDEX(IdxOV_O,1,MIN(10,DT$17))*(1+P_dMat)/(1-P_Merma)</f>
        <v>76141.33275</v>
      </c>
      <c r="DU75" s="34" t="n">
        <f aca="false">SUMPRODUCT(DU21:DU45,OV_O)*INDEX(IdxOV_O,1,MIN(10,DU$17))*(1+P_dMat)/(1-P_Merma)</f>
        <v>76141.33275</v>
      </c>
      <c r="DV75" s="34" t="n">
        <f aca="false">SUMPRODUCT(DV21:DV45,OV_O)*INDEX(IdxOV_O,1,MIN(10,DV$17))*(1+P_dMat)/(1-P_Merma)</f>
        <v>0</v>
      </c>
      <c r="DW75" s="34" t="n">
        <f aca="false">SUMPRODUCT(DW21:DW45,OV_O)*INDEX(IdxOV_O,1,MIN(10,DW$17))*(1+P_dMat)/(1-P_Merma)</f>
        <v>0</v>
      </c>
      <c r="DX75" s="34" t="n">
        <f aca="false">SUMPRODUCT(DX21:DX45,OV_O)*INDEX(IdxOV_O,1,MIN(10,DX$17))*(1+P_dMat)/(1-P_Merma)</f>
        <v>0</v>
      </c>
      <c r="DY75" s="34" t="n">
        <f aca="false">SUMPRODUCT(DY21:DY45,OV_O)*INDEX(IdxOV_O,1,MIN(10,DY$17))*(1+P_dMat)/(1-P_Merma)</f>
        <v>0</v>
      </c>
      <c r="DZ75" s="34" t="n">
        <f aca="false">SUMPRODUCT(DZ21:DZ45,OV_O)*INDEX(IdxOV_O,1,MIN(10,DZ$17))*(1+P_dMat)/(1-P_Merma)</f>
        <v>0</v>
      </c>
      <c r="EA75" s="34" t="n">
        <f aca="false">SUMPRODUCT(EA21:EA45,OV_O)*INDEX(IdxOV_O,1,MIN(10,EA$17))*(1+P_dMat)/(1-P_Merma)</f>
        <v>0</v>
      </c>
      <c r="EB75" s="34" t="n">
        <f aca="false">SUMPRODUCT(EB21:EB45,OV_O)*INDEX(IdxOV_O,1,MIN(10,EB$17))*(1+P_dMat)/(1-P_Merma)</f>
        <v>0</v>
      </c>
      <c r="EC75" s="34" t="n">
        <f aca="false">SUMPRODUCT(EC21:EC45,OV_O)*INDEX(IdxOV_O,1,MIN(10,EC$17))*(1+P_dMat)/(1-P_Merma)</f>
        <v>0</v>
      </c>
      <c r="ED75" s="34" t="n">
        <f aca="false">SUMPRODUCT(ED21:ED45,OV_O)*INDEX(IdxOV_O,1,MIN(10,ED$17))*(1+P_dMat)/(1-P_Merma)</f>
        <v>0</v>
      </c>
      <c r="EE75" s="34" t="n">
        <f aca="false">SUMPRODUCT(EE21:EE45,OV_O)*INDEX(IdxOV_O,1,MIN(10,EE$17))*(1+P_dMat)/(1-P_Merma)</f>
        <v>0</v>
      </c>
      <c r="EF75" s="34" t="n">
        <f aca="false">SUMPRODUCT(EF21:EF45,OV_O)*INDEX(IdxOV_O,1,MIN(10,EF$17))*(1+P_dMat)/(1-P_Merma)</f>
        <v>0</v>
      </c>
      <c r="EG75" s="34" t="n">
        <f aca="false">SUMPRODUCT(EG21:EG45,OV_O)*INDEX(IdxOV_O,1,MIN(10,EG$17))*(1+P_dMat)/(1-P_Merma)</f>
        <v>0</v>
      </c>
      <c r="EH75" s="34" t="n">
        <f aca="false">SUMPRODUCT(EH21:EH45,OV_O)*INDEX(IdxOV_O,1,MIN(10,EH$17))*(1+P_dMat)/(1-P_Merma)</f>
        <v>0</v>
      </c>
      <c r="EI75" s="34" t="n">
        <f aca="false">SUMPRODUCT(EI21:EI45,OV_O)*INDEX(IdxOV_O,1,MIN(10,EI$17))*(1+P_dMat)/(1-P_Merma)</f>
        <v>0</v>
      </c>
      <c r="EJ75" s="34" t="n">
        <f aca="false">SUMPRODUCT(EJ21:EJ45,OV_O)*INDEX(IdxOV_O,1,MIN(10,EJ$17))*(1+P_dMat)/(1-P_Merma)</f>
        <v>0</v>
      </c>
      <c r="EK75" s="34" t="n">
        <f aca="false">SUMPRODUCT(EK21:EK45,OV_O)*INDEX(IdxOV_O,1,MIN(10,EK$17))*(1+P_dMat)/(1-P_Merma)</f>
        <v>0</v>
      </c>
      <c r="EL75" s="34" t="n">
        <f aca="false">SUMPRODUCT(EL21:EL45,OV_O)*INDEX(IdxOV_O,1,MIN(10,EL$17))*(1+P_dMat)/(1-P_Merma)</f>
        <v>0</v>
      </c>
      <c r="EM75" s="34" t="n">
        <f aca="false">SUMPRODUCT(EM21:EM45,OV_O)*INDEX(IdxOV_O,1,MIN(10,EM$17))*(1+P_dMat)/(1-P_Merma)</f>
        <v>0</v>
      </c>
      <c r="EN75" s="34" t="n">
        <f aca="false">SUMPRODUCT(EN21:EN45,OV_O)*INDEX(IdxOV_O,1,MIN(10,EN$17))*(1+P_dMat)/(1-P_Merma)</f>
        <v>0</v>
      </c>
      <c r="EO75" s="34" t="n">
        <f aca="false">SUMPRODUCT(EO21:EO45,OV_O)*INDEX(IdxOV_O,1,MIN(10,EO$17))*(1+P_dMat)/(1-P_Merma)</f>
        <v>0</v>
      </c>
      <c r="EP75" s="34" t="n">
        <f aca="false">SUMPRODUCT(EP21:EP45,OV_O)*INDEX(IdxOV_O,1,MIN(10,EP$17))*(1+P_dMat)/(1-P_Merma)</f>
        <v>0</v>
      </c>
      <c r="EQ75" s="34" t="n">
        <f aca="false">SUMPRODUCT(EQ21:EQ45,OV_O)*INDEX(IdxOV_O,1,MIN(10,EQ$17))*(1+P_dMat)/(1-P_Merma)</f>
        <v>0</v>
      </c>
      <c r="ER75" s="34" t="n">
        <f aca="false">SUMPRODUCT(ER21:ER45,OV_O)*INDEX(IdxOV_O,1,MIN(10,ER$17))*(1+P_dMat)/(1-P_Merma)</f>
        <v>0</v>
      </c>
      <c r="ES75" s="34" t="n">
        <f aca="false">SUMPRODUCT(ES21:ES45,OV_O)*INDEX(IdxOV_O,1,MIN(10,ES$17))*(1+P_dMat)/(1-P_Merma)</f>
        <v>0</v>
      </c>
    </row>
    <row r="76" customFormat="false" ht="15" hidden="false" customHeight="false" outlineLevel="0" collapsed="false">
      <c r="A76" s="2" t="s">
        <v>643</v>
      </c>
      <c r="B76" s="6" t="s">
        <v>644</v>
      </c>
      <c r="C76" s="6" t="s">
        <v>250</v>
      </c>
      <c r="E76" s="40" t="n">
        <f aca="false">SUM(F76:ES76)</f>
        <v>1179542.8015068</v>
      </c>
      <c r="F76" s="34" t="n">
        <f aca="false">P_Desp*(F$73+F$74)</f>
        <v>5975.175</v>
      </c>
      <c r="G76" s="34" t="n">
        <f aca="false">P_Desp*(G$73+G$74)</f>
        <v>5975.175</v>
      </c>
      <c r="H76" s="34" t="n">
        <f aca="false">P_Desp*(H$73+H$74)</f>
        <v>5975.175</v>
      </c>
      <c r="I76" s="34" t="n">
        <f aca="false">P_Desp*(I$73+I$74)</f>
        <v>5975.175</v>
      </c>
      <c r="J76" s="34" t="n">
        <f aca="false">P_Desp*(J$73+J$74)</f>
        <v>5975.175</v>
      </c>
      <c r="K76" s="34" t="n">
        <f aca="false">P_Desp*(K$73+K$74)</f>
        <v>5975.175</v>
      </c>
      <c r="L76" s="34" t="n">
        <f aca="false">P_Desp*(L$73+L$74)</f>
        <v>5975.175</v>
      </c>
      <c r="M76" s="34" t="n">
        <f aca="false">P_Desp*(M$73+M$74)</f>
        <v>5975.175</v>
      </c>
      <c r="N76" s="34" t="n">
        <f aca="false">P_Desp*(N$73+N$74)</f>
        <v>5975.175</v>
      </c>
      <c r="O76" s="34" t="n">
        <f aca="false">P_Desp*(O$73+O$74)</f>
        <v>5975.175</v>
      </c>
      <c r="P76" s="34" t="n">
        <f aca="false">P_Desp*(P$73+P$74)</f>
        <v>5975.175</v>
      </c>
      <c r="Q76" s="34" t="n">
        <f aca="false">P_Desp*(Q$73+Q$74)</f>
        <v>5975.175</v>
      </c>
      <c r="R76" s="34" t="n">
        <f aca="false">P_Desp*(R$73+R$74)</f>
        <v>7593.26625</v>
      </c>
      <c r="S76" s="34" t="n">
        <f aca="false">P_Desp*(S$73+S$74)</f>
        <v>7593.26625</v>
      </c>
      <c r="T76" s="34" t="n">
        <f aca="false">P_Desp*(T$73+T$74)</f>
        <v>7593.26625</v>
      </c>
      <c r="U76" s="34" t="n">
        <f aca="false">P_Desp*(U$73+U$74)</f>
        <v>7593.26625</v>
      </c>
      <c r="V76" s="34" t="n">
        <f aca="false">P_Desp*(V$73+V$74)</f>
        <v>7593.26625</v>
      </c>
      <c r="W76" s="34" t="n">
        <f aca="false">P_Desp*(W$73+W$74)</f>
        <v>7593.26625</v>
      </c>
      <c r="X76" s="34" t="n">
        <f aca="false">P_Desp*(X$73+X$74)</f>
        <v>7593.26625</v>
      </c>
      <c r="Y76" s="34" t="n">
        <f aca="false">P_Desp*(Y$73+Y$74)</f>
        <v>7593.26625</v>
      </c>
      <c r="Z76" s="34" t="n">
        <f aca="false">P_Desp*(Z$73+Z$74)</f>
        <v>7593.26625</v>
      </c>
      <c r="AA76" s="34" t="n">
        <f aca="false">P_Desp*(AA$73+AA$74)</f>
        <v>7593.26625</v>
      </c>
      <c r="AB76" s="34" t="n">
        <f aca="false">P_Desp*(AB$73+AB$74)</f>
        <v>7593.26625</v>
      </c>
      <c r="AC76" s="34" t="n">
        <f aca="false">P_Desp*(AC$73+AC$74)</f>
        <v>7593.26625</v>
      </c>
      <c r="AD76" s="34" t="n">
        <f aca="false">P_Desp*(AD$73+AD$74)</f>
        <v>9231.7407</v>
      </c>
      <c r="AE76" s="34" t="n">
        <f aca="false">P_Desp*(AE$73+AE$74)</f>
        <v>9231.7407</v>
      </c>
      <c r="AF76" s="34" t="n">
        <f aca="false">P_Desp*(AF$73+AF$74)</f>
        <v>9231.7407</v>
      </c>
      <c r="AG76" s="34" t="n">
        <f aca="false">P_Desp*(AG$73+AG$74)</f>
        <v>9231.7407</v>
      </c>
      <c r="AH76" s="34" t="n">
        <f aca="false">P_Desp*(AH$73+AH$74)</f>
        <v>9231.7407</v>
      </c>
      <c r="AI76" s="34" t="n">
        <f aca="false">P_Desp*(AI$73+AI$74)</f>
        <v>9231.7407</v>
      </c>
      <c r="AJ76" s="34" t="n">
        <f aca="false">P_Desp*(AJ$73+AJ$74)</f>
        <v>9231.7407</v>
      </c>
      <c r="AK76" s="34" t="n">
        <f aca="false">P_Desp*(AK$73+AK$74)</f>
        <v>9231.7407</v>
      </c>
      <c r="AL76" s="34" t="n">
        <f aca="false">P_Desp*(AL$73+AL$74)</f>
        <v>9231.7407</v>
      </c>
      <c r="AM76" s="34" t="n">
        <f aca="false">P_Desp*(AM$73+AM$74)</f>
        <v>9231.7407</v>
      </c>
      <c r="AN76" s="34" t="n">
        <f aca="false">P_Desp*(AN$73+AN$74)</f>
        <v>9231.7407</v>
      </c>
      <c r="AO76" s="34" t="n">
        <f aca="false">P_Desp*(AO$73+AO$74)</f>
        <v>9231.7407</v>
      </c>
      <c r="AP76" s="34" t="n">
        <f aca="false">P_Desp*(AP$73+AP$74)</f>
        <v>10578.763949625</v>
      </c>
      <c r="AQ76" s="34" t="n">
        <f aca="false">P_Desp*(AQ$73+AQ$74)</f>
        <v>10578.763949625</v>
      </c>
      <c r="AR76" s="34" t="n">
        <f aca="false">P_Desp*(AR$73+AR$74)</f>
        <v>10578.763949625</v>
      </c>
      <c r="AS76" s="34" t="n">
        <f aca="false">P_Desp*(AS$73+AS$74)</f>
        <v>10578.763949625</v>
      </c>
      <c r="AT76" s="34" t="n">
        <f aca="false">P_Desp*(AT$73+AT$74)</f>
        <v>10578.763949625</v>
      </c>
      <c r="AU76" s="34" t="n">
        <f aca="false">P_Desp*(AU$73+AU$74)</f>
        <v>10578.763949625</v>
      </c>
      <c r="AV76" s="34" t="n">
        <f aca="false">P_Desp*(AV$73+AV$74)</f>
        <v>10578.763949625</v>
      </c>
      <c r="AW76" s="34" t="n">
        <f aca="false">P_Desp*(AW$73+AW$74)</f>
        <v>10578.763949625</v>
      </c>
      <c r="AX76" s="34" t="n">
        <f aca="false">P_Desp*(AX$73+AX$74)</f>
        <v>10578.763949625</v>
      </c>
      <c r="AY76" s="34" t="n">
        <f aca="false">P_Desp*(AY$73+AY$74)</f>
        <v>10578.763949625</v>
      </c>
      <c r="AZ76" s="34" t="n">
        <f aca="false">P_Desp*(AZ$73+AZ$74)</f>
        <v>10578.763949625</v>
      </c>
      <c r="BA76" s="34" t="n">
        <f aca="false">P_Desp*(BA$73+BA$74)</f>
        <v>10578.763949625</v>
      </c>
      <c r="BB76" s="34" t="n">
        <f aca="false">P_Desp*(BB$73+BB$74)</f>
        <v>10646.3735891213</v>
      </c>
      <c r="BC76" s="34" t="n">
        <f aca="false">P_Desp*(BC$73+BC$74)</f>
        <v>10646.3735891213</v>
      </c>
      <c r="BD76" s="34" t="n">
        <f aca="false">P_Desp*(BD$73+BD$74)</f>
        <v>10646.3735891213</v>
      </c>
      <c r="BE76" s="34" t="n">
        <f aca="false">P_Desp*(BE$73+BE$74)</f>
        <v>10646.3735891213</v>
      </c>
      <c r="BF76" s="34" t="n">
        <f aca="false">P_Desp*(BF$73+BF$74)</f>
        <v>10646.3735891213</v>
      </c>
      <c r="BG76" s="34" t="n">
        <f aca="false">P_Desp*(BG$73+BG$74)</f>
        <v>10646.3735891213</v>
      </c>
      <c r="BH76" s="34" t="n">
        <f aca="false">P_Desp*(BH$73+BH$74)</f>
        <v>10646.3735891213</v>
      </c>
      <c r="BI76" s="34" t="n">
        <f aca="false">P_Desp*(BI$73+BI$74)</f>
        <v>10646.3735891213</v>
      </c>
      <c r="BJ76" s="34" t="n">
        <f aca="false">P_Desp*(BJ$73+BJ$74)</f>
        <v>10646.3735891213</v>
      </c>
      <c r="BK76" s="34" t="n">
        <f aca="false">P_Desp*(BK$73+BK$74)</f>
        <v>10646.3735891213</v>
      </c>
      <c r="BL76" s="34" t="n">
        <f aca="false">P_Desp*(BL$73+BL$74)</f>
        <v>10646.3735891213</v>
      </c>
      <c r="BM76" s="34" t="n">
        <f aca="false">P_Desp*(BM$73+BM$74)</f>
        <v>10646.3735891213</v>
      </c>
      <c r="BN76" s="34" t="n">
        <f aca="false">P_Desp*(BN$73+BN$74)</f>
        <v>10714.6593250125</v>
      </c>
      <c r="BO76" s="34" t="n">
        <f aca="false">P_Desp*(BO$73+BO$74)</f>
        <v>10714.6593250125</v>
      </c>
      <c r="BP76" s="34" t="n">
        <f aca="false">P_Desp*(BP$73+BP$74)</f>
        <v>10714.6593250125</v>
      </c>
      <c r="BQ76" s="34" t="n">
        <f aca="false">P_Desp*(BQ$73+BQ$74)</f>
        <v>10714.6593250125</v>
      </c>
      <c r="BR76" s="34" t="n">
        <f aca="false">P_Desp*(BR$73+BR$74)</f>
        <v>10714.6593250125</v>
      </c>
      <c r="BS76" s="34" t="n">
        <f aca="false">P_Desp*(BS$73+BS$74)</f>
        <v>10714.6593250125</v>
      </c>
      <c r="BT76" s="34" t="n">
        <f aca="false">P_Desp*(BT$73+BT$74)</f>
        <v>10714.6593250125</v>
      </c>
      <c r="BU76" s="34" t="n">
        <f aca="false">P_Desp*(BU$73+BU$74)</f>
        <v>10714.6593250125</v>
      </c>
      <c r="BV76" s="34" t="n">
        <f aca="false">P_Desp*(BV$73+BV$74)</f>
        <v>10714.6593250125</v>
      </c>
      <c r="BW76" s="34" t="n">
        <f aca="false">P_Desp*(BW$73+BW$74)</f>
        <v>10714.6593250125</v>
      </c>
      <c r="BX76" s="34" t="n">
        <f aca="false">P_Desp*(BX$73+BX$74)</f>
        <v>10714.6593250125</v>
      </c>
      <c r="BY76" s="34" t="n">
        <f aca="false">P_Desp*(BY$73+BY$74)</f>
        <v>10714.6593250125</v>
      </c>
      <c r="BZ76" s="34" t="n">
        <f aca="false">P_Desp*(BZ$73+BZ$74)</f>
        <v>10783.6279182626</v>
      </c>
      <c r="CA76" s="34" t="n">
        <f aca="false">P_Desp*(CA$73+CA$74)</f>
        <v>10783.6279182626</v>
      </c>
      <c r="CB76" s="34" t="n">
        <f aca="false">P_Desp*(CB$73+CB$74)</f>
        <v>10783.6279182626</v>
      </c>
      <c r="CC76" s="34" t="n">
        <f aca="false">P_Desp*(CC$73+CC$74)</f>
        <v>10783.6279182626</v>
      </c>
      <c r="CD76" s="34" t="n">
        <f aca="false">P_Desp*(CD$73+CD$74)</f>
        <v>10783.6279182626</v>
      </c>
      <c r="CE76" s="34" t="n">
        <f aca="false">P_Desp*(CE$73+CE$74)</f>
        <v>10783.6279182626</v>
      </c>
      <c r="CF76" s="34" t="n">
        <f aca="false">P_Desp*(CF$73+CF$74)</f>
        <v>10783.6279182626</v>
      </c>
      <c r="CG76" s="34" t="n">
        <f aca="false">P_Desp*(CG$73+CG$74)</f>
        <v>10783.6279182626</v>
      </c>
      <c r="CH76" s="34" t="n">
        <f aca="false">P_Desp*(CH$73+CH$74)</f>
        <v>10783.6279182626</v>
      </c>
      <c r="CI76" s="34" t="n">
        <f aca="false">P_Desp*(CI$73+CI$74)</f>
        <v>10783.6279182626</v>
      </c>
      <c r="CJ76" s="34" t="n">
        <f aca="false">P_Desp*(CJ$73+CJ$74)</f>
        <v>10783.6279182626</v>
      </c>
      <c r="CK76" s="34" t="n">
        <f aca="false">P_Desp*(CK$73+CK$74)</f>
        <v>10783.6279182626</v>
      </c>
      <c r="CL76" s="34" t="n">
        <f aca="false">P_Desp*(CL$73+CL$74)</f>
        <v>10853.2861974452</v>
      </c>
      <c r="CM76" s="34" t="n">
        <f aca="false">P_Desp*(CM$73+CM$74)</f>
        <v>10853.2861974452</v>
      </c>
      <c r="CN76" s="34" t="n">
        <f aca="false">P_Desp*(CN$73+CN$74)</f>
        <v>10853.2861974452</v>
      </c>
      <c r="CO76" s="34" t="n">
        <f aca="false">P_Desp*(CO$73+CO$74)</f>
        <v>10853.2861974452</v>
      </c>
      <c r="CP76" s="34" t="n">
        <f aca="false">P_Desp*(CP$73+CP$74)</f>
        <v>10853.2861974452</v>
      </c>
      <c r="CQ76" s="34" t="n">
        <f aca="false">P_Desp*(CQ$73+CQ$74)</f>
        <v>10853.2861974452</v>
      </c>
      <c r="CR76" s="34" t="n">
        <f aca="false">P_Desp*(CR$73+CR$74)</f>
        <v>10853.2861974452</v>
      </c>
      <c r="CS76" s="34" t="n">
        <f aca="false">P_Desp*(CS$73+CS$74)</f>
        <v>10853.2861974452</v>
      </c>
      <c r="CT76" s="34" t="n">
        <f aca="false">P_Desp*(CT$73+CT$74)</f>
        <v>10853.2861974452</v>
      </c>
      <c r="CU76" s="34" t="n">
        <f aca="false">P_Desp*(CU$73+CU$74)</f>
        <v>10853.2861974452</v>
      </c>
      <c r="CV76" s="34" t="n">
        <f aca="false">P_Desp*(CV$73+CV$74)</f>
        <v>10853.2861974452</v>
      </c>
      <c r="CW76" s="34" t="n">
        <f aca="false">P_Desp*(CW$73+CW$74)</f>
        <v>10853.2861974452</v>
      </c>
      <c r="CX76" s="34" t="n">
        <f aca="false">P_Desp*(CX$73+CX$74)</f>
        <v>10923.6410594197</v>
      </c>
      <c r="CY76" s="34" t="n">
        <f aca="false">P_Desp*(CY$73+CY$74)</f>
        <v>10923.6410594197</v>
      </c>
      <c r="CZ76" s="34" t="n">
        <f aca="false">P_Desp*(CZ$73+CZ$74)</f>
        <v>10923.6410594197</v>
      </c>
      <c r="DA76" s="34" t="n">
        <f aca="false">P_Desp*(DA$73+DA$74)</f>
        <v>10923.6410594197</v>
      </c>
      <c r="DB76" s="34" t="n">
        <f aca="false">P_Desp*(DB$73+DB$74)</f>
        <v>10923.6410594197</v>
      </c>
      <c r="DC76" s="34" t="n">
        <f aca="false">P_Desp*(DC$73+DC$74)</f>
        <v>10923.6410594197</v>
      </c>
      <c r="DD76" s="34" t="n">
        <f aca="false">P_Desp*(DD$73+DD$74)</f>
        <v>10923.6410594197</v>
      </c>
      <c r="DE76" s="34" t="n">
        <f aca="false">P_Desp*(DE$73+DE$74)</f>
        <v>10923.6410594197</v>
      </c>
      <c r="DF76" s="34" t="n">
        <f aca="false">P_Desp*(DF$73+DF$74)</f>
        <v>10923.6410594197</v>
      </c>
      <c r="DG76" s="34" t="n">
        <f aca="false">P_Desp*(DG$73+DG$74)</f>
        <v>10923.6410594197</v>
      </c>
      <c r="DH76" s="34" t="n">
        <f aca="false">P_Desp*(DH$73+DH$74)</f>
        <v>10923.6410594197</v>
      </c>
      <c r="DI76" s="34" t="n">
        <f aca="false">P_Desp*(DI$73+DI$74)</f>
        <v>10923.6410594197</v>
      </c>
      <c r="DJ76" s="34" t="n">
        <f aca="false">P_Desp*(DJ$73+DJ$74)</f>
        <v>10994.6994700139</v>
      </c>
      <c r="DK76" s="34" t="n">
        <f aca="false">P_Desp*(DK$73+DK$74)</f>
        <v>10994.6994700139</v>
      </c>
      <c r="DL76" s="34" t="n">
        <f aca="false">P_Desp*(DL$73+DL$74)</f>
        <v>10994.6994700139</v>
      </c>
      <c r="DM76" s="34" t="n">
        <f aca="false">P_Desp*(DM$73+DM$74)</f>
        <v>10994.6994700139</v>
      </c>
      <c r="DN76" s="34" t="n">
        <f aca="false">P_Desp*(DN$73+DN$74)</f>
        <v>10994.6994700139</v>
      </c>
      <c r="DO76" s="34" t="n">
        <f aca="false">P_Desp*(DO$73+DO$74)</f>
        <v>10994.6994700139</v>
      </c>
      <c r="DP76" s="34" t="n">
        <f aca="false">P_Desp*(DP$73+DP$74)</f>
        <v>10994.6994700139</v>
      </c>
      <c r="DQ76" s="34" t="n">
        <f aca="false">P_Desp*(DQ$73+DQ$74)</f>
        <v>10994.6994700139</v>
      </c>
      <c r="DR76" s="34" t="n">
        <f aca="false">P_Desp*(DR$73+DR$74)</f>
        <v>10994.6994700139</v>
      </c>
      <c r="DS76" s="34" t="n">
        <f aca="false">P_Desp*(DS$73+DS$74)</f>
        <v>10994.6994700139</v>
      </c>
      <c r="DT76" s="34" t="n">
        <f aca="false">P_Desp*(DT$73+DT$74)</f>
        <v>10994.6994700139</v>
      </c>
      <c r="DU76" s="34" t="n">
        <f aca="false">P_Desp*(DU$73+DU$74)</f>
        <v>10994.6994700139</v>
      </c>
      <c r="DV76" s="34" t="n">
        <f aca="false">P_Desp*(DV$73+DV$74)</f>
        <v>0</v>
      </c>
      <c r="DW76" s="34" t="n">
        <f aca="false">P_Desp*(DW$73+DW$74)</f>
        <v>0</v>
      </c>
      <c r="DX76" s="34" t="n">
        <f aca="false">P_Desp*(DX$73+DX$74)</f>
        <v>0</v>
      </c>
      <c r="DY76" s="34" t="n">
        <f aca="false">P_Desp*(DY$73+DY$74)</f>
        <v>0</v>
      </c>
      <c r="DZ76" s="34" t="n">
        <f aca="false">P_Desp*(DZ$73+DZ$74)</f>
        <v>0</v>
      </c>
      <c r="EA76" s="34" t="n">
        <f aca="false">P_Desp*(EA$73+EA$74)</f>
        <v>0</v>
      </c>
      <c r="EB76" s="34" t="n">
        <f aca="false">P_Desp*(EB$73+EB$74)</f>
        <v>0</v>
      </c>
      <c r="EC76" s="34" t="n">
        <f aca="false">P_Desp*(EC$73+EC$74)</f>
        <v>0</v>
      </c>
      <c r="ED76" s="34" t="n">
        <f aca="false">P_Desp*(ED$73+ED$74)</f>
        <v>0</v>
      </c>
      <c r="EE76" s="34" t="n">
        <f aca="false">P_Desp*(EE$73+EE$74)</f>
        <v>0</v>
      </c>
      <c r="EF76" s="34" t="n">
        <f aca="false">P_Desp*(EF$73+EF$74)</f>
        <v>0</v>
      </c>
      <c r="EG76" s="34" t="n">
        <f aca="false">P_Desp*(EG$73+EG$74)</f>
        <v>0</v>
      </c>
      <c r="EH76" s="34" t="n">
        <f aca="false">P_Desp*(EH$73+EH$74)</f>
        <v>0</v>
      </c>
      <c r="EI76" s="34" t="n">
        <f aca="false">P_Desp*(EI$73+EI$74)</f>
        <v>0</v>
      </c>
      <c r="EJ76" s="34" t="n">
        <f aca="false">P_Desp*(EJ$73+EJ$74)</f>
        <v>0</v>
      </c>
      <c r="EK76" s="34" t="n">
        <f aca="false">P_Desp*(EK$73+EK$74)</f>
        <v>0</v>
      </c>
      <c r="EL76" s="34" t="n">
        <f aca="false">P_Desp*(EL$73+EL$74)</f>
        <v>0</v>
      </c>
      <c r="EM76" s="34" t="n">
        <f aca="false">P_Desp*(EM$73+EM$74)</f>
        <v>0</v>
      </c>
      <c r="EN76" s="34" t="n">
        <f aca="false">P_Desp*(EN$73+EN$74)</f>
        <v>0</v>
      </c>
      <c r="EO76" s="34" t="n">
        <f aca="false">P_Desp*(EO$73+EO$74)</f>
        <v>0</v>
      </c>
      <c r="EP76" s="34" t="n">
        <f aca="false">P_Desp*(EP$73+EP$74)</f>
        <v>0</v>
      </c>
      <c r="EQ76" s="34" t="n">
        <f aca="false">P_Desp*(EQ$73+EQ$74)</f>
        <v>0</v>
      </c>
      <c r="ER76" s="34" t="n">
        <f aca="false">P_Desp*(ER$73+ER$74)</f>
        <v>0</v>
      </c>
      <c r="ES76" s="34" t="n">
        <f aca="false">P_Desp*(ES$73+ES$74)</f>
        <v>0</v>
      </c>
    </row>
    <row r="77" customFormat="false" ht="15" hidden="false" customHeight="false" outlineLevel="0" collapsed="false">
      <c r="A77" s="2" t="s">
        <v>645</v>
      </c>
      <c r="B77" s="6" t="s">
        <v>646</v>
      </c>
      <c r="C77" s="6" t="s">
        <v>647</v>
      </c>
      <c r="F77" s="36" t="n">
        <f aca="false">SUMPRODUCT((Per_Clase="Directo")*INDEX(Dot_O,0,MIN(10,F$17)))*(F$15+F$16*P_PreDir)</f>
        <v>43</v>
      </c>
      <c r="G77" s="36" t="n">
        <f aca="false">SUMPRODUCT((Per_Clase="Directo")*INDEX(Dot_O,0,MIN(10,G$17)))*(G$15+G$16*P_PreDir)</f>
        <v>43</v>
      </c>
      <c r="H77" s="36" t="n">
        <f aca="false">SUMPRODUCT((Per_Clase="Directo")*INDEX(Dot_O,0,MIN(10,H$17)))*(H$15+H$16*P_PreDir)</f>
        <v>43</v>
      </c>
      <c r="I77" s="36" t="n">
        <f aca="false">SUMPRODUCT((Per_Clase="Directo")*INDEX(Dot_O,0,MIN(10,I$17)))*(I$15+I$16*P_PreDir)</f>
        <v>43</v>
      </c>
      <c r="J77" s="36" t="n">
        <f aca="false">SUMPRODUCT((Per_Clase="Directo")*INDEX(Dot_O,0,MIN(10,J$17)))*(J$15+J$16*P_PreDir)</f>
        <v>43</v>
      </c>
      <c r="K77" s="36" t="n">
        <f aca="false">SUMPRODUCT((Per_Clase="Directo")*INDEX(Dot_O,0,MIN(10,K$17)))*(K$15+K$16*P_PreDir)</f>
        <v>43</v>
      </c>
      <c r="L77" s="36" t="n">
        <f aca="false">SUMPRODUCT((Per_Clase="Directo")*INDEX(Dot_O,0,MIN(10,L$17)))*(L$15+L$16*P_PreDir)</f>
        <v>43</v>
      </c>
      <c r="M77" s="36" t="n">
        <f aca="false">SUMPRODUCT((Per_Clase="Directo")*INDEX(Dot_O,0,MIN(10,M$17)))*(M$15+M$16*P_PreDir)</f>
        <v>43</v>
      </c>
      <c r="N77" s="36" t="n">
        <f aca="false">SUMPRODUCT((Per_Clase="Directo")*INDEX(Dot_O,0,MIN(10,N$17)))*(N$15+N$16*P_PreDir)</f>
        <v>43</v>
      </c>
      <c r="O77" s="36" t="n">
        <f aca="false">SUMPRODUCT((Per_Clase="Directo")*INDEX(Dot_O,0,MIN(10,O$17)))*(O$15+O$16*P_PreDir)</f>
        <v>43</v>
      </c>
      <c r="P77" s="36" t="n">
        <f aca="false">SUMPRODUCT((Per_Clase="Directo")*INDEX(Dot_O,0,MIN(10,P$17)))*(P$15+P$16*P_PreDir)</f>
        <v>43</v>
      </c>
      <c r="Q77" s="36" t="n">
        <f aca="false">SUMPRODUCT((Per_Clase="Directo")*INDEX(Dot_O,0,MIN(10,Q$17)))*(Q$15+Q$16*P_PreDir)</f>
        <v>43</v>
      </c>
      <c r="R77" s="36" t="n">
        <f aca="false">SUMPRODUCT((Per_Clase="Directo")*INDEX(Dot_O,0,MIN(10,R$17)))*(R$15+R$16*P_PreDir)</f>
        <v>43</v>
      </c>
      <c r="S77" s="36" t="n">
        <f aca="false">SUMPRODUCT((Per_Clase="Directo")*INDEX(Dot_O,0,MIN(10,S$17)))*(S$15+S$16*P_PreDir)</f>
        <v>43</v>
      </c>
      <c r="T77" s="36" t="n">
        <f aca="false">SUMPRODUCT((Per_Clase="Directo")*INDEX(Dot_O,0,MIN(10,T$17)))*(T$15+T$16*P_PreDir)</f>
        <v>43</v>
      </c>
      <c r="U77" s="36" t="n">
        <f aca="false">SUMPRODUCT((Per_Clase="Directo")*INDEX(Dot_O,0,MIN(10,U$17)))*(U$15+U$16*P_PreDir)</f>
        <v>43</v>
      </c>
      <c r="V77" s="36" t="n">
        <f aca="false">SUMPRODUCT((Per_Clase="Directo")*INDEX(Dot_O,0,MIN(10,V$17)))*(V$15+V$16*P_PreDir)</f>
        <v>43</v>
      </c>
      <c r="W77" s="36" t="n">
        <f aca="false">SUMPRODUCT((Per_Clase="Directo")*INDEX(Dot_O,0,MIN(10,W$17)))*(W$15+W$16*P_PreDir)</f>
        <v>43</v>
      </c>
      <c r="X77" s="36" t="n">
        <f aca="false">SUMPRODUCT((Per_Clase="Directo")*INDEX(Dot_O,0,MIN(10,X$17)))*(X$15+X$16*P_PreDir)</f>
        <v>43</v>
      </c>
      <c r="Y77" s="36" t="n">
        <f aca="false">SUMPRODUCT((Per_Clase="Directo")*INDEX(Dot_O,0,MIN(10,Y$17)))*(Y$15+Y$16*P_PreDir)</f>
        <v>43</v>
      </c>
      <c r="Z77" s="36" t="n">
        <f aca="false">SUMPRODUCT((Per_Clase="Directo")*INDEX(Dot_O,0,MIN(10,Z$17)))*(Z$15+Z$16*P_PreDir)</f>
        <v>43</v>
      </c>
      <c r="AA77" s="36" t="n">
        <f aca="false">SUMPRODUCT((Per_Clase="Directo")*INDEX(Dot_O,0,MIN(10,AA$17)))*(AA$15+AA$16*P_PreDir)</f>
        <v>43</v>
      </c>
      <c r="AB77" s="36" t="n">
        <f aca="false">SUMPRODUCT((Per_Clase="Directo")*INDEX(Dot_O,0,MIN(10,AB$17)))*(AB$15+AB$16*P_PreDir)</f>
        <v>43</v>
      </c>
      <c r="AC77" s="36" t="n">
        <f aca="false">SUMPRODUCT((Per_Clase="Directo")*INDEX(Dot_O,0,MIN(10,AC$17)))*(AC$15+AC$16*P_PreDir)</f>
        <v>43</v>
      </c>
      <c r="AD77" s="36" t="n">
        <f aca="false">SUMPRODUCT((Per_Clase="Directo")*INDEX(Dot_O,0,MIN(10,AD$17)))*(AD$15+AD$16*P_PreDir)</f>
        <v>46</v>
      </c>
      <c r="AE77" s="36" t="n">
        <f aca="false">SUMPRODUCT((Per_Clase="Directo")*INDEX(Dot_O,0,MIN(10,AE$17)))*(AE$15+AE$16*P_PreDir)</f>
        <v>46</v>
      </c>
      <c r="AF77" s="36" t="n">
        <f aca="false">SUMPRODUCT((Per_Clase="Directo")*INDEX(Dot_O,0,MIN(10,AF$17)))*(AF$15+AF$16*P_PreDir)</f>
        <v>46</v>
      </c>
      <c r="AG77" s="36" t="n">
        <f aca="false">SUMPRODUCT((Per_Clase="Directo")*INDEX(Dot_O,0,MIN(10,AG$17)))*(AG$15+AG$16*P_PreDir)</f>
        <v>46</v>
      </c>
      <c r="AH77" s="36" t="n">
        <f aca="false">SUMPRODUCT((Per_Clase="Directo")*INDEX(Dot_O,0,MIN(10,AH$17)))*(AH$15+AH$16*P_PreDir)</f>
        <v>46</v>
      </c>
      <c r="AI77" s="36" t="n">
        <f aca="false">SUMPRODUCT((Per_Clase="Directo")*INDEX(Dot_O,0,MIN(10,AI$17)))*(AI$15+AI$16*P_PreDir)</f>
        <v>46</v>
      </c>
      <c r="AJ77" s="36" t="n">
        <f aca="false">SUMPRODUCT((Per_Clase="Directo")*INDEX(Dot_O,0,MIN(10,AJ$17)))*(AJ$15+AJ$16*P_PreDir)</f>
        <v>46</v>
      </c>
      <c r="AK77" s="36" t="n">
        <f aca="false">SUMPRODUCT((Per_Clase="Directo")*INDEX(Dot_O,0,MIN(10,AK$17)))*(AK$15+AK$16*P_PreDir)</f>
        <v>46</v>
      </c>
      <c r="AL77" s="36" t="n">
        <f aca="false">SUMPRODUCT((Per_Clase="Directo")*INDEX(Dot_O,0,MIN(10,AL$17)))*(AL$15+AL$16*P_PreDir)</f>
        <v>46</v>
      </c>
      <c r="AM77" s="36" t="n">
        <f aca="false">SUMPRODUCT((Per_Clase="Directo")*INDEX(Dot_O,0,MIN(10,AM$17)))*(AM$15+AM$16*P_PreDir)</f>
        <v>46</v>
      </c>
      <c r="AN77" s="36" t="n">
        <f aca="false">SUMPRODUCT((Per_Clase="Directo")*INDEX(Dot_O,0,MIN(10,AN$17)))*(AN$15+AN$16*P_PreDir)</f>
        <v>46</v>
      </c>
      <c r="AO77" s="36" t="n">
        <f aca="false">SUMPRODUCT((Per_Clase="Directo")*INDEX(Dot_O,0,MIN(10,AO$17)))*(AO$15+AO$16*P_PreDir)</f>
        <v>46</v>
      </c>
      <c r="AP77" s="36" t="n">
        <f aca="false">SUMPRODUCT((Per_Clase="Directo")*INDEX(Dot_O,0,MIN(10,AP$17)))*(AP$15+AP$16*P_PreDir)</f>
        <v>49</v>
      </c>
      <c r="AQ77" s="36" t="n">
        <f aca="false">SUMPRODUCT((Per_Clase="Directo")*INDEX(Dot_O,0,MIN(10,AQ$17)))*(AQ$15+AQ$16*P_PreDir)</f>
        <v>49</v>
      </c>
      <c r="AR77" s="36" t="n">
        <f aca="false">SUMPRODUCT((Per_Clase="Directo")*INDEX(Dot_O,0,MIN(10,AR$17)))*(AR$15+AR$16*P_PreDir)</f>
        <v>49</v>
      </c>
      <c r="AS77" s="36" t="n">
        <f aca="false">SUMPRODUCT((Per_Clase="Directo")*INDEX(Dot_O,0,MIN(10,AS$17)))*(AS$15+AS$16*P_PreDir)</f>
        <v>49</v>
      </c>
      <c r="AT77" s="36" t="n">
        <f aca="false">SUMPRODUCT((Per_Clase="Directo")*INDEX(Dot_O,0,MIN(10,AT$17)))*(AT$15+AT$16*P_PreDir)</f>
        <v>49</v>
      </c>
      <c r="AU77" s="36" t="n">
        <f aca="false">SUMPRODUCT((Per_Clase="Directo")*INDEX(Dot_O,0,MIN(10,AU$17)))*(AU$15+AU$16*P_PreDir)</f>
        <v>49</v>
      </c>
      <c r="AV77" s="36" t="n">
        <f aca="false">SUMPRODUCT((Per_Clase="Directo")*INDEX(Dot_O,0,MIN(10,AV$17)))*(AV$15+AV$16*P_PreDir)</f>
        <v>49</v>
      </c>
      <c r="AW77" s="36" t="n">
        <f aca="false">SUMPRODUCT((Per_Clase="Directo")*INDEX(Dot_O,0,MIN(10,AW$17)))*(AW$15+AW$16*P_PreDir)</f>
        <v>49</v>
      </c>
      <c r="AX77" s="36" t="n">
        <f aca="false">SUMPRODUCT((Per_Clase="Directo")*INDEX(Dot_O,0,MIN(10,AX$17)))*(AX$15+AX$16*P_PreDir)</f>
        <v>49</v>
      </c>
      <c r="AY77" s="36" t="n">
        <f aca="false">SUMPRODUCT((Per_Clase="Directo")*INDEX(Dot_O,0,MIN(10,AY$17)))*(AY$15+AY$16*P_PreDir)</f>
        <v>49</v>
      </c>
      <c r="AZ77" s="36" t="n">
        <f aca="false">SUMPRODUCT((Per_Clase="Directo")*INDEX(Dot_O,0,MIN(10,AZ$17)))*(AZ$15+AZ$16*P_PreDir)</f>
        <v>49</v>
      </c>
      <c r="BA77" s="36" t="n">
        <f aca="false">SUMPRODUCT((Per_Clase="Directo")*INDEX(Dot_O,0,MIN(10,BA$17)))*(BA$15+BA$16*P_PreDir)</f>
        <v>49</v>
      </c>
      <c r="BB77" s="36" t="n">
        <f aca="false">SUMPRODUCT((Per_Clase="Directo")*INDEX(Dot_O,0,MIN(10,BB$17)))*(BB$15+BB$16*P_PreDir)</f>
        <v>52</v>
      </c>
      <c r="BC77" s="36" t="n">
        <f aca="false">SUMPRODUCT((Per_Clase="Directo")*INDEX(Dot_O,0,MIN(10,BC$17)))*(BC$15+BC$16*P_PreDir)</f>
        <v>52</v>
      </c>
      <c r="BD77" s="36" t="n">
        <f aca="false">SUMPRODUCT((Per_Clase="Directo")*INDEX(Dot_O,0,MIN(10,BD$17)))*(BD$15+BD$16*P_PreDir)</f>
        <v>52</v>
      </c>
      <c r="BE77" s="36" t="n">
        <f aca="false">SUMPRODUCT((Per_Clase="Directo")*INDEX(Dot_O,0,MIN(10,BE$17)))*(BE$15+BE$16*P_PreDir)</f>
        <v>52</v>
      </c>
      <c r="BF77" s="36" t="n">
        <f aca="false">SUMPRODUCT((Per_Clase="Directo")*INDEX(Dot_O,0,MIN(10,BF$17)))*(BF$15+BF$16*P_PreDir)</f>
        <v>52</v>
      </c>
      <c r="BG77" s="36" t="n">
        <f aca="false">SUMPRODUCT((Per_Clase="Directo")*INDEX(Dot_O,0,MIN(10,BG$17)))*(BG$15+BG$16*P_PreDir)</f>
        <v>52</v>
      </c>
      <c r="BH77" s="36" t="n">
        <f aca="false">SUMPRODUCT((Per_Clase="Directo")*INDEX(Dot_O,0,MIN(10,BH$17)))*(BH$15+BH$16*P_PreDir)</f>
        <v>52</v>
      </c>
      <c r="BI77" s="36" t="n">
        <f aca="false">SUMPRODUCT((Per_Clase="Directo")*INDEX(Dot_O,0,MIN(10,BI$17)))*(BI$15+BI$16*P_PreDir)</f>
        <v>52</v>
      </c>
      <c r="BJ77" s="36" t="n">
        <f aca="false">SUMPRODUCT((Per_Clase="Directo")*INDEX(Dot_O,0,MIN(10,BJ$17)))*(BJ$15+BJ$16*P_PreDir)</f>
        <v>52</v>
      </c>
      <c r="BK77" s="36" t="n">
        <f aca="false">SUMPRODUCT((Per_Clase="Directo")*INDEX(Dot_O,0,MIN(10,BK$17)))*(BK$15+BK$16*P_PreDir)</f>
        <v>52</v>
      </c>
      <c r="BL77" s="36" t="n">
        <f aca="false">SUMPRODUCT((Per_Clase="Directo")*INDEX(Dot_O,0,MIN(10,BL$17)))*(BL$15+BL$16*P_PreDir)</f>
        <v>52</v>
      </c>
      <c r="BM77" s="36" t="n">
        <f aca="false">SUMPRODUCT((Per_Clase="Directo")*INDEX(Dot_O,0,MIN(10,BM$17)))*(BM$15+BM$16*P_PreDir)</f>
        <v>52</v>
      </c>
      <c r="BN77" s="36" t="n">
        <f aca="false">SUMPRODUCT((Per_Clase="Directo")*INDEX(Dot_O,0,MIN(10,BN$17)))*(BN$15+BN$16*P_PreDir)</f>
        <v>52</v>
      </c>
      <c r="BO77" s="36" t="n">
        <f aca="false">SUMPRODUCT((Per_Clase="Directo")*INDEX(Dot_O,0,MIN(10,BO$17)))*(BO$15+BO$16*P_PreDir)</f>
        <v>52</v>
      </c>
      <c r="BP77" s="36" t="n">
        <f aca="false">SUMPRODUCT((Per_Clase="Directo")*INDEX(Dot_O,0,MIN(10,BP$17)))*(BP$15+BP$16*P_PreDir)</f>
        <v>52</v>
      </c>
      <c r="BQ77" s="36" t="n">
        <f aca="false">SUMPRODUCT((Per_Clase="Directo")*INDEX(Dot_O,0,MIN(10,BQ$17)))*(BQ$15+BQ$16*P_PreDir)</f>
        <v>52</v>
      </c>
      <c r="BR77" s="36" t="n">
        <f aca="false">SUMPRODUCT((Per_Clase="Directo")*INDEX(Dot_O,0,MIN(10,BR$17)))*(BR$15+BR$16*P_PreDir)</f>
        <v>52</v>
      </c>
      <c r="BS77" s="36" t="n">
        <f aca="false">SUMPRODUCT((Per_Clase="Directo")*INDEX(Dot_O,0,MIN(10,BS$17)))*(BS$15+BS$16*P_PreDir)</f>
        <v>52</v>
      </c>
      <c r="BT77" s="36" t="n">
        <f aca="false">SUMPRODUCT((Per_Clase="Directo")*INDEX(Dot_O,0,MIN(10,BT$17)))*(BT$15+BT$16*P_PreDir)</f>
        <v>52</v>
      </c>
      <c r="BU77" s="36" t="n">
        <f aca="false">SUMPRODUCT((Per_Clase="Directo")*INDEX(Dot_O,0,MIN(10,BU$17)))*(BU$15+BU$16*P_PreDir)</f>
        <v>52</v>
      </c>
      <c r="BV77" s="36" t="n">
        <f aca="false">SUMPRODUCT((Per_Clase="Directo")*INDEX(Dot_O,0,MIN(10,BV$17)))*(BV$15+BV$16*P_PreDir)</f>
        <v>52</v>
      </c>
      <c r="BW77" s="36" t="n">
        <f aca="false">SUMPRODUCT((Per_Clase="Directo")*INDEX(Dot_O,0,MIN(10,BW$17)))*(BW$15+BW$16*P_PreDir)</f>
        <v>52</v>
      </c>
      <c r="BX77" s="36" t="n">
        <f aca="false">SUMPRODUCT((Per_Clase="Directo")*INDEX(Dot_O,0,MIN(10,BX$17)))*(BX$15+BX$16*P_PreDir)</f>
        <v>52</v>
      </c>
      <c r="BY77" s="36" t="n">
        <f aca="false">SUMPRODUCT((Per_Clase="Directo")*INDEX(Dot_O,0,MIN(10,BY$17)))*(BY$15+BY$16*P_PreDir)</f>
        <v>52</v>
      </c>
      <c r="BZ77" s="36" t="n">
        <f aca="false">SUMPRODUCT((Per_Clase="Directo")*INDEX(Dot_O,0,MIN(10,BZ$17)))*(BZ$15+BZ$16*P_PreDir)</f>
        <v>52</v>
      </c>
      <c r="CA77" s="36" t="n">
        <f aca="false">SUMPRODUCT((Per_Clase="Directo")*INDEX(Dot_O,0,MIN(10,CA$17)))*(CA$15+CA$16*P_PreDir)</f>
        <v>52</v>
      </c>
      <c r="CB77" s="36" t="n">
        <f aca="false">SUMPRODUCT((Per_Clase="Directo")*INDEX(Dot_O,0,MIN(10,CB$17)))*(CB$15+CB$16*P_PreDir)</f>
        <v>52</v>
      </c>
      <c r="CC77" s="36" t="n">
        <f aca="false">SUMPRODUCT((Per_Clase="Directo")*INDEX(Dot_O,0,MIN(10,CC$17)))*(CC$15+CC$16*P_PreDir)</f>
        <v>52</v>
      </c>
      <c r="CD77" s="36" t="n">
        <f aca="false">SUMPRODUCT((Per_Clase="Directo")*INDEX(Dot_O,0,MIN(10,CD$17)))*(CD$15+CD$16*P_PreDir)</f>
        <v>52</v>
      </c>
      <c r="CE77" s="36" t="n">
        <f aca="false">SUMPRODUCT((Per_Clase="Directo")*INDEX(Dot_O,0,MIN(10,CE$17)))*(CE$15+CE$16*P_PreDir)</f>
        <v>52</v>
      </c>
      <c r="CF77" s="36" t="n">
        <f aca="false">SUMPRODUCT((Per_Clase="Directo")*INDEX(Dot_O,0,MIN(10,CF$17)))*(CF$15+CF$16*P_PreDir)</f>
        <v>52</v>
      </c>
      <c r="CG77" s="36" t="n">
        <f aca="false">SUMPRODUCT((Per_Clase="Directo")*INDEX(Dot_O,0,MIN(10,CG$17)))*(CG$15+CG$16*P_PreDir)</f>
        <v>52</v>
      </c>
      <c r="CH77" s="36" t="n">
        <f aca="false">SUMPRODUCT((Per_Clase="Directo")*INDEX(Dot_O,0,MIN(10,CH$17)))*(CH$15+CH$16*P_PreDir)</f>
        <v>52</v>
      </c>
      <c r="CI77" s="36" t="n">
        <f aca="false">SUMPRODUCT((Per_Clase="Directo")*INDEX(Dot_O,0,MIN(10,CI$17)))*(CI$15+CI$16*P_PreDir)</f>
        <v>52</v>
      </c>
      <c r="CJ77" s="36" t="n">
        <f aca="false">SUMPRODUCT((Per_Clase="Directo")*INDEX(Dot_O,0,MIN(10,CJ$17)))*(CJ$15+CJ$16*P_PreDir)</f>
        <v>52</v>
      </c>
      <c r="CK77" s="36" t="n">
        <f aca="false">SUMPRODUCT((Per_Clase="Directo")*INDEX(Dot_O,0,MIN(10,CK$17)))*(CK$15+CK$16*P_PreDir)</f>
        <v>52</v>
      </c>
      <c r="CL77" s="36" t="n">
        <f aca="false">SUMPRODUCT((Per_Clase="Directo")*INDEX(Dot_O,0,MIN(10,CL$17)))*(CL$15+CL$16*P_PreDir)</f>
        <v>52</v>
      </c>
      <c r="CM77" s="36" t="n">
        <f aca="false">SUMPRODUCT((Per_Clase="Directo")*INDEX(Dot_O,0,MIN(10,CM$17)))*(CM$15+CM$16*P_PreDir)</f>
        <v>52</v>
      </c>
      <c r="CN77" s="36" t="n">
        <f aca="false">SUMPRODUCT((Per_Clase="Directo")*INDEX(Dot_O,0,MIN(10,CN$17)))*(CN$15+CN$16*P_PreDir)</f>
        <v>52</v>
      </c>
      <c r="CO77" s="36" t="n">
        <f aca="false">SUMPRODUCT((Per_Clase="Directo")*INDEX(Dot_O,0,MIN(10,CO$17)))*(CO$15+CO$16*P_PreDir)</f>
        <v>52</v>
      </c>
      <c r="CP77" s="36" t="n">
        <f aca="false">SUMPRODUCT((Per_Clase="Directo")*INDEX(Dot_O,0,MIN(10,CP$17)))*(CP$15+CP$16*P_PreDir)</f>
        <v>52</v>
      </c>
      <c r="CQ77" s="36" t="n">
        <f aca="false">SUMPRODUCT((Per_Clase="Directo")*INDEX(Dot_O,0,MIN(10,CQ$17)))*(CQ$15+CQ$16*P_PreDir)</f>
        <v>52</v>
      </c>
      <c r="CR77" s="36" t="n">
        <f aca="false">SUMPRODUCT((Per_Clase="Directo")*INDEX(Dot_O,0,MIN(10,CR$17)))*(CR$15+CR$16*P_PreDir)</f>
        <v>52</v>
      </c>
      <c r="CS77" s="36" t="n">
        <f aca="false">SUMPRODUCT((Per_Clase="Directo")*INDEX(Dot_O,0,MIN(10,CS$17)))*(CS$15+CS$16*P_PreDir)</f>
        <v>52</v>
      </c>
      <c r="CT77" s="36" t="n">
        <f aca="false">SUMPRODUCT((Per_Clase="Directo")*INDEX(Dot_O,0,MIN(10,CT$17)))*(CT$15+CT$16*P_PreDir)</f>
        <v>52</v>
      </c>
      <c r="CU77" s="36" t="n">
        <f aca="false">SUMPRODUCT((Per_Clase="Directo")*INDEX(Dot_O,0,MIN(10,CU$17)))*(CU$15+CU$16*P_PreDir)</f>
        <v>52</v>
      </c>
      <c r="CV77" s="36" t="n">
        <f aca="false">SUMPRODUCT((Per_Clase="Directo")*INDEX(Dot_O,0,MIN(10,CV$17)))*(CV$15+CV$16*P_PreDir)</f>
        <v>52</v>
      </c>
      <c r="CW77" s="36" t="n">
        <f aca="false">SUMPRODUCT((Per_Clase="Directo")*INDEX(Dot_O,0,MIN(10,CW$17)))*(CW$15+CW$16*P_PreDir)</f>
        <v>52</v>
      </c>
      <c r="CX77" s="36" t="n">
        <f aca="false">SUMPRODUCT((Per_Clase="Directo")*INDEX(Dot_O,0,MIN(10,CX$17)))*(CX$15+CX$16*P_PreDir)</f>
        <v>52</v>
      </c>
      <c r="CY77" s="36" t="n">
        <f aca="false">SUMPRODUCT((Per_Clase="Directo")*INDEX(Dot_O,0,MIN(10,CY$17)))*(CY$15+CY$16*P_PreDir)</f>
        <v>52</v>
      </c>
      <c r="CZ77" s="36" t="n">
        <f aca="false">SUMPRODUCT((Per_Clase="Directo")*INDEX(Dot_O,0,MIN(10,CZ$17)))*(CZ$15+CZ$16*P_PreDir)</f>
        <v>52</v>
      </c>
      <c r="DA77" s="36" t="n">
        <f aca="false">SUMPRODUCT((Per_Clase="Directo")*INDEX(Dot_O,0,MIN(10,DA$17)))*(DA$15+DA$16*P_PreDir)</f>
        <v>52</v>
      </c>
      <c r="DB77" s="36" t="n">
        <f aca="false">SUMPRODUCT((Per_Clase="Directo")*INDEX(Dot_O,0,MIN(10,DB$17)))*(DB$15+DB$16*P_PreDir)</f>
        <v>52</v>
      </c>
      <c r="DC77" s="36" t="n">
        <f aca="false">SUMPRODUCT((Per_Clase="Directo")*INDEX(Dot_O,0,MIN(10,DC$17)))*(DC$15+DC$16*P_PreDir)</f>
        <v>52</v>
      </c>
      <c r="DD77" s="36" t="n">
        <f aca="false">SUMPRODUCT((Per_Clase="Directo")*INDEX(Dot_O,0,MIN(10,DD$17)))*(DD$15+DD$16*P_PreDir)</f>
        <v>52</v>
      </c>
      <c r="DE77" s="36" t="n">
        <f aca="false">SUMPRODUCT((Per_Clase="Directo")*INDEX(Dot_O,0,MIN(10,DE$17)))*(DE$15+DE$16*P_PreDir)</f>
        <v>52</v>
      </c>
      <c r="DF77" s="36" t="n">
        <f aca="false">SUMPRODUCT((Per_Clase="Directo")*INDEX(Dot_O,0,MIN(10,DF$17)))*(DF$15+DF$16*P_PreDir)</f>
        <v>52</v>
      </c>
      <c r="DG77" s="36" t="n">
        <f aca="false">SUMPRODUCT((Per_Clase="Directo")*INDEX(Dot_O,0,MIN(10,DG$17)))*(DG$15+DG$16*P_PreDir)</f>
        <v>52</v>
      </c>
      <c r="DH77" s="36" t="n">
        <f aca="false">SUMPRODUCT((Per_Clase="Directo")*INDEX(Dot_O,0,MIN(10,DH$17)))*(DH$15+DH$16*P_PreDir)</f>
        <v>52</v>
      </c>
      <c r="DI77" s="36" t="n">
        <f aca="false">SUMPRODUCT((Per_Clase="Directo")*INDEX(Dot_O,0,MIN(10,DI$17)))*(DI$15+DI$16*P_PreDir)</f>
        <v>52</v>
      </c>
      <c r="DJ77" s="36" t="n">
        <f aca="false">SUMPRODUCT((Per_Clase="Directo")*INDEX(Dot_O,0,MIN(10,DJ$17)))*(DJ$15+DJ$16*P_PreDir)</f>
        <v>52</v>
      </c>
      <c r="DK77" s="36" t="n">
        <f aca="false">SUMPRODUCT((Per_Clase="Directo")*INDEX(Dot_O,0,MIN(10,DK$17)))*(DK$15+DK$16*P_PreDir)</f>
        <v>52</v>
      </c>
      <c r="DL77" s="36" t="n">
        <f aca="false">SUMPRODUCT((Per_Clase="Directo")*INDEX(Dot_O,0,MIN(10,DL$17)))*(DL$15+DL$16*P_PreDir)</f>
        <v>52</v>
      </c>
      <c r="DM77" s="36" t="n">
        <f aca="false">SUMPRODUCT((Per_Clase="Directo")*INDEX(Dot_O,0,MIN(10,DM$17)))*(DM$15+DM$16*P_PreDir)</f>
        <v>52</v>
      </c>
      <c r="DN77" s="36" t="n">
        <f aca="false">SUMPRODUCT((Per_Clase="Directo")*INDEX(Dot_O,0,MIN(10,DN$17)))*(DN$15+DN$16*P_PreDir)</f>
        <v>52</v>
      </c>
      <c r="DO77" s="36" t="n">
        <f aca="false">SUMPRODUCT((Per_Clase="Directo")*INDEX(Dot_O,0,MIN(10,DO$17)))*(DO$15+DO$16*P_PreDir)</f>
        <v>52</v>
      </c>
      <c r="DP77" s="36" t="n">
        <f aca="false">SUMPRODUCT((Per_Clase="Directo")*INDEX(Dot_O,0,MIN(10,DP$17)))*(DP$15+DP$16*P_PreDir)</f>
        <v>52</v>
      </c>
      <c r="DQ77" s="36" t="n">
        <f aca="false">SUMPRODUCT((Per_Clase="Directo")*INDEX(Dot_O,0,MIN(10,DQ$17)))*(DQ$15+DQ$16*P_PreDir)</f>
        <v>52</v>
      </c>
      <c r="DR77" s="36" t="n">
        <f aca="false">SUMPRODUCT((Per_Clase="Directo")*INDEX(Dot_O,0,MIN(10,DR$17)))*(DR$15+DR$16*P_PreDir)</f>
        <v>52</v>
      </c>
      <c r="DS77" s="36" t="n">
        <f aca="false">SUMPRODUCT((Per_Clase="Directo")*INDEX(Dot_O,0,MIN(10,DS$17)))*(DS$15+DS$16*P_PreDir)</f>
        <v>52</v>
      </c>
      <c r="DT77" s="36" t="n">
        <f aca="false">SUMPRODUCT((Per_Clase="Directo")*INDEX(Dot_O,0,MIN(10,DT$17)))*(DT$15+DT$16*P_PreDir)</f>
        <v>52</v>
      </c>
      <c r="DU77" s="36" t="n">
        <f aca="false">SUMPRODUCT((Per_Clase="Directo")*INDEX(Dot_O,0,MIN(10,DU$17)))*(DU$15+DU$16*P_PreDir)</f>
        <v>52</v>
      </c>
      <c r="DV77" s="36" t="n">
        <f aca="false">SUMPRODUCT((Per_Clase="Directo")*INDEX(Dot_O,0,MIN(10,DV$17)))*(DV$15+DV$16*P_PreDir)</f>
        <v>0</v>
      </c>
      <c r="DW77" s="36" t="n">
        <f aca="false">SUMPRODUCT((Per_Clase="Directo")*INDEX(Dot_O,0,MIN(10,DW$17)))*(DW$15+DW$16*P_PreDir)</f>
        <v>0</v>
      </c>
      <c r="DX77" s="36" t="n">
        <f aca="false">SUMPRODUCT((Per_Clase="Directo")*INDEX(Dot_O,0,MIN(10,DX$17)))*(DX$15+DX$16*P_PreDir)</f>
        <v>0</v>
      </c>
      <c r="DY77" s="36" t="n">
        <f aca="false">SUMPRODUCT((Per_Clase="Directo")*INDEX(Dot_O,0,MIN(10,DY$17)))*(DY$15+DY$16*P_PreDir)</f>
        <v>0</v>
      </c>
      <c r="DZ77" s="36" t="n">
        <f aca="false">SUMPRODUCT((Per_Clase="Directo")*INDEX(Dot_O,0,MIN(10,DZ$17)))*(DZ$15+DZ$16*P_PreDir)</f>
        <v>0</v>
      </c>
      <c r="EA77" s="36" t="n">
        <f aca="false">SUMPRODUCT((Per_Clase="Directo")*INDEX(Dot_O,0,MIN(10,EA$17)))*(EA$15+EA$16*P_PreDir)</f>
        <v>0</v>
      </c>
      <c r="EB77" s="36" t="n">
        <f aca="false">SUMPRODUCT((Per_Clase="Directo")*INDEX(Dot_O,0,MIN(10,EB$17)))*(EB$15+EB$16*P_PreDir)</f>
        <v>0</v>
      </c>
      <c r="EC77" s="36" t="n">
        <f aca="false">SUMPRODUCT((Per_Clase="Directo")*INDEX(Dot_O,0,MIN(10,EC$17)))*(EC$15+EC$16*P_PreDir)</f>
        <v>0</v>
      </c>
      <c r="ED77" s="36" t="n">
        <f aca="false">SUMPRODUCT((Per_Clase="Directo")*INDEX(Dot_O,0,MIN(10,ED$17)))*(ED$15+ED$16*P_PreDir)</f>
        <v>0</v>
      </c>
      <c r="EE77" s="36" t="n">
        <f aca="false">SUMPRODUCT((Per_Clase="Directo")*INDEX(Dot_O,0,MIN(10,EE$17)))*(EE$15+EE$16*P_PreDir)</f>
        <v>0</v>
      </c>
      <c r="EF77" s="36" t="n">
        <f aca="false">SUMPRODUCT((Per_Clase="Directo")*INDEX(Dot_O,0,MIN(10,EF$17)))*(EF$15+EF$16*P_PreDir)</f>
        <v>0</v>
      </c>
      <c r="EG77" s="36" t="n">
        <f aca="false">SUMPRODUCT((Per_Clase="Directo")*INDEX(Dot_O,0,MIN(10,EG$17)))*(EG$15+EG$16*P_PreDir)</f>
        <v>0</v>
      </c>
      <c r="EH77" s="36" t="n">
        <f aca="false">SUMPRODUCT((Per_Clase="Directo")*INDEX(Dot_O,0,MIN(10,EH$17)))*(EH$15+EH$16*P_PreDir)</f>
        <v>0</v>
      </c>
      <c r="EI77" s="36" t="n">
        <f aca="false">SUMPRODUCT((Per_Clase="Directo")*INDEX(Dot_O,0,MIN(10,EI$17)))*(EI$15+EI$16*P_PreDir)</f>
        <v>0</v>
      </c>
      <c r="EJ77" s="36" t="n">
        <f aca="false">SUMPRODUCT((Per_Clase="Directo")*INDEX(Dot_O,0,MIN(10,EJ$17)))*(EJ$15+EJ$16*P_PreDir)</f>
        <v>0</v>
      </c>
      <c r="EK77" s="36" t="n">
        <f aca="false">SUMPRODUCT((Per_Clase="Directo")*INDEX(Dot_O,0,MIN(10,EK$17)))*(EK$15+EK$16*P_PreDir)</f>
        <v>0</v>
      </c>
      <c r="EL77" s="36" t="n">
        <f aca="false">SUMPRODUCT((Per_Clase="Directo")*INDEX(Dot_O,0,MIN(10,EL$17)))*(EL$15+EL$16*P_PreDir)</f>
        <v>0</v>
      </c>
      <c r="EM77" s="36" t="n">
        <f aca="false">SUMPRODUCT((Per_Clase="Directo")*INDEX(Dot_O,0,MIN(10,EM$17)))*(EM$15+EM$16*P_PreDir)</f>
        <v>0</v>
      </c>
      <c r="EN77" s="36" t="n">
        <f aca="false">SUMPRODUCT((Per_Clase="Directo")*INDEX(Dot_O,0,MIN(10,EN$17)))*(EN$15+EN$16*P_PreDir)</f>
        <v>0</v>
      </c>
      <c r="EO77" s="36" t="n">
        <f aca="false">SUMPRODUCT((Per_Clase="Directo")*INDEX(Dot_O,0,MIN(10,EO$17)))*(EO$15+EO$16*P_PreDir)</f>
        <v>0</v>
      </c>
      <c r="EP77" s="36" t="n">
        <f aca="false">SUMPRODUCT((Per_Clase="Directo")*INDEX(Dot_O,0,MIN(10,EP$17)))*(EP$15+EP$16*P_PreDir)</f>
        <v>0</v>
      </c>
      <c r="EQ77" s="36" t="n">
        <f aca="false">SUMPRODUCT((Per_Clase="Directo")*INDEX(Dot_O,0,MIN(10,EQ$17)))*(EQ$15+EQ$16*P_PreDir)</f>
        <v>0</v>
      </c>
      <c r="ER77" s="36" t="n">
        <f aca="false">SUMPRODUCT((Per_Clase="Directo")*INDEX(Dot_O,0,MIN(10,ER$17)))*(ER$15+ER$16*P_PreDir)</f>
        <v>0</v>
      </c>
      <c r="ES77" s="36" t="n">
        <f aca="false">SUMPRODUCT((Per_Clase="Directo")*INDEX(Dot_O,0,MIN(10,ES$17)))*(ES$15+ES$16*P_PreDir)</f>
        <v>0</v>
      </c>
    </row>
    <row r="78" customFormat="false" ht="15" hidden="false" customHeight="false" outlineLevel="0" collapsed="false">
      <c r="A78" s="2" t="s">
        <v>648</v>
      </c>
      <c r="B78" s="6" t="s">
        <v>649</v>
      </c>
      <c r="C78" s="6" t="s">
        <v>250</v>
      </c>
      <c r="E78" s="40" t="n">
        <f aca="false">SUM(F78:ES78)</f>
        <v>4532548.91505156</v>
      </c>
      <c r="F78" s="34" t="n">
        <f aca="false">SUMPRODUCT((Per_Clase="Directo")*Sal_O*INDEX(Dot_O,0,MIN(10,F$17))*((Per_Mon="PYG")*F$19+(Per_Mon&lt;&gt;"PYG")))*(F$15+F$16*P_PreDir)*INDEX(IdxSal_O,1,MIN(10,F$17))*(1+P_Cargas)+F$77*P_Alim*F$19</f>
        <v>32622.2257971233</v>
      </c>
      <c r="G78" s="34" t="n">
        <f aca="false">SUMPRODUCT((Per_Clase="Directo")*Sal_O*INDEX(Dot_O,0,MIN(10,G$17))*((Per_Mon="PYG")*G$19+(Per_Mon&lt;&gt;"PYG")))*(G$15+G$16*P_PreDir)*INDEX(IdxSal_O,1,MIN(10,G$17))*(1+P_Cargas)+G$77*P_Alim*G$19</f>
        <v>32622.2257971233</v>
      </c>
      <c r="H78" s="34" t="n">
        <f aca="false">SUMPRODUCT((Per_Clase="Directo")*Sal_O*INDEX(Dot_O,0,MIN(10,H$17))*((Per_Mon="PYG")*H$19+(Per_Mon&lt;&gt;"PYG")))*(H$15+H$16*P_PreDir)*INDEX(IdxSal_O,1,MIN(10,H$17))*(1+P_Cargas)+H$77*P_Alim*H$19</f>
        <v>32622.2257971233</v>
      </c>
      <c r="I78" s="34" t="n">
        <f aca="false">SUMPRODUCT((Per_Clase="Directo")*Sal_O*INDEX(Dot_O,0,MIN(10,I$17))*((Per_Mon="PYG")*I$19+(Per_Mon&lt;&gt;"PYG")))*(I$15+I$16*P_PreDir)*INDEX(IdxSal_O,1,MIN(10,I$17))*(1+P_Cargas)+I$77*P_Alim*I$19</f>
        <v>32622.2257971233</v>
      </c>
      <c r="J78" s="34" t="n">
        <f aca="false">SUMPRODUCT((Per_Clase="Directo")*Sal_O*INDEX(Dot_O,0,MIN(10,J$17))*((Per_Mon="PYG")*J$19+(Per_Mon&lt;&gt;"PYG")))*(J$15+J$16*P_PreDir)*INDEX(IdxSal_O,1,MIN(10,J$17))*(1+P_Cargas)+J$77*P_Alim*J$19</f>
        <v>32622.2257971233</v>
      </c>
      <c r="K78" s="34" t="n">
        <f aca="false">SUMPRODUCT((Per_Clase="Directo")*Sal_O*INDEX(Dot_O,0,MIN(10,K$17))*((Per_Mon="PYG")*K$19+(Per_Mon&lt;&gt;"PYG")))*(K$15+K$16*P_PreDir)*INDEX(IdxSal_O,1,MIN(10,K$17))*(1+P_Cargas)+K$77*P_Alim*K$19</f>
        <v>32622.2257971233</v>
      </c>
      <c r="L78" s="34" t="n">
        <f aca="false">SUMPRODUCT((Per_Clase="Directo")*Sal_O*INDEX(Dot_O,0,MIN(10,L$17))*((Per_Mon="PYG")*L$19+(Per_Mon&lt;&gt;"PYG")))*(L$15+L$16*P_PreDir)*INDEX(IdxSal_O,1,MIN(10,L$17))*(1+P_Cargas)+L$77*P_Alim*L$19</f>
        <v>32622.2257971233</v>
      </c>
      <c r="M78" s="34" t="n">
        <f aca="false">SUMPRODUCT((Per_Clase="Directo")*Sal_O*INDEX(Dot_O,0,MIN(10,M$17))*((Per_Mon="PYG")*M$19+(Per_Mon&lt;&gt;"PYG")))*(M$15+M$16*P_PreDir)*INDEX(IdxSal_O,1,MIN(10,M$17))*(1+P_Cargas)+M$77*P_Alim*M$19</f>
        <v>32622.2257971233</v>
      </c>
      <c r="N78" s="34" t="n">
        <f aca="false">SUMPRODUCT((Per_Clase="Directo")*Sal_O*INDEX(Dot_O,0,MIN(10,N$17))*((Per_Mon="PYG")*N$19+(Per_Mon&lt;&gt;"PYG")))*(N$15+N$16*P_PreDir)*INDEX(IdxSal_O,1,MIN(10,N$17))*(1+P_Cargas)+N$77*P_Alim*N$19</f>
        <v>32622.2257971233</v>
      </c>
      <c r="O78" s="34" t="n">
        <f aca="false">SUMPRODUCT((Per_Clase="Directo")*Sal_O*INDEX(Dot_O,0,MIN(10,O$17))*((Per_Mon="PYG")*O$19+(Per_Mon&lt;&gt;"PYG")))*(O$15+O$16*P_PreDir)*INDEX(IdxSal_O,1,MIN(10,O$17))*(1+P_Cargas)+O$77*P_Alim*O$19</f>
        <v>32622.2257971233</v>
      </c>
      <c r="P78" s="34" t="n">
        <f aca="false">SUMPRODUCT((Per_Clase="Directo")*Sal_O*INDEX(Dot_O,0,MIN(10,P$17))*((Per_Mon="PYG")*P$19+(Per_Mon&lt;&gt;"PYG")))*(P$15+P$16*P_PreDir)*INDEX(IdxSal_O,1,MIN(10,P$17))*(1+P_Cargas)+P$77*P_Alim*P$19</f>
        <v>32622.2257971233</v>
      </c>
      <c r="Q78" s="34" t="n">
        <f aca="false">SUMPRODUCT((Per_Clase="Directo")*Sal_O*INDEX(Dot_O,0,MIN(10,Q$17))*((Per_Mon="PYG")*Q$19+(Per_Mon&lt;&gt;"PYG")))*(Q$15+Q$16*P_PreDir)*INDEX(IdxSal_O,1,MIN(10,Q$17))*(1+P_Cargas)+Q$77*P_Alim*Q$19</f>
        <v>32622.2257971233</v>
      </c>
      <c r="R78" s="34" t="n">
        <f aca="false">SUMPRODUCT((Per_Clase="Directo")*Sal_O*INDEX(Dot_O,0,MIN(10,R$17))*((Per_Mon="PYG")*R$19+(Per_Mon&lt;&gt;"PYG")))*(R$15+R$16*P_PreDir)*INDEX(IdxSal_O,1,MIN(10,R$17))*(1+P_Cargas)+R$77*P_Alim*R$19</f>
        <v>32622.2257971233</v>
      </c>
      <c r="S78" s="34" t="n">
        <f aca="false">SUMPRODUCT((Per_Clase="Directo")*Sal_O*INDEX(Dot_O,0,MIN(10,S$17))*((Per_Mon="PYG")*S$19+(Per_Mon&lt;&gt;"PYG")))*(S$15+S$16*P_PreDir)*INDEX(IdxSal_O,1,MIN(10,S$17))*(1+P_Cargas)+S$77*P_Alim*S$19</f>
        <v>32622.2257971233</v>
      </c>
      <c r="T78" s="34" t="n">
        <f aca="false">SUMPRODUCT((Per_Clase="Directo")*Sal_O*INDEX(Dot_O,0,MIN(10,T$17))*((Per_Mon="PYG")*T$19+(Per_Mon&lt;&gt;"PYG")))*(T$15+T$16*P_PreDir)*INDEX(IdxSal_O,1,MIN(10,T$17))*(1+P_Cargas)+T$77*P_Alim*T$19</f>
        <v>32622.2257971233</v>
      </c>
      <c r="U78" s="34" t="n">
        <f aca="false">SUMPRODUCT((Per_Clase="Directo")*Sal_O*INDEX(Dot_O,0,MIN(10,U$17))*((Per_Mon="PYG")*U$19+(Per_Mon&lt;&gt;"PYG")))*(U$15+U$16*P_PreDir)*INDEX(IdxSal_O,1,MIN(10,U$17))*(1+P_Cargas)+U$77*P_Alim*U$19</f>
        <v>32622.2257971233</v>
      </c>
      <c r="V78" s="34" t="n">
        <f aca="false">SUMPRODUCT((Per_Clase="Directo")*Sal_O*INDEX(Dot_O,0,MIN(10,V$17))*((Per_Mon="PYG")*V$19+(Per_Mon&lt;&gt;"PYG")))*(V$15+V$16*P_PreDir)*INDEX(IdxSal_O,1,MIN(10,V$17))*(1+P_Cargas)+V$77*P_Alim*V$19</f>
        <v>32622.2257971233</v>
      </c>
      <c r="W78" s="34" t="n">
        <f aca="false">SUMPRODUCT((Per_Clase="Directo")*Sal_O*INDEX(Dot_O,0,MIN(10,W$17))*((Per_Mon="PYG")*W$19+(Per_Mon&lt;&gt;"PYG")))*(W$15+W$16*P_PreDir)*INDEX(IdxSal_O,1,MIN(10,W$17))*(1+P_Cargas)+W$77*P_Alim*W$19</f>
        <v>32622.2257971233</v>
      </c>
      <c r="X78" s="34" t="n">
        <f aca="false">SUMPRODUCT((Per_Clase="Directo")*Sal_O*INDEX(Dot_O,0,MIN(10,X$17))*((Per_Mon="PYG")*X$19+(Per_Mon&lt;&gt;"PYG")))*(X$15+X$16*P_PreDir)*INDEX(IdxSal_O,1,MIN(10,X$17))*(1+P_Cargas)+X$77*P_Alim*X$19</f>
        <v>32622.2257971233</v>
      </c>
      <c r="Y78" s="34" t="n">
        <f aca="false">SUMPRODUCT((Per_Clase="Directo")*Sal_O*INDEX(Dot_O,0,MIN(10,Y$17))*((Per_Mon="PYG")*Y$19+(Per_Mon&lt;&gt;"PYG")))*(Y$15+Y$16*P_PreDir)*INDEX(IdxSal_O,1,MIN(10,Y$17))*(1+P_Cargas)+Y$77*P_Alim*Y$19</f>
        <v>32622.2257971233</v>
      </c>
      <c r="Z78" s="34" t="n">
        <f aca="false">SUMPRODUCT((Per_Clase="Directo")*Sal_O*INDEX(Dot_O,0,MIN(10,Z$17))*((Per_Mon="PYG")*Z$19+(Per_Mon&lt;&gt;"PYG")))*(Z$15+Z$16*P_PreDir)*INDEX(IdxSal_O,1,MIN(10,Z$17))*(1+P_Cargas)+Z$77*P_Alim*Z$19</f>
        <v>32622.2257971233</v>
      </c>
      <c r="AA78" s="34" t="n">
        <f aca="false">SUMPRODUCT((Per_Clase="Directo")*Sal_O*INDEX(Dot_O,0,MIN(10,AA$17))*((Per_Mon="PYG")*AA$19+(Per_Mon&lt;&gt;"PYG")))*(AA$15+AA$16*P_PreDir)*INDEX(IdxSal_O,1,MIN(10,AA$17))*(1+P_Cargas)+AA$77*P_Alim*AA$19</f>
        <v>32622.2257971233</v>
      </c>
      <c r="AB78" s="34" t="n">
        <f aca="false">SUMPRODUCT((Per_Clase="Directo")*Sal_O*INDEX(Dot_O,0,MIN(10,AB$17))*((Per_Mon="PYG")*AB$19+(Per_Mon&lt;&gt;"PYG")))*(AB$15+AB$16*P_PreDir)*INDEX(IdxSal_O,1,MIN(10,AB$17))*(1+P_Cargas)+AB$77*P_Alim*AB$19</f>
        <v>32622.2257971233</v>
      </c>
      <c r="AC78" s="34" t="n">
        <f aca="false">SUMPRODUCT((Per_Clase="Directo")*Sal_O*INDEX(Dot_O,0,MIN(10,AC$17))*((Per_Mon="PYG")*AC$19+(Per_Mon&lt;&gt;"PYG")))*(AC$15+AC$16*P_PreDir)*INDEX(IdxSal_O,1,MIN(10,AC$17))*(1+P_Cargas)+AC$77*P_Alim*AC$19</f>
        <v>32622.2257971233</v>
      </c>
      <c r="AD78" s="34" t="n">
        <f aca="false">SUMPRODUCT((Per_Clase="Directo")*Sal_O*INDEX(Dot_O,0,MIN(10,AD$17))*((Per_Mon="PYG")*AD$19+(Per_Mon&lt;&gt;"PYG")))*(AD$15+AD$16*P_PreDir)*INDEX(IdxSal_O,1,MIN(10,AD$17))*(1+P_Cargas)+AD$77*P_Alim*AD$19</f>
        <v>35267.6436408904</v>
      </c>
      <c r="AE78" s="34" t="n">
        <f aca="false">SUMPRODUCT((Per_Clase="Directo")*Sal_O*INDEX(Dot_O,0,MIN(10,AE$17))*((Per_Mon="PYG")*AE$19+(Per_Mon&lt;&gt;"PYG")))*(AE$15+AE$16*P_PreDir)*INDEX(IdxSal_O,1,MIN(10,AE$17))*(1+P_Cargas)+AE$77*P_Alim*AE$19</f>
        <v>35267.6436408904</v>
      </c>
      <c r="AF78" s="34" t="n">
        <f aca="false">SUMPRODUCT((Per_Clase="Directo")*Sal_O*INDEX(Dot_O,0,MIN(10,AF$17))*((Per_Mon="PYG")*AF$19+(Per_Mon&lt;&gt;"PYG")))*(AF$15+AF$16*P_PreDir)*INDEX(IdxSal_O,1,MIN(10,AF$17))*(1+P_Cargas)+AF$77*P_Alim*AF$19</f>
        <v>35267.6436408904</v>
      </c>
      <c r="AG78" s="34" t="n">
        <f aca="false">SUMPRODUCT((Per_Clase="Directo")*Sal_O*INDEX(Dot_O,0,MIN(10,AG$17))*((Per_Mon="PYG")*AG$19+(Per_Mon&lt;&gt;"PYG")))*(AG$15+AG$16*P_PreDir)*INDEX(IdxSal_O,1,MIN(10,AG$17))*(1+P_Cargas)+AG$77*P_Alim*AG$19</f>
        <v>35267.6436408904</v>
      </c>
      <c r="AH78" s="34" t="n">
        <f aca="false">SUMPRODUCT((Per_Clase="Directo")*Sal_O*INDEX(Dot_O,0,MIN(10,AH$17))*((Per_Mon="PYG")*AH$19+(Per_Mon&lt;&gt;"PYG")))*(AH$15+AH$16*P_PreDir)*INDEX(IdxSal_O,1,MIN(10,AH$17))*(1+P_Cargas)+AH$77*P_Alim*AH$19</f>
        <v>35267.6436408904</v>
      </c>
      <c r="AI78" s="34" t="n">
        <f aca="false">SUMPRODUCT((Per_Clase="Directo")*Sal_O*INDEX(Dot_O,0,MIN(10,AI$17))*((Per_Mon="PYG")*AI$19+(Per_Mon&lt;&gt;"PYG")))*(AI$15+AI$16*P_PreDir)*INDEX(IdxSal_O,1,MIN(10,AI$17))*(1+P_Cargas)+AI$77*P_Alim*AI$19</f>
        <v>35267.6436408904</v>
      </c>
      <c r="AJ78" s="34" t="n">
        <f aca="false">SUMPRODUCT((Per_Clase="Directo")*Sal_O*INDEX(Dot_O,0,MIN(10,AJ$17))*((Per_Mon="PYG")*AJ$19+(Per_Mon&lt;&gt;"PYG")))*(AJ$15+AJ$16*P_PreDir)*INDEX(IdxSal_O,1,MIN(10,AJ$17))*(1+P_Cargas)+AJ$77*P_Alim*AJ$19</f>
        <v>35267.6436408904</v>
      </c>
      <c r="AK78" s="34" t="n">
        <f aca="false">SUMPRODUCT((Per_Clase="Directo")*Sal_O*INDEX(Dot_O,0,MIN(10,AK$17))*((Per_Mon="PYG")*AK$19+(Per_Mon&lt;&gt;"PYG")))*(AK$15+AK$16*P_PreDir)*INDEX(IdxSal_O,1,MIN(10,AK$17))*(1+P_Cargas)+AK$77*P_Alim*AK$19</f>
        <v>35267.6436408904</v>
      </c>
      <c r="AL78" s="34" t="n">
        <f aca="false">SUMPRODUCT((Per_Clase="Directo")*Sal_O*INDEX(Dot_O,0,MIN(10,AL$17))*((Per_Mon="PYG")*AL$19+(Per_Mon&lt;&gt;"PYG")))*(AL$15+AL$16*P_PreDir)*INDEX(IdxSal_O,1,MIN(10,AL$17))*(1+P_Cargas)+AL$77*P_Alim*AL$19</f>
        <v>35267.6436408904</v>
      </c>
      <c r="AM78" s="34" t="n">
        <f aca="false">SUMPRODUCT((Per_Clase="Directo")*Sal_O*INDEX(Dot_O,0,MIN(10,AM$17))*((Per_Mon="PYG")*AM$19+(Per_Mon&lt;&gt;"PYG")))*(AM$15+AM$16*P_PreDir)*INDEX(IdxSal_O,1,MIN(10,AM$17))*(1+P_Cargas)+AM$77*P_Alim*AM$19</f>
        <v>35267.6436408904</v>
      </c>
      <c r="AN78" s="34" t="n">
        <f aca="false">SUMPRODUCT((Per_Clase="Directo")*Sal_O*INDEX(Dot_O,0,MIN(10,AN$17))*((Per_Mon="PYG")*AN$19+(Per_Mon&lt;&gt;"PYG")))*(AN$15+AN$16*P_PreDir)*INDEX(IdxSal_O,1,MIN(10,AN$17))*(1+P_Cargas)+AN$77*P_Alim*AN$19</f>
        <v>35267.6436408904</v>
      </c>
      <c r="AO78" s="34" t="n">
        <f aca="false">SUMPRODUCT((Per_Clase="Directo")*Sal_O*INDEX(Dot_O,0,MIN(10,AO$17))*((Per_Mon="PYG")*AO$19+(Per_Mon&lt;&gt;"PYG")))*(AO$15+AO$16*P_PreDir)*INDEX(IdxSal_O,1,MIN(10,AO$17))*(1+P_Cargas)+AO$77*P_Alim*AO$19</f>
        <v>35267.6436408904</v>
      </c>
      <c r="AP78" s="34" t="n">
        <f aca="false">SUMPRODUCT((Per_Clase="Directo")*Sal_O*INDEX(Dot_O,0,MIN(10,AP$17))*((Per_Mon="PYG")*AP$19+(Per_Mon&lt;&gt;"PYG")))*(AP$15+AP$16*P_PreDir)*INDEX(IdxSal_O,1,MIN(10,AP$17))*(1+P_Cargas)+AP$77*P_Alim*AP$19</f>
        <v>37386.0127952877</v>
      </c>
      <c r="AQ78" s="34" t="n">
        <f aca="false">SUMPRODUCT((Per_Clase="Directo")*Sal_O*INDEX(Dot_O,0,MIN(10,AQ$17))*((Per_Mon="PYG")*AQ$19+(Per_Mon&lt;&gt;"PYG")))*(AQ$15+AQ$16*P_PreDir)*INDEX(IdxSal_O,1,MIN(10,AQ$17))*(1+P_Cargas)+AQ$77*P_Alim*AQ$19</f>
        <v>37386.0127952877</v>
      </c>
      <c r="AR78" s="34" t="n">
        <f aca="false">SUMPRODUCT((Per_Clase="Directo")*Sal_O*INDEX(Dot_O,0,MIN(10,AR$17))*((Per_Mon="PYG")*AR$19+(Per_Mon&lt;&gt;"PYG")))*(AR$15+AR$16*P_PreDir)*INDEX(IdxSal_O,1,MIN(10,AR$17))*(1+P_Cargas)+AR$77*P_Alim*AR$19</f>
        <v>37386.0127952877</v>
      </c>
      <c r="AS78" s="34" t="n">
        <f aca="false">SUMPRODUCT((Per_Clase="Directo")*Sal_O*INDEX(Dot_O,0,MIN(10,AS$17))*((Per_Mon="PYG")*AS$19+(Per_Mon&lt;&gt;"PYG")))*(AS$15+AS$16*P_PreDir)*INDEX(IdxSal_O,1,MIN(10,AS$17))*(1+P_Cargas)+AS$77*P_Alim*AS$19</f>
        <v>37386.0127952877</v>
      </c>
      <c r="AT78" s="34" t="n">
        <f aca="false">SUMPRODUCT((Per_Clase="Directo")*Sal_O*INDEX(Dot_O,0,MIN(10,AT$17))*((Per_Mon="PYG")*AT$19+(Per_Mon&lt;&gt;"PYG")))*(AT$15+AT$16*P_PreDir)*INDEX(IdxSal_O,1,MIN(10,AT$17))*(1+P_Cargas)+AT$77*P_Alim*AT$19</f>
        <v>37386.0127952877</v>
      </c>
      <c r="AU78" s="34" t="n">
        <f aca="false">SUMPRODUCT((Per_Clase="Directo")*Sal_O*INDEX(Dot_O,0,MIN(10,AU$17))*((Per_Mon="PYG")*AU$19+(Per_Mon&lt;&gt;"PYG")))*(AU$15+AU$16*P_PreDir)*INDEX(IdxSal_O,1,MIN(10,AU$17))*(1+P_Cargas)+AU$77*P_Alim*AU$19</f>
        <v>37386.0127952877</v>
      </c>
      <c r="AV78" s="34" t="n">
        <f aca="false">SUMPRODUCT((Per_Clase="Directo")*Sal_O*INDEX(Dot_O,0,MIN(10,AV$17))*((Per_Mon="PYG")*AV$19+(Per_Mon&lt;&gt;"PYG")))*(AV$15+AV$16*P_PreDir)*INDEX(IdxSal_O,1,MIN(10,AV$17))*(1+P_Cargas)+AV$77*P_Alim*AV$19</f>
        <v>37386.0127952877</v>
      </c>
      <c r="AW78" s="34" t="n">
        <f aca="false">SUMPRODUCT((Per_Clase="Directo")*Sal_O*INDEX(Dot_O,0,MIN(10,AW$17))*((Per_Mon="PYG")*AW$19+(Per_Mon&lt;&gt;"PYG")))*(AW$15+AW$16*P_PreDir)*INDEX(IdxSal_O,1,MIN(10,AW$17))*(1+P_Cargas)+AW$77*P_Alim*AW$19</f>
        <v>37386.0127952877</v>
      </c>
      <c r="AX78" s="34" t="n">
        <f aca="false">SUMPRODUCT((Per_Clase="Directo")*Sal_O*INDEX(Dot_O,0,MIN(10,AX$17))*((Per_Mon="PYG")*AX$19+(Per_Mon&lt;&gt;"PYG")))*(AX$15+AX$16*P_PreDir)*INDEX(IdxSal_O,1,MIN(10,AX$17))*(1+P_Cargas)+AX$77*P_Alim*AX$19</f>
        <v>37386.0127952877</v>
      </c>
      <c r="AY78" s="34" t="n">
        <f aca="false">SUMPRODUCT((Per_Clase="Directo")*Sal_O*INDEX(Dot_O,0,MIN(10,AY$17))*((Per_Mon="PYG")*AY$19+(Per_Mon&lt;&gt;"PYG")))*(AY$15+AY$16*P_PreDir)*INDEX(IdxSal_O,1,MIN(10,AY$17))*(1+P_Cargas)+AY$77*P_Alim*AY$19</f>
        <v>37386.0127952877</v>
      </c>
      <c r="AZ78" s="34" t="n">
        <f aca="false">SUMPRODUCT((Per_Clase="Directo")*Sal_O*INDEX(Dot_O,0,MIN(10,AZ$17))*((Per_Mon="PYG")*AZ$19+(Per_Mon&lt;&gt;"PYG")))*(AZ$15+AZ$16*P_PreDir)*INDEX(IdxSal_O,1,MIN(10,AZ$17))*(1+P_Cargas)+AZ$77*P_Alim*AZ$19</f>
        <v>37386.0127952877</v>
      </c>
      <c r="BA78" s="34" t="n">
        <f aca="false">SUMPRODUCT((Per_Clase="Directo")*Sal_O*INDEX(Dot_O,0,MIN(10,BA$17))*((Per_Mon="PYG")*BA$19+(Per_Mon&lt;&gt;"PYG")))*(BA$15+BA$16*P_PreDir)*INDEX(IdxSal_O,1,MIN(10,BA$17))*(1+P_Cargas)+BA$77*P_Alim*BA$19</f>
        <v>37386.0127952877</v>
      </c>
      <c r="BB78" s="34" t="n">
        <f aca="false">SUMPRODUCT((Per_Clase="Directo")*Sal_O*INDEX(Dot_O,0,MIN(10,BB$17))*((Per_Mon="PYG")*BB$19+(Per_Mon&lt;&gt;"PYG")))*(BB$15+BB$16*P_PreDir)*INDEX(IdxSal_O,1,MIN(10,BB$17))*(1+P_Cargas)+BB$77*P_Alim*BB$19</f>
        <v>39969.0502595343</v>
      </c>
      <c r="BC78" s="34" t="n">
        <f aca="false">SUMPRODUCT((Per_Clase="Directo")*Sal_O*INDEX(Dot_O,0,MIN(10,BC$17))*((Per_Mon="PYG")*BC$19+(Per_Mon&lt;&gt;"PYG")))*(BC$15+BC$16*P_PreDir)*INDEX(IdxSal_O,1,MIN(10,BC$17))*(1+P_Cargas)+BC$77*P_Alim*BC$19</f>
        <v>39969.0502595343</v>
      </c>
      <c r="BD78" s="34" t="n">
        <f aca="false">SUMPRODUCT((Per_Clase="Directo")*Sal_O*INDEX(Dot_O,0,MIN(10,BD$17))*((Per_Mon="PYG")*BD$19+(Per_Mon&lt;&gt;"PYG")))*(BD$15+BD$16*P_PreDir)*INDEX(IdxSal_O,1,MIN(10,BD$17))*(1+P_Cargas)+BD$77*P_Alim*BD$19</f>
        <v>39969.0502595343</v>
      </c>
      <c r="BE78" s="34" t="n">
        <f aca="false">SUMPRODUCT((Per_Clase="Directo")*Sal_O*INDEX(Dot_O,0,MIN(10,BE$17))*((Per_Mon="PYG")*BE$19+(Per_Mon&lt;&gt;"PYG")))*(BE$15+BE$16*P_PreDir)*INDEX(IdxSal_O,1,MIN(10,BE$17))*(1+P_Cargas)+BE$77*P_Alim*BE$19</f>
        <v>39969.0502595343</v>
      </c>
      <c r="BF78" s="34" t="n">
        <f aca="false">SUMPRODUCT((Per_Clase="Directo")*Sal_O*INDEX(Dot_O,0,MIN(10,BF$17))*((Per_Mon="PYG")*BF$19+(Per_Mon&lt;&gt;"PYG")))*(BF$15+BF$16*P_PreDir)*INDEX(IdxSal_O,1,MIN(10,BF$17))*(1+P_Cargas)+BF$77*P_Alim*BF$19</f>
        <v>39969.0502595343</v>
      </c>
      <c r="BG78" s="34" t="n">
        <f aca="false">SUMPRODUCT((Per_Clase="Directo")*Sal_O*INDEX(Dot_O,0,MIN(10,BG$17))*((Per_Mon="PYG")*BG$19+(Per_Mon&lt;&gt;"PYG")))*(BG$15+BG$16*P_PreDir)*INDEX(IdxSal_O,1,MIN(10,BG$17))*(1+P_Cargas)+BG$77*P_Alim*BG$19</f>
        <v>39969.0502595343</v>
      </c>
      <c r="BH78" s="34" t="n">
        <f aca="false">SUMPRODUCT((Per_Clase="Directo")*Sal_O*INDEX(Dot_O,0,MIN(10,BH$17))*((Per_Mon="PYG")*BH$19+(Per_Mon&lt;&gt;"PYG")))*(BH$15+BH$16*P_PreDir)*INDEX(IdxSal_O,1,MIN(10,BH$17))*(1+P_Cargas)+BH$77*P_Alim*BH$19</f>
        <v>39969.0502595343</v>
      </c>
      <c r="BI78" s="34" t="n">
        <f aca="false">SUMPRODUCT((Per_Clase="Directo")*Sal_O*INDEX(Dot_O,0,MIN(10,BI$17))*((Per_Mon="PYG")*BI$19+(Per_Mon&lt;&gt;"PYG")))*(BI$15+BI$16*P_PreDir)*INDEX(IdxSal_O,1,MIN(10,BI$17))*(1+P_Cargas)+BI$77*P_Alim*BI$19</f>
        <v>39969.0502595343</v>
      </c>
      <c r="BJ78" s="34" t="n">
        <f aca="false">SUMPRODUCT((Per_Clase="Directo")*Sal_O*INDEX(Dot_O,0,MIN(10,BJ$17))*((Per_Mon="PYG")*BJ$19+(Per_Mon&lt;&gt;"PYG")))*(BJ$15+BJ$16*P_PreDir)*INDEX(IdxSal_O,1,MIN(10,BJ$17))*(1+P_Cargas)+BJ$77*P_Alim*BJ$19</f>
        <v>39969.0502595343</v>
      </c>
      <c r="BK78" s="34" t="n">
        <f aca="false">SUMPRODUCT((Per_Clase="Directo")*Sal_O*INDEX(Dot_O,0,MIN(10,BK$17))*((Per_Mon="PYG")*BK$19+(Per_Mon&lt;&gt;"PYG")))*(BK$15+BK$16*P_PreDir)*INDEX(IdxSal_O,1,MIN(10,BK$17))*(1+P_Cargas)+BK$77*P_Alim*BK$19</f>
        <v>39969.0502595343</v>
      </c>
      <c r="BL78" s="34" t="n">
        <f aca="false">SUMPRODUCT((Per_Clase="Directo")*Sal_O*INDEX(Dot_O,0,MIN(10,BL$17))*((Per_Mon="PYG")*BL$19+(Per_Mon&lt;&gt;"PYG")))*(BL$15+BL$16*P_PreDir)*INDEX(IdxSal_O,1,MIN(10,BL$17))*(1+P_Cargas)+BL$77*P_Alim*BL$19</f>
        <v>39969.0502595343</v>
      </c>
      <c r="BM78" s="34" t="n">
        <f aca="false">SUMPRODUCT((Per_Clase="Directo")*Sal_O*INDEX(Dot_O,0,MIN(10,BM$17))*((Per_Mon="PYG")*BM$19+(Per_Mon&lt;&gt;"PYG")))*(BM$15+BM$16*P_PreDir)*INDEX(IdxSal_O,1,MIN(10,BM$17))*(1+P_Cargas)+BM$77*P_Alim*BM$19</f>
        <v>39969.0502595343</v>
      </c>
      <c r="BN78" s="34" t="n">
        <f aca="false">SUMPRODUCT((Per_Clase="Directo")*Sal_O*INDEX(Dot_O,0,MIN(10,BN$17))*((Per_Mon="PYG")*BN$19+(Per_Mon&lt;&gt;"PYG")))*(BN$15+BN$16*P_PreDir)*INDEX(IdxSal_O,1,MIN(10,BN$17))*(1+P_Cargas)+BN$77*P_Alim*BN$19</f>
        <v>39969.0502595343</v>
      </c>
      <c r="BO78" s="34" t="n">
        <f aca="false">SUMPRODUCT((Per_Clase="Directo")*Sal_O*INDEX(Dot_O,0,MIN(10,BO$17))*((Per_Mon="PYG")*BO$19+(Per_Mon&lt;&gt;"PYG")))*(BO$15+BO$16*P_PreDir)*INDEX(IdxSal_O,1,MIN(10,BO$17))*(1+P_Cargas)+BO$77*P_Alim*BO$19</f>
        <v>39969.0502595343</v>
      </c>
      <c r="BP78" s="34" t="n">
        <f aca="false">SUMPRODUCT((Per_Clase="Directo")*Sal_O*INDEX(Dot_O,0,MIN(10,BP$17))*((Per_Mon="PYG")*BP$19+(Per_Mon&lt;&gt;"PYG")))*(BP$15+BP$16*P_PreDir)*INDEX(IdxSal_O,1,MIN(10,BP$17))*(1+P_Cargas)+BP$77*P_Alim*BP$19</f>
        <v>39969.0502595343</v>
      </c>
      <c r="BQ78" s="34" t="n">
        <f aca="false">SUMPRODUCT((Per_Clase="Directo")*Sal_O*INDEX(Dot_O,0,MIN(10,BQ$17))*((Per_Mon="PYG")*BQ$19+(Per_Mon&lt;&gt;"PYG")))*(BQ$15+BQ$16*P_PreDir)*INDEX(IdxSal_O,1,MIN(10,BQ$17))*(1+P_Cargas)+BQ$77*P_Alim*BQ$19</f>
        <v>39969.0502595343</v>
      </c>
      <c r="BR78" s="34" t="n">
        <f aca="false">SUMPRODUCT((Per_Clase="Directo")*Sal_O*INDEX(Dot_O,0,MIN(10,BR$17))*((Per_Mon="PYG")*BR$19+(Per_Mon&lt;&gt;"PYG")))*(BR$15+BR$16*P_PreDir)*INDEX(IdxSal_O,1,MIN(10,BR$17))*(1+P_Cargas)+BR$77*P_Alim*BR$19</f>
        <v>39969.0502595343</v>
      </c>
      <c r="BS78" s="34" t="n">
        <f aca="false">SUMPRODUCT((Per_Clase="Directo")*Sal_O*INDEX(Dot_O,0,MIN(10,BS$17))*((Per_Mon="PYG")*BS$19+(Per_Mon&lt;&gt;"PYG")))*(BS$15+BS$16*P_PreDir)*INDEX(IdxSal_O,1,MIN(10,BS$17))*(1+P_Cargas)+BS$77*P_Alim*BS$19</f>
        <v>39969.0502595343</v>
      </c>
      <c r="BT78" s="34" t="n">
        <f aca="false">SUMPRODUCT((Per_Clase="Directo")*Sal_O*INDEX(Dot_O,0,MIN(10,BT$17))*((Per_Mon="PYG")*BT$19+(Per_Mon&lt;&gt;"PYG")))*(BT$15+BT$16*P_PreDir)*INDEX(IdxSal_O,1,MIN(10,BT$17))*(1+P_Cargas)+BT$77*P_Alim*BT$19</f>
        <v>39969.0502595343</v>
      </c>
      <c r="BU78" s="34" t="n">
        <f aca="false">SUMPRODUCT((Per_Clase="Directo")*Sal_O*INDEX(Dot_O,0,MIN(10,BU$17))*((Per_Mon="PYG")*BU$19+(Per_Mon&lt;&gt;"PYG")))*(BU$15+BU$16*P_PreDir)*INDEX(IdxSal_O,1,MIN(10,BU$17))*(1+P_Cargas)+BU$77*P_Alim*BU$19</f>
        <v>39969.0502595343</v>
      </c>
      <c r="BV78" s="34" t="n">
        <f aca="false">SUMPRODUCT((Per_Clase="Directo")*Sal_O*INDEX(Dot_O,0,MIN(10,BV$17))*((Per_Mon="PYG")*BV$19+(Per_Mon&lt;&gt;"PYG")))*(BV$15+BV$16*P_PreDir)*INDEX(IdxSal_O,1,MIN(10,BV$17))*(1+P_Cargas)+BV$77*P_Alim*BV$19</f>
        <v>39969.0502595343</v>
      </c>
      <c r="BW78" s="34" t="n">
        <f aca="false">SUMPRODUCT((Per_Clase="Directo")*Sal_O*INDEX(Dot_O,0,MIN(10,BW$17))*((Per_Mon="PYG")*BW$19+(Per_Mon&lt;&gt;"PYG")))*(BW$15+BW$16*P_PreDir)*INDEX(IdxSal_O,1,MIN(10,BW$17))*(1+P_Cargas)+BW$77*P_Alim*BW$19</f>
        <v>39969.0502595343</v>
      </c>
      <c r="BX78" s="34" t="n">
        <f aca="false">SUMPRODUCT((Per_Clase="Directo")*Sal_O*INDEX(Dot_O,0,MIN(10,BX$17))*((Per_Mon="PYG")*BX$19+(Per_Mon&lt;&gt;"PYG")))*(BX$15+BX$16*P_PreDir)*INDEX(IdxSal_O,1,MIN(10,BX$17))*(1+P_Cargas)+BX$77*P_Alim*BX$19</f>
        <v>39969.0502595343</v>
      </c>
      <c r="BY78" s="34" t="n">
        <f aca="false">SUMPRODUCT((Per_Clase="Directo")*Sal_O*INDEX(Dot_O,0,MIN(10,BY$17))*((Per_Mon="PYG")*BY$19+(Per_Mon&lt;&gt;"PYG")))*(BY$15+BY$16*P_PreDir)*INDEX(IdxSal_O,1,MIN(10,BY$17))*(1+P_Cargas)+BY$77*P_Alim*BY$19</f>
        <v>39969.0502595343</v>
      </c>
      <c r="BZ78" s="34" t="n">
        <f aca="false">SUMPRODUCT((Per_Clase="Directo")*Sal_O*INDEX(Dot_O,0,MIN(10,BZ$17))*((Per_Mon="PYG")*BZ$19+(Per_Mon&lt;&gt;"PYG")))*(BZ$15+BZ$16*P_PreDir)*INDEX(IdxSal_O,1,MIN(10,BZ$17))*(1+P_Cargas)+BZ$77*P_Alim*BZ$19</f>
        <v>39969.0502595343</v>
      </c>
      <c r="CA78" s="34" t="n">
        <f aca="false">SUMPRODUCT((Per_Clase="Directo")*Sal_O*INDEX(Dot_O,0,MIN(10,CA$17))*((Per_Mon="PYG")*CA$19+(Per_Mon&lt;&gt;"PYG")))*(CA$15+CA$16*P_PreDir)*INDEX(IdxSal_O,1,MIN(10,CA$17))*(1+P_Cargas)+CA$77*P_Alim*CA$19</f>
        <v>39969.0502595343</v>
      </c>
      <c r="CB78" s="34" t="n">
        <f aca="false">SUMPRODUCT((Per_Clase="Directo")*Sal_O*INDEX(Dot_O,0,MIN(10,CB$17))*((Per_Mon="PYG")*CB$19+(Per_Mon&lt;&gt;"PYG")))*(CB$15+CB$16*P_PreDir)*INDEX(IdxSal_O,1,MIN(10,CB$17))*(1+P_Cargas)+CB$77*P_Alim*CB$19</f>
        <v>39969.0502595343</v>
      </c>
      <c r="CC78" s="34" t="n">
        <f aca="false">SUMPRODUCT((Per_Clase="Directo")*Sal_O*INDEX(Dot_O,0,MIN(10,CC$17))*((Per_Mon="PYG")*CC$19+(Per_Mon&lt;&gt;"PYG")))*(CC$15+CC$16*P_PreDir)*INDEX(IdxSal_O,1,MIN(10,CC$17))*(1+P_Cargas)+CC$77*P_Alim*CC$19</f>
        <v>39969.0502595343</v>
      </c>
      <c r="CD78" s="34" t="n">
        <f aca="false">SUMPRODUCT((Per_Clase="Directo")*Sal_O*INDEX(Dot_O,0,MIN(10,CD$17))*((Per_Mon="PYG")*CD$19+(Per_Mon&lt;&gt;"PYG")))*(CD$15+CD$16*P_PreDir)*INDEX(IdxSal_O,1,MIN(10,CD$17))*(1+P_Cargas)+CD$77*P_Alim*CD$19</f>
        <v>39969.0502595343</v>
      </c>
      <c r="CE78" s="34" t="n">
        <f aca="false">SUMPRODUCT((Per_Clase="Directo")*Sal_O*INDEX(Dot_O,0,MIN(10,CE$17))*((Per_Mon="PYG")*CE$19+(Per_Mon&lt;&gt;"PYG")))*(CE$15+CE$16*P_PreDir)*INDEX(IdxSal_O,1,MIN(10,CE$17))*(1+P_Cargas)+CE$77*P_Alim*CE$19</f>
        <v>39969.0502595343</v>
      </c>
      <c r="CF78" s="34" t="n">
        <f aca="false">SUMPRODUCT((Per_Clase="Directo")*Sal_O*INDEX(Dot_O,0,MIN(10,CF$17))*((Per_Mon="PYG")*CF$19+(Per_Mon&lt;&gt;"PYG")))*(CF$15+CF$16*P_PreDir)*INDEX(IdxSal_O,1,MIN(10,CF$17))*(1+P_Cargas)+CF$77*P_Alim*CF$19</f>
        <v>39969.0502595343</v>
      </c>
      <c r="CG78" s="34" t="n">
        <f aca="false">SUMPRODUCT((Per_Clase="Directo")*Sal_O*INDEX(Dot_O,0,MIN(10,CG$17))*((Per_Mon="PYG")*CG$19+(Per_Mon&lt;&gt;"PYG")))*(CG$15+CG$16*P_PreDir)*INDEX(IdxSal_O,1,MIN(10,CG$17))*(1+P_Cargas)+CG$77*P_Alim*CG$19</f>
        <v>39969.0502595343</v>
      </c>
      <c r="CH78" s="34" t="n">
        <f aca="false">SUMPRODUCT((Per_Clase="Directo")*Sal_O*INDEX(Dot_O,0,MIN(10,CH$17))*((Per_Mon="PYG")*CH$19+(Per_Mon&lt;&gt;"PYG")))*(CH$15+CH$16*P_PreDir)*INDEX(IdxSal_O,1,MIN(10,CH$17))*(1+P_Cargas)+CH$77*P_Alim*CH$19</f>
        <v>39969.0502595343</v>
      </c>
      <c r="CI78" s="34" t="n">
        <f aca="false">SUMPRODUCT((Per_Clase="Directo")*Sal_O*INDEX(Dot_O,0,MIN(10,CI$17))*((Per_Mon="PYG")*CI$19+(Per_Mon&lt;&gt;"PYG")))*(CI$15+CI$16*P_PreDir)*INDEX(IdxSal_O,1,MIN(10,CI$17))*(1+P_Cargas)+CI$77*P_Alim*CI$19</f>
        <v>39969.0502595343</v>
      </c>
      <c r="CJ78" s="34" t="n">
        <f aca="false">SUMPRODUCT((Per_Clase="Directo")*Sal_O*INDEX(Dot_O,0,MIN(10,CJ$17))*((Per_Mon="PYG")*CJ$19+(Per_Mon&lt;&gt;"PYG")))*(CJ$15+CJ$16*P_PreDir)*INDEX(IdxSal_O,1,MIN(10,CJ$17))*(1+P_Cargas)+CJ$77*P_Alim*CJ$19</f>
        <v>39969.0502595343</v>
      </c>
      <c r="CK78" s="34" t="n">
        <f aca="false">SUMPRODUCT((Per_Clase="Directo")*Sal_O*INDEX(Dot_O,0,MIN(10,CK$17))*((Per_Mon="PYG")*CK$19+(Per_Mon&lt;&gt;"PYG")))*(CK$15+CK$16*P_PreDir)*INDEX(IdxSal_O,1,MIN(10,CK$17))*(1+P_Cargas)+CK$77*P_Alim*CK$19</f>
        <v>39969.0502595343</v>
      </c>
      <c r="CL78" s="34" t="n">
        <f aca="false">SUMPRODUCT((Per_Clase="Directo")*Sal_O*INDEX(Dot_O,0,MIN(10,CL$17))*((Per_Mon="PYG")*CL$19+(Per_Mon&lt;&gt;"PYG")))*(CL$15+CL$16*P_PreDir)*INDEX(IdxSal_O,1,MIN(10,CL$17))*(1+P_Cargas)+CL$77*P_Alim*CL$19</f>
        <v>39969.0502595343</v>
      </c>
      <c r="CM78" s="34" t="n">
        <f aca="false">SUMPRODUCT((Per_Clase="Directo")*Sal_O*INDEX(Dot_O,0,MIN(10,CM$17))*((Per_Mon="PYG")*CM$19+(Per_Mon&lt;&gt;"PYG")))*(CM$15+CM$16*P_PreDir)*INDEX(IdxSal_O,1,MIN(10,CM$17))*(1+P_Cargas)+CM$77*P_Alim*CM$19</f>
        <v>39969.0502595343</v>
      </c>
      <c r="CN78" s="34" t="n">
        <f aca="false">SUMPRODUCT((Per_Clase="Directo")*Sal_O*INDEX(Dot_O,0,MIN(10,CN$17))*((Per_Mon="PYG")*CN$19+(Per_Mon&lt;&gt;"PYG")))*(CN$15+CN$16*P_PreDir)*INDEX(IdxSal_O,1,MIN(10,CN$17))*(1+P_Cargas)+CN$77*P_Alim*CN$19</f>
        <v>39969.0502595343</v>
      </c>
      <c r="CO78" s="34" t="n">
        <f aca="false">SUMPRODUCT((Per_Clase="Directo")*Sal_O*INDEX(Dot_O,0,MIN(10,CO$17))*((Per_Mon="PYG")*CO$19+(Per_Mon&lt;&gt;"PYG")))*(CO$15+CO$16*P_PreDir)*INDEX(IdxSal_O,1,MIN(10,CO$17))*(1+P_Cargas)+CO$77*P_Alim*CO$19</f>
        <v>39969.0502595343</v>
      </c>
      <c r="CP78" s="34" t="n">
        <f aca="false">SUMPRODUCT((Per_Clase="Directo")*Sal_O*INDEX(Dot_O,0,MIN(10,CP$17))*((Per_Mon="PYG")*CP$19+(Per_Mon&lt;&gt;"PYG")))*(CP$15+CP$16*P_PreDir)*INDEX(IdxSal_O,1,MIN(10,CP$17))*(1+P_Cargas)+CP$77*P_Alim*CP$19</f>
        <v>39969.0502595343</v>
      </c>
      <c r="CQ78" s="34" t="n">
        <f aca="false">SUMPRODUCT((Per_Clase="Directo")*Sal_O*INDEX(Dot_O,0,MIN(10,CQ$17))*((Per_Mon="PYG")*CQ$19+(Per_Mon&lt;&gt;"PYG")))*(CQ$15+CQ$16*P_PreDir)*INDEX(IdxSal_O,1,MIN(10,CQ$17))*(1+P_Cargas)+CQ$77*P_Alim*CQ$19</f>
        <v>39969.0502595343</v>
      </c>
      <c r="CR78" s="34" t="n">
        <f aca="false">SUMPRODUCT((Per_Clase="Directo")*Sal_O*INDEX(Dot_O,0,MIN(10,CR$17))*((Per_Mon="PYG")*CR$19+(Per_Mon&lt;&gt;"PYG")))*(CR$15+CR$16*P_PreDir)*INDEX(IdxSal_O,1,MIN(10,CR$17))*(1+P_Cargas)+CR$77*P_Alim*CR$19</f>
        <v>39969.0502595343</v>
      </c>
      <c r="CS78" s="34" t="n">
        <f aca="false">SUMPRODUCT((Per_Clase="Directo")*Sal_O*INDEX(Dot_O,0,MIN(10,CS$17))*((Per_Mon="PYG")*CS$19+(Per_Mon&lt;&gt;"PYG")))*(CS$15+CS$16*P_PreDir)*INDEX(IdxSal_O,1,MIN(10,CS$17))*(1+P_Cargas)+CS$77*P_Alim*CS$19</f>
        <v>39969.0502595343</v>
      </c>
      <c r="CT78" s="34" t="n">
        <f aca="false">SUMPRODUCT((Per_Clase="Directo")*Sal_O*INDEX(Dot_O,0,MIN(10,CT$17))*((Per_Mon="PYG")*CT$19+(Per_Mon&lt;&gt;"PYG")))*(CT$15+CT$16*P_PreDir)*INDEX(IdxSal_O,1,MIN(10,CT$17))*(1+P_Cargas)+CT$77*P_Alim*CT$19</f>
        <v>39969.0502595343</v>
      </c>
      <c r="CU78" s="34" t="n">
        <f aca="false">SUMPRODUCT((Per_Clase="Directo")*Sal_O*INDEX(Dot_O,0,MIN(10,CU$17))*((Per_Mon="PYG")*CU$19+(Per_Mon&lt;&gt;"PYG")))*(CU$15+CU$16*P_PreDir)*INDEX(IdxSal_O,1,MIN(10,CU$17))*(1+P_Cargas)+CU$77*P_Alim*CU$19</f>
        <v>39969.0502595343</v>
      </c>
      <c r="CV78" s="34" t="n">
        <f aca="false">SUMPRODUCT((Per_Clase="Directo")*Sal_O*INDEX(Dot_O,0,MIN(10,CV$17))*((Per_Mon="PYG")*CV$19+(Per_Mon&lt;&gt;"PYG")))*(CV$15+CV$16*P_PreDir)*INDEX(IdxSal_O,1,MIN(10,CV$17))*(1+P_Cargas)+CV$77*P_Alim*CV$19</f>
        <v>39969.0502595343</v>
      </c>
      <c r="CW78" s="34" t="n">
        <f aca="false">SUMPRODUCT((Per_Clase="Directo")*Sal_O*INDEX(Dot_O,0,MIN(10,CW$17))*((Per_Mon="PYG")*CW$19+(Per_Mon&lt;&gt;"PYG")))*(CW$15+CW$16*P_PreDir)*INDEX(IdxSal_O,1,MIN(10,CW$17))*(1+P_Cargas)+CW$77*P_Alim*CW$19</f>
        <v>39969.0502595343</v>
      </c>
      <c r="CX78" s="34" t="n">
        <f aca="false">SUMPRODUCT((Per_Clase="Directo")*Sal_O*INDEX(Dot_O,0,MIN(10,CX$17))*((Per_Mon="PYG")*CX$19+(Per_Mon&lt;&gt;"PYG")))*(CX$15+CX$16*P_PreDir)*INDEX(IdxSal_O,1,MIN(10,CX$17))*(1+P_Cargas)+CX$77*P_Alim*CX$19</f>
        <v>39969.0502595343</v>
      </c>
      <c r="CY78" s="34" t="n">
        <f aca="false">SUMPRODUCT((Per_Clase="Directo")*Sal_O*INDEX(Dot_O,0,MIN(10,CY$17))*((Per_Mon="PYG")*CY$19+(Per_Mon&lt;&gt;"PYG")))*(CY$15+CY$16*P_PreDir)*INDEX(IdxSal_O,1,MIN(10,CY$17))*(1+P_Cargas)+CY$77*P_Alim*CY$19</f>
        <v>39969.0502595343</v>
      </c>
      <c r="CZ78" s="34" t="n">
        <f aca="false">SUMPRODUCT((Per_Clase="Directo")*Sal_O*INDEX(Dot_O,0,MIN(10,CZ$17))*((Per_Mon="PYG")*CZ$19+(Per_Mon&lt;&gt;"PYG")))*(CZ$15+CZ$16*P_PreDir)*INDEX(IdxSal_O,1,MIN(10,CZ$17))*(1+P_Cargas)+CZ$77*P_Alim*CZ$19</f>
        <v>39969.0502595343</v>
      </c>
      <c r="DA78" s="34" t="n">
        <f aca="false">SUMPRODUCT((Per_Clase="Directo")*Sal_O*INDEX(Dot_O,0,MIN(10,DA$17))*((Per_Mon="PYG")*DA$19+(Per_Mon&lt;&gt;"PYG")))*(DA$15+DA$16*P_PreDir)*INDEX(IdxSal_O,1,MIN(10,DA$17))*(1+P_Cargas)+DA$77*P_Alim*DA$19</f>
        <v>39969.0502595343</v>
      </c>
      <c r="DB78" s="34" t="n">
        <f aca="false">SUMPRODUCT((Per_Clase="Directo")*Sal_O*INDEX(Dot_O,0,MIN(10,DB$17))*((Per_Mon="PYG")*DB$19+(Per_Mon&lt;&gt;"PYG")))*(DB$15+DB$16*P_PreDir)*INDEX(IdxSal_O,1,MIN(10,DB$17))*(1+P_Cargas)+DB$77*P_Alim*DB$19</f>
        <v>39969.0502595343</v>
      </c>
      <c r="DC78" s="34" t="n">
        <f aca="false">SUMPRODUCT((Per_Clase="Directo")*Sal_O*INDEX(Dot_O,0,MIN(10,DC$17))*((Per_Mon="PYG")*DC$19+(Per_Mon&lt;&gt;"PYG")))*(DC$15+DC$16*P_PreDir)*INDEX(IdxSal_O,1,MIN(10,DC$17))*(1+P_Cargas)+DC$77*P_Alim*DC$19</f>
        <v>39969.0502595343</v>
      </c>
      <c r="DD78" s="34" t="n">
        <f aca="false">SUMPRODUCT((Per_Clase="Directo")*Sal_O*INDEX(Dot_O,0,MIN(10,DD$17))*((Per_Mon="PYG")*DD$19+(Per_Mon&lt;&gt;"PYG")))*(DD$15+DD$16*P_PreDir)*INDEX(IdxSal_O,1,MIN(10,DD$17))*(1+P_Cargas)+DD$77*P_Alim*DD$19</f>
        <v>39969.0502595343</v>
      </c>
      <c r="DE78" s="34" t="n">
        <f aca="false">SUMPRODUCT((Per_Clase="Directo")*Sal_O*INDEX(Dot_O,0,MIN(10,DE$17))*((Per_Mon="PYG")*DE$19+(Per_Mon&lt;&gt;"PYG")))*(DE$15+DE$16*P_PreDir)*INDEX(IdxSal_O,1,MIN(10,DE$17))*(1+P_Cargas)+DE$77*P_Alim*DE$19</f>
        <v>39969.0502595343</v>
      </c>
      <c r="DF78" s="34" t="n">
        <f aca="false">SUMPRODUCT((Per_Clase="Directo")*Sal_O*INDEX(Dot_O,0,MIN(10,DF$17))*((Per_Mon="PYG")*DF$19+(Per_Mon&lt;&gt;"PYG")))*(DF$15+DF$16*P_PreDir)*INDEX(IdxSal_O,1,MIN(10,DF$17))*(1+P_Cargas)+DF$77*P_Alim*DF$19</f>
        <v>39969.0502595343</v>
      </c>
      <c r="DG78" s="34" t="n">
        <f aca="false">SUMPRODUCT((Per_Clase="Directo")*Sal_O*INDEX(Dot_O,0,MIN(10,DG$17))*((Per_Mon="PYG")*DG$19+(Per_Mon&lt;&gt;"PYG")))*(DG$15+DG$16*P_PreDir)*INDEX(IdxSal_O,1,MIN(10,DG$17))*(1+P_Cargas)+DG$77*P_Alim*DG$19</f>
        <v>39969.0502595343</v>
      </c>
      <c r="DH78" s="34" t="n">
        <f aca="false">SUMPRODUCT((Per_Clase="Directo")*Sal_O*INDEX(Dot_O,0,MIN(10,DH$17))*((Per_Mon="PYG")*DH$19+(Per_Mon&lt;&gt;"PYG")))*(DH$15+DH$16*P_PreDir)*INDEX(IdxSal_O,1,MIN(10,DH$17))*(1+P_Cargas)+DH$77*P_Alim*DH$19</f>
        <v>39969.0502595343</v>
      </c>
      <c r="DI78" s="34" t="n">
        <f aca="false">SUMPRODUCT((Per_Clase="Directo")*Sal_O*INDEX(Dot_O,0,MIN(10,DI$17))*((Per_Mon="PYG")*DI$19+(Per_Mon&lt;&gt;"PYG")))*(DI$15+DI$16*P_PreDir)*INDEX(IdxSal_O,1,MIN(10,DI$17))*(1+P_Cargas)+DI$77*P_Alim*DI$19</f>
        <v>39969.0502595343</v>
      </c>
      <c r="DJ78" s="34" t="n">
        <f aca="false">SUMPRODUCT((Per_Clase="Directo")*Sal_O*INDEX(Dot_O,0,MIN(10,DJ$17))*((Per_Mon="PYG")*DJ$19+(Per_Mon&lt;&gt;"PYG")))*(DJ$15+DJ$16*P_PreDir)*INDEX(IdxSal_O,1,MIN(10,DJ$17))*(1+P_Cargas)+DJ$77*P_Alim*DJ$19</f>
        <v>39969.0502595343</v>
      </c>
      <c r="DK78" s="34" t="n">
        <f aca="false">SUMPRODUCT((Per_Clase="Directo")*Sal_O*INDEX(Dot_O,0,MIN(10,DK$17))*((Per_Mon="PYG")*DK$19+(Per_Mon&lt;&gt;"PYG")))*(DK$15+DK$16*P_PreDir)*INDEX(IdxSal_O,1,MIN(10,DK$17))*(1+P_Cargas)+DK$77*P_Alim*DK$19</f>
        <v>39969.0502595343</v>
      </c>
      <c r="DL78" s="34" t="n">
        <f aca="false">SUMPRODUCT((Per_Clase="Directo")*Sal_O*INDEX(Dot_O,0,MIN(10,DL$17))*((Per_Mon="PYG")*DL$19+(Per_Mon&lt;&gt;"PYG")))*(DL$15+DL$16*P_PreDir)*INDEX(IdxSal_O,1,MIN(10,DL$17))*(1+P_Cargas)+DL$77*P_Alim*DL$19</f>
        <v>39969.0502595343</v>
      </c>
      <c r="DM78" s="34" t="n">
        <f aca="false">SUMPRODUCT((Per_Clase="Directo")*Sal_O*INDEX(Dot_O,0,MIN(10,DM$17))*((Per_Mon="PYG")*DM$19+(Per_Mon&lt;&gt;"PYG")))*(DM$15+DM$16*P_PreDir)*INDEX(IdxSal_O,1,MIN(10,DM$17))*(1+P_Cargas)+DM$77*P_Alim*DM$19</f>
        <v>39969.0502595343</v>
      </c>
      <c r="DN78" s="34" t="n">
        <f aca="false">SUMPRODUCT((Per_Clase="Directo")*Sal_O*INDEX(Dot_O,0,MIN(10,DN$17))*((Per_Mon="PYG")*DN$19+(Per_Mon&lt;&gt;"PYG")))*(DN$15+DN$16*P_PreDir)*INDEX(IdxSal_O,1,MIN(10,DN$17))*(1+P_Cargas)+DN$77*P_Alim*DN$19</f>
        <v>39969.0502595343</v>
      </c>
      <c r="DO78" s="34" t="n">
        <f aca="false">SUMPRODUCT((Per_Clase="Directo")*Sal_O*INDEX(Dot_O,0,MIN(10,DO$17))*((Per_Mon="PYG")*DO$19+(Per_Mon&lt;&gt;"PYG")))*(DO$15+DO$16*P_PreDir)*INDEX(IdxSal_O,1,MIN(10,DO$17))*(1+P_Cargas)+DO$77*P_Alim*DO$19</f>
        <v>39969.0502595343</v>
      </c>
      <c r="DP78" s="34" t="n">
        <f aca="false">SUMPRODUCT((Per_Clase="Directo")*Sal_O*INDEX(Dot_O,0,MIN(10,DP$17))*((Per_Mon="PYG")*DP$19+(Per_Mon&lt;&gt;"PYG")))*(DP$15+DP$16*P_PreDir)*INDEX(IdxSal_O,1,MIN(10,DP$17))*(1+P_Cargas)+DP$77*P_Alim*DP$19</f>
        <v>39969.0502595343</v>
      </c>
      <c r="DQ78" s="34" t="n">
        <f aca="false">SUMPRODUCT((Per_Clase="Directo")*Sal_O*INDEX(Dot_O,0,MIN(10,DQ$17))*((Per_Mon="PYG")*DQ$19+(Per_Mon&lt;&gt;"PYG")))*(DQ$15+DQ$16*P_PreDir)*INDEX(IdxSal_O,1,MIN(10,DQ$17))*(1+P_Cargas)+DQ$77*P_Alim*DQ$19</f>
        <v>39969.0502595343</v>
      </c>
      <c r="DR78" s="34" t="n">
        <f aca="false">SUMPRODUCT((Per_Clase="Directo")*Sal_O*INDEX(Dot_O,0,MIN(10,DR$17))*((Per_Mon="PYG")*DR$19+(Per_Mon&lt;&gt;"PYG")))*(DR$15+DR$16*P_PreDir)*INDEX(IdxSal_O,1,MIN(10,DR$17))*(1+P_Cargas)+DR$77*P_Alim*DR$19</f>
        <v>39969.0502595343</v>
      </c>
      <c r="DS78" s="34" t="n">
        <f aca="false">SUMPRODUCT((Per_Clase="Directo")*Sal_O*INDEX(Dot_O,0,MIN(10,DS$17))*((Per_Mon="PYG")*DS$19+(Per_Mon&lt;&gt;"PYG")))*(DS$15+DS$16*P_PreDir)*INDEX(IdxSal_O,1,MIN(10,DS$17))*(1+P_Cargas)+DS$77*P_Alim*DS$19</f>
        <v>39969.0502595343</v>
      </c>
      <c r="DT78" s="34" t="n">
        <f aca="false">SUMPRODUCT((Per_Clase="Directo")*Sal_O*INDEX(Dot_O,0,MIN(10,DT$17))*((Per_Mon="PYG")*DT$19+(Per_Mon&lt;&gt;"PYG")))*(DT$15+DT$16*P_PreDir)*INDEX(IdxSal_O,1,MIN(10,DT$17))*(1+P_Cargas)+DT$77*P_Alim*DT$19</f>
        <v>39969.0502595343</v>
      </c>
      <c r="DU78" s="34" t="n">
        <f aca="false">SUMPRODUCT((Per_Clase="Directo")*Sal_O*INDEX(Dot_O,0,MIN(10,DU$17))*((Per_Mon="PYG")*DU$19+(Per_Mon&lt;&gt;"PYG")))*(DU$15+DU$16*P_PreDir)*INDEX(IdxSal_O,1,MIN(10,DU$17))*(1+P_Cargas)+DU$77*P_Alim*DU$19</f>
        <v>39969.0502595343</v>
      </c>
      <c r="DV78" s="34" t="n">
        <f aca="false">SUMPRODUCT((Per_Clase="Directo")*Sal_O*INDEX(Dot_O,0,MIN(10,DV$17))*((Per_Mon="PYG")*DV$19+(Per_Mon&lt;&gt;"PYG")))*(DV$15+DV$16*P_PreDir)*INDEX(IdxSal_O,1,MIN(10,DV$17))*(1+P_Cargas)+DV$77*P_Alim*DV$19</f>
        <v>0</v>
      </c>
      <c r="DW78" s="34" t="n">
        <f aca="false">SUMPRODUCT((Per_Clase="Directo")*Sal_O*INDEX(Dot_O,0,MIN(10,DW$17))*((Per_Mon="PYG")*DW$19+(Per_Mon&lt;&gt;"PYG")))*(DW$15+DW$16*P_PreDir)*INDEX(IdxSal_O,1,MIN(10,DW$17))*(1+P_Cargas)+DW$77*P_Alim*DW$19</f>
        <v>0</v>
      </c>
      <c r="DX78" s="34" t="n">
        <f aca="false">SUMPRODUCT((Per_Clase="Directo")*Sal_O*INDEX(Dot_O,0,MIN(10,DX$17))*((Per_Mon="PYG")*DX$19+(Per_Mon&lt;&gt;"PYG")))*(DX$15+DX$16*P_PreDir)*INDEX(IdxSal_O,1,MIN(10,DX$17))*(1+P_Cargas)+DX$77*P_Alim*DX$19</f>
        <v>0</v>
      </c>
      <c r="DY78" s="34" t="n">
        <f aca="false">SUMPRODUCT((Per_Clase="Directo")*Sal_O*INDEX(Dot_O,0,MIN(10,DY$17))*((Per_Mon="PYG")*DY$19+(Per_Mon&lt;&gt;"PYG")))*(DY$15+DY$16*P_PreDir)*INDEX(IdxSal_O,1,MIN(10,DY$17))*(1+P_Cargas)+DY$77*P_Alim*DY$19</f>
        <v>0</v>
      </c>
      <c r="DZ78" s="34" t="n">
        <f aca="false">SUMPRODUCT((Per_Clase="Directo")*Sal_O*INDEX(Dot_O,0,MIN(10,DZ$17))*((Per_Mon="PYG")*DZ$19+(Per_Mon&lt;&gt;"PYG")))*(DZ$15+DZ$16*P_PreDir)*INDEX(IdxSal_O,1,MIN(10,DZ$17))*(1+P_Cargas)+DZ$77*P_Alim*DZ$19</f>
        <v>0</v>
      </c>
      <c r="EA78" s="34" t="n">
        <f aca="false">SUMPRODUCT((Per_Clase="Directo")*Sal_O*INDEX(Dot_O,0,MIN(10,EA$17))*((Per_Mon="PYG")*EA$19+(Per_Mon&lt;&gt;"PYG")))*(EA$15+EA$16*P_PreDir)*INDEX(IdxSal_O,1,MIN(10,EA$17))*(1+P_Cargas)+EA$77*P_Alim*EA$19</f>
        <v>0</v>
      </c>
      <c r="EB78" s="34" t="n">
        <f aca="false">SUMPRODUCT((Per_Clase="Directo")*Sal_O*INDEX(Dot_O,0,MIN(10,EB$17))*((Per_Mon="PYG")*EB$19+(Per_Mon&lt;&gt;"PYG")))*(EB$15+EB$16*P_PreDir)*INDEX(IdxSal_O,1,MIN(10,EB$17))*(1+P_Cargas)+EB$77*P_Alim*EB$19</f>
        <v>0</v>
      </c>
      <c r="EC78" s="34" t="n">
        <f aca="false">SUMPRODUCT((Per_Clase="Directo")*Sal_O*INDEX(Dot_O,0,MIN(10,EC$17))*((Per_Mon="PYG")*EC$19+(Per_Mon&lt;&gt;"PYG")))*(EC$15+EC$16*P_PreDir)*INDEX(IdxSal_O,1,MIN(10,EC$17))*(1+P_Cargas)+EC$77*P_Alim*EC$19</f>
        <v>0</v>
      </c>
      <c r="ED78" s="34" t="n">
        <f aca="false">SUMPRODUCT((Per_Clase="Directo")*Sal_O*INDEX(Dot_O,0,MIN(10,ED$17))*((Per_Mon="PYG")*ED$19+(Per_Mon&lt;&gt;"PYG")))*(ED$15+ED$16*P_PreDir)*INDEX(IdxSal_O,1,MIN(10,ED$17))*(1+P_Cargas)+ED$77*P_Alim*ED$19</f>
        <v>0</v>
      </c>
      <c r="EE78" s="34" t="n">
        <f aca="false">SUMPRODUCT((Per_Clase="Directo")*Sal_O*INDEX(Dot_O,0,MIN(10,EE$17))*((Per_Mon="PYG")*EE$19+(Per_Mon&lt;&gt;"PYG")))*(EE$15+EE$16*P_PreDir)*INDEX(IdxSal_O,1,MIN(10,EE$17))*(1+P_Cargas)+EE$77*P_Alim*EE$19</f>
        <v>0</v>
      </c>
      <c r="EF78" s="34" t="n">
        <f aca="false">SUMPRODUCT((Per_Clase="Directo")*Sal_O*INDEX(Dot_O,0,MIN(10,EF$17))*((Per_Mon="PYG")*EF$19+(Per_Mon&lt;&gt;"PYG")))*(EF$15+EF$16*P_PreDir)*INDEX(IdxSal_O,1,MIN(10,EF$17))*(1+P_Cargas)+EF$77*P_Alim*EF$19</f>
        <v>0</v>
      </c>
      <c r="EG78" s="34" t="n">
        <f aca="false">SUMPRODUCT((Per_Clase="Directo")*Sal_O*INDEX(Dot_O,0,MIN(10,EG$17))*((Per_Mon="PYG")*EG$19+(Per_Mon&lt;&gt;"PYG")))*(EG$15+EG$16*P_PreDir)*INDEX(IdxSal_O,1,MIN(10,EG$17))*(1+P_Cargas)+EG$77*P_Alim*EG$19</f>
        <v>0</v>
      </c>
      <c r="EH78" s="34" t="n">
        <f aca="false">SUMPRODUCT((Per_Clase="Directo")*Sal_O*INDEX(Dot_O,0,MIN(10,EH$17))*((Per_Mon="PYG")*EH$19+(Per_Mon&lt;&gt;"PYG")))*(EH$15+EH$16*P_PreDir)*INDEX(IdxSal_O,1,MIN(10,EH$17))*(1+P_Cargas)+EH$77*P_Alim*EH$19</f>
        <v>0</v>
      </c>
      <c r="EI78" s="34" t="n">
        <f aca="false">SUMPRODUCT((Per_Clase="Directo")*Sal_O*INDEX(Dot_O,0,MIN(10,EI$17))*((Per_Mon="PYG")*EI$19+(Per_Mon&lt;&gt;"PYG")))*(EI$15+EI$16*P_PreDir)*INDEX(IdxSal_O,1,MIN(10,EI$17))*(1+P_Cargas)+EI$77*P_Alim*EI$19</f>
        <v>0</v>
      </c>
      <c r="EJ78" s="34" t="n">
        <f aca="false">SUMPRODUCT((Per_Clase="Directo")*Sal_O*INDEX(Dot_O,0,MIN(10,EJ$17))*((Per_Mon="PYG")*EJ$19+(Per_Mon&lt;&gt;"PYG")))*(EJ$15+EJ$16*P_PreDir)*INDEX(IdxSal_O,1,MIN(10,EJ$17))*(1+P_Cargas)+EJ$77*P_Alim*EJ$19</f>
        <v>0</v>
      </c>
      <c r="EK78" s="34" t="n">
        <f aca="false">SUMPRODUCT((Per_Clase="Directo")*Sal_O*INDEX(Dot_O,0,MIN(10,EK$17))*((Per_Mon="PYG")*EK$19+(Per_Mon&lt;&gt;"PYG")))*(EK$15+EK$16*P_PreDir)*INDEX(IdxSal_O,1,MIN(10,EK$17))*(1+P_Cargas)+EK$77*P_Alim*EK$19</f>
        <v>0</v>
      </c>
      <c r="EL78" s="34" t="n">
        <f aca="false">SUMPRODUCT((Per_Clase="Directo")*Sal_O*INDEX(Dot_O,0,MIN(10,EL$17))*((Per_Mon="PYG")*EL$19+(Per_Mon&lt;&gt;"PYG")))*(EL$15+EL$16*P_PreDir)*INDEX(IdxSal_O,1,MIN(10,EL$17))*(1+P_Cargas)+EL$77*P_Alim*EL$19</f>
        <v>0</v>
      </c>
      <c r="EM78" s="34" t="n">
        <f aca="false">SUMPRODUCT((Per_Clase="Directo")*Sal_O*INDEX(Dot_O,0,MIN(10,EM$17))*((Per_Mon="PYG")*EM$19+(Per_Mon&lt;&gt;"PYG")))*(EM$15+EM$16*P_PreDir)*INDEX(IdxSal_O,1,MIN(10,EM$17))*(1+P_Cargas)+EM$77*P_Alim*EM$19</f>
        <v>0</v>
      </c>
      <c r="EN78" s="34" t="n">
        <f aca="false">SUMPRODUCT((Per_Clase="Directo")*Sal_O*INDEX(Dot_O,0,MIN(10,EN$17))*((Per_Mon="PYG")*EN$19+(Per_Mon&lt;&gt;"PYG")))*(EN$15+EN$16*P_PreDir)*INDEX(IdxSal_O,1,MIN(10,EN$17))*(1+P_Cargas)+EN$77*P_Alim*EN$19</f>
        <v>0</v>
      </c>
      <c r="EO78" s="34" t="n">
        <f aca="false">SUMPRODUCT((Per_Clase="Directo")*Sal_O*INDEX(Dot_O,0,MIN(10,EO$17))*((Per_Mon="PYG")*EO$19+(Per_Mon&lt;&gt;"PYG")))*(EO$15+EO$16*P_PreDir)*INDEX(IdxSal_O,1,MIN(10,EO$17))*(1+P_Cargas)+EO$77*P_Alim*EO$19</f>
        <v>0</v>
      </c>
      <c r="EP78" s="34" t="n">
        <f aca="false">SUMPRODUCT((Per_Clase="Directo")*Sal_O*INDEX(Dot_O,0,MIN(10,EP$17))*((Per_Mon="PYG")*EP$19+(Per_Mon&lt;&gt;"PYG")))*(EP$15+EP$16*P_PreDir)*INDEX(IdxSal_O,1,MIN(10,EP$17))*(1+P_Cargas)+EP$77*P_Alim*EP$19</f>
        <v>0</v>
      </c>
      <c r="EQ78" s="34" t="n">
        <f aca="false">SUMPRODUCT((Per_Clase="Directo")*Sal_O*INDEX(Dot_O,0,MIN(10,EQ$17))*((Per_Mon="PYG")*EQ$19+(Per_Mon&lt;&gt;"PYG")))*(EQ$15+EQ$16*P_PreDir)*INDEX(IdxSal_O,1,MIN(10,EQ$17))*(1+P_Cargas)+EQ$77*P_Alim*EQ$19</f>
        <v>0</v>
      </c>
      <c r="ER78" s="34" t="n">
        <f aca="false">SUMPRODUCT((Per_Clase="Directo")*Sal_O*INDEX(Dot_O,0,MIN(10,ER$17))*((Per_Mon="PYG")*ER$19+(Per_Mon&lt;&gt;"PYG")))*(ER$15+ER$16*P_PreDir)*INDEX(IdxSal_O,1,MIN(10,ER$17))*(1+P_Cargas)+ER$77*P_Alim*ER$19</f>
        <v>0</v>
      </c>
      <c r="ES78" s="34" t="n">
        <f aca="false">SUMPRODUCT((Per_Clase="Directo")*Sal_O*INDEX(Dot_O,0,MIN(10,ES$17))*((Per_Mon="PYG")*ES$19+(Per_Mon&lt;&gt;"PYG")))*(ES$15+ES$16*P_PreDir)*INDEX(IdxSal_O,1,MIN(10,ES$17))*(1+P_Cargas)+ES$77*P_Alim*ES$19</f>
        <v>0</v>
      </c>
    </row>
    <row r="79" customFormat="false" ht="15" hidden="false" customHeight="false" outlineLevel="0" collapsed="false">
      <c r="A79" s="2" t="s">
        <v>650</v>
      </c>
      <c r="B79" s="6" t="s">
        <v>651</v>
      </c>
      <c r="C79" s="6" t="s">
        <v>647</v>
      </c>
      <c r="F79" s="36" t="n">
        <f aca="false">SUMPRODUCT((Per_Clase="Indirecto")*INDEX(Dot_O,0,MIN(10,F$17)))*(F$15+F$16*P_PreInd)</f>
        <v>17</v>
      </c>
      <c r="G79" s="36" t="n">
        <f aca="false">SUMPRODUCT((Per_Clase="Indirecto")*INDEX(Dot_O,0,MIN(10,G$17)))*(G$15+G$16*P_PreInd)</f>
        <v>17</v>
      </c>
      <c r="H79" s="36" t="n">
        <f aca="false">SUMPRODUCT((Per_Clase="Indirecto")*INDEX(Dot_O,0,MIN(10,H$17)))*(H$15+H$16*P_PreInd)</f>
        <v>17</v>
      </c>
      <c r="I79" s="36" t="n">
        <f aca="false">SUMPRODUCT((Per_Clase="Indirecto")*INDEX(Dot_O,0,MIN(10,I$17)))*(I$15+I$16*P_PreInd)</f>
        <v>17</v>
      </c>
      <c r="J79" s="36" t="n">
        <f aca="false">SUMPRODUCT((Per_Clase="Indirecto")*INDEX(Dot_O,0,MIN(10,J$17)))*(J$15+J$16*P_PreInd)</f>
        <v>17</v>
      </c>
      <c r="K79" s="36" t="n">
        <f aca="false">SUMPRODUCT((Per_Clase="Indirecto")*INDEX(Dot_O,0,MIN(10,K$17)))*(K$15+K$16*P_PreInd)</f>
        <v>17</v>
      </c>
      <c r="L79" s="36" t="n">
        <f aca="false">SUMPRODUCT((Per_Clase="Indirecto")*INDEX(Dot_O,0,MIN(10,L$17)))*(L$15+L$16*P_PreInd)</f>
        <v>17</v>
      </c>
      <c r="M79" s="36" t="n">
        <f aca="false">SUMPRODUCT((Per_Clase="Indirecto")*INDEX(Dot_O,0,MIN(10,M$17)))*(M$15+M$16*P_PreInd)</f>
        <v>17</v>
      </c>
      <c r="N79" s="36" t="n">
        <f aca="false">SUMPRODUCT((Per_Clase="Indirecto")*INDEX(Dot_O,0,MIN(10,N$17)))*(N$15+N$16*P_PreInd)</f>
        <v>17</v>
      </c>
      <c r="O79" s="36" t="n">
        <f aca="false">SUMPRODUCT((Per_Clase="Indirecto")*INDEX(Dot_O,0,MIN(10,O$17)))*(O$15+O$16*P_PreInd)</f>
        <v>17</v>
      </c>
      <c r="P79" s="36" t="n">
        <f aca="false">SUMPRODUCT((Per_Clase="Indirecto")*INDEX(Dot_O,0,MIN(10,P$17)))*(P$15+P$16*P_PreInd)</f>
        <v>17</v>
      </c>
      <c r="Q79" s="36" t="n">
        <f aca="false">SUMPRODUCT((Per_Clase="Indirecto")*INDEX(Dot_O,0,MIN(10,Q$17)))*(Q$15+Q$16*P_PreInd)</f>
        <v>17</v>
      </c>
      <c r="R79" s="36" t="n">
        <f aca="false">SUMPRODUCT((Per_Clase="Indirecto")*INDEX(Dot_O,0,MIN(10,R$17)))*(R$15+R$16*P_PreInd)</f>
        <v>17</v>
      </c>
      <c r="S79" s="36" t="n">
        <f aca="false">SUMPRODUCT((Per_Clase="Indirecto")*INDEX(Dot_O,0,MIN(10,S$17)))*(S$15+S$16*P_PreInd)</f>
        <v>17</v>
      </c>
      <c r="T79" s="36" t="n">
        <f aca="false">SUMPRODUCT((Per_Clase="Indirecto")*INDEX(Dot_O,0,MIN(10,T$17)))*(T$15+T$16*P_PreInd)</f>
        <v>17</v>
      </c>
      <c r="U79" s="36" t="n">
        <f aca="false">SUMPRODUCT((Per_Clase="Indirecto")*INDEX(Dot_O,0,MIN(10,U$17)))*(U$15+U$16*P_PreInd)</f>
        <v>17</v>
      </c>
      <c r="V79" s="36" t="n">
        <f aca="false">SUMPRODUCT((Per_Clase="Indirecto")*INDEX(Dot_O,0,MIN(10,V$17)))*(V$15+V$16*P_PreInd)</f>
        <v>17</v>
      </c>
      <c r="W79" s="36" t="n">
        <f aca="false">SUMPRODUCT((Per_Clase="Indirecto")*INDEX(Dot_O,0,MIN(10,W$17)))*(W$15+W$16*P_PreInd)</f>
        <v>17</v>
      </c>
      <c r="X79" s="36" t="n">
        <f aca="false">SUMPRODUCT((Per_Clase="Indirecto")*INDEX(Dot_O,0,MIN(10,X$17)))*(X$15+X$16*P_PreInd)</f>
        <v>17</v>
      </c>
      <c r="Y79" s="36" t="n">
        <f aca="false">SUMPRODUCT((Per_Clase="Indirecto")*INDEX(Dot_O,0,MIN(10,Y$17)))*(Y$15+Y$16*P_PreInd)</f>
        <v>17</v>
      </c>
      <c r="Z79" s="36" t="n">
        <f aca="false">SUMPRODUCT((Per_Clase="Indirecto")*INDEX(Dot_O,0,MIN(10,Z$17)))*(Z$15+Z$16*P_PreInd)</f>
        <v>17</v>
      </c>
      <c r="AA79" s="36" t="n">
        <f aca="false">SUMPRODUCT((Per_Clase="Indirecto")*INDEX(Dot_O,0,MIN(10,AA$17)))*(AA$15+AA$16*P_PreInd)</f>
        <v>17</v>
      </c>
      <c r="AB79" s="36" t="n">
        <f aca="false">SUMPRODUCT((Per_Clase="Indirecto")*INDEX(Dot_O,0,MIN(10,AB$17)))*(AB$15+AB$16*P_PreInd)</f>
        <v>17</v>
      </c>
      <c r="AC79" s="36" t="n">
        <f aca="false">SUMPRODUCT((Per_Clase="Indirecto")*INDEX(Dot_O,0,MIN(10,AC$17)))*(AC$15+AC$16*P_PreInd)</f>
        <v>17</v>
      </c>
      <c r="AD79" s="36" t="n">
        <f aca="false">SUMPRODUCT((Per_Clase="Indirecto")*INDEX(Dot_O,0,MIN(10,AD$17)))*(AD$15+AD$16*P_PreInd)</f>
        <v>17</v>
      </c>
      <c r="AE79" s="36" t="n">
        <f aca="false">SUMPRODUCT((Per_Clase="Indirecto")*INDEX(Dot_O,0,MIN(10,AE$17)))*(AE$15+AE$16*P_PreInd)</f>
        <v>17</v>
      </c>
      <c r="AF79" s="36" t="n">
        <f aca="false">SUMPRODUCT((Per_Clase="Indirecto")*INDEX(Dot_O,0,MIN(10,AF$17)))*(AF$15+AF$16*P_PreInd)</f>
        <v>17</v>
      </c>
      <c r="AG79" s="36" t="n">
        <f aca="false">SUMPRODUCT((Per_Clase="Indirecto")*INDEX(Dot_O,0,MIN(10,AG$17)))*(AG$15+AG$16*P_PreInd)</f>
        <v>17</v>
      </c>
      <c r="AH79" s="36" t="n">
        <f aca="false">SUMPRODUCT((Per_Clase="Indirecto")*INDEX(Dot_O,0,MIN(10,AH$17)))*(AH$15+AH$16*P_PreInd)</f>
        <v>17</v>
      </c>
      <c r="AI79" s="36" t="n">
        <f aca="false">SUMPRODUCT((Per_Clase="Indirecto")*INDEX(Dot_O,0,MIN(10,AI$17)))*(AI$15+AI$16*P_PreInd)</f>
        <v>17</v>
      </c>
      <c r="AJ79" s="36" t="n">
        <f aca="false">SUMPRODUCT((Per_Clase="Indirecto")*INDEX(Dot_O,0,MIN(10,AJ$17)))*(AJ$15+AJ$16*P_PreInd)</f>
        <v>17</v>
      </c>
      <c r="AK79" s="36" t="n">
        <f aca="false">SUMPRODUCT((Per_Clase="Indirecto")*INDEX(Dot_O,0,MIN(10,AK$17)))*(AK$15+AK$16*P_PreInd)</f>
        <v>17</v>
      </c>
      <c r="AL79" s="36" t="n">
        <f aca="false">SUMPRODUCT((Per_Clase="Indirecto")*INDEX(Dot_O,0,MIN(10,AL$17)))*(AL$15+AL$16*P_PreInd)</f>
        <v>17</v>
      </c>
      <c r="AM79" s="36" t="n">
        <f aca="false">SUMPRODUCT((Per_Clase="Indirecto")*INDEX(Dot_O,0,MIN(10,AM$17)))*(AM$15+AM$16*P_PreInd)</f>
        <v>17</v>
      </c>
      <c r="AN79" s="36" t="n">
        <f aca="false">SUMPRODUCT((Per_Clase="Indirecto")*INDEX(Dot_O,0,MIN(10,AN$17)))*(AN$15+AN$16*P_PreInd)</f>
        <v>17</v>
      </c>
      <c r="AO79" s="36" t="n">
        <f aca="false">SUMPRODUCT((Per_Clase="Indirecto")*INDEX(Dot_O,0,MIN(10,AO$17)))*(AO$15+AO$16*P_PreInd)</f>
        <v>17</v>
      </c>
      <c r="AP79" s="36" t="n">
        <f aca="false">SUMPRODUCT((Per_Clase="Indirecto")*INDEX(Dot_O,0,MIN(10,AP$17)))*(AP$15+AP$16*P_PreInd)</f>
        <v>17</v>
      </c>
      <c r="AQ79" s="36" t="n">
        <f aca="false">SUMPRODUCT((Per_Clase="Indirecto")*INDEX(Dot_O,0,MIN(10,AQ$17)))*(AQ$15+AQ$16*P_PreInd)</f>
        <v>17</v>
      </c>
      <c r="AR79" s="36" t="n">
        <f aca="false">SUMPRODUCT((Per_Clase="Indirecto")*INDEX(Dot_O,0,MIN(10,AR$17)))*(AR$15+AR$16*P_PreInd)</f>
        <v>17</v>
      </c>
      <c r="AS79" s="36" t="n">
        <f aca="false">SUMPRODUCT((Per_Clase="Indirecto")*INDEX(Dot_O,0,MIN(10,AS$17)))*(AS$15+AS$16*P_PreInd)</f>
        <v>17</v>
      </c>
      <c r="AT79" s="36" t="n">
        <f aca="false">SUMPRODUCT((Per_Clase="Indirecto")*INDEX(Dot_O,0,MIN(10,AT$17)))*(AT$15+AT$16*P_PreInd)</f>
        <v>17</v>
      </c>
      <c r="AU79" s="36" t="n">
        <f aca="false">SUMPRODUCT((Per_Clase="Indirecto")*INDEX(Dot_O,0,MIN(10,AU$17)))*(AU$15+AU$16*P_PreInd)</f>
        <v>17</v>
      </c>
      <c r="AV79" s="36" t="n">
        <f aca="false">SUMPRODUCT((Per_Clase="Indirecto")*INDEX(Dot_O,0,MIN(10,AV$17)))*(AV$15+AV$16*P_PreInd)</f>
        <v>17</v>
      </c>
      <c r="AW79" s="36" t="n">
        <f aca="false">SUMPRODUCT((Per_Clase="Indirecto")*INDEX(Dot_O,0,MIN(10,AW$17)))*(AW$15+AW$16*P_PreInd)</f>
        <v>17</v>
      </c>
      <c r="AX79" s="36" t="n">
        <f aca="false">SUMPRODUCT((Per_Clase="Indirecto")*INDEX(Dot_O,0,MIN(10,AX$17)))*(AX$15+AX$16*P_PreInd)</f>
        <v>17</v>
      </c>
      <c r="AY79" s="36" t="n">
        <f aca="false">SUMPRODUCT((Per_Clase="Indirecto")*INDEX(Dot_O,0,MIN(10,AY$17)))*(AY$15+AY$16*P_PreInd)</f>
        <v>17</v>
      </c>
      <c r="AZ79" s="36" t="n">
        <f aca="false">SUMPRODUCT((Per_Clase="Indirecto")*INDEX(Dot_O,0,MIN(10,AZ$17)))*(AZ$15+AZ$16*P_PreInd)</f>
        <v>17</v>
      </c>
      <c r="BA79" s="36" t="n">
        <f aca="false">SUMPRODUCT((Per_Clase="Indirecto")*INDEX(Dot_O,0,MIN(10,BA$17)))*(BA$15+BA$16*P_PreInd)</f>
        <v>17</v>
      </c>
      <c r="BB79" s="36" t="n">
        <f aca="false">SUMPRODUCT((Per_Clase="Indirecto")*INDEX(Dot_O,0,MIN(10,BB$17)))*(BB$15+BB$16*P_PreInd)</f>
        <v>17</v>
      </c>
      <c r="BC79" s="36" t="n">
        <f aca="false">SUMPRODUCT((Per_Clase="Indirecto")*INDEX(Dot_O,0,MIN(10,BC$17)))*(BC$15+BC$16*P_PreInd)</f>
        <v>17</v>
      </c>
      <c r="BD79" s="36" t="n">
        <f aca="false">SUMPRODUCT((Per_Clase="Indirecto")*INDEX(Dot_O,0,MIN(10,BD$17)))*(BD$15+BD$16*P_PreInd)</f>
        <v>17</v>
      </c>
      <c r="BE79" s="36" t="n">
        <f aca="false">SUMPRODUCT((Per_Clase="Indirecto")*INDEX(Dot_O,0,MIN(10,BE$17)))*(BE$15+BE$16*P_PreInd)</f>
        <v>17</v>
      </c>
      <c r="BF79" s="36" t="n">
        <f aca="false">SUMPRODUCT((Per_Clase="Indirecto")*INDEX(Dot_O,0,MIN(10,BF$17)))*(BF$15+BF$16*P_PreInd)</f>
        <v>17</v>
      </c>
      <c r="BG79" s="36" t="n">
        <f aca="false">SUMPRODUCT((Per_Clase="Indirecto")*INDEX(Dot_O,0,MIN(10,BG$17)))*(BG$15+BG$16*P_PreInd)</f>
        <v>17</v>
      </c>
      <c r="BH79" s="36" t="n">
        <f aca="false">SUMPRODUCT((Per_Clase="Indirecto")*INDEX(Dot_O,0,MIN(10,BH$17)))*(BH$15+BH$16*P_PreInd)</f>
        <v>17</v>
      </c>
      <c r="BI79" s="36" t="n">
        <f aca="false">SUMPRODUCT((Per_Clase="Indirecto")*INDEX(Dot_O,0,MIN(10,BI$17)))*(BI$15+BI$16*P_PreInd)</f>
        <v>17</v>
      </c>
      <c r="BJ79" s="36" t="n">
        <f aca="false">SUMPRODUCT((Per_Clase="Indirecto")*INDEX(Dot_O,0,MIN(10,BJ$17)))*(BJ$15+BJ$16*P_PreInd)</f>
        <v>17</v>
      </c>
      <c r="BK79" s="36" t="n">
        <f aca="false">SUMPRODUCT((Per_Clase="Indirecto")*INDEX(Dot_O,0,MIN(10,BK$17)))*(BK$15+BK$16*P_PreInd)</f>
        <v>17</v>
      </c>
      <c r="BL79" s="36" t="n">
        <f aca="false">SUMPRODUCT((Per_Clase="Indirecto")*INDEX(Dot_O,0,MIN(10,BL$17)))*(BL$15+BL$16*P_PreInd)</f>
        <v>17</v>
      </c>
      <c r="BM79" s="36" t="n">
        <f aca="false">SUMPRODUCT((Per_Clase="Indirecto")*INDEX(Dot_O,0,MIN(10,BM$17)))*(BM$15+BM$16*P_PreInd)</f>
        <v>17</v>
      </c>
      <c r="BN79" s="36" t="n">
        <f aca="false">SUMPRODUCT((Per_Clase="Indirecto")*INDEX(Dot_O,0,MIN(10,BN$17)))*(BN$15+BN$16*P_PreInd)</f>
        <v>17</v>
      </c>
      <c r="BO79" s="36" t="n">
        <f aca="false">SUMPRODUCT((Per_Clase="Indirecto")*INDEX(Dot_O,0,MIN(10,BO$17)))*(BO$15+BO$16*P_PreInd)</f>
        <v>17</v>
      </c>
      <c r="BP79" s="36" t="n">
        <f aca="false">SUMPRODUCT((Per_Clase="Indirecto")*INDEX(Dot_O,0,MIN(10,BP$17)))*(BP$15+BP$16*P_PreInd)</f>
        <v>17</v>
      </c>
      <c r="BQ79" s="36" t="n">
        <f aca="false">SUMPRODUCT((Per_Clase="Indirecto")*INDEX(Dot_O,0,MIN(10,BQ$17)))*(BQ$15+BQ$16*P_PreInd)</f>
        <v>17</v>
      </c>
      <c r="BR79" s="36" t="n">
        <f aca="false">SUMPRODUCT((Per_Clase="Indirecto")*INDEX(Dot_O,0,MIN(10,BR$17)))*(BR$15+BR$16*P_PreInd)</f>
        <v>17</v>
      </c>
      <c r="BS79" s="36" t="n">
        <f aca="false">SUMPRODUCT((Per_Clase="Indirecto")*INDEX(Dot_O,0,MIN(10,BS$17)))*(BS$15+BS$16*P_PreInd)</f>
        <v>17</v>
      </c>
      <c r="BT79" s="36" t="n">
        <f aca="false">SUMPRODUCT((Per_Clase="Indirecto")*INDEX(Dot_O,0,MIN(10,BT$17)))*(BT$15+BT$16*P_PreInd)</f>
        <v>17</v>
      </c>
      <c r="BU79" s="36" t="n">
        <f aca="false">SUMPRODUCT((Per_Clase="Indirecto")*INDEX(Dot_O,0,MIN(10,BU$17)))*(BU$15+BU$16*P_PreInd)</f>
        <v>17</v>
      </c>
      <c r="BV79" s="36" t="n">
        <f aca="false">SUMPRODUCT((Per_Clase="Indirecto")*INDEX(Dot_O,0,MIN(10,BV$17)))*(BV$15+BV$16*P_PreInd)</f>
        <v>17</v>
      </c>
      <c r="BW79" s="36" t="n">
        <f aca="false">SUMPRODUCT((Per_Clase="Indirecto")*INDEX(Dot_O,0,MIN(10,BW$17)))*(BW$15+BW$16*P_PreInd)</f>
        <v>17</v>
      </c>
      <c r="BX79" s="36" t="n">
        <f aca="false">SUMPRODUCT((Per_Clase="Indirecto")*INDEX(Dot_O,0,MIN(10,BX$17)))*(BX$15+BX$16*P_PreInd)</f>
        <v>17</v>
      </c>
      <c r="BY79" s="36" t="n">
        <f aca="false">SUMPRODUCT((Per_Clase="Indirecto")*INDEX(Dot_O,0,MIN(10,BY$17)))*(BY$15+BY$16*P_PreInd)</f>
        <v>17</v>
      </c>
      <c r="BZ79" s="36" t="n">
        <f aca="false">SUMPRODUCT((Per_Clase="Indirecto")*INDEX(Dot_O,0,MIN(10,BZ$17)))*(BZ$15+BZ$16*P_PreInd)</f>
        <v>17</v>
      </c>
      <c r="CA79" s="36" t="n">
        <f aca="false">SUMPRODUCT((Per_Clase="Indirecto")*INDEX(Dot_O,0,MIN(10,CA$17)))*(CA$15+CA$16*P_PreInd)</f>
        <v>17</v>
      </c>
      <c r="CB79" s="36" t="n">
        <f aca="false">SUMPRODUCT((Per_Clase="Indirecto")*INDEX(Dot_O,0,MIN(10,CB$17)))*(CB$15+CB$16*P_PreInd)</f>
        <v>17</v>
      </c>
      <c r="CC79" s="36" t="n">
        <f aca="false">SUMPRODUCT((Per_Clase="Indirecto")*INDEX(Dot_O,0,MIN(10,CC$17)))*(CC$15+CC$16*P_PreInd)</f>
        <v>17</v>
      </c>
      <c r="CD79" s="36" t="n">
        <f aca="false">SUMPRODUCT((Per_Clase="Indirecto")*INDEX(Dot_O,0,MIN(10,CD$17)))*(CD$15+CD$16*P_PreInd)</f>
        <v>17</v>
      </c>
      <c r="CE79" s="36" t="n">
        <f aca="false">SUMPRODUCT((Per_Clase="Indirecto")*INDEX(Dot_O,0,MIN(10,CE$17)))*(CE$15+CE$16*P_PreInd)</f>
        <v>17</v>
      </c>
      <c r="CF79" s="36" t="n">
        <f aca="false">SUMPRODUCT((Per_Clase="Indirecto")*INDEX(Dot_O,0,MIN(10,CF$17)))*(CF$15+CF$16*P_PreInd)</f>
        <v>17</v>
      </c>
      <c r="CG79" s="36" t="n">
        <f aca="false">SUMPRODUCT((Per_Clase="Indirecto")*INDEX(Dot_O,0,MIN(10,CG$17)))*(CG$15+CG$16*P_PreInd)</f>
        <v>17</v>
      </c>
      <c r="CH79" s="36" t="n">
        <f aca="false">SUMPRODUCT((Per_Clase="Indirecto")*INDEX(Dot_O,0,MIN(10,CH$17)))*(CH$15+CH$16*P_PreInd)</f>
        <v>17</v>
      </c>
      <c r="CI79" s="36" t="n">
        <f aca="false">SUMPRODUCT((Per_Clase="Indirecto")*INDEX(Dot_O,0,MIN(10,CI$17)))*(CI$15+CI$16*P_PreInd)</f>
        <v>17</v>
      </c>
      <c r="CJ79" s="36" t="n">
        <f aca="false">SUMPRODUCT((Per_Clase="Indirecto")*INDEX(Dot_O,0,MIN(10,CJ$17)))*(CJ$15+CJ$16*P_PreInd)</f>
        <v>17</v>
      </c>
      <c r="CK79" s="36" t="n">
        <f aca="false">SUMPRODUCT((Per_Clase="Indirecto")*INDEX(Dot_O,0,MIN(10,CK$17)))*(CK$15+CK$16*P_PreInd)</f>
        <v>17</v>
      </c>
      <c r="CL79" s="36" t="n">
        <f aca="false">SUMPRODUCT((Per_Clase="Indirecto")*INDEX(Dot_O,0,MIN(10,CL$17)))*(CL$15+CL$16*P_PreInd)</f>
        <v>17</v>
      </c>
      <c r="CM79" s="36" t="n">
        <f aca="false">SUMPRODUCT((Per_Clase="Indirecto")*INDEX(Dot_O,0,MIN(10,CM$17)))*(CM$15+CM$16*P_PreInd)</f>
        <v>17</v>
      </c>
      <c r="CN79" s="36" t="n">
        <f aca="false">SUMPRODUCT((Per_Clase="Indirecto")*INDEX(Dot_O,0,MIN(10,CN$17)))*(CN$15+CN$16*P_PreInd)</f>
        <v>17</v>
      </c>
      <c r="CO79" s="36" t="n">
        <f aca="false">SUMPRODUCT((Per_Clase="Indirecto")*INDEX(Dot_O,0,MIN(10,CO$17)))*(CO$15+CO$16*P_PreInd)</f>
        <v>17</v>
      </c>
      <c r="CP79" s="36" t="n">
        <f aca="false">SUMPRODUCT((Per_Clase="Indirecto")*INDEX(Dot_O,0,MIN(10,CP$17)))*(CP$15+CP$16*P_PreInd)</f>
        <v>17</v>
      </c>
      <c r="CQ79" s="36" t="n">
        <f aca="false">SUMPRODUCT((Per_Clase="Indirecto")*INDEX(Dot_O,0,MIN(10,CQ$17)))*(CQ$15+CQ$16*P_PreInd)</f>
        <v>17</v>
      </c>
      <c r="CR79" s="36" t="n">
        <f aca="false">SUMPRODUCT((Per_Clase="Indirecto")*INDEX(Dot_O,0,MIN(10,CR$17)))*(CR$15+CR$16*P_PreInd)</f>
        <v>17</v>
      </c>
      <c r="CS79" s="36" t="n">
        <f aca="false">SUMPRODUCT((Per_Clase="Indirecto")*INDEX(Dot_O,0,MIN(10,CS$17)))*(CS$15+CS$16*P_PreInd)</f>
        <v>17</v>
      </c>
      <c r="CT79" s="36" t="n">
        <f aca="false">SUMPRODUCT((Per_Clase="Indirecto")*INDEX(Dot_O,0,MIN(10,CT$17)))*(CT$15+CT$16*P_PreInd)</f>
        <v>17</v>
      </c>
      <c r="CU79" s="36" t="n">
        <f aca="false">SUMPRODUCT((Per_Clase="Indirecto")*INDEX(Dot_O,0,MIN(10,CU$17)))*(CU$15+CU$16*P_PreInd)</f>
        <v>17</v>
      </c>
      <c r="CV79" s="36" t="n">
        <f aca="false">SUMPRODUCT((Per_Clase="Indirecto")*INDEX(Dot_O,0,MIN(10,CV$17)))*(CV$15+CV$16*P_PreInd)</f>
        <v>17</v>
      </c>
      <c r="CW79" s="36" t="n">
        <f aca="false">SUMPRODUCT((Per_Clase="Indirecto")*INDEX(Dot_O,0,MIN(10,CW$17)))*(CW$15+CW$16*P_PreInd)</f>
        <v>17</v>
      </c>
      <c r="CX79" s="36" t="n">
        <f aca="false">SUMPRODUCT((Per_Clase="Indirecto")*INDEX(Dot_O,0,MIN(10,CX$17)))*(CX$15+CX$16*P_PreInd)</f>
        <v>17</v>
      </c>
      <c r="CY79" s="36" t="n">
        <f aca="false">SUMPRODUCT((Per_Clase="Indirecto")*INDEX(Dot_O,0,MIN(10,CY$17)))*(CY$15+CY$16*P_PreInd)</f>
        <v>17</v>
      </c>
      <c r="CZ79" s="36" t="n">
        <f aca="false">SUMPRODUCT((Per_Clase="Indirecto")*INDEX(Dot_O,0,MIN(10,CZ$17)))*(CZ$15+CZ$16*P_PreInd)</f>
        <v>17</v>
      </c>
      <c r="DA79" s="36" t="n">
        <f aca="false">SUMPRODUCT((Per_Clase="Indirecto")*INDEX(Dot_O,0,MIN(10,DA$17)))*(DA$15+DA$16*P_PreInd)</f>
        <v>17</v>
      </c>
      <c r="DB79" s="36" t="n">
        <f aca="false">SUMPRODUCT((Per_Clase="Indirecto")*INDEX(Dot_O,0,MIN(10,DB$17)))*(DB$15+DB$16*P_PreInd)</f>
        <v>17</v>
      </c>
      <c r="DC79" s="36" t="n">
        <f aca="false">SUMPRODUCT((Per_Clase="Indirecto")*INDEX(Dot_O,0,MIN(10,DC$17)))*(DC$15+DC$16*P_PreInd)</f>
        <v>17</v>
      </c>
      <c r="DD79" s="36" t="n">
        <f aca="false">SUMPRODUCT((Per_Clase="Indirecto")*INDEX(Dot_O,0,MIN(10,DD$17)))*(DD$15+DD$16*P_PreInd)</f>
        <v>17</v>
      </c>
      <c r="DE79" s="36" t="n">
        <f aca="false">SUMPRODUCT((Per_Clase="Indirecto")*INDEX(Dot_O,0,MIN(10,DE$17)))*(DE$15+DE$16*P_PreInd)</f>
        <v>17</v>
      </c>
      <c r="DF79" s="36" t="n">
        <f aca="false">SUMPRODUCT((Per_Clase="Indirecto")*INDEX(Dot_O,0,MIN(10,DF$17)))*(DF$15+DF$16*P_PreInd)</f>
        <v>17</v>
      </c>
      <c r="DG79" s="36" t="n">
        <f aca="false">SUMPRODUCT((Per_Clase="Indirecto")*INDEX(Dot_O,0,MIN(10,DG$17)))*(DG$15+DG$16*P_PreInd)</f>
        <v>17</v>
      </c>
      <c r="DH79" s="36" t="n">
        <f aca="false">SUMPRODUCT((Per_Clase="Indirecto")*INDEX(Dot_O,0,MIN(10,DH$17)))*(DH$15+DH$16*P_PreInd)</f>
        <v>17</v>
      </c>
      <c r="DI79" s="36" t="n">
        <f aca="false">SUMPRODUCT((Per_Clase="Indirecto")*INDEX(Dot_O,0,MIN(10,DI$17)))*(DI$15+DI$16*P_PreInd)</f>
        <v>17</v>
      </c>
      <c r="DJ79" s="36" t="n">
        <f aca="false">SUMPRODUCT((Per_Clase="Indirecto")*INDEX(Dot_O,0,MIN(10,DJ$17)))*(DJ$15+DJ$16*P_PreInd)</f>
        <v>17</v>
      </c>
      <c r="DK79" s="36" t="n">
        <f aca="false">SUMPRODUCT((Per_Clase="Indirecto")*INDEX(Dot_O,0,MIN(10,DK$17)))*(DK$15+DK$16*P_PreInd)</f>
        <v>17</v>
      </c>
      <c r="DL79" s="36" t="n">
        <f aca="false">SUMPRODUCT((Per_Clase="Indirecto")*INDEX(Dot_O,0,MIN(10,DL$17)))*(DL$15+DL$16*P_PreInd)</f>
        <v>17</v>
      </c>
      <c r="DM79" s="36" t="n">
        <f aca="false">SUMPRODUCT((Per_Clase="Indirecto")*INDEX(Dot_O,0,MIN(10,DM$17)))*(DM$15+DM$16*P_PreInd)</f>
        <v>17</v>
      </c>
      <c r="DN79" s="36" t="n">
        <f aca="false">SUMPRODUCT((Per_Clase="Indirecto")*INDEX(Dot_O,0,MIN(10,DN$17)))*(DN$15+DN$16*P_PreInd)</f>
        <v>17</v>
      </c>
      <c r="DO79" s="36" t="n">
        <f aca="false">SUMPRODUCT((Per_Clase="Indirecto")*INDEX(Dot_O,0,MIN(10,DO$17)))*(DO$15+DO$16*P_PreInd)</f>
        <v>17</v>
      </c>
      <c r="DP79" s="36" t="n">
        <f aca="false">SUMPRODUCT((Per_Clase="Indirecto")*INDEX(Dot_O,0,MIN(10,DP$17)))*(DP$15+DP$16*P_PreInd)</f>
        <v>17</v>
      </c>
      <c r="DQ79" s="36" t="n">
        <f aca="false">SUMPRODUCT((Per_Clase="Indirecto")*INDEX(Dot_O,0,MIN(10,DQ$17)))*(DQ$15+DQ$16*P_PreInd)</f>
        <v>17</v>
      </c>
      <c r="DR79" s="36" t="n">
        <f aca="false">SUMPRODUCT((Per_Clase="Indirecto")*INDEX(Dot_O,0,MIN(10,DR$17)))*(DR$15+DR$16*P_PreInd)</f>
        <v>17</v>
      </c>
      <c r="DS79" s="36" t="n">
        <f aca="false">SUMPRODUCT((Per_Clase="Indirecto")*INDEX(Dot_O,0,MIN(10,DS$17)))*(DS$15+DS$16*P_PreInd)</f>
        <v>17</v>
      </c>
      <c r="DT79" s="36" t="n">
        <f aca="false">SUMPRODUCT((Per_Clase="Indirecto")*INDEX(Dot_O,0,MIN(10,DT$17)))*(DT$15+DT$16*P_PreInd)</f>
        <v>17</v>
      </c>
      <c r="DU79" s="36" t="n">
        <f aca="false">SUMPRODUCT((Per_Clase="Indirecto")*INDEX(Dot_O,0,MIN(10,DU$17)))*(DU$15+DU$16*P_PreInd)</f>
        <v>17</v>
      </c>
      <c r="DV79" s="36" t="n">
        <f aca="false">SUMPRODUCT((Per_Clase="Indirecto")*INDEX(Dot_O,0,MIN(10,DV$17)))*(DV$15+DV$16*P_PreInd)</f>
        <v>0</v>
      </c>
      <c r="DW79" s="36" t="n">
        <f aca="false">SUMPRODUCT((Per_Clase="Indirecto")*INDEX(Dot_O,0,MIN(10,DW$17)))*(DW$15+DW$16*P_PreInd)</f>
        <v>0</v>
      </c>
      <c r="DX79" s="36" t="n">
        <f aca="false">SUMPRODUCT((Per_Clase="Indirecto")*INDEX(Dot_O,0,MIN(10,DX$17)))*(DX$15+DX$16*P_PreInd)</f>
        <v>0</v>
      </c>
      <c r="DY79" s="36" t="n">
        <f aca="false">SUMPRODUCT((Per_Clase="Indirecto")*INDEX(Dot_O,0,MIN(10,DY$17)))*(DY$15+DY$16*P_PreInd)</f>
        <v>0</v>
      </c>
      <c r="DZ79" s="36" t="n">
        <f aca="false">SUMPRODUCT((Per_Clase="Indirecto")*INDEX(Dot_O,0,MIN(10,DZ$17)))*(DZ$15+DZ$16*P_PreInd)</f>
        <v>0</v>
      </c>
      <c r="EA79" s="36" t="n">
        <f aca="false">SUMPRODUCT((Per_Clase="Indirecto")*INDEX(Dot_O,0,MIN(10,EA$17)))*(EA$15+EA$16*P_PreInd)</f>
        <v>0</v>
      </c>
      <c r="EB79" s="36" t="n">
        <f aca="false">SUMPRODUCT((Per_Clase="Indirecto")*INDEX(Dot_O,0,MIN(10,EB$17)))*(EB$15+EB$16*P_PreInd)</f>
        <v>0</v>
      </c>
      <c r="EC79" s="36" t="n">
        <f aca="false">SUMPRODUCT((Per_Clase="Indirecto")*INDEX(Dot_O,0,MIN(10,EC$17)))*(EC$15+EC$16*P_PreInd)</f>
        <v>0</v>
      </c>
      <c r="ED79" s="36" t="n">
        <f aca="false">SUMPRODUCT((Per_Clase="Indirecto")*INDEX(Dot_O,0,MIN(10,ED$17)))*(ED$15+ED$16*P_PreInd)</f>
        <v>0</v>
      </c>
      <c r="EE79" s="36" t="n">
        <f aca="false">SUMPRODUCT((Per_Clase="Indirecto")*INDEX(Dot_O,0,MIN(10,EE$17)))*(EE$15+EE$16*P_PreInd)</f>
        <v>0</v>
      </c>
      <c r="EF79" s="36" t="n">
        <f aca="false">SUMPRODUCT((Per_Clase="Indirecto")*INDEX(Dot_O,0,MIN(10,EF$17)))*(EF$15+EF$16*P_PreInd)</f>
        <v>0</v>
      </c>
      <c r="EG79" s="36" t="n">
        <f aca="false">SUMPRODUCT((Per_Clase="Indirecto")*INDEX(Dot_O,0,MIN(10,EG$17)))*(EG$15+EG$16*P_PreInd)</f>
        <v>0</v>
      </c>
      <c r="EH79" s="36" t="n">
        <f aca="false">SUMPRODUCT((Per_Clase="Indirecto")*INDEX(Dot_O,0,MIN(10,EH$17)))*(EH$15+EH$16*P_PreInd)</f>
        <v>0</v>
      </c>
      <c r="EI79" s="36" t="n">
        <f aca="false">SUMPRODUCT((Per_Clase="Indirecto")*INDEX(Dot_O,0,MIN(10,EI$17)))*(EI$15+EI$16*P_PreInd)</f>
        <v>0</v>
      </c>
      <c r="EJ79" s="36" t="n">
        <f aca="false">SUMPRODUCT((Per_Clase="Indirecto")*INDEX(Dot_O,0,MIN(10,EJ$17)))*(EJ$15+EJ$16*P_PreInd)</f>
        <v>0</v>
      </c>
      <c r="EK79" s="36" t="n">
        <f aca="false">SUMPRODUCT((Per_Clase="Indirecto")*INDEX(Dot_O,0,MIN(10,EK$17)))*(EK$15+EK$16*P_PreInd)</f>
        <v>0</v>
      </c>
      <c r="EL79" s="36" t="n">
        <f aca="false">SUMPRODUCT((Per_Clase="Indirecto")*INDEX(Dot_O,0,MIN(10,EL$17)))*(EL$15+EL$16*P_PreInd)</f>
        <v>0</v>
      </c>
      <c r="EM79" s="36" t="n">
        <f aca="false">SUMPRODUCT((Per_Clase="Indirecto")*INDEX(Dot_O,0,MIN(10,EM$17)))*(EM$15+EM$16*P_PreInd)</f>
        <v>0</v>
      </c>
      <c r="EN79" s="36" t="n">
        <f aca="false">SUMPRODUCT((Per_Clase="Indirecto")*INDEX(Dot_O,0,MIN(10,EN$17)))*(EN$15+EN$16*P_PreInd)</f>
        <v>0</v>
      </c>
      <c r="EO79" s="36" t="n">
        <f aca="false">SUMPRODUCT((Per_Clase="Indirecto")*INDEX(Dot_O,0,MIN(10,EO$17)))*(EO$15+EO$16*P_PreInd)</f>
        <v>0</v>
      </c>
      <c r="EP79" s="36" t="n">
        <f aca="false">SUMPRODUCT((Per_Clase="Indirecto")*INDEX(Dot_O,0,MIN(10,EP$17)))*(EP$15+EP$16*P_PreInd)</f>
        <v>0</v>
      </c>
      <c r="EQ79" s="36" t="n">
        <f aca="false">SUMPRODUCT((Per_Clase="Indirecto")*INDEX(Dot_O,0,MIN(10,EQ$17)))*(EQ$15+EQ$16*P_PreInd)</f>
        <v>0</v>
      </c>
      <c r="ER79" s="36" t="n">
        <f aca="false">SUMPRODUCT((Per_Clase="Indirecto")*INDEX(Dot_O,0,MIN(10,ER$17)))*(ER$15+ER$16*P_PreInd)</f>
        <v>0</v>
      </c>
      <c r="ES79" s="36" t="n">
        <f aca="false">SUMPRODUCT((Per_Clase="Indirecto")*INDEX(Dot_O,0,MIN(10,ES$17)))*(ES$15+ES$16*P_PreInd)</f>
        <v>0</v>
      </c>
    </row>
    <row r="80" customFormat="false" ht="15" hidden="false" customHeight="false" outlineLevel="0" collapsed="false">
      <c r="A80" s="2" t="s">
        <v>652</v>
      </c>
      <c r="B80" s="6" t="s">
        <v>653</v>
      </c>
      <c r="C80" s="6" t="s">
        <v>250</v>
      </c>
      <c r="E80" s="40" t="n">
        <f aca="false">SUM(F80:ES80)</f>
        <v>2451899.38788164</v>
      </c>
      <c r="F80" s="34" t="n">
        <f aca="false">SUMPRODUCT((Per_Clase="Indirecto")*Sal_O*INDEX(Dot_O,0,MIN(10,F$17))*((Per_Mon="PYG")*F$19+(Per_Mon&lt;&gt;"PYG")))*(F$15+F$16*P_PreInd)*INDEX(IdxSal_O,1,MIN(10,F$17))*(1+P_Cargas)+F$79*P_Alim*F$19</f>
        <v>20432.4948990137</v>
      </c>
      <c r="G80" s="34" t="n">
        <f aca="false">SUMPRODUCT((Per_Clase="Indirecto")*Sal_O*INDEX(Dot_O,0,MIN(10,G$17))*((Per_Mon="PYG")*G$19+(Per_Mon&lt;&gt;"PYG")))*(G$15+G$16*P_PreInd)*INDEX(IdxSal_O,1,MIN(10,G$17))*(1+P_Cargas)+G$79*P_Alim*G$19</f>
        <v>20432.4948990137</v>
      </c>
      <c r="H80" s="34" t="n">
        <f aca="false">SUMPRODUCT((Per_Clase="Indirecto")*Sal_O*INDEX(Dot_O,0,MIN(10,H$17))*((Per_Mon="PYG")*H$19+(Per_Mon&lt;&gt;"PYG")))*(H$15+H$16*P_PreInd)*INDEX(IdxSal_O,1,MIN(10,H$17))*(1+P_Cargas)+H$79*P_Alim*H$19</f>
        <v>20432.4948990137</v>
      </c>
      <c r="I80" s="34" t="n">
        <f aca="false">SUMPRODUCT((Per_Clase="Indirecto")*Sal_O*INDEX(Dot_O,0,MIN(10,I$17))*((Per_Mon="PYG")*I$19+(Per_Mon&lt;&gt;"PYG")))*(I$15+I$16*P_PreInd)*INDEX(IdxSal_O,1,MIN(10,I$17))*(1+P_Cargas)+I$79*P_Alim*I$19</f>
        <v>20432.4948990137</v>
      </c>
      <c r="J80" s="34" t="n">
        <f aca="false">SUMPRODUCT((Per_Clase="Indirecto")*Sal_O*INDEX(Dot_O,0,MIN(10,J$17))*((Per_Mon="PYG")*J$19+(Per_Mon&lt;&gt;"PYG")))*(J$15+J$16*P_PreInd)*INDEX(IdxSal_O,1,MIN(10,J$17))*(1+P_Cargas)+J$79*P_Alim*J$19</f>
        <v>20432.4948990137</v>
      </c>
      <c r="K80" s="34" t="n">
        <f aca="false">SUMPRODUCT((Per_Clase="Indirecto")*Sal_O*INDEX(Dot_O,0,MIN(10,K$17))*((Per_Mon="PYG")*K$19+(Per_Mon&lt;&gt;"PYG")))*(K$15+K$16*P_PreInd)*INDEX(IdxSal_O,1,MIN(10,K$17))*(1+P_Cargas)+K$79*P_Alim*K$19</f>
        <v>20432.4948990137</v>
      </c>
      <c r="L80" s="34" t="n">
        <f aca="false">SUMPRODUCT((Per_Clase="Indirecto")*Sal_O*INDEX(Dot_O,0,MIN(10,L$17))*((Per_Mon="PYG")*L$19+(Per_Mon&lt;&gt;"PYG")))*(L$15+L$16*P_PreInd)*INDEX(IdxSal_O,1,MIN(10,L$17))*(1+P_Cargas)+L$79*P_Alim*L$19</f>
        <v>20432.4948990137</v>
      </c>
      <c r="M80" s="34" t="n">
        <f aca="false">SUMPRODUCT((Per_Clase="Indirecto")*Sal_O*INDEX(Dot_O,0,MIN(10,M$17))*((Per_Mon="PYG")*M$19+(Per_Mon&lt;&gt;"PYG")))*(M$15+M$16*P_PreInd)*INDEX(IdxSal_O,1,MIN(10,M$17))*(1+P_Cargas)+M$79*P_Alim*M$19</f>
        <v>20432.4948990137</v>
      </c>
      <c r="N80" s="34" t="n">
        <f aca="false">SUMPRODUCT((Per_Clase="Indirecto")*Sal_O*INDEX(Dot_O,0,MIN(10,N$17))*((Per_Mon="PYG")*N$19+(Per_Mon&lt;&gt;"PYG")))*(N$15+N$16*P_PreInd)*INDEX(IdxSal_O,1,MIN(10,N$17))*(1+P_Cargas)+N$79*P_Alim*N$19</f>
        <v>20432.4948990137</v>
      </c>
      <c r="O80" s="34" t="n">
        <f aca="false">SUMPRODUCT((Per_Clase="Indirecto")*Sal_O*INDEX(Dot_O,0,MIN(10,O$17))*((Per_Mon="PYG")*O$19+(Per_Mon&lt;&gt;"PYG")))*(O$15+O$16*P_PreInd)*INDEX(IdxSal_O,1,MIN(10,O$17))*(1+P_Cargas)+O$79*P_Alim*O$19</f>
        <v>20432.4948990137</v>
      </c>
      <c r="P80" s="34" t="n">
        <f aca="false">SUMPRODUCT((Per_Clase="Indirecto")*Sal_O*INDEX(Dot_O,0,MIN(10,P$17))*((Per_Mon="PYG")*P$19+(Per_Mon&lt;&gt;"PYG")))*(P$15+P$16*P_PreInd)*INDEX(IdxSal_O,1,MIN(10,P$17))*(1+P_Cargas)+P$79*P_Alim*P$19</f>
        <v>20432.4948990137</v>
      </c>
      <c r="Q80" s="34" t="n">
        <f aca="false">SUMPRODUCT((Per_Clase="Indirecto")*Sal_O*INDEX(Dot_O,0,MIN(10,Q$17))*((Per_Mon="PYG")*Q$19+(Per_Mon&lt;&gt;"PYG")))*(Q$15+Q$16*P_PreInd)*INDEX(IdxSal_O,1,MIN(10,Q$17))*(1+P_Cargas)+Q$79*P_Alim*Q$19</f>
        <v>20432.4948990137</v>
      </c>
      <c r="R80" s="34" t="n">
        <f aca="false">SUMPRODUCT((Per_Clase="Indirecto")*Sal_O*INDEX(Dot_O,0,MIN(10,R$17))*((Per_Mon="PYG")*R$19+(Per_Mon&lt;&gt;"PYG")))*(R$15+R$16*P_PreInd)*INDEX(IdxSal_O,1,MIN(10,R$17))*(1+P_Cargas)+R$79*P_Alim*R$19</f>
        <v>20432.4948990137</v>
      </c>
      <c r="S80" s="34" t="n">
        <f aca="false">SUMPRODUCT((Per_Clase="Indirecto")*Sal_O*INDEX(Dot_O,0,MIN(10,S$17))*((Per_Mon="PYG")*S$19+(Per_Mon&lt;&gt;"PYG")))*(S$15+S$16*P_PreInd)*INDEX(IdxSal_O,1,MIN(10,S$17))*(1+P_Cargas)+S$79*P_Alim*S$19</f>
        <v>20432.4948990137</v>
      </c>
      <c r="T80" s="34" t="n">
        <f aca="false">SUMPRODUCT((Per_Clase="Indirecto")*Sal_O*INDEX(Dot_O,0,MIN(10,T$17))*((Per_Mon="PYG")*T$19+(Per_Mon&lt;&gt;"PYG")))*(T$15+T$16*P_PreInd)*INDEX(IdxSal_O,1,MIN(10,T$17))*(1+P_Cargas)+T$79*P_Alim*T$19</f>
        <v>20432.4948990137</v>
      </c>
      <c r="U80" s="34" t="n">
        <f aca="false">SUMPRODUCT((Per_Clase="Indirecto")*Sal_O*INDEX(Dot_O,0,MIN(10,U$17))*((Per_Mon="PYG")*U$19+(Per_Mon&lt;&gt;"PYG")))*(U$15+U$16*P_PreInd)*INDEX(IdxSal_O,1,MIN(10,U$17))*(1+P_Cargas)+U$79*P_Alim*U$19</f>
        <v>20432.4948990137</v>
      </c>
      <c r="V80" s="34" t="n">
        <f aca="false">SUMPRODUCT((Per_Clase="Indirecto")*Sal_O*INDEX(Dot_O,0,MIN(10,V$17))*((Per_Mon="PYG")*V$19+(Per_Mon&lt;&gt;"PYG")))*(V$15+V$16*P_PreInd)*INDEX(IdxSal_O,1,MIN(10,V$17))*(1+P_Cargas)+V$79*P_Alim*V$19</f>
        <v>20432.4948990137</v>
      </c>
      <c r="W80" s="34" t="n">
        <f aca="false">SUMPRODUCT((Per_Clase="Indirecto")*Sal_O*INDEX(Dot_O,0,MIN(10,W$17))*((Per_Mon="PYG")*W$19+(Per_Mon&lt;&gt;"PYG")))*(W$15+W$16*P_PreInd)*INDEX(IdxSal_O,1,MIN(10,W$17))*(1+P_Cargas)+W$79*P_Alim*W$19</f>
        <v>20432.4948990137</v>
      </c>
      <c r="X80" s="34" t="n">
        <f aca="false">SUMPRODUCT((Per_Clase="Indirecto")*Sal_O*INDEX(Dot_O,0,MIN(10,X$17))*((Per_Mon="PYG")*X$19+(Per_Mon&lt;&gt;"PYG")))*(X$15+X$16*P_PreInd)*INDEX(IdxSal_O,1,MIN(10,X$17))*(1+P_Cargas)+X$79*P_Alim*X$19</f>
        <v>20432.4948990137</v>
      </c>
      <c r="Y80" s="34" t="n">
        <f aca="false">SUMPRODUCT((Per_Clase="Indirecto")*Sal_O*INDEX(Dot_O,0,MIN(10,Y$17))*((Per_Mon="PYG")*Y$19+(Per_Mon&lt;&gt;"PYG")))*(Y$15+Y$16*P_PreInd)*INDEX(IdxSal_O,1,MIN(10,Y$17))*(1+P_Cargas)+Y$79*P_Alim*Y$19</f>
        <v>20432.4948990137</v>
      </c>
      <c r="Z80" s="34" t="n">
        <f aca="false">SUMPRODUCT((Per_Clase="Indirecto")*Sal_O*INDEX(Dot_O,0,MIN(10,Z$17))*((Per_Mon="PYG")*Z$19+(Per_Mon&lt;&gt;"PYG")))*(Z$15+Z$16*P_PreInd)*INDEX(IdxSal_O,1,MIN(10,Z$17))*(1+P_Cargas)+Z$79*P_Alim*Z$19</f>
        <v>20432.4948990137</v>
      </c>
      <c r="AA80" s="34" t="n">
        <f aca="false">SUMPRODUCT((Per_Clase="Indirecto")*Sal_O*INDEX(Dot_O,0,MIN(10,AA$17))*((Per_Mon="PYG")*AA$19+(Per_Mon&lt;&gt;"PYG")))*(AA$15+AA$16*P_PreInd)*INDEX(IdxSal_O,1,MIN(10,AA$17))*(1+P_Cargas)+AA$79*P_Alim*AA$19</f>
        <v>20432.4948990137</v>
      </c>
      <c r="AB80" s="34" t="n">
        <f aca="false">SUMPRODUCT((Per_Clase="Indirecto")*Sal_O*INDEX(Dot_O,0,MIN(10,AB$17))*((Per_Mon="PYG")*AB$19+(Per_Mon&lt;&gt;"PYG")))*(AB$15+AB$16*P_PreInd)*INDEX(IdxSal_O,1,MIN(10,AB$17))*(1+P_Cargas)+AB$79*P_Alim*AB$19</f>
        <v>20432.4948990137</v>
      </c>
      <c r="AC80" s="34" t="n">
        <f aca="false">SUMPRODUCT((Per_Clase="Indirecto")*Sal_O*INDEX(Dot_O,0,MIN(10,AC$17))*((Per_Mon="PYG")*AC$19+(Per_Mon&lt;&gt;"PYG")))*(AC$15+AC$16*P_PreInd)*INDEX(IdxSal_O,1,MIN(10,AC$17))*(1+P_Cargas)+AC$79*P_Alim*AC$19</f>
        <v>20432.4948990137</v>
      </c>
      <c r="AD80" s="34" t="n">
        <f aca="false">SUMPRODUCT((Per_Clase="Indirecto")*Sal_O*INDEX(Dot_O,0,MIN(10,AD$17))*((Per_Mon="PYG")*AD$19+(Per_Mon&lt;&gt;"PYG")))*(AD$15+AD$16*P_PreInd)*INDEX(IdxSal_O,1,MIN(10,AD$17))*(1+P_Cargas)+AD$79*P_Alim*AD$19</f>
        <v>20432.4948990137</v>
      </c>
      <c r="AE80" s="34" t="n">
        <f aca="false">SUMPRODUCT((Per_Clase="Indirecto")*Sal_O*INDEX(Dot_O,0,MIN(10,AE$17))*((Per_Mon="PYG")*AE$19+(Per_Mon&lt;&gt;"PYG")))*(AE$15+AE$16*P_PreInd)*INDEX(IdxSal_O,1,MIN(10,AE$17))*(1+P_Cargas)+AE$79*P_Alim*AE$19</f>
        <v>20432.4948990137</v>
      </c>
      <c r="AF80" s="34" t="n">
        <f aca="false">SUMPRODUCT((Per_Clase="Indirecto")*Sal_O*INDEX(Dot_O,0,MIN(10,AF$17))*((Per_Mon="PYG")*AF$19+(Per_Mon&lt;&gt;"PYG")))*(AF$15+AF$16*P_PreInd)*INDEX(IdxSal_O,1,MIN(10,AF$17))*(1+P_Cargas)+AF$79*P_Alim*AF$19</f>
        <v>20432.4948990137</v>
      </c>
      <c r="AG80" s="34" t="n">
        <f aca="false">SUMPRODUCT((Per_Clase="Indirecto")*Sal_O*INDEX(Dot_O,0,MIN(10,AG$17))*((Per_Mon="PYG")*AG$19+(Per_Mon&lt;&gt;"PYG")))*(AG$15+AG$16*P_PreInd)*INDEX(IdxSal_O,1,MIN(10,AG$17))*(1+P_Cargas)+AG$79*P_Alim*AG$19</f>
        <v>20432.4948990137</v>
      </c>
      <c r="AH80" s="34" t="n">
        <f aca="false">SUMPRODUCT((Per_Clase="Indirecto")*Sal_O*INDEX(Dot_O,0,MIN(10,AH$17))*((Per_Mon="PYG")*AH$19+(Per_Mon&lt;&gt;"PYG")))*(AH$15+AH$16*P_PreInd)*INDEX(IdxSal_O,1,MIN(10,AH$17))*(1+P_Cargas)+AH$79*P_Alim*AH$19</f>
        <v>20432.4948990137</v>
      </c>
      <c r="AI80" s="34" t="n">
        <f aca="false">SUMPRODUCT((Per_Clase="Indirecto")*Sal_O*INDEX(Dot_O,0,MIN(10,AI$17))*((Per_Mon="PYG")*AI$19+(Per_Mon&lt;&gt;"PYG")))*(AI$15+AI$16*P_PreInd)*INDEX(IdxSal_O,1,MIN(10,AI$17))*(1+P_Cargas)+AI$79*P_Alim*AI$19</f>
        <v>20432.4948990137</v>
      </c>
      <c r="AJ80" s="34" t="n">
        <f aca="false">SUMPRODUCT((Per_Clase="Indirecto")*Sal_O*INDEX(Dot_O,0,MIN(10,AJ$17))*((Per_Mon="PYG")*AJ$19+(Per_Mon&lt;&gt;"PYG")))*(AJ$15+AJ$16*P_PreInd)*INDEX(IdxSal_O,1,MIN(10,AJ$17))*(1+P_Cargas)+AJ$79*P_Alim*AJ$19</f>
        <v>20432.4948990137</v>
      </c>
      <c r="AK80" s="34" t="n">
        <f aca="false">SUMPRODUCT((Per_Clase="Indirecto")*Sal_O*INDEX(Dot_O,0,MIN(10,AK$17))*((Per_Mon="PYG")*AK$19+(Per_Mon&lt;&gt;"PYG")))*(AK$15+AK$16*P_PreInd)*INDEX(IdxSal_O,1,MIN(10,AK$17))*(1+P_Cargas)+AK$79*P_Alim*AK$19</f>
        <v>20432.4948990137</v>
      </c>
      <c r="AL80" s="34" t="n">
        <f aca="false">SUMPRODUCT((Per_Clase="Indirecto")*Sal_O*INDEX(Dot_O,0,MIN(10,AL$17))*((Per_Mon="PYG")*AL$19+(Per_Mon&lt;&gt;"PYG")))*(AL$15+AL$16*P_PreInd)*INDEX(IdxSal_O,1,MIN(10,AL$17))*(1+P_Cargas)+AL$79*P_Alim*AL$19</f>
        <v>20432.4948990137</v>
      </c>
      <c r="AM80" s="34" t="n">
        <f aca="false">SUMPRODUCT((Per_Clase="Indirecto")*Sal_O*INDEX(Dot_O,0,MIN(10,AM$17))*((Per_Mon="PYG")*AM$19+(Per_Mon&lt;&gt;"PYG")))*(AM$15+AM$16*P_PreInd)*INDEX(IdxSal_O,1,MIN(10,AM$17))*(1+P_Cargas)+AM$79*P_Alim*AM$19</f>
        <v>20432.4948990137</v>
      </c>
      <c r="AN80" s="34" t="n">
        <f aca="false">SUMPRODUCT((Per_Clase="Indirecto")*Sal_O*INDEX(Dot_O,0,MIN(10,AN$17))*((Per_Mon="PYG")*AN$19+(Per_Mon&lt;&gt;"PYG")))*(AN$15+AN$16*P_PreInd)*INDEX(IdxSal_O,1,MIN(10,AN$17))*(1+P_Cargas)+AN$79*P_Alim*AN$19</f>
        <v>20432.4948990137</v>
      </c>
      <c r="AO80" s="34" t="n">
        <f aca="false">SUMPRODUCT((Per_Clase="Indirecto")*Sal_O*INDEX(Dot_O,0,MIN(10,AO$17))*((Per_Mon="PYG")*AO$19+(Per_Mon&lt;&gt;"PYG")))*(AO$15+AO$16*P_PreInd)*INDEX(IdxSal_O,1,MIN(10,AO$17))*(1+P_Cargas)+AO$79*P_Alim*AO$19</f>
        <v>20432.4948990137</v>
      </c>
      <c r="AP80" s="34" t="n">
        <f aca="false">SUMPRODUCT((Per_Clase="Indirecto")*Sal_O*INDEX(Dot_O,0,MIN(10,AP$17))*((Per_Mon="PYG")*AP$19+(Per_Mon&lt;&gt;"PYG")))*(AP$15+AP$16*P_PreInd)*INDEX(IdxSal_O,1,MIN(10,AP$17))*(1+P_Cargas)+AP$79*P_Alim*AP$19</f>
        <v>20432.4948990137</v>
      </c>
      <c r="AQ80" s="34" t="n">
        <f aca="false">SUMPRODUCT((Per_Clase="Indirecto")*Sal_O*INDEX(Dot_O,0,MIN(10,AQ$17))*((Per_Mon="PYG")*AQ$19+(Per_Mon&lt;&gt;"PYG")))*(AQ$15+AQ$16*P_PreInd)*INDEX(IdxSal_O,1,MIN(10,AQ$17))*(1+P_Cargas)+AQ$79*P_Alim*AQ$19</f>
        <v>20432.4948990137</v>
      </c>
      <c r="AR80" s="34" t="n">
        <f aca="false">SUMPRODUCT((Per_Clase="Indirecto")*Sal_O*INDEX(Dot_O,0,MIN(10,AR$17))*((Per_Mon="PYG")*AR$19+(Per_Mon&lt;&gt;"PYG")))*(AR$15+AR$16*P_PreInd)*INDEX(IdxSal_O,1,MIN(10,AR$17))*(1+P_Cargas)+AR$79*P_Alim*AR$19</f>
        <v>20432.4948990137</v>
      </c>
      <c r="AS80" s="34" t="n">
        <f aca="false">SUMPRODUCT((Per_Clase="Indirecto")*Sal_O*INDEX(Dot_O,0,MIN(10,AS$17))*((Per_Mon="PYG")*AS$19+(Per_Mon&lt;&gt;"PYG")))*(AS$15+AS$16*P_PreInd)*INDEX(IdxSal_O,1,MIN(10,AS$17))*(1+P_Cargas)+AS$79*P_Alim*AS$19</f>
        <v>20432.4948990137</v>
      </c>
      <c r="AT80" s="34" t="n">
        <f aca="false">SUMPRODUCT((Per_Clase="Indirecto")*Sal_O*INDEX(Dot_O,0,MIN(10,AT$17))*((Per_Mon="PYG")*AT$19+(Per_Mon&lt;&gt;"PYG")))*(AT$15+AT$16*P_PreInd)*INDEX(IdxSal_O,1,MIN(10,AT$17))*(1+P_Cargas)+AT$79*P_Alim*AT$19</f>
        <v>20432.4948990137</v>
      </c>
      <c r="AU80" s="34" t="n">
        <f aca="false">SUMPRODUCT((Per_Clase="Indirecto")*Sal_O*INDEX(Dot_O,0,MIN(10,AU$17))*((Per_Mon="PYG")*AU$19+(Per_Mon&lt;&gt;"PYG")))*(AU$15+AU$16*P_PreInd)*INDEX(IdxSal_O,1,MIN(10,AU$17))*(1+P_Cargas)+AU$79*P_Alim*AU$19</f>
        <v>20432.4948990137</v>
      </c>
      <c r="AV80" s="34" t="n">
        <f aca="false">SUMPRODUCT((Per_Clase="Indirecto")*Sal_O*INDEX(Dot_O,0,MIN(10,AV$17))*((Per_Mon="PYG")*AV$19+(Per_Mon&lt;&gt;"PYG")))*(AV$15+AV$16*P_PreInd)*INDEX(IdxSal_O,1,MIN(10,AV$17))*(1+P_Cargas)+AV$79*P_Alim*AV$19</f>
        <v>20432.4948990137</v>
      </c>
      <c r="AW80" s="34" t="n">
        <f aca="false">SUMPRODUCT((Per_Clase="Indirecto")*Sal_O*INDEX(Dot_O,0,MIN(10,AW$17))*((Per_Mon="PYG")*AW$19+(Per_Mon&lt;&gt;"PYG")))*(AW$15+AW$16*P_PreInd)*INDEX(IdxSal_O,1,MIN(10,AW$17))*(1+P_Cargas)+AW$79*P_Alim*AW$19</f>
        <v>20432.4948990137</v>
      </c>
      <c r="AX80" s="34" t="n">
        <f aca="false">SUMPRODUCT((Per_Clase="Indirecto")*Sal_O*INDEX(Dot_O,0,MIN(10,AX$17))*((Per_Mon="PYG")*AX$19+(Per_Mon&lt;&gt;"PYG")))*(AX$15+AX$16*P_PreInd)*INDEX(IdxSal_O,1,MIN(10,AX$17))*(1+P_Cargas)+AX$79*P_Alim*AX$19</f>
        <v>20432.4948990137</v>
      </c>
      <c r="AY80" s="34" t="n">
        <f aca="false">SUMPRODUCT((Per_Clase="Indirecto")*Sal_O*INDEX(Dot_O,0,MIN(10,AY$17))*((Per_Mon="PYG")*AY$19+(Per_Mon&lt;&gt;"PYG")))*(AY$15+AY$16*P_PreInd)*INDEX(IdxSal_O,1,MIN(10,AY$17))*(1+P_Cargas)+AY$79*P_Alim*AY$19</f>
        <v>20432.4948990137</v>
      </c>
      <c r="AZ80" s="34" t="n">
        <f aca="false">SUMPRODUCT((Per_Clase="Indirecto")*Sal_O*INDEX(Dot_O,0,MIN(10,AZ$17))*((Per_Mon="PYG")*AZ$19+(Per_Mon&lt;&gt;"PYG")))*(AZ$15+AZ$16*P_PreInd)*INDEX(IdxSal_O,1,MIN(10,AZ$17))*(1+P_Cargas)+AZ$79*P_Alim*AZ$19</f>
        <v>20432.4948990137</v>
      </c>
      <c r="BA80" s="34" t="n">
        <f aca="false">SUMPRODUCT((Per_Clase="Indirecto")*Sal_O*INDEX(Dot_O,0,MIN(10,BA$17))*((Per_Mon="PYG")*BA$19+(Per_Mon&lt;&gt;"PYG")))*(BA$15+BA$16*P_PreInd)*INDEX(IdxSal_O,1,MIN(10,BA$17))*(1+P_Cargas)+BA$79*P_Alim*BA$19</f>
        <v>20432.4948990137</v>
      </c>
      <c r="BB80" s="34" t="n">
        <f aca="false">SUMPRODUCT((Per_Clase="Indirecto")*Sal_O*INDEX(Dot_O,0,MIN(10,BB$17))*((Per_Mon="PYG")*BB$19+(Per_Mon&lt;&gt;"PYG")))*(BB$15+BB$16*P_PreInd)*INDEX(IdxSal_O,1,MIN(10,BB$17))*(1+P_Cargas)+BB$79*P_Alim*BB$19</f>
        <v>20432.4948990137</v>
      </c>
      <c r="BC80" s="34" t="n">
        <f aca="false">SUMPRODUCT((Per_Clase="Indirecto")*Sal_O*INDEX(Dot_O,0,MIN(10,BC$17))*((Per_Mon="PYG")*BC$19+(Per_Mon&lt;&gt;"PYG")))*(BC$15+BC$16*P_PreInd)*INDEX(IdxSal_O,1,MIN(10,BC$17))*(1+P_Cargas)+BC$79*P_Alim*BC$19</f>
        <v>20432.4948990137</v>
      </c>
      <c r="BD80" s="34" t="n">
        <f aca="false">SUMPRODUCT((Per_Clase="Indirecto")*Sal_O*INDEX(Dot_O,0,MIN(10,BD$17))*((Per_Mon="PYG")*BD$19+(Per_Mon&lt;&gt;"PYG")))*(BD$15+BD$16*P_PreInd)*INDEX(IdxSal_O,1,MIN(10,BD$17))*(1+P_Cargas)+BD$79*P_Alim*BD$19</f>
        <v>20432.4948990137</v>
      </c>
      <c r="BE80" s="34" t="n">
        <f aca="false">SUMPRODUCT((Per_Clase="Indirecto")*Sal_O*INDEX(Dot_O,0,MIN(10,BE$17))*((Per_Mon="PYG")*BE$19+(Per_Mon&lt;&gt;"PYG")))*(BE$15+BE$16*P_PreInd)*INDEX(IdxSal_O,1,MIN(10,BE$17))*(1+P_Cargas)+BE$79*P_Alim*BE$19</f>
        <v>20432.4948990137</v>
      </c>
      <c r="BF80" s="34" t="n">
        <f aca="false">SUMPRODUCT((Per_Clase="Indirecto")*Sal_O*INDEX(Dot_O,0,MIN(10,BF$17))*((Per_Mon="PYG")*BF$19+(Per_Mon&lt;&gt;"PYG")))*(BF$15+BF$16*P_PreInd)*INDEX(IdxSal_O,1,MIN(10,BF$17))*(1+P_Cargas)+BF$79*P_Alim*BF$19</f>
        <v>20432.4948990137</v>
      </c>
      <c r="BG80" s="34" t="n">
        <f aca="false">SUMPRODUCT((Per_Clase="Indirecto")*Sal_O*INDEX(Dot_O,0,MIN(10,BG$17))*((Per_Mon="PYG")*BG$19+(Per_Mon&lt;&gt;"PYG")))*(BG$15+BG$16*P_PreInd)*INDEX(IdxSal_O,1,MIN(10,BG$17))*(1+P_Cargas)+BG$79*P_Alim*BG$19</f>
        <v>20432.4948990137</v>
      </c>
      <c r="BH80" s="34" t="n">
        <f aca="false">SUMPRODUCT((Per_Clase="Indirecto")*Sal_O*INDEX(Dot_O,0,MIN(10,BH$17))*((Per_Mon="PYG")*BH$19+(Per_Mon&lt;&gt;"PYG")))*(BH$15+BH$16*P_PreInd)*INDEX(IdxSal_O,1,MIN(10,BH$17))*(1+P_Cargas)+BH$79*P_Alim*BH$19</f>
        <v>20432.4948990137</v>
      </c>
      <c r="BI80" s="34" t="n">
        <f aca="false">SUMPRODUCT((Per_Clase="Indirecto")*Sal_O*INDEX(Dot_O,0,MIN(10,BI$17))*((Per_Mon="PYG")*BI$19+(Per_Mon&lt;&gt;"PYG")))*(BI$15+BI$16*P_PreInd)*INDEX(IdxSal_O,1,MIN(10,BI$17))*(1+P_Cargas)+BI$79*P_Alim*BI$19</f>
        <v>20432.4948990137</v>
      </c>
      <c r="BJ80" s="34" t="n">
        <f aca="false">SUMPRODUCT((Per_Clase="Indirecto")*Sal_O*INDEX(Dot_O,0,MIN(10,BJ$17))*((Per_Mon="PYG")*BJ$19+(Per_Mon&lt;&gt;"PYG")))*(BJ$15+BJ$16*P_PreInd)*INDEX(IdxSal_O,1,MIN(10,BJ$17))*(1+P_Cargas)+BJ$79*P_Alim*BJ$19</f>
        <v>20432.4948990137</v>
      </c>
      <c r="BK80" s="34" t="n">
        <f aca="false">SUMPRODUCT((Per_Clase="Indirecto")*Sal_O*INDEX(Dot_O,0,MIN(10,BK$17))*((Per_Mon="PYG")*BK$19+(Per_Mon&lt;&gt;"PYG")))*(BK$15+BK$16*P_PreInd)*INDEX(IdxSal_O,1,MIN(10,BK$17))*(1+P_Cargas)+BK$79*P_Alim*BK$19</f>
        <v>20432.4948990137</v>
      </c>
      <c r="BL80" s="34" t="n">
        <f aca="false">SUMPRODUCT((Per_Clase="Indirecto")*Sal_O*INDEX(Dot_O,0,MIN(10,BL$17))*((Per_Mon="PYG")*BL$19+(Per_Mon&lt;&gt;"PYG")))*(BL$15+BL$16*P_PreInd)*INDEX(IdxSal_O,1,MIN(10,BL$17))*(1+P_Cargas)+BL$79*P_Alim*BL$19</f>
        <v>20432.4948990137</v>
      </c>
      <c r="BM80" s="34" t="n">
        <f aca="false">SUMPRODUCT((Per_Clase="Indirecto")*Sal_O*INDEX(Dot_O,0,MIN(10,BM$17))*((Per_Mon="PYG")*BM$19+(Per_Mon&lt;&gt;"PYG")))*(BM$15+BM$16*P_PreInd)*INDEX(IdxSal_O,1,MIN(10,BM$17))*(1+P_Cargas)+BM$79*P_Alim*BM$19</f>
        <v>20432.4948990137</v>
      </c>
      <c r="BN80" s="34" t="n">
        <f aca="false">SUMPRODUCT((Per_Clase="Indirecto")*Sal_O*INDEX(Dot_O,0,MIN(10,BN$17))*((Per_Mon="PYG")*BN$19+(Per_Mon&lt;&gt;"PYG")))*(BN$15+BN$16*P_PreInd)*INDEX(IdxSal_O,1,MIN(10,BN$17))*(1+P_Cargas)+BN$79*P_Alim*BN$19</f>
        <v>20432.4948990137</v>
      </c>
      <c r="BO80" s="34" t="n">
        <f aca="false">SUMPRODUCT((Per_Clase="Indirecto")*Sal_O*INDEX(Dot_O,0,MIN(10,BO$17))*((Per_Mon="PYG")*BO$19+(Per_Mon&lt;&gt;"PYG")))*(BO$15+BO$16*P_PreInd)*INDEX(IdxSal_O,1,MIN(10,BO$17))*(1+P_Cargas)+BO$79*P_Alim*BO$19</f>
        <v>20432.4948990137</v>
      </c>
      <c r="BP80" s="34" t="n">
        <f aca="false">SUMPRODUCT((Per_Clase="Indirecto")*Sal_O*INDEX(Dot_O,0,MIN(10,BP$17))*((Per_Mon="PYG")*BP$19+(Per_Mon&lt;&gt;"PYG")))*(BP$15+BP$16*P_PreInd)*INDEX(IdxSal_O,1,MIN(10,BP$17))*(1+P_Cargas)+BP$79*P_Alim*BP$19</f>
        <v>20432.4948990137</v>
      </c>
      <c r="BQ80" s="34" t="n">
        <f aca="false">SUMPRODUCT((Per_Clase="Indirecto")*Sal_O*INDEX(Dot_O,0,MIN(10,BQ$17))*((Per_Mon="PYG")*BQ$19+(Per_Mon&lt;&gt;"PYG")))*(BQ$15+BQ$16*P_PreInd)*INDEX(IdxSal_O,1,MIN(10,BQ$17))*(1+P_Cargas)+BQ$79*P_Alim*BQ$19</f>
        <v>20432.4948990137</v>
      </c>
      <c r="BR80" s="34" t="n">
        <f aca="false">SUMPRODUCT((Per_Clase="Indirecto")*Sal_O*INDEX(Dot_O,0,MIN(10,BR$17))*((Per_Mon="PYG")*BR$19+(Per_Mon&lt;&gt;"PYG")))*(BR$15+BR$16*P_PreInd)*INDEX(IdxSal_O,1,MIN(10,BR$17))*(1+P_Cargas)+BR$79*P_Alim*BR$19</f>
        <v>20432.4948990137</v>
      </c>
      <c r="BS80" s="34" t="n">
        <f aca="false">SUMPRODUCT((Per_Clase="Indirecto")*Sal_O*INDEX(Dot_O,0,MIN(10,BS$17))*((Per_Mon="PYG")*BS$19+(Per_Mon&lt;&gt;"PYG")))*(BS$15+BS$16*P_PreInd)*INDEX(IdxSal_O,1,MIN(10,BS$17))*(1+P_Cargas)+BS$79*P_Alim*BS$19</f>
        <v>20432.4948990137</v>
      </c>
      <c r="BT80" s="34" t="n">
        <f aca="false">SUMPRODUCT((Per_Clase="Indirecto")*Sal_O*INDEX(Dot_O,0,MIN(10,BT$17))*((Per_Mon="PYG")*BT$19+(Per_Mon&lt;&gt;"PYG")))*(BT$15+BT$16*P_PreInd)*INDEX(IdxSal_O,1,MIN(10,BT$17))*(1+P_Cargas)+BT$79*P_Alim*BT$19</f>
        <v>20432.4948990137</v>
      </c>
      <c r="BU80" s="34" t="n">
        <f aca="false">SUMPRODUCT((Per_Clase="Indirecto")*Sal_O*INDEX(Dot_O,0,MIN(10,BU$17))*((Per_Mon="PYG")*BU$19+(Per_Mon&lt;&gt;"PYG")))*(BU$15+BU$16*P_PreInd)*INDEX(IdxSal_O,1,MIN(10,BU$17))*(1+P_Cargas)+BU$79*P_Alim*BU$19</f>
        <v>20432.4948990137</v>
      </c>
      <c r="BV80" s="34" t="n">
        <f aca="false">SUMPRODUCT((Per_Clase="Indirecto")*Sal_O*INDEX(Dot_O,0,MIN(10,BV$17))*((Per_Mon="PYG")*BV$19+(Per_Mon&lt;&gt;"PYG")))*(BV$15+BV$16*P_PreInd)*INDEX(IdxSal_O,1,MIN(10,BV$17))*(1+P_Cargas)+BV$79*P_Alim*BV$19</f>
        <v>20432.4948990137</v>
      </c>
      <c r="BW80" s="34" t="n">
        <f aca="false">SUMPRODUCT((Per_Clase="Indirecto")*Sal_O*INDEX(Dot_O,0,MIN(10,BW$17))*((Per_Mon="PYG")*BW$19+(Per_Mon&lt;&gt;"PYG")))*(BW$15+BW$16*P_PreInd)*INDEX(IdxSal_O,1,MIN(10,BW$17))*(1+P_Cargas)+BW$79*P_Alim*BW$19</f>
        <v>20432.4948990137</v>
      </c>
      <c r="BX80" s="34" t="n">
        <f aca="false">SUMPRODUCT((Per_Clase="Indirecto")*Sal_O*INDEX(Dot_O,0,MIN(10,BX$17))*((Per_Mon="PYG")*BX$19+(Per_Mon&lt;&gt;"PYG")))*(BX$15+BX$16*P_PreInd)*INDEX(IdxSal_O,1,MIN(10,BX$17))*(1+P_Cargas)+BX$79*P_Alim*BX$19</f>
        <v>20432.4948990137</v>
      </c>
      <c r="BY80" s="34" t="n">
        <f aca="false">SUMPRODUCT((Per_Clase="Indirecto")*Sal_O*INDEX(Dot_O,0,MIN(10,BY$17))*((Per_Mon="PYG")*BY$19+(Per_Mon&lt;&gt;"PYG")))*(BY$15+BY$16*P_PreInd)*INDEX(IdxSal_O,1,MIN(10,BY$17))*(1+P_Cargas)+BY$79*P_Alim*BY$19</f>
        <v>20432.4948990137</v>
      </c>
      <c r="BZ80" s="34" t="n">
        <f aca="false">SUMPRODUCT((Per_Clase="Indirecto")*Sal_O*INDEX(Dot_O,0,MIN(10,BZ$17))*((Per_Mon="PYG")*BZ$19+(Per_Mon&lt;&gt;"PYG")))*(BZ$15+BZ$16*P_PreInd)*INDEX(IdxSal_O,1,MIN(10,BZ$17))*(1+P_Cargas)+BZ$79*P_Alim*BZ$19</f>
        <v>20432.4948990137</v>
      </c>
      <c r="CA80" s="34" t="n">
        <f aca="false">SUMPRODUCT((Per_Clase="Indirecto")*Sal_O*INDEX(Dot_O,0,MIN(10,CA$17))*((Per_Mon="PYG")*CA$19+(Per_Mon&lt;&gt;"PYG")))*(CA$15+CA$16*P_PreInd)*INDEX(IdxSal_O,1,MIN(10,CA$17))*(1+P_Cargas)+CA$79*P_Alim*CA$19</f>
        <v>20432.4948990137</v>
      </c>
      <c r="CB80" s="34" t="n">
        <f aca="false">SUMPRODUCT((Per_Clase="Indirecto")*Sal_O*INDEX(Dot_O,0,MIN(10,CB$17))*((Per_Mon="PYG")*CB$19+(Per_Mon&lt;&gt;"PYG")))*(CB$15+CB$16*P_PreInd)*INDEX(IdxSal_O,1,MIN(10,CB$17))*(1+P_Cargas)+CB$79*P_Alim*CB$19</f>
        <v>20432.4948990137</v>
      </c>
      <c r="CC80" s="34" t="n">
        <f aca="false">SUMPRODUCT((Per_Clase="Indirecto")*Sal_O*INDEX(Dot_O,0,MIN(10,CC$17))*((Per_Mon="PYG")*CC$19+(Per_Mon&lt;&gt;"PYG")))*(CC$15+CC$16*P_PreInd)*INDEX(IdxSal_O,1,MIN(10,CC$17))*(1+P_Cargas)+CC$79*P_Alim*CC$19</f>
        <v>20432.4948990137</v>
      </c>
      <c r="CD80" s="34" t="n">
        <f aca="false">SUMPRODUCT((Per_Clase="Indirecto")*Sal_O*INDEX(Dot_O,0,MIN(10,CD$17))*((Per_Mon="PYG")*CD$19+(Per_Mon&lt;&gt;"PYG")))*(CD$15+CD$16*P_PreInd)*INDEX(IdxSal_O,1,MIN(10,CD$17))*(1+P_Cargas)+CD$79*P_Alim*CD$19</f>
        <v>20432.4948990137</v>
      </c>
      <c r="CE80" s="34" t="n">
        <f aca="false">SUMPRODUCT((Per_Clase="Indirecto")*Sal_O*INDEX(Dot_O,0,MIN(10,CE$17))*((Per_Mon="PYG")*CE$19+(Per_Mon&lt;&gt;"PYG")))*(CE$15+CE$16*P_PreInd)*INDEX(IdxSal_O,1,MIN(10,CE$17))*(1+P_Cargas)+CE$79*P_Alim*CE$19</f>
        <v>20432.4948990137</v>
      </c>
      <c r="CF80" s="34" t="n">
        <f aca="false">SUMPRODUCT((Per_Clase="Indirecto")*Sal_O*INDEX(Dot_O,0,MIN(10,CF$17))*((Per_Mon="PYG")*CF$19+(Per_Mon&lt;&gt;"PYG")))*(CF$15+CF$16*P_PreInd)*INDEX(IdxSal_O,1,MIN(10,CF$17))*(1+P_Cargas)+CF$79*P_Alim*CF$19</f>
        <v>20432.4948990137</v>
      </c>
      <c r="CG80" s="34" t="n">
        <f aca="false">SUMPRODUCT((Per_Clase="Indirecto")*Sal_O*INDEX(Dot_O,0,MIN(10,CG$17))*((Per_Mon="PYG")*CG$19+(Per_Mon&lt;&gt;"PYG")))*(CG$15+CG$16*P_PreInd)*INDEX(IdxSal_O,1,MIN(10,CG$17))*(1+P_Cargas)+CG$79*P_Alim*CG$19</f>
        <v>20432.4948990137</v>
      </c>
      <c r="CH80" s="34" t="n">
        <f aca="false">SUMPRODUCT((Per_Clase="Indirecto")*Sal_O*INDEX(Dot_O,0,MIN(10,CH$17))*((Per_Mon="PYG")*CH$19+(Per_Mon&lt;&gt;"PYG")))*(CH$15+CH$16*P_PreInd)*INDEX(IdxSal_O,1,MIN(10,CH$17))*(1+P_Cargas)+CH$79*P_Alim*CH$19</f>
        <v>20432.4948990137</v>
      </c>
      <c r="CI80" s="34" t="n">
        <f aca="false">SUMPRODUCT((Per_Clase="Indirecto")*Sal_O*INDEX(Dot_O,0,MIN(10,CI$17))*((Per_Mon="PYG")*CI$19+(Per_Mon&lt;&gt;"PYG")))*(CI$15+CI$16*P_PreInd)*INDEX(IdxSal_O,1,MIN(10,CI$17))*(1+P_Cargas)+CI$79*P_Alim*CI$19</f>
        <v>20432.4948990137</v>
      </c>
      <c r="CJ80" s="34" t="n">
        <f aca="false">SUMPRODUCT((Per_Clase="Indirecto")*Sal_O*INDEX(Dot_O,0,MIN(10,CJ$17))*((Per_Mon="PYG")*CJ$19+(Per_Mon&lt;&gt;"PYG")))*(CJ$15+CJ$16*P_PreInd)*INDEX(IdxSal_O,1,MIN(10,CJ$17))*(1+P_Cargas)+CJ$79*P_Alim*CJ$19</f>
        <v>20432.4948990137</v>
      </c>
      <c r="CK80" s="34" t="n">
        <f aca="false">SUMPRODUCT((Per_Clase="Indirecto")*Sal_O*INDEX(Dot_O,0,MIN(10,CK$17))*((Per_Mon="PYG")*CK$19+(Per_Mon&lt;&gt;"PYG")))*(CK$15+CK$16*P_PreInd)*INDEX(IdxSal_O,1,MIN(10,CK$17))*(1+P_Cargas)+CK$79*P_Alim*CK$19</f>
        <v>20432.4948990137</v>
      </c>
      <c r="CL80" s="34" t="n">
        <f aca="false">SUMPRODUCT((Per_Clase="Indirecto")*Sal_O*INDEX(Dot_O,0,MIN(10,CL$17))*((Per_Mon="PYG")*CL$19+(Per_Mon&lt;&gt;"PYG")))*(CL$15+CL$16*P_PreInd)*INDEX(IdxSal_O,1,MIN(10,CL$17))*(1+P_Cargas)+CL$79*P_Alim*CL$19</f>
        <v>20432.4948990137</v>
      </c>
      <c r="CM80" s="34" t="n">
        <f aca="false">SUMPRODUCT((Per_Clase="Indirecto")*Sal_O*INDEX(Dot_O,0,MIN(10,CM$17))*((Per_Mon="PYG")*CM$19+(Per_Mon&lt;&gt;"PYG")))*(CM$15+CM$16*P_PreInd)*INDEX(IdxSal_O,1,MIN(10,CM$17))*(1+P_Cargas)+CM$79*P_Alim*CM$19</f>
        <v>20432.4948990137</v>
      </c>
      <c r="CN80" s="34" t="n">
        <f aca="false">SUMPRODUCT((Per_Clase="Indirecto")*Sal_O*INDEX(Dot_O,0,MIN(10,CN$17))*((Per_Mon="PYG")*CN$19+(Per_Mon&lt;&gt;"PYG")))*(CN$15+CN$16*P_PreInd)*INDEX(IdxSal_O,1,MIN(10,CN$17))*(1+P_Cargas)+CN$79*P_Alim*CN$19</f>
        <v>20432.4948990137</v>
      </c>
      <c r="CO80" s="34" t="n">
        <f aca="false">SUMPRODUCT((Per_Clase="Indirecto")*Sal_O*INDEX(Dot_O,0,MIN(10,CO$17))*((Per_Mon="PYG")*CO$19+(Per_Mon&lt;&gt;"PYG")))*(CO$15+CO$16*P_PreInd)*INDEX(IdxSal_O,1,MIN(10,CO$17))*(1+P_Cargas)+CO$79*P_Alim*CO$19</f>
        <v>20432.4948990137</v>
      </c>
      <c r="CP80" s="34" t="n">
        <f aca="false">SUMPRODUCT((Per_Clase="Indirecto")*Sal_O*INDEX(Dot_O,0,MIN(10,CP$17))*((Per_Mon="PYG")*CP$19+(Per_Mon&lt;&gt;"PYG")))*(CP$15+CP$16*P_PreInd)*INDEX(IdxSal_O,1,MIN(10,CP$17))*(1+P_Cargas)+CP$79*P_Alim*CP$19</f>
        <v>20432.4948990137</v>
      </c>
      <c r="CQ80" s="34" t="n">
        <f aca="false">SUMPRODUCT((Per_Clase="Indirecto")*Sal_O*INDEX(Dot_O,0,MIN(10,CQ$17))*((Per_Mon="PYG")*CQ$19+(Per_Mon&lt;&gt;"PYG")))*(CQ$15+CQ$16*P_PreInd)*INDEX(IdxSal_O,1,MIN(10,CQ$17))*(1+P_Cargas)+CQ$79*P_Alim*CQ$19</f>
        <v>20432.4948990137</v>
      </c>
      <c r="CR80" s="34" t="n">
        <f aca="false">SUMPRODUCT((Per_Clase="Indirecto")*Sal_O*INDEX(Dot_O,0,MIN(10,CR$17))*((Per_Mon="PYG")*CR$19+(Per_Mon&lt;&gt;"PYG")))*(CR$15+CR$16*P_PreInd)*INDEX(IdxSal_O,1,MIN(10,CR$17))*(1+P_Cargas)+CR$79*P_Alim*CR$19</f>
        <v>20432.4948990137</v>
      </c>
      <c r="CS80" s="34" t="n">
        <f aca="false">SUMPRODUCT((Per_Clase="Indirecto")*Sal_O*INDEX(Dot_O,0,MIN(10,CS$17))*((Per_Mon="PYG")*CS$19+(Per_Mon&lt;&gt;"PYG")))*(CS$15+CS$16*P_PreInd)*INDEX(IdxSal_O,1,MIN(10,CS$17))*(1+P_Cargas)+CS$79*P_Alim*CS$19</f>
        <v>20432.4948990137</v>
      </c>
      <c r="CT80" s="34" t="n">
        <f aca="false">SUMPRODUCT((Per_Clase="Indirecto")*Sal_O*INDEX(Dot_O,0,MIN(10,CT$17))*((Per_Mon="PYG")*CT$19+(Per_Mon&lt;&gt;"PYG")))*(CT$15+CT$16*P_PreInd)*INDEX(IdxSal_O,1,MIN(10,CT$17))*(1+P_Cargas)+CT$79*P_Alim*CT$19</f>
        <v>20432.4948990137</v>
      </c>
      <c r="CU80" s="34" t="n">
        <f aca="false">SUMPRODUCT((Per_Clase="Indirecto")*Sal_O*INDEX(Dot_O,0,MIN(10,CU$17))*((Per_Mon="PYG")*CU$19+(Per_Mon&lt;&gt;"PYG")))*(CU$15+CU$16*P_PreInd)*INDEX(IdxSal_O,1,MIN(10,CU$17))*(1+P_Cargas)+CU$79*P_Alim*CU$19</f>
        <v>20432.4948990137</v>
      </c>
      <c r="CV80" s="34" t="n">
        <f aca="false">SUMPRODUCT((Per_Clase="Indirecto")*Sal_O*INDEX(Dot_O,0,MIN(10,CV$17))*((Per_Mon="PYG")*CV$19+(Per_Mon&lt;&gt;"PYG")))*(CV$15+CV$16*P_PreInd)*INDEX(IdxSal_O,1,MIN(10,CV$17))*(1+P_Cargas)+CV$79*P_Alim*CV$19</f>
        <v>20432.4948990137</v>
      </c>
      <c r="CW80" s="34" t="n">
        <f aca="false">SUMPRODUCT((Per_Clase="Indirecto")*Sal_O*INDEX(Dot_O,0,MIN(10,CW$17))*((Per_Mon="PYG")*CW$19+(Per_Mon&lt;&gt;"PYG")))*(CW$15+CW$16*P_PreInd)*INDEX(IdxSal_O,1,MIN(10,CW$17))*(1+P_Cargas)+CW$79*P_Alim*CW$19</f>
        <v>20432.4948990137</v>
      </c>
      <c r="CX80" s="34" t="n">
        <f aca="false">SUMPRODUCT((Per_Clase="Indirecto")*Sal_O*INDEX(Dot_O,0,MIN(10,CX$17))*((Per_Mon="PYG")*CX$19+(Per_Mon&lt;&gt;"PYG")))*(CX$15+CX$16*P_PreInd)*INDEX(IdxSal_O,1,MIN(10,CX$17))*(1+P_Cargas)+CX$79*P_Alim*CX$19</f>
        <v>20432.4948990137</v>
      </c>
      <c r="CY80" s="34" t="n">
        <f aca="false">SUMPRODUCT((Per_Clase="Indirecto")*Sal_O*INDEX(Dot_O,0,MIN(10,CY$17))*((Per_Mon="PYG")*CY$19+(Per_Mon&lt;&gt;"PYG")))*(CY$15+CY$16*P_PreInd)*INDEX(IdxSal_O,1,MIN(10,CY$17))*(1+P_Cargas)+CY$79*P_Alim*CY$19</f>
        <v>20432.4948990137</v>
      </c>
      <c r="CZ80" s="34" t="n">
        <f aca="false">SUMPRODUCT((Per_Clase="Indirecto")*Sal_O*INDEX(Dot_O,0,MIN(10,CZ$17))*((Per_Mon="PYG")*CZ$19+(Per_Mon&lt;&gt;"PYG")))*(CZ$15+CZ$16*P_PreInd)*INDEX(IdxSal_O,1,MIN(10,CZ$17))*(1+P_Cargas)+CZ$79*P_Alim*CZ$19</f>
        <v>20432.4948990137</v>
      </c>
      <c r="DA80" s="34" t="n">
        <f aca="false">SUMPRODUCT((Per_Clase="Indirecto")*Sal_O*INDEX(Dot_O,0,MIN(10,DA$17))*((Per_Mon="PYG")*DA$19+(Per_Mon&lt;&gt;"PYG")))*(DA$15+DA$16*P_PreInd)*INDEX(IdxSal_O,1,MIN(10,DA$17))*(1+P_Cargas)+DA$79*P_Alim*DA$19</f>
        <v>20432.4948990137</v>
      </c>
      <c r="DB80" s="34" t="n">
        <f aca="false">SUMPRODUCT((Per_Clase="Indirecto")*Sal_O*INDEX(Dot_O,0,MIN(10,DB$17))*((Per_Mon="PYG")*DB$19+(Per_Mon&lt;&gt;"PYG")))*(DB$15+DB$16*P_PreInd)*INDEX(IdxSal_O,1,MIN(10,DB$17))*(1+P_Cargas)+DB$79*P_Alim*DB$19</f>
        <v>20432.4948990137</v>
      </c>
      <c r="DC80" s="34" t="n">
        <f aca="false">SUMPRODUCT((Per_Clase="Indirecto")*Sal_O*INDEX(Dot_O,0,MIN(10,DC$17))*((Per_Mon="PYG")*DC$19+(Per_Mon&lt;&gt;"PYG")))*(DC$15+DC$16*P_PreInd)*INDEX(IdxSal_O,1,MIN(10,DC$17))*(1+P_Cargas)+DC$79*P_Alim*DC$19</f>
        <v>20432.4948990137</v>
      </c>
      <c r="DD80" s="34" t="n">
        <f aca="false">SUMPRODUCT((Per_Clase="Indirecto")*Sal_O*INDEX(Dot_O,0,MIN(10,DD$17))*((Per_Mon="PYG")*DD$19+(Per_Mon&lt;&gt;"PYG")))*(DD$15+DD$16*P_PreInd)*INDEX(IdxSal_O,1,MIN(10,DD$17))*(1+P_Cargas)+DD$79*P_Alim*DD$19</f>
        <v>20432.4948990137</v>
      </c>
      <c r="DE80" s="34" t="n">
        <f aca="false">SUMPRODUCT((Per_Clase="Indirecto")*Sal_O*INDEX(Dot_O,0,MIN(10,DE$17))*((Per_Mon="PYG")*DE$19+(Per_Mon&lt;&gt;"PYG")))*(DE$15+DE$16*P_PreInd)*INDEX(IdxSal_O,1,MIN(10,DE$17))*(1+P_Cargas)+DE$79*P_Alim*DE$19</f>
        <v>20432.4948990137</v>
      </c>
      <c r="DF80" s="34" t="n">
        <f aca="false">SUMPRODUCT((Per_Clase="Indirecto")*Sal_O*INDEX(Dot_O,0,MIN(10,DF$17))*((Per_Mon="PYG")*DF$19+(Per_Mon&lt;&gt;"PYG")))*(DF$15+DF$16*P_PreInd)*INDEX(IdxSal_O,1,MIN(10,DF$17))*(1+P_Cargas)+DF$79*P_Alim*DF$19</f>
        <v>20432.4948990137</v>
      </c>
      <c r="DG80" s="34" t="n">
        <f aca="false">SUMPRODUCT((Per_Clase="Indirecto")*Sal_O*INDEX(Dot_O,0,MIN(10,DG$17))*((Per_Mon="PYG")*DG$19+(Per_Mon&lt;&gt;"PYG")))*(DG$15+DG$16*P_PreInd)*INDEX(IdxSal_O,1,MIN(10,DG$17))*(1+P_Cargas)+DG$79*P_Alim*DG$19</f>
        <v>20432.4948990137</v>
      </c>
      <c r="DH80" s="34" t="n">
        <f aca="false">SUMPRODUCT((Per_Clase="Indirecto")*Sal_O*INDEX(Dot_O,0,MIN(10,DH$17))*((Per_Mon="PYG")*DH$19+(Per_Mon&lt;&gt;"PYG")))*(DH$15+DH$16*P_PreInd)*INDEX(IdxSal_O,1,MIN(10,DH$17))*(1+P_Cargas)+DH$79*P_Alim*DH$19</f>
        <v>20432.4948990137</v>
      </c>
      <c r="DI80" s="34" t="n">
        <f aca="false">SUMPRODUCT((Per_Clase="Indirecto")*Sal_O*INDEX(Dot_O,0,MIN(10,DI$17))*((Per_Mon="PYG")*DI$19+(Per_Mon&lt;&gt;"PYG")))*(DI$15+DI$16*P_PreInd)*INDEX(IdxSal_O,1,MIN(10,DI$17))*(1+P_Cargas)+DI$79*P_Alim*DI$19</f>
        <v>20432.4948990137</v>
      </c>
      <c r="DJ80" s="34" t="n">
        <f aca="false">SUMPRODUCT((Per_Clase="Indirecto")*Sal_O*INDEX(Dot_O,0,MIN(10,DJ$17))*((Per_Mon="PYG")*DJ$19+(Per_Mon&lt;&gt;"PYG")))*(DJ$15+DJ$16*P_PreInd)*INDEX(IdxSal_O,1,MIN(10,DJ$17))*(1+P_Cargas)+DJ$79*P_Alim*DJ$19</f>
        <v>20432.4948990137</v>
      </c>
      <c r="DK80" s="34" t="n">
        <f aca="false">SUMPRODUCT((Per_Clase="Indirecto")*Sal_O*INDEX(Dot_O,0,MIN(10,DK$17))*((Per_Mon="PYG")*DK$19+(Per_Mon&lt;&gt;"PYG")))*(DK$15+DK$16*P_PreInd)*INDEX(IdxSal_O,1,MIN(10,DK$17))*(1+P_Cargas)+DK$79*P_Alim*DK$19</f>
        <v>20432.4948990137</v>
      </c>
      <c r="DL80" s="34" t="n">
        <f aca="false">SUMPRODUCT((Per_Clase="Indirecto")*Sal_O*INDEX(Dot_O,0,MIN(10,DL$17))*((Per_Mon="PYG")*DL$19+(Per_Mon&lt;&gt;"PYG")))*(DL$15+DL$16*P_PreInd)*INDEX(IdxSal_O,1,MIN(10,DL$17))*(1+P_Cargas)+DL$79*P_Alim*DL$19</f>
        <v>20432.4948990137</v>
      </c>
      <c r="DM80" s="34" t="n">
        <f aca="false">SUMPRODUCT((Per_Clase="Indirecto")*Sal_O*INDEX(Dot_O,0,MIN(10,DM$17))*((Per_Mon="PYG")*DM$19+(Per_Mon&lt;&gt;"PYG")))*(DM$15+DM$16*P_PreInd)*INDEX(IdxSal_O,1,MIN(10,DM$17))*(1+P_Cargas)+DM$79*P_Alim*DM$19</f>
        <v>20432.4948990137</v>
      </c>
      <c r="DN80" s="34" t="n">
        <f aca="false">SUMPRODUCT((Per_Clase="Indirecto")*Sal_O*INDEX(Dot_O,0,MIN(10,DN$17))*((Per_Mon="PYG")*DN$19+(Per_Mon&lt;&gt;"PYG")))*(DN$15+DN$16*P_PreInd)*INDEX(IdxSal_O,1,MIN(10,DN$17))*(1+P_Cargas)+DN$79*P_Alim*DN$19</f>
        <v>20432.4948990137</v>
      </c>
      <c r="DO80" s="34" t="n">
        <f aca="false">SUMPRODUCT((Per_Clase="Indirecto")*Sal_O*INDEX(Dot_O,0,MIN(10,DO$17))*((Per_Mon="PYG")*DO$19+(Per_Mon&lt;&gt;"PYG")))*(DO$15+DO$16*P_PreInd)*INDEX(IdxSal_O,1,MIN(10,DO$17))*(1+P_Cargas)+DO$79*P_Alim*DO$19</f>
        <v>20432.4948990137</v>
      </c>
      <c r="DP80" s="34" t="n">
        <f aca="false">SUMPRODUCT((Per_Clase="Indirecto")*Sal_O*INDEX(Dot_O,0,MIN(10,DP$17))*((Per_Mon="PYG")*DP$19+(Per_Mon&lt;&gt;"PYG")))*(DP$15+DP$16*P_PreInd)*INDEX(IdxSal_O,1,MIN(10,DP$17))*(1+P_Cargas)+DP$79*P_Alim*DP$19</f>
        <v>20432.4948990137</v>
      </c>
      <c r="DQ80" s="34" t="n">
        <f aca="false">SUMPRODUCT((Per_Clase="Indirecto")*Sal_O*INDEX(Dot_O,0,MIN(10,DQ$17))*((Per_Mon="PYG")*DQ$19+(Per_Mon&lt;&gt;"PYG")))*(DQ$15+DQ$16*P_PreInd)*INDEX(IdxSal_O,1,MIN(10,DQ$17))*(1+P_Cargas)+DQ$79*P_Alim*DQ$19</f>
        <v>20432.4948990137</v>
      </c>
      <c r="DR80" s="34" t="n">
        <f aca="false">SUMPRODUCT((Per_Clase="Indirecto")*Sal_O*INDEX(Dot_O,0,MIN(10,DR$17))*((Per_Mon="PYG")*DR$19+(Per_Mon&lt;&gt;"PYG")))*(DR$15+DR$16*P_PreInd)*INDEX(IdxSal_O,1,MIN(10,DR$17))*(1+P_Cargas)+DR$79*P_Alim*DR$19</f>
        <v>20432.4948990137</v>
      </c>
      <c r="DS80" s="34" t="n">
        <f aca="false">SUMPRODUCT((Per_Clase="Indirecto")*Sal_O*INDEX(Dot_O,0,MIN(10,DS$17))*((Per_Mon="PYG")*DS$19+(Per_Mon&lt;&gt;"PYG")))*(DS$15+DS$16*P_PreInd)*INDEX(IdxSal_O,1,MIN(10,DS$17))*(1+P_Cargas)+DS$79*P_Alim*DS$19</f>
        <v>20432.4948990137</v>
      </c>
      <c r="DT80" s="34" t="n">
        <f aca="false">SUMPRODUCT((Per_Clase="Indirecto")*Sal_O*INDEX(Dot_O,0,MIN(10,DT$17))*((Per_Mon="PYG")*DT$19+(Per_Mon&lt;&gt;"PYG")))*(DT$15+DT$16*P_PreInd)*INDEX(IdxSal_O,1,MIN(10,DT$17))*(1+P_Cargas)+DT$79*P_Alim*DT$19</f>
        <v>20432.4948990137</v>
      </c>
      <c r="DU80" s="34" t="n">
        <f aca="false">SUMPRODUCT((Per_Clase="Indirecto")*Sal_O*INDEX(Dot_O,0,MIN(10,DU$17))*((Per_Mon="PYG")*DU$19+(Per_Mon&lt;&gt;"PYG")))*(DU$15+DU$16*P_PreInd)*INDEX(IdxSal_O,1,MIN(10,DU$17))*(1+P_Cargas)+DU$79*P_Alim*DU$19</f>
        <v>20432.4948990137</v>
      </c>
      <c r="DV80" s="34" t="n">
        <f aca="false">SUMPRODUCT((Per_Clase="Indirecto")*Sal_O*INDEX(Dot_O,0,MIN(10,DV$17))*((Per_Mon="PYG")*DV$19+(Per_Mon&lt;&gt;"PYG")))*(DV$15+DV$16*P_PreInd)*INDEX(IdxSal_O,1,MIN(10,DV$17))*(1+P_Cargas)+DV$79*P_Alim*DV$19</f>
        <v>0</v>
      </c>
      <c r="DW80" s="34" t="n">
        <f aca="false">SUMPRODUCT((Per_Clase="Indirecto")*Sal_O*INDEX(Dot_O,0,MIN(10,DW$17))*((Per_Mon="PYG")*DW$19+(Per_Mon&lt;&gt;"PYG")))*(DW$15+DW$16*P_PreInd)*INDEX(IdxSal_O,1,MIN(10,DW$17))*(1+P_Cargas)+DW$79*P_Alim*DW$19</f>
        <v>0</v>
      </c>
      <c r="DX80" s="34" t="n">
        <f aca="false">SUMPRODUCT((Per_Clase="Indirecto")*Sal_O*INDEX(Dot_O,0,MIN(10,DX$17))*((Per_Mon="PYG")*DX$19+(Per_Mon&lt;&gt;"PYG")))*(DX$15+DX$16*P_PreInd)*INDEX(IdxSal_O,1,MIN(10,DX$17))*(1+P_Cargas)+DX$79*P_Alim*DX$19</f>
        <v>0</v>
      </c>
      <c r="DY80" s="34" t="n">
        <f aca="false">SUMPRODUCT((Per_Clase="Indirecto")*Sal_O*INDEX(Dot_O,0,MIN(10,DY$17))*((Per_Mon="PYG")*DY$19+(Per_Mon&lt;&gt;"PYG")))*(DY$15+DY$16*P_PreInd)*INDEX(IdxSal_O,1,MIN(10,DY$17))*(1+P_Cargas)+DY$79*P_Alim*DY$19</f>
        <v>0</v>
      </c>
      <c r="DZ80" s="34" t="n">
        <f aca="false">SUMPRODUCT((Per_Clase="Indirecto")*Sal_O*INDEX(Dot_O,0,MIN(10,DZ$17))*((Per_Mon="PYG")*DZ$19+(Per_Mon&lt;&gt;"PYG")))*(DZ$15+DZ$16*P_PreInd)*INDEX(IdxSal_O,1,MIN(10,DZ$17))*(1+P_Cargas)+DZ$79*P_Alim*DZ$19</f>
        <v>0</v>
      </c>
      <c r="EA80" s="34" t="n">
        <f aca="false">SUMPRODUCT((Per_Clase="Indirecto")*Sal_O*INDEX(Dot_O,0,MIN(10,EA$17))*((Per_Mon="PYG")*EA$19+(Per_Mon&lt;&gt;"PYG")))*(EA$15+EA$16*P_PreInd)*INDEX(IdxSal_O,1,MIN(10,EA$17))*(1+P_Cargas)+EA$79*P_Alim*EA$19</f>
        <v>0</v>
      </c>
      <c r="EB80" s="34" t="n">
        <f aca="false">SUMPRODUCT((Per_Clase="Indirecto")*Sal_O*INDEX(Dot_O,0,MIN(10,EB$17))*((Per_Mon="PYG")*EB$19+(Per_Mon&lt;&gt;"PYG")))*(EB$15+EB$16*P_PreInd)*INDEX(IdxSal_O,1,MIN(10,EB$17))*(1+P_Cargas)+EB$79*P_Alim*EB$19</f>
        <v>0</v>
      </c>
      <c r="EC80" s="34" t="n">
        <f aca="false">SUMPRODUCT((Per_Clase="Indirecto")*Sal_O*INDEX(Dot_O,0,MIN(10,EC$17))*((Per_Mon="PYG")*EC$19+(Per_Mon&lt;&gt;"PYG")))*(EC$15+EC$16*P_PreInd)*INDEX(IdxSal_O,1,MIN(10,EC$17))*(1+P_Cargas)+EC$79*P_Alim*EC$19</f>
        <v>0</v>
      </c>
      <c r="ED80" s="34" t="n">
        <f aca="false">SUMPRODUCT((Per_Clase="Indirecto")*Sal_O*INDEX(Dot_O,0,MIN(10,ED$17))*((Per_Mon="PYG")*ED$19+(Per_Mon&lt;&gt;"PYG")))*(ED$15+ED$16*P_PreInd)*INDEX(IdxSal_O,1,MIN(10,ED$17))*(1+P_Cargas)+ED$79*P_Alim*ED$19</f>
        <v>0</v>
      </c>
      <c r="EE80" s="34" t="n">
        <f aca="false">SUMPRODUCT((Per_Clase="Indirecto")*Sal_O*INDEX(Dot_O,0,MIN(10,EE$17))*((Per_Mon="PYG")*EE$19+(Per_Mon&lt;&gt;"PYG")))*(EE$15+EE$16*P_PreInd)*INDEX(IdxSal_O,1,MIN(10,EE$17))*(1+P_Cargas)+EE$79*P_Alim*EE$19</f>
        <v>0</v>
      </c>
      <c r="EF80" s="34" t="n">
        <f aca="false">SUMPRODUCT((Per_Clase="Indirecto")*Sal_O*INDEX(Dot_O,0,MIN(10,EF$17))*((Per_Mon="PYG")*EF$19+(Per_Mon&lt;&gt;"PYG")))*(EF$15+EF$16*P_PreInd)*INDEX(IdxSal_O,1,MIN(10,EF$17))*(1+P_Cargas)+EF$79*P_Alim*EF$19</f>
        <v>0</v>
      </c>
      <c r="EG80" s="34" t="n">
        <f aca="false">SUMPRODUCT((Per_Clase="Indirecto")*Sal_O*INDEX(Dot_O,0,MIN(10,EG$17))*((Per_Mon="PYG")*EG$19+(Per_Mon&lt;&gt;"PYG")))*(EG$15+EG$16*P_PreInd)*INDEX(IdxSal_O,1,MIN(10,EG$17))*(1+P_Cargas)+EG$79*P_Alim*EG$19</f>
        <v>0</v>
      </c>
      <c r="EH80" s="34" t="n">
        <f aca="false">SUMPRODUCT((Per_Clase="Indirecto")*Sal_O*INDEX(Dot_O,0,MIN(10,EH$17))*((Per_Mon="PYG")*EH$19+(Per_Mon&lt;&gt;"PYG")))*(EH$15+EH$16*P_PreInd)*INDEX(IdxSal_O,1,MIN(10,EH$17))*(1+P_Cargas)+EH$79*P_Alim*EH$19</f>
        <v>0</v>
      </c>
      <c r="EI80" s="34" t="n">
        <f aca="false">SUMPRODUCT((Per_Clase="Indirecto")*Sal_O*INDEX(Dot_O,0,MIN(10,EI$17))*((Per_Mon="PYG")*EI$19+(Per_Mon&lt;&gt;"PYG")))*(EI$15+EI$16*P_PreInd)*INDEX(IdxSal_O,1,MIN(10,EI$17))*(1+P_Cargas)+EI$79*P_Alim*EI$19</f>
        <v>0</v>
      </c>
      <c r="EJ80" s="34" t="n">
        <f aca="false">SUMPRODUCT((Per_Clase="Indirecto")*Sal_O*INDEX(Dot_O,0,MIN(10,EJ$17))*((Per_Mon="PYG")*EJ$19+(Per_Mon&lt;&gt;"PYG")))*(EJ$15+EJ$16*P_PreInd)*INDEX(IdxSal_O,1,MIN(10,EJ$17))*(1+P_Cargas)+EJ$79*P_Alim*EJ$19</f>
        <v>0</v>
      </c>
      <c r="EK80" s="34" t="n">
        <f aca="false">SUMPRODUCT((Per_Clase="Indirecto")*Sal_O*INDEX(Dot_O,0,MIN(10,EK$17))*((Per_Mon="PYG")*EK$19+(Per_Mon&lt;&gt;"PYG")))*(EK$15+EK$16*P_PreInd)*INDEX(IdxSal_O,1,MIN(10,EK$17))*(1+P_Cargas)+EK$79*P_Alim*EK$19</f>
        <v>0</v>
      </c>
      <c r="EL80" s="34" t="n">
        <f aca="false">SUMPRODUCT((Per_Clase="Indirecto")*Sal_O*INDEX(Dot_O,0,MIN(10,EL$17))*((Per_Mon="PYG")*EL$19+(Per_Mon&lt;&gt;"PYG")))*(EL$15+EL$16*P_PreInd)*INDEX(IdxSal_O,1,MIN(10,EL$17))*(1+P_Cargas)+EL$79*P_Alim*EL$19</f>
        <v>0</v>
      </c>
      <c r="EM80" s="34" t="n">
        <f aca="false">SUMPRODUCT((Per_Clase="Indirecto")*Sal_O*INDEX(Dot_O,0,MIN(10,EM$17))*((Per_Mon="PYG")*EM$19+(Per_Mon&lt;&gt;"PYG")))*(EM$15+EM$16*P_PreInd)*INDEX(IdxSal_O,1,MIN(10,EM$17))*(1+P_Cargas)+EM$79*P_Alim*EM$19</f>
        <v>0</v>
      </c>
      <c r="EN80" s="34" t="n">
        <f aca="false">SUMPRODUCT((Per_Clase="Indirecto")*Sal_O*INDEX(Dot_O,0,MIN(10,EN$17))*((Per_Mon="PYG")*EN$19+(Per_Mon&lt;&gt;"PYG")))*(EN$15+EN$16*P_PreInd)*INDEX(IdxSal_O,1,MIN(10,EN$17))*(1+P_Cargas)+EN$79*P_Alim*EN$19</f>
        <v>0</v>
      </c>
      <c r="EO80" s="34" t="n">
        <f aca="false">SUMPRODUCT((Per_Clase="Indirecto")*Sal_O*INDEX(Dot_O,0,MIN(10,EO$17))*((Per_Mon="PYG")*EO$19+(Per_Mon&lt;&gt;"PYG")))*(EO$15+EO$16*P_PreInd)*INDEX(IdxSal_O,1,MIN(10,EO$17))*(1+P_Cargas)+EO$79*P_Alim*EO$19</f>
        <v>0</v>
      </c>
      <c r="EP80" s="34" t="n">
        <f aca="false">SUMPRODUCT((Per_Clase="Indirecto")*Sal_O*INDEX(Dot_O,0,MIN(10,EP$17))*((Per_Mon="PYG")*EP$19+(Per_Mon&lt;&gt;"PYG")))*(EP$15+EP$16*P_PreInd)*INDEX(IdxSal_O,1,MIN(10,EP$17))*(1+P_Cargas)+EP$79*P_Alim*EP$19</f>
        <v>0</v>
      </c>
      <c r="EQ80" s="34" t="n">
        <f aca="false">SUMPRODUCT((Per_Clase="Indirecto")*Sal_O*INDEX(Dot_O,0,MIN(10,EQ$17))*((Per_Mon="PYG")*EQ$19+(Per_Mon&lt;&gt;"PYG")))*(EQ$15+EQ$16*P_PreInd)*INDEX(IdxSal_O,1,MIN(10,EQ$17))*(1+P_Cargas)+EQ$79*P_Alim*EQ$19</f>
        <v>0</v>
      </c>
      <c r="ER80" s="34" t="n">
        <f aca="false">SUMPRODUCT((Per_Clase="Indirecto")*Sal_O*INDEX(Dot_O,0,MIN(10,ER$17))*((Per_Mon="PYG")*ER$19+(Per_Mon&lt;&gt;"PYG")))*(ER$15+ER$16*P_PreInd)*INDEX(IdxSal_O,1,MIN(10,ER$17))*(1+P_Cargas)+ER$79*P_Alim*ER$19</f>
        <v>0</v>
      </c>
      <c r="ES80" s="34" t="n">
        <f aca="false">SUMPRODUCT((Per_Clase="Indirecto")*Sal_O*INDEX(Dot_O,0,MIN(10,ES$17))*((Per_Mon="PYG")*ES$19+(Per_Mon&lt;&gt;"PYG")))*(ES$15+ES$16*P_PreInd)*INDEX(IdxSal_O,1,MIN(10,ES$17))*(1+P_Cargas)+ES$79*P_Alim*ES$19</f>
        <v>0</v>
      </c>
    </row>
    <row r="81" customFormat="false" ht="15" hidden="false" customHeight="false" outlineLevel="0" collapsed="false">
      <c r="A81" s="2" t="s">
        <v>654</v>
      </c>
      <c r="B81" s="6" t="s">
        <v>655</v>
      </c>
      <c r="C81" s="6" t="s">
        <v>647</v>
      </c>
      <c r="F81" s="36" t="n">
        <f aca="false">SUMPRODUCT((Per_Clase="Administración")*INDEX(Dot_O,0,MIN(10,F$17)))*(F$15+F$16*P_PreInd)</f>
        <v>5</v>
      </c>
      <c r="G81" s="36" t="n">
        <f aca="false">SUMPRODUCT((Per_Clase="Administración")*INDEX(Dot_O,0,MIN(10,G$17)))*(G$15+G$16*P_PreInd)</f>
        <v>5</v>
      </c>
      <c r="H81" s="36" t="n">
        <f aca="false">SUMPRODUCT((Per_Clase="Administración")*INDEX(Dot_O,0,MIN(10,H$17)))*(H$15+H$16*P_PreInd)</f>
        <v>5</v>
      </c>
      <c r="I81" s="36" t="n">
        <f aca="false">SUMPRODUCT((Per_Clase="Administración")*INDEX(Dot_O,0,MIN(10,I$17)))*(I$15+I$16*P_PreInd)</f>
        <v>5</v>
      </c>
      <c r="J81" s="36" t="n">
        <f aca="false">SUMPRODUCT((Per_Clase="Administración")*INDEX(Dot_O,0,MIN(10,J$17)))*(J$15+J$16*P_PreInd)</f>
        <v>5</v>
      </c>
      <c r="K81" s="36" t="n">
        <f aca="false">SUMPRODUCT((Per_Clase="Administración")*INDEX(Dot_O,0,MIN(10,K$17)))*(K$15+K$16*P_PreInd)</f>
        <v>5</v>
      </c>
      <c r="L81" s="36" t="n">
        <f aca="false">SUMPRODUCT((Per_Clase="Administración")*INDEX(Dot_O,0,MIN(10,L$17)))*(L$15+L$16*P_PreInd)</f>
        <v>5</v>
      </c>
      <c r="M81" s="36" t="n">
        <f aca="false">SUMPRODUCT((Per_Clase="Administración")*INDEX(Dot_O,0,MIN(10,M$17)))*(M$15+M$16*P_PreInd)</f>
        <v>5</v>
      </c>
      <c r="N81" s="36" t="n">
        <f aca="false">SUMPRODUCT((Per_Clase="Administración")*INDEX(Dot_O,0,MIN(10,N$17)))*(N$15+N$16*P_PreInd)</f>
        <v>5</v>
      </c>
      <c r="O81" s="36" t="n">
        <f aca="false">SUMPRODUCT((Per_Clase="Administración")*INDEX(Dot_O,0,MIN(10,O$17)))*(O$15+O$16*P_PreInd)</f>
        <v>5</v>
      </c>
      <c r="P81" s="36" t="n">
        <f aca="false">SUMPRODUCT((Per_Clase="Administración")*INDEX(Dot_O,0,MIN(10,P$17)))*(P$15+P$16*P_PreInd)</f>
        <v>5</v>
      </c>
      <c r="Q81" s="36" t="n">
        <f aca="false">SUMPRODUCT((Per_Clase="Administración")*INDEX(Dot_O,0,MIN(10,Q$17)))*(Q$15+Q$16*P_PreInd)</f>
        <v>5</v>
      </c>
      <c r="R81" s="36" t="n">
        <f aca="false">SUMPRODUCT((Per_Clase="Administración")*INDEX(Dot_O,0,MIN(10,R$17)))*(R$15+R$16*P_PreInd)</f>
        <v>5</v>
      </c>
      <c r="S81" s="36" t="n">
        <f aca="false">SUMPRODUCT((Per_Clase="Administración")*INDEX(Dot_O,0,MIN(10,S$17)))*(S$15+S$16*P_PreInd)</f>
        <v>5</v>
      </c>
      <c r="T81" s="36" t="n">
        <f aca="false">SUMPRODUCT((Per_Clase="Administración")*INDEX(Dot_O,0,MIN(10,T$17)))*(T$15+T$16*P_PreInd)</f>
        <v>5</v>
      </c>
      <c r="U81" s="36" t="n">
        <f aca="false">SUMPRODUCT((Per_Clase="Administración")*INDEX(Dot_O,0,MIN(10,U$17)))*(U$15+U$16*P_PreInd)</f>
        <v>5</v>
      </c>
      <c r="V81" s="36" t="n">
        <f aca="false">SUMPRODUCT((Per_Clase="Administración")*INDEX(Dot_O,0,MIN(10,V$17)))*(V$15+V$16*P_PreInd)</f>
        <v>5</v>
      </c>
      <c r="W81" s="36" t="n">
        <f aca="false">SUMPRODUCT((Per_Clase="Administración")*INDEX(Dot_O,0,MIN(10,W$17)))*(W$15+W$16*P_PreInd)</f>
        <v>5</v>
      </c>
      <c r="X81" s="36" t="n">
        <f aca="false">SUMPRODUCT((Per_Clase="Administración")*INDEX(Dot_O,0,MIN(10,X$17)))*(X$15+X$16*P_PreInd)</f>
        <v>5</v>
      </c>
      <c r="Y81" s="36" t="n">
        <f aca="false">SUMPRODUCT((Per_Clase="Administración")*INDEX(Dot_O,0,MIN(10,Y$17)))*(Y$15+Y$16*P_PreInd)</f>
        <v>5</v>
      </c>
      <c r="Z81" s="36" t="n">
        <f aca="false">SUMPRODUCT((Per_Clase="Administración")*INDEX(Dot_O,0,MIN(10,Z$17)))*(Z$15+Z$16*P_PreInd)</f>
        <v>5</v>
      </c>
      <c r="AA81" s="36" t="n">
        <f aca="false">SUMPRODUCT((Per_Clase="Administración")*INDEX(Dot_O,0,MIN(10,AA$17)))*(AA$15+AA$16*P_PreInd)</f>
        <v>5</v>
      </c>
      <c r="AB81" s="36" t="n">
        <f aca="false">SUMPRODUCT((Per_Clase="Administración")*INDEX(Dot_O,0,MIN(10,AB$17)))*(AB$15+AB$16*P_PreInd)</f>
        <v>5</v>
      </c>
      <c r="AC81" s="36" t="n">
        <f aca="false">SUMPRODUCT((Per_Clase="Administración")*INDEX(Dot_O,0,MIN(10,AC$17)))*(AC$15+AC$16*P_PreInd)</f>
        <v>5</v>
      </c>
      <c r="AD81" s="36" t="n">
        <f aca="false">SUMPRODUCT((Per_Clase="Administración")*INDEX(Dot_O,0,MIN(10,AD$17)))*(AD$15+AD$16*P_PreInd)</f>
        <v>5</v>
      </c>
      <c r="AE81" s="36" t="n">
        <f aca="false">SUMPRODUCT((Per_Clase="Administración")*INDEX(Dot_O,0,MIN(10,AE$17)))*(AE$15+AE$16*P_PreInd)</f>
        <v>5</v>
      </c>
      <c r="AF81" s="36" t="n">
        <f aca="false">SUMPRODUCT((Per_Clase="Administración")*INDEX(Dot_O,0,MIN(10,AF$17)))*(AF$15+AF$16*P_PreInd)</f>
        <v>5</v>
      </c>
      <c r="AG81" s="36" t="n">
        <f aca="false">SUMPRODUCT((Per_Clase="Administración")*INDEX(Dot_O,0,MIN(10,AG$17)))*(AG$15+AG$16*P_PreInd)</f>
        <v>5</v>
      </c>
      <c r="AH81" s="36" t="n">
        <f aca="false">SUMPRODUCT((Per_Clase="Administración")*INDEX(Dot_O,0,MIN(10,AH$17)))*(AH$15+AH$16*P_PreInd)</f>
        <v>5</v>
      </c>
      <c r="AI81" s="36" t="n">
        <f aca="false">SUMPRODUCT((Per_Clase="Administración")*INDEX(Dot_O,0,MIN(10,AI$17)))*(AI$15+AI$16*P_PreInd)</f>
        <v>5</v>
      </c>
      <c r="AJ81" s="36" t="n">
        <f aca="false">SUMPRODUCT((Per_Clase="Administración")*INDEX(Dot_O,0,MIN(10,AJ$17)))*(AJ$15+AJ$16*P_PreInd)</f>
        <v>5</v>
      </c>
      <c r="AK81" s="36" t="n">
        <f aca="false">SUMPRODUCT((Per_Clase="Administración")*INDEX(Dot_O,0,MIN(10,AK$17)))*(AK$15+AK$16*P_PreInd)</f>
        <v>5</v>
      </c>
      <c r="AL81" s="36" t="n">
        <f aca="false">SUMPRODUCT((Per_Clase="Administración")*INDEX(Dot_O,0,MIN(10,AL$17)))*(AL$15+AL$16*P_PreInd)</f>
        <v>5</v>
      </c>
      <c r="AM81" s="36" t="n">
        <f aca="false">SUMPRODUCT((Per_Clase="Administración")*INDEX(Dot_O,0,MIN(10,AM$17)))*(AM$15+AM$16*P_PreInd)</f>
        <v>5</v>
      </c>
      <c r="AN81" s="36" t="n">
        <f aca="false">SUMPRODUCT((Per_Clase="Administración")*INDEX(Dot_O,0,MIN(10,AN$17)))*(AN$15+AN$16*P_PreInd)</f>
        <v>5</v>
      </c>
      <c r="AO81" s="36" t="n">
        <f aca="false">SUMPRODUCT((Per_Clase="Administración")*INDEX(Dot_O,0,MIN(10,AO$17)))*(AO$15+AO$16*P_PreInd)</f>
        <v>5</v>
      </c>
      <c r="AP81" s="36" t="n">
        <f aca="false">SUMPRODUCT((Per_Clase="Administración")*INDEX(Dot_O,0,MIN(10,AP$17)))*(AP$15+AP$16*P_PreInd)</f>
        <v>5</v>
      </c>
      <c r="AQ81" s="36" t="n">
        <f aca="false">SUMPRODUCT((Per_Clase="Administración")*INDEX(Dot_O,0,MIN(10,AQ$17)))*(AQ$15+AQ$16*P_PreInd)</f>
        <v>5</v>
      </c>
      <c r="AR81" s="36" t="n">
        <f aca="false">SUMPRODUCT((Per_Clase="Administración")*INDEX(Dot_O,0,MIN(10,AR$17)))*(AR$15+AR$16*P_PreInd)</f>
        <v>5</v>
      </c>
      <c r="AS81" s="36" t="n">
        <f aca="false">SUMPRODUCT((Per_Clase="Administración")*INDEX(Dot_O,0,MIN(10,AS$17)))*(AS$15+AS$16*P_PreInd)</f>
        <v>5</v>
      </c>
      <c r="AT81" s="36" t="n">
        <f aca="false">SUMPRODUCT((Per_Clase="Administración")*INDEX(Dot_O,0,MIN(10,AT$17)))*(AT$15+AT$16*P_PreInd)</f>
        <v>5</v>
      </c>
      <c r="AU81" s="36" t="n">
        <f aca="false">SUMPRODUCT((Per_Clase="Administración")*INDEX(Dot_O,0,MIN(10,AU$17)))*(AU$15+AU$16*P_PreInd)</f>
        <v>5</v>
      </c>
      <c r="AV81" s="36" t="n">
        <f aca="false">SUMPRODUCT((Per_Clase="Administración")*INDEX(Dot_O,0,MIN(10,AV$17)))*(AV$15+AV$16*P_PreInd)</f>
        <v>5</v>
      </c>
      <c r="AW81" s="36" t="n">
        <f aca="false">SUMPRODUCT((Per_Clase="Administración")*INDEX(Dot_O,0,MIN(10,AW$17)))*(AW$15+AW$16*P_PreInd)</f>
        <v>5</v>
      </c>
      <c r="AX81" s="36" t="n">
        <f aca="false">SUMPRODUCT((Per_Clase="Administración")*INDEX(Dot_O,0,MIN(10,AX$17)))*(AX$15+AX$16*P_PreInd)</f>
        <v>5</v>
      </c>
      <c r="AY81" s="36" t="n">
        <f aca="false">SUMPRODUCT((Per_Clase="Administración")*INDEX(Dot_O,0,MIN(10,AY$17)))*(AY$15+AY$16*P_PreInd)</f>
        <v>5</v>
      </c>
      <c r="AZ81" s="36" t="n">
        <f aca="false">SUMPRODUCT((Per_Clase="Administración")*INDEX(Dot_O,0,MIN(10,AZ$17)))*(AZ$15+AZ$16*P_PreInd)</f>
        <v>5</v>
      </c>
      <c r="BA81" s="36" t="n">
        <f aca="false">SUMPRODUCT((Per_Clase="Administración")*INDEX(Dot_O,0,MIN(10,BA$17)))*(BA$15+BA$16*P_PreInd)</f>
        <v>5</v>
      </c>
      <c r="BB81" s="36" t="n">
        <f aca="false">SUMPRODUCT((Per_Clase="Administración")*INDEX(Dot_O,0,MIN(10,BB$17)))*(BB$15+BB$16*P_PreInd)</f>
        <v>5</v>
      </c>
      <c r="BC81" s="36" t="n">
        <f aca="false">SUMPRODUCT((Per_Clase="Administración")*INDEX(Dot_O,0,MIN(10,BC$17)))*(BC$15+BC$16*P_PreInd)</f>
        <v>5</v>
      </c>
      <c r="BD81" s="36" t="n">
        <f aca="false">SUMPRODUCT((Per_Clase="Administración")*INDEX(Dot_O,0,MIN(10,BD$17)))*(BD$15+BD$16*P_PreInd)</f>
        <v>5</v>
      </c>
      <c r="BE81" s="36" t="n">
        <f aca="false">SUMPRODUCT((Per_Clase="Administración")*INDEX(Dot_O,0,MIN(10,BE$17)))*(BE$15+BE$16*P_PreInd)</f>
        <v>5</v>
      </c>
      <c r="BF81" s="36" t="n">
        <f aca="false">SUMPRODUCT((Per_Clase="Administración")*INDEX(Dot_O,0,MIN(10,BF$17)))*(BF$15+BF$16*P_PreInd)</f>
        <v>5</v>
      </c>
      <c r="BG81" s="36" t="n">
        <f aca="false">SUMPRODUCT((Per_Clase="Administración")*INDEX(Dot_O,0,MIN(10,BG$17)))*(BG$15+BG$16*P_PreInd)</f>
        <v>5</v>
      </c>
      <c r="BH81" s="36" t="n">
        <f aca="false">SUMPRODUCT((Per_Clase="Administración")*INDEX(Dot_O,0,MIN(10,BH$17)))*(BH$15+BH$16*P_PreInd)</f>
        <v>5</v>
      </c>
      <c r="BI81" s="36" t="n">
        <f aca="false">SUMPRODUCT((Per_Clase="Administración")*INDEX(Dot_O,0,MIN(10,BI$17)))*(BI$15+BI$16*P_PreInd)</f>
        <v>5</v>
      </c>
      <c r="BJ81" s="36" t="n">
        <f aca="false">SUMPRODUCT((Per_Clase="Administración")*INDEX(Dot_O,0,MIN(10,BJ$17)))*(BJ$15+BJ$16*P_PreInd)</f>
        <v>5</v>
      </c>
      <c r="BK81" s="36" t="n">
        <f aca="false">SUMPRODUCT((Per_Clase="Administración")*INDEX(Dot_O,0,MIN(10,BK$17)))*(BK$15+BK$16*P_PreInd)</f>
        <v>5</v>
      </c>
      <c r="BL81" s="36" t="n">
        <f aca="false">SUMPRODUCT((Per_Clase="Administración")*INDEX(Dot_O,0,MIN(10,BL$17)))*(BL$15+BL$16*P_PreInd)</f>
        <v>5</v>
      </c>
      <c r="BM81" s="36" t="n">
        <f aca="false">SUMPRODUCT((Per_Clase="Administración")*INDEX(Dot_O,0,MIN(10,BM$17)))*(BM$15+BM$16*P_PreInd)</f>
        <v>5</v>
      </c>
      <c r="BN81" s="36" t="n">
        <f aca="false">SUMPRODUCT((Per_Clase="Administración")*INDEX(Dot_O,0,MIN(10,BN$17)))*(BN$15+BN$16*P_PreInd)</f>
        <v>5</v>
      </c>
      <c r="BO81" s="36" t="n">
        <f aca="false">SUMPRODUCT((Per_Clase="Administración")*INDEX(Dot_O,0,MIN(10,BO$17)))*(BO$15+BO$16*P_PreInd)</f>
        <v>5</v>
      </c>
      <c r="BP81" s="36" t="n">
        <f aca="false">SUMPRODUCT((Per_Clase="Administración")*INDEX(Dot_O,0,MIN(10,BP$17)))*(BP$15+BP$16*P_PreInd)</f>
        <v>5</v>
      </c>
      <c r="BQ81" s="36" t="n">
        <f aca="false">SUMPRODUCT((Per_Clase="Administración")*INDEX(Dot_O,0,MIN(10,BQ$17)))*(BQ$15+BQ$16*P_PreInd)</f>
        <v>5</v>
      </c>
      <c r="BR81" s="36" t="n">
        <f aca="false">SUMPRODUCT((Per_Clase="Administración")*INDEX(Dot_O,0,MIN(10,BR$17)))*(BR$15+BR$16*P_PreInd)</f>
        <v>5</v>
      </c>
      <c r="BS81" s="36" t="n">
        <f aca="false">SUMPRODUCT((Per_Clase="Administración")*INDEX(Dot_O,0,MIN(10,BS$17)))*(BS$15+BS$16*P_PreInd)</f>
        <v>5</v>
      </c>
      <c r="BT81" s="36" t="n">
        <f aca="false">SUMPRODUCT((Per_Clase="Administración")*INDEX(Dot_O,0,MIN(10,BT$17)))*(BT$15+BT$16*P_PreInd)</f>
        <v>5</v>
      </c>
      <c r="BU81" s="36" t="n">
        <f aca="false">SUMPRODUCT((Per_Clase="Administración")*INDEX(Dot_O,0,MIN(10,BU$17)))*(BU$15+BU$16*P_PreInd)</f>
        <v>5</v>
      </c>
      <c r="BV81" s="36" t="n">
        <f aca="false">SUMPRODUCT((Per_Clase="Administración")*INDEX(Dot_O,0,MIN(10,BV$17)))*(BV$15+BV$16*P_PreInd)</f>
        <v>5</v>
      </c>
      <c r="BW81" s="36" t="n">
        <f aca="false">SUMPRODUCT((Per_Clase="Administración")*INDEX(Dot_O,0,MIN(10,BW$17)))*(BW$15+BW$16*P_PreInd)</f>
        <v>5</v>
      </c>
      <c r="BX81" s="36" t="n">
        <f aca="false">SUMPRODUCT((Per_Clase="Administración")*INDEX(Dot_O,0,MIN(10,BX$17)))*(BX$15+BX$16*P_PreInd)</f>
        <v>5</v>
      </c>
      <c r="BY81" s="36" t="n">
        <f aca="false">SUMPRODUCT((Per_Clase="Administración")*INDEX(Dot_O,0,MIN(10,BY$17)))*(BY$15+BY$16*P_PreInd)</f>
        <v>5</v>
      </c>
      <c r="BZ81" s="36" t="n">
        <f aca="false">SUMPRODUCT((Per_Clase="Administración")*INDEX(Dot_O,0,MIN(10,BZ$17)))*(BZ$15+BZ$16*P_PreInd)</f>
        <v>5</v>
      </c>
      <c r="CA81" s="36" t="n">
        <f aca="false">SUMPRODUCT((Per_Clase="Administración")*INDEX(Dot_O,0,MIN(10,CA$17)))*(CA$15+CA$16*P_PreInd)</f>
        <v>5</v>
      </c>
      <c r="CB81" s="36" t="n">
        <f aca="false">SUMPRODUCT((Per_Clase="Administración")*INDEX(Dot_O,0,MIN(10,CB$17)))*(CB$15+CB$16*P_PreInd)</f>
        <v>5</v>
      </c>
      <c r="CC81" s="36" t="n">
        <f aca="false">SUMPRODUCT((Per_Clase="Administración")*INDEX(Dot_O,0,MIN(10,CC$17)))*(CC$15+CC$16*P_PreInd)</f>
        <v>5</v>
      </c>
      <c r="CD81" s="36" t="n">
        <f aca="false">SUMPRODUCT((Per_Clase="Administración")*INDEX(Dot_O,0,MIN(10,CD$17)))*(CD$15+CD$16*P_PreInd)</f>
        <v>5</v>
      </c>
      <c r="CE81" s="36" t="n">
        <f aca="false">SUMPRODUCT((Per_Clase="Administración")*INDEX(Dot_O,0,MIN(10,CE$17)))*(CE$15+CE$16*P_PreInd)</f>
        <v>5</v>
      </c>
      <c r="CF81" s="36" t="n">
        <f aca="false">SUMPRODUCT((Per_Clase="Administración")*INDEX(Dot_O,0,MIN(10,CF$17)))*(CF$15+CF$16*P_PreInd)</f>
        <v>5</v>
      </c>
      <c r="CG81" s="36" t="n">
        <f aca="false">SUMPRODUCT((Per_Clase="Administración")*INDEX(Dot_O,0,MIN(10,CG$17)))*(CG$15+CG$16*P_PreInd)</f>
        <v>5</v>
      </c>
      <c r="CH81" s="36" t="n">
        <f aca="false">SUMPRODUCT((Per_Clase="Administración")*INDEX(Dot_O,0,MIN(10,CH$17)))*(CH$15+CH$16*P_PreInd)</f>
        <v>5</v>
      </c>
      <c r="CI81" s="36" t="n">
        <f aca="false">SUMPRODUCT((Per_Clase="Administración")*INDEX(Dot_O,0,MIN(10,CI$17)))*(CI$15+CI$16*P_PreInd)</f>
        <v>5</v>
      </c>
      <c r="CJ81" s="36" t="n">
        <f aca="false">SUMPRODUCT((Per_Clase="Administración")*INDEX(Dot_O,0,MIN(10,CJ$17)))*(CJ$15+CJ$16*P_PreInd)</f>
        <v>5</v>
      </c>
      <c r="CK81" s="36" t="n">
        <f aca="false">SUMPRODUCT((Per_Clase="Administración")*INDEX(Dot_O,0,MIN(10,CK$17)))*(CK$15+CK$16*P_PreInd)</f>
        <v>5</v>
      </c>
      <c r="CL81" s="36" t="n">
        <f aca="false">SUMPRODUCT((Per_Clase="Administración")*INDEX(Dot_O,0,MIN(10,CL$17)))*(CL$15+CL$16*P_PreInd)</f>
        <v>5</v>
      </c>
      <c r="CM81" s="36" t="n">
        <f aca="false">SUMPRODUCT((Per_Clase="Administración")*INDEX(Dot_O,0,MIN(10,CM$17)))*(CM$15+CM$16*P_PreInd)</f>
        <v>5</v>
      </c>
      <c r="CN81" s="36" t="n">
        <f aca="false">SUMPRODUCT((Per_Clase="Administración")*INDEX(Dot_O,0,MIN(10,CN$17)))*(CN$15+CN$16*P_PreInd)</f>
        <v>5</v>
      </c>
      <c r="CO81" s="36" t="n">
        <f aca="false">SUMPRODUCT((Per_Clase="Administración")*INDEX(Dot_O,0,MIN(10,CO$17)))*(CO$15+CO$16*P_PreInd)</f>
        <v>5</v>
      </c>
      <c r="CP81" s="36" t="n">
        <f aca="false">SUMPRODUCT((Per_Clase="Administración")*INDEX(Dot_O,0,MIN(10,CP$17)))*(CP$15+CP$16*P_PreInd)</f>
        <v>5</v>
      </c>
      <c r="CQ81" s="36" t="n">
        <f aca="false">SUMPRODUCT((Per_Clase="Administración")*INDEX(Dot_O,0,MIN(10,CQ$17)))*(CQ$15+CQ$16*P_PreInd)</f>
        <v>5</v>
      </c>
      <c r="CR81" s="36" t="n">
        <f aca="false">SUMPRODUCT((Per_Clase="Administración")*INDEX(Dot_O,0,MIN(10,CR$17)))*(CR$15+CR$16*P_PreInd)</f>
        <v>5</v>
      </c>
      <c r="CS81" s="36" t="n">
        <f aca="false">SUMPRODUCT((Per_Clase="Administración")*INDEX(Dot_O,0,MIN(10,CS$17)))*(CS$15+CS$16*P_PreInd)</f>
        <v>5</v>
      </c>
      <c r="CT81" s="36" t="n">
        <f aca="false">SUMPRODUCT((Per_Clase="Administración")*INDEX(Dot_O,0,MIN(10,CT$17)))*(CT$15+CT$16*P_PreInd)</f>
        <v>5</v>
      </c>
      <c r="CU81" s="36" t="n">
        <f aca="false">SUMPRODUCT((Per_Clase="Administración")*INDEX(Dot_O,0,MIN(10,CU$17)))*(CU$15+CU$16*P_PreInd)</f>
        <v>5</v>
      </c>
      <c r="CV81" s="36" t="n">
        <f aca="false">SUMPRODUCT((Per_Clase="Administración")*INDEX(Dot_O,0,MIN(10,CV$17)))*(CV$15+CV$16*P_PreInd)</f>
        <v>5</v>
      </c>
      <c r="CW81" s="36" t="n">
        <f aca="false">SUMPRODUCT((Per_Clase="Administración")*INDEX(Dot_O,0,MIN(10,CW$17)))*(CW$15+CW$16*P_PreInd)</f>
        <v>5</v>
      </c>
      <c r="CX81" s="36" t="n">
        <f aca="false">SUMPRODUCT((Per_Clase="Administración")*INDEX(Dot_O,0,MIN(10,CX$17)))*(CX$15+CX$16*P_PreInd)</f>
        <v>5</v>
      </c>
      <c r="CY81" s="36" t="n">
        <f aca="false">SUMPRODUCT((Per_Clase="Administración")*INDEX(Dot_O,0,MIN(10,CY$17)))*(CY$15+CY$16*P_PreInd)</f>
        <v>5</v>
      </c>
      <c r="CZ81" s="36" t="n">
        <f aca="false">SUMPRODUCT((Per_Clase="Administración")*INDEX(Dot_O,0,MIN(10,CZ$17)))*(CZ$15+CZ$16*P_PreInd)</f>
        <v>5</v>
      </c>
      <c r="DA81" s="36" t="n">
        <f aca="false">SUMPRODUCT((Per_Clase="Administración")*INDEX(Dot_O,0,MIN(10,DA$17)))*(DA$15+DA$16*P_PreInd)</f>
        <v>5</v>
      </c>
      <c r="DB81" s="36" t="n">
        <f aca="false">SUMPRODUCT((Per_Clase="Administración")*INDEX(Dot_O,0,MIN(10,DB$17)))*(DB$15+DB$16*P_PreInd)</f>
        <v>5</v>
      </c>
      <c r="DC81" s="36" t="n">
        <f aca="false">SUMPRODUCT((Per_Clase="Administración")*INDEX(Dot_O,0,MIN(10,DC$17)))*(DC$15+DC$16*P_PreInd)</f>
        <v>5</v>
      </c>
      <c r="DD81" s="36" t="n">
        <f aca="false">SUMPRODUCT((Per_Clase="Administración")*INDEX(Dot_O,0,MIN(10,DD$17)))*(DD$15+DD$16*P_PreInd)</f>
        <v>5</v>
      </c>
      <c r="DE81" s="36" t="n">
        <f aca="false">SUMPRODUCT((Per_Clase="Administración")*INDEX(Dot_O,0,MIN(10,DE$17)))*(DE$15+DE$16*P_PreInd)</f>
        <v>5</v>
      </c>
      <c r="DF81" s="36" t="n">
        <f aca="false">SUMPRODUCT((Per_Clase="Administración")*INDEX(Dot_O,0,MIN(10,DF$17)))*(DF$15+DF$16*P_PreInd)</f>
        <v>5</v>
      </c>
      <c r="DG81" s="36" t="n">
        <f aca="false">SUMPRODUCT((Per_Clase="Administración")*INDEX(Dot_O,0,MIN(10,DG$17)))*(DG$15+DG$16*P_PreInd)</f>
        <v>5</v>
      </c>
      <c r="DH81" s="36" t="n">
        <f aca="false">SUMPRODUCT((Per_Clase="Administración")*INDEX(Dot_O,0,MIN(10,DH$17)))*(DH$15+DH$16*P_PreInd)</f>
        <v>5</v>
      </c>
      <c r="DI81" s="36" t="n">
        <f aca="false">SUMPRODUCT((Per_Clase="Administración")*INDEX(Dot_O,0,MIN(10,DI$17)))*(DI$15+DI$16*P_PreInd)</f>
        <v>5</v>
      </c>
      <c r="DJ81" s="36" t="n">
        <f aca="false">SUMPRODUCT((Per_Clase="Administración")*INDEX(Dot_O,0,MIN(10,DJ$17)))*(DJ$15+DJ$16*P_PreInd)</f>
        <v>5</v>
      </c>
      <c r="DK81" s="36" t="n">
        <f aca="false">SUMPRODUCT((Per_Clase="Administración")*INDEX(Dot_O,0,MIN(10,DK$17)))*(DK$15+DK$16*P_PreInd)</f>
        <v>5</v>
      </c>
      <c r="DL81" s="36" t="n">
        <f aca="false">SUMPRODUCT((Per_Clase="Administración")*INDEX(Dot_O,0,MIN(10,DL$17)))*(DL$15+DL$16*P_PreInd)</f>
        <v>5</v>
      </c>
      <c r="DM81" s="36" t="n">
        <f aca="false">SUMPRODUCT((Per_Clase="Administración")*INDEX(Dot_O,0,MIN(10,DM$17)))*(DM$15+DM$16*P_PreInd)</f>
        <v>5</v>
      </c>
      <c r="DN81" s="36" t="n">
        <f aca="false">SUMPRODUCT((Per_Clase="Administración")*INDEX(Dot_O,0,MIN(10,DN$17)))*(DN$15+DN$16*P_PreInd)</f>
        <v>5</v>
      </c>
      <c r="DO81" s="36" t="n">
        <f aca="false">SUMPRODUCT((Per_Clase="Administración")*INDEX(Dot_O,0,MIN(10,DO$17)))*(DO$15+DO$16*P_PreInd)</f>
        <v>5</v>
      </c>
      <c r="DP81" s="36" t="n">
        <f aca="false">SUMPRODUCT((Per_Clase="Administración")*INDEX(Dot_O,0,MIN(10,DP$17)))*(DP$15+DP$16*P_PreInd)</f>
        <v>5</v>
      </c>
      <c r="DQ81" s="36" t="n">
        <f aca="false">SUMPRODUCT((Per_Clase="Administración")*INDEX(Dot_O,0,MIN(10,DQ$17)))*(DQ$15+DQ$16*P_PreInd)</f>
        <v>5</v>
      </c>
      <c r="DR81" s="36" t="n">
        <f aca="false">SUMPRODUCT((Per_Clase="Administración")*INDEX(Dot_O,0,MIN(10,DR$17)))*(DR$15+DR$16*P_PreInd)</f>
        <v>5</v>
      </c>
      <c r="DS81" s="36" t="n">
        <f aca="false">SUMPRODUCT((Per_Clase="Administración")*INDEX(Dot_O,0,MIN(10,DS$17)))*(DS$15+DS$16*P_PreInd)</f>
        <v>5</v>
      </c>
      <c r="DT81" s="36" t="n">
        <f aca="false">SUMPRODUCT((Per_Clase="Administración")*INDEX(Dot_O,0,MIN(10,DT$17)))*(DT$15+DT$16*P_PreInd)</f>
        <v>5</v>
      </c>
      <c r="DU81" s="36" t="n">
        <f aca="false">SUMPRODUCT((Per_Clase="Administración")*INDEX(Dot_O,0,MIN(10,DU$17)))*(DU$15+DU$16*P_PreInd)</f>
        <v>5</v>
      </c>
      <c r="DV81" s="36" t="n">
        <f aca="false">SUMPRODUCT((Per_Clase="Administración")*INDEX(Dot_O,0,MIN(10,DV$17)))*(DV$15+DV$16*P_PreInd)</f>
        <v>0</v>
      </c>
      <c r="DW81" s="36" t="n">
        <f aca="false">SUMPRODUCT((Per_Clase="Administración")*INDEX(Dot_O,0,MIN(10,DW$17)))*(DW$15+DW$16*P_PreInd)</f>
        <v>0</v>
      </c>
      <c r="DX81" s="36" t="n">
        <f aca="false">SUMPRODUCT((Per_Clase="Administración")*INDEX(Dot_O,0,MIN(10,DX$17)))*(DX$15+DX$16*P_PreInd)</f>
        <v>0</v>
      </c>
      <c r="DY81" s="36" t="n">
        <f aca="false">SUMPRODUCT((Per_Clase="Administración")*INDEX(Dot_O,0,MIN(10,DY$17)))*(DY$15+DY$16*P_PreInd)</f>
        <v>0</v>
      </c>
      <c r="DZ81" s="36" t="n">
        <f aca="false">SUMPRODUCT((Per_Clase="Administración")*INDEX(Dot_O,0,MIN(10,DZ$17)))*(DZ$15+DZ$16*P_PreInd)</f>
        <v>0</v>
      </c>
      <c r="EA81" s="36" t="n">
        <f aca="false">SUMPRODUCT((Per_Clase="Administración")*INDEX(Dot_O,0,MIN(10,EA$17)))*(EA$15+EA$16*P_PreInd)</f>
        <v>0</v>
      </c>
      <c r="EB81" s="36" t="n">
        <f aca="false">SUMPRODUCT((Per_Clase="Administración")*INDEX(Dot_O,0,MIN(10,EB$17)))*(EB$15+EB$16*P_PreInd)</f>
        <v>0</v>
      </c>
      <c r="EC81" s="36" t="n">
        <f aca="false">SUMPRODUCT((Per_Clase="Administración")*INDEX(Dot_O,0,MIN(10,EC$17)))*(EC$15+EC$16*P_PreInd)</f>
        <v>0</v>
      </c>
      <c r="ED81" s="36" t="n">
        <f aca="false">SUMPRODUCT((Per_Clase="Administración")*INDEX(Dot_O,0,MIN(10,ED$17)))*(ED$15+ED$16*P_PreInd)</f>
        <v>0</v>
      </c>
      <c r="EE81" s="36" t="n">
        <f aca="false">SUMPRODUCT((Per_Clase="Administración")*INDEX(Dot_O,0,MIN(10,EE$17)))*(EE$15+EE$16*P_PreInd)</f>
        <v>0</v>
      </c>
      <c r="EF81" s="36" t="n">
        <f aca="false">SUMPRODUCT((Per_Clase="Administración")*INDEX(Dot_O,0,MIN(10,EF$17)))*(EF$15+EF$16*P_PreInd)</f>
        <v>0</v>
      </c>
      <c r="EG81" s="36" t="n">
        <f aca="false">SUMPRODUCT((Per_Clase="Administración")*INDEX(Dot_O,0,MIN(10,EG$17)))*(EG$15+EG$16*P_PreInd)</f>
        <v>0</v>
      </c>
      <c r="EH81" s="36" t="n">
        <f aca="false">SUMPRODUCT((Per_Clase="Administración")*INDEX(Dot_O,0,MIN(10,EH$17)))*(EH$15+EH$16*P_PreInd)</f>
        <v>0</v>
      </c>
      <c r="EI81" s="36" t="n">
        <f aca="false">SUMPRODUCT((Per_Clase="Administración")*INDEX(Dot_O,0,MIN(10,EI$17)))*(EI$15+EI$16*P_PreInd)</f>
        <v>0</v>
      </c>
      <c r="EJ81" s="36" t="n">
        <f aca="false">SUMPRODUCT((Per_Clase="Administración")*INDEX(Dot_O,0,MIN(10,EJ$17)))*(EJ$15+EJ$16*P_PreInd)</f>
        <v>0</v>
      </c>
      <c r="EK81" s="36" t="n">
        <f aca="false">SUMPRODUCT((Per_Clase="Administración")*INDEX(Dot_O,0,MIN(10,EK$17)))*(EK$15+EK$16*P_PreInd)</f>
        <v>0</v>
      </c>
      <c r="EL81" s="36" t="n">
        <f aca="false">SUMPRODUCT((Per_Clase="Administración")*INDEX(Dot_O,0,MIN(10,EL$17)))*(EL$15+EL$16*P_PreInd)</f>
        <v>0</v>
      </c>
      <c r="EM81" s="36" t="n">
        <f aca="false">SUMPRODUCT((Per_Clase="Administración")*INDEX(Dot_O,0,MIN(10,EM$17)))*(EM$15+EM$16*P_PreInd)</f>
        <v>0</v>
      </c>
      <c r="EN81" s="36" t="n">
        <f aca="false">SUMPRODUCT((Per_Clase="Administración")*INDEX(Dot_O,0,MIN(10,EN$17)))*(EN$15+EN$16*P_PreInd)</f>
        <v>0</v>
      </c>
      <c r="EO81" s="36" t="n">
        <f aca="false">SUMPRODUCT((Per_Clase="Administración")*INDEX(Dot_O,0,MIN(10,EO$17)))*(EO$15+EO$16*P_PreInd)</f>
        <v>0</v>
      </c>
      <c r="EP81" s="36" t="n">
        <f aca="false">SUMPRODUCT((Per_Clase="Administración")*INDEX(Dot_O,0,MIN(10,EP$17)))*(EP$15+EP$16*P_PreInd)</f>
        <v>0</v>
      </c>
      <c r="EQ81" s="36" t="n">
        <f aca="false">SUMPRODUCT((Per_Clase="Administración")*INDEX(Dot_O,0,MIN(10,EQ$17)))*(EQ$15+EQ$16*P_PreInd)</f>
        <v>0</v>
      </c>
      <c r="ER81" s="36" t="n">
        <f aca="false">SUMPRODUCT((Per_Clase="Administración")*INDEX(Dot_O,0,MIN(10,ER$17)))*(ER$15+ER$16*P_PreInd)</f>
        <v>0</v>
      </c>
      <c r="ES81" s="36" t="n">
        <f aca="false">SUMPRODUCT((Per_Clase="Administración")*INDEX(Dot_O,0,MIN(10,ES$17)))*(ES$15+ES$16*P_PreInd)</f>
        <v>0</v>
      </c>
    </row>
    <row r="82" customFormat="false" ht="15" hidden="false" customHeight="false" outlineLevel="0" collapsed="false">
      <c r="A82" s="2" t="s">
        <v>656</v>
      </c>
      <c r="B82" s="6" t="s">
        <v>657</v>
      </c>
      <c r="C82" s="6" t="s">
        <v>250</v>
      </c>
      <c r="E82" s="40" t="n">
        <f aca="false">SUM(F82:ES82)</f>
        <v>1075198.52627014</v>
      </c>
      <c r="F82" s="34" t="n">
        <f aca="false">SUMPRODUCT((Per_Clase="Administración")*Sal_O*INDEX(Dot_O,0,MIN(10,F$17))*((Per_Mon="PYG")*F$19+(Per_Mon&lt;&gt;"PYG")))*(F$15+F$16*P_PreInd)*INDEX(IdxSal_O,1,MIN(10,F$17))*(1+P_Cargas)+F$81*P_Alim*F$19</f>
        <v>8959.98771891781</v>
      </c>
      <c r="G82" s="34" t="n">
        <f aca="false">SUMPRODUCT((Per_Clase="Administración")*Sal_O*INDEX(Dot_O,0,MIN(10,G$17))*((Per_Mon="PYG")*G$19+(Per_Mon&lt;&gt;"PYG")))*(G$15+G$16*P_PreInd)*INDEX(IdxSal_O,1,MIN(10,G$17))*(1+P_Cargas)+G$81*P_Alim*G$19</f>
        <v>8959.98771891781</v>
      </c>
      <c r="H82" s="34" t="n">
        <f aca="false">SUMPRODUCT((Per_Clase="Administración")*Sal_O*INDEX(Dot_O,0,MIN(10,H$17))*((Per_Mon="PYG")*H$19+(Per_Mon&lt;&gt;"PYG")))*(H$15+H$16*P_PreInd)*INDEX(IdxSal_O,1,MIN(10,H$17))*(1+P_Cargas)+H$81*P_Alim*H$19</f>
        <v>8959.98771891781</v>
      </c>
      <c r="I82" s="34" t="n">
        <f aca="false">SUMPRODUCT((Per_Clase="Administración")*Sal_O*INDEX(Dot_O,0,MIN(10,I$17))*((Per_Mon="PYG")*I$19+(Per_Mon&lt;&gt;"PYG")))*(I$15+I$16*P_PreInd)*INDEX(IdxSal_O,1,MIN(10,I$17))*(1+P_Cargas)+I$81*P_Alim*I$19</f>
        <v>8959.98771891781</v>
      </c>
      <c r="J82" s="34" t="n">
        <f aca="false">SUMPRODUCT((Per_Clase="Administración")*Sal_O*INDEX(Dot_O,0,MIN(10,J$17))*((Per_Mon="PYG")*J$19+(Per_Mon&lt;&gt;"PYG")))*(J$15+J$16*P_PreInd)*INDEX(IdxSal_O,1,MIN(10,J$17))*(1+P_Cargas)+J$81*P_Alim*J$19</f>
        <v>8959.98771891781</v>
      </c>
      <c r="K82" s="34" t="n">
        <f aca="false">SUMPRODUCT((Per_Clase="Administración")*Sal_O*INDEX(Dot_O,0,MIN(10,K$17))*((Per_Mon="PYG")*K$19+(Per_Mon&lt;&gt;"PYG")))*(K$15+K$16*P_PreInd)*INDEX(IdxSal_O,1,MIN(10,K$17))*(1+P_Cargas)+K$81*P_Alim*K$19</f>
        <v>8959.98771891781</v>
      </c>
      <c r="L82" s="34" t="n">
        <f aca="false">SUMPRODUCT((Per_Clase="Administración")*Sal_O*INDEX(Dot_O,0,MIN(10,L$17))*((Per_Mon="PYG")*L$19+(Per_Mon&lt;&gt;"PYG")))*(L$15+L$16*P_PreInd)*INDEX(IdxSal_O,1,MIN(10,L$17))*(1+P_Cargas)+L$81*P_Alim*L$19</f>
        <v>8959.98771891781</v>
      </c>
      <c r="M82" s="34" t="n">
        <f aca="false">SUMPRODUCT((Per_Clase="Administración")*Sal_O*INDEX(Dot_O,0,MIN(10,M$17))*((Per_Mon="PYG")*M$19+(Per_Mon&lt;&gt;"PYG")))*(M$15+M$16*P_PreInd)*INDEX(IdxSal_O,1,MIN(10,M$17))*(1+P_Cargas)+M$81*P_Alim*M$19</f>
        <v>8959.98771891781</v>
      </c>
      <c r="N82" s="34" t="n">
        <f aca="false">SUMPRODUCT((Per_Clase="Administración")*Sal_O*INDEX(Dot_O,0,MIN(10,N$17))*((Per_Mon="PYG")*N$19+(Per_Mon&lt;&gt;"PYG")))*(N$15+N$16*P_PreInd)*INDEX(IdxSal_O,1,MIN(10,N$17))*(1+P_Cargas)+N$81*P_Alim*N$19</f>
        <v>8959.98771891781</v>
      </c>
      <c r="O82" s="34" t="n">
        <f aca="false">SUMPRODUCT((Per_Clase="Administración")*Sal_O*INDEX(Dot_O,0,MIN(10,O$17))*((Per_Mon="PYG")*O$19+(Per_Mon&lt;&gt;"PYG")))*(O$15+O$16*P_PreInd)*INDEX(IdxSal_O,1,MIN(10,O$17))*(1+P_Cargas)+O$81*P_Alim*O$19</f>
        <v>8959.98771891781</v>
      </c>
      <c r="P82" s="34" t="n">
        <f aca="false">SUMPRODUCT((Per_Clase="Administración")*Sal_O*INDEX(Dot_O,0,MIN(10,P$17))*((Per_Mon="PYG")*P$19+(Per_Mon&lt;&gt;"PYG")))*(P$15+P$16*P_PreInd)*INDEX(IdxSal_O,1,MIN(10,P$17))*(1+P_Cargas)+P$81*P_Alim*P$19</f>
        <v>8959.98771891781</v>
      </c>
      <c r="Q82" s="34" t="n">
        <f aca="false">SUMPRODUCT((Per_Clase="Administración")*Sal_O*INDEX(Dot_O,0,MIN(10,Q$17))*((Per_Mon="PYG")*Q$19+(Per_Mon&lt;&gt;"PYG")))*(Q$15+Q$16*P_PreInd)*INDEX(IdxSal_O,1,MIN(10,Q$17))*(1+P_Cargas)+Q$81*P_Alim*Q$19</f>
        <v>8959.98771891781</v>
      </c>
      <c r="R82" s="34" t="n">
        <f aca="false">SUMPRODUCT((Per_Clase="Administración")*Sal_O*INDEX(Dot_O,0,MIN(10,R$17))*((Per_Mon="PYG")*R$19+(Per_Mon&lt;&gt;"PYG")))*(R$15+R$16*P_PreInd)*INDEX(IdxSal_O,1,MIN(10,R$17))*(1+P_Cargas)+R$81*P_Alim*R$19</f>
        <v>8959.98771891781</v>
      </c>
      <c r="S82" s="34" t="n">
        <f aca="false">SUMPRODUCT((Per_Clase="Administración")*Sal_O*INDEX(Dot_O,0,MIN(10,S$17))*((Per_Mon="PYG")*S$19+(Per_Mon&lt;&gt;"PYG")))*(S$15+S$16*P_PreInd)*INDEX(IdxSal_O,1,MIN(10,S$17))*(1+P_Cargas)+S$81*P_Alim*S$19</f>
        <v>8959.98771891781</v>
      </c>
      <c r="T82" s="34" t="n">
        <f aca="false">SUMPRODUCT((Per_Clase="Administración")*Sal_O*INDEX(Dot_O,0,MIN(10,T$17))*((Per_Mon="PYG")*T$19+(Per_Mon&lt;&gt;"PYG")))*(T$15+T$16*P_PreInd)*INDEX(IdxSal_O,1,MIN(10,T$17))*(1+P_Cargas)+T$81*P_Alim*T$19</f>
        <v>8959.98771891781</v>
      </c>
      <c r="U82" s="34" t="n">
        <f aca="false">SUMPRODUCT((Per_Clase="Administración")*Sal_O*INDEX(Dot_O,0,MIN(10,U$17))*((Per_Mon="PYG")*U$19+(Per_Mon&lt;&gt;"PYG")))*(U$15+U$16*P_PreInd)*INDEX(IdxSal_O,1,MIN(10,U$17))*(1+P_Cargas)+U$81*P_Alim*U$19</f>
        <v>8959.98771891781</v>
      </c>
      <c r="V82" s="34" t="n">
        <f aca="false">SUMPRODUCT((Per_Clase="Administración")*Sal_O*INDEX(Dot_O,0,MIN(10,V$17))*((Per_Mon="PYG")*V$19+(Per_Mon&lt;&gt;"PYG")))*(V$15+V$16*P_PreInd)*INDEX(IdxSal_O,1,MIN(10,V$17))*(1+P_Cargas)+V$81*P_Alim*V$19</f>
        <v>8959.98771891781</v>
      </c>
      <c r="W82" s="34" t="n">
        <f aca="false">SUMPRODUCT((Per_Clase="Administración")*Sal_O*INDEX(Dot_O,0,MIN(10,W$17))*((Per_Mon="PYG")*W$19+(Per_Mon&lt;&gt;"PYG")))*(W$15+W$16*P_PreInd)*INDEX(IdxSal_O,1,MIN(10,W$17))*(1+P_Cargas)+W$81*P_Alim*W$19</f>
        <v>8959.98771891781</v>
      </c>
      <c r="X82" s="34" t="n">
        <f aca="false">SUMPRODUCT((Per_Clase="Administración")*Sal_O*INDEX(Dot_O,0,MIN(10,X$17))*((Per_Mon="PYG")*X$19+(Per_Mon&lt;&gt;"PYG")))*(X$15+X$16*P_PreInd)*INDEX(IdxSal_O,1,MIN(10,X$17))*(1+P_Cargas)+X$81*P_Alim*X$19</f>
        <v>8959.98771891781</v>
      </c>
      <c r="Y82" s="34" t="n">
        <f aca="false">SUMPRODUCT((Per_Clase="Administración")*Sal_O*INDEX(Dot_O,0,MIN(10,Y$17))*((Per_Mon="PYG")*Y$19+(Per_Mon&lt;&gt;"PYG")))*(Y$15+Y$16*P_PreInd)*INDEX(IdxSal_O,1,MIN(10,Y$17))*(1+P_Cargas)+Y$81*P_Alim*Y$19</f>
        <v>8959.98771891781</v>
      </c>
      <c r="Z82" s="34" t="n">
        <f aca="false">SUMPRODUCT((Per_Clase="Administración")*Sal_O*INDEX(Dot_O,0,MIN(10,Z$17))*((Per_Mon="PYG")*Z$19+(Per_Mon&lt;&gt;"PYG")))*(Z$15+Z$16*P_PreInd)*INDEX(IdxSal_O,1,MIN(10,Z$17))*(1+P_Cargas)+Z$81*P_Alim*Z$19</f>
        <v>8959.98771891781</v>
      </c>
      <c r="AA82" s="34" t="n">
        <f aca="false">SUMPRODUCT((Per_Clase="Administración")*Sal_O*INDEX(Dot_O,0,MIN(10,AA$17))*((Per_Mon="PYG")*AA$19+(Per_Mon&lt;&gt;"PYG")))*(AA$15+AA$16*P_PreInd)*INDEX(IdxSal_O,1,MIN(10,AA$17))*(1+P_Cargas)+AA$81*P_Alim*AA$19</f>
        <v>8959.98771891781</v>
      </c>
      <c r="AB82" s="34" t="n">
        <f aca="false">SUMPRODUCT((Per_Clase="Administración")*Sal_O*INDEX(Dot_O,0,MIN(10,AB$17))*((Per_Mon="PYG")*AB$19+(Per_Mon&lt;&gt;"PYG")))*(AB$15+AB$16*P_PreInd)*INDEX(IdxSal_O,1,MIN(10,AB$17))*(1+P_Cargas)+AB$81*P_Alim*AB$19</f>
        <v>8959.98771891781</v>
      </c>
      <c r="AC82" s="34" t="n">
        <f aca="false">SUMPRODUCT((Per_Clase="Administración")*Sal_O*INDEX(Dot_O,0,MIN(10,AC$17))*((Per_Mon="PYG")*AC$19+(Per_Mon&lt;&gt;"PYG")))*(AC$15+AC$16*P_PreInd)*INDEX(IdxSal_O,1,MIN(10,AC$17))*(1+P_Cargas)+AC$81*P_Alim*AC$19</f>
        <v>8959.98771891781</v>
      </c>
      <c r="AD82" s="34" t="n">
        <f aca="false">SUMPRODUCT((Per_Clase="Administración")*Sal_O*INDEX(Dot_O,0,MIN(10,AD$17))*((Per_Mon="PYG")*AD$19+(Per_Mon&lt;&gt;"PYG")))*(AD$15+AD$16*P_PreInd)*INDEX(IdxSal_O,1,MIN(10,AD$17))*(1+P_Cargas)+AD$81*P_Alim*AD$19</f>
        <v>8959.98771891781</v>
      </c>
      <c r="AE82" s="34" t="n">
        <f aca="false">SUMPRODUCT((Per_Clase="Administración")*Sal_O*INDEX(Dot_O,0,MIN(10,AE$17))*((Per_Mon="PYG")*AE$19+(Per_Mon&lt;&gt;"PYG")))*(AE$15+AE$16*P_PreInd)*INDEX(IdxSal_O,1,MIN(10,AE$17))*(1+P_Cargas)+AE$81*P_Alim*AE$19</f>
        <v>8959.98771891781</v>
      </c>
      <c r="AF82" s="34" t="n">
        <f aca="false">SUMPRODUCT((Per_Clase="Administración")*Sal_O*INDEX(Dot_O,0,MIN(10,AF$17))*((Per_Mon="PYG")*AF$19+(Per_Mon&lt;&gt;"PYG")))*(AF$15+AF$16*P_PreInd)*INDEX(IdxSal_O,1,MIN(10,AF$17))*(1+P_Cargas)+AF$81*P_Alim*AF$19</f>
        <v>8959.98771891781</v>
      </c>
      <c r="AG82" s="34" t="n">
        <f aca="false">SUMPRODUCT((Per_Clase="Administración")*Sal_O*INDEX(Dot_O,0,MIN(10,AG$17))*((Per_Mon="PYG")*AG$19+(Per_Mon&lt;&gt;"PYG")))*(AG$15+AG$16*P_PreInd)*INDEX(IdxSal_O,1,MIN(10,AG$17))*(1+P_Cargas)+AG$81*P_Alim*AG$19</f>
        <v>8959.98771891781</v>
      </c>
      <c r="AH82" s="34" t="n">
        <f aca="false">SUMPRODUCT((Per_Clase="Administración")*Sal_O*INDEX(Dot_O,0,MIN(10,AH$17))*((Per_Mon="PYG")*AH$19+(Per_Mon&lt;&gt;"PYG")))*(AH$15+AH$16*P_PreInd)*INDEX(IdxSal_O,1,MIN(10,AH$17))*(1+P_Cargas)+AH$81*P_Alim*AH$19</f>
        <v>8959.98771891781</v>
      </c>
      <c r="AI82" s="34" t="n">
        <f aca="false">SUMPRODUCT((Per_Clase="Administración")*Sal_O*INDEX(Dot_O,0,MIN(10,AI$17))*((Per_Mon="PYG")*AI$19+(Per_Mon&lt;&gt;"PYG")))*(AI$15+AI$16*P_PreInd)*INDEX(IdxSal_O,1,MIN(10,AI$17))*(1+P_Cargas)+AI$81*P_Alim*AI$19</f>
        <v>8959.98771891781</v>
      </c>
      <c r="AJ82" s="34" t="n">
        <f aca="false">SUMPRODUCT((Per_Clase="Administración")*Sal_O*INDEX(Dot_O,0,MIN(10,AJ$17))*((Per_Mon="PYG")*AJ$19+(Per_Mon&lt;&gt;"PYG")))*(AJ$15+AJ$16*P_PreInd)*INDEX(IdxSal_O,1,MIN(10,AJ$17))*(1+P_Cargas)+AJ$81*P_Alim*AJ$19</f>
        <v>8959.98771891781</v>
      </c>
      <c r="AK82" s="34" t="n">
        <f aca="false">SUMPRODUCT((Per_Clase="Administración")*Sal_O*INDEX(Dot_O,0,MIN(10,AK$17))*((Per_Mon="PYG")*AK$19+(Per_Mon&lt;&gt;"PYG")))*(AK$15+AK$16*P_PreInd)*INDEX(IdxSal_O,1,MIN(10,AK$17))*(1+P_Cargas)+AK$81*P_Alim*AK$19</f>
        <v>8959.98771891781</v>
      </c>
      <c r="AL82" s="34" t="n">
        <f aca="false">SUMPRODUCT((Per_Clase="Administración")*Sal_O*INDEX(Dot_O,0,MIN(10,AL$17))*((Per_Mon="PYG")*AL$19+(Per_Mon&lt;&gt;"PYG")))*(AL$15+AL$16*P_PreInd)*INDEX(IdxSal_O,1,MIN(10,AL$17))*(1+P_Cargas)+AL$81*P_Alim*AL$19</f>
        <v>8959.98771891781</v>
      </c>
      <c r="AM82" s="34" t="n">
        <f aca="false">SUMPRODUCT((Per_Clase="Administración")*Sal_O*INDEX(Dot_O,0,MIN(10,AM$17))*((Per_Mon="PYG")*AM$19+(Per_Mon&lt;&gt;"PYG")))*(AM$15+AM$16*P_PreInd)*INDEX(IdxSal_O,1,MIN(10,AM$17))*(1+P_Cargas)+AM$81*P_Alim*AM$19</f>
        <v>8959.98771891781</v>
      </c>
      <c r="AN82" s="34" t="n">
        <f aca="false">SUMPRODUCT((Per_Clase="Administración")*Sal_O*INDEX(Dot_O,0,MIN(10,AN$17))*((Per_Mon="PYG")*AN$19+(Per_Mon&lt;&gt;"PYG")))*(AN$15+AN$16*P_PreInd)*INDEX(IdxSal_O,1,MIN(10,AN$17))*(1+P_Cargas)+AN$81*P_Alim*AN$19</f>
        <v>8959.98771891781</v>
      </c>
      <c r="AO82" s="34" t="n">
        <f aca="false">SUMPRODUCT((Per_Clase="Administración")*Sal_O*INDEX(Dot_O,0,MIN(10,AO$17))*((Per_Mon="PYG")*AO$19+(Per_Mon&lt;&gt;"PYG")))*(AO$15+AO$16*P_PreInd)*INDEX(IdxSal_O,1,MIN(10,AO$17))*(1+P_Cargas)+AO$81*P_Alim*AO$19</f>
        <v>8959.98771891781</v>
      </c>
      <c r="AP82" s="34" t="n">
        <f aca="false">SUMPRODUCT((Per_Clase="Administración")*Sal_O*INDEX(Dot_O,0,MIN(10,AP$17))*((Per_Mon="PYG")*AP$19+(Per_Mon&lt;&gt;"PYG")))*(AP$15+AP$16*P_PreInd)*INDEX(IdxSal_O,1,MIN(10,AP$17))*(1+P_Cargas)+AP$81*P_Alim*AP$19</f>
        <v>8959.98771891781</v>
      </c>
      <c r="AQ82" s="34" t="n">
        <f aca="false">SUMPRODUCT((Per_Clase="Administración")*Sal_O*INDEX(Dot_O,0,MIN(10,AQ$17))*((Per_Mon="PYG")*AQ$19+(Per_Mon&lt;&gt;"PYG")))*(AQ$15+AQ$16*P_PreInd)*INDEX(IdxSal_O,1,MIN(10,AQ$17))*(1+P_Cargas)+AQ$81*P_Alim*AQ$19</f>
        <v>8959.98771891781</v>
      </c>
      <c r="AR82" s="34" t="n">
        <f aca="false">SUMPRODUCT((Per_Clase="Administración")*Sal_O*INDEX(Dot_O,0,MIN(10,AR$17))*((Per_Mon="PYG")*AR$19+(Per_Mon&lt;&gt;"PYG")))*(AR$15+AR$16*P_PreInd)*INDEX(IdxSal_O,1,MIN(10,AR$17))*(1+P_Cargas)+AR$81*P_Alim*AR$19</f>
        <v>8959.98771891781</v>
      </c>
      <c r="AS82" s="34" t="n">
        <f aca="false">SUMPRODUCT((Per_Clase="Administración")*Sal_O*INDEX(Dot_O,0,MIN(10,AS$17))*((Per_Mon="PYG")*AS$19+(Per_Mon&lt;&gt;"PYG")))*(AS$15+AS$16*P_PreInd)*INDEX(IdxSal_O,1,MIN(10,AS$17))*(1+P_Cargas)+AS$81*P_Alim*AS$19</f>
        <v>8959.98771891781</v>
      </c>
      <c r="AT82" s="34" t="n">
        <f aca="false">SUMPRODUCT((Per_Clase="Administración")*Sal_O*INDEX(Dot_O,0,MIN(10,AT$17))*((Per_Mon="PYG")*AT$19+(Per_Mon&lt;&gt;"PYG")))*(AT$15+AT$16*P_PreInd)*INDEX(IdxSal_O,1,MIN(10,AT$17))*(1+P_Cargas)+AT$81*P_Alim*AT$19</f>
        <v>8959.98771891781</v>
      </c>
      <c r="AU82" s="34" t="n">
        <f aca="false">SUMPRODUCT((Per_Clase="Administración")*Sal_O*INDEX(Dot_O,0,MIN(10,AU$17))*((Per_Mon="PYG")*AU$19+(Per_Mon&lt;&gt;"PYG")))*(AU$15+AU$16*P_PreInd)*INDEX(IdxSal_O,1,MIN(10,AU$17))*(1+P_Cargas)+AU$81*P_Alim*AU$19</f>
        <v>8959.98771891781</v>
      </c>
      <c r="AV82" s="34" t="n">
        <f aca="false">SUMPRODUCT((Per_Clase="Administración")*Sal_O*INDEX(Dot_O,0,MIN(10,AV$17))*((Per_Mon="PYG")*AV$19+(Per_Mon&lt;&gt;"PYG")))*(AV$15+AV$16*P_PreInd)*INDEX(IdxSal_O,1,MIN(10,AV$17))*(1+P_Cargas)+AV$81*P_Alim*AV$19</f>
        <v>8959.98771891781</v>
      </c>
      <c r="AW82" s="34" t="n">
        <f aca="false">SUMPRODUCT((Per_Clase="Administración")*Sal_O*INDEX(Dot_O,0,MIN(10,AW$17))*((Per_Mon="PYG")*AW$19+(Per_Mon&lt;&gt;"PYG")))*(AW$15+AW$16*P_PreInd)*INDEX(IdxSal_O,1,MIN(10,AW$17))*(1+P_Cargas)+AW$81*P_Alim*AW$19</f>
        <v>8959.98771891781</v>
      </c>
      <c r="AX82" s="34" t="n">
        <f aca="false">SUMPRODUCT((Per_Clase="Administración")*Sal_O*INDEX(Dot_O,0,MIN(10,AX$17))*((Per_Mon="PYG")*AX$19+(Per_Mon&lt;&gt;"PYG")))*(AX$15+AX$16*P_PreInd)*INDEX(IdxSal_O,1,MIN(10,AX$17))*(1+P_Cargas)+AX$81*P_Alim*AX$19</f>
        <v>8959.98771891781</v>
      </c>
      <c r="AY82" s="34" t="n">
        <f aca="false">SUMPRODUCT((Per_Clase="Administración")*Sal_O*INDEX(Dot_O,0,MIN(10,AY$17))*((Per_Mon="PYG")*AY$19+(Per_Mon&lt;&gt;"PYG")))*(AY$15+AY$16*P_PreInd)*INDEX(IdxSal_O,1,MIN(10,AY$17))*(1+P_Cargas)+AY$81*P_Alim*AY$19</f>
        <v>8959.98771891781</v>
      </c>
      <c r="AZ82" s="34" t="n">
        <f aca="false">SUMPRODUCT((Per_Clase="Administración")*Sal_O*INDEX(Dot_O,0,MIN(10,AZ$17))*((Per_Mon="PYG")*AZ$19+(Per_Mon&lt;&gt;"PYG")))*(AZ$15+AZ$16*P_PreInd)*INDEX(IdxSal_O,1,MIN(10,AZ$17))*(1+P_Cargas)+AZ$81*P_Alim*AZ$19</f>
        <v>8959.98771891781</v>
      </c>
      <c r="BA82" s="34" t="n">
        <f aca="false">SUMPRODUCT((Per_Clase="Administración")*Sal_O*INDEX(Dot_O,0,MIN(10,BA$17))*((Per_Mon="PYG")*BA$19+(Per_Mon&lt;&gt;"PYG")))*(BA$15+BA$16*P_PreInd)*INDEX(IdxSal_O,1,MIN(10,BA$17))*(1+P_Cargas)+BA$81*P_Alim*BA$19</f>
        <v>8959.98771891781</v>
      </c>
      <c r="BB82" s="34" t="n">
        <f aca="false">SUMPRODUCT((Per_Clase="Administración")*Sal_O*INDEX(Dot_O,0,MIN(10,BB$17))*((Per_Mon="PYG")*BB$19+(Per_Mon&lt;&gt;"PYG")))*(BB$15+BB$16*P_PreInd)*INDEX(IdxSal_O,1,MIN(10,BB$17))*(1+P_Cargas)+BB$81*P_Alim*BB$19</f>
        <v>8959.98771891781</v>
      </c>
      <c r="BC82" s="34" t="n">
        <f aca="false">SUMPRODUCT((Per_Clase="Administración")*Sal_O*INDEX(Dot_O,0,MIN(10,BC$17))*((Per_Mon="PYG")*BC$19+(Per_Mon&lt;&gt;"PYG")))*(BC$15+BC$16*P_PreInd)*INDEX(IdxSal_O,1,MIN(10,BC$17))*(1+P_Cargas)+BC$81*P_Alim*BC$19</f>
        <v>8959.98771891781</v>
      </c>
      <c r="BD82" s="34" t="n">
        <f aca="false">SUMPRODUCT((Per_Clase="Administración")*Sal_O*INDEX(Dot_O,0,MIN(10,BD$17))*((Per_Mon="PYG")*BD$19+(Per_Mon&lt;&gt;"PYG")))*(BD$15+BD$16*P_PreInd)*INDEX(IdxSal_O,1,MIN(10,BD$17))*(1+P_Cargas)+BD$81*P_Alim*BD$19</f>
        <v>8959.98771891781</v>
      </c>
      <c r="BE82" s="34" t="n">
        <f aca="false">SUMPRODUCT((Per_Clase="Administración")*Sal_O*INDEX(Dot_O,0,MIN(10,BE$17))*((Per_Mon="PYG")*BE$19+(Per_Mon&lt;&gt;"PYG")))*(BE$15+BE$16*P_PreInd)*INDEX(IdxSal_O,1,MIN(10,BE$17))*(1+P_Cargas)+BE$81*P_Alim*BE$19</f>
        <v>8959.98771891781</v>
      </c>
      <c r="BF82" s="34" t="n">
        <f aca="false">SUMPRODUCT((Per_Clase="Administración")*Sal_O*INDEX(Dot_O,0,MIN(10,BF$17))*((Per_Mon="PYG")*BF$19+(Per_Mon&lt;&gt;"PYG")))*(BF$15+BF$16*P_PreInd)*INDEX(IdxSal_O,1,MIN(10,BF$17))*(1+P_Cargas)+BF$81*P_Alim*BF$19</f>
        <v>8959.98771891781</v>
      </c>
      <c r="BG82" s="34" t="n">
        <f aca="false">SUMPRODUCT((Per_Clase="Administración")*Sal_O*INDEX(Dot_O,0,MIN(10,BG$17))*((Per_Mon="PYG")*BG$19+(Per_Mon&lt;&gt;"PYG")))*(BG$15+BG$16*P_PreInd)*INDEX(IdxSal_O,1,MIN(10,BG$17))*(1+P_Cargas)+BG$81*P_Alim*BG$19</f>
        <v>8959.98771891781</v>
      </c>
      <c r="BH82" s="34" t="n">
        <f aca="false">SUMPRODUCT((Per_Clase="Administración")*Sal_O*INDEX(Dot_O,0,MIN(10,BH$17))*((Per_Mon="PYG")*BH$19+(Per_Mon&lt;&gt;"PYG")))*(BH$15+BH$16*P_PreInd)*INDEX(IdxSal_O,1,MIN(10,BH$17))*(1+P_Cargas)+BH$81*P_Alim*BH$19</f>
        <v>8959.98771891781</v>
      </c>
      <c r="BI82" s="34" t="n">
        <f aca="false">SUMPRODUCT((Per_Clase="Administración")*Sal_O*INDEX(Dot_O,0,MIN(10,BI$17))*((Per_Mon="PYG")*BI$19+(Per_Mon&lt;&gt;"PYG")))*(BI$15+BI$16*P_PreInd)*INDEX(IdxSal_O,1,MIN(10,BI$17))*(1+P_Cargas)+BI$81*P_Alim*BI$19</f>
        <v>8959.98771891781</v>
      </c>
      <c r="BJ82" s="34" t="n">
        <f aca="false">SUMPRODUCT((Per_Clase="Administración")*Sal_O*INDEX(Dot_O,0,MIN(10,BJ$17))*((Per_Mon="PYG")*BJ$19+(Per_Mon&lt;&gt;"PYG")))*(BJ$15+BJ$16*P_PreInd)*INDEX(IdxSal_O,1,MIN(10,BJ$17))*(1+P_Cargas)+BJ$81*P_Alim*BJ$19</f>
        <v>8959.98771891781</v>
      </c>
      <c r="BK82" s="34" t="n">
        <f aca="false">SUMPRODUCT((Per_Clase="Administración")*Sal_O*INDEX(Dot_O,0,MIN(10,BK$17))*((Per_Mon="PYG")*BK$19+(Per_Mon&lt;&gt;"PYG")))*(BK$15+BK$16*P_PreInd)*INDEX(IdxSal_O,1,MIN(10,BK$17))*(1+P_Cargas)+BK$81*P_Alim*BK$19</f>
        <v>8959.98771891781</v>
      </c>
      <c r="BL82" s="34" t="n">
        <f aca="false">SUMPRODUCT((Per_Clase="Administración")*Sal_O*INDEX(Dot_O,0,MIN(10,BL$17))*((Per_Mon="PYG")*BL$19+(Per_Mon&lt;&gt;"PYG")))*(BL$15+BL$16*P_PreInd)*INDEX(IdxSal_O,1,MIN(10,BL$17))*(1+P_Cargas)+BL$81*P_Alim*BL$19</f>
        <v>8959.98771891781</v>
      </c>
      <c r="BM82" s="34" t="n">
        <f aca="false">SUMPRODUCT((Per_Clase="Administración")*Sal_O*INDEX(Dot_O,0,MIN(10,BM$17))*((Per_Mon="PYG")*BM$19+(Per_Mon&lt;&gt;"PYG")))*(BM$15+BM$16*P_PreInd)*INDEX(IdxSal_O,1,MIN(10,BM$17))*(1+P_Cargas)+BM$81*P_Alim*BM$19</f>
        <v>8959.98771891781</v>
      </c>
      <c r="BN82" s="34" t="n">
        <f aca="false">SUMPRODUCT((Per_Clase="Administración")*Sal_O*INDEX(Dot_O,0,MIN(10,BN$17))*((Per_Mon="PYG")*BN$19+(Per_Mon&lt;&gt;"PYG")))*(BN$15+BN$16*P_PreInd)*INDEX(IdxSal_O,1,MIN(10,BN$17))*(1+P_Cargas)+BN$81*P_Alim*BN$19</f>
        <v>8959.98771891781</v>
      </c>
      <c r="BO82" s="34" t="n">
        <f aca="false">SUMPRODUCT((Per_Clase="Administración")*Sal_O*INDEX(Dot_O,0,MIN(10,BO$17))*((Per_Mon="PYG")*BO$19+(Per_Mon&lt;&gt;"PYG")))*(BO$15+BO$16*P_PreInd)*INDEX(IdxSal_O,1,MIN(10,BO$17))*(1+P_Cargas)+BO$81*P_Alim*BO$19</f>
        <v>8959.98771891781</v>
      </c>
      <c r="BP82" s="34" t="n">
        <f aca="false">SUMPRODUCT((Per_Clase="Administración")*Sal_O*INDEX(Dot_O,0,MIN(10,BP$17))*((Per_Mon="PYG")*BP$19+(Per_Mon&lt;&gt;"PYG")))*(BP$15+BP$16*P_PreInd)*INDEX(IdxSal_O,1,MIN(10,BP$17))*(1+P_Cargas)+BP$81*P_Alim*BP$19</f>
        <v>8959.98771891781</v>
      </c>
      <c r="BQ82" s="34" t="n">
        <f aca="false">SUMPRODUCT((Per_Clase="Administración")*Sal_O*INDEX(Dot_O,0,MIN(10,BQ$17))*((Per_Mon="PYG")*BQ$19+(Per_Mon&lt;&gt;"PYG")))*(BQ$15+BQ$16*P_PreInd)*INDEX(IdxSal_O,1,MIN(10,BQ$17))*(1+P_Cargas)+BQ$81*P_Alim*BQ$19</f>
        <v>8959.98771891781</v>
      </c>
      <c r="BR82" s="34" t="n">
        <f aca="false">SUMPRODUCT((Per_Clase="Administración")*Sal_O*INDEX(Dot_O,0,MIN(10,BR$17))*((Per_Mon="PYG")*BR$19+(Per_Mon&lt;&gt;"PYG")))*(BR$15+BR$16*P_PreInd)*INDEX(IdxSal_O,1,MIN(10,BR$17))*(1+P_Cargas)+BR$81*P_Alim*BR$19</f>
        <v>8959.98771891781</v>
      </c>
      <c r="BS82" s="34" t="n">
        <f aca="false">SUMPRODUCT((Per_Clase="Administración")*Sal_O*INDEX(Dot_O,0,MIN(10,BS$17))*((Per_Mon="PYG")*BS$19+(Per_Mon&lt;&gt;"PYG")))*(BS$15+BS$16*P_PreInd)*INDEX(IdxSal_O,1,MIN(10,BS$17))*(1+P_Cargas)+BS$81*P_Alim*BS$19</f>
        <v>8959.98771891781</v>
      </c>
      <c r="BT82" s="34" t="n">
        <f aca="false">SUMPRODUCT((Per_Clase="Administración")*Sal_O*INDEX(Dot_O,0,MIN(10,BT$17))*((Per_Mon="PYG")*BT$19+(Per_Mon&lt;&gt;"PYG")))*(BT$15+BT$16*P_PreInd)*INDEX(IdxSal_O,1,MIN(10,BT$17))*(1+P_Cargas)+BT$81*P_Alim*BT$19</f>
        <v>8959.98771891781</v>
      </c>
      <c r="BU82" s="34" t="n">
        <f aca="false">SUMPRODUCT((Per_Clase="Administración")*Sal_O*INDEX(Dot_O,0,MIN(10,BU$17))*((Per_Mon="PYG")*BU$19+(Per_Mon&lt;&gt;"PYG")))*(BU$15+BU$16*P_PreInd)*INDEX(IdxSal_O,1,MIN(10,BU$17))*(1+P_Cargas)+BU$81*P_Alim*BU$19</f>
        <v>8959.98771891781</v>
      </c>
      <c r="BV82" s="34" t="n">
        <f aca="false">SUMPRODUCT((Per_Clase="Administración")*Sal_O*INDEX(Dot_O,0,MIN(10,BV$17))*((Per_Mon="PYG")*BV$19+(Per_Mon&lt;&gt;"PYG")))*(BV$15+BV$16*P_PreInd)*INDEX(IdxSal_O,1,MIN(10,BV$17))*(1+P_Cargas)+BV$81*P_Alim*BV$19</f>
        <v>8959.98771891781</v>
      </c>
      <c r="BW82" s="34" t="n">
        <f aca="false">SUMPRODUCT((Per_Clase="Administración")*Sal_O*INDEX(Dot_O,0,MIN(10,BW$17))*((Per_Mon="PYG")*BW$19+(Per_Mon&lt;&gt;"PYG")))*(BW$15+BW$16*P_PreInd)*INDEX(IdxSal_O,1,MIN(10,BW$17))*(1+P_Cargas)+BW$81*P_Alim*BW$19</f>
        <v>8959.98771891781</v>
      </c>
      <c r="BX82" s="34" t="n">
        <f aca="false">SUMPRODUCT((Per_Clase="Administración")*Sal_O*INDEX(Dot_O,0,MIN(10,BX$17))*((Per_Mon="PYG")*BX$19+(Per_Mon&lt;&gt;"PYG")))*(BX$15+BX$16*P_PreInd)*INDEX(IdxSal_O,1,MIN(10,BX$17))*(1+P_Cargas)+BX$81*P_Alim*BX$19</f>
        <v>8959.98771891781</v>
      </c>
      <c r="BY82" s="34" t="n">
        <f aca="false">SUMPRODUCT((Per_Clase="Administración")*Sal_O*INDEX(Dot_O,0,MIN(10,BY$17))*((Per_Mon="PYG")*BY$19+(Per_Mon&lt;&gt;"PYG")))*(BY$15+BY$16*P_PreInd)*INDEX(IdxSal_O,1,MIN(10,BY$17))*(1+P_Cargas)+BY$81*P_Alim*BY$19</f>
        <v>8959.98771891781</v>
      </c>
      <c r="BZ82" s="34" t="n">
        <f aca="false">SUMPRODUCT((Per_Clase="Administración")*Sal_O*INDEX(Dot_O,0,MIN(10,BZ$17))*((Per_Mon="PYG")*BZ$19+(Per_Mon&lt;&gt;"PYG")))*(BZ$15+BZ$16*P_PreInd)*INDEX(IdxSal_O,1,MIN(10,BZ$17))*(1+P_Cargas)+BZ$81*P_Alim*BZ$19</f>
        <v>8959.98771891781</v>
      </c>
      <c r="CA82" s="34" t="n">
        <f aca="false">SUMPRODUCT((Per_Clase="Administración")*Sal_O*INDEX(Dot_O,0,MIN(10,CA$17))*((Per_Mon="PYG")*CA$19+(Per_Mon&lt;&gt;"PYG")))*(CA$15+CA$16*P_PreInd)*INDEX(IdxSal_O,1,MIN(10,CA$17))*(1+P_Cargas)+CA$81*P_Alim*CA$19</f>
        <v>8959.98771891781</v>
      </c>
      <c r="CB82" s="34" t="n">
        <f aca="false">SUMPRODUCT((Per_Clase="Administración")*Sal_O*INDEX(Dot_O,0,MIN(10,CB$17))*((Per_Mon="PYG")*CB$19+(Per_Mon&lt;&gt;"PYG")))*(CB$15+CB$16*P_PreInd)*INDEX(IdxSal_O,1,MIN(10,CB$17))*(1+P_Cargas)+CB$81*P_Alim*CB$19</f>
        <v>8959.98771891781</v>
      </c>
      <c r="CC82" s="34" t="n">
        <f aca="false">SUMPRODUCT((Per_Clase="Administración")*Sal_O*INDEX(Dot_O,0,MIN(10,CC$17))*((Per_Mon="PYG")*CC$19+(Per_Mon&lt;&gt;"PYG")))*(CC$15+CC$16*P_PreInd)*INDEX(IdxSal_O,1,MIN(10,CC$17))*(1+P_Cargas)+CC$81*P_Alim*CC$19</f>
        <v>8959.98771891781</v>
      </c>
      <c r="CD82" s="34" t="n">
        <f aca="false">SUMPRODUCT((Per_Clase="Administración")*Sal_O*INDEX(Dot_O,0,MIN(10,CD$17))*((Per_Mon="PYG")*CD$19+(Per_Mon&lt;&gt;"PYG")))*(CD$15+CD$16*P_PreInd)*INDEX(IdxSal_O,1,MIN(10,CD$17))*(1+P_Cargas)+CD$81*P_Alim*CD$19</f>
        <v>8959.98771891781</v>
      </c>
      <c r="CE82" s="34" t="n">
        <f aca="false">SUMPRODUCT((Per_Clase="Administración")*Sal_O*INDEX(Dot_O,0,MIN(10,CE$17))*((Per_Mon="PYG")*CE$19+(Per_Mon&lt;&gt;"PYG")))*(CE$15+CE$16*P_PreInd)*INDEX(IdxSal_O,1,MIN(10,CE$17))*(1+P_Cargas)+CE$81*P_Alim*CE$19</f>
        <v>8959.98771891781</v>
      </c>
      <c r="CF82" s="34" t="n">
        <f aca="false">SUMPRODUCT((Per_Clase="Administración")*Sal_O*INDEX(Dot_O,0,MIN(10,CF$17))*((Per_Mon="PYG")*CF$19+(Per_Mon&lt;&gt;"PYG")))*(CF$15+CF$16*P_PreInd)*INDEX(IdxSal_O,1,MIN(10,CF$17))*(1+P_Cargas)+CF$81*P_Alim*CF$19</f>
        <v>8959.98771891781</v>
      </c>
      <c r="CG82" s="34" t="n">
        <f aca="false">SUMPRODUCT((Per_Clase="Administración")*Sal_O*INDEX(Dot_O,0,MIN(10,CG$17))*((Per_Mon="PYG")*CG$19+(Per_Mon&lt;&gt;"PYG")))*(CG$15+CG$16*P_PreInd)*INDEX(IdxSal_O,1,MIN(10,CG$17))*(1+P_Cargas)+CG$81*P_Alim*CG$19</f>
        <v>8959.98771891781</v>
      </c>
      <c r="CH82" s="34" t="n">
        <f aca="false">SUMPRODUCT((Per_Clase="Administración")*Sal_O*INDEX(Dot_O,0,MIN(10,CH$17))*((Per_Mon="PYG")*CH$19+(Per_Mon&lt;&gt;"PYG")))*(CH$15+CH$16*P_PreInd)*INDEX(IdxSal_O,1,MIN(10,CH$17))*(1+P_Cargas)+CH$81*P_Alim*CH$19</f>
        <v>8959.98771891781</v>
      </c>
      <c r="CI82" s="34" t="n">
        <f aca="false">SUMPRODUCT((Per_Clase="Administración")*Sal_O*INDEX(Dot_O,0,MIN(10,CI$17))*((Per_Mon="PYG")*CI$19+(Per_Mon&lt;&gt;"PYG")))*(CI$15+CI$16*P_PreInd)*INDEX(IdxSal_O,1,MIN(10,CI$17))*(1+P_Cargas)+CI$81*P_Alim*CI$19</f>
        <v>8959.98771891781</v>
      </c>
      <c r="CJ82" s="34" t="n">
        <f aca="false">SUMPRODUCT((Per_Clase="Administración")*Sal_O*INDEX(Dot_O,0,MIN(10,CJ$17))*((Per_Mon="PYG")*CJ$19+(Per_Mon&lt;&gt;"PYG")))*(CJ$15+CJ$16*P_PreInd)*INDEX(IdxSal_O,1,MIN(10,CJ$17))*(1+P_Cargas)+CJ$81*P_Alim*CJ$19</f>
        <v>8959.98771891781</v>
      </c>
      <c r="CK82" s="34" t="n">
        <f aca="false">SUMPRODUCT((Per_Clase="Administración")*Sal_O*INDEX(Dot_O,0,MIN(10,CK$17))*((Per_Mon="PYG")*CK$19+(Per_Mon&lt;&gt;"PYG")))*(CK$15+CK$16*P_PreInd)*INDEX(IdxSal_O,1,MIN(10,CK$17))*(1+P_Cargas)+CK$81*P_Alim*CK$19</f>
        <v>8959.98771891781</v>
      </c>
      <c r="CL82" s="34" t="n">
        <f aca="false">SUMPRODUCT((Per_Clase="Administración")*Sal_O*INDEX(Dot_O,0,MIN(10,CL$17))*((Per_Mon="PYG")*CL$19+(Per_Mon&lt;&gt;"PYG")))*(CL$15+CL$16*P_PreInd)*INDEX(IdxSal_O,1,MIN(10,CL$17))*(1+P_Cargas)+CL$81*P_Alim*CL$19</f>
        <v>8959.98771891781</v>
      </c>
      <c r="CM82" s="34" t="n">
        <f aca="false">SUMPRODUCT((Per_Clase="Administración")*Sal_O*INDEX(Dot_O,0,MIN(10,CM$17))*((Per_Mon="PYG")*CM$19+(Per_Mon&lt;&gt;"PYG")))*(CM$15+CM$16*P_PreInd)*INDEX(IdxSal_O,1,MIN(10,CM$17))*(1+P_Cargas)+CM$81*P_Alim*CM$19</f>
        <v>8959.98771891781</v>
      </c>
      <c r="CN82" s="34" t="n">
        <f aca="false">SUMPRODUCT((Per_Clase="Administración")*Sal_O*INDEX(Dot_O,0,MIN(10,CN$17))*((Per_Mon="PYG")*CN$19+(Per_Mon&lt;&gt;"PYG")))*(CN$15+CN$16*P_PreInd)*INDEX(IdxSal_O,1,MIN(10,CN$17))*(1+P_Cargas)+CN$81*P_Alim*CN$19</f>
        <v>8959.98771891781</v>
      </c>
      <c r="CO82" s="34" t="n">
        <f aca="false">SUMPRODUCT((Per_Clase="Administración")*Sal_O*INDEX(Dot_O,0,MIN(10,CO$17))*((Per_Mon="PYG")*CO$19+(Per_Mon&lt;&gt;"PYG")))*(CO$15+CO$16*P_PreInd)*INDEX(IdxSal_O,1,MIN(10,CO$17))*(1+P_Cargas)+CO$81*P_Alim*CO$19</f>
        <v>8959.98771891781</v>
      </c>
      <c r="CP82" s="34" t="n">
        <f aca="false">SUMPRODUCT((Per_Clase="Administración")*Sal_O*INDEX(Dot_O,0,MIN(10,CP$17))*((Per_Mon="PYG")*CP$19+(Per_Mon&lt;&gt;"PYG")))*(CP$15+CP$16*P_PreInd)*INDEX(IdxSal_O,1,MIN(10,CP$17))*(1+P_Cargas)+CP$81*P_Alim*CP$19</f>
        <v>8959.98771891781</v>
      </c>
      <c r="CQ82" s="34" t="n">
        <f aca="false">SUMPRODUCT((Per_Clase="Administración")*Sal_O*INDEX(Dot_O,0,MIN(10,CQ$17))*((Per_Mon="PYG")*CQ$19+(Per_Mon&lt;&gt;"PYG")))*(CQ$15+CQ$16*P_PreInd)*INDEX(IdxSal_O,1,MIN(10,CQ$17))*(1+P_Cargas)+CQ$81*P_Alim*CQ$19</f>
        <v>8959.98771891781</v>
      </c>
      <c r="CR82" s="34" t="n">
        <f aca="false">SUMPRODUCT((Per_Clase="Administración")*Sal_O*INDEX(Dot_O,0,MIN(10,CR$17))*((Per_Mon="PYG")*CR$19+(Per_Mon&lt;&gt;"PYG")))*(CR$15+CR$16*P_PreInd)*INDEX(IdxSal_O,1,MIN(10,CR$17))*(1+P_Cargas)+CR$81*P_Alim*CR$19</f>
        <v>8959.98771891781</v>
      </c>
      <c r="CS82" s="34" t="n">
        <f aca="false">SUMPRODUCT((Per_Clase="Administración")*Sal_O*INDEX(Dot_O,0,MIN(10,CS$17))*((Per_Mon="PYG")*CS$19+(Per_Mon&lt;&gt;"PYG")))*(CS$15+CS$16*P_PreInd)*INDEX(IdxSal_O,1,MIN(10,CS$17))*(1+P_Cargas)+CS$81*P_Alim*CS$19</f>
        <v>8959.98771891781</v>
      </c>
      <c r="CT82" s="34" t="n">
        <f aca="false">SUMPRODUCT((Per_Clase="Administración")*Sal_O*INDEX(Dot_O,0,MIN(10,CT$17))*((Per_Mon="PYG")*CT$19+(Per_Mon&lt;&gt;"PYG")))*(CT$15+CT$16*P_PreInd)*INDEX(IdxSal_O,1,MIN(10,CT$17))*(1+P_Cargas)+CT$81*P_Alim*CT$19</f>
        <v>8959.98771891781</v>
      </c>
      <c r="CU82" s="34" t="n">
        <f aca="false">SUMPRODUCT((Per_Clase="Administración")*Sal_O*INDEX(Dot_O,0,MIN(10,CU$17))*((Per_Mon="PYG")*CU$19+(Per_Mon&lt;&gt;"PYG")))*(CU$15+CU$16*P_PreInd)*INDEX(IdxSal_O,1,MIN(10,CU$17))*(1+P_Cargas)+CU$81*P_Alim*CU$19</f>
        <v>8959.98771891781</v>
      </c>
      <c r="CV82" s="34" t="n">
        <f aca="false">SUMPRODUCT((Per_Clase="Administración")*Sal_O*INDEX(Dot_O,0,MIN(10,CV$17))*((Per_Mon="PYG")*CV$19+(Per_Mon&lt;&gt;"PYG")))*(CV$15+CV$16*P_PreInd)*INDEX(IdxSal_O,1,MIN(10,CV$17))*(1+P_Cargas)+CV$81*P_Alim*CV$19</f>
        <v>8959.98771891781</v>
      </c>
      <c r="CW82" s="34" t="n">
        <f aca="false">SUMPRODUCT((Per_Clase="Administración")*Sal_O*INDEX(Dot_O,0,MIN(10,CW$17))*((Per_Mon="PYG")*CW$19+(Per_Mon&lt;&gt;"PYG")))*(CW$15+CW$16*P_PreInd)*INDEX(IdxSal_O,1,MIN(10,CW$17))*(1+P_Cargas)+CW$81*P_Alim*CW$19</f>
        <v>8959.98771891781</v>
      </c>
      <c r="CX82" s="34" t="n">
        <f aca="false">SUMPRODUCT((Per_Clase="Administración")*Sal_O*INDEX(Dot_O,0,MIN(10,CX$17))*((Per_Mon="PYG")*CX$19+(Per_Mon&lt;&gt;"PYG")))*(CX$15+CX$16*P_PreInd)*INDEX(IdxSal_O,1,MIN(10,CX$17))*(1+P_Cargas)+CX$81*P_Alim*CX$19</f>
        <v>8959.98771891781</v>
      </c>
      <c r="CY82" s="34" t="n">
        <f aca="false">SUMPRODUCT((Per_Clase="Administración")*Sal_O*INDEX(Dot_O,0,MIN(10,CY$17))*((Per_Mon="PYG")*CY$19+(Per_Mon&lt;&gt;"PYG")))*(CY$15+CY$16*P_PreInd)*INDEX(IdxSal_O,1,MIN(10,CY$17))*(1+P_Cargas)+CY$81*P_Alim*CY$19</f>
        <v>8959.98771891781</v>
      </c>
      <c r="CZ82" s="34" t="n">
        <f aca="false">SUMPRODUCT((Per_Clase="Administración")*Sal_O*INDEX(Dot_O,0,MIN(10,CZ$17))*((Per_Mon="PYG")*CZ$19+(Per_Mon&lt;&gt;"PYG")))*(CZ$15+CZ$16*P_PreInd)*INDEX(IdxSal_O,1,MIN(10,CZ$17))*(1+P_Cargas)+CZ$81*P_Alim*CZ$19</f>
        <v>8959.98771891781</v>
      </c>
      <c r="DA82" s="34" t="n">
        <f aca="false">SUMPRODUCT((Per_Clase="Administración")*Sal_O*INDEX(Dot_O,0,MIN(10,DA$17))*((Per_Mon="PYG")*DA$19+(Per_Mon&lt;&gt;"PYG")))*(DA$15+DA$16*P_PreInd)*INDEX(IdxSal_O,1,MIN(10,DA$17))*(1+P_Cargas)+DA$81*P_Alim*DA$19</f>
        <v>8959.98771891781</v>
      </c>
      <c r="DB82" s="34" t="n">
        <f aca="false">SUMPRODUCT((Per_Clase="Administración")*Sal_O*INDEX(Dot_O,0,MIN(10,DB$17))*((Per_Mon="PYG")*DB$19+(Per_Mon&lt;&gt;"PYG")))*(DB$15+DB$16*P_PreInd)*INDEX(IdxSal_O,1,MIN(10,DB$17))*(1+P_Cargas)+DB$81*P_Alim*DB$19</f>
        <v>8959.98771891781</v>
      </c>
      <c r="DC82" s="34" t="n">
        <f aca="false">SUMPRODUCT((Per_Clase="Administración")*Sal_O*INDEX(Dot_O,0,MIN(10,DC$17))*((Per_Mon="PYG")*DC$19+(Per_Mon&lt;&gt;"PYG")))*(DC$15+DC$16*P_PreInd)*INDEX(IdxSal_O,1,MIN(10,DC$17))*(1+P_Cargas)+DC$81*P_Alim*DC$19</f>
        <v>8959.98771891781</v>
      </c>
      <c r="DD82" s="34" t="n">
        <f aca="false">SUMPRODUCT((Per_Clase="Administración")*Sal_O*INDEX(Dot_O,0,MIN(10,DD$17))*((Per_Mon="PYG")*DD$19+(Per_Mon&lt;&gt;"PYG")))*(DD$15+DD$16*P_PreInd)*INDEX(IdxSal_O,1,MIN(10,DD$17))*(1+P_Cargas)+DD$81*P_Alim*DD$19</f>
        <v>8959.98771891781</v>
      </c>
      <c r="DE82" s="34" t="n">
        <f aca="false">SUMPRODUCT((Per_Clase="Administración")*Sal_O*INDEX(Dot_O,0,MIN(10,DE$17))*((Per_Mon="PYG")*DE$19+(Per_Mon&lt;&gt;"PYG")))*(DE$15+DE$16*P_PreInd)*INDEX(IdxSal_O,1,MIN(10,DE$17))*(1+P_Cargas)+DE$81*P_Alim*DE$19</f>
        <v>8959.98771891781</v>
      </c>
      <c r="DF82" s="34" t="n">
        <f aca="false">SUMPRODUCT((Per_Clase="Administración")*Sal_O*INDEX(Dot_O,0,MIN(10,DF$17))*((Per_Mon="PYG")*DF$19+(Per_Mon&lt;&gt;"PYG")))*(DF$15+DF$16*P_PreInd)*INDEX(IdxSal_O,1,MIN(10,DF$17))*(1+P_Cargas)+DF$81*P_Alim*DF$19</f>
        <v>8959.98771891781</v>
      </c>
      <c r="DG82" s="34" t="n">
        <f aca="false">SUMPRODUCT((Per_Clase="Administración")*Sal_O*INDEX(Dot_O,0,MIN(10,DG$17))*((Per_Mon="PYG")*DG$19+(Per_Mon&lt;&gt;"PYG")))*(DG$15+DG$16*P_PreInd)*INDEX(IdxSal_O,1,MIN(10,DG$17))*(1+P_Cargas)+DG$81*P_Alim*DG$19</f>
        <v>8959.98771891781</v>
      </c>
      <c r="DH82" s="34" t="n">
        <f aca="false">SUMPRODUCT((Per_Clase="Administración")*Sal_O*INDEX(Dot_O,0,MIN(10,DH$17))*((Per_Mon="PYG")*DH$19+(Per_Mon&lt;&gt;"PYG")))*(DH$15+DH$16*P_PreInd)*INDEX(IdxSal_O,1,MIN(10,DH$17))*(1+P_Cargas)+DH$81*P_Alim*DH$19</f>
        <v>8959.98771891781</v>
      </c>
      <c r="DI82" s="34" t="n">
        <f aca="false">SUMPRODUCT((Per_Clase="Administración")*Sal_O*INDEX(Dot_O,0,MIN(10,DI$17))*((Per_Mon="PYG")*DI$19+(Per_Mon&lt;&gt;"PYG")))*(DI$15+DI$16*P_PreInd)*INDEX(IdxSal_O,1,MIN(10,DI$17))*(1+P_Cargas)+DI$81*P_Alim*DI$19</f>
        <v>8959.98771891781</v>
      </c>
      <c r="DJ82" s="34" t="n">
        <f aca="false">SUMPRODUCT((Per_Clase="Administración")*Sal_O*INDEX(Dot_O,0,MIN(10,DJ$17))*((Per_Mon="PYG")*DJ$19+(Per_Mon&lt;&gt;"PYG")))*(DJ$15+DJ$16*P_PreInd)*INDEX(IdxSal_O,1,MIN(10,DJ$17))*(1+P_Cargas)+DJ$81*P_Alim*DJ$19</f>
        <v>8959.98771891781</v>
      </c>
      <c r="DK82" s="34" t="n">
        <f aca="false">SUMPRODUCT((Per_Clase="Administración")*Sal_O*INDEX(Dot_O,0,MIN(10,DK$17))*((Per_Mon="PYG")*DK$19+(Per_Mon&lt;&gt;"PYG")))*(DK$15+DK$16*P_PreInd)*INDEX(IdxSal_O,1,MIN(10,DK$17))*(1+P_Cargas)+DK$81*P_Alim*DK$19</f>
        <v>8959.98771891781</v>
      </c>
      <c r="DL82" s="34" t="n">
        <f aca="false">SUMPRODUCT((Per_Clase="Administración")*Sal_O*INDEX(Dot_O,0,MIN(10,DL$17))*((Per_Mon="PYG")*DL$19+(Per_Mon&lt;&gt;"PYG")))*(DL$15+DL$16*P_PreInd)*INDEX(IdxSal_O,1,MIN(10,DL$17))*(1+P_Cargas)+DL$81*P_Alim*DL$19</f>
        <v>8959.98771891781</v>
      </c>
      <c r="DM82" s="34" t="n">
        <f aca="false">SUMPRODUCT((Per_Clase="Administración")*Sal_O*INDEX(Dot_O,0,MIN(10,DM$17))*((Per_Mon="PYG")*DM$19+(Per_Mon&lt;&gt;"PYG")))*(DM$15+DM$16*P_PreInd)*INDEX(IdxSal_O,1,MIN(10,DM$17))*(1+P_Cargas)+DM$81*P_Alim*DM$19</f>
        <v>8959.98771891781</v>
      </c>
      <c r="DN82" s="34" t="n">
        <f aca="false">SUMPRODUCT((Per_Clase="Administración")*Sal_O*INDEX(Dot_O,0,MIN(10,DN$17))*((Per_Mon="PYG")*DN$19+(Per_Mon&lt;&gt;"PYG")))*(DN$15+DN$16*P_PreInd)*INDEX(IdxSal_O,1,MIN(10,DN$17))*(1+P_Cargas)+DN$81*P_Alim*DN$19</f>
        <v>8959.98771891781</v>
      </c>
      <c r="DO82" s="34" t="n">
        <f aca="false">SUMPRODUCT((Per_Clase="Administración")*Sal_O*INDEX(Dot_O,0,MIN(10,DO$17))*((Per_Mon="PYG")*DO$19+(Per_Mon&lt;&gt;"PYG")))*(DO$15+DO$16*P_PreInd)*INDEX(IdxSal_O,1,MIN(10,DO$17))*(1+P_Cargas)+DO$81*P_Alim*DO$19</f>
        <v>8959.98771891781</v>
      </c>
      <c r="DP82" s="34" t="n">
        <f aca="false">SUMPRODUCT((Per_Clase="Administración")*Sal_O*INDEX(Dot_O,0,MIN(10,DP$17))*((Per_Mon="PYG")*DP$19+(Per_Mon&lt;&gt;"PYG")))*(DP$15+DP$16*P_PreInd)*INDEX(IdxSal_O,1,MIN(10,DP$17))*(1+P_Cargas)+DP$81*P_Alim*DP$19</f>
        <v>8959.98771891781</v>
      </c>
      <c r="DQ82" s="34" t="n">
        <f aca="false">SUMPRODUCT((Per_Clase="Administración")*Sal_O*INDEX(Dot_O,0,MIN(10,DQ$17))*((Per_Mon="PYG")*DQ$19+(Per_Mon&lt;&gt;"PYG")))*(DQ$15+DQ$16*P_PreInd)*INDEX(IdxSal_O,1,MIN(10,DQ$17))*(1+P_Cargas)+DQ$81*P_Alim*DQ$19</f>
        <v>8959.98771891781</v>
      </c>
      <c r="DR82" s="34" t="n">
        <f aca="false">SUMPRODUCT((Per_Clase="Administración")*Sal_O*INDEX(Dot_O,0,MIN(10,DR$17))*((Per_Mon="PYG")*DR$19+(Per_Mon&lt;&gt;"PYG")))*(DR$15+DR$16*P_PreInd)*INDEX(IdxSal_O,1,MIN(10,DR$17))*(1+P_Cargas)+DR$81*P_Alim*DR$19</f>
        <v>8959.98771891781</v>
      </c>
      <c r="DS82" s="34" t="n">
        <f aca="false">SUMPRODUCT((Per_Clase="Administración")*Sal_O*INDEX(Dot_O,0,MIN(10,DS$17))*((Per_Mon="PYG")*DS$19+(Per_Mon&lt;&gt;"PYG")))*(DS$15+DS$16*P_PreInd)*INDEX(IdxSal_O,1,MIN(10,DS$17))*(1+P_Cargas)+DS$81*P_Alim*DS$19</f>
        <v>8959.98771891781</v>
      </c>
      <c r="DT82" s="34" t="n">
        <f aca="false">SUMPRODUCT((Per_Clase="Administración")*Sal_O*INDEX(Dot_O,0,MIN(10,DT$17))*((Per_Mon="PYG")*DT$19+(Per_Mon&lt;&gt;"PYG")))*(DT$15+DT$16*P_PreInd)*INDEX(IdxSal_O,1,MIN(10,DT$17))*(1+P_Cargas)+DT$81*P_Alim*DT$19</f>
        <v>8959.98771891781</v>
      </c>
      <c r="DU82" s="34" t="n">
        <f aca="false">SUMPRODUCT((Per_Clase="Administración")*Sal_O*INDEX(Dot_O,0,MIN(10,DU$17))*((Per_Mon="PYG")*DU$19+(Per_Mon&lt;&gt;"PYG")))*(DU$15+DU$16*P_PreInd)*INDEX(IdxSal_O,1,MIN(10,DU$17))*(1+P_Cargas)+DU$81*P_Alim*DU$19</f>
        <v>8959.98771891781</v>
      </c>
      <c r="DV82" s="34" t="n">
        <f aca="false">SUMPRODUCT((Per_Clase="Administración")*Sal_O*INDEX(Dot_O,0,MIN(10,DV$17))*((Per_Mon="PYG")*DV$19+(Per_Mon&lt;&gt;"PYG")))*(DV$15+DV$16*P_PreInd)*INDEX(IdxSal_O,1,MIN(10,DV$17))*(1+P_Cargas)+DV$81*P_Alim*DV$19</f>
        <v>0</v>
      </c>
      <c r="DW82" s="34" t="n">
        <f aca="false">SUMPRODUCT((Per_Clase="Administración")*Sal_O*INDEX(Dot_O,0,MIN(10,DW$17))*((Per_Mon="PYG")*DW$19+(Per_Mon&lt;&gt;"PYG")))*(DW$15+DW$16*P_PreInd)*INDEX(IdxSal_O,1,MIN(10,DW$17))*(1+P_Cargas)+DW$81*P_Alim*DW$19</f>
        <v>0</v>
      </c>
      <c r="DX82" s="34" t="n">
        <f aca="false">SUMPRODUCT((Per_Clase="Administración")*Sal_O*INDEX(Dot_O,0,MIN(10,DX$17))*((Per_Mon="PYG")*DX$19+(Per_Mon&lt;&gt;"PYG")))*(DX$15+DX$16*P_PreInd)*INDEX(IdxSal_O,1,MIN(10,DX$17))*(1+P_Cargas)+DX$81*P_Alim*DX$19</f>
        <v>0</v>
      </c>
      <c r="DY82" s="34" t="n">
        <f aca="false">SUMPRODUCT((Per_Clase="Administración")*Sal_O*INDEX(Dot_O,0,MIN(10,DY$17))*((Per_Mon="PYG")*DY$19+(Per_Mon&lt;&gt;"PYG")))*(DY$15+DY$16*P_PreInd)*INDEX(IdxSal_O,1,MIN(10,DY$17))*(1+P_Cargas)+DY$81*P_Alim*DY$19</f>
        <v>0</v>
      </c>
      <c r="DZ82" s="34" t="n">
        <f aca="false">SUMPRODUCT((Per_Clase="Administración")*Sal_O*INDEX(Dot_O,0,MIN(10,DZ$17))*((Per_Mon="PYG")*DZ$19+(Per_Mon&lt;&gt;"PYG")))*(DZ$15+DZ$16*P_PreInd)*INDEX(IdxSal_O,1,MIN(10,DZ$17))*(1+P_Cargas)+DZ$81*P_Alim*DZ$19</f>
        <v>0</v>
      </c>
      <c r="EA82" s="34" t="n">
        <f aca="false">SUMPRODUCT((Per_Clase="Administración")*Sal_O*INDEX(Dot_O,0,MIN(10,EA$17))*((Per_Mon="PYG")*EA$19+(Per_Mon&lt;&gt;"PYG")))*(EA$15+EA$16*P_PreInd)*INDEX(IdxSal_O,1,MIN(10,EA$17))*(1+P_Cargas)+EA$81*P_Alim*EA$19</f>
        <v>0</v>
      </c>
      <c r="EB82" s="34" t="n">
        <f aca="false">SUMPRODUCT((Per_Clase="Administración")*Sal_O*INDEX(Dot_O,0,MIN(10,EB$17))*((Per_Mon="PYG")*EB$19+(Per_Mon&lt;&gt;"PYG")))*(EB$15+EB$16*P_PreInd)*INDEX(IdxSal_O,1,MIN(10,EB$17))*(1+P_Cargas)+EB$81*P_Alim*EB$19</f>
        <v>0</v>
      </c>
      <c r="EC82" s="34" t="n">
        <f aca="false">SUMPRODUCT((Per_Clase="Administración")*Sal_O*INDEX(Dot_O,0,MIN(10,EC$17))*((Per_Mon="PYG")*EC$19+(Per_Mon&lt;&gt;"PYG")))*(EC$15+EC$16*P_PreInd)*INDEX(IdxSal_O,1,MIN(10,EC$17))*(1+P_Cargas)+EC$81*P_Alim*EC$19</f>
        <v>0</v>
      </c>
      <c r="ED82" s="34" t="n">
        <f aca="false">SUMPRODUCT((Per_Clase="Administración")*Sal_O*INDEX(Dot_O,0,MIN(10,ED$17))*((Per_Mon="PYG")*ED$19+(Per_Mon&lt;&gt;"PYG")))*(ED$15+ED$16*P_PreInd)*INDEX(IdxSal_O,1,MIN(10,ED$17))*(1+P_Cargas)+ED$81*P_Alim*ED$19</f>
        <v>0</v>
      </c>
      <c r="EE82" s="34" t="n">
        <f aca="false">SUMPRODUCT((Per_Clase="Administración")*Sal_O*INDEX(Dot_O,0,MIN(10,EE$17))*((Per_Mon="PYG")*EE$19+(Per_Mon&lt;&gt;"PYG")))*(EE$15+EE$16*P_PreInd)*INDEX(IdxSal_O,1,MIN(10,EE$17))*(1+P_Cargas)+EE$81*P_Alim*EE$19</f>
        <v>0</v>
      </c>
      <c r="EF82" s="34" t="n">
        <f aca="false">SUMPRODUCT((Per_Clase="Administración")*Sal_O*INDEX(Dot_O,0,MIN(10,EF$17))*((Per_Mon="PYG")*EF$19+(Per_Mon&lt;&gt;"PYG")))*(EF$15+EF$16*P_PreInd)*INDEX(IdxSal_O,1,MIN(10,EF$17))*(1+P_Cargas)+EF$81*P_Alim*EF$19</f>
        <v>0</v>
      </c>
      <c r="EG82" s="34" t="n">
        <f aca="false">SUMPRODUCT((Per_Clase="Administración")*Sal_O*INDEX(Dot_O,0,MIN(10,EG$17))*((Per_Mon="PYG")*EG$19+(Per_Mon&lt;&gt;"PYG")))*(EG$15+EG$16*P_PreInd)*INDEX(IdxSal_O,1,MIN(10,EG$17))*(1+P_Cargas)+EG$81*P_Alim*EG$19</f>
        <v>0</v>
      </c>
      <c r="EH82" s="34" t="n">
        <f aca="false">SUMPRODUCT((Per_Clase="Administración")*Sal_O*INDEX(Dot_O,0,MIN(10,EH$17))*((Per_Mon="PYG")*EH$19+(Per_Mon&lt;&gt;"PYG")))*(EH$15+EH$16*P_PreInd)*INDEX(IdxSal_O,1,MIN(10,EH$17))*(1+P_Cargas)+EH$81*P_Alim*EH$19</f>
        <v>0</v>
      </c>
      <c r="EI82" s="34" t="n">
        <f aca="false">SUMPRODUCT((Per_Clase="Administración")*Sal_O*INDEX(Dot_O,0,MIN(10,EI$17))*((Per_Mon="PYG")*EI$19+(Per_Mon&lt;&gt;"PYG")))*(EI$15+EI$16*P_PreInd)*INDEX(IdxSal_O,1,MIN(10,EI$17))*(1+P_Cargas)+EI$81*P_Alim*EI$19</f>
        <v>0</v>
      </c>
      <c r="EJ82" s="34" t="n">
        <f aca="false">SUMPRODUCT((Per_Clase="Administración")*Sal_O*INDEX(Dot_O,0,MIN(10,EJ$17))*((Per_Mon="PYG")*EJ$19+(Per_Mon&lt;&gt;"PYG")))*(EJ$15+EJ$16*P_PreInd)*INDEX(IdxSal_O,1,MIN(10,EJ$17))*(1+P_Cargas)+EJ$81*P_Alim*EJ$19</f>
        <v>0</v>
      </c>
      <c r="EK82" s="34" t="n">
        <f aca="false">SUMPRODUCT((Per_Clase="Administración")*Sal_O*INDEX(Dot_O,0,MIN(10,EK$17))*((Per_Mon="PYG")*EK$19+(Per_Mon&lt;&gt;"PYG")))*(EK$15+EK$16*P_PreInd)*INDEX(IdxSal_O,1,MIN(10,EK$17))*(1+P_Cargas)+EK$81*P_Alim*EK$19</f>
        <v>0</v>
      </c>
      <c r="EL82" s="34" t="n">
        <f aca="false">SUMPRODUCT((Per_Clase="Administración")*Sal_O*INDEX(Dot_O,0,MIN(10,EL$17))*((Per_Mon="PYG")*EL$19+(Per_Mon&lt;&gt;"PYG")))*(EL$15+EL$16*P_PreInd)*INDEX(IdxSal_O,1,MIN(10,EL$17))*(1+P_Cargas)+EL$81*P_Alim*EL$19</f>
        <v>0</v>
      </c>
      <c r="EM82" s="34" t="n">
        <f aca="false">SUMPRODUCT((Per_Clase="Administración")*Sal_O*INDEX(Dot_O,0,MIN(10,EM$17))*((Per_Mon="PYG")*EM$19+(Per_Mon&lt;&gt;"PYG")))*(EM$15+EM$16*P_PreInd)*INDEX(IdxSal_O,1,MIN(10,EM$17))*(1+P_Cargas)+EM$81*P_Alim*EM$19</f>
        <v>0</v>
      </c>
      <c r="EN82" s="34" t="n">
        <f aca="false">SUMPRODUCT((Per_Clase="Administración")*Sal_O*INDEX(Dot_O,0,MIN(10,EN$17))*((Per_Mon="PYG")*EN$19+(Per_Mon&lt;&gt;"PYG")))*(EN$15+EN$16*P_PreInd)*INDEX(IdxSal_O,1,MIN(10,EN$17))*(1+P_Cargas)+EN$81*P_Alim*EN$19</f>
        <v>0</v>
      </c>
      <c r="EO82" s="34" t="n">
        <f aca="false">SUMPRODUCT((Per_Clase="Administración")*Sal_O*INDEX(Dot_O,0,MIN(10,EO$17))*((Per_Mon="PYG")*EO$19+(Per_Mon&lt;&gt;"PYG")))*(EO$15+EO$16*P_PreInd)*INDEX(IdxSal_O,1,MIN(10,EO$17))*(1+P_Cargas)+EO$81*P_Alim*EO$19</f>
        <v>0</v>
      </c>
      <c r="EP82" s="34" t="n">
        <f aca="false">SUMPRODUCT((Per_Clase="Administración")*Sal_O*INDEX(Dot_O,0,MIN(10,EP$17))*((Per_Mon="PYG")*EP$19+(Per_Mon&lt;&gt;"PYG")))*(EP$15+EP$16*P_PreInd)*INDEX(IdxSal_O,1,MIN(10,EP$17))*(1+P_Cargas)+EP$81*P_Alim*EP$19</f>
        <v>0</v>
      </c>
      <c r="EQ82" s="34" t="n">
        <f aca="false">SUMPRODUCT((Per_Clase="Administración")*Sal_O*INDEX(Dot_O,0,MIN(10,EQ$17))*((Per_Mon="PYG")*EQ$19+(Per_Mon&lt;&gt;"PYG")))*(EQ$15+EQ$16*P_PreInd)*INDEX(IdxSal_O,1,MIN(10,EQ$17))*(1+P_Cargas)+EQ$81*P_Alim*EQ$19</f>
        <v>0</v>
      </c>
      <c r="ER82" s="34" t="n">
        <f aca="false">SUMPRODUCT((Per_Clase="Administración")*Sal_O*INDEX(Dot_O,0,MIN(10,ER$17))*((Per_Mon="PYG")*ER$19+(Per_Mon&lt;&gt;"PYG")))*(ER$15+ER$16*P_PreInd)*INDEX(IdxSal_O,1,MIN(10,ER$17))*(1+P_Cargas)+ER$81*P_Alim*ER$19</f>
        <v>0</v>
      </c>
      <c r="ES82" s="34" t="n">
        <f aca="false">SUMPRODUCT((Per_Clase="Administración")*Sal_O*INDEX(Dot_O,0,MIN(10,ES$17))*((Per_Mon="PYG")*ES$19+(Per_Mon&lt;&gt;"PYG")))*(ES$15+ES$16*P_PreInd)*INDEX(IdxSal_O,1,MIN(10,ES$17))*(1+P_Cargas)+ES$81*P_Alim*ES$19</f>
        <v>0</v>
      </c>
    </row>
    <row r="83" customFormat="false" ht="15" hidden="false" customHeight="false" outlineLevel="0" collapsed="false">
      <c r="A83" s="2" t="s">
        <v>658</v>
      </c>
      <c r="B83" s="6" t="s">
        <v>659</v>
      </c>
      <c r="C83" s="6" t="s">
        <v>250</v>
      </c>
      <c r="E83" s="40" t="n">
        <f aca="false">SUM(F83:ES83)</f>
        <v>522395.342346116</v>
      </c>
      <c r="F83" s="34" t="n">
        <f aca="false">P_Pkg*(F$73+F$74+F$75+F$78)</f>
        <v>2756.29058797123</v>
      </c>
      <c r="G83" s="34" t="n">
        <f aca="false">P_Pkg*(G$73+G$74+G$75+G$78)</f>
        <v>2756.29058797123</v>
      </c>
      <c r="H83" s="34" t="n">
        <f aca="false">P_Pkg*(H$73+H$74+H$75+H$78)</f>
        <v>2756.29058797123</v>
      </c>
      <c r="I83" s="34" t="n">
        <f aca="false">P_Pkg*(I$73+I$74+I$75+I$78)</f>
        <v>2756.29058797123</v>
      </c>
      <c r="J83" s="34" t="n">
        <f aca="false">P_Pkg*(J$73+J$74+J$75+J$78)</f>
        <v>2756.29058797123</v>
      </c>
      <c r="K83" s="34" t="n">
        <f aca="false">P_Pkg*(K$73+K$74+K$75+K$78)</f>
        <v>2756.29058797123</v>
      </c>
      <c r="L83" s="34" t="n">
        <f aca="false">P_Pkg*(L$73+L$74+L$75+L$78)</f>
        <v>2756.29058797123</v>
      </c>
      <c r="M83" s="34" t="n">
        <f aca="false">P_Pkg*(M$73+M$74+M$75+M$78)</f>
        <v>2756.29058797123</v>
      </c>
      <c r="N83" s="34" t="n">
        <f aca="false">P_Pkg*(N$73+N$74+N$75+N$78)</f>
        <v>2756.29058797123</v>
      </c>
      <c r="O83" s="34" t="n">
        <f aca="false">P_Pkg*(O$73+O$74+O$75+O$78)</f>
        <v>2756.29058797123</v>
      </c>
      <c r="P83" s="34" t="n">
        <f aca="false">P_Pkg*(P$73+P$74+P$75+P$78)</f>
        <v>2756.29058797123</v>
      </c>
      <c r="Q83" s="34" t="n">
        <f aca="false">P_Pkg*(Q$73+Q$74+Q$75+Q$78)</f>
        <v>2756.29058797123</v>
      </c>
      <c r="R83" s="34" t="n">
        <f aca="false">P_Pkg*(R$73+R$74+R$75+R$78)</f>
        <v>3410.92767047123</v>
      </c>
      <c r="S83" s="34" t="n">
        <f aca="false">P_Pkg*(S$73+S$74+S$75+S$78)</f>
        <v>3410.92767047123</v>
      </c>
      <c r="T83" s="34" t="n">
        <f aca="false">P_Pkg*(T$73+T$74+T$75+T$78)</f>
        <v>3410.92767047123</v>
      </c>
      <c r="U83" s="34" t="n">
        <f aca="false">P_Pkg*(U$73+U$74+U$75+U$78)</f>
        <v>3410.92767047123</v>
      </c>
      <c r="V83" s="34" t="n">
        <f aca="false">P_Pkg*(V$73+V$74+V$75+V$78)</f>
        <v>3410.92767047123</v>
      </c>
      <c r="W83" s="34" t="n">
        <f aca="false">P_Pkg*(W$73+W$74+W$75+W$78)</f>
        <v>3410.92767047123</v>
      </c>
      <c r="X83" s="34" t="n">
        <f aca="false">P_Pkg*(X$73+X$74+X$75+X$78)</f>
        <v>3410.92767047123</v>
      </c>
      <c r="Y83" s="34" t="n">
        <f aca="false">P_Pkg*(Y$73+Y$74+Y$75+Y$78)</f>
        <v>3410.92767047123</v>
      </c>
      <c r="Z83" s="34" t="n">
        <f aca="false">P_Pkg*(Z$73+Z$74+Z$75+Z$78)</f>
        <v>3410.92767047123</v>
      </c>
      <c r="AA83" s="34" t="n">
        <f aca="false">P_Pkg*(AA$73+AA$74+AA$75+AA$78)</f>
        <v>3410.92767047123</v>
      </c>
      <c r="AB83" s="34" t="n">
        <f aca="false">P_Pkg*(AB$73+AB$74+AB$75+AB$78)</f>
        <v>3410.92767047123</v>
      </c>
      <c r="AC83" s="34" t="n">
        <f aca="false">P_Pkg*(AC$73+AC$74+AC$75+AC$78)</f>
        <v>3410.92767047123</v>
      </c>
      <c r="AD83" s="34" t="n">
        <f aca="false">P_Pkg*(AD$73+AD$74+AD$75+AD$78)</f>
        <v>4098.81333140891</v>
      </c>
      <c r="AE83" s="34" t="n">
        <f aca="false">P_Pkg*(AE$73+AE$74+AE$75+AE$78)</f>
        <v>4098.81333140891</v>
      </c>
      <c r="AF83" s="34" t="n">
        <f aca="false">P_Pkg*(AF$73+AF$74+AF$75+AF$78)</f>
        <v>4098.81333140891</v>
      </c>
      <c r="AG83" s="34" t="n">
        <f aca="false">P_Pkg*(AG$73+AG$74+AG$75+AG$78)</f>
        <v>4098.81333140891</v>
      </c>
      <c r="AH83" s="34" t="n">
        <f aca="false">P_Pkg*(AH$73+AH$74+AH$75+AH$78)</f>
        <v>4098.81333140891</v>
      </c>
      <c r="AI83" s="34" t="n">
        <f aca="false">P_Pkg*(AI$73+AI$74+AI$75+AI$78)</f>
        <v>4098.81333140891</v>
      </c>
      <c r="AJ83" s="34" t="n">
        <f aca="false">P_Pkg*(AJ$73+AJ$74+AJ$75+AJ$78)</f>
        <v>4098.81333140891</v>
      </c>
      <c r="AK83" s="34" t="n">
        <f aca="false">P_Pkg*(AK$73+AK$74+AK$75+AK$78)</f>
        <v>4098.81333140891</v>
      </c>
      <c r="AL83" s="34" t="n">
        <f aca="false">P_Pkg*(AL$73+AL$74+AL$75+AL$78)</f>
        <v>4098.81333140891</v>
      </c>
      <c r="AM83" s="34" t="n">
        <f aca="false">P_Pkg*(AM$73+AM$74+AM$75+AM$78)</f>
        <v>4098.81333140891</v>
      </c>
      <c r="AN83" s="34" t="n">
        <f aca="false">P_Pkg*(AN$73+AN$74+AN$75+AN$78)</f>
        <v>4098.81333140891</v>
      </c>
      <c r="AO83" s="34" t="n">
        <f aca="false">P_Pkg*(AO$73+AO$74+AO$75+AO$78)</f>
        <v>4098.81333140891</v>
      </c>
      <c r="AP83" s="34" t="n">
        <f aca="false">P_Pkg*(AP$73+AP$74+AP$75+AP$78)</f>
        <v>4661.52810532788</v>
      </c>
      <c r="AQ83" s="34" t="n">
        <f aca="false">P_Pkg*(AQ$73+AQ$74+AQ$75+AQ$78)</f>
        <v>4661.52810532788</v>
      </c>
      <c r="AR83" s="34" t="n">
        <f aca="false">P_Pkg*(AR$73+AR$74+AR$75+AR$78)</f>
        <v>4661.52810532788</v>
      </c>
      <c r="AS83" s="34" t="n">
        <f aca="false">P_Pkg*(AS$73+AS$74+AS$75+AS$78)</f>
        <v>4661.52810532788</v>
      </c>
      <c r="AT83" s="34" t="n">
        <f aca="false">P_Pkg*(AT$73+AT$74+AT$75+AT$78)</f>
        <v>4661.52810532788</v>
      </c>
      <c r="AU83" s="34" t="n">
        <f aca="false">P_Pkg*(AU$73+AU$74+AU$75+AU$78)</f>
        <v>4661.52810532788</v>
      </c>
      <c r="AV83" s="34" t="n">
        <f aca="false">P_Pkg*(AV$73+AV$74+AV$75+AV$78)</f>
        <v>4661.52810532788</v>
      </c>
      <c r="AW83" s="34" t="n">
        <f aca="false">P_Pkg*(AW$73+AW$74+AW$75+AW$78)</f>
        <v>4661.52810532788</v>
      </c>
      <c r="AX83" s="34" t="n">
        <f aca="false">P_Pkg*(AX$73+AX$74+AX$75+AX$78)</f>
        <v>4661.52810532788</v>
      </c>
      <c r="AY83" s="34" t="n">
        <f aca="false">P_Pkg*(AY$73+AY$74+AY$75+AY$78)</f>
        <v>4661.52810532788</v>
      </c>
      <c r="AZ83" s="34" t="n">
        <f aca="false">P_Pkg*(AZ$73+AZ$74+AZ$75+AZ$78)</f>
        <v>4661.52810532788</v>
      </c>
      <c r="BA83" s="34" t="n">
        <f aca="false">P_Pkg*(BA$73+BA$74+BA$75+BA$78)</f>
        <v>4661.52810532788</v>
      </c>
      <c r="BB83" s="34" t="n">
        <f aca="false">P_Pkg*(BB$73+BB$74+BB$75+BB$78)</f>
        <v>4709.89502646909</v>
      </c>
      <c r="BC83" s="34" t="n">
        <f aca="false">P_Pkg*(BC$73+BC$74+BC$75+BC$78)</f>
        <v>4709.89502646909</v>
      </c>
      <c r="BD83" s="34" t="n">
        <f aca="false">P_Pkg*(BD$73+BD$74+BD$75+BD$78)</f>
        <v>4709.89502646909</v>
      </c>
      <c r="BE83" s="34" t="n">
        <f aca="false">P_Pkg*(BE$73+BE$74+BE$75+BE$78)</f>
        <v>4709.89502646909</v>
      </c>
      <c r="BF83" s="34" t="n">
        <f aca="false">P_Pkg*(BF$73+BF$74+BF$75+BF$78)</f>
        <v>4709.89502646909</v>
      </c>
      <c r="BG83" s="34" t="n">
        <f aca="false">P_Pkg*(BG$73+BG$74+BG$75+BG$78)</f>
        <v>4709.89502646909</v>
      </c>
      <c r="BH83" s="34" t="n">
        <f aca="false">P_Pkg*(BH$73+BH$74+BH$75+BH$78)</f>
        <v>4709.89502646909</v>
      </c>
      <c r="BI83" s="34" t="n">
        <f aca="false">P_Pkg*(BI$73+BI$74+BI$75+BI$78)</f>
        <v>4709.89502646909</v>
      </c>
      <c r="BJ83" s="34" t="n">
        <f aca="false">P_Pkg*(BJ$73+BJ$74+BJ$75+BJ$78)</f>
        <v>4709.89502646909</v>
      </c>
      <c r="BK83" s="34" t="n">
        <f aca="false">P_Pkg*(BK$73+BK$74+BK$75+BK$78)</f>
        <v>4709.89502646909</v>
      </c>
      <c r="BL83" s="34" t="n">
        <f aca="false">P_Pkg*(BL$73+BL$74+BL$75+BL$78)</f>
        <v>4709.89502646909</v>
      </c>
      <c r="BM83" s="34" t="n">
        <f aca="false">P_Pkg*(BM$73+BM$74+BM$75+BM$78)</f>
        <v>4709.89502646909</v>
      </c>
      <c r="BN83" s="34" t="n">
        <f aca="false">P_Pkg*(BN$73+BN$74+BN$75+BN$78)</f>
        <v>4732.65693843283</v>
      </c>
      <c r="BO83" s="34" t="n">
        <f aca="false">P_Pkg*(BO$73+BO$74+BO$75+BO$78)</f>
        <v>4732.65693843283</v>
      </c>
      <c r="BP83" s="34" t="n">
        <f aca="false">P_Pkg*(BP$73+BP$74+BP$75+BP$78)</f>
        <v>4732.65693843283</v>
      </c>
      <c r="BQ83" s="34" t="n">
        <f aca="false">P_Pkg*(BQ$73+BQ$74+BQ$75+BQ$78)</f>
        <v>4732.65693843283</v>
      </c>
      <c r="BR83" s="34" t="n">
        <f aca="false">P_Pkg*(BR$73+BR$74+BR$75+BR$78)</f>
        <v>4732.65693843283</v>
      </c>
      <c r="BS83" s="34" t="n">
        <f aca="false">P_Pkg*(BS$73+BS$74+BS$75+BS$78)</f>
        <v>4732.65693843283</v>
      </c>
      <c r="BT83" s="34" t="n">
        <f aca="false">P_Pkg*(BT$73+BT$74+BT$75+BT$78)</f>
        <v>4732.65693843283</v>
      </c>
      <c r="BU83" s="34" t="n">
        <f aca="false">P_Pkg*(BU$73+BU$74+BU$75+BU$78)</f>
        <v>4732.65693843283</v>
      </c>
      <c r="BV83" s="34" t="n">
        <f aca="false">P_Pkg*(BV$73+BV$74+BV$75+BV$78)</f>
        <v>4732.65693843283</v>
      </c>
      <c r="BW83" s="34" t="n">
        <f aca="false">P_Pkg*(BW$73+BW$74+BW$75+BW$78)</f>
        <v>4732.65693843283</v>
      </c>
      <c r="BX83" s="34" t="n">
        <f aca="false">P_Pkg*(BX$73+BX$74+BX$75+BX$78)</f>
        <v>4732.65693843283</v>
      </c>
      <c r="BY83" s="34" t="n">
        <f aca="false">P_Pkg*(BY$73+BY$74+BY$75+BY$78)</f>
        <v>4732.65693843283</v>
      </c>
      <c r="BZ83" s="34" t="n">
        <f aca="false">P_Pkg*(BZ$73+BZ$74+BZ$75+BZ$78)</f>
        <v>4755.64646951621</v>
      </c>
      <c r="CA83" s="34" t="n">
        <f aca="false">P_Pkg*(CA$73+CA$74+CA$75+CA$78)</f>
        <v>4755.64646951621</v>
      </c>
      <c r="CB83" s="34" t="n">
        <f aca="false">P_Pkg*(CB$73+CB$74+CB$75+CB$78)</f>
        <v>4755.64646951621</v>
      </c>
      <c r="CC83" s="34" t="n">
        <f aca="false">P_Pkg*(CC$73+CC$74+CC$75+CC$78)</f>
        <v>4755.64646951621</v>
      </c>
      <c r="CD83" s="34" t="n">
        <f aca="false">P_Pkg*(CD$73+CD$74+CD$75+CD$78)</f>
        <v>4755.64646951621</v>
      </c>
      <c r="CE83" s="34" t="n">
        <f aca="false">P_Pkg*(CE$73+CE$74+CE$75+CE$78)</f>
        <v>4755.64646951621</v>
      </c>
      <c r="CF83" s="34" t="n">
        <f aca="false">P_Pkg*(CF$73+CF$74+CF$75+CF$78)</f>
        <v>4755.64646951621</v>
      </c>
      <c r="CG83" s="34" t="n">
        <f aca="false">P_Pkg*(CG$73+CG$74+CG$75+CG$78)</f>
        <v>4755.64646951621</v>
      </c>
      <c r="CH83" s="34" t="n">
        <f aca="false">P_Pkg*(CH$73+CH$74+CH$75+CH$78)</f>
        <v>4755.64646951621</v>
      </c>
      <c r="CI83" s="34" t="n">
        <f aca="false">P_Pkg*(CI$73+CI$74+CI$75+CI$78)</f>
        <v>4755.64646951621</v>
      </c>
      <c r="CJ83" s="34" t="n">
        <f aca="false">P_Pkg*(CJ$73+CJ$74+CJ$75+CJ$78)</f>
        <v>4755.64646951621</v>
      </c>
      <c r="CK83" s="34" t="n">
        <f aca="false">P_Pkg*(CK$73+CK$74+CK$75+CK$78)</f>
        <v>4755.64646951621</v>
      </c>
      <c r="CL83" s="34" t="n">
        <f aca="false">P_Pkg*(CL$73+CL$74+CL$75+CL$78)</f>
        <v>4778.86589591041</v>
      </c>
      <c r="CM83" s="34" t="n">
        <f aca="false">P_Pkg*(CM$73+CM$74+CM$75+CM$78)</f>
        <v>4778.86589591041</v>
      </c>
      <c r="CN83" s="34" t="n">
        <f aca="false">P_Pkg*(CN$73+CN$74+CN$75+CN$78)</f>
        <v>4778.86589591041</v>
      </c>
      <c r="CO83" s="34" t="n">
        <f aca="false">P_Pkg*(CO$73+CO$74+CO$75+CO$78)</f>
        <v>4778.86589591041</v>
      </c>
      <c r="CP83" s="34" t="n">
        <f aca="false">P_Pkg*(CP$73+CP$74+CP$75+CP$78)</f>
        <v>4778.86589591041</v>
      </c>
      <c r="CQ83" s="34" t="n">
        <f aca="false">P_Pkg*(CQ$73+CQ$74+CQ$75+CQ$78)</f>
        <v>4778.86589591041</v>
      </c>
      <c r="CR83" s="34" t="n">
        <f aca="false">P_Pkg*(CR$73+CR$74+CR$75+CR$78)</f>
        <v>4778.86589591041</v>
      </c>
      <c r="CS83" s="34" t="n">
        <f aca="false">P_Pkg*(CS$73+CS$74+CS$75+CS$78)</f>
        <v>4778.86589591041</v>
      </c>
      <c r="CT83" s="34" t="n">
        <f aca="false">P_Pkg*(CT$73+CT$74+CT$75+CT$78)</f>
        <v>4778.86589591041</v>
      </c>
      <c r="CU83" s="34" t="n">
        <f aca="false">P_Pkg*(CU$73+CU$74+CU$75+CU$78)</f>
        <v>4778.86589591041</v>
      </c>
      <c r="CV83" s="34" t="n">
        <f aca="false">P_Pkg*(CV$73+CV$74+CV$75+CV$78)</f>
        <v>4778.86589591041</v>
      </c>
      <c r="CW83" s="34" t="n">
        <f aca="false">P_Pkg*(CW$73+CW$74+CW$75+CW$78)</f>
        <v>4778.86589591041</v>
      </c>
      <c r="CX83" s="34" t="n">
        <f aca="false">P_Pkg*(CX$73+CX$74+CX$75+CX$78)</f>
        <v>4802.31751656856</v>
      </c>
      <c r="CY83" s="34" t="n">
        <f aca="false">P_Pkg*(CY$73+CY$74+CY$75+CY$78)</f>
        <v>4802.31751656856</v>
      </c>
      <c r="CZ83" s="34" t="n">
        <f aca="false">P_Pkg*(CZ$73+CZ$74+CZ$75+CZ$78)</f>
        <v>4802.31751656856</v>
      </c>
      <c r="DA83" s="34" t="n">
        <f aca="false">P_Pkg*(DA$73+DA$74+DA$75+DA$78)</f>
        <v>4802.31751656856</v>
      </c>
      <c r="DB83" s="34" t="n">
        <f aca="false">P_Pkg*(DB$73+DB$74+DB$75+DB$78)</f>
        <v>4802.31751656856</v>
      </c>
      <c r="DC83" s="34" t="n">
        <f aca="false">P_Pkg*(DC$73+DC$74+DC$75+DC$78)</f>
        <v>4802.31751656856</v>
      </c>
      <c r="DD83" s="34" t="n">
        <f aca="false">P_Pkg*(DD$73+DD$74+DD$75+DD$78)</f>
        <v>4802.31751656856</v>
      </c>
      <c r="DE83" s="34" t="n">
        <f aca="false">P_Pkg*(DE$73+DE$74+DE$75+DE$78)</f>
        <v>4802.31751656856</v>
      </c>
      <c r="DF83" s="34" t="n">
        <f aca="false">P_Pkg*(DF$73+DF$74+DF$75+DF$78)</f>
        <v>4802.31751656856</v>
      </c>
      <c r="DG83" s="34" t="n">
        <f aca="false">P_Pkg*(DG$73+DG$74+DG$75+DG$78)</f>
        <v>4802.31751656856</v>
      </c>
      <c r="DH83" s="34" t="n">
        <f aca="false">P_Pkg*(DH$73+DH$74+DH$75+DH$78)</f>
        <v>4802.31751656856</v>
      </c>
      <c r="DI83" s="34" t="n">
        <f aca="false">P_Pkg*(DI$73+DI$74+DI$75+DI$78)</f>
        <v>4802.31751656856</v>
      </c>
      <c r="DJ83" s="34" t="n">
        <f aca="false">P_Pkg*(DJ$73+DJ$74+DJ$75+DJ$78)</f>
        <v>4826.0036534333</v>
      </c>
      <c r="DK83" s="34" t="n">
        <f aca="false">P_Pkg*(DK$73+DK$74+DK$75+DK$78)</f>
        <v>4826.0036534333</v>
      </c>
      <c r="DL83" s="34" t="n">
        <f aca="false">P_Pkg*(DL$73+DL$74+DL$75+DL$78)</f>
        <v>4826.0036534333</v>
      </c>
      <c r="DM83" s="34" t="n">
        <f aca="false">P_Pkg*(DM$73+DM$74+DM$75+DM$78)</f>
        <v>4826.0036534333</v>
      </c>
      <c r="DN83" s="34" t="n">
        <f aca="false">P_Pkg*(DN$73+DN$74+DN$75+DN$78)</f>
        <v>4826.0036534333</v>
      </c>
      <c r="DO83" s="34" t="n">
        <f aca="false">P_Pkg*(DO$73+DO$74+DO$75+DO$78)</f>
        <v>4826.0036534333</v>
      </c>
      <c r="DP83" s="34" t="n">
        <f aca="false">P_Pkg*(DP$73+DP$74+DP$75+DP$78)</f>
        <v>4826.0036534333</v>
      </c>
      <c r="DQ83" s="34" t="n">
        <f aca="false">P_Pkg*(DQ$73+DQ$74+DQ$75+DQ$78)</f>
        <v>4826.0036534333</v>
      </c>
      <c r="DR83" s="34" t="n">
        <f aca="false">P_Pkg*(DR$73+DR$74+DR$75+DR$78)</f>
        <v>4826.0036534333</v>
      </c>
      <c r="DS83" s="34" t="n">
        <f aca="false">P_Pkg*(DS$73+DS$74+DS$75+DS$78)</f>
        <v>4826.0036534333</v>
      </c>
      <c r="DT83" s="34" t="n">
        <f aca="false">P_Pkg*(DT$73+DT$74+DT$75+DT$78)</f>
        <v>4826.0036534333</v>
      </c>
      <c r="DU83" s="34" t="n">
        <f aca="false">P_Pkg*(DU$73+DU$74+DU$75+DU$78)</f>
        <v>4826.0036534333</v>
      </c>
      <c r="DV83" s="34" t="n">
        <f aca="false">P_Pkg*(DV$73+DV$74+DV$75+DV$78)</f>
        <v>0</v>
      </c>
      <c r="DW83" s="34" t="n">
        <f aca="false">P_Pkg*(DW$73+DW$74+DW$75+DW$78)</f>
        <v>0</v>
      </c>
      <c r="DX83" s="34" t="n">
        <f aca="false">P_Pkg*(DX$73+DX$74+DX$75+DX$78)</f>
        <v>0</v>
      </c>
      <c r="DY83" s="34" t="n">
        <f aca="false">P_Pkg*(DY$73+DY$74+DY$75+DY$78)</f>
        <v>0</v>
      </c>
      <c r="DZ83" s="34" t="n">
        <f aca="false">P_Pkg*(DZ$73+DZ$74+DZ$75+DZ$78)</f>
        <v>0</v>
      </c>
      <c r="EA83" s="34" t="n">
        <f aca="false">P_Pkg*(EA$73+EA$74+EA$75+EA$78)</f>
        <v>0</v>
      </c>
      <c r="EB83" s="34" t="n">
        <f aca="false">P_Pkg*(EB$73+EB$74+EB$75+EB$78)</f>
        <v>0</v>
      </c>
      <c r="EC83" s="34" t="n">
        <f aca="false">P_Pkg*(EC$73+EC$74+EC$75+EC$78)</f>
        <v>0</v>
      </c>
      <c r="ED83" s="34" t="n">
        <f aca="false">P_Pkg*(ED$73+ED$74+ED$75+ED$78)</f>
        <v>0</v>
      </c>
      <c r="EE83" s="34" t="n">
        <f aca="false">P_Pkg*(EE$73+EE$74+EE$75+EE$78)</f>
        <v>0</v>
      </c>
      <c r="EF83" s="34" t="n">
        <f aca="false">P_Pkg*(EF$73+EF$74+EF$75+EF$78)</f>
        <v>0</v>
      </c>
      <c r="EG83" s="34" t="n">
        <f aca="false">P_Pkg*(EG$73+EG$74+EG$75+EG$78)</f>
        <v>0</v>
      </c>
      <c r="EH83" s="34" t="n">
        <f aca="false">P_Pkg*(EH$73+EH$74+EH$75+EH$78)</f>
        <v>0</v>
      </c>
      <c r="EI83" s="34" t="n">
        <f aca="false">P_Pkg*(EI$73+EI$74+EI$75+EI$78)</f>
        <v>0</v>
      </c>
      <c r="EJ83" s="34" t="n">
        <f aca="false">P_Pkg*(EJ$73+EJ$74+EJ$75+EJ$78)</f>
        <v>0</v>
      </c>
      <c r="EK83" s="34" t="n">
        <f aca="false">P_Pkg*(EK$73+EK$74+EK$75+EK$78)</f>
        <v>0</v>
      </c>
      <c r="EL83" s="34" t="n">
        <f aca="false">P_Pkg*(EL$73+EL$74+EL$75+EL$78)</f>
        <v>0</v>
      </c>
      <c r="EM83" s="34" t="n">
        <f aca="false">P_Pkg*(EM$73+EM$74+EM$75+EM$78)</f>
        <v>0</v>
      </c>
      <c r="EN83" s="34" t="n">
        <f aca="false">P_Pkg*(EN$73+EN$74+EN$75+EN$78)</f>
        <v>0</v>
      </c>
      <c r="EO83" s="34" t="n">
        <f aca="false">P_Pkg*(EO$73+EO$74+EO$75+EO$78)</f>
        <v>0</v>
      </c>
      <c r="EP83" s="34" t="n">
        <f aca="false">P_Pkg*(EP$73+EP$74+EP$75+EP$78)</f>
        <v>0</v>
      </c>
      <c r="EQ83" s="34" t="n">
        <f aca="false">P_Pkg*(EQ$73+EQ$74+EQ$75+EQ$78)</f>
        <v>0</v>
      </c>
      <c r="ER83" s="34" t="n">
        <f aca="false">P_Pkg*(ER$73+ER$74+ER$75+ER$78)</f>
        <v>0</v>
      </c>
      <c r="ES83" s="34" t="n">
        <f aca="false">P_Pkg*(ES$73+ES$74+ES$75+ES$78)</f>
        <v>0</v>
      </c>
    </row>
    <row r="84" customFormat="false" ht="15" hidden="false" customHeight="false" outlineLevel="0" collapsed="false">
      <c r="A84" s="2" t="s">
        <v>660</v>
      </c>
      <c r="B84" s="6" t="s">
        <v>661</v>
      </c>
      <c r="C84" s="6" t="s">
        <v>250</v>
      </c>
      <c r="E84" s="40" t="n">
        <f aca="false">SUM(F84:ES84)</f>
        <v>81222.4477216454</v>
      </c>
      <c r="F84" s="34" t="n">
        <f aca="false">(P_SegV+P_ComV)*F$71</f>
        <v>404.166666666667</v>
      </c>
      <c r="G84" s="34" t="n">
        <f aca="false">(P_SegV+P_ComV)*G$71</f>
        <v>404.166666666667</v>
      </c>
      <c r="H84" s="34" t="n">
        <f aca="false">(P_SegV+P_ComV)*H$71</f>
        <v>404.166666666667</v>
      </c>
      <c r="I84" s="34" t="n">
        <f aca="false">(P_SegV+P_ComV)*I$71</f>
        <v>404.166666666667</v>
      </c>
      <c r="J84" s="34" t="n">
        <f aca="false">(P_SegV+P_ComV)*J$71</f>
        <v>404.166666666667</v>
      </c>
      <c r="K84" s="34" t="n">
        <f aca="false">(P_SegV+P_ComV)*K$71</f>
        <v>404.166666666667</v>
      </c>
      <c r="L84" s="34" t="n">
        <f aca="false">(P_SegV+P_ComV)*L$71</f>
        <v>404.166666666667</v>
      </c>
      <c r="M84" s="34" t="n">
        <f aca="false">(P_SegV+P_ComV)*M$71</f>
        <v>404.166666666667</v>
      </c>
      <c r="N84" s="34" t="n">
        <f aca="false">(P_SegV+P_ComV)*N$71</f>
        <v>404.166666666667</v>
      </c>
      <c r="O84" s="34" t="n">
        <f aca="false">(P_SegV+P_ComV)*O$71</f>
        <v>404.166666666667</v>
      </c>
      <c r="P84" s="34" t="n">
        <f aca="false">(P_SegV+P_ComV)*P$71</f>
        <v>404.166666666667</v>
      </c>
      <c r="Q84" s="34" t="n">
        <f aca="false">(P_SegV+P_ComV)*Q$71</f>
        <v>404.166666666667</v>
      </c>
      <c r="R84" s="34" t="n">
        <f aca="false">(P_SegV+P_ComV)*R$71</f>
        <v>515.1</v>
      </c>
      <c r="S84" s="34" t="n">
        <f aca="false">(P_SegV+P_ComV)*S$71</f>
        <v>515.1</v>
      </c>
      <c r="T84" s="34" t="n">
        <f aca="false">(P_SegV+P_ComV)*T$71</f>
        <v>515.1</v>
      </c>
      <c r="U84" s="34" t="n">
        <f aca="false">(P_SegV+P_ComV)*U$71</f>
        <v>515.1</v>
      </c>
      <c r="V84" s="34" t="n">
        <f aca="false">(P_SegV+P_ComV)*V$71</f>
        <v>515.1</v>
      </c>
      <c r="W84" s="34" t="n">
        <f aca="false">(P_SegV+P_ComV)*W$71</f>
        <v>515.1</v>
      </c>
      <c r="X84" s="34" t="n">
        <f aca="false">(P_SegV+P_ComV)*X$71</f>
        <v>515.1</v>
      </c>
      <c r="Y84" s="34" t="n">
        <f aca="false">(P_SegV+P_ComV)*Y$71</f>
        <v>515.1</v>
      </c>
      <c r="Z84" s="34" t="n">
        <f aca="false">(P_SegV+P_ComV)*Z$71</f>
        <v>515.1</v>
      </c>
      <c r="AA84" s="34" t="n">
        <f aca="false">(P_SegV+P_ComV)*AA$71</f>
        <v>515.1</v>
      </c>
      <c r="AB84" s="34" t="n">
        <f aca="false">(P_SegV+P_ComV)*AB$71</f>
        <v>515.1</v>
      </c>
      <c r="AC84" s="34" t="n">
        <f aca="false">(P_SegV+P_ComV)*AC$71</f>
        <v>515.1</v>
      </c>
      <c r="AD84" s="34" t="n">
        <f aca="false">(P_SegV+P_ComV)*AD$71</f>
        <v>628.211583333333</v>
      </c>
      <c r="AE84" s="34" t="n">
        <f aca="false">(P_SegV+P_ComV)*AE$71</f>
        <v>628.211583333333</v>
      </c>
      <c r="AF84" s="34" t="n">
        <f aca="false">(P_SegV+P_ComV)*AF$71</f>
        <v>628.211583333333</v>
      </c>
      <c r="AG84" s="34" t="n">
        <f aca="false">(P_SegV+P_ComV)*AG$71</f>
        <v>628.211583333333</v>
      </c>
      <c r="AH84" s="34" t="n">
        <f aca="false">(P_SegV+P_ComV)*AH$71</f>
        <v>628.211583333333</v>
      </c>
      <c r="AI84" s="34" t="n">
        <f aca="false">(P_SegV+P_ComV)*AI$71</f>
        <v>628.211583333333</v>
      </c>
      <c r="AJ84" s="34" t="n">
        <f aca="false">(P_SegV+P_ComV)*AJ$71</f>
        <v>628.211583333333</v>
      </c>
      <c r="AK84" s="34" t="n">
        <f aca="false">(P_SegV+P_ComV)*AK$71</f>
        <v>628.211583333333</v>
      </c>
      <c r="AL84" s="34" t="n">
        <f aca="false">(P_SegV+P_ComV)*AL$71</f>
        <v>628.211583333333</v>
      </c>
      <c r="AM84" s="34" t="n">
        <f aca="false">(P_SegV+P_ComV)*AM$71</f>
        <v>628.211583333333</v>
      </c>
      <c r="AN84" s="34" t="n">
        <f aca="false">(P_SegV+P_ComV)*AN$71</f>
        <v>628.211583333333</v>
      </c>
      <c r="AO84" s="34" t="n">
        <f aca="false">(P_SegV+P_ComV)*AO$71</f>
        <v>628.211583333333</v>
      </c>
      <c r="AP84" s="34" t="n">
        <f aca="false">(P_SegV+P_ComV)*AP$71</f>
        <v>723.7864525</v>
      </c>
      <c r="AQ84" s="34" t="n">
        <f aca="false">(P_SegV+P_ComV)*AQ$71</f>
        <v>723.7864525</v>
      </c>
      <c r="AR84" s="34" t="n">
        <f aca="false">(P_SegV+P_ComV)*AR$71</f>
        <v>723.7864525</v>
      </c>
      <c r="AS84" s="34" t="n">
        <f aca="false">(P_SegV+P_ComV)*AS$71</f>
        <v>723.7864525</v>
      </c>
      <c r="AT84" s="34" t="n">
        <f aca="false">(P_SegV+P_ComV)*AT$71</f>
        <v>723.7864525</v>
      </c>
      <c r="AU84" s="34" t="n">
        <f aca="false">(P_SegV+P_ComV)*AU$71</f>
        <v>723.7864525</v>
      </c>
      <c r="AV84" s="34" t="n">
        <f aca="false">(P_SegV+P_ComV)*AV$71</f>
        <v>723.7864525</v>
      </c>
      <c r="AW84" s="34" t="n">
        <f aca="false">(P_SegV+P_ComV)*AW$71</f>
        <v>723.7864525</v>
      </c>
      <c r="AX84" s="34" t="n">
        <f aca="false">(P_SegV+P_ComV)*AX$71</f>
        <v>723.7864525</v>
      </c>
      <c r="AY84" s="34" t="n">
        <f aca="false">(P_SegV+P_ComV)*AY$71</f>
        <v>723.7864525</v>
      </c>
      <c r="AZ84" s="34" t="n">
        <f aca="false">(P_SegV+P_ComV)*AZ$71</f>
        <v>723.7864525</v>
      </c>
      <c r="BA84" s="34" t="n">
        <f aca="false">(P_SegV+P_ComV)*BA$71</f>
        <v>723.7864525</v>
      </c>
      <c r="BB84" s="34" t="n">
        <f aca="false">(P_SegV+P_ComV)*BB$71</f>
        <v>731.024317025</v>
      </c>
      <c r="BC84" s="34" t="n">
        <f aca="false">(P_SegV+P_ComV)*BC$71</f>
        <v>731.024317025</v>
      </c>
      <c r="BD84" s="34" t="n">
        <f aca="false">(P_SegV+P_ComV)*BD$71</f>
        <v>731.024317025</v>
      </c>
      <c r="BE84" s="34" t="n">
        <f aca="false">(P_SegV+P_ComV)*BE$71</f>
        <v>731.024317025</v>
      </c>
      <c r="BF84" s="34" t="n">
        <f aca="false">(P_SegV+P_ComV)*BF$71</f>
        <v>731.024317025</v>
      </c>
      <c r="BG84" s="34" t="n">
        <f aca="false">(P_SegV+P_ComV)*BG$71</f>
        <v>731.024317025</v>
      </c>
      <c r="BH84" s="34" t="n">
        <f aca="false">(P_SegV+P_ComV)*BH$71</f>
        <v>731.024317025</v>
      </c>
      <c r="BI84" s="34" t="n">
        <f aca="false">(P_SegV+P_ComV)*BI$71</f>
        <v>731.024317025</v>
      </c>
      <c r="BJ84" s="34" t="n">
        <f aca="false">(P_SegV+P_ComV)*BJ$71</f>
        <v>731.024317025</v>
      </c>
      <c r="BK84" s="34" t="n">
        <f aca="false">(P_SegV+P_ComV)*BK$71</f>
        <v>731.024317025</v>
      </c>
      <c r="BL84" s="34" t="n">
        <f aca="false">(P_SegV+P_ComV)*BL$71</f>
        <v>731.024317025</v>
      </c>
      <c r="BM84" s="34" t="n">
        <f aca="false">(P_SegV+P_ComV)*BM$71</f>
        <v>731.024317025</v>
      </c>
      <c r="BN84" s="34" t="n">
        <f aca="false">(P_SegV+P_ComV)*BN$71</f>
        <v>738.33456019525</v>
      </c>
      <c r="BO84" s="34" t="n">
        <f aca="false">(P_SegV+P_ComV)*BO$71</f>
        <v>738.33456019525</v>
      </c>
      <c r="BP84" s="34" t="n">
        <f aca="false">(P_SegV+P_ComV)*BP$71</f>
        <v>738.33456019525</v>
      </c>
      <c r="BQ84" s="34" t="n">
        <f aca="false">(P_SegV+P_ComV)*BQ$71</f>
        <v>738.33456019525</v>
      </c>
      <c r="BR84" s="34" t="n">
        <f aca="false">(P_SegV+P_ComV)*BR$71</f>
        <v>738.33456019525</v>
      </c>
      <c r="BS84" s="34" t="n">
        <f aca="false">(P_SegV+P_ComV)*BS$71</f>
        <v>738.33456019525</v>
      </c>
      <c r="BT84" s="34" t="n">
        <f aca="false">(P_SegV+P_ComV)*BT$71</f>
        <v>738.33456019525</v>
      </c>
      <c r="BU84" s="34" t="n">
        <f aca="false">(P_SegV+P_ComV)*BU$71</f>
        <v>738.33456019525</v>
      </c>
      <c r="BV84" s="34" t="n">
        <f aca="false">(P_SegV+P_ComV)*BV$71</f>
        <v>738.33456019525</v>
      </c>
      <c r="BW84" s="34" t="n">
        <f aca="false">(P_SegV+P_ComV)*BW$71</f>
        <v>738.33456019525</v>
      </c>
      <c r="BX84" s="34" t="n">
        <f aca="false">(P_SegV+P_ComV)*BX$71</f>
        <v>738.33456019525</v>
      </c>
      <c r="BY84" s="34" t="n">
        <f aca="false">(P_SegV+P_ComV)*BY$71</f>
        <v>738.33456019525</v>
      </c>
      <c r="BZ84" s="34" t="n">
        <f aca="false">(P_SegV+P_ComV)*BZ$71</f>
        <v>745.717905797202</v>
      </c>
      <c r="CA84" s="34" t="n">
        <f aca="false">(P_SegV+P_ComV)*CA$71</f>
        <v>745.717905797202</v>
      </c>
      <c r="CB84" s="34" t="n">
        <f aca="false">(P_SegV+P_ComV)*CB$71</f>
        <v>745.717905797202</v>
      </c>
      <c r="CC84" s="34" t="n">
        <f aca="false">(P_SegV+P_ComV)*CC$71</f>
        <v>745.717905797202</v>
      </c>
      <c r="CD84" s="34" t="n">
        <f aca="false">(P_SegV+P_ComV)*CD$71</f>
        <v>745.717905797202</v>
      </c>
      <c r="CE84" s="34" t="n">
        <f aca="false">(P_SegV+P_ComV)*CE$71</f>
        <v>745.717905797202</v>
      </c>
      <c r="CF84" s="34" t="n">
        <f aca="false">(P_SegV+P_ComV)*CF$71</f>
        <v>745.717905797202</v>
      </c>
      <c r="CG84" s="34" t="n">
        <f aca="false">(P_SegV+P_ComV)*CG$71</f>
        <v>745.717905797202</v>
      </c>
      <c r="CH84" s="34" t="n">
        <f aca="false">(P_SegV+P_ComV)*CH$71</f>
        <v>745.717905797202</v>
      </c>
      <c r="CI84" s="34" t="n">
        <f aca="false">(P_SegV+P_ComV)*CI$71</f>
        <v>745.717905797202</v>
      </c>
      <c r="CJ84" s="34" t="n">
        <f aca="false">(P_SegV+P_ComV)*CJ$71</f>
        <v>745.717905797202</v>
      </c>
      <c r="CK84" s="34" t="n">
        <f aca="false">(P_SegV+P_ComV)*CK$71</f>
        <v>745.717905797202</v>
      </c>
      <c r="CL84" s="34" t="n">
        <f aca="false">(P_SegV+P_ComV)*CL$71</f>
        <v>753.175084855174</v>
      </c>
      <c r="CM84" s="34" t="n">
        <f aca="false">(P_SegV+P_ComV)*CM$71</f>
        <v>753.175084855174</v>
      </c>
      <c r="CN84" s="34" t="n">
        <f aca="false">(P_SegV+P_ComV)*CN$71</f>
        <v>753.175084855174</v>
      </c>
      <c r="CO84" s="34" t="n">
        <f aca="false">(P_SegV+P_ComV)*CO$71</f>
        <v>753.175084855174</v>
      </c>
      <c r="CP84" s="34" t="n">
        <f aca="false">(P_SegV+P_ComV)*CP$71</f>
        <v>753.175084855174</v>
      </c>
      <c r="CQ84" s="34" t="n">
        <f aca="false">(P_SegV+P_ComV)*CQ$71</f>
        <v>753.175084855174</v>
      </c>
      <c r="CR84" s="34" t="n">
        <f aca="false">(P_SegV+P_ComV)*CR$71</f>
        <v>753.175084855174</v>
      </c>
      <c r="CS84" s="34" t="n">
        <f aca="false">(P_SegV+P_ComV)*CS$71</f>
        <v>753.175084855174</v>
      </c>
      <c r="CT84" s="34" t="n">
        <f aca="false">(P_SegV+P_ComV)*CT$71</f>
        <v>753.175084855174</v>
      </c>
      <c r="CU84" s="34" t="n">
        <f aca="false">(P_SegV+P_ComV)*CU$71</f>
        <v>753.175084855174</v>
      </c>
      <c r="CV84" s="34" t="n">
        <f aca="false">(P_SegV+P_ComV)*CV$71</f>
        <v>753.175084855174</v>
      </c>
      <c r="CW84" s="34" t="n">
        <f aca="false">(P_SegV+P_ComV)*CW$71</f>
        <v>753.175084855174</v>
      </c>
      <c r="CX84" s="34" t="n">
        <f aca="false">(P_SegV+P_ComV)*CX$71</f>
        <v>760.706835703726</v>
      </c>
      <c r="CY84" s="34" t="n">
        <f aca="false">(P_SegV+P_ComV)*CY$71</f>
        <v>760.706835703726</v>
      </c>
      <c r="CZ84" s="34" t="n">
        <f aca="false">(P_SegV+P_ComV)*CZ$71</f>
        <v>760.706835703726</v>
      </c>
      <c r="DA84" s="34" t="n">
        <f aca="false">(P_SegV+P_ComV)*DA$71</f>
        <v>760.706835703726</v>
      </c>
      <c r="DB84" s="34" t="n">
        <f aca="false">(P_SegV+P_ComV)*DB$71</f>
        <v>760.706835703726</v>
      </c>
      <c r="DC84" s="34" t="n">
        <f aca="false">(P_SegV+P_ComV)*DC$71</f>
        <v>760.706835703726</v>
      </c>
      <c r="DD84" s="34" t="n">
        <f aca="false">(P_SegV+P_ComV)*DD$71</f>
        <v>760.706835703726</v>
      </c>
      <c r="DE84" s="34" t="n">
        <f aca="false">(P_SegV+P_ComV)*DE$71</f>
        <v>760.706835703726</v>
      </c>
      <c r="DF84" s="34" t="n">
        <f aca="false">(P_SegV+P_ComV)*DF$71</f>
        <v>760.706835703726</v>
      </c>
      <c r="DG84" s="34" t="n">
        <f aca="false">(P_SegV+P_ComV)*DG$71</f>
        <v>760.706835703726</v>
      </c>
      <c r="DH84" s="34" t="n">
        <f aca="false">(P_SegV+P_ComV)*DH$71</f>
        <v>760.706835703726</v>
      </c>
      <c r="DI84" s="34" t="n">
        <f aca="false">(P_SegV+P_ComV)*DI$71</f>
        <v>760.706835703726</v>
      </c>
      <c r="DJ84" s="34" t="n">
        <f aca="false">(P_SegV+P_ComV)*DJ$71</f>
        <v>768.313904060764</v>
      </c>
      <c r="DK84" s="34" t="n">
        <f aca="false">(P_SegV+P_ComV)*DK$71</f>
        <v>768.313904060764</v>
      </c>
      <c r="DL84" s="34" t="n">
        <f aca="false">(P_SegV+P_ComV)*DL$71</f>
        <v>768.313904060764</v>
      </c>
      <c r="DM84" s="34" t="n">
        <f aca="false">(P_SegV+P_ComV)*DM$71</f>
        <v>768.313904060764</v>
      </c>
      <c r="DN84" s="34" t="n">
        <f aca="false">(P_SegV+P_ComV)*DN$71</f>
        <v>768.313904060764</v>
      </c>
      <c r="DO84" s="34" t="n">
        <f aca="false">(P_SegV+P_ComV)*DO$71</f>
        <v>768.313904060764</v>
      </c>
      <c r="DP84" s="34" t="n">
        <f aca="false">(P_SegV+P_ComV)*DP$71</f>
        <v>768.313904060764</v>
      </c>
      <c r="DQ84" s="34" t="n">
        <f aca="false">(P_SegV+P_ComV)*DQ$71</f>
        <v>768.313904060764</v>
      </c>
      <c r="DR84" s="34" t="n">
        <f aca="false">(P_SegV+P_ComV)*DR$71</f>
        <v>768.313904060764</v>
      </c>
      <c r="DS84" s="34" t="n">
        <f aca="false">(P_SegV+P_ComV)*DS$71</f>
        <v>768.313904060764</v>
      </c>
      <c r="DT84" s="34" t="n">
        <f aca="false">(P_SegV+P_ComV)*DT$71</f>
        <v>768.313904060764</v>
      </c>
      <c r="DU84" s="34" t="n">
        <f aca="false">(P_SegV+P_ComV)*DU$71</f>
        <v>768.313904060764</v>
      </c>
      <c r="DV84" s="34" t="n">
        <f aca="false">(P_SegV+P_ComV)*DV$71</f>
        <v>0</v>
      </c>
      <c r="DW84" s="34" t="n">
        <f aca="false">(P_SegV+P_ComV)*DW$71</f>
        <v>0</v>
      </c>
      <c r="DX84" s="34" t="n">
        <f aca="false">(P_SegV+P_ComV)*DX$71</f>
        <v>0</v>
      </c>
      <c r="DY84" s="34" t="n">
        <f aca="false">(P_SegV+P_ComV)*DY$71</f>
        <v>0</v>
      </c>
      <c r="DZ84" s="34" t="n">
        <f aca="false">(P_SegV+P_ComV)*DZ$71</f>
        <v>0</v>
      </c>
      <c r="EA84" s="34" t="n">
        <f aca="false">(P_SegV+P_ComV)*EA$71</f>
        <v>0</v>
      </c>
      <c r="EB84" s="34" t="n">
        <f aca="false">(P_SegV+P_ComV)*EB$71</f>
        <v>0</v>
      </c>
      <c r="EC84" s="34" t="n">
        <f aca="false">(P_SegV+P_ComV)*EC$71</f>
        <v>0</v>
      </c>
      <c r="ED84" s="34" t="n">
        <f aca="false">(P_SegV+P_ComV)*ED$71</f>
        <v>0</v>
      </c>
      <c r="EE84" s="34" t="n">
        <f aca="false">(P_SegV+P_ComV)*EE$71</f>
        <v>0</v>
      </c>
      <c r="EF84" s="34" t="n">
        <f aca="false">(P_SegV+P_ComV)*EF$71</f>
        <v>0</v>
      </c>
      <c r="EG84" s="34" t="n">
        <f aca="false">(P_SegV+P_ComV)*EG$71</f>
        <v>0</v>
      </c>
      <c r="EH84" s="34" t="n">
        <f aca="false">(P_SegV+P_ComV)*EH$71</f>
        <v>0</v>
      </c>
      <c r="EI84" s="34" t="n">
        <f aca="false">(P_SegV+P_ComV)*EI$71</f>
        <v>0</v>
      </c>
      <c r="EJ84" s="34" t="n">
        <f aca="false">(P_SegV+P_ComV)*EJ$71</f>
        <v>0</v>
      </c>
      <c r="EK84" s="34" t="n">
        <f aca="false">(P_SegV+P_ComV)*EK$71</f>
        <v>0</v>
      </c>
      <c r="EL84" s="34" t="n">
        <f aca="false">(P_SegV+P_ComV)*EL$71</f>
        <v>0</v>
      </c>
      <c r="EM84" s="34" t="n">
        <f aca="false">(P_SegV+P_ComV)*EM$71</f>
        <v>0</v>
      </c>
      <c r="EN84" s="34" t="n">
        <f aca="false">(P_SegV+P_ComV)*EN$71</f>
        <v>0</v>
      </c>
      <c r="EO84" s="34" t="n">
        <f aca="false">(P_SegV+P_ComV)*EO$71</f>
        <v>0</v>
      </c>
      <c r="EP84" s="34" t="n">
        <f aca="false">(P_SegV+P_ComV)*EP$71</f>
        <v>0</v>
      </c>
      <c r="EQ84" s="34" t="n">
        <f aca="false">(P_SegV+P_ComV)*EQ$71</f>
        <v>0</v>
      </c>
      <c r="ER84" s="34" t="n">
        <f aca="false">(P_SegV+P_ComV)*ER$71</f>
        <v>0</v>
      </c>
      <c r="ES84" s="34" t="n">
        <f aca="false">(P_SegV+P_ComV)*ES$71</f>
        <v>0</v>
      </c>
    </row>
    <row r="85" customFormat="false" ht="15" hidden="false" customHeight="false" outlineLevel="0" collapsed="false">
      <c r="A85" s="2" t="s">
        <v>662</v>
      </c>
      <c r="B85" s="6" t="s">
        <v>529</v>
      </c>
      <c r="C85" s="6" t="s">
        <v>250</v>
      </c>
      <c r="E85" s="40" t="n">
        <f aca="false">SUM(F85:ES85)</f>
        <v>812224.477216454</v>
      </c>
      <c r="F85" s="34" t="n">
        <f aca="false">P_Trib*F$71</f>
        <v>4041.66666666667</v>
      </c>
      <c r="G85" s="34" t="n">
        <f aca="false">P_Trib*G$71</f>
        <v>4041.66666666667</v>
      </c>
      <c r="H85" s="34" t="n">
        <f aca="false">P_Trib*H$71</f>
        <v>4041.66666666667</v>
      </c>
      <c r="I85" s="34" t="n">
        <f aca="false">P_Trib*I$71</f>
        <v>4041.66666666667</v>
      </c>
      <c r="J85" s="34" t="n">
        <f aca="false">P_Trib*J$71</f>
        <v>4041.66666666667</v>
      </c>
      <c r="K85" s="34" t="n">
        <f aca="false">P_Trib*K$71</f>
        <v>4041.66666666667</v>
      </c>
      <c r="L85" s="34" t="n">
        <f aca="false">P_Trib*L$71</f>
        <v>4041.66666666667</v>
      </c>
      <c r="M85" s="34" t="n">
        <f aca="false">P_Trib*M$71</f>
        <v>4041.66666666667</v>
      </c>
      <c r="N85" s="34" t="n">
        <f aca="false">P_Trib*N$71</f>
        <v>4041.66666666667</v>
      </c>
      <c r="O85" s="34" t="n">
        <f aca="false">P_Trib*O$71</f>
        <v>4041.66666666667</v>
      </c>
      <c r="P85" s="34" t="n">
        <f aca="false">P_Trib*P$71</f>
        <v>4041.66666666667</v>
      </c>
      <c r="Q85" s="34" t="n">
        <f aca="false">P_Trib*Q$71</f>
        <v>4041.66666666667</v>
      </c>
      <c r="R85" s="34" t="n">
        <f aca="false">P_Trib*R$71</f>
        <v>5151</v>
      </c>
      <c r="S85" s="34" t="n">
        <f aca="false">P_Trib*S$71</f>
        <v>5151</v>
      </c>
      <c r="T85" s="34" t="n">
        <f aca="false">P_Trib*T$71</f>
        <v>5151</v>
      </c>
      <c r="U85" s="34" t="n">
        <f aca="false">P_Trib*U$71</f>
        <v>5151</v>
      </c>
      <c r="V85" s="34" t="n">
        <f aca="false">P_Trib*V$71</f>
        <v>5151</v>
      </c>
      <c r="W85" s="34" t="n">
        <f aca="false">P_Trib*W$71</f>
        <v>5151</v>
      </c>
      <c r="X85" s="34" t="n">
        <f aca="false">P_Trib*X$71</f>
        <v>5151</v>
      </c>
      <c r="Y85" s="34" t="n">
        <f aca="false">P_Trib*Y$71</f>
        <v>5151</v>
      </c>
      <c r="Z85" s="34" t="n">
        <f aca="false">P_Trib*Z$71</f>
        <v>5151</v>
      </c>
      <c r="AA85" s="34" t="n">
        <f aca="false">P_Trib*AA$71</f>
        <v>5151</v>
      </c>
      <c r="AB85" s="34" t="n">
        <f aca="false">P_Trib*AB$71</f>
        <v>5151</v>
      </c>
      <c r="AC85" s="34" t="n">
        <f aca="false">P_Trib*AC$71</f>
        <v>5151</v>
      </c>
      <c r="AD85" s="34" t="n">
        <f aca="false">P_Trib*AD$71</f>
        <v>6282.11583333333</v>
      </c>
      <c r="AE85" s="34" t="n">
        <f aca="false">P_Trib*AE$71</f>
        <v>6282.11583333333</v>
      </c>
      <c r="AF85" s="34" t="n">
        <f aca="false">P_Trib*AF$71</f>
        <v>6282.11583333333</v>
      </c>
      <c r="AG85" s="34" t="n">
        <f aca="false">P_Trib*AG$71</f>
        <v>6282.11583333333</v>
      </c>
      <c r="AH85" s="34" t="n">
        <f aca="false">P_Trib*AH$71</f>
        <v>6282.11583333333</v>
      </c>
      <c r="AI85" s="34" t="n">
        <f aca="false">P_Trib*AI$71</f>
        <v>6282.11583333333</v>
      </c>
      <c r="AJ85" s="34" t="n">
        <f aca="false">P_Trib*AJ$71</f>
        <v>6282.11583333333</v>
      </c>
      <c r="AK85" s="34" t="n">
        <f aca="false">P_Trib*AK$71</f>
        <v>6282.11583333333</v>
      </c>
      <c r="AL85" s="34" t="n">
        <f aca="false">P_Trib*AL$71</f>
        <v>6282.11583333333</v>
      </c>
      <c r="AM85" s="34" t="n">
        <f aca="false">P_Trib*AM$71</f>
        <v>6282.11583333333</v>
      </c>
      <c r="AN85" s="34" t="n">
        <f aca="false">P_Trib*AN$71</f>
        <v>6282.11583333333</v>
      </c>
      <c r="AO85" s="34" t="n">
        <f aca="false">P_Trib*AO$71</f>
        <v>6282.11583333333</v>
      </c>
      <c r="AP85" s="34" t="n">
        <f aca="false">P_Trib*AP$71</f>
        <v>7237.864525</v>
      </c>
      <c r="AQ85" s="34" t="n">
        <f aca="false">P_Trib*AQ$71</f>
        <v>7237.864525</v>
      </c>
      <c r="AR85" s="34" t="n">
        <f aca="false">P_Trib*AR$71</f>
        <v>7237.864525</v>
      </c>
      <c r="AS85" s="34" t="n">
        <f aca="false">P_Trib*AS$71</f>
        <v>7237.864525</v>
      </c>
      <c r="AT85" s="34" t="n">
        <f aca="false">P_Trib*AT$71</f>
        <v>7237.864525</v>
      </c>
      <c r="AU85" s="34" t="n">
        <f aca="false">P_Trib*AU$71</f>
        <v>7237.864525</v>
      </c>
      <c r="AV85" s="34" t="n">
        <f aca="false">P_Trib*AV$71</f>
        <v>7237.864525</v>
      </c>
      <c r="AW85" s="34" t="n">
        <f aca="false">P_Trib*AW$71</f>
        <v>7237.864525</v>
      </c>
      <c r="AX85" s="34" t="n">
        <f aca="false">P_Trib*AX$71</f>
        <v>7237.864525</v>
      </c>
      <c r="AY85" s="34" t="n">
        <f aca="false">P_Trib*AY$71</f>
        <v>7237.864525</v>
      </c>
      <c r="AZ85" s="34" t="n">
        <f aca="false">P_Trib*AZ$71</f>
        <v>7237.864525</v>
      </c>
      <c r="BA85" s="34" t="n">
        <f aca="false">P_Trib*BA$71</f>
        <v>7237.864525</v>
      </c>
      <c r="BB85" s="34" t="n">
        <f aca="false">P_Trib*BB$71</f>
        <v>7310.24317025</v>
      </c>
      <c r="BC85" s="34" t="n">
        <f aca="false">P_Trib*BC$71</f>
        <v>7310.24317025</v>
      </c>
      <c r="BD85" s="34" t="n">
        <f aca="false">P_Trib*BD$71</f>
        <v>7310.24317025</v>
      </c>
      <c r="BE85" s="34" t="n">
        <f aca="false">P_Trib*BE$71</f>
        <v>7310.24317025</v>
      </c>
      <c r="BF85" s="34" t="n">
        <f aca="false">P_Trib*BF$71</f>
        <v>7310.24317025</v>
      </c>
      <c r="BG85" s="34" t="n">
        <f aca="false">P_Trib*BG$71</f>
        <v>7310.24317025</v>
      </c>
      <c r="BH85" s="34" t="n">
        <f aca="false">P_Trib*BH$71</f>
        <v>7310.24317025</v>
      </c>
      <c r="BI85" s="34" t="n">
        <f aca="false">P_Trib*BI$71</f>
        <v>7310.24317025</v>
      </c>
      <c r="BJ85" s="34" t="n">
        <f aca="false">P_Trib*BJ$71</f>
        <v>7310.24317025</v>
      </c>
      <c r="BK85" s="34" t="n">
        <f aca="false">P_Trib*BK$71</f>
        <v>7310.24317025</v>
      </c>
      <c r="BL85" s="34" t="n">
        <f aca="false">P_Trib*BL$71</f>
        <v>7310.24317025</v>
      </c>
      <c r="BM85" s="34" t="n">
        <f aca="false">P_Trib*BM$71</f>
        <v>7310.24317025</v>
      </c>
      <c r="BN85" s="34" t="n">
        <f aca="false">P_Trib*BN$71</f>
        <v>7383.3456019525</v>
      </c>
      <c r="BO85" s="34" t="n">
        <f aca="false">P_Trib*BO$71</f>
        <v>7383.3456019525</v>
      </c>
      <c r="BP85" s="34" t="n">
        <f aca="false">P_Trib*BP$71</f>
        <v>7383.3456019525</v>
      </c>
      <c r="BQ85" s="34" t="n">
        <f aca="false">P_Trib*BQ$71</f>
        <v>7383.3456019525</v>
      </c>
      <c r="BR85" s="34" t="n">
        <f aca="false">P_Trib*BR$71</f>
        <v>7383.3456019525</v>
      </c>
      <c r="BS85" s="34" t="n">
        <f aca="false">P_Trib*BS$71</f>
        <v>7383.3456019525</v>
      </c>
      <c r="BT85" s="34" t="n">
        <f aca="false">P_Trib*BT$71</f>
        <v>7383.3456019525</v>
      </c>
      <c r="BU85" s="34" t="n">
        <f aca="false">P_Trib*BU$71</f>
        <v>7383.3456019525</v>
      </c>
      <c r="BV85" s="34" t="n">
        <f aca="false">P_Trib*BV$71</f>
        <v>7383.3456019525</v>
      </c>
      <c r="BW85" s="34" t="n">
        <f aca="false">P_Trib*BW$71</f>
        <v>7383.3456019525</v>
      </c>
      <c r="BX85" s="34" t="n">
        <f aca="false">P_Trib*BX$71</f>
        <v>7383.3456019525</v>
      </c>
      <c r="BY85" s="34" t="n">
        <f aca="false">P_Trib*BY$71</f>
        <v>7383.3456019525</v>
      </c>
      <c r="BZ85" s="34" t="n">
        <f aca="false">P_Trib*BZ$71</f>
        <v>7457.17905797202</v>
      </c>
      <c r="CA85" s="34" t="n">
        <f aca="false">P_Trib*CA$71</f>
        <v>7457.17905797202</v>
      </c>
      <c r="CB85" s="34" t="n">
        <f aca="false">P_Trib*CB$71</f>
        <v>7457.17905797202</v>
      </c>
      <c r="CC85" s="34" t="n">
        <f aca="false">P_Trib*CC$71</f>
        <v>7457.17905797202</v>
      </c>
      <c r="CD85" s="34" t="n">
        <f aca="false">P_Trib*CD$71</f>
        <v>7457.17905797202</v>
      </c>
      <c r="CE85" s="34" t="n">
        <f aca="false">P_Trib*CE$71</f>
        <v>7457.17905797202</v>
      </c>
      <c r="CF85" s="34" t="n">
        <f aca="false">P_Trib*CF$71</f>
        <v>7457.17905797202</v>
      </c>
      <c r="CG85" s="34" t="n">
        <f aca="false">P_Trib*CG$71</f>
        <v>7457.17905797202</v>
      </c>
      <c r="CH85" s="34" t="n">
        <f aca="false">P_Trib*CH$71</f>
        <v>7457.17905797202</v>
      </c>
      <c r="CI85" s="34" t="n">
        <f aca="false">P_Trib*CI$71</f>
        <v>7457.17905797202</v>
      </c>
      <c r="CJ85" s="34" t="n">
        <f aca="false">P_Trib*CJ$71</f>
        <v>7457.17905797202</v>
      </c>
      <c r="CK85" s="34" t="n">
        <f aca="false">P_Trib*CK$71</f>
        <v>7457.17905797202</v>
      </c>
      <c r="CL85" s="34" t="n">
        <f aca="false">P_Trib*CL$71</f>
        <v>7531.75084855175</v>
      </c>
      <c r="CM85" s="34" t="n">
        <f aca="false">P_Trib*CM$71</f>
        <v>7531.75084855175</v>
      </c>
      <c r="CN85" s="34" t="n">
        <f aca="false">P_Trib*CN$71</f>
        <v>7531.75084855175</v>
      </c>
      <c r="CO85" s="34" t="n">
        <f aca="false">P_Trib*CO$71</f>
        <v>7531.75084855175</v>
      </c>
      <c r="CP85" s="34" t="n">
        <f aca="false">P_Trib*CP$71</f>
        <v>7531.75084855175</v>
      </c>
      <c r="CQ85" s="34" t="n">
        <f aca="false">P_Trib*CQ$71</f>
        <v>7531.75084855175</v>
      </c>
      <c r="CR85" s="34" t="n">
        <f aca="false">P_Trib*CR$71</f>
        <v>7531.75084855175</v>
      </c>
      <c r="CS85" s="34" t="n">
        <f aca="false">P_Trib*CS$71</f>
        <v>7531.75084855175</v>
      </c>
      <c r="CT85" s="34" t="n">
        <f aca="false">P_Trib*CT$71</f>
        <v>7531.75084855175</v>
      </c>
      <c r="CU85" s="34" t="n">
        <f aca="false">P_Trib*CU$71</f>
        <v>7531.75084855175</v>
      </c>
      <c r="CV85" s="34" t="n">
        <f aca="false">P_Trib*CV$71</f>
        <v>7531.75084855175</v>
      </c>
      <c r="CW85" s="34" t="n">
        <f aca="false">P_Trib*CW$71</f>
        <v>7531.75084855175</v>
      </c>
      <c r="CX85" s="34" t="n">
        <f aca="false">P_Trib*CX$71</f>
        <v>7607.06835703726</v>
      </c>
      <c r="CY85" s="34" t="n">
        <f aca="false">P_Trib*CY$71</f>
        <v>7607.06835703726</v>
      </c>
      <c r="CZ85" s="34" t="n">
        <f aca="false">P_Trib*CZ$71</f>
        <v>7607.06835703726</v>
      </c>
      <c r="DA85" s="34" t="n">
        <f aca="false">P_Trib*DA$71</f>
        <v>7607.06835703726</v>
      </c>
      <c r="DB85" s="34" t="n">
        <f aca="false">P_Trib*DB$71</f>
        <v>7607.06835703726</v>
      </c>
      <c r="DC85" s="34" t="n">
        <f aca="false">P_Trib*DC$71</f>
        <v>7607.06835703726</v>
      </c>
      <c r="DD85" s="34" t="n">
        <f aca="false">P_Trib*DD$71</f>
        <v>7607.06835703726</v>
      </c>
      <c r="DE85" s="34" t="n">
        <f aca="false">P_Trib*DE$71</f>
        <v>7607.06835703726</v>
      </c>
      <c r="DF85" s="34" t="n">
        <f aca="false">P_Trib*DF$71</f>
        <v>7607.06835703726</v>
      </c>
      <c r="DG85" s="34" t="n">
        <f aca="false">P_Trib*DG$71</f>
        <v>7607.06835703726</v>
      </c>
      <c r="DH85" s="34" t="n">
        <f aca="false">P_Trib*DH$71</f>
        <v>7607.06835703726</v>
      </c>
      <c r="DI85" s="34" t="n">
        <f aca="false">P_Trib*DI$71</f>
        <v>7607.06835703726</v>
      </c>
      <c r="DJ85" s="34" t="n">
        <f aca="false">P_Trib*DJ$71</f>
        <v>7683.13904060764</v>
      </c>
      <c r="DK85" s="34" t="n">
        <f aca="false">P_Trib*DK$71</f>
        <v>7683.13904060764</v>
      </c>
      <c r="DL85" s="34" t="n">
        <f aca="false">P_Trib*DL$71</f>
        <v>7683.13904060764</v>
      </c>
      <c r="DM85" s="34" t="n">
        <f aca="false">P_Trib*DM$71</f>
        <v>7683.13904060764</v>
      </c>
      <c r="DN85" s="34" t="n">
        <f aca="false">P_Trib*DN$71</f>
        <v>7683.13904060764</v>
      </c>
      <c r="DO85" s="34" t="n">
        <f aca="false">P_Trib*DO$71</f>
        <v>7683.13904060764</v>
      </c>
      <c r="DP85" s="34" t="n">
        <f aca="false">P_Trib*DP$71</f>
        <v>7683.13904060764</v>
      </c>
      <c r="DQ85" s="34" t="n">
        <f aca="false">P_Trib*DQ$71</f>
        <v>7683.13904060764</v>
      </c>
      <c r="DR85" s="34" t="n">
        <f aca="false">P_Trib*DR$71</f>
        <v>7683.13904060764</v>
      </c>
      <c r="DS85" s="34" t="n">
        <f aca="false">P_Trib*DS$71</f>
        <v>7683.13904060764</v>
      </c>
      <c r="DT85" s="34" t="n">
        <f aca="false">P_Trib*DT$71</f>
        <v>7683.13904060764</v>
      </c>
      <c r="DU85" s="34" t="n">
        <f aca="false">P_Trib*DU$71</f>
        <v>7683.13904060764</v>
      </c>
      <c r="DV85" s="34" t="n">
        <f aca="false">P_Trib*DV$71</f>
        <v>0</v>
      </c>
      <c r="DW85" s="34" t="n">
        <f aca="false">P_Trib*DW$71</f>
        <v>0</v>
      </c>
      <c r="DX85" s="34" t="n">
        <f aca="false">P_Trib*DX$71</f>
        <v>0</v>
      </c>
      <c r="DY85" s="34" t="n">
        <f aca="false">P_Trib*DY$71</f>
        <v>0</v>
      </c>
      <c r="DZ85" s="34" t="n">
        <f aca="false">P_Trib*DZ$71</f>
        <v>0</v>
      </c>
      <c r="EA85" s="34" t="n">
        <f aca="false">P_Trib*EA$71</f>
        <v>0</v>
      </c>
      <c r="EB85" s="34" t="n">
        <f aca="false">P_Trib*EB$71</f>
        <v>0</v>
      </c>
      <c r="EC85" s="34" t="n">
        <f aca="false">P_Trib*EC$71</f>
        <v>0</v>
      </c>
      <c r="ED85" s="34" t="n">
        <f aca="false">P_Trib*ED$71</f>
        <v>0</v>
      </c>
      <c r="EE85" s="34" t="n">
        <f aca="false">P_Trib*EE$71</f>
        <v>0</v>
      </c>
      <c r="EF85" s="34" t="n">
        <f aca="false">P_Trib*EF$71</f>
        <v>0</v>
      </c>
      <c r="EG85" s="34" t="n">
        <f aca="false">P_Trib*EG$71</f>
        <v>0</v>
      </c>
      <c r="EH85" s="34" t="n">
        <f aca="false">P_Trib*EH$71</f>
        <v>0</v>
      </c>
      <c r="EI85" s="34" t="n">
        <f aca="false">P_Trib*EI$71</f>
        <v>0</v>
      </c>
      <c r="EJ85" s="34" t="n">
        <f aca="false">P_Trib*EJ$71</f>
        <v>0</v>
      </c>
      <c r="EK85" s="34" t="n">
        <f aca="false">P_Trib*EK$71</f>
        <v>0</v>
      </c>
      <c r="EL85" s="34" t="n">
        <f aca="false">P_Trib*EL$71</f>
        <v>0</v>
      </c>
      <c r="EM85" s="34" t="n">
        <f aca="false">P_Trib*EM$71</f>
        <v>0</v>
      </c>
      <c r="EN85" s="34" t="n">
        <f aca="false">P_Trib*EN$71</f>
        <v>0</v>
      </c>
      <c r="EO85" s="34" t="n">
        <f aca="false">P_Trib*EO$71</f>
        <v>0</v>
      </c>
      <c r="EP85" s="34" t="n">
        <f aca="false">P_Trib*EP$71</f>
        <v>0</v>
      </c>
      <c r="EQ85" s="34" t="n">
        <f aca="false">P_Trib*EQ$71</f>
        <v>0</v>
      </c>
      <c r="ER85" s="34" t="n">
        <f aca="false">P_Trib*ER$71</f>
        <v>0</v>
      </c>
      <c r="ES85" s="34" t="n">
        <f aca="false">P_Trib*ES$71</f>
        <v>0</v>
      </c>
    </row>
    <row r="86" customFormat="false" ht="15" hidden="false" customHeight="false" outlineLevel="0" collapsed="false">
      <c r="A86" s="2" t="s">
        <v>663</v>
      </c>
      <c r="B86" s="6" t="s">
        <v>664</v>
      </c>
      <c r="C86" s="6" t="s">
        <v>250</v>
      </c>
      <c r="E86" s="40" t="n">
        <f aca="false">SUM(F86:ES86)</f>
        <v>555431.735750422</v>
      </c>
      <c r="F86" s="34" t="n">
        <f aca="false">SUMPRODUCT((FC_Clase="Producción")*FC_O*((FC_Mon="PYG")*F$19+(FC_Mon&lt;&gt;"PYG"))*(1+FC_g)^(F$17-1)*((FC_Desde=0)*(F$16+F$15)+(FC_Desde&gt;=1)*(F$14&gt;=FC_Desde)*F$15))</f>
        <v>4393.47821917808</v>
      </c>
      <c r="G86" s="34" t="n">
        <f aca="false">SUMPRODUCT((FC_Clase="Producción")*FC_O*((FC_Mon="PYG")*G$19+(FC_Mon&lt;&gt;"PYG"))*(1+FC_g)^(G$17-1)*((FC_Desde=0)*(G$16+G$15)+(FC_Desde&gt;=1)*(G$14&gt;=FC_Desde)*G$15))</f>
        <v>4393.47821917808</v>
      </c>
      <c r="H86" s="34" t="n">
        <f aca="false">SUMPRODUCT((FC_Clase="Producción")*FC_O*((FC_Mon="PYG")*H$19+(FC_Mon&lt;&gt;"PYG"))*(1+FC_g)^(H$17-1)*((FC_Desde=0)*(H$16+H$15)+(FC_Desde&gt;=1)*(H$14&gt;=FC_Desde)*H$15))</f>
        <v>4393.47821917808</v>
      </c>
      <c r="I86" s="34" t="n">
        <f aca="false">SUMPRODUCT((FC_Clase="Producción")*FC_O*((FC_Mon="PYG")*I$19+(FC_Mon&lt;&gt;"PYG"))*(1+FC_g)^(I$17-1)*((FC_Desde=0)*(I$16+I$15)+(FC_Desde&gt;=1)*(I$14&gt;=FC_Desde)*I$15))</f>
        <v>4393.47821917808</v>
      </c>
      <c r="J86" s="34" t="n">
        <f aca="false">SUMPRODUCT((FC_Clase="Producción")*FC_O*((FC_Mon="PYG")*J$19+(FC_Mon&lt;&gt;"PYG"))*(1+FC_g)^(J$17-1)*((FC_Desde=0)*(J$16+J$15)+(FC_Desde&gt;=1)*(J$14&gt;=FC_Desde)*J$15))</f>
        <v>4393.47821917808</v>
      </c>
      <c r="K86" s="34" t="n">
        <f aca="false">SUMPRODUCT((FC_Clase="Producción")*FC_O*((FC_Mon="PYG")*K$19+(FC_Mon&lt;&gt;"PYG"))*(1+FC_g)^(K$17-1)*((FC_Desde=0)*(K$16+K$15)+(FC_Desde&gt;=1)*(K$14&gt;=FC_Desde)*K$15))</f>
        <v>4393.47821917808</v>
      </c>
      <c r="L86" s="34" t="n">
        <f aca="false">SUMPRODUCT((FC_Clase="Producción")*FC_O*((FC_Mon="PYG")*L$19+(FC_Mon&lt;&gt;"PYG"))*(1+FC_g)^(L$17-1)*((FC_Desde=0)*(L$16+L$15)+(FC_Desde&gt;=1)*(L$14&gt;=FC_Desde)*L$15))</f>
        <v>4393.47821917808</v>
      </c>
      <c r="M86" s="34" t="n">
        <f aca="false">SUMPRODUCT((FC_Clase="Producción")*FC_O*((FC_Mon="PYG")*M$19+(FC_Mon&lt;&gt;"PYG"))*(1+FC_g)^(M$17-1)*((FC_Desde=0)*(M$16+M$15)+(FC_Desde&gt;=1)*(M$14&gt;=FC_Desde)*M$15))</f>
        <v>4393.47821917808</v>
      </c>
      <c r="N86" s="34" t="n">
        <f aca="false">SUMPRODUCT((FC_Clase="Producción")*FC_O*((FC_Mon="PYG")*N$19+(FC_Mon&lt;&gt;"PYG"))*(1+FC_g)^(N$17-1)*((FC_Desde=0)*(N$16+N$15)+(FC_Desde&gt;=1)*(N$14&gt;=FC_Desde)*N$15))</f>
        <v>4393.47821917808</v>
      </c>
      <c r="O86" s="34" t="n">
        <f aca="false">SUMPRODUCT((FC_Clase="Producción")*FC_O*((FC_Mon="PYG")*O$19+(FC_Mon&lt;&gt;"PYG"))*(1+FC_g)^(O$17-1)*((FC_Desde=0)*(O$16+O$15)+(FC_Desde&gt;=1)*(O$14&gt;=FC_Desde)*O$15))</f>
        <v>4393.47821917808</v>
      </c>
      <c r="P86" s="34" t="n">
        <f aca="false">SUMPRODUCT((FC_Clase="Producción")*FC_O*((FC_Mon="PYG")*P$19+(FC_Mon&lt;&gt;"PYG"))*(1+FC_g)^(P$17-1)*((FC_Desde=0)*(P$16+P$15)+(FC_Desde&gt;=1)*(P$14&gt;=FC_Desde)*P$15))</f>
        <v>4393.47821917808</v>
      </c>
      <c r="Q86" s="34" t="n">
        <f aca="false">SUMPRODUCT((FC_Clase="Producción")*FC_O*((FC_Mon="PYG")*Q$19+(FC_Mon&lt;&gt;"PYG"))*(1+FC_g)^(Q$17-1)*((FC_Desde=0)*(Q$16+Q$15)+(FC_Desde&gt;=1)*(Q$14&gt;=FC_Desde)*Q$15))</f>
        <v>4393.47821917808</v>
      </c>
      <c r="R86" s="34" t="n">
        <f aca="false">SUMPRODUCT((FC_Clase="Producción")*FC_O*((FC_Mon="PYG")*R$19+(FC_Mon&lt;&gt;"PYG"))*(1+FC_g)^(R$17-1)*((FC_Desde=0)*(R$16+R$15)+(FC_Desde&gt;=1)*(R$14&gt;=FC_Desde)*R$15))</f>
        <v>4442.99161917808</v>
      </c>
      <c r="S86" s="34" t="n">
        <f aca="false">SUMPRODUCT((FC_Clase="Producción")*FC_O*((FC_Mon="PYG")*S$19+(FC_Mon&lt;&gt;"PYG"))*(1+FC_g)^(S$17-1)*((FC_Desde=0)*(S$16+S$15)+(FC_Desde&gt;=1)*(S$14&gt;=FC_Desde)*S$15))</f>
        <v>4442.99161917808</v>
      </c>
      <c r="T86" s="34" t="n">
        <f aca="false">SUMPRODUCT((FC_Clase="Producción")*FC_O*((FC_Mon="PYG")*T$19+(FC_Mon&lt;&gt;"PYG"))*(1+FC_g)^(T$17-1)*((FC_Desde=0)*(T$16+T$15)+(FC_Desde&gt;=1)*(T$14&gt;=FC_Desde)*T$15))</f>
        <v>4442.99161917808</v>
      </c>
      <c r="U86" s="34" t="n">
        <f aca="false">SUMPRODUCT((FC_Clase="Producción")*FC_O*((FC_Mon="PYG")*U$19+(FC_Mon&lt;&gt;"PYG"))*(1+FC_g)^(U$17-1)*((FC_Desde=0)*(U$16+U$15)+(FC_Desde&gt;=1)*(U$14&gt;=FC_Desde)*U$15))</f>
        <v>4442.99161917808</v>
      </c>
      <c r="V86" s="34" t="n">
        <f aca="false">SUMPRODUCT((FC_Clase="Producción")*FC_O*((FC_Mon="PYG")*V$19+(FC_Mon&lt;&gt;"PYG"))*(1+FC_g)^(V$17-1)*((FC_Desde=0)*(V$16+V$15)+(FC_Desde&gt;=1)*(V$14&gt;=FC_Desde)*V$15))</f>
        <v>4442.99161917808</v>
      </c>
      <c r="W86" s="34" t="n">
        <f aca="false">SUMPRODUCT((FC_Clase="Producción")*FC_O*((FC_Mon="PYG")*W$19+(FC_Mon&lt;&gt;"PYG"))*(1+FC_g)^(W$17-1)*((FC_Desde=0)*(W$16+W$15)+(FC_Desde&gt;=1)*(W$14&gt;=FC_Desde)*W$15))</f>
        <v>4442.99161917808</v>
      </c>
      <c r="X86" s="34" t="n">
        <f aca="false">SUMPRODUCT((FC_Clase="Producción")*FC_O*((FC_Mon="PYG")*X$19+(FC_Mon&lt;&gt;"PYG"))*(1+FC_g)^(X$17-1)*((FC_Desde=0)*(X$16+X$15)+(FC_Desde&gt;=1)*(X$14&gt;=FC_Desde)*X$15))</f>
        <v>4442.99161917808</v>
      </c>
      <c r="Y86" s="34" t="n">
        <f aca="false">SUMPRODUCT((FC_Clase="Producción")*FC_O*((FC_Mon="PYG")*Y$19+(FC_Mon&lt;&gt;"PYG"))*(1+FC_g)^(Y$17-1)*((FC_Desde=0)*(Y$16+Y$15)+(FC_Desde&gt;=1)*(Y$14&gt;=FC_Desde)*Y$15))</f>
        <v>4442.99161917808</v>
      </c>
      <c r="Z86" s="34" t="n">
        <f aca="false">SUMPRODUCT((FC_Clase="Producción")*FC_O*((FC_Mon="PYG")*Z$19+(FC_Mon&lt;&gt;"PYG"))*(1+FC_g)^(Z$17-1)*((FC_Desde=0)*(Z$16+Z$15)+(FC_Desde&gt;=1)*(Z$14&gt;=FC_Desde)*Z$15))</f>
        <v>4442.99161917808</v>
      </c>
      <c r="AA86" s="34" t="n">
        <f aca="false">SUMPRODUCT((FC_Clase="Producción")*FC_O*((FC_Mon="PYG")*AA$19+(FC_Mon&lt;&gt;"PYG"))*(1+FC_g)^(AA$17-1)*((FC_Desde=0)*(AA$16+AA$15)+(FC_Desde&gt;=1)*(AA$14&gt;=FC_Desde)*AA$15))</f>
        <v>4442.99161917808</v>
      </c>
      <c r="AB86" s="34" t="n">
        <f aca="false">SUMPRODUCT((FC_Clase="Producción")*FC_O*((FC_Mon="PYG")*AB$19+(FC_Mon&lt;&gt;"PYG"))*(1+FC_g)^(AB$17-1)*((FC_Desde=0)*(AB$16+AB$15)+(FC_Desde&gt;=1)*(AB$14&gt;=FC_Desde)*AB$15))</f>
        <v>4442.99161917808</v>
      </c>
      <c r="AC86" s="34" t="n">
        <f aca="false">SUMPRODUCT((FC_Clase="Producción")*FC_O*((FC_Mon="PYG")*AC$19+(FC_Mon&lt;&gt;"PYG"))*(1+FC_g)^(AC$17-1)*((FC_Desde=0)*(AC$16+AC$15)+(FC_Desde&gt;=1)*(AC$14&gt;=FC_Desde)*AC$15))</f>
        <v>4442.99161917808</v>
      </c>
      <c r="AD86" s="34" t="n">
        <f aca="false">SUMPRODUCT((FC_Clase="Producción")*FC_O*((FC_Mon="PYG")*AD$19+(FC_Mon&lt;&gt;"PYG"))*(1+FC_g)^(AD$17-1)*((FC_Desde=0)*(AD$16+AD$15)+(FC_Desde&gt;=1)*(AD$14&gt;=FC_Desde)*AD$15))</f>
        <v>4493.49528717808</v>
      </c>
      <c r="AE86" s="34" t="n">
        <f aca="false">SUMPRODUCT((FC_Clase="Producción")*FC_O*((FC_Mon="PYG")*AE$19+(FC_Mon&lt;&gt;"PYG"))*(1+FC_g)^(AE$17-1)*((FC_Desde=0)*(AE$16+AE$15)+(FC_Desde&gt;=1)*(AE$14&gt;=FC_Desde)*AE$15))</f>
        <v>4493.49528717808</v>
      </c>
      <c r="AF86" s="34" t="n">
        <f aca="false">SUMPRODUCT((FC_Clase="Producción")*FC_O*((FC_Mon="PYG")*AF$19+(FC_Mon&lt;&gt;"PYG"))*(1+FC_g)^(AF$17-1)*((FC_Desde=0)*(AF$16+AF$15)+(FC_Desde&gt;=1)*(AF$14&gt;=FC_Desde)*AF$15))</f>
        <v>4493.49528717808</v>
      </c>
      <c r="AG86" s="34" t="n">
        <f aca="false">SUMPRODUCT((FC_Clase="Producción")*FC_O*((FC_Mon="PYG")*AG$19+(FC_Mon&lt;&gt;"PYG"))*(1+FC_g)^(AG$17-1)*((FC_Desde=0)*(AG$16+AG$15)+(FC_Desde&gt;=1)*(AG$14&gt;=FC_Desde)*AG$15))</f>
        <v>4493.49528717808</v>
      </c>
      <c r="AH86" s="34" t="n">
        <f aca="false">SUMPRODUCT((FC_Clase="Producción")*FC_O*((FC_Mon="PYG")*AH$19+(FC_Mon&lt;&gt;"PYG"))*(1+FC_g)^(AH$17-1)*((FC_Desde=0)*(AH$16+AH$15)+(FC_Desde&gt;=1)*(AH$14&gt;=FC_Desde)*AH$15))</f>
        <v>4493.49528717808</v>
      </c>
      <c r="AI86" s="34" t="n">
        <f aca="false">SUMPRODUCT((FC_Clase="Producción")*FC_O*((FC_Mon="PYG")*AI$19+(FC_Mon&lt;&gt;"PYG"))*(1+FC_g)^(AI$17-1)*((FC_Desde=0)*(AI$16+AI$15)+(FC_Desde&gt;=1)*(AI$14&gt;=FC_Desde)*AI$15))</f>
        <v>4493.49528717808</v>
      </c>
      <c r="AJ86" s="34" t="n">
        <f aca="false">SUMPRODUCT((FC_Clase="Producción")*FC_O*((FC_Mon="PYG")*AJ$19+(FC_Mon&lt;&gt;"PYG"))*(1+FC_g)^(AJ$17-1)*((FC_Desde=0)*(AJ$16+AJ$15)+(FC_Desde&gt;=1)*(AJ$14&gt;=FC_Desde)*AJ$15))</f>
        <v>4493.49528717808</v>
      </c>
      <c r="AK86" s="34" t="n">
        <f aca="false">SUMPRODUCT((FC_Clase="Producción")*FC_O*((FC_Mon="PYG")*AK$19+(FC_Mon&lt;&gt;"PYG"))*(1+FC_g)^(AK$17-1)*((FC_Desde=0)*(AK$16+AK$15)+(FC_Desde&gt;=1)*(AK$14&gt;=FC_Desde)*AK$15))</f>
        <v>4493.49528717808</v>
      </c>
      <c r="AL86" s="34" t="n">
        <f aca="false">SUMPRODUCT((FC_Clase="Producción")*FC_O*((FC_Mon="PYG")*AL$19+(FC_Mon&lt;&gt;"PYG"))*(1+FC_g)^(AL$17-1)*((FC_Desde=0)*(AL$16+AL$15)+(FC_Desde&gt;=1)*(AL$14&gt;=FC_Desde)*AL$15))</f>
        <v>4493.49528717808</v>
      </c>
      <c r="AM86" s="34" t="n">
        <f aca="false">SUMPRODUCT((FC_Clase="Producción")*FC_O*((FC_Mon="PYG")*AM$19+(FC_Mon&lt;&gt;"PYG"))*(1+FC_g)^(AM$17-1)*((FC_Desde=0)*(AM$16+AM$15)+(FC_Desde&gt;=1)*(AM$14&gt;=FC_Desde)*AM$15))</f>
        <v>4493.49528717808</v>
      </c>
      <c r="AN86" s="34" t="n">
        <f aca="false">SUMPRODUCT((FC_Clase="Producción")*FC_O*((FC_Mon="PYG")*AN$19+(FC_Mon&lt;&gt;"PYG"))*(1+FC_g)^(AN$17-1)*((FC_Desde=0)*(AN$16+AN$15)+(FC_Desde&gt;=1)*(AN$14&gt;=FC_Desde)*AN$15))</f>
        <v>4493.49528717808</v>
      </c>
      <c r="AO86" s="34" t="n">
        <f aca="false">SUMPRODUCT((FC_Clase="Producción")*FC_O*((FC_Mon="PYG")*AO$19+(FC_Mon&lt;&gt;"PYG"))*(1+FC_g)^(AO$17-1)*((FC_Desde=0)*(AO$16+AO$15)+(FC_Desde&gt;=1)*(AO$14&gt;=FC_Desde)*AO$15))</f>
        <v>4493.49528717808</v>
      </c>
      <c r="AP86" s="34" t="n">
        <f aca="false">SUMPRODUCT((FC_Clase="Producción")*FC_O*((FC_Mon="PYG")*AP$19+(FC_Mon&lt;&gt;"PYG"))*(1+FC_g)^(AP$17-1)*((FC_Desde=0)*(AP$16+AP$15)+(FC_Desde&gt;=1)*(AP$14&gt;=FC_Desde)*AP$15))</f>
        <v>4545.00902853808</v>
      </c>
      <c r="AQ86" s="34" t="n">
        <f aca="false">SUMPRODUCT((FC_Clase="Producción")*FC_O*((FC_Mon="PYG")*AQ$19+(FC_Mon&lt;&gt;"PYG"))*(1+FC_g)^(AQ$17-1)*((FC_Desde=0)*(AQ$16+AQ$15)+(FC_Desde&gt;=1)*(AQ$14&gt;=FC_Desde)*AQ$15))</f>
        <v>4545.00902853808</v>
      </c>
      <c r="AR86" s="34" t="n">
        <f aca="false">SUMPRODUCT((FC_Clase="Producción")*FC_O*((FC_Mon="PYG")*AR$19+(FC_Mon&lt;&gt;"PYG"))*(1+FC_g)^(AR$17-1)*((FC_Desde=0)*(AR$16+AR$15)+(FC_Desde&gt;=1)*(AR$14&gt;=FC_Desde)*AR$15))</f>
        <v>4545.00902853808</v>
      </c>
      <c r="AS86" s="34" t="n">
        <f aca="false">SUMPRODUCT((FC_Clase="Producción")*FC_O*((FC_Mon="PYG")*AS$19+(FC_Mon&lt;&gt;"PYG"))*(1+FC_g)^(AS$17-1)*((FC_Desde=0)*(AS$16+AS$15)+(FC_Desde&gt;=1)*(AS$14&gt;=FC_Desde)*AS$15))</f>
        <v>4545.00902853808</v>
      </c>
      <c r="AT86" s="34" t="n">
        <f aca="false">SUMPRODUCT((FC_Clase="Producción")*FC_O*((FC_Mon="PYG")*AT$19+(FC_Mon&lt;&gt;"PYG"))*(1+FC_g)^(AT$17-1)*((FC_Desde=0)*(AT$16+AT$15)+(FC_Desde&gt;=1)*(AT$14&gt;=FC_Desde)*AT$15))</f>
        <v>4545.00902853808</v>
      </c>
      <c r="AU86" s="34" t="n">
        <f aca="false">SUMPRODUCT((FC_Clase="Producción")*FC_O*((FC_Mon="PYG")*AU$19+(FC_Mon&lt;&gt;"PYG"))*(1+FC_g)^(AU$17-1)*((FC_Desde=0)*(AU$16+AU$15)+(FC_Desde&gt;=1)*(AU$14&gt;=FC_Desde)*AU$15))</f>
        <v>4545.00902853808</v>
      </c>
      <c r="AV86" s="34" t="n">
        <f aca="false">SUMPRODUCT((FC_Clase="Producción")*FC_O*((FC_Mon="PYG")*AV$19+(FC_Mon&lt;&gt;"PYG"))*(1+FC_g)^(AV$17-1)*((FC_Desde=0)*(AV$16+AV$15)+(FC_Desde&gt;=1)*(AV$14&gt;=FC_Desde)*AV$15))</f>
        <v>4545.00902853808</v>
      </c>
      <c r="AW86" s="34" t="n">
        <f aca="false">SUMPRODUCT((FC_Clase="Producción")*FC_O*((FC_Mon="PYG")*AW$19+(FC_Mon&lt;&gt;"PYG"))*(1+FC_g)^(AW$17-1)*((FC_Desde=0)*(AW$16+AW$15)+(FC_Desde&gt;=1)*(AW$14&gt;=FC_Desde)*AW$15))</f>
        <v>4545.00902853808</v>
      </c>
      <c r="AX86" s="34" t="n">
        <f aca="false">SUMPRODUCT((FC_Clase="Producción")*FC_O*((FC_Mon="PYG")*AX$19+(FC_Mon&lt;&gt;"PYG"))*(1+FC_g)^(AX$17-1)*((FC_Desde=0)*(AX$16+AX$15)+(FC_Desde&gt;=1)*(AX$14&gt;=FC_Desde)*AX$15))</f>
        <v>4545.00902853808</v>
      </c>
      <c r="AY86" s="34" t="n">
        <f aca="false">SUMPRODUCT((FC_Clase="Producción")*FC_O*((FC_Mon="PYG")*AY$19+(FC_Mon&lt;&gt;"PYG"))*(1+FC_g)^(AY$17-1)*((FC_Desde=0)*(AY$16+AY$15)+(FC_Desde&gt;=1)*(AY$14&gt;=FC_Desde)*AY$15))</f>
        <v>4545.00902853808</v>
      </c>
      <c r="AZ86" s="34" t="n">
        <f aca="false">SUMPRODUCT((FC_Clase="Producción")*FC_O*((FC_Mon="PYG")*AZ$19+(FC_Mon&lt;&gt;"PYG"))*(1+FC_g)^(AZ$17-1)*((FC_Desde=0)*(AZ$16+AZ$15)+(FC_Desde&gt;=1)*(AZ$14&gt;=FC_Desde)*AZ$15))</f>
        <v>4545.00902853808</v>
      </c>
      <c r="BA86" s="34" t="n">
        <f aca="false">SUMPRODUCT((FC_Clase="Producción")*FC_O*((FC_Mon="PYG")*BA$19+(FC_Mon&lt;&gt;"PYG"))*(1+FC_g)^(BA$17-1)*((FC_Desde=0)*(BA$16+BA$15)+(FC_Desde&gt;=1)*(BA$14&gt;=FC_Desde)*BA$15))</f>
        <v>4545.00902853808</v>
      </c>
      <c r="BB86" s="34" t="n">
        <f aca="false">SUMPRODUCT((FC_Clase="Producción")*FC_O*((FC_Mon="PYG")*BB$19+(FC_Mon&lt;&gt;"PYG"))*(1+FC_g)^(BB$17-1)*((FC_Desde=0)*(BB$16+BB$15)+(FC_Desde&gt;=1)*(BB$14&gt;=FC_Desde)*BB$15))</f>
        <v>4597.55304472528</v>
      </c>
      <c r="BC86" s="34" t="n">
        <f aca="false">SUMPRODUCT((FC_Clase="Producción")*FC_O*((FC_Mon="PYG")*BC$19+(FC_Mon&lt;&gt;"PYG"))*(1+FC_g)^(BC$17-1)*((FC_Desde=0)*(BC$16+BC$15)+(FC_Desde&gt;=1)*(BC$14&gt;=FC_Desde)*BC$15))</f>
        <v>4597.55304472528</v>
      </c>
      <c r="BD86" s="34" t="n">
        <f aca="false">SUMPRODUCT((FC_Clase="Producción")*FC_O*((FC_Mon="PYG")*BD$19+(FC_Mon&lt;&gt;"PYG"))*(1+FC_g)^(BD$17-1)*((FC_Desde=0)*(BD$16+BD$15)+(FC_Desde&gt;=1)*(BD$14&gt;=FC_Desde)*BD$15))</f>
        <v>4597.55304472528</v>
      </c>
      <c r="BE86" s="34" t="n">
        <f aca="false">SUMPRODUCT((FC_Clase="Producción")*FC_O*((FC_Mon="PYG")*BE$19+(FC_Mon&lt;&gt;"PYG"))*(1+FC_g)^(BE$17-1)*((FC_Desde=0)*(BE$16+BE$15)+(FC_Desde&gt;=1)*(BE$14&gt;=FC_Desde)*BE$15))</f>
        <v>4597.55304472528</v>
      </c>
      <c r="BF86" s="34" t="n">
        <f aca="false">SUMPRODUCT((FC_Clase="Producción")*FC_O*((FC_Mon="PYG")*BF$19+(FC_Mon&lt;&gt;"PYG"))*(1+FC_g)^(BF$17-1)*((FC_Desde=0)*(BF$16+BF$15)+(FC_Desde&gt;=1)*(BF$14&gt;=FC_Desde)*BF$15))</f>
        <v>4597.55304472528</v>
      </c>
      <c r="BG86" s="34" t="n">
        <f aca="false">SUMPRODUCT((FC_Clase="Producción")*FC_O*((FC_Mon="PYG")*BG$19+(FC_Mon&lt;&gt;"PYG"))*(1+FC_g)^(BG$17-1)*((FC_Desde=0)*(BG$16+BG$15)+(FC_Desde&gt;=1)*(BG$14&gt;=FC_Desde)*BG$15))</f>
        <v>4597.55304472528</v>
      </c>
      <c r="BH86" s="34" t="n">
        <f aca="false">SUMPRODUCT((FC_Clase="Producción")*FC_O*((FC_Mon="PYG")*BH$19+(FC_Mon&lt;&gt;"PYG"))*(1+FC_g)^(BH$17-1)*((FC_Desde=0)*(BH$16+BH$15)+(FC_Desde&gt;=1)*(BH$14&gt;=FC_Desde)*BH$15))</f>
        <v>4597.55304472528</v>
      </c>
      <c r="BI86" s="34" t="n">
        <f aca="false">SUMPRODUCT((FC_Clase="Producción")*FC_O*((FC_Mon="PYG")*BI$19+(FC_Mon&lt;&gt;"PYG"))*(1+FC_g)^(BI$17-1)*((FC_Desde=0)*(BI$16+BI$15)+(FC_Desde&gt;=1)*(BI$14&gt;=FC_Desde)*BI$15))</f>
        <v>4597.55304472528</v>
      </c>
      <c r="BJ86" s="34" t="n">
        <f aca="false">SUMPRODUCT((FC_Clase="Producción")*FC_O*((FC_Mon="PYG")*BJ$19+(FC_Mon&lt;&gt;"PYG"))*(1+FC_g)^(BJ$17-1)*((FC_Desde=0)*(BJ$16+BJ$15)+(FC_Desde&gt;=1)*(BJ$14&gt;=FC_Desde)*BJ$15))</f>
        <v>4597.55304472528</v>
      </c>
      <c r="BK86" s="34" t="n">
        <f aca="false">SUMPRODUCT((FC_Clase="Producción")*FC_O*((FC_Mon="PYG")*BK$19+(FC_Mon&lt;&gt;"PYG"))*(1+FC_g)^(BK$17-1)*((FC_Desde=0)*(BK$16+BK$15)+(FC_Desde&gt;=1)*(BK$14&gt;=FC_Desde)*BK$15))</f>
        <v>4597.55304472528</v>
      </c>
      <c r="BL86" s="34" t="n">
        <f aca="false">SUMPRODUCT((FC_Clase="Producción")*FC_O*((FC_Mon="PYG")*BL$19+(FC_Mon&lt;&gt;"PYG"))*(1+FC_g)^(BL$17-1)*((FC_Desde=0)*(BL$16+BL$15)+(FC_Desde&gt;=1)*(BL$14&gt;=FC_Desde)*BL$15))</f>
        <v>4597.55304472528</v>
      </c>
      <c r="BM86" s="34" t="n">
        <f aca="false">SUMPRODUCT((FC_Clase="Producción")*FC_O*((FC_Mon="PYG")*BM$19+(FC_Mon&lt;&gt;"PYG"))*(1+FC_g)^(BM$17-1)*((FC_Desde=0)*(BM$16+BM$15)+(FC_Desde&gt;=1)*(BM$14&gt;=FC_Desde)*BM$15))</f>
        <v>4597.55304472528</v>
      </c>
      <c r="BN86" s="34" t="n">
        <f aca="false">SUMPRODUCT((FC_Clase="Producción")*FC_O*((FC_Mon="PYG")*BN$19+(FC_Mon&lt;&gt;"PYG"))*(1+FC_g)^(BN$17-1)*((FC_Desde=0)*(BN$16+BN$15)+(FC_Desde&gt;=1)*(BN$14&gt;=FC_Desde)*BN$15))</f>
        <v>4651.14794123623</v>
      </c>
      <c r="BO86" s="34" t="n">
        <f aca="false">SUMPRODUCT((FC_Clase="Producción")*FC_O*((FC_Mon="PYG")*BO$19+(FC_Mon&lt;&gt;"PYG"))*(1+FC_g)^(BO$17-1)*((FC_Desde=0)*(BO$16+BO$15)+(FC_Desde&gt;=1)*(BO$14&gt;=FC_Desde)*BO$15))</f>
        <v>4651.14794123623</v>
      </c>
      <c r="BP86" s="34" t="n">
        <f aca="false">SUMPRODUCT((FC_Clase="Producción")*FC_O*((FC_Mon="PYG")*BP$19+(FC_Mon&lt;&gt;"PYG"))*(1+FC_g)^(BP$17-1)*((FC_Desde=0)*(BP$16+BP$15)+(FC_Desde&gt;=1)*(BP$14&gt;=FC_Desde)*BP$15))</f>
        <v>4651.14794123623</v>
      </c>
      <c r="BQ86" s="34" t="n">
        <f aca="false">SUMPRODUCT((FC_Clase="Producción")*FC_O*((FC_Mon="PYG")*BQ$19+(FC_Mon&lt;&gt;"PYG"))*(1+FC_g)^(BQ$17-1)*((FC_Desde=0)*(BQ$16+BQ$15)+(FC_Desde&gt;=1)*(BQ$14&gt;=FC_Desde)*BQ$15))</f>
        <v>4651.14794123623</v>
      </c>
      <c r="BR86" s="34" t="n">
        <f aca="false">SUMPRODUCT((FC_Clase="Producción")*FC_O*((FC_Mon="PYG")*BR$19+(FC_Mon&lt;&gt;"PYG"))*(1+FC_g)^(BR$17-1)*((FC_Desde=0)*(BR$16+BR$15)+(FC_Desde&gt;=1)*(BR$14&gt;=FC_Desde)*BR$15))</f>
        <v>4651.14794123623</v>
      </c>
      <c r="BS86" s="34" t="n">
        <f aca="false">SUMPRODUCT((FC_Clase="Producción")*FC_O*((FC_Mon="PYG")*BS$19+(FC_Mon&lt;&gt;"PYG"))*(1+FC_g)^(BS$17-1)*((FC_Desde=0)*(BS$16+BS$15)+(FC_Desde&gt;=1)*(BS$14&gt;=FC_Desde)*BS$15))</f>
        <v>4651.14794123623</v>
      </c>
      <c r="BT86" s="34" t="n">
        <f aca="false">SUMPRODUCT((FC_Clase="Producción")*FC_O*((FC_Mon="PYG")*BT$19+(FC_Mon&lt;&gt;"PYG"))*(1+FC_g)^(BT$17-1)*((FC_Desde=0)*(BT$16+BT$15)+(FC_Desde&gt;=1)*(BT$14&gt;=FC_Desde)*BT$15))</f>
        <v>4651.14794123623</v>
      </c>
      <c r="BU86" s="34" t="n">
        <f aca="false">SUMPRODUCT((FC_Clase="Producción")*FC_O*((FC_Mon="PYG")*BU$19+(FC_Mon&lt;&gt;"PYG"))*(1+FC_g)^(BU$17-1)*((FC_Desde=0)*(BU$16+BU$15)+(FC_Desde&gt;=1)*(BU$14&gt;=FC_Desde)*BU$15))</f>
        <v>4651.14794123623</v>
      </c>
      <c r="BV86" s="34" t="n">
        <f aca="false">SUMPRODUCT((FC_Clase="Producción")*FC_O*((FC_Mon="PYG")*BV$19+(FC_Mon&lt;&gt;"PYG"))*(1+FC_g)^(BV$17-1)*((FC_Desde=0)*(BV$16+BV$15)+(FC_Desde&gt;=1)*(BV$14&gt;=FC_Desde)*BV$15))</f>
        <v>4651.14794123623</v>
      </c>
      <c r="BW86" s="34" t="n">
        <f aca="false">SUMPRODUCT((FC_Clase="Producción")*FC_O*((FC_Mon="PYG")*BW$19+(FC_Mon&lt;&gt;"PYG"))*(1+FC_g)^(BW$17-1)*((FC_Desde=0)*(BW$16+BW$15)+(FC_Desde&gt;=1)*(BW$14&gt;=FC_Desde)*BW$15))</f>
        <v>4651.14794123623</v>
      </c>
      <c r="BX86" s="34" t="n">
        <f aca="false">SUMPRODUCT((FC_Clase="Producción")*FC_O*((FC_Mon="PYG")*BX$19+(FC_Mon&lt;&gt;"PYG"))*(1+FC_g)^(BX$17-1)*((FC_Desde=0)*(BX$16+BX$15)+(FC_Desde&gt;=1)*(BX$14&gt;=FC_Desde)*BX$15))</f>
        <v>4651.14794123623</v>
      </c>
      <c r="BY86" s="34" t="n">
        <f aca="false">SUMPRODUCT((FC_Clase="Producción")*FC_O*((FC_Mon="PYG")*BY$19+(FC_Mon&lt;&gt;"PYG"))*(1+FC_g)^(BY$17-1)*((FC_Desde=0)*(BY$16+BY$15)+(FC_Desde&gt;=1)*(BY$14&gt;=FC_Desde)*BY$15))</f>
        <v>4651.14794123623</v>
      </c>
      <c r="BZ86" s="34" t="n">
        <f aca="false">SUMPRODUCT((FC_Clase="Producción")*FC_O*((FC_Mon="PYG")*BZ$19+(FC_Mon&lt;&gt;"PYG"))*(1+FC_g)^(BZ$17-1)*((FC_Desde=0)*(BZ$16+BZ$15)+(FC_Desde&gt;=1)*(BZ$14&gt;=FC_Desde)*BZ$15))</f>
        <v>4705.81473567739</v>
      </c>
      <c r="CA86" s="34" t="n">
        <f aca="false">SUMPRODUCT((FC_Clase="Producción")*FC_O*((FC_Mon="PYG")*CA$19+(FC_Mon&lt;&gt;"PYG"))*(1+FC_g)^(CA$17-1)*((FC_Desde=0)*(CA$16+CA$15)+(FC_Desde&gt;=1)*(CA$14&gt;=FC_Desde)*CA$15))</f>
        <v>4705.81473567739</v>
      </c>
      <c r="CB86" s="34" t="n">
        <f aca="false">SUMPRODUCT((FC_Clase="Producción")*FC_O*((FC_Mon="PYG")*CB$19+(FC_Mon&lt;&gt;"PYG"))*(1+FC_g)^(CB$17-1)*((FC_Desde=0)*(CB$16+CB$15)+(FC_Desde&gt;=1)*(CB$14&gt;=FC_Desde)*CB$15))</f>
        <v>4705.81473567739</v>
      </c>
      <c r="CC86" s="34" t="n">
        <f aca="false">SUMPRODUCT((FC_Clase="Producción")*FC_O*((FC_Mon="PYG")*CC$19+(FC_Mon&lt;&gt;"PYG"))*(1+FC_g)^(CC$17-1)*((FC_Desde=0)*(CC$16+CC$15)+(FC_Desde&gt;=1)*(CC$14&gt;=FC_Desde)*CC$15))</f>
        <v>4705.81473567739</v>
      </c>
      <c r="CD86" s="34" t="n">
        <f aca="false">SUMPRODUCT((FC_Clase="Producción")*FC_O*((FC_Mon="PYG")*CD$19+(FC_Mon&lt;&gt;"PYG"))*(1+FC_g)^(CD$17-1)*((FC_Desde=0)*(CD$16+CD$15)+(FC_Desde&gt;=1)*(CD$14&gt;=FC_Desde)*CD$15))</f>
        <v>4705.81473567739</v>
      </c>
      <c r="CE86" s="34" t="n">
        <f aca="false">SUMPRODUCT((FC_Clase="Producción")*FC_O*((FC_Mon="PYG")*CE$19+(FC_Mon&lt;&gt;"PYG"))*(1+FC_g)^(CE$17-1)*((FC_Desde=0)*(CE$16+CE$15)+(FC_Desde&gt;=1)*(CE$14&gt;=FC_Desde)*CE$15))</f>
        <v>4705.81473567739</v>
      </c>
      <c r="CF86" s="34" t="n">
        <f aca="false">SUMPRODUCT((FC_Clase="Producción")*FC_O*((FC_Mon="PYG")*CF$19+(FC_Mon&lt;&gt;"PYG"))*(1+FC_g)^(CF$17-1)*((FC_Desde=0)*(CF$16+CF$15)+(FC_Desde&gt;=1)*(CF$14&gt;=FC_Desde)*CF$15))</f>
        <v>4705.81473567739</v>
      </c>
      <c r="CG86" s="34" t="n">
        <f aca="false">SUMPRODUCT((FC_Clase="Producción")*FC_O*((FC_Mon="PYG")*CG$19+(FC_Mon&lt;&gt;"PYG"))*(1+FC_g)^(CG$17-1)*((FC_Desde=0)*(CG$16+CG$15)+(FC_Desde&gt;=1)*(CG$14&gt;=FC_Desde)*CG$15))</f>
        <v>4705.81473567739</v>
      </c>
      <c r="CH86" s="34" t="n">
        <f aca="false">SUMPRODUCT((FC_Clase="Producción")*FC_O*((FC_Mon="PYG")*CH$19+(FC_Mon&lt;&gt;"PYG"))*(1+FC_g)^(CH$17-1)*((FC_Desde=0)*(CH$16+CH$15)+(FC_Desde&gt;=1)*(CH$14&gt;=FC_Desde)*CH$15))</f>
        <v>4705.81473567739</v>
      </c>
      <c r="CI86" s="34" t="n">
        <f aca="false">SUMPRODUCT((FC_Clase="Producción")*FC_O*((FC_Mon="PYG")*CI$19+(FC_Mon&lt;&gt;"PYG"))*(1+FC_g)^(CI$17-1)*((FC_Desde=0)*(CI$16+CI$15)+(FC_Desde&gt;=1)*(CI$14&gt;=FC_Desde)*CI$15))</f>
        <v>4705.81473567739</v>
      </c>
      <c r="CJ86" s="34" t="n">
        <f aca="false">SUMPRODUCT((FC_Clase="Producción")*FC_O*((FC_Mon="PYG")*CJ$19+(FC_Mon&lt;&gt;"PYG"))*(1+FC_g)^(CJ$17-1)*((FC_Desde=0)*(CJ$16+CJ$15)+(FC_Desde&gt;=1)*(CJ$14&gt;=FC_Desde)*CJ$15))</f>
        <v>4705.81473567739</v>
      </c>
      <c r="CK86" s="34" t="n">
        <f aca="false">SUMPRODUCT((FC_Clase="Producción")*FC_O*((FC_Mon="PYG")*CK$19+(FC_Mon&lt;&gt;"PYG"))*(1+FC_g)^(CK$17-1)*((FC_Desde=0)*(CK$16+CK$15)+(FC_Desde&gt;=1)*(CK$14&gt;=FC_Desde)*CK$15))</f>
        <v>4705.81473567739</v>
      </c>
      <c r="CL86" s="34" t="n">
        <f aca="false">SUMPRODUCT((FC_Clase="Producción")*FC_O*((FC_Mon="PYG")*CL$19+(FC_Mon&lt;&gt;"PYG"))*(1+FC_g)^(CL$17-1)*((FC_Desde=0)*(CL$16+CL$15)+(FC_Desde&gt;=1)*(CL$14&gt;=FC_Desde)*CL$15))</f>
        <v>4761.57486600738</v>
      </c>
      <c r="CM86" s="34" t="n">
        <f aca="false">SUMPRODUCT((FC_Clase="Producción")*FC_O*((FC_Mon="PYG")*CM$19+(FC_Mon&lt;&gt;"PYG"))*(1+FC_g)^(CM$17-1)*((FC_Desde=0)*(CM$16+CM$15)+(FC_Desde&gt;=1)*(CM$14&gt;=FC_Desde)*CM$15))</f>
        <v>4761.57486600738</v>
      </c>
      <c r="CN86" s="34" t="n">
        <f aca="false">SUMPRODUCT((FC_Clase="Producción")*FC_O*((FC_Mon="PYG")*CN$19+(FC_Mon&lt;&gt;"PYG"))*(1+FC_g)^(CN$17-1)*((FC_Desde=0)*(CN$16+CN$15)+(FC_Desde&gt;=1)*(CN$14&gt;=FC_Desde)*CN$15))</f>
        <v>4761.57486600738</v>
      </c>
      <c r="CO86" s="34" t="n">
        <f aca="false">SUMPRODUCT((FC_Clase="Producción")*FC_O*((FC_Mon="PYG")*CO$19+(FC_Mon&lt;&gt;"PYG"))*(1+FC_g)^(CO$17-1)*((FC_Desde=0)*(CO$16+CO$15)+(FC_Desde&gt;=1)*(CO$14&gt;=FC_Desde)*CO$15))</f>
        <v>4761.57486600738</v>
      </c>
      <c r="CP86" s="34" t="n">
        <f aca="false">SUMPRODUCT((FC_Clase="Producción")*FC_O*((FC_Mon="PYG")*CP$19+(FC_Mon&lt;&gt;"PYG"))*(1+FC_g)^(CP$17-1)*((FC_Desde=0)*(CP$16+CP$15)+(FC_Desde&gt;=1)*(CP$14&gt;=FC_Desde)*CP$15))</f>
        <v>4761.57486600738</v>
      </c>
      <c r="CQ86" s="34" t="n">
        <f aca="false">SUMPRODUCT((FC_Clase="Producción")*FC_O*((FC_Mon="PYG")*CQ$19+(FC_Mon&lt;&gt;"PYG"))*(1+FC_g)^(CQ$17-1)*((FC_Desde=0)*(CQ$16+CQ$15)+(FC_Desde&gt;=1)*(CQ$14&gt;=FC_Desde)*CQ$15))</f>
        <v>4761.57486600738</v>
      </c>
      <c r="CR86" s="34" t="n">
        <f aca="false">SUMPRODUCT((FC_Clase="Producción")*FC_O*((FC_Mon="PYG")*CR$19+(FC_Mon&lt;&gt;"PYG"))*(1+FC_g)^(CR$17-1)*((FC_Desde=0)*(CR$16+CR$15)+(FC_Desde&gt;=1)*(CR$14&gt;=FC_Desde)*CR$15))</f>
        <v>4761.57486600738</v>
      </c>
      <c r="CS86" s="34" t="n">
        <f aca="false">SUMPRODUCT((FC_Clase="Producción")*FC_O*((FC_Mon="PYG")*CS$19+(FC_Mon&lt;&gt;"PYG"))*(1+FC_g)^(CS$17-1)*((FC_Desde=0)*(CS$16+CS$15)+(FC_Desde&gt;=1)*(CS$14&gt;=FC_Desde)*CS$15))</f>
        <v>4761.57486600738</v>
      </c>
      <c r="CT86" s="34" t="n">
        <f aca="false">SUMPRODUCT((FC_Clase="Producción")*FC_O*((FC_Mon="PYG")*CT$19+(FC_Mon&lt;&gt;"PYG"))*(1+FC_g)^(CT$17-1)*((FC_Desde=0)*(CT$16+CT$15)+(FC_Desde&gt;=1)*(CT$14&gt;=FC_Desde)*CT$15))</f>
        <v>4761.57486600738</v>
      </c>
      <c r="CU86" s="34" t="n">
        <f aca="false">SUMPRODUCT((FC_Clase="Producción")*FC_O*((FC_Mon="PYG")*CU$19+(FC_Mon&lt;&gt;"PYG"))*(1+FC_g)^(CU$17-1)*((FC_Desde=0)*(CU$16+CU$15)+(FC_Desde&gt;=1)*(CU$14&gt;=FC_Desde)*CU$15))</f>
        <v>4761.57486600738</v>
      </c>
      <c r="CV86" s="34" t="n">
        <f aca="false">SUMPRODUCT((FC_Clase="Producción")*FC_O*((FC_Mon="PYG")*CV$19+(FC_Mon&lt;&gt;"PYG"))*(1+FC_g)^(CV$17-1)*((FC_Desde=0)*(CV$16+CV$15)+(FC_Desde&gt;=1)*(CV$14&gt;=FC_Desde)*CV$15))</f>
        <v>4761.57486600738</v>
      </c>
      <c r="CW86" s="34" t="n">
        <f aca="false">SUMPRODUCT((FC_Clase="Producción")*FC_O*((FC_Mon="PYG")*CW$19+(FC_Mon&lt;&gt;"PYG"))*(1+FC_g)^(CW$17-1)*((FC_Desde=0)*(CW$16+CW$15)+(FC_Desde&gt;=1)*(CW$14&gt;=FC_Desde)*CW$15))</f>
        <v>4761.57486600738</v>
      </c>
      <c r="CX86" s="34" t="n">
        <f aca="false">SUMPRODUCT((FC_Clase="Producción")*FC_O*((FC_Mon="PYG")*CX$19+(FC_Mon&lt;&gt;"PYG"))*(1+FC_g)^(CX$17-1)*((FC_Desde=0)*(CX$16+CX$15)+(FC_Desde&gt;=1)*(CX$14&gt;=FC_Desde)*CX$15))</f>
        <v>4818.45019894396</v>
      </c>
      <c r="CY86" s="34" t="n">
        <f aca="false">SUMPRODUCT((FC_Clase="Producción")*FC_O*((FC_Mon="PYG")*CY$19+(FC_Mon&lt;&gt;"PYG"))*(1+FC_g)^(CY$17-1)*((FC_Desde=0)*(CY$16+CY$15)+(FC_Desde&gt;=1)*(CY$14&gt;=FC_Desde)*CY$15))</f>
        <v>4818.45019894396</v>
      </c>
      <c r="CZ86" s="34" t="n">
        <f aca="false">SUMPRODUCT((FC_Clase="Producción")*FC_O*((FC_Mon="PYG")*CZ$19+(FC_Mon&lt;&gt;"PYG"))*(1+FC_g)^(CZ$17-1)*((FC_Desde=0)*(CZ$16+CZ$15)+(FC_Desde&gt;=1)*(CZ$14&gt;=FC_Desde)*CZ$15))</f>
        <v>4818.45019894396</v>
      </c>
      <c r="DA86" s="34" t="n">
        <f aca="false">SUMPRODUCT((FC_Clase="Producción")*FC_O*((FC_Mon="PYG")*DA$19+(FC_Mon&lt;&gt;"PYG"))*(1+FC_g)^(DA$17-1)*((FC_Desde=0)*(DA$16+DA$15)+(FC_Desde&gt;=1)*(DA$14&gt;=FC_Desde)*DA$15))</f>
        <v>4818.45019894396</v>
      </c>
      <c r="DB86" s="34" t="n">
        <f aca="false">SUMPRODUCT((FC_Clase="Producción")*FC_O*((FC_Mon="PYG")*DB$19+(FC_Mon&lt;&gt;"PYG"))*(1+FC_g)^(DB$17-1)*((FC_Desde=0)*(DB$16+DB$15)+(FC_Desde&gt;=1)*(DB$14&gt;=FC_Desde)*DB$15))</f>
        <v>4818.45019894396</v>
      </c>
      <c r="DC86" s="34" t="n">
        <f aca="false">SUMPRODUCT((FC_Clase="Producción")*FC_O*((FC_Mon="PYG")*DC$19+(FC_Mon&lt;&gt;"PYG"))*(1+FC_g)^(DC$17-1)*((FC_Desde=0)*(DC$16+DC$15)+(FC_Desde&gt;=1)*(DC$14&gt;=FC_Desde)*DC$15))</f>
        <v>4818.45019894396</v>
      </c>
      <c r="DD86" s="34" t="n">
        <f aca="false">SUMPRODUCT((FC_Clase="Producción")*FC_O*((FC_Mon="PYG")*DD$19+(FC_Mon&lt;&gt;"PYG"))*(1+FC_g)^(DD$17-1)*((FC_Desde=0)*(DD$16+DD$15)+(FC_Desde&gt;=1)*(DD$14&gt;=FC_Desde)*DD$15))</f>
        <v>4818.45019894396</v>
      </c>
      <c r="DE86" s="34" t="n">
        <f aca="false">SUMPRODUCT((FC_Clase="Producción")*FC_O*((FC_Mon="PYG")*DE$19+(FC_Mon&lt;&gt;"PYG"))*(1+FC_g)^(DE$17-1)*((FC_Desde=0)*(DE$16+DE$15)+(FC_Desde&gt;=1)*(DE$14&gt;=FC_Desde)*DE$15))</f>
        <v>4818.45019894396</v>
      </c>
      <c r="DF86" s="34" t="n">
        <f aca="false">SUMPRODUCT((FC_Clase="Producción")*FC_O*((FC_Mon="PYG")*DF$19+(FC_Mon&lt;&gt;"PYG"))*(1+FC_g)^(DF$17-1)*((FC_Desde=0)*(DF$16+DF$15)+(FC_Desde&gt;=1)*(DF$14&gt;=FC_Desde)*DF$15))</f>
        <v>4818.45019894396</v>
      </c>
      <c r="DG86" s="34" t="n">
        <f aca="false">SUMPRODUCT((FC_Clase="Producción")*FC_O*((FC_Mon="PYG")*DG$19+(FC_Mon&lt;&gt;"PYG"))*(1+FC_g)^(DG$17-1)*((FC_Desde=0)*(DG$16+DG$15)+(FC_Desde&gt;=1)*(DG$14&gt;=FC_Desde)*DG$15))</f>
        <v>4818.45019894396</v>
      </c>
      <c r="DH86" s="34" t="n">
        <f aca="false">SUMPRODUCT((FC_Clase="Producción")*FC_O*((FC_Mon="PYG")*DH$19+(FC_Mon&lt;&gt;"PYG"))*(1+FC_g)^(DH$17-1)*((FC_Desde=0)*(DH$16+DH$15)+(FC_Desde&gt;=1)*(DH$14&gt;=FC_Desde)*DH$15))</f>
        <v>4818.45019894396</v>
      </c>
      <c r="DI86" s="34" t="n">
        <f aca="false">SUMPRODUCT((FC_Clase="Producción")*FC_O*((FC_Mon="PYG")*DI$19+(FC_Mon&lt;&gt;"PYG"))*(1+FC_g)^(DI$17-1)*((FC_Desde=0)*(DI$16+DI$15)+(FC_Desde&gt;=1)*(DI$14&gt;=FC_Desde)*DI$15))</f>
        <v>4818.45019894396</v>
      </c>
      <c r="DJ86" s="34" t="n">
        <f aca="false">SUMPRODUCT((FC_Clase="Producción")*FC_O*((FC_Mon="PYG")*DJ$19+(FC_Mon&lt;&gt;"PYG"))*(1+FC_g)^(DJ$17-1)*((FC_Desde=0)*(DJ$16+DJ$15)+(FC_Desde&gt;=1)*(DJ$14&gt;=FC_Desde)*DJ$15))</f>
        <v>4876.46303853928</v>
      </c>
      <c r="DK86" s="34" t="n">
        <f aca="false">SUMPRODUCT((FC_Clase="Producción")*FC_O*((FC_Mon="PYG")*DK$19+(FC_Mon&lt;&gt;"PYG"))*(1+FC_g)^(DK$17-1)*((FC_Desde=0)*(DK$16+DK$15)+(FC_Desde&gt;=1)*(DK$14&gt;=FC_Desde)*DK$15))</f>
        <v>4876.46303853928</v>
      </c>
      <c r="DL86" s="34" t="n">
        <f aca="false">SUMPRODUCT((FC_Clase="Producción")*FC_O*((FC_Mon="PYG")*DL$19+(FC_Mon&lt;&gt;"PYG"))*(1+FC_g)^(DL$17-1)*((FC_Desde=0)*(DL$16+DL$15)+(FC_Desde&gt;=1)*(DL$14&gt;=FC_Desde)*DL$15))</f>
        <v>4876.46303853928</v>
      </c>
      <c r="DM86" s="34" t="n">
        <f aca="false">SUMPRODUCT((FC_Clase="Producción")*FC_O*((FC_Mon="PYG")*DM$19+(FC_Mon&lt;&gt;"PYG"))*(1+FC_g)^(DM$17-1)*((FC_Desde=0)*(DM$16+DM$15)+(FC_Desde&gt;=1)*(DM$14&gt;=FC_Desde)*DM$15))</f>
        <v>4876.46303853928</v>
      </c>
      <c r="DN86" s="34" t="n">
        <f aca="false">SUMPRODUCT((FC_Clase="Producción")*FC_O*((FC_Mon="PYG")*DN$19+(FC_Mon&lt;&gt;"PYG"))*(1+FC_g)^(DN$17-1)*((FC_Desde=0)*(DN$16+DN$15)+(FC_Desde&gt;=1)*(DN$14&gt;=FC_Desde)*DN$15))</f>
        <v>4876.46303853928</v>
      </c>
      <c r="DO86" s="34" t="n">
        <f aca="false">SUMPRODUCT((FC_Clase="Producción")*FC_O*((FC_Mon="PYG")*DO$19+(FC_Mon&lt;&gt;"PYG"))*(1+FC_g)^(DO$17-1)*((FC_Desde=0)*(DO$16+DO$15)+(FC_Desde&gt;=1)*(DO$14&gt;=FC_Desde)*DO$15))</f>
        <v>4876.46303853928</v>
      </c>
      <c r="DP86" s="34" t="n">
        <f aca="false">SUMPRODUCT((FC_Clase="Producción")*FC_O*((FC_Mon="PYG")*DP$19+(FC_Mon&lt;&gt;"PYG"))*(1+FC_g)^(DP$17-1)*((FC_Desde=0)*(DP$16+DP$15)+(FC_Desde&gt;=1)*(DP$14&gt;=FC_Desde)*DP$15))</f>
        <v>4876.46303853928</v>
      </c>
      <c r="DQ86" s="34" t="n">
        <f aca="false">SUMPRODUCT((FC_Clase="Producción")*FC_O*((FC_Mon="PYG")*DQ$19+(FC_Mon&lt;&gt;"PYG"))*(1+FC_g)^(DQ$17-1)*((FC_Desde=0)*(DQ$16+DQ$15)+(FC_Desde&gt;=1)*(DQ$14&gt;=FC_Desde)*DQ$15))</f>
        <v>4876.46303853928</v>
      </c>
      <c r="DR86" s="34" t="n">
        <f aca="false">SUMPRODUCT((FC_Clase="Producción")*FC_O*((FC_Mon="PYG")*DR$19+(FC_Mon&lt;&gt;"PYG"))*(1+FC_g)^(DR$17-1)*((FC_Desde=0)*(DR$16+DR$15)+(FC_Desde&gt;=1)*(DR$14&gt;=FC_Desde)*DR$15))</f>
        <v>4876.46303853928</v>
      </c>
      <c r="DS86" s="34" t="n">
        <f aca="false">SUMPRODUCT((FC_Clase="Producción")*FC_O*((FC_Mon="PYG")*DS$19+(FC_Mon&lt;&gt;"PYG"))*(1+FC_g)^(DS$17-1)*((FC_Desde=0)*(DS$16+DS$15)+(FC_Desde&gt;=1)*(DS$14&gt;=FC_Desde)*DS$15))</f>
        <v>4876.46303853928</v>
      </c>
      <c r="DT86" s="34" t="n">
        <f aca="false">SUMPRODUCT((FC_Clase="Producción")*FC_O*((FC_Mon="PYG")*DT$19+(FC_Mon&lt;&gt;"PYG"))*(1+FC_g)^(DT$17-1)*((FC_Desde=0)*(DT$16+DT$15)+(FC_Desde&gt;=1)*(DT$14&gt;=FC_Desde)*DT$15))</f>
        <v>4876.46303853928</v>
      </c>
      <c r="DU86" s="34" t="n">
        <f aca="false">SUMPRODUCT((FC_Clase="Producción")*FC_O*((FC_Mon="PYG")*DU$19+(FC_Mon&lt;&gt;"PYG"))*(1+FC_g)^(DU$17-1)*((FC_Desde=0)*(DU$16+DU$15)+(FC_Desde&gt;=1)*(DU$14&gt;=FC_Desde)*DU$15))</f>
        <v>4876.46303853928</v>
      </c>
      <c r="DV86" s="34" t="n">
        <f aca="false">SUMPRODUCT((FC_Clase="Producción")*FC_O*((FC_Mon="PYG")*DV$19+(FC_Mon&lt;&gt;"PYG"))*(1+FC_g)^(DV$17-1)*((FC_Desde=0)*(DV$16+DV$15)+(FC_Desde&gt;=1)*(DV$14&gt;=FC_Desde)*DV$15))</f>
        <v>0</v>
      </c>
      <c r="DW86" s="34" t="n">
        <f aca="false">SUMPRODUCT((FC_Clase="Producción")*FC_O*((FC_Mon="PYG")*DW$19+(FC_Mon&lt;&gt;"PYG"))*(1+FC_g)^(DW$17-1)*((FC_Desde=0)*(DW$16+DW$15)+(FC_Desde&gt;=1)*(DW$14&gt;=FC_Desde)*DW$15))</f>
        <v>0</v>
      </c>
      <c r="DX86" s="34" t="n">
        <f aca="false">SUMPRODUCT((FC_Clase="Producción")*FC_O*((FC_Mon="PYG")*DX$19+(FC_Mon&lt;&gt;"PYG"))*(1+FC_g)^(DX$17-1)*((FC_Desde=0)*(DX$16+DX$15)+(FC_Desde&gt;=1)*(DX$14&gt;=FC_Desde)*DX$15))</f>
        <v>0</v>
      </c>
      <c r="DY86" s="34" t="n">
        <f aca="false">SUMPRODUCT((FC_Clase="Producción")*FC_O*((FC_Mon="PYG")*DY$19+(FC_Mon&lt;&gt;"PYG"))*(1+FC_g)^(DY$17-1)*((FC_Desde=0)*(DY$16+DY$15)+(FC_Desde&gt;=1)*(DY$14&gt;=FC_Desde)*DY$15))</f>
        <v>0</v>
      </c>
      <c r="DZ86" s="34" t="n">
        <f aca="false">SUMPRODUCT((FC_Clase="Producción")*FC_O*((FC_Mon="PYG")*DZ$19+(FC_Mon&lt;&gt;"PYG"))*(1+FC_g)^(DZ$17-1)*((FC_Desde=0)*(DZ$16+DZ$15)+(FC_Desde&gt;=1)*(DZ$14&gt;=FC_Desde)*DZ$15))</f>
        <v>0</v>
      </c>
      <c r="EA86" s="34" t="n">
        <f aca="false">SUMPRODUCT((FC_Clase="Producción")*FC_O*((FC_Mon="PYG")*EA$19+(FC_Mon&lt;&gt;"PYG"))*(1+FC_g)^(EA$17-1)*((FC_Desde=0)*(EA$16+EA$15)+(FC_Desde&gt;=1)*(EA$14&gt;=FC_Desde)*EA$15))</f>
        <v>0</v>
      </c>
      <c r="EB86" s="34" t="n">
        <f aca="false">SUMPRODUCT((FC_Clase="Producción")*FC_O*((FC_Mon="PYG")*EB$19+(FC_Mon&lt;&gt;"PYG"))*(1+FC_g)^(EB$17-1)*((FC_Desde=0)*(EB$16+EB$15)+(FC_Desde&gt;=1)*(EB$14&gt;=FC_Desde)*EB$15))</f>
        <v>0</v>
      </c>
      <c r="EC86" s="34" t="n">
        <f aca="false">SUMPRODUCT((FC_Clase="Producción")*FC_O*((FC_Mon="PYG")*EC$19+(FC_Mon&lt;&gt;"PYG"))*(1+FC_g)^(EC$17-1)*((FC_Desde=0)*(EC$16+EC$15)+(FC_Desde&gt;=1)*(EC$14&gt;=FC_Desde)*EC$15))</f>
        <v>0</v>
      </c>
      <c r="ED86" s="34" t="n">
        <f aca="false">SUMPRODUCT((FC_Clase="Producción")*FC_O*((FC_Mon="PYG")*ED$19+(FC_Mon&lt;&gt;"PYG"))*(1+FC_g)^(ED$17-1)*((FC_Desde=0)*(ED$16+ED$15)+(FC_Desde&gt;=1)*(ED$14&gt;=FC_Desde)*ED$15))</f>
        <v>0</v>
      </c>
      <c r="EE86" s="34" t="n">
        <f aca="false">SUMPRODUCT((FC_Clase="Producción")*FC_O*((FC_Mon="PYG")*EE$19+(FC_Mon&lt;&gt;"PYG"))*(1+FC_g)^(EE$17-1)*((FC_Desde=0)*(EE$16+EE$15)+(FC_Desde&gt;=1)*(EE$14&gt;=FC_Desde)*EE$15))</f>
        <v>0</v>
      </c>
      <c r="EF86" s="34" t="n">
        <f aca="false">SUMPRODUCT((FC_Clase="Producción")*FC_O*((FC_Mon="PYG")*EF$19+(FC_Mon&lt;&gt;"PYG"))*(1+FC_g)^(EF$17-1)*((FC_Desde=0)*(EF$16+EF$15)+(FC_Desde&gt;=1)*(EF$14&gt;=FC_Desde)*EF$15))</f>
        <v>0</v>
      </c>
      <c r="EG86" s="34" t="n">
        <f aca="false">SUMPRODUCT((FC_Clase="Producción")*FC_O*((FC_Mon="PYG")*EG$19+(FC_Mon&lt;&gt;"PYG"))*(1+FC_g)^(EG$17-1)*((FC_Desde=0)*(EG$16+EG$15)+(FC_Desde&gt;=1)*(EG$14&gt;=FC_Desde)*EG$15))</f>
        <v>0</v>
      </c>
      <c r="EH86" s="34" t="n">
        <f aca="false">SUMPRODUCT((FC_Clase="Producción")*FC_O*((FC_Mon="PYG")*EH$19+(FC_Mon&lt;&gt;"PYG"))*(1+FC_g)^(EH$17-1)*((FC_Desde=0)*(EH$16+EH$15)+(FC_Desde&gt;=1)*(EH$14&gt;=FC_Desde)*EH$15))</f>
        <v>0</v>
      </c>
      <c r="EI86" s="34" t="n">
        <f aca="false">SUMPRODUCT((FC_Clase="Producción")*FC_O*((FC_Mon="PYG")*EI$19+(FC_Mon&lt;&gt;"PYG"))*(1+FC_g)^(EI$17-1)*((FC_Desde=0)*(EI$16+EI$15)+(FC_Desde&gt;=1)*(EI$14&gt;=FC_Desde)*EI$15))</f>
        <v>0</v>
      </c>
      <c r="EJ86" s="34" t="n">
        <f aca="false">SUMPRODUCT((FC_Clase="Producción")*FC_O*((FC_Mon="PYG")*EJ$19+(FC_Mon&lt;&gt;"PYG"))*(1+FC_g)^(EJ$17-1)*((FC_Desde=0)*(EJ$16+EJ$15)+(FC_Desde&gt;=1)*(EJ$14&gt;=FC_Desde)*EJ$15))</f>
        <v>0</v>
      </c>
      <c r="EK86" s="34" t="n">
        <f aca="false">SUMPRODUCT((FC_Clase="Producción")*FC_O*((FC_Mon="PYG")*EK$19+(FC_Mon&lt;&gt;"PYG"))*(1+FC_g)^(EK$17-1)*((FC_Desde=0)*(EK$16+EK$15)+(FC_Desde&gt;=1)*(EK$14&gt;=FC_Desde)*EK$15))</f>
        <v>0</v>
      </c>
      <c r="EL86" s="34" t="n">
        <f aca="false">SUMPRODUCT((FC_Clase="Producción")*FC_O*((FC_Mon="PYG")*EL$19+(FC_Mon&lt;&gt;"PYG"))*(1+FC_g)^(EL$17-1)*((FC_Desde=0)*(EL$16+EL$15)+(FC_Desde&gt;=1)*(EL$14&gt;=FC_Desde)*EL$15))</f>
        <v>0</v>
      </c>
      <c r="EM86" s="34" t="n">
        <f aca="false">SUMPRODUCT((FC_Clase="Producción")*FC_O*((FC_Mon="PYG")*EM$19+(FC_Mon&lt;&gt;"PYG"))*(1+FC_g)^(EM$17-1)*((FC_Desde=0)*(EM$16+EM$15)+(FC_Desde&gt;=1)*(EM$14&gt;=FC_Desde)*EM$15))</f>
        <v>0</v>
      </c>
      <c r="EN86" s="34" t="n">
        <f aca="false">SUMPRODUCT((FC_Clase="Producción")*FC_O*((FC_Mon="PYG")*EN$19+(FC_Mon&lt;&gt;"PYG"))*(1+FC_g)^(EN$17-1)*((FC_Desde=0)*(EN$16+EN$15)+(FC_Desde&gt;=1)*(EN$14&gt;=FC_Desde)*EN$15))</f>
        <v>0</v>
      </c>
      <c r="EO86" s="34" t="n">
        <f aca="false">SUMPRODUCT((FC_Clase="Producción")*FC_O*((FC_Mon="PYG")*EO$19+(FC_Mon&lt;&gt;"PYG"))*(1+FC_g)^(EO$17-1)*((FC_Desde=0)*(EO$16+EO$15)+(FC_Desde&gt;=1)*(EO$14&gt;=FC_Desde)*EO$15))</f>
        <v>0</v>
      </c>
      <c r="EP86" s="34" t="n">
        <f aca="false">SUMPRODUCT((FC_Clase="Producción")*FC_O*((FC_Mon="PYG")*EP$19+(FC_Mon&lt;&gt;"PYG"))*(1+FC_g)^(EP$17-1)*((FC_Desde=0)*(EP$16+EP$15)+(FC_Desde&gt;=1)*(EP$14&gt;=FC_Desde)*EP$15))</f>
        <v>0</v>
      </c>
      <c r="EQ86" s="34" t="n">
        <f aca="false">SUMPRODUCT((FC_Clase="Producción")*FC_O*((FC_Mon="PYG")*EQ$19+(FC_Mon&lt;&gt;"PYG"))*(1+FC_g)^(EQ$17-1)*((FC_Desde=0)*(EQ$16+EQ$15)+(FC_Desde&gt;=1)*(EQ$14&gt;=FC_Desde)*EQ$15))</f>
        <v>0</v>
      </c>
      <c r="ER86" s="34" t="n">
        <f aca="false">SUMPRODUCT((FC_Clase="Producción")*FC_O*((FC_Mon="PYG")*ER$19+(FC_Mon&lt;&gt;"PYG"))*(1+FC_g)^(ER$17-1)*((FC_Desde=0)*(ER$16+ER$15)+(FC_Desde&gt;=1)*(ER$14&gt;=FC_Desde)*ER$15))</f>
        <v>0</v>
      </c>
      <c r="ES86" s="34" t="n">
        <f aca="false">SUMPRODUCT((FC_Clase="Producción")*FC_O*((FC_Mon="PYG")*ES$19+(FC_Mon&lt;&gt;"PYG"))*(1+FC_g)^(ES$17-1)*((FC_Desde=0)*(ES$16+ES$15)+(FC_Desde&gt;=1)*(ES$14&gt;=FC_Desde)*ES$15))</f>
        <v>0</v>
      </c>
    </row>
    <row r="87" customFormat="false" ht="15" hidden="false" customHeight="false" outlineLevel="0" collapsed="false">
      <c r="A87" s="2" t="s">
        <v>665</v>
      </c>
      <c r="B87" s="6" t="s">
        <v>666</v>
      </c>
      <c r="C87" s="6" t="s">
        <v>250</v>
      </c>
      <c r="E87" s="40" t="n">
        <f aca="false">SUM(F87:ES87)</f>
        <v>3059546.01375462</v>
      </c>
      <c r="F87" s="34" t="n">
        <f aca="false">SUMPRODUCT((FC_Clase="Administración")*FC_O*((FC_Mon="PYG")*F$19+(FC_Mon&lt;&gt;"PYG"))*(1+FC_g)^(F$17-1)*((FC_Desde=0)*(F$16+F$15)+(FC_Desde&gt;=1)*(F$14&gt;=FC_Desde)*F$15))</f>
        <v>22893.5857534247</v>
      </c>
      <c r="G87" s="34" t="n">
        <f aca="false">SUMPRODUCT((FC_Clase="Administración")*FC_O*((FC_Mon="PYG")*G$19+(FC_Mon&lt;&gt;"PYG"))*(1+FC_g)^(G$17-1)*((FC_Desde=0)*(G$16+G$15)+(FC_Desde&gt;=1)*(G$14&gt;=FC_Desde)*G$15))</f>
        <v>22893.5857534247</v>
      </c>
      <c r="H87" s="34" t="n">
        <f aca="false">SUMPRODUCT((FC_Clase="Administración")*FC_O*((FC_Mon="PYG")*H$19+(FC_Mon&lt;&gt;"PYG"))*(1+FC_g)^(H$17-1)*((FC_Desde=0)*(H$16+H$15)+(FC_Desde&gt;=1)*(H$14&gt;=FC_Desde)*H$15))</f>
        <v>22893.5857534247</v>
      </c>
      <c r="I87" s="34" t="n">
        <f aca="false">SUMPRODUCT((FC_Clase="Administración")*FC_O*((FC_Mon="PYG")*I$19+(FC_Mon&lt;&gt;"PYG"))*(1+FC_g)^(I$17-1)*((FC_Desde=0)*(I$16+I$15)+(FC_Desde&gt;=1)*(I$14&gt;=FC_Desde)*I$15))</f>
        <v>22893.5857534247</v>
      </c>
      <c r="J87" s="34" t="n">
        <f aca="false">SUMPRODUCT((FC_Clase="Administración")*FC_O*((FC_Mon="PYG")*J$19+(FC_Mon&lt;&gt;"PYG"))*(1+FC_g)^(J$17-1)*((FC_Desde=0)*(J$16+J$15)+(FC_Desde&gt;=1)*(J$14&gt;=FC_Desde)*J$15))</f>
        <v>22893.5857534247</v>
      </c>
      <c r="K87" s="34" t="n">
        <f aca="false">SUMPRODUCT((FC_Clase="Administración")*FC_O*((FC_Mon="PYG")*K$19+(FC_Mon&lt;&gt;"PYG"))*(1+FC_g)^(K$17-1)*((FC_Desde=0)*(K$16+K$15)+(FC_Desde&gt;=1)*(K$14&gt;=FC_Desde)*K$15))</f>
        <v>22893.5857534247</v>
      </c>
      <c r="L87" s="34" t="n">
        <f aca="false">SUMPRODUCT((FC_Clase="Administración")*FC_O*((FC_Mon="PYG")*L$19+(FC_Mon&lt;&gt;"PYG"))*(1+FC_g)^(L$17-1)*((FC_Desde=0)*(L$16+L$15)+(FC_Desde&gt;=1)*(L$14&gt;=FC_Desde)*L$15))</f>
        <v>22893.5857534247</v>
      </c>
      <c r="M87" s="34" t="n">
        <f aca="false">SUMPRODUCT((FC_Clase="Administración")*FC_O*((FC_Mon="PYG")*M$19+(FC_Mon&lt;&gt;"PYG"))*(1+FC_g)^(M$17-1)*((FC_Desde=0)*(M$16+M$15)+(FC_Desde&gt;=1)*(M$14&gt;=FC_Desde)*M$15))</f>
        <v>22893.5857534247</v>
      </c>
      <c r="N87" s="34" t="n">
        <f aca="false">SUMPRODUCT((FC_Clase="Administración")*FC_O*((FC_Mon="PYG")*N$19+(FC_Mon&lt;&gt;"PYG"))*(1+FC_g)^(N$17-1)*((FC_Desde=0)*(N$16+N$15)+(FC_Desde&gt;=1)*(N$14&gt;=FC_Desde)*N$15))</f>
        <v>22893.5857534247</v>
      </c>
      <c r="O87" s="34" t="n">
        <f aca="false">SUMPRODUCT((FC_Clase="Administración")*FC_O*((FC_Mon="PYG")*O$19+(FC_Mon&lt;&gt;"PYG"))*(1+FC_g)^(O$17-1)*((FC_Desde=0)*(O$16+O$15)+(FC_Desde&gt;=1)*(O$14&gt;=FC_Desde)*O$15))</f>
        <v>22893.5857534247</v>
      </c>
      <c r="P87" s="34" t="n">
        <f aca="false">SUMPRODUCT((FC_Clase="Administración")*FC_O*((FC_Mon="PYG")*P$19+(FC_Mon&lt;&gt;"PYG"))*(1+FC_g)^(P$17-1)*((FC_Desde=0)*(P$16+P$15)+(FC_Desde&gt;=1)*(P$14&gt;=FC_Desde)*P$15))</f>
        <v>22893.5857534247</v>
      </c>
      <c r="Q87" s="34" t="n">
        <f aca="false">SUMPRODUCT((FC_Clase="Administración")*FC_O*((FC_Mon="PYG")*Q$19+(FC_Mon&lt;&gt;"PYG"))*(1+FC_g)^(Q$17-1)*((FC_Desde=0)*(Q$16+Q$15)+(FC_Desde&gt;=1)*(Q$14&gt;=FC_Desde)*Q$15))</f>
        <v>22893.5857534247</v>
      </c>
      <c r="R87" s="34" t="n">
        <f aca="false">SUMPRODUCT((FC_Clase="Administración")*FC_O*((FC_Mon="PYG")*R$19+(FC_Mon&lt;&gt;"PYG"))*(1+FC_g)^(R$17-1)*((FC_Desde=0)*(R$16+R$15)+(FC_Desde&gt;=1)*(R$14&gt;=FC_Desde)*R$15))</f>
        <v>23426.9557534247</v>
      </c>
      <c r="S87" s="34" t="n">
        <f aca="false">SUMPRODUCT((FC_Clase="Administración")*FC_O*((FC_Mon="PYG")*S$19+(FC_Mon&lt;&gt;"PYG"))*(1+FC_g)^(S$17-1)*((FC_Desde=0)*(S$16+S$15)+(FC_Desde&gt;=1)*(S$14&gt;=FC_Desde)*S$15))</f>
        <v>23426.9557534247</v>
      </c>
      <c r="T87" s="34" t="n">
        <f aca="false">SUMPRODUCT((FC_Clase="Administración")*FC_O*((FC_Mon="PYG")*T$19+(FC_Mon&lt;&gt;"PYG"))*(1+FC_g)^(T$17-1)*((FC_Desde=0)*(T$16+T$15)+(FC_Desde&gt;=1)*(T$14&gt;=FC_Desde)*T$15))</f>
        <v>23426.9557534247</v>
      </c>
      <c r="U87" s="34" t="n">
        <f aca="false">SUMPRODUCT((FC_Clase="Administración")*FC_O*((FC_Mon="PYG")*U$19+(FC_Mon&lt;&gt;"PYG"))*(1+FC_g)^(U$17-1)*((FC_Desde=0)*(U$16+U$15)+(FC_Desde&gt;=1)*(U$14&gt;=FC_Desde)*U$15))</f>
        <v>23426.9557534247</v>
      </c>
      <c r="V87" s="34" t="n">
        <f aca="false">SUMPRODUCT((FC_Clase="Administración")*FC_O*((FC_Mon="PYG")*V$19+(FC_Mon&lt;&gt;"PYG"))*(1+FC_g)^(V$17-1)*((FC_Desde=0)*(V$16+V$15)+(FC_Desde&gt;=1)*(V$14&gt;=FC_Desde)*V$15))</f>
        <v>23426.9557534247</v>
      </c>
      <c r="W87" s="34" t="n">
        <f aca="false">SUMPRODUCT((FC_Clase="Administración")*FC_O*((FC_Mon="PYG")*W$19+(FC_Mon&lt;&gt;"PYG"))*(1+FC_g)^(W$17-1)*((FC_Desde=0)*(W$16+W$15)+(FC_Desde&gt;=1)*(W$14&gt;=FC_Desde)*W$15))</f>
        <v>23426.9557534247</v>
      </c>
      <c r="X87" s="34" t="n">
        <f aca="false">SUMPRODUCT((FC_Clase="Administración")*FC_O*((FC_Mon="PYG")*X$19+(FC_Mon&lt;&gt;"PYG"))*(1+FC_g)^(X$17-1)*((FC_Desde=0)*(X$16+X$15)+(FC_Desde&gt;=1)*(X$14&gt;=FC_Desde)*X$15))</f>
        <v>23426.9557534247</v>
      </c>
      <c r="Y87" s="34" t="n">
        <f aca="false">SUMPRODUCT((FC_Clase="Administración")*FC_O*((FC_Mon="PYG")*Y$19+(FC_Mon&lt;&gt;"PYG"))*(1+FC_g)^(Y$17-1)*((FC_Desde=0)*(Y$16+Y$15)+(FC_Desde&gt;=1)*(Y$14&gt;=FC_Desde)*Y$15))</f>
        <v>23426.9557534247</v>
      </c>
      <c r="Z87" s="34" t="n">
        <f aca="false">SUMPRODUCT((FC_Clase="Administración")*FC_O*((FC_Mon="PYG")*Z$19+(FC_Mon&lt;&gt;"PYG"))*(1+FC_g)^(Z$17-1)*((FC_Desde=0)*(Z$16+Z$15)+(FC_Desde&gt;=1)*(Z$14&gt;=FC_Desde)*Z$15))</f>
        <v>23426.9557534247</v>
      </c>
      <c r="AA87" s="34" t="n">
        <f aca="false">SUMPRODUCT((FC_Clase="Administración")*FC_O*((FC_Mon="PYG")*AA$19+(FC_Mon&lt;&gt;"PYG"))*(1+FC_g)^(AA$17-1)*((FC_Desde=0)*(AA$16+AA$15)+(FC_Desde&gt;=1)*(AA$14&gt;=FC_Desde)*AA$15))</f>
        <v>23426.9557534247</v>
      </c>
      <c r="AB87" s="34" t="n">
        <f aca="false">SUMPRODUCT((FC_Clase="Administración")*FC_O*((FC_Mon="PYG")*AB$19+(FC_Mon&lt;&gt;"PYG"))*(1+FC_g)^(AB$17-1)*((FC_Desde=0)*(AB$16+AB$15)+(FC_Desde&gt;=1)*(AB$14&gt;=FC_Desde)*AB$15))</f>
        <v>23426.9557534247</v>
      </c>
      <c r="AC87" s="34" t="n">
        <f aca="false">SUMPRODUCT((FC_Clase="Administración")*FC_O*((FC_Mon="PYG")*AC$19+(FC_Mon&lt;&gt;"PYG"))*(1+FC_g)^(AC$17-1)*((FC_Desde=0)*(AC$16+AC$15)+(FC_Desde&gt;=1)*(AC$14&gt;=FC_Desde)*AC$15))</f>
        <v>23426.9557534247</v>
      </c>
      <c r="AD87" s="34" t="n">
        <f aca="false">SUMPRODUCT((FC_Clase="Administración")*FC_O*((FC_Mon="PYG")*AD$19+(FC_Mon&lt;&gt;"PYG"))*(1+FC_g)^(AD$17-1)*((FC_Desde=0)*(AD$16+AD$15)+(FC_Desde&gt;=1)*(AD$14&gt;=FC_Desde)*AD$15))</f>
        <v>23976.3268534247</v>
      </c>
      <c r="AE87" s="34" t="n">
        <f aca="false">SUMPRODUCT((FC_Clase="Administración")*FC_O*((FC_Mon="PYG")*AE$19+(FC_Mon&lt;&gt;"PYG"))*(1+FC_g)^(AE$17-1)*((FC_Desde=0)*(AE$16+AE$15)+(FC_Desde&gt;=1)*(AE$14&gt;=FC_Desde)*AE$15))</f>
        <v>23976.3268534247</v>
      </c>
      <c r="AF87" s="34" t="n">
        <f aca="false">SUMPRODUCT((FC_Clase="Administración")*FC_O*((FC_Mon="PYG")*AF$19+(FC_Mon&lt;&gt;"PYG"))*(1+FC_g)^(AF$17-1)*((FC_Desde=0)*(AF$16+AF$15)+(FC_Desde&gt;=1)*(AF$14&gt;=FC_Desde)*AF$15))</f>
        <v>23976.3268534247</v>
      </c>
      <c r="AG87" s="34" t="n">
        <f aca="false">SUMPRODUCT((FC_Clase="Administración")*FC_O*((FC_Mon="PYG")*AG$19+(FC_Mon&lt;&gt;"PYG"))*(1+FC_g)^(AG$17-1)*((FC_Desde=0)*(AG$16+AG$15)+(FC_Desde&gt;=1)*(AG$14&gt;=FC_Desde)*AG$15))</f>
        <v>23976.3268534247</v>
      </c>
      <c r="AH87" s="34" t="n">
        <f aca="false">SUMPRODUCT((FC_Clase="Administración")*FC_O*((FC_Mon="PYG")*AH$19+(FC_Mon&lt;&gt;"PYG"))*(1+FC_g)^(AH$17-1)*((FC_Desde=0)*(AH$16+AH$15)+(FC_Desde&gt;=1)*(AH$14&gt;=FC_Desde)*AH$15))</f>
        <v>23976.3268534247</v>
      </c>
      <c r="AI87" s="34" t="n">
        <f aca="false">SUMPRODUCT((FC_Clase="Administración")*FC_O*((FC_Mon="PYG")*AI$19+(FC_Mon&lt;&gt;"PYG"))*(1+FC_g)^(AI$17-1)*((FC_Desde=0)*(AI$16+AI$15)+(FC_Desde&gt;=1)*(AI$14&gt;=FC_Desde)*AI$15))</f>
        <v>23976.3268534247</v>
      </c>
      <c r="AJ87" s="34" t="n">
        <f aca="false">SUMPRODUCT((FC_Clase="Administración")*FC_O*((FC_Mon="PYG")*AJ$19+(FC_Mon&lt;&gt;"PYG"))*(1+FC_g)^(AJ$17-1)*((FC_Desde=0)*(AJ$16+AJ$15)+(FC_Desde&gt;=1)*(AJ$14&gt;=FC_Desde)*AJ$15))</f>
        <v>23976.3268534247</v>
      </c>
      <c r="AK87" s="34" t="n">
        <f aca="false">SUMPRODUCT((FC_Clase="Administración")*FC_O*((FC_Mon="PYG")*AK$19+(FC_Mon&lt;&gt;"PYG"))*(1+FC_g)^(AK$17-1)*((FC_Desde=0)*(AK$16+AK$15)+(FC_Desde&gt;=1)*(AK$14&gt;=FC_Desde)*AK$15))</f>
        <v>23976.3268534247</v>
      </c>
      <c r="AL87" s="34" t="n">
        <f aca="false">SUMPRODUCT((FC_Clase="Administración")*FC_O*((FC_Mon="PYG")*AL$19+(FC_Mon&lt;&gt;"PYG"))*(1+FC_g)^(AL$17-1)*((FC_Desde=0)*(AL$16+AL$15)+(FC_Desde&gt;=1)*(AL$14&gt;=FC_Desde)*AL$15))</f>
        <v>23976.3268534247</v>
      </c>
      <c r="AM87" s="34" t="n">
        <f aca="false">SUMPRODUCT((FC_Clase="Administración")*FC_O*((FC_Mon="PYG")*AM$19+(FC_Mon&lt;&gt;"PYG"))*(1+FC_g)^(AM$17-1)*((FC_Desde=0)*(AM$16+AM$15)+(FC_Desde&gt;=1)*(AM$14&gt;=FC_Desde)*AM$15))</f>
        <v>23976.3268534247</v>
      </c>
      <c r="AN87" s="34" t="n">
        <f aca="false">SUMPRODUCT((FC_Clase="Administración")*FC_O*((FC_Mon="PYG")*AN$19+(FC_Mon&lt;&gt;"PYG"))*(1+FC_g)^(AN$17-1)*((FC_Desde=0)*(AN$16+AN$15)+(FC_Desde&gt;=1)*(AN$14&gt;=FC_Desde)*AN$15))</f>
        <v>23976.3268534247</v>
      </c>
      <c r="AO87" s="34" t="n">
        <f aca="false">SUMPRODUCT((FC_Clase="Administración")*FC_O*((FC_Mon="PYG")*AO$19+(FC_Mon&lt;&gt;"PYG"))*(1+FC_g)^(AO$17-1)*((FC_Desde=0)*(AO$16+AO$15)+(FC_Desde&gt;=1)*(AO$14&gt;=FC_Desde)*AO$15))</f>
        <v>23976.3268534247</v>
      </c>
      <c r="AP87" s="34" t="n">
        <f aca="false">SUMPRODUCT((FC_Clase="Administración")*FC_O*((FC_Mon="PYG")*AP$19+(FC_Mon&lt;&gt;"PYG"))*(1+FC_g)^(AP$17-1)*((FC_Desde=0)*(AP$16+AP$15)+(FC_Desde&gt;=1)*(AP$14&gt;=FC_Desde)*AP$15))</f>
        <v>24542.1790864247</v>
      </c>
      <c r="AQ87" s="34" t="n">
        <f aca="false">SUMPRODUCT((FC_Clase="Administración")*FC_O*((FC_Mon="PYG")*AQ$19+(FC_Mon&lt;&gt;"PYG"))*(1+FC_g)^(AQ$17-1)*((FC_Desde=0)*(AQ$16+AQ$15)+(FC_Desde&gt;=1)*(AQ$14&gt;=FC_Desde)*AQ$15))</f>
        <v>24542.1790864247</v>
      </c>
      <c r="AR87" s="34" t="n">
        <f aca="false">SUMPRODUCT((FC_Clase="Administración")*FC_O*((FC_Mon="PYG")*AR$19+(FC_Mon&lt;&gt;"PYG"))*(1+FC_g)^(AR$17-1)*((FC_Desde=0)*(AR$16+AR$15)+(FC_Desde&gt;=1)*(AR$14&gt;=FC_Desde)*AR$15))</f>
        <v>24542.1790864247</v>
      </c>
      <c r="AS87" s="34" t="n">
        <f aca="false">SUMPRODUCT((FC_Clase="Administración")*FC_O*((FC_Mon="PYG")*AS$19+(FC_Mon&lt;&gt;"PYG"))*(1+FC_g)^(AS$17-1)*((FC_Desde=0)*(AS$16+AS$15)+(FC_Desde&gt;=1)*(AS$14&gt;=FC_Desde)*AS$15))</f>
        <v>24542.1790864247</v>
      </c>
      <c r="AT87" s="34" t="n">
        <f aca="false">SUMPRODUCT((FC_Clase="Administración")*FC_O*((FC_Mon="PYG")*AT$19+(FC_Mon&lt;&gt;"PYG"))*(1+FC_g)^(AT$17-1)*((FC_Desde=0)*(AT$16+AT$15)+(FC_Desde&gt;=1)*(AT$14&gt;=FC_Desde)*AT$15))</f>
        <v>24542.1790864247</v>
      </c>
      <c r="AU87" s="34" t="n">
        <f aca="false">SUMPRODUCT((FC_Clase="Administración")*FC_O*((FC_Mon="PYG")*AU$19+(FC_Mon&lt;&gt;"PYG"))*(1+FC_g)^(AU$17-1)*((FC_Desde=0)*(AU$16+AU$15)+(FC_Desde&gt;=1)*(AU$14&gt;=FC_Desde)*AU$15))</f>
        <v>24542.1790864247</v>
      </c>
      <c r="AV87" s="34" t="n">
        <f aca="false">SUMPRODUCT((FC_Clase="Administración")*FC_O*((FC_Mon="PYG")*AV$19+(FC_Mon&lt;&gt;"PYG"))*(1+FC_g)^(AV$17-1)*((FC_Desde=0)*(AV$16+AV$15)+(FC_Desde&gt;=1)*(AV$14&gt;=FC_Desde)*AV$15))</f>
        <v>24542.1790864247</v>
      </c>
      <c r="AW87" s="34" t="n">
        <f aca="false">SUMPRODUCT((FC_Clase="Administración")*FC_O*((FC_Mon="PYG")*AW$19+(FC_Mon&lt;&gt;"PYG"))*(1+FC_g)^(AW$17-1)*((FC_Desde=0)*(AW$16+AW$15)+(FC_Desde&gt;=1)*(AW$14&gt;=FC_Desde)*AW$15))</f>
        <v>24542.1790864247</v>
      </c>
      <c r="AX87" s="34" t="n">
        <f aca="false">SUMPRODUCT((FC_Clase="Administración")*FC_O*((FC_Mon="PYG")*AX$19+(FC_Mon&lt;&gt;"PYG"))*(1+FC_g)^(AX$17-1)*((FC_Desde=0)*(AX$16+AX$15)+(FC_Desde&gt;=1)*(AX$14&gt;=FC_Desde)*AX$15))</f>
        <v>24542.1790864247</v>
      </c>
      <c r="AY87" s="34" t="n">
        <f aca="false">SUMPRODUCT((FC_Clase="Administración")*FC_O*((FC_Mon="PYG")*AY$19+(FC_Mon&lt;&gt;"PYG"))*(1+FC_g)^(AY$17-1)*((FC_Desde=0)*(AY$16+AY$15)+(FC_Desde&gt;=1)*(AY$14&gt;=FC_Desde)*AY$15))</f>
        <v>24542.1790864247</v>
      </c>
      <c r="AZ87" s="34" t="n">
        <f aca="false">SUMPRODUCT((FC_Clase="Administración")*FC_O*((FC_Mon="PYG")*AZ$19+(FC_Mon&lt;&gt;"PYG"))*(1+FC_g)^(AZ$17-1)*((FC_Desde=0)*(AZ$16+AZ$15)+(FC_Desde&gt;=1)*(AZ$14&gt;=FC_Desde)*AZ$15))</f>
        <v>24542.1790864247</v>
      </c>
      <c r="BA87" s="34" t="n">
        <f aca="false">SUMPRODUCT((FC_Clase="Administración")*FC_O*((FC_Mon="PYG")*BA$19+(FC_Mon&lt;&gt;"PYG"))*(1+FC_g)^(BA$17-1)*((FC_Desde=0)*(BA$16+BA$15)+(FC_Desde&gt;=1)*(BA$14&gt;=FC_Desde)*BA$15))</f>
        <v>24542.1790864247</v>
      </c>
      <c r="BB87" s="34" t="n">
        <f aca="false">SUMPRODUCT((FC_Clase="Administración")*FC_O*((FC_Mon="PYG")*BB$19+(FC_Mon&lt;&gt;"PYG"))*(1+FC_g)^(BB$17-1)*((FC_Desde=0)*(BB$16+BB$15)+(FC_Desde&gt;=1)*(BB$14&gt;=FC_Desde)*BB$15))</f>
        <v>25125.0068864147</v>
      </c>
      <c r="BC87" s="34" t="n">
        <f aca="false">SUMPRODUCT((FC_Clase="Administración")*FC_O*((FC_Mon="PYG")*BC$19+(FC_Mon&lt;&gt;"PYG"))*(1+FC_g)^(BC$17-1)*((FC_Desde=0)*(BC$16+BC$15)+(FC_Desde&gt;=1)*(BC$14&gt;=FC_Desde)*BC$15))</f>
        <v>25125.0068864147</v>
      </c>
      <c r="BD87" s="34" t="n">
        <f aca="false">SUMPRODUCT((FC_Clase="Administración")*FC_O*((FC_Mon="PYG")*BD$19+(FC_Mon&lt;&gt;"PYG"))*(1+FC_g)^(BD$17-1)*((FC_Desde=0)*(BD$16+BD$15)+(FC_Desde&gt;=1)*(BD$14&gt;=FC_Desde)*BD$15))</f>
        <v>25125.0068864147</v>
      </c>
      <c r="BE87" s="34" t="n">
        <f aca="false">SUMPRODUCT((FC_Clase="Administración")*FC_O*((FC_Mon="PYG")*BE$19+(FC_Mon&lt;&gt;"PYG"))*(1+FC_g)^(BE$17-1)*((FC_Desde=0)*(BE$16+BE$15)+(FC_Desde&gt;=1)*(BE$14&gt;=FC_Desde)*BE$15))</f>
        <v>25125.0068864147</v>
      </c>
      <c r="BF87" s="34" t="n">
        <f aca="false">SUMPRODUCT((FC_Clase="Administración")*FC_O*((FC_Mon="PYG")*BF$19+(FC_Mon&lt;&gt;"PYG"))*(1+FC_g)^(BF$17-1)*((FC_Desde=0)*(BF$16+BF$15)+(FC_Desde&gt;=1)*(BF$14&gt;=FC_Desde)*BF$15))</f>
        <v>25125.0068864147</v>
      </c>
      <c r="BG87" s="34" t="n">
        <f aca="false">SUMPRODUCT((FC_Clase="Administración")*FC_O*((FC_Mon="PYG")*BG$19+(FC_Mon&lt;&gt;"PYG"))*(1+FC_g)^(BG$17-1)*((FC_Desde=0)*(BG$16+BG$15)+(FC_Desde&gt;=1)*(BG$14&gt;=FC_Desde)*BG$15))</f>
        <v>25125.0068864147</v>
      </c>
      <c r="BH87" s="34" t="n">
        <f aca="false">SUMPRODUCT((FC_Clase="Administración")*FC_O*((FC_Mon="PYG")*BH$19+(FC_Mon&lt;&gt;"PYG"))*(1+FC_g)^(BH$17-1)*((FC_Desde=0)*(BH$16+BH$15)+(FC_Desde&gt;=1)*(BH$14&gt;=FC_Desde)*BH$15))</f>
        <v>25125.0068864147</v>
      </c>
      <c r="BI87" s="34" t="n">
        <f aca="false">SUMPRODUCT((FC_Clase="Administración")*FC_O*((FC_Mon="PYG")*BI$19+(FC_Mon&lt;&gt;"PYG"))*(1+FC_g)^(BI$17-1)*((FC_Desde=0)*(BI$16+BI$15)+(FC_Desde&gt;=1)*(BI$14&gt;=FC_Desde)*BI$15))</f>
        <v>25125.0068864147</v>
      </c>
      <c r="BJ87" s="34" t="n">
        <f aca="false">SUMPRODUCT((FC_Clase="Administración")*FC_O*((FC_Mon="PYG")*BJ$19+(FC_Mon&lt;&gt;"PYG"))*(1+FC_g)^(BJ$17-1)*((FC_Desde=0)*(BJ$16+BJ$15)+(FC_Desde&gt;=1)*(BJ$14&gt;=FC_Desde)*BJ$15))</f>
        <v>25125.0068864147</v>
      </c>
      <c r="BK87" s="34" t="n">
        <f aca="false">SUMPRODUCT((FC_Clase="Administración")*FC_O*((FC_Mon="PYG")*BK$19+(FC_Mon&lt;&gt;"PYG"))*(1+FC_g)^(BK$17-1)*((FC_Desde=0)*(BK$16+BK$15)+(FC_Desde&gt;=1)*(BK$14&gt;=FC_Desde)*BK$15))</f>
        <v>25125.0068864147</v>
      </c>
      <c r="BL87" s="34" t="n">
        <f aca="false">SUMPRODUCT((FC_Clase="Administración")*FC_O*((FC_Mon="PYG")*BL$19+(FC_Mon&lt;&gt;"PYG"))*(1+FC_g)^(BL$17-1)*((FC_Desde=0)*(BL$16+BL$15)+(FC_Desde&gt;=1)*(BL$14&gt;=FC_Desde)*BL$15))</f>
        <v>25125.0068864147</v>
      </c>
      <c r="BM87" s="34" t="n">
        <f aca="false">SUMPRODUCT((FC_Clase="Administración")*FC_O*((FC_Mon="PYG")*BM$19+(FC_Mon&lt;&gt;"PYG"))*(1+FC_g)^(BM$17-1)*((FC_Desde=0)*(BM$16+BM$15)+(FC_Desde&gt;=1)*(BM$14&gt;=FC_Desde)*BM$15))</f>
        <v>25125.0068864147</v>
      </c>
      <c r="BN87" s="34" t="n">
        <f aca="false">SUMPRODUCT((FC_Clase="Administración")*FC_O*((FC_Mon="PYG")*BN$19+(FC_Mon&lt;&gt;"PYG"))*(1+FC_g)^(BN$17-1)*((FC_Desde=0)*(BN$16+BN$15)+(FC_Desde&gt;=1)*(BN$14&gt;=FC_Desde)*BN$15))</f>
        <v>25725.3195204044</v>
      </c>
      <c r="BO87" s="34" t="n">
        <f aca="false">SUMPRODUCT((FC_Clase="Administración")*FC_O*((FC_Mon="PYG")*BO$19+(FC_Mon&lt;&gt;"PYG"))*(1+FC_g)^(BO$17-1)*((FC_Desde=0)*(BO$16+BO$15)+(FC_Desde&gt;=1)*(BO$14&gt;=FC_Desde)*BO$15))</f>
        <v>25725.3195204044</v>
      </c>
      <c r="BP87" s="34" t="n">
        <f aca="false">SUMPRODUCT((FC_Clase="Administración")*FC_O*((FC_Mon="PYG")*BP$19+(FC_Mon&lt;&gt;"PYG"))*(1+FC_g)^(BP$17-1)*((FC_Desde=0)*(BP$16+BP$15)+(FC_Desde&gt;=1)*(BP$14&gt;=FC_Desde)*BP$15))</f>
        <v>25725.3195204044</v>
      </c>
      <c r="BQ87" s="34" t="n">
        <f aca="false">SUMPRODUCT((FC_Clase="Administración")*FC_O*((FC_Mon="PYG")*BQ$19+(FC_Mon&lt;&gt;"PYG"))*(1+FC_g)^(BQ$17-1)*((FC_Desde=0)*(BQ$16+BQ$15)+(FC_Desde&gt;=1)*(BQ$14&gt;=FC_Desde)*BQ$15))</f>
        <v>25725.3195204044</v>
      </c>
      <c r="BR87" s="34" t="n">
        <f aca="false">SUMPRODUCT((FC_Clase="Administración")*FC_O*((FC_Mon="PYG")*BR$19+(FC_Mon&lt;&gt;"PYG"))*(1+FC_g)^(BR$17-1)*((FC_Desde=0)*(BR$16+BR$15)+(FC_Desde&gt;=1)*(BR$14&gt;=FC_Desde)*BR$15))</f>
        <v>25725.3195204044</v>
      </c>
      <c r="BS87" s="34" t="n">
        <f aca="false">SUMPRODUCT((FC_Clase="Administración")*FC_O*((FC_Mon="PYG")*BS$19+(FC_Mon&lt;&gt;"PYG"))*(1+FC_g)^(BS$17-1)*((FC_Desde=0)*(BS$16+BS$15)+(FC_Desde&gt;=1)*(BS$14&gt;=FC_Desde)*BS$15))</f>
        <v>25725.3195204044</v>
      </c>
      <c r="BT87" s="34" t="n">
        <f aca="false">SUMPRODUCT((FC_Clase="Administración")*FC_O*((FC_Mon="PYG")*BT$19+(FC_Mon&lt;&gt;"PYG"))*(1+FC_g)^(BT$17-1)*((FC_Desde=0)*(BT$16+BT$15)+(FC_Desde&gt;=1)*(BT$14&gt;=FC_Desde)*BT$15))</f>
        <v>25725.3195204044</v>
      </c>
      <c r="BU87" s="34" t="n">
        <f aca="false">SUMPRODUCT((FC_Clase="Administración")*FC_O*((FC_Mon="PYG")*BU$19+(FC_Mon&lt;&gt;"PYG"))*(1+FC_g)^(BU$17-1)*((FC_Desde=0)*(BU$16+BU$15)+(FC_Desde&gt;=1)*(BU$14&gt;=FC_Desde)*BU$15))</f>
        <v>25725.3195204044</v>
      </c>
      <c r="BV87" s="34" t="n">
        <f aca="false">SUMPRODUCT((FC_Clase="Administración")*FC_O*((FC_Mon="PYG")*BV$19+(FC_Mon&lt;&gt;"PYG"))*(1+FC_g)^(BV$17-1)*((FC_Desde=0)*(BV$16+BV$15)+(FC_Desde&gt;=1)*(BV$14&gt;=FC_Desde)*BV$15))</f>
        <v>25725.3195204044</v>
      </c>
      <c r="BW87" s="34" t="n">
        <f aca="false">SUMPRODUCT((FC_Clase="Administración")*FC_O*((FC_Mon="PYG")*BW$19+(FC_Mon&lt;&gt;"PYG"))*(1+FC_g)^(BW$17-1)*((FC_Desde=0)*(BW$16+BW$15)+(FC_Desde&gt;=1)*(BW$14&gt;=FC_Desde)*BW$15))</f>
        <v>25725.3195204044</v>
      </c>
      <c r="BX87" s="34" t="n">
        <f aca="false">SUMPRODUCT((FC_Clase="Administración")*FC_O*((FC_Mon="PYG")*BX$19+(FC_Mon&lt;&gt;"PYG"))*(1+FC_g)^(BX$17-1)*((FC_Desde=0)*(BX$16+BX$15)+(FC_Desde&gt;=1)*(BX$14&gt;=FC_Desde)*BX$15))</f>
        <v>25725.3195204044</v>
      </c>
      <c r="BY87" s="34" t="n">
        <f aca="false">SUMPRODUCT((FC_Clase="Administración")*FC_O*((FC_Mon="PYG")*BY$19+(FC_Mon&lt;&gt;"PYG"))*(1+FC_g)^(BY$17-1)*((FC_Desde=0)*(BY$16+BY$15)+(FC_Desde&gt;=1)*(BY$14&gt;=FC_Desde)*BY$15))</f>
        <v>25725.3195204044</v>
      </c>
      <c r="BZ87" s="34" t="n">
        <f aca="false">SUMPRODUCT((FC_Clase="Administración")*FC_O*((FC_Mon="PYG")*BZ$19+(FC_Mon&lt;&gt;"PYG"))*(1+FC_g)^(BZ$17-1)*((FC_Desde=0)*(BZ$16+BZ$15)+(FC_Desde&gt;=1)*(BZ$14&gt;=FC_Desde)*BZ$15))</f>
        <v>26343.6415334138</v>
      </c>
      <c r="CA87" s="34" t="n">
        <f aca="false">SUMPRODUCT((FC_Clase="Administración")*FC_O*((FC_Mon="PYG")*CA$19+(FC_Mon&lt;&gt;"PYG"))*(1+FC_g)^(CA$17-1)*((FC_Desde=0)*(CA$16+CA$15)+(FC_Desde&gt;=1)*(CA$14&gt;=FC_Desde)*CA$15))</f>
        <v>26343.6415334138</v>
      </c>
      <c r="CB87" s="34" t="n">
        <f aca="false">SUMPRODUCT((FC_Clase="Administración")*FC_O*((FC_Mon="PYG")*CB$19+(FC_Mon&lt;&gt;"PYG"))*(1+FC_g)^(CB$17-1)*((FC_Desde=0)*(CB$16+CB$15)+(FC_Desde&gt;=1)*(CB$14&gt;=FC_Desde)*CB$15))</f>
        <v>26343.6415334138</v>
      </c>
      <c r="CC87" s="34" t="n">
        <f aca="false">SUMPRODUCT((FC_Clase="Administración")*FC_O*((FC_Mon="PYG")*CC$19+(FC_Mon&lt;&gt;"PYG"))*(1+FC_g)^(CC$17-1)*((FC_Desde=0)*(CC$16+CC$15)+(FC_Desde&gt;=1)*(CC$14&gt;=FC_Desde)*CC$15))</f>
        <v>26343.6415334138</v>
      </c>
      <c r="CD87" s="34" t="n">
        <f aca="false">SUMPRODUCT((FC_Clase="Administración")*FC_O*((FC_Mon="PYG")*CD$19+(FC_Mon&lt;&gt;"PYG"))*(1+FC_g)^(CD$17-1)*((FC_Desde=0)*(CD$16+CD$15)+(FC_Desde&gt;=1)*(CD$14&gt;=FC_Desde)*CD$15))</f>
        <v>26343.6415334138</v>
      </c>
      <c r="CE87" s="34" t="n">
        <f aca="false">SUMPRODUCT((FC_Clase="Administración")*FC_O*((FC_Mon="PYG")*CE$19+(FC_Mon&lt;&gt;"PYG"))*(1+FC_g)^(CE$17-1)*((FC_Desde=0)*(CE$16+CE$15)+(FC_Desde&gt;=1)*(CE$14&gt;=FC_Desde)*CE$15))</f>
        <v>26343.6415334138</v>
      </c>
      <c r="CF87" s="34" t="n">
        <f aca="false">SUMPRODUCT((FC_Clase="Administración")*FC_O*((FC_Mon="PYG")*CF$19+(FC_Mon&lt;&gt;"PYG"))*(1+FC_g)^(CF$17-1)*((FC_Desde=0)*(CF$16+CF$15)+(FC_Desde&gt;=1)*(CF$14&gt;=FC_Desde)*CF$15))</f>
        <v>26343.6415334138</v>
      </c>
      <c r="CG87" s="34" t="n">
        <f aca="false">SUMPRODUCT((FC_Clase="Administración")*FC_O*((FC_Mon="PYG")*CG$19+(FC_Mon&lt;&gt;"PYG"))*(1+FC_g)^(CG$17-1)*((FC_Desde=0)*(CG$16+CG$15)+(FC_Desde&gt;=1)*(CG$14&gt;=FC_Desde)*CG$15))</f>
        <v>26343.6415334138</v>
      </c>
      <c r="CH87" s="34" t="n">
        <f aca="false">SUMPRODUCT((FC_Clase="Administración")*FC_O*((FC_Mon="PYG")*CH$19+(FC_Mon&lt;&gt;"PYG"))*(1+FC_g)^(CH$17-1)*((FC_Desde=0)*(CH$16+CH$15)+(FC_Desde&gt;=1)*(CH$14&gt;=FC_Desde)*CH$15))</f>
        <v>26343.6415334138</v>
      </c>
      <c r="CI87" s="34" t="n">
        <f aca="false">SUMPRODUCT((FC_Clase="Administración")*FC_O*((FC_Mon="PYG")*CI$19+(FC_Mon&lt;&gt;"PYG"))*(1+FC_g)^(CI$17-1)*((FC_Desde=0)*(CI$16+CI$15)+(FC_Desde&gt;=1)*(CI$14&gt;=FC_Desde)*CI$15))</f>
        <v>26343.6415334138</v>
      </c>
      <c r="CJ87" s="34" t="n">
        <f aca="false">SUMPRODUCT((FC_Clase="Administración")*FC_O*((FC_Mon="PYG")*CJ$19+(FC_Mon&lt;&gt;"PYG"))*(1+FC_g)^(CJ$17-1)*((FC_Desde=0)*(CJ$16+CJ$15)+(FC_Desde&gt;=1)*(CJ$14&gt;=FC_Desde)*CJ$15))</f>
        <v>26343.6415334138</v>
      </c>
      <c r="CK87" s="34" t="n">
        <f aca="false">SUMPRODUCT((FC_Clase="Administración")*FC_O*((FC_Mon="PYG")*CK$19+(FC_Mon&lt;&gt;"PYG"))*(1+FC_g)^(CK$17-1)*((FC_Desde=0)*(CK$16+CK$15)+(FC_Desde&gt;=1)*(CK$14&gt;=FC_Desde)*CK$15))</f>
        <v>26343.6415334138</v>
      </c>
      <c r="CL87" s="34" t="n">
        <f aca="false">SUMPRODUCT((FC_Clase="Administración")*FC_O*((FC_Mon="PYG")*CL$19+(FC_Mon&lt;&gt;"PYG"))*(1+FC_g)^(CL$17-1)*((FC_Desde=0)*(CL$16+CL$15)+(FC_Desde&gt;=1)*(CL$14&gt;=FC_Desde)*CL$15))</f>
        <v>26980.5132068134</v>
      </c>
      <c r="CM87" s="34" t="n">
        <f aca="false">SUMPRODUCT((FC_Clase="Administración")*FC_O*((FC_Mon="PYG")*CM$19+(FC_Mon&lt;&gt;"PYG"))*(1+FC_g)^(CM$17-1)*((FC_Desde=0)*(CM$16+CM$15)+(FC_Desde&gt;=1)*(CM$14&gt;=FC_Desde)*CM$15))</f>
        <v>26980.5132068134</v>
      </c>
      <c r="CN87" s="34" t="n">
        <f aca="false">SUMPRODUCT((FC_Clase="Administración")*FC_O*((FC_Mon="PYG")*CN$19+(FC_Mon&lt;&gt;"PYG"))*(1+FC_g)^(CN$17-1)*((FC_Desde=0)*(CN$16+CN$15)+(FC_Desde&gt;=1)*(CN$14&gt;=FC_Desde)*CN$15))</f>
        <v>26980.5132068134</v>
      </c>
      <c r="CO87" s="34" t="n">
        <f aca="false">SUMPRODUCT((FC_Clase="Administración")*FC_O*((FC_Mon="PYG")*CO$19+(FC_Mon&lt;&gt;"PYG"))*(1+FC_g)^(CO$17-1)*((FC_Desde=0)*(CO$16+CO$15)+(FC_Desde&gt;=1)*(CO$14&gt;=FC_Desde)*CO$15))</f>
        <v>26980.5132068134</v>
      </c>
      <c r="CP87" s="34" t="n">
        <f aca="false">SUMPRODUCT((FC_Clase="Administración")*FC_O*((FC_Mon="PYG")*CP$19+(FC_Mon&lt;&gt;"PYG"))*(1+FC_g)^(CP$17-1)*((FC_Desde=0)*(CP$16+CP$15)+(FC_Desde&gt;=1)*(CP$14&gt;=FC_Desde)*CP$15))</f>
        <v>26980.5132068134</v>
      </c>
      <c r="CQ87" s="34" t="n">
        <f aca="false">SUMPRODUCT((FC_Clase="Administración")*FC_O*((FC_Mon="PYG")*CQ$19+(FC_Mon&lt;&gt;"PYG"))*(1+FC_g)^(CQ$17-1)*((FC_Desde=0)*(CQ$16+CQ$15)+(FC_Desde&gt;=1)*(CQ$14&gt;=FC_Desde)*CQ$15))</f>
        <v>26980.5132068134</v>
      </c>
      <c r="CR87" s="34" t="n">
        <f aca="false">SUMPRODUCT((FC_Clase="Administración")*FC_O*((FC_Mon="PYG")*CR$19+(FC_Mon&lt;&gt;"PYG"))*(1+FC_g)^(CR$17-1)*((FC_Desde=0)*(CR$16+CR$15)+(FC_Desde&gt;=1)*(CR$14&gt;=FC_Desde)*CR$15))</f>
        <v>26980.5132068134</v>
      </c>
      <c r="CS87" s="34" t="n">
        <f aca="false">SUMPRODUCT((FC_Clase="Administración")*FC_O*((FC_Mon="PYG")*CS$19+(FC_Mon&lt;&gt;"PYG"))*(1+FC_g)^(CS$17-1)*((FC_Desde=0)*(CS$16+CS$15)+(FC_Desde&gt;=1)*(CS$14&gt;=FC_Desde)*CS$15))</f>
        <v>26980.5132068134</v>
      </c>
      <c r="CT87" s="34" t="n">
        <f aca="false">SUMPRODUCT((FC_Clase="Administración")*FC_O*((FC_Mon="PYG")*CT$19+(FC_Mon&lt;&gt;"PYG"))*(1+FC_g)^(CT$17-1)*((FC_Desde=0)*(CT$16+CT$15)+(FC_Desde&gt;=1)*(CT$14&gt;=FC_Desde)*CT$15))</f>
        <v>26980.5132068134</v>
      </c>
      <c r="CU87" s="34" t="n">
        <f aca="false">SUMPRODUCT((FC_Clase="Administración")*FC_O*((FC_Mon="PYG")*CU$19+(FC_Mon&lt;&gt;"PYG"))*(1+FC_g)^(CU$17-1)*((FC_Desde=0)*(CU$16+CU$15)+(FC_Desde&gt;=1)*(CU$14&gt;=FC_Desde)*CU$15))</f>
        <v>26980.5132068134</v>
      </c>
      <c r="CV87" s="34" t="n">
        <f aca="false">SUMPRODUCT((FC_Clase="Administración")*FC_O*((FC_Mon="PYG")*CV$19+(FC_Mon&lt;&gt;"PYG"))*(1+FC_g)^(CV$17-1)*((FC_Desde=0)*(CV$16+CV$15)+(FC_Desde&gt;=1)*(CV$14&gt;=FC_Desde)*CV$15))</f>
        <v>26980.5132068134</v>
      </c>
      <c r="CW87" s="34" t="n">
        <f aca="false">SUMPRODUCT((FC_Clase="Administración")*FC_O*((FC_Mon="PYG")*CW$19+(FC_Mon&lt;&gt;"PYG"))*(1+FC_g)^(CW$17-1)*((FC_Desde=0)*(CW$16+CW$15)+(FC_Desde&gt;=1)*(CW$14&gt;=FC_Desde)*CW$15))</f>
        <v>26980.5132068134</v>
      </c>
      <c r="CX87" s="34" t="n">
        <f aca="false">SUMPRODUCT((FC_Clase="Administración")*FC_O*((FC_Mon="PYG")*CX$19+(FC_Mon&lt;&gt;"PYG"))*(1+FC_g)^(CX$17-1)*((FC_Desde=0)*(CX$16+CX$15)+(FC_Desde&gt;=1)*(CX$14&gt;=FC_Desde)*CX$15))</f>
        <v>27636.4910304151</v>
      </c>
      <c r="CY87" s="34" t="n">
        <f aca="false">SUMPRODUCT((FC_Clase="Administración")*FC_O*((FC_Mon="PYG")*CY$19+(FC_Mon&lt;&gt;"PYG"))*(1+FC_g)^(CY$17-1)*((FC_Desde=0)*(CY$16+CY$15)+(FC_Desde&gt;=1)*(CY$14&gt;=FC_Desde)*CY$15))</f>
        <v>27636.4910304151</v>
      </c>
      <c r="CZ87" s="34" t="n">
        <f aca="false">SUMPRODUCT((FC_Clase="Administración")*FC_O*((FC_Mon="PYG")*CZ$19+(FC_Mon&lt;&gt;"PYG"))*(1+FC_g)^(CZ$17-1)*((FC_Desde=0)*(CZ$16+CZ$15)+(FC_Desde&gt;=1)*(CZ$14&gt;=FC_Desde)*CZ$15))</f>
        <v>27636.4910304151</v>
      </c>
      <c r="DA87" s="34" t="n">
        <f aca="false">SUMPRODUCT((FC_Clase="Administración")*FC_O*((FC_Mon="PYG")*DA$19+(FC_Mon&lt;&gt;"PYG"))*(1+FC_g)^(DA$17-1)*((FC_Desde=0)*(DA$16+DA$15)+(FC_Desde&gt;=1)*(DA$14&gt;=FC_Desde)*DA$15))</f>
        <v>27636.4910304151</v>
      </c>
      <c r="DB87" s="34" t="n">
        <f aca="false">SUMPRODUCT((FC_Clase="Administración")*FC_O*((FC_Mon="PYG")*DB$19+(FC_Mon&lt;&gt;"PYG"))*(1+FC_g)^(DB$17-1)*((FC_Desde=0)*(DB$16+DB$15)+(FC_Desde&gt;=1)*(DB$14&gt;=FC_Desde)*DB$15))</f>
        <v>27636.4910304151</v>
      </c>
      <c r="DC87" s="34" t="n">
        <f aca="false">SUMPRODUCT((FC_Clase="Administración")*FC_O*((FC_Mon="PYG")*DC$19+(FC_Mon&lt;&gt;"PYG"))*(1+FC_g)^(DC$17-1)*((FC_Desde=0)*(DC$16+DC$15)+(FC_Desde&gt;=1)*(DC$14&gt;=FC_Desde)*DC$15))</f>
        <v>27636.4910304151</v>
      </c>
      <c r="DD87" s="34" t="n">
        <f aca="false">SUMPRODUCT((FC_Clase="Administración")*FC_O*((FC_Mon="PYG")*DD$19+(FC_Mon&lt;&gt;"PYG"))*(1+FC_g)^(DD$17-1)*((FC_Desde=0)*(DD$16+DD$15)+(FC_Desde&gt;=1)*(DD$14&gt;=FC_Desde)*DD$15))</f>
        <v>27636.4910304151</v>
      </c>
      <c r="DE87" s="34" t="n">
        <f aca="false">SUMPRODUCT((FC_Clase="Administración")*FC_O*((FC_Mon="PYG")*DE$19+(FC_Mon&lt;&gt;"PYG"))*(1+FC_g)^(DE$17-1)*((FC_Desde=0)*(DE$16+DE$15)+(FC_Desde&gt;=1)*(DE$14&gt;=FC_Desde)*DE$15))</f>
        <v>27636.4910304151</v>
      </c>
      <c r="DF87" s="34" t="n">
        <f aca="false">SUMPRODUCT((FC_Clase="Administración")*FC_O*((FC_Mon="PYG")*DF$19+(FC_Mon&lt;&gt;"PYG"))*(1+FC_g)^(DF$17-1)*((FC_Desde=0)*(DF$16+DF$15)+(FC_Desde&gt;=1)*(DF$14&gt;=FC_Desde)*DF$15))</f>
        <v>27636.4910304151</v>
      </c>
      <c r="DG87" s="34" t="n">
        <f aca="false">SUMPRODUCT((FC_Clase="Administración")*FC_O*((FC_Mon="PYG")*DG$19+(FC_Mon&lt;&gt;"PYG"))*(1+FC_g)^(DG$17-1)*((FC_Desde=0)*(DG$16+DG$15)+(FC_Desde&gt;=1)*(DG$14&gt;=FC_Desde)*DG$15))</f>
        <v>27636.4910304151</v>
      </c>
      <c r="DH87" s="34" t="n">
        <f aca="false">SUMPRODUCT((FC_Clase="Administración")*FC_O*((FC_Mon="PYG")*DH$19+(FC_Mon&lt;&gt;"PYG"))*(1+FC_g)^(DH$17-1)*((FC_Desde=0)*(DH$16+DH$15)+(FC_Desde&gt;=1)*(DH$14&gt;=FC_Desde)*DH$15))</f>
        <v>27636.4910304151</v>
      </c>
      <c r="DI87" s="34" t="n">
        <f aca="false">SUMPRODUCT((FC_Clase="Administración")*FC_O*((FC_Mon="PYG")*DI$19+(FC_Mon&lt;&gt;"PYG"))*(1+FC_g)^(DI$17-1)*((FC_Desde=0)*(DI$16+DI$15)+(FC_Desde&gt;=1)*(DI$14&gt;=FC_Desde)*DI$15))</f>
        <v>27636.4910304151</v>
      </c>
      <c r="DJ87" s="34" t="n">
        <f aca="false">SUMPRODUCT((FC_Clase="Administración")*FC_O*((FC_Mon="PYG")*DJ$19+(FC_Mon&lt;&gt;"PYG"))*(1+FC_g)^(DJ$17-1)*((FC_Desde=0)*(DJ$16+DJ$15)+(FC_Desde&gt;=1)*(DJ$14&gt;=FC_Desde)*DJ$15))</f>
        <v>28312.1481887248</v>
      </c>
      <c r="DK87" s="34" t="n">
        <f aca="false">SUMPRODUCT((FC_Clase="Administración")*FC_O*((FC_Mon="PYG")*DK$19+(FC_Mon&lt;&gt;"PYG"))*(1+FC_g)^(DK$17-1)*((FC_Desde=0)*(DK$16+DK$15)+(FC_Desde&gt;=1)*(DK$14&gt;=FC_Desde)*DK$15))</f>
        <v>28312.1481887248</v>
      </c>
      <c r="DL87" s="34" t="n">
        <f aca="false">SUMPRODUCT((FC_Clase="Administración")*FC_O*((FC_Mon="PYG")*DL$19+(FC_Mon&lt;&gt;"PYG"))*(1+FC_g)^(DL$17-1)*((FC_Desde=0)*(DL$16+DL$15)+(FC_Desde&gt;=1)*(DL$14&gt;=FC_Desde)*DL$15))</f>
        <v>28312.1481887248</v>
      </c>
      <c r="DM87" s="34" t="n">
        <f aca="false">SUMPRODUCT((FC_Clase="Administración")*FC_O*((FC_Mon="PYG")*DM$19+(FC_Mon&lt;&gt;"PYG"))*(1+FC_g)^(DM$17-1)*((FC_Desde=0)*(DM$16+DM$15)+(FC_Desde&gt;=1)*(DM$14&gt;=FC_Desde)*DM$15))</f>
        <v>28312.1481887248</v>
      </c>
      <c r="DN87" s="34" t="n">
        <f aca="false">SUMPRODUCT((FC_Clase="Administración")*FC_O*((FC_Mon="PYG")*DN$19+(FC_Mon&lt;&gt;"PYG"))*(1+FC_g)^(DN$17-1)*((FC_Desde=0)*(DN$16+DN$15)+(FC_Desde&gt;=1)*(DN$14&gt;=FC_Desde)*DN$15))</f>
        <v>28312.1481887248</v>
      </c>
      <c r="DO87" s="34" t="n">
        <f aca="false">SUMPRODUCT((FC_Clase="Administración")*FC_O*((FC_Mon="PYG")*DO$19+(FC_Mon&lt;&gt;"PYG"))*(1+FC_g)^(DO$17-1)*((FC_Desde=0)*(DO$16+DO$15)+(FC_Desde&gt;=1)*(DO$14&gt;=FC_Desde)*DO$15))</f>
        <v>28312.1481887248</v>
      </c>
      <c r="DP87" s="34" t="n">
        <f aca="false">SUMPRODUCT((FC_Clase="Administración")*FC_O*((FC_Mon="PYG")*DP$19+(FC_Mon&lt;&gt;"PYG"))*(1+FC_g)^(DP$17-1)*((FC_Desde=0)*(DP$16+DP$15)+(FC_Desde&gt;=1)*(DP$14&gt;=FC_Desde)*DP$15))</f>
        <v>28312.1481887248</v>
      </c>
      <c r="DQ87" s="34" t="n">
        <f aca="false">SUMPRODUCT((FC_Clase="Administración")*FC_O*((FC_Mon="PYG")*DQ$19+(FC_Mon&lt;&gt;"PYG"))*(1+FC_g)^(DQ$17-1)*((FC_Desde=0)*(DQ$16+DQ$15)+(FC_Desde&gt;=1)*(DQ$14&gt;=FC_Desde)*DQ$15))</f>
        <v>28312.1481887248</v>
      </c>
      <c r="DR87" s="34" t="n">
        <f aca="false">SUMPRODUCT((FC_Clase="Administración")*FC_O*((FC_Mon="PYG")*DR$19+(FC_Mon&lt;&gt;"PYG"))*(1+FC_g)^(DR$17-1)*((FC_Desde=0)*(DR$16+DR$15)+(FC_Desde&gt;=1)*(DR$14&gt;=FC_Desde)*DR$15))</f>
        <v>28312.1481887248</v>
      </c>
      <c r="DS87" s="34" t="n">
        <f aca="false">SUMPRODUCT((FC_Clase="Administración")*FC_O*((FC_Mon="PYG")*DS$19+(FC_Mon&lt;&gt;"PYG"))*(1+FC_g)^(DS$17-1)*((FC_Desde=0)*(DS$16+DS$15)+(FC_Desde&gt;=1)*(DS$14&gt;=FC_Desde)*DS$15))</f>
        <v>28312.1481887248</v>
      </c>
      <c r="DT87" s="34" t="n">
        <f aca="false">SUMPRODUCT((FC_Clase="Administración")*FC_O*((FC_Mon="PYG")*DT$19+(FC_Mon&lt;&gt;"PYG"))*(1+FC_g)^(DT$17-1)*((FC_Desde=0)*(DT$16+DT$15)+(FC_Desde&gt;=1)*(DT$14&gt;=FC_Desde)*DT$15))</f>
        <v>28312.1481887248</v>
      </c>
      <c r="DU87" s="34" t="n">
        <f aca="false">SUMPRODUCT((FC_Clase="Administración")*FC_O*((FC_Mon="PYG")*DU$19+(FC_Mon&lt;&gt;"PYG"))*(1+FC_g)^(DU$17-1)*((FC_Desde=0)*(DU$16+DU$15)+(FC_Desde&gt;=1)*(DU$14&gt;=FC_Desde)*DU$15))</f>
        <v>28312.1481887248</v>
      </c>
      <c r="DV87" s="34" t="n">
        <f aca="false">SUMPRODUCT((FC_Clase="Administración")*FC_O*((FC_Mon="PYG")*DV$19+(FC_Mon&lt;&gt;"PYG"))*(1+FC_g)^(DV$17-1)*((FC_Desde=0)*(DV$16+DV$15)+(FC_Desde&gt;=1)*(DV$14&gt;=FC_Desde)*DV$15))</f>
        <v>0</v>
      </c>
      <c r="DW87" s="34" t="n">
        <f aca="false">SUMPRODUCT((FC_Clase="Administración")*FC_O*((FC_Mon="PYG")*DW$19+(FC_Mon&lt;&gt;"PYG"))*(1+FC_g)^(DW$17-1)*((FC_Desde=0)*(DW$16+DW$15)+(FC_Desde&gt;=1)*(DW$14&gt;=FC_Desde)*DW$15))</f>
        <v>0</v>
      </c>
      <c r="DX87" s="34" t="n">
        <f aca="false">SUMPRODUCT((FC_Clase="Administración")*FC_O*((FC_Mon="PYG")*DX$19+(FC_Mon&lt;&gt;"PYG"))*(1+FC_g)^(DX$17-1)*((FC_Desde=0)*(DX$16+DX$15)+(FC_Desde&gt;=1)*(DX$14&gt;=FC_Desde)*DX$15))</f>
        <v>0</v>
      </c>
      <c r="DY87" s="34" t="n">
        <f aca="false">SUMPRODUCT((FC_Clase="Administración")*FC_O*((FC_Mon="PYG")*DY$19+(FC_Mon&lt;&gt;"PYG"))*(1+FC_g)^(DY$17-1)*((FC_Desde=0)*(DY$16+DY$15)+(FC_Desde&gt;=1)*(DY$14&gt;=FC_Desde)*DY$15))</f>
        <v>0</v>
      </c>
      <c r="DZ87" s="34" t="n">
        <f aca="false">SUMPRODUCT((FC_Clase="Administración")*FC_O*((FC_Mon="PYG")*DZ$19+(FC_Mon&lt;&gt;"PYG"))*(1+FC_g)^(DZ$17-1)*((FC_Desde=0)*(DZ$16+DZ$15)+(FC_Desde&gt;=1)*(DZ$14&gt;=FC_Desde)*DZ$15))</f>
        <v>0</v>
      </c>
      <c r="EA87" s="34" t="n">
        <f aca="false">SUMPRODUCT((FC_Clase="Administración")*FC_O*((FC_Mon="PYG")*EA$19+(FC_Mon&lt;&gt;"PYG"))*(1+FC_g)^(EA$17-1)*((FC_Desde=0)*(EA$16+EA$15)+(FC_Desde&gt;=1)*(EA$14&gt;=FC_Desde)*EA$15))</f>
        <v>0</v>
      </c>
      <c r="EB87" s="34" t="n">
        <f aca="false">SUMPRODUCT((FC_Clase="Administración")*FC_O*((FC_Mon="PYG")*EB$19+(FC_Mon&lt;&gt;"PYG"))*(1+FC_g)^(EB$17-1)*((FC_Desde=0)*(EB$16+EB$15)+(FC_Desde&gt;=1)*(EB$14&gt;=FC_Desde)*EB$15))</f>
        <v>0</v>
      </c>
      <c r="EC87" s="34" t="n">
        <f aca="false">SUMPRODUCT((FC_Clase="Administración")*FC_O*((FC_Mon="PYG")*EC$19+(FC_Mon&lt;&gt;"PYG"))*(1+FC_g)^(EC$17-1)*((FC_Desde=0)*(EC$16+EC$15)+(FC_Desde&gt;=1)*(EC$14&gt;=FC_Desde)*EC$15))</f>
        <v>0</v>
      </c>
      <c r="ED87" s="34" t="n">
        <f aca="false">SUMPRODUCT((FC_Clase="Administración")*FC_O*((FC_Mon="PYG")*ED$19+(FC_Mon&lt;&gt;"PYG"))*(1+FC_g)^(ED$17-1)*((FC_Desde=0)*(ED$16+ED$15)+(FC_Desde&gt;=1)*(ED$14&gt;=FC_Desde)*ED$15))</f>
        <v>0</v>
      </c>
      <c r="EE87" s="34" t="n">
        <f aca="false">SUMPRODUCT((FC_Clase="Administración")*FC_O*((FC_Mon="PYG")*EE$19+(FC_Mon&lt;&gt;"PYG"))*(1+FC_g)^(EE$17-1)*((FC_Desde=0)*(EE$16+EE$15)+(FC_Desde&gt;=1)*(EE$14&gt;=FC_Desde)*EE$15))</f>
        <v>0</v>
      </c>
      <c r="EF87" s="34" t="n">
        <f aca="false">SUMPRODUCT((FC_Clase="Administración")*FC_O*((FC_Mon="PYG")*EF$19+(FC_Mon&lt;&gt;"PYG"))*(1+FC_g)^(EF$17-1)*((FC_Desde=0)*(EF$16+EF$15)+(FC_Desde&gt;=1)*(EF$14&gt;=FC_Desde)*EF$15))</f>
        <v>0</v>
      </c>
      <c r="EG87" s="34" t="n">
        <f aca="false">SUMPRODUCT((FC_Clase="Administración")*FC_O*((FC_Mon="PYG")*EG$19+(FC_Mon&lt;&gt;"PYG"))*(1+FC_g)^(EG$17-1)*((FC_Desde=0)*(EG$16+EG$15)+(FC_Desde&gt;=1)*(EG$14&gt;=FC_Desde)*EG$15))</f>
        <v>0</v>
      </c>
      <c r="EH87" s="34" t="n">
        <f aca="false">SUMPRODUCT((FC_Clase="Administración")*FC_O*((FC_Mon="PYG")*EH$19+(FC_Mon&lt;&gt;"PYG"))*(1+FC_g)^(EH$17-1)*((FC_Desde=0)*(EH$16+EH$15)+(FC_Desde&gt;=1)*(EH$14&gt;=FC_Desde)*EH$15))</f>
        <v>0</v>
      </c>
      <c r="EI87" s="34" t="n">
        <f aca="false">SUMPRODUCT((FC_Clase="Administración")*FC_O*((FC_Mon="PYG")*EI$19+(FC_Mon&lt;&gt;"PYG"))*(1+FC_g)^(EI$17-1)*((FC_Desde=0)*(EI$16+EI$15)+(FC_Desde&gt;=1)*(EI$14&gt;=FC_Desde)*EI$15))</f>
        <v>0</v>
      </c>
      <c r="EJ87" s="34" t="n">
        <f aca="false">SUMPRODUCT((FC_Clase="Administración")*FC_O*((FC_Mon="PYG")*EJ$19+(FC_Mon&lt;&gt;"PYG"))*(1+FC_g)^(EJ$17-1)*((FC_Desde=0)*(EJ$16+EJ$15)+(FC_Desde&gt;=1)*(EJ$14&gt;=FC_Desde)*EJ$15))</f>
        <v>0</v>
      </c>
      <c r="EK87" s="34" t="n">
        <f aca="false">SUMPRODUCT((FC_Clase="Administración")*FC_O*((FC_Mon="PYG")*EK$19+(FC_Mon&lt;&gt;"PYG"))*(1+FC_g)^(EK$17-1)*((FC_Desde=0)*(EK$16+EK$15)+(FC_Desde&gt;=1)*(EK$14&gt;=FC_Desde)*EK$15))</f>
        <v>0</v>
      </c>
      <c r="EL87" s="34" t="n">
        <f aca="false">SUMPRODUCT((FC_Clase="Administración")*FC_O*((FC_Mon="PYG")*EL$19+(FC_Mon&lt;&gt;"PYG"))*(1+FC_g)^(EL$17-1)*((FC_Desde=0)*(EL$16+EL$15)+(FC_Desde&gt;=1)*(EL$14&gt;=FC_Desde)*EL$15))</f>
        <v>0</v>
      </c>
      <c r="EM87" s="34" t="n">
        <f aca="false">SUMPRODUCT((FC_Clase="Administración")*FC_O*((FC_Mon="PYG")*EM$19+(FC_Mon&lt;&gt;"PYG"))*(1+FC_g)^(EM$17-1)*((FC_Desde=0)*(EM$16+EM$15)+(FC_Desde&gt;=1)*(EM$14&gt;=FC_Desde)*EM$15))</f>
        <v>0</v>
      </c>
      <c r="EN87" s="34" t="n">
        <f aca="false">SUMPRODUCT((FC_Clase="Administración")*FC_O*((FC_Mon="PYG")*EN$19+(FC_Mon&lt;&gt;"PYG"))*(1+FC_g)^(EN$17-1)*((FC_Desde=0)*(EN$16+EN$15)+(FC_Desde&gt;=1)*(EN$14&gt;=FC_Desde)*EN$15))</f>
        <v>0</v>
      </c>
      <c r="EO87" s="34" t="n">
        <f aca="false">SUMPRODUCT((FC_Clase="Administración")*FC_O*((FC_Mon="PYG")*EO$19+(FC_Mon&lt;&gt;"PYG"))*(1+FC_g)^(EO$17-1)*((FC_Desde=0)*(EO$16+EO$15)+(FC_Desde&gt;=1)*(EO$14&gt;=FC_Desde)*EO$15))</f>
        <v>0</v>
      </c>
      <c r="EP87" s="34" t="n">
        <f aca="false">SUMPRODUCT((FC_Clase="Administración")*FC_O*((FC_Mon="PYG")*EP$19+(FC_Mon&lt;&gt;"PYG"))*(1+FC_g)^(EP$17-1)*((FC_Desde=0)*(EP$16+EP$15)+(FC_Desde&gt;=1)*(EP$14&gt;=FC_Desde)*EP$15))</f>
        <v>0</v>
      </c>
      <c r="EQ87" s="34" t="n">
        <f aca="false">SUMPRODUCT((FC_Clase="Administración")*FC_O*((FC_Mon="PYG")*EQ$19+(FC_Mon&lt;&gt;"PYG"))*(1+FC_g)^(EQ$17-1)*((FC_Desde=0)*(EQ$16+EQ$15)+(FC_Desde&gt;=1)*(EQ$14&gt;=FC_Desde)*EQ$15))</f>
        <v>0</v>
      </c>
      <c r="ER87" s="34" t="n">
        <f aca="false">SUMPRODUCT((FC_Clase="Administración")*FC_O*((FC_Mon="PYG")*ER$19+(FC_Mon&lt;&gt;"PYG"))*(1+FC_g)^(ER$17-1)*((FC_Desde=0)*(ER$16+ER$15)+(FC_Desde&gt;=1)*(ER$14&gt;=FC_Desde)*ER$15))</f>
        <v>0</v>
      </c>
      <c r="ES87" s="34" t="n">
        <f aca="false">SUMPRODUCT((FC_Clase="Administración")*FC_O*((FC_Mon="PYG")*ES$19+(FC_Mon&lt;&gt;"PYG"))*(1+FC_g)^(ES$17-1)*((FC_Desde=0)*(ES$16+ES$15)+(FC_Desde&gt;=1)*(ES$14&gt;=FC_Desde)*ES$15))</f>
        <v>0</v>
      </c>
    </row>
    <row r="88" customFormat="false" ht="15" hidden="false" customHeight="false" outlineLevel="0" collapsed="false">
      <c r="A88" s="2" t="s">
        <v>667</v>
      </c>
      <c r="B88" s="6" t="s">
        <v>668</v>
      </c>
      <c r="C88" s="6" t="s">
        <v>250</v>
      </c>
      <c r="E88" s="40" t="n">
        <f aca="false">SUM(F88:ES88)</f>
        <v>613750.290410959</v>
      </c>
      <c r="F88" s="34" t="n">
        <f aca="false">SUMPRODUCT((FC_Clase="Administración")*FC_Base*FC_O*((FC_Mon="PYG")*F$19+(FC_Mon&lt;&gt;"PYG"))*(1+FC_g)^(F$17-1)*((FC_Desde=0)*(F$16+F$15)+(FC_Desde&gt;=1)*(F$14&gt;=FC_Desde)*F$15))</f>
        <v>5114.58575342466</v>
      </c>
      <c r="G88" s="34" t="n">
        <f aca="false">SUMPRODUCT((FC_Clase="Administración")*FC_Base*FC_O*((FC_Mon="PYG")*G$19+(FC_Mon&lt;&gt;"PYG"))*(1+FC_g)^(G$17-1)*((FC_Desde=0)*(G$16+G$15)+(FC_Desde&gt;=1)*(G$14&gt;=FC_Desde)*G$15))</f>
        <v>5114.58575342466</v>
      </c>
      <c r="H88" s="34" t="n">
        <f aca="false">SUMPRODUCT((FC_Clase="Administración")*FC_Base*FC_O*((FC_Mon="PYG")*H$19+(FC_Mon&lt;&gt;"PYG"))*(1+FC_g)^(H$17-1)*((FC_Desde=0)*(H$16+H$15)+(FC_Desde&gt;=1)*(H$14&gt;=FC_Desde)*H$15))</f>
        <v>5114.58575342466</v>
      </c>
      <c r="I88" s="34" t="n">
        <f aca="false">SUMPRODUCT((FC_Clase="Administración")*FC_Base*FC_O*((FC_Mon="PYG")*I$19+(FC_Mon&lt;&gt;"PYG"))*(1+FC_g)^(I$17-1)*((FC_Desde=0)*(I$16+I$15)+(FC_Desde&gt;=1)*(I$14&gt;=FC_Desde)*I$15))</f>
        <v>5114.58575342466</v>
      </c>
      <c r="J88" s="34" t="n">
        <f aca="false">SUMPRODUCT((FC_Clase="Administración")*FC_Base*FC_O*((FC_Mon="PYG")*J$19+(FC_Mon&lt;&gt;"PYG"))*(1+FC_g)^(J$17-1)*((FC_Desde=0)*(J$16+J$15)+(FC_Desde&gt;=1)*(J$14&gt;=FC_Desde)*J$15))</f>
        <v>5114.58575342466</v>
      </c>
      <c r="K88" s="34" t="n">
        <f aca="false">SUMPRODUCT((FC_Clase="Administración")*FC_Base*FC_O*((FC_Mon="PYG")*K$19+(FC_Mon&lt;&gt;"PYG"))*(1+FC_g)^(K$17-1)*((FC_Desde=0)*(K$16+K$15)+(FC_Desde&gt;=1)*(K$14&gt;=FC_Desde)*K$15))</f>
        <v>5114.58575342466</v>
      </c>
      <c r="L88" s="34" t="n">
        <f aca="false">SUMPRODUCT((FC_Clase="Administración")*FC_Base*FC_O*((FC_Mon="PYG")*L$19+(FC_Mon&lt;&gt;"PYG"))*(1+FC_g)^(L$17-1)*((FC_Desde=0)*(L$16+L$15)+(FC_Desde&gt;=1)*(L$14&gt;=FC_Desde)*L$15))</f>
        <v>5114.58575342466</v>
      </c>
      <c r="M88" s="34" t="n">
        <f aca="false">SUMPRODUCT((FC_Clase="Administración")*FC_Base*FC_O*((FC_Mon="PYG")*M$19+(FC_Mon&lt;&gt;"PYG"))*(1+FC_g)^(M$17-1)*((FC_Desde=0)*(M$16+M$15)+(FC_Desde&gt;=1)*(M$14&gt;=FC_Desde)*M$15))</f>
        <v>5114.58575342466</v>
      </c>
      <c r="N88" s="34" t="n">
        <f aca="false">SUMPRODUCT((FC_Clase="Administración")*FC_Base*FC_O*((FC_Mon="PYG")*N$19+(FC_Mon&lt;&gt;"PYG"))*(1+FC_g)^(N$17-1)*((FC_Desde=0)*(N$16+N$15)+(FC_Desde&gt;=1)*(N$14&gt;=FC_Desde)*N$15))</f>
        <v>5114.58575342466</v>
      </c>
      <c r="O88" s="34" t="n">
        <f aca="false">SUMPRODUCT((FC_Clase="Administración")*FC_Base*FC_O*((FC_Mon="PYG")*O$19+(FC_Mon&lt;&gt;"PYG"))*(1+FC_g)^(O$17-1)*((FC_Desde=0)*(O$16+O$15)+(FC_Desde&gt;=1)*(O$14&gt;=FC_Desde)*O$15))</f>
        <v>5114.58575342466</v>
      </c>
      <c r="P88" s="34" t="n">
        <f aca="false">SUMPRODUCT((FC_Clase="Administración")*FC_Base*FC_O*((FC_Mon="PYG")*P$19+(FC_Mon&lt;&gt;"PYG"))*(1+FC_g)^(P$17-1)*((FC_Desde=0)*(P$16+P$15)+(FC_Desde&gt;=1)*(P$14&gt;=FC_Desde)*P$15))</f>
        <v>5114.58575342466</v>
      </c>
      <c r="Q88" s="34" t="n">
        <f aca="false">SUMPRODUCT((FC_Clase="Administración")*FC_Base*FC_O*((FC_Mon="PYG")*Q$19+(FC_Mon&lt;&gt;"PYG"))*(1+FC_g)^(Q$17-1)*((FC_Desde=0)*(Q$16+Q$15)+(FC_Desde&gt;=1)*(Q$14&gt;=FC_Desde)*Q$15))</f>
        <v>5114.58575342466</v>
      </c>
      <c r="R88" s="34" t="n">
        <f aca="false">SUMPRODUCT((FC_Clase="Administración")*FC_Base*FC_O*((FC_Mon="PYG")*R$19+(FC_Mon&lt;&gt;"PYG"))*(1+FC_g)^(R$17-1)*((FC_Desde=0)*(R$16+R$15)+(FC_Desde&gt;=1)*(R$14&gt;=FC_Desde)*R$15))</f>
        <v>5114.58575342466</v>
      </c>
      <c r="S88" s="34" t="n">
        <f aca="false">SUMPRODUCT((FC_Clase="Administración")*FC_Base*FC_O*((FC_Mon="PYG")*S$19+(FC_Mon&lt;&gt;"PYG"))*(1+FC_g)^(S$17-1)*((FC_Desde=0)*(S$16+S$15)+(FC_Desde&gt;=1)*(S$14&gt;=FC_Desde)*S$15))</f>
        <v>5114.58575342466</v>
      </c>
      <c r="T88" s="34" t="n">
        <f aca="false">SUMPRODUCT((FC_Clase="Administración")*FC_Base*FC_O*((FC_Mon="PYG")*T$19+(FC_Mon&lt;&gt;"PYG"))*(1+FC_g)^(T$17-1)*((FC_Desde=0)*(T$16+T$15)+(FC_Desde&gt;=1)*(T$14&gt;=FC_Desde)*T$15))</f>
        <v>5114.58575342466</v>
      </c>
      <c r="U88" s="34" t="n">
        <f aca="false">SUMPRODUCT((FC_Clase="Administración")*FC_Base*FC_O*((FC_Mon="PYG")*U$19+(FC_Mon&lt;&gt;"PYG"))*(1+FC_g)^(U$17-1)*((FC_Desde=0)*(U$16+U$15)+(FC_Desde&gt;=1)*(U$14&gt;=FC_Desde)*U$15))</f>
        <v>5114.58575342466</v>
      </c>
      <c r="V88" s="34" t="n">
        <f aca="false">SUMPRODUCT((FC_Clase="Administración")*FC_Base*FC_O*((FC_Mon="PYG")*V$19+(FC_Mon&lt;&gt;"PYG"))*(1+FC_g)^(V$17-1)*((FC_Desde=0)*(V$16+V$15)+(FC_Desde&gt;=1)*(V$14&gt;=FC_Desde)*V$15))</f>
        <v>5114.58575342466</v>
      </c>
      <c r="W88" s="34" t="n">
        <f aca="false">SUMPRODUCT((FC_Clase="Administración")*FC_Base*FC_O*((FC_Mon="PYG")*W$19+(FC_Mon&lt;&gt;"PYG"))*(1+FC_g)^(W$17-1)*((FC_Desde=0)*(W$16+W$15)+(FC_Desde&gt;=1)*(W$14&gt;=FC_Desde)*W$15))</f>
        <v>5114.58575342466</v>
      </c>
      <c r="X88" s="34" t="n">
        <f aca="false">SUMPRODUCT((FC_Clase="Administración")*FC_Base*FC_O*((FC_Mon="PYG")*X$19+(FC_Mon&lt;&gt;"PYG"))*(1+FC_g)^(X$17-1)*((FC_Desde=0)*(X$16+X$15)+(FC_Desde&gt;=1)*(X$14&gt;=FC_Desde)*X$15))</f>
        <v>5114.58575342466</v>
      </c>
      <c r="Y88" s="34" t="n">
        <f aca="false">SUMPRODUCT((FC_Clase="Administración")*FC_Base*FC_O*((FC_Mon="PYG")*Y$19+(FC_Mon&lt;&gt;"PYG"))*(1+FC_g)^(Y$17-1)*((FC_Desde=0)*(Y$16+Y$15)+(FC_Desde&gt;=1)*(Y$14&gt;=FC_Desde)*Y$15))</f>
        <v>5114.58575342466</v>
      </c>
      <c r="Z88" s="34" t="n">
        <f aca="false">SUMPRODUCT((FC_Clase="Administración")*FC_Base*FC_O*((FC_Mon="PYG")*Z$19+(FC_Mon&lt;&gt;"PYG"))*(1+FC_g)^(Z$17-1)*((FC_Desde=0)*(Z$16+Z$15)+(FC_Desde&gt;=1)*(Z$14&gt;=FC_Desde)*Z$15))</f>
        <v>5114.58575342466</v>
      </c>
      <c r="AA88" s="34" t="n">
        <f aca="false">SUMPRODUCT((FC_Clase="Administración")*FC_Base*FC_O*((FC_Mon="PYG")*AA$19+(FC_Mon&lt;&gt;"PYG"))*(1+FC_g)^(AA$17-1)*((FC_Desde=0)*(AA$16+AA$15)+(FC_Desde&gt;=1)*(AA$14&gt;=FC_Desde)*AA$15))</f>
        <v>5114.58575342466</v>
      </c>
      <c r="AB88" s="34" t="n">
        <f aca="false">SUMPRODUCT((FC_Clase="Administración")*FC_Base*FC_O*((FC_Mon="PYG")*AB$19+(FC_Mon&lt;&gt;"PYG"))*(1+FC_g)^(AB$17-1)*((FC_Desde=0)*(AB$16+AB$15)+(FC_Desde&gt;=1)*(AB$14&gt;=FC_Desde)*AB$15))</f>
        <v>5114.58575342466</v>
      </c>
      <c r="AC88" s="34" t="n">
        <f aca="false">SUMPRODUCT((FC_Clase="Administración")*FC_Base*FC_O*((FC_Mon="PYG")*AC$19+(FC_Mon&lt;&gt;"PYG"))*(1+FC_g)^(AC$17-1)*((FC_Desde=0)*(AC$16+AC$15)+(FC_Desde&gt;=1)*(AC$14&gt;=FC_Desde)*AC$15))</f>
        <v>5114.58575342466</v>
      </c>
      <c r="AD88" s="34" t="n">
        <f aca="false">SUMPRODUCT((FC_Clase="Administración")*FC_Base*FC_O*((FC_Mon="PYG")*AD$19+(FC_Mon&lt;&gt;"PYG"))*(1+FC_g)^(AD$17-1)*((FC_Desde=0)*(AD$16+AD$15)+(FC_Desde&gt;=1)*(AD$14&gt;=FC_Desde)*AD$15))</f>
        <v>5114.58575342466</v>
      </c>
      <c r="AE88" s="34" t="n">
        <f aca="false">SUMPRODUCT((FC_Clase="Administración")*FC_Base*FC_O*((FC_Mon="PYG")*AE$19+(FC_Mon&lt;&gt;"PYG"))*(1+FC_g)^(AE$17-1)*((FC_Desde=0)*(AE$16+AE$15)+(FC_Desde&gt;=1)*(AE$14&gt;=FC_Desde)*AE$15))</f>
        <v>5114.58575342466</v>
      </c>
      <c r="AF88" s="34" t="n">
        <f aca="false">SUMPRODUCT((FC_Clase="Administración")*FC_Base*FC_O*((FC_Mon="PYG")*AF$19+(FC_Mon&lt;&gt;"PYG"))*(1+FC_g)^(AF$17-1)*((FC_Desde=0)*(AF$16+AF$15)+(FC_Desde&gt;=1)*(AF$14&gt;=FC_Desde)*AF$15))</f>
        <v>5114.58575342466</v>
      </c>
      <c r="AG88" s="34" t="n">
        <f aca="false">SUMPRODUCT((FC_Clase="Administración")*FC_Base*FC_O*((FC_Mon="PYG")*AG$19+(FC_Mon&lt;&gt;"PYG"))*(1+FC_g)^(AG$17-1)*((FC_Desde=0)*(AG$16+AG$15)+(FC_Desde&gt;=1)*(AG$14&gt;=FC_Desde)*AG$15))</f>
        <v>5114.58575342466</v>
      </c>
      <c r="AH88" s="34" t="n">
        <f aca="false">SUMPRODUCT((FC_Clase="Administración")*FC_Base*FC_O*((FC_Mon="PYG")*AH$19+(FC_Mon&lt;&gt;"PYG"))*(1+FC_g)^(AH$17-1)*((FC_Desde=0)*(AH$16+AH$15)+(FC_Desde&gt;=1)*(AH$14&gt;=FC_Desde)*AH$15))</f>
        <v>5114.58575342466</v>
      </c>
      <c r="AI88" s="34" t="n">
        <f aca="false">SUMPRODUCT((FC_Clase="Administración")*FC_Base*FC_O*((FC_Mon="PYG")*AI$19+(FC_Mon&lt;&gt;"PYG"))*(1+FC_g)^(AI$17-1)*((FC_Desde=0)*(AI$16+AI$15)+(FC_Desde&gt;=1)*(AI$14&gt;=FC_Desde)*AI$15))</f>
        <v>5114.58575342466</v>
      </c>
      <c r="AJ88" s="34" t="n">
        <f aca="false">SUMPRODUCT((FC_Clase="Administración")*FC_Base*FC_O*((FC_Mon="PYG")*AJ$19+(FC_Mon&lt;&gt;"PYG"))*(1+FC_g)^(AJ$17-1)*((FC_Desde=0)*(AJ$16+AJ$15)+(FC_Desde&gt;=1)*(AJ$14&gt;=FC_Desde)*AJ$15))</f>
        <v>5114.58575342466</v>
      </c>
      <c r="AK88" s="34" t="n">
        <f aca="false">SUMPRODUCT((FC_Clase="Administración")*FC_Base*FC_O*((FC_Mon="PYG")*AK$19+(FC_Mon&lt;&gt;"PYG"))*(1+FC_g)^(AK$17-1)*((FC_Desde=0)*(AK$16+AK$15)+(FC_Desde&gt;=1)*(AK$14&gt;=FC_Desde)*AK$15))</f>
        <v>5114.58575342466</v>
      </c>
      <c r="AL88" s="34" t="n">
        <f aca="false">SUMPRODUCT((FC_Clase="Administración")*FC_Base*FC_O*((FC_Mon="PYG")*AL$19+(FC_Mon&lt;&gt;"PYG"))*(1+FC_g)^(AL$17-1)*((FC_Desde=0)*(AL$16+AL$15)+(FC_Desde&gt;=1)*(AL$14&gt;=FC_Desde)*AL$15))</f>
        <v>5114.58575342466</v>
      </c>
      <c r="AM88" s="34" t="n">
        <f aca="false">SUMPRODUCT((FC_Clase="Administración")*FC_Base*FC_O*((FC_Mon="PYG")*AM$19+(FC_Mon&lt;&gt;"PYG"))*(1+FC_g)^(AM$17-1)*((FC_Desde=0)*(AM$16+AM$15)+(FC_Desde&gt;=1)*(AM$14&gt;=FC_Desde)*AM$15))</f>
        <v>5114.58575342466</v>
      </c>
      <c r="AN88" s="34" t="n">
        <f aca="false">SUMPRODUCT((FC_Clase="Administración")*FC_Base*FC_O*((FC_Mon="PYG")*AN$19+(FC_Mon&lt;&gt;"PYG"))*(1+FC_g)^(AN$17-1)*((FC_Desde=0)*(AN$16+AN$15)+(FC_Desde&gt;=1)*(AN$14&gt;=FC_Desde)*AN$15))</f>
        <v>5114.58575342466</v>
      </c>
      <c r="AO88" s="34" t="n">
        <f aca="false">SUMPRODUCT((FC_Clase="Administración")*FC_Base*FC_O*((FC_Mon="PYG")*AO$19+(FC_Mon&lt;&gt;"PYG"))*(1+FC_g)^(AO$17-1)*((FC_Desde=0)*(AO$16+AO$15)+(FC_Desde&gt;=1)*(AO$14&gt;=FC_Desde)*AO$15))</f>
        <v>5114.58575342466</v>
      </c>
      <c r="AP88" s="34" t="n">
        <f aca="false">SUMPRODUCT((FC_Clase="Administración")*FC_Base*FC_O*((FC_Mon="PYG")*AP$19+(FC_Mon&lt;&gt;"PYG"))*(1+FC_g)^(AP$17-1)*((FC_Desde=0)*(AP$16+AP$15)+(FC_Desde&gt;=1)*(AP$14&gt;=FC_Desde)*AP$15))</f>
        <v>5114.58575342466</v>
      </c>
      <c r="AQ88" s="34" t="n">
        <f aca="false">SUMPRODUCT((FC_Clase="Administración")*FC_Base*FC_O*((FC_Mon="PYG")*AQ$19+(FC_Mon&lt;&gt;"PYG"))*(1+FC_g)^(AQ$17-1)*((FC_Desde=0)*(AQ$16+AQ$15)+(FC_Desde&gt;=1)*(AQ$14&gt;=FC_Desde)*AQ$15))</f>
        <v>5114.58575342466</v>
      </c>
      <c r="AR88" s="34" t="n">
        <f aca="false">SUMPRODUCT((FC_Clase="Administración")*FC_Base*FC_O*((FC_Mon="PYG")*AR$19+(FC_Mon&lt;&gt;"PYG"))*(1+FC_g)^(AR$17-1)*((FC_Desde=0)*(AR$16+AR$15)+(FC_Desde&gt;=1)*(AR$14&gt;=FC_Desde)*AR$15))</f>
        <v>5114.58575342466</v>
      </c>
      <c r="AS88" s="34" t="n">
        <f aca="false">SUMPRODUCT((FC_Clase="Administración")*FC_Base*FC_O*((FC_Mon="PYG")*AS$19+(FC_Mon&lt;&gt;"PYG"))*(1+FC_g)^(AS$17-1)*((FC_Desde=0)*(AS$16+AS$15)+(FC_Desde&gt;=1)*(AS$14&gt;=FC_Desde)*AS$15))</f>
        <v>5114.58575342466</v>
      </c>
      <c r="AT88" s="34" t="n">
        <f aca="false">SUMPRODUCT((FC_Clase="Administración")*FC_Base*FC_O*((FC_Mon="PYG")*AT$19+(FC_Mon&lt;&gt;"PYG"))*(1+FC_g)^(AT$17-1)*((FC_Desde=0)*(AT$16+AT$15)+(FC_Desde&gt;=1)*(AT$14&gt;=FC_Desde)*AT$15))</f>
        <v>5114.58575342466</v>
      </c>
      <c r="AU88" s="34" t="n">
        <f aca="false">SUMPRODUCT((FC_Clase="Administración")*FC_Base*FC_O*((FC_Mon="PYG")*AU$19+(FC_Mon&lt;&gt;"PYG"))*(1+FC_g)^(AU$17-1)*((FC_Desde=0)*(AU$16+AU$15)+(FC_Desde&gt;=1)*(AU$14&gt;=FC_Desde)*AU$15))</f>
        <v>5114.58575342466</v>
      </c>
      <c r="AV88" s="34" t="n">
        <f aca="false">SUMPRODUCT((FC_Clase="Administración")*FC_Base*FC_O*((FC_Mon="PYG")*AV$19+(FC_Mon&lt;&gt;"PYG"))*(1+FC_g)^(AV$17-1)*((FC_Desde=0)*(AV$16+AV$15)+(FC_Desde&gt;=1)*(AV$14&gt;=FC_Desde)*AV$15))</f>
        <v>5114.58575342466</v>
      </c>
      <c r="AW88" s="34" t="n">
        <f aca="false">SUMPRODUCT((FC_Clase="Administración")*FC_Base*FC_O*((FC_Mon="PYG")*AW$19+(FC_Mon&lt;&gt;"PYG"))*(1+FC_g)^(AW$17-1)*((FC_Desde=0)*(AW$16+AW$15)+(FC_Desde&gt;=1)*(AW$14&gt;=FC_Desde)*AW$15))</f>
        <v>5114.58575342466</v>
      </c>
      <c r="AX88" s="34" t="n">
        <f aca="false">SUMPRODUCT((FC_Clase="Administración")*FC_Base*FC_O*((FC_Mon="PYG")*AX$19+(FC_Mon&lt;&gt;"PYG"))*(1+FC_g)^(AX$17-1)*((FC_Desde=0)*(AX$16+AX$15)+(FC_Desde&gt;=1)*(AX$14&gt;=FC_Desde)*AX$15))</f>
        <v>5114.58575342466</v>
      </c>
      <c r="AY88" s="34" t="n">
        <f aca="false">SUMPRODUCT((FC_Clase="Administración")*FC_Base*FC_O*((FC_Mon="PYG")*AY$19+(FC_Mon&lt;&gt;"PYG"))*(1+FC_g)^(AY$17-1)*((FC_Desde=0)*(AY$16+AY$15)+(FC_Desde&gt;=1)*(AY$14&gt;=FC_Desde)*AY$15))</f>
        <v>5114.58575342466</v>
      </c>
      <c r="AZ88" s="34" t="n">
        <f aca="false">SUMPRODUCT((FC_Clase="Administración")*FC_Base*FC_O*((FC_Mon="PYG")*AZ$19+(FC_Mon&lt;&gt;"PYG"))*(1+FC_g)^(AZ$17-1)*((FC_Desde=0)*(AZ$16+AZ$15)+(FC_Desde&gt;=1)*(AZ$14&gt;=FC_Desde)*AZ$15))</f>
        <v>5114.58575342466</v>
      </c>
      <c r="BA88" s="34" t="n">
        <f aca="false">SUMPRODUCT((FC_Clase="Administración")*FC_Base*FC_O*((FC_Mon="PYG")*BA$19+(FC_Mon&lt;&gt;"PYG"))*(1+FC_g)^(BA$17-1)*((FC_Desde=0)*(BA$16+BA$15)+(FC_Desde&gt;=1)*(BA$14&gt;=FC_Desde)*BA$15))</f>
        <v>5114.58575342466</v>
      </c>
      <c r="BB88" s="34" t="n">
        <f aca="false">SUMPRODUCT((FC_Clase="Administración")*FC_Base*FC_O*((FC_Mon="PYG")*BB$19+(FC_Mon&lt;&gt;"PYG"))*(1+FC_g)^(BB$17-1)*((FC_Desde=0)*(BB$16+BB$15)+(FC_Desde&gt;=1)*(BB$14&gt;=FC_Desde)*BB$15))</f>
        <v>5114.58575342466</v>
      </c>
      <c r="BC88" s="34" t="n">
        <f aca="false">SUMPRODUCT((FC_Clase="Administración")*FC_Base*FC_O*((FC_Mon="PYG")*BC$19+(FC_Mon&lt;&gt;"PYG"))*(1+FC_g)^(BC$17-1)*((FC_Desde=0)*(BC$16+BC$15)+(FC_Desde&gt;=1)*(BC$14&gt;=FC_Desde)*BC$15))</f>
        <v>5114.58575342466</v>
      </c>
      <c r="BD88" s="34" t="n">
        <f aca="false">SUMPRODUCT((FC_Clase="Administración")*FC_Base*FC_O*((FC_Mon="PYG")*BD$19+(FC_Mon&lt;&gt;"PYG"))*(1+FC_g)^(BD$17-1)*((FC_Desde=0)*(BD$16+BD$15)+(FC_Desde&gt;=1)*(BD$14&gt;=FC_Desde)*BD$15))</f>
        <v>5114.58575342466</v>
      </c>
      <c r="BE88" s="34" t="n">
        <f aca="false">SUMPRODUCT((FC_Clase="Administración")*FC_Base*FC_O*((FC_Mon="PYG")*BE$19+(FC_Mon&lt;&gt;"PYG"))*(1+FC_g)^(BE$17-1)*((FC_Desde=0)*(BE$16+BE$15)+(FC_Desde&gt;=1)*(BE$14&gt;=FC_Desde)*BE$15))</f>
        <v>5114.58575342466</v>
      </c>
      <c r="BF88" s="34" t="n">
        <f aca="false">SUMPRODUCT((FC_Clase="Administración")*FC_Base*FC_O*((FC_Mon="PYG")*BF$19+(FC_Mon&lt;&gt;"PYG"))*(1+FC_g)^(BF$17-1)*((FC_Desde=0)*(BF$16+BF$15)+(FC_Desde&gt;=1)*(BF$14&gt;=FC_Desde)*BF$15))</f>
        <v>5114.58575342466</v>
      </c>
      <c r="BG88" s="34" t="n">
        <f aca="false">SUMPRODUCT((FC_Clase="Administración")*FC_Base*FC_O*((FC_Mon="PYG")*BG$19+(FC_Mon&lt;&gt;"PYG"))*(1+FC_g)^(BG$17-1)*((FC_Desde=0)*(BG$16+BG$15)+(FC_Desde&gt;=1)*(BG$14&gt;=FC_Desde)*BG$15))</f>
        <v>5114.58575342466</v>
      </c>
      <c r="BH88" s="34" t="n">
        <f aca="false">SUMPRODUCT((FC_Clase="Administración")*FC_Base*FC_O*((FC_Mon="PYG")*BH$19+(FC_Mon&lt;&gt;"PYG"))*(1+FC_g)^(BH$17-1)*((FC_Desde=0)*(BH$16+BH$15)+(FC_Desde&gt;=1)*(BH$14&gt;=FC_Desde)*BH$15))</f>
        <v>5114.58575342466</v>
      </c>
      <c r="BI88" s="34" t="n">
        <f aca="false">SUMPRODUCT((FC_Clase="Administración")*FC_Base*FC_O*((FC_Mon="PYG")*BI$19+(FC_Mon&lt;&gt;"PYG"))*(1+FC_g)^(BI$17-1)*((FC_Desde=0)*(BI$16+BI$15)+(FC_Desde&gt;=1)*(BI$14&gt;=FC_Desde)*BI$15))</f>
        <v>5114.58575342466</v>
      </c>
      <c r="BJ88" s="34" t="n">
        <f aca="false">SUMPRODUCT((FC_Clase="Administración")*FC_Base*FC_O*((FC_Mon="PYG")*BJ$19+(FC_Mon&lt;&gt;"PYG"))*(1+FC_g)^(BJ$17-1)*((FC_Desde=0)*(BJ$16+BJ$15)+(FC_Desde&gt;=1)*(BJ$14&gt;=FC_Desde)*BJ$15))</f>
        <v>5114.58575342466</v>
      </c>
      <c r="BK88" s="34" t="n">
        <f aca="false">SUMPRODUCT((FC_Clase="Administración")*FC_Base*FC_O*((FC_Mon="PYG")*BK$19+(FC_Mon&lt;&gt;"PYG"))*(1+FC_g)^(BK$17-1)*((FC_Desde=0)*(BK$16+BK$15)+(FC_Desde&gt;=1)*(BK$14&gt;=FC_Desde)*BK$15))</f>
        <v>5114.58575342466</v>
      </c>
      <c r="BL88" s="34" t="n">
        <f aca="false">SUMPRODUCT((FC_Clase="Administración")*FC_Base*FC_O*((FC_Mon="PYG")*BL$19+(FC_Mon&lt;&gt;"PYG"))*(1+FC_g)^(BL$17-1)*((FC_Desde=0)*(BL$16+BL$15)+(FC_Desde&gt;=1)*(BL$14&gt;=FC_Desde)*BL$15))</f>
        <v>5114.58575342466</v>
      </c>
      <c r="BM88" s="34" t="n">
        <f aca="false">SUMPRODUCT((FC_Clase="Administración")*FC_Base*FC_O*((FC_Mon="PYG")*BM$19+(FC_Mon&lt;&gt;"PYG"))*(1+FC_g)^(BM$17-1)*((FC_Desde=0)*(BM$16+BM$15)+(FC_Desde&gt;=1)*(BM$14&gt;=FC_Desde)*BM$15))</f>
        <v>5114.58575342466</v>
      </c>
      <c r="BN88" s="34" t="n">
        <f aca="false">SUMPRODUCT((FC_Clase="Administración")*FC_Base*FC_O*((FC_Mon="PYG")*BN$19+(FC_Mon&lt;&gt;"PYG"))*(1+FC_g)^(BN$17-1)*((FC_Desde=0)*(BN$16+BN$15)+(FC_Desde&gt;=1)*(BN$14&gt;=FC_Desde)*BN$15))</f>
        <v>5114.58575342466</v>
      </c>
      <c r="BO88" s="34" t="n">
        <f aca="false">SUMPRODUCT((FC_Clase="Administración")*FC_Base*FC_O*((FC_Mon="PYG")*BO$19+(FC_Mon&lt;&gt;"PYG"))*(1+FC_g)^(BO$17-1)*((FC_Desde=0)*(BO$16+BO$15)+(FC_Desde&gt;=1)*(BO$14&gt;=FC_Desde)*BO$15))</f>
        <v>5114.58575342466</v>
      </c>
      <c r="BP88" s="34" t="n">
        <f aca="false">SUMPRODUCT((FC_Clase="Administración")*FC_Base*FC_O*((FC_Mon="PYG")*BP$19+(FC_Mon&lt;&gt;"PYG"))*(1+FC_g)^(BP$17-1)*((FC_Desde=0)*(BP$16+BP$15)+(FC_Desde&gt;=1)*(BP$14&gt;=FC_Desde)*BP$15))</f>
        <v>5114.58575342466</v>
      </c>
      <c r="BQ88" s="34" t="n">
        <f aca="false">SUMPRODUCT((FC_Clase="Administración")*FC_Base*FC_O*((FC_Mon="PYG")*BQ$19+(FC_Mon&lt;&gt;"PYG"))*(1+FC_g)^(BQ$17-1)*((FC_Desde=0)*(BQ$16+BQ$15)+(FC_Desde&gt;=1)*(BQ$14&gt;=FC_Desde)*BQ$15))</f>
        <v>5114.58575342466</v>
      </c>
      <c r="BR88" s="34" t="n">
        <f aca="false">SUMPRODUCT((FC_Clase="Administración")*FC_Base*FC_O*((FC_Mon="PYG")*BR$19+(FC_Mon&lt;&gt;"PYG"))*(1+FC_g)^(BR$17-1)*((FC_Desde=0)*(BR$16+BR$15)+(FC_Desde&gt;=1)*(BR$14&gt;=FC_Desde)*BR$15))</f>
        <v>5114.58575342466</v>
      </c>
      <c r="BS88" s="34" t="n">
        <f aca="false">SUMPRODUCT((FC_Clase="Administración")*FC_Base*FC_O*((FC_Mon="PYG")*BS$19+(FC_Mon&lt;&gt;"PYG"))*(1+FC_g)^(BS$17-1)*((FC_Desde=0)*(BS$16+BS$15)+(FC_Desde&gt;=1)*(BS$14&gt;=FC_Desde)*BS$15))</f>
        <v>5114.58575342466</v>
      </c>
      <c r="BT88" s="34" t="n">
        <f aca="false">SUMPRODUCT((FC_Clase="Administración")*FC_Base*FC_O*((FC_Mon="PYG")*BT$19+(FC_Mon&lt;&gt;"PYG"))*(1+FC_g)^(BT$17-1)*((FC_Desde=0)*(BT$16+BT$15)+(FC_Desde&gt;=1)*(BT$14&gt;=FC_Desde)*BT$15))</f>
        <v>5114.58575342466</v>
      </c>
      <c r="BU88" s="34" t="n">
        <f aca="false">SUMPRODUCT((FC_Clase="Administración")*FC_Base*FC_O*((FC_Mon="PYG")*BU$19+(FC_Mon&lt;&gt;"PYG"))*(1+FC_g)^(BU$17-1)*((FC_Desde=0)*(BU$16+BU$15)+(FC_Desde&gt;=1)*(BU$14&gt;=FC_Desde)*BU$15))</f>
        <v>5114.58575342466</v>
      </c>
      <c r="BV88" s="34" t="n">
        <f aca="false">SUMPRODUCT((FC_Clase="Administración")*FC_Base*FC_O*((FC_Mon="PYG")*BV$19+(FC_Mon&lt;&gt;"PYG"))*(1+FC_g)^(BV$17-1)*((FC_Desde=0)*(BV$16+BV$15)+(FC_Desde&gt;=1)*(BV$14&gt;=FC_Desde)*BV$15))</f>
        <v>5114.58575342466</v>
      </c>
      <c r="BW88" s="34" t="n">
        <f aca="false">SUMPRODUCT((FC_Clase="Administración")*FC_Base*FC_O*((FC_Mon="PYG")*BW$19+(FC_Mon&lt;&gt;"PYG"))*(1+FC_g)^(BW$17-1)*((FC_Desde=0)*(BW$16+BW$15)+(FC_Desde&gt;=1)*(BW$14&gt;=FC_Desde)*BW$15))</f>
        <v>5114.58575342466</v>
      </c>
      <c r="BX88" s="34" t="n">
        <f aca="false">SUMPRODUCT((FC_Clase="Administración")*FC_Base*FC_O*((FC_Mon="PYG")*BX$19+(FC_Mon&lt;&gt;"PYG"))*(1+FC_g)^(BX$17-1)*((FC_Desde=0)*(BX$16+BX$15)+(FC_Desde&gt;=1)*(BX$14&gt;=FC_Desde)*BX$15))</f>
        <v>5114.58575342466</v>
      </c>
      <c r="BY88" s="34" t="n">
        <f aca="false">SUMPRODUCT((FC_Clase="Administración")*FC_Base*FC_O*((FC_Mon="PYG")*BY$19+(FC_Mon&lt;&gt;"PYG"))*(1+FC_g)^(BY$17-1)*((FC_Desde=0)*(BY$16+BY$15)+(FC_Desde&gt;=1)*(BY$14&gt;=FC_Desde)*BY$15))</f>
        <v>5114.58575342466</v>
      </c>
      <c r="BZ88" s="34" t="n">
        <f aca="false">SUMPRODUCT((FC_Clase="Administración")*FC_Base*FC_O*((FC_Mon="PYG")*BZ$19+(FC_Mon&lt;&gt;"PYG"))*(1+FC_g)^(BZ$17-1)*((FC_Desde=0)*(BZ$16+BZ$15)+(FC_Desde&gt;=1)*(BZ$14&gt;=FC_Desde)*BZ$15))</f>
        <v>5114.58575342466</v>
      </c>
      <c r="CA88" s="34" t="n">
        <f aca="false">SUMPRODUCT((FC_Clase="Administración")*FC_Base*FC_O*((FC_Mon="PYG")*CA$19+(FC_Mon&lt;&gt;"PYG"))*(1+FC_g)^(CA$17-1)*((FC_Desde=0)*(CA$16+CA$15)+(FC_Desde&gt;=1)*(CA$14&gt;=FC_Desde)*CA$15))</f>
        <v>5114.58575342466</v>
      </c>
      <c r="CB88" s="34" t="n">
        <f aca="false">SUMPRODUCT((FC_Clase="Administración")*FC_Base*FC_O*((FC_Mon="PYG")*CB$19+(FC_Mon&lt;&gt;"PYG"))*(1+FC_g)^(CB$17-1)*((FC_Desde=0)*(CB$16+CB$15)+(FC_Desde&gt;=1)*(CB$14&gt;=FC_Desde)*CB$15))</f>
        <v>5114.58575342466</v>
      </c>
      <c r="CC88" s="34" t="n">
        <f aca="false">SUMPRODUCT((FC_Clase="Administración")*FC_Base*FC_O*((FC_Mon="PYG")*CC$19+(FC_Mon&lt;&gt;"PYG"))*(1+FC_g)^(CC$17-1)*((FC_Desde=0)*(CC$16+CC$15)+(FC_Desde&gt;=1)*(CC$14&gt;=FC_Desde)*CC$15))</f>
        <v>5114.58575342466</v>
      </c>
      <c r="CD88" s="34" t="n">
        <f aca="false">SUMPRODUCT((FC_Clase="Administración")*FC_Base*FC_O*((FC_Mon="PYG")*CD$19+(FC_Mon&lt;&gt;"PYG"))*(1+FC_g)^(CD$17-1)*((FC_Desde=0)*(CD$16+CD$15)+(FC_Desde&gt;=1)*(CD$14&gt;=FC_Desde)*CD$15))</f>
        <v>5114.58575342466</v>
      </c>
      <c r="CE88" s="34" t="n">
        <f aca="false">SUMPRODUCT((FC_Clase="Administración")*FC_Base*FC_O*((FC_Mon="PYG")*CE$19+(FC_Mon&lt;&gt;"PYG"))*(1+FC_g)^(CE$17-1)*((FC_Desde=0)*(CE$16+CE$15)+(FC_Desde&gt;=1)*(CE$14&gt;=FC_Desde)*CE$15))</f>
        <v>5114.58575342466</v>
      </c>
      <c r="CF88" s="34" t="n">
        <f aca="false">SUMPRODUCT((FC_Clase="Administración")*FC_Base*FC_O*((FC_Mon="PYG")*CF$19+(FC_Mon&lt;&gt;"PYG"))*(1+FC_g)^(CF$17-1)*((FC_Desde=0)*(CF$16+CF$15)+(FC_Desde&gt;=1)*(CF$14&gt;=FC_Desde)*CF$15))</f>
        <v>5114.58575342466</v>
      </c>
      <c r="CG88" s="34" t="n">
        <f aca="false">SUMPRODUCT((FC_Clase="Administración")*FC_Base*FC_O*((FC_Mon="PYG")*CG$19+(FC_Mon&lt;&gt;"PYG"))*(1+FC_g)^(CG$17-1)*((FC_Desde=0)*(CG$16+CG$15)+(FC_Desde&gt;=1)*(CG$14&gt;=FC_Desde)*CG$15))</f>
        <v>5114.58575342466</v>
      </c>
      <c r="CH88" s="34" t="n">
        <f aca="false">SUMPRODUCT((FC_Clase="Administración")*FC_Base*FC_O*((FC_Mon="PYG")*CH$19+(FC_Mon&lt;&gt;"PYG"))*(1+FC_g)^(CH$17-1)*((FC_Desde=0)*(CH$16+CH$15)+(FC_Desde&gt;=1)*(CH$14&gt;=FC_Desde)*CH$15))</f>
        <v>5114.58575342466</v>
      </c>
      <c r="CI88" s="34" t="n">
        <f aca="false">SUMPRODUCT((FC_Clase="Administración")*FC_Base*FC_O*((FC_Mon="PYG")*CI$19+(FC_Mon&lt;&gt;"PYG"))*(1+FC_g)^(CI$17-1)*((FC_Desde=0)*(CI$16+CI$15)+(FC_Desde&gt;=1)*(CI$14&gt;=FC_Desde)*CI$15))</f>
        <v>5114.58575342466</v>
      </c>
      <c r="CJ88" s="34" t="n">
        <f aca="false">SUMPRODUCT((FC_Clase="Administración")*FC_Base*FC_O*((FC_Mon="PYG")*CJ$19+(FC_Mon&lt;&gt;"PYG"))*(1+FC_g)^(CJ$17-1)*((FC_Desde=0)*(CJ$16+CJ$15)+(FC_Desde&gt;=1)*(CJ$14&gt;=FC_Desde)*CJ$15))</f>
        <v>5114.58575342466</v>
      </c>
      <c r="CK88" s="34" t="n">
        <f aca="false">SUMPRODUCT((FC_Clase="Administración")*FC_Base*FC_O*((FC_Mon="PYG")*CK$19+(FC_Mon&lt;&gt;"PYG"))*(1+FC_g)^(CK$17-1)*((FC_Desde=0)*(CK$16+CK$15)+(FC_Desde&gt;=1)*(CK$14&gt;=FC_Desde)*CK$15))</f>
        <v>5114.58575342466</v>
      </c>
      <c r="CL88" s="34" t="n">
        <f aca="false">SUMPRODUCT((FC_Clase="Administración")*FC_Base*FC_O*((FC_Mon="PYG")*CL$19+(FC_Mon&lt;&gt;"PYG"))*(1+FC_g)^(CL$17-1)*((FC_Desde=0)*(CL$16+CL$15)+(FC_Desde&gt;=1)*(CL$14&gt;=FC_Desde)*CL$15))</f>
        <v>5114.58575342466</v>
      </c>
      <c r="CM88" s="34" t="n">
        <f aca="false">SUMPRODUCT((FC_Clase="Administración")*FC_Base*FC_O*((FC_Mon="PYG")*CM$19+(FC_Mon&lt;&gt;"PYG"))*(1+FC_g)^(CM$17-1)*((FC_Desde=0)*(CM$16+CM$15)+(FC_Desde&gt;=1)*(CM$14&gt;=FC_Desde)*CM$15))</f>
        <v>5114.58575342466</v>
      </c>
      <c r="CN88" s="34" t="n">
        <f aca="false">SUMPRODUCT((FC_Clase="Administración")*FC_Base*FC_O*((FC_Mon="PYG")*CN$19+(FC_Mon&lt;&gt;"PYG"))*(1+FC_g)^(CN$17-1)*((FC_Desde=0)*(CN$16+CN$15)+(FC_Desde&gt;=1)*(CN$14&gt;=FC_Desde)*CN$15))</f>
        <v>5114.58575342466</v>
      </c>
      <c r="CO88" s="34" t="n">
        <f aca="false">SUMPRODUCT((FC_Clase="Administración")*FC_Base*FC_O*((FC_Mon="PYG")*CO$19+(FC_Mon&lt;&gt;"PYG"))*(1+FC_g)^(CO$17-1)*((FC_Desde=0)*(CO$16+CO$15)+(FC_Desde&gt;=1)*(CO$14&gt;=FC_Desde)*CO$15))</f>
        <v>5114.58575342466</v>
      </c>
      <c r="CP88" s="34" t="n">
        <f aca="false">SUMPRODUCT((FC_Clase="Administración")*FC_Base*FC_O*((FC_Mon="PYG")*CP$19+(FC_Mon&lt;&gt;"PYG"))*(1+FC_g)^(CP$17-1)*((FC_Desde=0)*(CP$16+CP$15)+(FC_Desde&gt;=1)*(CP$14&gt;=FC_Desde)*CP$15))</f>
        <v>5114.58575342466</v>
      </c>
      <c r="CQ88" s="34" t="n">
        <f aca="false">SUMPRODUCT((FC_Clase="Administración")*FC_Base*FC_O*((FC_Mon="PYG")*CQ$19+(FC_Mon&lt;&gt;"PYG"))*(1+FC_g)^(CQ$17-1)*((FC_Desde=0)*(CQ$16+CQ$15)+(FC_Desde&gt;=1)*(CQ$14&gt;=FC_Desde)*CQ$15))</f>
        <v>5114.58575342466</v>
      </c>
      <c r="CR88" s="34" t="n">
        <f aca="false">SUMPRODUCT((FC_Clase="Administración")*FC_Base*FC_O*((FC_Mon="PYG")*CR$19+(FC_Mon&lt;&gt;"PYG"))*(1+FC_g)^(CR$17-1)*((FC_Desde=0)*(CR$16+CR$15)+(FC_Desde&gt;=1)*(CR$14&gt;=FC_Desde)*CR$15))</f>
        <v>5114.58575342466</v>
      </c>
      <c r="CS88" s="34" t="n">
        <f aca="false">SUMPRODUCT((FC_Clase="Administración")*FC_Base*FC_O*((FC_Mon="PYG")*CS$19+(FC_Mon&lt;&gt;"PYG"))*(1+FC_g)^(CS$17-1)*((FC_Desde=0)*(CS$16+CS$15)+(FC_Desde&gt;=1)*(CS$14&gt;=FC_Desde)*CS$15))</f>
        <v>5114.58575342466</v>
      </c>
      <c r="CT88" s="34" t="n">
        <f aca="false">SUMPRODUCT((FC_Clase="Administración")*FC_Base*FC_O*((FC_Mon="PYG")*CT$19+(FC_Mon&lt;&gt;"PYG"))*(1+FC_g)^(CT$17-1)*((FC_Desde=0)*(CT$16+CT$15)+(FC_Desde&gt;=1)*(CT$14&gt;=FC_Desde)*CT$15))</f>
        <v>5114.58575342466</v>
      </c>
      <c r="CU88" s="34" t="n">
        <f aca="false">SUMPRODUCT((FC_Clase="Administración")*FC_Base*FC_O*((FC_Mon="PYG")*CU$19+(FC_Mon&lt;&gt;"PYG"))*(1+FC_g)^(CU$17-1)*((FC_Desde=0)*(CU$16+CU$15)+(FC_Desde&gt;=1)*(CU$14&gt;=FC_Desde)*CU$15))</f>
        <v>5114.58575342466</v>
      </c>
      <c r="CV88" s="34" t="n">
        <f aca="false">SUMPRODUCT((FC_Clase="Administración")*FC_Base*FC_O*((FC_Mon="PYG")*CV$19+(FC_Mon&lt;&gt;"PYG"))*(1+FC_g)^(CV$17-1)*((FC_Desde=0)*(CV$16+CV$15)+(FC_Desde&gt;=1)*(CV$14&gt;=FC_Desde)*CV$15))</f>
        <v>5114.58575342466</v>
      </c>
      <c r="CW88" s="34" t="n">
        <f aca="false">SUMPRODUCT((FC_Clase="Administración")*FC_Base*FC_O*((FC_Mon="PYG")*CW$19+(FC_Mon&lt;&gt;"PYG"))*(1+FC_g)^(CW$17-1)*((FC_Desde=0)*(CW$16+CW$15)+(FC_Desde&gt;=1)*(CW$14&gt;=FC_Desde)*CW$15))</f>
        <v>5114.58575342466</v>
      </c>
      <c r="CX88" s="34" t="n">
        <f aca="false">SUMPRODUCT((FC_Clase="Administración")*FC_Base*FC_O*((FC_Mon="PYG")*CX$19+(FC_Mon&lt;&gt;"PYG"))*(1+FC_g)^(CX$17-1)*((FC_Desde=0)*(CX$16+CX$15)+(FC_Desde&gt;=1)*(CX$14&gt;=FC_Desde)*CX$15))</f>
        <v>5114.58575342466</v>
      </c>
      <c r="CY88" s="34" t="n">
        <f aca="false">SUMPRODUCT((FC_Clase="Administración")*FC_Base*FC_O*((FC_Mon="PYG")*CY$19+(FC_Mon&lt;&gt;"PYG"))*(1+FC_g)^(CY$17-1)*((FC_Desde=0)*(CY$16+CY$15)+(FC_Desde&gt;=1)*(CY$14&gt;=FC_Desde)*CY$15))</f>
        <v>5114.58575342466</v>
      </c>
      <c r="CZ88" s="34" t="n">
        <f aca="false">SUMPRODUCT((FC_Clase="Administración")*FC_Base*FC_O*((FC_Mon="PYG")*CZ$19+(FC_Mon&lt;&gt;"PYG"))*(1+FC_g)^(CZ$17-1)*((FC_Desde=0)*(CZ$16+CZ$15)+(FC_Desde&gt;=1)*(CZ$14&gt;=FC_Desde)*CZ$15))</f>
        <v>5114.58575342466</v>
      </c>
      <c r="DA88" s="34" t="n">
        <f aca="false">SUMPRODUCT((FC_Clase="Administración")*FC_Base*FC_O*((FC_Mon="PYG")*DA$19+(FC_Mon&lt;&gt;"PYG"))*(1+FC_g)^(DA$17-1)*((FC_Desde=0)*(DA$16+DA$15)+(FC_Desde&gt;=1)*(DA$14&gt;=FC_Desde)*DA$15))</f>
        <v>5114.58575342466</v>
      </c>
      <c r="DB88" s="34" t="n">
        <f aca="false">SUMPRODUCT((FC_Clase="Administración")*FC_Base*FC_O*((FC_Mon="PYG")*DB$19+(FC_Mon&lt;&gt;"PYG"))*(1+FC_g)^(DB$17-1)*((FC_Desde=0)*(DB$16+DB$15)+(FC_Desde&gt;=1)*(DB$14&gt;=FC_Desde)*DB$15))</f>
        <v>5114.58575342466</v>
      </c>
      <c r="DC88" s="34" t="n">
        <f aca="false">SUMPRODUCT((FC_Clase="Administración")*FC_Base*FC_O*((FC_Mon="PYG")*DC$19+(FC_Mon&lt;&gt;"PYG"))*(1+FC_g)^(DC$17-1)*((FC_Desde=0)*(DC$16+DC$15)+(FC_Desde&gt;=1)*(DC$14&gt;=FC_Desde)*DC$15))</f>
        <v>5114.58575342466</v>
      </c>
      <c r="DD88" s="34" t="n">
        <f aca="false">SUMPRODUCT((FC_Clase="Administración")*FC_Base*FC_O*((FC_Mon="PYG")*DD$19+(FC_Mon&lt;&gt;"PYG"))*(1+FC_g)^(DD$17-1)*((FC_Desde=0)*(DD$16+DD$15)+(FC_Desde&gt;=1)*(DD$14&gt;=FC_Desde)*DD$15))</f>
        <v>5114.58575342466</v>
      </c>
      <c r="DE88" s="34" t="n">
        <f aca="false">SUMPRODUCT((FC_Clase="Administración")*FC_Base*FC_O*((FC_Mon="PYG")*DE$19+(FC_Mon&lt;&gt;"PYG"))*(1+FC_g)^(DE$17-1)*((FC_Desde=0)*(DE$16+DE$15)+(FC_Desde&gt;=1)*(DE$14&gt;=FC_Desde)*DE$15))</f>
        <v>5114.58575342466</v>
      </c>
      <c r="DF88" s="34" t="n">
        <f aca="false">SUMPRODUCT((FC_Clase="Administración")*FC_Base*FC_O*((FC_Mon="PYG")*DF$19+(FC_Mon&lt;&gt;"PYG"))*(1+FC_g)^(DF$17-1)*((FC_Desde=0)*(DF$16+DF$15)+(FC_Desde&gt;=1)*(DF$14&gt;=FC_Desde)*DF$15))</f>
        <v>5114.58575342466</v>
      </c>
      <c r="DG88" s="34" t="n">
        <f aca="false">SUMPRODUCT((FC_Clase="Administración")*FC_Base*FC_O*((FC_Mon="PYG")*DG$19+(FC_Mon&lt;&gt;"PYG"))*(1+FC_g)^(DG$17-1)*((FC_Desde=0)*(DG$16+DG$15)+(FC_Desde&gt;=1)*(DG$14&gt;=FC_Desde)*DG$15))</f>
        <v>5114.58575342466</v>
      </c>
      <c r="DH88" s="34" t="n">
        <f aca="false">SUMPRODUCT((FC_Clase="Administración")*FC_Base*FC_O*((FC_Mon="PYG")*DH$19+(FC_Mon&lt;&gt;"PYG"))*(1+FC_g)^(DH$17-1)*((FC_Desde=0)*(DH$16+DH$15)+(FC_Desde&gt;=1)*(DH$14&gt;=FC_Desde)*DH$15))</f>
        <v>5114.58575342466</v>
      </c>
      <c r="DI88" s="34" t="n">
        <f aca="false">SUMPRODUCT((FC_Clase="Administración")*FC_Base*FC_O*((FC_Mon="PYG")*DI$19+(FC_Mon&lt;&gt;"PYG"))*(1+FC_g)^(DI$17-1)*((FC_Desde=0)*(DI$16+DI$15)+(FC_Desde&gt;=1)*(DI$14&gt;=FC_Desde)*DI$15))</f>
        <v>5114.58575342466</v>
      </c>
      <c r="DJ88" s="34" t="n">
        <f aca="false">SUMPRODUCT((FC_Clase="Administración")*FC_Base*FC_O*((FC_Mon="PYG")*DJ$19+(FC_Mon&lt;&gt;"PYG"))*(1+FC_g)^(DJ$17-1)*((FC_Desde=0)*(DJ$16+DJ$15)+(FC_Desde&gt;=1)*(DJ$14&gt;=FC_Desde)*DJ$15))</f>
        <v>5114.58575342466</v>
      </c>
      <c r="DK88" s="34" t="n">
        <f aca="false">SUMPRODUCT((FC_Clase="Administración")*FC_Base*FC_O*((FC_Mon="PYG")*DK$19+(FC_Mon&lt;&gt;"PYG"))*(1+FC_g)^(DK$17-1)*((FC_Desde=0)*(DK$16+DK$15)+(FC_Desde&gt;=1)*(DK$14&gt;=FC_Desde)*DK$15))</f>
        <v>5114.58575342466</v>
      </c>
      <c r="DL88" s="34" t="n">
        <f aca="false">SUMPRODUCT((FC_Clase="Administración")*FC_Base*FC_O*((FC_Mon="PYG")*DL$19+(FC_Mon&lt;&gt;"PYG"))*(1+FC_g)^(DL$17-1)*((FC_Desde=0)*(DL$16+DL$15)+(FC_Desde&gt;=1)*(DL$14&gt;=FC_Desde)*DL$15))</f>
        <v>5114.58575342466</v>
      </c>
      <c r="DM88" s="34" t="n">
        <f aca="false">SUMPRODUCT((FC_Clase="Administración")*FC_Base*FC_O*((FC_Mon="PYG")*DM$19+(FC_Mon&lt;&gt;"PYG"))*(1+FC_g)^(DM$17-1)*((FC_Desde=0)*(DM$16+DM$15)+(FC_Desde&gt;=1)*(DM$14&gt;=FC_Desde)*DM$15))</f>
        <v>5114.58575342466</v>
      </c>
      <c r="DN88" s="34" t="n">
        <f aca="false">SUMPRODUCT((FC_Clase="Administración")*FC_Base*FC_O*((FC_Mon="PYG")*DN$19+(FC_Mon&lt;&gt;"PYG"))*(1+FC_g)^(DN$17-1)*((FC_Desde=0)*(DN$16+DN$15)+(FC_Desde&gt;=1)*(DN$14&gt;=FC_Desde)*DN$15))</f>
        <v>5114.58575342466</v>
      </c>
      <c r="DO88" s="34" t="n">
        <f aca="false">SUMPRODUCT((FC_Clase="Administración")*FC_Base*FC_O*((FC_Mon="PYG")*DO$19+(FC_Mon&lt;&gt;"PYG"))*(1+FC_g)^(DO$17-1)*((FC_Desde=0)*(DO$16+DO$15)+(FC_Desde&gt;=1)*(DO$14&gt;=FC_Desde)*DO$15))</f>
        <v>5114.58575342466</v>
      </c>
      <c r="DP88" s="34" t="n">
        <f aca="false">SUMPRODUCT((FC_Clase="Administración")*FC_Base*FC_O*((FC_Mon="PYG")*DP$19+(FC_Mon&lt;&gt;"PYG"))*(1+FC_g)^(DP$17-1)*((FC_Desde=0)*(DP$16+DP$15)+(FC_Desde&gt;=1)*(DP$14&gt;=FC_Desde)*DP$15))</f>
        <v>5114.58575342466</v>
      </c>
      <c r="DQ88" s="34" t="n">
        <f aca="false">SUMPRODUCT((FC_Clase="Administración")*FC_Base*FC_O*((FC_Mon="PYG")*DQ$19+(FC_Mon&lt;&gt;"PYG"))*(1+FC_g)^(DQ$17-1)*((FC_Desde=0)*(DQ$16+DQ$15)+(FC_Desde&gt;=1)*(DQ$14&gt;=FC_Desde)*DQ$15))</f>
        <v>5114.58575342466</v>
      </c>
      <c r="DR88" s="34" t="n">
        <f aca="false">SUMPRODUCT((FC_Clase="Administración")*FC_Base*FC_O*((FC_Mon="PYG")*DR$19+(FC_Mon&lt;&gt;"PYG"))*(1+FC_g)^(DR$17-1)*((FC_Desde=0)*(DR$16+DR$15)+(FC_Desde&gt;=1)*(DR$14&gt;=FC_Desde)*DR$15))</f>
        <v>5114.58575342466</v>
      </c>
      <c r="DS88" s="34" t="n">
        <f aca="false">SUMPRODUCT((FC_Clase="Administración")*FC_Base*FC_O*((FC_Mon="PYG")*DS$19+(FC_Mon&lt;&gt;"PYG"))*(1+FC_g)^(DS$17-1)*((FC_Desde=0)*(DS$16+DS$15)+(FC_Desde&gt;=1)*(DS$14&gt;=FC_Desde)*DS$15))</f>
        <v>5114.58575342466</v>
      </c>
      <c r="DT88" s="34" t="n">
        <f aca="false">SUMPRODUCT((FC_Clase="Administración")*FC_Base*FC_O*((FC_Mon="PYG")*DT$19+(FC_Mon&lt;&gt;"PYG"))*(1+FC_g)^(DT$17-1)*((FC_Desde=0)*(DT$16+DT$15)+(FC_Desde&gt;=1)*(DT$14&gt;=FC_Desde)*DT$15))</f>
        <v>5114.58575342466</v>
      </c>
      <c r="DU88" s="34" t="n">
        <f aca="false">SUMPRODUCT((FC_Clase="Administración")*FC_Base*FC_O*((FC_Mon="PYG")*DU$19+(FC_Mon&lt;&gt;"PYG"))*(1+FC_g)^(DU$17-1)*((FC_Desde=0)*(DU$16+DU$15)+(FC_Desde&gt;=1)*(DU$14&gt;=FC_Desde)*DU$15))</f>
        <v>5114.58575342466</v>
      </c>
      <c r="DV88" s="34" t="n">
        <f aca="false">SUMPRODUCT((FC_Clase="Administración")*FC_Base*FC_O*((FC_Mon="PYG")*DV$19+(FC_Mon&lt;&gt;"PYG"))*(1+FC_g)^(DV$17-1)*((FC_Desde=0)*(DV$16+DV$15)+(FC_Desde&gt;=1)*(DV$14&gt;=FC_Desde)*DV$15))</f>
        <v>0</v>
      </c>
      <c r="DW88" s="34" t="n">
        <f aca="false">SUMPRODUCT((FC_Clase="Administración")*FC_Base*FC_O*((FC_Mon="PYG")*DW$19+(FC_Mon&lt;&gt;"PYG"))*(1+FC_g)^(DW$17-1)*((FC_Desde=0)*(DW$16+DW$15)+(FC_Desde&gt;=1)*(DW$14&gt;=FC_Desde)*DW$15))</f>
        <v>0</v>
      </c>
      <c r="DX88" s="34" t="n">
        <f aca="false">SUMPRODUCT((FC_Clase="Administración")*FC_Base*FC_O*((FC_Mon="PYG")*DX$19+(FC_Mon&lt;&gt;"PYG"))*(1+FC_g)^(DX$17-1)*((FC_Desde=0)*(DX$16+DX$15)+(FC_Desde&gt;=1)*(DX$14&gt;=FC_Desde)*DX$15))</f>
        <v>0</v>
      </c>
      <c r="DY88" s="34" t="n">
        <f aca="false">SUMPRODUCT((FC_Clase="Administración")*FC_Base*FC_O*((FC_Mon="PYG")*DY$19+(FC_Mon&lt;&gt;"PYG"))*(1+FC_g)^(DY$17-1)*((FC_Desde=0)*(DY$16+DY$15)+(FC_Desde&gt;=1)*(DY$14&gt;=FC_Desde)*DY$15))</f>
        <v>0</v>
      </c>
      <c r="DZ88" s="34" t="n">
        <f aca="false">SUMPRODUCT((FC_Clase="Administración")*FC_Base*FC_O*((FC_Mon="PYG")*DZ$19+(FC_Mon&lt;&gt;"PYG"))*(1+FC_g)^(DZ$17-1)*((FC_Desde=0)*(DZ$16+DZ$15)+(FC_Desde&gt;=1)*(DZ$14&gt;=FC_Desde)*DZ$15))</f>
        <v>0</v>
      </c>
      <c r="EA88" s="34" t="n">
        <f aca="false">SUMPRODUCT((FC_Clase="Administración")*FC_Base*FC_O*((FC_Mon="PYG")*EA$19+(FC_Mon&lt;&gt;"PYG"))*(1+FC_g)^(EA$17-1)*((FC_Desde=0)*(EA$16+EA$15)+(FC_Desde&gt;=1)*(EA$14&gt;=FC_Desde)*EA$15))</f>
        <v>0</v>
      </c>
      <c r="EB88" s="34" t="n">
        <f aca="false">SUMPRODUCT((FC_Clase="Administración")*FC_Base*FC_O*((FC_Mon="PYG")*EB$19+(FC_Mon&lt;&gt;"PYG"))*(1+FC_g)^(EB$17-1)*((FC_Desde=0)*(EB$16+EB$15)+(FC_Desde&gt;=1)*(EB$14&gt;=FC_Desde)*EB$15))</f>
        <v>0</v>
      </c>
      <c r="EC88" s="34" t="n">
        <f aca="false">SUMPRODUCT((FC_Clase="Administración")*FC_Base*FC_O*((FC_Mon="PYG")*EC$19+(FC_Mon&lt;&gt;"PYG"))*(1+FC_g)^(EC$17-1)*((FC_Desde=0)*(EC$16+EC$15)+(FC_Desde&gt;=1)*(EC$14&gt;=FC_Desde)*EC$15))</f>
        <v>0</v>
      </c>
      <c r="ED88" s="34" t="n">
        <f aca="false">SUMPRODUCT((FC_Clase="Administración")*FC_Base*FC_O*((FC_Mon="PYG")*ED$19+(FC_Mon&lt;&gt;"PYG"))*(1+FC_g)^(ED$17-1)*((FC_Desde=0)*(ED$16+ED$15)+(FC_Desde&gt;=1)*(ED$14&gt;=FC_Desde)*ED$15))</f>
        <v>0</v>
      </c>
      <c r="EE88" s="34" t="n">
        <f aca="false">SUMPRODUCT((FC_Clase="Administración")*FC_Base*FC_O*((FC_Mon="PYG")*EE$19+(FC_Mon&lt;&gt;"PYG"))*(1+FC_g)^(EE$17-1)*((FC_Desde=0)*(EE$16+EE$15)+(FC_Desde&gt;=1)*(EE$14&gt;=FC_Desde)*EE$15))</f>
        <v>0</v>
      </c>
      <c r="EF88" s="34" t="n">
        <f aca="false">SUMPRODUCT((FC_Clase="Administración")*FC_Base*FC_O*((FC_Mon="PYG")*EF$19+(FC_Mon&lt;&gt;"PYG"))*(1+FC_g)^(EF$17-1)*((FC_Desde=0)*(EF$16+EF$15)+(FC_Desde&gt;=1)*(EF$14&gt;=FC_Desde)*EF$15))</f>
        <v>0</v>
      </c>
      <c r="EG88" s="34" t="n">
        <f aca="false">SUMPRODUCT((FC_Clase="Administración")*FC_Base*FC_O*((FC_Mon="PYG")*EG$19+(FC_Mon&lt;&gt;"PYG"))*(1+FC_g)^(EG$17-1)*((FC_Desde=0)*(EG$16+EG$15)+(FC_Desde&gt;=1)*(EG$14&gt;=FC_Desde)*EG$15))</f>
        <v>0</v>
      </c>
      <c r="EH88" s="34" t="n">
        <f aca="false">SUMPRODUCT((FC_Clase="Administración")*FC_Base*FC_O*((FC_Mon="PYG")*EH$19+(FC_Mon&lt;&gt;"PYG"))*(1+FC_g)^(EH$17-1)*((FC_Desde=0)*(EH$16+EH$15)+(FC_Desde&gt;=1)*(EH$14&gt;=FC_Desde)*EH$15))</f>
        <v>0</v>
      </c>
      <c r="EI88" s="34" t="n">
        <f aca="false">SUMPRODUCT((FC_Clase="Administración")*FC_Base*FC_O*((FC_Mon="PYG")*EI$19+(FC_Mon&lt;&gt;"PYG"))*(1+FC_g)^(EI$17-1)*((FC_Desde=0)*(EI$16+EI$15)+(FC_Desde&gt;=1)*(EI$14&gt;=FC_Desde)*EI$15))</f>
        <v>0</v>
      </c>
      <c r="EJ88" s="34" t="n">
        <f aca="false">SUMPRODUCT((FC_Clase="Administración")*FC_Base*FC_O*((FC_Mon="PYG")*EJ$19+(FC_Mon&lt;&gt;"PYG"))*(1+FC_g)^(EJ$17-1)*((FC_Desde=0)*(EJ$16+EJ$15)+(FC_Desde&gt;=1)*(EJ$14&gt;=FC_Desde)*EJ$15))</f>
        <v>0</v>
      </c>
      <c r="EK88" s="34" t="n">
        <f aca="false">SUMPRODUCT((FC_Clase="Administración")*FC_Base*FC_O*((FC_Mon="PYG")*EK$19+(FC_Mon&lt;&gt;"PYG"))*(1+FC_g)^(EK$17-1)*((FC_Desde=0)*(EK$16+EK$15)+(FC_Desde&gt;=1)*(EK$14&gt;=FC_Desde)*EK$15))</f>
        <v>0</v>
      </c>
      <c r="EL88" s="34" t="n">
        <f aca="false">SUMPRODUCT((FC_Clase="Administración")*FC_Base*FC_O*((FC_Mon="PYG")*EL$19+(FC_Mon&lt;&gt;"PYG"))*(1+FC_g)^(EL$17-1)*((FC_Desde=0)*(EL$16+EL$15)+(FC_Desde&gt;=1)*(EL$14&gt;=FC_Desde)*EL$15))</f>
        <v>0</v>
      </c>
      <c r="EM88" s="34" t="n">
        <f aca="false">SUMPRODUCT((FC_Clase="Administración")*FC_Base*FC_O*((FC_Mon="PYG")*EM$19+(FC_Mon&lt;&gt;"PYG"))*(1+FC_g)^(EM$17-1)*((FC_Desde=0)*(EM$16+EM$15)+(FC_Desde&gt;=1)*(EM$14&gt;=FC_Desde)*EM$15))</f>
        <v>0</v>
      </c>
      <c r="EN88" s="34" t="n">
        <f aca="false">SUMPRODUCT((FC_Clase="Administración")*FC_Base*FC_O*((FC_Mon="PYG")*EN$19+(FC_Mon&lt;&gt;"PYG"))*(1+FC_g)^(EN$17-1)*((FC_Desde=0)*(EN$16+EN$15)+(FC_Desde&gt;=1)*(EN$14&gt;=FC_Desde)*EN$15))</f>
        <v>0</v>
      </c>
      <c r="EO88" s="34" t="n">
        <f aca="false">SUMPRODUCT((FC_Clase="Administración")*FC_Base*FC_O*((FC_Mon="PYG")*EO$19+(FC_Mon&lt;&gt;"PYG"))*(1+FC_g)^(EO$17-1)*((FC_Desde=0)*(EO$16+EO$15)+(FC_Desde&gt;=1)*(EO$14&gt;=FC_Desde)*EO$15))</f>
        <v>0</v>
      </c>
      <c r="EP88" s="34" t="n">
        <f aca="false">SUMPRODUCT((FC_Clase="Administración")*FC_Base*FC_O*((FC_Mon="PYG")*EP$19+(FC_Mon&lt;&gt;"PYG"))*(1+FC_g)^(EP$17-1)*((FC_Desde=0)*(EP$16+EP$15)+(FC_Desde&gt;=1)*(EP$14&gt;=FC_Desde)*EP$15))</f>
        <v>0</v>
      </c>
      <c r="EQ88" s="34" t="n">
        <f aca="false">SUMPRODUCT((FC_Clase="Administración")*FC_Base*FC_O*((FC_Mon="PYG")*EQ$19+(FC_Mon&lt;&gt;"PYG"))*(1+FC_g)^(EQ$17-1)*((FC_Desde=0)*(EQ$16+EQ$15)+(FC_Desde&gt;=1)*(EQ$14&gt;=FC_Desde)*EQ$15))</f>
        <v>0</v>
      </c>
      <c r="ER88" s="34" t="n">
        <f aca="false">SUMPRODUCT((FC_Clase="Administración")*FC_Base*FC_O*((FC_Mon="PYG")*ER$19+(FC_Mon&lt;&gt;"PYG"))*(1+FC_g)^(ER$17-1)*((FC_Desde=0)*(ER$16+ER$15)+(FC_Desde&gt;=1)*(ER$14&gt;=FC_Desde)*ER$15))</f>
        <v>0</v>
      </c>
      <c r="ES88" s="34" t="n">
        <f aca="false">SUMPRODUCT((FC_Clase="Administración")*FC_Base*FC_O*((FC_Mon="PYG")*ES$19+(FC_Mon&lt;&gt;"PYG"))*(1+FC_g)^(ES$17-1)*((FC_Desde=0)*(ES$16+ES$15)+(FC_Desde&gt;=1)*(ES$14&gt;=FC_Desde)*ES$15))</f>
        <v>0</v>
      </c>
    </row>
    <row r="89" customFormat="false" ht="15" hidden="false" customHeight="false" outlineLevel="0" collapsed="false">
      <c r="A89" s="2" t="s">
        <v>669</v>
      </c>
      <c r="B89" s="6" t="s">
        <v>670</v>
      </c>
      <c r="C89" s="6" t="s">
        <v>250</v>
      </c>
      <c r="E89" s="40" t="n">
        <f aca="false">SUM(F89:ES89)</f>
        <v>2851501.29749091</v>
      </c>
      <c r="F89" s="34" t="n">
        <f aca="false">P_ImpP*(F$73+F$74+F$75+F$76+F$83+F$84+F$78+F$80+F$86)</f>
        <v>15479.5332084976</v>
      </c>
      <c r="G89" s="34" t="n">
        <f aca="false">P_ImpP*(G$73+G$74+G$75+G$76+G$83+G$84+G$78+G$80+G$86)</f>
        <v>15479.5332084976</v>
      </c>
      <c r="H89" s="34" t="n">
        <f aca="false">P_ImpP*(H$73+H$74+H$75+H$76+H$83+H$84+H$78+H$80+H$86)</f>
        <v>15479.5332084976</v>
      </c>
      <c r="I89" s="34" t="n">
        <f aca="false">P_ImpP*(I$73+I$74+I$75+I$76+I$83+I$84+I$78+I$80+I$86)</f>
        <v>15479.5332084976</v>
      </c>
      <c r="J89" s="34" t="n">
        <f aca="false">P_ImpP*(J$73+J$74+J$75+J$76+J$83+J$84+J$78+J$80+J$86)</f>
        <v>15479.5332084976</v>
      </c>
      <c r="K89" s="34" t="n">
        <f aca="false">P_ImpP*(K$73+K$74+K$75+K$76+K$83+K$84+K$78+K$80+K$86)</f>
        <v>15479.5332084976</v>
      </c>
      <c r="L89" s="34" t="n">
        <f aca="false">P_ImpP*(L$73+L$74+L$75+L$76+L$83+L$84+L$78+L$80+L$86)</f>
        <v>15479.5332084976</v>
      </c>
      <c r="M89" s="34" t="n">
        <f aca="false">P_ImpP*(M$73+M$74+M$75+M$76+M$83+M$84+M$78+M$80+M$86)</f>
        <v>15479.5332084976</v>
      </c>
      <c r="N89" s="34" t="n">
        <f aca="false">P_ImpP*(N$73+N$74+N$75+N$76+N$83+N$84+N$78+N$80+N$86)</f>
        <v>15479.5332084976</v>
      </c>
      <c r="O89" s="34" t="n">
        <f aca="false">P_ImpP*(O$73+O$74+O$75+O$76+O$83+O$84+O$78+O$80+O$86)</f>
        <v>15479.5332084976</v>
      </c>
      <c r="P89" s="34" t="n">
        <f aca="false">P_ImpP*(P$73+P$74+P$75+P$76+P$83+P$84+P$78+P$80+P$86)</f>
        <v>15479.5332084976</v>
      </c>
      <c r="Q89" s="34" t="n">
        <f aca="false">P_ImpP*(Q$73+Q$74+Q$75+Q$76+Q$83+Q$84+Q$78+Q$80+Q$86)</f>
        <v>15479.5332084976</v>
      </c>
      <c r="R89" s="34" t="n">
        <f aca="false">P_ImpP*(R$73+R$74+R$75+R$76+R$83+R$84+R$78+R$80+R$86)</f>
        <v>18874.3773742893</v>
      </c>
      <c r="S89" s="34" t="n">
        <f aca="false">P_ImpP*(S$73+S$74+S$75+S$76+S$83+S$84+S$78+S$80+S$86)</f>
        <v>18874.3773742893</v>
      </c>
      <c r="T89" s="34" t="n">
        <f aca="false">P_ImpP*(T$73+T$74+T$75+T$76+T$83+T$84+T$78+T$80+T$86)</f>
        <v>18874.3773742893</v>
      </c>
      <c r="U89" s="34" t="n">
        <f aca="false">P_ImpP*(U$73+U$74+U$75+U$76+U$83+U$84+U$78+U$80+U$86)</f>
        <v>18874.3773742893</v>
      </c>
      <c r="V89" s="34" t="n">
        <f aca="false">P_ImpP*(V$73+V$74+V$75+V$76+V$83+V$84+V$78+V$80+V$86)</f>
        <v>18874.3773742893</v>
      </c>
      <c r="W89" s="34" t="n">
        <f aca="false">P_ImpP*(W$73+W$74+W$75+W$76+W$83+W$84+W$78+W$80+W$86)</f>
        <v>18874.3773742893</v>
      </c>
      <c r="X89" s="34" t="n">
        <f aca="false">P_ImpP*(X$73+X$74+X$75+X$76+X$83+X$84+X$78+X$80+X$86)</f>
        <v>18874.3773742893</v>
      </c>
      <c r="Y89" s="34" t="n">
        <f aca="false">P_ImpP*(Y$73+Y$74+Y$75+Y$76+Y$83+Y$84+Y$78+Y$80+Y$86)</f>
        <v>18874.3773742893</v>
      </c>
      <c r="Z89" s="34" t="n">
        <f aca="false">P_ImpP*(Z$73+Z$74+Z$75+Z$76+Z$83+Z$84+Z$78+Z$80+Z$86)</f>
        <v>18874.3773742893</v>
      </c>
      <c r="AA89" s="34" t="n">
        <f aca="false">P_ImpP*(AA$73+AA$74+AA$75+AA$76+AA$83+AA$84+AA$78+AA$80+AA$86)</f>
        <v>18874.3773742893</v>
      </c>
      <c r="AB89" s="34" t="n">
        <f aca="false">P_ImpP*(AB$73+AB$74+AB$75+AB$76+AB$83+AB$84+AB$78+AB$80+AB$86)</f>
        <v>18874.3773742893</v>
      </c>
      <c r="AC89" s="34" t="n">
        <f aca="false">P_ImpP*(AC$73+AC$74+AC$75+AC$76+AC$83+AC$84+AC$78+AC$80+AC$86)</f>
        <v>18874.3773742893</v>
      </c>
      <c r="AD89" s="34" t="n">
        <f aca="false">P_ImpP*(AD$73+AD$74+AD$75+AD$76+AD$83+AD$84+AD$78+AD$80+AD$86)</f>
        <v>22438.3044470912</v>
      </c>
      <c r="AE89" s="34" t="n">
        <f aca="false">P_ImpP*(AE$73+AE$74+AE$75+AE$76+AE$83+AE$84+AE$78+AE$80+AE$86)</f>
        <v>22438.3044470912</v>
      </c>
      <c r="AF89" s="34" t="n">
        <f aca="false">P_ImpP*(AF$73+AF$74+AF$75+AF$76+AF$83+AF$84+AF$78+AF$80+AF$86)</f>
        <v>22438.3044470912</v>
      </c>
      <c r="AG89" s="34" t="n">
        <f aca="false">P_ImpP*(AG$73+AG$74+AG$75+AG$76+AG$83+AG$84+AG$78+AG$80+AG$86)</f>
        <v>22438.3044470912</v>
      </c>
      <c r="AH89" s="34" t="n">
        <f aca="false">P_ImpP*(AH$73+AH$74+AH$75+AH$76+AH$83+AH$84+AH$78+AH$80+AH$86)</f>
        <v>22438.3044470912</v>
      </c>
      <c r="AI89" s="34" t="n">
        <f aca="false">P_ImpP*(AI$73+AI$74+AI$75+AI$76+AI$83+AI$84+AI$78+AI$80+AI$86)</f>
        <v>22438.3044470912</v>
      </c>
      <c r="AJ89" s="34" t="n">
        <f aca="false">P_ImpP*(AJ$73+AJ$74+AJ$75+AJ$76+AJ$83+AJ$84+AJ$78+AJ$80+AJ$86)</f>
        <v>22438.3044470912</v>
      </c>
      <c r="AK89" s="34" t="n">
        <f aca="false">P_ImpP*(AK$73+AK$74+AK$75+AK$76+AK$83+AK$84+AK$78+AK$80+AK$86)</f>
        <v>22438.3044470912</v>
      </c>
      <c r="AL89" s="34" t="n">
        <f aca="false">P_ImpP*(AL$73+AL$74+AL$75+AL$76+AL$83+AL$84+AL$78+AL$80+AL$86)</f>
        <v>22438.3044470912</v>
      </c>
      <c r="AM89" s="34" t="n">
        <f aca="false">P_ImpP*(AM$73+AM$74+AM$75+AM$76+AM$83+AM$84+AM$78+AM$80+AM$86)</f>
        <v>22438.3044470912</v>
      </c>
      <c r="AN89" s="34" t="n">
        <f aca="false">P_ImpP*(AN$73+AN$74+AN$75+AN$76+AN$83+AN$84+AN$78+AN$80+AN$86)</f>
        <v>22438.3044470912</v>
      </c>
      <c r="AO89" s="34" t="n">
        <f aca="false">P_ImpP*(AO$73+AO$74+AO$75+AO$76+AO$83+AO$84+AO$78+AO$80+AO$86)</f>
        <v>22438.3044470912</v>
      </c>
      <c r="AP89" s="34" t="n">
        <f aca="false">P_ImpP*(AP$73+AP$74+AP$75+AP$76+AP$83+AP$84+AP$78+AP$80+AP$86)</f>
        <v>25354.7196483896</v>
      </c>
      <c r="AQ89" s="34" t="n">
        <f aca="false">P_ImpP*(AQ$73+AQ$74+AQ$75+AQ$76+AQ$83+AQ$84+AQ$78+AQ$80+AQ$86)</f>
        <v>25354.7196483896</v>
      </c>
      <c r="AR89" s="34" t="n">
        <f aca="false">P_ImpP*(AR$73+AR$74+AR$75+AR$76+AR$83+AR$84+AR$78+AR$80+AR$86)</f>
        <v>25354.7196483896</v>
      </c>
      <c r="AS89" s="34" t="n">
        <f aca="false">P_ImpP*(AS$73+AS$74+AS$75+AS$76+AS$83+AS$84+AS$78+AS$80+AS$86)</f>
        <v>25354.7196483896</v>
      </c>
      <c r="AT89" s="34" t="n">
        <f aca="false">P_ImpP*(AT$73+AT$74+AT$75+AT$76+AT$83+AT$84+AT$78+AT$80+AT$86)</f>
        <v>25354.7196483896</v>
      </c>
      <c r="AU89" s="34" t="n">
        <f aca="false">P_ImpP*(AU$73+AU$74+AU$75+AU$76+AU$83+AU$84+AU$78+AU$80+AU$86)</f>
        <v>25354.7196483896</v>
      </c>
      <c r="AV89" s="34" t="n">
        <f aca="false">P_ImpP*(AV$73+AV$74+AV$75+AV$76+AV$83+AV$84+AV$78+AV$80+AV$86)</f>
        <v>25354.7196483896</v>
      </c>
      <c r="AW89" s="34" t="n">
        <f aca="false">P_ImpP*(AW$73+AW$74+AW$75+AW$76+AW$83+AW$84+AW$78+AW$80+AW$86)</f>
        <v>25354.7196483896</v>
      </c>
      <c r="AX89" s="34" t="n">
        <f aca="false">P_ImpP*(AX$73+AX$74+AX$75+AX$76+AX$83+AX$84+AX$78+AX$80+AX$86)</f>
        <v>25354.7196483896</v>
      </c>
      <c r="AY89" s="34" t="n">
        <f aca="false">P_ImpP*(AY$73+AY$74+AY$75+AY$76+AY$83+AY$84+AY$78+AY$80+AY$86)</f>
        <v>25354.7196483896</v>
      </c>
      <c r="AZ89" s="34" t="n">
        <f aca="false">P_ImpP*(AZ$73+AZ$74+AZ$75+AZ$76+AZ$83+AZ$84+AZ$78+AZ$80+AZ$86)</f>
        <v>25354.7196483896</v>
      </c>
      <c r="BA89" s="34" t="n">
        <f aca="false">P_ImpP*(BA$73+BA$74+BA$75+BA$76+BA$83+BA$84+BA$78+BA$80+BA$86)</f>
        <v>25354.7196483896</v>
      </c>
      <c r="BB89" s="34" t="n">
        <f aca="false">P_ImpP*(BB$73+BB$74+BB$75+BB$76+BB$83+BB$84+BB$78+BB$80+BB$86)</f>
        <v>25605.3421761632</v>
      </c>
      <c r="BC89" s="34" t="n">
        <f aca="false">P_ImpP*(BC$73+BC$74+BC$75+BC$76+BC$83+BC$84+BC$78+BC$80+BC$86)</f>
        <v>25605.3421761632</v>
      </c>
      <c r="BD89" s="34" t="n">
        <f aca="false">P_ImpP*(BD$73+BD$74+BD$75+BD$76+BD$83+BD$84+BD$78+BD$80+BD$86)</f>
        <v>25605.3421761632</v>
      </c>
      <c r="BE89" s="34" t="n">
        <f aca="false">P_ImpP*(BE$73+BE$74+BE$75+BE$76+BE$83+BE$84+BE$78+BE$80+BE$86)</f>
        <v>25605.3421761632</v>
      </c>
      <c r="BF89" s="34" t="n">
        <f aca="false">P_ImpP*(BF$73+BF$74+BF$75+BF$76+BF$83+BF$84+BF$78+BF$80+BF$86)</f>
        <v>25605.3421761632</v>
      </c>
      <c r="BG89" s="34" t="n">
        <f aca="false">P_ImpP*(BG$73+BG$74+BG$75+BG$76+BG$83+BG$84+BG$78+BG$80+BG$86)</f>
        <v>25605.3421761632</v>
      </c>
      <c r="BH89" s="34" t="n">
        <f aca="false">P_ImpP*(BH$73+BH$74+BH$75+BH$76+BH$83+BH$84+BH$78+BH$80+BH$86)</f>
        <v>25605.3421761632</v>
      </c>
      <c r="BI89" s="34" t="n">
        <f aca="false">P_ImpP*(BI$73+BI$74+BI$75+BI$76+BI$83+BI$84+BI$78+BI$80+BI$86)</f>
        <v>25605.3421761632</v>
      </c>
      <c r="BJ89" s="34" t="n">
        <f aca="false">P_ImpP*(BJ$73+BJ$74+BJ$75+BJ$76+BJ$83+BJ$84+BJ$78+BJ$80+BJ$86)</f>
        <v>25605.3421761632</v>
      </c>
      <c r="BK89" s="34" t="n">
        <f aca="false">P_ImpP*(BK$73+BK$74+BK$75+BK$76+BK$83+BK$84+BK$78+BK$80+BK$86)</f>
        <v>25605.3421761632</v>
      </c>
      <c r="BL89" s="34" t="n">
        <f aca="false">P_ImpP*(BL$73+BL$74+BL$75+BL$76+BL$83+BL$84+BL$78+BL$80+BL$86)</f>
        <v>25605.3421761632</v>
      </c>
      <c r="BM89" s="34" t="n">
        <f aca="false">P_ImpP*(BM$73+BM$74+BM$75+BM$76+BM$83+BM$84+BM$78+BM$80+BM$86)</f>
        <v>25605.3421761632</v>
      </c>
      <c r="BN89" s="34" t="n">
        <f aca="false">P_ImpP*(BN$73+BN$74+BN$75+BN$76+BN$83+BN$84+BN$78+BN$80+BN$86)</f>
        <v>25726.7493753587</v>
      </c>
      <c r="BO89" s="34" t="n">
        <f aca="false">P_ImpP*(BO$73+BO$74+BO$75+BO$76+BO$83+BO$84+BO$78+BO$80+BO$86)</f>
        <v>25726.7493753587</v>
      </c>
      <c r="BP89" s="34" t="n">
        <f aca="false">P_ImpP*(BP$73+BP$74+BP$75+BP$76+BP$83+BP$84+BP$78+BP$80+BP$86)</f>
        <v>25726.7493753587</v>
      </c>
      <c r="BQ89" s="34" t="n">
        <f aca="false">P_ImpP*(BQ$73+BQ$74+BQ$75+BQ$76+BQ$83+BQ$84+BQ$78+BQ$80+BQ$86)</f>
        <v>25726.7493753587</v>
      </c>
      <c r="BR89" s="34" t="n">
        <f aca="false">P_ImpP*(BR$73+BR$74+BR$75+BR$76+BR$83+BR$84+BR$78+BR$80+BR$86)</f>
        <v>25726.7493753587</v>
      </c>
      <c r="BS89" s="34" t="n">
        <f aca="false">P_ImpP*(BS$73+BS$74+BS$75+BS$76+BS$83+BS$84+BS$78+BS$80+BS$86)</f>
        <v>25726.7493753587</v>
      </c>
      <c r="BT89" s="34" t="n">
        <f aca="false">P_ImpP*(BT$73+BT$74+BT$75+BT$76+BT$83+BT$84+BT$78+BT$80+BT$86)</f>
        <v>25726.7493753587</v>
      </c>
      <c r="BU89" s="34" t="n">
        <f aca="false">P_ImpP*(BU$73+BU$74+BU$75+BU$76+BU$83+BU$84+BU$78+BU$80+BU$86)</f>
        <v>25726.7493753587</v>
      </c>
      <c r="BV89" s="34" t="n">
        <f aca="false">P_ImpP*(BV$73+BV$74+BV$75+BV$76+BV$83+BV$84+BV$78+BV$80+BV$86)</f>
        <v>25726.7493753587</v>
      </c>
      <c r="BW89" s="34" t="n">
        <f aca="false">P_ImpP*(BW$73+BW$74+BW$75+BW$76+BW$83+BW$84+BW$78+BW$80+BW$86)</f>
        <v>25726.7493753587</v>
      </c>
      <c r="BX89" s="34" t="n">
        <f aca="false">P_ImpP*(BX$73+BX$74+BX$75+BX$76+BX$83+BX$84+BX$78+BX$80+BX$86)</f>
        <v>25726.7493753587</v>
      </c>
      <c r="BY89" s="34" t="n">
        <f aca="false">P_ImpP*(BY$73+BY$74+BY$75+BY$76+BY$83+BY$84+BY$78+BY$80+BY$86)</f>
        <v>25726.7493753587</v>
      </c>
      <c r="BZ89" s="34" t="n">
        <f aca="false">P_ImpP*(BZ$73+BZ$74+BZ$75+BZ$76+BZ$83+BZ$84+BZ$78+BZ$80+BZ$86)</f>
        <v>25849.3974439944</v>
      </c>
      <c r="CA89" s="34" t="n">
        <f aca="false">P_ImpP*(CA$73+CA$74+CA$75+CA$76+CA$83+CA$84+CA$78+CA$80+CA$86)</f>
        <v>25849.3974439944</v>
      </c>
      <c r="CB89" s="34" t="n">
        <f aca="false">P_ImpP*(CB$73+CB$74+CB$75+CB$76+CB$83+CB$84+CB$78+CB$80+CB$86)</f>
        <v>25849.3974439944</v>
      </c>
      <c r="CC89" s="34" t="n">
        <f aca="false">P_ImpP*(CC$73+CC$74+CC$75+CC$76+CC$83+CC$84+CC$78+CC$80+CC$86)</f>
        <v>25849.3974439944</v>
      </c>
      <c r="CD89" s="34" t="n">
        <f aca="false">P_ImpP*(CD$73+CD$74+CD$75+CD$76+CD$83+CD$84+CD$78+CD$80+CD$86)</f>
        <v>25849.3974439944</v>
      </c>
      <c r="CE89" s="34" t="n">
        <f aca="false">P_ImpP*(CE$73+CE$74+CE$75+CE$76+CE$83+CE$84+CE$78+CE$80+CE$86)</f>
        <v>25849.3974439944</v>
      </c>
      <c r="CF89" s="34" t="n">
        <f aca="false">P_ImpP*(CF$73+CF$74+CF$75+CF$76+CF$83+CF$84+CF$78+CF$80+CF$86)</f>
        <v>25849.3974439944</v>
      </c>
      <c r="CG89" s="34" t="n">
        <f aca="false">P_ImpP*(CG$73+CG$74+CG$75+CG$76+CG$83+CG$84+CG$78+CG$80+CG$86)</f>
        <v>25849.3974439944</v>
      </c>
      <c r="CH89" s="34" t="n">
        <f aca="false">P_ImpP*(CH$73+CH$74+CH$75+CH$76+CH$83+CH$84+CH$78+CH$80+CH$86)</f>
        <v>25849.3974439944</v>
      </c>
      <c r="CI89" s="34" t="n">
        <f aca="false">P_ImpP*(CI$73+CI$74+CI$75+CI$76+CI$83+CI$84+CI$78+CI$80+CI$86)</f>
        <v>25849.3974439944</v>
      </c>
      <c r="CJ89" s="34" t="n">
        <f aca="false">P_ImpP*(CJ$73+CJ$74+CJ$75+CJ$76+CJ$83+CJ$84+CJ$78+CJ$80+CJ$86)</f>
        <v>25849.3974439944</v>
      </c>
      <c r="CK89" s="34" t="n">
        <f aca="false">P_ImpP*(CK$73+CK$74+CK$75+CK$76+CK$83+CK$84+CK$78+CK$80+CK$86)</f>
        <v>25849.3974439944</v>
      </c>
      <c r="CL89" s="34" t="n">
        <f aca="false">P_ImpP*(CL$73+CL$74+CL$75+CL$76+CL$83+CL$84+CL$78+CL$80+CL$86)</f>
        <v>25973.2993267137</v>
      </c>
      <c r="CM89" s="34" t="n">
        <f aca="false">P_ImpP*(CM$73+CM$74+CM$75+CM$76+CM$83+CM$84+CM$78+CM$80+CM$86)</f>
        <v>25973.2993267137</v>
      </c>
      <c r="CN89" s="34" t="n">
        <f aca="false">P_ImpP*(CN$73+CN$74+CN$75+CN$76+CN$83+CN$84+CN$78+CN$80+CN$86)</f>
        <v>25973.2993267137</v>
      </c>
      <c r="CO89" s="34" t="n">
        <f aca="false">P_ImpP*(CO$73+CO$74+CO$75+CO$76+CO$83+CO$84+CO$78+CO$80+CO$86)</f>
        <v>25973.2993267137</v>
      </c>
      <c r="CP89" s="34" t="n">
        <f aca="false">P_ImpP*(CP$73+CP$74+CP$75+CP$76+CP$83+CP$84+CP$78+CP$80+CP$86)</f>
        <v>25973.2993267137</v>
      </c>
      <c r="CQ89" s="34" t="n">
        <f aca="false">P_ImpP*(CQ$73+CQ$74+CQ$75+CQ$76+CQ$83+CQ$84+CQ$78+CQ$80+CQ$86)</f>
        <v>25973.2993267137</v>
      </c>
      <c r="CR89" s="34" t="n">
        <f aca="false">P_ImpP*(CR$73+CR$74+CR$75+CR$76+CR$83+CR$84+CR$78+CR$80+CR$86)</f>
        <v>25973.2993267137</v>
      </c>
      <c r="CS89" s="34" t="n">
        <f aca="false">P_ImpP*(CS$73+CS$74+CS$75+CS$76+CS$83+CS$84+CS$78+CS$80+CS$86)</f>
        <v>25973.2993267137</v>
      </c>
      <c r="CT89" s="34" t="n">
        <f aca="false">P_ImpP*(CT$73+CT$74+CT$75+CT$76+CT$83+CT$84+CT$78+CT$80+CT$86)</f>
        <v>25973.2993267137</v>
      </c>
      <c r="CU89" s="34" t="n">
        <f aca="false">P_ImpP*(CU$73+CU$74+CU$75+CU$76+CU$83+CU$84+CU$78+CU$80+CU$86)</f>
        <v>25973.2993267137</v>
      </c>
      <c r="CV89" s="34" t="n">
        <f aca="false">P_ImpP*(CV$73+CV$74+CV$75+CV$76+CV$83+CV$84+CV$78+CV$80+CV$86)</f>
        <v>25973.2993267137</v>
      </c>
      <c r="CW89" s="34" t="n">
        <f aca="false">P_ImpP*(CW$73+CW$74+CW$75+CW$76+CW$83+CW$84+CW$78+CW$80+CW$86)</f>
        <v>25973.2993267137</v>
      </c>
      <c r="CX89" s="34" t="n">
        <f aca="false">P_ImpP*(CX$73+CX$74+CX$75+CX$76+CX$83+CX$84+CX$78+CX$80+CX$86)</f>
        <v>26098.4681083253</v>
      </c>
      <c r="CY89" s="34" t="n">
        <f aca="false">P_ImpP*(CY$73+CY$74+CY$75+CY$76+CY$83+CY$84+CY$78+CY$80+CY$86)</f>
        <v>26098.4681083253</v>
      </c>
      <c r="CZ89" s="34" t="n">
        <f aca="false">P_ImpP*(CZ$73+CZ$74+CZ$75+CZ$76+CZ$83+CZ$84+CZ$78+CZ$80+CZ$86)</f>
        <v>26098.4681083253</v>
      </c>
      <c r="DA89" s="34" t="n">
        <f aca="false">P_ImpP*(DA$73+DA$74+DA$75+DA$76+DA$83+DA$84+DA$78+DA$80+DA$86)</f>
        <v>26098.4681083253</v>
      </c>
      <c r="DB89" s="34" t="n">
        <f aca="false">P_ImpP*(DB$73+DB$74+DB$75+DB$76+DB$83+DB$84+DB$78+DB$80+DB$86)</f>
        <v>26098.4681083253</v>
      </c>
      <c r="DC89" s="34" t="n">
        <f aca="false">P_ImpP*(DC$73+DC$74+DC$75+DC$76+DC$83+DC$84+DC$78+DC$80+DC$86)</f>
        <v>26098.4681083253</v>
      </c>
      <c r="DD89" s="34" t="n">
        <f aca="false">P_ImpP*(DD$73+DD$74+DD$75+DD$76+DD$83+DD$84+DD$78+DD$80+DD$86)</f>
        <v>26098.4681083253</v>
      </c>
      <c r="DE89" s="34" t="n">
        <f aca="false">P_ImpP*(DE$73+DE$74+DE$75+DE$76+DE$83+DE$84+DE$78+DE$80+DE$86)</f>
        <v>26098.4681083253</v>
      </c>
      <c r="DF89" s="34" t="n">
        <f aca="false">P_ImpP*(DF$73+DF$74+DF$75+DF$76+DF$83+DF$84+DF$78+DF$80+DF$86)</f>
        <v>26098.4681083253</v>
      </c>
      <c r="DG89" s="34" t="n">
        <f aca="false">P_ImpP*(DG$73+DG$74+DG$75+DG$76+DG$83+DG$84+DG$78+DG$80+DG$86)</f>
        <v>26098.4681083253</v>
      </c>
      <c r="DH89" s="34" t="n">
        <f aca="false">P_ImpP*(DH$73+DH$74+DH$75+DH$76+DH$83+DH$84+DH$78+DH$80+DH$86)</f>
        <v>26098.4681083253</v>
      </c>
      <c r="DI89" s="34" t="n">
        <f aca="false">P_ImpP*(DI$73+DI$74+DI$75+DI$76+DI$83+DI$84+DI$78+DI$80+DI$86)</f>
        <v>26098.4681083253</v>
      </c>
      <c r="DJ89" s="34" t="n">
        <f aca="false">P_ImpP*(DJ$73+DJ$74+DJ$75+DJ$76+DJ$83+DJ$84+DJ$78+DJ$80+DJ$86)</f>
        <v>26224.9170154195</v>
      </c>
      <c r="DK89" s="34" t="n">
        <f aca="false">P_ImpP*(DK$73+DK$74+DK$75+DK$76+DK$83+DK$84+DK$78+DK$80+DK$86)</f>
        <v>26224.9170154195</v>
      </c>
      <c r="DL89" s="34" t="n">
        <f aca="false">P_ImpP*(DL$73+DL$74+DL$75+DL$76+DL$83+DL$84+DL$78+DL$80+DL$86)</f>
        <v>26224.9170154195</v>
      </c>
      <c r="DM89" s="34" t="n">
        <f aca="false">P_ImpP*(DM$73+DM$74+DM$75+DM$76+DM$83+DM$84+DM$78+DM$80+DM$86)</f>
        <v>26224.9170154195</v>
      </c>
      <c r="DN89" s="34" t="n">
        <f aca="false">P_ImpP*(DN$73+DN$74+DN$75+DN$76+DN$83+DN$84+DN$78+DN$80+DN$86)</f>
        <v>26224.9170154195</v>
      </c>
      <c r="DO89" s="34" t="n">
        <f aca="false">P_ImpP*(DO$73+DO$74+DO$75+DO$76+DO$83+DO$84+DO$78+DO$80+DO$86)</f>
        <v>26224.9170154195</v>
      </c>
      <c r="DP89" s="34" t="n">
        <f aca="false">P_ImpP*(DP$73+DP$74+DP$75+DP$76+DP$83+DP$84+DP$78+DP$80+DP$86)</f>
        <v>26224.9170154195</v>
      </c>
      <c r="DQ89" s="34" t="n">
        <f aca="false">P_ImpP*(DQ$73+DQ$74+DQ$75+DQ$76+DQ$83+DQ$84+DQ$78+DQ$80+DQ$86)</f>
        <v>26224.9170154195</v>
      </c>
      <c r="DR89" s="34" t="n">
        <f aca="false">P_ImpP*(DR$73+DR$74+DR$75+DR$76+DR$83+DR$84+DR$78+DR$80+DR$86)</f>
        <v>26224.9170154195</v>
      </c>
      <c r="DS89" s="34" t="n">
        <f aca="false">P_ImpP*(DS$73+DS$74+DS$75+DS$76+DS$83+DS$84+DS$78+DS$80+DS$86)</f>
        <v>26224.9170154195</v>
      </c>
      <c r="DT89" s="34" t="n">
        <f aca="false">P_ImpP*(DT$73+DT$74+DT$75+DT$76+DT$83+DT$84+DT$78+DT$80+DT$86)</f>
        <v>26224.9170154195</v>
      </c>
      <c r="DU89" s="34" t="n">
        <f aca="false">P_ImpP*(DU$73+DU$74+DU$75+DU$76+DU$83+DU$84+DU$78+DU$80+DU$86)</f>
        <v>26224.9170154195</v>
      </c>
      <c r="DV89" s="34" t="n">
        <f aca="false">P_ImpP*(DV$73+DV$74+DV$75+DV$76+DV$83+DV$84+DV$78+DV$80+DV$86)</f>
        <v>0</v>
      </c>
      <c r="DW89" s="34" t="n">
        <f aca="false">P_ImpP*(DW$73+DW$74+DW$75+DW$76+DW$83+DW$84+DW$78+DW$80+DW$86)</f>
        <v>0</v>
      </c>
      <c r="DX89" s="34" t="n">
        <f aca="false">P_ImpP*(DX$73+DX$74+DX$75+DX$76+DX$83+DX$84+DX$78+DX$80+DX$86)</f>
        <v>0</v>
      </c>
      <c r="DY89" s="34" t="n">
        <f aca="false">P_ImpP*(DY$73+DY$74+DY$75+DY$76+DY$83+DY$84+DY$78+DY$80+DY$86)</f>
        <v>0</v>
      </c>
      <c r="DZ89" s="34" t="n">
        <f aca="false">P_ImpP*(DZ$73+DZ$74+DZ$75+DZ$76+DZ$83+DZ$84+DZ$78+DZ$80+DZ$86)</f>
        <v>0</v>
      </c>
      <c r="EA89" s="34" t="n">
        <f aca="false">P_ImpP*(EA$73+EA$74+EA$75+EA$76+EA$83+EA$84+EA$78+EA$80+EA$86)</f>
        <v>0</v>
      </c>
      <c r="EB89" s="34" t="n">
        <f aca="false">P_ImpP*(EB$73+EB$74+EB$75+EB$76+EB$83+EB$84+EB$78+EB$80+EB$86)</f>
        <v>0</v>
      </c>
      <c r="EC89" s="34" t="n">
        <f aca="false">P_ImpP*(EC$73+EC$74+EC$75+EC$76+EC$83+EC$84+EC$78+EC$80+EC$86)</f>
        <v>0</v>
      </c>
      <c r="ED89" s="34" t="n">
        <f aca="false">P_ImpP*(ED$73+ED$74+ED$75+ED$76+ED$83+ED$84+ED$78+ED$80+ED$86)</f>
        <v>0</v>
      </c>
      <c r="EE89" s="34" t="n">
        <f aca="false">P_ImpP*(EE$73+EE$74+EE$75+EE$76+EE$83+EE$84+EE$78+EE$80+EE$86)</f>
        <v>0</v>
      </c>
      <c r="EF89" s="34" t="n">
        <f aca="false">P_ImpP*(EF$73+EF$74+EF$75+EF$76+EF$83+EF$84+EF$78+EF$80+EF$86)</f>
        <v>0</v>
      </c>
      <c r="EG89" s="34" t="n">
        <f aca="false">P_ImpP*(EG$73+EG$74+EG$75+EG$76+EG$83+EG$84+EG$78+EG$80+EG$86)</f>
        <v>0</v>
      </c>
      <c r="EH89" s="34" t="n">
        <f aca="false">P_ImpP*(EH$73+EH$74+EH$75+EH$76+EH$83+EH$84+EH$78+EH$80+EH$86)</f>
        <v>0</v>
      </c>
      <c r="EI89" s="34" t="n">
        <f aca="false">P_ImpP*(EI$73+EI$74+EI$75+EI$76+EI$83+EI$84+EI$78+EI$80+EI$86)</f>
        <v>0</v>
      </c>
      <c r="EJ89" s="34" t="n">
        <f aca="false">P_ImpP*(EJ$73+EJ$74+EJ$75+EJ$76+EJ$83+EJ$84+EJ$78+EJ$80+EJ$86)</f>
        <v>0</v>
      </c>
      <c r="EK89" s="34" t="n">
        <f aca="false">P_ImpP*(EK$73+EK$74+EK$75+EK$76+EK$83+EK$84+EK$78+EK$80+EK$86)</f>
        <v>0</v>
      </c>
      <c r="EL89" s="34" t="n">
        <f aca="false">P_ImpP*(EL$73+EL$74+EL$75+EL$76+EL$83+EL$84+EL$78+EL$80+EL$86)</f>
        <v>0</v>
      </c>
      <c r="EM89" s="34" t="n">
        <f aca="false">P_ImpP*(EM$73+EM$74+EM$75+EM$76+EM$83+EM$84+EM$78+EM$80+EM$86)</f>
        <v>0</v>
      </c>
      <c r="EN89" s="34" t="n">
        <f aca="false">P_ImpP*(EN$73+EN$74+EN$75+EN$76+EN$83+EN$84+EN$78+EN$80+EN$86)</f>
        <v>0</v>
      </c>
      <c r="EO89" s="34" t="n">
        <f aca="false">P_ImpP*(EO$73+EO$74+EO$75+EO$76+EO$83+EO$84+EO$78+EO$80+EO$86)</f>
        <v>0</v>
      </c>
      <c r="EP89" s="34" t="n">
        <f aca="false">P_ImpP*(EP$73+EP$74+EP$75+EP$76+EP$83+EP$84+EP$78+EP$80+EP$86)</f>
        <v>0</v>
      </c>
      <c r="EQ89" s="34" t="n">
        <f aca="false">P_ImpP*(EQ$73+EQ$74+EQ$75+EQ$76+EQ$83+EQ$84+EQ$78+EQ$80+EQ$86)</f>
        <v>0</v>
      </c>
      <c r="ER89" s="34" t="n">
        <f aca="false">P_ImpP*(ER$73+ER$74+ER$75+ER$76+ER$83+ER$84+ER$78+ER$80+ER$86)</f>
        <v>0</v>
      </c>
      <c r="ES89" s="34" t="n">
        <f aca="false">P_ImpP*(ES$73+ES$74+ES$75+ES$76+ES$83+ES$84+ES$78+ES$80+ES$86)</f>
        <v>0</v>
      </c>
    </row>
    <row r="90" customFormat="false" ht="15" hidden="false" customHeight="false" outlineLevel="0" collapsed="false">
      <c r="A90" s="2" t="s">
        <v>671</v>
      </c>
      <c r="B90" s="6" t="s">
        <v>672</v>
      </c>
      <c r="C90" s="6" t="s">
        <v>250</v>
      </c>
      <c r="E90" s="40" t="n">
        <f aca="false">SUM(F90:ES90)</f>
        <v>84447.4408340548</v>
      </c>
      <c r="F90" s="34" t="n">
        <f aca="false">P_ImpA*(F$82+F$88)</f>
        <v>703.728673617123</v>
      </c>
      <c r="G90" s="34" t="n">
        <f aca="false">P_ImpA*(G$82+G$88)</f>
        <v>703.728673617123</v>
      </c>
      <c r="H90" s="34" t="n">
        <f aca="false">P_ImpA*(H$82+H$88)</f>
        <v>703.728673617123</v>
      </c>
      <c r="I90" s="34" t="n">
        <f aca="false">P_ImpA*(I$82+I$88)</f>
        <v>703.728673617123</v>
      </c>
      <c r="J90" s="34" t="n">
        <f aca="false">P_ImpA*(J$82+J$88)</f>
        <v>703.728673617123</v>
      </c>
      <c r="K90" s="34" t="n">
        <f aca="false">P_ImpA*(K$82+K$88)</f>
        <v>703.728673617123</v>
      </c>
      <c r="L90" s="34" t="n">
        <f aca="false">P_ImpA*(L$82+L$88)</f>
        <v>703.728673617123</v>
      </c>
      <c r="M90" s="34" t="n">
        <f aca="false">P_ImpA*(M$82+M$88)</f>
        <v>703.728673617123</v>
      </c>
      <c r="N90" s="34" t="n">
        <f aca="false">P_ImpA*(N$82+N$88)</f>
        <v>703.728673617123</v>
      </c>
      <c r="O90" s="34" t="n">
        <f aca="false">P_ImpA*(O$82+O$88)</f>
        <v>703.728673617123</v>
      </c>
      <c r="P90" s="34" t="n">
        <f aca="false">P_ImpA*(P$82+P$88)</f>
        <v>703.728673617123</v>
      </c>
      <c r="Q90" s="34" t="n">
        <f aca="false">P_ImpA*(Q$82+Q$88)</f>
        <v>703.728673617123</v>
      </c>
      <c r="R90" s="34" t="n">
        <f aca="false">P_ImpA*(R$82+R$88)</f>
        <v>703.728673617123</v>
      </c>
      <c r="S90" s="34" t="n">
        <f aca="false">P_ImpA*(S$82+S$88)</f>
        <v>703.728673617123</v>
      </c>
      <c r="T90" s="34" t="n">
        <f aca="false">P_ImpA*(T$82+T$88)</f>
        <v>703.728673617123</v>
      </c>
      <c r="U90" s="34" t="n">
        <f aca="false">P_ImpA*(U$82+U$88)</f>
        <v>703.728673617123</v>
      </c>
      <c r="V90" s="34" t="n">
        <f aca="false">P_ImpA*(V$82+V$88)</f>
        <v>703.728673617123</v>
      </c>
      <c r="W90" s="34" t="n">
        <f aca="false">P_ImpA*(W$82+W$88)</f>
        <v>703.728673617123</v>
      </c>
      <c r="X90" s="34" t="n">
        <f aca="false">P_ImpA*(X$82+X$88)</f>
        <v>703.728673617123</v>
      </c>
      <c r="Y90" s="34" t="n">
        <f aca="false">P_ImpA*(Y$82+Y$88)</f>
        <v>703.728673617123</v>
      </c>
      <c r="Z90" s="34" t="n">
        <f aca="false">P_ImpA*(Z$82+Z$88)</f>
        <v>703.728673617123</v>
      </c>
      <c r="AA90" s="34" t="n">
        <f aca="false">P_ImpA*(AA$82+AA$88)</f>
        <v>703.728673617123</v>
      </c>
      <c r="AB90" s="34" t="n">
        <f aca="false">P_ImpA*(AB$82+AB$88)</f>
        <v>703.728673617123</v>
      </c>
      <c r="AC90" s="34" t="n">
        <f aca="false">P_ImpA*(AC$82+AC$88)</f>
        <v>703.728673617123</v>
      </c>
      <c r="AD90" s="34" t="n">
        <f aca="false">P_ImpA*(AD$82+AD$88)</f>
        <v>703.728673617123</v>
      </c>
      <c r="AE90" s="34" t="n">
        <f aca="false">P_ImpA*(AE$82+AE$88)</f>
        <v>703.728673617123</v>
      </c>
      <c r="AF90" s="34" t="n">
        <f aca="false">P_ImpA*(AF$82+AF$88)</f>
        <v>703.728673617123</v>
      </c>
      <c r="AG90" s="34" t="n">
        <f aca="false">P_ImpA*(AG$82+AG$88)</f>
        <v>703.728673617123</v>
      </c>
      <c r="AH90" s="34" t="n">
        <f aca="false">P_ImpA*(AH$82+AH$88)</f>
        <v>703.728673617123</v>
      </c>
      <c r="AI90" s="34" t="n">
        <f aca="false">P_ImpA*(AI$82+AI$88)</f>
        <v>703.728673617123</v>
      </c>
      <c r="AJ90" s="34" t="n">
        <f aca="false">P_ImpA*(AJ$82+AJ$88)</f>
        <v>703.728673617123</v>
      </c>
      <c r="AK90" s="34" t="n">
        <f aca="false">P_ImpA*(AK$82+AK$88)</f>
        <v>703.728673617123</v>
      </c>
      <c r="AL90" s="34" t="n">
        <f aca="false">P_ImpA*(AL$82+AL$88)</f>
        <v>703.728673617123</v>
      </c>
      <c r="AM90" s="34" t="n">
        <f aca="false">P_ImpA*(AM$82+AM$88)</f>
        <v>703.728673617123</v>
      </c>
      <c r="AN90" s="34" t="n">
        <f aca="false">P_ImpA*(AN$82+AN$88)</f>
        <v>703.728673617123</v>
      </c>
      <c r="AO90" s="34" t="n">
        <f aca="false">P_ImpA*(AO$82+AO$88)</f>
        <v>703.728673617123</v>
      </c>
      <c r="AP90" s="34" t="n">
        <f aca="false">P_ImpA*(AP$82+AP$88)</f>
        <v>703.728673617123</v>
      </c>
      <c r="AQ90" s="34" t="n">
        <f aca="false">P_ImpA*(AQ$82+AQ$88)</f>
        <v>703.728673617123</v>
      </c>
      <c r="AR90" s="34" t="n">
        <f aca="false">P_ImpA*(AR$82+AR$88)</f>
        <v>703.728673617123</v>
      </c>
      <c r="AS90" s="34" t="n">
        <f aca="false">P_ImpA*(AS$82+AS$88)</f>
        <v>703.728673617123</v>
      </c>
      <c r="AT90" s="34" t="n">
        <f aca="false">P_ImpA*(AT$82+AT$88)</f>
        <v>703.728673617123</v>
      </c>
      <c r="AU90" s="34" t="n">
        <f aca="false">P_ImpA*(AU$82+AU$88)</f>
        <v>703.728673617123</v>
      </c>
      <c r="AV90" s="34" t="n">
        <f aca="false">P_ImpA*(AV$82+AV$88)</f>
        <v>703.728673617123</v>
      </c>
      <c r="AW90" s="34" t="n">
        <f aca="false">P_ImpA*(AW$82+AW$88)</f>
        <v>703.728673617123</v>
      </c>
      <c r="AX90" s="34" t="n">
        <f aca="false">P_ImpA*(AX$82+AX$88)</f>
        <v>703.728673617123</v>
      </c>
      <c r="AY90" s="34" t="n">
        <f aca="false">P_ImpA*(AY$82+AY$88)</f>
        <v>703.728673617123</v>
      </c>
      <c r="AZ90" s="34" t="n">
        <f aca="false">P_ImpA*(AZ$82+AZ$88)</f>
        <v>703.728673617123</v>
      </c>
      <c r="BA90" s="34" t="n">
        <f aca="false">P_ImpA*(BA$82+BA$88)</f>
        <v>703.728673617123</v>
      </c>
      <c r="BB90" s="34" t="n">
        <f aca="false">P_ImpA*(BB$82+BB$88)</f>
        <v>703.728673617123</v>
      </c>
      <c r="BC90" s="34" t="n">
        <f aca="false">P_ImpA*(BC$82+BC$88)</f>
        <v>703.728673617123</v>
      </c>
      <c r="BD90" s="34" t="n">
        <f aca="false">P_ImpA*(BD$82+BD$88)</f>
        <v>703.728673617123</v>
      </c>
      <c r="BE90" s="34" t="n">
        <f aca="false">P_ImpA*(BE$82+BE$88)</f>
        <v>703.728673617123</v>
      </c>
      <c r="BF90" s="34" t="n">
        <f aca="false">P_ImpA*(BF$82+BF$88)</f>
        <v>703.728673617123</v>
      </c>
      <c r="BG90" s="34" t="n">
        <f aca="false">P_ImpA*(BG$82+BG$88)</f>
        <v>703.728673617123</v>
      </c>
      <c r="BH90" s="34" t="n">
        <f aca="false">P_ImpA*(BH$82+BH$88)</f>
        <v>703.728673617123</v>
      </c>
      <c r="BI90" s="34" t="n">
        <f aca="false">P_ImpA*(BI$82+BI$88)</f>
        <v>703.728673617123</v>
      </c>
      <c r="BJ90" s="34" t="n">
        <f aca="false">P_ImpA*(BJ$82+BJ$88)</f>
        <v>703.728673617123</v>
      </c>
      <c r="BK90" s="34" t="n">
        <f aca="false">P_ImpA*(BK$82+BK$88)</f>
        <v>703.728673617123</v>
      </c>
      <c r="BL90" s="34" t="n">
        <f aca="false">P_ImpA*(BL$82+BL$88)</f>
        <v>703.728673617123</v>
      </c>
      <c r="BM90" s="34" t="n">
        <f aca="false">P_ImpA*(BM$82+BM$88)</f>
        <v>703.728673617123</v>
      </c>
      <c r="BN90" s="34" t="n">
        <f aca="false">P_ImpA*(BN$82+BN$88)</f>
        <v>703.728673617123</v>
      </c>
      <c r="BO90" s="34" t="n">
        <f aca="false">P_ImpA*(BO$82+BO$88)</f>
        <v>703.728673617123</v>
      </c>
      <c r="BP90" s="34" t="n">
        <f aca="false">P_ImpA*(BP$82+BP$88)</f>
        <v>703.728673617123</v>
      </c>
      <c r="BQ90" s="34" t="n">
        <f aca="false">P_ImpA*(BQ$82+BQ$88)</f>
        <v>703.728673617123</v>
      </c>
      <c r="BR90" s="34" t="n">
        <f aca="false">P_ImpA*(BR$82+BR$88)</f>
        <v>703.728673617123</v>
      </c>
      <c r="BS90" s="34" t="n">
        <f aca="false">P_ImpA*(BS$82+BS$88)</f>
        <v>703.728673617123</v>
      </c>
      <c r="BT90" s="34" t="n">
        <f aca="false">P_ImpA*(BT$82+BT$88)</f>
        <v>703.728673617123</v>
      </c>
      <c r="BU90" s="34" t="n">
        <f aca="false">P_ImpA*(BU$82+BU$88)</f>
        <v>703.728673617123</v>
      </c>
      <c r="BV90" s="34" t="n">
        <f aca="false">P_ImpA*(BV$82+BV$88)</f>
        <v>703.728673617123</v>
      </c>
      <c r="BW90" s="34" t="n">
        <f aca="false">P_ImpA*(BW$82+BW$88)</f>
        <v>703.728673617123</v>
      </c>
      <c r="BX90" s="34" t="n">
        <f aca="false">P_ImpA*(BX$82+BX$88)</f>
        <v>703.728673617123</v>
      </c>
      <c r="BY90" s="34" t="n">
        <f aca="false">P_ImpA*(BY$82+BY$88)</f>
        <v>703.728673617123</v>
      </c>
      <c r="BZ90" s="34" t="n">
        <f aca="false">P_ImpA*(BZ$82+BZ$88)</f>
        <v>703.728673617123</v>
      </c>
      <c r="CA90" s="34" t="n">
        <f aca="false">P_ImpA*(CA$82+CA$88)</f>
        <v>703.728673617123</v>
      </c>
      <c r="CB90" s="34" t="n">
        <f aca="false">P_ImpA*(CB$82+CB$88)</f>
        <v>703.728673617123</v>
      </c>
      <c r="CC90" s="34" t="n">
        <f aca="false">P_ImpA*(CC$82+CC$88)</f>
        <v>703.728673617123</v>
      </c>
      <c r="CD90" s="34" t="n">
        <f aca="false">P_ImpA*(CD$82+CD$88)</f>
        <v>703.728673617123</v>
      </c>
      <c r="CE90" s="34" t="n">
        <f aca="false">P_ImpA*(CE$82+CE$88)</f>
        <v>703.728673617123</v>
      </c>
      <c r="CF90" s="34" t="n">
        <f aca="false">P_ImpA*(CF$82+CF$88)</f>
        <v>703.728673617123</v>
      </c>
      <c r="CG90" s="34" t="n">
        <f aca="false">P_ImpA*(CG$82+CG$88)</f>
        <v>703.728673617123</v>
      </c>
      <c r="CH90" s="34" t="n">
        <f aca="false">P_ImpA*(CH$82+CH$88)</f>
        <v>703.728673617123</v>
      </c>
      <c r="CI90" s="34" t="n">
        <f aca="false">P_ImpA*(CI$82+CI$88)</f>
        <v>703.728673617123</v>
      </c>
      <c r="CJ90" s="34" t="n">
        <f aca="false">P_ImpA*(CJ$82+CJ$88)</f>
        <v>703.728673617123</v>
      </c>
      <c r="CK90" s="34" t="n">
        <f aca="false">P_ImpA*(CK$82+CK$88)</f>
        <v>703.728673617123</v>
      </c>
      <c r="CL90" s="34" t="n">
        <f aca="false">P_ImpA*(CL$82+CL$88)</f>
        <v>703.728673617123</v>
      </c>
      <c r="CM90" s="34" t="n">
        <f aca="false">P_ImpA*(CM$82+CM$88)</f>
        <v>703.728673617123</v>
      </c>
      <c r="CN90" s="34" t="n">
        <f aca="false">P_ImpA*(CN$82+CN$88)</f>
        <v>703.728673617123</v>
      </c>
      <c r="CO90" s="34" t="n">
        <f aca="false">P_ImpA*(CO$82+CO$88)</f>
        <v>703.728673617123</v>
      </c>
      <c r="CP90" s="34" t="n">
        <f aca="false">P_ImpA*(CP$82+CP$88)</f>
        <v>703.728673617123</v>
      </c>
      <c r="CQ90" s="34" t="n">
        <f aca="false">P_ImpA*(CQ$82+CQ$88)</f>
        <v>703.728673617123</v>
      </c>
      <c r="CR90" s="34" t="n">
        <f aca="false">P_ImpA*(CR$82+CR$88)</f>
        <v>703.728673617123</v>
      </c>
      <c r="CS90" s="34" t="n">
        <f aca="false">P_ImpA*(CS$82+CS$88)</f>
        <v>703.728673617123</v>
      </c>
      <c r="CT90" s="34" t="n">
        <f aca="false">P_ImpA*(CT$82+CT$88)</f>
        <v>703.728673617123</v>
      </c>
      <c r="CU90" s="34" t="n">
        <f aca="false">P_ImpA*(CU$82+CU$88)</f>
        <v>703.728673617123</v>
      </c>
      <c r="CV90" s="34" t="n">
        <f aca="false">P_ImpA*(CV$82+CV$88)</f>
        <v>703.728673617123</v>
      </c>
      <c r="CW90" s="34" t="n">
        <f aca="false">P_ImpA*(CW$82+CW$88)</f>
        <v>703.728673617123</v>
      </c>
      <c r="CX90" s="34" t="n">
        <f aca="false">P_ImpA*(CX$82+CX$88)</f>
        <v>703.728673617123</v>
      </c>
      <c r="CY90" s="34" t="n">
        <f aca="false">P_ImpA*(CY$82+CY$88)</f>
        <v>703.728673617123</v>
      </c>
      <c r="CZ90" s="34" t="n">
        <f aca="false">P_ImpA*(CZ$82+CZ$88)</f>
        <v>703.728673617123</v>
      </c>
      <c r="DA90" s="34" t="n">
        <f aca="false">P_ImpA*(DA$82+DA$88)</f>
        <v>703.728673617123</v>
      </c>
      <c r="DB90" s="34" t="n">
        <f aca="false">P_ImpA*(DB$82+DB$88)</f>
        <v>703.728673617123</v>
      </c>
      <c r="DC90" s="34" t="n">
        <f aca="false">P_ImpA*(DC$82+DC$88)</f>
        <v>703.728673617123</v>
      </c>
      <c r="DD90" s="34" t="n">
        <f aca="false">P_ImpA*(DD$82+DD$88)</f>
        <v>703.728673617123</v>
      </c>
      <c r="DE90" s="34" t="n">
        <f aca="false">P_ImpA*(DE$82+DE$88)</f>
        <v>703.728673617123</v>
      </c>
      <c r="DF90" s="34" t="n">
        <f aca="false">P_ImpA*(DF$82+DF$88)</f>
        <v>703.728673617123</v>
      </c>
      <c r="DG90" s="34" t="n">
        <f aca="false">P_ImpA*(DG$82+DG$88)</f>
        <v>703.728673617123</v>
      </c>
      <c r="DH90" s="34" t="n">
        <f aca="false">P_ImpA*(DH$82+DH$88)</f>
        <v>703.728673617123</v>
      </c>
      <c r="DI90" s="34" t="n">
        <f aca="false">P_ImpA*(DI$82+DI$88)</f>
        <v>703.728673617123</v>
      </c>
      <c r="DJ90" s="34" t="n">
        <f aca="false">P_ImpA*(DJ$82+DJ$88)</f>
        <v>703.728673617123</v>
      </c>
      <c r="DK90" s="34" t="n">
        <f aca="false">P_ImpA*(DK$82+DK$88)</f>
        <v>703.728673617123</v>
      </c>
      <c r="DL90" s="34" t="n">
        <f aca="false">P_ImpA*(DL$82+DL$88)</f>
        <v>703.728673617123</v>
      </c>
      <c r="DM90" s="34" t="n">
        <f aca="false">P_ImpA*(DM$82+DM$88)</f>
        <v>703.728673617123</v>
      </c>
      <c r="DN90" s="34" t="n">
        <f aca="false">P_ImpA*(DN$82+DN$88)</f>
        <v>703.728673617123</v>
      </c>
      <c r="DO90" s="34" t="n">
        <f aca="false">P_ImpA*(DO$82+DO$88)</f>
        <v>703.728673617123</v>
      </c>
      <c r="DP90" s="34" t="n">
        <f aca="false">P_ImpA*(DP$82+DP$88)</f>
        <v>703.728673617123</v>
      </c>
      <c r="DQ90" s="34" t="n">
        <f aca="false">P_ImpA*(DQ$82+DQ$88)</f>
        <v>703.728673617123</v>
      </c>
      <c r="DR90" s="34" t="n">
        <f aca="false">P_ImpA*(DR$82+DR$88)</f>
        <v>703.728673617123</v>
      </c>
      <c r="DS90" s="34" t="n">
        <f aca="false">P_ImpA*(DS$82+DS$88)</f>
        <v>703.728673617123</v>
      </c>
      <c r="DT90" s="34" t="n">
        <f aca="false">P_ImpA*(DT$82+DT$88)</f>
        <v>703.728673617123</v>
      </c>
      <c r="DU90" s="34" t="n">
        <f aca="false">P_ImpA*(DU$82+DU$88)</f>
        <v>703.728673617123</v>
      </c>
      <c r="DV90" s="34" t="n">
        <f aca="false">P_ImpA*(DV$82+DV$88)</f>
        <v>0</v>
      </c>
      <c r="DW90" s="34" t="n">
        <f aca="false">P_ImpA*(DW$82+DW$88)</f>
        <v>0</v>
      </c>
      <c r="DX90" s="34" t="n">
        <f aca="false">P_ImpA*(DX$82+DX$88)</f>
        <v>0</v>
      </c>
      <c r="DY90" s="34" t="n">
        <f aca="false">P_ImpA*(DY$82+DY$88)</f>
        <v>0</v>
      </c>
      <c r="DZ90" s="34" t="n">
        <f aca="false">P_ImpA*(DZ$82+DZ$88)</f>
        <v>0</v>
      </c>
      <c r="EA90" s="34" t="n">
        <f aca="false">P_ImpA*(EA$82+EA$88)</f>
        <v>0</v>
      </c>
      <c r="EB90" s="34" t="n">
        <f aca="false">P_ImpA*(EB$82+EB$88)</f>
        <v>0</v>
      </c>
      <c r="EC90" s="34" t="n">
        <f aca="false">P_ImpA*(EC$82+EC$88)</f>
        <v>0</v>
      </c>
      <c r="ED90" s="34" t="n">
        <f aca="false">P_ImpA*(ED$82+ED$88)</f>
        <v>0</v>
      </c>
      <c r="EE90" s="34" t="n">
        <f aca="false">P_ImpA*(EE$82+EE$88)</f>
        <v>0</v>
      </c>
      <c r="EF90" s="34" t="n">
        <f aca="false">P_ImpA*(EF$82+EF$88)</f>
        <v>0</v>
      </c>
      <c r="EG90" s="34" t="n">
        <f aca="false">P_ImpA*(EG$82+EG$88)</f>
        <v>0</v>
      </c>
      <c r="EH90" s="34" t="n">
        <f aca="false">P_ImpA*(EH$82+EH$88)</f>
        <v>0</v>
      </c>
      <c r="EI90" s="34" t="n">
        <f aca="false">P_ImpA*(EI$82+EI$88)</f>
        <v>0</v>
      </c>
      <c r="EJ90" s="34" t="n">
        <f aca="false">P_ImpA*(EJ$82+EJ$88)</f>
        <v>0</v>
      </c>
      <c r="EK90" s="34" t="n">
        <f aca="false">P_ImpA*(EK$82+EK$88)</f>
        <v>0</v>
      </c>
      <c r="EL90" s="34" t="n">
        <f aca="false">P_ImpA*(EL$82+EL$88)</f>
        <v>0</v>
      </c>
      <c r="EM90" s="34" t="n">
        <f aca="false">P_ImpA*(EM$82+EM$88)</f>
        <v>0</v>
      </c>
      <c r="EN90" s="34" t="n">
        <f aca="false">P_ImpA*(EN$82+EN$88)</f>
        <v>0</v>
      </c>
      <c r="EO90" s="34" t="n">
        <f aca="false">P_ImpA*(EO$82+EO$88)</f>
        <v>0</v>
      </c>
      <c r="EP90" s="34" t="n">
        <f aca="false">P_ImpA*(EP$82+EP$88)</f>
        <v>0</v>
      </c>
      <c r="EQ90" s="34" t="n">
        <f aca="false">P_ImpA*(EQ$82+EQ$88)</f>
        <v>0</v>
      </c>
      <c r="ER90" s="34" t="n">
        <f aca="false">P_ImpA*(ER$82+ER$88)</f>
        <v>0</v>
      </c>
      <c r="ES90" s="34" t="n">
        <f aca="false">P_ImpA*(ES$82+ES$88)</f>
        <v>0</v>
      </c>
    </row>
    <row r="91" customFormat="false" ht="15" hidden="false" customHeight="false" outlineLevel="0" collapsed="false">
      <c r="A91" s="2" t="s">
        <v>673</v>
      </c>
      <c r="B91" s="6" t="s">
        <v>674</v>
      </c>
      <c r="C91" s="6" t="s">
        <v>250</v>
      </c>
      <c r="E91" s="40" t="n">
        <f aca="false">SUM(F91:ES91)</f>
        <v>212677.888986405</v>
      </c>
      <c r="F91" s="34" t="n">
        <f aca="false">SUMPRODUCT(FC_O*((FC_Mon="PYG")*F$19+(FC_Mon&lt;&gt;"PYG"))*(1+FC_g)^(F$17-1)*((FC_Desde=0)*(F$16+F$15)+(FC_Desde&gt;=1)*(F$14&gt;=FC_Desde)*F$15)*FC_IVA/(1+FC_IVA))</f>
        <v>1546</v>
      </c>
      <c r="G91" s="34" t="n">
        <f aca="false">SUMPRODUCT(FC_O*((FC_Mon="PYG")*G$19+(FC_Mon&lt;&gt;"PYG"))*(1+FC_g)^(G$17-1)*((FC_Desde=0)*(G$16+G$15)+(FC_Desde&gt;=1)*(G$14&gt;=FC_Desde)*G$15)*FC_IVA/(1+FC_IVA))</f>
        <v>1546</v>
      </c>
      <c r="H91" s="34" t="n">
        <f aca="false">SUMPRODUCT(FC_O*((FC_Mon="PYG")*H$19+(FC_Mon&lt;&gt;"PYG"))*(1+FC_g)^(H$17-1)*((FC_Desde=0)*(H$16+H$15)+(FC_Desde&gt;=1)*(H$14&gt;=FC_Desde)*H$15)*FC_IVA/(1+FC_IVA))</f>
        <v>1546</v>
      </c>
      <c r="I91" s="34" t="n">
        <f aca="false">SUMPRODUCT(FC_O*((FC_Mon="PYG")*I$19+(FC_Mon&lt;&gt;"PYG"))*(1+FC_g)^(I$17-1)*((FC_Desde=0)*(I$16+I$15)+(FC_Desde&gt;=1)*(I$14&gt;=FC_Desde)*I$15)*FC_IVA/(1+FC_IVA))</f>
        <v>1546</v>
      </c>
      <c r="J91" s="34" t="n">
        <f aca="false">SUMPRODUCT(FC_O*((FC_Mon="PYG")*J$19+(FC_Mon&lt;&gt;"PYG"))*(1+FC_g)^(J$17-1)*((FC_Desde=0)*(J$16+J$15)+(FC_Desde&gt;=1)*(J$14&gt;=FC_Desde)*J$15)*FC_IVA/(1+FC_IVA))</f>
        <v>1546</v>
      </c>
      <c r="K91" s="34" t="n">
        <f aca="false">SUMPRODUCT(FC_O*((FC_Mon="PYG")*K$19+(FC_Mon&lt;&gt;"PYG"))*(1+FC_g)^(K$17-1)*((FC_Desde=0)*(K$16+K$15)+(FC_Desde&gt;=1)*(K$14&gt;=FC_Desde)*K$15)*FC_IVA/(1+FC_IVA))</f>
        <v>1546</v>
      </c>
      <c r="L91" s="34" t="n">
        <f aca="false">SUMPRODUCT(FC_O*((FC_Mon="PYG")*L$19+(FC_Mon&lt;&gt;"PYG"))*(1+FC_g)^(L$17-1)*((FC_Desde=0)*(L$16+L$15)+(FC_Desde&gt;=1)*(L$14&gt;=FC_Desde)*L$15)*FC_IVA/(1+FC_IVA))</f>
        <v>1546</v>
      </c>
      <c r="M91" s="34" t="n">
        <f aca="false">SUMPRODUCT(FC_O*((FC_Mon="PYG")*M$19+(FC_Mon&lt;&gt;"PYG"))*(1+FC_g)^(M$17-1)*((FC_Desde=0)*(M$16+M$15)+(FC_Desde&gt;=1)*(M$14&gt;=FC_Desde)*M$15)*FC_IVA/(1+FC_IVA))</f>
        <v>1546</v>
      </c>
      <c r="N91" s="34" t="n">
        <f aca="false">SUMPRODUCT(FC_O*((FC_Mon="PYG")*N$19+(FC_Mon&lt;&gt;"PYG"))*(1+FC_g)^(N$17-1)*((FC_Desde=0)*(N$16+N$15)+(FC_Desde&gt;=1)*(N$14&gt;=FC_Desde)*N$15)*FC_IVA/(1+FC_IVA))</f>
        <v>1546</v>
      </c>
      <c r="O91" s="34" t="n">
        <f aca="false">SUMPRODUCT(FC_O*((FC_Mon="PYG")*O$19+(FC_Mon&lt;&gt;"PYG"))*(1+FC_g)^(O$17-1)*((FC_Desde=0)*(O$16+O$15)+(FC_Desde&gt;=1)*(O$14&gt;=FC_Desde)*O$15)*FC_IVA/(1+FC_IVA))</f>
        <v>1546</v>
      </c>
      <c r="P91" s="34" t="n">
        <f aca="false">SUMPRODUCT(FC_O*((FC_Mon="PYG")*P$19+(FC_Mon&lt;&gt;"PYG"))*(1+FC_g)^(P$17-1)*((FC_Desde=0)*(P$16+P$15)+(FC_Desde&gt;=1)*(P$14&gt;=FC_Desde)*P$15)*FC_IVA/(1+FC_IVA))</f>
        <v>1546</v>
      </c>
      <c r="Q91" s="34" t="n">
        <f aca="false">SUMPRODUCT(FC_O*((FC_Mon="PYG")*Q$19+(FC_Mon&lt;&gt;"PYG"))*(1+FC_g)^(Q$17-1)*((FC_Desde=0)*(Q$16+Q$15)+(FC_Desde&gt;=1)*(Q$14&gt;=FC_Desde)*Q$15)*FC_IVA/(1+FC_IVA))</f>
        <v>1546</v>
      </c>
      <c r="R91" s="34" t="n">
        <f aca="false">SUMPRODUCT(FC_O*((FC_Mon="PYG")*R$19+(FC_Mon&lt;&gt;"PYG"))*(1+FC_g)^(R$17-1)*((FC_Desde=0)*(R$16+R$15)+(FC_Desde&gt;=1)*(R$14&gt;=FC_Desde)*R$15)*FC_IVA/(1+FC_IVA))</f>
        <v>1592.38</v>
      </c>
      <c r="S91" s="34" t="n">
        <f aca="false">SUMPRODUCT(FC_O*((FC_Mon="PYG")*S$19+(FC_Mon&lt;&gt;"PYG"))*(1+FC_g)^(S$17-1)*((FC_Desde=0)*(S$16+S$15)+(FC_Desde&gt;=1)*(S$14&gt;=FC_Desde)*S$15)*FC_IVA/(1+FC_IVA))</f>
        <v>1592.38</v>
      </c>
      <c r="T91" s="34" t="n">
        <f aca="false">SUMPRODUCT(FC_O*((FC_Mon="PYG")*T$19+(FC_Mon&lt;&gt;"PYG"))*(1+FC_g)^(T$17-1)*((FC_Desde=0)*(T$16+T$15)+(FC_Desde&gt;=1)*(T$14&gt;=FC_Desde)*T$15)*FC_IVA/(1+FC_IVA))</f>
        <v>1592.38</v>
      </c>
      <c r="U91" s="34" t="n">
        <f aca="false">SUMPRODUCT(FC_O*((FC_Mon="PYG")*U$19+(FC_Mon&lt;&gt;"PYG"))*(1+FC_g)^(U$17-1)*((FC_Desde=0)*(U$16+U$15)+(FC_Desde&gt;=1)*(U$14&gt;=FC_Desde)*U$15)*FC_IVA/(1+FC_IVA))</f>
        <v>1592.38</v>
      </c>
      <c r="V91" s="34" t="n">
        <f aca="false">SUMPRODUCT(FC_O*((FC_Mon="PYG")*V$19+(FC_Mon&lt;&gt;"PYG"))*(1+FC_g)^(V$17-1)*((FC_Desde=0)*(V$16+V$15)+(FC_Desde&gt;=1)*(V$14&gt;=FC_Desde)*V$15)*FC_IVA/(1+FC_IVA))</f>
        <v>1592.38</v>
      </c>
      <c r="W91" s="34" t="n">
        <f aca="false">SUMPRODUCT(FC_O*((FC_Mon="PYG")*W$19+(FC_Mon&lt;&gt;"PYG"))*(1+FC_g)^(W$17-1)*((FC_Desde=0)*(W$16+W$15)+(FC_Desde&gt;=1)*(W$14&gt;=FC_Desde)*W$15)*FC_IVA/(1+FC_IVA))</f>
        <v>1592.38</v>
      </c>
      <c r="X91" s="34" t="n">
        <f aca="false">SUMPRODUCT(FC_O*((FC_Mon="PYG")*X$19+(FC_Mon&lt;&gt;"PYG"))*(1+FC_g)^(X$17-1)*((FC_Desde=0)*(X$16+X$15)+(FC_Desde&gt;=1)*(X$14&gt;=FC_Desde)*X$15)*FC_IVA/(1+FC_IVA))</f>
        <v>1592.38</v>
      </c>
      <c r="Y91" s="34" t="n">
        <f aca="false">SUMPRODUCT(FC_O*((FC_Mon="PYG")*Y$19+(FC_Mon&lt;&gt;"PYG"))*(1+FC_g)^(Y$17-1)*((FC_Desde=0)*(Y$16+Y$15)+(FC_Desde&gt;=1)*(Y$14&gt;=FC_Desde)*Y$15)*FC_IVA/(1+FC_IVA))</f>
        <v>1592.38</v>
      </c>
      <c r="Z91" s="34" t="n">
        <f aca="false">SUMPRODUCT(FC_O*((FC_Mon="PYG")*Z$19+(FC_Mon&lt;&gt;"PYG"))*(1+FC_g)^(Z$17-1)*((FC_Desde=0)*(Z$16+Z$15)+(FC_Desde&gt;=1)*(Z$14&gt;=FC_Desde)*Z$15)*FC_IVA/(1+FC_IVA))</f>
        <v>1592.38</v>
      </c>
      <c r="AA91" s="34" t="n">
        <f aca="false">SUMPRODUCT(FC_O*((FC_Mon="PYG")*AA$19+(FC_Mon&lt;&gt;"PYG"))*(1+FC_g)^(AA$17-1)*((FC_Desde=0)*(AA$16+AA$15)+(FC_Desde&gt;=1)*(AA$14&gt;=FC_Desde)*AA$15)*FC_IVA/(1+FC_IVA))</f>
        <v>1592.38</v>
      </c>
      <c r="AB91" s="34" t="n">
        <f aca="false">SUMPRODUCT(FC_O*((FC_Mon="PYG")*AB$19+(FC_Mon&lt;&gt;"PYG"))*(1+FC_g)^(AB$17-1)*((FC_Desde=0)*(AB$16+AB$15)+(FC_Desde&gt;=1)*(AB$14&gt;=FC_Desde)*AB$15)*FC_IVA/(1+FC_IVA))</f>
        <v>1592.38</v>
      </c>
      <c r="AC91" s="34" t="n">
        <f aca="false">SUMPRODUCT(FC_O*((FC_Mon="PYG")*AC$19+(FC_Mon&lt;&gt;"PYG"))*(1+FC_g)^(AC$17-1)*((FC_Desde=0)*(AC$16+AC$15)+(FC_Desde&gt;=1)*(AC$14&gt;=FC_Desde)*AC$15)*FC_IVA/(1+FC_IVA))</f>
        <v>1592.38</v>
      </c>
      <c r="AD91" s="34" t="n">
        <f aca="false">SUMPRODUCT(FC_O*((FC_Mon="PYG")*AD$19+(FC_Mon&lt;&gt;"PYG"))*(1+FC_g)^(AD$17-1)*((FC_Desde=0)*(AD$16+AD$15)+(FC_Desde&gt;=1)*(AD$14&gt;=FC_Desde)*AD$15)*FC_IVA/(1+FC_IVA))</f>
        <v>1640.1514</v>
      </c>
      <c r="AE91" s="34" t="n">
        <f aca="false">SUMPRODUCT(FC_O*((FC_Mon="PYG")*AE$19+(FC_Mon&lt;&gt;"PYG"))*(1+FC_g)^(AE$17-1)*((FC_Desde=0)*(AE$16+AE$15)+(FC_Desde&gt;=1)*(AE$14&gt;=FC_Desde)*AE$15)*FC_IVA/(1+FC_IVA))</f>
        <v>1640.1514</v>
      </c>
      <c r="AF91" s="34" t="n">
        <f aca="false">SUMPRODUCT(FC_O*((FC_Mon="PYG")*AF$19+(FC_Mon&lt;&gt;"PYG"))*(1+FC_g)^(AF$17-1)*((FC_Desde=0)*(AF$16+AF$15)+(FC_Desde&gt;=1)*(AF$14&gt;=FC_Desde)*AF$15)*FC_IVA/(1+FC_IVA))</f>
        <v>1640.1514</v>
      </c>
      <c r="AG91" s="34" t="n">
        <f aca="false">SUMPRODUCT(FC_O*((FC_Mon="PYG")*AG$19+(FC_Mon&lt;&gt;"PYG"))*(1+FC_g)^(AG$17-1)*((FC_Desde=0)*(AG$16+AG$15)+(FC_Desde&gt;=1)*(AG$14&gt;=FC_Desde)*AG$15)*FC_IVA/(1+FC_IVA))</f>
        <v>1640.1514</v>
      </c>
      <c r="AH91" s="34" t="n">
        <f aca="false">SUMPRODUCT(FC_O*((FC_Mon="PYG")*AH$19+(FC_Mon&lt;&gt;"PYG"))*(1+FC_g)^(AH$17-1)*((FC_Desde=0)*(AH$16+AH$15)+(FC_Desde&gt;=1)*(AH$14&gt;=FC_Desde)*AH$15)*FC_IVA/(1+FC_IVA))</f>
        <v>1640.1514</v>
      </c>
      <c r="AI91" s="34" t="n">
        <f aca="false">SUMPRODUCT(FC_O*((FC_Mon="PYG")*AI$19+(FC_Mon&lt;&gt;"PYG"))*(1+FC_g)^(AI$17-1)*((FC_Desde=0)*(AI$16+AI$15)+(FC_Desde&gt;=1)*(AI$14&gt;=FC_Desde)*AI$15)*FC_IVA/(1+FC_IVA))</f>
        <v>1640.1514</v>
      </c>
      <c r="AJ91" s="34" t="n">
        <f aca="false">SUMPRODUCT(FC_O*((FC_Mon="PYG")*AJ$19+(FC_Mon&lt;&gt;"PYG"))*(1+FC_g)^(AJ$17-1)*((FC_Desde=0)*(AJ$16+AJ$15)+(FC_Desde&gt;=1)*(AJ$14&gt;=FC_Desde)*AJ$15)*FC_IVA/(1+FC_IVA))</f>
        <v>1640.1514</v>
      </c>
      <c r="AK91" s="34" t="n">
        <f aca="false">SUMPRODUCT(FC_O*((FC_Mon="PYG")*AK$19+(FC_Mon&lt;&gt;"PYG"))*(1+FC_g)^(AK$17-1)*((FC_Desde=0)*(AK$16+AK$15)+(FC_Desde&gt;=1)*(AK$14&gt;=FC_Desde)*AK$15)*FC_IVA/(1+FC_IVA))</f>
        <v>1640.1514</v>
      </c>
      <c r="AL91" s="34" t="n">
        <f aca="false">SUMPRODUCT(FC_O*((FC_Mon="PYG")*AL$19+(FC_Mon&lt;&gt;"PYG"))*(1+FC_g)^(AL$17-1)*((FC_Desde=0)*(AL$16+AL$15)+(FC_Desde&gt;=1)*(AL$14&gt;=FC_Desde)*AL$15)*FC_IVA/(1+FC_IVA))</f>
        <v>1640.1514</v>
      </c>
      <c r="AM91" s="34" t="n">
        <f aca="false">SUMPRODUCT(FC_O*((FC_Mon="PYG")*AM$19+(FC_Mon&lt;&gt;"PYG"))*(1+FC_g)^(AM$17-1)*((FC_Desde=0)*(AM$16+AM$15)+(FC_Desde&gt;=1)*(AM$14&gt;=FC_Desde)*AM$15)*FC_IVA/(1+FC_IVA))</f>
        <v>1640.1514</v>
      </c>
      <c r="AN91" s="34" t="n">
        <f aca="false">SUMPRODUCT(FC_O*((FC_Mon="PYG")*AN$19+(FC_Mon&lt;&gt;"PYG"))*(1+FC_g)^(AN$17-1)*((FC_Desde=0)*(AN$16+AN$15)+(FC_Desde&gt;=1)*(AN$14&gt;=FC_Desde)*AN$15)*FC_IVA/(1+FC_IVA))</f>
        <v>1640.1514</v>
      </c>
      <c r="AO91" s="34" t="n">
        <f aca="false">SUMPRODUCT(FC_O*((FC_Mon="PYG")*AO$19+(FC_Mon&lt;&gt;"PYG"))*(1+FC_g)^(AO$17-1)*((FC_Desde=0)*(AO$16+AO$15)+(FC_Desde&gt;=1)*(AO$14&gt;=FC_Desde)*AO$15)*FC_IVA/(1+FC_IVA))</f>
        <v>1640.1514</v>
      </c>
      <c r="AP91" s="34" t="n">
        <f aca="false">SUMPRODUCT(FC_O*((FC_Mon="PYG")*AP$19+(FC_Mon&lt;&gt;"PYG"))*(1+FC_g)^(AP$17-1)*((FC_Desde=0)*(AP$16+AP$15)+(FC_Desde&gt;=1)*(AP$14&gt;=FC_Desde)*AP$15)*FC_IVA/(1+FC_IVA))</f>
        <v>1689.355942</v>
      </c>
      <c r="AQ91" s="34" t="n">
        <f aca="false">SUMPRODUCT(FC_O*((FC_Mon="PYG")*AQ$19+(FC_Mon&lt;&gt;"PYG"))*(1+FC_g)^(AQ$17-1)*((FC_Desde=0)*(AQ$16+AQ$15)+(FC_Desde&gt;=1)*(AQ$14&gt;=FC_Desde)*AQ$15)*FC_IVA/(1+FC_IVA))</f>
        <v>1689.355942</v>
      </c>
      <c r="AR91" s="34" t="n">
        <f aca="false">SUMPRODUCT(FC_O*((FC_Mon="PYG")*AR$19+(FC_Mon&lt;&gt;"PYG"))*(1+FC_g)^(AR$17-1)*((FC_Desde=0)*(AR$16+AR$15)+(FC_Desde&gt;=1)*(AR$14&gt;=FC_Desde)*AR$15)*FC_IVA/(1+FC_IVA))</f>
        <v>1689.355942</v>
      </c>
      <c r="AS91" s="34" t="n">
        <f aca="false">SUMPRODUCT(FC_O*((FC_Mon="PYG")*AS$19+(FC_Mon&lt;&gt;"PYG"))*(1+FC_g)^(AS$17-1)*((FC_Desde=0)*(AS$16+AS$15)+(FC_Desde&gt;=1)*(AS$14&gt;=FC_Desde)*AS$15)*FC_IVA/(1+FC_IVA))</f>
        <v>1689.355942</v>
      </c>
      <c r="AT91" s="34" t="n">
        <f aca="false">SUMPRODUCT(FC_O*((FC_Mon="PYG")*AT$19+(FC_Mon&lt;&gt;"PYG"))*(1+FC_g)^(AT$17-1)*((FC_Desde=0)*(AT$16+AT$15)+(FC_Desde&gt;=1)*(AT$14&gt;=FC_Desde)*AT$15)*FC_IVA/(1+FC_IVA))</f>
        <v>1689.355942</v>
      </c>
      <c r="AU91" s="34" t="n">
        <f aca="false">SUMPRODUCT(FC_O*((FC_Mon="PYG")*AU$19+(FC_Mon&lt;&gt;"PYG"))*(1+FC_g)^(AU$17-1)*((FC_Desde=0)*(AU$16+AU$15)+(FC_Desde&gt;=1)*(AU$14&gt;=FC_Desde)*AU$15)*FC_IVA/(1+FC_IVA))</f>
        <v>1689.355942</v>
      </c>
      <c r="AV91" s="34" t="n">
        <f aca="false">SUMPRODUCT(FC_O*((FC_Mon="PYG")*AV$19+(FC_Mon&lt;&gt;"PYG"))*(1+FC_g)^(AV$17-1)*((FC_Desde=0)*(AV$16+AV$15)+(FC_Desde&gt;=1)*(AV$14&gt;=FC_Desde)*AV$15)*FC_IVA/(1+FC_IVA))</f>
        <v>1689.355942</v>
      </c>
      <c r="AW91" s="34" t="n">
        <f aca="false">SUMPRODUCT(FC_O*((FC_Mon="PYG")*AW$19+(FC_Mon&lt;&gt;"PYG"))*(1+FC_g)^(AW$17-1)*((FC_Desde=0)*(AW$16+AW$15)+(FC_Desde&gt;=1)*(AW$14&gt;=FC_Desde)*AW$15)*FC_IVA/(1+FC_IVA))</f>
        <v>1689.355942</v>
      </c>
      <c r="AX91" s="34" t="n">
        <f aca="false">SUMPRODUCT(FC_O*((FC_Mon="PYG")*AX$19+(FC_Mon&lt;&gt;"PYG"))*(1+FC_g)^(AX$17-1)*((FC_Desde=0)*(AX$16+AX$15)+(FC_Desde&gt;=1)*(AX$14&gt;=FC_Desde)*AX$15)*FC_IVA/(1+FC_IVA))</f>
        <v>1689.355942</v>
      </c>
      <c r="AY91" s="34" t="n">
        <f aca="false">SUMPRODUCT(FC_O*((FC_Mon="PYG")*AY$19+(FC_Mon&lt;&gt;"PYG"))*(1+FC_g)^(AY$17-1)*((FC_Desde=0)*(AY$16+AY$15)+(FC_Desde&gt;=1)*(AY$14&gt;=FC_Desde)*AY$15)*FC_IVA/(1+FC_IVA))</f>
        <v>1689.355942</v>
      </c>
      <c r="AZ91" s="34" t="n">
        <f aca="false">SUMPRODUCT(FC_O*((FC_Mon="PYG")*AZ$19+(FC_Mon&lt;&gt;"PYG"))*(1+FC_g)^(AZ$17-1)*((FC_Desde=0)*(AZ$16+AZ$15)+(FC_Desde&gt;=1)*(AZ$14&gt;=FC_Desde)*AZ$15)*FC_IVA/(1+FC_IVA))</f>
        <v>1689.355942</v>
      </c>
      <c r="BA91" s="34" t="n">
        <f aca="false">SUMPRODUCT(FC_O*((FC_Mon="PYG")*BA$19+(FC_Mon&lt;&gt;"PYG"))*(1+FC_g)^(BA$17-1)*((FC_Desde=0)*(BA$16+BA$15)+(FC_Desde&gt;=1)*(BA$14&gt;=FC_Desde)*BA$15)*FC_IVA/(1+FC_IVA))</f>
        <v>1689.355942</v>
      </c>
      <c r="BB91" s="34" t="n">
        <f aca="false">SUMPRODUCT(FC_O*((FC_Mon="PYG")*BB$19+(FC_Mon&lt;&gt;"PYG"))*(1+FC_g)^(BB$17-1)*((FC_Desde=0)*(BB$16+BB$15)+(FC_Desde&gt;=1)*(BB$14&gt;=FC_Desde)*BB$15)*FC_IVA/(1+FC_IVA))</f>
        <v>1740.03662026</v>
      </c>
      <c r="BC91" s="34" t="n">
        <f aca="false">SUMPRODUCT(FC_O*((FC_Mon="PYG")*BC$19+(FC_Mon&lt;&gt;"PYG"))*(1+FC_g)^(BC$17-1)*((FC_Desde=0)*(BC$16+BC$15)+(FC_Desde&gt;=1)*(BC$14&gt;=FC_Desde)*BC$15)*FC_IVA/(1+FC_IVA))</f>
        <v>1740.03662026</v>
      </c>
      <c r="BD91" s="34" t="n">
        <f aca="false">SUMPRODUCT(FC_O*((FC_Mon="PYG")*BD$19+(FC_Mon&lt;&gt;"PYG"))*(1+FC_g)^(BD$17-1)*((FC_Desde=0)*(BD$16+BD$15)+(FC_Desde&gt;=1)*(BD$14&gt;=FC_Desde)*BD$15)*FC_IVA/(1+FC_IVA))</f>
        <v>1740.03662026</v>
      </c>
      <c r="BE91" s="34" t="n">
        <f aca="false">SUMPRODUCT(FC_O*((FC_Mon="PYG")*BE$19+(FC_Mon&lt;&gt;"PYG"))*(1+FC_g)^(BE$17-1)*((FC_Desde=0)*(BE$16+BE$15)+(FC_Desde&gt;=1)*(BE$14&gt;=FC_Desde)*BE$15)*FC_IVA/(1+FC_IVA))</f>
        <v>1740.03662026</v>
      </c>
      <c r="BF91" s="34" t="n">
        <f aca="false">SUMPRODUCT(FC_O*((FC_Mon="PYG")*BF$19+(FC_Mon&lt;&gt;"PYG"))*(1+FC_g)^(BF$17-1)*((FC_Desde=0)*(BF$16+BF$15)+(FC_Desde&gt;=1)*(BF$14&gt;=FC_Desde)*BF$15)*FC_IVA/(1+FC_IVA))</f>
        <v>1740.03662026</v>
      </c>
      <c r="BG91" s="34" t="n">
        <f aca="false">SUMPRODUCT(FC_O*((FC_Mon="PYG")*BG$19+(FC_Mon&lt;&gt;"PYG"))*(1+FC_g)^(BG$17-1)*((FC_Desde=0)*(BG$16+BG$15)+(FC_Desde&gt;=1)*(BG$14&gt;=FC_Desde)*BG$15)*FC_IVA/(1+FC_IVA))</f>
        <v>1740.03662026</v>
      </c>
      <c r="BH91" s="34" t="n">
        <f aca="false">SUMPRODUCT(FC_O*((FC_Mon="PYG")*BH$19+(FC_Mon&lt;&gt;"PYG"))*(1+FC_g)^(BH$17-1)*((FC_Desde=0)*(BH$16+BH$15)+(FC_Desde&gt;=1)*(BH$14&gt;=FC_Desde)*BH$15)*FC_IVA/(1+FC_IVA))</f>
        <v>1740.03662026</v>
      </c>
      <c r="BI91" s="34" t="n">
        <f aca="false">SUMPRODUCT(FC_O*((FC_Mon="PYG")*BI$19+(FC_Mon&lt;&gt;"PYG"))*(1+FC_g)^(BI$17-1)*((FC_Desde=0)*(BI$16+BI$15)+(FC_Desde&gt;=1)*(BI$14&gt;=FC_Desde)*BI$15)*FC_IVA/(1+FC_IVA))</f>
        <v>1740.03662026</v>
      </c>
      <c r="BJ91" s="34" t="n">
        <f aca="false">SUMPRODUCT(FC_O*((FC_Mon="PYG")*BJ$19+(FC_Mon&lt;&gt;"PYG"))*(1+FC_g)^(BJ$17-1)*((FC_Desde=0)*(BJ$16+BJ$15)+(FC_Desde&gt;=1)*(BJ$14&gt;=FC_Desde)*BJ$15)*FC_IVA/(1+FC_IVA))</f>
        <v>1740.03662026</v>
      </c>
      <c r="BK91" s="34" t="n">
        <f aca="false">SUMPRODUCT(FC_O*((FC_Mon="PYG")*BK$19+(FC_Mon&lt;&gt;"PYG"))*(1+FC_g)^(BK$17-1)*((FC_Desde=0)*(BK$16+BK$15)+(FC_Desde&gt;=1)*(BK$14&gt;=FC_Desde)*BK$15)*FC_IVA/(1+FC_IVA))</f>
        <v>1740.03662026</v>
      </c>
      <c r="BL91" s="34" t="n">
        <f aca="false">SUMPRODUCT(FC_O*((FC_Mon="PYG")*BL$19+(FC_Mon&lt;&gt;"PYG"))*(1+FC_g)^(BL$17-1)*((FC_Desde=0)*(BL$16+BL$15)+(FC_Desde&gt;=1)*(BL$14&gt;=FC_Desde)*BL$15)*FC_IVA/(1+FC_IVA))</f>
        <v>1740.03662026</v>
      </c>
      <c r="BM91" s="34" t="n">
        <f aca="false">SUMPRODUCT(FC_O*((FC_Mon="PYG")*BM$19+(FC_Mon&lt;&gt;"PYG"))*(1+FC_g)^(BM$17-1)*((FC_Desde=0)*(BM$16+BM$15)+(FC_Desde&gt;=1)*(BM$14&gt;=FC_Desde)*BM$15)*FC_IVA/(1+FC_IVA))</f>
        <v>1740.03662026</v>
      </c>
      <c r="BN91" s="34" t="n">
        <f aca="false">SUMPRODUCT(FC_O*((FC_Mon="PYG")*BN$19+(FC_Mon&lt;&gt;"PYG"))*(1+FC_g)^(BN$17-1)*((FC_Desde=0)*(BN$16+BN$15)+(FC_Desde&gt;=1)*(BN$14&gt;=FC_Desde)*BN$15)*FC_IVA/(1+FC_IVA))</f>
        <v>1792.2377188678</v>
      </c>
      <c r="BO91" s="34" t="n">
        <f aca="false">SUMPRODUCT(FC_O*((FC_Mon="PYG")*BO$19+(FC_Mon&lt;&gt;"PYG"))*(1+FC_g)^(BO$17-1)*((FC_Desde=0)*(BO$16+BO$15)+(FC_Desde&gt;=1)*(BO$14&gt;=FC_Desde)*BO$15)*FC_IVA/(1+FC_IVA))</f>
        <v>1792.2377188678</v>
      </c>
      <c r="BP91" s="34" t="n">
        <f aca="false">SUMPRODUCT(FC_O*((FC_Mon="PYG")*BP$19+(FC_Mon&lt;&gt;"PYG"))*(1+FC_g)^(BP$17-1)*((FC_Desde=0)*(BP$16+BP$15)+(FC_Desde&gt;=1)*(BP$14&gt;=FC_Desde)*BP$15)*FC_IVA/(1+FC_IVA))</f>
        <v>1792.2377188678</v>
      </c>
      <c r="BQ91" s="34" t="n">
        <f aca="false">SUMPRODUCT(FC_O*((FC_Mon="PYG")*BQ$19+(FC_Mon&lt;&gt;"PYG"))*(1+FC_g)^(BQ$17-1)*((FC_Desde=0)*(BQ$16+BQ$15)+(FC_Desde&gt;=1)*(BQ$14&gt;=FC_Desde)*BQ$15)*FC_IVA/(1+FC_IVA))</f>
        <v>1792.2377188678</v>
      </c>
      <c r="BR91" s="34" t="n">
        <f aca="false">SUMPRODUCT(FC_O*((FC_Mon="PYG")*BR$19+(FC_Mon&lt;&gt;"PYG"))*(1+FC_g)^(BR$17-1)*((FC_Desde=0)*(BR$16+BR$15)+(FC_Desde&gt;=1)*(BR$14&gt;=FC_Desde)*BR$15)*FC_IVA/(1+FC_IVA))</f>
        <v>1792.2377188678</v>
      </c>
      <c r="BS91" s="34" t="n">
        <f aca="false">SUMPRODUCT(FC_O*((FC_Mon="PYG")*BS$19+(FC_Mon&lt;&gt;"PYG"))*(1+FC_g)^(BS$17-1)*((FC_Desde=0)*(BS$16+BS$15)+(FC_Desde&gt;=1)*(BS$14&gt;=FC_Desde)*BS$15)*FC_IVA/(1+FC_IVA))</f>
        <v>1792.2377188678</v>
      </c>
      <c r="BT91" s="34" t="n">
        <f aca="false">SUMPRODUCT(FC_O*((FC_Mon="PYG")*BT$19+(FC_Mon&lt;&gt;"PYG"))*(1+FC_g)^(BT$17-1)*((FC_Desde=0)*(BT$16+BT$15)+(FC_Desde&gt;=1)*(BT$14&gt;=FC_Desde)*BT$15)*FC_IVA/(1+FC_IVA))</f>
        <v>1792.2377188678</v>
      </c>
      <c r="BU91" s="34" t="n">
        <f aca="false">SUMPRODUCT(FC_O*((FC_Mon="PYG")*BU$19+(FC_Mon&lt;&gt;"PYG"))*(1+FC_g)^(BU$17-1)*((FC_Desde=0)*(BU$16+BU$15)+(FC_Desde&gt;=1)*(BU$14&gt;=FC_Desde)*BU$15)*FC_IVA/(1+FC_IVA))</f>
        <v>1792.2377188678</v>
      </c>
      <c r="BV91" s="34" t="n">
        <f aca="false">SUMPRODUCT(FC_O*((FC_Mon="PYG")*BV$19+(FC_Mon&lt;&gt;"PYG"))*(1+FC_g)^(BV$17-1)*((FC_Desde=0)*(BV$16+BV$15)+(FC_Desde&gt;=1)*(BV$14&gt;=FC_Desde)*BV$15)*FC_IVA/(1+FC_IVA))</f>
        <v>1792.2377188678</v>
      </c>
      <c r="BW91" s="34" t="n">
        <f aca="false">SUMPRODUCT(FC_O*((FC_Mon="PYG")*BW$19+(FC_Mon&lt;&gt;"PYG"))*(1+FC_g)^(BW$17-1)*((FC_Desde=0)*(BW$16+BW$15)+(FC_Desde&gt;=1)*(BW$14&gt;=FC_Desde)*BW$15)*FC_IVA/(1+FC_IVA))</f>
        <v>1792.2377188678</v>
      </c>
      <c r="BX91" s="34" t="n">
        <f aca="false">SUMPRODUCT(FC_O*((FC_Mon="PYG")*BX$19+(FC_Mon&lt;&gt;"PYG"))*(1+FC_g)^(BX$17-1)*((FC_Desde=0)*(BX$16+BX$15)+(FC_Desde&gt;=1)*(BX$14&gt;=FC_Desde)*BX$15)*FC_IVA/(1+FC_IVA))</f>
        <v>1792.2377188678</v>
      </c>
      <c r="BY91" s="34" t="n">
        <f aca="false">SUMPRODUCT(FC_O*((FC_Mon="PYG")*BY$19+(FC_Mon&lt;&gt;"PYG"))*(1+FC_g)^(BY$17-1)*((FC_Desde=0)*(BY$16+BY$15)+(FC_Desde&gt;=1)*(BY$14&gt;=FC_Desde)*BY$15)*FC_IVA/(1+FC_IVA))</f>
        <v>1792.2377188678</v>
      </c>
      <c r="BZ91" s="34" t="n">
        <f aca="false">SUMPRODUCT(FC_O*((FC_Mon="PYG")*BZ$19+(FC_Mon&lt;&gt;"PYG"))*(1+FC_g)^(BZ$17-1)*((FC_Desde=0)*(BZ$16+BZ$15)+(FC_Desde&gt;=1)*(BZ$14&gt;=FC_Desde)*BZ$15)*FC_IVA/(1+FC_IVA))</f>
        <v>1846.00485043383</v>
      </c>
      <c r="CA91" s="34" t="n">
        <f aca="false">SUMPRODUCT(FC_O*((FC_Mon="PYG")*CA$19+(FC_Mon&lt;&gt;"PYG"))*(1+FC_g)^(CA$17-1)*((FC_Desde=0)*(CA$16+CA$15)+(FC_Desde&gt;=1)*(CA$14&gt;=FC_Desde)*CA$15)*FC_IVA/(1+FC_IVA))</f>
        <v>1846.00485043383</v>
      </c>
      <c r="CB91" s="34" t="n">
        <f aca="false">SUMPRODUCT(FC_O*((FC_Mon="PYG")*CB$19+(FC_Mon&lt;&gt;"PYG"))*(1+FC_g)^(CB$17-1)*((FC_Desde=0)*(CB$16+CB$15)+(FC_Desde&gt;=1)*(CB$14&gt;=FC_Desde)*CB$15)*FC_IVA/(1+FC_IVA))</f>
        <v>1846.00485043383</v>
      </c>
      <c r="CC91" s="34" t="n">
        <f aca="false">SUMPRODUCT(FC_O*((FC_Mon="PYG")*CC$19+(FC_Mon&lt;&gt;"PYG"))*(1+FC_g)^(CC$17-1)*((FC_Desde=0)*(CC$16+CC$15)+(FC_Desde&gt;=1)*(CC$14&gt;=FC_Desde)*CC$15)*FC_IVA/(1+FC_IVA))</f>
        <v>1846.00485043383</v>
      </c>
      <c r="CD91" s="34" t="n">
        <f aca="false">SUMPRODUCT(FC_O*((FC_Mon="PYG")*CD$19+(FC_Mon&lt;&gt;"PYG"))*(1+FC_g)^(CD$17-1)*((FC_Desde=0)*(CD$16+CD$15)+(FC_Desde&gt;=1)*(CD$14&gt;=FC_Desde)*CD$15)*FC_IVA/(1+FC_IVA))</f>
        <v>1846.00485043383</v>
      </c>
      <c r="CE91" s="34" t="n">
        <f aca="false">SUMPRODUCT(FC_O*((FC_Mon="PYG")*CE$19+(FC_Mon&lt;&gt;"PYG"))*(1+FC_g)^(CE$17-1)*((FC_Desde=0)*(CE$16+CE$15)+(FC_Desde&gt;=1)*(CE$14&gt;=FC_Desde)*CE$15)*FC_IVA/(1+FC_IVA))</f>
        <v>1846.00485043383</v>
      </c>
      <c r="CF91" s="34" t="n">
        <f aca="false">SUMPRODUCT(FC_O*((FC_Mon="PYG")*CF$19+(FC_Mon&lt;&gt;"PYG"))*(1+FC_g)^(CF$17-1)*((FC_Desde=0)*(CF$16+CF$15)+(FC_Desde&gt;=1)*(CF$14&gt;=FC_Desde)*CF$15)*FC_IVA/(1+FC_IVA))</f>
        <v>1846.00485043383</v>
      </c>
      <c r="CG91" s="34" t="n">
        <f aca="false">SUMPRODUCT(FC_O*((FC_Mon="PYG")*CG$19+(FC_Mon&lt;&gt;"PYG"))*(1+FC_g)^(CG$17-1)*((FC_Desde=0)*(CG$16+CG$15)+(FC_Desde&gt;=1)*(CG$14&gt;=FC_Desde)*CG$15)*FC_IVA/(1+FC_IVA))</f>
        <v>1846.00485043383</v>
      </c>
      <c r="CH91" s="34" t="n">
        <f aca="false">SUMPRODUCT(FC_O*((FC_Mon="PYG")*CH$19+(FC_Mon&lt;&gt;"PYG"))*(1+FC_g)^(CH$17-1)*((FC_Desde=0)*(CH$16+CH$15)+(FC_Desde&gt;=1)*(CH$14&gt;=FC_Desde)*CH$15)*FC_IVA/(1+FC_IVA))</f>
        <v>1846.00485043383</v>
      </c>
      <c r="CI91" s="34" t="n">
        <f aca="false">SUMPRODUCT(FC_O*((FC_Mon="PYG")*CI$19+(FC_Mon&lt;&gt;"PYG"))*(1+FC_g)^(CI$17-1)*((FC_Desde=0)*(CI$16+CI$15)+(FC_Desde&gt;=1)*(CI$14&gt;=FC_Desde)*CI$15)*FC_IVA/(1+FC_IVA))</f>
        <v>1846.00485043383</v>
      </c>
      <c r="CJ91" s="34" t="n">
        <f aca="false">SUMPRODUCT(FC_O*((FC_Mon="PYG")*CJ$19+(FC_Mon&lt;&gt;"PYG"))*(1+FC_g)^(CJ$17-1)*((FC_Desde=0)*(CJ$16+CJ$15)+(FC_Desde&gt;=1)*(CJ$14&gt;=FC_Desde)*CJ$15)*FC_IVA/(1+FC_IVA))</f>
        <v>1846.00485043383</v>
      </c>
      <c r="CK91" s="34" t="n">
        <f aca="false">SUMPRODUCT(FC_O*((FC_Mon="PYG")*CK$19+(FC_Mon&lt;&gt;"PYG"))*(1+FC_g)^(CK$17-1)*((FC_Desde=0)*(CK$16+CK$15)+(FC_Desde&gt;=1)*(CK$14&gt;=FC_Desde)*CK$15)*FC_IVA/(1+FC_IVA))</f>
        <v>1846.00485043383</v>
      </c>
      <c r="CL91" s="34" t="n">
        <f aca="false">SUMPRODUCT(FC_O*((FC_Mon="PYG")*CL$19+(FC_Mon&lt;&gt;"PYG"))*(1+FC_g)^(CL$17-1)*((FC_Desde=0)*(CL$16+CL$15)+(FC_Desde&gt;=1)*(CL$14&gt;=FC_Desde)*CL$15)*FC_IVA/(1+FC_IVA))</f>
        <v>1901.38499594685</v>
      </c>
      <c r="CM91" s="34" t="n">
        <f aca="false">SUMPRODUCT(FC_O*((FC_Mon="PYG")*CM$19+(FC_Mon&lt;&gt;"PYG"))*(1+FC_g)^(CM$17-1)*((FC_Desde=0)*(CM$16+CM$15)+(FC_Desde&gt;=1)*(CM$14&gt;=FC_Desde)*CM$15)*FC_IVA/(1+FC_IVA))</f>
        <v>1901.38499594685</v>
      </c>
      <c r="CN91" s="34" t="n">
        <f aca="false">SUMPRODUCT(FC_O*((FC_Mon="PYG")*CN$19+(FC_Mon&lt;&gt;"PYG"))*(1+FC_g)^(CN$17-1)*((FC_Desde=0)*(CN$16+CN$15)+(FC_Desde&gt;=1)*(CN$14&gt;=FC_Desde)*CN$15)*FC_IVA/(1+FC_IVA))</f>
        <v>1901.38499594685</v>
      </c>
      <c r="CO91" s="34" t="n">
        <f aca="false">SUMPRODUCT(FC_O*((FC_Mon="PYG")*CO$19+(FC_Mon&lt;&gt;"PYG"))*(1+FC_g)^(CO$17-1)*((FC_Desde=0)*(CO$16+CO$15)+(FC_Desde&gt;=1)*(CO$14&gt;=FC_Desde)*CO$15)*FC_IVA/(1+FC_IVA))</f>
        <v>1901.38499594685</v>
      </c>
      <c r="CP91" s="34" t="n">
        <f aca="false">SUMPRODUCT(FC_O*((FC_Mon="PYG")*CP$19+(FC_Mon&lt;&gt;"PYG"))*(1+FC_g)^(CP$17-1)*((FC_Desde=0)*(CP$16+CP$15)+(FC_Desde&gt;=1)*(CP$14&gt;=FC_Desde)*CP$15)*FC_IVA/(1+FC_IVA))</f>
        <v>1901.38499594685</v>
      </c>
      <c r="CQ91" s="34" t="n">
        <f aca="false">SUMPRODUCT(FC_O*((FC_Mon="PYG")*CQ$19+(FC_Mon&lt;&gt;"PYG"))*(1+FC_g)^(CQ$17-1)*((FC_Desde=0)*(CQ$16+CQ$15)+(FC_Desde&gt;=1)*(CQ$14&gt;=FC_Desde)*CQ$15)*FC_IVA/(1+FC_IVA))</f>
        <v>1901.38499594685</v>
      </c>
      <c r="CR91" s="34" t="n">
        <f aca="false">SUMPRODUCT(FC_O*((FC_Mon="PYG")*CR$19+(FC_Mon&lt;&gt;"PYG"))*(1+FC_g)^(CR$17-1)*((FC_Desde=0)*(CR$16+CR$15)+(FC_Desde&gt;=1)*(CR$14&gt;=FC_Desde)*CR$15)*FC_IVA/(1+FC_IVA))</f>
        <v>1901.38499594685</v>
      </c>
      <c r="CS91" s="34" t="n">
        <f aca="false">SUMPRODUCT(FC_O*((FC_Mon="PYG")*CS$19+(FC_Mon&lt;&gt;"PYG"))*(1+FC_g)^(CS$17-1)*((FC_Desde=0)*(CS$16+CS$15)+(FC_Desde&gt;=1)*(CS$14&gt;=FC_Desde)*CS$15)*FC_IVA/(1+FC_IVA))</f>
        <v>1901.38499594685</v>
      </c>
      <c r="CT91" s="34" t="n">
        <f aca="false">SUMPRODUCT(FC_O*((FC_Mon="PYG")*CT$19+(FC_Mon&lt;&gt;"PYG"))*(1+FC_g)^(CT$17-1)*((FC_Desde=0)*(CT$16+CT$15)+(FC_Desde&gt;=1)*(CT$14&gt;=FC_Desde)*CT$15)*FC_IVA/(1+FC_IVA))</f>
        <v>1901.38499594685</v>
      </c>
      <c r="CU91" s="34" t="n">
        <f aca="false">SUMPRODUCT(FC_O*((FC_Mon="PYG")*CU$19+(FC_Mon&lt;&gt;"PYG"))*(1+FC_g)^(CU$17-1)*((FC_Desde=0)*(CU$16+CU$15)+(FC_Desde&gt;=1)*(CU$14&gt;=FC_Desde)*CU$15)*FC_IVA/(1+FC_IVA))</f>
        <v>1901.38499594685</v>
      </c>
      <c r="CV91" s="34" t="n">
        <f aca="false">SUMPRODUCT(FC_O*((FC_Mon="PYG")*CV$19+(FC_Mon&lt;&gt;"PYG"))*(1+FC_g)^(CV$17-1)*((FC_Desde=0)*(CV$16+CV$15)+(FC_Desde&gt;=1)*(CV$14&gt;=FC_Desde)*CV$15)*FC_IVA/(1+FC_IVA))</f>
        <v>1901.38499594685</v>
      </c>
      <c r="CW91" s="34" t="n">
        <f aca="false">SUMPRODUCT(FC_O*((FC_Mon="PYG")*CW$19+(FC_Mon&lt;&gt;"PYG"))*(1+FC_g)^(CW$17-1)*((FC_Desde=0)*(CW$16+CW$15)+(FC_Desde&gt;=1)*(CW$14&gt;=FC_Desde)*CW$15)*FC_IVA/(1+FC_IVA))</f>
        <v>1901.38499594685</v>
      </c>
      <c r="CX91" s="34" t="n">
        <f aca="false">SUMPRODUCT(FC_O*((FC_Mon="PYG")*CX$19+(FC_Mon&lt;&gt;"PYG"))*(1+FC_g)^(CX$17-1)*((FC_Desde=0)*(CX$16+CX$15)+(FC_Desde&gt;=1)*(CX$14&gt;=FC_Desde)*CX$15)*FC_IVA/(1+FC_IVA))</f>
        <v>1958.42654582525</v>
      </c>
      <c r="CY91" s="34" t="n">
        <f aca="false">SUMPRODUCT(FC_O*((FC_Mon="PYG")*CY$19+(FC_Mon&lt;&gt;"PYG"))*(1+FC_g)^(CY$17-1)*((FC_Desde=0)*(CY$16+CY$15)+(FC_Desde&gt;=1)*(CY$14&gt;=FC_Desde)*CY$15)*FC_IVA/(1+FC_IVA))</f>
        <v>1958.42654582525</v>
      </c>
      <c r="CZ91" s="34" t="n">
        <f aca="false">SUMPRODUCT(FC_O*((FC_Mon="PYG")*CZ$19+(FC_Mon&lt;&gt;"PYG"))*(1+FC_g)^(CZ$17-1)*((FC_Desde=0)*(CZ$16+CZ$15)+(FC_Desde&gt;=1)*(CZ$14&gt;=FC_Desde)*CZ$15)*FC_IVA/(1+FC_IVA))</f>
        <v>1958.42654582525</v>
      </c>
      <c r="DA91" s="34" t="n">
        <f aca="false">SUMPRODUCT(FC_O*((FC_Mon="PYG")*DA$19+(FC_Mon&lt;&gt;"PYG"))*(1+FC_g)^(DA$17-1)*((FC_Desde=0)*(DA$16+DA$15)+(FC_Desde&gt;=1)*(DA$14&gt;=FC_Desde)*DA$15)*FC_IVA/(1+FC_IVA))</f>
        <v>1958.42654582525</v>
      </c>
      <c r="DB91" s="34" t="n">
        <f aca="false">SUMPRODUCT(FC_O*((FC_Mon="PYG")*DB$19+(FC_Mon&lt;&gt;"PYG"))*(1+FC_g)^(DB$17-1)*((FC_Desde=0)*(DB$16+DB$15)+(FC_Desde&gt;=1)*(DB$14&gt;=FC_Desde)*DB$15)*FC_IVA/(1+FC_IVA))</f>
        <v>1958.42654582525</v>
      </c>
      <c r="DC91" s="34" t="n">
        <f aca="false">SUMPRODUCT(FC_O*((FC_Mon="PYG")*DC$19+(FC_Mon&lt;&gt;"PYG"))*(1+FC_g)^(DC$17-1)*((FC_Desde=0)*(DC$16+DC$15)+(FC_Desde&gt;=1)*(DC$14&gt;=FC_Desde)*DC$15)*FC_IVA/(1+FC_IVA))</f>
        <v>1958.42654582525</v>
      </c>
      <c r="DD91" s="34" t="n">
        <f aca="false">SUMPRODUCT(FC_O*((FC_Mon="PYG")*DD$19+(FC_Mon&lt;&gt;"PYG"))*(1+FC_g)^(DD$17-1)*((FC_Desde=0)*(DD$16+DD$15)+(FC_Desde&gt;=1)*(DD$14&gt;=FC_Desde)*DD$15)*FC_IVA/(1+FC_IVA))</f>
        <v>1958.42654582525</v>
      </c>
      <c r="DE91" s="34" t="n">
        <f aca="false">SUMPRODUCT(FC_O*((FC_Mon="PYG")*DE$19+(FC_Mon&lt;&gt;"PYG"))*(1+FC_g)^(DE$17-1)*((FC_Desde=0)*(DE$16+DE$15)+(FC_Desde&gt;=1)*(DE$14&gt;=FC_Desde)*DE$15)*FC_IVA/(1+FC_IVA))</f>
        <v>1958.42654582525</v>
      </c>
      <c r="DF91" s="34" t="n">
        <f aca="false">SUMPRODUCT(FC_O*((FC_Mon="PYG")*DF$19+(FC_Mon&lt;&gt;"PYG"))*(1+FC_g)^(DF$17-1)*((FC_Desde=0)*(DF$16+DF$15)+(FC_Desde&gt;=1)*(DF$14&gt;=FC_Desde)*DF$15)*FC_IVA/(1+FC_IVA))</f>
        <v>1958.42654582525</v>
      </c>
      <c r="DG91" s="34" t="n">
        <f aca="false">SUMPRODUCT(FC_O*((FC_Mon="PYG")*DG$19+(FC_Mon&lt;&gt;"PYG"))*(1+FC_g)^(DG$17-1)*((FC_Desde=0)*(DG$16+DG$15)+(FC_Desde&gt;=1)*(DG$14&gt;=FC_Desde)*DG$15)*FC_IVA/(1+FC_IVA))</f>
        <v>1958.42654582525</v>
      </c>
      <c r="DH91" s="34" t="n">
        <f aca="false">SUMPRODUCT(FC_O*((FC_Mon="PYG")*DH$19+(FC_Mon&lt;&gt;"PYG"))*(1+FC_g)^(DH$17-1)*((FC_Desde=0)*(DH$16+DH$15)+(FC_Desde&gt;=1)*(DH$14&gt;=FC_Desde)*DH$15)*FC_IVA/(1+FC_IVA))</f>
        <v>1958.42654582525</v>
      </c>
      <c r="DI91" s="34" t="n">
        <f aca="false">SUMPRODUCT(FC_O*((FC_Mon="PYG")*DI$19+(FC_Mon&lt;&gt;"PYG"))*(1+FC_g)^(DI$17-1)*((FC_Desde=0)*(DI$16+DI$15)+(FC_Desde&gt;=1)*(DI$14&gt;=FC_Desde)*DI$15)*FC_IVA/(1+FC_IVA))</f>
        <v>1958.42654582525</v>
      </c>
      <c r="DJ91" s="34" t="n">
        <f aca="false">SUMPRODUCT(FC_O*((FC_Mon="PYG")*DJ$19+(FC_Mon&lt;&gt;"PYG"))*(1+FC_g)^(DJ$17-1)*((FC_Desde=0)*(DJ$16+DJ$15)+(FC_Desde&gt;=1)*(DJ$14&gt;=FC_Desde)*DJ$15)*FC_IVA/(1+FC_IVA))</f>
        <v>2017.17934220001</v>
      </c>
      <c r="DK91" s="34" t="n">
        <f aca="false">SUMPRODUCT(FC_O*((FC_Mon="PYG")*DK$19+(FC_Mon&lt;&gt;"PYG"))*(1+FC_g)^(DK$17-1)*((FC_Desde=0)*(DK$16+DK$15)+(FC_Desde&gt;=1)*(DK$14&gt;=FC_Desde)*DK$15)*FC_IVA/(1+FC_IVA))</f>
        <v>2017.17934220001</v>
      </c>
      <c r="DL91" s="34" t="n">
        <f aca="false">SUMPRODUCT(FC_O*((FC_Mon="PYG")*DL$19+(FC_Mon&lt;&gt;"PYG"))*(1+FC_g)^(DL$17-1)*((FC_Desde=0)*(DL$16+DL$15)+(FC_Desde&gt;=1)*(DL$14&gt;=FC_Desde)*DL$15)*FC_IVA/(1+FC_IVA))</f>
        <v>2017.17934220001</v>
      </c>
      <c r="DM91" s="34" t="n">
        <f aca="false">SUMPRODUCT(FC_O*((FC_Mon="PYG")*DM$19+(FC_Mon&lt;&gt;"PYG"))*(1+FC_g)^(DM$17-1)*((FC_Desde=0)*(DM$16+DM$15)+(FC_Desde&gt;=1)*(DM$14&gt;=FC_Desde)*DM$15)*FC_IVA/(1+FC_IVA))</f>
        <v>2017.17934220001</v>
      </c>
      <c r="DN91" s="34" t="n">
        <f aca="false">SUMPRODUCT(FC_O*((FC_Mon="PYG")*DN$19+(FC_Mon&lt;&gt;"PYG"))*(1+FC_g)^(DN$17-1)*((FC_Desde=0)*(DN$16+DN$15)+(FC_Desde&gt;=1)*(DN$14&gt;=FC_Desde)*DN$15)*FC_IVA/(1+FC_IVA))</f>
        <v>2017.17934220001</v>
      </c>
      <c r="DO91" s="34" t="n">
        <f aca="false">SUMPRODUCT(FC_O*((FC_Mon="PYG")*DO$19+(FC_Mon&lt;&gt;"PYG"))*(1+FC_g)^(DO$17-1)*((FC_Desde=0)*(DO$16+DO$15)+(FC_Desde&gt;=1)*(DO$14&gt;=FC_Desde)*DO$15)*FC_IVA/(1+FC_IVA))</f>
        <v>2017.17934220001</v>
      </c>
      <c r="DP91" s="34" t="n">
        <f aca="false">SUMPRODUCT(FC_O*((FC_Mon="PYG")*DP$19+(FC_Mon&lt;&gt;"PYG"))*(1+FC_g)^(DP$17-1)*((FC_Desde=0)*(DP$16+DP$15)+(FC_Desde&gt;=1)*(DP$14&gt;=FC_Desde)*DP$15)*FC_IVA/(1+FC_IVA))</f>
        <v>2017.17934220001</v>
      </c>
      <c r="DQ91" s="34" t="n">
        <f aca="false">SUMPRODUCT(FC_O*((FC_Mon="PYG")*DQ$19+(FC_Mon&lt;&gt;"PYG"))*(1+FC_g)^(DQ$17-1)*((FC_Desde=0)*(DQ$16+DQ$15)+(FC_Desde&gt;=1)*(DQ$14&gt;=FC_Desde)*DQ$15)*FC_IVA/(1+FC_IVA))</f>
        <v>2017.17934220001</v>
      </c>
      <c r="DR91" s="34" t="n">
        <f aca="false">SUMPRODUCT(FC_O*((FC_Mon="PYG")*DR$19+(FC_Mon&lt;&gt;"PYG"))*(1+FC_g)^(DR$17-1)*((FC_Desde=0)*(DR$16+DR$15)+(FC_Desde&gt;=1)*(DR$14&gt;=FC_Desde)*DR$15)*FC_IVA/(1+FC_IVA))</f>
        <v>2017.17934220001</v>
      </c>
      <c r="DS91" s="34" t="n">
        <f aca="false">SUMPRODUCT(FC_O*((FC_Mon="PYG")*DS$19+(FC_Mon&lt;&gt;"PYG"))*(1+FC_g)^(DS$17-1)*((FC_Desde=0)*(DS$16+DS$15)+(FC_Desde&gt;=1)*(DS$14&gt;=FC_Desde)*DS$15)*FC_IVA/(1+FC_IVA))</f>
        <v>2017.17934220001</v>
      </c>
      <c r="DT91" s="34" t="n">
        <f aca="false">SUMPRODUCT(FC_O*((FC_Mon="PYG")*DT$19+(FC_Mon&lt;&gt;"PYG"))*(1+FC_g)^(DT$17-1)*((FC_Desde=0)*(DT$16+DT$15)+(FC_Desde&gt;=1)*(DT$14&gt;=FC_Desde)*DT$15)*FC_IVA/(1+FC_IVA))</f>
        <v>2017.17934220001</v>
      </c>
      <c r="DU91" s="34" t="n">
        <f aca="false">SUMPRODUCT(FC_O*((FC_Mon="PYG")*DU$19+(FC_Mon&lt;&gt;"PYG"))*(1+FC_g)^(DU$17-1)*((FC_Desde=0)*(DU$16+DU$15)+(FC_Desde&gt;=1)*(DU$14&gt;=FC_Desde)*DU$15)*FC_IVA/(1+FC_IVA))</f>
        <v>2017.17934220001</v>
      </c>
      <c r="DV91" s="34" t="n">
        <f aca="false">SUMPRODUCT(FC_O*((FC_Mon="PYG")*DV$19+(FC_Mon&lt;&gt;"PYG"))*(1+FC_g)^(DV$17-1)*((FC_Desde=0)*(DV$16+DV$15)+(FC_Desde&gt;=1)*(DV$14&gt;=FC_Desde)*DV$15)*FC_IVA/(1+FC_IVA))</f>
        <v>0</v>
      </c>
      <c r="DW91" s="34" t="n">
        <f aca="false">SUMPRODUCT(FC_O*((FC_Mon="PYG")*DW$19+(FC_Mon&lt;&gt;"PYG"))*(1+FC_g)^(DW$17-1)*((FC_Desde=0)*(DW$16+DW$15)+(FC_Desde&gt;=1)*(DW$14&gt;=FC_Desde)*DW$15)*FC_IVA/(1+FC_IVA))</f>
        <v>0</v>
      </c>
      <c r="DX91" s="34" t="n">
        <f aca="false">SUMPRODUCT(FC_O*((FC_Mon="PYG")*DX$19+(FC_Mon&lt;&gt;"PYG"))*(1+FC_g)^(DX$17-1)*((FC_Desde=0)*(DX$16+DX$15)+(FC_Desde&gt;=1)*(DX$14&gt;=FC_Desde)*DX$15)*FC_IVA/(1+FC_IVA))</f>
        <v>0</v>
      </c>
      <c r="DY91" s="34" t="n">
        <f aca="false">SUMPRODUCT(FC_O*((FC_Mon="PYG")*DY$19+(FC_Mon&lt;&gt;"PYG"))*(1+FC_g)^(DY$17-1)*((FC_Desde=0)*(DY$16+DY$15)+(FC_Desde&gt;=1)*(DY$14&gt;=FC_Desde)*DY$15)*FC_IVA/(1+FC_IVA))</f>
        <v>0</v>
      </c>
      <c r="DZ91" s="34" t="n">
        <f aca="false">SUMPRODUCT(FC_O*((FC_Mon="PYG")*DZ$19+(FC_Mon&lt;&gt;"PYG"))*(1+FC_g)^(DZ$17-1)*((FC_Desde=0)*(DZ$16+DZ$15)+(FC_Desde&gt;=1)*(DZ$14&gt;=FC_Desde)*DZ$15)*FC_IVA/(1+FC_IVA))</f>
        <v>0</v>
      </c>
      <c r="EA91" s="34" t="n">
        <f aca="false">SUMPRODUCT(FC_O*((FC_Mon="PYG")*EA$19+(FC_Mon&lt;&gt;"PYG"))*(1+FC_g)^(EA$17-1)*((FC_Desde=0)*(EA$16+EA$15)+(FC_Desde&gt;=1)*(EA$14&gt;=FC_Desde)*EA$15)*FC_IVA/(1+FC_IVA))</f>
        <v>0</v>
      </c>
      <c r="EB91" s="34" t="n">
        <f aca="false">SUMPRODUCT(FC_O*((FC_Mon="PYG")*EB$19+(FC_Mon&lt;&gt;"PYG"))*(1+FC_g)^(EB$17-1)*((FC_Desde=0)*(EB$16+EB$15)+(FC_Desde&gt;=1)*(EB$14&gt;=FC_Desde)*EB$15)*FC_IVA/(1+FC_IVA))</f>
        <v>0</v>
      </c>
      <c r="EC91" s="34" t="n">
        <f aca="false">SUMPRODUCT(FC_O*((FC_Mon="PYG")*EC$19+(FC_Mon&lt;&gt;"PYG"))*(1+FC_g)^(EC$17-1)*((FC_Desde=0)*(EC$16+EC$15)+(FC_Desde&gt;=1)*(EC$14&gt;=FC_Desde)*EC$15)*FC_IVA/(1+FC_IVA))</f>
        <v>0</v>
      </c>
      <c r="ED91" s="34" t="n">
        <f aca="false">SUMPRODUCT(FC_O*((FC_Mon="PYG")*ED$19+(FC_Mon&lt;&gt;"PYG"))*(1+FC_g)^(ED$17-1)*((FC_Desde=0)*(ED$16+ED$15)+(FC_Desde&gt;=1)*(ED$14&gt;=FC_Desde)*ED$15)*FC_IVA/(1+FC_IVA))</f>
        <v>0</v>
      </c>
      <c r="EE91" s="34" t="n">
        <f aca="false">SUMPRODUCT(FC_O*((FC_Mon="PYG")*EE$19+(FC_Mon&lt;&gt;"PYG"))*(1+FC_g)^(EE$17-1)*((FC_Desde=0)*(EE$16+EE$15)+(FC_Desde&gt;=1)*(EE$14&gt;=FC_Desde)*EE$15)*FC_IVA/(1+FC_IVA))</f>
        <v>0</v>
      </c>
      <c r="EF91" s="34" t="n">
        <f aca="false">SUMPRODUCT(FC_O*((FC_Mon="PYG")*EF$19+(FC_Mon&lt;&gt;"PYG"))*(1+FC_g)^(EF$17-1)*((FC_Desde=0)*(EF$16+EF$15)+(FC_Desde&gt;=1)*(EF$14&gt;=FC_Desde)*EF$15)*FC_IVA/(1+FC_IVA))</f>
        <v>0</v>
      </c>
      <c r="EG91" s="34" t="n">
        <f aca="false">SUMPRODUCT(FC_O*((FC_Mon="PYG")*EG$19+(FC_Mon&lt;&gt;"PYG"))*(1+FC_g)^(EG$17-1)*((FC_Desde=0)*(EG$16+EG$15)+(FC_Desde&gt;=1)*(EG$14&gt;=FC_Desde)*EG$15)*FC_IVA/(1+FC_IVA))</f>
        <v>0</v>
      </c>
      <c r="EH91" s="34" t="n">
        <f aca="false">SUMPRODUCT(FC_O*((FC_Mon="PYG")*EH$19+(FC_Mon&lt;&gt;"PYG"))*(1+FC_g)^(EH$17-1)*((FC_Desde=0)*(EH$16+EH$15)+(FC_Desde&gt;=1)*(EH$14&gt;=FC_Desde)*EH$15)*FC_IVA/(1+FC_IVA))</f>
        <v>0</v>
      </c>
      <c r="EI91" s="34" t="n">
        <f aca="false">SUMPRODUCT(FC_O*((FC_Mon="PYG")*EI$19+(FC_Mon&lt;&gt;"PYG"))*(1+FC_g)^(EI$17-1)*((FC_Desde=0)*(EI$16+EI$15)+(FC_Desde&gt;=1)*(EI$14&gt;=FC_Desde)*EI$15)*FC_IVA/(1+FC_IVA))</f>
        <v>0</v>
      </c>
      <c r="EJ91" s="34" t="n">
        <f aca="false">SUMPRODUCT(FC_O*((FC_Mon="PYG")*EJ$19+(FC_Mon&lt;&gt;"PYG"))*(1+FC_g)^(EJ$17-1)*((FC_Desde=0)*(EJ$16+EJ$15)+(FC_Desde&gt;=1)*(EJ$14&gt;=FC_Desde)*EJ$15)*FC_IVA/(1+FC_IVA))</f>
        <v>0</v>
      </c>
      <c r="EK91" s="34" t="n">
        <f aca="false">SUMPRODUCT(FC_O*((FC_Mon="PYG")*EK$19+(FC_Mon&lt;&gt;"PYG"))*(1+FC_g)^(EK$17-1)*((FC_Desde=0)*(EK$16+EK$15)+(FC_Desde&gt;=1)*(EK$14&gt;=FC_Desde)*EK$15)*FC_IVA/(1+FC_IVA))</f>
        <v>0</v>
      </c>
      <c r="EL91" s="34" t="n">
        <f aca="false">SUMPRODUCT(FC_O*((FC_Mon="PYG")*EL$19+(FC_Mon&lt;&gt;"PYG"))*(1+FC_g)^(EL$17-1)*((FC_Desde=0)*(EL$16+EL$15)+(FC_Desde&gt;=1)*(EL$14&gt;=FC_Desde)*EL$15)*FC_IVA/(1+FC_IVA))</f>
        <v>0</v>
      </c>
      <c r="EM91" s="34" t="n">
        <f aca="false">SUMPRODUCT(FC_O*((FC_Mon="PYG")*EM$19+(FC_Mon&lt;&gt;"PYG"))*(1+FC_g)^(EM$17-1)*((FC_Desde=0)*(EM$16+EM$15)+(FC_Desde&gt;=1)*(EM$14&gt;=FC_Desde)*EM$15)*FC_IVA/(1+FC_IVA))</f>
        <v>0</v>
      </c>
      <c r="EN91" s="34" t="n">
        <f aca="false">SUMPRODUCT(FC_O*((FC_Mon="PYG")*EN$19+(FC_Mon&lt;&gt;"PYG"))*(1+FC_g)^(EN$17-1)*((FC_Desde=0)*(EN$16+EN$15)+(FC_Desde&gt;=1)*(EN$14&gt;=FC_Desde)*EN$15)*FC_IVA/(1+FC_IVA))</f>
        <v>0</v>
      </c>
      <c r="EO91" s="34" t="n">
        <f aca="false">SUMPRODUCT(FC_O*((FC_Mon="PYG")*EO$19+(FC_Mon&lt;&gt;"PYG"))*(1+FC_g)^(EO$17-1)*((FC_Desde=0)*(EO$16+EO$15)+(FC_Desde&gt;=1)*(EO$14&gt;=FC_Desde)*EO$15)*FC_IVA/(1+FC_IVA))</f>
        <v>0</v>
      </c>
      <c r="EP91" s="34" t="n">
        <f aca="false">SUMPRODUCT(FC_O*((FC_Mon="PYG")*EP$19+(FC_Mon&lt;&gt;"PYG"))*(1+FC_g)^(EP$17-1)*((FC_Desde=0)*(EP$16+EP$15)+(FC_Desde&gt;=1)*(EP$14&gt;=FC_Desde)*EP$15)*FC_IVA/(1+FC_IVA))</f>
        <v>0</v>
      </c>
      <c r="EQ91" s="34" t="n">
        <f aca="false">SUMPRODUCT(FC_O*((FC_Mon="PYG")*EQ$19+(FC_Mon&lt;&gt;"PYG"))*(1+FC_g)^(EQ$17-1)*((FC_Desde=0)*(EQ$16+EQ$15)+(FC_Desde&gt;=1)*(EQ$14&gt;=FC_Desde)*EQ$15)*FC_IVA/(1+FC_IVA))</f>
        <v>0</v>
      </c>
      <c r="ER91" s="34" t="n">
        <f aca="false">SUMPRODUCT(FC_O*((FC_Mon="PYG")*ER$19+(FC_Mon&lt;&gt;"PYG"))*(1+FC_g)^(ER$17-1)*((FC_Desde=0)*(ER$16+ER$15)+(FC_Desde&gt;=1)*(ER$14&gt;=FC_Desde)*ER$15)*FC_IVA/(1+FC_IVA))</f>
        <v>0</v>
      </c>
      <c r="ES91" s="34" t="n">
        <f aca="false">SUMPRODUCT(FC_O*((FC_Mon="PYG")*ES$19+(FC_Mon&lt;&gt;"PYG"))*(1+FC_g)^(ES$17-1)*((FC_Desde=0)*(ES$16+ES$15)+(FC_Desde&gt;=1)*(ES$14&gt;=FC_Desde)*ES$15)*FC_IVA/(1+FC_IVA))</f>
        <v>0</v>
      </c>
    </row>
    <row r="92" customFormat="false" ht="15" hidden="false" customHeight="false" outlineLevel="0" collapsed="false">
      <c r="A92" s="4"/>
      <c r="B92" s="3" t="s">
        <v>675</v>
      </c>
      <c r="C92" s="4"/>
      <c r="D92" s="4"/>
      <c r="E92" s="4"/>
    </row>
    <row r="93" customFormat="false" ht="15" hidden="false" customHeight="false" outlineLevel="0" collapsed="false">
      <c r="A93" s="2" t="s">
        <v>676</v>
      </c>
      <c r="B93" s="6" t="s">
        <v>677</v>
      </c>
      <c r="C93" s="6" t="s">
        <v>250</v>
      </c>
      <c r="E93" s="40" t="n">
        <f aca="false">SUM(F93:ES93)</f>
        <v>39318093.38356</v>
      </c>
      <c r="F93" s="34" t="n">
        <f aca="false">F$73+F$74</f>
        <v>199172.5</v>
      </c>
      <c r="G93" s="34" t="n">
        <f aca="false">G$73+G$74</f>
        <v>199172.5</v>
      </c>
      <c r="H93" s="34" t="n">
        <f aca="false">H$73+H$74</f>
        <v>199172.5</v>
      </c>
      <c r="I93" s="34" t="n">
        <f aca="false">I$73+I$74</f>
        <v>199172.5</v>
      </c>
      <c r="J93" s="34" t="n">
        <f aca="false">J$73+J$74</f>
        <v>199172.5</v>
      </c>
      <c r="K93" s="34" t="n">
        <f aca="false">K$73+K$74</f>
        <v>199172.5</v>
      </c>
      <c r="L93" s="34" t="n">
        <f aca="false">L$73+L$74</f>
        <v>199172.5</v>
      </c>
      <c r="M93" s="34" t="n">
        <f aca="false">M$73+M$74</f>
        <v>199172.5</v>
      </c>
      <c r="N93" s="34" t="n">
        <f aca="false">N$73+N$74</f>
        <v>199172.5</v>
      </c>
      <c r="O93" s="34" t="n">
        <f aca="false">O$73+O$74</f>
        <v>199172.5</v>
      </c>
      <c r="P93" s="34" t="n">
        <f aca="false">P$73+P$74</f>
        <v>199172.5</v>
      </c>
      <c r="Q93" s="34" t="n">
        <f aca="false">Q$73+Q$74</f>
        <v>199172.5</v>
      </c>
      <c r="R93" s="34" t="n">
        <f aca="false">R$73+R$74</f>
        <v>253108.875</v>
      </c>
      <c r="S93" s="34" t="n">
        <f aca="false">S$73+S$74</f>
        <v>253108.875</v>
      </c>
      <c r="T93" s="34" t="n">
        <f aca="false">T$73+T$74</f>
        <v>253108.875</v>
      </c>
      <c r="U93" s="34" t="n">
        <f aca="false">U$73+U$74</f>
        <v>253108.875</v>
      </c>
      <c r="V93" s="34" t="n">
        <f aca="false">V$73+V$74</f>
        <v>253108.875</v>
      </c>
      <c r="W93" s="34" t="n">
        <f aca="false">W$73+W$74</f>
        <v>253108.875</v>
      </c>
      <c r="X93" s="34" t="n">
        <f aca="false">X$73+X$74</f>
        <v>253108.875</v>
      </c>
      <c r="Y93" s="34" t="n">
        <f aca="false">Y$73+Y$74</f>
        <v>253108.875</v>
      </c>
      <c r="Z93" s="34" t="n">
        <f aca="false">Z$73+Z$74</f>
        <v>253108.875</v>
      </c>
      <c r="AA93" s="34" t="n">
        <f aca="false">AA$73+AA$74</f>
        <v>253108.875</v>
      </c>
      <c r="AB93" s="34" t="n">
        <f aca="false">AB$73+AB$74</f>
        <v>253108.875</v>
      </c>
      <c r="AC93" s="34" t="n">
        <f aca="false">AC$73+AC$74</f>
        <v>253108.875</v>
      </c>
      <c r="AD93" s="34" t="n">
        <f aca="false">AD$73+AD$74</f>
        <v>307724.69</v>
      </c>
      <c r="AE93" s="34" t="n">
        <f aca="false">AE$73+AE$74</f>
        <v>307724.69</v>
      </c>
      <c r="AF93" s="34" t="n">
        <f aca="false">AF$73+AF$74</f>
        <v>307724.69</v>
      </c>
      <c r="AG93" s="34" t="n">
        <f aca="false">AG$73+AG$74</f>
        <v>307724.69</v>
      </c>
      <c r="AH93" s="34" t="n">
        <f aca="false">AH$73+AH$74</f>
        <v>307724.69</v>
      </c>
      <c r="AI93" s="34" t="n">
        <f aca="false">AI$73+AI$74</f>
        <v>307724.69</v>
      </c>
      <c r="AJ93" s="34" t="n">
        <f aca="false">AJ$73+AJ$74</f>
        <v>307724.69</v>
      </c>
      <c r="AK93" s="34" t="n">
        <f aca="false">AK$73+AK$74</f>
        <v>307724.69</v>
      </c>
      <c r="AL93" s="34" t="n">
        <f aca="false">AL$73+AL$74</f>
        <v>307724.69</v>
      </c>
      <c r="AM93" s="34" t="n">
        <f aca="false">AM$73+AM$74</f>
        <v>307724.69</v>
      </c>
      <c r="AN93" s="34" t="n">
        <f aca="false">AN$73+AN$74</f>
        <v>307724.69</v>
      </c>
      <c r="AO93" s="34" t="n">
        <f aca="false">AO$73+AO$74</f>
        <v>307724.69</v>
      </c>
      <c r="AP93" s="34" t="n">
        <f aca="false">AP$73+AP$74</f>
        <v>352625.4649875</v>
      </c>
      <c r="AQ93" s="34" t="n">
        <f aca="false">AQ$73+AQ$74</f>
        <v>352625.4649875</v>
      </c>
      <c r="AR93" s="34" t="n">
        <f aca="false">AR$73+AR$74</f>
        <v>352625.4649875</v>
      </c>
      <c r="AS93" s="34" t="n">
        <f aca="false">AS$73+AS$74</f>
        <v>352625.4649875</v>
      </c>
      <c r="AT93" s="34" t="n">
        <f aca="false">AT$73+AT$74</f>
        <v>352625.4649875</v>
      </c>
      <c r="AU93" s="34" t="n">
        <f aca="false">AU$73+AU$74</f>
        <v>352625.4649875</v>
      </c>
      <c r="AV93" s="34" t="n">
        <f aca="false">AV$73+AV$74</f>
        <v>352625.4649875</v>
      </c>
      <c r="AW93" s="34" t="n">
        <f aca="false">AW$73+AW$74</f>
        <v>352625.4649875</v>
      </c>
      <c r="AX93" s="34" t="n">
        <f aca="false">AX$73+AX$74</f>
        <v>352625.4649875</v>
      </c>
      <c r="AY93" s="34" t="n">
        <f aca="false">AY$73+AY$74</f>
        <v>352625.4649875</v>
      </c>
      <c r="AZ93" s="34" t="n">
        <f aca="false">AZ$73+AZ$74</f>
        <v>352625.4649875</v>
      </c>
      <c r="BA93" s="34" t="n">
        <f aca="false">BA$73+BA$74</f>
        <v>352625.4649875</v>
      </c>
      <c r="BB93" s="34" t="n">
        <f aca="false">BB$73+BB$74</f>
        <v>354879.119637375</v>
      </c>
      <c r="BC93" s="34" t="n">
        <f aca="false">BC$73+BC$74</f>
        <v>354879.119637375</v>
      </c>
      <c r="BD93" s="34" t="n">
        <f aca="false">BD$73+BD$74</f>
        <v>354879.119637375</v>
      </c>
      <c r="BE93" s="34" t="n">
        <f aca="false">BE$73+BE$74</f>
        <v>354879.119637375</v>
      </c>
      <c r="BF93" s="34" t="n">
        <f aca="false">BF$73+BF$74</f>
        <v>354879.119637375</v>
      </c>
      <c r="BG93" s="34" t="n">
        <f aca="false">BG$73+BG$74</f>
        <v>354879.119637375</v>
      </c>
      <c r="BH93" s="34" t="n">
        <f aca="false">BH$73+BH$74</f>
        <v>354879.119637375</v>
      </c>
      <c r="BI93" s="34" t="n">
        <f aca="false">BI$73+BI$74</f>
        <v>354879.119637375</v>
      </c>
      <c r="BJ93" s="34" t="n">
        <f aca="false">BJ$73+BJ$74</f>
        <v>354879.119637375</v>
      </c>
      <c r="BK93" s="34" t="n">
        <f aca="false">BK$73+BK$74</f>
        <v>354879.119637375</v>
      </c>
      <c r="BL93" s="34" t="n">
        <f aca="false">BL$73+BL$74</f>
        <v>354879.119637375</v>
      </c>
      <c r="BM93" s="34" t="n">
        <f aca="false">BM$73+BM$74</f>
        <v>354879.119637375</v>
      </c>
      <c r="BN93" s="34" t="n">
        <f aca="false">BN$73+BN$74</f>
        <v>357155.310833749</v>
      </c>
      <c r="BO93" s="34" t="n">
        <f aca="false">BO$73+BO$74</f>
        <v>357155.310833749</v>
      </c>
      <c r="BP93" s="34" t="n">
        <f aca="false">BP$73+BP$74</f>
        <v>357155.310833749</v>
      </c>
      <c r="BQ93" s="34" t="n">
        <f aca="false">BQ$73+BQ$74</f>
        <v>357155.310833749</v>
      </c>
      <c r="BR93" s="34" t="n">
        <f aca="false">BR$73+BR$74</f>
        <v>357155.310833749</v>
      </c>
      <c r="BS93" s="34" t="n">
        <f aca="false">BS$73+BS$74</f>
        <v>357155.310833749</v>
      </c>
      <c r="BT93" s="34" t="n">
        <f aca="false">BT$73+BT$74</f>
        <v>357155.310833749</v>
      </c>
      <c r="BU93" s="34" t="n">
        <f aca="false">BU$73+BU$74</f>
        <v>357155.310833749</v>
      </c>
      <c r="BV93" s="34" t="n">
        <f aca="false">BV$73+BV$74</f>
        <v>357155.310833749</v>
      </c>
      <c r="BW93" s="34" t="n">
        <f aca="false">BW$73+BW$74</f>
        <v>357155.310833749</v>
      </c>
      <c r="BX93" s="34" t="n">
        <f aca="false">BX$73+BX$74</f>
        <v>357155.310833749</v>
      </c>
      <c r="BY93" s="34" t="n">
        <f aca="false">BY$73+BY$74</f>
        <v>357155.310833749</v>
      </c>
      <c r="BZ93" s="34" t="n">
        <f aca="false">BZ$73+BZ$74</f>
        <v>359454.263942086</v>
      </c>
      <c r="CA93" s="34" t="n">
        <f aca="false">CA$73+CA$74</f>
        <v>359454.263942086</v>
      </c>
      <c r="CB93" s="34" t="n">
        <f aca="false">CB$73+CB$74</f>
        <v>359454.263942086</v>
      </c>
      <c r="CC93" s="34" t="n">
        <f aca="false">CC$73+CC$74</f>
        <v>359454.263942086</v>
      </c>
      <c r="CD93" s="34" t="n">
        <f aca="false">CD$73+CD$74</f>
        <v>359454.263942086</v>
      </c>
      <c r="CE93" s="34" t="n">
        <f aca="false">CE$73+CE$74</f>
        <v>359454.263942086</v>
      </c>
      <c r="CF93" s="34" t="n">
        <f aca="false">CF$73+CF$74</f>
        <v>359454.263942086</v>
      </c>
      <c r="CG93" s="34" t="n">
        <f aca="false">CG$73+CG$74</f>
        <v>359454.263942086</v>
      </c>
      <c r="CH93" s="34" t="n">
        <f aca="false">CH$73+CH$74</f>
        <v>359454.263942086</v>
      </c>
      <c r="CI93" s="34" t="n">
        <f aca="false">CI$73+CI$74</f>
        <v>359454.263942086</v>
      </c>
      <c r="CJ93" s="34" t="n">
        <f aca="false">CJ$73+CJ$74</f>
        <v>359454.263942086</v>
      </c>
      <c r="CK93" s="34" t="n">
        <f aca="false">CK$73+CK$74</f>
        <v>359454.263942086</v>
      </c>
      <c r="CL93" s="34" t="n">
        <f aca="false">CL$73+CL$74</f>
        <v>361776.206581507</v>
      </c>
      <c r="CM93" s="34" t="n">
        <f aca="false">CM$73+CM$74</f>
        <v>361776.206581507</v>
      </c>
      <c r="CN93" s="34" t="n">
        <f aca="false">CN$73+CN$74</f>
        <v>361776.206581507</v>
      </c>
      <c r="CO93" s="34" t="n">
        <f aca="false">CO$73+CO$74</f>
        <v>361776.206581507</v>
      </c>
      <c r="CP93" s="34" t="n">
        <f aca="false">CP$73+CP$74</f>
        <v>361776.206581507</v>
      </c>
      <c r="CQ93" s="34" t="n">
        <f aca="false">CQ$73+CQ$74</f>
        <v>361776.206581507</v>
      </c>
      <c r="CR93" s="34" t="n">
        <f aca="false">CR$73+CR$74</f>
        <v>361776.206581507</v>
      </c>
      <c r="CS93" s="34" t="n">
        <f aca="false">CS$73+CS$74</f>
        <v>361776.206581507</v>
      </c>
      <c r="CT93" s="34" t="n">
        <f aca="false">CT$73+CT$74</f>
        <v>361776.206581507</v>
      </c>
      <c r="CU93" s="34" t="n">
        <f aca="false">CU$73+CU$74</f>
        <v>361776.206581507</v>
      </c>
      <c r="CV93" s="34" t="n">
        <f aca="false">CV$73+CV$74</f>
        <v>361776.206581507</v>
      </c>
      <c r="CW93" s="34" t="n">
        <f aca="false">CW$73+CW$74</f>
        <v>361776.206581507</v>
      </c>
      <c r="CX93" s="34" t="n">
        <f aca="false">CX$73+CX$74</f>
        <v>364121.368647322</v>
      </c>
      <c r="CY93" s="34" t="n">
        <f aca="false">CY$73+CY$74</f>
        <v>364121.368647322</v>
      </c>
      <c r="CZ93" s="34" t="n">
        <f aca="false">CZ$73+CZ$74</f>
        <v>364121.368647322</v>
      </c>
      <c r="DA93" s="34" t="n">
        <f aca="false">DA$73+DA$74</f>
        <v>364121.368647322</v>
      </c>
      <c r="DB93" s="34" t="n">
        <f aca="false">DB$73+DB$74</f>
        <v>364121.368647322</v>
      </c>
      <c r="DC93" s="34" t="n">
        <f aca="false">DC$73+DC$74</f>
        <v>364121.368647322</v>
      </c>
      <c r="DD93" s="34" t="n">
        <f aca="false">DD$73+DD$74</f>
        <v>364121.368647322</v>
      </c>
      <c r="DE93" s="34" t="n">
        <f aca="false">DE$73+DE$74</f>
        <v>364121.368647322</v>
      </c>
      <c r="DF93" s="34" t="n">
        <f aca="false">DF$73+DF$74</f>
        <v>364121.368647322</v>
      </c>
      <c r="DG93" s="34" t="n">
        <f aca="false">DG$73+DG$74</f>
        <v>364121.368647322</v>
      </c>
      <c r="DH93" s="34" t="n">
        <f aca="false">DH$73+DH$74</f>
        <v>364121.368647322</v>
      </c>
      <c r="DI93" s="34" t="n">
        <f aca="false">DI$73+DI$74</f>
        <v>364121.368647322</v>
      </c>
      <c r="DJ93" s="34" t="n">
        <f aca="false">DJ$73+DJ$74</f>
        <v>366489.982333795</v>
      </c>
      <c r="DK93" s="34" t="n">
        <f aca="false">DK$73+DK$74</f>
        <v>366489.982333795</v>
      </c>
      <c r="DL93" s="34" t="n">
        <f aca="false">DL$73+DL$74</f>
        <v>366489.982333795</v>
      </c>
      <c r="DM93" s="34" t="n">
        <f aca="false">DM$73+DM$74</f>
        <v>366489.982333795</v>
      </c>
      <c r="DN93" s="34" t="n">
        <f aca="false">DN$73+DN$74</f>
        <v>366489.982333795</v>
      </c>
      <c r="DO93" s="34" t="n">
        <f aca="false">DO$73+DO$74</f>
        <v>366489.982333795</v>
      </c>
      <c r="DP93" s="34" t="n">
        <f aca="false">DP$73+DP$74</f>
        <v>366489.982333795</v>
      </c>
      <c r="DQ93" s="34" t="n">
        <f aca="false">DQ$73+DQ$74</f>
        <v>366489.982333795</v>
      </c>
      <c r="DR93" s="34" t="n">
        <f aca="false">DR$73+DR$74</f>
        <v>366489.982333795</v>
      </c>
      <c r="DS93" s="34" t="n">
        <f aca="false">DS$73+DS$74</f>
        <v>366489.982333795</v>
      </c>
      <c r="DT93" s="34" t="n">
        <f aca="false">DT$73+DT$74</f>
        <v>366489.982333795</v>
      </c>
      <c r="DU93" s="34" t="n">
        <f aca="false">DU$73+DU$74</f>
        <v>366489.982333795</v>
      </c>
      <c r="DV93" s="34" t="n">
        <f aca="false">DV$73+DV$74</f>
        <v>0</v>
      </c>
      <c r="DW93" s="34" t="n">
        <f aca="false">DW$73+DW$74</f>
        <v>0</v>
      </c>
      <c r="DX93" s="34" t="n">
        <f aca="false">DX$73+DX$74</f>
        <v>0</v>
      </c>
      <c r="DY93" s="34" t="n">
        <f aca="false">DY$73+DY$74</f>
        <v>0</v>
      </c>
      <c r="DZ93" s="34" t="n">
        <f aca="false">DZ$73+DZ$74</f>
        <v>0</v>
      </c>
      <c r="EA93" s="34" t="n">
        <f aca="false">EA$73+EA$74</f>
        <v>0</v>
      </c>
      <c r="EB93" s="34" t="n">
        <f aca="false">EB$73+EB$74</f>
        <v>0</v>
      </c>
      <c r="EC93" s="34" t="n">
        <f aca="false">EC$73+EC$74</f>
        <v>0</v>
      </c>
      <c r="ED93" s="34" t="n">
        <f aca="false">ED$73+ED$74</f>
        <v>0</v>
      </c>
      <c r="EE93" s="34" t="n">
        <f aca="false">EE$73+EE$74</f>
        <v>0</v>
      </c>
      <c r="EF93" s="34" t="n">
        <f aca="false">EF$73+EF$74</f>
        <v>0</v>
      </c>
      <c r="EG93" s="34" t="n">
        <f aca="false">EG$73+EG$74</f>
        <v>0</v>
      </c>
      <c r="EH93" s="34" t="n">
        <f aca="false">EH$73+EH$74</f>
        <v>0</v>
      </c>
      <c r="EI93" s="34" t="n">
        <f aca="false">EI$73+EI$74</f>
        <v>0</v>
      </c>
      <c r="EJ93" s="34" t="n">
        <f aca="false">EJ$73+EJ$74</f>
        <v>0</v>
      </c>
      <c r="EK93" s="34" t="n">
        <f aca="false">EK$73+EK$74</f>
        <v>0</v>
      </c>
      <c r="EL93" s="34" t="n">
        <f aca="false">EL$73+EL$74</f>
        <v>0</v>
      </c>
      <c r="EM93" s="34" t="n">
        <f aca="false">EM$73+EM$74</f>
        <v>0</v>
      </c>
      <c r="EN93" s="34" t="n">
        <f aca="false">EN$73+EN$74</f>
        <v>0</v>
      </c>
      <c r="EO93" s="34" t="n">
        <f aca="false">EO$73+EO$74</f>
        <v>0</v>
      </c>
      <c r="EP93" s="34" t="n">
        <f aca="false">EP$73+EP$74</f>
        <v>0</v>
      </c>
      <c r="EQ93" s="34" t="n">
        <f aca="false">EQ$73+EQ$74</f>
        <v>0</v>
      </c>
      <c r="ER93" s="34" t="n">
        <f aca="false">ER$73+ER$74</f>
        <v>0</v>
      </c>
      <c r="ES93" s="34" t="n">
        <f aca="false">ES$73+ES$74</f>
        <v>0</v>
      </c>
    </row>
    <row r="94" customFormat="false" ht="15" hidden="false" customHeight="false" outlineLevel="0" collapsed="false">
      <c r="A94" s="2" t="s">
        <v>678</v>
      </c>
      <c r="B94" s="6" t="s">
        <v>679</v>
      </c>
      <c r="C94" s="6" t="s">
        <v>250</v>
      </c>
      <c r="E94" s="40" t="n">
        <f aca="false">SUM(F94:ES94)</f>
        <v>10172052.5275746</v>
      </c>
      <c r="F94" s="34" t="n">
        <f aca="false">F$75+F$76+F$83+F$84</f>
        <v>52969.9652546379</v>
      </c>
      <c r="G94" s="34" t="n">
        <f aca="false">G$75+G$76+G$83+G$84</f>
        <v>52969.9652546379</v>
      </c>
      <c r="H94" s="34" t="n">
        <f aca="false">H$75+H$76+H$83+H$84</f>
        <v>52969.9652546379</v>
      </c>
      <c r="I94" s="34" t="n">
        <f aca="false">I$75+I$76+I$83+I$84</f>
        <v>52969.9652546379</v>
      </c>
      <c r="J94" s="34" t="n">
        <f aca="false">J$75+J$76+J$83+J$84</f>
        <v>52969.9652546379</v>
      </c>
      <c r="K94" s="34" t="n">
        <f aca="false">K$75+K$76+K$83+K$84</f>
        <v>52969.9652546379</v>
      </c>
      <c r="L94" s="34" t="n">
        <f aca="false">L$75+L$76+L$83+L$84</f>
        <v>52969.9652546379</v>
      </c>
      <c r="M94" s="34" t="n">
        <f aca="false">M$75+M$76+M$83+M$84</f>
        <v>52969.9652546379</v>
      </c>
      <c r="N94" s="34" t="n">
        <f aca="false">N$75+N$76+N$83+N$84</f>
        <v>52969.9652546379</v>
      </c>
      <c r="O94" s="34" t="n">
        <f aca="false">O$75+O$76+O$83+O$84</f>
        <v>52969.9652546379</v>
      </c>
      <c r="P94" s="34" t="n">
        <f aca="false">P$75+P$76+P$83+P$84</f>
        <v>52969.9652546379</v>
      </c>
      <c r="Q94" s="34" t="n">
        <f aca="false">Q$75+Q$76+Q$83+Q$84</f>
        <v>52969.9652546379</v>
      </c>
      <c r="R94" s="34" t="n">
        <f aca="false">R$75+R$76+R$83+R$84</f>
        <v>66880.9601704712</v>
      </c>
      <c r="S94" s="34" t="n">
        <f aca="false">S$75+S$76+S$83+S$84</f>
        <v>66880.9601704712</v>
      </c>
      <c r="T94" s="34" t="n">
        <f aca="false">T$75+T$76+T$83+T$84</f>
        <v>66880.9601704712</v>
      </c>
      <c r="U94" s="34" t="n">
        <f aca="false">U$75+U$76+U$83+U$84</f>
        <v>66880.9601704712</v>
      </c>
      <c r="V94" s="34" t="n">
        <f aca="false">V$75+V$76+V$83+V$84</f>
        <v>66880.9601704712</v>
      </c>
      <c r="W94" s="34" t="n">
        <f aca="false">W$75+W$76+W$83+W$84</f>
        <v>66880.9601704712</v>
      </c>
      <c r="X94" s="34" t="n">
        <f aca="false">X$75+X$76+X$83+X$84</f>
        <v>66880.9601704712</v>
      </c>
      <c r="Y94" s="34" t="n">
        <f aca="false">Y$75+Y$76+Y$83+Y$84</f>
        <v>66880.9601704712</v>
      </c>
      <c r="Z94" s="34" t="n">
        <f aca="false">Z$75+Z$76+Z$83+Z$84</f>
        <v>66880.9601704712</v>
      </c>
      <c r="AA94" s="34" t="n">
        <f aca="false">AA$75+AA$76+AA$83+AA$84</f>
        <v>66880.9601704712</v>
      </c>
      <c r="AB94" s="34" t="n">
        <f aca="false">AB$75+AB$76+AB$83+AB$84</f>
        <v>66880.9601704712</v>
      </c>
      <c r="AC94" s="34" t="n">
        <f aca="false">AC$75+AC$76+AC$83+AC$84</f>
        <v>66880.9601704712</v>
      </c>
      <c r="AD94" s="34" t="n">
        <f aca="false">AD$75+AD$76+AD$83+AD$84</f>
        <v>80847.7651147422</v>
      </c>
      <c r="AE94" s="34" t="n">
        <f aca="false">AE$75+AE$76+AE$83+AE$84</f>
        <v>80847.7651147422</v>
      </c>
      <c r="AF94" s="34" t="n">
        <f aca="false">AF$75+AF$76+AF$83+AF$84</f>
        <v>80847.7651147422</v>
      </c>
      <c r="AG94" s="34" t="n">
        <f aca="false">AG$75+AG$76+AG$83+AG$84</f>
        <v>80847.7651147422</v>
      </c>
      <c r="AH94" s="34" t="n">
        <f aca="false">AH$75+AH$76+AH$83+AH$84</f>
        <v>80847.7651147422</v>
      </c>
      <c r="AI94" s="34" t="n">
        <f aca="false">AI$75+AI$76+AI$83+AI$84</f>
        <v>80847.7651147422</v>
      </c>
      <c r="AJ94" s="34" t="n">
        <f aca="false">AJ$75+AJ$76+AJ$83+AJ$84</f>
        <v>80847.7651147422</v>
      </c>
      <c r="AK94" s="34" t="n">
        <f aca="false">AK$75+AK$76+AK$83+AK$84</f>
        <v>80847.7651147422</v>
      </c>
      <c r="AL94" s="34" t="n">
        <f aca="false">AL$75+AL$76+AL$83+AL$84</f>
        <v>80847.7651147422</v>
      </c>
      <c r="AM94" s="34" t="n">
        <f aca="false">AM$75+AM$76+AM$83+AM$84</f>
        <v>80847.7651147422</v>
      </c>
      <c r="AN94" s="34" t="n">
        <f aca="false">AN$75+AN$76+AN$83+AN$84</f>
        <v>80847.7651147422</v>
      </c>
      <c r="AO94" s="34" t="n">
        <f aca="false">AO$75+AO$76+AO$83+AO$84</f>
        <v>80847.7651147422</v>
      </c>
      <c r="AP94" s="34" t="n">
        <f aca="false">AP$75+AP$76+AP$83+AP$84</f>
        <v>92105.4112574529</v>
      </c>
      <c r="AQ94" s="34" t="n">
        <f aca="false">AQ$75+AQ$76+AQ$83+AQ$84</f>
        <v>92105.4112574529</v>
      </c>
      <c r="AR94" s="34" t="n">
        <f aca="false">AR$75+AR$76+AR$83+AR$84</f>
        <v>92105.4112574529</v>
      </c>
      <c r="AS94" s="34" t="n">
        <f aca="false">AS$75+AS$76+AS$83+AS$84</f>
        <v>92105.4112574529</v>
      </c>
      <c r="AT94" s="34" t="n">
        <f aca="false">AT$75+AT$76+AT$83+AT$84</f>
        <v>92105.4112574529</v>
      </c>
      <c r="AU94" s="34" t="n">
        <f aca="false">AU$75+AU$76+AU$83+AU$84</f>
        <v>92105.4112574529</v>
      </c>
      <c r="AV94" s="34" t="n">
        <f aca="false">AV$75+AV$76+AV$83+AV$84</f>
        <v>92105.4112574529</v>
      </c>
      <c r="AW94" s="34" t="n">
        <f aca="false">AW$75+AW$76+AW$83+AW$84</f>
        <v>92105.4112574529</v>
      </c>
      <c r="AX94" s="34" t="n">
        <f aca="false">AX$75+AX$76+AX$83+AX$84</f>
        <v>92105.4112574529</v>
      </c>
      <c r="AY94" s="34" t="n">
        <f aca="false">AY$75+AY$76+AY$83+AY$84</f>
        <v>92105.4112574529</v>
      </c>
      <c r="AZ94" s="34" t="n">
        <f aca="false">AZ$75+AZ$76+AZ$83+AZ$84</f>
        <v>92105.4112574529</v>
      </c>
      <c r="BA94" s="34" t="n">
        <f aca="false">BA$75+BA$76+BA$83+BA$84</f>
        <v>92105.4112574529</v>
      </c>
      <c r="BB94" s="34" t="n">
        <f aca="false">BB$75+BB$76+BB$83+BB$84</f>
        <v>92228.6256826153</v>
      </c>
      <c r="BC94" s="34" t="n">
        <f aca="false">BC$75+BC$76+BC$83+BC$84</f>
        <v>92228.6256826153</v>
      </c>
      <c r="BD94" s="34" t="n">
        <f aca="false">BD$75+BD$76+BD$83+BD$84</f>
        <v>92228.6256826153</v>
      </c>
      <c r="BE94" s="34" t="n">
        <f aca="false">BE$75+BE$76+BE$83+BE$84</f>
        <v>92228.6256826153</v>
      </c>
      <c r="BF94" s="34" t="n">
        <f aca="false">BF$75+BF$76+BF$83+BF$84</f>
        <v>92228.6256826153</v>
      </c>
      <c r="BG94" s="34" t="n">
        <f aca="false">BG$75+BG$76+BG$83+BG$84</f>
        <v>92228.6256826153</v>
      </c>
      <c r="BH94" s="34" t="n">
        <f aca="false">BH$75+BH$76+BH$83+BH$84</f>
        <v>92228.6256826153</v>
      </c>
      <c r="BI94" s="34" t="n">
        <f aca="false">BI$75+BI$76+BI$83+BI$84</f>
        <v>92228.6256826153</v>
      </c>
      <c r="BJ94" s="34" t="n">
        <f aca="false">BJ$75+BJ$76+BJ$83+BJ$84</f>
        <v>92228.6256826153</v>
      </c>
      <c r="BK94" s="34" t="n">
        <f aca="false">BK$75+BK$76+BK$83+BK$84</f>
        <v>92228.6256826153</v>
      </c>
      <c r="BL94" s="34" t="n">
        <f aca="false">BL$75+BL$76+BL$83+BL$84</f>
        <v>92228.6256826153</v>
      </c>
      <c r="BM94" s="34" t="n">
        <f aca="false">BM$75+BM$76+BM$83+BM$84</f>
        <v>92228.6256826153</v>
      </c>
      <c r="BN94" s="34" t="n">
        <f aca="false">BN$75+BN$76+BN$83+BN$84</f>
        <v>92326.9835736405</v>
      </c>
      <c r="BO94" s="34" t="n">
        <f aca="false">BO$75+BO$76+BO$83+BO$84</f>
        <v>92326.9835736405</v>
      </c>
      <c r="BP94" s="34" t="n">
        <f aca="false">BP$75+BP$76+BP$83+BP$84</f>
        <v>92326.9835736405</v>
      </c>
      <c r="BQ94" s="34" t="n">
        <f aca="false">BQ$75+BQ$76+BQ$83+BQ$84</f>
        <v>92326.9835736405</v>
      </c>
      <c r="BR94" s="34" t="n">
        <f aca="false">BR$75+BR$76+BR$83+BR$84</f>
        <v>92326.9835736405</v>
      </c>
      <c r="BS94" s="34" t="n">
        <f aca="false">BS$75+BS$76+BS$83+BS$84</f>
        <v>92326.9835736405</v>
      </c>
      <c r="BT94" s="34" t="n">
        <f aca="false">BT$75+BT$76+BT$83+BT$84</f>
        <v>92326.9835736405</v>
      </c>
      <c r="BU94" s="34" t="n">
        <f aca="false">BU$75+BU$76+BU$83+BU$84</f>
        <v>92326.9835736405</v>
      </c>
      <c r="BV94" s="34" t="n">
        <f aca="false">BV$75+BV$76+BV$83+BV$84</f>
        <v>92326.9835736405</v>
      </c>
      <c r="BW94" s="34" t="n">
        <f aca="false">BW$75+BW$76+BW$83+BW$84</f>
        <v>92326.9835736405</v>
      </c>
      <c r="BX94" s="34" t="n">
        <f aca="false">BX$75+BX$76+BX$83+BX$84</f>
        <v>92326.9835736405</v>
      </c>
      <c r="BY94" s="34" t="n">
        <f aca="false">BY$75+BY$76+BY$83+BY$84</f>
        <v>92326.9835736405</v>
      </c>
      <c r="BZ94" s="34" t="n">
        <f aca="false">BZ$75+BZ$76+BZ$83+BZ$84</f>
        <v>92426.325043576</v>
      </c>
      <c r="CA94" s="34" t="n">
        <f aca="false">CA$75+CA$76+CA$83+CA$84</f>
        <v>92426.325043576</v>
      </c>
      <c r="CB94" s="34" t="n">
        <f aca="false">CB$75+CB$76+CB$83+CB$84</f>
        <v>92426.325043576</v>
      </c>
      <c r="CC94" s="34" t="n">
        <f aca="false">CC$75+CC$76+CC$83+CC$84</f>
        <v>92426.325043576</v>
      </c>
      <c r="CD94" s="34" t="n">
        <f aca="false">CD$75+CD$76+CD$83+CD$84</f>
        <v>92426.325043576</v>
      </c>
      <c r="CE94" s="34" t="n">
        <f aca="false">CE$75+CE$76+CE$83+CE$84</f>
        <v>92426.325043576</v>
      </c>
      <c r="CF94" s="34" t="n">
        <f aca="false">CF$75+CF$76+CF$83+CF$84</f>
        <v>92426.325043576</v>
      </c>
      <c r="CG94" s="34" t="n">
        <f aca="false">CG$75+CG$76+CG$83+CG$84</f>
        <v>92426.325043576</v>
      </c>
      <c r="CH94" s="34" t="n">
        <f aca="false">CH$75+CH$76+CH$83+CH$84</f>
        <v>92426.325043576</v>
      </c>
      <c r="CI94" s="34" t="n">
        <f aca="false">CI$75+CI$76+CI$83+CI$84</f>
        <v>92426.325043576</v>
      </c>
      <c r="CJ94" s="34" t="n">
        <f aca="false">CJ$75+CJ$76+CJ$83+CJ$84</f>
        <v>92426.325043576</v>
      </c>
      <c r="CK94" s="34" t="n">
        <f aca="false">CK$75+CK$76+CK$83+CK$84</f>
        <v>92426.325043576</v>
      </c>
      <c r="CL94" s="34" t="n">
        <f aca="false">CL$75+CL$76+CL$83+CL$84</f>
        <v>92526.6599282108</v>
      </c>
      <c r="CM94" s="34" t="n">
        <f aca="false">CM$75+CM$76+CM$83+CM$84</f>
        <v>92526.6599282108</v>
      </c>
      <c r="CN94" s="34" t="n">
        <f aca="false">CN$75+CN$76+CN$83+CN$84</f>
        <v>92526.6599282108</v>
      </c>
      <c r="CO94" s="34" t="n">
        <f aca="false">CO$75+CO$76+CO$83+CO$84</f>
        <v>92526.6599282108</v>
      </c>
      <c r="CP94" s="34" t="n">
        <f aca="false">CP$75+CP$76+CP$83+CP$84</f>
        <v>92526.6599282108</v>
      </c>
      <c r="CQ94" s="34" t="n">
        <f aca="false">CQ$75+CQ$76+CQ$83+CQ$84</f>
        <v>92526.6599282108</v>
      </c>
      <c r="CR94" s="34" t="n">
        <f aca="false">CR$75+CR$76+CR$83+CR$84</f>
        <v>92526.6599282108</v>
      </c>
      <c r="CS94" s="34" t="n">
        <f aca="false">CS$75+CS$76+CS$83+CS$84</f>
        <v>92526.6599282108</v>
      </c>
      <c r="CT94" s="34" t="n">
        <f aca="false">CT$75+CT$76+CT$83+CT$84</f>
        <v>92526.6599282108</v>
      </c>
      <c r="CU94" s="34" t="n">
        <f aca="false">CU$75+CU$76+CU$83+CU$84</f>
        <v>92526.6599282108</v>
      </c>
      <c r="CV94" s="34" t="n">
        <f aca="false">CV$75+CV$76+CV$83+CV$84</f>
        <v>92526.6599282108</v>
      </c>
      <c r="CW94" s="34" t="n">
        <f aca="false">CW$75+CW$76+CW$83+CW$84</f>
        <v>92526.6599282108</v>
      </c>
      <c r="CX94" s="34" t="n">
        <f aca="false">CX$75+CX$76+CX$83+CX$84</f>
        <v>92627.998161692</v>
      </c>
      <c r="CY94" s="34" t="n">
        <f aca="false">CY$75+CY$76+CY$83+CY$84</f>
        <v>92627.998161692</v>
      </c>
      <c r="CZ94" s="34" t="n">
        <f aca="false">CZ$75+CZ$76+CZ$83+CZ$84</f>
        <v>92627.998161692</v>
      </c>
      <c r="DA94" s="34" t="n">
        <f aca="false">DA$75+DA$76+DA$83+DA$84</f>
        <v>92627.998161692</v>
      </c>
      <c r="DB94" s="34" t="n">
        <f aca="false">DB$75+DB$76+DB$83+DB$84</f>
        <v>92627.998161692</v>
      </c>
      <c r="DC94" s="34" t="n">
        <f aca="false">DC$75+DC$76+DC$83+DC$84</f>
        <v>92627.998161692</v>
      </c>
      <c r="DD94" s="34" t="n">
        <f aca="false">DD$75+DD$76+DD$83+DD$84</f>
        <v>92627.998161692</v>
      </c>
      <c r="DE94" s="34" t="n">
        <f aca="false">DE$75+DE$76+DE$83+DE$84</f>
        <v>92627.998161692</v>
      </c>
      <c r="DF94" s="34" t="n">
        <f aca="false">DF$75+DF$76+DF$83+DF$84</f>
        <v>92627.998161692</v>
      </c>
      <c r="DG94" s="34" t="n">
        <f aca="false">DG$75+DG$76+DG$83+DG$84</f>
        <v>92627.998161692</v>
      </c>
      <c r="DH94" s="34" t="n">
        <f aca="false">DH$75+DH$76+DH$83+DH$84</f>
        <v>92627.998161692</v>
      </c>
      <c r="DI94" s="34" t="n">
        <f aca="false">DI$75+DI$76+DI$83+DI$84</f>
        <v>92627.998161692</v>
      </c>
      <c r="DJ94" s="34" t="n">
        <f aca="false">DJ$75+DJ$76+DJ$83+DJ$84</f>
        <v>92730.3497775079</v>
      </c>
      <c r="DK94" s="34" t="n">
        <f aca="false">DK$75+DK$76+DK$83+DK$84</f>
        <v>92730.3497775079</v>
      </c>
      <c r="DL94" s="34" t="n">
        <f aca="false">DL$75+DL$76+DL$83+DL$84</f>
        <v>92730.3497775079</v>
      </c>
      <c r="DM94" s="34" t="n">
        <f aca="false">DM$75+DM$76+DM$83+DM$84</f>
        <v>92730.3497775079</v>
      </c>
      <c r="DN94" s="34" t="n">
        <f aca="false">DN$75+DN$76+DN$83+DN$84</f>
        <v>92730.3497775079</v>
      </c>
      <c r="DO94" s="34" t="n">
        <f aca="false">DO$75+DO$76+DO$83+DO$84</f>
        <v>92730.3497775079</v>
      </c>
      <c r="DP94" s="34" t="n">
        <f aca="false">DP$75+DP$76+DP$83+DP$84</f>
        <v>92730.3497775079</v>
      </c>
      <c r="DQ94" s="34" t="n">
        <f aca="false">DQ$75+DQ$76+DQ$83+DQ$84</f>
        <v>92730.3497775079</v>
      </c>
      <c r="DR94" s="34" t="n">
        <f aca="false">DR$75+DR$76+DR$83+DR$84</f>
        <v>92730.3497775079</v>
      </c>
      <c r="DS94" s="34" t="n">
        <f aca="false">DS$75+DS$76+DS$83+DS$84</f>
        <v>92730.3497775079</v>
      </c>
      <c r="DT94" s="34" t="n">
        <f aca="false">DT$75+DT$76+DT$83+DT$84</f>
        <v>92730.3497775079</v>
      </c>
      <c r="DU94" s="34" t="n">
        <f aca="false">DU$75+DU$76+DU$83+DU$84</f>
        <v>92730.3497775079</v>
      </c>
      <c r="DV94" s="34" t="n">
        <f aca="false">DV$75+DV$76+DV$83+DV$84</f>
        <v>0</v>
      </c>
      <c r="DW94" s="34" t="n">
        <f aca="false">DW$75+DW$76+DW$83+DW$84</f>
        <v>0</v>
      </c>
      <c r="DX94" s="34" t="n">
        <f aca="false">DX$75+DX$76+DX$83+DX$84</f>
        <v>0</v>
      </c>
      <c r="DY94" s="34" t="n">
        <f aca="false">DY$75+DY$76+DY$83+DY$84</f>
        <v>0</v>
      </c>
      <c r="DZ94" s="34" t="n">
        <f aca="false">DZ$75+DZ$76+DZ$83+DZ$84</f>
        <v>0</v>
      </c>
      <c r="EA94" s="34" t="n">
        <f aca="false">EA$75+EA$76+EA$83+EA$84</f>
        <v>0</v>
      </c>
      <c r="EB94" s="34" t="n">
        <f aca="false">EB$75+EB$76+EB$83+EB$84</f>
        <v>0</v>
      </c>
      <c r="EC94" s="34" t="n">
        <f aca="false">EC$75+EC$76+EC$83+EC$84</f>
        <v>0</v>
      </c>
      <c r="ED94" s="34" t="n">
        <f aca="false">ED$75+ED$76+ED$83+ED$84</f>
        <v>0</v>
      </c>
      <c r="EE94" s="34" t="n">
        <f aca="false">EE$75+EE$76+EE$83+EE$84</f>
        <v>0</v>
      </c>
      <c r="EF94" s="34" t="n">
        <f aca="false">EF$75+EF$76+EF$83+EF$84</f>
        <v>0</v>
      </c>
      <c r="EG94" s="34" t="n">
        <f aca="false">EG$75+EG$76+EG$83+EG$84</f>
        <v>0</v>
      </c>
      <c r="EH94" s="34" t="n">
        <f aca="false">EH$75+EH$76+EH$83+EH$84</f>
        <v>0</v>
      </c>
      <c r="EI94" s="34" t="n">
        <f aca="false">EI$75+EI$76+EI$83+EI$84</f>
        <v>0</v>
      </c>
      <c r="EJ94" s="34" t="n">
        <f aca="false">EJ$75+EJ$76+EJ$83+EJ$84</f>
        <v>0</v>
      </c>
      <c r="EK94" s="34" t="n">
        <f aca="false">EK$75+EK$76+EK$83+EK$84</f>
        <v>0</v>
      </c>
      <c r="EL94" s="34" t="n">
        <f aca="false">EL$75+EL$76+EL$83+EL$84</f>
        <v>0</v>
      </c>
      <c r="EM94" s="34" t="n">
        <f aca="false">EM$75+EM$76+EM$83+EM$84</f>
        <v>0</v>
      </c>
      <c r="EN94" s="34" t="n">
        <f aca="false">EN$75+EN$76+EN$83+EN$84</f>
        <v>0</v>
      </c>
      <c r="EO94" s="34" t="n">
        <f aca="false">EO$75+EO$76+EO$83+EO$84</f>
        <v>0</v>
      </c>
      <c r="EP94" s="34" t="n">
        <f aca="false">EP$75+EP$76+EP$83+EP$84</f>
        <v>0</v>
      </c>
      <c r="EQ94" s="34" t="n">
        <f aca="false">EQ$75+EQ$76+EQ$83+EQ$84</f>
        <v>0</v>
      </c>
      <c r="ER94" s="34" t="n">
        <f aca="false">ER$75+ER$76+ER$83+ER$84</f>
        <v>0</v>
      </c>
      <c r="ES94" s="34" t="n">
        <f aca="false">ES$75+ES$76+ES$83+ES$84</f>
        <v>0</v>
      </c>
    </row>
    <row r="95" customFormat="false" ht="15" hidden="false" customHeight="false" outlineLevel="0" collapsed="false">
      <c r="A95" s="2" t="s">
        <v>680</v>
      </c>
      <c r="B95" s="6" t="s">
        <v>681</v>
      </c>
      <c r="C95" s="6" t="s">
        <v>250</v>
      </c>
      <c r="E95" s="40" t="n">
        <f aca="false">SUM(F95:ES95)</f>
        <v>6984448.30293321</v>
      </c>
      <c r="F95" s="34" t="n">
        <f aca="false">F$78+F$80</f>
        <v>53054.720696137</v>
      </c>
      <c r="G95" s="34" t="n">
        <f aca="false">G$78+G$80</f>
        <v>53054.720696137</v>
      </c>
      <c r="H95" s="34" t="n">
        <f aca="false">H$78+H$80</f>
        <v>53054.720696137</v>
      </c>
      <c r="I95" s="34" t="n">
        <f aca="false">I$78+I$80</f>
        <v>53054.720696137</v>
      </c>
      <c r="J95" s="34" t="n">
        <f aca="false">J$78+J$80</f>
        <v>53054.720696137</v>
      </c>
      <c r="K95" s="34" t="n">
        <f aca="false">K$78+K$80</f>
        <v>53054.720696137</v>
      </c>
      <c r="L95" s="34" t="n">
        <f aca="false">L$78+L$80</f>
        <v>53054.720696137</v>
      </c>
      <c r="M95" s="34" t="n">
        <f aca="false">M$78+M$80</f>
        <v>53054.720696137</v>
      </c>
      <c r="N95" s="34" t="n">
        <f aca="false">N$78+N$80</f>
        <v>53054.720696137</v>
      </c>
      <c r="O95" s="34" t="n">
        <f aca="false">O$78+O$80</f>
        <v>53054.720696137</v>
      </c>
      <c r="P95" s="34" t="n">
        <f aca="false">P$78+P$80</f>
        <v>53054.720696137</v>
      </c>
      <c r="Q95" s="34" t="n">
        <f aca="false">Q$78+Q$80</f>
        <v>53054.720696137</v>
      </c>
      <c r="R95" s="34" t="n">
        <f aca="false">R$78+R$80</f>
        <v>53054.720696137</v>
      </c>
      <c r="S95" s="34" t="n">
        <f aca="false">S$78+S$80</f>
        <v>53054.720696137</v>
      </c>
      <c r="T95" s="34" t="n">
        <f aca="false">T$78+T$80</f>
        <v>53054.720696137</v>
      </c>
      <c r="U95" s="34" t="n">
        <f aca="false">U$78+U$80</f>
        <v>53054.720696137</v>
      </c>
      <c r="V95" s="34" t="n">
        <f aca="false">V$78+V$80</f>
        <v>53054.720696137</v>
      </c>
      <c r="W95" s="34" t="n">
        <f aca="false">W$78+W$80</f>
        <v>53054.720696137</v>
      </c>
      <c r="X95" s="34" t="n">
        <f aca="false">X$78+X$80</f>
        <v>53054.720696137</v>
      </c>
      <c r="Y95" s="34" t="n">
        <f aca="false">Y$78+Y$80</f>
        <v>53054.720696137</v>
      </c>
      <c r="Z95" s="34" t="n">
        <f aca="false">Z$78+Z$80</f>
        <v>53054.720696137</v>
      </c>
      <c r="AA95" s="34" t="n">
        <f aca="false">AA$78+AA$80</f>
        <v>53054.720696137</v>
      </c>
      <c r="AB95" s="34" t="n">
        <f aca="false">AB$78+AB$80</f>
        <v>53054.720696137</v>
      </c>
      <c r="AC95" s="34" t="n">
        <f aca="false">AC$78+AC$80</f>
        <v>53054.720696137</v>
      </c>
      <c r="AD95" s="34" t="n">
        <f aca="false">AD$78+AD$80</f>
        <v>55700.1385399041</v>
      </c>
      <c r="AE95" s="34" t="n">
        <f aca="false">AE$78+AE$80</f>
        <v>55700.1385399041</v>
      </c>
      <c r="AF95" s="34" t="n">
        <f aca="false">AF$78+AF$80</f>
        <v>55700.1385399041</v>
      </c>
      <c r="AG95" s="34" t="n">
        <f aca="false">AG$78+AG$80</f>
        <v>55700.1385399041</v>
      </c>
      <c r="AH95" s="34" t="n">
        <f aca="false">AH$78+AH$80</f>
        <v>55700.1385399041</v>
      </c>
      <c r="AI95" s="34" t="n">
        <f aca="false">AI$78+AI$80</f>
        <v>55700.1385399041</v>
      </c>
      <c r="AJ95" s="34" t="n">
        <f aca="false">AJ$78+AJ$80</f>
        <v>55700.1385399041</v>
      </c>
      <c r="AK95" s="34" t="n">
        <f aca="false">AK$78+AK$80</f>
        <v>55700.1385399041</v>
      </c>
      <c r="AL95" s="34" t="n">
        <f aca="false">AL$78+AL$80</f>
        <v>55700.1385399041</v>
      </c>
      <c r="AM95" s="34" t="n">
        <f aca="false">AM$78+AM$80</f>
        <v>55700.1385399041</v>
      </c>
      <c r="AN95" s="34" t="n">
        <f aca="false">AN$78+AN$80</f>
        <v>55700.1385399041</v>
      </c>
      <c r="AO95" s="34" t="n">
        <f aca="false">AO$78+AO$80</f>
        <v>55700.1385399041</v>
      </c>
      <c r="AP95" s="34" t="n">
        <f aca="false">AP$78+AP$80</f>
        <v>57818.5076943014</v>
      </c>
      <c r="AQ95" s="34" t="n">
        <f aca="false">AQ$78+AQ$80</f>
        <v>57818.5076943014</v>
      </c>
      <c r="AR95" s="34" t="n">
        <f aca="false">AR$78+AR$80</f>
        <v>57818.5076943014</v>
      </c>
      <c r="AS95" s="34" t="n">
        <f aca="false">AS$78+AS$80</f>
        <v>57818.5076943014</v>
      </c>
      <c r="AT95" s="34" t="n">
        <f aca="false">AT$78+AT$80</f>
        <v>57818.5076943014</v>
      </c>
      <c r="AU95" s="34" t="n">
        <f aca="false">AU$78+AU$80</f>
        <v>57818.5076943014</v>
      </c>
      <c r="AV95" s="34" t="n">
        <f aca="false">AV$78+AV$80</f>
        <v>57818.5076943014</v>
      </c>
      <c r="AW95" s="34" t="n">
        <f aca="false">AW$78+AW$80</f>
        <v>57818.5076943014</v>
      </c>
      <c r="AX95" s="34" t="n">
        <f aca="false">AX$78+AX$80</f>
        <v>57818.5076943014</v>
      </c>
      <c r="AY95" s="34" t="n">
        <f aca="false">AY$78+AY$80</f>
        <v>57818.5076943014</v>
      </c>
      <c r="AZ95" s="34" t="n">
        <f aca="false">AZ$78+AZ$80</f>
        <v>57818.5076943014</v>
      </c>
      <c r="BA95" s="34" t="n">
        <f aca="false">BA$78+BA$80</f>
        <v>57818.5076943014</v>
      </c>
      <c r="BB95" s="34" t="n">
        <f aca="false">BB$78+BB$80</f>
        <v>60401.5451585479</v>
      </c>
      <c r="BC95" s="34" t="n">
        <f aca="false">BC$78+BC$80</f>
        <v>60401.5451585479</v>
      </c>
      <c r="BD95" s="34" t="n">
        <f aca="false">BD$78+BD$80</f>
        <v>60401.5451585479</v>
      </c>
      <c r="BE95" s="34" t="n">
        <f aca="false">BE$78+BE$80</f>
        <v>60401.5451585479</v>
      </c>
      <c r="BF95" s="34" t="n">
        <f aca="false">BF$78+BF$80</f>
        <v>60401.5451585479</v>
      </c>
      <c r="BG95" s="34" t="n">
        <f aca="false">BG$78+BG$80</f>
        <v>60401.5451585479</v>
      </c>
      <c r="BH95" s="34" t="n">
        <f aca="false">BH$78+BH$80</f>
        <v>60401.5451585479</v>
      </c>
      <c r="BI95" s="34" t="n">
        <f aca="false">BI$78+BI$80</f>
        <v>60401.5451585479</v>
      </c>
      <c r="BJ95" s="34" t="n">
        <f aca="false">BJ$78+BJ$80</f>
        <v>60401.5451585479</v>
      </c>
      <c r="BK95" s="34" t="n">
        <f aca="false">BK$78+BK$80</f>
        <v>60401.5451585479</v>
      </c>
      <c r="BL95" s="34" t="n">
        <f aca="false">BL$78+BL$80</f>
        <v>60401.5451585479</v>
      </c>
      <c r="BM95" s="34" t="n">
        <f aca="false">BM$78+BM$80</f>
        <v>60401.5451585479</v>
      </c>
      <c r="BN95" s="34" t="n">
        <f aca="false">BN$78+BN$80</f>
        <v>60401.5451585479</v>
      </c>
      <c r="BO95" s="34" t="n">
        <f aca="false">BO$78+BO$80</f>
        <v>60401.5451585479</v>
      </c>
      <c r="BP95" s="34" t="n">
        <f aca="false">BP$78+BP$80</f>
        <v>60401.5451585479</v>
      </c>
      <c r="BQ95" s="34" t="n">
        <f aca="false">BQ$78+BQ$80</f>
        <v>60401.5451585479</v>
      </c>
      <c r="BR95" s="34" t="n">
        <f aca="false">BR$78+BR$80</f>
        <v>60401.5451585479</v>
      </c>
      <c r="BS95" s="34" t="n">
        <f aca="false">BS$78+BS$80</f>
        <v>60401.5451585479</v>
      </c>
      <c r="BT95" s="34" t="n">
        <f aca="false">BT$78+BT$80</f>
        <v>60401.5451585479</v>
      </c>
      <c r="BU95" s="34" t="n">
        <f aca="false">BU$78+BU$80</f>
        <v>60401.5451585479</v>
      </c>
      <c r="BV95" s="34" t="n">
        <f aca="false">BV$78+BV$80</f>
        <v>60401.5451585479</v>
      </c>
      <c r="BW95" s="34" t="n">
        <f aca="false">BW$78+BW$80</f>
        <v>60401.5451585479</v>
      </c>
      <c r="BX95" s="34" t="n">
        <f aca="false">BX$78+BX$80</f>
        <v>60401.5451585479</v>
      </c>
      <c r="BY95" s="34" t="n">
        <f aca="false">BY$78+BY$80</f>
        <v>60401.5451585479</v>
      </c>
      <c r="BZ95" s="34" t="n">
        <f aca="false">BZ$78+BZ$80</f>
        <v>60401.5451585479</v>
      </c>
      <c r="CA95" s="34" t="n">
        <f aca="false">CA$78+CA$80</f>
        <v>60401.5451585479</v>
      </c>
      <c r="CB95" s="34" t="n">
        <f aca="false">CB$78+CB$80</f>
        <v>60401.5451585479</v>
      </c>
      <c r="CC95" s="34" t="n">
        <f aca="false">CC$78+CC$80</f>
        <v>60401.5451585479</v>
      </c>
      <c r="CD95" s="34" t="n">
        <f aca="false">CD$78+CD$80</f>
        <v>60401.5451585479</v>
      </c>
      <c r="CE95" s="34" t="n">
        <f aca="false">CE$78+CE$80</f>
        <v>60401.5451585479</v>
      </c>
      <c r="CF95" s="34" t="n">
        <f aca="false">CF$78+CF$80</f>
        <v>60401.5451585479</v>
      </c>
      <c r="CG95" s="34" t="n">
        <f aca="false">CG$78+CG$80</f>
        <v>60401.5451585479</v>
      </c>
      <c r="CH95" s="34" t="n">
        <f aca="false">CH$78+CH$80</f>
        <v>60401.5451585479</v>
      </c>
      <c r="CI95" s="34" t="n">
        <f aca="false">CI$78+CI$80</f>
        <v>60401.5451585479</v>
      </c>
      <c r="CJ95" s="34" t="n">
        <f aca="false">CJ$78+CJ$80</f>
        <v>60401.5451585479</v>
      </c>
      <c r="CK95" s="34" t="n">
        <f aca="false">CK$78+CK$80</f>
        <v>60401.5451585479</v>
      </c>
      <c r="CL95" s="34" t="n">
        <f aca="false">CL$78+CL$80</f>
        <v>60401.5451585479</v>
      </c>
      <c r="CM95" s="34" t="n">
        <f aca="false">CM$78+CM$80</f>
        <v>60401.5451585479</v>
      </c>
      <c r="CN95" s="34" t="n">
        <f aca="false">CN$78+CN$80</f>
        <v>60401.5451585479</v>
      </c>
      <c r="CO95" s="34" t="n">
        <f aca="false">CO$78+CO$80</f>
        <v>60401.5451585479</v>
      </c>
      <c r="CP95" s="34" t="n">
        <f aca="false">CP$78+CP$80</f>
        <v>60401.5451585479</v>
      </c>
      <c r="CQ95" s="34" t="n">
        <f aca="false">CQ$78+CQ$80</f>
        <v>60401.5451585479</v>
      </c>
      <c r="CR95" s="34" t="n">
        <f aca="false">CR$78+CR$80</f>
        <v>60401.5451585479</v>
      </c>
      <c r="CS95" s="34" t="n">
        <f aca="false">CS$78+CS$80</f>
        <v>60401.5451585479</v>
      </c>
      <c r="CT95" s="34" t="n">
        <f aca="false">CT$78+CT$80</f>
        <v>60401.5451585479</v>
      </c>
      <c r="CU95" s="34" t="n">
        <f aca="false">CU$78+CU$80</f>
        <v>60401.5451585479</v>
      </c>
      <c r="CV95" s="34" t="n">
        <f aca="false">CV$78+CV$80</f>
        <v>60401.5451585479</v>
      </c>
      <c r="CW95" s="34" t="n">
        <f aca="false">CW$78+CW$80</f>
        <v>60401.5451585479</v>
      </c>
      <c r="CX95" s="34" t="n">
        <f aca="false">CX$78+CX$80</f>
        <v>60401.5451585479</v>
      </c>
      <c r="CY95" s="34" t="n">
        <f aca="false">CY$78+CY$80</f>
        <v>60401.5451585479</v>
      </c>
      <c r="CZ95" s="34" t="n">
        <f aca="false">CZ$78+CZ$80</f>
        <v>60401.5451585479</v>
      </c>
      <c r="DA95" s="34" t="n">
        <f aca="false">DA$78+DA$80</f>
        <v>60401.5451585479</v>
      </c>
      <c r="DB95" s="34" t="n">
        <f aca="false">DB$78+DB$80</f>
        <v>60401.5451585479</v>
      </c>
      <c r="DC95" s="34" t="n">
        <f aca="false">DC$78+DC$80</f>
        <v>60401.5451585479</v>
      </c>
      <c r="DD95" s="34" t="n">
        <f aca="false">DD$78+DD$80</f>
        <v>60401.5451585479</v>
      </c>
      <c r="DE95" s="34" t="n">
        <f aca="false">DE$78+DE$80</f>
        <v>60401.5451585479</v>
      </c>
      <c r="DF95" s="34" t="n">
        <f aca="false">DF$78+DF$80</f>
        <v>60401.5451585479</v>
      </c>
      <c r="DG95" s="34" t="n">
        <f aca="false">DG$78+DG$80</f>
        <v>60401.5451585479</v>
      </c>
      <c r="DH95" s="34" t="n">
        <f aca="false">DH$78+DH$80</f>
        <v>60401.5451585479</v>
      </c>
      <c r="DI95" s="34" t="n">
        <f aca="false">DI$78+DI$80</f>
        <v>60401.5451585479</v>
      </c>
      <c r="DJ95" s="34" t="n">
        <f aca="false">DJ$78+DJ$80</f>
        <v>60401.5451585479</v>
      </c>
      <c r="DK95" s="34" t="n">
        <f aca="false">DK$78+DK$80</f>
        <v>60401.5451585479</v>
      </c>
      <c r="DL95" s="34" t="n">
        <f aca="false">DL$78+DL$80</f>
        <v>60401.5451585479</v>
      </c>
      <c r="DM95" s="34" t="n">
        <f aca="false">DM$78+DM$80</f>
        <v>60401.5451585479</v>
      </c>
      <c r="DN95" s="34" t="n">
        <f aca="false">DN$78+DN$80</f>
        <v>60401.5451585479</v>
      </c>
      <c r="DO95" s="34" t="n">
        <f aca="false">DO$78+DO$80</f>
        <v>60401.5451585479</v>
      </c>
      <c r="DP95" s="34" t="n">
        <f aca="false">DP$78+DP$80</f>
        <v>60401.5451585479</v>
      </c>
      <c r="DQ95" s="34" t="n">
        <f aca="false">DQ$78+DQ$80</f>
        <v>60401.5451585479</v>
      </c>
      <c r="DR95" s="34" t="n">
        <f aca="false">DR$78+DR$80</f>
        <v>60401.5451585479</v>
      </c>
      <c r="DS95" s="34" t="n">
        <f aca="false">DS$78+DS$80</f>
        <v>60401.5451585479</v>
      </c>
      <c r="DT95" s="34" t="n">
        <f aca="false">DT$78+DT$80</f>
        <v>60401.5451585479</v>
      </c>
      <c r="DU95" s="34" t="n">
        <f aca="false">DU$78+DU$80</f>
        <v>60401.5451585479</v>
      </c>
      <c r="DV95" s="34" t="n">
        <f aca="false">DV$78+DV$80</f>
        <v>0</v>
      </c>
      <c r="DW95" s="34" t="n">
        <f aca="false">DW$78+DW$80</f>
        <v>0</v>
      </c>
      <c r="DX95" s="34" t="n">
        <f aca="false">DX$78+DX$80</f>
        <v>0</v>
      </c>
      <c r="DY95" s="34" t="n">
        <f aca="false">DY$78+DY$80</f>
        <v>0</v>
      </c>
      <c r="DZ95" s="34" t="n">
        <f aca="false">DZ$78+DZ$80</f>
        <v>0</v>
      </c>
      <c r="EA95" s="34" t="n">
        <f aca="false">EA$78+EA$80</f>
        <v>0</v>
      </c>
      <c r="EB95" s="34" t="n">
        <f aca="false">EB$78+EB$80</f>
        <v>0</v>
      </c>
      <c r="EC95" s="34" t="n">
        <f aca="false">EC$78+EC$80</f>
        <v>0</v>
      </c>
      <c r="ED95" s="34" t="n">
        <f aca="false">ED$78+ED$80</f>
        <v>0</v>
      </c>
      <c r="EE95" s="34" t="n">
        <f aca="false">EE$78+EE$80</f>
        <v>0</v>
      </c>
      <c r="EF95" s="34" t="n">
        <f aca="false">EF$78+EF$80</f>
        <v>0</v>
      </c>
      <c r="EG95" s="34" t="n">
        <f aca="false">EG$78+EG$80</f>
        <v>0</v>
      </c>
      <c r="EH95" s="34" t="n">
        <f aca="false">EH$78+EH$80</f>
        <v>0</v>
      </c>
      <c r="EI95" s="34" t="n">
        <f aca="false">EI$78+EI$80</f>
        <v>0</v>
      </c>
      <c r="EJ95" s="34" t="n">
        <f aca="false">EJ$78+EJ$80</f>
        <v>0</v>
      </c>
      <c r="EK95" s="34" t="n">
        <f aca="false">EK$78+EK$80</f>
        <v>0</v>
      </c>
      <c r="EL95" s="34" t="n">
        <f aca="false">EL$78+EL$80</f>
        <v>0</v>
      </c>
      <c r="EM95" s="34" t="n">
        <f aca="false">EM$78+EM$80</f>
        <v>0</v>
      </c>
      <c r="EN95" s="34" t="n">
        <f aca="false">EN$78+EN$80</f>
        <v>0</v>
      </c>
      <c r="EO95" s="34" t="n">
        <f aca="false">EO$78+EO$80</f>
        <v>0</v>
      </c>
      <c r="EP95" s="34" t="n">
        <f aca="false">EP$78+EP$80</f>
        <v>0</v>
      </c>
      <c r="EQ95" s="34" t="n">
        <f aca="false">EQ$78+EQ$80</f>
        <v>0</v>
      </c>
      <c r="ER95" s="34" t="n">
        <f aca="false">ER$78+ER$80</f>
        <v>0</v>
      </c>
      <c r="ES95" s="34" t="n">
        <f aca="false">ES$78+ES$80</f>
        <v>0</v>
      </c>
    </row>
    <row r="96" customFormat="false" ht="15" hidden="false" customHeight="false" outlineLevel="0" collapsed="false">
      <c r="A96" s="2" t="s">
        <v>682</v>
      </c>
      <c r="B96" s="6" t="s">
        <v>683</v>
      </c>
      <c r="C96" s="6" t="s">
        <v>250</v>
      </c>
      <c r="E96" s="40" t="n">
        <f aca="false">SUM(F96:ES96)</f>
        <v>3406933.03324133</v>
      </c>
      <c r="F96" s="34" t="n">
        <f aca="false">F$86+F$89</f>
        <v>19873.0114276757</v>
      </c>
      <c r="G96" s="34" t="n">
        <f aca="false">G$86+G$89</f>
        <v>19873.0114276757</v>
      </c>
      <c r="H96" s="34" t="n">
        <f aca="false">H$86+H$89</f>
        <v>19873.0114276757</v>
      </c>
      <c r="I96" s="34" t="n">
        <f aca="false">I$86+I$89</f>
        <v>19873.0114276757</v>
      </c>
      <c r="J96" s="34" t="n">
        <f aca="false">J$86+J$89</f>
        <v>19873.0114276757</v>
      </c>
      <c r="K96" s="34" t="n">
        <f aca="false">K$86+K$89</f>
        <v>19873.0114276757</v>
      </c>
      <c r="L96" s="34" t="n">
        <f aca="false">L$86+L$89</f>
        <v>19873.0114276757</v>
      </c>
      <c r="M96" s="34" t="n">
        <f aca="false">M$86+M$89</f>
        <v>19873.0114276757</v>
      </c>
      <c r="N96" s="34" t="n">
        <f aca="false">N$86+N$89</f>
        <v>19873.0114276757</v>
      </c>
      <c r="O96" s="34" t="n">
        <f aca="false">O$86+O$89</f>
        <v>19873.0114276757</v>
      </c>
      <c r="P96" s="34" t="n">
        <f aca="false">P$86+P$89</f>
        <v>19873.0114276757</v>
      </c>
      <c r="Q96" s="34" t="n">
        <f aca="false">Q$86+Q$89</f>
        <v>19873.0114276757</v>
      </c>
      <c r="R96" s="34" t="n">
        <f aca="false">R$86+R$89</f>
        <v>23317.3689934674</v>
      </c>
      <c r="S96" s="34" t="n">
        <f aca="false">S$86+S$89</f>
        <v>23317.3689934674</v>
      </c>
      <c r="T96" s="34" t="n">
        <f aca="false">T$86+T$89</f>
        <v>23317.3689934674</v>
      </c>
      <c r="U96" s="34" t="n">
        <f aca="false">U$86+U$89</f>
        <v>23317.3689934674</v>
      </c>
      <c r="V96" s="34" t="n">
        <f aca="false">V$86+V$89</f>
        <v>23317.3689934674</v>
      </c>
      <c r="W96" s="34" t="n">
        <f aca="false">W$86+W$89</f>
        <v>23317.3689934674</v>
      </c>
      <c r="X96" s="34" t="n">
        <f aca="false">X$86+X$89</f>
        <v>23317.3689934674</v>
      </c>
      <c r="Y96" s="34" t="n">
        <f aca="false">Y$86+Y$89</f>
        <v>23317.3689934674</v>
      </c>
      <c r="Z96" s="34" t="n">
        <f aca="false">Z$86+Z$89</f>
        <v>23317.3689934674</v>
      </c>
      <c r="AA96" s="34" t="n">
        <f aca="false">AA$86+AA$89</f>
        <v>23317.3689934674</v>
      </c>
      <c r="AB96" s="34" t="n">
        <f aca="false">AB$86+AB$89</f>
        <v>23317.3689934674</v>
      </c>
      <c r="AC96" s="34" t="n">
        <f aca="false">AC$86+AC$89</f>
        <v>23317.3689934674</v>
      </c>
      <c r="AD96" s="34" t="n">
        <f aca="false">AD$86+AD$89</f>
        <v>26931.7997342693</v>
      </c>
      <c r="AE96" s="34" t="n">
        <f aca="false">AE$86+AE$89</f>
        <v>26931.7997342693</v>
      </c>
      <c r="AF96" s="34" t="n">
        <f aca="false">AF$86+AF$89</f>
        <v>26931.7997342693</v>
      </c>
      <c r="AG96" s="34" t="n">
        <f aca="false">AG$86+AG$89</f>
        <v>26931.7997342693</v>
      </c>
      <c r="AH96" s="34" t="n">
        <f aca="false">AH$86+AH$89</f>
        <v>26931.7997342693</v>
      </c>
      <c r="AI96" s="34" t="n">
        <f aca="false">AI$86+AI$89</f>
        <v>26931.7997342693</v>
      </c>
      <c r="AJ96" s="34" t="n">
        <f aca="false">AJ$86+AJ$89</f>
        <v>26931.7997342693</v>
      </c>
      <c r="AK96" s="34" t="n">
        <f aca="false">AK$86+AK$89</f>
        <v>26931.7997342693</v>
      </c>
      <c r="AL96" s="34" t="n">
        <f aca="false">AL$86+AL$89</f>
        <v>26931.7997342693</v>
      </c>
      <c r="AM96" s="34" t="n">
        <f aca="false">AM$86+AM$89</f>
        <v>26931.7997342693</v>
      </c>
      <c r="AN96" s="34" t="n">
        <f aca="false">AN$86+AN$89</f>
        <v>26931.7997342693</v>
      </c>
      <c r="AO96" s="34" t="n">
        <f aca="false">AO$86+AO$89</f>
        <v>26931.7997342693</v>
      </c>
      <c r="AP96" s="34" t="n">
        <f aca="false">AP$86+AP$89</f>
        <v>29899.7286769277</v>
      </c>
      <c r="AQ96" s="34" t="n">
        <f aca="false">AQ$86+AQ$89</f>
        <v>29899.7286769277</v>
      </c>
      <c r="AR96" s="34" t="n">
        <f aca="false">AR$86+AR$89</f>
        <v>29899.7286769277</v>
      </c>
      <c r="AS96" s="34" t="n">
        <f aca="false">AS$86+AS$89</f>
        <v>29899.7286769277</v>
      </c>
      <c r="AT96" s="34" t="n">
        <f aca="false">AT$86+AT$89</f>
        <v>29899.7286769277</v>
      </c>
      <c r="AU96" s="34" t="n">
        <f aca="false">AU$86+AU$89</f>
        <v>29899.7286769277</v>
      </c>
      <c r="AV96" s="34" t="n">
        <f aca="false">AV$86+AV$89</f>
        <v>29899.7286769277</v>
      </c>
      <c r="AW96" s="34" t="n">
        <f aca="false">AW$86+AW$89</f>
        <v>29899.7286769277</v>
      </c>
      <c r="AX96" s="34" t="n">
        <f aca="false">AX$86+AX$89</f>
        <v>29899.7286769277</v>
      </c>
      <c r="AY96" s="34" t="n">
        <f aca="false">AY$86+AY$89</f>
        <v>29899.7286769277</v>
      </c>
      <c r="AZ96" s="34" t="n">
        <f aca="false">AZ$86+AZ$89</f>
        <v>29899.7286769277</v>
      </c>
      <c r="BA96" s="34" t="n">
        <f aca="false">BA$86+BA$89</f>
        <v>29899.7286769277</v>
      </c>
      <c r="BB96" s="34" t="n">
        <f aca="false">BB$86+BB$89</f>
        <v>30202.8952208885</v>
      </c>
      <c r="BC96" s="34" t="n">
        <f aca="false">BC$86+BC$89</f>
        <v>30202.8952208885</v>
      </c>
      <c r="BD96" s="34" t="n">
        <f aca="false">BD$86+BD$89</f>
        <v>30202.8952208885</v>
      </c>
      <c r="BE96" s="34" t="n">
        <f aca="false">BE$86+BE$89</f>
        <v>30202.8952208885</v>
      </c>
      <c r="BF96" s="34" t="n">
        <f aca="false">BF$86+BF$89</f>
        <v>30202.8952208885</v>
      </c>
      <c r="BG96" s="34" t="n">
        <f aca="false">BG$86+BG$89</f>
        <v>30202.8952208885</v>
      </c>
      <c r="BH96" s="34" t="n">
        <f aca="false">BH$86+BH$89</f>
        <v>30202.8952208885</v>
      </c>
      <c r="BI96" s="34" t="n">
        <f aca="false">BI$86+BI$89</f>
        <v>30202.8952208885</v>
      </c>
      <c r="BJ96" s="34" t="n">
        <f aca="false">BJ$86+BJ$89</f>
        <v>30202.8952208885</v>
      </c>
      <c r="BK96" s="34" t="n">
        <f aca="false">BK$86+BK$89</f>
        <v>30202.8952208885</v>
      </c>
      <c r="BL96" s="34" t="n">
        <f aca="false">BL$86+BL$89</f>
        <v>30202.8952208885</v>
      </c>
      <c r="BM96" s="34" t="n">
        <f aca="false">BM$86+BM$89</f>
        <v>30202.8952208885</v>
      </c>
      <c r="BN96" s="34" t="n">
        <f aca="false">BN$86+BN$89</f>
        <v>30377.8973165949</v>
      </c>
      <c r="BO96" s="34" t="n">
        <f aca="false">BO$86+BO$89</f>
        <v>30377.8973165949</v>
      </c>
      <c r="BP96" s="34" t="n">
        <f aca="false">BP$86+BP$89</f>
        <v>30377.8973165949</v>
      </c>
      <c r="BQ96" s="34" t="n">
        <f aca="false">BQ$86+BQ$89</f>
        <v>30377.8973165949</v>
      </c>
      <c r="BR96" s="34" t="n">
        <f aca="false">BR$86+BR$89</f>
        <v>30377.8973165949</v>
      </c>
      <c r="BS96" s="34" t="n">
        <f aca="false">BS$86+BS$89</f>
        <v>30377.8973165949</v>
      </c>
      <c r="BT96" s="34" t="n">
        <f aca="false">BT$86+BT$89</f>
        <v>30377.8973165949</v>
      </c>
      <c r="BU96" s="34" t="n">
        <f aca="false">BU$86+BU$89</f>
        <v>30377.8973165949</v>
      </c>
      <c r="BV96" s="34" t="n">
        <f aca="false">BV$86+BV$89</f>
        <v>30377.8973165949</v>
      </c>
      <c r="BW96" s="34" t="n">
        <f aca="false">BW$86+BW$89</f>
        <v>30377.8973165949</v>
      </c>
      <c r="BX96" s="34" t="n">
        <f aca="false">BX$86+BX$89</f>
        <v>30377.8973165949</v>
      </c>
      <c r="BY96" s="34" t="n">
        <f aca="false">BY$86+BY$89</f>
        <v>30377.8973165949</v>
      </c>
      <c r="BZ96" s="34" t="n">
        <f aca="false">BZ$86+BZ$89</f>
        <v>30555.2121796718</v>
      </c>
      <c r="CA96" s="34" t="n">
        <f aca="false">CA$86+CA$89</f>
        <v>30555.2121796718</v>
      </c>
      <c r="CB96" s="34" t="n">
        <f aca="false">CB$86+CB$89</f>
        <v>30555.2121796718</v>
      </c>
      <c r="CC96" s="34" t="n">
        <f aca="false">CC$86+CC$89</f>
        <v>30555.2121796718</v>
      </c>
      <c r="CD96" s="34" t="n">
        <f aca="false">CD$86+CD$89</f>
        <v>30555.2121796718</v>
      </c>
      <c r="CE96" s="34" t="n">
        <f aca="false">CE$86+CE$89</f>
        <v>30555.2121796718</v>
      </c>
      <c r="CF96" s="34" t="n">
        <f aca="false">CF$86+CF$89</f>
        <v>30555.2121796718</v>
      </c>
      <c r="CG96" s="34" t="n">
        <f aca="false">CG$86+CG$89</f>
        <v>30555.2121796718</v>
      </c>
      <c r="CH96" s="34" t="n">
        <f aca="false">CH$86+CH$89</f>
        <v>30555.2121796718</v>
      </c>
      <c r="CI96" s="34" t="n">
        <f aca="false">CI$86+CI$89</f>
        <v>30555.2121796718</v>
      </c>
      <c r="CJ96" s="34" t="n">
        <f aca="false">CJ$86+CJ$89</f>
        <v>30555.2121796718</v>
      </c>
      <c r="CK96" s="34" t="n">
        <f aca="false">CK$86+CK$89</f>
        <v>30555.2121796718</v>
      </c>
      <c r="CL96" s="34" t="n">
        <f aca="false">CL$86+CL$89</f>
        <v>30734.874192721</v>
      </c>
      <c r="CM96" s="34" t="n">
        <f aca="false">CM$86+CM$89</f>
        <v>30734.874192721</v>
      </c>
      <c r="CN96" s="34" t="n">
        <f aca="false">CN$86+CN$89</f>
        <v>30734.874192721</v>
      </c>
      <c r="CO96" s="34" t="n">
        <f aca="false">CO$86+CO$89</f>
        <v>30734.874192721</v>
      </c>
      <c r="CP96" s="34" t="n">
        <f aca="false">CP$86+CP$89</f>
        <v>30734.874192721</v>
      </c>
      <c r="CQ96" s="34" t="n">
        <f aca="false">CQ$86+CQ$89</f>
        <v>30734.874192721</v>
      </c>
      <c r="CR96" s="34" t="n">
        <f aca="false">CR$86+CR$89</f>
        <v>30734.874192721</v>
      </c>
      <c r="CS96" s="34" t="n">
        <f aca="false">CS$86+CS$89</f>
        <v>30734.874192721</v>
      </c>
      <c r="CT96" s="34" t="n">
        <f aca="false">CT$86+CT$89</f>
        <v>30734.874192721</v>
      </c>
      <c r="CU96" s="34" t="n">
        <f aca="false">CU$86+CU$89</f>
        <v>30734.874192721</v>
      </c>
      <c r="CV96" s="34" t="n">
        <f aca="false">CV$86+CV$89</f>
        <v>30734.874192721</v>
      </c>
      <c r="CW96" s="34" t="n">
        <f aca="false">CW$86+CW$89</f>
        <v>30734.874192721</v>
      </c>
      <c r="CX96" s="34" t="n">
        <f aca="false">CX$86+CX$89</f>
        <v>30916.9183072693</v>
      </c>
      <c r="CY96" s="34" t="n">
        <f aca="false">CY$86+CY$89</f>
        <v>30916.9183072693</v>
      </c>
      <c r="CZ96" s="34" t="n">
        <f aca="false">CZ$86+CZ$89</f>
        <v>30916.9183072693</v>
      </c>
      <c r="DA96" s="34" t="n">
        <f aca="false">DA$86+DA$89</f>
        <v>30916.9183072693</v>
      </c>
      <c r="DB96" s="34" t="n">
        <f aca="false">DB$86+DB$89</f>
        <v>30916.9183072693</v>
      </c>
      <c r="DC96" s="34" t="n">
        <f aca="false">DC$86+DC$89</f>
        <v>30916.9183072693</v>
      </c>
      <c r="DD96" s="34" t="n">
        <f aca="false">DD$86+DD$89</f>
        <v>30916.9183072693</v>
      </c>
      <c r="DE96" s="34" t="n">
        <f aca="false">DE$86+DE$89</f>
        <v>30916.9183072693</v>
      </c>
      <c r="DF96" s="34" t="n">
        <f aca="false">DF$86+DF$89</f>
        <v>30916.9183072693</v>
      </c>
      <c r="DG96" s="34" t="n">
        <f aca="false">DG$86+DG$89</f>
        <v>30916.9183072693</v>
      </c>
      <c r="DH96" s="34" t="n">
        <f aca="false">DH$86+DH$89</f>
        <v>30916.9183072693</v>
      </c>
      <c r="DI96" s="34" t="n">
        <f aca="false">DI$86+DI$89</f>
        <v>30916.9183072693</v>
      </c>
      <c r="DJ96" s="34" t="n">
        <f aca="false">DJ$86+DJ$89</f>
        <v>31101.3800539588</v>
      </c>
      <c r="DK96" s="34" t="n">
        <f aca="false">DK$86+DK$89</f>
        <v>31101.3800539588</v>
      </c>
      <c r="DL96" s="34" t="n">
        <f aca="false">DL$86+DL$89</f>
        <v>31101.3800539588</v>
      </c>
      <c r="DM96" s="34" t="n">
        <f aca="false">DM$86+DM$89</f>
        <v>31101.3800539588</v>
      </c>
      <c r="DN96" s="34" t="n">
        <f aca="false">DN$86+DN$89</f>
        <v>31101.3800539588</v>
      </c>
      <c r="DO96" s="34" t="n">
        <f aca="false">DO$86+DO$89</f>
        <v>31101.3800539588</v>
      </c>
      <c r="DP96" s="34" t="n">
        <f aca="false">DP$86+DP$89</f>
        <v>31101.3800539588</v>
      </c>
      <c r="DQ96" s="34" t="n">
        <f aca="false">DQ$86+DQ$89</f>
        <v>31101.3800539588</v>
      </c>
      <c r="DR96" s="34" t="n">
        <f aca="false">DR$86+DR$89</f>
        <v>31101.3800539588</v>
      </c>
      <c r="DS96" s="34" t="n">
        <f aca="false">DS$86+DS$89</f>
        <v>31101.3800539588</v>
      </c>
      <c r="DT96" s="34" t="n">
        <f aca="false">DT$86+DT$89</f>
        <v>31101.3800539588</v>
      </c>
      <c r="DU96" s="34" t="n">
        <f aca="false">DU$86+DU$89</f>
        <v>31101.3800539588</v>
      </c>
      <c r="DV96" s="34" t="n">
        <f aca="false">DV$86+DV$89</f>
        <v>0</v>
      </c>
      <c r="DW96" s="34" t="n">
        <f aca="false">DW$86+DW$89</f>
        <v>0</v>
      </c>
      <c r="DX96" s="34" t="n">
        <f aca="false">DX$86+DX$89</f>
        <v>0</v>
      </c>
      <c r="DY96" s="34" t="n">
        <f aca="false">DY$86+DY$89</f>
        <v>0</v>
      </c>
      <c r="DZ96" s="34" t="n">
        <f aca="false">DZ$86+DZ$89</f>
        <v>0</v>
      </c>
      <c r="EA96" s="34" t="n">
        <f aca="false">EA$86+EA$89</f>
        <v>0</v>
      </c>
      <c r="EB96" s="34" t="n">
        <f aca="false">EB$86+EB$89</f>
        <v>0</v>
      </c>
      <c r="EC96" s="34" t="n">
        <f aca="false">EC$86+EC$89</f>
        <v>0</v>
      </c>
      <c r="ED96" s="34" t="n">
        <f aca="false">ED$86+ED$89</f>
        <v>0</v>
      </c>
      <c r="EE96" s="34" t="n">
        <f aca="false">EE$86+EE$89</f>
        <v>0</v>
      </c>
      <c r="EF96" s="34" t="n">
        <f aca="false">EF$86+EF$89</f>
        <v>0</v>
      </c>
      <c r="EG96" s="34" t="n">
        <f aca="false">EG$86+EG$89</f>
        <v>0</v>
      </c>
      <c r="EH96" s="34" t="n">
        <f aca="false">EH$86+EH$89</f>
        <v>0</v>
      </c>
      <c r="EI96" s="34" t="n">
        <f aca="false">EI$86+EI$89</f>
        <v>0</v>
      </c>
      <c r="EJ96" s="34" t="n">
        <f aca="false">EJ$86+EJ$89</f>
        <v>0</v>
      </c>
      <c r="EK96" s="34" t="n">
        <f aca="false">EK$86+EK$89</f>
        <v>0</v>
      </c>
      <c r="EL96" s="34" t="n">
        <f aca="false">EL$86+EL$89</f>
        <v>0</v>
      </c>
      <c r="EM96" s="34" t="n">
        <f aca="false">EM$86+EM$89</f>
        <v>0</v>
      </c>
      <c r="EN96" s="34" t="n">
        <f aca="false">EN$86+EN$89</f>
        <v>0</v>
      </c>
      <c r="EO96" s="34" t="n">
        <f aca="false">EO$86+EO$89</f>
        <v>0</v>
      </c>
      <c r="EP96" s="34" t="n">
        <f aca="false">EP$86+EP$89</f>
        <v>0</v>
      </c>
      <c r="EQ96" s="34" t="n">
        <f aca="false">EQ$86+EQ$89</f>
        <v>0</v>
      </c>
      <c r="ER96" s="34" t="n">
        <f aca="false">ER$86+ER$89</f>
        <v>0</v>
      </c>
      <c r="ES96" s="34" t="n">
        <f aca="false">ES$86+ES$89</f>
        <v>0</v>
      </c>
    </row>
    <row r="97" customFormat="false" ht="15" hidden="false" customHeight="false" outlineLevel="0" collapsed="false">
      <c r="A97" s="2" t="s">
        <v>684</v>
      </c>
      <c r="B97" s="52" t="s">
        <v>685</v>
      </c>
      <c r="C97" s="6" t="s">
        <v>250</v>
      </c>
      <c r="E97" s="40" t="n">
        <f aca="false">SUM(F97:ES97)</f>
        <v>21340920.4743363</v>
      </c>
      <c r="F97" s="10" t="n">
        <f aca="false">F$71-F$93-F$94-F$95-F$96</f>
        <v>79096.469288216</v>
      </c>
      <c r="G97" s="10" t="n">
        <f aca="false">G$71-G$93-G$94-G$95-G$96</f>
        <v>79096.469288216</v>
      </c>
      <c r="H97" s="10" t="n">
        <f aca="false">H$71-H$93-H$94-H$95-H$96</f>
        <v>79096.469288216</v>
      </c>
      <c r="I97" s="10" t="n">
        <f aca="false">I$71-I$93-I$94-I$95-I$96</f>
        <v>79096.469288216</v>
      </c>
      <c r="J97" s="10" t="n">
        <f aca="false">J$71-J$93-J$94-J$95-J$96</f>
        <v>79096.469288216</v>
      </c>
      <c r="K97" s="10" t="n">
        <f aca="false">K$71-K$93-K$94-K$95-K$96</f>
        <v>79096.469288216</v>
      </c>
      <c r="L97" s="10" t="n">
        <f aca="false">L$71-L$93-L$94-L$95-L$96</f>
        <v>79096.469288216</v>
      </c>
      <c r="M97" s="10" t="n">
        <f aca="false">M$71-M$93-M$94-M$95-M$96</f>
        <v>79096.469288216</v>
      </c>
      <c r="N97" s="10" t="n">
        <f aca="false">N$71-N$93-N$94-N$95-N$96</f>
        <v>79096.469288216</v>
      </c>
      <c r="O97" s="10" t="n">
        <f aca="false">O$71-O$93-O$94-O$95-O$96</f>
        <v>79096.469288216</v>
      </c>
      <c r="P97" s="10" t="n">
        <f aca="false">P$71-P$93-P$94-P$95-P$96</f>
        <v>79096.469288216</v>
      </c>
      <c r="Q97" s="10" t="n">
        <f aca="false">Q$71-Q$93-Q$94-Q$95-Q$96</f>
        <v>79096.469288216</v>
      </c>
      <c r="R97" s="10" t="n">
        <f aca="false">R$71-R$93-R$94-R$95-R$96</f>
        <v>118738.075139924</v>
      </c>
      <c r="S97" s="10" t="n">
        <f aca="false">S$71-S$93-S$94-S$95-S$96</f>
        <v>118738.075139924</v>
      </c>
      <c r="T97" s="10" t="n">
        <f aca="false">T$71-T$93-T$94-T$95-T$96</f>
        <v>118738.075139924</v>
      </c>
      <c r="U97" s="10" t="n">
        <f aca="false">U$71-U$93-U$94-U$95-U$96</f>
        <v>118738.075139924</v>
      </c>
      <c r="V97" s="10" t="n">
        <f aca="false">V$71-V$93-V$94-V$95-V$96</f>
        <v>118738.075139924</v>
      </c>
      <c r="W97" s="10" t="n">
        <f aca="false">W$71-W$93-W$94-W$95-W$96</f>
        <v>118738.075139924</v>
      </c>
      <c r="X97" s="10" t="n">
        <f aca="false">X$71-X$93-X$94-X$95-X$96</f>
        <v>118738.075139924</v>
      </c>
      <c r="Y97" s="10" t="n">
        <f aca="false">Y$71-Y$93-Y$94-Y$95-Y$96</f>
        <v>118738.075139924</v>
      </c>
      <c r="Z97" s="10" t="n">
        <f aca="false">Z$71-Z$93-Z$94-Z$95-Z$96</f>
        <v>118738.075139924</v>
      </c>
      <c r="AA97" s="10" t="n">
        <f aca="false">AA$71-AA$93-AA$94-AA$95-AA$96</f>
        <v>118738.075139924</v>
      </c>
      <c r="AB97" s="10" t="n">
        <f aca="false">AB$71-AB$93-AB$94-AB$95-AB$96</f>
        <v>118738.075139924</v>
      </c>
      <c r="AC97" s="10" t="n">
        <f aca="false">AC$71-AC$93-AC$94-AC$95-AC$96</f>
        <v>118738.075139924</v>
      </c>
      <c r="AD97" s="10" t="n">
        <f aca="false">AD$71-AD$93-AD$94-AD$95-AD$96</f>
        <v>157007.189944418</v>
      </c>
      <c r="AE97" s="10" t="n">
        <f aca="false">AE$71-AE$93-AE$94-AE$95-AE$96</f>
        <v>157007.189944418</v>
      </c>
      <c r="AF97" s="10" t="n">
        <f aca="false">AF$71-AF$93-AF$94-AF$95-AF$96</f>
        <v>157007.189944418</v>
      </c>
      <c r="AG97" s="10" t="n">
        <f aca="false">AG$71-AG$93-AG$94-AG$95-AG$96</f>
        <v>157007.189944418</v>
      </c>
      <c r="AH97" s="10" t="n">
        <f aca="false">AH$71-AH$93-AH$94-AH$95-AH$96</f>
        <v>157007.189944418</v>
      </c>
      <c r="AI97" s="10" t="n">
        <f aca="false">AI$71-AI$93-AI$94-AI$95-AI$96</f>
        <v>157007.189944418</v>
      </c>
      <c r="AJ97" s="10" t="n">
        <f aca="false">AJ$71-AJ$93-AJ$94-AJ$95-AJ$96</f>
        <v>157007.189944418</v>
      </c>
      <c r="AK97" s="10" t="n">
        <f aca="false">AK$71-AK$93-AK$94-AK$95-AK$96</f>
        <v>157007.189944418</v>
      </c>
      <c r="AL97" s="10" t="n">
        <f aca="false">AL$71-AL$93-AL$94-AL$95-AL$96</f>
        <v>157007.189944418</v>
      </c>
      <c r="AM97" s="10" t="n">
        <f aca="false">AM$71-AM$93-AM$94-AM$95-AM$96</f>
        <v>157007.189944418</v>
      </c>
      <c r="AN97" s="10" t="n">
        <f aca="false">AN$71-AN$93-AN$94-AN$95-AN$96</f>
        <v>157007.189944418</v>
      </c>
      <c r="AO97" s="10" t="n">
        <f aca="false">AO$71-AO$93-AO$94-AO$95-AO$96</f>
        <v>157007.189944418</v>
      </c>
      <c r="AP97" s="10" t="n">
        <f aca="false">AP$71-AP$93-AP$94-AP$95-AP$96</f>
        <v>191337.339883818</v>
      </c>
      <c r="AQ97" s="10" t="n">
        <f aca="false">AQ$71-AQ$93-AQ$94-AQ$95-AQ$96</f>
        <v>191337.339883818</v>
      </c>
      <c r="AR97" s="10" t="n">
        <f aca="false">AR$71-AR$93-AR$94-AR$95-AR$96</f>
        <v>191337.339883818</v>
      </c>
      <c r="AS97" s="10" t="n">
        <f aca="false">AS$71-AS$93-AS$94-AS$95-AS$96</f>
        <v>191337.339883818</v>
      </c>
      <c r="AT97" s="10" t="n">
        <f aca="false">AT$71-AT$93-AT$94-AT$95-AT$96</f>
        <v>191337.339883818</v>
      </c>
      <c r="AU97" s="10" t="n">
        <f aca="false">AU$71-AU$93-AU$94-AU$95-AU$96</f>
        <v>191337.339883818</v>
      </c>
      <c r="AV97" s="10" t="n">
        <f aca="false">AV$71-AV$93-AV$94-AV$95-AV$96</f>
        <v>191337.339883818</v>
      </c>
      <c r="AW97" s="10" t="n">
        <f aca="false">AW$71-AW$93-AW$94-AW$95-AW$96</f>
        <v>191337.339883818</v>
      </c>
      <c r="AX97" s="10" t="n">
        <f aca="false">AX$71-AX$93-AX$94-AX$95-AX$96</f>
        <v>191337.339883818</v>
      </c>
      <c r="AY97" s="10" t="n">
        <f aca="false">AY$71-AY$93-AY$94-AY$95-AY$96</f>
        <v>191337.339883818</v>
      </c>
      <c r="AZ97" s="10" t="n">
        <f aca="false">AZ$71-AZ$93-AZ$94-AZ$95-AZ$96</f>
        <v>191337.339883818</v>
      </c>
      <c r="BA97" s="10" t="n">
        <f aca="false">BA$71-BA$93-BA$94-BA$95-BA$96</f>
        <v>191337.339883818</v>
      </c>
      <c r="BB97" s="10" t="n">
        <f aca="false">BB$71-BB$93-BB$94-BB$95-BB$96</f>
        <v>193312.131325573</v>
      </c>
      <c r="BC97" s="10" t="n">
        <f aca="false">BC$71-BC$93-BC$94-BC$95-BC$96</f>
        <v>193312.131325573</v>
      </c>
      <c r="BD97" s="10" t="n">
        <f aca="false">BD$71-BD$93-BD$94-BD$95-BD$96</f>
        <v>193312.131325573</v>
      </c>
      <c r="BE97" s="10" t="n">
        <f aca="false">BE$71-BE$93-BE$94-BE$95-BE$96</f>
        <v>193312.131325573</v>
      </c>
      <c r="BF97" s="10" t="n">
        <f aca="false">BF$71-BF$93-BF$94-BF$95-BF$96</f>
        <v>193312.131325573</v>
      </c>
      <c r="BG97" s="10" t="n">
        <f aca="false">BG$71-BG$93-BG$94-BG$95-BG$96</f>
        <v>193312.131325573</v>
      </c>
      <c r="BH97" s="10" t="n">
        <f aca="false">BH$71-BH$93-BH$94-BH$95-BH$96</f>
        <v>193312.131325573</v>
      </c>
      <c r="BI97" s="10" t="n">
        <f aca="false">BI$71-BI$93-BI$94-BI$95-BI$96</f>
        <v>193312.131325573</v>
      </c>
      <c r="BJ97" s="10" t="n">
        <f aca="false">BJ$71-BJ$93-BJ$94-BJ$95-BJ$96</f>
        <v>193312.131325573</v>
      </c>
      <c r="BK97" s="10" t="n">
        <f aca="false">BK$71-BK$93-BK$94-BK$95-BK$96</f>
        <v>193312.131325573</v>
      </c>
      <c r="BL97" s="10" t="n">
        <f aca="false">BL$71-BL$93-BL$94-BL$95-BL$96</f>
        <v>193312.131325573</v>
      </c>
      <c r="BM97" s="10" t="n">
        <f aca="false">BM$71-BM$93-BM$94-BM$95-BM$96</f>
        <v>193312.131325573</v>
      </c>
      <c r="BN97" s="10" t="n">
        <f aca="false">BN$71-BN$93-BN$94-BN$95-BN$96</f>
        <v>198072.823312718</v>
      </c>
      <c r="BO97" s="10" t="n">
        <f aca="false">BO$71-BO$93-BO$94-BO$95-BO$96</f>
        <v>198072.823312718</v>
      </c>
      <c r="BP97" s="10" t="n">
        <f aca="false">BP$71-BP$93-BP$94-BP$95-BP$96</f>
        <v>198072.823312718</v>
      </c>
      <c r="BQ97" s="10" t="n">
        <f aca="false">BQ$71-BQ$93-BQ$94-BQ$95-BQ$96</f>
        <v>198072.823312718</v>
      </c>
      <c r="BR97" s="10" t="n">
        <f aca="false">BR$71-BR$93-BR$94-BR$95-BR$96</f>
        <v>198072.823312718</v>
      </c>
      <c r="BS97" s="10" t="n">
        <f aca="false">BS$71-BS$93-BS$94-BS$95-BS$96</f>
        <v>198072.823312718</v>
      </c>
      <c r="BT97" s="10" t="n">
        <f aca="false">BT$71-BT$93-BT$94-BT$95-BT$96</f>
        <v>198072.823312718</v>
      </c>
      <c r="BU97" s="10" t="n">
        <f aca="false">BU$71-BU$93-BU$94-BU$95-BU$96</f>
        <v>198072.823312718</v>
      </c>
      <c r="BV97" s="10" t="n">
        <f aca="false">BV$71-BV$93-BV$94-BV$95-BV$96</f>
        <v>198072.823312718</v>
      </c>
      <c r="BW97" s="10" t="n">
        <f aca="false">BW$71-BW$93-BW$94-BW$95-BW$96</f>
        <v>198072.823312718</v>
      </c>
      <c r="BX97" s="10" t="n">
        <f aca="false">BX$71-BX$93-BX$94-BX$95-BX$96</f>
        <v>198072.823312718</v>
      </c>
      <c r="BY97" s="10" t="n">
        <f aca="false">BY$71-BY$93-BY$94-BY$95-BY$96</f>
        <v>198072.823312718</v>
      </c>
      <c r="BZ97" s="10" t="n">
        <f aca="false">BZ$71-BZ$93-BZ$94-BZ$95-BZ$96</f>
        <v>202880.55947332</v>
      </c>
      <c r="CA97" s="10" t="n">
        <f aca="false">CA$71-CA$93-CA$94-CA$95-CA$96</f>
        <v>202880.55947332</v>
      </c>
      <c r="CB97" s="10" t="n">
        <f aca="false">CB$71-CB$93-CB$94-CB$95-CB$96</f>
        <v>202880.55947332</v>
      </c>
      <c r="CC97" s="10" t="n">
        <f aca="false">CC$71-CC$93-CC$94-CC$95-CC$96</f>
        <v>202880.55947332</v>
      </c>
      <c r="CD97" s="10" t="n">
        <f aca="false">CD$71-CD$93-CD$94-CD$95-CD$96</f>
        <v>202880.55947332</v>
      </c>
      <c r="CE97" s="10" t="n">
        <f aca="false">CE$71-CE$93-CE$94-CE$95-CE$96</f>
        <v>202880.55947332</v>
      </c>
      <c r="CF97" s="10" t="n">
        <f aca="false">CF$71-CF$93-CF$94-CF$95-CF$96</f>
        <v>202880.55947332</v>
      </c>
      <c r="CG97" s="10" t="n">
        <f aca="false">CG$71-CG$93-CG$94-CG$95-CG$96</f>
        <v>202880.55947332</v>
      </c>
      <c r="CH97" s="10" t="n">
        <f aca="false">CH$71-CH$93-CH$94-CH$95-CH$96</f>
        <v>202880.55947332</v>
      </c>
      <c r="CI97" s="10" t="n">
        <f aca="false">CI$71-CI$93-CI$94-CI$95-CI$96</f>
        <v>202880.55947332</v>
      </c>
      <c r="CJ97" s="10" t="n">
        <f aca="false">CJ$71-CJ$93-CJ$94-CJ$95-CJ$96</f>
        <v>202880.55947332</v>
      </c>
      <c r="CK97" s="10" t="n">
        <f aca="false">CK$71-CK$93-CK$94-CK$95-CK$96</f>
        <v>202880.55947332</v>
      </c>
      <c r="CL97" s="10" t="n">
        <f aca="false">CL$71-CL$93-CL$94-CL$95-CL$96</f>
        <v>207735.798994188</v>
      </c>
      <c r="CM97" s="10" t="n">
        <f aca="false">CM$71-CM$93-CM$94-CM$95-CM$96</f>
        <v>207735.798994188</v>
      </c>
      <c r="CN97" s="10" t="n">
        <f aca="false">CN$71-CN$93-CN$94-CN$95-CN$96</f>
        <v>207735.798994188</v>
      </c>
      <c r="CO97" s="10" t="n">
        <f aca="false">CO$71-CO$93-CO$94-CO$95-CO$96</f>
        <v>207735.798994188</v>
      </c>
      <c r="CP97" s="10" t="n">
        <f aca="false">CP$71-CP$93-CP$94-CP$95-CP$96</f>
        <v>207735.798994188</v>
      </c>
      <c r="CQ97" s="10" t="n">
        <f aca="false">CQ$71-CQ$93-CQ$94-CQ$95-CQ$96</f>
        <v>207735.798994188</v>
      </c>
      <c r="CR97" s="10" t="n">
        <f aca="false">CR$71-CR$93-CR$94-CR$95-CR$96</f>
        <v>207735.798994188</v>
      </c>
      <c r="CS97" s="10" t="n">
        <f aca="false">CS$71-CS$93-CS$94-CS$95-CS$96</f>
        <v>207735.798994188</v>
      </c>
      <c r="CT97" s="10" t="n">
        <f aca="false">CT$71-CT$93-CT$94-CT$95-CT$96</f>
        <v>207735.798994188</v>
      </c>
      <c r="CU97" s="10" t="n">
        <f aca="false">CU$71-CU$93-CU$94-CU$95-CU$96</f>
        <v>207735.798994188</v>
      </c>
      <c r="CV97" s="10" t="n">
        <f aca="false">CV$71-CV$93-CV$94-CV$95-CV$96</f>
        <v>207735.798994188</v>
      </c>
      <c r="CW97" s="10" t="n">
        <f aca="false">CW$71-CW$93-CW$94-CW$95-CW$96</f>
        <v>207735.798994188</v>
      </c>
      <c r="CX97" s="10" t="n">
        <f aca="false">CX$71-CX$93-CX$94-CX$95-CX$96</f>
        <v>212639.005428895</v>
      </c>
      <c r="CY97" s="10" t="n">
        <f aca="false">CY$71-CY$93-CY$94-CY$95-CY$96</f>
        <v>212639.005428895</v>
      </c>
      <c r="CZ97" s="10" t="n">
        <f aca="false">CZ$71-CZ$93-CZ$94-CZ$95-CZ$96</f>
        <v>212639.005428895</v>
      </c>
      <c r="DA97" s="10" t="n">
        <f aca="false">DA$71-DA$93-DA$94-DA$95-DA$96</f>
        <v>212639.005428895</v>
      </c>
      <c r="DB97" s="10" t="n">
        <f aca="false">DB$71-DB$93-DB$94-DB$95-DB$96</f>
        <v>212639.005428895</v>
      </c>
      <c r="DC97" s="10" t="n">
        <f aca="false">DC$71-DC$93-DC$94-DC$95-DC$96</f>
        <v>212639.005428895</v>
      </c>
      <c r="DD97" s="10" t="n">
        <f aca="false">DD$71-DD$93-DD$94-DD$95-DD$96</f>
        <v>212639.005428895</v>
      </c>
      <c r="DE97" s="10" t="n">
        <f aca="false">DE$71-DE$93-DE$94-DE$95-DE$96</f>
        <v>212639.005428895</v>
      </c>
      <c r="DF97" s="10" t="n">
        <f aca="false">DF$71-DF$93-DF$94-DF$95-DF$96</f>
        <v>212639.005428895</v>
      </c>
      <c r="DG97" s="10" t="n">
        <f aca="false">DG$71-DG$93-DG$94-DG$95-DG$96</f>
        <v>212639.005428895</v>
      </c>
      <c r="DH97" s="10" t="n">
        <f aca="false">DH$71-DH$93-DH$94-DH$95-DH$96</f>
        <v>212639.005428895</v>
      </c>
      <c r="DI97" s="10" t="n">
        <f aca="false">DI$71-DI$93-DI$94-DI$95-DI$96</f>
        <v>212639.005428895</v>
      </c>
      <c r="DJ97" s="10" t="n">
        <f aca="false">DJ$71-DJ$93-DJ$94-DJ$95-DJ$96</f>
        <v>217590.646736953</v>
      </c>
      <c r="DK97" s="10" t="n">
        <f aca="false">DK$71-DK$93-DK$94-DK$95-DK$96</f>
        <v>217590.646736953</v>
      </c>
      <c r="DL97" s="10" t="n">
        <f aca="false">DL$71-DL$93-DL$94-DL$95-DL$96</f>
        <v>217590.646736953</v>
      </c>
      <c r="DM97" s="10" t="n">
        <f aca="false">DM$71-DM$93-DM$94-DM$95-DM$96</f>
        <v>217590.646736953</v>
      </c>
      <c r="DN97" s="10" t="n">
        <f aca="false">DN$71-DN$93-DN$94-DN$95-DN$96</f>
        <v>217590.646736953</v>
      </c>
      <c r="DO97" s="10" t="n">
        <f aca="false">DO$71-DO$93-DO$94-DO$95-DO$96</f>
        <v>217590.646736953</v>
      </c>
      <c r="DP97" s="10" t="n">
        <f aca="false">DP$71-DP$93-DP$94-DP$95-DP$96</f>
        <v>217590.646736953</v>
      </c>
      <c r="DQ97" s="10" t="n">
        <f aca="false">DQ$71-DQ$93-DQ$94-DQ$95-DQ$96</f>
        <v>217590.646736953</v>
      </c>
      <c r="DR97" s="10" t="n">
        <f aca="false">DR$71-DR$93-DR$94-DR$95-DR$96</f>
        <v>217590.646736953</v>
      </c>
      <c r="DS97" s="10" t="n">
        <f aca="false">DS$71-DS$93-DS$94-DS$95-DS$96</f>
        <v>217590.646736953</v>
      </c>
      <c r="DT97" s="10" t="n">
        <f aca="false">DT$71-DT$93-DT$94-DT$95-DT$96</f>
        <v>217590.646736953</v>
      </c>
      <c r="DU97" s="10" t="n">
        <f aca="false">DU$71-DU$93-DU$94-DU$95-DU$96</f>
        <v>217590.646736953</v>
      </c>
      <c r="DV97" s="10" t="n">
        <f aca="false">DV$71-DV$93-DV$94-DV$95-DV$96</f>
        <v>0</v>
      </c>
      <c r="DW97" s="10" t="n">
        <f aca="false">DW$71-DW$93-DW$94-DW$95-DW$96</f>
        <v>0</v>
      </c>
      <c r="DX97" s="10" t="n">
        <f aca="false">DX$71-DX$93-DX$94-DX$95-DX$96</f>
        <v>0</v>
      </c>
      <c r="DY97" s="10" t="n">
        <f aca="false">DY$71-DY$93-DY$94-DY$95-DY$96</f>
        <v>0</v>
      </c>
      <c r="DZ97" s="10" t="n">
        <f aca="false">DZ$71-DZ$93-DZ$94-DZ$95-DZ$96</f>
        <v>0</v>
      </c>
      <c r="EA97" s="10" t="n">
        <f aca="false">EA$71-EA$93-EA$94-EA$95-EA$96</f>
        <v>0</v>
      </c>
      <c r="EB97" s="10" t="n">
        <f aca="false">EB$71-EB$93-EB$94-EB$95-EB$96</f>
        <v>0</v>
      </c>
      <c r="EC97" s="10" t="n">
        <f aca="false">EC$71-EC$93-EC$94-EC$95-EC$96</f>
        <v>0</v>
      </c>
      <c r="ED97" s="10" t="n">
        <f aca="false">ED$71-ED$93-ED$94-ED$95-ED$96</f>
        <v>0</v>
      </c>
      <c r="EE97" s="10" t="n">
        <f aca="false">EE$71-EE$93-EE$94-EE$95-EE$96</f>
        <v>0</v>
      </c>
      <c r="EF97" s="10" t="n">
        <f aca="false">EF$71-EF$93-EF$94-EF$95-EF$96</f>
        <v>0</v>
      </c>
      <c r="EG97" s="10" t="n">
        <f aca="false">EG$71-EG$93-EG$94-EG$95-EG$96</f>
        <v>0</v>
      </c>
      <c r="EH97" s="10" t="n">
        <f aca="false">EH$71-EH$93-EH$94-EH$95-EH$96</f>
        <v>0</v>
      </c>
      <c r="EI97" s="10" t="n">
        <f aca="false">EI$71-EI$93-EI$94-EI$95-EI$96</f>
        <v>0</v>
      </c>
      <c r="EJ97" s="10" t="n">
        <f aca="false">EJ$71-EJ$93-EJ$94-EJ$95-EJ$96</f>
        <v>0</v>
      </c>
      <c r="EK97" s="10" t="n">
        <f aca="false">EK$71-EK$93-EK$94-EK$95-EK$96</f>
        <v>0</v>
      </c>
      <c r="EL97" s="10" t="n">
        <f aca="false">EL$71-EL$93-EL$94-EL$95-EL$96</f>
        <v>0</v>
      </c>
      <c r="EM97" s="10" t="n">
        <f aca="false">EM$71-EM$93-EM$94-EM$95-EM$96</f>
        <v>0</v>
      </c>
      <c r="EN97" s="10" t="n">
        <f aca="false">EN$71-EN$93-EN$94-EN$95-EN$96</f>
        <v>0</v>
      </c>
      <c r="EO97" s="10" t="n">
        <f aca="false">EO$71-EO$93-EO$94-EO$95-EO$96</f>
        <v>0</v>
      </c>
      <c r="EP97" s="10" t="n">
        <f aca="false">EP$71-EP$93-EP$94-EP$95-EP$96</f>
        <v>0</v>
      </c>
      <c r="EQ97" s="10" t="n">
        <f aca="false">EQ$71-EQ$93-EQ$94-EQ$95-EQ$96</f>
        <v>0</v>
      </c>
      <c r="ER97" s="10" t="n">
        <f aca="false">ER$71-ER$93-ER$94-ER$95-ER$96</f>
        <v>0</v>
      </c>
      <c r="ES97" s="10" t="n">
        <f aca="false">ES$71-ES$93-ES$94-ES$95-ES$96</f>
        <v>0</v>
      </c>
    </row>
    <row r="98" customFormat="false" ht="15" hidden="false" customHeight="false" outlineLevel="0" collapsed="false">
      <c r="A98" s="2" t="s">
        <v>686</v>
      </c>
      <c r="B98" s="6" t="s">
        <v>687</v>
      </c>
      <c r="C98" s="6" t="s">
        <v>250</v>
      </c>
      <c r="E98" s="40" t="n">
        <f aca="false">SUM(F98:ES98)</f>
        <v>1075198.52627014</v>
      </c>
      <c r="F98" s="34" t="n">
        <f aca="false">F$82</f>
        <v>8959.98771891781</v>
      </c>
      <c r="G98" s="34" t="n">
        <f aca="false">G$82</f>
        <v>8959.98771891781</v>
      </c>
      <c r="H98" s="34" t="n">
        <f aca="false">H$82</f>
        <v>8959.98771891781</v>
      </c>
      <c r="I98" s="34" t="n">
        <f aca="false">I$82</f>
        <v>8959.98771891781</v>
      </c>
      <c r="J98" s="34" t="n">
        <f aca="false">J$82</f>
        <v>8959.98771891781</v>
      </c>
      <c r="K98" s="34" t="n">
        <f aca="false">K$82</f>
        <v>8959.98771891781</v>
      </c>
      <c r="L98" s="34" t="n">
        <f aca="false">L$82</f>
        <v>8959.98771891781</v>
      </c>
      <c r="M98" s="34" t="n">
        <f aca="false">M$82</f>
        <v>8959.98771891781</v>
      </c>
      <c r="N98" s="34" t="n">
        <f aca="false">N$82</f>
        <v>8959.98771891781</v>
      </c>
      <c r="O98" s="34" t="n">
        <f aca="false">O$82</f>
        <v>8959.98771891781</v>
      </c>
      <c r="P98" s="34" t="n">
        <f aca="false">P$82</f>
        <v>8959.98771891781</v>
      </c>
      <c r="Q98" s="34" t="n">
        <f aca="false">Q$82</f>
        <v>8959.98771891781</v>
      </c>
      <c r="R98" s="34" t="n">
        <f aca="false">R$82</f>
        <v>8959.98771891781</v>
      </c>
      <c r="S98" s="34" t="n">
        <f aca="false">S$82</f>
        <v>8959.98771891781</v>
      </c>
      <c r="T98" s="34" t="n">
        <f aca="false">T$82</f>
        <v>8959.98771891781</v>
      </c>
      <c r="U98" s="34" t="n">
        <f aca="false">U$82</f>
        <v>8959.98771891781</v>
      </c>
      <c r="V98" s="34" t="n">
        <f aca="false">V$82</f>
        <v>8959.98771891781</v>
      </c>
      <c r="W98" s="34" t="n">
        <f aca="false">W$82</f>
        <v>8959.98771891781</v>
      </c>
      <c r="X98" s="34" t="n">
        <f aca="false">X$82</f>
        <v>8959.98771891781</v>
      </c>
      <c r="Y98" s="34" t="n">
        <f aca="false">Y$82</f>
        <v>8959.98771891781</v>
      </c>
      <c r="Z98" s="34" t="n">
        <f aca="false">Z$82</f>
        <v>8959.98771891781</v>
      </c>
      <c r="AA98" s="34" t="n">
        <f aca="false">AA$82</f>
        <v>8959.98771891781</v>
      </c>
      <c r="AB98" s="34" t="n">
        <f aca="false">AB$82</f>
        <v>8959.98771891781</v>
      </c>
      <c r="AC98" s="34" t="n">
        <f aca="false">AC$82</f>
        <v>8959.98771891781</v>
      </c>
      <c r="AD98" s="34" t="n">
        <f aca="false">AD$82</f>
        <v>8959.98771891781</v>
      </c>
      <c r="AE98" s="34" t="n">
        <f aca="false">AE$82</f>
        <v>8959.98771891781</v>
      </c>
      <c r="AF98" s="34" t="n">
        <f aca="false">AF$82</f>
        <v>8959.98771891781</v>
      </c>
      <c r="AG98" s="34" t="n">
        <f aca="false">AG$82</f>
        <v>8959.98771891781</v>
      </c>
      <c r="AH98" s="34" t="n">
        <f aca="false">AH$82</f>
        <v>8959.98771891781</v>
      </c>
      <c r="AI98" s="34" t="n">
        <f aca="false">AI$82</f>
        <v>8959.98771891781</v>
      </c>
      <c r="AJ98" s="34" t="n">
        <f aca="false">AJ$82</f>
        <v>8959.98771891781</v>
      </c>
      <c r="AK98" s="34" t="n">
        <f aca="false">AK$82</f>
        <v>8959.98771891781</v>
      </c>
      <c r="AL98" s="34" t="n">
        <f aca="false">AL$82</f>
        <v>8959.98771891781</v>
      </c>
      <c r="AM98" s="34" t="n">
        <f aca="false">AM$82</f>
        <v>8959.98771891781</v>
      </c>
      <c r="AN98" s="34" t="n">
        <f aca="false">AN$82</f>
        <v>8959.98771891781</v>
      </c>
      <c r="AO98" s="34" t="n">
        <f aca="false">AO$82</f>
        <v>8959.98771891781</v>
      </c>
      <c r="AP98" s="34" t="n">
        <f aca="false">AP$82</f>
        <v>8959.98771891781</v>
      </c>
      <c r="AQ98" s="34" t="n">
        <f aca="false">AQ$82</f>
        <v>8959.98771891781</v>
      </c>
      <c r="AR98" s="34" t="n">
        <f aca="false">AR$82</f>
        <v>8959.98771891781</v>
      </c>
      <c r="AS98" s="34" t="n">
        <f aca="false">AS$82</f>
        <v>8959.98771891781</v>
      </c>
      <c r="AT98" s="34" t="n">
        <f aca="false">AT$82</f>
        <v>8959.98771891781</v>
      </c>
      <c r="AU98" s="34" t="n">
        <f aca="false">AU$82</f>
        <v>8959.98771891781</v>
      </c>
      <c r="AV98" s="34" t="n">
        <f aca="false">AV$82</f>
        <v>8959.98771891781</v>
      </c>
      <c r="AW98" s="34" t="n">
        <f aca="false">AW$82</f>
        <v>8959.98771891781</v>
      </c>
      <c r="AX98" s="34" t="n">
        <f aca="false">AX$82</f>
        <v>8959.98771891781</v>
      </c>
      <c r="AY98" s="34" t="n">
        <f aca="false">AY$82</f>
        <v>8959.98771891781</v>
      </c>
      <c r="AZ98" s="34" t="n">
        <f aca="false">AZ$82</f>
        <v>8959.98771891781</v>
      </c>
      <c r="BA98" s="34" t="n">
        <f aca="false">BA$82</f>
        <v>8959.98771891781</v>
      </c>
      <c r="BB98" s="34" t="n">
        <f aca="false">BB$82</f>
        <v>8959.98771891781</v>
      </c>
      <c r="BC98" s="34" t="n">
        <f aca="false">BC$82</f>
        <v>8959.98771891781</v>
      </c>
      <c r="BD98" s="34" t="n">
        <f aca="false">BD$82</f>
        <v>8959.98771891781</v>
      </c>
      <c r="BE98" s="34" t="n">
        <f aca="false">BE$82</f>
        <v>8959.98771891781</v>
      </c>
      <c r="BF98" s="34" t="n">
        <f aca="false">BF$82</f>
        <v>8959.98771891781</v>
      </c>
      <c r="BG98" s="34" t="n">
        <f aca="false">BG$82</f>
        <v>8959.98771891781</v>
      </c>
      <c r="BH98" s="34" t="n">
        <f aca="false">BH$82</f>
        <v>8959.98771891781</v>
      </c>
      <c r="BI98" s="34" t="n">
        <f aca="false">BI$82</f>
        <v>8959.98771891781</v>
      </c>
      <c r="BJ98" s="34" t="n">
        <f aca="false">BJ$82</f>
        <v>8959.98771891781</v>
      </c>
      <c r="BK98" s="34" t="n">
        <f aca="false">BK$82</f>
        <v>8959.98771891781</v>
      </c>
      <c r="BL98" s="34" t="n">
        <f aca="false">BL$82</f>
        <v>8959.98771891781</v>
      </c>
      <c r="BM98" s="34" t="n">
        <f aca="false">BM$82</f>
        <v>8959.98771891781</v>
      </c>
      <c r="BN98" s="34" t="n">
        <f aca="false">BN$82</f>
        <v>8959.98771891781</v>
      </c>
      <c r="BO98" s="34" t="n">
        <f aca="false">BO$82</f>
        <v>8959.98771891781</v>
      </c>
      <c r="BP98" s="34" t="n">
        <f aca="false">BP$82</f>
        <v>8959.98771891781</v>
      </c>
      <c r="BQ98" s="34" t="n">
        <f aca="false">BQ$82</f>
        <v>8959.98771891781</v>
      </c>
      <c r="BR98" s="34" t="n">
        <f aca="false">BR$82</f>
        <v>8959.98771891781</v>
      </c>
      <c r="BS98" s="34" t="n">
        <f aca="false">BS$82</f>
        <v>8959.98771891781</v>
      </c>
      <c r="BT98" s="34" t="n">
        <f aca="false">BT$82</f>
        <v>8959.98771891781</v>
      </c>
      <c r="BU98" s="34" t="n">
        <f aca="false">BU$82</f>
        <v>8959.98771891781</v>
      </c>
      <c r="BV98" s="34" t="n">
        <f aca="false">BV$82</f>
        <v>8959.98771891781</v>
      </c>
      <c r="BW98" s="34" t="n">
        <f aca="false">BW$82</f>
        <v>8959.98771891781</v>
      </c>
      <c r="BX98" s="34" t="n">
        <f aca="false">BX$82</f>
        <v>8959.98771891781</v>
      </c>
      <c r="BY98" s="34" t="n">
        <f aca="false">BY$82</f>
        <v>8959.98771891781</v>
      </c>
      <c r="BZ98" s="34" t="n">
        <f aca="false">BZ$82</f>
        <v>8959.98771891781</v>
      </c>
      <c r="CA98" s="34" t="n">
        <f aca="false">CA$82</f>
        <v>8959.98771891781</v>
      </c>
      <c r="CB98" s="34" t="n">
        <f aca="false">CB$82</f>
        <v>8959.98771891781</v>
      </c>
      <c r="CC98" s="34" t="n">
        <f aca="false">CC$82</f>
        <v>8959.98771891781</v>
      </c>
      <c r="CD98" s="34" t="n">
        <f aca="false">CD$82</f>
        <v>8959.98771891781</v>
      </c>
      <c r="CE98" s="34" t="n">
        <f aca="false">CE$82</f>
        <v>8959.98771891781</v>
      </c>
      <c r="CF98" s="34" t="n">
        <f aca="false">CF$82</f>
        <v>8959.98771891781</v>
      </c>
      <c r="CG98" s="34" t="n">
        <f aca="false">CG$82</f>
        <v>8959.98771891781</v>
      </c>
      <c r="CH98" s="34" t="n">
        <f aca="false">CH$82</f>
        <v>8959.98771891781</v>
      </c>
      <c r="CI98" s="34" t="n">
        <f aca="false">CI$82</f>
        <v>8959.98771891781</v>
      </c>
      <c r="CJ98" s="34" t="n">
        <f aca="false">CJ$82</f>
        <v>8959.98771891781</v>
      </c>
      <c r="CK98" s="34" t="n">
        <f aca="false">CK$82</f>
        <v>8959.98771891781</v>
      </c>
      <c r="CL98" s="34" t="n">
        <f aca="false">CL$82</f>
        <v>8959.98771891781</v>
      </c>
      <c r="CM98" s="34" t="n">
        <f aca="false">CM$82</f>
        <v>8959.98771891781</v>
      </c>
      <c r="CN98" s="34" t="n">
        <f aca="false">CN$82</f>
        <v>8959.98771891781</v>
      </c>
      <c r="CO98" s="34" t="n">
        <f aca="false">CO$82</f>
        <v>8959.98771891781</v>
      </c>
      <c r="CP98" s="34" t="n">
        <f aca="false">CP$82</f>
        <v>8959.98771891781</v>
      </c>
      <c r="CQ98" s="34" t="n">
        <f aca="false">CQ$82</f>
        <v>8959.98771891781</v>
      </c>
      <c r="CR98" s="34" t="n">
        <f aca="false">CR$82</f>
        <v>8959.98771891781</v>
      </c>
      <c r="CS98" s="34" t="n">
        <f aca="false">CS$82</f>
        <v>8959.98771891781</v>
      </c>
      <c r="CT98" s="34" t="n">
        <f aca="false">CT$82</f>
        <v>8959.98771891781</v>
      </c>
      <c r="CU98" s="34" t="n">
        <f aca="false">CU$82</f>
        <v>8959.98771891781</v>
      </c>
      <c r="CV98" s="34" t="n">
        <f aca="false">CV$82</f>
        <v>8959.98771891781</v>
      </c>
      <c r="CW98" s="34" t="n">
        <f aca="false">CW$82</f>
        <v>8959.98771891781</v>
      </c>
      <c r="CX98" s="34" t="n">
        <f aca="false">CX$82</f>
        <v>8959.98771891781</v>
      </c>
      <c r="CY98" s="34" t="n">
        <f aca="false">CY$82</f>
        <v>8959.98771891781</v>
      </c>
      <c r="CZ98" s="34" t="n">
        <f aca="false">CZ$82</f>
        <v>8959.98771891781</v>
      </c>
      <c r="DA98" s="34" t="n">
        <f aca="false">DA$82</f>
        <v>8959.98771891781</v>
      </c>
      <c r="DB98" s="34" t="n">
        <f aca="false">DB$82</f>
        <v>8959.98771891781</v>
      </c>
      <c r="DC98" s="34" t="n">
        <f aca="false">DC$82</f>
        <v>8959.98771891781</v>
      </c>
      <c r="DD98" s="34" t="n">
        <f aca="false">DD$82</f>
        <v>8959.98771891781</v>
      </c>
      <c r="DE98" s="34" t="n">
        <f aca="false">DE$82</f>
        <v>8959.98771891781</v>
      </c>
      <c r="DF98" s="34" t="n">
        <f aca="false">DF$82</f>
        <v>8959.98771891781</v>
      </c>
      <c r="DG98" s="34" t="n">
        <f aca="false">DG$82</f>
        <v>8959.98771891781</v>
      </c>
      <c r="DH98" s="34" t="n">
        <f aca="false">DH$82</f>
        <v>8959.98771891781</v>
      </c>
      <c r="DI98" s="34" t="n">
        <f aca="false">DI$82</f>
        <v>8959.98771891781</v>
      </c>
      <c r="DJ98" s="34" t="n">
        <f aca="false">DJ$82</f>
        <v>8959.98771891781</v>
      </c>
      <c r="DK98" s="34" t="n">
        <f aca="false">DK$82</f>
        <v>8959.98771891781</v>
      </c>
      <c r="DL98" s="34" t="n">
        <f aca="false">DL$82</f>
        <v>8959.98771891781</v>
      </c>
      <c r="DM98" s="34" t="n">
        <f aca="false">DM$82</f>
        <v>8959.98771891781</v>
      </c>
      <c r="DN98" s="34" t="n">
        <f aca="false">DN$82</f>
        <v>8959.98771891781</v>
      </c>
      <c r="DO98" s="34" t="n">
        <f aca="false">DO$82</f>
        <v>8959.98771891781</v>
      </c>
      <c r="DP98" s="34" t="n">
        <f aca="false">DP$82</f>
        <v>8959.98771891781</v>
      </c>
      <c r="DQ98" s="34" t="n">
        <f aca="false">DQ$82</f>
        <v>8959.98771891781</v>
      </c>
      <c r="DR98" s="34" t="n">
        <f aca="false">DR$82</f>
        <v>8959.98771891781</v>
      </c>
      <c r="DS98" s="34" t="n">
        <f aca="false">DS$82</f>
        <v>8959.98771891781</v>
      </c>
      <c r="DT98" s="34" t="n">
        <f aca="false">DT$82</f>
        <v>8959.98771891781</v>
      </c>
      <c r="DU98" s="34" t="n">
        <f aca="false">DU$82</f>
        <v>8959.98771891781</v>
      </c>
      <c r="DV98" s="34" t="n">
        <f aca="false">DV$82</f>
        <v>0</v>
      </c>
      <c r="DW98" s="34" t="n">
        <f aca="false">DW$82</f>
        <v>0</v>
      </c>
      <c r="DX98" s="34" t="n">
        <f aca="false">DX$82</f>
        <v>0</v>
      </c>
      <c r="DY98" s="34" t="n">
        <f aca="false">DY$82</f>
        <v>0</v>
      </c>
      <c r="DZ98" s="34" t="n">
        <f aca="false">DZ$82</f>
        <v>0</v>
      </c>
      <c r="EA98" s="34" t="n">
        <f aca="false">EA$82</f>
        <v>0</v>
      </c>
      <c r="EB98" s="34" t="n">
        <f aca="false">EB$82</f>
        <v>0</v>
      </c>
      <c r="EC98" s="34" t="n">
        <f aca="false">EC$82</f>
        <v>0</v>
      </c>
      <c r="ED98" s="34" t="n">
        <f aca="false">ED$82</f>
        <v>0</v>
      </c>
      <c r="EE98" s="34" t="n">
        <f aca="false">EE$82</f>
        <v>0</v>
      </c>
      <c r="EF98" s="34" t="n">
        <f aca="false">EF$82</f>
        <v>0</v>
      </c>
      <c r="EG98" s="34" t="n">
        <f aca="false">EG$82</f>
        <v>0</v>
      </c>
      <c r="EH98" s="34" t="n">
        <f aca="false">EH$82</f>
        <v>0</v>
      </c>
      <c r="EI98" s="34" t="n">
        <f aca="false">EI$82</f>
        <v>0</v>
      </c>
      <c r="EJ98" s="34" t="n">
        <f aca="false">EJ$82</f>
        <v>0</v>
      </c>
      <c r="EK98" s="34" t="n">
        <f aca="false">EK$82</f>
        <v>0</v>
      </c>
      <c r="EL98" s="34" t="n">
        <f aca="false">EL$82</f>
        <v>0</v>
      </c>
      <c r="EM98" s="34" t="n">
        <f aca="false">EM$82</f>
        <v>0</v>
      </c>
      <c r="EN98" s="34" t="n">
        <f aca="false">EN$82</f>
        <v>0</v>
      </c>
      <c r="EO98" s="34" t="n">
        <f aca="false">EO$82</f>
        <v>0</v>
      </c>
      <c r="EP98" s="34" t="n">
        <f aca="false">EP$82</f>
        <v>0</v>
      </c>
      <c r="EQ98" s="34" t="n">
        <f aca="false">EQ$82</f>
        <v>0</v>
      </c>
      <c r="ER98" s="34" t="n">
        <f aca="false">ER$82</f>
        <v>0</v>
      </c>
      <c r="ES98" s="34" t="n">
        <f aca="false">ES$82</f>
        <v>0</v>
      </c>
    </row>
    <row r="99" customFormat="false" ht="15" hidden="false" customHeight="false" outlineLevel="0" collapsed="false">
      <c r="A99" s="2" t="s">
        <v>688</v>
      </c>
      <c r="B99" s="6" t="s">
        <v>689</v>
      </c>
      <c r="C99" s="6" t="s">
        <v>250</v>
      </c>
      <c r="E99" s="40" t="n">
        <f aca="false">SUM(F99:ES99)</f>
        <v>3143993.45458867</v>
      </c>
      <c r="F99" s="34" t="n">
        <f aca="false">F$87+F$90</f>
        <v>23597.3144270418</v>
      </c>
      <c r="G99" s="34" t="n">
        <f aca="false">G$87+G$90</f>
        <v>23597.3144270418</v>
      </c>
      <c r="H99" s="34" t="n">
        <f aca="false">H$87+H$90</f>
        <v>23597.3144270418</v>
      </c>
      <c r="I99" s="34" t="n">
        <f aca="false">I$87+I$90</f>
        <v>23597.3144270418</v>
      </c>
      <c r="J99" s="34" t="n">
        <f aca="false">J$87+J$90</f>
        <v>23597.3144270418</v>
      </c>
      <c r="K99" s="34" t="n">
        <f aca="false">K$87+K$90</f>
        <v>23597.3144270418</v>
      </c>
      <c r="L99" s="34" t="n">
        <f aca="false">L$87+L$90</f>
        <v>23597.3144270418</v>
      </c>
      <c r="M99" s="34" t="n">
        <f aca="false">M$87+M$90</f>
        <v>23597.3144270418</v>
      </c>
      <c r="N99" s="34" t="n">
        <f aca="false">N$87+N$90</f>
        <v>23597.3144270418</v>
      </c>
      <c r="O99" s="34" t="n">
        <f aca="false">O$87+O$90</f>
        <v>23597.3144270418</v>
      </c>
      <c r="P99" s="34" t="n">
        <f aca="false">P$87+P$90</f>
        <v>23597.3144270418</v>
      </c>
      <c r="Q99" s="34" t="n">
        <f aca="false">Q$87+Q$90</f>
        <v>23597.3144270418</v>
      </c>
      <c r="R99" s="34" t="n">
        <f aca="false">R$87+R$90</f>
        <v>24130.6844270418</v>
      </c>
      <c r="S99" s="34" t="n">
        <f aca="false">S$87+S$90</f>
        <v>24130.6844270418</v>
      </c>
      <c r="T99" s="34" t="n">
        <f aca="false">T$87+T$90</f>
        <v>24130.6844270418</v>
      </c>
      <c r="U99" s="34" t="n">
        <f aca="false">U$87+U$90</f>
        <v>24130.6844270418</v>
      </c>
      <c r="V99" s="34" t="n">
        <f aca="false">V$87+V$90</f>
        <v>24130.6844270418</v>
      </c>
      <c r="W99" s="34" t="n">
        <f aca="false">W$87+W$90</f>
        <v>24130.6844270418</v>
      </c>
      <c r="X99" s="34" t="n">
        <f aca="false">X$87+X$90</f>
        <v>24130.6844270418</v>
      </c>
      <c r="Y99" s="34" t="n">
        <f aca="false">Y$87+Y$90</f>
        <v>24130.6844270418</v>
      </c>
      <c r="Z99" s="34" t="n">
        <f aca="false">Z$87+Z$90</f>
        <v>24130.6844270418</v>
      </c>
      <c r="AA99" s="34" t="n">
        <f aca="false">AA$87+AA$90</f>
        <v>24130.6844270418</v>
      </c>
      <c r="AB99" s="34" t="n">
        <f aca="false">AB$87+AB$90</f>
        <v>24130.6844270418</v>
      </c>
      <c r="AC99" s="34" t="n">
        <f aca="false">AC$87+AC$90</f>
        <v>24130.6844270418</v>
      </c>
      <c r="AD99" s="34" t="n">
        <f aca="false">AD$87+AD$90</f>
        <v>24680.0555270418</v>
      </c>
      <c r="AE99" s="34" t="n">
        <f aca="false">AE$87+AE$90</f>
        <v>24680.0555270418</v>
      </c>
      <c r="AF99" s="34" t="n">
        <f aca="false">AF$87+AF$90</f>
        <v>24680.0555270418</v>
      </c>
      <c r="AG99" s="34" t="n">
        <f aca="false">AG$87+AG$90</f>
        <v>24680.0555270418</v>
      </c>
      <c r="AH99" s="34" t="n">
        <f aca="false">AH$87+AH$90</f>
        <v>24680.0555270418</v>
      </c>
      <c r="AI99" s="34" t="n">
        <f aca="false">AI$87+AI$90</f>
        <v>24680.0555270418</v>
      </c>
      <c r="AJ99" s="34" t="n">
        <f aca="false">AJ$87+AJ$90</f>
        <v>24680.0555270418</v>
      </c>
      <c r="AK99" s="34" t="n">
        <f aca="false">AK$87+AK$90</f>
        <v>24680.0555270418</v>
      </c>
      <c r="AL99" s="34" t="n">
        <f aca="false">AL$87+AL$90</f>
        <v>24680.0555270418</v>
      </c>
      <c r="AM99" s="34" t="n">
        <f aca="false">AM$87+AM$90</f>
        <v>24680.0555270418</v>
      </c>
      <c r="AN99" s="34" t="n">
        <f aca="false">AN$87+AN$90</f>
        <v>24680.0555270418</v>
      </c>
      <c r="AO99" s="34" t="n">
        <f aca="false">AO$87+AO$90</f>
        <v>24680.0555270418</v>
      </c>
      <c r="AP99" s="34" t="n">
        <f aca="false">AP$87+AP$90</f>
        <v>25245.9077600418</v>
      </c>
      <c r="AQ99" s="34" t="n">
        <f aca="false">AQ$87+AQ$90</f>
        <v>25245.9077600418</v>
      </c>
      <c r="AR99" s="34" t="n">
        <f aca="false">AR$87+AR$90</f>
        <v>25245.9077600418</v>
      </c>
      <c r="AS99" s="34" t="n">
        <f aca="false">AS$87+AS$90</f>
        <v>25245.9077600418</v>
      </c>
      <c r="AT99" s="34" t="n">
        <f aca="false">AT$87+AT$90</f>
        <v>25245.9077600418</v>
      </c>
      <c r="AU99" s="34" t="n">
        <f aca="false">AU$87+AU$90</f>
        <v>25245.9077600418</v>
      </c>
      <c r="AV99" s="34" t="n">
        <f aca="false">AV$87+AV$90</f>
        <v>25245.9077600418</v>
      </c>
      <c r="AW99" s="34" t="n">
        <f aca="false">AW$87+AW$90</f>
        <v>25245.9077600418</v>
      </c>
      <c r="AX99" s="34" t="n">
        <f aca="false">AX$87+AX$90</f>
        <v>25245.9077600418</v>
      </c>
      <c r="AY99" s="34" t="n">
        <f aca="false">AY$87+AY$90</f>
        <v>25245.9077600418</v>
      </c>
      <c r="AZ99" s="34" t="n">
        <f aca="false">AZ$87+AZ$90</f>
        <v>25245.9077600418</v>
      </c>
      <c r="BA99" s="34" t="n">
        <f aca="false">BA$87+BA$90</f>
        <v>25245.9077600418</v>
      </c>
      <c r="BB99" s="34" t="n">
        <f aca="false">BB$87+BB$90</f>
        <v>25828.7355600318</v>
      </c>
      <c r="BC99" s="34" t="n">
        <f aca="false">BC$87+BC$90</f>
        <v>25828.7355600318</v>
      </c>
      <c r="BD99" s="34" t="n">
        <f aca="false">BD$87+BD$90</f>
        <v>25828.7355600318</v>
      </c>
      <c r="BE99" s="34" t="n">
        <f aca="false">BE$87+BE$90</f>
        <v>25828.7355600318</v>
      </c>
      <c r="BF99" s="34" t="n">
        <f aca="false">BF$87+BF$90</f>
        <v>25828.7355600318</v>
      </c>
      <c r="BG99" s="34" t="n">
        <f aca="false">BG$87+BG$90</f>
        <v>25828.7355600318</v>
      </c>
      <c r="BH99" s="34" t="n">
        <f aca="false">BH$87+BH$90</f>
        <v>25828.7355600318</v>
      </c>
      <c r="BI99" s="34" t="n">
        <f aca="false">BI$87+BI$90</f>
        <v>25828.7355600318</v>
      </c>
      <c r="BJ99" s="34" t="n">
        <f aca="false">BJ$87+BJ$90</f>
        <v>25828.7355600318</v>
      </c>
      <c r="BK99" s="34" t="n">
        <f aca="false">BK$87+BK$90</f>
        <v>25828.7355600318</v>
      </c>
      <c r="BL99" s="34" t="n">
        <f aca="false">BL$87+BL$90</f>
        <v>25828.7355600318</v>
      </c>
      <c r="BM99" s="34" t="n">
        <f aca="false">BM$87+BM$90</f>
        <v>25828.7355600318</v>
      </c>
      <c r="BN99" s="34" t="n">
        <f aca="false">BN$87+BN$90</f>
        <v>26429.0481940215</v>
      </c>
      <c r="BO99" s="34" t="n">
        <f aca="false">BO$87+BO$90</f>
        <v>26429.0481940215</v>
      </c>
      <c r="BP99" s="34" t="n">
        <f aca="false">BP$87+BP$90</f>
        <v>26429.0481940215</v>
      </c>
      <c r="BQ99" s="34" t="n">
        <f aca="false">BQ$87+BQ$90</f>
        <v>26429.0481940215</v>
      </c>
      <c r="BR99" s="34" t="n">
        <f aca="false">BR$87+BR$90</f>
        <v>26429.0481940215</v>
      </c>
      <c r="BS99" s="34" t="n">
        <f aca="false">BS$87+BS$90</f>
        <v>26429.0481940215</v>
      </c>
      <c r="BT99" s="34" t="n">
        <f aca="false">BT$87+BT$90</f>
        <v>26429.0481940215</v>
      </c>
      <c r="BU99" s="34" t="n">
        <f aca="false">BU$87+BU$90</f>
        <v>26429.0481940215</v>
      </c>
      <c r="BV99" s="34" t="n">
        <f aca="false">BV$87+BV$90</f>
        <v>26429.0481940215</v>
      </c>
      <c r="BW99" s="34" t="n">
        <f aca="false">BW$87+BW$90</f>
        <v>26429.0481940215</v>
      </c>
      <c r="BX99" s="34" t="n">
        <f aca="false">BX$87+BX$90</f>
        <v>26429.0481940215</v>
      </c>
      <c r="BY99" s="34" t="n">
        <f aca="false">BY$87+BY$90</f>
        <v>26429.0481940215</v>
      </c>
      <c r="BZ99" s="34" t="n">
        <f aca="false">BZ$87+BZ$90</f>
        <v>27047.3702070309</v>
      </c>
      <c r="CA99" s="34" t="n">
        <f aca="false">CA$87+CA$90</f>
        <v>27047.3702070309</v>
      </c>
      <c r="CB99" s="34" t="n">
        <f aca="false">CB$87+CB$90</f>
        <v>27047.3702070309</v>
      </c>
      <c r="CC99" s="34" t="n">
        <f aca="false">CC$87+CC$90</f>
        <v>27047.3702070309</v>
      </c>
      <c r="CD99" s="34" t="n">
        <f aca="false">CD$87+CD$90</f>
        <v>27047.3702070309</v>
      </c>
      <c r="CE99" s="34" t="n">
        <f aca="false">CE$87+CE$90</f>
        <v>27047.3702070309</v>
      </c>
      <c r="CF99" s="34" t="n">
        <f aca="false">CF$87+CF$90</f>
        <v>27047.3702070309</v>
      </c>
      <c r="CG99" s="34" t="n">
        <f aca="false">CG$87+CG$90</f>
        <v>27047.3702070309</v>
      </c>
      <c r="CH99" s="34" t="n">
        <f aca="false">CH$87+CH$90</f>
        <v>27047.3702070309</v>
      </c>
      <c r="CI99" s="34" t="n">
        <f aca="false">CI$87+CI$90</f>
        <v>27047.3702070309</v>
      </c>
      <c r="CJ99" s="34" t="n">
        <f aca="false">CJ$87+CJ$90</f>
        <v>27047.3702070309</v>
      </c>
      <c r="CK99" s="34" t="n">
        <f aca="false">CK$87+CK$90</f>
        <v>27047.3702070309</v>
      </c>
      <c r="CL99" s="34" t="n">
        <f aca="false">CL$87+CL$90</f>
        <v>27684.2418804306</v>
      </c>
      <c r="CM99" s="34" t="n">
        <f aca="false">CM$87+CM$90</f>
        <v>27684.2418804306</v>
      </c>
      <c r="CN99" s="34" t="n">
        <f aca="false">CN$87+CN$90</f>
        <v>27684.2418804306</v>
      </c>
      <c r="CO99" s="34" t="n">
        <f aca="false">CO$87+CO$90</f>
        <v>27684.2418804306</v>
      </c>
      <c r="CP99" s="34" t="n">
        <f aca="false">CP$87+CP$90</f>
        <v>27684.2418804306</v>
      </c>
      <c r="CQ99" s="34" t="n">
        <f aca="false">CQ$87+CQ$90</f>
        <v>27684.2418804306</v>
      </c>
      <c r="CR99" s="34" t="n">
        <f aca="false">CR$87+CR$90</f>
        <v>27684.2418804306</v>
      </c>
      <c r="CS99" s="34" t="n">
        <f aca="false">CS$87+CS$90</f>
        <v>27684.2418804306</v>
      </c>
      <c r="CT99" s="34" t="n">
        <f aca="false">CT$87+CT$90</f>
        <v>27684.2418804306</v>
      </c>
      <c r="CU99" s="34" t="n">
        <f aca="false">CU$87+CU$90</f>
        <v>27684.2418804306</v>
      </c>
      <c r="CV99" s="34" t="n">
        <f aca="false">CV$87+CV$90</f>
        <v>27684.2418804306</v>
      </c>
      <c r="CW99" s="34" t="n">
        <f aca="false">CW$87+CW$90</f>
        <v>27684.2418804306</v>
      </c>
      <c r="CX99" s="34" t="n">
        <f aca="false">CX$87+CX$90</f>
        <v>28340.2197040322</v>
      </c>
      <c r="CY99" s="34" t="n">
        <f aca="false">CY$87+CY$90</f>
        <v>28340.2197040322</v>
      </c>
      <c r="CZ99" s="34" t="n">
        <f aca="false">CZ$87+CZ$90</f>
        <v>28340.2197040322</v>
      </c>
      <c r="DA99" s="34" t="n">
        <f aca="false">DA$87+DA$90</f>
        <v>28340.2197040322</v>
      </c>
      <c r="DB99" s="34" t="n">
        <f aca="false">DB$87+DB$90</f>
        <v>28340.2197040322</v>
      </c>
      <c r="DC99" s="34" t="n">
        <f aca="false">DC$87+DC$90</f>
        <v>28340.2197040322</v>
      </c>
      <c r="DD99" s="34" t="n">
        <f aca="false">DD$87+DD$90</f>
        <v>28340.2197040322</v>
      </c>
      <c r="DE99" s="34" t="n">
        <f aca="false">DE$87+DE$90</f>
        <v>28340.2197040322</v>
      </c>
      <c r="DF99" s="34" t="n">
        <f aca="false">DF$87+DF$90</f>
        <v>28340.2197040322</v>
      </c>
      <c r="DG99" s="34" t="n">
        <f aca="false">DG$87+DG$90</f>
        <v>28340.2197040322</v>
      </c>
      <c r="DH99" s="34" t="n">
        <f aca="false">DH$87+DH$90</f>
        <v>28340.2197040322</v>
      </c>
      <c r="DI99" s="34" t="n">
        <f aca="false">DI$87+DI$90</f>
        <v>28340.2197040322</v>
      </c>
      <c r="DJ99" s="34" t="n">
        <f aca="false">DJ$87+DJ$90</f>
        <v>29015.8768623419</v>
      </c>
      <c r="DK99" s="34" t="n">
        <f aca="false">DK$87+DK$90</f>
        <v>29015.8768623419</v>
      </c>
      <c r="DL99" s="34" t="n">
        <f aca="false">DL$87+DL$90</f>
        <v>29015.8768623419</v>
      </c>
      <c r="DM99" s="34" t="n">
        <f aca="false">DM$87+DM$90</f>
        <v>29015.8768623419</v>
      </c>
      <c r="DN99" s="34" t="n">
        <f aca="false">DN$87+DN$90</f>
        <v>29015.8768623419</v>
      </c>
      <c r="DO99" s="34" t="n">
        <f aca="false">DO$87+DO$90</f>
        <v>29015.8768623419</v>
      </c>
      <c r="DP99" s="34" t="n">
        <f aca="false">DP$87+DP$90</f>
        <v>29015.8768623419</v>
      </c>
      <c r="DQ99" s="34" t="n">
        <f aca="false">DQ$87+DQ$90</f>
        <v>29015.8768623419</v>
      </c>
      <c r="DR99" s="34" t="n">
        <f aca="false">DR$87+DR$90</f>
        <v>29015.8768623419</v>
      </c>
      <c r="DS99" s="34" t="n">
        <f aca="false">DS$87+DS$90</f>
        <v>29015.8768623419</v>
      </c>
      <c r="DT99" s="34" t="n">
        <f aca="false">DT$87+DT$90</f>
        <v>29015.8768623419</v>
      </c>
      <c r="DU99" s="34" t="n">
        <f aca="false">DU$87+DU$90</f>
        <v>29015.8768623419</v>
      </c>
      <c r="DV99" s="34" t="n">
        <f aca="false">DV$87+DV$90</f>
        <v>0</v>
      </c>
      <c r="DW99" s="34" t="n">
        <f aca="false">DW$87+DW$90</f>
        <v>0</v>
      </c>
      <c r="DX99" s="34" t="n">
        <f aca="false">DX$87+DX$90</f>
        <v>0</v>
      </c>
      <c r="DY99" s="34" t="n">
        <f aca="false">DY$87+DY$90</f>
        <v>0</v>
      </c>
      <c r="DZ99" s="34" t="n">
        <f aca="false">DZ$87+DZ$90</f>
        <v>0</v>
      </c>
      <c r="EA99" s="34" t="n">
        <f aca="false">EA$87+EA$90</f>
        <v>0</v>
      </c>
      <c r="EB99" s="34" t="n">
        <f aca="false">EB$87+EB$90</f>
        <v>0</v>
      </c>
      <c r="EC99" s="34" t="n">
        <f aca="false">EC$87+EC$90</f>
        <v>0</v>
      </c>
      <c r="ED99" s="34" t="n">
        <f aca="false">ED$87+ED$90</f>
        <v>0</v>
      </c>
      <c r="EE99" s="34" t="n">
        <f aca="false">EE$87+EE$90</f>
        <v>0</v>
      </c>
      <c r="EF99" s="34" t="n">
        <f aca="false">EF$87+EF$90</f>
        <v>0</v>
      </c>
      <c r="EG99" s="34" t="n">
        <f aca="false">EG$87+EG$90</f>
        <v>0</v>
      </c>
      <c r="EH99" s="34" t="n">
        <f aca="false">EH$87+EH$90</f>
        <v>0</v>
      </c>
      <c r="EI99" s="34" t="n">
        <f aca="false">EI$87+EI$90</f>
        <v>0</v>
      </c>
      <c r="EJ99" s="34" t="n">
        <f aca="false">EJ$87+EJ$90</f>
        <v>0</v>
      </c>
      <c r="EK99" s="34" t="n">
        <f aca="false">EK$87+EK$90</f>
        <v>0</v>
      </c>
      <c r="EL99" s="34" t="n">
        <f aca="false">EL$87+EL$90</f>
        <v>0</v>
      </c>
      <c r="EM99" s="34" t="n">
        <f aca="false">EM$87+EM$90</f>
        <v>0</v>
      </c>
      <c r="EN99" s="34" t="n">
        <f aca="false">EN$87+EN$90</f>
        <v>0</v>
      </c>
      <c r="EO99" s="34" t="n">
        <f aca="false">EO$87+EO$90</f>
        <v>0</v>
      </c>
      <c r="EP99" s="34" t="n">
        <f aca="false">EP$87+EP$90</f>
        <v>0</v>
      </c>
      <c r="EQ99" s="34" t="n">
        <f aca="false">EQ$87+EQ$90</f>
        <v>0</v>
      </c>
      <c r="ER99" s="34" t="n">
        <f aca="false">ER$87+ER$90</f>
        <v>0</v>
      </c>
      <c r="ES99" s="34" t="n">
        <f aca="false">ES$87+ES$90</f>
        <v>0</v>
      </c>
    </row>
    <row r="100" customFormat="false" ht="15" hidden="false" customHeight="false" outlineLevel="0" collapsed="false">
      <c r="A100" s="2" t="s">
        <v>690</v>
      </c>
      <c r="B100" s="6" t="s">
        <v>529</v>
      </c>
      <c r="C100" s="6" t="s">
        <v>250</v>
      </c>
      <c r="E100" s="40" t="n">
        <f aca="false">SUM(F100:ES100)</f>
        <v>812224.477216454</v>
      </c>
      <c r="F100" s="34" t="n">
        <f aca="false">F$85</f>
        <v>4041.66666666667</v>
      </c>
      <c r="G100" s="34" t="n">
        <f aca="false">G$85</f>
        <v>4041.66666666667</v>
      </c>
      <c r="H100" s="34" t="n">
        <f aca="false">H$85</f>
        <v>4041.66666666667</v>
      </c>
      <c r="I100" s="34" t="n">
        <f aca="false">I$85</f>
        <v>4041.66666666667</v>
      </c>
      <c r="J100" s="34" t="n">
        <f aca="false">J$85</f>
        <v>4041.66666666667</v>
      </c>
      <c r="K100" s="34" t="n">
        <f aca="false">K$85</f>
        <v>4041.66666666667</v>
      </c>
      <c r="L100" s="34" t="n">
        <f aca="false">L$85</f>
        <v>4041.66666666667</v>
      </c>
      <c r="M100" s="34" t="n">
        <f aca="false">M$85</f>
        <v>4041.66666666667</v>
      </c>
      <c r="N100" s="34" t="n">
        <f aca="false">N$85</f>
        <v>4041.66666666667</v>
      </c>
      <c r="O100" s="34" t="n">
        <f aca="false">O$85</f>
        <v>4041.66666666667</v>
      </c>
      <c r="P100" s="34" t="n">
        <f aca="false">P$85</f>
        <v>4041.66666666667</v>
      </c>
      <c r="Q100" s="34" t="n">
        <f aca="false">Q$85</f>
        <v>4041.66666666667</v>
      </c>
      <c r="R100" s="34" t="n">
        <f aca="false">R$85</f>
        <v>5151</v>
      </c>
      <c r="S100" s="34" t="n">
        <f aca="false">S$85</f>
        <v>5151</v>
      </c>
      <c r="T100" s="34" t="n">
        <f aca="false">T$85</f>
        <v>5151</v>
      </c>
      <c r="U100" s="34" t="n">
        <f aca="false">U$85</f>
        <v>5151</v>
      </c>
      <c r="V100" s="34" t="n">
        <f aca="false">V$85</f>
        <v>5151</v>
      </c>
      <c r="W100" s="34" t="n">
        <f aca="false">W$85</f>
        <v>5151</v>
      </c>
      <c r="X100" s="34" t="n">
        <f aca="false">X$85</f>
        <v>5151</v>
      </c>
      <c r="Y100" s="34" t="n">
        <f aca="false">Y$85</f>
        <v>5151</v>
      </c>
      <c r="Z100" s="34" t="n">
        <f aca="false">Z$85</f>
        <v>5151</v>
      </c>
      <c r="AA100" s="34" t="n">
        <f aca="false">AA$85</f>
        <v>5151</v>
      </c>
      <c r="AB100" s="34" t="n">
        <f aca="false">AB$85</f>
        <v>5151</v>
      </c>
      <c r="AC100" s="34" t="n">
        <f aca="false">AC$85</f>
        <v>5151</v>
      </c>
      <c r="AD100" s="34" t="n">
        <f aca="false">AD$85</f>
        <v>6282.11583333333</v>
      </c>
      <c r="AE100" s="34" t="n">
        <f aca="false">AE$85</f>
        <v>6282.11583333333</v>
      </c>
      <c r="AF100" s="34" t="n">
        <f aca="false">AF$85</f>
        <v>6282.11583333333</v>
      </c>
      <c r="AG100" s="34" t="n">
        <f aca="false">AG$85</f>
        <v>6282.11583333333</v>
      </c>
      <c r="AH100" s="34" t="n">
        <f aca="false">AH$85</f>
        <v>6282.11583333333</v>
      </c>
      <c r="AI100" s="34" t="n">
        <f aca="false">AI$85</f>
        <v>6282.11583333333</v>
      </c>
      <c r="AJ100" s="34" t="n">
        <f aca="false">AJ$85</f>
        <v>6282.11583333333</v>
      </c>
      <c r="AK100" s="34" t="n">
        <f aca="false">AK$85</f>
        <v>6282.11583333333</v>
      </c>
      <c r="AL100" s="34" t="n">
        <f aca="false">AL$85</f>
        <v>6282.11583333333</v>
      </c>
      <c r="AM100" s="34" t="n">
        <f aca="false">AM$85</f>
        <v>6282.11583333333</v>
      </c>
      <c r="AN100" s="34" t="n">
        <f aca="false">AN$85</f>
        <v>6282.11583333333</v>
      </c>
      <c r="AO100" s="34" t="n">
        <f aca="false">AO$85</f>
        <v>6282.11583333333</v>
      </c>
      <c r="AP100" s="34" t="n">
        <f aca="false">AP$85</f>
        <v>7237.864525</v>
      </c>
      <c r="AQ100" s="34" t="n">
        <f aca="false">AQ$85</f>
        <v>7237.864525</v>
      </c>
      <c r="AR100" s="34" t="n">
        <f aca="false">AR$85</f>
        <v>7237.864525</v>
      </c>
      <c r="AS100" s="34" t="n">
        <f aca="false">AS$85</f>
        <v>7237.864525</v>
      </c>
      <c r="AT100" s="34" t="n">
        <f aca="false">AT$85</f>
        <v>7237.864525</v>
      </c>
      <c r="AU100" s="34" t="n">
        <f aca="false">AU$85</f>
        <v>7237.864525</v>
      </c>
      <c r="AV100" s="34" t="n">
        <f aca="false">AV$85</f>
        <v>7237.864525</v>
      </c>
      <c r="AW100" s="34" t="n">
        <f aca="false">AW$85</f>
        <v>7237.864525</v>
      </c>
      <c r="AX100" s="34" t="n">
        <f aca="false">AX$85</f>
        <v>7237.864525</v>
      </c>
      <c r="AY100" s="34" t="n">
        <f aca="false">AY$85</f>
        <v>7237.864525</v>
      </c>
      <c r="AZ100" s="34" t="n">
        <f aca="false">AZ$85</f>
        <v>7237.864525</v>
      </c>
      <c r="BA100" s="34" t="n">
        <f aca="false">BA$85</f>
        <v>7237.864525</v>
      </c>
      <c r="BB100" s="34" t="n">
        <f aca="false">BB$85</f>
        <v>7310.24317025</v>
      </c>
      <c r="BC100" s="34" t="n">
        <f aca="false">BC$85</f>
        <v>7310.24317025</v>
      </c>
      <c r="BD100" s="34" t="n">
        <f aca="false">BD$85</f>
        <v>7310.24317025</v>
      </c>
      <c r="BE100" s="34" t="n">
        <f aca="false">BE$85</f>
        <v>7310.24317025</v>
      </c>
      <c r="BF100" s="34" t="n">
        <f aca="false">BF$85</f>
        <v>7310.24317025</v>
      </c>
      <c r="BG100" s="34" t="n">
        <f aca="false">BG$85</f>
        <v>7310.24317025</v>
      </c>
      <c r="BH100" s="34" t="n">
        <f aca="false">BH$85</f>
        <v>7310.24317025</v>
      </c>
      <c r="BI100" s="34" t="n">
        <f aca="false">BI$85</f>
        <v>7310.24317025</v>
      </c>
      <c r="BJ100" s="34" t="n">
        <f aca="false">BJ$85</f>
        <v>7310.24317025</v>
      </c>
      <c r="BK100" s="34" t="n">
        <f aca="false">BK$85</f>
        <v>7310.24317025</v>
      </c>
      <c r="BL100" s="34" t="n">
        <f aca="false">BL$85</f>
        <v>7310.24317025</v>
      </c>
      <c r="BM100" s="34" t="n">
        <f aca="false">BM$85</f>
        <v>7310.24317025</v>
      </c>
      <c r="BN100" s="34" t="n">
        <f aca="false">BN$85</f>
        <v>7383.3456019525</v>
      </c>
      <c r="BO100" s="34" t="n">
        <f aca="false">BO$85</f>
        <v>7383.3456019525</v>
      </c>
      <c r="BP100" s="34" t="n">
        <f aca="false">BP$85</f>
        <v>7383.3456019525</v>
      </c>
      <c r="BQ100" s="34" t="n">
        <f aca="false">BQ$85</f>
        <v>7383.3456019525</v>
      </c>
      <c r="BR100" s="34" t="n">
        <f aca="false">BR$85</f>
        <v>7383.3456019525</v>
      </c>
      <c r="BS100" s="34" t="n">
        <f aca="false">BS$85</f>
        <v>7383.3456019525</v>
      </c>
      <c r="BT100" s="34" t="n">
        <f aca="false">BT$85</f>
        <v>7383.3456019525</v>
      </c>
      <c r="BU100" s="34" t="n">
        <f aca="false">BU$85</f>
        <v>7383.3456019525</v>
      </c>
      <c r="BV100" s="34" t="n">
        <f aca="false">BV$85</f>
        <v>7383.3456019525</v>
      </c>
      <c r="BW100" s="34" t="n">
        <f aca="false">BW$85</f>
        <v>7383.3456019525</v>
      </c>
      <c r="BX100" s="34" t="n">
        <f aca="false">BX$85</f>
        <v>7383.3456019525</v>
      </c>
      <c r="BY100" s="34" t="n">
        <f aca="false">BY$85</f>
        <v>7383.3456019525</v>
      </c>
      <c r="BZ100" s="34" t="n">
        <f aca="false">BZ$85</f>
        <v>7457.17905797202</v>
      </c>
      <c r="CA100" s="34" t="n">
        <f aca="false">CA$85</f>
        <v>7457.17905797202</v>
      </c>
      <c r="CB100" s="34" t="n">
        <f aca="false">CB$85</f>
        <v>7457.17905797202</v>
      </c>
      <c r="CC100" s="34" t="n">
        <f aca="false">CC$85</f>
        <v>7457.17905797202</v>
      </c>
      <c r="CD100" s="34" t="n">
        <f aca="false">CD$85</f>
        <v>7457.17905797202</v>
      </c>
      <c r="CE100" s="34" t="n">
        <f aca="false">CE$85</f>
        <v>7457.17905797202</v>
      </c>
      <c r="CF100" s="34" t="n">
        <f aca="false">CF$85</f>
        <v>7457.17905797202</v>
      </c>
      <c r="CG100" s="34" t="n">
        <f aca="false">CG$85</f>
        <v>7457.17905797202</v>
      </c>
      <c r="CH100" s="34" t="n">
        <f aca="false">CH$85</f>
        <v>7457.17905797202</v>
      </c>
      <c r="CI100" s="34" t="n">
        <f aca="false">CI$85</f>
        <v>7457.17905797202</v>
      </c>
      <c r="CJ100" s="34" t="n">
        <f aca="false">CJ$85</f>
        <v>7457.17905797202</v>
      </c>
      <c r="CK100" s="34" t="n">
        <f aca="false">CK$85</f>
        <v>7457.17905797202</v>
      </c>
      <c r="CL100" s="34" t="n">
        <f aca="false">CL$85</f>
        <v>7531.75084855175</v>
      </c>
      <c r="CM100" s="34" t="n">
        <f aca="false">CM$85</f>
        <v>7531.75084855175</v>
      </c>
      <c r="CN100" s="34" t="n">
        <f aca="false">CN$85</f>
        <v>7531.75084855175</v>
      </c>
      <c r="CO100" s="34" t="n">
        <f aca="false">CO$85</f>
        <v>7531.75084855175</v>
      </c>
      <c r="CP100" s="34" t="n">
        <f aca="false">CP$85</f>
        <v>7531.75084855175</v>
      </c>
      <c r="CQ100" s="34" t="n">
        <f aca="false">CQ$85</f>
        <v>7531.75084855175</v>
      </c>
      <c r="CR100" s="34" t="n">
        <f aca="false">CR$85</f>
        <v>7531.75084855175</v>
      </c>
      <c r="CS100" s="34" t="n">
        <f aca="false">CS$85</f>
        <v>7531.75084855175</v>
      </c>
      <c r="CT100" s="34" t="n">
        <f aca="false">CT$85</f>
        <v>7531.75084855175</v>
      </c>
      <c r="CU100" s="34" t="n">
        <f aca="false">CU$85</f>
        <v>7531.75084855175</v>
      </c>
      <c r="CV100" s="34" t="n">
        <f aca="false">CV$85</f>
        <v>7531.75084855175</v>
      </c>
      <c r="CW100" s="34" t="n">
        <f aca="false">CW$85</f>
        <v>7531.75084855175</v>
      </c>
      <c r="CX100" s="34" t="n">
        <f aca="false">CX$85</f>
        <v>7607.06835703726</v>
      </c>
      <c r="CY100" s="34" t="n">
        <f aca="false">CY$85</f>
        <v>7607.06835703726</v>
      </c>
      <c r="CZ100" s="34" t="n">
        <f aca="false">CZ$85</f>
        <v>7607.06835703726</v>
      </c>
      <c r="DA100" s="34" t="n">
        <f aca="false">DA$85</f>
        <v>7607.06835703726</v>
      </c>
      <c r="DB100" s="34" t="n">
        <f aca="false">DB$85</f>
        <v>7607.06835703726</v>
      </c>
      <c r="DC100" s="34" t="n">
        <f aca="false">DC$85</f>
        <v>7607.06835703726</v>
      </c>
      <c r="DD100" s="34" t="n">
        <f aca="false">DD$85</f>
        <v>7607.06835703726</v>
      </c>
      <c r="DE100" s="34" t="n">
        <f aca="false">DE$85</f>
        <v>7607.06835703726</v>
      </c>
      <c r="DF100" s="34" t="n">
        <f aca="false">DF$85</f>
        <v>7607.06835703726</v>
      </c>
      <c r="DG100" s="34" t="n">
        <f aca="false">DG$85</f>
        <v>7607.06835703726</v>
      </c>
      <c r="DH100" s="34" t="n">
        <f aca="false">DH$85</f>
        <v>7607.06835703726</v>
      </c>
      <c r="DI100" s="34" t="n">
        <f aca="false">DI$85</f>
        <v>7607.06835703726</v>
      </c>
      <c r="DJ100" s="34" t="n">
        <f aca="false">DJ$85</f>
        <v>7683.13904060764</v>
      </c>
      <c r="DK100" s="34" t="n">
        <f aca="false">DK$85</f>
        <v>7683.13904060764</v>
      </c>
      <c r="DL100" s="34" t="n">
        <f aca="false">DL$85</f>
        <v>7683.13904060764</v>
      </c>
      <c r="DM100" s="34" t="n">
        <f aca="false">DM$85</f>
        <v>7683.13904060764</v>
      </c>
      <c r="DN100" s="34" t="n">
        <f aca="false">DN$85</f>
        <v>7683.13904060764</v>
      </c>
      <c r="DO100" s="34" t="n">
        <f aca="false">DO$85</f>
        <v>7683.13904060764</v>
      </c>
      <c r="DP100" s="34" t="n">
        <f aca="false">DP$85</f>
        <v>7683.13904060764</v>
      </c>
      <c r="DQ100" s="34" t="n">
        <f aca="false">DQ$85</f>
        <v>7683.13904060764</v>
      </c>
      <c r="DR100" s="34" t="n">
        <f aca="false">DR$85</f>
        <v>7683.13904060764</v>
      </c>
      <c r="DS100" s="34" t="n">
        <f aca="false">DS$85</f>
        <v>7683.13904060764</v>
      </c>
      <c r="DT100" s="34" t="n">
        <f aca="false">DT$85</f>
        <v>7683.13904060764</v>
      </c>
      <c r="DU100" s="34" t="n">
        <f aca="false">DU$85</f>
        <v>7683.13904060764</v>
      </c>
      <c r="DV100" s="34" t="n">
        <f aca="false">DV$85</f>
        <v>0</v>
      </c>
      <c r="DW100" s="34" t="n">
        <f aca="false">DW$85</f>
        <v>0</v>
      </c>
      <c r="DX100" s="34" t="n">
        <f aca="false">DX$85</f>
        <v>0</v>
      </c>
      <c r="DY100" s="34" t="n">
        <f aca="false">DY$85</f>
        <v>0</v>
      </c>
      <c r="DZ100" s="34" t="n">
        <f aca="false">DZ$85</f>
        <v>0</v>
      </c>
      <c r="EA100" s="34" t="n">
        <f aca="false">EA$85</f>
        <v>0</v>
      </c>
      <c r="EB100" s="34" t="n">
        <f aca="false">EB$85</f>
        <v>0</v>
      </c>
      <c r="EC100" s="34" t="n">
        <f aca="false">EC$85</f>
        <v>0</v>
      </c>
      <c r="ED100" s="34" t="n">
        <f aca="false">ED$85</f>
        <v>0</v>
      </c>
      <c r="EE100" s="34" t="n">
        <f aca="false">EE$85</f>
        <v>0</v>
      </c>
      <c r="EF100" s="34" t="n">
        <f aca="false">EF$85</f>
        <v>0</v>
      </c>
      <c r="EG100" s="34" t="n">
        <f aca="false">EG$85</f>
        <v>0</v>
      </c>
      <c r="EH100" s="34" t="n">
        <f aca="false">EH$85</f>
        <v>0</v>
      </c>
      <c r="EI100" s="34" t="n">
        <f aca="false">EI$85</f>
        <v>0</v>
      </c>
      <c r="EJ100" s="34" t="n">
        <f aca="false">EJ$85</f>
        <v>0</v>
      </c>
      <c r="EK100" s="34" t="n">
        <f aca="false">EK$85</f>
        <v>0</v>
      </c>
      <c r="EL100" s="34" t="n">
        <f aca="false">EL$85</f>
        <v>0</v>
      </c>
      <c r="EM100" s="34" t="n">
        <f aca="false">EM$85</f>
        <v>0</v>
      </c>
      <c r="EN100" s="34" t="n">
        <f aca="false">EN$85</f>
        <v>0</v>
      </c>
      <c r="EO100" s="34" t="n">
        <f aca="false">EO$85</f>
        <v>0</v>
      </c>
      <c r="EP100" s="34" t="n">
        <f aca="false">EP$85</f>
        <v>0</v>
      </c>
      <c r="EQ100" s="34" t="n">
        <f aca="false">EQ$85</f>
        <v>0</v>
      </c>
      <c r="ER100" s="34" t="n">
        <f aca="false">ER$85</f>
        <v>0</v>
      </c>
      <c r="ES100" s="34" t="n">
        <f aca="false">ES$85</f>
        <v>0</v>
      </c>
    </row>
    <row r="101" customFormat="false" ht="15" hidden="false" customHeight="false" outlineLevel="0" collapsed="false">
      <c r="A101" s="2" t="s">
        <v>691</v>
      </c>
      <c r="B101" s="6" t="s">
        <v>692</v>
      </c>
      <c r="C101" s="6" t="s">
        <v>250</v>
      </c>
      <c r="E101" s="40" t="n">
        <f aca="false">SUM(F101:ES101)</f>
        <v>0</v>
      </c>
      <c r="F101" s="34" t="n">
        <f aca="false">F$91*P_IVArec</f>
        <v>0</v>
      </c>
      <c r="G101" s="34" t="n">
        <f aca="false">G$91*P_IVArec</f>
        <v>0</v>
      </c>
      <c r="H101" s="34" t="n">
        <f aca="false">H$91*P_IVArec</f>
        <v>0</v>
      </c>
      <c r="I101" s="34" t="n">
        <f aca="false">I$91*P_IVArec</f>
        <v>0</v>
      </c>
      <c r="J101" s="34" t="n">
        <f aca="false">J$91*P_IVArec</f>
        <v>0</v>
      </c>
      <c r="K101" s="34" t="n">
        <f aca="false">K$91*P_IVArec</f>
        <v>0</v>
      </c>
      <c r="L101" s="34" t="n">
        <f aca="false">L$91*P_IVArec</f>
        <v>0</v>
      </c>
      <c r="M101" s="34" t="n">
        <f aca="false">M$91*P_IVArec</f>
        <v>0</v>
      </c>
      <c r="N101" s="34" t="n">
        <f aca="false">N$91*P_IVArec</f>
        <v>0</v>
      </c>
      <c r="O101" s="34" t="n">
        <f aca="false">O$91*P_IVArec</f>
        <v>0</v>
      </c>
      <c r="P101" s="34" t="n">
        <f aca="false">P$91*P_IVArec</f>
        <v>0</v>
      </c>
      <c r="Q101" s="34" t="n">
        <f aca="false">Q$91*P_IVArec</f>
        <v>0</v>
      </c>
      <c r="R101" s="34" t="n">
        <f aca="false">R$91*P_IVArec</f>
        <v>0</v>
      </c>
      <c r="S101" s="34" t="n">
        <f aca="false">S$91*P_IVArec</f>
        <v>0</v>
      </c>
      <c r="T101" s="34" t="n">
        <f aca="false">T$91*P_IVArec</f>
        <v>0</v>
      </c>
      <c r="U101" s="34" t="n">
        <f aca="false">U$91*P_IVArec</f>
        <v>0</v>
      </c>
      <c r="V101" s="34" t="n">
        <f aca="false">V$91*P_IVArec</f>
        <v>0</v>
      </c>
      <c r="W101" s="34" t="n">
        <f aca="false">W$91*P_IVArec</f>
        <v>0</v>
      </c>
      <c r="X101" s="34" t="n">
        <f aca="false">X$91*P_IVArec</f>
        <v>0</v>
      </c>
      <c r="Y101" s="34" t="n">
        <f aca="false">Y$91*P_IVArec</f>
        <v>0</v>
      </c>
      <c r="Z101" s="34" t="n">
        <f aca="false">Z$91*P_IVArec</f>
        <v>0</v>
      </c>
      <c r="AA101" s="34" t="n">
        <f aca="false">AA$91*P_IVArec</f>
        <v>0</v>
      </c>
      <c r="AB101" s="34" t="n">
        <f aca="false">AB$91*P_IVArec</f>
        <v>0</v>
      </c>
      <c r="AC101" s="34" t="n">
        <f aca="false">AC$91*P_IVArec</f>
        <v>0</v>
      </c>
      <c r="AD101" s="34" t="n">
        <f aca="false">AD$91*P_IVArec</f>
        <v>0</v>
      </c>
      <c r="AE101" s="34" t="n">
        <f aca="false">AE$91*P_IVArec</f>
        <v>0</v>
      </c>
      <c r="AF101" s="34" t="n">
        <f aca="false">AF$91*P_IVArec</f>
        <v>0</v>
      </c>
      <c r="AG101" s="34" t="n">
        <f aca="false">AG$91*P_IVArec</f>
        <v>0</v>
      </c>
      <c r="AH101" s="34" t="n">
        <f aca="false">AH$91*P_IVArec</f>
        <v>0</v>
      </c>
      <c r="AI101" s="34" t="n">
        <f aca="false">AI$91*P_IVArec</f>
        <v>0</v>
      </c>
      <c r="AJ101" s="34" t="n">
        <f aca="false">AJ$91*P_IVArec</f>
        <v>0</v>
      </c>
      <c r="AK101" s="34" t="n">
        <f aca="false">AK$91*P_IVArec</f>
        <v>0</v>
      </c>
      <c r="AL101" s="34" t="n">
        <f aca="false">AL$91*P_IVArec</f>
        <v>0</v>
      </c>
      <c r="AM101" s="34" t="n">
        <f aca="false">AM$91*P_IVArec</f>
        <v>0</v>
      </c>
      <c r="AN101" s="34" t="n">
        <f aca="false">AN$91*P_IVArec</f>
        <v>0</v>
      </c>
      <c r="AO101" s="34" t="n">
        <f aca="false">AO$91*P_IVArec</f>
        <v>0</v>
      </c>
      <c r="AP101" s="34" t="n">
        <f aca="false">AP$91*P_IVArec</f>
        <v>0</v>
      </c>
      <c r="AQ101" s="34" t="n">
        <f aca="false">AQ$91*P_IVArec</f>
        <v>0</v>
      </c>
      <c r="AR101" s="34" t="n">
        <f aca="false">AR$91*P_IVArec</f>
        <v>0</v>
      </c>
      <c r="AS101" s="34" t="n">
        <f aca="false">AS$91*P_IVArec</f>
        <v>0</v>
      </c>
      <c r="AT101" s="34" t="n">
        <f aca="false">AT$91*P_IVArec</f>
        <v>0</v>
      </c>
      <c r="AU101" s="34" t="n">
        <f aca="false">AU$91*P_IVArec</f>
        <v>0</v>
      </c>
      <c r="AV101" s="34" t="n">
        <f aca="false">AV$91*P_IVArec</f>
        <v>0</v>
      </c>
      <c r="AW101" s="34" t="n">
        <f aca="false">AW$91*P_IVArec</f>
        <v>0</v>
      </c>
      <c r="AX101" s="34" t="n">
        <f aca="false">AX$91*P_IVArec</f>
        <v>0</v>
      </c>
      <c r="AY101" s="34" t="n">
        <f aca="false">AY$91*P_IVArec</f>
        <v>0</v>
      </c>
      <c r="AZ101" s="34" t="n">
        <f aca="false">AZ$91*P_IVArec</f>
        <v>0</v>
      </c>
      <c r="BA101" s="34" t="n">
        <f aca="false">BA$91*P_IVArec</f>
        <v>0</v>
      </c>
      <c r="BB101" s="34" t="n">
        <f aca="false">BB$91*P_IVArec</f>
        <v>0</v>
      </c>
      <c r="BC101" s="34" t="n">
        <f aca="false">BC$91*P_IVArec</f>
        <v>0</v>
      </c>
      <c r="BD101" s="34" t="n">
        <f aca="false">BD$91*P_IVArec</f>
        <v>0</v>
      </c>
      <c r="BE101" s="34" t="n">
        <f aca="false">BE$91*P_IVArec</f>
        <v>0</v>
      </c>
      <c r="BF101" s="34" t="n">
        <f aca="false">BF$91*P_IVArec</f>
        <v>0</v>
      </c>
      <c r="BG101" s="34" t="n">
        <f aca="false">BG$91*P_IVArec</f>
        <v>0</v>
      </c>
      <c r="BH101" s="34" t="n">
        <f aca="false">BH$91*P_IVArec</f>
        <v>0</v>
      </c>
      <c r="BI101" s="34" t="n">
        <f aca="false">BI$91*P_IVArec</f>
        <v>0</v>
      </c>
      <c r="BJ101" s="34" t="n">
        <f aca="false">BJ$91*P_IVArec</f>
        <v>0</v>
      </c>
      <c r="BK101" s="34" t="n">
        <f aca="false">BK$91*P_IVArec</f>
        <v>0</v>
      </c>
      <c r="BL101" s="34" t="n">
        <f aca="false">BL$91*P_IVArec</f>
        <v>0</v>
      </c>
      <c r="BM101" s="34" t="n">
        <f aca="false">BM$91*P_IVArec</f>
        <v>0</v>
      </c>
      <c r="BN101" s="34" t="n">
        <f aca="false">BN$91*P_IVArec</f>
        <v>0</v>
      </c>
      <c r="BO101" s="34" t="n">
        <f aca="false">BO$91*P_IVArec</f>
        <v>0</v>
      </c>
      <c r="BP101" s="34" t="n">
        <f aca="false">BP$91*P_IVArec</f>
        <v>0</v>
      </c>
      <c r="BQ101" s="34" t="n">
        <f aca="false">BQ$91*P_IVArec</f>
        <v>0</v>
      </c>
      <c r="BR101" s="34" t="n">
        <f aca="false">BR$91*P_IVArec</f>
        <v>0</v>
      </c>
      <c r="BS101" s="34" t="n">
        <f aca="false">BS$91*P_IVArec</f>
        <v>0</v>
      </c>
      <c r="BT101" s="34" t="n">
        <f aca="false">BT$91*P_IVArec</f>
        <v>0</v>
      </c>
      <c r="BU101" s="34" t="n">
        <f aca="false">BU$91*P_IVArec</f>
        <v>0</v>
      </c>
      <c r="BV101" s="34" t="n">
        <f aca="false">BV$91*P_IVArec</f>
        <v>0</v>
      </c>
      <c r="BW101" s="34" t="n">
        <f aca="false">BW$91*P_IVArec</f>
        <v>0</v>
      </c>
      <c r="BX101" s="34" t="n">
        <f aca="false">BX$91*P_IVArec</f>
        <v>0</v>
      </c>
      <c r="BY101" s="34" t="n">
        <f aca="false">BY$91*P_IVArec</f>
        <v>0</v>
      </c>
      <c r="BZ101" s="34" t="n">
        <f aca="false">BZ$91*P_IVArec</f>
        <v>0</v>
      </c>
      <c r="CA101" s="34" t="n">
        <f aca="false">CA$91*P_IVArec</f>
        <v>0</v>
      </c>
      <c r="CB101" s="34" t="n">
        <f aca="false">CB$91*P_IVArec</f>
        <v>0</v>
      </c>
      <c r="CC101" s="34" t="n">
        <f aca="false">CC$91*P_IVArec</f>
        <v>0</v>
      </c>
      <c r="CD101" s="34" t="n">
        <f aca="false">CD$91*P_IVArec</f>
        <v>0</v>
      </c>
      <c r="CE101" s="34" t="n">
        <f aca="false">CE$91*P_IVArec</f>
        <v>0</v>
      </c>
      <c r="CF101" s="34" t="n">
        <f aca="false">CF$91*P_IVArec</f>
        <v>0</v>
      </c>
      <c r="CG101" s="34" t="n">
        <f aca="false">CG$91*P_IVArec</f>
        <v>0</v>
      </c>
      <c r="CH101" s="34" t="n">
        <f aca="false">CH$91*P_IVArec</f>
        <v>0</v>
      </c>
      <c r="CI101" s="34" t="n">
        <f aca="false">CI$91*P_IVArec</f>
        <v>0</v>
      </c>
      <c r="CJ101" s="34" t="n">
        <f aca="false">CJ$91*P_IVArec</f>
        <v>0</v>
      </c>
      <c r="CK101" s="34" t="n">
        <f aca="false">CK$91*P_IVArec</f>
        <v>0</v>
      </c>
      <c r="CL101" s="34" t="n">
        <f aca="false">CL$91*P_IVArec</f>
        <v>0</v>
      </c>
      <c r="CM101" s="34" t="n">
        <f aca="false">CM$91*P_IVArec</f>
        <v>0</v>
      </c>
      <c r="CN101" s="34" t="n">
        <f aca="false">CN$91*P_IVArec</f>
        <v>0</v>
      </c>
      <c r="CO101" s="34" t="n">
        <f aca="false">CO$91*P_IVArec</f>
        <v>0</v>
      </c>
      <c r="CP101" s="34" t="n">
        <f aca="false">CP$91*P_IVArec</f>
        <v>0</v>
      </c>
      <c r="CQ101" s="34" t="n">
        <f aca="false">CQ$91*P_IVArec</f>
        <v>0</v>
      </c>
      <c r="CR101" s="34" t="n">
        <f aca="false">CR$91*P_IVArec</f>
        <v>0</v>
      </c>
      <c r="CS101" s="34" t="n">
        <f aca="false">CS$91*P_IVArec</f>
        <v>0</v>
      </c>
      <c r="CT101" s="34" t="n">
        <f aca="false">CT$91*P_IVArec</f>
        <v>0</v>
      </c>
      <c r="CU101" s="34" t="n">
        <f aca="false">CU$91*P_IVArec</f>
        <v>0</v>
      </c>
      <c r="CV101" s="34" t="n">
        <f aca="false">CV$91*P_IVArec</f>
        <v>0</v>
      </c>
      <c r="CW101" s="34" t="n">
        <f aca="false">CW$91*P_IVArec</f>
        <v>0</v>
      </c>
      <c r="CX101" s="34" t="n">
        <f aca="false">CX$91*P_IVArec</f>
        <v>0</v>
      </c>
      <c r="CY101" s="34" t="n">
        <f aca="false">CY$91*P_IVArec</f>
        <v>0</v>
      </c>
      <c r="CZ101" s="34" t="n">
        <f aca="false">CZ$91*P_IVArec</f>
        <v>0</v>
      </c>
      <c r="DA101" s="34" t="n">
        <f aca="false">DA$91*P_IVArec</f>
        <v>0</v>
      </c>
      <c r="DB101" s="34" t="n">
        <f aca="false">DB$91*P_IVArec</f>
        <v>0</v>
      </c>
      <c r="DC101" s="34" t="n">
        <f aca="false">DC$91*P_IVArec</f>
        <v>0</v>
      </c>
      <c r="DD101" s="34" t="n">
        <f aca="false">DD$91*P_IVArec</f>
        <v>0</v>
      </c>
      <c r="DE101" s="34" t="n">
        <f aca="false">DE$91*P_IVArec</f>
        <v>0</v>
      </c>
      <c r="DF101" s="34" t="n">
        <f aca="false">DF$91*P_IVArec</f>
        <v>0</v>
      </c>
      <c r="DG101" s="34" t="n">
        <f aca="false">DG$91*P_IVArec</f>
        <v>0</v>
      </c>
      <c r="DH101" s="34" t="n">
        <f aca="false">DH$91*P_IVArec</f>
        <v>0</v>
      </c>
      <c r="DI101" s="34" t="n">
        <f aca="false">DI$91*P_IVArec</f>
        <v>0</v>
      </c>
      <c r="DJ101" s="34" t="n">
        <f aca="false">DJ$91*P_IVArec</f>
        <v>0</v>
      </c>
      <c r="DK101" s="34" t="n">
        <f aca="false">DK$91*P_IVArec</f>
        <v>0</v>
      </c>
      <c r="DL101" s="34" t="n">
        <f aca="false">DL$91*P_IVArec</f>
        <v>0</v>
      </c>
      <c r="DM101" s="34" t="n">
        <f aca="false">DM$91*P_IVArec</f>
        <v>0</v>
      </c>
      <c r="DN101" s="34" t="n">
        <f aca="false">DN$91*P_IVArec</f>
        <v>0</v>
      </c>
      <c r="DO101" s="34" t="n">
        <f aca="false">DO$91*P_IVArec</f>
        <v>0</v>
      </c>
      <c r="DP101" s="34" t="n">
        <f aca="false">DP$91*P_IVArec</f>
        <v>0</v>
      </c>
      <c r="DQ101" s="34" t="n">
        <f aca="false">DQ$91*P_IVArec</f>
        <v>0</v>
      </c>
      <c r="DR101" s="34" t="n">
        <f aca="false">DR$91*P_IVArec</f>
        <v>0</v>
      </c>
      <c r="DS101" s="34" t="n">
        <f aca="false">DS$91*P_IVArec</f>
        <v>0</v>
      </c>
      <c r="DT101" s="34" t="n">
        <f aca="false">DT$91*P_IVArec</f>
        <v>0</v>
      </c>
      <c r="DU101" s="34" t="n">
        <f aca="false">DU$91*P_IVArec</f>
        <v>0</v>
      </c>
      <c r="DV101" s="34" t="n">
        <f aca="false">DV$91*P_IVArec</f>
        <v>0</v>
      </c>
      <c r="DW101" s="34" t="n">
        <f aca="false">DW$91*P_IVArec</f>
        <v>0</v>
      </c>
      <c r="DX101" s="34" t="n">
        <f aca="false">DX$91*P_IVArec</f>
        <v>0</v>
      </c>
      <c r="DY101" s="34" t="n">
        <f aca="false">DY$91*P_IVArec</f>
        <v>0</v>
      </c>
      <c r="DZ101" s="34" t="n">
        <f aca="false">DZ$91*P_IVArec</f>
        <v>0</v>
      </c>
      <c r="EA101" s="34" t="n">
        <f aca="false">EA$91*P_IVArec</f>
        <v>0</v>
      </c>
      <c r="EB101" s="34" t="n">
        <f aca="false">EB$91*P_IVArec</f>
        <v>0</v>
      </c>
      <c r="EC101" s="34" t="n">
        <f aca="false">EC$91*P_IVArec</f>
        <v>0</v>
      </c>
      <c r="ED101" s="34" t="n">
        <f aca="false">ED$91*P_IVArec</f>
        <v>0</v>
      </c>
      <c r="EE101" s="34" t="n">
        <f aca="false">EE$91*P_IVArec</f>
        <v>0</v>
      </c>
      <c r="EF101" s="34" t="n">
        <f aca="false">EF$91*P_IVArec</f>
        <v>0</v>
      </c>
      <c r="EG101" s="34" t="n">
        <f aca="false">EG$91*P_IVArec</f>
        <v>0</v>
      </c>
      <c r="EH101" s="34" t="n">
        <f aca="false">EH$91*P_IVArec</f>
        <v>0</v>
      </c>
      <c r="EI101" s="34" t="n">
        <f aca="false">EI$91*P_IVArec</f>
        <v>0</v>
      </c>
      <c r="EJ101" s="34" t="n">
        <f aca="false">EJ$91*P_IVArec</f>
        <v>0</v>
      </c>
      <c r="EK101" s="34" t="n">
        <f aca="false">EK$91*P_IVArec</f>
        <v>0</v>
      </c>
      <c r="EL101" s="34" t="n">
        <f aca="false">EL$91*P_IVArec</f>
        <v>0</v>
      </c>
      <c r="EM101" s="34" t="n">
        <f aca="false">EM$91*P_IVArec</f>
        <v>0</v>
      </c>
      <c r="EN101" s="34" t="n">
        <f aca="false">EN$91*P_IVArec</f>
        <v>0</v>
      </c>
      <c r="EO101" s="34" t="n">
        <f aca="false">EO$91*P_IVArec</f>
        <v>0</v>
      </c>
      <c r="EP101" s="34" t="n">
        <f aca="false">EP$91*P_IVArec</f>
        <v>0</v>
      </c>
      <c r="EQ101" s="34" t="n">
        <f aca="false">EQ$91*P_IVArec</f>
        <v>0</v>
      </c>
      <c r="ER101" s="34" t="n">
        <f aca="false">ER$91*P_IVArec</f>
        <v>0</v>
      </c>
      <c r="ES101" s="34" t="n">
        <f aca="false">ES$91*P_IVArec</f>
        <v>0</v>
      </c>
    </row>
    <row r="102" customFormat="false" ht="15" hidden="false" customHeight="false" outlineLevel="0" collapsed="false">
      <c r="A102" s="2" t="s">
        <v>693</v>
      </c>
      <c r="B102" s="52" t="s">
        <v>251</v>
      </c>
      <c r="C102" s="6" t="s">
        <v>250</v>
      </c>
      <c r="E102" s="40" t="n">
        <f aca="false">SUM(F102:ES102)</f>
        <v>16309504.016261</v>
      </c>
      <c r="F102" s="10" t="n">
        <f aca="false">F$97-F$98-F$99-F$100+F$101</f>
        <v>42497.5004755897</v>
      </c>
      <c r="G102" s="10" t="n">
        <f aca="false">G$97-G$98-G$99-G$100+G$101</f>
        <v>42497.5004755897</v>
      </c>
      <c r="H102" s="10" t="n">
        <f aca="false">H$97-H$98-H$99-H$100+H$101</f>
        <v>42497.5004755897</v>
      </c>
      <c r="I102" s="10" t="n">
        <f aca="false">I$97-I$98-I$99-I$100+I$101</f>
        <v>42497.5004755897</v>
      </c>
      <c r="J102" s="10" t="n">
        <f aca="false">J$97-J$98-J$99-J$100+J$101</f>
        <v>42497.5004755897</v>
      </c>
      <c r="K102" s="10" t="n">
        <f aca="false">K$97-K$98-K$99-K$100+K$101</f>
        <v>42497.5004755897</v>
      </c>
      <c r="L102" s="10" t="n">
        <f aca="false">L$97-L$98-L$99-L$100+L$101</f>
        <v>42497.5004755897</v>
      </c>
      <c r="M102" s="10" t="n">
        <f aca="false">M$97-M$98-M$99-M$100+M$101</f>
        <v>42497.5004755897</v>
      </c>
      <c r="N102" s="10" t="n">
        <f aca="false">N$97-N$98-N$99-N$100+N$101</f>
        <v>42497.5004755897</v>
      </c>
      <c r="O102" s="10" t="n">
        <f aca="false">O$97-O$98-O$99-O$100+O$101</f>
        <v>42497.5004755897</v>
      </c>
      <c r="P102" s="10" t="n">
        <f aca="false">P$97-P$98-P$99-P$100+P$101</f>
        <v>42497.5004755897</v>
      </c>
      <c r="Q102" s="10" t="n">
        <f aca="false">Q$97-Q$98-Q$99-Q$100+Q$101</f>
        <v>42497.5004755897</v>
      </c>
      <c r="R102" s="10" t="n">
        <f aca="false">R$97-R$98-R$99-R$100+R$101</f>
        <v>80496.4029939648</v>
      </c>
      <c r="S102" s="10" t="n">
        <f aca="false">S$97-S$98-S$99-S$100+S$101</f>
        <v>80496.4029939648</v>
      </c>
      <c r="T102" s="10" t="n">
        <f aca="false">T$97-T$98-T$99-T$100+T$101</f>
        <v>80496.4029939648</v>
      </c>
      <c r="U102" s="10" t="n">
        <f aca="false">U$97-U$98-U$99-U$100+U$101</f>
        <v>80496.4029939648</v>
      </c>
      <c r="V102" s="10" t="n">
        <f aca="false">V$97-V$98-V$99-V$100+V$101</f>
        <v>80496.4029939648</v>
      </c>
      <c r="W102" s="10" t="n">
        <f aca="false">W$97-W$98-W$99-W$100+W$101</f>
        <v>80496.4029939648</v>
      </c>
      <c r="X102" s="10" t="n">
        <f aca="false">X$97-X$98-X$99-X$100+X$101</f>
        <v>80496.4029939648</v>
      </c>
      <c r="Y102" s="10" t="n">
        <f aca="false">Y$97-Y$98-Y$99-Y$100+Y$101</f>
        <v>80496.4029939648</v>
      </c>
      <c r="Z102" s="10" t="n">
        <f aca="false">Z$97-Z$98-Z$99-Z$100+Z$101</f>
        <v>80496.4029939648</v>
      </c>
      <c r="AA102" s="10" t="n">
        <f aca="false">AA$97-AA$98-AA$99-AA$100+AA$101</f>
        <v>80496.4029939648</v>
      </c>
      <c r="AB102" s="10" t="n">
        <f aca="false">AB$97-AB$98-AB$99-AB$100+AB$101</f>
        <v>80496.4029939648</v>
      </c>
      <c r="AC102" s="10" t="n">
        <f aca="false">AC$97-AC$98-AC$99-AC$100+AC$101</f>
        <v>80496.4029939648</v>
      </c>
      <c r="AD102" s="10" t="n">
        <f aca="false">AD$97-AD$98-AD$99-AD$100+AD$101</f>
        <v>117085.030865125</v>
      </c>
      <c r="AE102" s="10" t="n">
        <f aca="false">AE$97-AE$98-AE$99-AE$100+AE$101</f>
        <v>117085.030865125</v>
      </c>
      <c r="AF102" s="10" t="n">
        <f aca="false">AF$97-AF$98-AF$99-AF$100+AF$101</f>
        <v>117085.030865125</v>
      </c>
      <c r="AG102" s="10" t="n">
        <f aca="false">AG$97-AG$98-AG$99-AG$100+AG$101</f>
        <v>117085.030865125</v>
      </c>
      <c r="AH102" s="10" t="n">
        <f aca="false">AH$97-AH$98-AH$99-AH$100+AH$101</f>
        <v>117085.030865125</v>
      </c>
      <c r="AI102" s="10" t="n">
        <f aca="false">AI$97-AI$98-AI$99-AI$100+AI$101</f>
        <v>117085.030865125</v>
      </c>
      <c r="AJ102" s="10" t="n">
        <f aca="false">AJ$97-AJ$98-AJ$99-AJ$100+AJ$101</f>
        <v>117085.030865125</v>
      </c>
      <c r="AK102" s="10" t="n">
        <f aca="false">AK$97-AK$98-AK$99-AK$100+AK$101</f>
        <v>117085.030865125</v>
      </c>
      <c r="AL102" s="10" t="n">
        <f aca="false">AL$97-AL$98-AL$99-AL$100+AL$101</f>
        <v>117085.030865125</v>
      </c>
      <c r="AM102" s="10" t="n">
        <f aca="false">AM$97-AM$98-AM$99-AM$100+AM$101</f>
        <v>117085.030865125</v>
      </c>
      <c r="AN102" s="10" t="n">
        <f aca="false">AN$97-AN$98-AN$99-AN$100+AN$101</f>
        <v>117085.030865125</v>
      </c>
      <c r="AO102" s="10" t="n">
        <f aca="false">AO$97-AO$98-AO$99-AO$100+AO$101</f>
        <v>117085.030865125</v>
      </c>
      <c r="AP102" s="10" t="n">
        <f aca="false">AP$97-AP$98-AP$99-AP$100+AP$101</f>
        <v>149893.579879858</v>
      </c>
      <c r="AQ102" s="10" t="n">
        <f aca="false">AQ$97-AQ$98-AQ$99-AQ$100+AQ$101</f>
        <v>149893.579879858</v>
      </c>
      <c r="AR102" s="10" t="n">
        <f aca="false">AR$97-AR$98-AR$99-AR$100+AR$101</f>
        <v>149893.579879858</v>
      </c>
      <c r="AS102" s="10" t="n">
        <f aca="false">AS$97-AS$98-AS$99-AS$100+AS$101</f>
        <v>149893.579879858</v>
      </c>
      <c r="AT102" s="10" t="n">
        <f aca="false">AT$97-AT$98-AT$99-AT$100+AT$101</f>
        <v>149893.579879858</v>
      </c>
      <c r="AU102" s="10" t="n">
        <f aca="false">AU$97-AU$98-AU$99-AU$100+AU$101</f>
        <v>149893.579879858</v>
      </c>
      <c r="AV102" s="10" t="n">
        <f aca="false">AV$97-AV$98-AV$99-AV$100+AV$101</f>
        <v>149893.579879858</v>
      </c>
      <c r="AW102" s="10" t="n">
        <f aca="false">AW$97-AW$98-AW$99-AW$100+AW$101</f>
        <v>149893.579879858</v>
      </c>
      <c r="AX102" s="10" t="n">
        <f aca="false">AX$97-AX$98-AX$99-AX$100+AX$101</f>
        <v>149893.579879858</v>
      </c>
      <c r="AY102" s="10" t="n">
        <f aca="false">AY$97-AY$98-AY$99-AY$100+AY$101</f>
        <v>149893.579879858</v>
      </c>
      <c r="AZ102" s="10" t="n">
        <f aca="false">AZ$97-AZ$98-AZ$99-AZ$100+AZ$101</f>
        <v>149893.579879858</v>
      </c>
      <c r="BA102" s="10" t="n">
        <f aca="false">BA$97-BA$98-BA$99-BA$100+BA$101</f>
        <v>149893.579879858</v>
      </c>
      <c r="BB102" s="10" t="n">
        <f aca="false">BB$97-BB$98-BB$99-BB$100+BB$101</f>
        <v>151213.164876374</v>
      </c>
      <c r="BC102" s="10" t="n">
        <f aca="false">BC$97-BC$98-BC$99-BC$100+BC$101</f>
        <v>151213.164876374</v>
      </c>
      <c r="BD102" s="10" t="n">
        <f aca="false">BD$97-BD$98-BD$99-BD$100+BD$101</f>
        <v>151213.164876374</v>
      </c>
      <c r="BE102" s="10" t="n">
        <f aca="false">BE$97-BE$98-BE$99-BE$100+BE$101</f>
        <v>151213.164876374</v>
      </c>
      <c r="BF102" s="10" t="n">
        <f aca="false">BF$97-BF$98-BF$99-BF$100+BF$101</f>
        <v>151213.164876374</v>
      </c>
      <c r="BG102" s="10" t="n">
        <f aca="false">BG$97-BG$98-BG$99-BG$100+BG$101</f>
        <v>151213.164876374</v>
      </c>
      <c r="BH102" s="10" t="n">
        <f aca="false">BH$97-BH$98-BH$99-BH$100+BH$101</f>
        <v>151213.164876374</v>
      </c>
      <c r="BI102" s="10" t="n">
        <f aca="false">BI$97-BI$98-BI$99-BI$100+BI$101</f>
        <v>151213.164876374</v>
      </c>
      <c r="BJ102" s="10" t="n">
        <f aca="false">BJ$97-BJ$98-BJ$99-BJ$100+BJ$101</f>
        <v>151213.164876374</v>
      </c>
      <c r="BK102" s="10" t="n">
        <f aca="false">BK$97-BK$98-BK$99-BK$100+BK$101</f>
        <v>151213.164876374</v>
      </c>
      <c r="BL102" s="10" t="n">
        <f aca="false">BL$97-BL$98-BL$99-BL$100+BL$101</f>
        <v>151213.164876374</v>
      </c>
      <c r="BM102" s="10" t="n">
        <f aca="false">BM$97-BM$98-BM$99-BM$100+BM$101</f>
        <v>151213.164876374</v>
      </c>
      <c r="BN102" s="10" t="n">
        <f aca="false">BN$97-BN$98-BN$99-BN$100+BN$101</f>
        <v>155300.441797826</v>
      </c>
      <c r="BO102" s="10" t="n">
        <f aca="false">BO$97-BO$98-BO$99-BO$100+BO$101</f>
        <v>155300.441797826</v>
      </c>
      <c r="BP102" s="10" t="n">
        <f aca="false">BP$97-BP$98-BP$99-BP$100+BP$101</f>
        <v>155300.441797826</v>
      </c>
      <c r="BQ102" s="10" t="n">
        <f aca="false">BQ$97-BQ$98-BQ$99-BQ$100+BQ$101</f>
        <v>155300.441797826</v>
      </c>
      <c r="BR102" s="10" t="n">
        <f aca="false">BR$97-BR$98-BR$99-BR$100+BR$101</f>
        <v>155300.441797826</v>
      </c>
      <c r="BS102" s="10" t="n">
        <f aca="false">BS$97-BS$98-BS$99-BS$100+BS$101</f>
        <v>155300.441797826</v>
      </c>
      <c r="BT102" s="10" t="n">
        <f aca="false">BT$97-BT$98-BT$99-BT$100+BT$101</f>
        <v>155300.441797826</v>
      </c>
      <c r="BU102" s="10" t="n">
        <f aca="false">BU$97-BU$98-BU$99-BU$100+BU$101</f>
        <v>155300.441797826</v>
      </c>
      <c r="BV102" s="10" t="n">
        <f aca="false">BV$97-BV$98-BV$99-BV$100+BV$101</f>
        <v>155300.441797826</v>
      </c>
      <c r="BW102" s="10" t="n">
        <f aca="false">BW$97-BW$98-BW$99-BW$100+BW$101</f>
        <v>155300.441797826</v>
      </c>
      <c r="BX102" s="10" t="n">
        <f aca="false">BX$97-BX$98-BX$99-BX$100+BX$101</f>
        <v>155300.441797826</v>
      </c>
      <c r="BY102" s="10" t="n">
        <f aca="false">BY$97-BY$98-BY$99-BY$100+BY$101</f>
        <v>155300.441797826</v>
      </c>
      <c r="BZ102" s="10" t="n">
        <f aca="false">BZ$97-BZ$98-BZ$99-BZ$100+BZ$101</f>
        <v>159416.0224894</v>
      </c>
      <c r="CA102" s="10" t="n">
        <f aca="false">CA$97-CA$98-CA$99-CA$100+CA$101</f>
        <v>159416.0224894</v>
      </c>
      <c r="CB102" s="10" t="n">
        <f aca="false">CB$97-CB$98-CB$99-CB$100+CB$101</f>
        <v>159416.0224894</v>
      </c>
      <c r="CC102" s="10" t="n">
        <f aca="false">CC$97-CC$98-CC$99-CC$100+CC$101</f>
        <v>159416.0224894</v>
      </c>
      <c r="CD102" s="10" t="n">
        <f aca="false">CD$97-CD$98-CD$99-CD$100+CD$101</f>
        <v>159416.0224894</v>
      </c>
      <c r="CE102" s="10" t="n">
        <f aca="false">CE$97-CE$98-CE$99-CE$100+CE$101</f>
        <v>159416.0224894</v>
      </c>
      <c r="CF102" s="10" t="n">
        <f aca="false">CF$97-CF$98-CF$99-CF$100+CF$101</f>
        <v>159416.0224894</v>
      </c>
      <c r="CG102" s="10" t="n">
        <f aca="false">CG$97-CG$98-CG$99-CG$100+CG$101</f>
        <v>159416.0224894</v>
      </c>
      <c r="CH102" s="10" t="n">
        <f aca="false">CH$97-CH$98-CH$99-CH$100+CH$101</f>
        <v>159416.0224894</v>
      </c>
      <c r="CI102" s="10" t="n">
        <f aca="false">CI$97-CI$98-CI$99-CI$100+CI$101</f>
        <v>159416.0224894</v>
      </c>
      <c r="CJ102" s="10" t="n">
        <f aca="false">CJ$97-CJ$98-CJ$99-CJ$100+CJ$101</f>
        <v>159416.0224894</v>
      </c>
      <c r="CK102" s="10" t="n">
        <f aca="false">CK$97-CK$98-CK$99-CK$100+CK$101</f>
        <v>159416.0224894</v>
      </c>
      <c r="CL102" s="10" t="n">
        <f aca="false">CL$97-CL$98-CL$99-CL$100+CL$101</f>
        <v>163559.818546288</v>
      </c>
      <c r="CM102" s="10" t="n">
        <f aca="false">CM$97-CM$98-CM$99-CM$100+CM$101</f>
        <v>163559.818546288</v>
      </c>
      <c r="CN102" s="10" t="n">
        <f aca="false">CN$97-CN$98-CN$99-CN$100+CN$101</f>
        <v>163559.818546288</v>
      </c>
      <c r="CO102" s="10" t="n">
        <f aca="false">CO$97-CO$98-CO$99-CO$100+CO$101</f>
        <v>163559.818546288</v>
      </c>
      <c r="CP102" s="10" t="n">
        <f aca="false">CP$97-CP$98-CP$99-CP$100+CP$101</f>
        <v>163559.818546288</v>
      </c>
      <c r="CQ102" s="10" t="n">
        <f aca="false">CQ$97-CQ$98-CQ$99-CQ$100+CQ$101</f>
        <v>163559.818546288</v>
      </c>
      <c r="CR102" s="10" t="n">
        <f aca="false">CR$97-CR$98-CR$99-CR$100+CR$101</f>
        <v>163559.818546288</v>
      </c>
      <c r="CS102" s="10" t="n">
        <f aca="false">CS$97-CS$98-CS$99-CS$100+CS$101</f>
        <v>163559.818546288</v>
      </c>
      <c r="CT102" s="10" t="n">
        <f aca="false">CT$97-CT$98-CT$99-CT$100+CT$101</f>
        <v>163559.818546288</v>
      </c>
      <c r="CU102" s="10" t="n">
        <f aca="false">CU$97-CU$98-CU$99-CU$100+CU$101</f>
        <v>163559.818546288</v>
      </c>
      <c r="CV102" s="10" t="n">
        <f aca="false">CV$97-CV$98-CV$99-CV$100+CV$101</f>
        <v>163559.818546288</v>
      </c>
      <c r="CW102" s="10" t="n">
        <f aca="false">CW$97-CW$98-CW$99-CW$100+CW$101</f>
        <v>163559.818546288</v>
      </c>
      <c r="CX102" s="10" t="n">
        <f aca="false">CX$97-CX$98-CX$99-CX$100+CX$101</f>
        <v>167731.729648908</v>
      </c>
      <c r="CY102" s="10" t="n">
        <f aca="false">CY$97-CY$98-CY$99-CY$100+CY$101</f>
        <v>167731.729648908</v>
      </c>
      <c r="CZ102" s="10" t="n">
        <f aca="false">CZ$97-CZ$98-CZ$99-CZ$100+CZ$101</f>
        <v>167731.729648908</v>
      </c>
      <c r="DA102" s="10" t="n">
        <f aca="false">DA$97-DA$98-DA$99-DA$100+DA$101</f>
        <v>167731.729648908</v>
      </c>
      <c r="DB102" s="10" t="n">
        <f aca="false">DB$97-DB$98-DB$99-DB$100+DB$101</f>
        <v>167731.729648908</v>
      </c>
      <c r="DC102" s="10" t="n">
        <f aca="false">DC$97-DC$98-DC$99-DC$100+DC$101</f>
        <v>167731.729648908</v>
      </c>
      <c r="DD102" s="10" t="n">
        <f aca="false">DD$97-DD$98-DD$99-DD$100+DD$101</f>
        <v>167731.729648908</v>
      </c>
      <c r="DE102" s="10" t="n">
        <f aca="false">DE$97-DE$98-DE$99-DE$100+DE$101</f>
        <v>167731.729648908</v>
      </c>
      <c r="DF102" s="10" t="n">
        <f aca="false">DF$97-DF$98-DF$99-DF$100+DF$101</f>
        <v>167731.729648908</v>
      </c>
      <c r="DG102" s="10" t="n">
        <f aca="false">DG$97-DG$98-DG$99-DG$100+DG$101</f>
        <v>167731.729648908</v>
      </c>
      <c r="DH102" s="10" t="n">
        <f aca="false">DH$97-DH$98-DH$99-DH$100+DH$101</f>
        <v>167731.729648908</v>
      </c>
      <c r="DI102" s="10" t="n">
        <f aca="false">DI$97-DI$98-DI$99-DI$100+DI$101</f>
        <v>167731.729648908</v>
      </c>
      <c r="DJ102" s="10" t="n">
        <f aca="false">DJ$97-DJ$98-DJ$99-DJ$100+DJ$101</f>
        <v>171931.643115086</v>
      </c>
      <c r="DK102" s="10" t="n">
        <f aca="false">DK$97-DK$98-DK$99-DK$100+DK$101</f>
        <v>171931.643115086</v>
      </c>
      <c r="DL102" s="10" t="n">
        <f aca="false">DL$97-DL$98-DL$99-DL$100+DL$101</f>
        <v>171931.643115086</v>
      </c>
      <c r="DM102" s="10" t="n">
        <f aca="false">DM$97-DM$98-DM$99-DM$100+DM$101</f>
        <v>171931.643115086</v>
      </c>
      <c r="DN102" s="10" t="n">
        <f aca="false">DN$97-DN$98-DN$99-DN$100+DN$101</f>
        <v>171931.643115086</v>
      </c>
      <c r="DO102" s="10" t="n">
        <f aca="false">DO$97-DO$98-DO$99-DO$100+DO$101</f>
        <v>171931.643115086</v>
      </c>
      <c r="DP102" s="10" t="n">
        <f aca="false">DP$97-DP$98-DP$99-DP$100+DP$101</f>
        <v>171931.643115086</v>
      </c>
      <c r="DQ102" s="10" t="n">
        <f aca="false">DQ$97-DQ$98-DQ$99-DQ$100+DQ$101</f>
        <v>171931.643115086</v>
      </c>
      <c r="DR102" s="10" t="n">
        <f aca="false">DR$97-DR$98-DR$99-DR$100+DR$101</f>
        <v>171931.643115086</v>
      </c>
      <c r="DS102" s="10" t="n">
        <f aca="false">DS$97-DS$98-DS$99-DS$100+DS$101</f>
        <v>171931.643115086</v>
      </c>
      <c r="DT102" s="10" t="n">
        <f aca="false">DT$97-DT$98-DT$99-DT$100+DT$101</f>
        <v>171931.643115086</v>
      </c>
      <c r="DU102" s="10" t="n">
        <f aca="false">DU$97-DU$98-DU$99-DU$100+DU$101</f>
        <v>171931.643115086</v>
      </c>
      <c r="DV102" s="10" t="n">
        <f aca="false">DV$97-DV$98-DV$99-DV$100+DV$101</f>
        <v>0</v>
      </c>
      <c r="DW102" s="10" t="n">
        <f aca="false">DW$97-DW$98-DW$99-DW$100+DW$101</f>
        <v>0</v>
      </c>
      <c r="DX102" s="10" t="n">
        <f aca="false">DX$97-DX$98-DX$99-DX$100+DX$101</f>
        <v>0</v>
      </c>
      <c r="DY102" s="10" t="n">
        <f aca="false">DY$97-DY$98-DY$99-DY$100+DY$101</f>
        <v>0</v>
      </c>
      <c r="DZ102" s="10" t="n">
        <f aca="false">DZ$97-DZ$98-DZ$99-DZ$100+DZ$101</f>
        <v>0</v>
      </c>
      <c r="EA102" s="10" t="n">
        <f aca="false">EA$97-EA$98-EA$99-EA$100+EA$101</f>
        <v>0</v>
      </c>
      <c r="EB102" s="10" t="n">
        <f aca="false">EB$97-EB$98-EB$99-EB$100+EB$101</f>
        <v>0</v>
      </c>
      <c r="EC102" s="10" t="n">
        <f aca="false">EC$97-EC$98-EC$99-EC$100+EC$101</f>
        <v>0</v>
      </c>
      <c r="ED102" s="10" t="n">
        <f aca="false">ED$97-ED$98-ED$99-ED$100+ED$101</f>
        <v>0</v>
      </c>
      <c r="EE102" s="10" t="n">
        <f aca="false">EE$97-EE$98-EE$99-EE$100+EE$101</f>
        <v>0</v>
      </c>
      <c r="EF102" s="10" t="n">
        <f aca="false">EF$97-EF$98-EF$99-EF$100+EF$101</f>
        <v>0</v>
      </c>
      <c r="EG102" s="10" t="n">
        <f aca="false">EG$97-EG$98-EG$99-EG$100+EG$101</f>
        <v>0</v>
      </c>
      <c r="EH102" s="10" t="n">
        <f aca="false">EH$97-EH$98-EH$99-EH$100+EH$101</f>
        <v>0</v>
      </c>
      <c r="EI102" s="10" t="n">
        <f aca="false">EI$97-EI$98-EI$99-EI$100+EI$101</f>
        <v>0</v>
      </c>
      <c r="EJ102" s="10" t="n">
        <f aca="false">EJ$97-EJ$98-EJ$99-EJ$100+EJ$101</f>
        <v>0</v>
      </c>
      <c r="EK102" s="10" t="n">
        <f aca="false">EK$97-EK$98-EK$99-EK$100+EK$101</f>
        <v>0</v>
      </c>
      <c r="EL102" s="10" t="n">
        <f aca="false">EL$97-EL$98-EL$99-EL$100+EL$101</f>
        <v>0</v>
      </c>
      <c r="EM102" s="10" t="n">
        <f aca="false">EM$97-EM$98-EM$99-EM$100+EM$101</f>
        <v>0</v>
      </c>
      <c r="EN102" s="10" t="n">
        <f aca="false">EN$97-EN$98-EN$99-EN$100+EN$101</f>
        <v>0</v>
      </c>
      <c r="EO102" s="10" t="n">
        <f aca="false">EO$97-EO$98-EO$99-EO$100+EO$101</f>
        <v>0</v>
      </c>
      <c r="EP102" s="10" t="n">
        <f aca="false">EP$97-EP$98-EP$99-EP$100+EP$101</f>
        <v>0</v>
      </c>
      <c r="EQ102" s="10" t="n">
        <f aca="false">EQ$97-EQ$98-EQ$99-EQ$100+EQ$101</f>
        <v>0</v>
      </c>
      <c r="ER102" s="10" t="n">
        <f aca="false">ER$97-ER$98-ER$99-ER$100+ER$101</f>
        <v>0</v>
      </c>
      <c r="ES102" s="10" t="n">
        <f aca="false">ES$97-ES$98-ES$99-ES$100+ES$101</f>
        <v>0</v>
      </c>
    </row>
    <row r="103" customFormat="false" ht="15" hidden="false" customHeight="false" outlineLevel="0" collapsed="false">
      <c r="A103" s="2" t="s">
        <v>694</v>
      </c>
      <c r="B103" s="6" t="s">
        <v>695</v>
      </c>
      <c r="C103" s="6" t="s">
        <v>250</v>
      </c>
      <c r="E103" s="40" t="n">
        <f aca="false">SUM(F103:ES103)</f>
        <v>745044.09</v>
      </c>
      <c r="F103" s="34" t="n">
        <f aca="false">SUMPRODUCT(Inv_D*(Inv_F&gt;0)*(1&gt;=Inv_SvcP)*(1&lt;Inv_SvcP+Inv_F*12)/(Inv_F*12+(Inv_F=0)))*F$9</f>
        <v>5966.01741666667</v>
      </c>
      <c r="G103" s="34" t="n">
        <f aca="false">SUMPRODUCT(Inv_D*(Inv_F&gt;0)*(2&gt;=Inv_SvcP)*(2&lt;Inv_SvcP+Inv_F*12)/(Inv_F*12+(Inv_F=0)))*G$9</f>
        <v>5966.01741666667</v>
      </c>
      <c r="H103" s="34" t="n">
        <f aca="false">SUMPRODUCT(Inv_D*(Inv_F&gt;0)*(3&gt;=Inv_SvcP)*(3&lt;Inv_SvcP+Inv_F*12)/(Inv_F*12+(Inv_F=0)))*H$9</f>
        <v>5966.01741666667</v>
      </c>
      <c r="I103" s="34" t="n">
        <f aca="false">SUMPRODUCT(Inv_D*(Inv_F&gt;0)*(4&gt;=Inv_SvcP)*(4&lt;Inv_SvcP+Inv_F*12)/(Inv_F*12+(Inv_F=0)))*I$9</f>
        <v>5966.01741666667</v>
      </c>
      <c r="J103" s="34" t="n">
        <f aca="false">SUMPRODUCT(Inv_D*(Inv_F&gt;0)*(5&gt;=Inv_SvcP)*(5&lt;Inv_SvcP+Inv_F*12)/(Inv_F*12+(Inv_F=0)))*J$9</f>
        <v>5966.01741666667</v>
      </c>
      <c r="K103" s="34" t="n">
        <f aca="false">SUMPRODUCT(Inv_D*(Inv_F&gt;0)*(6&gt;=Inv_SvcP)*(6&lt;Inv_SvcP+Inv_F*12)/(Inv_F*12+(Inv_F=0)))*K$9</f>
        <v>5966.01741666667</v>
      </c>
      <c r="L103" s="34" t="n">
        <f aca="false">SUMPRODUCT(Inv_D*(Inv_F&gt;0)*(7&gt;=Inv_SvcP)*(7&lt;Inv_SvcP+Inv_F*12)/(Inv_F*12+(Inv_F=0)))*L$9</f>
        <v>5966.01741666667</v>
      </c>
      <c r="M103" s="34" t="n">
        <f aca="false">SUMPRODUCT(Inv_D*(Inv_F&gt;0)*(8&gt;=Inv_SvcP)*(8&lt;Inv_SvcP+Inv_F*12)/(Inv_F*12+(Inv_F=0)))*M$9</f>
        <v>5966.01741666667</v>
      </c>
      <c r="N103" s="34" t="n">
        <f aca="false">SUMPRODUCT(Inv_D*(Inv_F&gt;0)*(9&gt;=Inv_SvcP)*(9&lt;Inv_SvcP+Inv_F*12)/(Inv_F*12+(Inv_F=0)))*N$9</f>
        <v>5966.01741666667</v>
      </c>
      <c r="O103" s="34" t="n">
        <f aca="false">SUMPRODUCT(Inv_D*(Inv_F&gt;0)*(10&gt;=Inv_SvcP)*(10&lt;Inv_SvcP+Inv_F*12)/(Inv_F*12+(Inv_F=0)))*O$9</f>
        <v>5966.01741666667</v>
      </c>
      <c r="P103" s="34" t="n">
        <f aca="false">SUMPRODUCT(Inv_D*(Inv_F&gt;0)*(11&gt;=Inv_SvcP)*(11&lt;Inv_SvcP+Inv_F*12)/(Inv_F*12+(Inv_F=0)))*P$9</f>
        <v>5966.01741666667</v>
      </c>
      <c r="Q103" s="34" t="n">
        <f aca="false">SUMPRODUCT(Inv_D*(Inv_F&gt;0)*(12&gt;=Inv_SvcP)*(12&lt;Inv_SvcP+Inv_F*12)/(Inv_F*12+(Inv_F=0)))*Q$9</f>
        <v>5966.01741666667</v>
      </c>
      <c r="R103" s="34" t="n">
        <f aca="false">SUMPRODUCT(Inv_D*(Inv_F&gt;0)*(13&gt;=Inv_SvcP)*(13&lt;Inv_SvcP+Inv_F*12)/(Inv_F*12+(Inv_F=0)))*R$9</f>
        <v>6799.35075</v>
      </c>
      <c r="S103" s="34" t="n">
        <f aca="false">SUMPRODUCT(Inv_D*(Inv_F&gt;0)*(14&gt;=Inv_SvcP)*(14&lt;Inv_SvcP+Inv_F*12)/(Inv_F*12+(Inv_F=0)))*S$9</f>
        <v>6799.35075</v>
      </c>
      <c r="T103" s="34" t="n">
        <f aca="false">SUMPRODUCT(Inv_D*(Inv_F&gt;0)*(15&gt;=Inv_SvcP)*(15&lt;Inv_SvcP+Inv_F*12)/(Inv_F*12+(Inv_F=0)))*T$9</f>
        <v>6799.35075</v>
      </c>
      <c r="U103" s="34" t="n">
        <f aca="false">SUMPRODUCT(Inv_D*(Inv_F&gt;0)*(16&gt;=Inv_SvcP)*(16&lt;Inv_SvcP+Inv_F*12)/(Inv_F*12+(Inv_F=0)))*U$9</f>
        <v>6799.35075</v>
      </c>
      <c r="V103" s="34" t="n">
        <f aca="false">SUMPRODUCT(Inv_D*(Inv_F&gt;0)*(17&gt;=Inv_SvcP)*(17&lt;Inv_SvcP+Inv_F*12)/(Inv_F*12+(Inv_F=0)))*V$9</f>
        <v>6799.35075</v>
      </c>
      <c r="W103" s="34" t="n">
        <f aca="false">SUMPRODUCT(Inv_D*(Inv_F&gt;0)*(18&gt;=Inv_SvcP)*(18&lt;Inv_SvcP+Inv_F*12)/(Inv_F*12+(Inv_F=0)))*W$9</f>
        <v>6799.35075</v>
      </c>
      <c r="X103" s="34" t="n">
        <f aca="false">SUMPRODUCT(Inv_D*(Inv_F&gt;0)*(19&gt;=Inv_SvcP)*(19&lt;Inv_SvcP+Inv_F*12)/(Inv_F*12+(Inv_F=0)))*X$9</f>
        <v>6799.35075</v>
      </c>
      <c r="Y103" s="34" t="n">
        <f aca="false">SUMPRODUCT(Inv_D*(Inv_F&gt;0)*(20&gt;=Inv_SvcP)*(20&lt;Inv_SvcP+Inv_F*12)/(Inv_F*12+(Inv_F=0)))*Y$9</f>
        <v>6799.35075</v>
      </c>
      <c r="Z103" s="34" t="n">
        <f aca="false">SUMPRODUCT(Inv_D*(Inv_F&gt;0)*(21&gt;=Inv_SvcP)*(21&lt;Inv_SvcP+Inv_F*12)/(Inv_F*12+(Inv_F=0)))*Z$9</f>
        <v>6799.35075</v>
      </c>
      <c r="AA103" s="34" t="n">
        <f aca="false">SUMPRODUCT(Inv_D*(Inv_F&gt;0)*(22&gt;=Inv_SvcP)*(22&lt;Inv_SvcP+Inv_F*12)/(Inv_F*12+(Inv_F=0)))*AA$9</f>
        <v>6799.35075</v>
      </c>
      <c r="AB103" s="34" t="n">
        <f aca="false">SUMPRODUCT(Inv_D*(Inv_F&gt;0)*(23&gt;=Inv_SvcP)*(23&lt;Inv_SvcP+Inv_F*12)/(Inv_F*12+(Inv_F=0)))*AB$9</f>
        <v>6799.35075</v>
      </c>
      <c r="AC103" s="34" t="n">
        <f aca="false">SUMPRODUCT(Inv_D*(Inv_F&gt;0)*(24&gt;=Inv_SvcP)*(24&lt;Inv_SvcP+Inv_F*12)/(Inv_F*12+(Inv_F=0)))*AC$9</f>
        <v>6799.35075</v>
      </c>
      <c r="AD103" s="34" t="n">
        <f aca="false">SUMPRODUCT(Inv_D*(Inv_F&gt;0)*(25&gt;=Inv_SvcP)*(25&lt;Inv_SvcP+Inv_F*12)/(Inv_F*12+(Inv_F=0)))*AD$9</f>
        <v>6799.35075</v>
      </c>
      <c r="AE103" s="34" t="n">
        <f aca="false">SUMPRODUCT(Inv_D*(Inv_F&gt;0)*(26&gt;=Inv_SvcP)*(26&lt;Inv_SvcP+Inv_F*12)/(Inv_F*12+(Inv_F=0)))*AE$9</f>
        <v>6799.35075</v>
      </c>
      <c r="AF103" s="34" t="n">
        <f aca="false">SUMPRODUCT(Inv_D*(Inv_F&gt;0)*(27&gt;=Inv_SvcP)*(27&lt;Inv_SvcP+Inv_F*12)/(Inv_F*12+(Inv_F=0)))*AF$9</f>
        <v>6799.35075</v>
      </c>
      <c r="AG103" s="34" t="n">
        <f aca="false">SUMPRODUCT(Inv_D*(Inv_F&gt;0)*(28&gt;=Inv_SvcP)*(28&lt;Inv_SvcP+Inv_F*12)/(Inv_F*12+(Inv_F=0)))*AG$9</f>
        <v>6799.35075</v>
      </c>
      <c r="AH103" s="34" t="n">
        <f aca="false">SUMPRODUCT(Inv_D*(Inv_F&gt;0)*(29&gt;=Inv_SvcP)*(29&lt;Inv_SvcP+Inv_F*12)/(Inv_F*12+(Inv_F=0)))*AH$9</f>
        <v>6799.35075</v>
      </c>
      <c r="AI103" s="34" t="n">
        <f aca="false">SUMPRODUCT(Inv_D*(Inv_F&gt;0)*(30&gt;=Inv_SvcP)*(30&lt;Inv_SvcP+Inv_F*12)/(Inv_F*12+(Inv_F=0)))*AI$9</f>
        <v>6799.35075</v>
      </c>
      <c r="AJ103" s="34" t="n">
        <f aca="false">SUMPRODUCT(Inv_D*(Inv_F&gt;0)*(31&gt;=Inv_SvcP)*(31&lt;Inv_SvcP+Inv_F*12)/(Inv_F*12+(Inv_F=0)))*AJ$9</f>
        <v>6799.35075</v>
      </c>
      <c r="AK103" s="34" t="n">
        <f aca="false">SUMPRODUCT(Inv_D*(Inv_F&gt;0)*(32&gt;=Inv_SvcP)*(32&lt;Inv_SvcP+Inv_F*12)/(Inv_F*12+(Inv_F=0)))*AK$9</f>
        <v>6799.35075</v>
      </c>
      <c r="AL103" s="34" t="n">
        <f aca="false">SUMPRODUCT(Inv_D*(Inv_F&gt;0)*(33&gt;=Inv_SvcP)*(33&lt;Inv_SvcP+Inv_F*12)/(Inv_F*12+(Inv_F=0)))*AL$9</f>
        <v>6799.35075</v>
      </c>
      <c r="AM103" s="34" t="n">
        <f aca="false">SUMPRODUCT(Inv_D*(Inv_F&gt;0)*(34&gt;=Inv_SvcP)*(34&lt;Inv_SvcP+Inv_F*12)/(Inv_F*12+(Inv_F=0)))*AM$9</f>
        <v>6799.35075</v>
      </c>
      <c r="AN103" s="34" t="n">
        <f aca="false">SUMPRODUCT(Inv_D*(Inv_F&gt;0)*(35&gt;=Inv_SvcP)*(35&lt;Inv_SvcP+Inv_F*12)/(Inv_F*12+(Inv_F=0)))*AN$9</f>
        <v>6799.35075</v>
      </c>
      <c r="AO103" s="34" t="n">
        <f aca="false">SUMPRODUCT(Inv_D*(Inv_F&gt;0)*(36&gt;=Inv_SvcP)*(36&lt;Inv_SvcP+Inv_F*12)/(Inv_F*12+(Inv_F=0)))*AO$9</f>
        <v>6799.35075</v>
      </c>
      <c r="AP103" s="34" t="n">
        <f aca="false">SUMPRODUCT(Inv_D*(Inv_F&gt;0)*(37&gt;=Inv_SvcP)*(37&lt;Inv_SvcP+Inv_F*12)/(Inv_F*12+(Inv_F=0)))*AP$9</f>
        <v>6799.35075</v>
      </c>
      <c r="AQ103" s="34" t="n">
        <f aca="false">SUMPRODUCT(Inv_D*(Inv_F&gt;0)*(38&gt;=Inv_SvcP)*(38&lt;Inv_SvcP+Inv_F*12)/(Inv_F*12+(Inv_F=0)))*AQ$9</f>
        <v>6799.35075</v>
      </c>
      <c r="AR103" s="34" t="n">
        <f aca="false">SUMPRODUCT(Inv_D*(Inv_F&gt;0)*(39&gt;=Inv_SvcP)*(39&lt;Inv_SvcP+Inv_F*12)/(Inv_F*12+(Inv_F=0)))*AR$9</f>
        <v>6799.35075</v>
      </c>
      <c r="AS103" s="34" t="n">
        <f aca="false">SUMPRODUCT(Inv_D*(Inv_F&gt;0)*(40&gt;=Inv_SvcP)*(40&lt;Inv_SvcP+Inv_F*12)/(Inv_F*12+(Inv_F=0)))*AS$9</f>
        <v>6799.35075</v>
      </c>
      <c r="AT103" s="34" t="n">
        <f aca="false">SUMPRODUCT(Inv_D*(Inv_F&gt;0)*(41&gt;=Inv_SvcP)*(41&lt;Inv_SvcP+Inv_F*12)/(Inv_F*12+(Inv_F=0)))*AT$9</f>
        <v>6799.35075</v>
      </c>
      <c r="AU103" s="34" t="n">
        <f aca="false">SUMPRODUCT(Inv_D*(Inv_F&gt;0)*(42&gt;=Inv_SvcP)*(42&lt;Inv_SvcP+Inv_F*12)/(Inv_F*12+(Inv_F=0)))*AU$9</f>
        <v>6799.35075</v>
      </c>
      <c r="AV103" s="34" t="n">
        <f aca="false">SUMPRODUCT(Inv_D*(Inv_F&gt;0)*(43&gt;=Inv_SvcP)*(43&lt;Inv_SvcP+Inv_F*12)/(Inv_F*12+(Inv_F=0)))*AV$9</f>
        <v>6799.35075</v>
      </c>
      <c r="AW103" s="34" t="n">
        <f aca="false">SUMPRODUCT(Inv_D*(Inv_F&gt;0)*(44&gt;=Inv_SvcP)*(44&lt;Inv_SvcP+Inv_F*12)/(Inv_F*12+(Inv_F=0)))*AW$9</f>
        <v>6799.35075</v>
      </c>
      <c r="AX103" s="34" t="n">
        <f aca="false">SUMPRODUCT(Inv_D*(Inv_F&gt;0)*(45&gt;=Inv_SvcP)*(45&lt;Inv_SvcP+Inv_F*12)/(Inv_F*12+(Inv_F=0)))*AX$9</f>
        <v>6799.35075</v>
      </c>
      <c r="AY103" s="34" t="n">
        <f aca="false">SUMPRODUCT(Inv_D*(Inv_F&gt;0)*(46&gt;=Inv_SvcP)*(46&lt;Inv_SvcP+Inv_F*12)/(Inv_F*12+(Inv_F=0)))*AY$9</f>
        <v>6799.35075</v>
      </c>
      <c r="AZ103" s="34" t="n">
        <f aca="false">SUMPRODUCT(Inv_D*(Inv_F&gt;0)*(47&gt;=Inv_SvcP)*(47&lt;Inv_SvcP+Inv_F*12)/(Inv_F*12+(Inv_F=0)))*AZ$9</f>
        <v>6799.35075</v>
      </c>
      <c r="BA103" s="34" t="n">
        <f aca="false">SUMPRODUCT(Inv_D*(Inv_F&gt;0)*(48&gt;=Inv_SvcP)*(48&lt;Inv_SvcP+Inv_F*12)/(Inv_F*12+(Inv_F=0)))*BA$9</f>
        <v>6799.35075</v>
      </c>
      <c r="BB103" s="34" t="n">
        <f aca="false">SUMPRODUCT(Inv_D*(Inv_F&gt;0)*(49&gt;=Inv_SvcP)*(49&lt;Inv_SvcP+Inv_F*12)/(Inv_F*12+(Inv_F=0)))*BB$9</f>
        <v>6799.35075</v>
      </c>
      <c r="BC103" s="34" t="n">
        <f aca="false">SUMPRODUCT(Inv_D*(Inv_F&gt;0)*(50&gt;=Inv_SvcP)*(50&lt;Inv_SvcP+Inv_F*12)/(Inv_F*12+(Inv_F=0)))*BC$9</f>
        <v>6799.35075</v>
      </c>
      <c r="BD103" s="34" t="n">
        <f aca="false">SUMPRODUCT(Inv_D*(Inv_F&gt;0)*(51&gt;=Inv_SvcP)*(51&lt;Inv_SvcP+Inv_F*12)/(Inv_F*12+(Inv_F=0)))*BD$9</f>
        <v>6799.35075</v>
      </c>
      <c r="BE103" s="34" t="n">
        <f aca="false">SUMPRODUCT(Inv_D*(Inv_F&gt;0)*(52&gt;=Inv_SvcP)*(52&lt;Inv_SvcP+Inv_F*12)/(Inv_F*12+(Inv_F=0)))*BE$9</f>
        <v>6799.35075</v>
      </c>
      <c r="BF103" s="34" t="n">
        <f aca="false">SUMPRODUCT(Inv_D*(Inv_F&gt;0)*(53&gt;=Inv_SvcP)*(53&lt;Inv_SvcP+Inv_F*12)/(Inv_F*12+(Inv_F=0)))*BF$9</f>
        <v>6799.35075</v>
      </c>
      <c r="BG103" s="34" t="n">
        <f aca="false">SUMPRODUCT(Inv_D*(Inv_F&gt;0)*(54&gt;=Inv_SvcP)*(54&lt;Inv_SvcP+Inv_F*12)/(Inv_F*12+(Inv_F=0)))*BG$9</f>
        <v>6799.35075</v>
      </c>
      <c r="BH103" s="34" t="n">
        <f aca="false">SUMPRODUCT(Inv_D*(Inv_F&gt;0)*(55&gt;=Inv_SvcP)*(55&lt;Inv_SvcP+Inv_F*12)/(Inv_F*12+(Inv_F=0)))*BH$9</f>
        <v>6799.35075</v>
      </c>
      <c r="BI103" s="34" t="n">
        <f aca="false">SUMPRODUCT(Inv_D*(Inv_F&gt;0)*(56&gt;=Inv_SvcP)*(56&lt;Inv_SvcP+Inv_F*12)/(Inv_F*12+(Inv_F=0)))*BI$9</f>
        <v>6799.35075</v>
      </c>
      <c r="BJ103" s="34" t="n">
        <f aca="false">SUMPRODUCT(Inv_D*(Inv_F&gt;0)*(57&gt;=Inv_SvcP)*(57&lt;Inv_SvcP+Inv_F*12)/(Inv_F*12+(Inv_F=0)))*BJ$9</f>
        <v>6799.35075</v>
      </c>
      <c r="BK103" s="34" t="n">
        <f aca="false">SUMPRODUCT(Inv_D*(Inv_F&gt;0)*(58&gt;=Inv_SvcP)*(58&lt;Inv_SvcP+Inv_F*12)/(Inv_F*12+(Inv_F=0)))*BK$9</f>
        <v>6799.35075</v>
      </c>
      <c r="BL103" s="34" t="n">
        <f aca="false">SUMPRODUCT(Inv_D*(Inv_F&gt;0)*(59&gt;=Inv_SvcP)*(59&lt;Inv_SvcP+Inv_F*12)/(Inv_F*12+(Inv_F=0)))*BL$9</f>
        <v>6799.35075</v>
      </c>
      <c r="BM103" s="34" t="n">
        <f aca="false">SUMPRODUCT(Inv_D*(Inv_F&gt;0)*(60&gt;=Inv_SvcP)*(60&lt;Inv_SvcP+Inv_F*12)/(Inv_F*12+(Inv_F=0)))*BM$9</f>
        <v>6799.35075</v>
      </c>
      <c r="BN103" s="34" t="n">
        <f aca="false">SUMPRODUCT(Inv_D*(Inv_F&gt;0)*(61&gt;=Inv_SvcP)*(61&lt;Inv_SvcP+Inv_F*12)/(Inv_F*12+(Inv_F=0)))*BN$9</f>
        <v>5784.71741666667</v>
      </c>
      <c r="BO103" s="34" t="n">
        <f aca="false">SUMPRODUCT(Inv_D*(Inv_F&gt;0)*(62&gt;=Inv_SvcP)*(62&lt;Inv_SvcP+Inv_F*12)/(Inv_F*12+(Inv_F=0)))*BO$9</f>
        <v>5784.71741666667</v>
      </c>
      <c r="BP103" s="34" t="n">
        <f aca="false">SUMPRODUCT(Inv_D*(Inv_F&gt;0)*(63&gt;=Inv_SvcP)*(63&lt;Inv_SvcP+Inv_F*12)/(Inv_F*12+(Inv_F=0)))*BP$9</f>
        <v>5784.71741666667</v>
      </c>
      <c r="BQ103" s="34" t="n">
        <f aca="false">SUMPRODUCT(Inv_D*(Inv_F&gt;0)*(64&gt;=Inv_SvcP)*(64&lt;Inv_SvcP+Inv_F*12)/(Inv_F*12+(Inv_F=0)))*BQ$9</f>
        <v>5784.71741666667</v>
      </c>
      <c r="BR103" s="34" t="n">
        <f aca="false">SUMPRODUCT(Inv_D*(Inv_F&gt;0)*(65&gt;=Inv_SvcP)*(65&lt;Inv_SvcP+Inv_F*12)/(Inv_F*12+(Inv_F=0)))*BR$9</f>
        <v>5784.71741666667</v>
      </c>
      <c r="BS103" s="34" t="n">
        <f aca="false">SUMPRODUCT(Inv_D*(Inv_F&gt;0)*(66&gt;=Inv_SvcP)*(66&lt;Inv_SvcP+Inv_F*12)/(Inv_F*12+(Inv_F=0)))*BS$9</f>
        <v>5784.71741666667</v>
      </c>
      <c r="BT103" s="34" t="n">
        <f aca="false">SUMPRODUCT(Inv_D*(Inv_F&gt;0)*(67&gt;=Inv_SvcP)*(67&lt;Inv_SvcP+Inv_F*12)/(Inv_F*12+(Inv_F=0)))*BT$9</f>
        <v>5784.71741666667</v>
      </c>
      <c r="BU103" s="34" t="n">
        <f aca="false">SUMPRODUCT(Inv_D*(Inv_F&gt;0)*(68&gt;=Inv_SvcP)*(68&lt;Inv_SvcP+Inv_F*12)/(Inv_F*12+(Inv_F=0)))*BU$9</f>
        <v>5784.71741666667</v>
      </c>
      <c r="BV103" s="34" t="n">
        <f aca="false">SUMPRODUCT(Inv_D*(Inv_F&gt;0)*(69&gt;=Inv_SvcP)*(69&lt;Inv_SvcP+Inv_F*12)/(Inv_F*12+(Inv_F=0)))*BV$9</f>
        <v>5784.71741666667</v>
      </c>
      <c r="BW103" s="34" t="n">
        <f aca="false">SUMPRODUCT(Inv_D*(Inv_F&gt;0)*(70&gt;=Inv_SvcP)*(70&lt;Inv_SvcP+Inv_F*12)/(Inv_F*12+(Inv_F=0)))*BW$9</f>
        <v>5784.71741666667</v>
      </c>
      <c r="BX103" s="34" t="n">
        <f aca="false">SUMPRODUCT(Inv_D*(Inv_F&gt;0)*(71&gt;=Inv_SvcP)*(71&lt;Inv_SvcP+Inv_F*12)/(Inv_F*12+(Inv_F=0)))*BX$9</f>
        <v>5784.71741666667</v>
      </c>
      <c r="BY103" s="34" t="n">
        <f aca="false">SUMPRODUCT(Inv_D*(Inv_F&gt;0)*(72&gt;=Inv_SvcP)*(72&lt;Inv_SvcP+Inv_F*12)/(Inv_F*12+(Inv_F=0)))*BY$9</f>
        <v>5784.71741666667</v>
      </c>
      <c r="BZ103" s="34" t="n">
        <f aca="false">SUMPRODUCT(Inv_D*(Inv_F&gt;0)*(73&gt;=Inv_SvcP)*(73&lt;Inv_SvcP+Inv_F*12)/(Inv_F*12+(Inv_F=0)))*BZ$9</f>
        <v>5784.71741666667</v>
      </c>
      <c r="CA103" s="34" t="n">
        <f aca="false">SUMPRODUCT(Inv_D*(Inv_F&gt;0)*(74&gt;=Inv_SvcP)*(74&lt;Inv_SvcP+Inv_F*12)/(Inv_F*12+(Inv_F=0)))*CA$9</f>
        <v>5784.71741666667</v>
      </c>
      <c r="CB103" s="34" t="n">
        <f aca="false">SUMPRODUCT(Inv_D*(Inv_F&gt;0)*(75&gt;=Inv_SvcP)*(75&lt;Inv_SvcP+Inv_F*12)/(Inv_F*12+(Inv_F=0)))*CB$9</f>
        <v>5784.71741666667</v>
      </c>
      <c r="CC103" s="34" t="n">
        <f aca="false">SUMPRODUCT(Inv_D*(Inv_F&gt;0)*(76&gt;=Inv_SvcP)*(76&lt;Inv_SvcP+Inv_F*12)/(Inv_F*12+(Inv_F=0)))*CC$9</f>
        <v>5784.71741666667</v>
      </c>
      <c r="CD103" s="34" t="n">
        <f aca="false">SUMPRODUCT(Inv_D*(Inv_F&gt;0)*(77&gt;=Inv_SvcP)*(77&lt;Inv_SvcP+Inv_F*12)/(Inv_F*12+(Inv_F=0)))*CD$9</f>
        <v>5784.71741666667</v>
      </c>
      <c r="CE103" s="34" t="n">
        <f aca="false">SUMPRODUCT(Inv_D*(Inv_F&gt;0)*(78&gt;=Inv_SvcP)*(78&lt;Inv_SvcP+Inv_F*12)/(Inv_F*12+(Inv_F=0)))*CE$9</f>
        <v>5784.71741666667</v>
      </c>
      <c r="CF103" s="34" t="n">
        <f aca="false">SUMPRODUCT(Inv_D*(Inv_F&gt;0)*(79&gt;=Inv_SvcP)*(79&lt;Inv_SvcP+Inv_F*12)/(Inv_F*12+(Inv_F=0)))*CF$9</f>
        <v>5784.71741666667</v>
      </c>
      <c r="CG103" s="34" t="n">
        <f aca="false">SUMPRODUCT(Inv_D*(Inv_F&gt;0)*(80&gt;=Inv_SvcP)*(80&lt;Inv_SvcP+Inv_F*12)/(Inv_F*12+(Inv_F=0)))*CG$9</f>
        <v>5784.71741666667</v>
      </c>
      <c r="CH103" s="34" t="n">
        <f aca="false">SUMPRODUCT(Inv_D*(Inv_F&gt;0)*(81&gt;=Inv_SvcP)*(81&lt;Inv_SvcP+Inv_F*12)/(Inv_F*12+(Inv_F=0)))*CH$9</f>
        <v>5784.71741666667</v>
      </c>
      <c r="CI103" s="34" t="n">
        <f aca="false">SUMPRODUCT(Inv_D*(Inv_F&gt;0)*(82&gt;=Inv_SvcP)*(82&lt;Inv_SvcP+Inv_F*12)/(Inv_F*12+(Inv_F=0)))*CI$9</f>
        <v>5784.71741666667</v>
      </c>
      <c r="CJ103" s="34" t="n">
        <f aca="false">SUMPRODUCT(Inv_D*(Inv_F&gt;0)*(83&gt;=Inv_SvcP)*(83&lt;Inv_SvcP+Inv_F*12)/(Inv_F*12+(Inv_F=0)))*CJ$9</f>
        <v>5784.71741666667</v>
      </c>
      <c r="CK103" s="34" t="n">
        <f aca="false">SUMPRODUCT(Inv_D*(Inv_F&gt;0)*(84&gt;=Inv_SvcP)*(84&lt;Inv_SvcP+Inv_F*12)/(Inv_F*12+(Inv_F=0)))*CK$9</f>
        <v>5784.71741666667</v>
      </c>
      <c r="CL103" s="34" t="n">
        <f aca="false">SUMPRODUCT(Inv_D*(Inv_F&gt;0)*(85&gt;=Inv_SvcP)*(85&lt;Inv_SvcP+Inv_F*12)/(Inv_F*12+(Inv_F=0)))*CL$9</f>
        <v>5784.71741666667</v>
      </c>
      <c r="CM103" s="34" t="n">
        <f aca="false">SUMPRODUCT(Inv_D*(Inv_F&gt;0)*(86&gt;=Inv_SvcP)*(86&lt;Inv_SvcP+Inv_F*12)/(Inv_F*12+(Inv_F=0)))*CM$9</f>
        <v>5784.71741666667</v>
      </c>
      <c r="CN103" s="34" t="n">
        <f aca="false">SUMPRODUCT(Inv_D*(Inv_F&gt;0)*(87&gt;=Inv_SvcP)*(87&lt;Inv_SvcP+Inv_F*12)/(Inv_F*12+(Inv_F=0)))*CN$9</f>
        <v>5784.71741666667</v>
      </c>
      <c r="CO103" s="34" t="n">
        <f aca="false">SUMPRODUCT(Inv_D*(Inv_F&gt;0)*(88&gt;=Inv_SvcP)*(88&lt;Inv_SvcP+Inv_F*12)/(Inv_F*12+(Inv_F=0)))*CO$9</f>
        <v>5784.71741666667</v>
      </c>
      <c r="CP103" s="34" t="n">
        <f aca="false">SUMPRODUCT(Inv_D*(Inv_F&gt;0)*(89&gt;=Inv_SvcP)*(89&lt;Inv_SvcP+Inv_F*12)/(Inv_F*12+(Inv_F=0)))*CP$9</f>
        <v>5784.71741666667</v>
      </c>
      <c r="CQ103" s="34" t="n">
        <f aca="false">SUMPRODUCT(Inv_D*(Inv_F&gt;0)*(90&gt;=Inv_SvcP)*(90&lt;Inv_SvcP+Inv_F*12)/(Inv_F*12+(Inv_F=0)))*CQ$9</f>
        <v>5784.71741666667</v>
      </c>
      <c r="CR103" s="34" t="n">
        <f aca="false">SUMPRODUCT(Inv_D*(Inv_F&gt;0)*(91&gt;=Inv_SvcP)*(91&lt;Inv_SvcP+Inv_F*12)/(Inv_F*12+(Inv_F=0)))*CR$9</f>
        <v>5784.71741666667</v>
      </c>
      <c r="CS103" s="34" t="n">
        <f aca="false">SUMPRODUCT(Inv_D*(Inv_F&gt;0)*(92&gt;=Inv_SvcP)*(92&lt;Inv_SvcP+Inv_F*12)/(Inv_F*12+(Inv_F=0)))*CS$9</f>
        <v>5784.71741666667</v>
      </c>
      <c r="CT103" s="34" t="n">
        <f aca="false">SUMPRODUCT(Inv_D*(Inv_F&gt;0)*(93&gt;=Inv_SvcP)*(93&lt;Inv_SvcP+Inv_F*12)/(Inv_F*12+(Inv_F=0)))*CT$9</f>
        <v>5784.71741666667</v>
      </c>
      <c r="CU103" s="34" t="n">
        <f aca="false">SUMPRODUCT(Inv_D*(Inv_F&gt;0)*(94&gt;=Inv_SvcP)*(94&lt;Inv_SvcP+Inv_F*12)/(Inv_F*12+(Inv_F=0)))*CU$9</f>
        <v>5784.71741666667</v>
      </c>
      <c r="CV103" s="34" t="n">
        <f aca="false">SUMPRODUCT(Inv_D*(Inv_F&gt;0)*(95&gt;=Inv_SvcP)*(95&lt;Inv_SvcP+Inv_F*12)/(Inv_F*12+(Inv_F=0)))*CV$9</f>
        <v>5784.71741666667</v>
      </c>
      <c r="CW103" s="34" t="n">
        <f aca="false">SUMPRODUCT(Inv_D*(Inv_F&gt;0)*(96&gt;=Inv_SvcP)*(96&lt;Inv_SvcP+Inv_F*12)/(Inv_F*12+(Inv_F=0)))*CW$9</f>
        <v>5784.71741666667</v>
      </c>
      <c r="CX103" s="34" t="n">
        <f aca="false">SUMPRODUCT(Inv_D*(Inv_F&gt;0)*(97&gt;=Inv_SvcP)*(97&lt;Inv_SvcP+Inv_F*12)/(Inv_F*12+(Inv_F=0)))*CX$9</f>
        <v>5784.71741666667</v>
      </c>
      <c r="CY103" s="34" t="n">
        <f aca="false">SUMPRODUCT(Inv_D*(Inv_F&gt;0)*(98&gt;=Inv_SvcP)*(98&lt;Inv_SvcP+Inv_F*12)/(Inv_F*12+(Inv_F=0)))*CY$9</f>
        <v>5784.71741666667</v>
      </c>
      <c r="CZ103" s="34" t="n">
        <f aca="false">SUMPRODUCT(Inv_D*(Inv_F&gt;0)*(99&gt;=Inv_SvcP)*(99&lt;Inv_SvcP+Inv_F*12)/(Inv_F*12+(Inv_F=0)))*CZ$9</f>
        <v>5784.71741666667</v>
      </c>
      <c r="DA103" s="34" t="n">
        <f aca="false">SUMPRODUCT(Inv_D*(Inv_F&gt;0)*(100&gt;=Inv_SvcP)*(100&lt;Inv_SvcP+Inv_F*12)/(Inv_F*12+(Inv_F=0)))*DA$9</f>
        <v>5784.71741666667</v>
      </c>
      <c r="DB103" s="34" t="n">
        <f aca="false">SUMPRODUCT(Inv_D*(Inv_F&gt;0)*(101&gt;=Inv_SvcP)*(101&lt;Inv_SvcP+Inv_F*12)/(Inv_F*12+(Inv_F=0)))*DB$9</f>
        <v>5784.71741666667</v>
      </c>
      <c r="DC103" s="34" t="n">
        <f aca="false">SUMPRODUCT(Inv_D*(Inv_F&gt;0)*(102&gt;=Inv_SvcP)*(102&lt;Inv_SvcP+Inv_F*12)/(Inv_F*12+(Inv_F=0)))*DC$9</f>
        <v>5784.71741666667</v>
      </c>
      <c r="DD103" s="34" t="n">
        <f aca="false">SUMPRODUCT(Inv_D*(Inv_F&gt;0)*(103&gt;=Inv_SvcP)*(103&lt;Inv_SvcP+Inv_F*12)/(Inv_F*12+(Inv_F=0)))*DD$9</f>
        <v>5784.71741666667</v>
      </c>
      <c r="DE103" s="34" t="n">
        <f aca="false">SUMPRODUCT(Inv_D*(Inv_F&gt;0)*(104&gt;=Inv_SvcP)*(104&lt;Inv_SvcP+Inv_F*12)/(Inv_F*12+(Inv_F=0)))*DE$9</f>
        <v>5784.71741666667</v>
      </c>
      <c r="DF103" s="34" t="n">
        <f aca="false">SUMPRODUCT(Inv_D*(Inv_F&gt;0)*(105&gt;=Inv_SvcP)*(105&lt;Inv_SvcP+Inv_F*12)/(Inv_F*12+(Inv_F=0)))*DF$9</f>
        <v>5784.71741666667</v>
      </c>
      <c r="DG103" s="34" t="n">
        <f aca="false">SUMPRODUCT(Inv_D*(Inv_F&gt;0)*(106&gt;=Inv_SvcP)*(106&lt;Inv_SvcP+Inv_F*12)/(Inv_F*12+(Inv_F=0)))*DG$9</f>
        <v>5784.71741666667</v>
      </c>
      <c r="DH103" s="34" t="n">
        <f aca="false">SUMPRODUCT(Inv_D*(Inv_F&gt;0)*(107&gt;=Inv_SvcP)*(107&lt;Inv_SvcP+Inv_F*12)/(Inv_F*12+(Inv_F=0)))*DH$9</f>
        <v>5784.71741666667</v>
      </c>
      <c r="DI103" s="34" t="n">
        <f aca="false">SUMPRODUCT(Inv_D*(Inv_F&gt;0)*(108&gt;=Inv_SvcP)*(108&lt;Inv_SvcP+Inv_F*12)/(Inv_F*12+(Inv_F=0)))*DI$9</f>
        <v>5784.71741666667</v>
      </c>
      <c r="DJ103" s="34" t="n">
        <f aca="false">SUMPRODUCT(Inv_D*(Inv_F&gt;0)*(109&gt;=Inv_SvcP)*(109&lt;Inv_SvcP+Inv_F*12)/(Inv_F*12+(Inv_F=0)))*DJ$9</f>
        <v>5784.71741666667</v>
      </c>
      <c r="DK103" s="34" t="n">
        <f aca="false">SUMPRODUCT(Inv_D*(Inv_F&gt;0)*(110&gt;=Inv_SvcP)*(110&lt;Inv_SvcP+Inv_F*12)/(Inv_F*12+(Inv_F=0)))*DK$9</f>
        <v>5784.71741666667</v>
      </c>
      <c r="DL103" s="34" t="n">
        <f aca="false">SUMPRODUCT(Inv_D*(Inv_F&gt;0)*(111&gt;=Inv_SvcP)*(111&lt;Inv_SvcP+Inv_F*12)/(Inv_F*12+(Inv_F=0)))*DL$9</f>
        <v>5784.71741666667</v>
      </c>
      <c r="DM103" s="34" t="n">
        <f aca="false">SUMPRODUCT(Inv_D*(Inv_F&gt;0)*(112&gt;=Inv_SvcP)*(112&lt;Inv_SvcP+Inv_F*12)/(Inv_F*12+(Inv_F=0)))*DM$9</f>
        <v>5784.71741666667</v>
      </c>
      <c r="DN103" s="34" t="n">
        <f aca="false">SUMPRODUCT(Inv_D*(Inv_F&gt;0)*(113&gt;=Inv_SvcP)*(113&lt;Inv_SvcP+Inv_F*12)/(Inv_F*12+(Inv_F=0)))*DN$9</f>
        <v>5784.71741666667</v>
      </c>
      <c r="DO103" s="34" t="n">
        <f aca="false">SUMPRODUCT(Inv_D*(Inv_F&gt;0)*(114&gt;=Inv_SvcP)*(114&lt;Inv_SvcP+Inv_F*12)/(Inv_F*12+(Inv_F=0)))*DO$9</f>
        <v>5784.71741666667</v>
      </c>
      <c r="DP103" s="34" t="n">
        <f aca="false">SUMPRODUCT(Inv_D*(Inv_F&gt;0)*(115&gt;=Inv_SvcP)*(115&lt;Inv_SvcP+Inv_F*12)/(Inv_F*12+(Inv_F=0)))*DP$9</f>
        <v>5784.71741666667</v>
      </c>
      <c r="DQ103" s="34" t="n">
        <f aca="false">SUMPRODUCT(Inv_D*(Inv_F&gt;0)*(116&gt;=Inv_SvcP)*(116&lt;Inv_SvcP+Inv_F*12)/(Inv_F*12+(Inv_F=0)))*DQ$9</f>
        <v>5784.71741666667</v>
      </c>
      <c r="DR103" s="34" t="n">
        <f aca="false">SUMPRODUCT(Inv_D*(Inv_F&gt;0)*(117&gt;=Inv_SvcP)*(117&lt;Inv_SvcP+Inv_F*12)/(Inv_F*12+(Inv_F=0)))*DR$9</f>
        <v>5784.71741666667</v>
      </c>
      <c r="DS103" s="34" t="n">
        <f aca="false">SUMPRODUCT(Inv_D*(Inv_F&gt;0)*(118&gt;=Inv_SvcP)*(118&lt;Inv_SvcP+Inv_F*12)/(Inv_F*12+(Inv_F=0)))*DS$9</f>
        <v>5784.71741666667</v>
      </c>
      <c r="DT103" s="34" t="n">
        <f aca="false">SUMPRODUCT(Inv_D*(Inv_F&gt;0)*(119&gt;=Inv_SvcP)*(119&lt;Inv_SvcP+Inv_F*12)/(Inv_F*12+(Inv_F=0)))*DT$9</f>
        <v>5784.71741666667</v>
      </c>
      <c r="DU103" s="34" t="n">
        <f aca="false">SUMPRODUCT(Inv_D*(Inv_F&gt;0)*(120&gt;=Inv_SvcP)*(120&lt;Inv_SvcP+Inv_F*12)/(Inv_F*12+(Inv_F=0)))*DU$9</f>
        <v>5784.71741666667</v>
      </c>
      <c r="DV103" s="34" t="n">
        <f aca="false">SUMPRODUCT(Inv_D*(Inv_F&gt;0)*(121&gt;=Inv_SvcP)*(121&lt;Inv_SvcP+Inv_F*12)/(Inv_F*12+(Inv_F=0)))*DV$9</f>
        <v>0</v>
      </c>
      <c r="DW103" s="34" t="n">
        <f aca="false">SUMPRODUCT(Inv_D*(Inv_F&gt;0)*(122&gt;=Inv_SvcP)*(122&lt;Inv_SvcP+Inv_F*12)/(Inv_F*12+(Inv_F=0)))*DW$9</f>
        <v>0</v>
      </c>
      <c r="DX103" s="34" t="n">
        <f aca="false">SUMPRODUCT(Inv_D*(Inv_F&gt;0)*(123&gt;=Inv_SvcP)*(123&lt;Inv_SvcP+Inv_F*12)/(Inv_F*12+(Inv_F=0)))*DX$9</f>
        <v>0</v>
      </c>
      <c r="DY103" s="34" t="n">
        <f aca="false">SUMPRODUCT(Inv_D*(Inv_F&gt;0)*(124&gt;=Inv_SvcP)*(124&lt;Inv_SvcP+Inv_F*12)/(Inv_F*12+(Inv_F=0)))*DY$9</f>
        <v>0</v>
      </c>
      <c r="DZ103" s="34" t="n">
        <f aca="false">SUMPRODUCT(Inv_D*(Inv_F&gt;0)*(125&gt;=Inv_SvcP)*(125&lt;Inv_SvcP+Inv_F*12)/(Inv_F*12+(Inv_F=0)))*DZ$9</f>
        <v>0</v>
      </c>
      <c r="EA103" s="34" t="n">
        <f aca="false">SUMPRODUCT(Inv_D*(Inv_F&gt;0)*(126&gt;=Inv_SvcP)*(126&lt;Inv_SvcP+Inv_F*12)/(Inv_F*12+(Inv_F=0)))*EA$9</f>
        <v>0</v>
      </c>
      <c r="EB103" s="34" t="n">
        <f aca="false">SUMPRODUCT(Inv_D*(Inv_F&gt;0)*(127&gt;=Inv_SvcP)*(127&lt;Inv_SvcP+Inv_F*12)/(Inv_F*12+(Inv_F=0)))*EB$9</f>
        <v>0</v>
      </c>
      <c r="EC103" s="34" t="n">
        <f aca="false">SUMPRODUCT(Inv_D*(Inv_F&gt;0)*(128&gt;=Inv_SvcP)*(128&lt;Inv_SvcP+Inv_F*12)/(Inv_F*12+(Inv_F=0)))*EC$9</f>
        <v>0</v>
      </c>
      <c r="ED103" s="34" t="n">
        <f aca="false">SUMPRODUCT(Inv_D*(Inv_F&gt;0)*(129&gt;=Inv_SvcP)*(129&lt;Inv_SvcP+Inv_F*12)/(Inv_F*12+(Inv_F=0)))*ED$9</f>
        <v>0</v>
      </c>
      <c r="EE103" s="34" t="n">
        <f aca="false">SUMPRODUCT(Inv_D*(Inv_F&gt;0)*(130&gt;=Inv_SvcP)*(130&lt;Inv_SvcP+Inv_F*12)/(Inv_F*12+(Inv_F=0)))*EE$9</f>
        <v>0</v>
      </c>
      <c r="EF103" s="34" t="n">
        <f aca="false">SUMPRODUCT(Inv_D*(Inv_F&gt;0)*(131&gt;=Inv_SvcP)*(131&lt;Inv_SvcP+Inv_F*12)/(Inv_F*12+(Inv_F=0)))*EF$9</f>
        <v>0</v>
      </c>
      <c r="EG103" s="34" t="n">
        <f aca="false">SUMPRODUCT(Inv_D*(Inv_F&gt;0)*(132&gt;=Inv_SvcP)*(132&lt;Inv_SvcP+Inv_F*12)/(Inv_F*12+(Inv_F=0)))*EG$9</f>
        <v>0</v>
      </c>
      <c r="EH103" s="34" t="n">
        <f aca="false">SUMPRODUCT(Inv_D*(Inv_F&gt;0)*(133&gt;=Inv_SvcP)*(133&lt;Inv_SvcP+Inv_F*12)/(Inv_F*12+(Inv_F=0)))*EH$9</f>
        <v>0</v>
      </c>
      <c r="EI103" s="34" t="n">
        <f aca="false">SUMPRODUCT(Inv_D*(Inv_F&gt;0)*(134&gt;=Inv_SvcP)*(134&lt;Inv_SvcP+Inv_F*12)/(Inv_F*12+(Inv_F=0)))*EI$9</f>
        <v>0</v>
      </c>
      <c r="EJ103" s="34" t="n">
        <f aca="false">SUMPRODUCT(Inv_D*(Inv_F&gt;0)*(135&gt;=Inv_SvcP)*(135&lt;Inv_SvcP+Inv_F*12)/(Inv_F*12+(Inv_F=0)))*EJ$9</f>
        <v>0</v>
      </c>
      <c r="EK103" s="34" t="n">
        <f aca="false">SUMPRODUCT(Inv_D*(Inv_F&gt;0)*(136&gt;=Inv_SvcP)*(136&lt;Inv_SvcP+Inv_F*12)/(Inv_F*12+(Inv_F=0)))*EK$9</f>
        <v>0</v>
      </c>
      <c r="EL103" s="34" t="n">
        <f aca="false">SUMPRODUCT(Inv_D*(Inv_F&gt;0)*(137&gt;=Inv_SvcP)*(137&lt;Inv_SvcP+Inv_F*12)/(Inv_F*12+(Inv_F=0)))*EL$9</f>
        <v>0</v>
      </c>
      <c r="EM103" s="34" t="n">
        <f aca="false">SUMPRODUCT(Inv_D*(Inv_F&gt;0)*(138&gt;=Inv_SvcP)*(138&lt;Inv_SvcP+Inv_F*12)/(Inv_F*12+(Inv_F=0)))*EM$9</f>
        <v>0</v>
      </c>
      <c r="EN103" s="34" t="n">
        <f aca="false">SUMPRODUCT(Inv_D*(Inv_F&gt;0)*(139&gt;=Inv_SvcP)*(139&lt;Inv_SvcP+Inv_F*12)/(Inv_F*12+(Inv_F=0)))*EN$9</f>
        <v>0</v>
      </c>
      <c r="EO103" s="34" t="n">
        <f aca="false">SUMPRODUCT(Inv_D*(Inv_F&gt;0)*(140&gt;=Inv_SvcP)*(140&lt;Inv_SvcP+Inv_F*12)/(Inv_F*12+(Inv_F=0)))*EO$9</f>
        <v>0</v>
      </c>
      <c r="EP103" s="34" t="n">
        <f aca="false">SUMPRODUCT(Inv_D*(Inv_F&gt;0)*(141&gt;=Inv_SvcP)*(141&lt;Inv_SvcP+Inv_F*12)/(Inv_F*12+(Inv_F=0)))*EP$9</f>
        <v>0</v>
      </c>
      <c r="EQ103" s="34" t="n">
        <f aca="false">SUMPRODUCT(Inv_D*(Inv_F&gt;0)*(142&gt;=Inv_SvcP)*(142&lt;Inv_SvcP+Inv_F*12)/(Inv_F*12+(Inv_F=0)))*EQ$9</f>
        <v>0</v>
      </c>
      <c r="ER103" s="34" t="n">
        <f aca="false">SUMPRODUCT(Inv_D*(Inv_F&gt;0)*(143&gt;=Inv_SvcP)*(143&lt;Inv_SvcP+Inv_F*12)/(Inv_F*12+(Inv_F=0)))*ER$9</f>
        <v>0</v>
      </c>
      <c r="ES103" s="34" t="n">
        <f aca="false">SUMPRODUCT(Inv_D*(Inv_F&gt;0)*(144&gt;=Inv_SvcP)*(144&lt;Inv_SvcP+Inv_F*12)/(Inv_F*12+(Inv_F=0)))*ES$9</f>
        <v>0</v>
      </c>
    </row>
    <row r="104" customFormat="false" ht="15" hidden="false" customHeight="false" outlineLevel="0" collapsed="false">
      <c r="A104" s="2" t="s">
        <v>696</v>
      </c>
      <c r="B104" s="6" t="s">
        <v>697</v>
      </c>
      <c r="C104" s="6" t="s">
        <v>250</v>
      </c>
      <c r="E104" s="40" t="n">
        <f aca="false">SUM(F104:ES104)</f>
        <v>15564459.926261</v>
      </c>
      <c r="F104" s="34" t="n">
        <f aca="false">F$102-F$103</f>
        <v>36531.4830589231</v>
      </c>
      <c r="G104" s="34" t="n">
        <f aca="false">G$102-G$103</f>
        <v>36531.4830589231</v>
      </c>
      <c r="H104" s="34" t="n">
        <f aca="false">H$102-H$103</f>
        <v>36531.4830589231</v>
      </c>
      <c r="I104" s="34" t="n">
        <f aca="false">I$102-I$103</f>
        <v>36531.4830589231</v>
      </c>
      <c r="J104" s="34" t="n">
        <f aca="false">J$102-J$103</f>
        <v>36531.4830589231</v>
      </c>
      <c r="K104" s="34" t="n">
        <f aca="false">K$102-K$103</f>
        <v>36531.4830589231</v>
      </c>
      <c r="L104" s="34" t="n">
        <f aca="false">L$102-L$103</f>
        <v>36531.4830589231</v>
      </c>
      <c r="M104" s="34" t="n">
        <f aca="false">M$102-M$103</f>
        <v>36531.4830589231</v>
      </c>
      <c r="N104" s="34" t="n">
        <f aca="false">N$102-N$103</f>
        <v>36531.4830589231</v>
      </c>
      <c r="O104" s="34" t="n">
        <f aca="false">O$102-O$103</f>
        <v>36531.4830589231</v>
      </c>
      <c r="P104" s="34" t="n">
        <f aca="false">P$102-P$103</f>
        <v>36531.4830589231</v>
      </c>
      <c r="Q104" s="34" t="n">
        <f aca="false">Q$102-Q$103</f>
        <v>36531.4830589231</v>
      </c>
      <c r="R104" s="34" t="n">
        <f aca="false">R$102-R$103</f>
        <v>73697.0522439648</v>
      </c>
      <c r="S104" s="34" t="n">
        <f aca="false">S$102-S$103</f>
        <v>73697.0522439648</v>
      </c>
      <c r="T104" s="34" t="n">
        <f aca="false">T$102-T$103</f>
        <v>73697.0522439648</v>
      </c>
      <c r="U104" s="34" t="n">
        <f aca="false">U$102-U$103</f>
        <v>73697.0522439648</v>
      </c>
      <c r="V104" s="34" t="n">
        <f aca="false">V$102-V$103</f>
        <v>73697.0522439648</v>
      </c>
      <c r="W104" s="34" t="n">
        <f aca="false">W$102-W$103</f>
        <v>73697.0522439648</v>
      </c>
      <c r="X104" s="34" t="n">
        <f aca="false">X$102-X$103</f>
        <v>73697.0522439648</v>
      </c>
      <c r="Y104" s="34" t="n">
        <f aca="false">Y$102-Y$103</f>
        <v>73697.0522439648</v>
      </c>
      <c r="Z104" s="34" t="n">
        <f aca="false">Z$102-Z$103</f>
        <v>73697.0522439648</v>
      </c>
      <c r="AA104" s="34" t="n">
        <f aca="false">AA$102-AA$103</f>
        <v>73697.0522439648</v>
      </c>
      <c r="AB104" s="34" t="n">
        <f aca="false">AB$102-AB$103</f>
        <v>73697.0522439648</v>
      </c>
      <c r="AC104" s="34" t="n">
        <f aca="false">AC$102-AC$103</f>
        <v>73697.0522439648</v>
      </c>
      <c r="AD104" s="34" t="n">
        <f aca="false">AD$102-AD$103</f>
        <v>110285.680115125</v>
      </c>
      <c r="AE104" s="34" t="n">
        <f aca="false">AE$102-AE$103</f>
        <v>110285.680115125</v>
      </c>
      <c r="AF104" s="34" t="n">
        <f aca="false">AF$102-AF$103</f>
        <v>110285.680115125</v>
      </c>
      <c r="AG104" s="34" t="n">
        <f aca="false">AG$102-AG$103</f>
        <v>110285.680115125</v>
      </c>
      <c r="AH104" s="34" t="n">
        <f aca="false">AH$102-AH$103</f>
        <v>110285.680115125</v>
      </c>
      <c r="AI104" s="34" t="n">
        <f aca="false">AI$102-AI$103</f>
        <v>110285.680115125</v>
      </c>
      <c r="AJ104" s="34" t="n">
        <f aca="false">AJ$102-AJ$103</f>
        <v>110285.680115125</v>
      </c>
      <c r="AK104" s="34" t="n">
        <f aca="false">AK$102-AK$103</f>
        <v>110285.680115125</v>
      </c>
      <c r="AL104" s="34" t="n">
        <f aca="false">AL$102-AL$103</f>
        <v>110285.680115125</v>
      </c>
      <c r="AM104" s="34" t="n">
        <f aca="false">AM$102-AM$103</f>
        <v>110285.680115125</v>
      </c>
      <c r="AN104" s="34" t="n">
        <f aca="false">AN$102-AN$103</f>
        <v>110285.680115125</v>
      </c>
      <c r="AO104" s="34" t="n">
        <f aca="false">AO$102-AO$103</f>
        <v>110285.680115125</v>
      </c>
      <c r="AP104" s="34" t="n">
        <f aca="false">AP$102-AP$103</f>
        <v>143094.229129858</v>
      </c>
      <c r="AQ104" s="34" t="n">
        <f aca="false">AQ$102-AQ$103</f>
        <v>143094.229129858</v>
      </c>
      <c r="AR104" s="34" t="n">
        <f aca="false">AR$102-AR$103</f>
        <v>143094.229129858</v>
      </c>
      <c r="AS104" s="34" t="n">
        <f aca="false">AS$102-AS$103</f>
        <v>143094.229129858</v>
      </c>
      <c r="AT104" s="34" t="n">
        <f aca="false">AT$102-AT$103</f>
        <v>143094.229129858</v>
      </c>
      <c r="AU104" s="34" t="n">
        <f aca="false">AU$102-AU$103</f>
        <v>143094.229129858</v>
      </c>
      <c r="AV104" s="34" t="n">
        <f aca="false">AV$102-AV$103</f>
        <v>143094.229129858</v>
      </c>
      <c r="AW104" s="34" t="n">
        <f aca="false">AW$102-AW$103</f>
        <v>143094.229129858</v>
      </c>
      <c r="AX104" s="34" t="n">
        <f aca="false">AX$102-AX$103</f>
        <v>143094.229129858</v>
      </c>
      <c r="AY104" s="34" t="n">
        <f aca="false">AY$102-AY$103</f>
        <v>143094.229129858</v>
      </c>
      <c r="AZ104" s="34" t="n">
        <f aca="false">AZ$102-AZ$103</f>
        <v>143094.229129858</v>
      </c>
      <c r="BA104" s="34" t="n">
        <f aca="false">BA$102-BA$103</f>
        <v>143094.229129858</v>
      </c>
      <c r="BB104" s="34" t="n">
        <f aca="false">BB$102-BB$103</f>
        <v>144413.814126374</v>
      </c>
      <c r="BC104" s="34" t="n">
        <f aca="false">BC$102-BC$103</f>
        <v>144413.814126374</v>
      </c>
      <c r="BD104" s="34" t="n">
        <f aca="false">BD$102-BD$103</f>
        <v>144413.814126374</v>
      </c>
      <c r="BE104" s="34" t="n">
        <f aca="false">BE$102-BE$103</f>
        <v>144413.814126374</v>
      </c>
      <c r="BF104" s="34" t="n">
        <f aca="false">BF$102-BF$103</f>
        <v>144413.814126374</v>
      </c>
      <c r="BG104" s="34" t="n">
        <f aca="false">BG$102-BG$103</f>
        <v>144413.814126374</v>
      </c>
      <c r="BH104" s="34" t="n">
        <f aca="false">BH$102-BH$103</f>
        <v>144413.814126374</v>
      </c>
      <c r="BI104" s="34" t="n">
        <f aca="false">BI$102-BI$103</f>
        <v>144413.814126374</v>
      </c>
      <c r="BJ104" s="34" t="n">
        <f aca="false">BJ$102-BJ$103</f>
        <v>144413.814126374</v>
      </c>
      <c r="BK104" s="34" t="n">
        <f aca="false">BK$102-BK$103</f>
        <v>144413.814126374</v>
      </c>
      <c r="BL104" s="34" t="n">
        <f aca="false">BL$102-BL$103</f>
        <v>144413.814126374</v>
      </c>
      <c r="BM104" s="34" t="n">
        <f aca="false">BM$102-BM$103</f>
        <v>144413.814126374</v>
      </c>
      <c r="BN104" s="34" t="n">
        <f aca="false">BN$102-BN$103</f>
        <v>149515.724381159</v>
      </c>
      <c r="BO104" s="34" t="n">
        <f aca="false">BO$102-BO$103</f>
        <v>149515.724381159</v>
      </c>
      <c r="BP104" s="34" t="n">
        <f aca="false">BP$102-BP$103</f>
        <v>149515.724381159</v>
      </c>
      <c r="BQ104" s="34" t="n">
        <f aca="false">BQ$102-BQ$103</f>
        <v>149515.724381159</v>
      </c>
      <c r="BR104" s="34" t="n">
        <f aca="false">BR$102-BR$103</f>
        <v>149515.724381159</v>
      </c>
      <c r="BS104" s="34" t="n">
        <f aca="false">BS$102-BS$103</f>
        <v>149515.724381159</v>
      </c>
      <c r="BT104" s="34" t="n">
        <f aca="false">BT$102-BT$103</f>
        <v>149515.724381159</v>
      </c>
      <c r="BU104" s="34" t="n">
        <f aca="false">BU$102-BU$103</f>
        <v>149515.724381159</v>
      </c>
      <c r="BV104" s="34" t="n">
        <f aca="false">BV$102-BV$103</f>
        <v>149515.724381159</v>
      </c>
      <c r="BW104" s="34" t="n">
        <f aca="false">BW$102-BW$103</f>
        <v>149515.724381159</v>
      </c>
      <c r="BX104" s="34" t="n">
        <f aca="false">BX$102-BX$103</f>
        <v>149515.724381159</v>
      </c>
      <c r="BY104" s="34" t="n">
        <f aca="false">BY$102-BY$103</f>
        <v>149515.724381159</v>
      </c>
      <c r="BZ104" s="34" t="n">
        <f aca="false">BZ$102-BZ$103</f>
        <v>153631.305072733</v>
      </c>
      <c r="CA104" s="34" t="n">
        <f aca="false">CA$102-CA$103</f>
        <v>153631.305072733</v>
      </c>
      <c r="CB104" s="34" t="n">
        <f aca="false">CB$102-CB$103</f>
        <v>153631.305072733</v>
      </c>
      <c r="CC104" s="34" t="n">
        <f aca="false">CC$102-CC$103</f>
        <v>153631.305072733</v>
      </c>
      <c r="CD104" s="34" t="n">
        <f aca="false">CD$102-CD$103</f>
        <v>153631.305072733</v>
      </c>
      <c r="CE104" s="34" t="n">
        <f aca="false">CE$102-CE$103</f>
        <v>153631.305072733</v>
      </c>
      <c r="CF104" s="34" t="n">
        <f aca="false">CF$102-CF$103</f>
        <v>153631.305072733</v>
      </c>
      <c r="CG104" s="34" t="n">
        <f aca="false">CG$102-CG$103</f>
        <v>153631.305072733</v>
      </c>
      <c r="CH104" s="34" t="n">
        <f aca="false">CH$102-CH$103</f>
        <v>153631.305072733</v>
      </c>
      <c r="CI104" s="34" t="n">
        <f aca="false">CI$102-CI$103</f>
        <v>153631.305072733</v>
      </c>
      <c r="CJ104" s="34" t="n">
        <f aca="false">CJ$102-CJ$103</f>
        <v>153631.305072733</v>
      </c>
      <c r="CK104" s="34" t="n">
        <f aca="false">CK$102-CK$103</f>
        <v>153631.305072733</v>
      </c>
      <c r="CL104" s="34" t="n">
        <f aca="false">CL$102-CL$103</f>
        <v>157775.101129621</v>
      </c>
      <c r="CM104" s="34" t="n">
        <f aca="false">CM$102-CM$103</f>
        <v>157775.101129621</v>
      </c>
      <c r="CN104" s="34" t="n">
        <f aca="false">CN$102-CN$103</f>
        <v>157775.101129621</v>
      </c>
      <c r="CO104" s="34" t="n">
        <f aca="false">CO$102-CO$103</f>
        <v>157775.101129621</v>
      </c>
      <c r="CP104" s="34" t="n">
        <f aca="false">CP$102-CP$103</f>
        <v>157775.101129621</v>
      </c>
      <c r="CQ104" s="34" t="n">
        <f aca="false">CQ$102-CQ$103</f>
        <v>157775.101129621</v>
      </c>
      <c r="CR104" s="34" t="n">
        <f aca="false">CR$102-CR$103</f>
        <v>157775.101129621</v>
      </c>
      <c r="CS104" s="34" t="n">
        <f aca="false">CS$102-CS$103</f>
        <v>157775.101129621</v>
      </c>
      <c r="CT104" s="34" t="n">
        <f aca="false">CT$102-CT$103</f>
        <v>157775.101129621</v>
      </c>
      <c r="CU104" s="34" t="n">
        <f aca="false">CU$102-CU$103</f>
        <v>157775.101129621</v>
      </c>
      <c r="CV104" s="34" t="n">
        <f aca="false">CV$102-CV$103</f>
        <v>157775.101129621</v>
      </c>
      <c r="CW104" s="34" t="n">
        <f aca="false">CW$102-CW$103</f>
        <v>157775.101129621</v>
      </c>
      <c r="CX104" s="34" t="n">
        <f aca="false">CX$102-CX$103</f>
        <v>161947.012232241</v>
      </c>
      <c r="CY104" s="34" t="n">
        <f aca="false">CY$102-CY$103</f>
        <v>161947.012232241</v>
      </c>
      <c r="CZ104" s="34" t="n">
        <f aca="false">CZ$102-CZ$103</f>
        <v>161947.012232241</v>
      </c>
      <c r="DA104" s="34" t="n">
        <f aca="false">DA$102-DA$103</f>
        <v>161947.012232241</v>
      </c>
      <c r="DB104" s="34" t="n">
        <f aca="false">DB$102-DB$103</f>
        <v>161947.012232241</v>
      </c>
      <c r="DC104" s="34" t="n">
        <f aca="false">DC$102-DC$103</f>
        <v>161947.012232241</v>
      </c>
      <c r="DD104" s="34" t="n">
        <f aca="false">DD$102-DD$103</f>
        <v>161947.012232241</v>
      </c>
      <c r="DE104" s="34" t="n">
        <f aca="false">DE$102-DE$103</f>
        <v>161947.012232241</v>
      </c>
      <c r="DF104" s="34" t="n">
        <f aca="false">DF$102-DF$103</f>
        <v>161947.012232241</v>
      </c>
      <c r="DG104" s="34" t="n">
        <f aca="false">DG$102-DG$103</f>
        <v>161947.012232241</v>
      </c>
      <c r="DH104" s="34" t="n">
        <f aca="false">DH$102-DH$103</f>
        <v>161947.012232241</v>
      </c>
      <c r="DI104" s="34" t="n">
        <f aca="false">DI$102-DI$103</f>
        <v>161947.012232241</v>
      </c>
      <c r="DJ104" s="34" t="n">
        <f aca="false">DJ$102-DJ$103</f>
        <v>166146.925698419</v>
      </c>
      <c r="DK104" s="34" t="n">
        <f aca="false">DK$102-DK$103</f>
        <v>166146.925698419</v>
      </c>
      <c r="DL104" s="34" t="n">
        <f aca="false">DL$102-DL$103</f>
        <v>166146.925698419</v>
      </c>
      <c r="DM104" s="34" t="n">
        <f aca="false">DM$102-DM$103</f>
        <v>166146.925698419</v>
      </c>
      <c r="DN104" s="34" t="n">
        <f aca="false">DN$102-DN$103</f>
        <v>166146.925698419</v>
      </c>
      <c r="DO104" s="34" t="n">
        <f aca="false">DO$102-DO$103</f>
        <v>166146.925698419</v>
      </c>
      <c r="DP104" s="34" t="n">
        <f aca="false">DP$102-DP$103</f>
        <v>166146.925698419</v>
      </c>
      <c r="DQ104" s="34" t="n">
        <f aca="false">DQ$102-DQ$103</f>
        <v>166146.925698419</v>
      </c>
      <c r="DR104" s="34" t="n">
        <f aca="false">DR$102-DR$103</f>
        <v>166146.925698419</v>
      </c>
      <c r="DS104" s="34" t="n">
        <f aca="false">DS$102-DS$103</f>
        <v>166146.925698419</v>
      </c>
      <c r="DT104" s="34" t="n">
        <f aca="false">DT$102-DT$103</f>
        <v>166146.925698419</v>
      </c>
      <c r="DU104" s="34" t="n">
        <f aca="false">DU$102-DU$103</f>
        <v>166146.925698419</v>
      </c>
      <c r="DV104" s="34" t="n">
        <f aca="false">DV$102-DV$103</f>
        <v>0</v>
      </c>
      <c r="DW104" s="34" t="n">
        <f aca="false">DW$102-DW$103</f>
        <v>0</v>
      </c>
      <c r="DX104" s="34" t="n">
        <f aca="false">DX$102-DX$103</f>
        <v>0</v>
      </c>
      <c r="DY104" s="34" t="n">
        <f aca="false">DY$102-DY$103</f>
        <v>0</v>
      </c>
      <c r="DZ104" s="34" t="n">
        <f aca="false">DZ$102-DZ$103</f>
        <v>0</v>
      </c>
      <c r="EA104" s="34" t="n">
        <f aca="false">EA$102-EA$103</f>
        <v>0</v>
      </c>
      <c r="EB104" s="34" t="n">
        <f aca="false">EB$102-EB$103</f>
        <v>0</v>
      </c>
      <c r="EC104" s="34" t="n">
        <f aca="false">EC$102-EC$103</f>
        <v>0</v>
      </c>
      <c r="ED104" s="34" t="n">
        <f aca="false">ED$102-ED$103</f>
        <v>0</v>
      </c>
      <c r="EE104" s="34" t="n">
        <f aca="false">EE$102-EE$103</f>
        <v>0</v>
      </c>
      <c r="EF104" s="34" t="n">
        <f aca="false">EF$102-EF$103</f>
        <v>0</v>
      </c>
      <c r="EG104" s="34" t="n">
        <f aca="false">EG$102-EG$103</f>
        <v>0</v>
      </c>
      <c r="EH104" s="34" t="n">
        <f aca="false">EH$102-EH$103</f>
        <v>0</v>
      </c>
      <c r="EI104" s="34" t="n">
        <f aca="false">EI$102-EI$103</f>
        <v>0</v>
      </c>
      <c r="EJ104" s="34" t="n">
        <f aca="false">EJ$102-EJ$103</f>
        <v>0</v>
      </c>
      <c r="EK104" s="34" t="n">
        <f aca="false">EK$102-EK$103</f>
        <v>0</v>
      </c>
      <c r="EL104" s="34" t="n">
        <f aca="false">EL$102-EL$103</f>
        <v>0</v>
      </c>
      <c r="EM104" s="34" t="n">
        <f aca="false">EM$102-EM$103</f>
        <v>0</v>
      </c>
      <c r="EN104" s="34" t="n">
        <f aca="false">EN$102-EN$103</f>
        <v>0</v>
      </c>
      <c r="EO104" s="34" t="n">
        <f aca="false">EO$102-EO$103</f>
        <v>0</v>
      </c>
      <c r="EP104" s="34" t="n">
        <f aca="false">EP$102-EP$103</f>
        <v>0</v>
      </c>
      <c r="EQ104" s="34" t="n">
        <f aca="false">EQ$102-EQ$103</f>
        <v>0</v>
      </c>
      <c r="ER104" s="34" t="n">
        <f aca="false">ER$102-ER$103</f>
        <v>0</v>
      </c>
      <c r="ES104" s="34" t="n">
        <f aca="false">ES$102-ES$103</f>
        <v>0</v>
      </c>
    </row>
    <row r="105" customFormat="false" ht="15" hidden="false" customHeight="false" outlineLevel="0" collapsed="false">
      <c r="A105" s="2" t="s">
        <v>698</v>
      </c>
      <c r="B105" s="6" t="s">
        <v>699</v>
      </c>
      <c r="C105" s="6" t="s">
        <v>250</v>
      </c>
      <c r="E105" s="40" t="n">
        <f aca="false">SUM(F105:ES105)</f>
        <v>813214.128224454</v>
      </c>
      <c r="F105" s="34" t="n">
        <f aca="false">(F$124+F$128+F$132+F$140)*(1+P_IVAint)</f>
        <v>23030.59275</v>
      </c>
      <c r="G105" s="34" t="n">
        <f aca="false">(G$124+G$128+G$132+G$140)*(1+P_IVAint)</f>
        <v>23030.59275</v>
      </c>
      <c r="H105" s="34" t="n">
        <f aca="false">(H$124+H$128+H$132+H$140)*(1+P_IVAint)</f>
        <v>23030.59275</v>
      </c>
      <c r="I105" s="34" t="n">
        <f aca="false">(I$124+I$128+I$132+I$140)*(1+P_IVAint)</f>
        <v>23030.59275</v>
      </c>
      <c r="J105" s="34" t="n">
        <f aca="false">(J$124+J$128+J$132+J$140)*(1+P_IVAint)</f>
        <v>23030.59275</v>
      </c>
      <c r="K105" s="34" t="n">
        <f aca="false">(K$124+K$128+K$132+K$140)*(1+P_IVAint)</f>
        <v>23030.59275</v>
      </c>
      <c r="L105" s="34" t="n">
        <f aca="false">(L$124+L$128+L$132+L$140)*(1+P_IVAint)</f>
        <v>23030.59275</v>
      </c>
      <c r="M105" s="34" t="n">
        <f aca="false">(M$124+M$128+M$132+M$140)*(1+P_IVAint)</f>
        <v>22683.0754912188</v>
      </c>
      <c r="N105" s="34" t="n">
        <f aca="false">(N$124+N$128+N$132+N$140)*(1+P_IVAint)</f>
        <v>22332.9518529968</v>
      </c>
      <c r="O105" s="34" t="n">
        <f aca="false">(O$124+O$128+O$132+O$140)*(1+P_IVAint)</f>
        <v>21980.2022874881</v>
      </c>
      <c r="P105" s="34" t="n">
        <f aca="false">(P$124+P$128+P$132+P$140)*(1+P_IVAint)</f>
        <v>21624.8071002381</v>
      </c>
      <c r="Q105" s="34" t="n">
        <f aca="false">(Q$124+Q$128+Q$132+Q$140)*(1+P_IVAint)</f>
        <v>21266.7464490837</v>
      </c>
      <c r="R105" s="34" t="n">
        <f aca="false">(R$124+R$128+R$132+R$140)*(1+P_IVAint)</f>
        <v>20906.0003430457</v>
      </c>
      <c r="S105" s="34" t="n">
        <f aca="false">(S$124+S$128+S$132+S$140)*(1+P_IVAint)</f>
        <v>20542.5486412123</v>
      </c>
      <c r="T105" s="34" t="n">
        <f aca="false">(T$124+T$128+T$132+T$140)*(1+P_IVAint)</f>
        <v>20176.3710516152</v>
      </c>
      <c r="U105" s="34" t="n">
        <f aca="false">(U$124+U$128+U$132+U$140)*(1+P_IVAint)</f>
        <v>19807.4471300962</v>
      </c>
      <c r="V105" s="34" t="n">
        <f aca="false">(V$124+V$128+V$132+V$140)*(1+P_IVAint)</f>
        <v>19435.7562791657</v>
      </c>
      <c r="W105" s="34" t="n">
        <f aca="false">(W$124+W$128+W$132+W$140)*(1+P_IVAint)</f>
        <v>19061.2777468533</v>
      </c>
      <c r="X105" s="34" t="n">
        <f aca="false">(X$124+X$128+X$132+X$140)*(1+P_IVAint)</f>
        <v>18683.9906255485</v>
      </c>
      <c r="Y105" s="34" t="n">
        <f aca="false">(Y$124+Y$128+Y$132+Y$140)*(1+P_IVAint)</f>
        <v>18303.873850834</v>
      </c>
      <c r="Z105" s="34" t="n">
        <f aca="false">(Z$124+Z$128+Z$132+Z$140)*(1+P_IVAint)</f>
        <v>17920.906200309</v>
      </c>
      <c r="AA105" s="34" t="n">
        <f aca="false">(AA$124+AA$128+AA$132+AA$140)*(1+P_IVAint)</f>
        <v>17535.0662924052</v>
      </c>
      <c r="AB105" s="34" t="n">
        <f aca="false">(AB$124+AB$128+AB$132+AB$140)*(1+P_IVAint)</f>
        <v>17146.3325851921</v>
      </c>
      <c r="AC105" s="34" t="n">
        <f aca="false">(AC$124+AC$128+AC$132+AC$140)*(1+P_IVAint)</f>
        <v>16754.6833751748</v>
      </c>
      <c r="AD105" s="34" t="n">
        <f aca="false">(AD$124+AD$128+AD$132+AD$140)*(1+P_IVAint)</f>
        <v>16360.0967960825</v>
      </c>
      <c r="AE105" s="34" t="n">
        <f aca="false">(AE$124+AE$128+AE$132+AE$140)*(1+P_IVAint)</f>
        <v>15962.5508176469</v>
      </c>
      <c r="AF105" s="34" t="n">
        <f aca="false">(AF$124+AF$128+AF$132+AF$140)*(1+P_IVAint)</f>
        <v>15562.0232443731</v>
      </c>
      <c r="AG105" s="34" t="n">
        <f aca="false">(AG$124+AG$128+AG$132+AG$140)*(1+P_IVAint)</f>
        <v>15158.4917142997</v>
      </c>
      <c r="AH105" s="34" t="n">
        <f aca="false">(AH$124+AH$128+AH$132+AH$140)*(1+P_IVAint)</f>
        <v>14751.9336977508</v>
      </c>
      <c r="AI105" s="34" t="n">
        <f aca="false">(AI$124+AI$128+AI$132+AI$140)*(1+P_IVAint)</f>
        <v>14342.3264960777</v>
      </c>
      <c r="AJ105" s="34" t="n">
        <f aca="false">(AJ$124+AJ$128+AJ$132+AJ$140)*(1+P_IVAint)</f>
        <v>13929.6472403921</v>
      </c>
      <c r="AK105" s="34" t="n">
        <f aca="false">(AK$124+AK$128+AK$132+AK$140)*(1+P_IVAint)</f>
        <v>13513.8728902889</v>
      </c>
      <c r="AL105" s="34" t="n">
        <f aca="false">(AL$124+AL$128+AL$132+AL$140)*(1+P_IVAint)</f>
        <v>13094.9802325599</v>
      </c>
      <c r="AM105" s="34" t="n">
        <f aca="false">(AM$124+AM$128+AM$132+AM$140)*(1+P_IVAint)</f>
        <v>12672.9458798979</v>
      </c>
      <c r="AN105" s="34" t="n">
        <f aca="false">(AN$124+AN$128+AN$132+AN$140)*(1+P_IVAint)</f>
        <v>12247.746269591</v>
      </c>
      <c r="AO105" s="34" t="n">
        <f aca="false">(AO$124+AO$128+AO$132+AO$140)*(1+P_IVAint)</f>
        <v>11819.3576622067</v>
      </c>
      <c r="AP105" s="34" t="n">
        <f aca="false">(AP$124+AP$128+AP$132+AP$140)*(1+P_IVAint)</f>
        <v>11387.7561402671</v>
      </c>
      <c r="AQ105" s="34" t="n">
        <f aca="false">(AQ$124+AQ$128+AQ$132+AQ$140)*(1+P_IVAint)</f>
        <v>10952.917606913</v>
      </c>
      <c r="AR105" s="34" t="n">
        <f aca="false">(AR$124+AR$128+AR$132+AR$140)*(1+P_IVAint)</f>
        <v>10514.8177845586</v>
      </c>
      <c r="AS105" s="34" t="n">
        <f aca="false">(AS$124+AS$128+AS$132+AS$140)*(1+P_IVAint)</f>
        <v>10073.4322135366</v>
      </c>
      <c r="AT105" s="34" t="n">
        <f aca="false">(AT$124+AT$128+AT$132+AT$140)*(1+P_IVAint)</f>
        <v>9628.736250732</v>
      </c>
      <c r="AU105" s="34" t="n">
        <f aca="false">(AU$124+AU$128+AU$132+AU$140)*(1+P_IVAint)</f>
        <v>9180.70506820631</v>
      </c>
      <c r="AV105" s="34" t="n">
        <f aca="false">(AV$124+AV$128+AV$132+AV$140)*(1+P_IVAint)</f>
        <v>8729.31365181168</v>
      </c>
      <c r="AW105" s="34" t="n">
        <f aca="false">(AW$124+AW$128+AW$132+AW$140)*(1+P_IVAint)</f>
        <v>8274.5367997941</v>
      </c>
      <c r="AX105" s="34" t="n">
        <f aca="false">(AX$124+AX$128+AX$132+AX$140)*(1+P_IVAint)</f>
        <v>7816.34912138638</v>
      </c>
      <c r="AY105" s="34" t="n">
        <f aca="false">(AY$124+AY$128+AY$132+AY$140)*(1+P_IVAint)</f>
        <v>7354.7250353906</v>
      </c>
      <c r="AZ105" s="34" t="n">
        <f aca="false">(AZ$124+AZ$128+AZ$132+AZ$140)*(1+P_IVAint)</f>
        <v>6889.63876874986</v>
      </c>
      <c r="BA105" s="34" t="n">
        <f aca="false">(BA$124+BA$128+BA$132+BA$140)*(1+P_IVAint)</f>
        <v>6421.06435510931</v>
      </c>
      <c r="BB105" s="34" t="n">
        <f aca="false">(BB$124+BB$128+BB$132+BB$140)*(1+P_IVAint)</f>
        <v>5948.97563336646</v>
      </c>
      <c r="BC105" s="34" t="n">
        <f aca="false">(BC$124+BC$128+BC$132+BC$140)*(1+P_IVAint)</f>
        <v>5473.34624621053</v>
      </c>
      <c r="BD105" s="34" t="n">
        <f aca="false">(BD$124+BD$128+BD$132+BD$140)*(1+P_IVAint)</f>
        <v>4994.14963865093</v>
      </c>
      <c r="BE105" s="34" t="n">
        <f aca="false">(BE$124+BE$128+BE$132+BE$140)*(1+P_IVAint)</f>
        <v>4511.35905653464</v>
      </c>
      <c r="BF105" s="34" t="n">
        <f aca="false">(BF$124+BF$128+BF$132+BF$140)*(1+P_IVAint)</f>
        <v>4024.94754505248</v>
      </c>
      <c r="BG105" s="34" t="n">
        <f aca="false">(BG$124+BG$128+BG$132+BG$140)*(1+P_IVAint)</f>
        <v>3534.8879472342</v>
      </c>
      <c r="BH105" s="34" t="n">
        <f aca="false">(BH$124+BH$128+BH$132+BH$140)*(1+P_IVAint)</f>
        <v>3041.15290243228</v>
      </c>
      <c r="BI105" s="34" t="n">
        <f aca="false">(BI$124+BI$128+BI$132+BI$140)*(1+P_IVAint)</f>
        <v>2543.71484479435</v>
      </c>
      <c r="BJ105" s="34" t="n">
        <f aca="false">(BJ$124+BJ$128+BJ$132+BJ$140)*(1+P_IVAint)</f>
        <v>2042.54600172413</v>
      </c>
      <c r="BK105" s="34" t="n">
        <f aca="false">(BK$124+BK$128+BK$132+BK$140)*(1+P_IVAint)</f>
        <v>1537.61839233089</v>
      </c>
      <c r="BL105" s="34" t="n">
        <f aca="false">(BL$124+BL$128+BL$132+BL$140)*(1+P_IVAint)</f>
        <v>1028.9038258672</v>
      </c>
      <c r="BM105" s="34" t="n">
        <f aca="false">(BM$124+BM$128+BM$132+BM$140)*(1+P_IVAint)</f>
        <v>516.373900155025</v>
      </c>
      <c r="BN105" s="34" t="n">
        <f aca="false">(BN$124+BN$128+BN$132+BN$140)*(1+P_IVAint)</f>
        <v>0</v>
      </c>
      <c r="BO105" s="34" t="n">
        <f aca="false">(BO$124+BO$128+BO$132+BO$140)*(1+P_IVAint)</f>
        <v>0</v>
      </c>
      <c r="BP105" s="34" t="n">
        <f aca="false">(BP$124+BP$128+BP$132+BP$140)*(1+P_IVAint)</f>
        <v>0</v>
      </c>
      <c r="BQ105" s="34" t="n">
        <f aca="false">(BQ$124+BQ$128+BQ$132+BQ$140)*(1+P_IVAint)</f>
        <v>0</v>
      </c>
      <c r="BR105" s="34" t="n">
        <f aca="false">(BR$124+BR$128+BR$132+BR$140)*(1+P_IVAint)</f>
        <v>0</v>
      </c>
      <c r="BS105" s="34" t="n">
        <f aca="false">(BS$124+BS$128+BS$132+BS$140)*(1+P_IVAint)</f>
        <v>0</v>
      </c>
      <c r="BT105" s="34" t="n">
        <f aca="false">(BT$124+BT$128+BT$132+BT$140)*(1+P_IVAint)</f>
        <v>0</v>
      </c>
      <c r="BU105" s="34" t="n">
        <f aca="false">(BU$124+BU$128+BU$132+BU$140)*(1+P_IVAint)</f>
        <v>0</v>
      </c>
      <c r="BV105" s="34" t="n">
        <f aca="false">(BV$124+BV$128+BV$132+BV$140)*(1+P_IVAint)</f>
        <v>0</v>
      </c>
      <c r="BW105" s="34" t="n">
        <f aca="false">(BW$124+BW$128+BW$132+BW$140)*(1+P_IVAint)</f>
        <v>0</v>
      </c>
      <c r="BX105" s="34" t="n">
        <f aca="false">(BX$124+BX$128+BX$132+BX$140)*(1+P_IVAint)</f>
        <v>0</v>
      </c>
      <c r="BY105" s="34" t="n">
        <f aca="false">(BY$124+BY$128+BY$132+BY$140)*(1+P_IVAint)</f>
        <v>0</v>
      </c>
      <c r="BZ105" s="34" t="n">
        <f aca="false">(BZ$124+BZ$128+BZ$132+BZ$140)*(1+P_IVAint)</f>
        <v>0</v>
      </c>
      <c r="CA105" s="34" t="n">
        <f aca="false">(CA$124+CA$128+CA$132+CA$140)*(1+P_IVAint)</f>
        <v>0</v>
      </c>
      <c r="CB105" s="34" t="n">
        <f aca="false">(CB$124+CB$128+CB$132+CB$140)*(1+P_IVAint)</f>
        <v>0</v>
      </c>
      <c r="CC105" s="34" t="n">
        <f aca="false">(CC$124+CC$128+CC$132+CC$140)*(1+P_IVAint)</f>
        <v>0</v>
      </c>
      <c r="CD105" s="34" t="n">
        <f aca="false">(CD$124+CD$128+CD$132+CD$140)*(1+P_IVAint)</f>
        <v>0</v>
      </c>
      <c r="CE105" s="34" t="n">
        <f aca="false">(CE$124+CE$128+CE$132+CE$140)*(1+P_IVAint)</f>
        <v>0</v>
      </c>
      <c r="CF105" s="34" t="n">
        <f aca="false">(CF$124+CF$128+CF$132+CF$140)*(1+P_IVAint)</f>
        <v>0</v>
      </c>
      <c r="CG105" s="34" t="n">
        <f aca="false">(CG$124+CG$128+CG$132+CG$140)*(1+P_IVAint)</f>
        <v>0</v>
      </c>
      <c r="CH105" s="34" t="n">
        <f aca="false">(CH$124+CH$128+CH$132+CH$140)*(1+P_IVAint)</f>
        <v>0</v>
      </c>
      <c r="CI105" s="34" t="n">
        <f aca="false">(CI$124+CI$128+CI$132+CI$140)*(1+P_IVAint)</f>
        <v>0</v>
      </c>
      <c r="CJ105" s="34" t="n">
        <f aca="false">(CJ$124+CJ$128+CJ$132+CJ$140)*(1+P_IVAint)</f>
        <v>0</v>
      </c>
      <c r="CK105" s="34" t="n">
        <f aca="false">(CK$124+CK$128+CK$132+CK$140)*(1+P_IVAint)</f>
        <v>0</v>
      </c>
      <c r="CL105" s="34" t="n">
        <f aca="false">(CL$124+CL$128+CL$132+CL$140)*(1+P_IVAint)</f>
        <v>0</v>
      </c>
      <c r="CM105" s="34" t="n">
        <f aca="false">(CM$124+CM$128+CM$132+CM$140)*(1+P_IVAint)</f>
        <v>0</v>
      </c>
      <c r="CN105" s="34" t="n">
        <f aca="false">(CN$124+CN$128+CN$132+CN$140)*(1+P_IVAint)</f>
        <v>0</v>
      </c>
      <c r="CO105" s="34" t="n">
        <f aca="false">(CO$124+CO$128+CO$132+CO$140)*(1+P_IVAint)</f>
        <v>0</v>
      </c>
      <c r="CP105" s="34" t="n">
        <f aca="false">(CP$124+CP$128+CP$132+CP$140)*(1+P_IVAint)</f>
        <v>0</v>
      </c>
      <c r="CQ105" s="34" t="n">
        <f aca="false">(CQ$124+CQ$128+CQ$132+CQ$140)*(1+P_IVAint)</f>
        <v>0</v>
      </c>
      <c r="CR105" s="34" t="n">
        <f aca="false">(CR$124+CR$128+CR$132+CR$140)*(1+P_IVAint)</f>
        <v>0</v>
      </c>
      <c r="CS105" s="34" t="n">
        <f aca="false">(CS$124+CS$128+CS$132+CS$140)*(1+P_IVAint)</f>
        <v>0</v>
      </c>
      <c r="CT105" s="34" t="n">
        <f aca="false">(CT$124+CT$128+CT$132+CT$140)*(1+P_IVAint)</f>
        <v>0</v>
      </c>
      <c r="CU105" s="34" t="n">
        <f aca="false">(CU$124+CU$128+CU$132+CU$140)*(1+P_IVAint)</f>
        <v>0</v>
      </c>
      <c r="CV105" s="34" t="n">
        <f aca="false">(CV$124+CV$128+CV$132+CV$140)*(1+P_IVAint)</f>
        <v>0</v>
      </c>
      <c r="CW105" s="34" t="n">
        <f aca="false">(CW$124+CW$128+CW$132+CW$140)*(1+P_IVAint)</f>
        <v>0</v>
      </c>
      <c r="CX105" s="34" t="n">
        <f aca="false">(CX$124+CX$128+CX$132+CX$140)*(1+P_IVAint)</f>
        <v>0</v>
      </c>
      <c r="CY105" s="34" t="n">
        <f aca="false">(CY$124+CY$128+CY$132+CY$140)*(1+P_IVAint)</f>
        <v>0</v>
      </c>
      <c r="CZ105" s="34" t="n">
        <f aca="false">(CZ$124+CZ$128+CZ$132+CZ$140)*(1+P_IVAint)</f>
        <v>0</v>
      </c>
      <c r="DA105" s="34" t="n">
        <f aca="false">(DA$124+DA$128+DA$132+DA$140)*(1+P_IVAint)</f>
        <v>0</v>
      </c>
      <c r="DB105" s="34" t="n">
        <f aca="false">(DB$124+DB$128+DB$132+DB$140)*(1+P_IVAint)</f>
        <v>0</v>
      </c>
      <c r="DC105" s="34" t="n">
        <f aca="false">(DC$124+DC$128+DC$132+DC$140)*(1+P_IVAint)</f>
        <v>0</v>
      </c>
      <c r="DD105" s="34" t="n">
        <f aca="false">(DD$124+DD$128+DD$132+DD$140)*(1+P_IVAint)</f>
        <v>0</v>
      </c>
      <c r="DE105" s="34" t="n">
        <f aca="false">(DE$124+DE$128+DE$132+DE$140)*(1+P_IVAint)</f>
        <v>0</v>
      </c>
      <c r="DF105" s="34" t="n">
        <f aca="false">(DF$124+DF$128+DF$132+DF$140)*(1+P_IVAint)</f>
        <v>0</v>
      </c>
      <c r="DG105" s="34" t="n">
        <f aca="false">(DG$124+DG$128+DG$132+DG$140)*(1+P_IVAint)</f>
        <v>0</v>
      </c>
      <c r="DH105" s="34" t="n">
        <f aca="false">(DH$124+DH$128+DH$132+DH$140)*(1+P_IVAint)</f>
        <v>0</v>
      </c>
      <c r="DI105" s="34" t="n">
        <f aca="false">(DI$124+DI$128+DI$132+DI$140)*(1+P_IVAint)</f>
        <v>0</v>
      </c>
      <c r="DJ105" s="34" t="n">
        <f aca="false">(DJ$124+DJ$128+DJ$132+DJ$140)*(1+P_IVAint)</f>
        <v>0</v>
      </c>
      <c r="DK105" s="34" t="n">
        <f aca="false">(DK$124+DK$128+DK$132+DK$140)*(1+P_IVAint)</f>
        <v>0</v>
      </c>
      <c r="DL105" s="34" t="n">
        <f aca="false">(DL$124+DL$128+DL$132+DL$140)*(1+P_IVAint)</f>
        <v>0</v>
      </c>
      <c r="DM105" s="34" t="n">
        <f aca="false">(DM$124+DM$128+DM$132+DM$140)*(1+P_IVAint)</f>
        <v>0</v>
      </c>
      <c r="DN105" s="34" t="n">
        <f aca="false">(DN$124+DN$128+DN$132+DN$140)*(1+P_IVAint)</f>
        <v>0</v>
      </c>
      <c r="DO105" s="34" t="n">
        <f aca="false">(DO$124+DO$128+DO$132+DO$140)*(1+P_IVAint)</f>
        <v>0</v>
      </c>
      <c r="DP105" s="34" t="n">
        <f aca="false">(DP$124+DP$128+DP$132+DP$140)*(1+P_IVAint)</f>
        <v>0</v>
      </c>
      <c r="DQ105" s="34" t="n">
        <f aca="false">(DQ$124+DQ$128+DQ$132+DQ$140)*(1+P_IVAint)</f>
        <v>0</v>
      </c>
      <c r="DR105" s="34" t="n">
        <f aca="false">(DR$124+DR$128+DR$132+DR$140)*(1+P_IVAint)</f>
        <v>0</v>
      </c>
      <c r="DS105" s="34" t="n">
        <f aca="false">(DS$124+DS$128+DS$132+DS$140)*(1+P_IVAint)</f>
        <v>0</v>
      </c>
      <c r="DT105" s="34" t="n">
        <f aca="false">(DT$124+DT$128+DT$132+DT$140)*(1+P_IVAint)</f>
        <v>0</v>
      </c>
      <c r="DU105" s="34" t="n">
        <f aca="false">(DU$124+DU$128+DU$132+DU$140)*(1+P_IVAint)</f>
        <v>0</v>
      </c>
      <c r="DV105" s="34" t="n">
        <f aca="false">(DV$124+DV$128+DV$132+DV$140)*(1+P_IVAint)</f>
        <v>0</v>
      </c>
      <c r="DW105" s="34" t="n">
        <f aca="false">(DW$124+DW$128+DW$132+DW$140)*(1+P_IVAint)</f>
        <v>0</v>
      </c>
      <c r="DX105" s="34" t="n">
        <f aca="false">(DX$124+DX$128+DX$132+DX$140)*(1+P_IVAint)</f>
        <v>0</v>
      </c>
      <c r="DY105" s="34" t="n">
        <f aca="false">(DY$124+DY$128+DY$132+DY$140)*(1+P_IVAint)</f>
        <v>0</v>
      </c>
      <c r="DZ105" s="34" t="n">
        <f aca="false">(DZ$124+DZ$128+DZ$132+DZ$140)*(1+P_IVAint)</f>
        <v>0</v>
      </c>
      <c r="EA105" s="34" t="n">
        <f aca="false">(EA$124+EA$128+EA$132+EA$140)*(1+P_IVAint)</f>
        <v>0</v>
      </c>
      <c r="EB105" s="34" t="n">
        <f aca="false">(EB$124+EB$128+EB$132+EB$140)*(1+P_IVAint)</f>
        <v>0</v>
      </c>
      <c r="EC105" s="34" t="n">
        <f aca="false">(EC$124+EC$128+EC$132+EC$140)*(1+P_IVAint)</f>
        <v>0</v>
      </c>
      <c r="ED105" s="34" t="n">
        <f aca="false">(ED$124+ED$128+ED$132+ED$140)*(1+P_IVAint)</f>
        <v>0</v>
      </c>
      <c r="EE105" s="34" t="n">
        <f aca="false">(EE$124+EE$128+EE$132+EE$140)*(1+P_IVAint)</f>
        <v>0</v>
      </c>
      <c r="EF105" s="34" t="n">
        <f aca="false">(EF$124+EF$128+EF$132+EF$140)*(1+P_IVAint)</f>
        <v>0</v>
      </c>
      <c r="EG105" s="34" t="n">
        <f aca="false">(EG$124+EG$128+EG$132+EG$140)*(1+P_IVAint)</f>
        <v>0</v>
      </c>
      <c r="EH105" s="34" t="n">
        <f aca="false">(EH$124+EH$128+EH$132+EH$140)*(1+P_IVAint)</f>
        <v>0</v>
      </c>
      <c r="EI105" s="34" t="n">
        <f aca="false">(EI$124+EI$128+EI$132+EI$140)*(1+P_IVAint)</f>
        <v>0</v>
      </c>
      <c r="EJ105" s="34" t="n">
        <f aca="false">(EJ$124+EJ$128+EJ$132+EJ$140)*(1+P_IVAint)</f>
        <v>0</v>
      </c>
      <c r="EK105" s="34" t="n">
        <f aca="false">(EK$124+EK$128+EK$132+EK$140)*(1+P_IVAint)</f>
        <v>0</v>
      </c>
      <c r="EL105" s="34" t="n">
        <f aca="false">(EL$124+EL$128+EL$132+EL$140)*(1+P_IVAint)</f>
        <v>0</v>
      </c>
      <c r="EM105" s="34" t="n">
        <f aca="false">(EM$124+EM$128+EM$132+EM$140)*(1+P_IVAint)</f>
        <v>0</v>
      </c>
      <c r="EN105" s="34" t="n">
        <f aca="false">(EN$124+EN$128+EN$132+EN$140)*(1+P_IVAint)</f>
        <v>0</v>
      </c>
      <c r="EO105" s="34" t="n">
        <f aca="false">(EO$124+EO$128+EO$132+EO$140)*(1+P_IVAint)</f>
        <v>0</v>
      </c>
      <c r="EP105" s="34" t="n">
        <f aca="false">(EP$124+EP$128+EP$132+EP$140)*(1+P_IVAint)</f>
        <v>0</v>
      </c>
      <c r="EQ105" s="34" t="n">
        <f aca="false">(EQ$124+EQ$128+EQ$132+EQ$140)*(1+P_IVAint)</f>
        <v>0</v>
      </c>
      <c r="ER105" s="34" t="n">
        <f aca="false">(ER$124+ER$128+ER$132+ER$140)*(1+P_IVAint)</f>
        <v>0</v>
      </c>
      <c r="ES105" s="34" t="n">
        <f aca="false">(ES$124+ES$128+ES$132+ES$140)*(1+P_IVAint)</f>
        <v>0</v>
      </c>
    </row>
    <row r="106" customFormat="false" ht="15" hidden="false" customHeight="false" outlineLevel="0" collapsed="false">
      <c r="A106" s="2" t="s">
        <v>700</v>
      </c>
      <c r="B106" s="6" t="s">
        <v>701</v>
      </c>
      <c r="C106" s="6" t="s">
        <v>250</v>
      </c>
      <c r="E106" s="40" t="n">
        <f aca="false">SUM(F106:ES106)</f>
        <v>0</v>
      </c>
      <c r="F106" s="34" t="n">
        <f aca="false">P_IRE*(F$104-F$105)</f>
        <v>0</v>
      </c>
      <c r="G106" s="34" t="n">
        <f aca="false">P_IRE*(G$104-G$105)</f>
        <v>0</v>
      </c>
      <c r="H106" s="34" t="n">
        <f aca="false">P_IRE*(H$104-H$105)</f>
        <v>0</v>
      </c>
      <c r="I106" s="34" t="n">
        <f aca="false">P_IRE*(I$104-I$105)</f>
        <v>0</v>
      </c>
      <c r="J106" s="34" t="n">
        <f aca="false">P_IRE*(J$104-J$105)</f>
        <v>0</v>
      </c>
      <c r="K106" s="34" t="n">
        <f aca="false">P_IRE*(K$104-K$105)</f>
        <v>0</v>
      </c>
      <c r="L106" s="34" t="n">
        <f aca="false">P_IRE*(L$104-L$105)</f>
        <v>0</v>
      </c>
      <c r="M106" s="34" t="n">
        <f aca="false">P_IRE*(M$104-M$105)</f>
        <v>0</v>
      </c>
      <c r="N106" s="34" t="n">
        <f aca="false">P_IRE*(N$104-N$105)</f>
        <v>0</v>
      </c>
      <c r="O106" s="34" t="n">
        <f aca="false">P_IRE*(O$104-O$105)</f>
        <v>0</v>
      </c>
      <c r="P106" s="34" t="n">
        <f aca="false">P_IRE*(P$104-P$105)</f>
        <v>0</v>
      </c>
      <c r="Q106" s="34" t="n">
        <f aca="false">P_IRE*(Q$104-Q$105)</f>
        <v>0</v>
      </c>
      <c r="R106" s="34" t="n">
        <f aca="false">P_IRE*(R$104-R$105)</f>
        <v>0</v>
      </c>
      <c r="S106" s="34" t="n">
        <f aca="false">P_IRE*(S$104-S$105)</f>
        <v>0</v>
      </c>
      <c r="T106" s="34" t="n">
        <f aca="false">P_IRE*(T$104-T$105)</f>
        <v>0</v>
      </c>
      <c r="U106" s="34" t="n">
        <f aca="false">P_IRE*(U$104-U$105)</f>
        <v>0</v>
      </c>
      <c r="V106" s="34" t="n">
        <f aca="false">P_IRE*(V$104-V$105)</f>
        <v>0</v>
      </c>
      <c r="W106" s="34" t="n">
        <f aca="false">P_IRE*(W$104-W$105)</f>
        <v>0</v>
      </c>
      <c r="X106" s="34" t="n">
        <f aca="false">P_IRE*(X$104-X$105)</f>
        <v>0</v>
      </c>
      <c r="Y106" s="34" t="n">
        <f aca="false">P_IRE*(Y$104-Y$105)</f>
        <v>0</v>
      </c>
      <c r="Z106" s="34" t="n">
        <f aca="false">P_IRE*(Z$104-Z$105)</f>
        <v>0</v>
      </c>
      <c r="AA106" s="34" t="n">
        <f aca="false">P_IRE*(AA$104-AA$105)</f>
        <v>0</v>
      </c>
      <c r="AB106" s="34" t="n">
        <f aca="false">P_IRE*(AB$104-AB$105)</f>
        <v>0</v>
      </c>
      <c r="AC106" s="34" t="n">
        <f aca="false">P_IRE*(AC$104-AC$105)</f>
        <v>0</v>
      </c>
      <c r="AD106" s="34" t="n">
        <f aca="false">P_IRE*(AD$104-AD$105)</f>
        <v>0</v>
      </c>
      <c r="AE106" s="34" t="n">
        <f aca="false">P_IRE*(AE$104-AE$105)</f>
        <v>0</v>
      </c>
      <c r="AF106" s="34" t="n">
        <f aca="false">P_IRE*(AF$104-AF$105)</f>
        <v>0</v>
      </c>
      <c r="AG106" s="34" t="n">
        <f aca="false">P_IRE*(AG$104-AG$105)</f>
        <v>0</v>
      </c>
      <c r="AH106" s="34" t="n">
        <f aca="false">P_IRE*(AH$104-AH$105)</f>
        <v>0</v>
      </c>
      <c r="AI106" s="34" t="n">
        <f aca="false">P_IRE*(AI$104-AI$105)</f>
        <v>0</v>
      </c>
      <c r="AJ106" s="34" t="n">
        <f aca="false">P_IRE*(AJ$104-AJ$105)</f>
        <v>0</v>
      </c>
      <c r="AK106" s="34" t="n">
        <f aca="false">P_IRE*(AK$104-AK$105)</f>
        <v>0</v>
      </c>
      <c r="AL106" s="34" t="n">
        <f aca="false">P_IRE*(AL$104-AL$105)</f>
        <v>0</v>
      </c>
      <c r="AM106" s="34" t="n">
        <f aca="false">P_IRE*(AM$104-AM$105)</f>
        <v>0</v>
      </c>
      <c r="AN106" s="34" t="n">
        <f aca="false">P_IRE*(AN$104-AN$105)</f>
        <v>0</v>
      </c>
      <c r="AO106" s="34" t="n">
        <f aca="false">P_IRE*(AO$104-AO$105)</f>
        <v>0</v>
      </c>
      <c r="AP106" s="34" t="n">
        <f aca="false">P_IRE*(AP$104-AP$105)</f>
        <v>0</v>
      </c>
      <c r="AQ106" s="34" t="n">
        <f aca="false">P_IRE*(AQ$104-AQ$105)</f>
        <v>0</v>
      </c>
      <c r="AR106" s="34" t="n">
        <f aca="false">P_IRE*(AR$104-AR$105)</f>
        <v>0</v>
      </c>
      <c r="AS106" s="34" t="n">
        <f aca="false">P_IRE*(AS$104-AS$105)</f>
        <v>0</v>
      </c>
      <c r="AT106" s="34" t="n">
        <f aca="false">P_IRE*(AT$104-AT$105)</f>
        <v>0</v>
      </c>
      <c r="AU106" s="34" t="n">
        <f aca="false">P_IRE*(AU$104-AU$105)</f>
        <v>0</v>
      </c>
      <c r="AV106" s="34" t="n">
        <f aca="false">P_IRE*(AV$104-AV$105)</f>
        <v>0</v>
      </c>
      <c r="AW106" s="34" t="n">
        <f aca="false">P_IRE*(AW$104-AW$105)</f>
        <v>0</v>
      </c>
      <c r="AX106" s="34" t="n">
        <f aca="false">P_IRE*(AX$104-AX$105)</f>
        <v>0</v>
      </c>
      <c r="AY106" s="34" t="n">
        <f aca="false">P_IRE*(AY$104-AY$105)</f>
        <v>0</v>
      </c>
      <c r="AZ106" s="34" t="n">
        <f aca="false">P_IRE*(AZ$104-AZ$105)</f>
        <v>0</v>
      </c>
      <c r="BA106" s="34" t="n">
        <f aca="false">P_IRE*(BA$104-BA$105)</f>
        <v>0</v>
      </c>
      <c r="BB106" s="34" t="n">
        <f aca="false">P_IRE*(BB$104-BB$105)</f>
        <v>0</v>
      </c>
      <c r="BC106" s="34" t="n">
        <f aca="false">P_IRE*(BC$104-BC$105)</f>
        <v>0</v>
      </c>
      <c r="BD106" s="34" t="n">
        <f aca="false">P_IRE*(BD$104-BD$105)</f>
        <v>0</v>
      </c>
      <c r="BE106" s="34" t="n">
        <f aca="false">P_IRE*(BE$104-BE$105)</f>
        <v>0</v>
      </c>
      <c r="BF106" s="34" t="n">
        <f aca="false">P_IRE*(BF$104-BF$105)</f>
        <v>0</v>
      </c>
      <c r="BG106" s="34" t="n">
        <f aca="false">P_IRE*(BG$104-BG$105)</f>
        <v>0</v>
      </c>
      <c r="BH106" s="34" t="n">
        <f aca="false">P_IRE*(BH$104-BH$105)</f>
        <v>0</v>
      </c>
      <c r="BI106" s="34" t="n">
        <f aca="false">P_IRE*(BI$104-BI$105)</f>
        <v>0</v>
      </c>
      <c r="BJ106" s="34" t="n">
        <f aca="false">P_IRE*(BJ$104-BJ$105)</f>
        <v>0</v>
      </c>
      <c r="BK106" s="34" t="n">
        <f aca="false">P_IRE*(BK$104-BK$105)</f>
        <v>0</v>
      </c>
      <c r="BL106" s="34" t="n">
        <f aca="false">P_IRE*(BL$104-BL$105)</f>
        <v>0</v>
      </c>
      <c r="BM106" s="34" t="n">
        <f aca="false">P_IRE*(BM$104-BM$105)</f>
        <v>0</v>
      </c>
      <c r="BN106" s="34" t="n">
        <f aca="false">P_IRE*(BN$104-BN$105)</f>
        <v>0</v>
      </c>
      <c r="BO106" s="34" t="n">
        <f aca="false">P_IRE*(BO$104-BO$105)</f>
        <v>0</v>
      </c>
      <c r="BP106" s="34" t="n">
        <f aca="false">P_IRE*(BP$104-BP$105)</f>
        <v>0</v>
      </c>
      <c r="BQ106" s="34" t="n">
        <f aca="false">P_IRE*(BQ$104-BQ$105)</f>
        <v>0</v>
      </c>
      <c r="BR106" s="34" t="n">
        <f aca="false">P_IRE*(BR$104-BR$105)</f>
        <v>0</v>
      </c>
      <c r="BS106" s="34" t="n">
        <f aca="false">P_IRE*(BS$104-BS$105)</f>
        <v>0</v>
      </c>
      <c r="BT106" s="34" t="n">
        <f aca="false">P_IRE*(BT$104-BT$105)</f>
        <v>0</v>
      </c>
      <c r="BU106" s="34" t="n">
        <f aca="false">P_IRE*(BU$104-BU$105)</f>
        <v>0</v>
      </c>
      <c r="BV106" s="34" t="n">
        <f aca="false">P_IRE*(BV$104-BV$105)</f>
        <v>0</v>
      </c>
      <c r="BW106" s="34" t="n">
        <f aca="false">P_IRE*(BW$104-BW$105)</f>
        <v>0</v>
      </c>
      <c r="BX106" s="34" t="n">
        <f aca="false">P_IRE*(BX$104-BX$105)</f>
        <v>0</v>
      </c>
      <c r="BY106" s="34" t="n">
        <f aca="false">P_IRE*(BY$104-BY$105)</f>
        <v>0</v>
      </c>
      <c r="BZ106" s="34" t="n">
        <f aca="false">P_IRE*(BZ$104-BZ$105)</f>
        <v>0</v>
      </c>
      <c r="CA106" s="34" t="n">
        <f aca="false">P_IRE*(CA$104-CA$105)</f>
        <v>0</v>
      </c>
      <c r="CB106" s="34" t="n">
        <f aca="false">P_IRE*(CB$104-CB$105)</f>
        <v>0</v>
      </c>
      <c r="CC106" s="34" t="n">
        <f aca="false">P_IRE*(CC$104-CC$105)</f>
        <v>0</v>
      </c>
      <c r="CD106" s="34" t="n">
        <f aca="false">P_IRE*(CD$104-CD$105)</f>
        <v>0</v>
      </c>
      <c r="CE106" s="34" t="n">
        <f aca="false">P_IRE*(CE$104-CE$105)</f>
        <v>0</v>
      </c>
      <c r="CF106" s="34" t="n">
        <f aca="false">P_IRE*(CF$104-CF$105)</f>
        <v>0</v>
      </c>
      <c r="CG106" s="34" t="n">
        <f aca="false">P_IRE*(CG$104-CG$105)</f>
        <v>0</v>
      </c>
      <c r="CH106" s="34" t="n">
        <f aca="false">P_IRE*(CH$104-CH$105)</f>
        <v>0</v>
      </c>
      <c r="CI106" s="34" t="n">
        <f aca="false">P_IRE*(CI$104-CI$105)</f>
        <v>0</v>
      </c>
      <c r="CJ106" s="34" t="n">
        <f aca="false">P_IRE*(CJ$104-CJ$105)</f>
        <v>0</v>
      </c>
      <c r="CK106" s="34" t="n">
        <f aca="false">P_IRE*(CK$104-CK$105)</f>
        <v>0</v>
      </c>
      <c r="CL106" s="34" t="n">
        <f aca="false">P_IRE*(CL$104-CL$105)</f>
        <v>0</v>
      </c>
      <c r="CM106" s="34" t="n">
        <f aca="false">P_IRE*(CM$104-CM$105)</f>
        <v>0</v>
      </c>
      <c r="CN106" s="34" t="n">
        <f aca="false">P_IRE*(CN$104-CN$105)</f>
        <v>0</v>
      </c>
      <c r="CO106" s="34" t="n">
        <f aca="false">P_IRE*(CO$104-CO$105)</f>
        <v>0</v>
      </c>
      <c r="CP106" s="34" t="n">
        <f aca="false">P_IRE*(CP$104-CP$105)</f>
        <v>0</v>
      </c>
      <c r="CQ106" s="34" t="n">
        <f aca="false">P_IRE*(CQ$104-CQ$105)</f>
        <v>0</v>
      </c>
      <c r="CR106" s="34" t="n">
        <f aca="false">P_IRE*(CR$104-CR$105)</f>
        <v>0</v>
      </c>
      <c r="CS106" s="34" t="n">
        <f aca="false">P_IRE*(CS$104-CS$105)</f>
        <v>0</v>
      </c>
      <c r="CT106" s="34" t="n">
        <f aca="false">P_IRE*(CT$104-CT$105)</f>
        <v>0</v>
      </c>
      <c r="CU106" s="34" t="n">
        <f aca="false">P_IRE*(CU$104-CU$105)</f>
        <v>0</v>
      </c>
      <c r="CV106" s="34" t="n">
        <f aca="false">P_IRE*(CV$104-CV$105)</f>
        <v>0</v>
      </c>
      <c r="CW106" s="34" t="n">
        <f aca="false">P_IRE*(CW$104-CW$105)</f>
        <v>0</v>
      </c>
      <c r="CX106" s="34" t="n">
        <f aca="false">P_IRE*(CX$104-CX$105)</f>
        <v>0</v>
      </c>
      <c r="CY106" s="34" t="n">
        <f aca="false">P_IRE*(CY$104-CY$105)</f>
        <v>0</v>
      </c>
      <c r="CZ106" s="34" t="n">
        <f aca="false">P_IRE*(CZ$104-CZ$105)</f>
        <v>0</v>
      </c>
      <c r="DA106" s="34" t="n">
        <f aca="false">P_IRE*(DA$104-DA$105)</f>
        <v>0</v>
      </c>
      <c r="DB106" s="34" t="n">
        <f aca="false">P_IRE*(DB$104-DB$105)</f>
        <v>0</v>
      </c>
      <c r="DC106" s="34" t="n">
        <f aca="false">P_IRE*(DC$104-DC$105)</f>
        <v>0</v>
      </c>
      <c r="DD106" s="34" t="n">
        <f aca="false">P_IRE*(DD$104-DD$105)</f>
        <v>0</v>
      </c>
      <c r="DE106" s="34" t="n">
        <f aca="false">P_IRE*(DE$104-DE$105)</f>
        <v>0</v>
      </c>
      <c r="DF106" s="34" t="n">
        <f aca="false">P_IRE*(DF$104-DF$105)</f>
        <v>0</v>
      </c>
      <c r="DG106" s="34" t="n">
        <f aca="false">P_IRE*(DG$104-DG$105)</f>
        <v>0</v>
      </c>
      <c r="DH106" s="34" t="n">
        <f aca="false">P_IRE*(DH$104-DH$105)</f>
        <v>0</v>
      </c>
      <c r="DI106" s="34" t="n">
        <f aca="false">P_IRE*(DI$104-DI$105)</f>
        <v>0</v>
      </c>
      <c r="DJ106" s="34" t="n">
        <f aca="false">P_IRE*(DJ$104-DJ$105)</f>
        <v>0</v>
      </c>
      <c r="DK106" s="34" t="n">
        <f aca="false">P_IRE*(DK$104-DK$105)</f>
        <v>0</v>
      </c>
      <c r="DL106" s="34" t="n">
        <f aca="false">P_IRE*(DL$104-DL$105)</f>
        <v>0</v>
      </c>
      <c r="DM106" s="34" t="n">
        <f aca="false">P_IRE*(DM$104-DM$105)</f>
        <v>0</v>
      </c>
      <c r="DN106" s="34" t="n">
        <f aca="false">P_IRE*(DN$104-DN$105)</f>
        <v>0</v>
      </c>
      <c r="DO106" s="34" t="n">
        <f aca="false">P_IRE*(DO$104-DO$105)</f>
        <v>0</v>
      </c>
      <c r="DP106" s="34" t="n">
        <f aca="false">P_IRE*(DP$104-DP$105)</f>
        <v>0</v>
      </c>
      <c r="DQ106" s="34" t="n">
        <f aca="false">P_IRE*(DQ$104-DQ$105)</f>
        <v>0</v>
      </c>
      <c r="DR106" s="34" t="n">
        <f aca="false">P_IRE*(DR$104-DR$105)</f>
        <v>0</v>
      </c>
      <c r="DS106" s="34" t="n">
        <f aca="false">P_IRE*(DS$104-DS$105)</f>
        <v>0</v>
      </c>
      <c r="DT106" s="34" t="n">
        <f aca="false">P_IRE*(DT$104-DT$105)</f>
        <v>0</v>
      </c>
      <c r="DU106" s="34" t="n">
        <f aca="false">P_IRE*(DU$104-DU$105)</f>
        <v>0</v>
      </c>
      <c r="DV106" s="34" t="n">
        <f aca="false">P_IRE*(DV$104-DV$105)</f>
        <v>0</v>
      </c>
      <c r="DW106" s="34" t="n">
        <f aca="false">P_IRE*(DW$104-DW$105)</f>
        <v>0</v>
      </c>
      <c r="DX106" s="34" t="n">
        <f aca="false">P_IRE*(DX$104-DX$105)</f>
        <v>0</v>
      </c>
      <c r="DY106" s="34" t="n">
        <f aca="false">P_IRE*(DY$104-DY$105)</f>
        <v>0</v>
      </c>
      <c r="DZ106" s="34" t="n">
        <f aca="false">P_IRE*(DZ$104-DZ$105)</f>
        <v>0</v>
      </c>
      <c r="EA106" s="34" t="n">
        <f aca="false">P_IRE*(EA$104-EA$105)</f>
        <v>0</v>
      </c>
      <c r="EB106" s="34" t="n">
        <f aca="false">P_IRE*(EB$104-EB$105)</f>
        <v>0</v>
      </c>
      <c r="EC106" s="34" t="n">
        <f aca="false">P_IRE*(EC$104-EC$105)</f>
        <v>0</v>
      </c>
      <c r="ED106" s="34" t="n">
        <f aca="false">P_IRE*(ED$104-ED$105)</f>
        <v>0</v>
      </c>
      <c r="EE106" s="34" t="n">
        <f aca="false">P_IRE*(EE$104-EE$105)</f>
        <v>0</v>
      </c>
      <c r="EF106" s="34" t="n">
        <f aca="false">P_IRE*(EF$104-EF$105)</f>
        <v>0</v>
      </c>
      <c r="EG106" s="34" t="n">
        <f aca="false">P_IRE*(EG$104-EG$105)</f>
        <v>0</v>
      </c>
      <c r="EH106" s="34" t="n">
        <f aca="false">P_IRE*(EH$104-EH$105)</f>
        <v>0</v>
      </c>
      <c r="EI106" s="34" t="n">
        <f aca="false">P_IRE*(EI$104-EI$105)</f>
        <v>0</v>
      </c>
      <c r="EJ106" s="34" t="n">
        <f aca="false">P_IRE*(EJ$104-EJ$105)</f>
        <v>0</v>
      </c>
      <c r="EK106" s="34" t="n">
        <f aca="false">P_IRE*(EK$104-EK$105)</f>
        <v>0</v>
      </c>
      <c r="EL106" s="34" t="n">
        <f aca="false">P_IRE*(EL$104-EL$105)</f>
        <v>0</v>
      </c>
      <c r="EM106" s="34" t="n">
        <f aca="false">P_IRE*(EM$104-EM$105)</f>
        <v>0</v>
      </c>
      <c r="EN106" s="34" t="n">
        <f aca="false">P_IRE*(EN$104-EN$105)</f>
        <v>0</v>
      </c>
      <c r="EO106" s="34" t="n">
        <f aca="false">P_IRE*(EO$104-EO$105)</f>
        <v>0</v>
      </c>
      <c r="EP106" s="34" t="n">
        <f aca="false">P_IRE*(EP$104-EP$105)</f>
        <v>0</v>
      </c>
      <c r="EQ106" s="34" t="n">
        <f aca="false">P_IRE*(EQ$104-EQ$105)</f>
        <v>0</v>
      </c>
      <c r="ER106" s="34" t="n">
        <f aca="false">P_IRE*(ER$104-ER$105)</f>
        <v>0</v>
      </c>
      <c r="ES106" s="34" t="n">
        <f aca="false">P_IRE*(ES$104-ES$105)</f>
        <v>0</v>
      </c>
    </row>
    <row r="107" customFormat="false" ht="15" hidden="false" customHeight="false" outlineLevel="0" collapsed="false">
      <c r="A107" s="2" t="s">
        <v>702</v>
      </c>
      <c r="B107" s="52" t="s">
        <v>703</v>
      </c>
      <c r="C107" s="6" t="s">
        <v>250</v>
      </c>
      <c r="E107" s="40" t="n">
        <f aca="false">SUM(F107:ES107)</f>
        <v>14751245.7980366</v>
      </c>
      <c r="F107" s="10" t="n">
        <f aca="false">F$104-F$105-F$106</f>
        <v>13500.8903089231</v>
      </c>
      <c r="G107" s="10" t="n">
        <f aca="false">G$104-G$105-G$106</f>
        <v>13500.8903089231</v>
      </c>
      <c r="H107" s="10" t="n">
        <f aca="false">H$104-H$105-H$106</f>
        <v>13500.8903089231</v>
      </c>
      <c r="I107" s="10" t="n">
        <f aca="false">I$104-I$105-I$106</f>
        <v>13500.8903089231</v>
      </c>
      <c r="J107" s="10" t="n">
        <f aca="false">J$104-J$105-J$106</f>
        <v>13500.8903089231</v>
      </c>
      <c r="K107" s="10" t="n">
        <f aca="false">K$104-K$105-K$106</f>
        <v>13500.8903089231</v>
      </c>
      <c r="L107" s="10" t="n">
        <f aca="false">L$104-L$105-L$106</f>
        <v>13500.8903089231</v>
      </c>
      <c r="M107" s="10" t="n">
        <f aca="false">M$104-M$105-M$106</f>
        <v>13848.4075677042</v>
      </c>
      <c r="N107" s="10" t="n">
        <f aca="false">N$104-N$105-N$106</f>
        <v>14198.5312059263</v>
      </c>
      <c r="O107" s="10" t="n">
        <f aca="false">O$104-O$105-O$106</f>
        <v>14551.280771435</v>
      </c>
      <c r="P107" s="10" t="n">
        <f aca="false">P$104-P$105-P$106</f>
        <v>14906.675958685</v>
      </c>
      <c r="Q107" s="10" t="n">
        <f aca="false">Q$104-Q$105-Q$106</f>
        <v>15264.7366098394</v>
      </c>
      <c r="R107" s="10" t="n">
        <f aca="false">R$104-R$105-R$106</f>
        <v>52791.0519009191</v>
      </c>
      <c r="S107" s="10" t="n">
        <f aca="false">S$104-S$105-S$106</f>
        <v>53154.5036027525</v>
      </c>
      <c r="T107" s="10" t="n">
        <f aca="false">T$104-T$105-T$106</f>
        <v>53520.6811923496</v>
      </c>
      <c r="U107" s="10" t="n">
        <f aca="false">U$104-U$105-U$106</f>
        <v>53889.6051138686</v>
      </c>
      <c r="V107" s="10" t="n">
        <f aca="false">V$104-V$105-V$106</f>
        <v>54261.2959647991</v>
      </c>
      <c r="W107" s="10" t="n">
        <f aca="false">W$104-W$105-W$106</f>
        <v>54635.7744971115</v>
      </c>
      <c r="X107" s="10" t="n">
        <f aca="false">X$104-X$105-X$106</f>
        <v>55013.0616184163</v>
      </c>
      <c r="Y107" s="10" t="n">
        <f aca="false">Y$104-Y$105-Y$106</f>
        <v>55393.1783931308</v>
      </c>
      <c r="Z107" s="10" t="n">
        <f aca="false">Z$104-Z$105-Z$106</f>
        <v>55776.1460436557</v>
      </c>
      <c r="AA107" s="10" t="n">
        <f aca="false">AA$104-AA$105-AA$106</f>
        <v>56161.9859515596</v>
      </c>
      <c r="AB107" s="10" t="n">
        <f aca="false">AB$104-AB$105-AB$106</f>
        <v>56550.7196587727</v>
      </c>
      <c r="AC107" s="10" t="n">
        <f aca="false">AC$104-AC$105-AC$106</f>
        <v>56942.36886879</v>
      </c>
      <c r="AD107" s="10" t="n">
        <f aca="false">AD$104-AD$105-AD$106</f>
        <v>93925.5833190422</v>
      </c>
      <c r="AE107" s="10" t="n">
        <f aca="false">AE$104-AE$105-AE$106</f>
        <v>94323.1292974778</v>
      </c>
      <c r="AF107" s="10" t="n">
        <f aca="false">AF$104-AF$105-AF$106</f>
        <v>94723.6568707516</v>
      </c>
      <c r="AG107" s="10" t="n">
        <f aca="false">AG$104-AG$105-AG$106</f>
        <v>95127.188400825</v>
      </c>
      <c r="AH107" s="10" t="n">
        <f aca="false">AH$104-AH$105-AH$106</f>
        <v>95533.7464173739</v>
      </c>
      <c r="AI107" s="10" t="n">
        <f aca="false">AI$104-AI$105-AI$106</f>
        <v>95943.353619047</v>
      </c>
      <c r="AJ107" s="10" t="n">
        <f aca="false">AJ$104-AJ$105-AJ$106</f>
        <v>96356.0328747325</v>
      </c>
      <c r="AK107" s="10" t="n">
        <f aca="false">AK$104-AK$105-AK$106</f>
        <v>96771.8072248358</v>
      </c>
      <c r="AL107" s="10" t="n">
        <f aca="false">AL$104-AL$105-AL$106</f>
        <v>97190.6998825648</v>
      </c>
      <c r="AM107" s="10" t="n">
        <f aca="false">AM$104-AM$105-AM$106</f>
        <v>97612.7342352267</v>
      </c>
      <c r="AN107" s="10" t="n">
        <f aca="false">AN$104-AN$105-AN$106</f>
        <v>98037.9338455337</v>
      </c>
      <c r="AO107" s="10" t="n">
        <f aca="false">AO$104-AO$105-AO$106</f>
        <v>98466.3224529179</v>
      </c>
      <c r="AP107" s="10" t="n">
        <f aca="false">AP$104-AP$105-AP$106</f>
        <v>131706.472989591</v>
      </c>
      <c r="AQ107" s="10" t="n">
        <f aca="false">AQ$104-AQ$105-AQ$106</f>
        <v>132141.311522945</v>
      </c>
      <c r="AR107" s="10" t="n">
        <f aca="false">AR$104-AR$105-AR$106</f>
        <v>132579.4113453</v>
      </c>
      <c r="AS107" s="10" t="n">
        <f aca="false">AS$104-AS$105-AS$106</f>
        <v>133020.796916322</v>
      </c>
      <c r="AT107" s="10" t="n">
        <f aca="false">AT$104-AT$105-AT$106</f>
        <v>133465.492879126</v>
      </c>
      <c r="AU107" s="10" t="n">
        <f aca="false">AU$104-AU$105-AU$106</f>
        <v>133913.524061652</v>
      </c>
      <c r="AV107" s="10" t="n">
        <f aca="false">AV$104-AV$105-AV$106</f>
        <v>134364.915478047</v>
      </c>
      <c r="AW107" s="10" t="n">
        <f aca="false">AW$104-AW$105-AW$106</f>
        <v>134819.692330064</v>
      </c>
      <c r="AX107" s="10" t="n">
        <f aca="false">AX$104-AX$105-AX$106</f>
        <v>135277.880008472</v>
      </c>
      <c r="AY107" s="10" t="n">
        <f aca="false">AY$104-AY$105-AY$106</f>
        <v>135739.504094468</v>
      </c>
      <c r="AZ107" s="10" t="n">
        <f aca="false">AZ$104-AZ$105-AZ$106</f>
        <v>136204.590361108</v>
      </c>
      <c r="BA107" s="10" t="n">
        <f aca="false">BA$104-BA$105-BA$106</f>
        <v>136673.164774749</v>
      </c>
      <c r="BB107" s="10" t="n">
        <f aca="false">BB$104-BB$105-BB$106</f>
        <v>138464.838493007</v>
      </c>
      <c r="BC107" s="10" t="n">
        <f aca="false">BC$104-BC$105-BC$106</f>
        <v>138940.467880163</v>
      </c>
      <c r="BD107" s="10" t="n">
        <f aca="false">BD$104-BD$105-BD$106</f>
        <v>139419.664487723</v>
      </c>
      <c r="BE107" s="10" t="n">
        <f aca="false">BE$104-BE$105-BE$106</f>
        <v>139902.455069839</v>
      </c>
      <c r="BF107" s="10" t="n">
        <f aca="false">BF$104-BF$105-BF$106</f>
        <v>140388.866581321</v>
      </c>
      <c r="BG107" s="10" t="n">
        <f aca="false">BG$104-BG$105-BG$106</f>
        <v>140878.926179139</v>
      </c>
      <c r="BH107" s="10" t="n">
        <f aca="false">BH$104-BH$105-BH$106</f>
        <v>141372.661223941</v>
      </c>
      <c r="BI107" s="10" t="n">
        <f aca="false">BI$104-BI$105-BI$106</f>
        <v>141870.099281579</v>
      </c>
      <c r="BJ107" s="10" t="n">
        <f aca="false">BJ$104-BJ$105-BJ$106</f>
        <v>142371.26812465</v>
      </c>
      <c r="BK107" s="10" t="n">
        <f aca="false">BK$104-BK$105-BK$106</f>
        <v>142876.195734043</v>
      </c>
      <c r="BL107" s="10" t="n">
        <f aca="false">BL$104-BL$105-BL$106</f>
        <v>143384.910300506</v>
      </c>
      <c r="BM107" s="10" t="n">
        <f aca="false">BM$104-BM$105-BM$106</f>
        <v>143897.440226219</v>
      </c>
      <c r="BN107" s="10" t="n">
        <f aca="false">BN$104-BN$105-BN$106</f>
        <v>149515.724381159</v>
      </c>
      <c r="BO107" s="10" t="n">
        <f aca="false">BO$104-BO$105-BO$106</f>
        <v>149515.724381159</v>
      </c>
      <c r="BP107" s="10" t="n">
        <f aca="false">BP$104-BP$105-BP$106</f>
        <v>149515.724381159</v>
      </c>
      <c r="BQ107" s="10" t="n">
        <f aca="false">BQ$104-BQ$105-BQ$106</f>
        <v>149515.724381159</v>
      </c>
      <c r="BR107" s="10" t="n">
        <f aca="false">BR$104-BR$105-BR$106</f>
        <v>149515.724381159</v>
      </c>
      <c r="BS107" s="10" t="n">
        <f aca="false">BS$104-BS$105-BS$106</f>
        <v>149515.724381159</v>
      </c>
      <c r="BT107" s="10" t="n">
        <f aca="false">BT$104-BT$105-BT$106</f>
        <v>149515.724381159</v>
      </c>
      <c r="BU107" s="10" t="n">
        <f aca="false">BU$104-BU$105-BU$106</f>
        <v>149515.724381159</v>
      </c>
      <c r="BV107" s="10" t="n">
        <f aca="false">BV$104-BV$105-BV$106</f>
        <v>149515.724381159</v>
      </c>
      <c r="BW107" s="10" t="n">
        <f aca="false">BW$104-BW$105-BW$106</f>
        <v>149515.724381159</v>
      </c>
      <c r="BX107" s="10" t="n">
        <f aca="false">BX$104-BX$105-BX$106</f>
        <v>149515.724381159</v>
      </c>
      <c r="BY107" s="10" t="n">
        <f aca="false">BY$104-BY$105-BY$106</f>
        <v>149515.724381159</v>
      </c>
      <c r="BZ107" s="10" t="n">
        <f aca="false">BZ$104-BZ$105-BZ$106</f>
        <v>153631.305072733</v>
      </c>
      <c r="CA107" s="10" t="n">
        <f aca="false">CA$104-CA$105-CA$106</f>
        <v>153631.305072733</v>
      </c>
      <c r="CB107" s="10" t="n">
        <f aca="false">CB$104-CB$105-CB$106</f>
        <v>153631.305072733</v>
      </c>
      <c r="CC107" s="10" t="n">
        <f aca="false">CC$104-CC$105-CC$106</f>
        <v>153631.305072733</v>
      </c>
      <c r="CD107" s="10" t="n">
        <f aca="false">CD$104-CD$105-CD$106</f>
        <v>153631.305072733</v>
      </c>
      <c r="CE107" s="10" t="n">
        <f aca="false">CE$104-CE$105-CE$106</f>
        <v>153631.305072733</v>
      </c>
      <c r="CF107" s="10" t="n">
        <f aca="false">CF$104-CF$105-CF$106</f>
        <v>153631.305072733</v>
      </c>
      <c r="CG107" s="10" t="n">
        <f aca="false">CG$104-CG$105-CG$106</f>
        <v>153631.305072733</v>
      </c>
      <c r="CH107" s="10" t="n">
        <f aca="false">CH$104-CH$105-CH$106</f>
        <v>153631.305072733</v>
      </c>
      <c r="CI107" s="10" t="n">
        <f aca="false">CI$104-CI$105-CI$106</f>
        <v>153631.305072733</v>
      </c>
      <c r="CJ107" s="10" t="n">
        <f aca="false">CJ$104-CJ$105-CJ$106</f>
        <v>153631.305072733</v>
      </c>
      <c r="CK107" s="10" t="n">
        <f aca="false">CK$104-CK$105-CK$106</f>
        <v>153631.305072733</v>
      </c>
      <c r="CL107" s="10" t="n">
        <f aca="false">CL$104-CL$105-CL$106</f>
        <v>157775.101129621</v>
      </c>
      <c r="CM107" s="10" t="n">
        <f aca="false">CM$104-CM$105-CM$106</f>
        <v>157775.101129621</v>
      </c>
      <c r="CN107" s="10" t="n">
        <f aca="false">CN$104-CN$105-CN$106</f>
        <v>157775.101129621</v>
      </c>
      <c r="CO107" s="10" t="n">
        <f aca="false">CO$104-CO$105-CO$106</f>
        <v>157775.101129621</v>
      </c>
      <c r="CP107" s="10" t="n">
        <f aca="false">CP$104-CP$105-CP$106</f>
        <v>157775.101129621</v>
      </c>
      <c r="CQ107" s="10" t="n">
        <f aca="false">CQ$104-CQ$105-CQ$106</f>
        <v>157775.101129621</v>
      </c>
      <c r="CR107" s="10" t="n">
        <f aca="false">CR$104-CR$105-CR$106</f>
        <v>157775.101129621</v>
      </c>
      <c r="CS107" s="10" t="n">
        <f aca="false">CS$104-CS$105-CS$106</f>
        <v>157775.101129621</v>
      </c>
      <c r="CT107" s="10" t="n">
        <f aca="false">CT$104-CT$105-CT$106</f>
        <v>157775.101129621</v>
      </c>
      <c r="CU107" s="10" t="n">
        <f aca="false">CU$104-CU$105-CU$106</f>
        <v>157775.101129621</v>
      </c>
      <c r="CV107" s="10" t="n">
        <f aca="false">CV$104-CV$105-CV$106</f>
        <v>157775.101129621</v>
      </c>
      <c r="CW107" s="10" t="n">
        <f aca="false">CW$104-CW$105-CW$106</f>
        <v>157775.101129621</v>
      </c>
      <c r="CX107" s="10" t="n">
        <f aca="false">CX$104-CX$105-CX$106</f>
        <v>161947.012232241</v>
      </c>
      <c r="CY107" s="10" t="n">
        <f aca="false">CY$104-CY$105-CY$106</f>
        <v>161947.012232241</v>
      </c>
      <c r="CZ107" s="10" t="n">
        <f aca="false">CZ$104-CZ$105-CZ$106</f>
        <v>161947.012232241</v>
      </c>
      <c r="DA107" s="10" t="n">
        <f aca="false">DA$104-DA$105-DA$106</f>
        <v>161947.012232241</v>
      </c>
      <c r="DB107" s="10" t="n">
        <f aca="false">DB$104-DB$105-DB$106</f>
        <v>161947.012232241</v>
      </c>
      <c r="DC107" s="10" t="n">
        <f aca="false">DC$104-DC$105-DC$106</f>
        <v>161947.012232241</v>
      </c>
      <c r="DD107" s="10" t="n">
        <f aca="false">DD$104-DD$105-DD$106</f>
        <v>161947.012232241</v>
      </c>
      <c r="DE107" s="10" t="n">
        <f aca="false">DE$104-DE$105-DE$106</f>
        <v>161947.012232241</v>
      </c>
      <c r="DF107" s="10" t="n">
        <f aca="false">DF$104-DF$105-DF$106</f>
        <v>161947.012232241</v>
      </c>
      <c r="DG107" s="10" t="n">
        <f aca="false">DG$104-DG$105-DG$106</f>
        <v>161947.012232241</v>
      </c>
      <c r="DH107" s="10" t="n">
        <f aca="false">DH$104-DH$105-DH$106</f>
        <v>161947.012232241</v>
      </c>
      <c r="DI107" s="10" t="n">
        <f aca="false">DI$104-DI$105-DI$106</f>
        <v>161947.012232241</v>
      </c>
      <c r="DJ107" s="10" t="n">
        <f aca="false">DJ$104-DJ$105-DJ$106</f>
        <v>166146.925698419</v>
      </c>
      <c r="DK107" s="10" t="n">
        <f aca="false">DK$104-DK$105-DK$106</f>
        <v>166146.925698419</v>
      </c>
      <c r="DL107" s="10" t="n">
        <f aca="false">DL$104-DL$105-DL$106</f>
        <v>166146.925698419</v>
      </c>
      <c r="DM107" s="10" t="n">
        <f aca="false">DM$104-DM$105-DM$106</f>
        <v>166146.925698419</v>
      </c>
      <c r="DN107" s="10" t="n">
        <f aca="false">DN$104-DN$105-DN$106</f>
        <v>166146.925698419</v>
      </c>
      <c r="DO107" s="10" t="n">
        <f aca="false">DO$104-DO$105-DO$106</f>
        <v>166146.925698419</v>
      </c>
      <c r="DP107" s="10" t="n">
        <f aca="false">DP$104-DP$105-DP$106</f>
        <v>166146.925698419</v>
      </c>
      <c r="DQ107" s="10" t="n">
        <f aca="false">DQ$104-DQ$105-DQ$106</f>
        <v>166146.925698419</v>
      </c>
      <c r="DR107" s="10" t="n">
        <f aca="false">DR$104-DR$105-DR$106</f>
        <v>166146.925698419</v>
      </c>
      <c r="DS107" s="10" t="n">
        <f aca="false">DS$104-DS$105-DS$106</f>
        <v>166146.925698419</v>
      </c>
      <c r="DT107" s="10" t="n">
        <f aca="false">DT$104-DT$105-DT$106</f>
        <v>166146.925698419</v>
      </c>
      <c r="DU107" s="10" t="n">
        <f aca="false">DU$104-DU$105-DU$106</f>
        <v>166146.925698419</v>
      </c>
      <c r="DV107" s="10" t="n">
        <f aca="false">DV$104-DV$105-DV$106</f>
        <v>0</v>
      </c>
      <c r="DW107" s="10" t="n">
        <f aca="false">DW$104-DW$105-DW$106</f>
        <v>0</v>
      </c>
      <c r="DX107" s="10" t="n">
        <f aca="false">DX$104-DX$105-DX$106</f>
        <v>0</v>
      </c>
      <c r="DY107" s="10" t="n">
        <f aca="false">DY$104-DY$105-DY$106</f>
        <v>0</v>
      </c>
      <c r="DZ107" s="10" t="n">
        <f aca="false">DZ$104-DZ$105-DZ$106</f>
        <v>0</v>
      </c>
      <c r="EA107" s="10" t="n">
        <f aca="false">EA$104-EA$105-EA$106</f>
        <v>0</v>
      </c>
      <c r="EB107" s="10" t="n">
        <f aca="false">EB$104-EB$105-EB$106</f>
        <v>0</v>
      </c>
      <c r="EC107" s="10" t="n">
        <f aca="false">EC$104-EC$105-EC$106</f>
        <v>0</v>
      </c>
      <c r="ED107" s="10" t="n">
        <f aca="false">ED$104-ED$105-ED$106</f>
        <v>0</v>
      </c>
      <c r="EE107" s="10" t="n">
        <f aca="false">EE$104-EE$105-EE$106</f>
        <v>0</v>
      </c>
      <c r="EF107" s="10" t="n">
        <f aca="false">EF$104-EF$105-EF$106</f>
        <v>0</v>
      </c>
      <c r="EG107" s="10" t="n">
        <f aca="false">EG$104-EG$105-EG$106</f>
        <v>0</v>
      </c>
      <c r="EH107" s="10" t="n">
        <f aca="false">EH$104-EH$105-EH$106</f>
        <v>0</v>
      </c>
      <c r="EI107" s="10" t="n">
        <f aca="false">EI$104-EI$105-EI$106</f>
        <v>0</v>
      </c>
      <c r="EJ107" s="10" t="n">
        <f aca="false">EJ$104-EJ$105-EJ$106</f>
        <v>0</v>
      </c>
      <c r="EK107" s="10" t="n">
        <f aca="false">EK$104-EK$105-EK$106</f>
        <v>0</v>
      </c>
      <c r="EL107" s="10" t="n">
        <f aca="false">EL$104-EL$105-EL$106</f>
        <v>0</v>
      </c>
      <c r="EM107" s="10" t="n">
        <f aca="false">EM$104-EM$105-EM$106</f>
        <v>0</v>
      </c>
      <c r="EN107" s="10" t="n">
        <f aca="false">EN$104-EN$105-EN$106</f>
        <v>0</v>
      </c>
      <c r="EO107" s="10" t="n">
        <f aca="false">EO$104-EO$105-EO$106</f>
        <v>0</v>
      </c>
      <c r="EP107" s="10" t="n">
        <f aca="false">EP$104-EP$105-EP$106</f>
        <v>0</v>
      </c>
      <c r="EQ107" s="10" t="n">
        <f aca="false">EQ$104-EQ$105-EQ$106</f>
        <v>0</v>
      </c>
      <c r="ER107" s="10" t="n">
        <f aca="false">ER$104-ER$105-ER$106</f>
        <v>0</v>
      </c>
      <c r="ES107" s="10" t="n">
        <f aca="false">ES$104-ES$105-ES$106</f>
        <v>0</v>
      </c>
    </row>
    <row r="108" customFormat="false" ht="15" hidden="false" customHeight="false" outlineLevel="0" collapsed="false">
      <c r="A108" s="4"/>
      <c r="B108" s="3" t="s">
        <v>704</v>
      </c>
      <c r="C108" s="4"/>
      <c r="D108" s="4"/>
      <c r="E108" s="4"/>
    </row>
    <row r="109" customFormat="false" ht="15" hidden="false" customHeight="false" outlineLevel="0" collapsed="false">
      <c r="A109" s="2" t="s">
        <v>705</v>
      </c>
      <c r="B109" s="6" t="s">
        <v>706</v>
      </c>
      <c r="C109" s="6" t="s">
        <v>250</v>
      </c>
      <c r="E109" s="40" t="n">
        <f aca="false">INDEX(F109:ES109,1,MIN(144,Fin))</f>
        <v>3031156.22423972</v>
      </c>
      <c r="F109" s="34" t="n">
        <f aca="false">IF(1&gt;Fin,0,F$71*P_DSO/DiasMes)</f>
        <v>1594520.54794521</v>
      </c>
      <c r="G109" s="34" t="n">
        <f aca="false">IF(2&gt;Fin,F$109,G$71*P_DSO/DiasMes)</f>
        <v>1594520.54794521</v>
      </c>
      <c r="H109" s="34" t="n">
        <f aca="false">IF(3&gt;Fin,G$109,H$71*P_DSO/DiasMes)</f>
        <v>1594520.54794521</v>
      </c>
      <c r="I109" s="34" t="n">
        <f aca="false">IF(4&gt;Fin,H$109,I$71*P_DSO/DiasMes)</f>
        <v>1594520.54794521</v>
      </c>
      <c r="J109" s="34" t="n">
        <f aca="false">IF(5&gt;Fin,I$109,J$71*P_DSO/DiasMes)</f>
        <v>1594520.54794521</v>
      </c>
      <c r="K109" s="34" t="n">
        <f aca="false">IF(6&gt;Fin,J$109,K$71*P_DSO/DiasMes)</f>
        <v>1594520.54794521</v>
      </c>
      <c r="L109" s="34" t="n">
        <f aca="false">IF(7&gt;Fin,K$109,L$71*P_DSO/DiasMes)</f>
        <v>1594520.54794521</v>
      </c>
      <c r="M109" s="34" t="n">
        <f aca="false">IF(8&gt;Fin,L$109,M$71*P_DSO/DiasMes)</f>
        <v>1594520.54794521</v>
      </c>
      <c r="N109" s="34" t="n">
        <f aca="false">IF(9&gt;Fin,M$109,N$71*P_DSO/DiasMes)</f>
        <v>1594520.54794521</v>
      </c>
      <c r="O109" s="34" t="n">
        <f aca="false">IF(10&gt;Fin,N$109,O$71*P_DSO/DiasMes)</f>
        <v>1594520.54794521</v>
      </c>
      <c r="P109" s="34" t="n">
        <f aca="false">IF(11&gt;Fin,O$109,P$71*P_DSO/DiasMes)</f>
        <v>1594520.54794521</v>
      </c>
      <c r="Q109" s="34" t="n">
        <f aca="false">IF(12&gt;Fin,P$109,Q$71*P_DSO/DiasMes)</f>
        <v>1594520.54794521</v>
      </c>
      <c r="R109" s="34" t="n">
        <f aca="false">IF(13&gt;Fin,Q$109,R$71*P_DSO/DiasMes)</f>
        <v>2032175.34246575</v>
      </c>
      <c r="S109" s="34" t="n">
        <f aca="false">IF(14&gt;Fin,R$109,S$71*P_DSO/DiasMes)</f>
        <v>2032175.34246575</v>
      </c>
      <c r="T109" s="34" t="n">
        <f aca="false">IF(15&gt;Fin,S$109,T$71*P_DSO/DiasMes)</f>
        <v>2032175.34246575</v>
      </c>
      <c r="U109" s="34" t="n">
        <f aca="false">IF(16&gt;Fin,T$109,U$71*P_DSO/DiasMes)</f>
        <v>2032175.34246575</v>
      </c>
      <c r="V109" s="34" t="n">
        <f aca="false">IF(17&gt;Fin,U$109,V$71*P_DSO/DiasMes)</f>
        <v>2032175.34246575</v>
      </c>
      <c r="W109" s="34" t="n">
        <f aca="false">IF(18&gt;Fin,V$109,W$71*P_DSO/DiasMes)</f>
        <v>2032175.34246575</v>
      </c>
      <c r="X109" s="34" t="n">
        <f aca="false">IF(19&gt;Fin,W$109,X$71*P_DSO/DiasMes)</f>
        <v>2032175.34246575</v>
      </c>
      <c r="Y109" s="34" t="n">
        <f aca="false">IF(20&gt;Fin,X$109,Y$71*P_DSO/DiasMes)</f>
        <v>2032175.34246575</v>
      </c>
      <c r="Z109" s="34" t="n">
        <f aca="false">IF(21&gt;Fin,Y$109,Z$71*P_DSO/DiasMes)</f>
        <v>2032175.34246575</v>
      </c>
      <c r="AA109" s="34" t="n">
        <f aca="false">IF(22&gt;Fin,Z$109,AA$71*P_DSO/DiasMes)</f>
        <v>2032175.34246575</v>
      </c>
      <c r="AB109" s="34" t="n">
        <f aca="false">IF(23&gt;Fin,AA$109,AB$71*P_DSO/DiasMes)</f>
        <v>2032175.34246575</v>
      </c>
      <c r="AC109" s="34" t="n">
        <f aca="false">IF(24&gt;Fin,AB$109,AC$71*P_DSO/DiasMes)</f>
        <v>2032175.34246575</v>
      </c>
      <c r="AD109" s="34" t="n">
        <f aca="false">IF(25&gt;Fin,AC$109,AD$71*P_DSO/DiasMes)</f>
        <v>2478423.78082192</v>
      </c>
      <c r="AE109" s="34" t="n">
        <f aca="false">IF(26&gt;Fin,AD$109,AE$71*P_DSO/DiasMes)</f>
        <v>2478423.78082192</v>
      </c>
      <c r="AF109" s="34" t="n">
        <f aca="false">IF(27&gt;Fin,AE$109,AF$71*P_DSO/DiasMes)</f>
        <v>2478423.78082192</v>
      </c>
      <c r="AG109" s="34" t="n">
        <f aca="false">IF(28&gt;Fin,AF$109,AG$71*P_DSO/DiasMes)</f>
        <v>2478423.78082192</v>
      </c>
      <c r="AH109" s="34" t="n">
        <f aca="false">IF(29&gt;Fin,AG$109,AH$71*P_DSO/DiasMes)</f>
        <v>2478423.78082192</v>
      </c>
      <c r="AI109" s="34" t="n">
        <f aca="false">IF(30&gt;Fin,AH$109,AI$71*P_DSO/DiasMes)</f>
        <v>2478423.78082192</v>
      </c>
      <c r="AJ109" s="34" t="n">
        <f aca="false">IF(31&gt;Fin,AI$109,AJ$71*P_DSO/DiasMes)</f>
        <v>2478423.78082192</v>
      </c>
      <c r="AK109" s="34" t="n">
        <f aca="false">IF(32&gt;Fin,AJ$109,AK$71*P_DSO/DiasMes)</f>
        <v>2478423.78082192</v>
      </c>
      <c r="AL109" s="34" t="n">
        <f aca="false">IF(33&gt;Fin,AK$109,AL$71*P_DSO/DiasMes)</f>
        <v>2478423.78082192</v>
      </c>
      <c r="AM109" s="34" t="n">
        <f aca="false">IF(34&gt;Fin,AL$109,AM$71*P_DSO/DiasMes)</f>
        <v>2478423.78082192</v>
      </c>
      <c r="AN109" s="34" t="n">
        <f aca="false">IF(35&gt;Fin,AM$109,AN$71*P_DSO/DiasMes)</f>
        <v>2478423.78082192</v>
      </c>
      <c r="AO109" s="34" t="n">
        <f aca="false">IF(36&gt;Fin,AN$109,AO$71*P_DSO/DiasMes)</f>
        <v>2478423.78082192</v>
      </c>
      <c r="AP109" s="34" t="n">
        <f aca="false">IF(37&gt;Fin,AO$109,AP$71*P_DSO/DiasMes)</f>
        <v>2855486.27835616</v>
      </c>
      <c r="AQ109" s="34" t="n">
        <f aca="false">IF(38&gt;Fin,AP$109,AQ$71*P_DSO/DiasMes)</f>
        <v>2855486.27835616</v>
      </c>
      <c r="AR109" s="34" t="n">
        <f aca="false">IF(39&gt;Fin,AQ$109,AR$71*P_DSO/DiasMes)</f>
        <v>2855486.27835616</v>
      </c>
      <c r="AS109" s="34" t="n">
        <f aca="false">IF(40&gt;Fin,AR$109,AS$71*P_DSO/DiasMes)</f>
        <v>2855486.27835616</v>
      </c>
      <c r="AT109" s="34" t="n">
        <f aca="false">IF(41&gt;Fin,AS$109,AT$71*P_DSO/DiasMes)</f>
        <v>2855486.27835616</v>
      </c>
      <c r="AU109" s="34" t="n">
        <f aca="false">IF(42&gt;Fin,AT$109,AU$71*P_DSO/DiasMes)</f>
        <v>2855486.27835616</v>
      </c>
      <c r="AV109" s="34" t="n">
        <f aca="false">IF(43&gt;Fin,AU$109,AV$71*P_DSO/DiasMes)</f>
        <v>2855486.27835616</v>
      </c>
      <c r="AW109" s="34" t="n">
        <f aca="false">IF(44&gt;Fin,AV$109,AW$71*P_DSO/DiasMes)</f>
        <v>2855486.27835616</v>
      </c>
      <c r="AX109" s="34" t="n">
        <f aca="false">IF(45&gt;Fin,AW$109,AX$71*P_DSO/DiasMes)</f>
        <v>2855486.27835616</v>
      </c>
      <c r="AY109" s="34" t="n">
        <f aca="false">IF(46&gt;Fin,AX$109,AY$71*P_DSO/DiasMes)</f>
        <v>2855486.27835616</v>
      </c>
      <c r="AZ109" s="34" t="n">
        <f aca="false">IF(47&gt;Fin,AY$109,AZ$71*P_DSO/DiasMes)</f>
        <v>2855486.27835616</v>
      </c>
      <c r="BA109" s="34" t="n">
        <f aca="false">IF(48&gt;Fin,AZ$109,BA$71*P_DSO/DiasMes)</f>
        <v>2855486.27835616</v>
      </c>
      <c r="BB109" s="34" t="n">
        <f aca="false">IF(49&gt;Fin,BA$109,BB$71*P_DSO/DiasMes)</f>
        <v>2884041.14113973</v>
      </c>
      <c r="BC109" s="34" t="n">
        <f aca="false">IF(50&gt;Fin,BB$109,BC$71*P_DSO/DiasMes)</f>
        <v>2884041.14113973</v>
      </c>
      <c r="BD109" s="34" t="n">
        <f aca="false">IF(51&gt;Fin,BC$109,BD$71*P_DSO/DiasMes)</f>
        <v>2884041.14113973</v>
      </c>
      <c r="BE109" s="34" t="n">
        <f aca="false">IF(52&gt;Fin,BD$109,BE$71*P_DSO/DiasMes)</f>
        <v>2884041.14113973</v>
      </c>
      <c r="BF109" s="34" t="n">
        <f aca="false">IF(53&gt;Fin,BE$109,BF$71*P_DSO/DiasMes)</f>
        <v>2884041.14113973</v>
      </c>
      <c r="BG109" s="34" t="n">
        <f aca="false">IF(54&gt;Fin,BF$109,BG$71*P_DSO/DiasMes)</f>
        <v>2884041.14113973</v>
      </c>
      <c r="BH109" s="34" t="n">
        <f aca="false">IF(55&gt;Fin,BG$109,BH$71*P_DSO/DiasMes)</f>
        <v>2884041.14113973</v>
      </c>
      <c r="BI109" s="34" t="n">
        <f aca="false">IF(56&gt;Fin,BH$109,BI$71*P_DSO/DiasMes)</f>
        <v>2884041.14113973</v>
      </c>
      <c r="BJ109" s="34" t="n">
        <f aca="false">IF(57&gt;Fin,BI$109,BJ$71*P_DSO/DiasMes)</f>
        <v>2884041.14113973</v>
      </c>
      <c r="BK109" s="34" t="n">
        <f aca="false">IF(58&gt;Fin,BJ$109,BK$71*P_DSO/DiasMes)</f>
        <v>2884041.14113973</v>
      </c>
      <c r="BL109" s="34" t="n">
        <f aca="false">IF(59&gt;Fin,BK$109,BL$71*P_DSO/DiasMes)</f>
        <v>2884041.14113973</v>
      </c>
      <c r="BM109" s="34" t="n">
        <f aca="false">IF(60&gt;Fin,BL$109,BM$71*P_DSO/DiasMes)</f>
        <v>2884041.14113973</v>
      </c>
      <c r="BN109" s="34" t="n">
        <f aca="false">IF(61&gt;Fin,BM$109,BN$71*P_DSO/DiasMes)</f>
        <v>2912881.55255112</v>
      </c>
      <c r="BO109" s="34" t="n">
        <f aca="false">IF(62&gt;Fin,BN$109,BO$71*P_DSO/DiasMes)</f>
        <v>2912881.55255112</v>
      </c>
      <c r="BP109" s="34" t="n">
        <f aca="false">IF(63&gt;Fin,BO$109,BP$71*P_DSO/DiasMes)</f>
        <v>2912881.55255112</v>
      </c>
      <c r="BQ109" s="34" t="n">
        <f aca="false">IF(64&gt;Fin,BP$109,BQ$71*P_DSO/DiasMes)</f>
        <v>2912881.55255112</v>
      </c>
      <c r="BR109" s="34" t="n">
        <f aca="false">IF(65&gt;Fin,BQ$109,BR$71*P_DSO/DiasMes)</f>
        <v>2912881.55255112</v>
      </c>
      <c r="BS109" s="34" t="n">
        <f aca="false">IF(66&gt;Fin,BR$109,BS$71*P_DSO/DiasMes)</f>
        <v>2912881.55255112</v>
      </c>
      <c r="BT109" s="34" t="n">
        <f aca="false">IF(67&gt;Fin,BS$109,BT$71*P_DSO/DiasMes)</f>
        <v>2912881.55255112</v>
      </c>
      <c r="BU109" s="34" t="n">
        <f aca="false">IF(68&gt;Fin,BT$109,BU$71*P_DSO/DiasMes)</f>
        <v>2912881.55255112</v>
      </c>
      <c r="BV109" s="34" t="n">
        <f aca="false">IF(69&gt;Fin,BU$109,BV$71*P_DSO/DiasMes)</f>
        <v>2912881.55255112</v>
      </c>
      <c r="BW109" s="34" t="n">
        <f aca="false">IF(70&gt;Fin,BV$109,BW$71*P_DSO/DiasMes)</f>
        <v>2912881.55255112</v>
      </c>
      <c r="BX109" s="34" t="n">
        <f aca="false">IF(71&gt;Fin,BW$109,BX$71*P_DSO/DiasMes)</f>
        <v>2912881.55255112</v>
      </c>
      <c r="BY109" s="34" t="n">
        <f aca="false">IF(72&gt;Fin,BX$109,BY$71*P_DSO/DiasMes)</f>
        <v>2912881.55255112</v>
      </c>
      <c r="BZ109" s="34" t="n">
        <f aca="false">IF(73&gt;Fin,BY$109,BZ$71*P_DSO/DiasMes)</f>
        <v>2942010.36807663</v>
      </c>
      <c r="CA109" s="34" t="n">
        <f aca="false">IF(74&gt;Fin,BZ$109,CA$71*P_DSO/DiasMes)</f>
        <v>2942010.36807663</v>
      </c>
      <c r="CB109" s="34" t="n">
        <f aca="false">IF(75&gt;Fin,CA$109,CB$71*P_DSO/DiasMes)</f>
        <v>2942010.36807663</v>
      </c>
      <c r="CC109" s="34" t="n">
        <f aca="false">IF(76&gt;Fin,CB$109,CC$71*P_DSO/DiasMes)</f>
        <v>2942010.36807663</v>
      </c>
      <c r="CD109" s="34" t="n">
        <f aca="false">IF(77&gt;Fin,CC$109,CD$71*P_DSO/DiasMes)</f>
        <v>2942010.36807663</v>
      </c>
      <c r="CE109" s="34" t="n">
        <f aca="false">IF(78&gt;Fin,CD$109,CE$71*P_DSO/DiasMes)</f>
        <v>2942010.36807663</v>
      </c>
      <c r="CF109" s="34" t="n">
        <f aca="false">IF(79&gt;Fin,CE$109,CF$71*P_DSO/DiasMes)</f>
        <v>2942010.36807663</v>
      </c>
      <c r="CG109" s="34" t="n">
        <f aca="false">IF(80&gt;Fin,CF$109,CG$71*P_DSO/DiasMes)</f>
        <v>2942010.36807663</v>
      </c>
      <c r="CH109" s="34" t="n">
        <f aca="false">IF(81&gt;Fin,CG$109,CH$71*P_DSO/DiasMes)</f>
        <v>2942010.36807663</v>
      </c>
      <c r="CI109" s="34" t="n">
        <f aca="false">IF(82&gt;Fin,CH$109,CI$71*P_DSO/DiasMes)</f>
        <v>2942010.36807663</v>
      </c>
      <c r="CJ109" s="34" t="n">
        <f aca="false">IF(83&gt;Fin,CI$109,CJ$71*P_DSO/DiasMes)</f>
        <v>2942010.36807663</v>
      </c>
      <c r="CK109" s="34" t="n">
        <f aca="false">IF(84&gt;Fin,CJ$109,CK$71*P_DSO/DiasMes)</f>
        <v>2942010.36807663</v>
      </c>
      <c r="CL109" s="34" t="n">
        <f aca="false">IF(85&gt;Fin,CK$109,CL$71*P_DSO/DiasMes)</f>
        <v>2971430.4717574</v>
      </c>
      <c r="CM109" s="34" t="n">
        <f aca="false">IF(86&gt;Fin,CL$109,CM$71*P_DSO/DiasMes)</f>
        <v>2971430.4717574</v>
      </c>
      <c r="CN109" s="34" t="n">
        <f aca="false">IF(87&gt;Fin,CM$109,CN$71*P_DSO/DiasMes)</f>
        <v>2971430.4717574</v>
      </c>
      <c r="CO109" s="34" t="n">
        <f aca="false">IF(88&gt;Fin,CN$109,CO$71*P_DSO/DiasMes)</f>
        <v>2971430.4717574</v>
      </c>
      <c r="CP109" s="34" t="n">
        <f aca="false">IF(89&gt;Fin,CO$109,CP$71*P_DSO/DiasMes)</f>
        <v>2971430.4717574</v>
      </c>
      <c r="CQ109" s="34" t="n">
        <f aca="false">IF(90&gt;Fin,CP$109,CQ$71*P_DSO/DiasMes)</f>
        <v>2971430.4717574</v>
      </c>
      <c r="CR109" s="34" t="n">
        <f aca="false">IF(91&gt;Fin,CQ$109,CR$71*P_DSO/DiasMes)</f>
        <v>2971430.4717574</v>
      </c>
      <c r="CS109" s="34" t="n">
        <f aca="false">IF(92&gt;Fin,CR$109,CS$71*P_DSO/DiasMes)</f>
        <v>2971430.4717574</v>
      </c>
      <c r="CT109" s="34" t="n">
        <f aca="false">IF(93&gt;Fin,CS$109,CT$71*P_DSO/DiasMes)</f>
        <v>2971430.4717574</v>
      </c>
      <c r="CU109" s="34" t="n">
        <f aca="false">IF(94&gt;Fin,CT$109,CU$71*P_DSO/DiasMes)</f>
        <v>2971430.4717574</v>
      </c>
      <c r="CV109" s="34" t="n">
        <f aca="false">IF(95&gt;Fin,CU$109,CV$71*P_DSO/DiasMes)</f>
        <v>2971430.4717574</v>
      </c>
      <c r="CW109" s="34" t="n">
        <f aca="false">IF(96&gt;Fin,CV$109,CW$71*P_DSO/DiasMes)</f>
        <v>2971430.4717574</v>
      </c>
      <c r="CX109" s="34" t="n">
        <f aca="false">IF(97&gt;Fin,CW$109,CX$71*P_DSO/DiasMes)</f>
        <v>3001144.77647497</v>
      </c>
      <c r="CY109" s="34" t="n">
        <f aca="false">IF(98&gt;Fin,CX$109,CY$71*P_DSO/DiasMes)</f>
        <v>3001144.77647497</v>
      </c>
      <c r="CZ109" s="34" t="n">
        <f aca="false">IF(99&gt;Fin,CY$109,CZ$71*P_DSO/DiasMes)</f>
        <v>3001144.77647497</v>
      </c>
      <c r="DA109" s="34" t="n">
        <f aca="false">IF(100&gt;Fin,CZ$109,DA$71*P_DSO/DiasMes)</f>
        <v>3001144.77647497</v>
      </c>
      <c r="DB109" s="34" t="n">
        <f aca="false">IF(101&gt;Fin,DA$109,DB$71*P_DSO/DiasMes)</f>
        <v>3001144.77647497</v>
      </c>
      <c r="DC109" s="34" t="n">
        <f aca="false">IF(102&gt;Fin,DB$109,DC$71*P_DSO/DiasMes)</f>
        <v>3001144.77647497</v>
      </c>
      <c r="DD109" s="34" t="n">
        <f aca="false">IF(103&gt;Fin,DC$109,DD$71*P_DSO/DiasMes)</f>
        <v>3001144.77647497</v>
      </c>
      <c r="DE109" s="34" t="n">
        <f aca="false">IF(104&gt;Fin,DD$109,DE$71*P_DSO/DiasMes)</f>
        <v>3001144.77647497</v>
      </c>
      <c r="DF109" s="34" t="n">
        <f aca="false">IF(105&gt;Fin,DE$109,DF$71*P_DSO/DiasMes)</f>
        <v>3001144.77647497</v>
      </c>
      <c r="DG109" s="34" t="n">
        <f aca="false">IF(106&gt;Fin,DF$109,DG$71*P_DSO/DiasMes)</f>
        <v>3001144.77647497</v>
      </c>
      <c r="DH109" s="34" t="n">
        <f aca="false">IF(107&gt;Fin,DG$109,DH$71*P_DSO/DiasMes)</f>
        <v>3001144.77647497</v>
      </c>
      <c r="DI109" s="34" t="n">
        <f aca="false">IF(108&gt;Fin,DH$109,DI$71*P_DSO/DiasMes)</f>
        <v>3001144.77647497</v>
      </c>
      <c r="DJ109" s="34" t="n">
        <f aca="false">IF(109&gt;Fin,DI$109,DJ$71*P_DSO/DiasMes)</f>
        <v>3031156.22423972</v>
      </c>
      <c r="DK109" s="34" t="n">
        <f aca="false">IF(110&gt;Fin,DJ$109,DK$71*P_DSO/DiasMes)</f>
        <v>3031156.22423972</v>
      </c>
      <c r="DL109" s="34" t="n">
        <f aca="false">IF(111&gt;Fin,DK$109,DL$71*P_DSO/DiasMes)</f>
        <v>3031156.22423972</v>
      </c>
      <c r="DM109" s="34" t="n">
        <f aca="false">IF(112&gt;Fin,DL$109,DM$71*P_DSO/DiasMes)</f>
        <v>3031156.22423972</v>
      </c>
      <c r="DN109" s="34" t="n">
        <f aca="false">IF(113&gt;Fin,DM$109,DN$71*P_DSO/DiasMes)</f>
        <v>3031156.22423972</v>
      </c>
      <c r="DO109" s="34" t="n">
        <f aca="false">IF(114&gt;Fin,DN$109,DO$71*P_DSO/DiasMes)</f>
        <v>3031156.22423972</v>
      </c>
      <c r="DP109" s="34" t="n">
        <f aca="false">IF(115&gt;Fin,DO$109,DP$71*P_DSO/DiasMes)</f>
        <v>3031156.22423972</v>
      </c>
      <c r="DQ109" s="34" t="n">
        <f aca="false">IF(116&gt;Fin,DP$109,DQ$71*P_DSO/DiasMes)</f>
        <v>3031156.22423972</v>
      </c>
      <c r="DR109" s="34" t="n">
        <f aca="false">IF(117&gt;Fin,DQ$109,DR$71*P_DSO/DiasMes)</f>
        <v>3031156.22423972</v>
      </c>
      <c r="DS109" s="34" t="n">
        <f aca="false">IF(118&gt;Fin,DR$109,DS$71*P_DSO/DiasMes)</f>
        <v>3031156.22423972</v>
      </c>
      <c r="DT109" s="34" t="n">
        <f aca="false">IF(119&gt;Fin,DS$109,DT$71*P_DSO/DiasMes)</f>
        <v>3031156.22423972</v>
      </c>
      <c r="DU109" s="34" t="n">
        <f aca="false">IF(120&gt;Fin,DT$109,DU$71*P_DSO/DiasMes)</f>
        <v>3031156.22423972</v>
      </c>
      <c r="DV109" s="34" t="n">
        <f aca="false">IF(121&gt;Fin,DU$109,DV$71*P_DSO/DiasMes)</f>
        <v>3031156.22423972</v>
      </c>
      <c r="DW109" s="34" t="n">
        <f aca="false">IF(122&gt;Fin,DV$109,DW$71*P_DSO/DiasMes)</f>
        <v>3031156.22423972</v>
      </c>
      <c r="DX109" s="34" t="n">
        <f aca="false">IF(123&gt;Fin,DW$109,DX$71*P_DSO/DiasMes)</f>
        <v>3031156.22423972</v>
      </c>
      <c r="DY109" s="34" t="n">
        <f aca="false">IF(124&gt;Fin,DX$109,DY$71*P_DSO/DiasMes)</f>
        <v>3031156.22423972</v>
      </c>
      <c r="DZ109" s="34" t="n">
        <f aca="false">IF(125&gt;Fin,DY$109,DZ$71*P_DSO/DiasMes)</f>
        <v>3031156.22423972</v>
      </c>
      <c r="EA109" s="34" t="n">
        <f aca="false">IF(126&gt;Fin,DZ$109,EA$71*P_DSO/DiasMes)</f>
        <v>3031156.22423972</v>
      </c>
      <c r="EB109" s="34" t="n">
        <f aca="false">IF(127&gt;Fin,EA$109,EB$71*P_DSO/DiasMes)</f>
        <v>3031156.22423972</v>
      </c>
      <c r="EC109" s="34" t="n">
        <f aca="false">IF(128&gt;Fin,EB$109,EC$71*P_DSO/DiasMes)</f>
        <v>3031156.22423972</v>
      </c>
      <c r="ED109" s="34" t="n">
        <f aca="false">IF(129&gt;Fin,EC$109,ED$71*P_DSO/DiasMes)</f>
        <v>3031156.22423972</v>
      </c>
      <c r="EE109" s="34" t="n">
        <f aca="false">IF(130&gt;Fin,ED$109,EE$71*P_DSO/DiasMes)</f>
        <v>3031156.22423972</v>
      </c>
      <c r="EF109" s="34" t="n">
        <f aca="false">IF(131&gt;Fin,EE$109,EF$71*P_DSO/DiasMes)</f>
        <v>3031156.22423972</v>
      </c>
      <c r="EG109" s="34" t="n">
        <f aca="false">IF(132&gt;Fin,EF$109,EG$71*P_DSO/DiasMes)</f>
        <v>3031156.22423972</v>
      </c>
      <c r="EH109" s="34" t="n">
        <f aca="false">IF(133&gt;Fin,EG$109,EH$71*P_DSO/DiasMes)</f>
        <v>3031156.22423972</v>
      </c>
      <c r="EI109" s="34" t="n">
        <f aca="false">IF(134&gt;Fin,EH$109,EI$71*P_DSO/DiasMes)</f>
        <v>3031156.22423972</v>
      </c>
      <c r="EJ109" s="34" t="n">
        <f aca="false">IF(135&gt;Fin,EI$109,EJ$71*P_DSO/DiasMes)</f>
        <v>3031156.22423972</v>
      </c>
      <c r="EK109" s="34" t="n">
        <f aca="false">IF(136&gt;Fin,EJ$109,EK$71*P_DSO/DiasMes)</f>
        <v>3031156.22423972</v>
      </c>
      <c r="EL109" s="34" t="n">
        <f aca="false">IF(137&gt;Fin,EK$109,EL$71*P_DSO/DiasMes)</f>
        <v>3031156.22423972</v>
      </c>
      <c r="EM109" s="34" t="n">
        <f aca="false">IF(138&gt;Fin,EL$109,EM$71*P_DSO/DiasMes)</f>
        <v>3031156.22423972</v>
      </c>
      <c r="EN109" s="34" t="n">
        <f aca="false">IF(139&gt;Fin,EM$109,EN$71*P_DSO/DiasMes)</f>
        <v>3031156.22423972</v>
      </c>
      <c r="EO109" s="34" t="n">
        <f aca="false">IF(140&gt;Fin,EN$109,EO$71*P_DSO/DiasMes)</f>
        <v>3031156.22423972</v>
      </c>
      <c r="EP109" s="34" t="n">
        <f aca="false">IF(141&gt;Fin,EO$109,EP$71*P_DSO/DiasMes)</f>
        <v>3031156.22423972</v>
      </c>
      <c r="EQ109" s="34" t="n">
        <f aca="false">IF(142&gt;Fin,EP$109,EQ$71*P_DSO/DiasMes)</f>
        <v>3031156.22423972</v>
      </c>
      <c r="ER109" s="34" t="n">
        <f aca="false">IF(143&gt;Fin,EQ$109,ER$71*P_DSO/DiasMes)</f>
        <v>3031156.22423972</v>
      </c>
      <c r="ES109" s="34" t="n">
        <f aca="false">IF(144&gt;Fin,ER$109,ES$71*P_DSO/DiasMes)</f>
        <v>3031156.22423972</v>
      </c>
    </row>
    <row r="110" customFormat="false" ht="15" hidden="false" customHeight="false" outlineLevel="0" collapsed="false">
      <c r="A110" s="2" t="s">
        <v>707</v>
      </c>
      <c r="B110" s="6" t="s">
        <v>549</v>
      </c>
      <c r="C110" s="6" t="s">
        <v>250</v>
      </c>
      <c r="E110" s="40" t="n">
        <f aca="false">INDEX(F110:ES110,1,MIN(144,Fin))</f>
        <v>1626937.98750554</v>
      </c>
      <c r="F110" s="34" t="n">
        <f aca="false">IF(1&gt;Fin,0,F$93*P_DInv/DiasMes+(F$93+F$94+F$95+F$96)*P_DPT/DiasMes)</f>
        <v>892648.832014833</v>
      </c>
      <c r="G110" s="34" t="n">
        <f aca="false">IF(2&gt;Fin,F$110,G$93*P_DInv/DiasMes+(G$93+G$94+G$95+G$96)*P_DPT/DiasMes)</f>
        <v>892648.832014833</v>
      </c>
      <c r="H110" s="34" t="n">
        <f aca="false">IF(3&gt;Fin,G$110,H$93*P_DInv/DiasMes+(H$93+H$94+H$95+H$96)*P_DPT/DiasMes)</f>
        <v>892648.832014833</v>
      </c>
      <c r="I110" s="34" t="n">
        <f aca="false">IF(4&gt;Fin,H$110,I$93*P_DInv/DiasMes+(I$93+I$94+I$95+I$96)*P_DPT/DiasMes)</f>
        <v>892648.832014833</v>
      </c>
      <c r="J110" s="34" t="n">
        <f aca="false">IF(5&gt;Fin,I$110,J$93*P_DInv/DiasMes+(J$93+J$94+J$95+J$96)*P_DPT/DiasMes)</f>
        <v>892648.832014833</v>
      </c>
      <c r="K110" s="34" t="n">
        <f aca="false">IF(6&gt;Fin,J$110,K$93*P_DInv/DiasMes+(K$93+K$94+K$95+K$96)*P_DPT/DiasMes)</f>
        <v>892648.832014833</v>
      </c>
      <c r="L110" s="34" t="n">
        <f aca="false">IF(7&gt;Fin,K$110,L$93*P_DInv/DiasMes+(L$93+L$94+L$95+L$96)*P_DPT/DiasMes)</f>
        <v>892648.832014833</v>
      </c>
      <c r="M110" s="34" t="n">
        <f aca="false">IF(8&gt;Fin,L$110,M$93*P_DInv/DiasMes+(M$93+M$94+M$95+M$96)*P_DPT/DiasMes)</f>
        <v>892648.832014833</v>
      </c>
      <c r="N110" s="34" t="n">
        <f aca="false">IF(9&gt;Fin,M$110,N$93*P_DInv/DiasMes+(N$93+N$94+N$95+N$96)*P_DPT/DiasMes)</f>
        <v>892648.832014833</v>
      </c>
      <c r="O110" s="34" t="n">
        <f aca="false">IF(10&gt;Fin,N$110,O$93*P_DInv/DiasMes+(O$93+O$94+O$95+O$96)*P_DPT/DiasMes)</f>
        <v>892648.832014833</v>
      </c>
      <c r="P110" s="34" t="n">
        <f aca="false">IF(11&gt;Fin,O$110,P$93*P_DInv/DiasMes+(P$93+P$94+P$95+P$96)*P_DPT/DiasMes)</f>
        <v>892648.832014833</v>
      </c>
      <c r="Q110" s="34" t="n">
        <f aca="false">IF(12&gt;Fin,P$110,Q$93*P_DInv/DiasMes+(Q$93+Q$94+Q$95+Q$96)*P_DPT/DiasMes)</f>
        <v>892648.832014833</v>
      </c>
      <c r="R110" s="34" t="n">
        <f aca="false">IF(13&gt;Fin,Q$110,R$93*P_DInv/DiasMes+(R$93+R$94+R$95+R$96)*P_DPT/DiasMes)</f>
        <v>1128877.29036496</v>
      </c>
      <c r="S110" s="34" t="n">
        <f aca="false">IF(14&gt;Fin,R$110,S$93*P_DInv/DiasMes+(S$93+S$94+S$95+S$96)*P_DPT/DiasMes)</f>
        <v>1128877.29036496</v>
      </c>
      <c r="T110" s="34" t="n">
        <f aca="false">IF(15&gt;Fin,S$110,T$93*P_DInv/DiasMes+(T$93+T$94+T$95+T$96)*P_DPT/DiasMes)</f>
        <v>1128877.29036496</v>
      </c>
      <c r="U110" s="34" t="n">
        <f aca="false">IF(16&gt;Fin,T$110,U$93*P_DInv/DiasMes+(U$93+U$94+U$95+U$96)*P_DPT/DiasMes)</f>
        <v>1128877.29036496</v>
      </c>
      <c r="V110" s="34" t="n">
        <f aca="false">IF(17&gt;Fin,U$110,V$93*P_DInv/DiasMes+(V$93+V$94+V$95+V$96)*P_DPT/DiasMes)</f>
        <v>1128877.29036496</v>
      </c>
      <c r="W110" s="34" t="n">
        <f aca="false">IF(18&gt;Fin,V$110,W$93*P_DInv/DiasMes+(W$93+W$94+W$95+W$96)*P_DPT/DiasMes)</f>
        <v>1128877.29036496</v>
      </c>
      <c r="X110" s="34" t="n">
        <f aca="false">IF(19&gt;Fin,W$110,X$93*P_DInv/DiasMes+(X$93+X$94+X$95+X$96)*P_DPT/DiasMes)</f>
        <v>1128877.29036496</v>
      </c>
      <c r="Y110" s="34" t="n">
        <f aca="false">IF(20&gt;Fin,X$110,Y$93*P_DInv/DiasMes+(Y$93+Y$94+Y$95+Y$96)*P_DPT/DiasMes)</f>
        <v>1128877.29036496</v>
      </c>
      <c r="Z110" s="34" t="n">
        <f aca="false">IF(21&gt;Fin,Y$110,Z$93*P_DInv/DiasMes+(Z$93+Z$94+Z$95+Z$96)*P_DPT/DiasMes)</f>
        <v>1128877.29036496</v>
      </c>
      <c r="AA110" s="34" t="n">
        <f aca="false">IF(22&gt;Fin,Z$110,AA$93*P_DInv/DiasMes+(AA$93+AA$94+AA$95+AA$96)*P_DPT/DiasMes)</f>
        <v>1128877.29036496</v>
      </c>
      <c r="AB110" s="34" t="n">
        <f aca="false">IF(23&gt;Fin,AA$110,AB$93*P_DInv/DiasMes+(AB$93+AB$94+AB$95+AB$96)*P_DPT/DiasMes)</f>
        <v>1128877.29036496</v>
      </c>
      <c r="AC110" s="34" t="n">
        <f aca="false">IF(24&gt;Fin,AB$110,AC$93*P_DInv/DiasMes+(AC$93+AC$94+AC$95+AC$96)*P_DPT/DiasMes)</f>
        <v>1128877.29036496</v>
      </c>
      <c r="AD110" s="34" t="n">
        <f aca="false">IF(25&gt;Fin,AC$110,AD$93*P_DInv/DiasMes+(AD$93+AD$94+AD$95+AD$96)*P_DPT/DiasMes)</f>
        <v>1368953.64604567</v>
      </c>
      <c r="AE110" s="34" t="n">
        <f aca="false">IF(26&gt;Fin,AD$110,AE$93*P_DInv/DiasMes+(AE$93+AE$94+AE$95+AE$96)*P_DPT/DiasMes)</f>
        <v>1368953.64604567</v>
      </c>
      <c r="AF110" s="34" t="n">
        <f aca="false">IF(27&gt;Fin,AE$110,AF$93*P_DInv/DiasMes+(AF$93+AF$94+AF$95+AF$96)*P_DPT/DiasMes)</f>
        <v>1368953.64604567</v>
      </c>
      <c r="AG110" s="34" t="n">
        <f aca="false">IF(28&gt;Fin,AF$110,AG$93*P_DInv/DiasMes+(AG$93+AG$94+AG$95+AG$96)*P_DPT/DiasMes)</f>
        <v>1368953.64604567</v>
      </c>
      <c r="AH110" s="34" t="n">
        <f aca="false">IF(29&gt;Fin,AG$110,AH$93*P_DInv/DiasMes+(AH$93+AH$94+AH$95+AH$96)*P_DPT/DiasMes)</f>
        <v>1368953.64604567</v>
      </c>
      <c r="AI110" s="34" t="n">
        <f aca="false">IF(30&gt;Fin,AH$110,AI$93*P_DInv/DiasMes+(AI$93+AI$94+AI$95+AI$96)*P_DPT/DiasMes)</f>
        <v>1368953.64604567</v>
      </c>
      <c r="AJ110" s="34" t="n">
        <f aca="false">IF(31&gt;Fin,AI$110,AJ$93*P_DInv/DiasMes+(AJ$93+AJ$94+AJ$95+AJ$96)*P_DPT/DiasMes)</f>
        <v>1368953.64604567</v>
      </c>
      <c r="AK110" s="34" t="n">
        <f aca="false">IF(32&gt;Fin,AJ$110,AK$93*P_DInv/DiasMes+(AK$93+AK$94+AK$95+AK$96)*P_DPT/DiasMes)</f>
        <v>1368953.64604567</v>
      </c>
      <c r="AL110" s="34" t="n">
        <f aca="false">IF(33&gt;Fin,AK$110,AL$93*P_DInv/DiasMes+(AL$93+AL$94+AL$95+AL$96)*P_DPT/DiasMes)</f>
        <v>1368953.64604567</v>
      </c>
      <c r="AM110" s="34" t="n">
        <f aca="false">IF(34&gt;Fin,AL$110,AM$93*P_DInv/DiasMes+(AM$93+AM$94+AM$95+AM$96)*P_DPT/DiasMes)</f>
        <v>1368953.64604567</v>
      </c>
      <c r="AN110" s="34" t="n">
        <f aca="false">IF(35&gt;Fin,AM$110,AN$93*P_DInv/DiasMes+(AN$93+AN$94+AN$95+AN$96)*P_DPT/DiasMes)</f>
        <v>1368953.64604567</v>
      </c>
      <c r="AO110" s="34" t="n">
        <f aca="false">IF(36&gt;Fin,AN$110,AO$93*P_DInv/DiasMes+(AO$93+AO$94+AO$95+AO$96)*P_DPT/DiasMes)</f>
        <v>1368953.64604567</v>
      </c>
      <c r="AP110" s="34" t="n">
        <f aca="false">IF(37&gt;Fin,AO$110,AP$93*P_DInv/DiasMes+(AP$93+AP$94+AP$95+AP$96)*P_DPT/DiasMes)</f>
        <v>1566231.67971491</v>
      </c>
      <c r="AQ110" s="34" t="n">
        <f aca="false">IF(38&gt;Fin,AP$110,AQ$93*P_DInv/DiasMes+(AQ$93+AQ$94+AQ$95+AQ$96)*P_DPT/DiasMes)</f>
        <v>1566231.67971491</v>
      </c>
      <c r="AR110" s="34" t="n">
        <f aca="false">IF(39&gt;Fin,AQ$110,AR$93*P_DInv/DiasMes+(AR$93+AR$94+AR$95+AR$96)*P_DPT/DiasMes)</f>
        <v>1566231.67971491</v>
      </c>
      <c r="AS110" s="34" t="n">
        <f aca="false">IF(40&gt;Fin,AR$110,AS$93*P_DInv/DiasMes+(AS$93+AS$94+AS$95+AS$96)*P_DPT/DiasMes)</f>
        <v>1566231.67971491</v>
      </c>
      <c r="AT110" s="34" t="n">
        <f aca="false">IF(41&gt;Fin,AS$110,AT$93*P_DInv/DiasMes+(AT$93+AT$94+AT$95+AT$96)*P_DPT/DiasMes)</f>
        <v>1566231.67971491</v>
      </c>
      <c r="AU110" s="34" t="n">
        <f aca="false">IF(42&gt;Fin,AT$110,AU$93*P_DInv/DiasMes+(AU$93+AU$94+AU$95+AU$96)*P_DPT/DiasMes)</f>
        <v>1566231.67971491</v>
      </c>
      <c r="AV110" s="34" t="n">
        <f aca="false">IF(43&gt;Fin,AU$110,AV$93*P_DInv/DiasMes+(AV$93+AV$94+AV$95+AV$96)*P_DPT/DiasMes)</f>
        <v>1566231.67971491</v>
      </c>
      <c r="AW110" s="34" t="n">
        <f aca="false">IF(44&gt;Fin,AV$110,AW$93*P_DInv/DiasMes+(AW$93+AW$94+AW$95+AW$96)*P_DPT/DiasMes)</f>
        <v>1566231.67971491</v>
      </c>
      <c r="AX110" s="34" t="n">
        <f aca="false">IF(45&gt;Fin,AW$110,AX$93*P_DInv/DiasMes+(AX$93+AX$94+AX$95+AX$96)*P_DPT/DiasMes)</f>
        <v>1566231.67971491</v>
      </c>
      <c r="AY110" s="34" t="n">
        <f aca="false">IF(46&gt;Fin,AX$110,AY$93*P_DInv/DiasMes+(AY$93+AY$94+AY$95+AY$96)*P_DPT/DiasMes)</f>
        <v>1566231.67971491</v>
      </c>
      <c r="AZ110" s="34" t="n">
        <f aca="false">IF(47&gt;Fin,AY$110,AZ$93*P_DInv/DiasMes+(AZ$93+AZ$94+AZ$95+AZ$96)*P_DPT/DiasMes)</f>
        <v>1566231.67971491</v>
      </c>
      <c r="BA110" s="34" t="n">
        <f aca="false">IF(48&gt;Fin,AZ$110,BA$93*P_DInv/DiasMes+(BA$93+BA$94+BA$95+BA$96)*P_DPT/DiasMes)</f>
        <v>1566231.67971491</v>
      </c>
      <c r="BB110" s="34" t="n">
        <f aca="false">IF(49&gt;Fin,BA$110,BB$93*P_DInv/DiasMes+(BB$93+BB$94+BB$95+BB$96)*P_DPT/DiasMes)</f>
        <v>1576853.13578562</v>
      </c>
      <c r="BC110" s="34" t="n">
        <f aca="false">IF(50&gt;Fin,BB$110,BC$93*P_DInv/DiasMes+(BC$93+BC$94+BC$95+BC$96)*P_DPT/DiasMes)</f>
        <v>1576853.13578562</v>
      </c>
      <c r="BD110" s="34" t="n">
        <f aca="false">IF(51&gt;Fin,BC$110,BD$93*P_DInv/DiasMes+(BD$93+BD$94+BD$95+BD$96)*P_DPT/DiasMes)</f>
        <v>1576853.13578562</v>
      </c>
      <c r="BE110" s="34" t="n">
        <f aca="false">IF(52&gt;Fin,BD$110,BE$93*P_DInv/DiasMes+(BE$93+BE$94+BE$95+BE$96)*P_DPT/DiasMes)</f>
        <v>1576853.13578562</v>
      </c>
      <c r="BF110" s="34" t="n">
        <f aca="false">IF(53&gt;Fin,BE$110,BF$93*P_DInv/DiasMes+(BF$93+BF$94+BF$95+BF$96)*P_DPT/DiasMes)</f>
        <v>1576853.13578562</v>
      </c>
      <c r="BG110" s="34" t="n">
        <f aca="false">IF(54&gt;Fin,BF$110,BG$93*P_DInv/DiasMes+(BG$93+BG$94+BG$95+BG$96)*P_DPT/DiasMes)</f>
        <v>1576853.13578562</v>
      </c>
      <c r="BH110" s="34" t="n">
        <f aca="false">IF(55&gt;Fin,BG$110,BH$93*P_DInv/DiasMes+(BH$93+BH$94+BH$95+BH$96)*P_DPT/DiasMes)</f>
        <v>1576853.13578562</v>
      </c>
      <c r="BI110" s="34" t="n">
        <f aca="false">IF(56&gt;Fin,BH$110,BI$93*P_DInv/DiasMes+(BI$93+BI$94+BI$95+BI$96)*P_DPT/DiasMes)</f>
        <v>1576853.13578562</v>
      </c>
      <c r="BJ110" s="34" t="n">
        <f aca="false">IF(57&gt;Fin,BI$110,BJ$93*P_DInv/DiasMes+(BJ$93+BJ$94+BJ$95+BJ$96)*P_DPT/DiasMes)</f>
        <v>1576853.13578562</v>
      </c>
      <c r="BK110" s="34" t="n">
        <f aca="false">IF(58&gt;Fin,BJ$110,BK$93*P_DInv/DiasMes+(BK$93+BK$94+BK$95+BK$96)*P_DPT/DiasMes)</f>
        <v>1576853.13578562</v>
      </c>
      <c r="BL110" s="34" t="n">
        <f aca="false">IF(59&gt;Fin,BK$110,BL$93*P_DInv/DiasMes+(BL$93+BL$94+BL$95+BL$96)*P_DPT/DiasMes)</f>
        <v>1576853.13578562</v>
      </c>
      <c r="BM110" s="34" t="n">
        <f aca="false">IF(60&gt;Fin,BL$110,BM$93*P_DInv/DiasMes+(BM$93+BM$94+BM$95+BM$96)*P_DPT/DiasMes)</f>
        <v>1576853.13578562</v>
      </c>
      <c r="BN110" s="34" t="n">
        <f aca="false">IF(61&gt;Fin,BM$110,BN$93*P_DInv/DiasMes+(BN$93+BN$94+BN$95+BN$96)*P_DPT/DiasMes)</f>
        <v>1586671.38637398</v>
      </c>
      <c r="BO110" s="34" t="n">
        <f aca="false">IF(62&gt;Fin,BN$110,BO$93*P_DInv/DiasMes+(BO$93+BO$94+BO$95+BO$96)*P_DPT/DiasMes)</f>
        <v>1586671.38637398</v>
      </c>
      <c r="BP110" s="34" t="n">
        <f aca="false">IF(63&gt;Fin,BO$110,BP$93*P_DInv/DiasMes+(BP$93+BP$94+BP$95+BP$96)*P_DPT/DiasMes)</f>
        <v>1586671.38637398</v>
      </c>
      <c r="BQ110" s="34" t="n">
        <f aca="false">IF(64&gt;Fin,BP$110,BQ$93*P_DInv/DiasMes+(BQ$93+BQ$94+BQ$95+BQ$96)*P_DPT/DiasMes)</f>
        <v>1586671.38637398</v>
      </c>
      <c r="BR110" s="34" t="n">
        <f aca="false">IF(65&gt;Fin,BQ$110,BR$93*P_DInv/DiasMes+(BR$93+BR$94+BR$95+BR$96)*P_DPT/DiasMes)</f>
        <v>1586671.38637398</v>
      </c>
      <c r="BS110" s="34" t="n">
        <f aca="false">IF(66&gt;Fin,BR$110,BS$93*P_DInv/DiasMes+(BS$93+BS$94+BS$95+BS$96)*P_DPT/DiasMes)</f>
        <v>1586671.38637398</v>
      </c>
      <c r="BT110" s="34" t="n">
        <f aca="false">IF(67&gt;Fin,BS$110,BT$93*P_DInv/DiasMes+(BT$93+BT$94+BT$95+BT$96)*P_DPT/DiasMes)</f>
        <v>1586671.38637398</v>
      </c>
      <c r="BU110" s="34" t="n">
        <f aca="false">IF(68&gt;Fin,BT$110,BU$93*P_DInv/DiasMes+(BU$93+BU$94+BU$95+BU$96)*P_DPT/DiasMes)</f>
        <v>1586671.38637398</v>
      </c>
      <c r="BV110" s="34" t="n">
        <f aca="false">IF(69&gt;Fin,BU$110,BV$93*P_DInv/DiasMes+(BV$93+BV$94+BV$95+BV$96)*P_DPT/DiasMes)</f>
        <v>1586671.38637398</v>
      </c>
      <c r="BW110" s="34" t="n">
        <f aca="false">IF(70&gt;Fin,BV$110,BW$93*P_DInv/DiasMes+(BW$93+BW$94+BW$95+BW$96)*P_DPT/DiasMes)</f>
        <v>1586671.38637398</v>
      </c>
      <c r="BX110" s="34" t="n">
        <f aca="false">IF(71&gt;Fin,BW$110,BX$93*P_DInv/DiasMes+(BX$93+BX$94+BX$95+BX$96)*P_DPT/DiasMes)</f>
        <v>1586671.38637398</v>
      </c>
      <c r="BY110" s="34" t="n">
        <f aca="false">IF(72&gt;Fin,BX$110,BY$93*P_DInv/DiasMes+(BY$93+BY$94+BY$95+BY$96)*P_DPT/DiasMes)</f>
        <v>1586671.38637398</v>
      </c>
      <c r="BZ110" s="34" t="n">
        <f aca="false">IF(73&gt;Fin,BY$110,BZ$93*P_DInv/DiasMes+(BZ$93+BZ$94+BZ$95+BZ$96)*P_DPT/DiasMes)</f>
        <v>1596588.00448074</v>
      </c>
      <c r="CA110" s="34" t="n">
        <f aca="false">IF(74&gt;Fin,BZ$110,CA$93*P_DInv/DiasMes+(CA$93+CA$94+CA$95+CA$96)*P_DPT/DiasMes)</f>
        <v>1596588.00448074</v>
      </c>
      <c r="CB110" s="34" t="n">
        <f aca="false">IF(75&gt;Fin,CA$110,CB$93*P_DInv/DiasMes+(CB$93+CB$94+CB$95+CB$96)*P_DPT/DiasMes)</f>
        <v>1596588.00448074</v>
      </c>
      <c r="CC110" s="34" t="n">
        <f aca="false">IF(76&gt;Fin,CB$110,CC$93*P_DInv/DiasMes+(CC$93+CC$94+CC$95+CC$96)*P_DPT/DiasMes)</f>
        <v>1596588.00448074</v>
      </c>
      <c r="CD110" s="34" t="n">
        <f aca="false">IF(77&gt;Fin,CC$110,CD$93*P_DInv/DiasMes+(CD$93+CD$94+CD$95+CD$96)*P_DPT/DiasMes)</f>
        <v>1596588.00448074</v>
      </c>
      <c r="CE110" s="34" t="n">
        <f aca="false">IF(78&gt;Fin,CD$110,CE$93*P_DInv/DiasMes+(CE$93+CE$94+CE$95+CE$96)*P_DPT/DiasMes)</f>
        <v>1596588.00448074</v>
      </c>
      <c r="CF110" s="34" t="n">
        <f aca="false">IF(79&gt;Fin,CE$110,CF$93*P_DInv/DiasMes+(CF$93+CF$94+CF$95+CF$96)*P_DPT/DiasMes)</f>
        <v>1596588.00448074</v>
      </c>
      <c r="CG110" s="34" t="n">
        <f aca="false">IF(80&gt;Fin,CF$110,CG$93*P_DInv/DiasMes+(CG$93+CG$94+CG$95+CG$96)*P_DPT/DiasMes)</f>
        <v>1596588.00448074</v>
      </c>
      <c r="CH110" s="34" t="n">
        <f aca="false">IF(81&gt;Fin,CG$110,CH$93*P_DInv/DiasMes+(CH$93+CH$94+CH$95+CH$96)*P_DPT/DiasMes)</f>
        <v>1596588.00448074</v>
      </c>
      <c r="CI110" s="34" t="n">
        <f aca="false">IF(82&gt;Fin,CH$110,CI$93*P_DInv/DiasMes+(CI$93+CI$94+CI$95+CI$96)*P_DPT/DiasMes)</f>
        <v>1596588.00448074</v>
      </c>
      <c r="CJ110" s="34" t="n">
        <f aca="false">IF(83&gt;Fin,CI$110,CJ$93*P_DInv/DiasMes+(CJ$93+CJ$94+CJ$95+CJ$96)*P_DPT/DiasMes)</f>
        <v>1596588.00448074</v>
      </c>
      <c r="CK110" s="34" t="n">
        <f aca="false">IF(84&gt;Fin,CJ$110,CK$93*P_DInv/DiasMes+(CK$93+CK$94+CK$95+CK$96)*P_DPT/DiasMes)</f>
        <v>1596588.00448074</v>
      </c>
      <c r="CL110" s="34" t="n">
        <f aca="false">IF(85&gt;Fin,CK$110,CL$93*P_DInv/DiasMes+(CL$93+CL$94+CL$95+CL$96)*P_DPT/DiasMes)</f>
        <v>1606603.97748134</v>
      </c>
      <c r="CM110" s="34" t="n">
        <f aca="false">IF(86&gt;Fin,CL$110,CM$93*P_DInv/DiasMes+(CM$93+CM$94+CM$95+CM$96)*P_DPT/DiasMes)</f>
        <v>1606603.97748134</v>
      </c>
      <c r="CN110" s="34" t="n">
        <f aca="false">IF(87&gt;Fin,CM$110,CN$93*P_DInv/DiasMes+(CN$93+CN$94+CN$95+CN$96)*P_DPT/DiasMes)</f>
        <v>1606603.97748134</v>
      </c>
      <c r="CO110" s="34" t="n">
        <f aca="false">IF(88&gt;Fin,CN$110,CO$93*P_DInv/DiasMes+(CO$93+CO$94+CO$95+CO$96)*P_DPT/DiasMes)</f>
        <v>1606603.97748134</v>
      </c>
      <c r="CP110" s="34" t="n">
        <f aca="false">IF(89&gt;Fin,CO$110,CP$93*P_DInv/DiasMes+(CP$93+CP$94+CP$95+CP$96)*P_DPT/DiasMes)</f>
        <v>1606603.97748134</v>
      </c>
      <c r="CQ110" s="34" t="n">
        <f aca="false">IF(90&gt;Fin,CP$110,CQ$93*P_DInv/DiasMes+(CQ$93+CQ$94+CQ$95+CQ$96)*P_DPT/DiasMes)</f>
        <v>1606603.97748134</v>
      </c>
      <c r="CR110" s="34" t="n">
        <f aca="false">IF(91&gt;Fin,CQ$110,CR$93*P_DInv/DiasMes+(CR$93+CR$94+CR$95+CR$96)*P_DPT/DiasMes)</f>
        <v>1606603.97748134</v>
      </c>
      <c r="CS110" s="34" t="n">
        <f aca="false">IF(92&gt;Fin,CR$110,CS$93*P_DInv/DiasMes+(CS$93+CS$94+CS$95+CS$96)*P_DPT/DiasMes)</f>
        <v>1606603.97748134</v>
      </c>
      <c r="CT110" s="34" t="n">
        <f aca="false">IF(93&gt;Fin,CS$110,CT$93*P_DInv/DiasMes+(CT$93+CT$94+CT$95+CT$96)*P_DPT/DiasMes)</f>
        <v>1606603.97748134</v>
      </c>
      <c r="CU110" s="34" t="n">
        <f aca="false">IF(94&gt;Fin,CT$110,CU$93*P_DInv/DiasMes+(CU$93+CU$94+CU$95+CU$96)*P_DPT/DiasMes)</f>
        <v>1606603.97748134</v>
      </c>
      <c r="CV110" s="34" t="n">
        <f aca="false">IF(95&gt;Fin,CU$110,CV$93*P_DInv/DiasMes+(CV$93+CV$94+CV$95+CV$96)*P_DPT/DiasMes)</f>
        <v>1606603.97748134</v>
      </c>
      <c r="CW110" s="34" t="n">
        <f aca="false">IF(96&gt;Fin,CV$110,CW$93*P_DInv/DiasMes+(CW$93+CW$94+CW$95+CW$96)*P_DPT/DiasMes)</f>
        <v>1606603.97748134</v>
      </c>
      <c r="CX110" s="34" t="n">
        <f aca="false">IF(97&gt;Fin,CW$110,CX$93*P_DInv/DiasMes+(CX$93+CX$94+CX$95+CX$96)*P_DPT/DiasMes)</f>
        <v>1616720.30269897</v>
      </c>
      <c r="CY110" s="34" t="n">
        <f aca="false">IF(98&gt;Fin,CX$110,CY$93*P_DInv/DiasMes+(CY$93+CY$94+CY$95+CY$96)*P_DPT/DiasMes)</f>
        <v>1616720.30269897</v>
      </c>
      <c r="CZ110" s="34" t="n">
        <f aca="false">IF(99&gt;Fin,CY$110,CZ$93*P_DInv/DiasMes+(CZ$93+CZ$94+CZ$95+CZ$96)*P_DPT/DiasMes)</f>
        <v>1616720.30269897</v>
      </c>
      <c r="DA110" s="34" t="n">
        <f aca="false">IF(100&gt;Fin,CZ$110,DA$93*P_DInv/DiasMes+(DA$93+DA$94+DA$95+DA$96)*P_DPT/DiasMes)</f>
        <v>1616720.30269897</v>
      </c>
      <c r="DB110" s="34" t="n">
        <f aca="false">IF(101&gt;Fin,DA$110,DB$93*P_DInv/DiasMes+(DB$93+DB$94+DB$95+DB$96)*P_DPT/DiasMes)</f>
        <v>1616720.30269897</v>
      </c>
      <c r="DC110" s="34" t="n">
        <f aca="false">IF(102&gt;Fin,DB$110,DC$93*P_DInv/DiasMes+(DC$93+DC$94+DC$95+DC$96)*P_DPT/DiasMes)</f>
        <v>1616720.30269897</v>
      </c>
      <c r="DD110" s="34" t="n">
        <f aca="false">IF(103&gt;Fin,DC$110,DD$93*P_DInv/DiasMes+(DD$93+DD$94+DD$95+DD$96)*P_DPT/DiasMes)</f>
        <v>1616720.30269897</v>
      </c>
      <c r="DE110" s="34" t="n">
        <f aca="false">IF(104&gt;Fin,DD$110,DE$93*P_DInv/DiasMes+(DE$93+DE$94+DE$95+DE$96)*P_DPT/DiasMes)</f>
        <v>1616720.30269897</v>
      </c>
      <c r="DF110" s="34" t="n">
        <f aca="false">IF(105&gt;Fin,DE$110,DF$93*P_DInv/DiasMes+(DF$93+DF$94+DF$95+DF$96)*P_DPT/DiasMes)</f>
        <v>1616720.30269897</v>
      </c>
      <c r="DG110" s="34" t="n">
        <f aca="false">IF(106&gt;Fin,DF$110,DG$93*P_DInv/DiasMes+(DG$93+DG$94+DG$95+DG$96)*P_DPT/DiasMes)</f>
        <v>1616720.30269897</v>
      </c>
      <c r="DH110" s="34" t="n">
        <f aca="false">IF(107&gt;Fin,DG$110,DH$93*P_DInv/DiasMes+(DH$93+DH$94+DH$95+DH$96)*P_DPT/DiasMes)</f>
        <v>1616720.30269897</v>
      </c>
      <c r="DI110" s="34" t="n">
        <f aca="false">IF(108&gt;Fin,DH$110,DI$93*P_DInv/DiasMes+(DI$93+DI$94+DI$95+DI$96)*P_DPT/DiasMes)</f>
        <v>1616720.30269897</v>
      </c>
      <c r="DJ110" s="34" t="n">
        <f aca="false">IF(109&gt;Fin,DI$110,DJ$93*P_DInv/DiasMes+(DJ$93+DJ$94+DJ$95+DJ$96)*P_DPT/DiasMes)</f>
        <v>1626937.98750554</v>
      </c>
      <c r="DK110" s="34" t="n">
        <f aca="false">IF(110&gt;Fin,DJ$110,DK$93*P_DInv/DiasMes+(DK$93+DK$94+DK$95+DK$96)*P_DPT/DiasMes)</f>
        <v>1626937.98750554</v>
      </c>
      <c r="DL110" s="34" t="n">
        <f aca="false">IF(111&gt;Fin,DK$110,DL$93*P_DInv/DiasMes+(DL$93+DL$94+DL$95+DL$96)*P_DPT/DiasMes)</f>
        <v>1626937.98750554</v>
      </c>
      <c r="DM110" s="34" t="n">
        <f aca="false">IF(112&gt;Fin,DL$110,DM$93*P_DInv/DiasMes+(DM$93+DM$94+DM$95+DM$96)*P_DPT/DiasMes)</f>
        <v>1626937.98750554</v>
      </c>
      <c r="DN110" s="34" t="n">
        <f aca="false">IF(113&gt;Fin,DM$110,DN$93*P_DInv/DiasMes+(DN$93+DN$94+DN$95+DN$96)*P_DPT/DiasMes)</f>
        <v>1626937.98750554</v>
      </c>
      <c r="DO110" s="34" t="n">
        <f aca="false">IF(114&gt;Fin,DN$110,DO$93*P_DInv/DiasMes+(DO$93+DO$94+DO$95+DO$96)*P_DPT/DiasMes)</f>
        <v>1626937.98750554</v>
      </c>
      <c r="DP110" s="34" t="n">
        <f aca="false">IF(115&gt;Fin,DO$110,DP$93*P_DInv/DiasMes+(DP$93+DP$94+DP$95+DP$96)*P_DPT/DiasMes)</f>
        <v>1626937.98750554</v>
      </c>
      <c r="DQ110" s="34" t="n">
        <f aca="false">IF(116&gt;Fin,DP$110,DQ$93*P_DInv/DiasMes+(DQ$93+DQ$94+DQ$95+DQ$96)*P_DPT/DiasMes)</f>
        <v>1626937.98750554</v>
      </c>
      <c r="DR110" s="34" t="n">
        <f aca="false">IF(117&gt;Fin,DQ$110,DR$93*P_DInv/DiasMes+(DR$93+DR$94+DR$95+DR$96)*P_DPT/DiasMes)</f>
        <v>1626937.98750554</v>
      </c>
      <c r="DS110" s="34" t="n">
        <f aca="false">IF(118&gt;Fin,DR$110,DS$93*P_DInv/DiasMes+(DS$93+DS$94+DS$95+DS$96)*P_DPT/DiasMes)</f>
        <v>1626937.98750554</v>
      </c>
      <c r="DT110" s="34" t="n">
        <f aca="false">IF(119&gt;Fin,DS$110,DT$93*P_DInv/DiasMes+(DT$93+DT$94+DT$95+DT$96)*P_DPT/DiasMes)</f>
        <v>1626937.98750554</v>
      </c>
      <c r="DU110" s="34" t="n">
        <f aca="false">IF(120&gt;Fin,DT$110,DU$93*P_DInv/DiasMes+(DU$93+DU$94+DU$95+DU$96)*P_DPT/DiasMes)</f>
        <v>1626937.98750554</v>
      </c>
      <c r="DV110" s="34" t="n">
        <f aca="false">IF(121&gt;Fin,DU$110,DV$93*P_DInv/DiasMes+(DV$93+DV$94+DV$95+DV$96)*P_DPT/DiasMes)</f>
        <v>1626937.98750554</v>
      </c>
      <c r="DW110" s="34" t="n">
        <f aca="false">IF(122&gt;Fin,DV$110,DW$93*P_DInv/DiasMes+(DW$93+DW$94+DW$95+DW$96)*P_DPT/DiasMes)</f>
        <v>1626937.98750554</v>
      </c>
      <c r="DX110" s="34" t="n">
        <f aca="false">IF(123&gt;Fin,DW$110,DX$93*P_DInv/DiasMes+(DX$93+DX$94+DX$95+DX$96)*P_DPT/DiasMes)</f>
        <v>1626937.98750554</v>
      </c>
      <c r="DY110" s="34" t="n">
        <f aca="false">IF(124&gt;Fin,DX$110,DY$93*P_DInv/DiasMes+(DY$93+DY$94+DY$95+DY$96)*P_DPT/DiasMes)</f>
        <v>1626937.98750554</v>
      </c>
      <c r="DZ110" s="34" t="n">
        <f aca="false">IF(125&gt;Fin,DY$110,DZ$93*P_DInv/DiasMes+(DZ$93+DZ$94+DZ$95+DZ$96)*P_DPT/DiasMes)</f>
        <v>1626937.98750554</v>
      </c>
      <c r="EA110" s="34" t="n">
        <f aca="false">IF(126&gt;Fin,DZ$110,EA$93*P_DInv/DiasMes+(EA$93+EA$94+EA$95+EA$96)*P_DPT/DiasMes)</f>
        <v>1626937.98750554</v>
      </c>
      <c r="EB110" s="34" t="n">
        <f aca="false">IF(127&gt;Fin,EA$110,EB$93*P_DInv/DiasMes+(EB$93+EB$94+EB$95+EB$96)*P_DPT/DiasMes)</f>
        <v>1626937.98750554</v>
      </c>
      <c r="EC110" s="34" t="n">
        <f aca="false">IF(128&gt;Fin,EB$110,EC$93*P_DInv/DiasMes+(EC$93+EC$94+EC$95+EC$96)*P_DPT/DiasMes)</f>
        <v>1626937.98750554</v>
      </c>
      <c r="ED110" s="34" t="n">
        <f aca="false">IF(129&gt;Fin,EC$110,ED$93*P_DInv/DiasMes+(ED$93+ED$94+ED$95+ED$96)*P_DPT/DiasMes)</f>
        <v>1626937.98750554</v>
      </c>
      <c r="EE110" s="34" t="n">
        <f aca="false">IF(130&gt;Fin,ED$110,EE$93*P_DInv/DiasMes+(EE$93+EE$94+EE$95+EE$96)*P_DPT/DiasMes)</f>
        <v>1626937.98750554</v>
      </c>
      <c r="EF110" s="34" t="n">
        <f aca="false">IF(131&gt;Fin,EE$110,EF$93*P_DInv/DiasMes+(EF$93+EF$94+EF$95+EF$96)*P_DPT/DiasMes)</f>
        <v>1626937.98750554</v>
      </c>
      <c r="EG110" s="34" t="n">
        <f aca="false">IF(132&gt;Fin,EF$110,EG$93*P_DInv/DiasMes+(EG$93+EG$94+EG$95+EG$96)*P_DPT/DiasMes)</f>
        <v>1626937.98750554</v>
      </c>
      <c r="EH110" s="34" t="n">
        <f aca="false">IF(133&gt;Fin,EG$110,EH$93*P_DInv/DiasMes+(EH$93+EH$94+EH$95+EH$96)*P_DPT/DiasMes)</f>
        <v>1626937.98750554</v>
      </c>
      <c r="EI110" s="34" t="n">
        <f aca="false">IF(134&gt;Fin,EH$110,EI$93*P_DInv/DiasMes+(EI$93+EI$94+EI$95+EI$96)*P_DPT/DiasMes)</f>
        <v>1626937.98750554</v>
      </c>
      <c r="EJ110" s="34" t="n">
        <f aca="false">IF(135&gt;Fin,EI$110,EJ$93*P_DInv/DiasMes+(EJ$93+EJ$94+EJ$95+EJ$96)*P_DPT/DiasMes)</f>
        <v>1626937.98750554</v>
      </c>
      <c r="EK110" s="34" t="n">
        <f aca="false">IF(136&gt;Fin,EJ$110,EK$93*P_DInv/DiasMes+(EK$93+EK$94+EK$95+EK$96)*P_DPT/DiasMes)</f>
        <v>1626937.98750554</v>
      </c>
      <c r="EL110" s="34" t="n">
        <f aca="false">IF(137&gt;Fin,EK$110,EL$93*P_DInv/DiasMes+(EL$93+EL$94+EL$95+EL$96)*P_DPT/DiasMes)</f>
        <v>1626937.98750554</v>
      </c>
      <c r="EM110" s="34" t="n">
        <f aca="false">IF(138&gt;Fin,EL$110,EM$93*P_DInv/DiasMes+(EM$93+EM$94+EM$95+EM$96)*P_DPT/DiasMes)</f>
        <v>1626937.98750554</v>
      </c>
      <c r="EN110" s="34" t="n">
        <f aca="false">IF(139&gt;Fin,EM$110,EN$93*P_DInv/DiasMes+(EN$93+EN$94+EN$95+EN$96)*P_DPT/DiasMes)</f>
        <v>1626937.98750554</v>
      </c>
      <c r="EO110" s="34" t="n">
        <f aca="false">IF(140&gt;Fin,EN$110,EO$93*P_DInv/DiasMes+(EO$93+EO$94+EO$95+EO$96)*P_DPT/DiasMes)</f>
        <v>1626937.98750554</v>
      </c>
      <c r="EP110" s="34" t="n">
        <f aca="false">IF(141&gt;Fin,EO$110,EP$93*P_DInv/DiasMes+(EP$93+EP$94+EP$95+EP$96)*P_DPT/DiasMes)</f>
        <v>1626937.98750554</v>
      </c>
      <c r="EQ110" s="34" t="n">
        <f aca="false">IF(142&gt;Fin,EP$110,EQ$93*P_DInv/DiasMes+(EQ$93+EQ$94+EQ$95+EQ$96)*P_DPT/DiasMes)</f>
        <v>1626937.98750554</v>
      </c>
      <c r="ER110" s="34" t="n">
        <f aca="false">IF(143&gt;Fin,EQ$110,ER$93*P_DInv/DiasMes+(ER$93+ER$94+ER$95+ER$96)*P_DPT/DiasMes)</f>
        <v>1626937.98750554</v>
      </c>
      <c r="ES110" s="34" t="n">
        <f aca="false">IF(144&gt;Fin,ER$110,ES$93*P_DInv/DiasMes+(ES$93+ES$94+ES$95+ES$96)*P_DPT/DiasMes)</f>
        <v>1626937.98750554</v>
      </c>
    </row>
    <row r="111" customFormat="false" ht="15" hidden="false" customHeight="false" outlineLevel="0" collapsed="false">
      <c r="A111" s="2" t="s">
        <v>708</v>
      </c>
      <c r="B111" s="6" t="s">
        <v>709</v>
      </c>
      <c r="C111" s="6" t="s">
        <v>250</v>
      </c>
      <c r="E111" s="40" t="n">
        <f aca="false">INDEX(F111:ES111,1,MIN(144,Fin))</f>
        <v>0</v>
      </c>
      <c r="F111" s="34" t="n">
        <f aca="false">IF(1&gt;Fin,0,F$101*P_IVAmeses)</f>
        <v>0</v>
      </c>
      <c r="G111" s="34" t="n">
        <f aca="false">IF(2&gt;Fin,F$111,G$101*P_IVAmeses)</f>
        <v>0</v>
      </c>
      <c r="H111" s="34" t="n">
        <f aca="false">IF(3&gt;Fin,G$111,H$101*P_IVAmeses)</f>
        <v>0</v>
      </c>
      <c r="I111" s="34" t="n">
        <f aca="false">IF(4&gt;Fin,H$111,I$101*P_IVAmeses)</f>
        <v>0</v>
      </c>
      <c r="J111" s="34" t="n">
        <f aca="false">IF(5&gt;Fin,I$111,J$101*P_IVAmeses)</f>
        <v>0</v>
      </c>
      <c r="K111" s="34" t="n">
        <f aca="false">IF(6&gt;Fin,J$111,K$101*P_IVAmeses)</f>
        <v>0</v>
      </c>
      <c r="L111" s="34" t="n">
        <f aca="false">IF(7&gt;Fin,K$111,L$101*P_IVAmeses)</f>
        <v>0</v>
      </c>
      <c r="M111" s="34" t="n">
        <f aca="false">IF(8&gt;Fin,L$111,M$101*P_IVAmeses)</f>
        <v>0</v>
      </c>
      <c r="N111" s="34" t="n">
        <f aca="false">IF(9&gt;Fin,M$111,N$101*P_IVAmeses)</f>
        <v>0</v>
      </c>
      <c r="O111" s="34" t="n">
        <f aca="false">IF(10&gt;Fin,N$111,O$101*P_IVAmeses)</f>
        <v>0</v>
      </c>
      <c r="P111" s="34" t="n">
        <f aca="false">IF(11&gt;Fin,O$111,P$101*P_IVAmeses)</f>
        <v>0</v>
      </c>
      <c r="Q111" s="34" t="n">
        <f aca="false">IF(12&gt;Fin,P$111,Q$101*P_IVAmeses)</f>
        <v>0</v>
      </c>
      <c r="R111" s="34" t="n">
        <f aca="false">IF(13&gt;Fin,Q$111,R$101*P_IVAmeses)</f>
        <v>0</v>
      </c>
      <c r="S111" s="34" t="n">
        <f aca="false">IF(14&gt;Fin,R$111,S$101*P_IVAmeses)</f>
        <v>0</v>
      </c>
      <c r="T111" s="34" t="n">
        <f aca="false">IF(15&gt;Fin,S$111,T$101*P_IVAmeses)</f>
        <v>0</v>
      </c>
      <c r="U111" s="34" t="n">
        <f aca="false">IF(16&gt;Fin,T$111,U$101*P_IVAmeses)</f>
        <v>0</v>
      </c>
      <c r="V111" s="34" t="n">
        <f aca="false">IF(17&gt;Fin,U$111,V$101*P_IVAmeses)</f>
        <v>0</v>
      </c>
      <c r="W111" s="34" t="n">
        <f aca="false">IF(18&gt;Fin,V$111,W$101*P_IVAmeses)</f>
        <v>0</v>
      </c>
      <c r="X111" s="34" t="n">
        <f aca="false">IF(19&gt;Fin,W$111,X$101*P_IVAmeses)</f>
        <v>0</v>
      </c>
      <c r="Y111" s="34" t="n">
        <f aca="false">IF(20&gt;Fin,X$111,Y$101*P_IVAmeses)</f>
        <v>0</v>
      </c>
      <c r="Z111" s="34" t="n">
        <f aca="false">IF(21&gt;Fin,Y$111,Z$101*P_IVAmeses)</f>
        <v>0</v>
      </c>
      <c r="AA111" s="34" t="n">
        <f aca="false">IF(22&gt;Fin,Z$111,AA$101*P_IVAmeses)</f>
        <v>0</v>
      </c>
      <c r="AB111" s="34" t="n">
        <f aca="false">IF(23&gt;Fin,AA$111,AB$101*P_IVAmeses)</f>
        <v>0</v>
      </c>
      <c r="AC111" s="34" t="n">
        <f aca="false">IF(24&gt;Fin,AB$111,AC$101*P_IVAmeses)</f>
        <v>0</v>
      </c>
      <c r="AD111" s="34" t="n">
        <f aca="false">IF(25&gt;Fin,AC$111,AD$101*P_IVAmeses)</f>
        <v>0</v>
      </c>
      <c r="AE111" s="34" t="n">
        <f aca="false">IF(26&gt;Fin,AD$111,AE$101*P_IVAmeses)</f>
        <v>0</v>
      </c>
      <c r="AF111" s="34" t="n">
        <f aca="false">IF(27&gt;Fin,AE$111,AF$101*P_IVAmeses)</f>
        <v>0</v>
      </c>
      <c r="AG111" s="34" t="n">
        <f aca="false">IF(28&gt;Fin,AF$111,AG$101*P_IVAmeses)</f>
        <v>0</v>
      </c>
      <c r="AH111" s="34" t="n">
        <f aca="false">IF(29&gt;Fin,AG$111,AH$101*P_IVAmeses)</f>
        <v>0</v>
      </c>
      <c r="AI111" s="34" t="n">
        <f aca="false">IF(30&gt;Fin,AH$111,AI$101*P_IVAmeses)</f>
        <v>0</v>
      </c>
      <c r="AJ111" s="34" t="n">
        <f aca="false">IF(31&gt;Fin,AI$111,AJ$101*P_IVAmeses)</f>
        <v>0</v>
      </c>
      <c r="AK111" s="34" t="n">
        <f aca="false">IF(32&gt;Fin,AJ$111,AK$101*P_IVAmeses)</f>
        <v>0</v>
      </c>
      <c r="AL111" s="34" t="n">
        <f aca="false">IF(33&gt;Fin,AK$111,AL$101*P_IVAmeses)</f>
        <v>0</v>
      </c>
      <c r="AM111" s="34" t="n">
        <f aca="false">IF(34&gt;Fin,AL$111,AM$101*P_IVAmeses)</f>
        <v>0</v>
      </c>
      <c r="AN111" s="34" t="n">
        <f aca="false">IF(35&gt;Fin,AM$111,AN$101*P_IVAmeses)</f>
        <v>0</v>
      </c>
      <c r="AO111" s="34" t="n">
        <f aca="false">IF(36&gt;Fin,AN$111,AO$101*P_IVAmeses)</f>
        <v>0</v>
      </c>
      <c r="AP111" s="34" t="n">
        <f aca="false">IF(37&gt;Fin,AO$111,AP$101*P_IVAmeses)</f>
        <v>0</v>
      </c>
      <c r="AQ111" s="34" t="n">
        <f aca="false">IF(38&gt;Fin,AP$111,AQ$101*P_IVAmeses)</f>
        <v>0</v>
      </c>
      <c r="AR111" s="34" t="n">
        <f aca="false">IF(39&gt;Fin,AQ$111,AR$101*P_IVAmeses)</f>
        <v>0</v>
      </c>
      <c r="AS111" s="34" t="n">
        <f aca="false">IF(40&gt;Fin,AR$111,AS$101*P_IVAmeses)</f>
        <v>0</v>
      </c>
      <c r="AT111" s="34" t="n">
        <f aca="false">IF(41&gt;Fin,AS$111,AT$101*P_IVAmeses)</f>
        <v>0</v>
      </c>
      <c r="AU111" s="34" t="n">
        <f aca="false">IF(42&gt;Fin,AT$111,AU$101*P_IVAmeses)</f>
        <v>0</v>
      </c>
      <c r="AV111" s="34" t="n">
        <f aca="false">IF(43&gt;Fin,AU$111,AV$101*P_IVAmeses)</f>
        <v>0</v>
      </c>
      <c r="AW111" s="34" t="n">
        <f aca="false">IF(44&gt;Fin,AV$111,AW$101*P_IVAmeses)</f>
        <v>0</v>
      </c>
      <c r="AX111" s="34" t="n">
        <f aca="false">IF(45&gt;Fin,AW$111,AX$101*P_IVAmeses)</f>
        <v>0</v>
      </c>
      <c r="AY111" s="34" t="n">
        <f aca="false">IF(46&gt;Fin,AX$111,AY$101*P_IVAmeses)</f>
        <v>0</v>
      </c>
      <c r="AZ111" s="34" t="n">
        <f aca="false">IF(47&gt;Fin,AY$111,AZ$101*P_IVAmeses)</f>
        <v>0</v>
      </c>
      <c r="BA111" s="34" t="n">
        <f aca="false">IF(48&gt;Fin,AZ$111,BA$101*P_IVAmeses)</f>
        <v>0</v>
      </c>
      <c r="BB111" s="34" t="n">
        <f aca="false">IF(49&gt;Fin,BA$111,BB$101*P_IVAmeses)</f>
        <v>0</v>
      </c>
      <c r="BC111" s="34" t="n">
        <f aca="false">IF(50&gt;Fin,BB$111,BC$101*P_IVAmeses)</f>
        <v>0</v>
      </c>
      <c r="BD111" s="34" t="n">
        <f aca="false">IF(51&gt;Fin,BC$111,BD$101*P_IVAmeses)</f>
        <v>0</v>
      </c>
      <c r="BE111" s="34" t="n">
        <f aca="false">IF(52&gt;Fin,BD$111,BE$101*P_IVAmeses)</f>
        <v>0</v>
      </c>
      <c r="BF111" s="34" t="n">
        <f aca="false">IF(53&gt;Fin,BE$111,BF$101*P_IVAmeses)</f>
        <v>0</v>
      </c>
      <c r="BG111" s="34" t="n">
        <f aca="false">IF(54&gt;Fin,BF$111,BG$101*P_IVAmeses)</f>
        <v>0</v>
      </c>
      <c r="BH111" s="34" t="n">
        <f aca="false">IF(55&gt;Fin,BG$111,BH$101*P_IVAmeses)</f>
        <v>0</v>
      </c>
      <c r="BI111" s="34" t="n">
        <f aca="false">IF(56&gt;Fin,BH$111,BI$101*P_IVAmeses)</f>
        <v>0</v>
      </c>
      <c r="BJ111" s="34" t="n">
        <f aca="false">IF(57&gt;Fin,BI$111,BJ$101*P_IVAmeses)</f>
        <v>0</v>
      </c>
      <c r="BK111" s="34" t="n">
        <f aca="false">IF(58&gt;Fin,BJ$111,BK$101*P_IVAmeses)</f>
        <v>0</v>
      </c>
      <c r="BL111" s="34" t="n">
        <f aca="false">IF(59&gt;Fin,BK$111,BL$101*P_IVAmeses)</f>
        <v>0</v>
      </c>
      <c r="BM111" s="34" t="n">
        <f aca="false">IF(60&gt;Fin,BL$111,BM$101*P_IVAmeses)</f>
        <v>0</v>
      </c>
      <c r="BN111" s="34" t="n">
        <f aca="false">IF(61&gt;Fin,BM$111,BN$101*P_IVAmeses)</f>
        <v>0</v>
      </c>
      <c r="BO111" s="34" t="n">
        <f aca="false">IF(62&gt;Fin,BN$111,BO$101*P_IVAmeses)</f>
        <v>0</v>
      </c>
      <c r="BP111" s="34" t="n">
        <f aca="false">IF(63&gt;Fin,BO$111,BP$101*P_IVAmeses)</f>
        <v>0</v>
      </c>
      <c r="BQ111" s="34" t="n">
        <f aca="false">IF(64&gt;Fin,BP$111,BQ$101*P_IVAmeses)</f>
        <v>0</v>
      </c>
      <c r="BR111" s="34" t="n">
        <f aca="false">IF(65&gt;Fin,BQ$111,BR$101*P_IVAmeses)</f>
        <v>0</v>
      </c>
      <c r="BS111" s="34" t="n">
        <f aca="false">IF(66&gt;Fin,BR$111,BS$101*P_IVAmeses)</f>
        <v>0</v>
      </c>
      <c r="BT111" s="34" t="n">
        <f aca="false">IF(67&gt;Fin,BS$111,BT$101*P_IVAmeses)</f>
        <v>0</v>
      </c>
      <c r="BU111" s="34" t="n">
        <f aca="false">IF(68&gt;Fin,BT$111,BU$101*P_IVAmeses)</f>
        <v>0</v>
      </c>
      <c r="BV111" s="34" t="n">
        <f aca="false">IF(69&gt;Fin,BU$111,BV$101*P_IVAmeses)</f>
        <v>0</v>
      </c>
      <c r="BW111" s="34" t="n">
        <f aca="false">IF(70&gt;Fin,BV$111,BW$101*P_IVAmeses)</f>
        <v>0</v>
      </c>
      <c r="BX111" s="34" t="n">
        <f aca="false">IF(71&gt;Fin,BW$111,BX$101*P_IVAmeses)</f>
        <v>0</v>
      </c>
      <c r="BY111" s="34" t="n">
        <f aca="false">IF(72&gt;Fin,BX$111,BY$101*P_IVAmeses)</f>
        <v>0</v>
      </c>
      <c r="BZ111" s="34" t="n">
        <f aca="false">IF(73&gt;Fin,BY$111,BZ$101*P_IVAmeses)</f>
        <v>0</v>
      </c>
      <c r="CA111" s="34" t="n">
        <f aca="false">IF(74&gt;Fin,BZ$111,CA$101*P_IVAmeses)</f>
        <v>0</v>
      </c>
      <c r="CB111" s="34" t="n">
        <f aca="false">IF(75&gt;Fin,CA$111,CB$101*P_IVAmeses)</f>
        <v>0</v>
      </c>
      <c r="CC111" s="34" t="n">
        <f aca="false">IF(76&gt;Fin,CB$111,CC$101*P_IVAmeses)</f>
        <v>0</v>
      </c>
      <c r="CD111" s="34" t="n">
        <f aca="false">IF(77&gt;Fin,CC$111,CD$101*P_IVAmeses)</f>
        <v>0</v>
      </c>
      <c r="CE111" s="34" t="n">
        <f aca="false">IF(78&gt;Fin,CD$111,CE$101*P_IVAmeses)</f>
        <v>0</v>
      </c>
      <c r="CF111" s="34" t="n">
        <f aca="false">IF(79&gt;Fin,CE$111,CF$101*P_IVAmeses)</f>
        <v>0</v>
      </c>
      <c r="CG111" s="34" t="n">
        <f aca="false">IF(80&gt;Fin,CF$111,CG$101*P_IVAmeses)</f>
        <v>0</v>
      </c>
      <c r="CH111" s="34" t="n">
        <f aca="false">IF(81&gt;Fin,CG$111,CH$101*P_IVAmeses)</f>
        <v>0</v>
      </c>
      <c r="CI111" s="34" t="n">
        <f aca="false">IF(82&gt;Fin,CH$111,CI$101*P_IVAmeses)</f>
        <v>0</v>
      </c>
      <c r="CJ111" s="34" t="n">
        <f aca="false">IF(83&gt;Fin,CI$111,CJ$101*P_IVAmeses)</f>
        <v>0</v>
      </c>
      <c r="CK111" s="34" t="n">
        <f aca="false">IF(84&gt;Fin,CJ$111,CK$101*P_IVAmeses)</f>
        <v>0</v>
      </c>
      <c r="CL111" s="34" t="n">
        <f aca="false">IF(85&gt;Fin,CK$111,CL$101*P_IVAmeses)</f>
        <v>0</v>
      </c>
      <c r="CM111" s="34" t="n">
        <f aca="false">IF(86&gt;Fin,CL$111,CM$101*P_IVAmeses)</f>
        <v>0</v>
      </c>
      <c r="CN111" s="34" t="n">
        <f aca="false">IF(87&gt;Fin,CM$111,CN$101*P_IVAmeses)</f>
        <v>0</v>
      </c>
      <c r="CO111" s="34" t="n">
        <f aca="false">IF(88&gt;Fin,CN$111,CO$101*P_IVAmeses)</f>
        <v>0</v>
      </c>
      <c r="CP111" s="34" t="n">
        <f aca="false">IF(89&gt;Fin,CO$111,CP$101*P_IVAmeses)</f>
        <v>0</v>
      </c>
      <c r="CQ111" s="34" t="n">
        <f aca="false">IF(90&gt;Fin,CP$111,CQ$101*P_IVAmeses)</f>
        <v>0</v>
      </c>
      <c r="CR111" s="34" t="n">
        <f aca="false">IF(91&gt;Fin,CQ$111,CR$101*P_IVAmeses)</f>
        <v>0</v>
      </c>
      <c r="CS111" s="34" t="n">
        <f aca="false">IF(92&gt;Fin,CR$111,CS$101*P_IVAmeses)</f>
        <v>0</v>
      </c>
      <c r="CT111" s="34" t="n">
        <f aca="false">IF(93&gt;Fin,CS$111,CT$101*P_IVAmeses)</f>
        <v>0</v>
      </c>
      <c r="CU111" s="34" t="n">
        <f aca="false">IF(94&gt;Fin,CT$111,CU$101*P_IVAmeses)</f>
        <v>0</v>
      </c>
      <c r="CV111" s="34" t="n">
        <f aca="false">IF(95&gt;Fin,CU$111,CV$101*P_IVAmeses)</f>
        <v>0</v>
      </c>
      <c r="CW111" s="34" t="n">
        <f aca="false">IF(96&gt;Fin,CV$111,CW$101*P_IVAmeses)</f>
        <v>0</v>
      </c>
      <c r="CX111" s="34" t="n">
        <f aca="false">IF(97&gt;Fin,CW$111,CX$101*P_IVAmeses)</f>
        <v>0</v>
      </c>
      <c r="CY111" s="34" t="n">
        <f aca="false">IF(98&gt;Fin,CX$111,CY$101*P_IVAmeses)</f>
        <v>0</v>
      </c>
      <c r="CZ111" s="34" t="n">
        <f aca="false">IF(99&gt;Fin,CY$111,CZ$101*P_IVAmeses)</f>
        <v>0</v>
      </c>
      <c r="DA111" s="34" t="n">
        <f aca="false">IF(100&gt;Fin,CZ$111,DA$101*P_IVAmeses)</f>
        <v>0</v>
      </c>
      <c r="DB111" s="34" t="n">
        <f aca="false">IF(101&gt;Fin,DA$111,DB$101*P_IVAmeses)</f>
        <v>0</v>
      </c>
      <c r="DC111" s="34" t="n">
        <f aca="false">IF(102&gt;Fin,DB$111,DC$101*P_IVAmeses)</f>
        <v>0</v>
      </c>
      <c r="DD111" s="34" t="n">
        <f aca="false">IF(103&gt;Fin,DC$111,DD$101*P_IVAmeses)</f>
        <v>0</v>
      </c>
      <c r="DE111" s="34" t="n">
        <f aca="false">IF(104&gt;Fin,DD$111,DE$101*P_IVAmeses)</f>
        <v>0</v>
      </c>
      <c r="DF111" s="34" t="n">
        <f aca="false">IF(105&gt;Fin,DE$111,DF$101*P_IVAmeses)</f>
        <v>0</v>
      </c>
      <c r="DG111" s="34" t="n">
        <f aca="false">IF(106&gt;Fin,DF$111,DG$101*P_IVAmeses)</f>
        <v>0</v>
      </c>
      <c r="DH111" s="34" t="n">
        <f aca="false">IF(107&gt;Fin,DG$111,DH$101*P_IVAmeses)</f>
        <v>0</v>
      </c>
      <c r="DI111" s="34" t="n">
        <f aca="false">IF(108&gt;Fin,DH$111,DI$101*P_IVAmeses)</f>
        <v>0</v>
      </c>
      <c r="DJ111" s="34" t="n">
        <f aca="false">IF(109&gt;Fin,DI$111,DJ$101*P_IVAmeses)</f>
        <v>0</v>
      </c>
      <c r="DK111" s="34" t="n">
        <f aca="false">IF(110&gt;Fin,DJ$111,DK$101*P_IVAmeses)</f>
        <v>0</v>
      </c>
      <c r="DL111" s="34" t="n">
        <f aca="false">IF(111&gt;Fin,DK$111,DL$101*P_IVAmeses)</f>
        <v>0</v>
      </c>
      <c r="DM111" s="34" t="n">
        <f aca="false">IF(112&gt;Fin,DL$111,DM$101*P_IVAmeses)</f>
        <v>0</v>
      </c>
      <c r="DN111" s="34" t="n">
        <f aca="false">IF(113&gt;Fin,DM$111,DN$101*P_IVAmeses)</f>
        <v>0</v>
      </c>
      <c r="DO111" s="34" t="n">
        <f aca="false">IF(114&gt;Fin,DN$111,DO$101*P_IVAmeses)</f>
        <v>0</v>
      </c>
      <c r="DP111" s="34" t="n">
        <f aca="false">IF(115&gt;Fin,DO$111,DP$101*P_IVAmeses)</f>
        <v>0</v>
      </c>
      <c r="DQ111" s="34" t="n">
        <f aca="false">IF(116&gt;Fin,DP$111,DQ$101*P_IVAmeses)</f>
        <v>0</v>
      </c>
      <c r="DR111" s="34" t="n">
        <f aca="false">IF(117&gt;Fin,DQ$111,DR$101*P_IVAmeses)</f>
        <v>0</v>
      </c>
      <c r="DS111" s="34" t="n">
        <f aca="false">IF(118&gt;Fin,DR$111,DS$101*P_IVAmeses)</f>
        <v>0</v>
      </c>
      <c r="DT111" s="34" t="n">
        <f aca="false">IF(119&gt;Fin,DS$111,DT$101*P_IVAmeses)</f>
        <v>0</v>
      </c>
      <c r="DU111" s="34" t="n">
        <f aca="false">IF(120&gt;Fin,DT$111,DU$101*P_IVAmeses)</f>
        <v>0</v>
      </c>
      <c r="DV111" s="34" t="n">
        <f aca="false">IF(121&gt;Fin,DU$111,DV$101*P_IVAmeses)</f>
        <v>0</v>
      </c>
      <c r="DW111" s="34" t="n">
        <f aca="false">IF(122&gt;Fin,DV$111,DW$101*P_IVAmeses)</f>
        <v>0</v>
      </c>
      <c r="DX111" s="34" t="n">
        <f aca="false">IF(123&gt;Fin,DW$111,DX$101*P_IVAmeses)</f>
        <v>0</v>
      </c>
      <c r="DY111" s="34" t="n">
        <f aca="false">IF(124&gt;Fin,DX$111,DY$101*P_IVAmeses)</f>
        <v>0</v>
      </c>
      <c r="DZ111" s="34" t="n">
        <f aca="false">IF(125&gt;Fin,DY$111,DZ$101*P_IVAmeses)</f>
        <v>0</v>
      </c>
      <c r="EA111" s="34" t="n">
        <f aca="false">IF(126&gt;Fin,DZ$111,EA$101*P_IVAmeses)</f>
        <v>0</v>
      </c>
      <c r="EB111" s="34" t="n">
        <f aca="false">IF(127&gt;Fin,EA$111,EB$101*P_IVAmeses)</f>
        <v>0</v>
      </c>
      <c r="EC111" s="34" t="n">
        <f aca="false">IF(128&gt;Fin,EB$111,EC$101*P_IVAmeses)</f>
        <v>0</v>
      </c>
      <c r="ED111" s="34" t="n">
        <f aca="false">IF(129&gt;Fin,EC$111,ED$101*P_IVAmeses)</f>
        <v>0</v>
      </c>
      <c r="EE111" s="34" t="n">
        <f aca="false">IF(130&gt;Fin,ED$111,EE$101*P_IVAmeses)</f>
        <v>0</v>
      </c>
      <c r="EF111" s="34" t="n">
        <f aca="false">IF(131&gt;Fin,EE$111,EF$101*P_IVAmeses)</f>
        <v>0</v>
      </c>
      <c r="EG111" s="34" t="n">
        <f aca="false">IF(132&gt;Fin,EF$111,EG$101*P_IVAmeses)</f>
        <v>0</v>
      </c>
      <c r="EH111" s="34" t="n">
        <f aca="false">IF(133&gt;Fin,EG$111,EH$101*P_IVAmeses)</f>
        <v>0</v>
      </c>
      <c r="EI111" s="34" t="n">
        <f aca="false">IF(134&gt;Fin,EH$111,EI$101*P_IVAmeses)</f>
        <v>0</v>
      </c>
      <c r="EJ111" s="34" t="n">
        <f aca="false">IF(135&gt;Fin,EI$111,EJ$101*P_IVAmeses)</f>
        <v>0</v>
      </c>
      <c r="EK111" s="34" t="n">
        <f aca="false">IF(136&gt;Fin,EJ$111,EK$101*P_IVAmeses)</f>
        <v>0</v>
      </c>
      <c r="EL111" s="34" t="n">
        <f aca="false">IF(137&gt;Fin,EK$111,EL$101*P_IVAmeses)</f>
        <v>0</v>
      </c>
      <c r="EM111" s="34" t="n">
        <f aca="false">IF(138&gt;Fin,EL$111,EM$101*P_IVAmeses)</f>
        <v>0</v>
      </c>
      <c r="EN111" s="34" t="n">
        <f aca="false">IF(139&gt;Fin,EM$111,EN$101*P_IVAmeses)</f>
        <v>0</v>
      </c>
      <c r="EO111" s="34" t="n">
        <f aca="false">IF(140&gt;Fin,EN$111,EO$101*P_IVAmeses)</f>
        <v>0</v>
      </c>
      <c r="EP111" s="34" t="n">
        <f aca="false">IF(141&gt;Fin,EO$111,EP$101*P_IVAmeses)</f>
        <v>0</v>
      </c>
      <c r="EQ111" s="34" t="n">
        <f aca="false">IF(142&gt;Fin,EP$111,EQ$101*P_IVAmeses)</f>
        <v>0</v>
      </c>
      <c r="ER111" s="34" t="n">
        <f aca="false">IF(143&gt;Fin,EQ$111,ER$101*P_IVAmeses)</f>
        <v>0</v>
      </c>
      <c r="ES111" s="34" t="n">
        <f aca="false">IF(144&gt;Fin,ER$111,ES$101*P_IVAmeses)</f>
        <v>0</v>
      </c>
    </row>
    <row r="112" customFormat="false" ht="15" hidden="false" customHeight="false" outlineLevel="0" collapsed="false">
      <c r="A112" s="2" t="s">
        <v>710</v>
      </c>
      <c r="B112" s="6" t="s">
        <v>711</v>
      </c>
      <c r="C112" s="6" t="s">
        <v>250</v>
      </c>
      <c r="E112" s="40" t="n">
        <f aca="false">INDEX(F112:ES112,1,MIN(144,Fin))</f>
        <v>158331.694422986</v>
      </c>
      <c r="F112" s="34" t="n">
        <f aca="false">IF(1&gt;Fin,0,F$93*P_DPOmp/DiasMes+(F$94+F$96+F$99+F$100)*P_DPOot/DiasMes)</f>
        <v>99105.4926010081</v>
      </c>
      <c r="G112" s="34" t="n">
        <f aca="false">IF(2&gt;Fin,F$112,G$93*P_DPOmp/DiasMes+(G$94+G$96+G$99+G$100)*P_DPOot/DiasMes)</f>
        <v>99105.4926010081</v>
      </c>
      <c r="H112" s="34" t="n">
        <f aca="false">IF(3&gt;Fin,G$112,H$93*P_DPOmp/DiasMes+(H$94+H$96+H$99+H$100)*P_DPOot/DiasMes)</f>
        <v>99105.4926010081</v>
      </c>
      <c r="I112" s="34" t="n">
        <f aca="false">IF(4&gt;Fin,H$112,I$93*P_DPOmp/DiasMes+(I$94+I$96+I$99+I$100)*P_DPOot/DiasMes)</f>
        <v>99105.4926010081</v>
      </c>
      <c r="J112" s="34" t="n">
        <f aca="false">IF(5&gt;Fin,I$112,J$93*P_DPOmp/DiasMes+(J$94+J$96+J$99+J$100)*P_DPOot/DiasMes)</f>
        <v>99105.4926010081</v>
      </c>
      <c r="K112" s="34" t="n">
        <f aca="false">IF(6&gt;Fin,J$112,K$93*P_DPOmp/DiasMes+(K$94+K$96+K$99+K$100)*P_DPOot/DiasMes)</f>
        <v>99105.4926010081</v>
      </c>
      <c r="L112" s="34" t="n">
        <f aca="false">IF(7&gt;Fin,K$112,L$93*P_DPOmp/DiasMes+(L$94+L$96+L$99+L$100)*P_DPOot/DiasMes)</f>
        <v>99105.4926010081</v>
      </c>
      <c r="M112" s="34" t="n">
        <f aca="false">IF(8&gt;Fin,L$112,M$93*P_DPOmp/DiasMes+(M$94+M$96+M$99+M$100)*P_DPOot/DiasMes)</f>
        <v>99105.4926010081</v>
      </c>
      <c r="N112" s="34" t="n">
        <f aca="false">IF(9&gt;Fin,M$112,N$93*P_DPOmp/DiasMes+(N$94+N$96+N$99+N$100)*P_DPOot/DiasMes)</f>
        <v>99105.4926010081</v>
      </c>
      <c r="O112" s="34" t="n">
        <f aca="false">IF(10&gt;Fin,N$112,O$93*P_DPOmp/DiasMes+(O$94+O$96+O$99+O$100)*P_DPOot/DiasMes)</f>
        <v>99105.4926010081</v>
      </c>
      <c r="P112" s="34" t="n">
        <f aca="false">IF(11&gt;Fin,O$112,P$93*P_DPOmp/DiasMes+(P$94+P$96+P$99+P$100)*P_DPOot/DiasMes)</f>
        <v>99105.4926010081</v>
      </c>
      <c r="Q112" s="34" t="n">
        <f aca="false">IF(12&gt;Fin,P$112,Q$93*P_DPOmp/DiasMes+(Q$94+Q$96+Q$99+Q$100)*P_DPOot/DiasMes)</f>
        <v>99105.4926010081</v>
      </c>
      <c r="R112" s="34" t="n">
        <f aca="false">IF(13&gt;Fin,Q$112,R$93*P_DPOmp/DiasMes+(R$94+R$96+R$99+R$100)*P_DPOot/DiasMes)</f>
        <v>117843.301076035</v>
      </c>
      <c r="S112" s="34" t="n">
        <f aca="false">IF(14&gt;Fin,R$112,S$93*P_DPOmp/DiasMes+(S$94+S$96+S$99+S$100)*P_DPOot/DiasMes)</f>
        <v>117843.301076035</v>
      </c>
      <c r="T112" s="34" t="n">
        <f aca="false">IF(15&gt;Fin,S$112,T$93*P_DPOmp/DiasMes+(T$94+T$96+T$99+T$100)*P_DPOot/DiasMes)</f>
        <v>117843.301076035</v>
      </c>
      <c r="U112" s="34" t="n">
        <f aca="false">IF(16&gt;Fin,T$112,U$93*P_DPOmp/DiasMes+(U$94+U$96+U$99+U$100)*P_DPOot/DiasMes)</f>
        <v>117843.301076035</v>
      </c>
      <c r="V112" s="34" t="n">
        <f aca="false">IF(17&gt;Fin,U$112,V$93*P_DPOmp/DiasMes+(V$94+V$96+V$99+V$100)*P_DPOot/DiasMes)</f>
        <v>117843.301076035</v>
      </c>
      <c r="W112" s="34" t="n">
        <f aca="false">IF(18&gt;Fin,V$112,W$93*P_DPOmp/DiasMes+(W$94+W$96+W$99+W$100)*P_DPOot/DiasMes)</f>
        <v>117843.301076035</v>
      </c>
      <c r="X112" s="34" t="n">
        <f aca="false">IF(19&gt;Fin,W$112,X$93*P_DPOmp/DiasMes+(X$94+X$96+X$99+X$100)*P_DPOot/DiasMes)</f>
        <v>117843.301076035</v>
      </c>
      <c r="Y112" s="34" t="n">
        <f aca="false">IF(20&gt;Fin,X$112,Y$93*P_DPOmp/DiasMes+(Y$94+Y$96+Y$99+Y$100)*P_DPOot/DiasMes)</f>
        <v>117843.301076035</v>
      </c>
      <c r="Z112" s="34" t="n">
        <f aca="false">IF(21&gt;Fin,Y$112,Z$93*P_DPOmp/DiasMes+(Z$94+Z$96+Z$99+Z$100)*P_DPOot/DiasMes)</f>
        <v>117843.301076035</v>
      </c>
      <c r="AA112" s="34" t="n">
        <f aca="false">IF(22&gt;Fin,Z$112,AA$93*P_DPOmp/DiasMes+(AA$94+AA$96+AA$99+AA$100)*P_DPOot/DiasMes)</f>
        <v>117843.301076035</v>
      </c>
      <c r="AB112" s="34" t="n">
        <f aca="false">IF(23&gt;Fin,AA$112,AB$93*P_DPOmp/DiasMes+(AB$94+AB$96+AB$99+AB$100)*P_DPOot/DiasMes)</f>
        <v>117843.301076035</v>
      </c>
      <c r="AC112" s="34" t="n">
        <f aca="false">IF(24&gt;Fin,AB$112,AC$93*P_DPOmp/DiasMes+(AC$94+AC$96+AC$99+AC$100)*P_DPOot/DiasMes)</f>
        <v>117843.301076035</v>
      </c>
      <c r="AD112" s="34" t="n">
        <f aca="false">IF(25&gt;Fin,AC$112,AD$93*P_DPOmp/DiasMes+(AD$94+AD$96+AD$99+AD$100)*P_DPOot/DiasMes)</f>
        <v>136841.164480491</v>
      </c>
      <c r="AE112" s="34" t="n">
        <f aca="false">IF(26&gt;Fin,AD$112,AE$93*P_DPOmp/DiasMes+(AE$94+AE$96+AE$99+AE$100)*P_DPOot/DiasMes)</f>
        <v>136841.164480491</v>
      </c>
      <c r="AF112" s="34" t="n">
        <f aca="false">IF(27&gt;Fin,AE$112,AF$93*P_DPOmp/DiasMes+(AF$94+AF$96+AF$99+AF$100)*P_DPOot/DiasMes)</f>
        <v>136841.164480491</v>
      </c>
      <c r="AG112" s="34" t="n">
        <f aca="false">IF(28&gt;Fin,AF$112,AG$93*P_DPOmp/DiasMes+(AG$94+AG$96+AG$99+AG$100)*P_DPOot/DiasMes)</f>
        <v>136841.164480491</v>
      </c>
      <c r="AH112" s="34" t="n">
        <f aca="false">IF(29&gt;Fin,AG$112,AH$93*P_DPOmp/DiasMes+(AH$94+AH$96+AH$99+AH$100)*P_DPOot/DiasMes)</f>
        <v>136841.164480491</v>
      </c>
      <c r="AI112" s="34" t="n">
        <f aca="false">IF(30&gt;Fin,AH$112,AI$93*P_DPOmp/DiasMes+(AI$94+AI$96+AI$99+AI$100)*P_DPOot/DiasMes)</f>
        <v>136841.164480491</v>
      </c>
      <c r="AJ112" s="34" t="n">
        <f aca="false">IF(31&gt;Fin,AI$112,AJ$93*P_DPOmp/DiasMes+(AJ$94+AJ$96+AJ$99+AJ$100)*P_DPOot/DiasMes)</f>
        <v>136841.164480491</v>
      </c>
      <c r="AK112" s="34" t="n">
        <f aca="false">IF(32&gt;Fin,AJ$112,AK$93*P_DPOmp/DiasMes+(AK$94+AK$96+AK$99+AK$100)*P_DPOot/DiasMes)</f>
        <v>136841.164480491</v>
      </c>
      <c r="AL112" s="34" t="n">
        <f aca="false">IF(33&gt;Fin,AK$112,AL$93*P_DPOmp/DiasMes+(AL$94+AL$96+AL$99+AL$100)*P_DPOot/DiasMes)</f>
        <v>136841.164480491</v>
      </c>
      <c r="AM112" s="34" t="n">
        <f aca="false">IF(34&gt;Fin,AL$112,AM$93*P_DPOmp/DiasMes+(AM$94+AM$96+AM$99+AM$100)*P_DPOot/DiasMes)</f>
        <v>136841.164480491</v>
      </c>
      <c r="AN112" s="34" t="n">
        <f aca="false">IF(35&gt;Fin,AM$112,AN$93*P_DPOmp/DiasMes+(AN$94+AN$96+AN$99+AN$100)*P_DPOot/DiasMes)</f>
        <v>136841.164480491</v>
      </c>
      <c r="AO112" s="34" t="n">
        <f aca="false">IF(36&gt;Fin,AN$112,AO$93*P_DPOmp/DiasMes+(AO$94+AO$96+AO$99+AO$100)*P_DPOot/DiasMes)</f>
        <v>136841.164480491</v>
      </c>
      <c r="AP112" s="34" t="n">
        <f aca="false">IF(37&gt;Fin,AO$112,AP$93*P_DPOmp/DiasMes+(AP$94+AP$96+AP$99+AP$100)*P_DPOot/DiasMes)</f>
        <v>152372.625750663</v>
      </c>
      <c r="AQ112" s="34" t="n">
        <f aca="false">IF(38&gt;Fin,AP$112,AQ$93*P_DPOmp/DiasMes+(AQ$94+AQ$96+AQ$99+AQ$100)*P_DPOot/DiasMes)</f>
        <v>152372.625750663</v>
      </c>
      <c r="AR112" s="34" t="n">
        <f aca="false">IF(39&gt;Fin,AQ$112,AR$93*P_DPOmp/DiasMes+(AR$94+AR$96+AR$99+AR$100)*P_DPOot/DiasMes)</f>
        <v>152372.625750663</v>
      </c>
      <c r="AS112" s="34" t="n">
        <f aca="false">IF(40&gt;Fin,AR$112,AS$93*P_DPOmp/DiasMes+(AS$94+AS$96+AS$99+AS$100)*P_DPOot/DiasMes)</f>
        <v>152372.625750663</v>
      </c>
      <c r="AT112" s="34" t="n">
        <f aca="false">IF(41&gt;Fin,AS$112,AT$93*P_DPOmp/DiasMes+(AT$94+AT$96+AT$99+AT$100)*P_DPOot/DiasMes)</f>
        <v>152372.625750663</v>
      </c>
      <c r="AU112" s="34" t="n">
        <f aca="false">IF(42&gt;Fin,AT$112,AU$93*P_DPOmp/DiasMes+(AU$94+AU$96+AU$99+AU$100)*P_DPOot/DiasMes)</f>
        <v>152372.625750663</v>
      </c>
      <c r="AV112" s="34" t="n">
        <f aca="false">IF(43&gt;Fin,AU$112,AV$93*P_DPOmp/DiasMes+(AV$94+AV$96+AV$99+AV$100)*P_DPOot/DiasMes)</f>
        <v>152372.625750663</v>
      </c>
      <c r="AW112" s="34" t="n">
        <f aca="false">IF(44&gt;Fin,AV$112,AW$93*P_DPOmp/DiasMes+(AW$94+AW$96+AW$99+AW$100)*P_DPOot/DiasMes)</f>
        <v>152372.625750663</v>
      </c>
      <c r="AX112" s="34" t="n">
        <f aca="false">IF(45&gt;Fin,AW$112,AX$93*P_DPOmp/DiasMes+(AX$94+AX$96+AX$99+AX$100)*P_DPOot/DiasMes)</f>
        <v>152372.625750663</v>
      </c>
      <c r="AY112" s="34" t="n">
        <f aca="false">IF(46&gt;Fin,AX$112,AY$93*P_DPOmp/DiasMes+(AY$94+AY$96+AY$99+AY$100)*P_DPOot/DiasMes)</f>
        <v>152372.625750663</v>
      </c>
      <c r="AZ112" s="34" t="n">
        <f aca="false">IF(47&gt;Fin,AY$112,AZ$93*P_DPOmp/DiasMes+(AZ$94+AZ$96+AZ$99+AZ$100)*P_DPOot/DiasMes)</f>
        <v>152372.625750663</v>
      </c>
      <c r="BA112" s="34" t="n">
        <f aca="false">IF(48&gt;Fin,AZ$112,BA$93*P_DPOmp/DiasMes+(BA$94+BA$96+BA$99+BA$100)*P_DPOot/DiasMes)</f>
        <v>152372.625750663</v>
      </c>
      <c r="BB112" s="34" t="n">
        <f aca="false">IF(49&gt;Fin,BA$112,BB$93*P_DPOmp/DiasMes+(BB$94+BB$96+BB$99+BB$100)*P_DPOot/DiasMes)</f>
        <v>153439.396899076</v>
      </c>
      <c r="BC112" s="34" t="n">
        <f aca="false">IF(50&gt;Fin,BB$112,BC$93*P_DPOmp/DiasMes+(BC$94+BC$96+BC$99+BC$100)*P_DPOot/DiasMes)</f>
        <v>153439.396899076</v>
      </c>
      <c r="BD112" s="34" t="n">
        <f aca="false">IF(51&gt;Fin,BC$112,BD$93*P_DPOmp/DiasMes+(BD$94+BD$96+BD$99+BD$100)*P_DPOot/DiasMes)</f>
        <v>153439.396899076</v>
      </c>
      <c r="BE112" s="34" t="n">
        <f aca="false">IF(52&gt;Fin,BD$112,BE$93*P_DPOmp/DiasMes+(BE$94+BE$96+BE$99+BE$100)*P_DPOot/DiasMes)</f>
        <v>153439.396899076</v>
      </c>
      <c r="BF112" s="34" t="n">
        <f aca="false">IF(53&gt;Fin,BE$112,BF$93*P_DPOmp/DiasMes+(BF$94+BF$96+BF$99+BF$100)*P_DPOot/DiasMes)</f>
        <v>153439.396899076</v>
      </c>
      <c r="BG112" s="34" t="n">
        <f aca="false">IF(54&gt;Fin,BF$112,BG$93*P_DPOmp/DiasMes+(BG$94+BG$96+BG$99+BG$100)*P_DPOot/DiasMes)</f>
        <v>153439.396899076</v>
      </c>
      <c r="BH112" s="34" t="n">
        <f aca="false">IF(55&gt;Fin,BG$112,BH$93*P_DPOmp/DiasMes+(BH$94+BH$96+BH$99+BH$100)*P_DPOot/DiasMes)</f>
        <v>153439.396899076</v>
      </c>
      <c r="BI112" s="34" t="n">
        <f aca="false">IF(56&gt;Fin,BH$112,BI$93*P_DPOmp/DiasMes+(BI$94+BI$96+BI$99+BI$100)*P_DPOot/DiasMes)</f>
        <v>153439.396899076</v>
      </c>
      <c r="BJ112" s="34" t="n">
        <f aca="false">IF(57&gt;Fin,BI$112,BJ$93*P_DPOmp/DiasMes+(BJ$94+BJ$96+BJ$99+BJ$100)*P_DPOot/DiasMes)</f>
        <v>153439.396899076</v>
      </c>
      <c r="BK112" s="34" t="n">
        <f aca="false">IF(58&gt;Fin,BJ$112,BK$93*P_DPOmp/DiasMes+(BK$94+BK$96+BK$99+BK$100)*P_DPOot/DiasMes)</f>
        <v>153439.396899076</v>
      </c>
      <c r="BL112" s="34" t="n">
        <f aca="false">IF(59&gt;Fin,BK$112,BL$93*P_DPOmp/DiasMes+(BL$94+BL$96+BL$99+BL$100)*P_DPOot/DiasMes)</f>
        <v>153439.396899076</v>
      </c>
      <c r="BM112" s="34" t="n">
        <f aca="false">IF(60&gt;Fin,BL$112,BM$93*P_DPOmp/DiasMes+(BM$94+BM$96+BM$99+BM$100)*P_DPOot/DiasMes)</f>
        <v>153439.396899076</v>
      </c>
      <c r="BN112" s="34" t="n">
        <f aca="false">IF(61&gt;Fin,BM$112,BN$93*P_DPOmp/DiasMes+(BN$94+BN$96+BN$99+BN$100)*P_DPOot/DiasMes)</f>
        <v>154373.202430234</v>
      </c>
      <c r="BO112" s="34" t="n">
        <f aca="false">IF(62&gt;Fin,BN$112,BO$93*P_DPOmp/DiasMes+(BO$94+BO$96+BO$99+BO$100)*P_DPOot/DiasMes)</f>
        <v>154373.202430234</v>
      </c>
      <c r="BP112" s="34" t="n">
        <f aca="false">IF(63&gt;Fin,BO$112,BP$93*P_DPOmp/DiasMes+(BP$94+BP$96+BP$99+BP$100)*P_DPOot/DiasMes)</f>
        <v>154373.202430234</v>
      </c>
      <c r="BQ112" s="34" t="n">
        <f aca="false">IF(64&gt;Fin,BP$112,BQ$93*P_DPOmp/DiasMes+(BQ$94+BQ$96+BQ$99+BQ$100)*P_DPOot/DiasMes)</f>
        <v>154373.202430234</v>
      </c>
      <c r="BR112" s="34" t="n">
        <f aca="false">IF(65&gt;Fin,BQ$112,BR$93*P_DPOmp/DiasMes+(BR$94+BR$96+BR$99+BR$100)*P_DPOot/DiasMes)</f>
        <v>154373.202430234</v>
      </c>
      <c r="BS112" s="34" t="n">
        <f aca="false">IF(66&gt;Fin,BR$112,BS$93*P_DPOmp/DiasMes+(BS$94+BS$96+BS$99+BS$100)*P_DPOot/DiasMes)</f>
        <v>154373.202430234</v>
      </c>
      <c r="BT112" s="34" t="n">
        <f aca="false">IF(67&gt;Fin,BS$112,BT$93*P_DPOmp/DiasMes+(BT$94+BT$96+BT$99+BT$100)*P_DPOot/DiasMes)</f>
        <v>154373.202430234</v>
      </c>
      <c r="BU112" s="34" t="n">
        <f aca="false">IF(68&gt;Fin,BT$112,BU$93*P_DPOmp/DiasMes+(BU$94+BU$96+BU$99+BU$100)*P_DPOot/DiasMes)</f>
        <v>154373.202430234</v>
      </c>
      <c r="BV112" s="34" t="n">
        <f aca="false">IF(69&gt;Fin,BU$112,BV$93*P_DPOmp/DiasMes+(BV$94+BV$96+BV$99+BV$100)*P_DPOot/DiasMes)</f>
        <v>154373.202430234</v>
      </c>
      <c r="BW112" s="34" t="n">
        <f aca="false">IF(70&gt;Fin,BV$112,BW$93*P_DPOmp/DiasMes+(BW$94+BW$96+BW$99+BW$100)*P_DPOot/DiasMes)</f>
        <v>154373.202430234</v>
      </c>
      <c r="BX112" s="34" t="n">
        <f aca="false">IF(71&gt;Fin,BW$112,BX$93*P_DPOmp/DiasMes+(BX$94+BX$96+BX$99+BX$100)*P_DPOot/DiasMes)</f>
        <v>154373.202430234</v>
      </c>
      <c r="BY112" s="34" t="n">
        <f aca="false">IF(72&gt;Fin,BX$112,BY$93*P_DPOmp/DiasMes+(BY$94+BY$96+BY$99+BY$100)*P_DPOot/DiasMes)</f>
        <v>154373.202430234</v>
      </c>
      <c r="BZ112" s="34" t="n">
        <f aca="false">IF(73&gt;Fin,BY$112,BZ$93*P_DPOmp/DiasMes+(BZ$94+BZ$96+BZ$99+BZ$100)*P_DPOot/DiasMes)</f>
        <v>155328.742837727</v>
      </c>
      <c r="CA112" s="34" t="n">
        <f aca="false">IF(74&gt;Fin,BZ$112,CA$93*P_DPOmp/DiasMes+(CA$94+CA$96+CA$99+CA$100)*P_DPOot/DiasMes)</f>
        <v>155328.742837727</v>
      </c>
      <c r="CB112" s="34" t="n">
        <f aca="false">IF(75&gt;Fin,CA$112,CB$93*P_DPOmp/DiasMes+(CB$94+CB$96+CB$99+CB$100)*P_DPOot/DiasMes)</f>
        <v>155328.742837727</v>
      </c>
      <c r="CC112" s="34" t="n">
        <f aca="false">IF(76&gt;Fin,CB$112,CC$93*P_DPOmp/DiasMes+(CC$94+CC$96+CC$99+CC$100)*P_DPOot/DiasMes)</f>
        <v>155328.742837727</v>
      </c>
      <c r="CD112" s="34" t="n">
        <f aca="false">IF(77&gt;Fin,CC$112,CD$93*P_DPOmp/DiasMes+(CD$94+CD$96+CD$99+CD$100)*P_DPOot/DiasMes)</f>
        <v>155328.742837727</v>
      </c>
      <c r="CE112" s="34" t="n">
        <f aca="false">IF(78&gt;Fin,CD$112,CE$93*P_DPOmp/DiasMes+(CE$94+CE$96+CE$99+CE$100)*P_DPOot/DiasMes)</f>
        <v>155328.742837727</v>
      </c>
      <c r="CF112" s="34" t="n">
        <f aca="false">IF(79&gt;Fin,CE$112,CF$93*P_DPOmp/DiasMes+(CF$94+CF$96+CF$99+CF$100)*P_DPOot/DiasMes)</f>
        <v>155328.742837727</v>
      </c>
      <c r="CG112" s="34" t="n">
        <f aca="false">IF(80&gt;Fin,CF$112,CG$93*P_DPOmp/DiasMes+(CG$94+CG$96+CG$99+CG$100)*P_DPOot/DiasMes)</f>
        <v>155328.742837727</v>
      </c>
      <c r="CH112" s="34" t="n">
        <f aca="false">IF(81&gt;Fin,CG$112,CH$93*P_DPOmp/DiasMes+(CH$94+CH$96+CH$99+CH$100)*P_DPOot/DiasMes)</f>
        <v>155328.742837727</v>
      </c>
      <c r="CI112" s="34" t="n">
        <f aca="false">IF(82&gt;Fin,CH$112,CI$93*P_DPOmp/DiasMes+(CI$94+CI$96+CI$99+CI$100)*P_DPOot/DiasMes)</f>
        <v>155328.742837727</v>
      </c>
      <c r="CJ112" s="34" t="n">
        <f aca="false">IF(83&gt;Fin,CI$112,CJ$93*P_DPOmp/DiasMes+(CJ$94+CJ$96+CJ$99+CJ$100)*P_DPOot/DiasMes)</f>
        <v>155328.742837727</v>
      </c>
      <c r="CK112" s="34" t="n">
        <f aca="false">IF(84&gt;Fin,CJ$112,CK$93*P_DPOmp/DiasMes+(CK$94+CK$96+CK$99+CK$100)*P_DPOot/DiasMes)</f>
        <v>155328.742837727</v>
      </c>
      <c r="CL112" s="34" t="n">
        <f aca="false">IF(85&gt;Fin,CK$112,CL$93*P_DPOmp/DiasMes+(CL$94+CL$96+CL$99+CL$100)*P_DPOot/DiasMes)</f>
        <v>156306.601824573</v>
      </c>
      <c r="CM112" s="34" t="n">
        <f aca="false">IF(86&gt;Fin,CL$112,CM$93*P_DPOmp/DiasMes+(CM$94+CM$96+CM$99+CM$100)*P_DPOot/DiasMes)</f>
        <v>156306.601824573</v>
      </c>
      <c r="CN112" s="34" t="n">
        <f aca="false">IF(87&gt;Fin,CM$112,CN$93*P_DPOmp/DiasMes+(CN$94+CN$96+CN$99+CN$100)*P_DPOot/DiasMes)</f>
        <v>156306.601824573</v>
      </c>
      <c r="CO112" s="34" t="n">
        <f aca="false">IF(88&gt;Fin,CN$112,CO$93*P_DPOmp/DiasMes+(CO$94+CO$96+CO$99+CO$100)*P_DPOot/DiasMes)</f>
        <v>156306.601824573</v>
      </c>
      <c r="CP112" s="34" t="n">
        <f aca="false">IF(89&gt;Fin,CO$112,CP$93*P_DPOmp/DiasMes+(CP$94+CP$96+CP$99+CP$100)*P_DPOot/DiasMes)</f>
        <v>156306.601824573</v>
      </c>
      <c r="CQ112" s="34" t="n">
        <f aca="false">IF(90&gt;Fin,CP$112,CQ$93*P_DPOmp/DiasMes+(CQ$94+CQ$96+CQ$99+CQ$100)*P_DPOot/DiasMes)</f>
        <v>156306.601824573</v>
      </c>
      <c r="CR112" s="34" t="n">
        <f aca="false">IF(91&gt;Fin,CQ$112,CR$93*P_DPOmp/DiasMes+(CR$94+CR$96+CR$99+CR$100)*P_DPOot/DiasMes)</f>
        <v>156306.601824573</v>
      </c>
      <c r="CS112" s="34" t="n">
        <f aca="false">IF(92&gt;Fin,CR$112,CS$93*P_DPOmp/DiasMes+(CS$94+CS$96+CS$99+CS$100)*P_DPOot/DiasMes)</f>
        <v>156306.601824573</v>
      </c>
      <c r="CT112" s="34" t="n">
        <f aca="false">IF(93&gt;Fin,CS$112,CT$93*P_DPOmp/DiasMes+(CT$94+CT$96+CT$99+CT$100)*P_DPOot/DiasMes)</f>
        <v>156306.601824573</v>
      </c>
      <c r="CU112" s="34" t="n">
        <f aca="false">IF(94&gt;Fin,CT$112,CU$93*P_DPOmp/DiasMes+(CU$94+CU$96+CU$99+CU$100)*P_DPOot/DiasMes)</f>
        <v>156306.601824573</v>
      </c>
      <c r="CV112" s="34" t="n">
        <f aca="false">IF(95&gt;Fin,CU$112,CV$93*P_DPOmp/DiasMes+(CV$94+CV$96+CV$99+CV$100)*P_DPOot/DiasMes)</f>
        <v>156306.601824573</v>
      </c>
      <c r="CW112" s="34" t="n">
        <f aca="false">IF(96&gt;Fin,CV$112,CW$93*P_DPOmp/DiasMes+(CW$94+CW$96+CW$99+CW$100)*P_DPOot/DiasMes)</f>
        <v>156306.601824573</v>
      </c>
      <c r="CX112" s="34" t="n">
        <f aca="false">IF(97&gt;Fin,CW$112,CX$93*P_DPOmp/DiasMes+(CX$94+CX$96+CX$99+CX$100)*P_DPOot/DiasMes)</f>
        <v>157307.379810441</v>
      </c>
      <c r="CY112" s="34" t="n">
        <f aca="false">IF(98&gt;Fin,CX$112,CY$93*P_DPOmp/DiasMes+(CY$94+CY$96+CY$99+CY$100)*P_DPOot/DiasMes)</f>
        <v>157307.379810441</v>
      </c>
      <c r="CZ112" s="34" t="n">
        <f aca="false">IF(99&gt;Fin,CY$112,CZ$93*P_DPOmp/DiasMes+(CZ$94+CZ$96+CZ$99+CZ$100)*P_DPOot/DiasMes)</f>
        <v>157307.379810441</v>
      </c>
      <c r="DA112" s="34" t="n">
        <f aca="false">IF(100&gt;Fin,CZ$112,DA$93*P_DPOmp/DiasMes+(DA$94+DA$96+DA$99+DA$100)*P_DPOot/DiasMes)</f>
        <v>157307.379810441</v>
      </c>
      <c r="DB112" s="34" t="n">
        <f aca="false">IF(101&gt;Fin,DA$112,DB$93*P_DPOmp/DiasMes+(DB$94+DB$96+DB$99+DB$100)*P_DPOot/DiasMes)</f>
        <v>157307.379810441</v>
      </c>
      <c r="DC112" s="34" t="n">
        <f aca="false">IF(102&gt;Fin,DB$112,DC$93*P_DPOmp/DiasMes+(DC$94+DC$96+DC$99+DC$100)*P_DPOot/DiasMes)</f>
        <v>157307.379810441</v>
      </c>
      <c r="DD112" s="34" t="n">
        <f aca="false">IF(103&gt;Fin,DC$112,DD$93*P_DPOmp/DiasMes+(DD$94+DD$96+DD$99+DD$100)*P_DPOot/DiasMes)</f>
        <v>157307.379810441</v>
      </c>
      <c r="DE112" s="34" t="n">
        <f aca="false">IF(104&gt;Fin,DD$112,DE$93*P_DPOmp/DiasMes+(DE$94+DE$96+DE$99+DE$100)*P_DPOot/DiasMes)</f>
        <v>157307.379810441</v>
      </c>
      <c r="DF112" s="34" t="n">
        <f aca="false">IF(105&gt;Fin,DE$112,DF$93*P_DPOmp/DiasMes+(DF$94+DF$96+DF$99+DF$100)*P_DPOot/DiasMes)</f>
        <v>157307.379810441</v>
      </c>
      <c r="DG112" s="34" t="n">
        <f aca="false">IF(106&gt;Fin,DF$112,DG$93*P_DPOmp/DiasMes+(DG$94+DG$96+DG$99+DG$100)*P_DPOot/DiasMes)</f>
        <v>157307.379810441</v>
      </c>
      <c r="DH112" s="34" t="n">
        <f aca="false">IF(107&gt;Fin,DG$112,DH$93*P_DPOmp/DiasMes+(DH$94+DH$96+DH$99+DH$100)*P_DPOot/DiasMes)</f>
        <v>157307.379810441</v>
      </c>
      <c r="DI112" s="34" t="n">
        <f aca="false">IF(108&gt;Fin,DH$112,DI$93*P_DPOmp/DiasMes+(DI$94+DI$96+DI$99+DI$100)*P_DPOot/DiasMes)</f>
        <v>157307.379810441</v>
      </c>
      <c r="DJ112" s="34" t="n">
        <f aca="false">IF(109&gt;Fin,DI$112,DJ$93*P_DPOmp/DiasMes+(DJ$94+DJ$96+DJ$99+DJ$100)*P_DPOot/DiasMes)</f>
        <v>158331.694422986</v>
      </c>
      <c r="DK112" s="34" t="n">
        <f aca="false">IF(110&gt;Fin,DJ$112,DK$93*P_DPOmp/DiasMes+(DK$94+DK$96+DK$99+DK$100)*P_DPOot/DiasMes)</f>
        <v>158331.694422986</v>
      </c>
      <c r="DL112" s="34" t="n">
        <f aca="false">IF(111&gt;Fin,DK$112,DL$93*P_DPOmp/DiasMes+(DL$94+DL$96+DL$99+DL$100)*P_DPOot/DiasMes)</f>
        <v>158331.694422986</v>
      </c>
      <c r="DM112" s="34" t="n">
        <f aca="false">IF(112&gt;Fin,DL$112,DM$93*P_DPOmp/DiasMes+(DM$94+DM$96+DM$99+DM$100)*P_DPOot/DiasMes)</f>
        <v>158331.694422986</v>
      </c>
      <c r="DN112" s="34" t="n">
        <f aca="false">IF(113&gt;Fin,DM$112,DN$93*P_DPOmp/DiasMes+(DN$94+DN$96+DN$99+DN$100)*P_DPOot/DiasMes)</f>
        <v>158331.694422986</v>
      </c>
      <c r="DO112" s="34" t="n">
        <f aca="false">IF(114&gt;Fin,DN$112,DO$93*P_DPOmp/DiasMes+(DO$94+DO$96+DO$99+DO$100)*P_DPOot/DiasMes)</f>
        <v>158331.694422986</v>
      </c>
      <c r="DP112" s="34" t="n">
        <f aca="false">IF(115&gt;Fin,DO$112,DP$93*P_DPOmp/DiasMes+(DP$94+DP$96+DP$99+DP$100)*P_DPOot/DiasMes)</f>
        <v>158331.694422986</v>
      </c>
      <c r="DQ112" s="34" t="n">
        <f aca="false">IF(116&gt;Fin,DP$112,DQ$93*P_DPOmp/DiasMes+(DQ$94+DQ$96+DQ$99+DQ$100)*P_DPOot/DiasMes)</f>
        <v>158331.694422986</v>
      </c>
      <c r="DR112" s="34" t="n">
        <f aca="false">IF(117&gt;Fin,DQ$112,DR$93*P_DPOmp/DiasMes+(DR$94+DR$96+DR$99+DR$100)*P_DPOot/DiasMes)</f>
        <v>158331.694422986</v>
      </c>
      <c r="DS112" s="34" t="n">
        <f aca="false">IF(118&gt;Fin,DR$112,DS$93*P_DPOmp/DiasMes+(DS$94+DS$96+DS$99+DS$100)*P_DPOot/DiasMes)</f>
        <v>158331.694422986</v>
      </c>
      <c r="DT112" s="34" t="n">
        <f aca="false">IF(119&gt;Fin,DS$112,DT$93*P_DPOmp/DiasMes+(DT$94+DT$96+DT$99+DT$100)*P_DPOot/DiasMes)</f>
        <v>158331.694422986</v>
      </c>
      <c r="DU112" s="34" t="n">
        <f aca="false">IF(120&gt;Fin,DT$112,DU$93*P_DPOmp/DiasMes+(DU$94+DU$96+DU$99+DU$100)*P_DPOot/DiasMes)</f>
        <v>158331.694422986</v>
      </c>
      <c r="DV112" s="34" t="n">
        <f aca="false">IF(121&gt;Fin,DU$112,DV$93*P_DPOmp/DiasMes+(DV$94+DV$96+DV$99+DV$100)*P_DPOot/DiasMes)</f>
        <v>158331.694422986</v>
      </c>
      <c r="DW112" s="34" t="n">
        <f aca="false">IF(122&gt;Fin,DV$112,DW$93*P_DPOmp/DiasMes+(DW$94+DW$96+DW$99+DW$100)*P_DPOot/DiasMes)</f>
        <v>158331.694422986</v>
      </c>
      <c r="DX112" s="34" t="n">
        <f aca="false">IF(123&gt;Fin,DW$112,DX$93*P_DPOmp/DiasMes+(DX$94+DX$96+DX$99+DX$100)*P_DPOot/DiasMes)</f>
        <v>158331.694422986</v>
      </c>
      <c r="DY112" s="34" t="n">
        <f aca="false">IF(124&gt;Fin,DX$112,DY$93*P_DPOmp/DiasMes+(DY$94+DY$96+DY$99+DY$100)*P_DPOot/DiasMes)</f>
        <v>158331.694422986</v>
      </c>
      <c r="DZ112" s="34" t="n">
        <f aca="false">IF(125&gt;Fin,DY$112,DZ$93*P_DPOmp/DiasMes+(DZ$94+DZ$96+DZ$99+DZ$100)*P_DPOot/DiasMes)</f>
        <v>158331.694422986</v>
      </c>
      <c r="EA112" s="34" t="n">
        <f aca="false">IF(126&gt;Fin,DZ$112,EA$93*P_DPOmp/DiasMes+(EA$94+EA$96+EA$99+EA$100)*P_DPOot/DiasMes)</f>
        <v>158331.694422986</v>
      </c>
      <c r="EB112" s="34" t="n">
        <f aca="false">IF(127&gt;Fin,EA$112,EB$93*P_DPOmp/DiasMes+(EB$94+EB$96+EB$99+EB$100)*P_DPOot/DiasMes)</f>
        <v>158331.694422986</v>
      </c>
      <c r="EC112" s="34" t="n">
        <f aca="false">IF(128&gt;Fin,EB$112,EC$93*P_DPOmp/DiasMes+(EC$94+EC$96+EC$99+EC$100)*P_DPOot/DiasMes)</f>
        <v>158331.694422986</v>
      </c>
      <c r="ED112" s="34" t="n">
        <f aca="false">IF(129&gt;Fin,EC$112,ED$93*P_DPOmp/DiasMes+(ED$94+ED$96+ED$99+ED$100)*P_DPOot/DiasMes)</f>
        <v>158331.694422986</v>
      </c>
      <c r="EE112" s="34" t="n">
        <f aca="false">IF(130&gt;Fin,ED$112,EE$93*P_DPOmp/DiasMes+(EE$94+EE$96+EE$99+EE$100)*P_DPOot/DiasMes)</f>
        <v>158331.694422986</v>
      </c>
      <c r="EF112" s="34" t="n">
        <f aca="false">IF(131&gt;Fin,EE$112,EF$93*P_DPOmp/DiasMes+(EF$94+EF$96+EF$99+EF$100)*P_DPOot/DiasMes)</f>
        <v>158331.694422986</v>
      </c>
      <c r="EG112" s="34" t="n">
        <f aca="false">IF(132&gt;Fin,EF$112,EG$93*P_DPOmp/DiasMes+(EG$94+EG$96+EG$99+EG$100)*P_DPOot/DiasMes)</f>
        <v>158331.694422986</v>
      </c>
      <c r="EH112" s="34" t="n">
        <f aca="false">IF(133&gt;Fin,EG$112,EH$93*P_DPOmp/DiasMes+(EH$94+EH$96+EH$99+EH$100)*P_DPOot/DiasMes)</f>
        <v>158331.694422986</v>
      </c>
      <c r="EI112" s="34" t="n">
        <f aca="false">IF(134&gt;Fin,EH$112,EI$93*P_DPOmp/DiasMes+(EI$94+EI$96+EI$99+EI$100)*P_DPOot/DiasMes)</f>
        <v>158331.694422986</v>
      </c>
      <c r="EJ112" s="34" t="n">
        <f aca="false">IF(135&gt;Fin,EI$112,EJ$93*P_DPOmp/DiasMes+(EJ$94+EJ$96+EJ$99+EJ$100)*P_DPOot/DiasMes)</f>
        <v>158331.694422986</v>
      </c>
      <c r="EK112" s="34" t="n">
        <f aca="false">IF(136&gt;Fin,EJ$112,EK$93*P_DPOmp/DiasMes+(EK$94+EK$96+EK$99+EK$100)*P_DPOot/DiasMes)</f>
        <v>158331.694422986</v>
      </c>
      <c r="EL112" s="34" t="n">
        <f aca="false">IF(137&gt;Fin,EK$112,EL$93*P_DPOmp/DiasMes+(EL$94+EL$96+EL$99+EL$100)*P_DPOot/DiasMes)</f>
        <v>158331.694422986</v>
      </c>
      <c r="EM112" s="34" t="n">
        <f aca="false">IF(138&gt;Fin,EL$112,EM$93*P_DPOmp/DiasMes+(EM$94+EM$96+EM$99+EM$100)*P_DPOot/DiasMes)</f>
        <v>158331.694422986</v>
      </c>
      <c r="EN112" s="34" t="n">
        <f aca="false">IF(139&gt;Fin,EM$112,EN$93*P_DPOmp/DiasMes+(EN$94+EN$96+EN$99+EN$100)*P_DPOot/DiasMes)</f>
        <v>158331.694422986</v>
      </c>
      <c r="EO112" s="34" t="n">
        <f aca="false">IF(140&gt;Fin,EN$112,EO$93*P_DPOmp/DiasMes+(EO$94+EO$96+EO$99+EO$100)*P_DPOot/DiasMes)</f>
        <v>158331.694422986</v>
      </c>
      <c r="EP112" s="34" t="n">
        <f aca="false">IF(141&gt;Fin,EO$112,EP$93*P_DPOmp/DiasMes+(EP$94+EP$96+EP$99+EP$100)*P_DPOot/DiasMes)</f>
        <v>158331.694422986</v>
      </c>
      <c r="EQ112" s="34" t="n">
        <f aca="false">IF(142&gt;Fin,EP$112,EQ$93*P_DPOmp/DiasMes+(EQ$94+EQ$96+EQ$99+EQ$100)*P_DPOot/DiasMes)</f>
        <v>158331.694422986</v>
      </c>
      <c r="ER112" s="34" t="n">
        <f aca="false">IF(143&gt;Fin,EQ$112,ER$93*P_DPOmp/DiasMes+(ER$94+ER$96+ER$99+ER$100)*P_DPOot/DiasMes)</f>
        <v>158331.694422986</v>
      </c>
      <c r="ES112" s="34" t="n">
        <f aca="false">IF(144&gt;Fin,ER$112,ES$93*P_DPOmp/DiasMes+(ES$94+ES$96+ES$99+ES$100)*P_DPOot/DiasMes)</f>
        <v>158331.694422986</v>
      </c>
    </row>
    <row r="113" customFormat="false" ht="15" hidden="false" customHeight="false" outlineLevel="0" collapsed="false">
      <c r="A113" s="2" t="s">
        <v>712</v>
      </c>
      <c r="B113" s="52" t="s">
        <v>713</v>
      </c>
      <c r="C113" s="6" t="s">
        <v>250</v>
      </c>
      <c r="E113" s="40" t="n">
        <f aca="false">MAX(F113:ES113)</f>
        <v>4499762.51732228</v>
      </c>
      <c r="F113" s="10" t="n">
        <f aca="false">F$109+F$110+F$111-F$112</f>
        <v>2388063.88735903</v>
      </c>
      <c r="G113" s="10" t="n">
        <f aca="false">G$109+G$110+G$111-G$112</f>
        <v>2388063.88735903</v>
      </c>
      <c r="H113" s="10" t="n">
        <f aca="false">H$109+H$110+H$111-H$112</f>
        <v>2388063.88735903</v>
      </c>
      <c r="I113" s="10" t="n">
        <f aca="false">I$109+I$110+I$111-I$112</f>
        <v>2388063.88735903</v>
      </c>
      <c r="J113" s="10" t="n">
        <f aca="false">J$109+J$110+J$111-J$112</f>
        <v>2388063.88735903</v>
      </c>
      <c r="K113" s="10" t="n">
        <f aca="false">K$109+K$110+K$111-K$112</f>
        <v>2388063.88735903</v>
      </c>
      <c r="L113" s="10" t="n">
        <f aca="false">L$109+L$110+L$111-L$112</f>
        <v>2388063.88735903</v>
      </c>
      <c r="M113" s="10" t="n">
        <f aca="false">M$109+M$110+M$111-M$112</f>
        <v>2388063.88735903</v>
      </c>
      <c r="N113" s="10" t="n">
        <f aca="false">N$109+N$110+N$111-N$112</f>
        <v>2388063.88735903</v>
      </c>
      <c r="O113" s="10" t="n">
        <f aca="false">O$109+O$110+O$111-O$112</f>
        <v>2388063.88735903</v>
      </c>
      <c r="P113" s="10" t="n">
        <f aca="false">P$109+P$110+P$111-P$112</f>
        <v>2388063.88735903</v>
      </c>
      <c r="Q113" s="10" t="n">
        <f aca="false">Q$109+Q$110+Q$111-Q$112</f>
        <v>2388063.88735903</v>
      </c>
      <c r="R113" s="10" t="n">
        <f aca="false">R$109+R$110+R$111-R$112</f>
        <v>3043209.33175467</v>
      </c>
      <c r="S113" s="10" t="n">
        <f aca="false">S$109+S$110+S$111-S$112</f>
        <v>3043209.33175467</v>
      </c>
      <c r="T113" s="10" t="n">
        <f aca="false">T$109+T$110+T$111-T$112</f>
        <v>3043209.33175467</v>
      </c>
      <c r="U113" s="10" t="n">
        <f aca="false">U$109+U$110+U$111-U$112</f>
        <v>3043209.33175467</v>
      </c>
      <c r="V113" s="10" t="n">
        <f aca="false">V$109+V$110+V$111-V$112</f>
        <v>3043209.33175467</v>
      </c>
      <c r="W113" s="10" t="n">
        <f aca="false">W$109+W$110+W$111-W$112</f>
        <v>3043209.33175467</v>
      </c>
      <c r="X113" s="10" t="n">
        <f aca="false">X$109+X$110+X$111-X$112</f>
        <v>3043209.33175467</v>
      </c>
      <c r="Y113" s="10" t="n">
        <f aca="false">Y$109+Y$110+Y$111-Y$112</f>
        <v>3043209.33175467</v>
      </c>
      <c r="Z113" s="10" t="n">
        <f aca="false">Z$109+Z$110+Z$111-Z$112</f>
        <v>3043209.33175467</v>
      </c>
      <c r="AA113" s="10" t="n">
        <f aca="false">AA$109+AA$110+AA$111-AA$112</f>
        <v>3043209.33175467</v>
      </c>
      <c r="AB113" s="10" t="n">
        <f aca="false">AB$109+AB$110+AB$111-AB$112</f>
        <v>3043209.33175467</v>
      </c>
      <c r="AC113" s="10" t="n">
        <f aca="false">AC$109+AC$110+AC$111-AC$112</f>
        <v>3043209.33175467</v>
      </c>
      <c r="AD113" s="10" t="n">
        <f aca="false">AD$109+AD$110+AD$111-AD$112</f>
        <v>3710536.2623871</v>
      </c>
      <c r="AE113" s="10" t="n">
        <f aca="false">AE$109+AE$110+AE$111-AE$112</f>
        <v>3710536.2623871</v>
      </c>
      <c r="AF113" s="10" t="n">
        <f aca="false">AF$109+AF$110+AF$111-AF$112</f>
        <v>3710536.2623871</v>
      </c>
      <c r="AG113" s="10" t="n">
        <f aca="false">AG$109+AG$110+AG$111-AG$112</f>
        <v>3710536.2623871</v>
      </c>
      <c r="AH113" s="10" t="n">
        <f aca="false">AH$109+AH$110+AH$111-AH$112</f>
        <v>3710536.2623871</v>
      </c>
      <c r="AI113" s="10" t="n">
        <f aca="false">AI$109+AI$110+AI$111-AI$112</f>
        <v>3710536.2623871</v>
      </c>
      <c r="AJ113" s="10" t="n">
        <f aca="false">AJ$109+AJ$110+AJ$111-AJ$112</f>
        <v>3710536.2623871</v>
      </c>
      <c r="AK113" s="10" t="n">
        <f aca="false">AK$109+AK$110+AK$111-AK$112</f>
        <v>3710536.2623871</v>
      </c>
      <c r="AL113" s="10" t="n">
        <f aca="false">AL$109+AL$110+AL$111-AL$112</f>
        <v>3710536.2623871</v>
      </c>
      <c r="AM113" s="10" t="n">
        <f aca="false">AM$109+AM$110+AM$111-AM$112</f>
        <v>3710536.2623871</v>
      </c>
      <c r="AN113" s="10" t="n">
        <f aca="false">AN$109+AN$110+AN$111-AN$112</f>
        <v>3710536.2623871</v>
      </c>
      <c r="AO113" s="10" t="n">
        <f aca="false">AO$109+AO$110+AO$111-AO$112</f>
        <v>3710536.2623871</v>
      </c>
      <c r="AP113" s="10" t="n">
        <f aca="false">AP$109+AP$110+AP$111-AP$112</f>
        <v>4269345.33232041</v>
      </c>
      <c r="AQ113" s="10" t="n">
        <f aca="false">AQ$109+AQ$110+AQ$111-AQ$112</f>
        <v>4269345.33232041</v>
      </c>
      <c r="AR113" s="10" t="n">
        <f aca="false">AR$109+AR$110+AR$111-AR$112</f>
        <v>4269345.33232041</v>
      </c>
      <c r="AS113" s="10" t="n">
        <f aca="false">AS$109+AS$110+AS$111-AS$112</f>
        <v>4269345.33232041</v>
      </c>
      <c r="AT113" s="10" t="n">
        <f aca="false">AT$109+AT$110+AT$111-AT$112</f>
        <v>4269345.33232041</v>
      </c>
      <c r="AU113" s="10" t="n">
        <f aca="false">AU$109+AU$110+AU$111-AU$112</f>
        <v>4269345.33232041</v>
      </c>
      <c r="AV113" s="10" t="n">
        <f aca="false">AV$109+AV$110+AV$111-AV$112</f>
        <v>4269345.33232041</v>
      </c>
      <c r="AW113" s="10" t="n">
        <f aca="false">AW$109+AW$110+AW$111-AW$112</f>
        <v>4269345.33232041</v>
      </c>
      <c r="AX113" s="10" t="n">
        <f aca="false">AX$109+AX$110+AX$111-AX$112</f>
        <v>4269345.33232041</v>
      </c>
      <c r="AY113" s="10" t="n">
        <f aca="false">AY$109+AY$110+AY$111-AY$112</f>
        <v>4269345.33232041</v>
      </c>
      <c r="AZ113" s="10" t="n">
        <f aca="false">AZ$109+AZ$110+AZ$111-AZ$112</f>
        <v>4269345.33232041</v>
      </c>
      <c r="BA113" s="10" t="n">
        <f aca="false">BA$109+BA$110+BA$111-BA$112</f>
        <v>4269345.33232041</v>
      </c>
      <c r="BB113" s="10" t="n">
        <f aca="false">BB$109+BB$110+BB$111-BB$112</f>
        <v>4307454.88002627</v>
      </c>
      <c r="BC113" s="10" t="n">
        <f aca="false">BC$109+BC$110+BC$111-BC$112</f>
        <v>4307454.88002627</v>
      </c>
      <c r="BD113" s="10" t="n">
        <f aca="false">BD$109+BD$110+BD$111-BD$112</f>
        <v>4307454.88002627</v>
      </c>
      <c r="BE113" s="10" t="n">
        <f aca="false">BE$109+BE$110+BE$111-BE$112</f>
        <v>4307454.88002627</v>
      </c>
      <c r="BF113" s="10" t="n">
        <f aca="false">BF$109+BF$110+BF$111-BF$112</f>
        <v>4307454.88002627</v>
      </c>
      <c r="BG113" s="10" t="n">
        <f aca="false">BG$109+BG$110+BG$111-BG$112</f>
        <v>4307454.88002627</v>
      </c>
      <c r="BH113" s="10" t="n">
        <f aca="false">BH$109+BH$110+BH$111-BH$112</f>
        <v>4307454.88002627</v>
      </c>
      <c r="BI113" s="10" t="n">
        <f aca="false">BI$109+BI$110+BI$111-BI$112</f>
        <v>4307454.88002627</v>
      </c>
      <c r="BJ113" s="10" t="n">
        <f aca="false">BJ$109+BJ$110+BJ$111-BJ$112</f>
        <v>4307454.88002627</v>
      </c>
      <c r="BK113" s="10" t="n">
        <f aca="false">BK$109+BK$110+BK$111-BK$112</f>
        <v>4307454.88002627</v>
      </c>
      <c r="BL113" s="10" t="n">
        <f aca="false">BL$109+BL$110+BL$111-BL$112</f>
        <v>4307454.88002627</v>
      </c>
      <c r="BM113" s="10" t="n">
        <f aca="false">BM$109+BM$110+BM$111-BM$112</f>
        <v>4307454.88002627</v>
      </c>
      <c r="BN113" s="10" t="n">
        <f aca="false">BN$109+BN$110+BN$111-BN$112</f>
        <v>4345179.73649487</v>
      </c>
      <c r="BO113" s="10" t="n">
        <f aca="false">BO$109+BO$110+BO$111-BO$112</f>
        <v>4345179.73649487</v>
      </c>
      <c r="BP113" s="10" t="n">
        <f aca="false">BP$109+BP$110+BP$111-BP$112</f>
        <v>4345179.73649487</v>
      </c>
      <c r="BQ113" s="10" t="n">
        <f aca="false">BQ$109+BQ$110+BQ$111-BQ$112</f>
        <v>4345179.73649487</v>
      </c>
      <c r="BR113" s="10" t="n">
        <f aca="false">BR$109+BR$110+BR$111-BR$112</f>
        <v>4345179.73649487</v>
      </c>
      <c r="BS113" s="10" t="n">
        <f aca="false">BS$109+BS$110+BS$111-BS$112</f>
        <v>4345179.73649487</v>
      </c>
      <c r="BT113" s="10" t="n">
        <f aca="false">BT$109+BT$110+BT$111-BT$112</f>
        <v>4345179.73649487</v>
      </c>
      <c r="BU113" s="10" t="n">
        <f aca="false">BU$109+BU$110+BU$111-BU$112</f>
        <v>4345179.73649487</v>
      </c>
      <c r="BV113" s="10" t="n">
        <f aca="false">BV$109+BV$110+BV$111-BV$112</f>
        <v>4345179.73649487</v>
      </c>
      <c r="BW113" s="10" t="n">
        <f aca="false">BW$109+BW$110+BW$111-BW$112</f>
        <v>4345179.73649487</v>
      </c>
      <c r="BX113" s="10" t="n">
        <f aca="false">BX$109+BX$110+BX$111-BX$112</f>
        <v>4345179.73649487</v>
      </c>
      <c r="BY113" s="10" t="n">
        <f aca="false">BY$109+BY$110+BY$111-BY$112</f>
        <v>4345179.73649487</v>
      </c>
      <c r="BZ113" s="10" t="n">
        <f aca="false">BZ$109+BZ$110+BZ$111-BZ$112</f>
        <v>4383269.62971965</v>
      </c>
      <c r="CA113" s="10" t="n">
        <f aca="false">CA$109+CA$110+CA$111-CA$112</f>
        <v>4383269.62971965</v>
      </c>
      <c r="CB113" s="10" t="n">
        <f aca="false">CB$109+CB$110+CB$111-CB$112</f>
        <v>4383269.62971965</v>
      </c>
      <c r="CC113" s="10" t="n">
        <f aca="false">CC$109+CC$110+CC$111-CC$112</f>
        <v>4383269.62971965</v>
      </c>
      <c r="CD113" s="10" t="n">
        <f aca="false">CD$109+CD$110+CD$111-CD$112</f>
        <v>4383269.62971965</v>
      </c>
      <c r="CE113" s="10" t="n">
        <f aca="false">CE$109+CE$110+CE$111-CE$112</f>
        <v>4383269.62971965</v>
      </c>
      <c r="CF113" s="10" t="n">
        <f aca="false">CF$109+CF$110+CF$111-CF$112</f>
        <v>4383269.62971965</v>
      </c>
      <c r="CG113" s="10" t="n">
        <f aca="false">CG$109+CG$110+CG$111-CG$112</f>
        <v>4383269.62971965</v>
      </c>
      <c r="CH113" s="10" t="n">
        <f aca="false">CH$109+CH$110+CH$111-CH$112</f>
        <v>4383269.62971965</v>
      </c>
      <c r="CI113" s="10" t="n">
        <f aca="false">CI$109+CI$110+CI$111-CI$112</f>
        <v>4383269.62971965</v>
      </c>
      <c r="CJ113" s="10" t="n">
        <f aca="false">CJ$109+CJ$110+CJ$111-CJ$112</f>
        <v>4383269.62971965</v>
      </c>
      <c r="CK113" s="10" t="n">
        <f aca="false">CK$109+CK$110+CK$111-CK$112</f>
        <v>4383269.62971965</v>
      </c>
      <c r="CL113" s="10" t="n">
        <f aca="false">CL$109+CL$110+CL$111-CL$112</f>
        <v>4421727.84741417</v>
      </c>
      <c r="CM113" s="10" t="n">
        <f aca="false">CM$109+CM$110+CM$111-CM$112</f>
        <v>4421727.84741417</v>
      </c>
      <c r="CN113" s="10" t="n">
        <f aca="false">CN$109+CN$110+CN$111-CN$112</f>
        <v>4421727.84741417</v>
      </c>
      <c r="CO113" s="10" t="n">
        <f aca="false">CO$109+CO$110+CO$111-CO$112</f>
        <v>4421727.84741417</v>
      </c>
      <c r="CP113" s="10" t="n">
        <f aca="false">CP$109+CP$110+CP$111-CP$112</f>
        <v>4421727.84741417</v>
      </c>
      <c r="CQ113" s="10" t="n">
        <f aca="false">CQ$109+CQ$110+CQ$111-CQ$112</f>
        <v>4421727.84741417</v>
      </c>
      <c r="CR113" s="10" t="n">
        <f aca="false">CR$109+CR$110+CR$111-CR$112</f>
        <v>4421727.84741417</v>
      </c>
      <c r="CS113" s="10" t="n">
        <f aca="false">CS$109+CS$110+CS$111-CS$112</f>
        <v>4421727.84741417</v>
      </c>
      <c r="CT113" s="10" t="n">
        <f aca="false">CT$109+CT$110+CT$111-CT$112</f>
        <v>4421727.84741417</v>
      </c>
      <c r="CU113" s="10" t="n">
        <f aca="false">CU$109+CU$110+CU$111-CU$112</f>
        <v>4421727.84741417</v>
      </c>
      <c r="CV113" s="10" t="n">
        <f aca="false">CV$109+CV$110+CV$111-CV$112</f>
        <v>4421727.84741417</v>
      </c>
      <c r="CW113" s="10" t="n">
        <f aca="false">CW$109+CW$110+CW$111-CW$112</f>
        <v>4421727.84741417</v>
      </c>
      <c r="CX113" s="10" t="n">
        <f aca="false">CX$109+CX$110+CX$111-CX$112</f>
        <v>4460557.6993635</v>
      </c>
      <c r="CY113" s="10" t="n">
        <f aca="false">CY$109+CY$110+CY$111-CY$112</f>
        <v>4460557.6993635</v>
      </c>
      <c r="CZ113" s="10" t="n">
        <f aca="false">CZ$109+CZ$110+CZ$111-CZ$112</f>
        <v>4460557.6993635</v>
      </c>
      <c r="DA113" s="10" t="n">
        <f aca="false">DA$109+DA$110+DA$111-DA$112</f>
        <v>4460557.6993635</v>
      </c>
      <c r="DB113" s="10" t="n">
        <f aca="false">DB$109+DB$110+DB$111-DB$112</f>
        <v>4460557.6993635</v>
      </c>
      <c r="DC113" s="10" t="n">
        <f aca="false">DC$109+DC$110+DC$111-DC$112</f>
        <v>4460557.6993635</v>
      </c>
      <c r="DD113" s="10" t="n">
        <f aca="false">DD$109+DD$110+DD$111-DD$112</f>
        <v>4460557.6993635</v>
      </c>
      <c r="DE113" s="10" t="n">
        <f aca="false">DE$109+DE$110+DE$111-DE$112</f>
        <v>4460557.6993635</v>
      </c>
      <c r="DF113" s="10" t="n">
        <f aca="false">DF$109+DF$110+DF$111-DF$112</f>
        <v>4460557.6993635</v>
      </c>
      <c r="DG113" s="10" t="n">
        <f aca="false">DG$109+DG$110+DG$111-DG$112</f>
        <v>4460557.6993635</v>
      </c>
      <c r="DH113" s="10" t="n">
        <f aca="false">DH$109+DH$110+DH$111-DH$112</f>
        <v>4460557.6993635</v>
      </c>
      <c r="DI113" s="10" t="n">
        <f aca="false">DI$109+DI$110+DI$111-DI$112</f>
        <v>4460557.6993635</v>
      </c>
      <c r="DJ113" s="10" t="n">
        <f aca="false">DJ$109+DJ$110+DJ$111-DJ$112</f>
        <v>4499762.51732228</v>
      </c>
      <c r="DK113" s="10" t="n">
        <f aca="false">DK$109+DK$110+DK$111-DK$112</f>
        <v>4499762.51732228</v>
      </c>
      <c r="DL113" s="10" t="n">
        <f aca="false">DL$109+DL$110+DL$111-DL$112</f>
        <v>4499762.51732228</v>
      </c>
      <c r="DM113" s="10" t="n">
        <f aca="false">DM$109+DM$110+DM$111-DM$112</f>
        <v>4499762.51732228</v>
      </c>
      <c r="DN113" s="10" t="n">
        <f aca="false">DN$109+DN$110+DN$111-DN$112</f>
        <v>4499762.51732228</v>
      </c>
      <c r="DO113" s="10" t="n">
        <f aca="false">DO$109+DO$110+DO$111-DO$112</f>
        <v>4499762.51732228</v>
      </c>
      <c r="DP113" s="10" t="n">
        <f aca="false">DP$109+DP$110+DP$111-DP$112</f>
        <v>4499762.51732228</v>
      </c>
      <c r="DQ113" s="10" t="n">
        <f aca="false">DQ$109+DQ$110+DQ$111-DQ$112</f>
        <v>4499762.51732228</v>
      </c>
      <c r="DR113" s="10" t="n">
        <f aca="false">DR$109+DR$110+DR$111-DR$112</f>
        <v>4499762.51732228</v>
      </c>
      <c r="DS113" s="10" t="n">
        <f aca="false">DS$109+DS$110+DS$111-DS$112</f>
        <v>4499762.51732228</v>
      </c>
      <c r="DT113" s="10" t="n">
        <f aca="false">DT$109+DT$110+DT$111-DT$112</f>
        <v>4499762.51732228</v>
      </c>
      <c r="DU113" s="10" t="n">
        <f aca="false">DU$109+DU$110+DU$111-DU$112</f>
        <v>4499762.51732228</v>
      </c>
      <c r="DV113" s="10" t="n">
        <f aca="false">DV$109+DV$110+DV$111-DV$112</f>
        <v>4499762.51732228</v>
      </c>
      <c r="DW113" s="10" t="n">
        <f aca="false">DW$109+DW$110+DW$111-DW$112</f>
        <v>4499762.51732228</v>
      </c>
      <c r="DX113" s="10" t="n">
        <f aca="false">DX$109+DX$110+DX$111-DX$112</f>
        <v>4499762.51732228</v>
      </c>
      <c r="DY113" s="10" t="n">
        <f aca="false">DY$109+DY$110+DY$111-DY$112</f>
        <v>4499762.51732228</v>
      </c>
      <c r="DZ113" s="10" t="n">
        <f aca="false">DZ$109+DZ$110+DZ$111-DZ$112</f>
        <v>4499762.51732228</v>
      </c>
      <c r="EA113" s="10" t="n">
        <f aca="false">EA$109+EA$110+EA$111-EA$112</f>
        <v>4499762.51732228</v>
      </c>
      <c r="EB113" s="10" t="n">
        <f aca="false">EB$109+EB$110+EB$111-EB$112</f>
        <v>4499762.51732228</v>
      </c>
      <c r="EC113" s="10" t="n">
        <f aca="false">EC$109+EC$110+EC$111-EC$112</f>
        <v>4499762.51732228</v>
      </c>
      <c r="ED113" s="10" t="n">
        <f aca="false">ED$109+ED$110+ED$111-ED$112</f>
        <v>4499762.51732228</v>
      </c>
      <c r="EE113" s="10" t="n">
        <f aca="false">EE$109+EE$110+EE$111-EE$112</f>
        <v>4499762.51732228</v>
      </c>
      <c r="EF113" s="10" t="n">
        <f aca="false">EF$109+EF$110+EF$111-EF$112</f>
        <v>4499762.51732228</v>
      </c>
      <c r="EG113" s="10" t="n">
        <f aca="false">EG$109+EG$110+EG$111-EG$112</f>
        <v>4499762.51732228</v>
      </c>
      <c r="EH113" s="10" t="n">
        <f aca="false">EH$109+EH$110+EH$111-EH$112</f>
        <v>4499762.51732228</v>
      </c>
      <c r="EI113" s="10" t="n">
        <f aca="false">EI$109+EI$110+EI$111-EI$112</f>
        <v>4499762.51732228</v>
      </c>
      <c r="EJ113" s="10" t="n">
        <f aca="false">EJ$109+EJ$110+EJ$111-EJ$112</f>
        <v>4499762.51732228</v>
      </c>
      <c r="EK113" s="10" t="n">
        <f aca="false">EK$109+EK$110+EK$111-EK$112</f>
        <v>4499762.51732228</v>
      </c>
      <c r="EL113" s="10" t="n">
        <f aca="false">EL$109+EL$110+EL$111-EL$112</f>
        <v>4499762.51732228</v>
      </c>
      <c r="EM113" s="10" t="n">
        <f aca="false">EM$109+EM$110+EM$111-EM$112</f>
        <v>4499762.51732228</v>
      </c>
      <c r="EN113" s="10" t="n">
        <f aca="false">EN$109+EN$110+EN$111-EN$112</f>
        <v>4499762.51732228</v>
      </c>
      <c r="EO113" s="10" t="n">
        <f aca="false">EO$109+EO$110+EO$111-EO$112</f>
        <v>4499762.51732228</v>
      </c>
      <c r="EP113" s="10" t="n">
        <f aca="false">EP$109+EP$110+EP$111-EP$112</f>
        <v>4499762.51732228</v>
      </c>
      <c r="EQ113" s="10" t="n">
        <f aca="false">EQ$109+EQ$110+EQ$111-EQ$112</f>
        <v>4499762.51732228</v>
      </c>
      <c r="ER113" s="10" t="n">
        <f aca="false">ER$109+ER$110+ER$111-ER$112</f>
        <v>4499762.51732228</v>
      </c>
      <c r="ES113" s="10" t="n">
        <f aca="false">ES$109+ES$110+ES$111-ES$112</f>
        <v>4499762.51732228</v>
      </c>
    </row>
    <row r="114" customFormat="false" ht="15" hidden="false" customHeight="false" outlineLevel="0" collapsed="false">
      <c r="A114" s="2" t="s">
        <v>714</v>
      </c>
      <c r="B114" s="6" t="s">
        <v>715</v>
      </c>
      <c r="C114" s="6" t="s">
        <v>250</v>
      </c>
      <c r="E114" s="40" t="n">
        <f aca="false">SUM(F114:ES114)</f>
        <v>4499762.51732228</v>
      </c>
      <c r="F114" s="34" t="n">
        <f aca="false">F$113-0</f>
        <v>2388063.88735903</v>
      </c>
      <c r="G114" s="34" t="n">
        <f aca="false">G$113-F$113</f>
        <v>0</v>
      </c>
      <c r="H114" s="34" t="n">
        <f aca="false">H$113-G$113</f>
        <v>0</v>
      </c>
      <c r="I114" s="34" t="n">
        <f aca="false">I$113-H$113</f>
        <v>0</v>
      </c>
      <c r="J114" s="34" t="n">
        <f aca="false">J$113-I$113</f>
        <v>0</v>
      </c>
      <c r="K114" s="34" t="n">
        <f aca="false">K$113-J$113</f>
        <v>0</v>
      </c>
      <c r="L114" s="34" t="n">
        <f aca="false">L$113-K$113</f>
        <v>0</v>
      </c>
      <c r="M114" s="34" t="n">
        <f aca="false">M$113-L$113</f>
        <v>0</v>
      </c>
      <c r="N114" s="34" t="n">
        <f aca="false">N$113-M$113</f>
        <v>0</v>
      </c>
      <c r="O114" s="34" t="n">
        <f aca="false">O$113-N$113</f>
        <v>0</v>
      </c>
      <c r="P114" s="34" t="n">
        <f aca="false">P$113-O$113</f>
        <v>0</v>
      </c>
      <c r="Q114" s="34" t="n">
        <f aca="false">Q$113-P$113</f>
        <v>0</v>
      </c>
      <c r="R114" s="34" t="n">
        <f aca="false">R$113-Q$113</f>
        <v>655145.444395644</v>
      </c>
      <c r="S114" s="34" t="n">
        <f aca="false">S$113-R$113</f>
        <v>0</v>
      </c>
      <c r="T114" s="34" t="n">
        <f aca="false">T$113-S$113</f>
        <v>0</v>
      </c>
      <c r="U114" s="34" t="n">
        <f aca="false">U$113-T$113</f>
        <v>0</v>
      </c>
      <c r="V114" s="34" t="n">
        <f aca="false">V$113-U$113</f>
        <v>0</v>
      </c>
      <c r="W114" s="34" t="n">
        <f aca="false">W$113-V$113</f>
        <v>0</v>
      </c>
      <c r="X114" s="34" t="n">
        <f aca="false">X$113-W$113</f>
        <v>0</v>
      </c>
      <c r="Y114" s="34" t="n">
        <f aca="false">Y$113-X$113</f>
        <v>0</v>
      </c>
      <c r="Z114" s="34" t="n">
        <f aca="false">Z$113-Y$113</f>
        <v>0</v>
      </c>
      <c r="AA114" s="34" t="n">
        <f aca="false">AA$113-Z$113</f>
        <v>0</v>
      </c>
      <c r="AB114" s="34" t="n">
        <f aca="false">AB$113-AA$113</f>
        <v>0</v>
      </c>
      <c r="AC114" s="34" t="n">
        <f aca="false">AC$113-AB$113</f>
        <v>0</v>
      </c>
      <c r="AD114" s="34" t="n">
        <f aca="false">AD$113-AC$113</f>
        <v>667326.930632423</v>
      </c>
      <c r="AE114" s="34" t="n">
        <f aca="false">AE$113-AD$113</f>
        <v>0</v>
      </c>
      <c r="AF114" s="34" t="n">
        <f aca="false">AF$113-AE$113</f>
        <v>0</v>
      </c>
      <c r="AG114" s="34" t="n">
        <f aca="false">AG$113-AF$113</f>
        <v>0</v>
      </c>
      <c r="AH114" s="34" t="n">
        <f aca="false">AH$113-AG$113</f>
        <v>0</v>
      </c>
      <c r="AI114" s="34" t="n">
        <f aca="false">AI$113-AH$113</f>
        <v>0</v>
      </c>
      <c r="AJ114" s="34" t="n">
        <f aca="false">AJ$113-AI$113</f>
        <v>0</v>
      </c>
      <c r="AK114" s="34" t="n">
        <f aca="false">AK$113-AJ$113</f>
        <v>0</v>
      </c>
      <c r="AL114" s="34" t="n">
        <f aca="false">AL$113-AK$113</f>
        <v>0</v>
      </c>
      <c r="AM114" s="34" t="n">
        <f aca="false">AM$113-AL$113</f>
        <v>0</v>
      </c>
      <c r="AN114" s="34" t="n">
        <f aca="false">AN$113-AM$113</f>
        <v>0</v>
      </c>
      <c r="AO114" s="34" t="n">
        <f aca="false">AO$113-AN$113</f>
        <v>0</v>
      </c>
      <c r="AP114" s="34" t="n">
        <f aca="false">AP$113-AO$113</f>
        <v>558809.069933313</v>
      </c>
      <c r="AQ114" s="34" t="n">
        <f aca="false">AQ$113-AP$113</f>
        <v>0</v>
      </c>
      <c r="AR114" s="34" t="n">
        <f aca="false">AR$113-AQ$113</f>
        <v>0</v>
      </c>
      <c r="AS114" s="34" t="n">
        <f aca="false">AS$113-AR$113</f>
        <v>0</v>
      </c>
      <c r="AT114" s="34" t="n">
        <f aca="false">AT$113-AS$113</f>
        <v>0</v>
      </c>
      <c r="AU114" s="34" t="n">
        <f aca="false">AU$113-AT$113</f>
        <v>0</v>
      </c>
      <c r="AV114" s="34" t="n">
        <f aca="false">AV$113-AU$113</f>
        <v>0</v>
      </c>
      <c r="AW114" s="34" t="n">
        <f aca="false">AW$113-AV$113</f>
        <v>0</v>
      </c>
      <c r="AX114" s="34" t="n">
        <f aca="false">AX$113-AW$113</f>
        <v>0</v>
      </c>
      <c r="AY114" s="34" t="n">
        <f aca="false">AY$113-AX$113</f>
        <v>0</v>
      </c>
      <c r="AZ114" s="34" t="n">
        <f aca="false">AZ$113-AY$113</f>
        <v>0</v>
      </c>
      <c r="BA114" s="34" t="n">
        <f aca="false">BA$113-AZ$113</f>
        <v>0</v>
      </c>
      <c r="BB114" s="34" t="n">
        <f aca="false">BB$113-BA$113</f>
        <v>38109.5477058599</v>
      </c>
      <c r="BC114" s="34" t="n">
        <f aca="false">BC$113-BB$113</f>
        <v>0</v>
      </c>
      <c r="BD114" s="34" t="n">
        <f aca="false">BD$113-BC$113</f>
        <v>0</v>
      </c>
      <c r="BE114" s="34" t="n">
        <f aca="false">BE$113-BD$113</f>
        <v>0</v>
      </c>
      <c r="BF114" s="34" t="n">
        <f aca="false">BF$113-BE$113</f>
        <v>0</v>
      </c>
      <c r="BG114" s="34" t="n">
        <f aca="false">BG$113-BF$113</f>
        <v>0</v>
      </c>
      <c r="BH114" s="34" t="n">
        <f aca="false">BH$113-BG$113</f>
        <v>0</v>
      </c>
      <c r="BI114" s="34" t="n">
        <f aca="false">BI$113-BH$113</f>
        <v>0</v>
      </c>
      <c r="BJ114" s="34" t="n">
        <f aca="false">BJ$113-BI$113</f>
        <v>0</v>
      </c>
      <c r="BK114" s="34" t="n">
        <f aca="false">BK$113-BJ$113</f>
        <v>0</v>
      </c>
      <c r="BL114" s="34" t="n">
        <f aca="false">BL$113-BK$113</f>
        <v>0</v>
      </c>
      <c r="BM114" s="34" t="n">
        <f aca="false">BM$113-BL$113</f>
        <v>0</v>
      </c>
      <c r="BN114" s="34" t="n">
        <f aca="false">BN$113-BM$113</f>
        <v>37724.8564685965</v>
      </c>
      <c r="BO114" s="34" t="n">
        <f aca="false">BO$113-BN$113</f>
        <v>0</v>
      </c>
      <c r="BP114" s="34" t="n">
        <f aca="false">BP$113-BO$113</f>
        <v>0</v>
      </c>
      <c r="BQ114" s="34" t="n">
        <f aca="false">BQ$113-BP$113</f>
        <v>0</v>
      </c>
      <c r="BR114" s="34" t="n">
        <f aca="false">BR$113-BQ$113</f>
        <v>0</v>
      </c>
      <c r="BS114" s="34" t="n">
        <f aca="false">BS$113-BR$113</f>
        <v>0</v>
      </c>
      <c r="BT114" s="34" t="n">
        <f aca="false">BT$113-BS$113</f>
        <v>0</v>
      </c>
      <c r="BU114" s="34" t="n">
        <f aca="false">BU$113-BT$113</f>
        <v>0</v>
      </c>
      <c r="BV114" s="34" t="n">
        <f aca="false">BV$113-BU$113</f>
        <v>0</v>
      </c>
      <c r="BW114" s="34" t="n">
        <f aca="false">BW$113-BV$113</f>
        <v>0</v>
      </c>
      <c r="BX114" s="34" t="n">
        <f aca="false">BX$113-BW$113</f>
        <v>0</v>
      </c>
      <c r="BY114" s="34" t="n">
        <f aca="false">BY$113-BX$113</f>
        <v>0</v>
      </c>
      <c r="BZ114" s="34" t="n">
        <f aca="false">BZ$113-BY$113</f>
        <v>38089.8932247805</v>
      </c>
      <c r="CA114" s="34" t="n">
        <f aca="false">CA$113-BZ$113</f>
        <v>0</v>
      </c>
      <c r="CB114" s="34" t="n">
        <f aca="false">CB$113-CA$113</f>
        <v>0</v>
      </c>
      <c r="CC114" s="34" t="n">
        <f aca="false">CC$113-CB$113</f>
        <v>0</v>
      </c>
      <c r="CD114" s="34" t="n">
        <f aca="false">CD$113-CC$113</f>
        <v>0</v>
      </c>
      <c r="CE114" s="34" t="n">
        <f aca="false">CE$113-CD$113</f>
        <v>0</v>
      </c>
      <c r="CF114" s="34" t="n">
        <f aca="false">CF$113-CE$113</f>
        <v>0</v>
      </c>
      <c r="CG114" s="34" t="n">
        <f aca="false">CG$113-CF$113</f>
        <v>0</v>
      </c>
      <c r="CH114" s="34" t="n">
        <f aca="false">CH$113-CG$113</f>
        <v>0</v>
      </c>
      <c r="CI114" s="34" t="n">
        <f aca="false">CI$113-CH$113</f>
        <v>0</v>
      </c>
      <c r="CJ114" s="34" t="n">
        <f aca="false">CJ$113-CI$113</f>
        <v>0</v>
      </c>
      <c r="CK114" s="34" t="n">
        <f aca="false">CK$113-CJ$113</f>
        <v>0</v>
      </c>
      <c r="CL114" s="34" t="n">
        <f aca="false">CL$113-CK$113</f>
        <v>38458.2176945191</v>
      </c>
      <c r="CM114" s="34" t="n">
        <f aca="false">CM$113-CL$113</f>
        <v>0</v>
      </c>
      <c r="CN114" s="34" t="n">
        <f aca="false">CN$113-CM$113</f>
        <v>0</v>
      </c>
      <c r="CO114" s="34" t="n">
        <f aca="false">CO$113-CN$113</f>
        <v>0</v>
      </c>
      <c r="CP114" s="34" t="n">
        <f aca="false">CP$113-CO$113</f>
        <v>0</v>
      </c>
      <c r="CQ114" s="34" t="n">
        <f aca="false">CQ$113-CP$113</f>
        <v>0</v>
      </c>
      <c r="CR114" s="34" t="n">
        <f aca="false">CR$113-CQ$113</f>
        <v>0</v>
      </c>
      <c r="CS114" s="34" t="n">
        <f aca="false">CS$113-CR$113</f>
        <v>0</v>
      </c>
      <c r="CT114" s="34" t="n">
        <f aca="false">CT$113-CS$113</f>
        <v>0</v>
      </c>
      <c r="CU114" s="34" t="n">
        <f aca="false">CU$113-CT$113</f>
        <v>0</v>
      </c>
      <c r="CV114" s="34" t="n">
        <f aca="false">CV$113-CU$113</f>
        <v>0</v>
      </c>
      <c r="CW114" s="34" t="n">
        <f aca="false">CW$113-CV$113</f>
        <v>0</v>
      </c>
      <c r="CX114" s="34" t="n">
        <f aca="false">CX$113-CW$113</f>
        <v>38829.851949336</v>
      </c>
      <c r="CY114" s="34" t="n">
        <f aca="false">CY$113-CX$113</f>
        <v>0</v>
      </c>
      <c r="CZ114" s="34" t="n">
        <f aca="false">CZ$113-CY$113</f>
        <v>0</v>
      </c>
      <c r="DA114" s="34" t="n">
        <f aca="false">DA$113-CZ$113</f>
        <v>0</v>
      </c>
      <c r="DB114" s="34" t="n">
        <f aca="false">DB$113-DA$113</f>
        <v>0</v>
      </c>
      <c r="DC114" s="34" t="n">
        <f aca="false">DC$113-DB$113</f>
        <v>0</v>
      </c>
      <c r="DD114" s="34" t="n">
        <f aca="false">DD$113-DC$113</f>
        <v>0</v>
      </c>
      <c r="DE114" s="34" t="n">
        <f aca="false">DE$113-DD$113</f>
        <v>0</v>
      </c>
      <c r="DF114" s="34" t="n">
        <f aca="false">DF$113-DE$113</f>
        <v>0</v>
      </c>
      <c r="DG114" s="34" t="n">
        <f aca="false">DG$113-DF$113</f>
        <v>0</v>
      </c>
      <c r="DH114" s="34" t="n">
        <f aca="false">DH$113-DG$113</f>
        <v>0</v>
      </c>
      <c r="DI114" s="34" t="n">
        <f aca="false">DI$113-DH$113</f>
        <v>0</v>
      </c>
      <c r="DJ114" s="34" t="n">
        <f aca="false">DJ$113-DI$113</f>
        <v>39204.8179587778</v>
      </c>
      <c r="DK114" s="34" t="n">
        <f aca="false">DK$113-DJ$113</f>
        <v>0</v>
      </c>
      <c r="DL114" s="34" t="n">
        <f aca="false">DL$113-DK$113</f>
        <v>0</v>
      </c>
      <c r="DM114" s="34" t="n">
        <f aca="false">DM$113-DL$113</f>
        <v>0</v>
      </c>
      <c r="DN114" s="34" t="n">
        <f aca="false">DN$113-DM$113</f>
        <v>0</v>
      </c>
      <c r="DO114" s="34" t="n">
        <f aca="false">DO$113-DN$113</f>
        <v>0</v>
      </c>
      <c r="DP114" s="34" t="n">
        <f aca="false">DP$113-DO$113</f>
        <v>0</v>
      </c>
      <c r="DQ114" s="34" t="n">
        <f aca="false">DQ$113-DP$113</f>
        <v>0</v>
      </c>
      <c r="DR114" s="34" t="n">
        <f aca="false">DR$113-DQ$113</f>
        <v>0</v>
      </c>
      <c r="DS114" s="34" t="n">
        <f aca="false">DS$113-DR$113</f>
        <v>0</v>
      </c>
      <c r="DT114" s="34" t="n">
        <f aca="false">DT$113-DS$113</f>
        <v>0</v>
      </c>
      <c r="DU114" s="34" t="n">
        <f aca="false">DU$113-DT$113</f>
        <v>0</v>
      </c>
      <c r="DV114" s="34" t="n">
        <f aca="false">DV$113-DU$113</f>
        <v>0</v>
      </c>
      <c r="DW114" s="34" t="n">
        <f aca="false">DW$113-DV$113</f>
        <v>0</v>
      </c>
      <c r="DX114" s="34" t="n">
        <f aca="false">DX$113-DW$113</f>
        <v>0</v>
      </c>
      <c r="DY114" s="34" t="n">
        <f aca="false">DY$113-DX$113</f>
        <v>0</v>
      </c>
      <c r="DZ114" s="34" t="n">
        <f aca="false">DZ$113-DY$113</f>
        <v>0</v>
      </c>
      <c r="EA114" s="34" t="n">
        <f aca="false">EA$113-DZ$113</f>
        <v>0</v>
      </c>
      <c r="EB114" s="34" t="n">
        <f aca="false">EB$113-EA$113</f>
        <v>0</v>
      </c>
      <c r="EC114" s="34" t="n">
        <f aca="false">EC$113-EB$113</f>
        <v>0</v>
      </c>
      <c r="ED114" s="34" t="n">
        <f aca="false">ED$113-EC$113</f>
        <v>0</v>
      </c>
      <c r="EE114" s="34" t="n">
        <f aca="false">EE$113-ED$113</f>
        <v>0</v>
      </c>
      <c r="EF114" s="34" t="n">
        <f aca="false">EF$113-EE$113</f>
        <v>0</v>
      </c>
      <c r="EG114" s="34" t="n">
        <f aca="false">EG$113-EF$113</f>
        <v>0</v>
      </c>
      <c r="EH114" s="34" t="n">
        <f aca="false">EH$113-EG$113</f>
        <v>0</v>
      </c>
      <c r="EI114" s="34" t="n">
        <f aca="false">EI$113-EH$113</f>
        <v>0</v>
      </c>
      <c r="EJ114" s="34" t="n">
        <f aca="false">EJ$113-EI$113</f>
        <v>0</v>
      </c>
      <c r="EK114" s="34" t="n">
        <f aca="false">EK$113-EJ$113</f>
        <v>0</v>
      </c>
      <c r="EL114" s="34" t="n">
        <f aca="false">EL$113-EK$113</f>
        <v>0</v>
      </c>
      <c r="EM114" s="34" t="n">
        <f aca="false">EM$113-EL$113</f>
        <v>0</v>
      </c>
      <c r="EN114" s="34" t="n">
        <f aca="false">EN$113-EM$113</f>
        <v>0</v>
      </c>
      <c r="EO114" s="34" t="n">
        <f aca="false">EO$113-EN$113</f>
        <v>0</v>
      </c>
      <c r="EP114" s="34" t="n">
        <f aca="false">EP$113-EO$113</f>
        <v>0</v>
      </c>
      <c r="EQ114" s="34" t="n">
        <f aca="false">EQ$113-EP$113</f>
        <v>0</v>
      </c>
      <c r="ER114" s="34" t="n">
        <f aca="false">ER$113-EQ$113</f>
        <v>0</v>
      </c>
      <c r="ES114" s="34" t="n">
        <f aca="false">ES$113-ER$113</f>
        <v>0</v>
      </c>
    </row>
    <row r="115" customFormat="false" ht="15" hidden="false" customHeight="false" outlineLevel="0" collapsed="false">
      <c r="A115" s="4"/>
      <c r="B115" s="3" t="s">
        <v>716</v>
      </c>
      <c r="C115" s="4"/>
      <c r="D115" s="4"/>
      <c r="E115" s="4"/>
    </row>
    <row r="116" customFormat="false" ht="15" hidden="false" customHeight="false" outlineLevel="0" collapsed="false">
      <c r="A116" s="2" t="s">
        <v>717</v>
      </c>
      <c r="B116" s="52" t="s">
        <v>718</v>
      </c>
      <c r="C116" s="6" t="s">
        <v>250</v>
      </c>
      <c r="E116" s="40" t="n">
        <f aca="false">SUM(F116:ES116)</f>
        <v>11809741.4989387</v>
      </c>
      <c r="F116" s="10" t="n">
        <f aca="false">(F$102-F$106-F$114)*F$9</f>
        <v>-2345566.38688344</v>
      </c>
      <c r="G116" s="10" t="n">
        <f aca="false">(G$102-G$106-G$114)*G$9</f>
        <v>42497.5004755897</v>
      </c>
      <c r="H116" s="10" t="n">
        <f aca="false">(H$102-H$106-H$114)*H$9</f>
        <v>42497.5004755897</v>
      </c>
      <c r="I116" s="10" t="n">
        <f aca="false">(I$102-I$106-I$114)*I$9</f>
        <v>42497.5004755897</v>
      </c>
      <c r="J116" s="10" t="n">
        <f aca="false">(J$102-J$106-J$114)*J$9</f>
        <v>42497.5004755897</v>
      </c>
      <c r="K116" s="10" t="n">
        <f aca="false">(K$102-K$106-K$114)*K$9</f>
        <v>42497.5004755897</v>
      </c>
      <c r="L116" s="10" t="n">
        <f aca="false">(L$102-L$106-L$114)*L$9</f>
        <v>42497.5004755897</v>
      </c>
      <c r="M116" s="10" t="n">
        <f aca="false">(M$102-M$106-M$114)*M$9</f>
        <v>42497.5004755897</v>
      </c>
      <c r="N116" s="10" t="n">
        <f aca="false">(N$102-N$106-N$114)*N$9</f>
        <v>42497.5004755897</v>
      </c>
      <c r="O116" s="10" t="n">
        <f aca="false">(O$102-O$106-O$114)*O$9</f>
        <v>42497.5004755897</v>
      </c>
      <c r="P116" s="10" t="n">
        <f aca="false">(P$102-P$106-P$114)*P$9</f>
        <v>42497.5004755897</v>
      </c>
      <c r="Q116" s="10" t="n">
        <f aca="false">(Q$102-Q$106-Q$114)*Q$9</f>
        <v>42497.5004755897</v>
      </c>
      <c r="R116" s="10" t="n">
        <f aca="false">(R$102-R$106-R$114)*R$9</f>
        <v>-574649.041401679</v>
      </c>
      <c r="S116" s="10" t="n">
        <f aca="false">(S$102-S$106-S$114)*S$9</f>
        <v>80496.4029939648</v>
      </c>
      <c r="T116" s="10" t="n">
        <f aca="false">(T$102-T$106-T$114)*T$9</f>
        <v>80496.4029939648</v>
      </c>
      <c r="U116" s="10" t="n">
        <f aca="false">(U$102-U$106-U$114)*U$9</f>
        <v>80496.4029939648</v>
      </c>
      <c r="V116" s="10" t="n">
        <f aca="false">(V$102-V$106-V$114)*V$9</f>
        <v>80496.4029939648</v>
      </c>
      <c r="W116" s="10" t="n">
        <f aca="false">(W$102-W$106-W$114)*W$9</f>
        <v>80496.4029939648</v>
      </c>
      <c r="X116" s="10" t="n">
        <f aca="false">(X$102-X$106-X$114)*X$9</f>
        <v>80496.4029939648</v>
      </c>
      <c r="Y116" s="10" t="n">
        <f aca="false">(Y$102-Y$106-Y$114)*Y$9</f>
        <v>80496.4029939648</v>
      </c>
      <c r="Z116" s="10" t="n">
        <f aca="false">(Z$102-Z$106-Z$114)*Z$9</f>
        <v>80496.4029939648</v>
      </c>
      <c r="AA116" s="10" t="n">
        <f aca="false">(AA$102-AA$106-AA$114)*AA$9</f>
        <v>80496.4029939648</v>
      </c>
      <c r="AB116" s="10" t="n">
        <f aca="false">(AB$102-AB$106-AB$114)*AB$9</f>
        <v>80496.4029939648</v>
      </c>
      <c r="AC116" s="10" t="n">
        <f aca="false">(AC$102-AC$106-AC$114)*AC$9</f>
        <v>80496.4029939648</v>
      </c>
      <c r="AD116" s="10" t="n">
        <f aca="false">(AD$102-AD$106-AD$114)*AD$9</f>
        <v>-550241.899767298</v>
      </c>
      <c r="AE116" s="10" t="n">
        <f aca="false">(AE$102-AE$106-AE$114)*AE$9</f>
        <v>117085.030865125</v>
      </c>
      <c r="AF116" s="10" t="n">
        <f aca="false">(AF$102-AF$106-AF$114)*AF$9</f>
        <v>117085.030865125</v>
      </c>
      <c r="AG116" s="10" t="n">
        <f aca="false">(AG$102-AG$106-AG$114)*AG$9</f>
        <v>117085.030865125</v>
      </c>
      <c r="AH116" s="10" t="n">
        <f aca="false">(AH$102-AH$106-AH$114)*AH$9</f>
        <v>117085.030865125</v>
      </c>
      <c r="AI116" s="10" t="n">
        <f aca="false">(AI$102-AI$106-AI$114)*AI$9</f>
        <v>117085.030865125</v>
      </c>
      <c r="AJ116" s="10" t="n">
        <f aca="false">(AJ$102-AJ$106-AJ$114)*AJ$9</f>
        <v>117085.030865125</v>
      </c>
      <c r="AK116" s="10" t="n">
        <f aca="false">(AK$102-AK$106-AK$114)*AK$9</f>
        <v>117085.030865125</v>
      </c>
      <c r="AL116" s="10" t="n">
        <f aca="false">(AL$102-AL$106-AL$114)*AL$9</f>
        <v>117085.030865125</v>
      </c>
      <c r="AM116" s="10" t="n">
        <f aca="false">(AM$102-AM$106-AM$114)*AM$9</f>
        <v>117085.030865125</v>
      </c>
      <c r="AN116" s="10" t="n">
        <f aca="false">(AN$102-AN$106-AN$114)*AN$9</f>
        <v>117085.030865125</v>
      </c>
      <c r="AO116" s="10" t="n">
        <f aca="false">(AO$102-AO$106-AO$114)*AO$9</f>
        <v>117085.030865125</v>
      </c>
      <c r="AP116" s="10" t="n">
        <f aca="false">(AP$102-AP$106-AP$114)*AP$9</f>
        <v>-408915.490053455</v>
      </c>
      <c r="AQ116" s="10" t="n">
        <f aca="false">(AQ$102-AQ$106-AQ$114)*AQ$9</f>
        <v>149893.579879858</v>
      </c>
      <c r="AR116" s="10" t="n">
        <f aca="false">(AR$102-AR$106-AR$114)*AR$9</f>
        <v>149893.579879858</v>
      </c>
      <c r="AS116" s="10" t="n">
        <f aca="false">(AS$102-AS$106-AS$114)*AS$9</f>
        <v>149893.579879858</v>
      </c>
      <c r="AT116" s="10" t="n">
        <f aca="false">(AT$102-AT$106-AT$114)*AT$9</f>
        <v>149893.579879858</v>
      </c>
      <c r="AU116" s="10" t="n">
        <f aca="false">(AU$102-AU$106-AU$114)*AU$9</f>
        <v>149893.579879858</v>
      </c>
      <c r="AV116" s="10" t="n">
        <f aca="false">(AV$102-AV$106-AV$114)*AV$9</f>
        <v>149893.579879858</v>
      </c>
      <c r="AW116" s="10" t="n">
        <f aca="false">(AW$102-AW$106-AW$114)*AW$9</f>
        <v>149893.579879858</v>
      </c>
      <c r="AX116" s="10" t="n">
        <f aca="false">(AX$102-AX$106-AX$114)*AX$9</f>
        <v>149893.579879858</v>
      </c>
      <c r="AY116" s="10" t="n">
        <f aca="false">(AY$102-AY$106-AY$114)*AY$9</f>
        <v>149893.579879858</v>
      </c>
      <c r="AZ116" s="10" t="n">
        <f aca="false">(AZ$102-AZ$106-AZ$114)*AZ$9</f>
        <v>149893.579879858</v>
      </c>
      <c r="BA116" s="10" t="n">
        <f aca="false">(BA$102-BA$106-BA$114)*BA$9</f>
        <v>149893.579879858</v>
      </c>
      <c r="BB116" s="10" t="n">
        <f aca="false">(BB$102-BB$106-BB$114)*BB$9</f>
        <v>113103.617170514</v>
      </c>
      <c r="BC116" s="10" t="n">
        <f aca="false">(BC$102-BC$106-BC$114)*BC$9</f>
        <v>151213.164876374</v>
      </c>
      <c r="BD116" s="10" t="n">
        <f aca="false">(BD$102-BD$106-BD$114)*BD$9</f>
        <v>151213.164876374</v>
      </c>
      <c r="BE116" s="10" t="n">
        <f aca="false">(BE$102-BE$106-BE$114)*BE$9</f>
        <v>151213.164876374</v>
      </c>
      <c r="BF116" s="10" t="n">
        <f aca="false">(BF$102-BF$106-BF$114)*BF$9</f>
        <v>151213.164876374</v>
      </c>
      <c r="BG116" s="10" t="n">
        <f aca="false">(BG$102-BG$106-BG$114)*BG$9</f>
        <v>151213.164876374</v>
      </c>
      <c r="BH116" s="10" t="n">
        <f aca="false">(BH$102-BH$106-BH$114)*BH$9</f>
        <v>151213.164876374</v>
      </c>
      <c r="BI116" s="10" t="n">
        <f aca="false">(BI$102-BI$106-BI$114)*BI$9</f>
        <v>151213.164876374</v>
      </c>
      <c r="BJ116" s="10" t="n">
        <f aca="false">(BJ$102-BJ$106-BJ$114)*BJ$9</f>
        <v>151213.164876374</v>
      </c>
      <c r="BK116" s="10" t="n">
        <f aca="false">(BK$102-BK$106-BK$114)*BK$9</f>
        <v>151213.164876374</v>
      </c>
      <c r="BL116" s="10" t="n">
        <f aca="false">(BL$102-BL$106-BL$114)*BL$9</f>
        <v>151213.164876374</v>
      </c>
      <c r="BM116" s="10" t="n">
        <f aca="false">(BM$102-BM$106-BM$114)*BM$9</f>
        <v>151213.164876374</v>
      </c>
      <c r="BN116" s="10" t="n">
        <f aca="false">(BN$102-BN$106-BN$114)*BN$9</f>
        <v>117575.58532923</v>
      </c>
      <c r="BO116" s="10" t="n">
        <f aca="false">(BO$102-BO$106-BO$114)*BO$9</f>
        <v>155300.441797826</v>
      </c>
      <c r="BP116" s="10" t="n">
        <f aca="false">(BP$102-BP$106-BP$114)*BP$9</f>
        <v>155300.441797826</v>
      </c>
      <c r="BQ116" s="10" t="n">
        <f aca="false">(BQ$102-BQ$106-BQ$114)*BQ$9</f>
        <v>155300.441797826</v>
      </c>
      <c r="BR116" s="10" t="n">
        <f aca="false">(BR$102-BR$106-BR$114)*BR$9</f>
        <v>155300.441797826</v>
      </c>
      <c r="BS116" s="10" t="n">
        <f aca="false">(BS$102-BS$106-BS$114)*BS$9</f>
        <v>155300.441797826</v>
      </c>
      <c r="BT116" s="10" t="n">
        <f aca="false">(BT$102-BT$106-BT$114)*BT$9</f>
        <v>155300.441797826</v>
      </c>
      <c r="BU116" s="10" t="n">
        <f aca="false">(BU$102-BU$106-BU$114)*BU$9</f>
        <v>155300.441797826</v>
      </c>
      <c r="BV116" s="10" t="n">
        <f aca="false">(BV$102-BV$106-BV$114)*BV$9</f>
        <v>155300.441797826</v>
      </c>
      <c r="BW116" s="10" t="n">
        <f aca="false">(BW$102-BW$106-BW$114)*BW$9</f>
        <v>155300.441797826</v>
      </c>
      <c r="BX116" s="10" t="n">
        <f aca="false">(BX$102-BX$106-BX$114)*BX$9</f>
        <v>155300.441797826</v>
      </c>
      <c r="BY116" s="10" t="n">
        <f aca="false">(BY$102-BY$106-BY$114)*BY$9</f>
        <v>155300.441797826</v>
      </c>
      <c r="BZ116" s="10" t="n">
        <f aca="false">(BZ$102-BZ$106-BZ$114)*BZ$9</f>
        <v>121326.129264619</v>
      </c>
      <c r="CA116" s="10" t="n">
        <f aca="false">(CA$102-CA$106-CA$114)*CA$9</f>
        <v>159416.0224894</v>
      </c>
      <c r="CB116" s="10" t="n">
        <f aca="false">(CB$102-CB$106-CB$114)*CB$9</f>
        <v>159416.0224894</v>
      </c>
      <c r="CC116" s="10" t="n">
        <f aca="false">(CC$102-CC$106-CC$114)*CC$9</f>
        <v>159416.0224894</v>
      </c>
      <c r="CD116" s="10" t="n">
        <f aca="false">(CD$102-CD$106-CD$114)*CD$9</f>
        <v>159416.0224894</v>
      </c>
      <c r="CE116" s="10" t="n">
        <f aca="false">(CE$102-CE$106-CE$114)*CE$9</f>
        <v>159416.0224894</v>
      </c>
      <c r="CF116" s="10" t="n">
        <f aca="false">(CF$102-CF$106-CF$114)*CF$9</f>
        <v>159416.0224894</v>
      </c>
      <c r="CG116" s="10" t="n">
        <f aca="false">(CG$102-CG$106-CG$114)*CG$9</f>
        <v>159416.0224894</v>
      </c>
      <c r="CH116" s="10" t="n">
        <f aca="false">(CH$102-CH$106-CH$114)*CH$9</f>
        <v>159416.0224894</v>
      </c>
      <c r="CI116" s="10" t="n">
        <f aca="false">(CI$102-CI$106-CI$114)*CI$9</f>
        <v>159416.0224894</v>
      </c>
      <c r="CJ116" s="10" t="n">
        <f aca="false">(CJ$102-CJ$106-CJ$114)*CJ$9</f>
        <v>159416.0224894</v>
      </c>
      <c r="CK116" s="10" t="n">
        <f aca="false">(CK$102-CK$106-CK$114)*CK$9</f>
        <v>159416.0224894</v>
      </c>
      <c r="CL116" s="10" t="n">
        <f aca="false">(CL$102-CL$106-CL$114)*CL$9</f>
        <v>125101.600851768</v>
      </c>
      <c r="CM116" s="10" t="n">
        <f aca="false">(CM$102-CM$106-CM$114)*CM$9</f>
        <v>163559.818546288</v>
      </c>
      <c r="CN116" s="10" t="n">
        <f aca="false">(CN$102-CN$106-CN$114)*CN$9</f>
        <v>163559.818546288</v>
      </c>
      <c r="CO116" s="10" t="n">
        <f aca="false">(CO$102-CO$106-CO$114)*CO$9</f>
        <v>163559.818546288</v>
      </c>
      <c r="CP116" s="10" t="n">
        <f aca="false">(CP$102-CP$106-CP$114)*CP$9</f>
        <v>163559.818546288</v>
      </c>
      <c r="CQ116" s="10" t="n">
        <f aca="false">(CQ$102-CQ$106-CQ$114)*CQ$9</f>
        <v>163559.818546288</v>
      </c>
      <c r="CR116" s="10" t="n">
        <f aca="false">(CR$102-CR$106-CR$114)*CR$9</f>
        <v>163559.818546288</v>
      </c>
      <c r="CS116" s="10" t="n">
        <f aca="false">(CS$102-CS$106-CS$114)*CS$9</f>
        <v>163559.818546288</v>
      </c>
      <c r="CT116" s="10" t="n">
        <f aca="false">(CT$102-CT$106-CT$114)*CT$9</f>
        <v>163559.818546288</v>
      </c>
      <c r="CU116" s="10" t="n">
        <f aca="false">(CU$102-CU$106-CU$114)*CU$9</f>
        <v>163559.818546288</v>
      </c>
      <c r="CV116" s="10" t="n">
        <f aca="false">(CV$102-CV$106-CV$114)*CV$9</f>
        <v>163559.818546288</v>
      </c>
      <c r="CW116" s="10" t="n">
        <f aca="false">(CW$102-CW$106-CW$114)*CW$9</f>
        <v>163559.818546288</v>
      </c>
      <c r="CX116" s="10" t="n">
        <f aca="false">(CX$102-CX$106-CX$114)*CX$9</f>
        <v>128901.877699572</v>
      </c>
      <c r="CY116" s="10" t="n">
        <f aca="false">(CY$102-CY$106-CY$114)*CY$9</f>
        <v>167731.729648908</v>
      </c>
      <c r="CZ116" s="10" t="n">
        <f aca="false">(CZ$102-CZ$106-CZ$114)*CZ$9</f>
        <v>167731.729648908</v>
      </c>
      <c r="DA116" s="10" t="n">
        <f aca="false">(DA$102-DA$106-DA$114)*DA$9</f>
        <v>167731.729648908</v>
      </c>
      <c r="DB116" s="10" t="n">
        <f aca="false">(DB$102-DB$106-DB$114)*DB$9</f>
        <v>167731.729648908</v>
      </c>
      <c r="DC116" s="10" t="n">
        <f aca="false">(DC$102-DC$106-DC$114)*DC$9</f>
        <v>167731.729648908</v>
      </c>
      <c r="DD116" s="10" t="n">
        <f aca="false">(DD$102-DD$106-DD$114)*DD$9</f>
        <v>167731.729648908</v>
      </c>
      <c r="DE116" s="10" t="n">
        <f aca="false">(DE$102-DE$106-DE$114)*DE$9</f>
        <v>167731.729648908</v>
      </c>
      <c r="DF116" s="10" t="n">
        <f aca="false">(DF$102-DF$106-DF$114)*DF$9</f>
        <v>167731.729648908</v>
      </c>
      <c r="DG116" s="10" t="n">
        <f aca="false">(DG$102-DG$106-DG$114)*DG$9</f>
        <v>167731.729648908</v>
      </c>
      <c r="DH116" s="10" t="n">
        <f aca="false">(DH$102-DH$106-DH$114)*DH$9</f>
        <v>167731.729648908</v>
      </c>
      <c r="DI116" s="10" t="n">
        <f aca="false">(DI$102-DI$106-DI$114)*DI$9</f>
        <v>167731.729648908</v>
      </c>
      <c r="DJ116" s="10" t="n">
        <f aca="false">(DJ$102-DJ$106-DJ$114)*DJ$9</f>
        <v>132726.825156308</v>
      </c>
      <c r="DK116" s="10" t="n">
        <f aca="false">(DK$102-DK$106-DK$114)*DK$9</f>
        <v>171931.643115086</v>
      </c>
      <c r="DL116" s="10" t="n">
        <f aca="false">(DL$102-DL$106-DL$114)*DL$9</f>
        <v>171931.643115086</v>
      </c>
      <c r="DM116" s="10" t="n">
        <f aca="false">(DM$102-DM$106-DM$114)*DM$9</f>
        <v>171931.643115086</v>
      </c>
      <c r="DN116" s="10" t="n">
        <f aca="false">(DN$102-DN$106-DN$114)*DN$9</f>
        <v>171931.643115086</v>
      </c>
      <c r="DO116" s="10" t="n">
        <f aca="false">(DO$102-DO$106-DO$114)*DO$9</f>
        <v>171931.643115086</v>
      </c>
      <c r="DP116" s="10" t="n">
        <f aca="false">(DP$102-DP$106-DP$114)*DP$9</f>
        <v>171931.643115086</v>
      </c>
      <c r="DQ116" s="10" t="n">
        <f aca="false">(DQ$102-DQ$106-DQ$114)*DQ$9</f>
        <v>171931.643115086</v>
      </c>
      <c r="DR116" s="10" t="n">
        <f aca="false">(DR$102-DR$106-DR$114)*DR$9</f>
        <v>171931.643115086</v>
      </c>
      <c r="DS116" s="10" t="n">
        <f aca="false">(DS$102-DS$106-DS$114)*DS$9</f>
        <v>171931.643115086</v>
      </c>
      <c r="DT116" s="10" t="n">
        <f aca="false">(DT$102-DT$106-DT$114)*DT$9</f>
        <v>171931.643115086</v>
      </c>
      <c r="DU116" s="10" t="n">
        <f aca="false">(DU$102-DU$106-DU$114)*DU$9</f>
        <v>171931.643115086</v>
      </c>
      <c r="DV116" s="10" t="n">
        <f aca="false">(DV$102-DV$106-DV$114)*DV$9</f>
        <v>0</v>
      </c>
      <c r="DW116" s="10" t="n">
        <f aca="false">(DW$102-DW$106-DW$114)*DW$9</f>
        <v>0</v>
      </c>
      <c r="DX116" s="10" t="n">
        <f aca="false">(DX$102-DX$106-DX$114)*DX$9</f>
        <v>0</v>
      </c>
      <c r="DY116" s="10" t="n">
        <f aca="false">(DY$102-DY$106-DY$114)*DY$9</f>
        <v>0</v>
      </c>
      <c r="DZ116" s="10" t="n">
        <f aca="false">(DZ$102-DZ$106-DZ$114)*DZ$9</f>
        <v>0</v>
      </c>
      <c r="EA116" s="10" t="n">
        <f aca="false">(EA$102-EA$106-EA$114)*EA$9</f>
        <v>0</v>
      </c>
      <c r="EB116" s="10" t="n">
        <f aca="false">(EB$102-EB$106-EB$114)*EB$9</f>
        <v>0</v>
      </c>
      <c r="EC116" s="10" t="n">
        <f aca="false">(EC$102-EC$106-EC$114)*EC$9</f>
        <v>0</v>
      </c>
      <c r="ED116" s="10" t="n">
        <f aca="false">(ED$102-ED$106-ED$114)*ED$9</f>
        <v>0</v>
      </c>
      <c r="EE116" s="10" t="n">
        <f aca="false">(EE$102-EE$106-EE$114)*EE$9</f>
        <v>0</v>
      </c>
      <c r="EF116" s="10" t="n">
        <f aca="false">(EF$102-EF$106-EF$114)*EF$9</f>
        <v>0</v>
      </c>
      <c r="EG116" s="10" t="n">
        <f aca="false">(EG$102-EG$106-EG$114)*EG$9</f>
        <v>0</v>
      </c>
      <c r="EH116" s="10" t="n">
        <f aca="false">(EH$102-EH$106-EH$114)*EH$9</f>
        <v>0</v>
      </c>
      <c r="EI116" s="10" t="n">
        <f aca="false">(EI$102-EI$106-EI$114)*EI$9</f>
        <v>0</v>
      </c>
      <c r="EJ116" s="10" t="n">
        <f aca="false">(EJ$102-EJ$106-EJ$114)*EJ$9</f>
        <v>0</v>
      </c>
      <c r="EK116" s="10" t="n">
        <f aca="false">(EK$102-EK$106-EK$114)*EK$9</f>
        <v>0</v>
      </c>
      <c r="EL116" s="10" t="n">
        <f aca="false">(EL$102-EL$106-EL$114)*EL$9</f>
        <v>0</v>
      </c>
      <c r="EM116" s="10" t="n">
        <f aca="false">(EM$102-EM$106-EM$114)*EM$9</f>
        <v>0</v>
      </c>
      <c r="EN116" s="10" t="n">
        <f aca="false">(EN$102-EN$106-EN$114)*EN$9</f>
        <v>0</v>
      </c>
      <c r="EO116" s="10" t="n">
        <f aca="false">(EO$102-EO$106-EO$114)*EO$9</f>
        <v>0</v>
      </c>
      <c r="EP116" s="10" t="n">
        <f aca="false">(EP$102-EP$106-EP$114)*EP$9</f>
        <v>0</v>
      </c>
      <c r="EQ116" s="10" t="n">
        <f aca="false">(EQ$102-EQ$106-EQ$114)*EQ$9</f>
        <v>0</v>
      </c>
      <c r="ER116" s="10" t="n">
        <f aca="false">(ER$102-ER$106-ER$114)*ER$9</f>
        <v>0</v>
      </c>
      <c r="ES116" s="10" t="n">
        <f aca="false">(ES$102-ES$106-ES$114)*ES$9</f>
        <v>0</v>
      </c>
    </row>
    <row r="117" customFormat="false" ht="15" hidden="false" customHeight="false" outlineLevel="0" collapsed="false">
      <c r="A117" s="2" t="s">
        <v>719</v>
      </c>
      <c r="B117" s="6" t="s">
        <v>532</v>
      </c>
      <c r="C117" s="6" t="s">
        <v>250</v>
      </c>
      <c r="E117" s="40" t="n">
        <f aca="false">SUM(F117:ES117)</f>
        <v>755044.09</v>
      </c>
      <c r="F117" s="34" t="n">
        <f aca="false">SUMIF(Inv_E,1,Inv_D)*F$9</f>
        <v>655044.09</v>
      </c>
      <c r="G117" s="34" t="n">
        <f aca="false">SUMIF(Inv_E,2,Inv_D)*G$9</f>
        <v>0</v>
      </c>
      <c r="H117" s="34" t="n">
        <f aca="false">SUMIF(Inv_E,3,Inv_D)*H$9</f>
        <v>0</v>
      </c>
      <c r="I117" s="34" t="n">
        <f aca="false">SUMIF(Inv_E,4,Inv_D)*I$9</f>
        <v>0</v>
      </c>
      <c r="J117" s="34" t="n">
        <f aca="false">SUMIF(Inv_E,5,Inv_D)*J$9</f>
        <v>0</v>
      </c>
      <c r="K117" s="34" t="n">
        <f aca="false">SUMIF(Inv_E,6,Inv_D)*K$9</f>
        <v>0</v>
      </c>
      <c r="L117" s="34" t="n">
        <f aca="false">SUMIF(Inv_E,7,Inv_D)*L$9</f>
        <v>0</v>
      </c>
      <c r="M117" s="34" t="n">
        <f aca="false">SUMIF(Inv_E,8,Inv_D)*M$9</f>
        <v>0</v>
      </c>
      <c r="N117" s="34" t="n">
        <f aca="false">SUMIF(Inv_E,9,Inv_D)*N$9</f>
        <v>0</v>
      </c>
      <c r="O117" s="34" t="n">
        <f aca="false">SUMIF(Inv_E,10,Inv_D)*O$9</f>
        <v>0</v>
      </c>
      <c r="P117" s="34" t="n">
        <f aca="false">SUMIF(Inv_E,11,Inv_D)*P$9</f>
        <v>0</v>
      </c>
      <c r="Q117" s="34" t="n">
        <f aca="false">SUMIF(Inv_E,12,Inv_D)*Q$9</f>
        <v>0</v>
      </c>
      <c r="R117" s="34" t="n">
        <f aca="false">SUMIF(Inv_E,13,Inv_D)*R$9</f>
        <v>100000</v>
      </c>
      <c r="S117" s="34" t="n">
        <f aca="false">SUMIF(Inv_E,14,Inv_D)*S$9</f>
        <v>0</v>
      </c>
      <c r="T117" s="34" t="n">
        <f aca="false">SUMIF(Inv_E,15,Inv_D)*T$9</f>
        <v>0</v>
      </c>
      <c r="U117" s="34" t="n">
        <f aca="false">SUMIF(Inv_E,16,Inv_D)*U$9</f>
        <v>0</v>
      </c>
      <c r="V117" s="34" t="n">
        <f aca="false">SUMIF(Inv_E,17,Inv_D)*V$9</f>
        <v>0</v>
      </c>
      <c r="W117" s="34" t="n">
        <f aca="false">SUMIF(Inv_E,18,Inv_D)*W$9</f>
        <v>0</v>
      </c>
      <c r="X117" s="34" t="n">
        <f aca="false">SUMIF(Inv_E,19,Inv_D)*X$9</f>
        <v>0</v>
      </c>
      <c r="Y117" s="34" t="n">
        <f aca="false">SUMIF(Inv_E,20,Inv_D)*Y$9</f>
        <v>0</v>
      </c>
      <c r="Z117" s="34" t="n">
        <f aca="false">SUMIF(Inv_E,21,Inv_D)*Z$9</f>
        <v>0</v>
      </c>
      <c r="AA117" s="34" t="n">
        <f aca="false">SUMIF(Inv_E,22,Inv_D)*AA$9</f>
        <v>0</v>
      </c>
      <c r="AB117" s="34" t="n">
        <f aca="false">SUMIF(Inv_E,23,Inv_D)*AB$9</f>
        <v>0</v>
      </c>
      <c r="AC117" s="34" t="n">
        <f aca="false">SUMIF(Inv_E,24,Inv_D)*AC$9</f>
        <v>0</v>
      </c>
      <c r="AD117" s="34" t="n">
        <f aca="false">SUMIF(Inv_E,25,Inv_D)*AD$9</f>
        <v>0</v>
      </c>
      <c r="AE117" s="34" t="n">
        <f aca="false">SUMIF(Inv_E,26,Inv_D)*AE$9</f>
        <v>0</v>
      </c>
      <c r="AF117" s="34" t="n">
        <f aca="false">SUMIF(Inv_E,27,Inv_D)*AF$9</f>
        <v>0</v>
      </c>
      <c r="AG117" s="34" t="n">
        <f aca="false">SUMIF(Inv_E,28,Inv_D)*AG$9</f>
        <v>0</v>
      </c>
      <c r="AH117" s="34" t="n">
        <f aca="false">SUMIF(Inv_E,29,Inv_D)*AH$9</f>
        <v>0</v>
      </c>
      <c r="AI117" s="34" t="n">
        <f aca="false">SUMIF(Inv_E,30,Inv_D)*AI$9</f>
        <v>0</v>
      </c>
      <c r="AJ117" s="34" t="n">
        <f aca="false">SUMIF(Inv_E,31,Inv_D)*AJ$9</f>
        <v>0</v>
      </c>
      <c r="AK117" s="34" t="n">
        <f aca="false">SUMIF(Inv_E,32,Inv_D)*AK$9</f>
        <v>0</v>
      </c>
      <c r="AL117" s="34" t="n">
        <f aca="false">SUMIF(Inv_E,33,Inv_D)*AL$9</f>
        <v>0</v>
      </c>
      <c r="AM117" s="34" t="n">
        <f aca="false">SUMIF(Inv_E,34,Inv_D)*AM$9</f>
        <v>0</v>
      </c>
      <c r="AN117" s="34" t="n">
        <f aca="false">SUMIF(Inv_E,35,Inv_D)*AN$9</f>
        <v>0</v>
      </c>
      <c r="AO117" s="34" t="n">
        <f aca="false">SUMIF(Inv_E,36,Inv_D)*AO$9</f>
        <v>0</v>
      </c>
      <c r="AP117" s="34" t="n">
        <f aca="false">SUMIF(Inv_E,37,Inv_D)*AP$9</f>
        <v>0</v>
      </c>
      <c r="AQ117" s="34" t="n">
        <f aca="false">SUMIF(Inv_E,38,Inv_D)*AQ$9</f>
        <v>0</v>
      </c>
      <c r="AR117" s="34" t="n">
        <f aca="false">SUMIF(Inv_E,39,Inv_D)*AR$9</f>
        <v>0</v>
      </c>
      <c r="AS117" s="34" t="n">
        <f aca="false">SUMIF(Inv_E,40,Inv_D)*AS$9</f>
        <v>0</v>
      </c>
      <c r="AT117" s="34" t="n">
        <f aca="false">SUMIF(Inv_E,41,Inv_D)*AT$9</f>
        <v>0</v>
      </c>
      <c r="AU117" s="34" t="n">
        <f aca="false">SUMIF(Inv_E,42,Inv_D)*AU$9</f>
        <v>0</v>
      </c>
      <c r="AV117" s="34" t="n">
        <f aca="false">SUMIF(Inv_E,43,Inv_D)*AV$9</f>
        <v>0</v>
      </c>
      <c r="AW117" s="34" t="n">
        <f aca="false">SUMIF(Inv_E,44,Inv_D)*AW$9</f>
        <v>0</v>
      </c>
      <c r="AX117" s="34" t="n">
        <f aca="false">SUMIF(Inv_E,45,Inv_D)*AX$9</f>
        <v>0</v>
      </c>
      <c r="AY117" s="34" t="n">
        <f aca="false">SUMIF(Inv_E,46,Inv_D)*AY$9</f>
        <v>0</v>
      </c>
      <c r="AZ117" s="34" t="n">
        <f aca="false">SUMIF(Inv_E,47,Inv_D)*AZ$9</f>
        <v>0</v>
      </c>
      <c r="BA117" s="34" t="n">
        <f aca="false">SUMIF(Inv_E,48,Inv_D)*BA$9</f>
        <v>0</v>
      </c>
      <c r="BB117" s="34" t="n">
        <f aca="false">SUMIF(Inv_E,49,Inv_D)*BB$9</f>
        <v>0</v>
      </c>
      <c r="BC117" s="34" t="n">
        <f aca="false">SUMIF(Inv_E,50,Inv_D)*BC$9</f>
        <v>0</v>
      </c>
      <c r="BD117" s="34" t="n">
        <f aca="false">SUMIF(Inv_E,51,Inv_D)*BD$9</f>
        <v>0</v>
      </c>
      <c r="BE117" s="34" t="n">
        <f aca="false">SUMIF(Inv_E,52,Inv_D)*BE$9</f>
        <v>0</v>
      </c>
      <c r="BF117" s="34" t="n">
        <f aca="false">SUMIF(Inv_E,53,Inv_D)*BF$9</f>
        <v>0</v>
      </c>
      <c r="BG117" s="34" t="n">
        <f aca="false">SUMIF(Inv_E,54,Inv_D)*BG$9</f>
        <v>0</v>
      </c>
      <c r="BH117" s="34" t="n">
        <f aca="false">SUMIF(Inv_E,55,Inv_D)*BH$9</f>
        <v>0</v>
      </c>
      <c r="BI117" s="34" t="n">
        <f aca="false">SUMIF(Inv_E,56,Inv_D)*BI$9</f>
        <v>0</v>
      </c>
      <c r="BJ117" s="34" t="n">
        <f aca="false">SUMIF(Inv_E,57,Inv_D)*BJ$9</f>
        <v>0</v>
      </c>
      <c r="BK117" s="34" t="n">
        <f aca="false">SUMIF(Inv_E,58,Inv_D)*BK$9</f>
        <v>0</v>
      </c>
      <c r="BL117" s="34" t="n">
        <f aca="false">SUMIF(Inv_E,59,Inv_D)*BL$9</f>
        <v>0</v>
      </c>
      <c r="BM117" s="34" t="n">
        <f aca="false">SUMIF(Inv_E,60,Inv_D)*BM$9</f>
        <v>0</v>
      </c>
      <c r="BN117" s="34" t="n">
        <f aca="false">SUMIF(Inv_E,61,Inv_D)*BN$9</f>
        <v>0</v>
      </c>
      <c r="BO117" s="34" t="n">
        <f aca="false">SUMIF(Inv_E,62,Inv_D)*BO$9</f>
        <v>0</v>
      </c>
      <c r="BP117" s="34" t="n">
        <f aca="false">SUMIF(Inv_E,63,Inv_D)*BP$9</f>
        <v>0</v>
      </c>
      <c r="BQ117" s="34" t="n">
        <f aca="false">SUMIF(Inv_E,64,Inv_D)*BQ$9</f>
        <v>0</v>
      </c>
      <c r="BR117" s="34" t="n">
        <f aca="false">SUMIF(Inv_E,65,Inv_D)*BR$9</f>
        <v>0</v>
      </c>
      <c r="BS117" s="34" t="n">
        <f aca="false">SUMIF(Inv_E,66,Inv_D)*BS$9</f>
        <v>0</v>
      </c>
      <c r="BT117" s="34" t="n">
        <f aca="false">SUMIF(Inv_E,67,Inv_D)*BT$9</f>
        <v>0</v>
      </c>
      <c r="BU117" s="34" t="n">
        <f aca="false">SUMIF(Inv_E,68,Inv_D)*BU$9</f>
        <v>0</v>
      </c>
      <c r="BV117" s="34" t="n">
        <f aca="false">SUMIF(Inv_E,69,Inv_D)*BV$9</f>
        <v>0</v>
      </c>
      <c r="BW117" s="34" t="n">
        <f aca="false">SUMIF(Inv_E,70,Inv_D)*BW$9</f>
        <v>0</v>
      </c>
      <c r="BX117" s="34" t="n">
        <f aca="false">SUMIF(Inv_E,71,Inv_D)*BX$9</f>
        <v>0</v>
      </c>
      <c r="BY117" s="34" t="n">
        <f aca="false">SUMIF(Inv_E,72,Inv_D)*BY$9</f>
        <v>0</v>
      </c>
      <c r="BZ117" s="34" t="n">
        <f aca="false">SUMIF(Inv_E,73,Inv_D)*BZ$9</f>
        <v>0</v>
      </c>
      <c r="CA117" s="34" t="n">
        <f aca="false">SUMIF(Inv_E,74,Inv_D)*CA$9</f>
        <v>0</v>
      </c>
      <c r="CB117" s="34" t="n">
        <f aca="false">SUMIF(Inv_E,75,Inv_D)*CB$9</f>
        <v>0</v>
      </c>
      <c r="CC117" s="34" t="n">
        <f aca="false">SUMIF(Inv_E,76,Inv_D)*CC$9</f>
        <v>0</v>
      </c>
      <c r="CD117" s="34" t="n">
        <f aca="false">SUMIF(Inv_E,77,Inv_D)*CD$9</f>
        <v>0</v>
      </c>
      <c r="CE117" s="34" t="n">
        <f aca="false">SUMIF(Inv_E,78,Inv_D)*CE$9</f>
        <v>0</v>
      </c>
      <c r="CF117" s="34" t="n">
        <f aca="false">SUMIF(Inv_E,79,Inv_D)*CF$9</f>
        <v>0</v>
      </c>
      <c r="CG117" s="34" t="n">
        <f aca="false">SUMIF(Inv_E,80,Inv_D)*CG$9</f>
        <v>0</v>
      </c>
      <c r="CH117" s="34" t="n">
        <f aca="false">SUMIF(Inv_E,81,Inv_D)*CH$9</f>
        <v>0</v>
      </c>
      <c r="CI117" s="34" t="n">
        <f aca="false">SUMIF(Inv_E,82,Inv_D)*CI$9</f>
        <v>0</v>
      </c>
      <c r="CJ117" s="34" t="n">
        <f aca="false">SUMIF(Inv_E,83,Inv_D)*CJ$9</f>
        <v>0</v>
      </c>
      <c r="CK117" s="34" t="n">
        <f aca="false">SUMIF(Inv_E,84,Inv_D)*CK$9</f>
        <v>0</v>
      </c>
      <c r="CL117" s="34" t="n">
        <f aca="false">SUMIF(Inv_E,85,Inv_D)*CL$9</f>
        <v>0</v>
      </c>
      <c r="CM117" s="34" t="n">
        <f aca="false">SUMIF(Inv_E,86,Inv_D)*CM$9</f>
        <v>0</v>
      </c>
      <c r="CN117" s="34" t="n">
        <f aca="false">SUMIF(Inv_E,87,Inv_D)*CN$9</f>
        <v>0</v>
      </c>
      <c r="CO117" s="34" t="n">
        <f aca="false">SUMIF(Inv_E,88,Inv_D)*CO$9</f>
        <v>0</v>
      </c>
      <c r="CP117" s="34" t="n">
        <f aca="false">SUMIF(Inv_E,89,Inv_D)*CP$9</f>
        <v>0</v>
      </c>
      <c r="CQ117" s="34" t="n">
        <f aca="false">SUMIF(Inv_E,90,Inv_D)*CQ$9</f>
        <v>0</v>
      </c>
      <c r="CR117" s="34" t="n">
        <f aca="false">SUMIF(Inv_E,91,Inv_D)*CR$9</f>
        <v>0</v>
      </c>
      <c r="CS117" s="34" t="n">
        <f aca="false">SUMIF(Inv_E,92,Inv_D)*CS$9</f>
        <v>0</v>
      </c>
      <c r="CT117" s="34" t="n">
        <f aca="false">SUMIF(Inv_E,93,Inv_D)*CT$9</f>
        <v>0</v>
      </c>
      <c r="CU117" s="34" t="n">
        <f aca="false">SUMIF(Inv_E,94,Inv_D)*CU$9</f>
        <v>0</v>
      </c>
      <c r="CV117" s="34" t="n">
        <f aca="false">SUMIF(Inv_E,95,Inv_D)*CV$9</f>
        <v>0</v>
      </c>
      <c r="CW117" s="34" t="n">
        <f aca="false">SUMIF(Inv_E,96,Inv_D)*CW$9</f>
        <v>0</v>
      </c>
      <c r="CX117" s="34" t="n">
        <f aca="false">SUMIF(Inv_E,97,Inv_D)*CX$9</f>
        <v>0</v>
      </c>
      <c r="CY117" s="34" t="n">
        <f aca="false">SUMIF(Inv_E,98,Inv_D)*CY$9</f>
        <v>0</v>
      </c>
      <c r="CZ117" s="34" t="n">
        <f aca="false">SUMIF(Inv_E,99,Inv_D)*CZ$9</f>
        <v>0</v>
      </c>
      <c r="DA117" s="34" t="n">
        <f aca="false">SUMIF(Inv_E,100,Inv_D)*DA$9</f>
        <v>0</v>
      </c>
      <c r="DB117" s="34" t="n">
        <f aca="false">SUMIF(Inv_E,101,Inv_D)*DB$9</f>
        <v>0</v>
      </c>
      <c r="DC117" s="34" t="n">
        <f aca="false">SUMIF(Inv_E,102,Inv_D)*DC$9</f>
        <v>0</v>
      </c>
      <c r="DD117" s="34" t="n">
        <f aca="false">SUMIF(Inv_E,103,Inv_D)*DD$9</f>
        <v>0</v>
      </c>
      <c r="DE117" s="34" t="n">
        <f aca="false">SUMIF(Inv_E,104,Inv_D)*DE$9</f>
        <v>0</v>
      </c>
      <c r="DF117" s="34" t="n">
        <f aca="false">SUMIF(Inv_E,105,Inv_D)*DF$9</f>
        <v>0</v>
      </c>
      <c r="DG117" s="34" t="n">
        <f aca="false">SUMIF(Inv_E,106,Inv_D)*DG$9</f>
        <v>0</v>
      </c>
      <c r="DH117" s="34" t="n">
        <f aca="false">SUMIF(Inv_E,107,Inv_D)*DH$9</f>
        <v>0</v>
      </c>
      <c r="DI117" s="34" t="n">
        <f aca="false">SUMIF(Inv_E,108,Inv_D)*DI$9</f>
        <v>0</v>
      </c>
      <c r="DJ117" s="34" t="n">
        <f aca="false">SUMIF(Inv_E,109,Inv_D)*DJ$9</f>
        <v>0</v>
      </c>
      <c r="DK117" s="34" t="n">
        <f aca="false">SUMIF(Inv_E,110,Inv_D)*DK$9</f>
        <v>0</v>
      </c>
      <c r="DL117" s="34" t="n">
        <f aca="false">SUMIF(Inv_E,111,Inv_D)*DL$9</f>
        <v>0</v>
      </c>
      <c r="DM117" s="34" t="n">
        <f aca="false">SUMIF(Inv_E,112,Inv_D)*DM$9</f>
        <v>0</v>
      </c>
      <c r="DN117" s="34" t="n">
        <f aca="false">SUMIF(Inv_E,113,Inv_D)*DN$9</f>
        <v>0</v>
      </c>
      <c r="DO117" s="34" t="n">
        <f aca="false">SUMIF(Inv_E,114,Inv_D)*DO$9</f>
        <v>0</v>
      </c>
      <c r="DP117" s="34" t="n">
        <f aca="false">SUMIF(Inv_E,115,Inv_D)*DP$9</f>
        <v>0</v>
      </c>
      <c r="DQ117" s="34" t="n">
        <f aca="false">SUMIF(Inv_E,116,Inv_D)*DQ$9</f>
        <v>0</v>
      </c>
      <c r="DR117" s="34" t="n">
        <f aca="false">SUMIF(Inv_E,117,Inv_D)*DR$9</f>
        <v>0</v>
      </c>
      <c r="DS117" s="34" t="n">
        <f aca="false">SUMIF(Inv_E,118,Inv_D)*DS$9</f>
        <v>0</v>
      </c>
      <c r="DT117" s="34" t="n">
        <f aca="false">SUMIF(Inv_E,119,Inv_D)*DT$9</f>
        <v>0</v>
      </c>
      <c r="DU117" s="34" t="n">
        <f aca="false">SUMIF(Inv_E,120,Inv_D)*DU$9</f>
        <v>0</v>
      </c>
      <c r="DV117" s="34" t="n">
        <f aca="false">SUMIF(Inv_E,121,Inv_D)*DV$9</f>
        <v>0</v>
      </c>
      <c r="DW117" s="34" t="n">
        <f aca="false">SUMIF(Inv_E,122,Inv_D)*DW$9</f>
        <v>0</v>
      </c>
      <c r="DX117" s="34" t="n">
        <f aca="false">SUMIF(Inv_E,123,Inv_D)*DX$9</f>
        <v>0</v>
      </c>
      <c r="DY117" s="34" t="n">
        <f aca="false">SUMIF(Inv_E,124,Inv_D)*DY$9</f>
        <v>0</v>
      </c>
      <c r="DZ117" s="34" t="n">
        <f aca="false">SUMIF(Inv_E,125,Inv_D)*DZ$9</f>
        <v>0</v>
      </c>
      <c r="EA117" s="34" t="n">
        <f aca="false">SUMIF(Inv_E,126,Inv_D)*EA$9</f>
        <v>0</v>
      </c>
      <c r="EB117" s="34" t="n">
        <f aca="false">SUMIF(Inv_E,127,Inv_D)*EB$9</f>
        <v>0</v>
      </c>
      <c r="EC117" s="34" t="n">
        <f aca="false">SUMIF(Inv_E,128,Inv_D)*EC$9</f>
        <v>0</v>
      </c>
      <c r="ED117" s="34" t="n">
        <f aca="false">SUMIF(Inv_E,129,Inv_D)*ED$9</f>
        <v>0</v>
      </c>
      <c r="EE117" s="34" t="n">
        <f aca="false">SUMIF(Inv_E,130,Inv_D)*EE$9</f>
        <v>0</v>
      </c>
      <c r="EF117" s="34" t="n">
        <f aca="false">SUMIF(Inv_E,131,Inv_D)*EF$9</f>
        <v>0</v>
      </c>
      <c r="EG117" s="34" t="n">
        <f aca="false">SUMIF(Inv_E,132,Inv_D)*EG$9</f>
        <v>0</v>
      </c>
      <c r="EH117" s="34" t="n">
        <f aca="false">SUMIF(Inv_E,133,Inv_D)*EH$9</f>
        <v>0</v>
      </c>
      <c r="EI117" s="34" t="n">
        <f aca="false">SUMIF(Inv_E,134,Inv_D)*EI$9</f>
        <v>0</v>
      </c>
      <c r="EJ117" s="34" t="n">
        <f aca="false">SUMIF(Inv_E,135,Inv_D)*EJ$9</f>
        <v>0</v>
      </c>
      <c r="EK117" s="34" t="n">
        <f aca="false">SUMIF(Inv_E,136,Inv_D)*EK$9</f>
        <v>0</v>
      </c>
      <c r="EL117" s="34" t="n">
        <f aca="false">SUMIF(Inv_E,137,Inv_D)*EL$9</f>
        <v>0</v>
      </c>
      <c r="EM117" s="34" t="n">
        <f aca="false">SUMIF(Inv_E,138,Inv_D)*EM$9</f>
        <v>0</v>
      </c>
      <c r="EN117" s="34" t="n">
        <f aca="false">SUMIF(Inv_E,139,Inv_D)*EN$9</f>
        <v>0</v>
      </c>
      <c r="EO117" s="34" t="n">
        <f aca="false">SUMIF(Inv_E,140,Inv_D)*EO$9</f>
        <v>0</v>
      </c>
      <c r="EP117" s="34" t="n">
        <f aca="false">SUMIF(Inv_E,141,Inv_D)*EP$9</f>
        <v>0</v>
      </c>
      <c r="EQ117" s="34" t="n">
        <f aca="false">SUMIF(Inv_E,142,Inv_D)*EQ$9</f>
        <v>0</v>
      </c>
      <c r="ER117" s="34" t="n">
        <f aca="false">SUMIF(Inv_E,143,Inv_D)*ER$9</f>
        <v>0</v>
      </c>
      <c r="ES117" s="34" t="n">
        <f aca="false">SUMIF(Inv_E,144,Inv_D)*ES$9</f>
        <v>0</v>
      </c>
    </row>
    <row r="118" customFormat="false" ht="15" hidden="false" customHeight="false" outlineLevel="0" collapsed="false">
      <c r="A118" s="2" t="s">
        <v>720</v>
      </c>
      <c r="B118" s="6" t="s">
        <v>721</v>
      </c>
      <c r="C118" s="6" t="s">
        <v>250</v>
      </c>
      <c r="E118" s="40" t="n">
        <f aca="false">INDEX(F118:ES118,1,MIN(144,Fin))</f>
        <v>10000.0000000009</v>
      </c>
      <c r="F118" s="34" t="n">
        <f aca="false">0+F$117-F$103</f>
        <v>649078.072583333</v>
      </c>
      <c r="G118" s="34" t="n">
        <f aca="false">F$118+G$117-G$103</f>
        <v>643112.055166667</v>
      </c>
      <c r="H118" s="34" t="n">
        <f aca="false">G$118+H$117-H$103</f>
        <v>637146.03775</v>
      </c>
      <c r="I118" s="34" t="n">
        <f aca="false">H$118+I$117-I$103</f>
        <v>631180.020333334</v>
      </c>
      <c r="J118" s="34" t="n">
        <f aca="false">I$118+J$117-J$103</f>
        <v>625214.002916667</v>
      </c>
      <c r="K118" s="34" t="n">
        <f aca="false">J$118+K$117-K$103</f>
        <v>619247.9855</v>
      </c>
      <c r="L118" s="34" t="n">
        <f aca="false">K$118+L$117-L$103</f>
        <v>613281.968083334</v>
      </c>
      <c r="M118" s="34" t="n">
        <f aca="false">L$118+M$117-M$103</f>
        <v>607315.950666667</v>
      </c>
      <c r="N118" s="34" t="n">
        <f aca="false">M$118+N$117-N$103</f>
        <v>601349.933250001</v>
      </c>
      <c r="O118" s="34" t="n">
        <f aca="false">N$118+O$117-O$103</f>
        <v>595383.915833334</v>
      </c>
      <c r="P118" s="34" t="n">
        <f aca="false">O$118+P$117-P$103</f>
        <v>589417.898416667</v>
      </c>
      <c r="Q118" s="34" t="n">
        <f aca="false">P$118+Q$117-Q$103</f>
        <v>583451.881000001</v>
      </c>
      <c r="R118" s="34" t="n">
        <f aca="false">Q$118+R$117-R$103</f>
        <v>676652.530250001</v>
      </c>
      <c r="S118" s="34" t="n">
        <f aca="false">R$118+S$117-S$103</f>
        <v>669853.179500001</v>
      </c>
      <c r="T118" s="34" t="n">
        <f aca="false">S$118+T$117-T$103</f>
        <v>663053.828750001</v>
      </c>
      <c r="U118" s="34" t="n">
        <f aca="false">T$118+U$117-U$103</f>
        <v>656254.478000001</v>
      </c>
      <c r="V118" s="34" t="n">
        <f aca="false">U$118+V$117-V$103</f>
        <v>649455.127250001</v>
      </c>
      <c r="W118" s="34" t="n">
        <f aca="false">V$118+W$117-W$103</f>
        <v>642655.776500001</v>
      </c>
      <c r="X118" s="34" t="n">
        <f aca="false">W$118+X$117-X$103</f>
        <v>635856.425750001</v>
      </c>
      <c r="Y118" s="34" t="n">
        <f aca="false">X$118+Y$117-Y$103</f>
        <v>629057.075000001</v>
      </c>
      <c r="Z118" s="34" t="n">
        <f aca="false">Y$118+Z$117-Z$103</f>
        <v>622257.724250001</v>
      </c>
      <c r="AA118" s="34" t="n">
        <f aca="false">Z$118+AA$117-AA$103</f>
        <v>615458.373500001</v>
      </c>
      <c r="AB118" s="34" t="n">
        <f aca="false">AA$118+AB$117-AB$103</f>
        <v>608659.022750001</v>
      </c>
      <c r="AC118" s="34" t="n">
        <f aca="false">AB$118+AC$117-AC$103</f>
        <v>601859.672000001</v>
      </c>
      <c r="AD118" s="34" t="n">
        <f aca="false">AC$118+AD$117-AD$103</f>
        <v>595060.321250001</v>
      </c>
      <c r="AE118" s="34" t="n">
        <f aca="false">AD$118+AE$117-AE$103</f>
        <v>588260.970500001</v>
      </c>
      <c r="AF118" s="34" t="n">
        <f aca="false">AE$118+AF$117-AF$103</f>
        <v>581461.619750001</v>
      </c>
      <c r="AG118" s="34" t="n">
        <f aca="false">AF$118+AG$117-AG$103</f>
        <v>574662.269000001</v>
      </c>
      <c r="AH118" s="34" t="n">
        <f aca="false">AG$118+AH$117-AH$103</f>
        <v>567862.918250001</v>
      </c>
      <c r="AI118" s="34" t="n">
        <f aca="false">AH$118+AI$117-AI$103</f>
        <v>561063.567500001</v>
      </c>
      <c r="AJ118" s="34" t="n">
        <f aca="false">AI$118+AJ$117-AJ$103</f>
        <v>554264.216750001</v>
      </c>
      <c r="AK118" s="34" t="n">
        <f aca="false">AJ$118+AK$117-AK$103</f>
        <v>547464.866000001</v>
      </c>
      <c r="AL118" s="34" t="n">
        <f aca="false">AK$118+AL$117-AL$103</f>
        <v>540665.515250001</v>
      </c>
      <c r="AM118" s="34" t="n">
        <f aca="false">AL$118+AM$117-AM$103</f>
        <v>533866.164500001</v>
      </c>
      <c r="AN118" s="34" t="n">
        <f aca="false">AM$118+AN$117-AN$103</f>
        <v>527066.813750001</v>
      </c>
      <c r="AO118" s="34" t="n">
        <f aca="false">AN$118+AO$117-AO$103</f>
        <v>520267.463000001</v>
      </c>
      <c r="AP118" s="34" t="n">
        <f aca="false">AO$118+AP$117-AP$103</f>
        <v>513468.112250001</v>
      </c>
      <c r="AQ118" s="34" t="n">
        <f aca="false">AP$118+AQ$117-AQ$103</f>
        <v>506668.761500001</v>
      </c>
      <c r="AR118" s="34" t="n">
        <f aca="false">AQ$118+AR$117-AR$103</f>
        <v>499869.410750001</v>
      </c>
      <c r="AS118" s="34" t="n">
        <f aca="false">AR$118+AS$117-AS$103</f>
        <v>493070.060000001</v>
      </c>
      <c r="AT118" s="34" t="n">
        <f aca="false">AS$118+AT$117-AT$103</f>
        <v>486270.709250001</v>
      </c>
      <c r="AU118" s="34" t="n">
        <f aca="false">AT$118+AU$117-AU$103</f>
        <v>479471.358500001</v>
      </c>
      <c r="AV118" s="34" t="n">
        <f aca="false">AU$118+AV$117-AV$103</f>
        <v>472672.007750001</v>
      </c>
      <c r="AW118" s="34" t="n">
        <f aca="false">AV$118+AW$117-AW$103</f>
        <v>465872.657000001</v>
      </c>
      <c r="AX118" s="34" t="n">
        <f aca="false">AW$118+AX$117-AX$103</f>
        <v>459073.306250001</v>
      </c>
      <c r="AY118" s="34" t="n">
        <f aca="false">AX$118+AY$117-AY$103</f>
        <v>452273.955500001</v>
      </c>
      <c r="AZ118" s="34" t="n">
        <f aca="false">AY$118+AZ$117-AZ$103</f>
        <v>445474.604750001</v>
      </c>
      <c r="BA118" s="34" t="n">
        <f aca="false">AZ$118+BA$117-BA$103</f>
        <v>438675.254000001</v>
      </c>
      <c r="BB118" s="34" t="n">
        <f aca="false">BA$118+BB$117-BB$103</f>
        <v>431875.903250001</v>
      </c>
      <c r="BC118" s="34" t="n">
        <f aca="false">BB$118+BC$117-BC$103</f>
        <v>425076.552500001</v>
      </c>
      <c r="BD118" s="34" t="n">
        <f aca="false">BC$118+BD$117-BD$103</f>
        <v>418277.201750001</v>
      </c>
      <c r="BE118" s="34" t="n">
        <f aca="false">BD$118+BE$117-BE$103</f>
        <v>411477.851000001</v>
      </c>
      <c r="BF118" s="34" t="n">
        <f aca="false">BE$118+BF$117-BF$103</f>
        <v>404678.500250001</v>
      </c>
      <c r="BG118" s="34" t="n">
        <f aca="false">BF$118+BG$117-BG$103</f>
        <v>397879.149500001</v>
      </c>
      <c r="BH118" s="34" t="n">
        <f aca="false">BG$118+BH$117-BH$103</f>
        <v>391079.798750001</v>
      </c>
      <c r="BI118" s="34" t="n">
        <f aca="false">BH$118+BI$117-BI$103</f>
        <v>384280.448000001</v>
      </c>
      <c r="BJ118" s="34" t="n">
        <f aca="false">BI$118+BJ$117-BJ$103</f>
        <v>377481.097250001</v>
      </c>
      <c r="BK118" s="34" t="n">
        <f aca="false">BJ$118+BK$117-BK$103</f>
        <v>370681.746500001</v>
      </c>
      <c r="BL118" s="34" t="n">
        <f aca="false">BK$118+BL$117-BL$103</f>
        <v>363882.395750001</v>
      </c>
      <c r="BM118" s="34" t="n">
        <f aca="false">BL$118+BM$117-BM$103</f>
        <v>357083.045000001</v>
      </c>
      <c r="BN118" s="34" t="n">
        <f aca="false">BM$118+BN$117-BN$103</f>
        <v>351298.327583335</v>
      </c>
      <c r="BO118" s="34" t="n">
        <f aca="false">BN$118+BO$117-BO$103</f>
        <v>345513.610166668</v>
      </c>
      <c r="BP118" s="34" t="n">
        <f aca="false">BO$118+BP$117-BP$103</f>
        <v>339728.892750001</v>
      </c>
      <c r="BQ118" s="34" t="n">
        <f aca="false">BP$118+BQ$117-BQ$103</f>
        <v>333944.175333335</v>
      </c>
      <c r="BR118" s="34" t="n">
        <f aca="false">BQ$118+BR$117-BR$103</f>
        <v>328159.457916668</v>
      </c>
      <c r="BS118" s="34" t="n">
        <f aca="false">BR$118+BS$117-BS$103</f>
        <v>322374.740500001</v>
      </c>
      <c r="BT118" s="34" t="n">
        <f aca="false">BS$118+BT$117-BT$103</f>
        <v>316590.023083335</v>
      </c>
      <c r="BU118" s="34" t="n">
        <f aca="false">BT$118+BU$117-BU$103</f>
        <v>310805.305666668</v>
      </c>
      <c r="BV118" s="34" t="n">
        <f aca="false">BU$118+BV$117-BV$103</f>
        <v>305020.588250001</v>
      </c>
      <c r="BW118" s="34" t="n">
        <f aca="false">BV$118+BW$117-BW$103</f>
        <v>299235.870833335</v>
      </c>
      <c r="BX118" s="34" t="n">
        <f aca="false">BW$118+BX$117-BX$103</f>
        <v>293451.153416668</v>
      </c>
      <c r="BY118" s="34" t="n">
        <f aca="false">BX$118+BY$117-BY$103</f>
        <v>287666.436000001</v>
      </c>
      <c r="BZ118" s="34" t="n">
        <f aca="false">BY$118+BZ$117-BZ$103</f>
        <v>281881.718583335</v>
      </c>
      <c r="CA118" s="34" t="n">
        <f aca="false">BZ$118+CA$117-CA$103</f>
        <v>276097.001166668</v>
      </c>
      <c r="CB118" s="34" t="n">
        <f aca="false">CA$118+CB$117-CB$103</f>
        <v>270312.283750001</v>
      </c>
      <c r="CC118" s="34" t="n">
        <f aca="false">CB$118+CC$117-CC$103</f>
        <v>264527.566333335</v>
      </c>
      <c r="CD118" s="34" t="n">
        <f aca="false">CC$118+CD$117-CD$103</f>
        <v>258742.848916668</v>
      </c>
      <c r="CE118" s="34" t="n">
        <f aca="false">CD$118+CE$117-CE$103</f>
        <v>252958.131500001</v>
      </c>
      <c r="CF118" s="34" t="n">
        <f aca="false">CE$118+CF$117-CF$103</f>
        <v>247173.414083335</v>
      </c>
      <c r="CG118" s="34" t="n">
        <f aca="false">CF$118+CG$117-CG$103</f>
        <v>241388.696666668</v>
      </c>
      <c r="CH118" s="34" t="n">
        <f aca="false">CG$118+CH$117-CH$103</f>
        <v>235603.979250001</v>
      </c>
      <c r="CI118" s="34" t="n">
        <f aca="false">CH$118+CI$117-CI$103</f>
        <v>229819.261833334</v>
      </c>
      <c r="CJ118" s="34" t="n">
        <f aca="false">CI$118+CJ$117-CJ$103</f>
        <v>224034.544416668</v>
      </c>
      <c r="CK118" s="34" t="n">
        <f aca="false">CJ$118+CK$117-CK$103</f>
        <v>218249.827000001</v>
      </c>
      <c r="CL118" s="34" t="n">
        <f aca="false">CK$118+CL$117-CL$103</f>
        <v>212465.109583334</v>
      </c>
      <c r="CM118" s="34" t="n">
        <f aca="false">CL$118+CM$117-CM$103</f>
        <v>206680.392166668</v>
      </c>
      <c r="CN118" s="34" t="n">
        <f aca="false">CM$118+CN$117-CN$103</f>
        <v>200895.674750001</v>
      </c>
      <c r="CO118" s="34" t="n">
        <f aca="false">CN$118+CO$117-CO$103</f>
        <v>195110.957333334</v>
      </c>
      <c r="CP118" s="34" t="n">
        <f aca="false">CO$118+CP$117-CP$103</f>
        <v>189326.239916668</v>
      </c>
      <c r="CQ118" s="34" t="n">
        <f aca="false">CP$118+CQ$117-CQ$103</f>
        <v>183541.522500001</v>
      </c>
      <c r="CR118" s="34" t="n">
        <f aca="false">CQ$118+CR$117-CR$103</f>
        <v>177756.805083334</v>
      </c>
      <c r="CS118" s="34" t="n">
        <f aca="false">CR$118+CS$117-CS$103</f>
        <v>171972.087666668</v>
      </c>
      <c r="CT118" s="34" t="n">
        <f aca="false">CS$118+CT$117-CT$103</f>
        <v>166187.370250001</v>
      </c>
      <c r="CU118" s="34" t="n">
        <f aca="false">CT$118+CU$117-CU$103</f>
        <v>160402.652833334</v>
      </c>
      <c r="CV118" s="34" t="n">
        <f aca="false">CU$118+CV$117-CV$103</f>
        <v>154617.935416668</v>
      </c>
      <c r="CW118" s="34" t="n">
        <f aca="false">CV$118+CW$117-CW$103</f>
        <v>148833.218000001</v>
      </c>
      <c r="CX118" s="34" t="n">
        <f aca="false">CW$118+CX$117-CX$103</f>
        <v>143048.500583334</v>
      </c>
      <c r="CY118" s="34" t="n">
        <f aca="false">CX$118+CY$117-CY$103</f>
        <v>137263.783166668</v>
      </c>
      <c r="CZ118" s="34" t="n">
        <f aca="false">CY$118+CZ$117-CZ$103</f>
        <v>131479.065750001</v>
      </c>
      <c r="DA118" s="34" t="n">
        <f aca="false">CZ$118+DA$117-DA$103</f>
        <v>125694.348333334</v>
      </c>
      <c r="DB118" s="34" t="n">
        <f aca="false">DA$118+DB$117-DB$103</f>
        <v>119909.630916668</v>
      </c>
      <c r="DC118" s="34" t="n">
        <f aca="false">DB$118+DC$117-DC$103</f>
        <v>114124.913500001</v>
      </c>
      <c r="DD118" s="34" t="n">
        <f aca="false">DC$118+DD$117-DD$103</f>
        <v>108340.196083334</v>
      </c>
      <c r="DE118" s="34" t="n">
        <f aca="false">DD$118+DE$117-DE$103</f>
        <v>102555.478666668</v>
      </c>
      <c r="DF118" s="34" t="n">
        <f aca="false">DE$118+DF$117-DF$103</f>
        <v>96770.7612500009</v>
      </c>
      <c r="DG118" s="34" t="n">
        <f aca="false">DF$118+DG$117-DG$103</f>
        <v>90986.0438333342</v>
      </c>
      <c r="DH118" s="34" t="n">
        <f aca="false">DG$118+DH$117-DH$103</f>
        <v>85201.3264166676</v>
      </c>
      <c r="DI118" s="34" t="n">
        <f aca="false">DH$118+DI$117-DI$103</f>
        <v>79416.6090000009</v>
      </c>
      <c r="DJ118" s="34" t="n">
        <f aca="false">DI$118+DJ$117-DJ$103</f>
        <v>73631.8915833342</v>
      </c>
      <c r="DK118" s="34" t="n">
        <f aca="false">DJ$118+DK$117-DK$103</f>
        <v>67847.1741666676</v>
      </c>
      <c r="DL118" s="34" t="n">
        <f aca="false">DK$118+DL$117-DL$103</f>
        <v>62062.4567500009</v>
      </c>
      <c r="DM118" s="34" t="n">
        <f aca="false">DL$118+DM$117-DM$103</f>
        <v>56277.7393333342</v>
      </c>
      <c r="DN118" s="34" t="n">
        <f aca="false">DM$118+DN$117-DN$103</f>
        <v>50493.0219166676</v>
      </c>
      <c r="DO118" s="34" t="n">
        <f aca="false">DN$118+DO$117-DO$103</f>
        <v>44708.3045000009</v>
      </c>
      <c r="DP118" s="34" t="n">
        <f aca="false">DO$118+DP$117-DP$103</f>
        <v>38923.5870833342</v>
      </c>
      <c r="DQ118" s="34" t="n">
        <f aca="false">DP$118+DQ$117-DQ$103</f>
        <v>33138.8696666676</v>
      </c>
      <c r="DR118" s="34" t="n">
        <f aca="false">DQ$118+DR$117-DR$103</f>
        <v>27354.1522500009</v>
      </c>
      <c r="DS118" s="34" t="n">
        <f aca="false">DR$118+DS$117-DS$103</f>
        <v>21569.4348333342</v>
      </c>
      <c r="DT118" s="34" t="n">
        <f aca="false">DS$118+DT$117-DT$103</f>
        <v>15784.7174166676</v>
      </c>
      <c r="DU118" s="34" t="n">
        <f aca="false">DT$118+DU$117-DU$103</f>
        <v>10000.0000000009</v>
      </c>
      <c r="DV118" s="34" t="n">
        <f aca="false">DU$118+DV$117-DV$103</f>
        <v>10000.0000000009</v>
      </c>
      <c r="DW118" s="34" t="n">
        <f aca="false">DV$118+DW$117-DW$103</f>
        <v>10000.0000000009</v>
      </c>
      <c r="DX118" s="34" t="n">
        <f aca="false">DW$118+DX$117-DX$103</f>
        <v>10000.0000000009</v>
      </c>
      <c r="DY118" s="34" t="n">
        <f aca="false">DX$118+DY$117-DY$103</f>
        <v>10000.0000000009</v>
      </c>
      <c r="DZ118" s="34" t="n">
        <f aca="false">DY$118+DZ$117-DZ$103</f>
        <v>10000.0000000009</v>
      </c>
      <c r="EA118" s="34" t="n">
        <f aca="false">DZ$118+EA$117-EA$103</f>
        <v>10000.0000000009</v>
      </c>
      <c r="EB118" s="34" t="n">
        <f aca="false">EA$118+EB$117-EB$103</f>
        <v>10000.0000000009</v>
      </c>
      <c r="EC118" s="34" t="n">
        <f aca="false">EB$118+EC$117-EC$103</f>
        <v>10000.0000000009</v>
      </c>
      <c r="ED118" s="34" t="n">
        <f aca="false">EC$118+ED$117-ED$103</f>
        <v>10000.0000000009</v>
      </c>
      <c r="EE118" s="34" t="n">
        <f aca="false">ED$118+EE$117-EE$103</f>
        <v>10000.0000000009</v>
      </c>
      <c r="EF118" s="34" t="n">
        <f aca="false">EE$118+EF$117-EF$103</f>
        <v>10000.0000000009</v>
      </c>
      <c r="EG118" s="34" t="n">
        <f aca="false">EF$118+EG$117-EG$103</f>
        <v>10000.0000000009</v>
      </c>
      <c r="EH118" s="34" t="n">
        <f aca="false">EG$118+EH$117-EH$103</f>
        <v>10000.0000000009</v>
      </c>
      <c r="EI118" s="34" t="n">
        <f aca="false">EH$118+EI$117-EI$103</f>
        <v>10000.0000000009</v>
      </c>
      <c r="EJ118" s="34" t="n">
        <f aca="false">EI$118+EJ$117-EJ$103</f>
        <v>10000.0000000009</v>
      </c>
      <c r="EK118" s="34" t="n">
        <f aca="false">EJ$118+EK$117-EK$103</f>
        <v>10000.0000000009</v>
      </c>
      <c r="EL118" s="34" t="n">
        <f aca="false">EK$118+EL$117-EL$103</f>
        <v>10000.0000000009</v>
      </c>
      <c r="EM118" s="34" t="n">
        <f aca="false">EL$118+EM$117-EM$103</f>
        <v>10000.0000000009</v>
      </c>
      <c r="EN118" s="34" t="n">
        <f aca="false">EM$118+EN$117-EN$103</f>
        <v>10000.0000000009</v>
      </c>
      <c r="EO118" s="34" t="n">
        <f aca="false">EN$118+EO$117-EO$103</f>
        <v>10000.0000000009</v>
      </c>
      <c r="EP118" s="34" t="n">
        <f aca="false">EO$118+EP$117-EP$103</f>
        <v>10000.0000000009</v>
      </c>
      <c r="EQ118" s="34" t="n">
        <f aca="false">EP$118+EQ$117-EQ$103</f>
        <v>10000.0000000009</v>
      </c>
      <c r="ER118" s="34" t="n">
        <f aca="false">EQ$118+ER$117-ER$103</f>
        <v>10000.0000000009</v>
      </c>
      <c r="ES118" s="34" t="n">
        <f aca="false">ER$118+ES$117-ES$103</f>
        <v>10000.0000000009</v>
      </c>
    </row>
    <row r="119" customFormat="false" ht="15" hidden="false" customHeight="false" outlineLevel="0" collapsed="false">
      <c r="A119" s="2" t="s">
        <v>722</v>
      </c>
      <c r="B119" s="6" t="s">
        <v>723</v>
      </c>
      <c r="C119" s="6" t="s">
        <v>250</v>
      </c>
      <c r="E119" s="40" t="n">
        <f aca="false">SUM(F119:ES119)</f>
        <v>4509762.51732228</v>
      </c>
      <c r="F119" s="34" t="n">
        <f aca="false">IF(1=Fin,F$113*P_RealCT+F$118*P_RealAF,0)</f>
        <v>0</v>
      </c>
      <c r="G119" s="34" t="n">
        <f aca="false">IF(2=Fin,G$113*P_RealCT+G$118*P_RealAF,0)</f>
        <v>0</v>
      </c>
      <c r="H119" s="34" t="n">
        <f aca="false">IF(3=Fin,H$113*P_RealCT+H$118*P_RealAF,0)</f>
        <v>0</v>
      </c>
      <c r="I119" s="34" t="n">
        <f aca="false">IF(4=Fin,I$113*P_RealCT+I$118*P_RealAF,0)</f>
        <v>0</v>
      </c>
      <c r="J119" s="34" t="n">
        <f aca="false">IF(5=Fin,J$113*P_RealCT+J$118*P_RealAF,0)</f>
        <v>0</v>
      </c>
      <c r="K119" s="34" t="n">
        <f aca="false">IF(6=Fin,K$113*P_RealCT+K$118*P_RealAF,0)</f>
        <v>0</v>
      </c>
      <c r="L119" s="34" t="n">
        <f aca="false">IF(7=Fin,L$113*P_RealCT+L$118*P_RealAF,0)</f>
        <v>0</v>
      </c>
      <c r="M119" s="34" t="n">
        <f aca="false">IF(8=Fin,M$113*P_RealCT+M$118*P_RealAF,0)</f>
        <v>0</v>
      </c>
      <c r="N119" s="34" t="n">
        <f aca="false">IF(9=Fin,N$113*P_RealCT+N$118*P_RealAF,0)</f>
        <v>0</v>
      </c>
      <c r="O119" s="34" t="n">
        <f aca="false">IF(10=Fin,O$113*P_RealCT+O$118*P_RealAF,0)</f>
        <v>0</v>
      </c>
      <c r="P119" s="34" t="n">
        <f aca="false">IF(11=Fin,P$113*P_RealCT+P$118*P_RealAF,0)</f>
        <v>0</v>
      </c>
      <c r="Q119" s="34" t="n">
        <f aca="false">IF(12=Fin,Q$113*P_RealCT+Q$118*P_RealAF,0)</f>
        <v>0</v>
      </c>
      <c r="R119" s="34" t="n">
        <f aca="false">IF(13=Fin,R$113*P_RealCT+R$118*P_RealAF,0)</f>
        <v>0</v>
      </c>
      <c r="S119" s="34" t="n">
        <f aca="false">IF(14=Fin,S$113*P_RealCT+S$118*P_RealAF,0)</f>
        <v>0</v>
      </c>
      <c r="T119" s="34" t="n">
        <f aca="false">IF(15=Fin,T$113*P_RealCT+T$118*P_RealAF,0)</f>
        <v>0</v>
      </c>
      <c r="U119" s="34" t="n">
        <f aca="false">IF(16=Fin,U$113*P_RealCT+U$118*P_RealAF,0)</f>
        <v>0</v>
      </c>
      <c r="V119" s="34" t="n">
        <f aca="false">IF(17=Fin,V$113*P_RealCT+V$118*P_RealAF,0)</f>
        <v>0</v>
      </c>
      <c r="W119" s="34" t="n">
        <f aca="false">IF(18=Fin,W$113*P_RealCT+W$118*P_RealAF,0)</f>
        <v>0</v>
      </c>
      <c r="X119" s="34" t="n">
        <f aca="false">IF(19=Fin,X$113*P_RealCT+X$118*P_RealAF,0)</f>
        <v>0</v>
      </c>
      <c r="Y119" s="34" t="n">
        <f aca="false">IF(20=Fin,Y$113*P_RealCT+Y$118*P_RealAF,0)</f>
        <v>0</v>
      </c>
      <c r="Z119" s="34" t="n">
        <f aca="false">IF(21=Fin,Z$113*P_RealCT+Z$118*P_RealAF,0)</f>
        <v>0</v>
      </c>
      <c r="AA119" s="34" t="n">
        <f aca="false">IF(22=Fin,AA$113*P_RealCT+AA$118*P_RealAF,0)</f>
        <v>0</v>
      </c>
      <c r="AB119" s="34" t="n">
        <f aca="false">IF(23=Fin,AB$113*P_RealCT+AB$118*P_RealAF,0)</f>
        <v>0</v>
      </c>
      <c r="AC119" s="34" t="n">
        <f aca="false">IF(24=Fin,AC$113*P_RealCT+AC$118*P_RealAF,0)</f>
        <v>0</v>
      </c>
      <c r="AD119" s="34" t="n">
        <f aca="false">IF(25=Fin,AD$113*P_RealCT+AD$118*P_RealAF,0)</f>
        <v>0</v>
      </c>
      <c r="AE119" s="34" t="n">
        <f aca="false">IF(26=Fin,AE$113*P_RealCT+AE$118*P_RealAF,0)</f>
        <v>0</v>
      </c>
      <c r="AF119" s="34" t="n">
        <f aca="false">IF(27=Fin,AF$113*P_RealCT+AF$118*P_RealAF,0)</f>
        <v>0</v>
      </c>
      <c r="AG119" s="34" t="n">
        <f aca="false">IF(28=Fin,AG$113*P_RealCT+AG$118*P_RealAF,0)</f>
        <v>0</v>
      </c>
      <c r="AH119" s="34" t="n">
        <f aca="false">IF(29=Fin,AH$113*P_RealCT+AH$118*P_RealAF,0)</f>
        <v>0</v>
      </c>
      <c r="AI119" s="34" t="n">
        <f aca="false">IF(30=Fin,AI$113*P_RealCT+AI$118*P_RealAF,0)</f>
        <v>0</v>
      </c>
      <c r="AJ119" s="34" t="n">
        <f aca="false">IF(31=Fin,AJ$113*P_RealCT+AJ$118*P_RealAF,0)</f>
        <v>0</v>
      </c>
      <c r="AK119" s="34" t="n">
        <f aca="false">IF(32=Fin,AK$113*P_RealCT+AK$118*P_RealAF,0)</f>
        <v>0</v>
      </c>
      <c r="AL119" s="34" t="n">
        <f aca="false">IF(33=Fin,AL$113*P_RealCT+AL$118*P_RealAF,0)</f>
        <v>0</v>
      </c>
      <c r="AM119" s="34" t="n">
        <f aca="false">IF(34=Fin,AM$113*P_RealCT+AM$118*P_RealAF,0)</f>
        <v>0</v>
      </c>
      <c r="AN119" s="34" t="n">
        <f aca="false">IF(35=Fin,AN$113*P_RealCT+AN$118*P_RealAF,0)</f>
        <v>0</v>
      </c>
      <c r="AO119" s="34" t="n">
        <f aca="false">IF(36=Fin,AO$113*P_RealCT+AO$118*P_RealAF,0)</f>
        <v>0</v>
      </c>
      <c r="AP119" s="34" t="n">
        <f aca="false">IF(37=Fin,AP$113*P_RealCT+AP$118*P_RealAF,0)</f>
        <v>0</v>
      </c>
      <c r="AQ119" s="34" t="n">
        <f aca="false">IF(38=Fin,AQ$113*P_RealCT+AQ$118*P_RealAF,0)</f>
        <v>0</v>
      </c>
      <c r="AR119" s="34" t="n">
        <f aca="false">IF(39=Fin,AR$113*P_RealCT+AR$118*P_RealAF,0)</f>
        <v>0</v>
      </c>
      <c r="AS119" s="34" t="n">
        <f aca="false">IF(40=Fin,AS$113*P_RealCT+AS$118*P_RealAF,0)</f>
        <v>0</v>
      </c>
      <c r="AT119" s="34" t="n">
        <f aca="false">IF(41=Fin,AT$113*P_RealCT+AT$118*P_RealAF,0)</f>
        <v>0</v>
      </c>
      <c r="AU119" s="34" t="n">
        <f aca="false">IF(42=Fin,AU$113*P_RealCT+AU$118*P_RealAF,0)</f>
        <v>0</v>
      </c>
      <c r="AV119" s="34" t="n">
        <f aca="false">IF(43=Fin,AV$113*P_RealCT+AV$118*P_RealAF,0)</f>
        <v>0</v>
      </c>
      <c r="AW119" s="34" t="n">
        <f aca="false">IF(44=Fin,AW$113*P_RealCT+AW$118*P_RealAF,0)</f>
        <v>0</v>
      </c>
      <c r="AX119" s="34" t="n">
        <f aca="false">IF(45=Fin,AX$113*P_RealCT+AX$118*P_RealAF,0)</f>
        <v>0</v>
      </c>
      <c r="AY119" s="34" t="n">
        <f aca="false">IF(46=Fin,AY$113*P_RealCT+AY$118*P_RealAF,0)</f>
        <v>0</v>
      </c>
      <c r="AZ119" s="34" t="n">
        <f aca="false">IF(47=Fin,AZ$113*P_RealCT+AZ$118*P_RealAF,0)</f>
        <v>0</v>
      </c>
      <c r="BA119" s="34" t="n">
        <f aca="false">IF(48=Fin,BA$113*P_RealCT+BA$118*P_RealAF,0)</f>
        <v>0</v>
      </c>
      <c r="BB119" s="34" t="n">
        <f aca="false">IF(49=Fin,BB$113*P_RealCT+BB$118*P_RealAF,0)</f>
        <v>0</v>
      </c>
      <c r="BC119" s="34" t="n">
        <f aca="false">IF(50=Fin,BC$113*P_RealCT+BC$118*P_RealAF,0)</f>
        <v>0</v>
      </c>
      <c r="BD119" s="34" t="n">
        <f aca="false">IF(51=Fin,BD$113*P_RealCT+BD$118*P_RealAF,0)</f>
        <v>0</v>
      </c>
      <c r="BE119" s="34" t="n">
        <f aca="false">IF(52=Fin,BE$113*P_RealCT+BE$118*P_RealAF,0)</f>
        <v>0</v>
      </c>
      <c r="BF119" s="34" t="n">
        <f aca="false">IF(53=Fin,BF$113*P_RealCT+BF$118*P_RealAF,0)</f>
        <v>0</v>
      </c>
      <c r="BG119" s="34" t="n">
        <f aca="false">IF(54=Fin,BG$113*P_RealCT+BG$118*P_RealAF,0)</f>
        <v>0</v>
      </c>
      <c r="BH119" s="34" t="n">
        <f aca="false">IF(55=Fin,BH$113*P_RealCT+BH$118*P_RealAF,0)</f>
        <v>0</v>
      </c>
      <c r="BI119" s="34" t="n">
        <f aca="false">IF(56=Fin,BI$113*P_RealCT+BI$118*P_RealAF,0)</f>
        <v>0</v>
      </c>
      <c r="BJ119" s="34" t="n">
        <f aca="false">IF(57=Fin,BJ$113*P_RealCT+BJ$118*P_RealAF,0)</f>
        <v>0</v>
      </c>
      <c r="BK119" s="34" t="n">
        <f aca="false">IF(58=Fin,BK$113*P_RealCT+BK$118*P_RealAF,0)</f>
        <v>0</v>
      </c>
      <c r="BL119" s="34" t="n">
        <f aca="false">IF(59=Fin,BL$113*P_RealCT+BL$118*P_RealAF,0)</f>
        <v>0</v>
      </c>
      <c r="BM119" s="34" t="n">
        <f aca="false">IF(60=Fin,BM$113*P_RealCT+BM$118*P_RealAF,0)</f>
        <v>0</v>
      </c>
      <c r="BN119" s="34" t="n">
        <f aca="false">IF(61=Fin,BN$113*P_RealCT+BN$118*P_RealAF,0)</f>
        <v>0</v>
      </c>
      <c r="BO119" s="34" t="n">
        <f aca="false">IF(62=Fin,BO$113*P_RealCT+BO$118*P_RealAF,0)</f>
        <v>0</v>
      </c>
      <c r="BP119" s="34" t="n">
        <f aca="false">IF(63=Fin,BP$113*P_RealCT+BP$118*P_RealAF,0)</f>
        <v>0</v>
      </c>
      <c r="BQ119" s="34" t="n">
        <f aca="false">IF(64=Fin,BQ$113*P_RealCT+BQ$118*P_RealAF,0)</f>
        <v>0</v>
      </c>
      <c r="BR119" s="34" t="n">
        <f aca="false">IF(65=Fin,BR$113*P_RealCT+BR$118*P_RealAF,0)</f>
        <v>0</v>
      </c>
      <c r="BS119" s="34" t="n">
        <f aca="false">IF(66=Fin,BS$113*P_RealCT+BS$118*P_RealAF,0)</f>
        <v>0</v>
      </c>
      <c r="BT119" s="34" t="n">
        <f aca="false">IF(67=Fin,BT$113*P_RealCT+BT$118*P_RealAF,0)</f>
        <v>0</v>
      </c>
      <c r="BU119" s="34" t="n">
        <f aca="false">IF(68=Fin,BU$113*P_RealCT+BU$118*P_RealAF,0)</f>
        <v>0</v>
      </c>
      <c r="BV119" s="34" t="n">
        <f aca="false">IF(69=Fin,BV$113*P_RealCT+BV$118*P_RealAF,0)</f>
        <v>0</v>
      </c>
      <c r="BW119" s="34" t="n">
        <f aca="false">IF(70=Fin,BW$113*P_RealCT+BW$118*P_RealAF,0)</f>
        <v>0</v>
      </c>
      <c r="BX119" s="34" t="n">
        <f aca="false">IF(71=Fin,BX$113*P_RealCT+BX$118*P_RealAF,0)</f>
        <v>0</v>
      </c>
      <c r="BY119" s="34" t="n">
        <f aca="false">IF(72=Fin,BY$113*P_RealCT+BY$118*P_RealAF,0)</f>
        <v>0</v>
      </c>
      <c r="BZ119" s="34" t="n">
        <f aca="false">IF(73=Fin,BZ$113*P_RealCT+BZ$118*P_RealAF,0)</f>
        <v>0</v>
      </c>
      <c r="CA119" s="34" t="n">
        <f aca="false">IF(74=Fin,CA$113*P_RealCT+CA$118*P_RealAF,0)</f>
        <v>0</v>
      </c>
      <c r="CB119" s="34" t="n">
        <f aca="false">IF(75=Fin,CB$113*P_RealCT+CB$118*P_RealAF,0)</f>
        <v>0</v>
      </c>
      <c r="CC119" s="34" t="n">
        <f aca="false">IF(76=Fin,CC$113*P_RealCT+CC$118*P_RealAF,0)</f>
        <v>0</v>
      </c>
      <c r="CD119" s="34" t="n">
        <f aca="false">IF(77=Fin,CD$113*P_RealCT+CD$118*P_RealAF,0)</f>
        <v>0</v>
      </c>
      <c r="CE119" s="34" t="n">
        <f aca="false">IF(78=Fin,CE$113*P_RealCT+CE$118*P_RealAF,0)</f>
        <v>0</v>
      </c>
      <c r="CF119" s="34" t="n">
        <f aca="false">IF(79=Fin,CF$113*P_RealCT+CF$118*P_RealAF,0)</f>
        <v>0</v>
      </c>
      <c r="CG119" s="34" t="n">
        <f aca="false">IF(80=Fin,CG$113*P_RealCT+CG$118*P_RealAF,0)</f>
        <v>0</v>
      </c>
      <c r="CH119" s="34" t="n">
        <f aca="false">IF(81=Fin,CH$113*P_RealCT+CH$118*P_RealAF,0)</f>
        <v>0</v>
      </c>
      <c r="CI119" s="34" t="n">
        <f aca="false">IF(82=Fin,CI$113*P_RealCT+CI$118*P_RealAF,0)</f>
        <v>0</v>
      </c>
      <c r="CJ119" s="34" t="n">
        <f aca="false">IF(83=Fin,CJ$113*P_RealCT+CJ$118*P_RealAF,0)</f>
        <v>0</v>
      </c>
      <c r="CK119" s="34" t="n">
        <f aca="false">IF(84=Fin,CK$113*P_RealCT+CK$118*P_RealAF,0)</f>
        <v>0</v>
      </c>
      <c r="CL119" s="34" t="n">
        <f aca="false">IF(85=Fin,CL$113*P_RealCT+CL$118*P_RealAF,0)</f>
        <v>0</v>
      </c>
      <c r="CM119" s="34" t="n">
        <f aca="false">IF(86=Fin,CM$113*P_RealCT+CM$118*P_RealAF,0)</f>
        <v>0</v>
      </c>
      <c r="CN119" s="34" t="n">
        <f aca="false">IF(87=Fin,CN$113*P_RealCT+CN$118*P_RealAF,0)</f>
        <v>0</v>
      </c>
      <c r="CO119" s="34" t="n">
        <f aca="false">IF(88=Fin,CO$113*P_RealCT+CO$118*P_RealAF,0)</f>
        <v>0</v>
      </c>
      <c r="CP119" s="34" t="n">
        <f aca="false">IF(89=Fin,CP$113*P_RealCT+CP$118*P_RealAF,0)</f>
        <v>0</v>
      </c>
      <c r="CQ119" s="34" t="n">
        <f aca="false">IF(90=Fin,CQ$113*P_RealCT+CQ$118*P_RealAF,0)</f>
        <v>0</v>
      </c>
      <c r="CR119" s="34" t="n">
        <f aca="false">IF(91=Fin,CR$113*P_RealCT+CR$118*P_RealAF,0)</f>
        <v>0</v>
      </c>
      <c r="CS119" s="34" t="n">
        <f aca="false">IF(92=Fin,CS$113*P_RealCT+CS$118*P_RealAF,0)</f>
        <v>0</v>
      </c>
      <c r="CT119" s="34" t="n">
        <f aca="false">IF(93=Fin,CT$113*P_RealCT+CT$118*P_RealAF,0)</f>
        <v>0</v>
      </c>
      <c r="CU119" s="34" t="n">
        <f aca="false">IF(94=Fin,CU$113*P_RealCT+CU$118*P_RealAF,0)</f>
        <v>0</v>
      </c>
      <c r="CV119" s="34" t="n">
        <f aca="false">IF(95=Fin,CV$113*P_RealCT+CV$118*P_RealAF,0)</f>
        <v>0</v>
      </c>
      <c r="CW119" s="34" t="n">
        <f aca="false">IF(96=Fin,CW$113*P_RealCT+CW$118*P_RealAF,0)</f>
        <v>0</v>
      </c>
      <c r="CX119" s="34" t="n">
        <f aca="false">IF(97=Fin,CX$113*P_RealCT+CX$118*P_RealAF,0)</f>
        <v>0</v>
      </c>
      <c r="CY119" s="34" t="n">
        <f aca="false">IF(98=Fin,CY$113*P_RealCT+CY$118*P_RealAF,0)</f>
        <v>0</v>
      </c>
      <c r="CZ119" s="34" t="n">
        <f aca="false">IF(99=Fin,CZ$113*P_RealCT+CZ$118*P_RealAF,0)</f>
        <v>0</v>
      </c>
      <c r="DA119" s="34" t="n">
        <f aca="false">IF(100=Fin,DA$113*P_RealCT+DA$118*P_RealAF,0)</f>
        <v>0</v>
      </c>
      <c r="DB119" s="34" t="n">
        <f aca="false">IF(101=Fin,DB$113*P_RealCT+DB$118*P_RealAF,0)</f>
        <v>0</v>
      </c>
      <c r="DC119" s="34" t="n">
        <f aca="false">IF(102=Fin,DC$113*P_RealCT+DC$118*P_RealAF,0)</f>
        <v>0</v>
      </c>
      <c r="DD119" s="34" t="n">
        <f aca="false">IF(103=Fin,DD$113*P_RealCT+DD$118*P_RealAF,0)</f>
        <v>0</v>
      </c>
      <c r="DE119" s="34" t="n">
        <f aca="false">IF(104=Fin,DE$113*P_RealCT+DE$118*P_RealAF,0)</f>
        <v>0</v>
      </c>
      <c r="DF119" s="34" t="n">
        <f aca="false">IF(105=Fin,DF$113*P_RealCT+DF$118*P_RealAF,0)</f>
        <v>0</v>
      </c>
      <c r="DG119" s="34" t="n">
        <f aca="false">IF(106=Fin,DG$113*P_RealCT+DG$118*P_RealAF,0)</f>
        <v>0</v>
      </c>
      <c r="DH119" s="34" t="n">
        <f aca="false">IF(107=Fin,DH$113*P_RealCT+DH$118*P_RealAF,0)</f>
        <v>0</v>
      </c>
      <c r="DI119" s="34" t="n">
        <f aca="false">IF(108=Fin,DI$113*P_RealCT+DI$118*P_RealAF,0)</f>
        <v>0</v>
      </c>
      <c r="DJ119" s="34" t="n">
        <f aca="false">IF(109=Fin,DJ$113*P_RealCT+DJ$118*P_RealAF,0)</f>
        <v>0</v>
      </c>
      <c r="DK119" s="34" t="n">
        <f aca="false">IF(110=Fin,DK$113*P_RealCT+DK$118*P_RealAF,0)</f>
        <v>0</v>
      </c>
      <c r="DL119" s="34" t="n">
        <f aca="false">IF(111=Fin,DL$113*P_RealCT+DL$118*P_RealAF,0)</f>
        <v>0</v>
      </c>
      <c r="DM119" s="34" t="n">
        <f aca="false">IF(112=Fin,DM$113*P_RealCT+DM$118*P_RealAF,0)</f>
        <v>0</v>
      </c>
      <c r="DN119" s="34" t="n">
        <f aca="false">IF(113=Fin,DN$113*P_RealCT+DN$118*P_RealAF,0)</f>
        <v>0</v>
      </c>
      <c r="DO119" s="34" t="n">
        <f aca="false">IF(114=Fin,DO$113*P_RealCT+DO$118*P_RealAF,0)</f>
        <v>0</v>
      </c>
      <c r="DP119" s="34" t="n">
        <f aca="false">IF(115=Fin,DP$113*P_RealCT+DP$118*P_RealAF,0)</f>
        <v>0</v>
      </c>
      <c r="DQ119" s="34" t="n">
        <f aca="false">IF(116=Fin,DQ$113*P_RealCT+DQ$118*P_RealAF,0)</f>
        <v>0</v>
      </c>
      <c r="DR119" s="34" t="n">
        <f aca="false">IF(117=Fin,DR$113*P_RealCT+DR$118*P_RealAF,0)</f>
        <v>0</v>
      </c>
      <c r="DS119" s="34" t="n">
        <f aca="false">IF(118=Fin,DS$113*P_RealCT+DS$118*P_RealAF,0)</f>
        <v>0</v>
      </c>
      <c r="DT119" s="34" t="n">
        <f aca="false">IF(119=Fin,DT$113*P_RealCT+DT$118*P_RealAF,0)</f>
        <v>0</v>
      </c>
      <c r="DU119" s="34" t="n">
        <f aca="false">IF(120=Fin,DU$113*P_RealCT+DU$118*P_RealAF,0)</f>
        <v>4509762.51732228</v>
      </c>
      <c r="DV119" s="34" t="n">
        <f aca="false">IF(121=Fin,DV$113*P_RealCT+DV$118*P_RealAF,0)</f>
        <v>0</v>
      </c>
      <c r="DW119" s="34" t="n">
        <f aca="false">IF(122=Fin,DW$113*P_RealCT+DW$118*P_RealAF,0)</f>
        <v>0</v>
      </c>
      <c r="DX119" s="34" t="n">
        <f aca="false">IF(123=Fin,DX$113*P_RealCT+DX$118*P_RealAF,0)</f>
        <v>0</v>
      </c>
      <c r="DY119" s="34" t="n">
        <f aca="false">IF(124=Fin,DY$113*P_RealCT+DY$118*P_RealAF,0)</f>
        <v>0</v>
      </c>
      <c r="DZ119" s="34" t="n">
        <f aca="false">IF(125=Fin,DZ$113*P_RealCT+DZ$118*P_RealAF,0)</f>
        <v>0</v>
      </c>
      <c r="EA119" s="34" t="n">
        <f aca="false">IF(126=Fin,EA$113*P_RealCT+EA$118*P_RealAF,0)</f>
        <v>0</v>
      </c>
      <c r="EB119" s="34" t="n">
        <f aca="false">IF(127=Fin,EB$113*P_RealCT+EB$118*P_RealAF,0)</f>
        <v>0</v>
      </c>
      <c r="EC119" s="34" t="n">
        <f aca="false">IF(128=Fin,EC$113*P_RealCT+EC$118*P_RealAF,0)</f>
        <v>0</v>
      </c>
      <c r="ED119" s="34" t="n">
        <f aca="false">IF(129=Fin,ED$113*P_RealCT+ED$118*P_RealAF,0)</f>
        <v>0</v>
      </c>
      <c r="EE119" s="34" t="n">
        <f aca="false">IF(130=Fin,EE$113*P_RealCT+EE$118*P_RealAF,0)</f>
        <v>0</v>
      </c>
      <c r="EF119" s="34" t="n">
        <f aca="false">IF(131=Fin,EF$113*P_RealCT+EF$118*P_RealAF,0)</f>
        <v>0</v>
      </c>
      <c r="EG119" s="34" t="n">
        <f aca="false">IF(132=Fin,EG$113*P_RealCT+EG$118*P_RealAF,0)</f>
        <v>0</v>
      </c>
      <c r="EH119" s="34" t="n">
        <f aca="false">IF(133=Fin,EH$113*P_RealCT+EH$118*P_RealAF,0)</f>
        <v>0</v>
      </c>
      <c r="EI119" s="34" t="n">
        <f aca="false">IF(134=Fin,EI$113*P_RealCT+EI$118*P_RealAF,0)</f>
        <v>0</v>
      </c>
      <c r="EJ119" s="34" t="n">
        <f aca="false">IF(135=Fin,EJ$113*P_RealCT+EJ$118*P_RealAF,0)</f>
        <v>0</v>
      </c>
      <c r="EK119" s="34" t="n">
        <f aca="false">IF(136=Fin,EK$113*P_RealCT+EK$118*P_RealAF,0)</f>
        <v>0</v>
      </c>
      <c r="EL119" s="34" t="n">
        <f aca="false">IF(137=Fin,EL$113*P_RealCT+EL$118*P_RealAF,0)</f>
        <v>0</v>
      </c>
      <c r="EM119" s="34" t="n">
        <f aca="false">IF(138=Fin,EM$113*P_RealCT+EM$118*P_RealAF,0)</f>
        <v>0</v>
      </c>
      <c r="EN119" s="34" t="n">
        <f aca="false">IF(139=Fin,EN$113*P_RealCT+EN$118*P_RealAF,0)</f>
        <v>0</v>
      </c>
      <c r="EO119" s="34" t="n">
        <f aca="false">IF(140=Fin,EO$113*P_RealCT+EO$118*P_RealAF,0)</f>
        <v>0</v>
      </c>
      <c r="EP119" s="34" t="n">
        <f aca="false">IF(141=Fin,EP$113*P_RealCT+EP$118*P_RealAF,0)</f>
        <v>0</v>
      </c>
      <c r="EQ119" s="34" t="n">
        <f aca="false">IF(142=Fin,EQ$113*P_RealCT+EQ$118*P_RealAF,0)</f>
        <v>0</v>
      </c>
      <c r="ER119" s="34" t="n">
        <f aca="false">IF(143=Fin,ER$113*P_RealCT+ER$118*P_RealAF,0)</f>
        <v>0</v>
      </c>
      <c r="ES119" s="34" t="n">
        <f aca="false">IF(144=Fin,ES$113*P_RealCT+ES$118*P_RealAF,0)</f>
        <v>0</v>
      </c>
    </row>
    <row r="120" customFormat="false" ht="15" hidden="false" customHeight="false" outlineLevel="0" collapsed="false">
      <c r="A120" s="2" t="s">
        <v>724</v>
      </c>
      <c r="B120" s="52" t="s">
        <v>725</v>
      </c>
      <c r="C120" s="6" t="s">
        <v>250</v>
      </c>
      <c r="E120" s="40" t="n">
        <f aca="false">SUM(F120:ES120)</f>
        <v>15564459.926261</v>
      </c>
      <c r="F120" s="10" t="n">
        <f aca="false">F$116-F$117+F$119</f>
        <v>-3000610.47688344</v>
      </c>
      <c r="G120" s="10" t="n">
        <f aca="false">G$116-G$117+G$119</f>
        <v>42497.5004755897</v>
      </c>
      <c r="H120" s="10" t="n">
        <f aca="false">H$116-H$117+H$119</f>
        <v>42497.5004755897</v>
      </c>
      <c r="I120" s="10" t="n">
        <f aca="false">I$116-I$117+I$119</f>
        <v>42497.5004755897</v>
      </c>
      <c r="J120" s="10" t="n">
        <f aca="false">J$116-J$117+J$119</f>
        <v>42497.5004755897</v>
      </c>
      <c r="K120" s="10" t="n">
        <f aca="false">K$116-K$117+K$119</f>
        <v>42497.5004755897</v>
      </c>
      <c r="L120" s="10" t="n">
        <f aca="false">L$116-L$117+L$119</f>
        <v>42497.5004755897</v>
      </c>
      <c r="M120" s="10" t="n">
        <f aca="false">M$116-M$117+M$119</f>
        <v>42497.5004755897</v>
      </c>
      <c r="N120" s="10" t="n">
        <f aca="false">N$116-N$117+N$119</f>
        <v>42497.5004755897</v>
      </c>
      <c r="O120" s="10" t="n">
        <f aca="false">O$116-O$117+O$119</f>
        <v>42497.5004755897</v>
      </c>
      <c r="P120" s="10" t="n">
        <f aca="false">P$116-P$117+P$119</f>
        <v>42497.5004755897</v>
      </c>
      <c r="Q120" s="10" t="n">
        <f aca="false">Q$116-Q$117+Q$119</f>
        <v>42497.5004755897</v>
      </c>
      <c r="R120" s="10" t="n">
        <f aca="false">R$116-R$117+R$119</f>
        <v>-674649.041401679</v>
      </c>
      <c r="S120" s="10" t="n">
        <f aca="false">S$116-S$117+S$119</f>
        <v>80496.4029939648</v>
      </c>
      <c r="T120" s="10" t="n">
        <f aca="false">T$116-T$117+T$119</f>
        <v>80496.4029939648</v>
      </c>
      <c r="U120" s="10" t="n">
        <f aca="false">U$116-U$117+U$119</f>
        <v>80496.4029939648</v>
      </c>
      <c r="V120" s="10" t="n">
        <f aca="false">V$116-V$117+V$119</f>
        <v>80496.4029939648</v>
      </c>
      <c r="W120" s="10" t="n">
        <f aca="false">W$116-W$117+W$119</f>
        <v>80496.4029939648</v>
      </c>
      <c r="X120" s="10" t="n">
        <f aca="false">X$116-X$117+X$119</f>
        <v>80496.4029939648</v>
      </c>
      <c r="Y120" s="10" t="n">
        <f aca="false">Y$116-Y$117+Y$119</f>
        <v>80496.4029939648</v>
      </c>
      <c r="Z120" s="10" t="n">
        <f aca="false">Z$116-Z$117+Z$119</f>
        <v>80496.4029939648</v>
      </c>
      <c r="AA120" s="10" t="n">
        <f aca="false">AA$116-AA$117+AA$119</f>
        <v>80496.4029939648</v>
      </c>
      <c r="AB120" s="10" t="n">
        <f aca="false">AB$116-AB$117+AB$119</f>
        <v>80496.4029939648</v>
      </c>
      <c r="AC120" s="10" t="n">
        <f aca="false">AC$116-AC$117+AC$119</f>
        <v>80496.4029939648</v>
      </c>
      <c r="AD120" s="10" t="n">
        <f aca="false">AD$116-AD$117+AD$119</f>
        <v>-550241.899767298</v>
      </c>
      <c r="AE120" s="10" t="n">
        <f aca="false">AE$116-AE$117+AE$119</f>
        <v>117085.030865125</v>
      </c>
      <c r="AF120" s="10" t="n">
        <f aca="false">AF$116-AF$117+AF$119</f>
        <v>117085.030865125</v>
      </c>
      <c r="AG120" s="10" t="n">
        <f aca="false">AG$116-AG$117+AG$119</f>
        <v>117085.030865125</v>
      </c>
      <c r="AH120" s="10" t="n">
        <f aca="false">AH$116-AH$117+AH$119</f>
        <v>117085.030865125</v>
      </c>
      <c r="AI120" s="10" t="n">
        <f aca="false">AI$116-AI$117+AI$119</f>
        <v>117085.030865125</v>
      </c>
      <c r="AJ120" s="10" t="n">
        <f aca="false">AJ$116-AJ$117+AJ$119</f>
        <v>117085.030865125</v>
      </c>
      <c r="AK120" s="10" t="n">
        <f aca="false">AK$116-AK$117+AK$119</f>
        <v>117085.030865125</v>
      </c>
      <c r="AL120" s="10" t="n">
        <f aca="false">AL$116-AL$117+AL$119</f>
        <v>117085.030865125</v>
      </c>
      <c r="AM120" s="10" t="n">
        <f aca="false">AM$116-AM$117+AM$119</f>
        <v>117085.030865125</v>
      </c>
      <c r="AN120" s="10" t="n">
        <f aca="false">AN$116-AN$117+AN$119</f>
        <v>117085.030865125</v>
      </c>
      <c r="AO120" s="10" t="n">
        <f aca="false">AO$116-AO$117+AO$119</f>
        <v>117085.030865125</v>
      </c>
      <c r="AP120" s="10" t="n">
        <f aca="false">AP$116-AP$117+AP$119</f>
        <v>-408915.490053455</v>
      </c>
      <c r="AQ120" s="10" t="n">
        <f aca="false">AQ$116-AQ$117+AQ$119</f>
        <v>149893.579879858</v>
      </c>
      <c r="AR120" s="10" t="n">
        <f aca="false">AR$116-AR$117+AR$119</f>
        <v>149893.579879858</v>
      </c>
      <c r="AS120" s="10" t="n">
        <f aca="false">AS$116-AS$117+AS$119</f>
        <v>149893.579879858</v>
      </c>
      <c r="AT120" s="10" t="n">
        <f aca="false">AT$116-AT$117+AT$119</f>
        <v>149893.579879858</v>
      </c>
      <c r="AU120" s="10" t="n">
        <f aca="false">AU$116-AU$117+AU$119</f>
        <v>149893.579879858</v>
      </c>
      <c r="AV120" s="10" t="n">
        <f aca="false">AV$116-AV$117+AV$119</f>
        <v>149893.579879858</v>
      </c>
      <c r="AW120" s="10" t="n">
        <f aca="false">AW$116-AW$117+AW$119</f>
        <v>149893.579879858</v>
      </c>
      <c r="AX120" s="10" t="n">
        <f aca="false">AX$116-AX$117+AX$119</f>
        <v>149893.579879858</v>
      </c>
      <c r="AY120" s="10" t="n">
        <f aca="false">AY$116-AY$117+AY$119</f>
        <v>149893.579879858</v>
      </c>
      <c r="AZ120" s="10" t="n">
        <f aca="false">AZ$116-AZ$117+AZ$119</f>
        <v>149893.579879858</v>
      </c>
      <c r="BA120" s="10" t="n">
        <f aca="false">BA$116-BA$117+BA$119</f>
        <v>149893.579879858</v>
      </c>
      <c r="BB120" s="10" t="n">
        <f aca="false">BB$116-BB$117+BB$119</f>
        <v>113103.617170514</v>
      </c>
      <c r="BC120" s="10" t="n">
        <f aca="false">BC$116-BC$117+BC$119</f>
        <v>151213.164876374</v>
      </c>
      <c r="BD120" s="10" t="n">
        <f aca="false">BD$116-BD$117+BD$119</f>
        <v>151213.164876374</v>
      </c>
      <c r="BE120" s="10" t="n">
        <f aca="false">BE$116-BE$117+BE$119</f>
        <v>151213.164876374</v>
      </c>
      <c r="BF120" s="10" t="n">
        <f aca="false">BF$116-BF$117+BF$119</f>
        <v>151213.164876374</v>
      </c>
      <c r="BG120" s="10" t="n">
        <f aca="false">BG$116-BG$117+BG$119</f>
        <v>151213.164876374</v>
      </c>
      <c r="BH120" s="10" t="n">
        <f aca="false">BH$116-BH$117+BH$119</f>
        <v>151213.164876374</v>
      </c>
      <c r="BI120" s="10" t="n">
        <f aca="false">BI$116-BI$117+BI$119</f>
        <v>151213.164876374</v>
      </c>
      <c r="BJ120" s="10" t="n">
        <f aca="false">BJ$116-BJ$117+BJ$119</f>
        <v>151213.164876374</v>
      </c>
      <c r="BK120" s="10" t="n">
        <f aca="false">BK$116-BK$117+BK$119</f>
        <v>151213.164876374</v>
      </c>
      <c r="BL120" s="10" t="n">
        <f aca="false">BL$116-BL$117+BL$119</f>
        <v>151213.164876374</v>
      </c>
      <c r="BM120" s="10" t="n">
        <f aca="false">BM$116-BM$117+BM$119</f>
        <v>151213.164876374</v>
      </c>
      <c r="BN120" s="10" t="n">
        <f aca="false">BN$116-BN$117+BN$119</f>
        <v>117575.58532923</v>
      </c>
      <c r="BO120" s="10" t="n">
        <f aca="false">BO$116-BO$117+BO$119</f>
        <v>155300.441797826</v>
      </c>
      <c r="BP120" s="10" t="n">
        <f aca="false">BP$116-BP$117+BP$119</f>
        <v>155300.441797826</v>
      </c>
      <c r="BQ120" s="10" t="n">
        <f aca="false">BQ$116-BQ$117+BQ$119</f>
        <v>155300.441797826</v>
      </c>
      <c r="BR120" s="10" t="n">
        <f aca="false">BR$116-BR$117+BR$119</f>
        <v>155300.441797826</v>
      </c>
      <c r="BS120" s="10" t="n">
        <f aca="false">BS$116-BS$117+BS$119</f>
        <v>155300.441797826</v>
      </c>
      <c r="BT120" s="10" t="n">
        <f aca="false">BT$116-BT$117+BT$119</f>
        <v>155300.441797826</v>
      </c>
      <c r="BU120" s="10" t="n">
        <f aca="false">BU$116-BU$117+BU$119</f>
        <v>155300.441797826</v>
      </c>
      <c r="BV120" s="10" t="n">
        <f aca="false">BV$116-BV$117+BV$119</f>
        <v>155300.441797826</v>
      </c>
      <c r="BW120" s="10" t="n">
        <f aca="false">BW$116-BW$117+BW$119</f>
        <v>155300.441797826</v>
      </c>
      <c r="BX120" s="10" t="n">
        <f aca="false">BX$116-BX$117+BX$119</f>
        <v>155300.441797826</v>
      </c>
      <c r="BY120" s="10" t="n">
        <f aca="false">BY$116-BY$117+BY$119</f>
        <v>155300.441797826</v>
      </c>
      <c r="BZ120" s="10" t="n">
        <f aca="false">BZ$116-BZ$117+BZ$119</f>
        <v>121326.129264619</v>
      </c>
      <c r="CA120" s="10" t="n">
        <f aca="false">CA$116-CA$117+CA$119</f>
        <v>159416.0224894</v>
      </c>
      <c r="CB120" s="10" t="n">
        <f aca="false">CB$116-CB$117+CB$119</f>
        <v>159416.0224894</v>
      </c>
      <c r="CC120" s="10" t="n">
        <f aca="false">CC$116-CC$117+CC$119</f>
        <v>159416.0224894</v>
      </c>
      <c r="CD120" s="10" t="n">
        <f aca="false">CD$116-CD$117+CD$119</f>
        <v>159416.0224894</v>
      </c>
      <c r="CE120" s="10" t="n">
        <f aca="false">CE$116-CE$117+CE$119</f>
        <v>159416.0224894</v>
      </c>
      <c r="CF120" s="10" t="n">
        <f aca="false">CF$116-CF$117+CF$119</f>
        <v>159416.0224894</v>
      </c>
      <c r="CG120" s="10" t="n">
        <f aca="false">CG$116-CG$117+CG$119</f>
        <v>159416.0224894</v>
      </c>
      <c r="CH120" s="10" t="n">
        <f aca="false">CH$116-CH$117+CH$119</f>
        <v>159416.0224894</v>
      </c>
      <c r="CI120" s="10" t="n">
        <f aca="false">CI$116-CI$117+CI$119</f>
        <v>159416.0224894</v>
      </c>
      <c r="CJ120" s="10" t="n">
        <f aca="false">CJ$116-CJ$117+CJ$119</f>
        <v>159416.0224894</v>
      </c>
      <c r="CK120" s="10" t="n">
        <f aca="false">CK$116-CK$117+CK$119</f>
        <v>159416.0224894</v>
      </c>
      <c r="CL120" s="10" t="n">
        <f aca="false">CL$116-CL$117+CL$119</f>
        <v>125101.600851768</v>
      </c>
      <c r="CM120" s="10" t="n">
        <f aca="false">CM$116-CM$117+CM$119</f>
        <v>163559.818546288</v>
      </c>
      <c r="CN120" s="10" t="n">
        <f aca="false">CN$116-CN$117+CN$119</f>
        <v>163559.818546288</v>
      </c>
      <c r="CO120" s="10" t="n">
        <f aca="false">CO$116-CO$117+CO$119</f>
        <v>163559.818546288</v>
      </c>
      <c r="CP120" s="10" t="n">
        <f aca="false">CP$116-CP$117+CP$119</f>
        <v>163559.818546288</v>
      </c>
      <c r="CQ120" s="10" t="n">
        <f aca="false">CQ$116-CQ$117+CQ$119</f>
        <v>163559.818546288</v>
      </c>
      <c r="CR120" s="10" t="n">
        <f aca="false">CR$116-CR$117+CR$119</f>
        <v>163559.818546288</v>
      </c>
      <c r="CS120" s="10" t="n">
        <f aca="false">CS$116-CS$117+CS$119</f>
        <v>163559.818546288</v>
      </c>
      <c r="CT120" s="10" t="n">
        <f aca="false">CT$116-CT$117+CT$119</f>
        <v>163559.818546288</v>
      </c>
      <c r="CU120" s="10" t="n">
        <f aca="false">CU$116-CU$117+CU$119</f>
        <v>163559.818546288</v>
      </c>
      <c r="CV120" s="10" t="n">
        <f aca="false">CV$116-CV$117+CV$119</f>
        <v>163559.818546288</v>
      </c>
      <c r="CW120" s="10" t="n">
        <f aca="false">CW$116-CW$117+CW$119</f>
        <v>163559.818546288</v>
      </c>
      <c r="CX120" s="10" t="n">
        <f aca="false">CX$116-CX$117+CX$119</f>
        <v>128901.877699572</v>
      </c>
      <c r="CY120" s="10" t="n">
        <f aca="false">CY$116-CY$117+CY$119</f>
        <v>167731.729648908</v>
      </c>
      <c r="CZ120" s="10" t="n">
        <f aca="false">CZ$116-CZ$117+CZ$119</f>
        <v>167731.729648908</v>
      </c>
      <c r="DA120" s="10" t="n">
        <f aca="false">DA$116-DA$117+DA$119</f>
        <v>167731.729648908</v>
      </c>
      <c r="DB120" s="10" t="n">
        <f aca="false">DB$116-DB$117+DB$119</f>
        <v>167731.729648908</v>
      </c>
      <c r="DC120" s="10" t="n">
        <f aca="false">DC$116-DC$117+DC$119</f>
        <v>167731.729648908</v>
      </c>
      <c r="DD120" s="10" t="n">
        <f aca="false">DD$116-DD$117+DD$119</f>
        <v>167731.729648908</v>
      </c>
      <c r="DE120" s="10" t="n">
        <f aca="false">DE$116-DE$117+DE$119</f>
        <v>167731.729648908</v>
      </c>
      <c r="DF120" s="10" t="n">
        <f aca="false">DF$116-DF$117+DF$119</f>
        <v>167731.729648908</v>
      </c>
      <c r="DG120" s="10" t="n">
        <f aca="false">DG$116-DG$117+DG$119</f>
        <v>167731.729648908</v>
      </c>
      <c r="DH120" s="10" t="n">
        <f aca="false">DH$116-DH$117+DH$119</f>
        <v>167731.729648908</v>
      </c>
      <c r="DI120" s="10" t="n">
        <f aca="false">DI$116-DI$117+DI$119</f>
        <v>167731.729648908</v>
      </c>
      <c r="DJ120" s="10" t="n">
        <f aca="false">DJ$116-DJ$117+DJ$119</f>
        <v>132726.825156308</v>
      </c>
      <c r="DK120" s="10" t="n">
        <f aca="false">DK$116-DK$117+DK$119</f>
        <v>171931.643115086</v>
      </c>
      <c r="DL120" s="10" t="n">
        <f aca="false">DL$116-DL$117+DL$119</f>
        <v>171931.643115086</v>
      </c>
      <c r="DM120" s="10" t="n">
        <f aca="false">DM$116-DM$117+DM$119</f>
        <v>171931.643115086</v>
      </c>
      <c r="DN120" s="10" t="n">
        <f aca="false">DN$116-DN$117+DN$119</f>
        <v>171931.643115086</v>
      </c>
      <c r="DO120" s="10" t="n">
        <f aca="false">DO$116-DO$117+DO$119</f>
        <v>171931.643115086</v>
      </c>
      <c r="DP120" s="10" t="n">
        <f aca="false">DP$116-DP$117+DP$119</f>
        <v>171931.643115086</v>
      </c>
      <c r="DQ120" s="10" t="n">
        <f aca="false">DQ$116-DQ$117+DQ$119</f>
        <v>171931.643115086</v>
      </c>
      <c r="DR120" s="10" t="n">
        <f aca="false">DR$116-DR$117+DR$119</f>
        <v>171931.643115086</v>
      </c>
      <c r="DS120" s="10" t="n">
        <f aca="false">DS$116-DS$117+DS$119</f>
        <v>171931.643115086</v>
      </c>
      <c r="DT120" s="10" t="n">
        <f aca="false">DT$116-DT$117+DT$119</f>
        <v>171931.643115086</v>
      </c>
      <c r="DU120" s="10" t="n">
        <f aca="false">DU$116-DU$117+DU$119</f>
        <v>4681694.16043737</v>
      </c>
      <c r="DV120" s="10" t="n">
        <f aca="false">DV$116-DV$117+DV$119</f>
        <v>0</v>
      </c>
      <c r="DW120" s="10" t="n">
        <f aca="false">DW$116-DW$117+DW$119</f>
        <v>0</v>
      </c>
      <c r="DX120" s="10" t="n">
        <f aca="false">DX$116-DX$117+DX$119</f>
        <v>0</v>
      </c>
      <c r="DY120" s="10" t="n">
        <f aca="false">DY$116-DY$117+DY$119</f>
        <v>0</v>
      </c>
      <c r="DZ120" s="10" t="n">
        <f aca="false">DZ$116-DZ$117+DZ$119</f>
        <v>0</v>
      </c>
      <c r="EA120" s="10" t="n">
        <f aca="false">EA$116-EA$117+EA$119</f>
        <v>0</v>
      </c>
      <c r="EB120" s="10" t="n">
        <f aca="false">EB$116-EB$117+EB$119</f>
        <v>0</v>
      </c>
      <c r="EC120" s="10" t="n">
        <f aca="false">EC$116-EC$117+EC$119</f>
        <v>0</v>
      </c>
      <c r="ED120" s="10" t="n">
        <f aca="false">ED$116-ED$117+ED$119</f>
        <v>0</v>
      </c>
      <c r="EE120" s="10" t="n">
        <f aca="false">EE$116-EE$117+EE$119</f>
        <v>0</v>
      </c>
      <c r="EF120" s="10" t="n">
        <f aca="false">EF$116-EF$117+EF$119</f>
        <v>0</v>
      </c>
      <c r="EG120" s="10" t="n">
        <f aca="false">EG$116-EG$117+EG$119</f>
        <v>0</v>
      </c>
      <c r="EH120" s="10" t="n">
        <f aca="false">EH$116-EH$117+EH$119</f>
        <v>0</v>
      </c>
      <c r="EI120" s="10" t="n">
        <f aca="false">EI$116-EI$117+EI$119</f>
        <v>0</v>
      </c>
      <c r="EJ120" s="10" t="n">
        <f aca="false">EJ$116-EJ$117+EJ$119</f>
        <v>0</v>
      </c>
      <c r="EK120" s="10" t="n">
        <f aca="false">EK$116-EK$117+EK$119</f>
        <v>0</v>
      </c>
      <c r="EL120" s="10" t="n">
        <f aca="false">EL$116-EL$117+EL$119</f>
        <v>0</v>
      </c>
      <c r="EM120" s="10" t="n">
        <f aca="false">EM$116-EM$117+EM$119</f>
        <v>0</v>
      </c>
      <c r="EN120" s="10" t="n">
        <f aca="false">EN$116-EN$117+EN$119</f>
        <v>0</v>
      </c>
      <c r="EO120" s="10" t="n">
        <f aca="false">EO$116-EO$117+EO$119</f>
        <v>0</v>
      </c>
      <c r="EP120" s="10" t="n">
        <f aca="false">EP$116-EP$117+EP$119</f>
        <v>0</v>
      </c>
      <c r="EQ120" s="10" t="n">
        <f aca="false">EQ$116-EQ$117+EQ$119</f>
        <v>0</v>
      </c>
      <c r="ER120" s="10" t="n">
        <f aca="false">ER$116-ER$117+ER$119</f>
        <v>0</v>
      </c>
      <c r="ES120" s="10" t="n">
        <f aca="false">ES$116-ES$117+ES$119</f>
        <v>0</v>
      </c>
    </row>
    <row r="121" customFormat="false" ht="15" hidden="false" customHeight="false" outlineLevel="0" collapsed="false">
      <c r="A121" s="2" t="s">
        <v>726</v>
      </c>
      <c r="B121" s="6" t="s">
        <v>727</v>
      </c>
      <c r="C121" s="6" t="s">
        <v>250</v>
      </c>
      <c r="E121" s="40" t="n">
        <f aca="false">MIN(F121:ES121)</f>
        <v>-3207787.01305363</v>
      </c>
      <c r="F121" s="34" t="n">
        <f aca="false">0+F$116-F$117</f>
        <v>-3000610.47688344</v>
      </c>
      <c r="G121" s="34" t="n">
        <f aca="false">F$121+G$116-G$117</f>
        <v>-2958112.97640785</v>
      </c>
      <c r="H121" s="34" t="n">
        <f aca="false">G$121+H$116-H$117</f>
        <v>-2915615.47593226</v>
      </c>
      <c r="I121" s="34" t="n">
        <f aca="false">H$121+I$116-I$117</f>
        <v>-2873117.97545667</v>
      </c>
      <c r="J121" s="34" t="n">
        <f aca="false">I$121+J$116-J$117</f>
        <v>-2830620.47498108</v>
      </c>
      <c r="K121" s="34" t="n">
        <f aca="false">J$121+K$116-K$117</f>
        <v>-2788122.97450549</v>
      </c>
      <c r="L121" s="34" t="n">
        <f aca="false">K$121+L$116-L$117</f>
        <v>-2745625.4740299</v>
      </c>
      <c r="M121" s="34" t="n">
        <f aca="false">L$121+M$116-M$117</f>
        <v>-2703127.97355431</v>
      </c>
      <c r="N121" s="34" t="n">
        <f aca="false">M$121+N$116-N$117</f>
        <v>-2660630.47307872</v>
      </c>
      <c r="O121" s="34" t="n">
        <f aca="false">N$121+O$116-O$117</f>
        <v>-2618132.97260313</v>
      </c>
      <c r="P121" s="34" t="n">
        <f aca="false">O$121+P$116-P$117</f>
        <v>-2575635.47212754</v>
      </c>
      <c r="Q121" s="34" t="n">
        <f aca="false">P$121+Q$116-Q$117</f>
        <v>-2533137.97165195</v>
      </c>
      <c r="R121" s="34" t="n">
        <f aca="false">Q$121+R$116-R$117</f>
        <v>-3207787.01305363</v>
      </c>
      <c r="S121" s="34" t="n">
        <f aca="false">R$121+S$116-S$117</f>
        <v>-3127290.61005967</v>
      </c>
      <c r="T121" s="34" t="n">
        <f aca="false">S$121+T$116-T$117</f>
        <v>-3046794.2070657</v>
      </c>
      <c r="U121" s="34" t="n">
        <f aca="false">T$121+U$116-U$117</f>
        <v>-2966297.80407174</v>
      </c>
      <c r="V121" s="34" t="n">
        <f aca="false">U$121+V$116-V$117</f>
        <v>-2885801.40107777</v>
      </c>
      <c r="W121" s="34" t="n">
        <f aca="false">V$121+W$116-W$117</f>
        <v>-2805304.99808381</v>
      </c>
      <c r="X121" s="34" t="n">
        <f aca="false">W$121+X$116-X$117</f>
        <v>-2724808.59508984</v>
      </c>
      <c r="Y121" s="34" t="n">
        <f aca="false">X$121+Y$116-Y$117</f>
        <v>-2644312.19209588</v>
      </c>
      <c r="Z121" s="34" t="n">
        <f aca="false">Y$121+Z$116-Z$117</f>
        <v>-2563815.78910191</v>
      </c>
      <c r="AA121" s="34" t="n">
        <f aca="false">Z$121+AA$116-AA$117</f>
        <v>-2483319.38610795</v>
      </c>
      <c r="AB121" s="34" t="n">
        <f aca="false">AA$121+AB$116-AB$117</f>
        <v>-2402822.98311398</v>
      </c>
      <c r="AC121" s="34" t="n">
        <f aca="false">AB$121+AC$116-AC$117</f>
        <v>-2322326.58012002</v>
      </c>
      <c r="AD121" s="34" t="n">
        <f aca="false">AC$121+AD$116-AD$117</f>
        <v>-2872568.47988732</v>
      </c>
      <c r="AE121" s="34" t="n">
        <f aca="false">AD$121+AE$116-AE$117</f>
        <v>-2755483.44902219</v>
      </c>
      <c r="AF121" s="34" t="n">
        <f aca="false">AE$121+AF$116-AF$117</f>
        <v>-2638398.41815707</v>
      </c>
      <c r="AG121" s="34" t="n">
        <f aca="false">AF$121+AG$116-AG$117</f>
        <v>-2521313.38729194</v>
      </c>
      <c r="AH121" s="34" t="n">
        <f aca="false">AG$121+AH$116-AH$117</f>
        <v>-2404228.35642682</v>
      </c>
      <c r="AI121" s="34" t="n">
        <f aca="false">AH$121+AI$116-AI$117</f>
        <v>-2287143.32556169</v>
      </c>
      <c r="AJ121" s="34" t="n">
        <f aca="false">AI$121+AJ$116-AJ$117</f>
        <v>-2170058.29469657</v>
      </c>
      <c r="AK121" s="34" t="n">
        <f aca="false">AJ$121+AK$116-AK$117</f>
        <v>-2052973.26383144</v>
      </c>
      <c r="AL121" s="34" t="n">
        <f aca="false">AK$121+AL$116-AL$117</f>
        <v>-1935888.23296632</v>
      </c>
      <c r="AM121" s="34" t="n">
        <f aca="false">AL$121+AM$116-AM$117</f>
        <v>-1818803.20210119</v>
      </c>
      <c r="AN121" s="34" t="n">
        <f aca="false">AM$121+AN$116-AN$117</f>
        <v>-1701718.17123607</v>
      </c>
      <c r="AO121" s="34" t="n">
        <f aca="false">AN$121+AO$116-AO$117</f>
        <v>-1584633.14037094</v>
      </c>
      <c r="AP121" s="34" t="n">
        <f aca="false">AO$121+AP$116-AP$117</f>
        <v>-1993548.6304244</v>
      </c>
      <c r="AQ121" s="34" t="n">
        <f aca="false">AP$121+AQ$116-AQ$117</f>
        <v>-1843655.05054454</v>
      </c>
      <c r="AR121" s="34" t="n">
        <f aca="false">AQ$121+AR$116-AR$117</f>
        <v>-1693761.47066468</v>
      </c>
      <c r="AS121" s="34" t="n">
        <f aca="false">AR$121+AS$116-AS$117</f>
        <v>-1543867.89078482</v>
      </c>
      <c r="AT121" s="34" t="n">
        <f aca="false">AS$121+AT$116-AT$117</f>
        <v>-1393974.31090497</v>
      </c>
      <c r="AU121" s="34" t="n">
        <f aca="false">AT$121+AU$116-AU$117</f>
        <v>-1244080.73102511</v>
      </c>
      <c r="AV121" s="34" t="n">
        <f aca="false">AU$121+AV$116-AV$117</f>
        <v>-1094187.15114525</v>
      </c>
      <c r="AW121" s="34" t="n">
        <f aca="false">AV$121+AW$116-AW$117</f>
        <v>-944293.571265391</v>
      </c>
      <c r="AX121" s="34" t="n">
        <f aca="false">AW$121+AX$116-AX$117</f>
        <v>-794399.991385533</v>
      </c>
      <c r="AY121" s="34" t="n">
        <f aca="false">AX$121+AY$116-AY$117</f>
        <v>-644506.411505674</v>
      </c>
      <c r="AZ121" s="34" t="n">
        <f aca="false">AY$121+AZ$116-AZ$117</f>
        <v>-494612.831625816</v>
      </c>
      <c r="BA121" s="34" t="n">
        <f aca="false">AZ$121+BA$116-BA$117</f>
        <v>-344719.251745958</v>
      </c>
      <c r="BB121" s="34" t="n">
        <f aca="false">BA$121+BB$116-BB$117</f>
        <v>-231615.634575444</v>
      </c>
      <c r="BC121" s="34" t="n">
        <f aca="false">BB$121+BC$116-BC$117</f>
        <v>-80402.4696990702</v>
      </c>
      <c r="BD121" s="34" t="n">
        <f aca="false">BC$121+BD$116-BD$117</f>
        <v>70810.6951773035</v>
      </c>
      <c r="BE121" s="34" t="n">
        <f aca="false">BD$121+BE$116-BE$117</f>
        <v>222023.860053677</v>
      </c>
      <c r="BF121" s="34" t="n">
        <f aca="false">BE$121+BF$116-BF$117</f>
        <v>373237.024930051</v>
      </c>
      <c r="BG121" s="34" t="n">
        <f aca="false">BF$121+BG$116-BG$117</f>
        <v>524450.189806425</v>
      </c>
      <c r="BH121" s="34" t="n">
        <f aca="false">BG$121+BH$116-BH$117</f>
        <v>675663.354682798</v>
      </c>
      <c r="BI121" s="34" t="n">
        <f aca="false">BH$121+BI$116-BI$117</f>
        <v>826876.519559172</v>
      </c>
      <c r="BJ121" s="34" t="n">
        <f aca="false">BI$121+BJ$116-BJ$117</f>
        <v>978089.684435546</v>
      </c>
      <c r="BK121" s="34" t="n">
        <f aca="false">BJ$121+BK$116-BK$117</f>
        <v>1129302.84931192</v>
      </c>
      <c r="BL121" s="34" t="n">
        <f aca="false">BK$121+BL$116-BL$117</f>
        <v>1280516.01418829</v>
      </c>
      <c r="BM121" s="34" t="n">
        <f aca="false">BL$121+BM$116-BM$117</f>
        <v>1431729.17906467</v>
      </c>
      <c r="BN121" s="34" t="n">
        <f aca="false">BM$121+BN$116-BN$117</f>
        <v>1549304.7643939</v>
      </c>
      <c r="BO121" s="34" t="n">
        <f aca="false">BN$121+BO$116-BO$117</f>
        <v>1704605.20619172</v>
      </c>
      <c r="BP121" s="34" t="n">
        <f aca="false">BO$121+BP$116-BP$117</f>
        <v>1859905.64798955</v>
      </c>
      <c r="BQ121" s="34" t="n">
        <f aca="false">BP$121+BQ$116-BQ$117</f>
        <v>2015206.08978738</v>
      </c>
      <c r="BR121" s="34" t="n">
        <f aca="false">BQ$121+BR$116-BR$117</f>
        <v>2170506.5315852</v>
      </c>
      <c r="BS121" s="34" t="n">
        <f aca="false">BR$121+BS$116-BS$117</f>
        <v>2325806.97338303</v>
      </c>
      <c r="BT121" s="34" t="n">
        <f aca="false">BS$121+BT$116-BT$117</f>
        <v>2481107.41518085</v>
      </c>
      <c r="BU121" s="34" t="n">
        <f aca="false">BT$121+BU$116-BU$117</f>
        <v>2636407.85697868</v>
      </c>
      <c r="BV121" s="34" t="n">
        <f aca="false">BU$121+BV$116-BV$117</f>
        <v>2791708.29877651</v>
      </c>
      <c r="BW121" s="34" t="n">
        <f aca="false">BV$121+BW$116-BW$117</f>
        <v>2947008.74057433</v>
      </c>
      <c r="BX121" s="34" t="n">
        <f aca="false">BW$121+BX$116-BX$117</f>
        <v>3102309.18237216</v>
      </c>
      <c r="BY121" s="34" t="n">
        <f aca="false">BX$121+BY$116-BY$117</f>
        <v>3257609.62416998</v>
      </c>
      <c r="BZ121" s="34" t="n">
        <f aca="false">BY$121+BZ$116-BZ$117</f>
        <v>3378935.7534346</v>
      </c>
      <c r="CA121" s="34" t="n">
        <f aca="false">BZ$121+CA$116-CA$117</f>
        <v>3538351.775924</v>
      </c>
      <c r="CB121" s="34" t="n">
        <f aca="false">CA$121+CB$116-CB$117</f>
        <v>3697767.7984134</v>
      </c>
      <c r="CC121" s="34" t="n">
        <f aca="false">CB$121+CC$116-CC$117</f>
        <v>3857183.8209028</v>
      </c>
      <c r="CD121" s="34" t="n">
        <f aca="false">CC$121+CD$116-CD$117</f>
        <v>4016599.8433922</v>
      </c>
      <c r="CE121" s="34" t="n">
        <f aca="false">CD$121+CE$116-CE$117</f>
        <v>4176015.8658816</v>
      </c>
      <c r="CF121" s="34" t="n">
        <f aca="false">CE$121+CF$116-CF$117</f>
        <v>4335431.888371</v>
      </c>
      <c r="CG121" s="34" t="n">
        <f aca="false">CF$121+CG$116-CG$117</f>
        <v>4494847.9108604</v>
      </c>
      <c r="CH121" s="34" t="n">
        <f aca="false">CG$121+CH$116-CH$117</f>
        <v>4654263.9333498</v>
      </c>
      <c r="CI121" s="34" t="n">
        <f aca="false">CH$121+CI$116-CI$117</f>
        <v>4813679.9558392</v>
      </c>
      <c r="CJ121" s="34" t="n">
        <f aca="false">CI$121+CJ$116-CJ$117</f>
        <v>4973095.9783286</v>
      </c>
      <c r="CK121" s="34" t="n">
        <f aca="false">CJ$121+CK$116-CK$117</f>
        <v>5132512.000818</v>
      </c>
      <c r="CL121" s="34" t="n">
        <f aca="false">CK$121+CL$116-CL$117</f>
        <v>5257613.60166977</v>
      </c>
      <c r="CM121" s="34" t="n">
        <f aca="false">CL$121+CM$116-CM$117</f>
        <v>5421173.42021606</v>
      </c>
      <c r="CN121" s="34" t="n">
        <f aca="false">CM$121+CN$116-CN$117</f>
        <v>5584733.23876234</v>
      </c>
      <c r="CO121" s="34" t="n">
        <f aca="false">CN$121+CO$116-CO$117</f>
        <v>5748293.05730863</v>
      </c>
      <c r="CP121" s="34" t="n">
        <f aca="false">CO$121+CP$116-CP$117</f>
        <v>5911852.87585492</v>
      </c>
      <c r="CQ121" s="34" t="n">
        <f aca="false">CP$121+CQ$116-CQ$117</f>
        <v>6075412.69440121</v>
      </c>
      <c r="CR121" s="34" t="n">
        <f aca="false">CQ$121+CR$116-CR$117</f>
        <v>6238972.51294749</v>
      </c>
      <c r="CS121" s="34" t="n">
        <f aca="false">CR$121+CS$116-CS$117</f>
        <v>6402532.33149378</v>
      </c>
      <c r="CT121" s="34" t="n">
        <f aca="false">CS$121+CT$116-CT$117</f>
        <v>6566092.15004007</v>
      </c>
      <c r="CU121" s="34" t="n">
        <f aca="false">CT$121+CU$116-CU$117</f>
        <v>6729651.96858636</v>
      </c>
      <c r="CV121" s="34" t="n">
        <f aca="false">CU$121+CV$116-CV$117</f>
        <v>6893211.78713264</v>
      </c>
      <c r="CW121" s="34" t="n">
        <f aca="false">CV$121+CW$116-CW$117</f>
        <v>7056771.60567893</v>
      </c>
      <c r="CX121" s="34" t="n">
        <f aca="false">CW$121+CX$116-CX$117</f>
        <v>7185673.4833785</v>
      </c>
      <c r="CY121" s="34" t="n">
        <f aca="false">CX$121+CY$116-CY$117</f>
        <v>7353405.21302741</v>
      </c>
      <c r="CZ121" s="34" t="n">
        <f aca="false">CY$121+CZ$116-CZ$117</f>
        <v>7521136.94267632</v>
      </c>
      <c r="DA121" s="34" t="n">
        <f aca="false">CZ$121+DA$116-DA$117</f>
        <v>7688868.67232523</v>
      </c>
      <c r="DB121" s="34" t="n">
        <f aca="false">DA$121+DB$116-DB$117</f>
        <v>7856600.40197413</v>
      </c>
      <c r="DC121" s="34" t="n">
        <f aca="false">DB$121+DC$116-DC$117</f>
        <v>8024332.13162304</v>
      </c>
      <c r="DD121" s="34" t="n">
        <f aca="false">DC$121+DD$116-DD$117</f>
        <v>8192063.86127195</v>
      </c>
      <c r="DE121" s="34" t="n">
        <f aca="false">DD$121+DE$116-DE$117</f>
        <v>8359795.59092086</v>
      </c>
      <c r="DF121" s="34" t="n">
        <f aca="false">DE$121+DF$116-DF$117</f>
        <v>8527527.32056977</v>
      </c>
      <c r="DG121" s="34" t="n">
        <f aca="false">DF$121+DG$116-DG$117</f>
        <v>8695259.05021867</v>
      </c>
      <c r="DH121" s="34" t="n">
        <f aca="false">DG$121+DH$116-DH$117</f>
        <v>8862990.77986758</v>
      </c>
      <c r="DI121" s="34" t="n">
        <f aca="false">DH$121+DI$116-DI$117</f>
        <v>9030722.50951649</v>
      </c>
      <c r="DJ121" s="34" t="n">
        <f aca="false">DI$121+DJ$116-DJ$117</f>
        <v>9163449.33467279</v>
      </c>
      <c r="DK121" s="34" t="n">
        <f aca="false">DJ$121+DK$116-DK$117</f>
        <v>9335380.97778788</v>
      </c>
      <c r="DL121" s="34" t="n">
        <f aca="false">DK$121+DL$116-DL$117</f>
        <v>9507312.62090297</v>
      </c>
      <c r="DM121" s="34" t="n">
        <f aca="false">DL$121+DM$116-DM$117</f>
        <v>9679244.26401805</v>
      </c>
      <c r="DN121" s="34" t="n">
        <f aca="false">DM$121+DN$116-DN$117</f>
        <v>9851175.90713314</v>
      </c>
      <c r="DO121" s="34" t="n">
        <f aca="false">DN$121+DO$116-DO$117</f>
        <v>10023107.5502482</v>
      </c>
      <c r="DP121" s="34" t="n">
        <f aca="false">DO$121+DP$116-DP$117</f>
        <v>10195039.1933633</v>
      </c>
      <c r="DQ121" s="34" t="n">
        <f aca="false">DP$121+DQ$116-DQ$117</f>
        <v>10366970.8364784</v>
      </c>
      <c r="DR121" s="34" t="n">
        <f aca="false">DQ$121+DR$116-DR$117</f>
        <v>10538902.4795935</v>
      </c>
      <c r="DS121" s="34" t="n">
        <f aca="false">DR$121+DS$116-DS$117</f>
        <v>10710834.1227086</v>
      </c>
      <c r="DT121" s="34" t="n">
        <f aca="false">DS$121+DT$116-DT$117</f>
        <v>10882765.7658237</v>
      </c>
      <c r="DU121" s="34" t="n">
        <f aca="false">DT$121+DU$116-DU$117</f>
        <v>11054697.4089387</v>
      </c>
      <c r="DV121" s="34" t="n">
        <f aca="false">DU$121+DV$116-DV$117</f>
        <v>11054697.4089387</v>
      </c>
      <c r="DW121" s="34" t="n">
        <f aca="false">DV$121+DW$116-DW$117</f>
        <v>11054697.4089387</v>
      </c>
      <c r="DX121" s="34" t="n">
        <f aca="false">DW$121+DX$116-DX$117</f>
        <v>11054697.4089387</v>
      </c>
      <c r="DY121" s="34" t="n">
        <f aca="false">DX$121+DY$116-DY$117</f>
        <v>11054697.4089387</v>
      </c>
      <c r="DZ121" s="34" t="n">
        <f aca="false">DY$121+DZ$116-DZ$117</f>
        <v>11054697.4089387</v>
      </c>
      <c r="EA121" s="34" t="n">
        <f aca="false">DZ$121+EA$116-EA$117</f>
        <v>11054697.4089387</v>
      </c>
      <c r="EB121" s="34" t="n">
        <f aca="false">EA$121+EB$116-EB$117</f>
        <v>11054697.4089387</v>
      </c>
      <c r="EC121" s="34" t="n">
        <f aca="false">EB$121+EC$116-EC$117</f>
        <v>11054697.4089387</v>
      </c>
      <c r="ED121" s="34" t="n">
        <f aca="false">EC$121+ED$116-ED$117</f>
        <v>11054697.4089387</v>
      </c>
      <c r="EE121" s="34" t="n">
        <f aca="false">ED$121+EE$116-EE$117</f>
        <v>11054697.4089387</v>
      </c>
      <c r="EF121" s="34" t="n">
        <f aca="false">EE$121+EF$116-EF$117</f>
        <v>11054697.4089387</v>
      </c>
      <c r="EG121" s="34" t="n">
        <f aca="false">EF$121+EG$116-EG$117</f>
        <v>11054697.4089387</v>
      </c>
      <c r="EH121" s="34" t="n">
        <f aca="false">EG$121+EH$116-EH$117</f>
        <v>11054697.4089387</v>
      </c>
      <c r="EI121" s="34" t="n">
        <f aca="false">EH$121+EI$116-EI$117</f>
        <v>11054697.4089387</v>
      </c>
      <c r="EJ121" s="34" t="n">
        <f aca="false">EI$121+EJ$116-EJ$117</f>
        <v>11054697.4089387</v>
      </c>
      <c r="EK121" s="34" t="n">
        <f aca="false">EJ$121+EK$116-EK$117</f>
        <v>11054697.4089387</v>
      </c>
      <c r="EL121" s="34" t="n">
        <f aca="false">EK$121+EL$116-EL$117</f>
        <v>11054697.4089387</v>
      </c>
      <c r="EM121" s="34" t="n">
        <f aca="false">EL$121+EM$116-EM$117</f>
        <v>11054697.4089387</v>
      </c>
      <c r="EN121" s="34" t="n">
        <f aca="false">EM$121+EN$116-EN$117</f>
        <v>11054697.4089387</v>
      </c>
      <c r="EO121" s="34" t="n">
        <f aca="false">EN$121+EO$116-EO$117</f>
        <v>11054697.4089387</v>
      </c>
      <c r="EP121" s="34" t="n">
        <f aca="false">EO$121+EP$116-EP$117</f>
        <v>11054697.4089387</v>
      </c>
      <c r="EQ121" s="34" t="n">
        <f aca="false">EP$121+EQ$116-EQ$117</f>
        <v>11054697.4089387</v>
      </c>
      <c r="ER121" s="34" t="n">
        <f aca="false">EQ$121+ER$116-ER$117</f>
        <v>11054697.4089387</v>
      </c>
      <c r="ES121" s="34" t="n">
        <f aca="false">ER$121+ES$116-ES$117</f>
        <v>11054697.4089387</v>
      </c>
    </row>
    <row r="122" customFormat="false" ht="15" hidden="false" customHeight="false" outlineLevel="0" collapsed="false">
      <c r="A122" s="4"/>
      <c r="B122" s="3" t="s">
        <v>728</v>
      </c>
      <c r="C122" s="4"/>
      <c r="D122" s="4"/>
      <c r="E122" s="4"/>
    </row>
    <row r="123" customFormat="false" ht="15" hidden="false" customHeight="false" outlineLevel="0" collapsed="false">
      <c r="A123" s="2" t="s">
        <v>729</v>
      </c>
      <c r="B123" s="6" t="s">
        <v>730</v>
      </c>
      <c r="C123" s="6" t="s">
        <v>250</v>
      </c>
      <c r="E123" s="40" t="n">
        <f aca="false">SUM(F123:ES123)</f>
        <v>2791587</v>
      </c>
      <c r="F123" s="34" t="n">
        <f aca="false">IF((1-N(P_L1_Mes)+1)=1,N(P_L1_Monto),0)*F$9</f>
        <v>2791587</v>
      </c>
      <c r="G123" s="34" t="n">
        <f aca="false">IF((2-N(P_L1_Mes)+1)=1,N(P_L1_Monto),0)*G$9</f>
        <v>0</v>
      </c>
      <c r="H123" s="34" t="n">
        <f aca="false">IF((3-N(P_L1_Mes)+1)=1,N(P_L1_Monto),0)*H$9</f>
        <v>0</v>
      </c>
      <c r="I123" s="34" t="n">
        <f aca="false">IF((4-N(P_L1_Mes)+1)=1,N(P_L1_Monto),0)*I$9</f>
        <v>0</v>
      </c>
      <c r="J123" s="34" t="n">
        <f aca="false">IF((5-N(P_L1_Mes)+1)=1,N(P_L1_Monto),0)*J$9</f>
        <v>0</v>
      </c>
      <c r="K123" s="34" t="n">
        <f aca="false">IF((6-N(P_L1_Mes)+1)=1,N(P_L1_Monto),0)*K$9</f>
        <v>0</v>
      </c>
      <c r="L123" s="34" t="n">
        <f aca="false">IF((7-N(P_L1_Mes)+1)=1,N(P_L1_Monto),0)*L$9</f>
        <v>0</v>
      </c>
      <c r="M123" s="34" t="n">
        <f aca="false">IF((8-N(P_L1_Mes)+1)=1,N(P_L1_Monto),0)*M$9</f>
        <v>0</v>
      </c>
      <c r="N123" s="34" t="n">
        <f aca="false">IF((9-N(P_L1_Mes)+1)=1,N(P_L1_Monto),0)*N$9</f>
        <v>0</v>
      </c>
      <c r="O123" s="34" t="n">
        <f aca="false">IF((10-N(P_L1_Mes)+1)=1,N(P_L1_Monto),0)*O$9</f>
        <v>0</v>
      </c>
      <c r="P123" s="34" t="n">
        <f aca="false">IF((11-N(P_L1_Mes)+1)=1,N(P_L1_Monto),0)*P$9</f>
        <v>0</v>
      </c>
      <c r="Q123" s="34" t="n">
        <f aca="false">IF((12-N(P_L1_Mes)+1)=1,N(P_L1_Monto),0)*Q$9</f>
        <v>0</v>
      </c>
      <c r="R123" s="34" t="n">
        <f aca="false">IF((13-N(P_L1_Mes)+1)=1,N(P_L1_Monto),0)*R$9</f>
        <v>0</v>
      </c>
      <c r="S123" s="34" t="n">
        <f aca="false">IF((14-N(P_L1_Mes)+1)=1,N(P_L1_Monto),0)*S$9</f>
        <v>0</v>
      </c>
      <c r="T123" s="34" t="n">
        <f aca="false">IF((15-N(P_L1_Mes)+1)=1,N(P_L1_Monto),0)*T$9</f>
        <v>0</v>
      </c>
      <c r="U123" s="34" t="n">
        <f aca="false">IF((16-N(P_L1_Mes)+1)=1,N(P_L1_Monto),0)*U$9</f>
        <v>0</v>
      </c>
      <c r="V123" s="34" t="n">
        <f aca="false">IF((17-N(P_L1_Mes)+1)=1,N(P_L1_Monto),0)*V$9</f>
        <v>0</v>
      </c>
      <c r="W123" s="34" t="n">
        <f aca="false">IF((18-N(P_L1_Mes)+1)=1,N(P_L1_Monto),0)*W$9</f>
        <v>0</v>
      </c>
      <c r="X123" s="34" t="n">
        <f aca="false">IF((19-N(P_L1_Mes)+1)=1,N(P_L1_Monto),0)*X$9</f>
        <v>0</v>
      </c>
      <c r="Y123" s="34" t="n">
        <f aca="false">IF((20-N(P_L1_Mes)+1)=1,N(P_L1_Monto),0)*Y$9</f>
        <v>0</v>
      </c>
      <c r="Z123" s="34" t="n">
        <f aca="false">IF((21-N(P_L1_Mes)+1)=1,N(P_L1_Monto),0)*Z$9</f>
        <v>0</v>
      </c>
      <c r="AA123" s="34" t="n">
        <f aca="false">IF((22-N(P_L1_Mes)+1)=1,N(P_L1_Monto),0)*AA$9</f>
        <v>0</v>
      </c>
      <c r="AB123" s="34" t="n">
        <f aca="false">IF((23-N(P_L1_Mes)+1)=1,N(P_L1_Monto),0)*AB$9</f>
        <v>0</v>
      </c>
      <c r="AC123" s="34" t="n">
        <f aca="false">IF((24-N(P_L1_Mes)+1)=1,N(P_L1_Monto),0)*AC$9</f>
        <v>0</v>
      </c>
      <c r="AD123" s="34" t="n">
        <f aca="false">IF((25-N(P_L1_Mes)+1)=1,N(P_L1_Monto),0)*AD$9</f>
        <v>0</v>
      </c>
      <c r="AE123" s="34" t="n">
        <f aca="false">IF((26-N(P_L1_Mes)+1)=1,N(P_L1_Monto),0)*AE$9</f>
        <v>0</v>
      </c>
      <c r="AF123" s="34" t="n">
        <f aca="false">IF((27-N(P_L1_Mes)+1)=1,N(P_L1_Monto),0)*AF$9</f>
        <v>0</v>
      </c>
      <c r="AG123" s="34" t="n">
        <f aca="false">IF((28-N(P_L1_Mes)+1)=1,N(P_L1_Monto),0)*AG$9</f>
        <v>0</v>
      </c>
      <c r="AH123" s="34" t="n">
        <f aca="false">IF((29-N(P_L1_Mes)+1)=1,N(P_L1_Monto),0)*AH$9</f>
        <v>0</v>
      </c>
      <c r="AI123" s="34" t="n">
        <f aca="false">IF((30-N(P_L1_Mes)+1)=1,N(P_L1_Monto),0)*AI$9</f>
        <v>0</v>
      </c>
      <c r="AJ123" s="34" t="n">
        <f aca="false">IF((31-N(P_L1_Mes)+1)=1,N(P_L1_Monto),0)*AJ$9</f>
        <v>0</v>
      </c>
      <c r="AK123" s="34" t="n">
        <f aca="false">IF((32-N(P_L1_Mes)+1)=1,N(P_L1_Monto),0)*AK$9</f>
        <v>0</v>
      </c>
      <c r="AL123" s="34" t="n">
        <f aca="false">IF((33-N(P_L1_Mes)+1)=1,N(P_L1_Monto),0)*AL$9</f>
        <v>0</v>
      </c>
      <c r="AM123" s="34" t="n">
        <f aca="false">IF((34-N(P_L1_Mes)+1)=1,N(P_L1_Monto),0)*AM$9</f>
        <v>0</v>
      </c>
      <c r="AN123" s="34" t="n">
        <f aca="false">IF((35-N(P_L1_Mes)+1)=1,N(P_L1_Monto),0)*AN$9</f>
        <v>0</v>
      </c>
      <c r="AO123" s="34" t="n">
        <f aca="false">IF((36-N(P_L1_Mes)+1)=1,N(P_L1_Monto),0)*AO$9</f>
        <v>0</v>
      </c>
      <c r="AP123" s="34" t="n">
        <f aca="false">IF((37-N(P_L1_Mes)+1)=1,N(P_L1_Monto),0)*AP$9</f>
        <v>0</v>
      </c>
      <c r="AQ123" s="34" t="n">
        <f aca="false">IF((38-N(P_L1_Mes)+1)=1,N(P_L1_Monto),0)*AQ$9</f>
        <v>0</v>
      </c>
      <c r="AR123" s="34" t="n">
        <f aca="false">IF((39-N(P_L1_Mes)+1)=1,N(P_L1_Monto),0)*AR$9</f>
        <v>0</v>
      </c>
      <c r="AS123" s="34" t="n">
        <f aca="false">IF((40-N(P_L1_Mes)+1)=1,N(P_L1_Monto),0)*AS$9</f>
        <v>0</v>
      </c>
      <c r="AT123" s="34" t="n">
        <f aca="false">IF((41-N(P_L1_Mes)+1)=1,N(P_L1_Monto),0)*AT$9</f>
        <v>0</v>
      </c>
      <c r="AU123" s="34" t="n">
        <f aca="false">IF((42-N(P_L1_Mes)+1)=1,N(P_L1_Monto),0)*AU$9</f>
        <v>0</v>
      </c>
      <c r="AV123" s="34" t="n">
        <f aca="false">IF((43-N(P_L1_Mes)+1)=1,N(P_L1_Monto),0)*AV$9</f>
        <v>0</v>
      </c>
      <c r="AW123" s="34" t="n">
        <f aca="false">IF((44-N(P_L1_Mes)+1)=1,N(P_L1_Monto),0)*AW$9</f>
        <v>0</v>
      </c>
      <c r="AX123" s="34" t="n">
        <f aca="false">IF((45-N(P_L1_Mes)+1)=1,N(P_L1_Monto),0)*AX$9</f>
        <v>0</v>
      </c>
      <c r="AY123" s="34" t="n">
        <f aca="false">IF((46-N(P_L1_Mes)+1)=1,N(P_L1_Monto),0)*AY$9</f>
        <v>0</v>
      </c>
      <c r="AZ123" s="34" t="n">
        <f aca="false">IF((47-N(P_L1_Mes)+1)=1,N(P_L1_Monto),0)*AZ$9</f>
        <v>0</v>
      </c>
      <c r="BA123" s="34" t="n">
        <f aca="false">IF((48-N(P_L1_Mes)+1)=1,N(P_L1_Monto),0)*BA$9</f>
        <v>0</v>
      </c>
      <c r="BB123" s="34" t="n">
        <f aca="false">IF((49-N(P_L1_Mes)+1)=1,N(P_L1_Monto),0)*BB$9</f>
        <v>0</v>
      </c>
      <c r="BC123" s="34" t="n">
        <f aca="false">IF((50-N(P_L1_Mes)+1)=1,N(P_L1_Monto),0)*BC$9</f>
        <v>0</v>
      </c>
      <c r="BD123" s="34" t="n">
        <f aca="false">IF((51-N(P_L1_Mes)+1)=1,N(P_L1_Monto),0)*BD$9</f>
        <v>0</v>
      </c>
      <c r="BE123" s="34" t="n">
        <f aca="false">IF((52-N(P_L1_Mes)+1)=1,N(P_L1_Monto),0)*BE$9</f>
        <v>0</v>
      </c>
      <c r="BF123" s="34" t="n">
        <f aca="false">IF((53-N(P_L1_Mes)+1)=1,N(P_L1_Monto),0)*BF$9</f>
        <v>0</v>
      </c>
      <c r="BG123" s="34" t="n">
        <f aca="false">IF((54-N(P_L1_Mes)+1)=1,N(P_L1_Monto),0)*BG$9</f>
        <v>0</v>
      </c>
      <c r="BH123" s="34" t="n">
        <f aca="false">IF((55-N(P_L1_Mes)+1)=1,N(P_L1_Monto),0)*BH$9</f>
        <v>0</v>
      </c>
      <c r="BI123" s="34" t="n">
        <f aca="false">IF((56-N(P_L1_Mes)+1)=1,N(P_L1_Monto),0)*BI$9</f>
        <v>0</v>
      </c>
      <c r="BJ123" s="34" t="n">
        <f aca="false">IF((57-N(P_L1_Mes)+1)=1,N(P_L1_Monto),0)*BJ$9</f>
        <v>0</v>
      </c>
      <c r="BK123" s="34" t="n">
        <f aca="false">IF((58-N(P_L1_Mes)+1)=1,N(P_L1_Monto),0)*BK$9</f>
        <v>0</v>
      </c>
      <c r="BL123" s="34" t="n">
        <f aca="false">IF((59-N(P_L1_Mes)+1)=1,N(P_L1_Monto),0)*BL$9</f>
        <v>0</v>
      </c>
      <c r="BM123" s="34" t="n">
        <f aca="false">IF((60-N(P_L1_Mes)+1)=1,N(P_L1_Monto),0)*BM$9</f>
        <v>0</v>
      </c>
      <c r="BN123" s="34" t="n">
        <f aca="false">IF((61-N(P_L1_Mes)+1)=1,N(P_L1_Monto),0)*BN$9</f>
        <v>0</v>
      </c>
      <c r="BO123" s="34" t="n">
        <f aca="false">IF((62-N(P_L1_Mes)+1)=1,N(P_L1_Monto),0)*BO$9</f>
        <v>0</v>
      </c>
      <c r="BP123" s="34" t="n">
        <f aca="false">IF((63-N(P_L1_Mes)+1)=1,N(P_L1_Monto),0)*BP$9</f>
        <v>0</v>
      </c>
      <c r="BQ123" s="34" t="n">
        <f aca="false">IF((64-N(P_L1_Mes)+1)=1,N(P_L1_Monto),0)*BQ$9</f>
        <v>0</v>
      </c>
      <c r="BR123" s="34" t="n">
        <f aca="false">IF((65-N(P_L1_Mes)+1)=1,N(P_L1_Monto),0)*BR$9</f>
        <v>0</v>
      </c>
      <c r="BS123" s="34" t="n">
        <f aca="false">IF((66-N(P_L1_Mes)+1)=1,N(P_L1_Monto),0)*BS$9</f>
        <v>0</v>
      </c>
      <c r="BT123" s="34" t="n">
        <f aca="false">IF((67-N(P_L1_Mes)+1)=1,N(P_L1_Monto),0)*BT$9</f>
        <v>0</v>
      </c>
      <c r="BU123" s="34" t="n">
        <f aca="false">IF((68-N(P_L1_Mes)+1)=1,N(P_L1_Monto),0)*BU$9</f>
        <v>0</v>
      </c>
      <c r="BV123" s="34" t="n">
        <f aca="false">IF((69-N(P_L1_Mes)+1)=1,N(P_L1_Monto),0)*BV$9</f>
        <v>0</v>
      </c>
      <c r="BW123" s="34" t="n">
        <f aca="false">IF((70-N(P_L1_Mes)+1)=1,N(P_L1_Monto),0)*BW$9</f>
        <v>0</v>
      </c>
      <c r="BX123" s="34" t="n">
        <f aca="false">IF((71-N(P_L1_Mes)+1)=1,N(P_L1_Monto),0)*BX$9</f>
        <v>0</v>
      </c>
      <c r="BY123" s="34" t="n">
        <f aca="false">IF((72-N(P_L1_Mes)+1)=1,N(P_L1_Monto),0)*BY$9</f>
        <v>0</v>
      </c>
      <c r="BZ123" s="34" t="n">
        <f aca="false">IF((73-N(P_L1_Mes)+1)=1,N(P_L1_Monto),0)*BZ$9</f>
        <v>0</v>
      </c>
      <c r="CA123" s="34" t="n">
        <f aca="false">IF((74-N(P_L1_Mes)+1)=1,N(P_L1_Monto),0)*CA$9</f>
        <v>0</v>
      </c>
      <c r="CB123" s="34" t="n">
        <f aca="false">IF((75-N(P_L1_Mes)+1)=1,N(P_L1_Monto),0)*CB$9</f>
        <v>0</v>
      </c>
      <c r="CC123" s="34" t="n">
        <f aca="false">IF((76-N(P_L1_Mes)+1)=1,N(P_L1_Monto),0)*CC$9</f>
        <v>0</v>
      </c>
      <c r="CD123" s="34" t="n">
        <f aca="false">IF((77-N(P_L1_Mes)+1)=1,N(P_L1_Monto),0)*CD$9</f>
        <v>0</v>
      </c>
      <c r="CE123" s="34" t="n">
        <f aca="false">IF((78-N(P_L1_Mes)+1)=1,N(P_L1_Monto),0)*CE$9</f>
        <v>0</v>
      </c>
      <c r="CF123" s="34" t="n">
        <f aca="false">IF((79-N(P_L1_Mes)+1)=1,N(P_L1_Monto),0)*CF$9</f>
        <v>0</v>
      </c>
      <c r="CG123" s="34" t="n">
        <f aca="false">IF((80-N(P_L1_Mes)+1)=1,N(P_L1_Monto),0)*CG$9</f>
        <v>0</v>
      </c>
      <c r="CH123" s="34" t="n">
        <f aca="false">IF((81-N(P_L1_Mes)+1)=1,N(P_L1_Monto),0)*CH$9</f>
        <v>0</v>
      </c>
      <c r="CI123" s="34" t="n">
        <f aca="false">IF((82-N(P_L1_Mes)+1)=1,N(P_L1_Monto),0)*CI$9</f>
        <v>0</v>
      </c>
      <c r="CJ123" s="34" t="n">
        <f aca="false">IF((83-N(P_L1_Mes)+1)=1,N(P_L1_Monto),0)*CJ$9</f>
        <v>0</v>
      </c>
      <c r="CK123" s="34" t="n">
        <f aca="false">IF((84-N(P_L1_Mes)+1)=1,N(P_L1_Monto),0)*CK$9</f>
        <v>0</v>
      </c>
      <c r="CL123" s="34" t="n">
        <f aca="false">IF((85-N(P_L1_Mes)+1)=1,N(P_L1_Monto),0)*CL$9</f>
        <v>0</v>
      </c>
      <c r="CM123" s="34" t="n">
        <f aca="false">IF((86-N(P_L1_Mes)+1)=1,N(P_L1_Monto),0)*CM$9</f>
        <v>0</v>
      </c>
      <c r="CN123" s="34" t="n">
        <f aca="false">IF((87-N(P_L1_Mes)+1)=1,N(P_L1_Monto),0)*CN$9</f>
        <v>0</v>
      </c>
      <c r="CO123" s="34" t="n">
        <f aca="false">IF((88-N(P_L1_Mes)+1)=1,N(P_L1_Monto),0)*CO$9</f>
        <v>0</v>
      </c>
      <c r="CP123" s="34" t="n">
        <f aca="false">IF((89-N(P_L1_Mes)+1)=1,N(P_L1_Monto),0)*CP$9</f>
        <v>0</v>
      </c>
      <c r="CQ123" s="34" t="n">
        <f aca="false">IF((90-N(P_L1_Mes)+1)=1,N(P_L1_Monto),0)*CQ$9</f>
        <v>0</v>
      </c>
      <c r="CR123" s="34" t="n">
        <f aca="false">IF((91-N(P_L1_Mes)+1)=1,N(P_L1_Monto),0)*CR$9</f>
        <v>0</v>
      </c>
      <c r="CS123" s="34" t="n">
        <f aca="false">IF((92-N(P_L1_Mes)+1)=1,N(P_L1_Monto),0)*CS$9</f>
        <v>0</v>
      </c>
      <c r="CT123" s="34" t="n">
        <f aca="false">IF((93-N(P_L1_Mes)+1)=1,N(P_L1_Monto),0)*CT$9</f>
        <v>0</v>
      </c>
      <c r="CU123" s="34" t="n">
        <f aca="false">IF((94-N(P_L1_Mes)+1)=1,N(P_L1_Monto),0)*CU$9</f>
        <v>0</v>
      </c>
      <c r="CV123" s="34" t="n">
        <f aca="false">IF((95-N(P_L1_Mes)+1)=1,N(P_L1_Monto),0)*CV$9</f>
        <v>0</v>
      </c>
      <c r="CW123" s="34" t="n">
        <f aca="false">IF((96-N(P_L1_Mes)+1)=1,N(P_L1_Monto),0)*CW$9</f>
        <v>0</v>
      </c>
      <c r="CX123" s="34" t="n">
        <f aca="false">IF((97-N(P_L1_Mes)+1)=1,N(P_L1_Monto),0)*CX$9</f>
        <v>0</v>
      </c>
      <c r="CY123" s="34" t="n">
        <f aca="false">IF((98-N(P_L1_Mes)+1)=1,N(P_L1_Monto),0)*CY$9</f>
        <v>0</v>
      </c>
      <c r="CZ123" s="34" t="n">
        <f aca="false">IF((99-N(P_L1_Mes)+1)=1,N(P_L1_Monto),0)*CZ$9</f>
        <v>0</v>
      </c>
      <c r="DA123" s="34" t="n">
        <f aca="false">IF((100-N(P_L1_Mes)+1)=1,N(P_L1_Monto),0)*DA$9</f>
        <v>0</v>
      </c>
      <c r="DB123" s="34" t="n">
        <f aca="false">IF((101-N(P_L1_Mes)+1)=1,N(P_L1_Monto),0)*DB$9</f>
        <v>0</v>
      </c>
      <c r="DC123" s="34" t="n">
        <f aca="false">IF((102-N(P_L1_Mes)+1)=1,N(P_L1_Monto),0)*DC$9</f>
        <v>0</v>
      </c>
      <c r="DD123" s="34" t="n">
        <f aca="false">IF((103-N(P_L1_Mes)+1)=1,N(P_L1_Monto),0)*DD$9</f>
        <v>0</v>
      </c>
      <c r="DE123" s="34" t="n">
        <f aca="false">IF((104-N(P_L1_Mes)+1)=1,N(P_L1_Monto),0)*DE$9</f>
        <v>0</v>
      </c>
      <c r="DF123" s="34" t="n">
        <f aca="false">IF((105-N(P_L1_Mes)+1)=1,N(P_L1_Monto),0)*DF$9</f>
        <v>0</v>
      </c>
      <c r="DG123" s="34" t="n">
        <f aca="false">IF((106-N(P_L1_Mes)+1)=1,N(P_L1_Monto),0)*DG$9</f>
        <v>0</v>
      </c>
      <c r="DH123" s="34" t="n">
        <f aca="false">IF((107-N(P_L1_Mes)+1)=1,N(P_L1_Monto),0)*DH$9</f>
        <v>0</v>
      </c>
      <c r="DI123" s="34" t="n">
        <f aca="false">IF((108-N(P_L1_Mes)+1)=1,N(P_L1_Monto),0)*DI$9</f>
        <v>0</v>
      </c>
      <c r="DJ123" s="34" t="n">
        <f aca="false">IF((109-N(P_L1_Mes)+1)=1,N(P_L1_Monto),0)*DJ$9</f>
        <v>0</v>
      </c>
      <c r="DK123" s="34" t="n">
        <f aca="false">IF((110-N(P_L1_Mes)+1)=1,N(P_L1_Monto),0)*DK$9</f>
        <v>0</v>
      </c>
      <c r="DL123" s="34" t="n">
        <f aca="false">IF((111-N(P_L1_Mes)+1)=1,N(P_L1_Monto),0)*DL$9</f>
        <v>0</v>
      </c>
      <c r="DM123" s="34" t="n">
        <f aca="false">IF((112-N(P_L1_Mes)+1)=1,N(P_L1_Monto),0)*DM$9</f>
        <v>0</v>
      </c>
      <c r="DN123" s="34" t="n">
        <f aca="false">IF((113-N(P_L1_Mes)+1)=1,N(P_L1_Monto),0)*DN$9</f>
        <v>0</v>
      </c>
      <c r="DO123" s="34" t="n">
        <f aca="false">IF((114-N(P_L1_Mes)+1)=1,N(P_L1_Monto),0)*DO$9</f>
        <v>0</v>
      </c>
      <c r="DP123" s="34" t="n">
        <f aca="false">IF((115-N(P_L1_Mes)+1)=1,N(P_L1_Monto),0)*DP$9</f>
        <v>0</v>
      </c>
      <c r="DQ123" s="34" t="n">
        <f aca="false">IF((116-N(P_L1_Mes)+1)=1,N(P_L1_Monto),0)*DQ$9</f>
        <v>0</v>
      </c>
      <c r="DR123" s="34" t="n">
        <f aca="false">IF((117-N(P_L1_Mes)+1)=1,N(P_L1_Monto),0)*DR$9</f>
        <v>0</v>
      </c>
      <c r="DS123" s="34" t="n">
        <f aca="false">IF((118-N(P_L1_Mes)+1)=1,N(P_L1_Monto),0)*DS$9</f>
        <v>0</v>
      </c>
      <c r="DT123" s="34" t="n">
        <f aca="false">IF((119-N(P_L1_Mes)+1)=1,N(P_L1_Monto),0)*DT$9</f>
        <v>0</v>
      </c>
      <c r="DU123" s="34" t="n">
        <f aca="false">IF((120-N(P_L1_Mes)+1)=1,N(P_L1_Monto),0)*DU$9</f>
        <v>0</v>
      </c>
      <c r="DV123" s="34" t="n">
        <f aca="false">IF((121-N(P_L1_Mes)+1)=1,N(P_L1_Monto),0)*DV$9</f>
        <v>0</v>
      </c>
      <c r="DW123" s="34" t="n">
        <f aca="false">IF((122-N(P_L1_Mes)+1)=1,N(P_L1_Monto),0)*DW$9</f>
        <v>0</v>
      </c>
      <c r="DX123" s="34" t="n">
        <f aca="false">IF((123-N(P_L1_Mes)+1)=1,N(P_L1_Monto),0)*DX$9</f>
        <v>0</v>
      </c>
      <c r="DY123" s="34" t="n">
        <f aca="false">IF((124-N(P_L1_Mes)+1)=1,N(P_L1_Monto),0)*DY$9</f>
        <v>0</v>
      </c>
      <c r="DZ123" s="34" t="n">
        <f aca="false">IF((125-N(P_L1_Mes)+1)=1,N(P_L1_Monto),0)*DZ$9</f>
        <v>0</v>
      </c>
      <c r="EA123" s="34" t="n">
        <f aca="false">IF((126-N(P_L1_Mes)+1)=1,N(P_L1_Monto),0)*EA$9</f>
        <v>0</v>
      </c>
      <c r="EB123" s="34" t="n">
        <f aca="false">IF((127-N(P_L1_Mes)+1)=1,N(P_L1_Monto),0)*EB$9</f>
        <v>0</v>
      </c>
      <c r="EC123" s="34" t="n">
        <f aca="false">IF((128-N(P_L1_Mes)+1)=1,N(P_L1_Monto),0)*EC$9</f>
        <v>0</v>
      </c>
      <c r="ED123" s="34" t="n">
        <f aca="false">IF((129-N(P_L1_Mes)+1)=1,N(P_L1_Monto),0)*ED$9</f>
        <v>0</v>
      </c>
      <c r="EE123" s="34" t="n">
        <f aca="false">IF((130-N(P_L1_Mes)+1)=1,N(P_L1_Monto),0)*EE$9</f>
        <v>0</v>
      </c>
      <c r="EF123" s="34" t="n">
        <f aca="false">IF((131-N(P_L1_Mes)+1)=1,N(P_L1_Monto),0)*EF$9</f>
        <v>0</v>
      </c>
      <c r="EG123" s="34" t="n">
        <f aca="false">IF((132-N(P_L1_Mes)+1)=1,N(P_L1_Monto),0)*EG$9</f>
        <v>0</v>
      </c>
      <c r="EH123" s="34" t="n">
        <f aca="false">IF((133-N(P_L1_Mes)+1)=1,N(P_L1_Monto),0)*EH$9</f>
        <v>0</v>
      </c>
      <c r="EI123" s="34" t="n">
        <f aca="false">IF((134-N(P_L1_Mes)+1)=1,N(P_L1_Monto),0)*EI$9</f>
        <v>0</v>
      </c>
      <c r="EJ123" s="34" t="n">
        <f aca="false">IF((135-N(P_L1_Mes)+1)=1,N(P_L1_Monto),0)*EJ$9</f>
        <v>0</v>
      </c>
      <c r="EK123" s="34" t="n">
        <f aca="false">IF((136-N(P_L1_Mes)+1)=1,N(P_L1_Monto),0)*EK$9</f>
        <v>0</v>
      </c>
      <c r="EL123" s="34" t="n">
        <f aca="false">IF((137-N(P_L1_Mes)+1)=1,N(P_L1_Monto),0)*EL$9</f>
        <v>0</v>
      </c>
      <c r="EM123" s="34" t="n">
        <f aca="false">IF((138-N(P_L1_Mes)+1)=1,N(P_L1_Monto),0)*EM$9</f>
        <v>0</v>
      </c>
      <c r="EN123" s="34" t="n">
        <f aca="false">IF((139-N(P_L1_Mes)+1)=1,N(P_L1_Monto),0)*EN$9</f>
        <v>0</v>
      </c>
      <c r="EO123" s="34" t="n">
        <f aca="false">IF((140-N(P_L1_Mes)+1)=1,N(P_L1_Monto),0)*EO$9</f>
        <v>0</v>
      </c>
      <c r="EP123" s="34" t="n">
        <f aca="false">IF((141-N(P_L1_Mes)+1)=1,N(P_L1_Monto),0)*EP$9</f>
        <v>0</v>
      </c>
      <c r="EQ123" s="34" t="n">
        <f aca="false">IF((142-N(P_L1_Mes)+1)=1,N(P_L1_Monto),0)*EQ$9</f>
        <v>0</v>
      </c>
      <c r="ER123" s="34" t="n">
        <f aca="false">IF((143-N(P_L1_Mes)+1)=1,N(P_L1_Monto),0)*ER$9</f>
        <v>0</v>
      </c>
      <c r="ES123" s="34" t="n">
        <f aca="false">IF((144-N(P_L1_Mes)+1)=1,N(P_L1_Monto),0)*ES$9</f>
        <v>0</v>
      </c>
    </row>
    <row r="124" customFormat="false" ht="15" hidden="false" customHeight="false" outlineLevel="0" collapsed="false">
      <c r="A124" s="2" t="s">
        <v>731</v>
      </c>
      <c r="B124" s="6" t="s">
        <v>732</v>
      </c>
      <c r="C124" s="6" t="s">
        <v>250</v>
      </c>
      <c r="E124" s="40" t="n">
        <f aca="false">SUM(F124:ES124)</f>
        <v>739285.57111314</v>
      </c>
      <c r="F124" s="34" t="n">
        <f aca="false">IF((1-N(P_L1_Mes)+1)&gt;=1,IF((1-N(P_L1_Mes)+1)=1,N(P_L1_Monto),0)*N(P_L1_Tasa)/12,0)*F$9</f>
        <v>20936.9025</v>
      </c>
      <c r="G124" s="34" t="n">
        <f aca="false">IF((2-N(P_L1_Mes)+1)&gt;=1,IF((2-N(P_L1_Mes)+1)=1,N(P_L1_Monto),F$126)*N(P_L1_Tasa)/12,0)*G$9</f>
        <v>20936.9025</v>
      </c>
      <c r="H124" s="34" t="n">
        <f aca="false">IF((3-N(P_L1_Mes)+1)&gt;=1,IF((3-N(P_L1_Mes)+1)=1,N(P_L1_Monto),G$126)*N(P_L1_Tasa)/12,0)*H$9</f>
        <v>20936.9025</v>
      </c>
      <c r="I124" s="34" t="n">
        <f aca="false">IF((4-N(P_L1_Mes)+1)&gt;=1,IF((4-N(P_L1_Mes)+1)=1,N(P_L1_Monto),H$126)*N(P_L1_Tasa)/12,0)*I$9</f>
        <v>20936.9025</v>
      </c>
      <c r="J124" s="34" t="n">
        <f aca="false">IF((5-N(P_L1_Mes)+1)&gt;=1,IF((5-N(P_L1_Mes)+1)=1,N(P_L1_Monto),I$126)*N(P_L1_Tasa)/12,0)*J$9</f>
        <v>20936.9025</v>
      </c>
      <c r="K124" s="34" t="n">
        <f aca="false">IF((6-N(P_L1_Mes)+1)&gt;=1,IF((6-N(P_L1_Mes)+1)=1,N(P_L1_Monto),J$126)*N(P_L1_Tasa)/12,0)*K$9</f>
        <v>20936.9025</v>
      </c>
      <c r="L124" s="34" t="n">
        <f aca="false">IF((7-N(P_L1_Mes)+1)&gt;=1,IF((7-N(P_L1_Mes)+1)=1,N(P_L1_Monto),K$126)*N(P_L1_Tasa)/12,0)*L$9</f>
        <v>20936.9025</v>
      </c>
      <c r="M124" s="34" t="n">
        <f aca="false">IF((8-N(P_L1_Mes)+1)&gt;=1,IF((8-N(P_L1_Mes)+1)=1,N(P_L1_Monto),L$126)*N(P_L1_Tasa)/12,0)*M$9</f>
        <v>20620.9777192898</v>
      </c>
      <c r="N124" s="34" t="n">
        <f aca="false">IF((9-N(P_L1_Mes)+1)&gt;=1,IF((9-N(P_L1_Mes)+1)=1,N(P_L1_Monto),M$126)*N(P_L1_Tasa)/12,0)*N$9</f>
        <v>20302.6835027244</v>
      </c>
      <c r="O124" s="34" t="n">
        <f aca="false">IF((10-N(P_L1_Mes)+1)&gt;=1,IF((10-N(P_L1_Mes)+1)=1,N(P_L1_Monto),N$126)*N(P_L1_Tasa)/12,0)*O$9</f>
        <v>19982.0020795346</v>
      </c>
      <c r="P124" s="34" t="n">
        <f aca="false">IF((11-N(P_L1_Mes)+1)&gt;=1,IF((11-N(P_L1_Mes)+1)=1,N(P_L1_Monto),O$126)*N(P_L1_Tasa)/12,0)*P$9</f>
        <v>19658.915545671</v>
      </c>
      <c r="Q124" s="34" t="n">
        <f aca="false">IF((12-N(P_L1_Mes)+1)&gt;=1,IF((12-N(P_L1_Mes)+1)=1,N(P_L1_Monto),P$126)*N(P_L1_Tasa)/12,0)*Q$9</f>
        <v>19333.4058628034</v>
      </c>
      <c r="R124" s="34" t="n">
        <f aca="false">IF((13-N(P_L1_Mes)+1)&gt;=1,IF((13-N(P_L1_Mes)+1)=1,N(P_L1_Monto),Q$126)*N(P_L1_Tasa)/12,0)*R$9</f>
        <v>19005.4548573142</v>
      </c>
      <c r="S124" s="34" t="n">
        <f aca="false">IF((14-N(P_L1_Mes)+1)&gt;=1,IF((14-N(P_L1_Mes)+1)=1,N(P_L1_Monto),R$126)*N(P_L1_Tasa)/12,0)*S$9</f>
        <v>18675.0442192839</v>
      </c>
      <c r="T124" s="34" t="n">
        <f aca="false">IF((15-N(P_L1_Mes)+1)&gt;=1,IF((15-N(P_L1_Mes)+1)=1,N(P_L1_Monto),S$126)*N(P_L1_Tasa)/12,0)*T$9</f>
        <v>18342.1555014684</v>
      </c>
      <c r="U124" s="34" t="n">
        <f aca="false">IF((16-N(P_L1_Mes)+1)&gt;=1,IF((16-N(P_L1_Mes)+1)=1,N(P_L1_Monto),T$126)*N(P_L1_Tasa)/12,0)*U$9</f>
        <v>18006.7701182693</v>
      </c>
      <c r="V124" s="34" t="n">
        <f aca="false">IF((17-N(P_L1_Mes)+1)&gt;=1,IF((17-N(P_L1_Mes)+1)=1,N(P_L1_Monto),U$126)*N(P_L1_Tasa)/12,0)*V$9</f>
        <v>17668.8693446961</v>
      </c>
      <c r="W124" s="34" t="n">
        <f aca="false">IF((18-N(P_L1_Mes)+1)&gt;=1,IF((18-N(P_L1_Mes)+1)=1,N(P_L1_Monto),V$126)*N(P_L1_Tasa)/12,0)*W$9</f>
        <v>17328.4343153212</v>
      </c>
      <c r="X124" s="34" t="n">
        <f aca="false">IF((19-N(P_L1_Mes)+1)&gt;=1,IF((19-N(P_L1_Mes)+1)=1,N(P_L1_Monto),W$126)*N(P_L1_Tasa)/12,0)*X$9</f>
        <v>16985.4460232259</v>
      </c>
      <c r="Y124" s="34" t="n">
        <f aca="false">IF((20-N(P_L1_Mes)+1)&gt;=1,IF((20-N(P_L1_Mes)+1)=1,N(P_L1_Monto),X$126)*N(P_L1_Tasa)/12,0)*Y$9</f>
        <v>16639.88531894</v>
      </c>
      <c r="Z124" s="34" t="n">
        <f aca="false">IF((21-N(P_L1_Mes)+1)&gt;=1,IF((21-N(P_L1_Mes)+1)=1,N(P_L1_Monto),Y$126)*N(P_L1_Tasa)/12,0)*Z$9</f>
        <v>16291.7329093719</v>
      </c>
      <c r="AA124" s="34" t="n">
        <f aca="false">IF((22-N(P_L1_Mes)+1)&gt;=1,IF((22-N(P_L1_Mes)+1)=1,N(P_L1_Monto),Z$126)*N(P_L1_Tasa)/12,0)*AA$9</f>
        <v>15940.969356732</v>
      </c>
      <c r="AB124" s="34" t="n">
        <f aca="false">IF((23-N(P_L1_Mes)+1)&gt;=1,IF((23-N(P_L1_Mes)+1)=1,N(P_L1_Monto),AA$126)*N(P_L1_Tasa)/12,0)*AB$9</f>
        <v>15587.5750774473</v>
      </c>
      <c r="AC124" s="34" t="n">
        <f aca="false">IF((24-N(P_L1_Mes)+1)&gt;=1,IF((24-N(P_L1_Mes)+1)=1,N(P_L1_Monto),AB$126)*N(P_L1_Tasa)/12,0)*AC$9</f>
        <v>15231.530341068</v>
      </c>
      <c r="AD124" s="34" t="n">
        <f aca="false">IF((25-N(P_L1_Mes)+1)&gt;=1,IF((25-N(P_L1_Mes)+1)=1,N(P_L1_Monto),AC$126)*N(P_L1_Tasa)/12,0)*AD$9</f>
        <v>14872.8152691659</v>
      </c>
      <c r="AE124" s="34" t="n">
        <f aca="false">IF((26-N(P_L1_Mes)+1)&gt;=1,IF((26-N(P_L1_Mes)+1)=1,N(P_L1_Monto),AD$126)*N(P_L1_Tasa)/12,0)*AE$9</f>
        <v>14511.4098342245</v>
      </c>
      <c r="AF124" s="34" t="n">
        <f aca="false">IF((27-N(P_L1_Mes)+1)&gt;=1,IF((27-N(P_L1_Mes)+1)=1,N(P_L1_Monto),AE$126)*N(P_L1_Tasa)/12,0)*AF$9</f>
        <v>14147.293858521</v>
      </c>
      <c r="AG124" s="34" t="n">
        <f aca="false">IF((28-N(P_L1_Mes)+1)&gt;=1,IF((28-N(P_L1_Mes)+1)=1,N(P_L1_Monto),AF$126)*N(P_L1_Tasa)/12,0)*AG$9</f>
        <v>13780.4470129997</v>
      </c>
      <c r="AH124" s="34" t="n">
        <f aca="false">IF((29-N(P_L1_Mes)+1)&gt;=1,IF((29-N(P_L1_Mes)+1)=1,N(P_L1_Monto),AG$126)*N(P_L1_Tasa)/12,0)*AH$9</f>
        <v>13410.8488161371</v>
      </c>
      <c r="AI124" s="34" t="n">
        <f aca="false">IF((30-N(P_L1_Mes)+1)&gt;=1,IF((30-N(P_L1_Mes)+1)=1,N(P_L1_Monto),AH$126)*N(P_L1_Tasa)/12,0)*AI$9</f>
        <v>13038.4786327979</v>
      </c>
      <c r="AJ124" s="34" t="n">
        <f aca="false">IF((31-N(P_L1_Mes)+1)&gt;=1,IF((31-N(P_L1_Mes)+1)=1,N(P_L1_Monto),AI$126)*N(P_L1_Tasa)/12,0)*AJ$9</f>
        <v>12663.3156730838</v>
      </c>
      <c r="AK124" s="34" t="n">
        <f aca="false">IF((32-N(P_L1_Mes)+1)&gt;=1,IF((32-N(P_L1_Mes)+1)=1,N(P_L1_Monto),AJ$126)*N(P_L1_Tasa)/12,0)*AK$9</f>
        <v>12285.3389911717</v>
      </c>
      <c r="AL124" s="34" t="n">
        <f aca="false">IF((33-N(P_L1_Mes)+1)&gt;=1,IF((33-N(P_L1_Mes)+1)=1,N(P_L1_Monto),AK$126)*N(P_L1_Tasa)/12,0)*AL$9</f>
        <v>11904.5274841454</v>
      </c>
      <c r="AM124" s="34" t="n">
        <f aca="false">IF((34-N(P_L1_Mes)+1)&gt;=1,IF((34-N(P_L1_Mes)+1)=1,N(P_L1_Monto),AL$126)*N(P_L1_Tasa)/12,0)*AM$9</f>
        <v>11520.8598908163</v>
      </c>
      <c r="AN124" s="34" t="n">
        <f aca="false">IF((35-N(P_L1_Mes)+1)&gt;=1,IF((35-N(P_L1_Mes)+1)=1,N(P_L1_Monto),AM$126)*N(P_L1_Tasa)/12,0)*AN$9</f>
        <v>11134.3147905373</v>
      </c>
      <c r="AO124" s="34" t="n">
        <f aca="false">IF((36-N(P_L1_Mes)+1)&gt;=1,IF((36-N(P_L1_Mes)+1)=1,N(P_L1_Monto),AN$126)*N(P_L1_Tasa)/12,0)*AO$9</f>
        <v>10744.8706020061</v>
      </c>
      <c r="AP124" s="34" t="n">
        <f aca="false">IF((37-N(P_L1_Mes)+1)&gt;=1,IF((37-N(P_L1_Mes)+1)=1,N(P_L1_Monto),AO$126)*N(P_L1_Tasa)/12,0)*AP$9</f>
        <v>10352.505582061</v>
      </c>
      <c r="AQ124" s="34" t="n">
        <f aca="false">IF((38-N(P_L1_Mes)+1)&gt;=1,IF((38-N(P_L1_Mes)+1)=1,N(P_L1_Monto),AP$126)*N(P_L1_Tasa)/12,0)*AQ$9</f>
        <v>9957.19782446632</v>
      </c>
      <c r="AR124" s="34" t="n">
        <f aca="false">IF((39-N(P_L1_Mes)+1)&gt;=1,IF((39-N(P_L1_Mes)+1)=1,N(P_L1_Monto),AQ$126)*N(P_L1_Tasa)/12,0)*AR$9</f>
        <v>9558.92525868966</v>
      </c>
      <c r="AS124" s="34" t="n">
        <f aca="false">IF((40-N(P_L1_Mes)+1)&gt;=1,IF((40-N(P_L1_Mes)+1)=1,N(P_L1_Monto),AR$126)*N(P_L1_Tasa)/12,0)*AS$9</f>
        <v>9157.66564866968</v>
      </c>
      <c r="AT124" s="34" t="n">
        <f aca="false">IF((41-N(P_L1_Mes)+1)&gt;=1,IF((41-N(P_L1_Mes)+1)=1,N(P_L1_Monto),AS$126)*N(P_L1_Tasa)/12,0)*AT$9</f>
        <v>8753.39659157454</v>
      </c>
      <c r="AU124" s="34" t="n">
        <f aca="false">IF((42-N(P_L1_Mes)+1)&gt;=1,IF((42-N(P_L1_Mes)+1)=1,N(P_L1_Monto),AT$126)*N(P_L1_Tasa)/12,0)*AU$9</f>
        <v>8346.09551655119</v>
      </c>
      <c r="AV124" s="34" t="n">
        <f aca="false">IF((43-N(P_L1_Mes)+1)&gt;=1,IF((43-N(P_L1_Mes)+1)=1,N(P_L1_Monto),AU$126)*N(P_L1_Tasa)/12,0)*AV$9</f>
        <v>7935.73968346517</v>
      </c>
      <c r="AW124" s="34" t="n">
        <f aca="false">IF((44-N(P_L1_Mes)+1)&gt;=1,IF((44-N(P_L1_Mes)+1)=1,N(P_L1_Monto),AV$126)*N(P_L1_Tasa)/12,0)*AW$9</f>
        <v>7522.306181631</v>
      </c>
      <c r="AX124" s="34" t="n">
        <f aca="false">IF((45-N(P_L1_Mes)+1)&gt;=1,IF((45-N(P_L1_Mes)+1)=1,N(P_L1_Monto),AW$126)*N(P_L1_Tasa)/12,0)*AX$9</f>
        <v>7105.77192853307</v>
      </c>
      <c r="AY124" s="34" t="n">
        <f aca="false">IF((46-N(P_L1_Mes)+1)&gt;=1,IF((46-N(P_L1_Mes)+1)=1,N(P_L1_Monto),AX$126)*N(P_L1_Tasa)/12,0)*AY$9</f>
        <v>6686.11366853691</v>
      </c>
      <c r="AZ124" s="34" t="n">
        <f aca="false">IF((47-N(P_L1_Mes)+1)&gt;=1,IF((47-N(P_L1_Mes)+1)=1,N(P_L1_Monto),AY$126)*N(P_L1_Tasa)/12,0)*AZ$9</f>
        <v>6263.30797159078</v>
      </c>
      <c r="BA124" s="34" t="n">
        <f aca="false">IF((48-N(P_L1_Mes)+1)&gt;=1,IF((48-N(P_L1_Mes)+1)=1,N(P_L1_Monto),AZ$126)*N(P_L1_Tasa)/12,0)*BA$9</f>
        <v>5837.33123191755</v>
      </c>
      <c r="BB124" s="34" t="n">
        <f aca="false">IF((49-N(P_L1_Mes)+1)&gt;=1,IF((49-N(P_L1_Mes)+1)=1,N(P_L1_Monto),BA$126)*N(P_L1_Tasa)/12,0)*BB$9</f>
        <v>5408.15966669678</v>
      </c>
      <c r="BC124" s="34" t="n">
        <f aca="false">IF((50-N(P_L1_Mes)+1)&gt;=1,IF((50-N(P_L1_Mes)+1)=1,N(P_L1_Monto),BB$126)*N(P_L1_Tasa)/12,0)*BC$9</f>
        <v>4975.76931473684</v>
      </c>
      <c r="BD124" s="34" t="n">
        <f aca="false">IF((51-N(P_L1_Mes)+1)&gt;=1,IF((51-N(P_L1_Mes)+1)=1,N(P_L1_Monto),BC$126)*N(P_L1_Tasa)/12,0)*BD$9</f>
        <v>4540.13603513721</v>
      </c>
      <c r="BE124" s="34" t="n">
        <f aca="false">IF((52-N(P_L1_Mes)+1)&gt;=1,IF((52-N(P_L1_Mes)+1)=1,N(P_L1_Monto),BD$126)*N(P_L1_Tasa)/12,0)*BE$9</f>
        <v>4101.23550594058</v>
      </c>
      <c r="BF124" s="34" t="n">
        <f aca="false">IF((53-N(P_L1_Mes)+1)&gt;=1,IF((53-N(P_L1_Mes)+1)=1,N(P_L1_Monto),BE$126)*N(P_L1_Tasa)/12,0)*BF$9</f>
        <v>3659.04322277498</v>
      </c>
      <c r="BG124" s="34" t="n">
        <f aca="false">IF((54-N(P_L1_Mes)+1)&gt;=1,IF((54-N(P_L1_Mes)+1)=1,N(P_L1_Monto),BF$126)*N(P_L1_Tasa)/12,0)*BG$9</f>
        <v>3213.53449748563</v>
      </c>
      <c r="BH124" s="34" t="n">
        <f aca="false">IF((55-N(P_L1_Mes)+1)&gt;=1,IF((55-N(P_L1_Mes)+1)=1,N(P_L1_Monto),BG$126)*N(P_L1_Tasa)/12,0)*BH$9</f>
        <v>2764.68445675662</v>
      </c>
      <c r="BI124" s="34" t="n">
        <f aca="false">IF((56-N(P_L1_Mes)+1)&gt;=1,IF((56-N(P_L1_Mes)+1)=1,N(P_L1_Monto),BH$126)*N(P_L1_Tasa)/12,0)*BI$9</f>
        <v>2312.46804072213</v>
      </c>
      <c r="BJ124" s="34" t="n">
        <f aca="false">IF((57-N(P_L1_Mes)+1)&gt;=1,IF((57-N(P_L1_Mes)+1)=1,N(P_L1_Monto),BI$126)*N(P_L1_Tasa)/12,0)*BJ$9</f>
        <v>1856.86000156739</v>
      </c>
      <c r="BK124" s="34" t="n">
        <f aca="false">IF((58-N(P_L1_Mes)+1)&gt;=1,IF((58-N(P_L1_Mes)+1)=1,N(P_L1_Monto),BJ$126)*N(P_L1_Tasa)/12,0)*BK$9</f>
        <v>1397.83490211899</v>
      </c>
      <c r="BL124" s="34" t="n">
        <f aca="false">IF((59-N(P_L1_Mes)+1)&gt;=1,IF((59-N(P_L1_Mes)+1)=1,N(P_L1_Monto),BK$126)*N(P_L1_Tasa)/12,0)*BL$9</f>
        <v>935.367114424723</v>
      </c>
      <c r="BM124" s="34" t="n">
        <f aca="false">IF((60-N(P_L1_Mes)+1)&gt;=1,IF((60-N(P_L1_Mes)+1)=1,N(P_L1_Monto),BL$126)*N(P_L1_Tasa)/12,0)*BM$9</f>
        <v>469.43081832275</v>
      </c>
      <c r="BN124" s="34" t="n">
        <f aca="false">IF((61-N(P_L1_Mes)+1)&gt;=1,IF((61-N(P_L1_Mes)+1)=1,N(P_L1_Monto),BM$126)*N(P_L1_Tasa)/12,0)*BN$9</f>
        <v>0</v>
      </c>
      <c r="BO124" s="34" t="n">
        <f aca="false">IF((62-N(P_L1_Mes)+1)&gt;=1,IF((62-N(P_L1_Mes)+1)=1,N(P_L1_Monto),BN$126)*N(P_L1_Tasa)/12,0)*BO$9</f>
        <v>0</v>
      </c>
      <c r="BP124" s="34" t="n">
        <f aca="false">IF((63-N(P_L1_Mes)+1)&gt;=1,IF((63-N(P_L1_Mes)+1)=1,N(P_L1_Monto),BO$126)*N(P_L1_Tasa)/12,0)*BP$9</f>
        <v>0</v>
      </c>
      <c r="BQ124" s="34" t="n">
        <f aca="false">IF((64-N(P_L1_Mes)+1)&gt;=1,IF((64-N(P_L1_Mes)+1)=1,N(P_L1_Monto),BP$126)*N(P_L1_Tasa)/12,0)*BQ$9</f>
        <v>0</v>
      </c>
      <c r="BR124" s="34" t="n">
        <f aca="false">IF((65-N(P_L1_Mes)+1)&gt;=1,IF((65-N(P_L1_Mes)+1)=1,N(P_L1_Monto),BQ$126)*N(P_L1_Tasa)/12,0)*BR$9</f>
        <v>0</v>
      </c>
      <c r="BS124" s="34" t="n">
        <f aca="false">IF((66-N(P_L1_Mes)+1)&gt;=1,IF((66-N(P_L1_Mes)+1)=1,N(P_L1_Monto),BR$126)*N(P_L1_Tasa)/12,0)*BS$9</f>
        <v>0</v>
      </c>
      <c r="BT124" s="34" t="n">
        <f aca="false">IF((67-N(P_L1_Mes)+1)&gt;=1,IF((67-N(P_L1_Mes)+1)=1,N(P_L1_Monto),BS$126)*N(P_L1_Tasa)/12,0)*BT$9</f>
        <v>0</v>
      </c>
      <c r="BU124" s="34" t="n">
        <f aca="false">IF((68-N(P_L1_Mes)+1)&gt;=1,IF((68-N(P_L1_Mes)+1)=1,N(P_L1_Monto),BT$126)*N(P_L1_Tasa)/12,0)*BU$9</f>
        <v>0</v>
      </c>
      <c r="BV124" s="34" t="n">
        <f aca="false">IF((69-N(P_L1_Mes)+1)&gt;=1,IF((69-N(P_L1_Mes)+1)=1,N(P_L1_Monto),BU$126)*N(P_L1_Tasa)/12,0)*BV$9</f>
        <v>0</v>
      </c>
      <c r="BW124" s="34" t="n">
        <f aca="false">IF((70-N(P_L1_Mes)+1)&gt;=1,IF((70-N(P_L1_Mes)+1)=1,N(P_L1_Monto),BV$126)*N(P_L1_Tasa)/12,0)*BW$9</f>
        <v>0</v>
      </c>
      <c r="BX124" s="34" t="n">
        <f aca="false">IF((71-N(P_L1_Mes)+1)&gt;=1,IF((71-N(P_L1_Mes)+1)=1,N(P_L1_Monto),BW$126)*N(P_L1_Tasa)/12,0)*BX$9</f>
        <v>0</v>
      </c>
      <c r="BY124" s="34" t="n">
        <f aca="false">IF((72-N(P_L1_Mes)+1)&gt;=1,IF((72-N(P_L1_Mes)+1)=1,N(P_L1_Monto),BX$126)*N(P_L1_Tasa)/12,0)*BY$9</f>
        <v>0</v>
      </c>
      <c r="BZ124" s="34" t="n">
        <f aca="false">IF((73-N(P_L1_Mes)+1)&gt;=1,IF((73-N(P_L1_Mes)+1)=1,N(P_L1_Monto),BY$126)*N(P_L1_Tasa)/12,0)*BZ$9</f>
        <v>0</v>
      </c>
      <c r="CA124" s="34" t="n">
        <f aca="false">IF((74-N(P_L1_Mes)+1)&gt;=1,IF((74-N(P_L1_Mes)+1)=1,N(P_L1_Monto),BZ$126)*N(P_L1_Tasa)/12,0)*CA$9</f>
        <v>0</v>
      </c>
      <c r="CB124" s="34" t="n">
        <f aca="false">IF((75-N(P_L1_Mes)+1)&gt;=1,IF((75-N(P_L1_Mes)+1)=1,N(P_L1_Monto),CA$126)*N(P_L1_Tasa)/12,0)*CB$9</f>
        <v>0</v>
      </c>
      <c r="CC124" s="34" t="n">
        <f aca="false">IF((76-N(P_L1_Mes)+1)&gt;=1,IF((76-N(P_L1_Mes)+1)=1,N(P_L1_Monto),CB$126)*N(P_L1_Tasa)/12,0)*CC$9</f>
        <v>0</v>
      </c>
      <c r="CD124" s="34" t="n">
        <f aca="false">IF((77-N(P_L1_Mes)+1)&gt;=1,IF((77-N(P_L1_Mes)+1)=1,N(P_L1_Monto),CC$126)*N(P_L1_Tasa)/12,0)*CD$9</f>
        <v>0</v>
      </c>
      <c r="CE124" s="34" t="n">
        <f aca="false">IF((78-N(P_L1_Mes)+1)&gt;=1,IF((78-N(P_L1_Mes)+1)=1,N(P_L1_Monto),CD$126)*N(P_L1_Tasa)/12,0)*CE$9</f>
        <v>0</v>
      </c>
      <c r="CF124" s="34" t="n">
        <f aca="false">IF((79-N(P_L1_Mes)+1)&gt;=1,IF((79-N(P_L1_Mes)+1)=1,N(P_L1_Monto),CE$126)*N(P_L1_Tasa)/12,0)*CF$9</f>
        <v>0</v>
      </c>
      <c r="CG124" s="34" t="n">
        <f aca="false">IF((80-N(P_L1_Mes)+1)&gt;=1,IF((80-N(P_L1_Mes)+1)=1,N(P_L1_Monto),CF$126)*N(P_L1_Tasa)/12,0)*CG$9</f>
        <v>0</v>
      </c>
      <c r="CH124" s="34" t="n">
        <f aca="false">IF((81-N(P_L1_Mes)+1)&gt;=1,IF((81-N(P_L1_Mes)+1)=1,N(P_L1_Monto),CG$126)*N(P_L1_Tasa)/12,0)*CH$9</f>
        <v>0</v>
      </c>
      <c r="CI124" s="34" t="n">
        <f aca="false">IF((82-N(P_L1_Mes)+1)&gt;=1,IF((82-N(P_L1_Mes)+1)=1,N(P_L1_Monto),CH$126)*N(P_L1_Tasa)/12,0)*CI$9</f>
        <v>0</v>
      </c>
      <c r="CJ124" s="34" t="n">
        <f aca="false">IF((83-N(P_L1_Mes)+1)&gt;=1,IF((83-N(P_L1_Mes)+1)=1,N(P_L1_Monto),CI$126)*N(P_L1_Tasa)/12,0)*CJ$9</f>
        <v>0</v>
      </c>
      <c r="CK124" s="34" t="n">
        <f aca="false">IF((84-N(P_L1_Mes)+1)&gt;=1,IF((84-N(P_L1_Mes)+1)=1,N(P_L1_Monto),CJ$126)*N(P_L1_Tasa)/12,0)*CK$9</f>
        <v>0</v>
      </c>
      <c r="CL124" s="34" t="n">
        <f aca="false">IF((85-N(P_L1_Mes)+1)&gt;=1,IF((85-N(P_L1_Mes)+1)=1,N(P_L1_Monto),CK$126)*N(P_L1_Tasa)/12,0)*CL$9</f>
        <v>0</v>
      </c>
      <c r="CM124" s="34" t="n">
        <f aca="false">IF((86-N(P_L1_Mes)+1)&gt;=1,IF((86-N(P_L1_Mes)+1)=1,N(P_L1_Monto),CL$126)*N(P_L1_Tasa)/12,0)*CM$9</f>
        <v>0</v>
      </c>
      <c r="CN124" s="34" t="n">
        <f aca="false">IF((87-N(P_L1_Mes)+1)&gt;=1,IF((87-N(P_L1_Mes)+1)=1,N(P_L1_Monto),CM$126)*N(P_L1_Tasa)/12,0)*CN$9</f>
        <v>0</v>
      </c>
      <c r="CO124" s="34" t="n">
        <f aca="false">IF((88-N(P_L1_Mes)+1)&gt;=1,IF((88-N(P_L1_Mes)+1)=1,N(P_L1_Monto),CN$126)*N(P_L1_Tasa)/12,0)*CO$9</f>
        <v>0</v>
      </c>
      <c r="CP124" s="34" t="n">
        <f aca="false">IF((89-N(P_L1_Mes)+1)&gt;=1,IF((89-N(P_L1_Mes)+1)=1,N(P_L1_Monto),CO$126)*N(P_L1_Tasa)/12,0)*CP$9</f>
        <v>0</v>
      </c>
      <c r="CQ124" s="34" t="n">
        <f aca="false">IF((90-N(P_L1_Mes)+1)&gt;=1,IF((90-N(P_L1_Mes)+1)=1,N(P_L1_Monto),CP$126)*N(P_L1_Tasa)/12,0)*CQ$9</f>
        <v>0</v>
      </c>
      <c r="CR124" s="34" t="n">
        <f aca="false">IF((91-N(P_L1_Mes)+1)&gt;=1,IF((91-N(P_L1_Mes)+1)=1,N(P_L1_Monto),CQ$126)*N(P_L1_Tasa)/12,0)*CR$9</f>
        <v>0</v>
      </c>
      <c r="CS124" s="34" t="n">
        <f aca="false">IF((92-N(P_L1_Mes)+1)&gt;=1,IF((92-N(P_L1_Mes)+1)=1,N(P_L1_Monto),CR$126)*N(P_L1_Tasa)/12,0)*CS$9</f>
        <v>0</v>
      </c>
      <c r="CT124" s="34" t="n">
        <f aca="false">IF((93-N(P_L1_Mes)+1)&gt;=1,IF((93-N(P_L1_Mes)+1)=1,N(P_L1_Monto),CS$126)*N(P_L1_Tasa)/12,0)*CT$9</f>
        <v>0</v>
      </c>
      <c r="CU124" s="34" t="n">
        <f aca="false">IF((94-N(P_L1_Mes)+1)&gt;=1,IF((94-N(P_L1_Mes)+1)=1,N(P_L1_Monto),CT$126)*N(P_L1_Tasa)/12,0)*CU$9</f>
        <v>0</v>
      </c>
      <c r="CV124" s="34" t="n">
        <f aca="false">IF((95-N(P_L1_Mes)+1)&gt;=1,IF((95-N(P_L1_Mes)+1)=1,N(P_L1_Monto),CU$126)*N(P_L1_Tasa)/12,0)*CV$9</f>
        <v>0</v>
      </c>
      <c r="CW124" s="34" t="n">
        <f aca="false">IF((96-N(P_L1_Mes)+1)&gt;=1,IF((96-N(P_L1_Mes)+1)=1,N(P_L1_Monto),CV$126)*N(P_L1_Tasa)/12,0)*CW$9</f>
        <v>0</v>
      </c>
      <c r="CX124" s="34" t="n">
        <f aca="false">IF((97-N(P_L1_Mes)+1)&gt;=1,IF((97-N(P_L1_Mes)+1)=1,N(P_L1_Monto),CW$126)*N(P_L1_Tasa)/12,0)*CX$9</f>
        <v>0</v>
      </c>
      <c r="CY124" s="34" t="n">
        <f aca="false">IF((98-N(P_L1_Mes)+1)&gt;=1,IF((98-N(P_L1_Mes)+1)=1,N(P_L1_Monto),CX$126)*N(P_L1_Tasa)/12,0)*CY$9</f>
        <v>0</v>
      </c>
      <c r="CZ124" s="34" t="n">
        <f aca="false">IF((99-N(P_L1_Mes)+1)&gt;=1,IF((99-N(P_L1_Mes)+1)=1,N(P_L1_Monto),CY$126)*N(P_L1_Tasa)/12,0)*CZ$9</f>
        <v>0</v>
      </c>
      <c r="DA124" s="34" t="n">
        <f aca="false">IF((100-N(P_L1_Mes)+1)&gt;=1,IF((100-N(P_L1_Mes)+1)=1,N(P_L1_Monto),CZ$126)*N(P_L1_Tasa)/12,0)*DA$9</f>
        <v>0</v>
      </c>
      <c r="DB124" s="34" t="n">
        <f aca="false">IF((101-N(P_L1_Mes)+1)&gt;=1,IF((101-N(P_L1_Mes)+1)=1,N(P_L1_Monto),DA$126)*N(P_L1_Tasa)/12,0)*DB$9</f>
        <v>0</v>
      </c>
      <c r="DC124" s="34" t="n">
        <f aca="false">IF((102-N(P_L1_Mes)+1)&gt;=1,IF((102-N(P_L1_Mes)+1)=1,N(P_L1_Monto),DB$126)*N(P_L1_Tasa)/12,0)*DC$9</f>
        <v>0</v>
      </c>
      <c r="DD124" s="34" t="n">
        <f aca="false">IF((103-N(P_L1_Mes)+1)&gt;=1,IF((103-N(P_L1_Mes)+1)=1,N(P_L1_Monto),DC$126)*N(P_L1_Tasa)/12,0)*DD$9</f>
        <v>0</v>
      </c>
      <c r="DE124" s="34" t="n">
        <f aca="false">IF((104-N(P_L1_Mes)+1)&gt;=1,IF((104-N(P_L1_Mes)+1)=1,N(P_L1_Monto),DD$126)*N(P_L1_Tasa)/12,0)*DE$9</f>
        <v>0</v>
      </c>
      <c r="DF124" s="34" t="n">
        <f aca="false">IF((105-N(P_L1_Mes)+1)&gt;=1,IF((105-N(P_L1_Mes)+1)=1,N(P_L1_Monto),DE$126)*N(P_L1_Tasa)/12,0)*DF$9</f>
        <v>0</v>
      </c>
      <c r="DG124" s="34" t="n">
        <f aca="false">IF((106-N(P_L1_Mes)+1)&gt;=1,IF((106-N(P_L1_Mes)+1)=1,N(P_L1_Monto),DF$126)*N(P_L1_Tasa)/12,0)*DG$9</f>
        <v>0</v>
      </c>
      <c r="DH124" s="34" t="n">
        <f aca="false">IF((107-N(P_L1_Mes)+1)&gt;=1,IF((107-N(P_L1_Mes)+1)=1,N(P_L1_Monto),DG$126)*N(P_L1_Tasa)/12,0)*DH$9</f>
        <v>0</v>
      </c>
      <c r="DI124" s="34" t="n">
        <f aca="false">IF((108-N(P_L1_Mes)+1)&gt;=1,IF((108-N(P_L1_Mes)+1)=1,N(P_L1_Monto),DH$126)*N(P_L1_Tasa)/12,0)*DI$9</f>
        <v>0</v>
      </c>
      <c r="DJ124" s="34" t="n">
        <f aca="false">IF((109-N(P_L1_Mes)+1)&gt;=1,IF((109-N(P_L1_Mes)+1)=1,N(P_L1_Monto),DI$126)*N(P_L1_Tasa)/12,0)*DJ$9</f>
        <v>0</v>
      </c>
      <c r="DK124" s="34" t="n">
        <f aca="false">IF((110-N(P_L1_Mes)+1)&gt;=1,IF((110-N(P_L1_Mes)+1)=1,N(P_L1_Monto),DJ$126)*N(P_L1_Tasa)/12,0)*DK$9</f>
        <v>0</v>
      </c>
      <c r="DL124" s="34" t="n">
        <f aca="false">IF((111-N(P_L1_Mes)+1)&gt;=1,IF((111-N(P_L1_Mes)+1)=1,N(P_L1_Monto),DK$126)*N(P_L1_Tasa)/12,0)*DL$9</f>
        <v>0</v>
      </c>
      <c r="DM124" s="34" t="n">
        <f aca="false">IF((112-N(P_L1_Mes)+1)&gt;=1,IF((112-N(P_L1_Mes)+1)=1,N(P_L1_Monto),DL$126)*N(P_L1_Tasa)/12,0)*DM$9</f>
        <v>0</v>
      </c>
      <c r="DN124" s="34" t="n">
        <f aca="false">IF((113-N(P_L1_Mes)+1)&gt;=1,IF((113-N(P_L1_Mes)+1)=1,N(P_L1_Monto),DM$126)*N(P_L1_Tasa)/12,0)*DN$9</f>
        <v>0</v>
      </c>
      <c r="DO124" s="34" t="n">
        <f aca="false">IF((114-N(P_L1_Mes)+1)&gt;=1,IF((114-N(P_L1_Mes)+1)=1,N(P_L1_Monto),DN$126)*N(P_L1_Tasa)/12,0)*DO$9</f>
        <v>0</v>
      </c>
      <c r="DP124" s="34" t="n">
        <f aca="false">IF((115-N(P_L1_Mes)+1)&gt;=1,IF((115-N(P_L1_Mes)+1)=1,N(P_L1_Monto),DO$126)*N(P_L1_Tasa)/12,0)*DP$9</f>
        <v>0</v>
      </c>
      <c r="DQ124" s="34" t="n">
        <f aca="false">IF((116-N(P_L1_Mes)+1)&gt;=1,IF((116-N(P_L1_Mes)+1)=1,N(P_L1_Monto),DP$126)*N(P_L1_Tasa)/12,0)*DQ$9</f>
        <v>0</v>
      </c>
      <c r="DR124" s="34" t="n">
        <f aca="false">IF((117-N(P_L1_Mes)+1)&gt;=1,IF((117-N(P_L1_Mes)+1)=1,N(P_L1_Monto),DQ$126)*N(P_L1_Tasa)/12,0)*DR$9</f>
        <v>0</v>
      </c>
      <c r="DS124" s="34" t="n">
        <f aca="false">IF((118-N(P_L1_Mes)+1)&gt;=1,IF((118-N(P_L1_Mes)+1)=1,N(P_L1_Monto),DR$126)*N(P_L1_Tasa)/12,0)*DS$9</f>
        <v>0</v>
      </c>
      <c r="DT124" s="34" t="n">
        <f aca="false">IF((119-N(P_L1_Mes)+1)&gt;=1,IF((119-N(P_L1_Mes)+1)=1,N(P_L1_Monto),DS$126)*N(P_L1_Tasa)/12,0)*DT$9</f>
        <v>0</v>
      </c>
      <c r="DU124" s="34" t="n">
        <f aca="false">IF((120-N(P_L1_Mes)+1)&gt;=1,IF((120-N(P_L1_Mes)+1)=1,N(P_L1_Monto),DT$126)*N(P_L1_Tasa)/12,0)*DU$9</f>
        <v>0</v>
      </c>
      <c r="DV124" s="34" t="n">
        <f aca="false">IF((121-N(P_L1_Mes)+1)&gt;=1,IF((121-N(P_L1_Mes)+1)=1,N(P_L1_Monto),DU$126)*N(P_L1_Tasa)/12,0)*DV$9</f>
        <v>0</v>
      </c>
      <c r="DW124" s="34" t="n">
        <f aca="false">IF((122-N(P_L1_Mes)+1)&gt;=1,IF((122-N(P_L1_Mes)+1)=1,N(P_L1_Monto),DV$126)*N(P_L1_Tasa)/12,0)*DW$9</f>
        <v>0</v>
      </c>
      <c r="DX124" s="34" t="n">
        <f aca="false">IF((123-N(P_L1_Mes)+1)&gt;=1,IF((123-N(P_L1_Mes)+1)=1,N(P_L1_Monto),DW$126)*N(P_L1_Tasa)/12,0)*DX$9</f>
        <v>0</v>
      </c>
      <c r="DY124" s="34" t="n">
        <f aca="false">IF((124-N(P_L1_Mes)+1)&gt;=1,IF((124-N(P_L1_Mes)+1)=1,N(P_L1_Monto),DX$126)*N(P_L1_Tasa)/12,0)*DY$9</f>
        <v>0</v>
      </c>
      <c r="DZ124" s="34" t="n">
        <f aca="false">IF((125-N(P_L1_Mes)+1)&gt;=1,IF((125-N(P_L1_Mes)+1)=1,N(P_L1_Monto),DY$126)*N(P_L1_Tasa)/12,0)*DZ$9</f>
        <v>0</v>
      </c>
      <c r="EA124" s="34" t="n">
        <f aca="false">IF((126-N(P_L1_Mes)+1)&gt;=1,IF((126-N(P_L1_Mes)+1)=1,N(P_L1_Monto),DZ$126)*N(P_L1_Tasa)/12,0)*EA$9</f>
        <v>0</v>
      </c>
      <c r="EB124" s="34" t="n">
        <f aca="false">IF((127-N(P_L1_Mes)+1)&gt;=1,IF((127-N(P_L1_Mes)+1)=1,N(P_L1_Monto),EA$126)*N(P_L1_Tasa)/12,0)*EB$9</f>
        <v>0</v>
      </c>
      <c r="EC124" s="34" t="n">
        <f aca="false">IF((128-N(P_L1_Mes)+1)&gt;=1,IF((128-N(P_L1_Mes)+1)=1,N(P_L1_Monto),EB$126)*N(P_L1_Tasa)/12,0)*EC$9</f>
        <v>0</v>
      </c>
      <c r="ED124" s="34" t="n">
        <f aca="false">IF((129-N(P_L1_Mes)+1)&gt;=1,IF((129-N(P_L1_Mes)+1)=1,N(P_L1_Monto),EC$126)*N(P_L1_Tasa)/12,0)*ED$9</f>
        <v>0</v>
      </c>
      <c r="EE124" s="34" t="n">
        <f aca="false">IF((130-N(P_L1_Mes)+1)&gt;=1,IF((130-N(P_L1_Mes)+1)=1,N(P_L1_Monto),ED$126)*N(P_L1_Tasa)/12,0)*EE$9</f>
        <v>0</v>
      </c>
      <c r="EF124" s="34" t="n">
        <f aca="false">IF((131-N(P_L1_Mes)+1)&gt;=1,IF((131-N(P_L1_Mes)+1)=1,N(P_L1_Monto),EE$126)*N(P_L1_Tasa)/12,0)*EF$9</f>
        <v>0</v>
      </c>
      <c r="EG124" s="34" t="n">
        <f aca="false">IF((132-N(P_L1_Mes)+1)&gt;=1,IF((132-N(P_L1_Mes)+1)=1,N(P_L1_Monto),EF$126)*N(P_L1_Tasa)/12,0)*EG$9</f>
        <v>0</v>
      </c>
      <c r="EH124" s="34" t="n">
        <f aca="false">IF((133-N(P_L1_Mes)+1)&gt;=1,IF((133-N(P_L1_Mes)+1)=1,N(P_L1_Monto),EG$126)*N(P_L1_Tasa)/12,0)*EH$9</f>
        <v>0</v>
      </c>
      <c r="EI124" s="34" t="n">
        <f aca="false">IF((134-N(P_L1_Mes)+1)&gt;=1,IF((134-N(P_L1_Mes)+1)=1,N(P_L1_Monto),EH$126)*N(P_L1_Tasa)/12,0)*EI$9</f>
        <v>0</v>
      </c>
      <c r="EJ124" s="34" t="n">
        <f aca="false">IF((135-N(P_L1_Mes)+1)&gt;=1,IF((135-N(P_L1_Mes)+1)=1,N(P_L1_Monto),EI$126)*N(P_L1_Tasa)/12,0)*EJ$9</f>
        <v>0</v>
      </c>
      <c r="EK124" s="34" t="n">
        <f aca="false">IF((136-N(P_L1_Mes)+1)&gt;=1,IF((136-N(P_L1_Mes)+1)=1,N(P_L1_Monto),EJ$126)*N(P_L1_Tasa)/12,0)*EK$9</f>
        <v>0</v>
      </c>
      <c r="EL124" s="34" t="n">
        <f aca="false">IF((137-N(P_L1_Mes)+1)&gt;=1,IF((137-N(P_L1_Mes)+1)=1,N(P_L1_Monto),EK$126)*N(P_L1_Tasa)/12,0)*EL$9</f>
        <v>0</v>
      </c>
      <c r="EM124" s="34" t="n">
        <f aca="false">IF((138-N(P_L1_Mes)+1)&gt;=1,IF((138-N(P_L1_Mes)+1)=1,N(P_L1_Monto),EL$126)*N(P_L1_Tasa)/12,0)*EM$9</f>
        <v>0</v>
      </c>
      <c r="EN124" s="34" t="n">
        <f aca="false">IF((139-N(P_L1_Mes)+1)&gt;=1,IF((139-N(P_L1_Mes)+1)=1,N(P_L1_Monto),EM$126)*N(P_L1_Tasa)/12,0)*EN$9</f>
        <v>0</v>
      </c>
      <c r="EO124" s="34" t="n">
        <f aca="false">IF((140-N(P_L1_Mes)+1)&gt;=1,IF((140-N(P_L1_Mes)+1)=1,N(P_L1_Monto),EN$126)*N(P_L1_Tasa)/12,0)*EO$9</f>
        <v>0</v>
      </c>
      <c r="EP124" s="34" t="n">
        <f aca="false">IF((141-N(P_L1_Mes)+1)&gt;=1,IF((141-N(P_L1_Mes)+1)=1,N(P_L1_Monto),EO$126)*N(P_L1_Tasa)/12,0)*EP$9</f>
        <v>0</v>
      </c>
      <c r="EQ124" s="34" t="n">
        <f aca="false">IF((142-N(P_L1_Mes)+1)&gt;=1,IF((142-N(P_L1_Mes)+1)=1,N(P_L1_Monto),EP$126)*N(P_L1_Tasa)/12,0)*EQ$9</f>
        <v>0</v>
      </c>
      <c r="ER124" s="34" t="n">
        <f aca="false">IF((143-N(P_L1_Mes)+1)&gt;=1,IF((143-N(P_L1_Mes)+1)=1,N(P_L1_Monto),EQ$126)*N(P_L1_Tasa)/12,0)*ER$9</f>
        <v>0</v>
      </c>
      <c r="ES124" s="34" t="n">
        <f aca="false">IF((144-N(P_L1_Mes)+1)&gt;=1,IF((144-N(P_L1_Mes)+1)=1,N(P_L1_Monto),ER$126)*N(P_L1_Tasa)/12,0)*ES$9</f>
        <v>0</v>
      </c>
    </row>
    <row r="125" customFormat="false" ht="15" hidden="false" customHeight="false" outlineLevel="0" collapsed="false">
      <c r="A125" s="2" t="s">
        <v>733</v>
      </c>
      <c r="B125" s="6" t="s">
        <v>734</v>
      </c>
      <c r="C125" s="6" t="s">
        <v>250</v>
      </c>
      <c r="E125" s="40" t="n">
        <f aca="false">SUM(F125:ES125)</f>
        <v>2791587</v>
      </c>
      <c r="F125" s="34" t="n">
        <f aca="false">IF(AND((1-N(P_L1_Mes)+1)&gt;N(P_L1_Gracia),(1-N(P_L1_Mes)+1)&lt;=N(P_L1_Gracia)+N(P_L1_Cuotas),N(P_L1_Cuotas)&gt;0),IF((1-N(P_L1_Mes)+1)=N(P_L1_Gracia)+N(P_L1_Cuotas),IF((1-N(P_L1_Mes)+1)=1,N(P_L1_Monto),0),PMT(N(P_L1_Tasa)/12,N(P_L1_Cuotas),-N(P_L1_Monto))-F$124),0)*F$9</f>
        <v>0</v>
      </c>
      <c r="G125" s="34" t="n">
        <f aca="false">IF(AND((2-N(P_L1_Mes)+1)&gt;N(P_L1_Gracia),(2-N(P_L1_Mes)+1)&lt;=N(P_L1_Gracia)+N(P_L1_Cuotas),N(P_L1_Cuotas)&gt;0),IF((2-N(P_L1_Mes)+1)=N(P_L1_Gracia)+N(P_L1_Cuotas),IF((2-N(P_L1_Mes)+1)=1,N(P_L1_Monto),F$126),PMT(N(P_L1_Tasa)/12,N(P_L1_Cuotas),-N(P_L1_Monto))-G$124),0)*G$9</f>
        <v>0</v>
      </c>
      <c r="H125" s="34" t="n">
        <f aca="false">IF(AND((3-N(P_L1_Mes)+1)&gt;N(P_L1_Gracia),(3-N(P_L1_Mes)+1)&lt;=N(P_L1_Gracia)+N(P_L1_Cuotas),N(P_L1_Cuotas)&gt;0),IF((3-N(P_L1_Mes)+1)=N(P_L1_Gracia)+N(P_L1_Cuotas),IF((3-N(P_L1_Mes)+1)=1,N(P_L1_Monto),G$126),PMT(N(P_L1_Tasa)/12,N(P_L1_Cuotas),-N(P_L1_Monto))-H$124),0)*H$9</f>
        <v>0</v>
      </c>
      <c r="I125" s="34" t="n">
        <f aca="false">IF(AND((4-N(P_L1_Mes)+1)&gt;N(P_L1_Gracia),(4-N(P_L1_Mes)+1)&lt;=N(P_L1_Gracia)+N(P_L1_Cuotas),N(P_L1_Cuotas)&gt;0),IF((4-N(P_L1_Mes)+1)=N(P_L1_Gracia)+N(P_L1_Cuotas),IF((4-N(P_L1_Mes)+1)=1,N(P_L1_Monto),H$126),PMT(N(P_L1_Tasa)/12,N(P_L1_Cuotas),-N(P_L1_Monto))-I$124),0)*I$9</f>
        <v>0</v>
      </c>
      <c r="J125" s="34" t="n">
        <f aca="false">IF(AND((5-N(P_L1_Mes)+1)&gt;N(P_L1_Gracia),(5-N(P_L1_Mes)+1)&lt;=N(P_L1_Gracia)+N(P_L1_Cuotas),N(P_L1_Cuotas)&gt;0),IF((5-N(P_L1_Mes)+1)=N(P_L1_Gracia)+N(P_L1_Cuotas),IF((5-N(P_L1_Mes)+1)=1,N(P_L1_Monto),I$126),PMT(N(P_L1_Tasa)/12,N(P_L1_Cuotas),-N(P_L1_Monto))-J$124),0)*J$9</f>
        <v>0</v>
      </c>
      <c r="K125" s="34" t="n">
        <f aca="false">IF(AND((6-N(P_L1_Mes)+1)&gt;N(P_L1_Gracia),(6-N(P_L1_Mes)+1)&lt;=N(P_L1_Gracia)+N(P_L1_Cuotas),N(P_L1_Cuotas)&gt;0),IF((6-N(P_L1_Mes)+1)=N(P_L1_Gracia)+N(P_L1_Cuotas),IF((6-N(P_L1_Mes)+1)=1,N(P_L1_Monto),J$126),PMT(N(P_L1_Tasa)/12,N(P_L1_Cuotas),-N(P_L1_Monto))-K$124),0)*K$9</f>
        <v>0</v>
      </c>
      <c r="L125" s="34" t="n">
        <f aca="false">IF(AND((7-N(P_L1_Mes)+1)&gt;N(P_L1_Gracia),(7-N(P_L1_Mes)+1)&lt;=N(P_L1_Gracia)+N(P_L1_Cuotas),N(P_L1_Cuotas)&gt;0),IF((7-N(P_L1_Mes)+1)=N(P_L1_Gracia)+N(P_L1_Cuotas),IF((7-N(P_L1_Mes)+1)=1,N(P_L1_Monto),K$126),PMT(N(P_L1_Tasa)/12,N(P_L1_Cuotas),-N(P_L1_Monto))-L$124),0)*L$9</f>
        <v>42123.3040946878</v>
      </c>
      <c r="M125" s="34" t="n">
        <f aca="false">IF(AND((8-N(P_L1_Mes)+1)&gt;N(P_L1_Gracia),(8-N(P_L1_Mes)+1)&lt;=N(P_L1_Gracia)+N(P_L1_Cuotas),N(P_L1_Cuotas)&gt;0),IF((8-N(P_L1_Mes)+1)=N(P_L1_Gracia)+N(P_L1_Cuotas),IF((8-N(P_L1_Mes)+1)=1,N(P_L1_Monto),L$126),PMT(N(P_L1_Tasa)/12,N(P_L1_Cuotas),-N(P_L1_Monto))-M$124),0)*M$9</f>
        <v>42439.2288753979</v>
      </c>
      <c r="N125" s="34" t="n">
        <f aca="false">IF(AND((9-N(P_L1_Mes)+1)&gt;N(P_L1_Gracia),(9-N(P_L1_Mes)+1)&lt;=N(P_L1_Gracia)+N(P_L1_Cuotas),N(P_L1_Cuotas)&gt;0),IF((9-N(P_L1_Mes)+1)=N(P_L1_Gracia)+N(P_L1_Cuotas),IF((9-N(P_L1_Mes)+1)=1,N(P_L1_Monto),M$126),PMT(N(P_L1_Tasa)/12,N(P_L1_Cuotas),-N(P_L1_Monto))-N$124),0)*N$9</f>
        <v>42757.5230919634</v>
      </c>
      <c r="O125" s="34" t="n">
        <f aca="false">IF(AND((10-N(P_L1_Mes)+1)&gt;N(P_L1_Gracia),(10-N(P_L1_Mes)+1)&lt;=N(P_L1_Gracia)+N(P_L1_Cuotas),N(P_L1_Cuotas)&gt;0),IF((10-N(P_L1_Mes)+1)=N(P_L1_Gracia)+N(P_L1_Cuotas),IF((10-N(P_L1_Mes)+1)=1,N(P_L1_Monto),N$126),PMT(N(P_L1_Tasa)/12,N(P_L1_Cuotas),-N(P_L1_Monto))-O$124),0)*O$9</f>
        <v>43078.2045151531</v>
      </c>
      <c r="P125" s="34" t="n">
        <f aca="false">IF(AND((11-N(P_L1_Mes)+1)&gt;N(P_L1_Gracia),(11-N(P_L1_Mes)+1)&lt;=N(P_L1_Gracia)+N(P_L1_Cuotas),N(P_L1_Cuotas)&gt;0),IF((11-N(P_L1_Mes)+1)=N(P_L1_Gracia)+N(P_L1_Cuotas),IF((11-N(P_L1_Mes)+1)=1,N(P_L1_Monto),O$126),PMT(N(P_L1_Tasa)/12,N(P_L1_Cuotas),-N(P_L1_Monto))-P$124),0)*P$9</f>
        <v>43401.2910490168</v>
      </c>
      <c r="Q125" s="34" t="n">
        <f aca="false">IF(AND((12-N(P_L1_Mes)+1)&gt;N(P_L1_Gracia),(12-N(P_L1_Mes)+1)&lt;=N(P_L1_Gracia)+N(P_L1_Cuotas),N(P_L1_Cuotas)&gt;0),IF((12-N(P_L1_Mes)+1)=N(P_L1_Gracia)+N(P_L1_Cuotas),IF((12-N(P_L1_Mes)+1)=1,N(P_L1_Monto),P$126),PMT(N(P_L1_Tasa)/12,N(P_L1_Cuotas),-N(P_L1_Monto))-Q$124),0)*Q$9</f>
        <v>43726.8007318844</v>
      </c>
      <c r="R125" s="34" t="n">
        <f aca="false">IF(AND((13-N(P_L1_Mes)+1)&gt;N(P_L1_Gracia),(13-N(P_L1_Mes)+1)&lt;=N(P_L1_Gracia)+N(P_L1_Cuotas),N(P_L1_Cuotas)&gt;0),IF((13-N(P_L1_Mes)+1)=N(P_L1_Gracia)+N(P_L1_Cuotas),IF((13-N(P_L1_Mes)+1)=1,N(P_L1_Monto),Q$126),PMT(N(P_L1_Tasa)/12,N(P_L1_Cuotas),-N(P_L1_Monto))-R$124),0)*R$9</f>
        <v>44054.7517373735</v>
      </c>
      <c r="S125" s="34" t="n">
        <f aca="false">IF(AND((14-N(P_L1_Mes)+1)&gt;N(P_L1_Gracia),(14-N(P_L1_Mes)+1)&lt;=N(P_L1_Gracia)+N(P_L1_Cuotas),N(P_L1_Cuotas)&gt;0),IF((14-N(P_L1_Mes)+1)=N(P_L1_Gracia)+N(P_L1_Cuotas),IF((14-N(P_L1_Mes)+1)=1,N(P_L1_Monto),R$126),PMT(N(P_L1_Tasa)/12,N(P_L1_Cuotas),-N(P_L1_Monto))-S$124),0)*S$9</f>
        <v>44385.1623754038</v>
      </c>
      <c r="T125" s="34" t="n">
        <f aca="false">IF(AND((15-N(P_L1_Mes)+1)&gt;N(P_L1_Gracia),(15-N(P_L1_Mes)+1)&lt;=N(P_L1_Gracia)+N(P_L1_Cuotas),N(P_L1_Cuotas)&gt;0),IF((15-N(P_L1_Mes)+1)=N(P_L1_Gracia)+N(P_L1_Cuotas),IF((15-N(P_L1_Mes)+1)=1,N(P_L1_Monto),S$126),PMT(N(P_L1_Tasa)/12,N(P_L1_Cuotas),-N(P_L1_Monto))-T$124),0)*T$9</f>
        <v>44718.0510932194</v>
      </c>
      <c r="U125" s="34" t="n">
        <f aca="false">IF(AND((16-N(P_L1_Mes)+1)&gt;N(P_L1_Gracia),(16-N(P_L1_Mes)+1)&lt;=N(P_L1_Gracia)+N(P_L1_Cuotas),N(P_L1_Cuotas)&gt;0),IF((16-N(P_L1_Mes)+1)=N(P_L1_Gracia)+N(P_L1_Cuotas),IF((16-N(P_L1_Mes)+1)=1,N(P_L1_Monto),T$126),PMT(N(P_L1_Tasa)/12,N(P_L1_Cuotas),-N(P_L1_Monto))-U$124),0)*U$9</f>
        <v>45053.4364764185</v>
      </c>
      <c r="V125" s="34" t="n">
        <f aca="false">IF(AND((17-N(P_L1_Mes)+1)&gt;N(P_L1_Gracia),(17-N(P_L1_Mes)+1)&lt;=N(P_L1_Gracia)+N(P_L1_Cuotas),N(P_L1_Cuotas)&gt;0),IF((17-N(P_L1_Mes)+1)=N(P_L1_Gracia)+N(P_L1_Cuotas),IF((17-N(P_L1_Mes)+1)=1,N(P_L1_Monto),U$126),PMT(N(P_L1_Tasa)/12,N(P_L1_Cuotas),-N(P_L1_Monto))-V$124),0)*V$9</f>
        <v>45391.3372499916</v>
      </c>
      <c r="W125" s="34" t="n">
        <f aca="false">IF(AND((18-N(P_L1_Mes)+1)&gt;N(P_L1_Gracia),(18-N(P_L1_Mes)+1)&lt;=N(P_L1_Gracia)+N(P_L1_Cuotas),N(P_L1_Cuotas)&gt;0),IF((18-N(P_L1_Mes)+1)=N(P_L1_Gracia)+N(P_L1_Cuotas),IF((18-N(P_L1_Mes)+1)=1,N(P_L1_Monto),V$126),PMT(N(P_L1_Tasa)/12,N(P_L1_Cuotas),-N(P_L1_Monto))-W$124),0)*W$9</f>
        <v>45731.7722793666</v>
      </c>
      <c r="X125" s="34" t="n">
        <f aca="false">IF(AND((19-N(P_L1_Mes)+1)&gt;N(P_L1_Gracia),(19-N(P_L1_Mes)+1)&lt;=N(P_L1_Gracia)+N(P_L1_Cuotas),N(P_L1_Cuotas)&gt;0),IF((19-N(P_L1_Mes)+1)=N(P_L1_Gracia)+N(P_L1_Cuotas),IF((19-N(P_L1_Mes)+1)=1,N(P_L1_Monto),W$126),PMT(N(P_L1_Tasa)/12,N(P_L1_Cuotas),-N(P_L1_Monto))-X$124),0)*X$9</f>
        <v>46074.7605714618</v>
      </c>
      <c r="Y125" s="34" t="n">
        <f aca="false">IF(AND((20-N(P_L1_Mes)+1)&gt;N(P_L1_Gracia),(20-N(P_L1_Mes)+1)&lt;=N(P_L1_Gracia)+N(P_L1_Cuotas),N(P_L1_Cuotas)&gt;0),IF((20-N(P_L1_Mes)+1)=N(P_L1_Gracia)+N(P_L1_Cuotas),IF((20-N(P_L1_Mes)+1)=1,N(P_L1_Monto),X$126),PMT(N(P_L1_Tasa)/12,N(P_L1_Cuotas),-N(P_L1_Monto))-Y$124),0)*Y$9</f>
        <v>46420.3212757478</v>
      </c>
      <c r="Z125" s="34" t="n">
        <f aca="false">IF(AND((21-N(P_L1_Mes)+1)&gt;N(P_L1_Gracia),(21-N(P_L1_Mes)+1)&lt;=N(P_L1_Gracia)+N(P_L1_Cuotas),N(P_L1_Cuotas)&gt;0),IF((21-N(P_L1_Mes)+1)=N(P_L1_Gracia)+N(P_L1_Cuotas),IF((21-N(P_L1_Mes)+1)=1,N(P_L1_Monto),Y$126),PMT(N(P_L1_Tasa)/12,N(P_L1_Cuotas),-N(P_L1_Monto))-Z$124),0)*Z$9</f>
        <v>46768.4736853159</v>
      </c>
      <c r="AA125" s="34" t="n">
        <f aca="false">IF(AND((22-N(P_L1_Mes)+1)&gt;N(P_L1_Gracia),(22-N(P_L1_Mes)+1)&lt;=N(P_L1_Gracia)+N(P_L1_Cuotas),N(P_L1_Cuotas)&gt;0),IF((22-N(P_L1_Mes)+1)=N(P_L1_Gracia)+N(P_L1_Cuotas),IF((22-N(P_L1_Mes)+1)=1,N(P_L1_Monto),Z$126),PMT(N(P_L1_Tasa)/12,N(P_L1_Cuotas),-N(P_L1_Monto))-AA$124),0)*AA$9</f>
        <v>47119.2372379558</v>
      </c>
      <c r="AB125" s="34" t="n">
        <f aca="false">IF(AND((23-N(P_L1_Mes)+1)&gt;N(P_L1_Gracia),(23-N(P_L1_Mes)+1)&lt;=N(P_L1_Gracia)+N(P_L1_Cuotas),N(P_L1_Cuotas)&gt;0),IF((23-N(P_L1_Mes)+1)=N(P_L1_Gracia)+N(P_L1_Cuotas),IF((23-N(P_L1_Mes)+1)=1,N(P_L1_Monto),AA$126),PMT(N(P_L1_Tasa)/12,N(P_L1_Cuotas),-N(P_L1_Monto))-AB$124),0)*AB$9</f>
        <v>47472.6315172404</v>
      </c>
      <c r="AC125" s="34" t="n">
        <f aca="false">IF(AND((24-N(P_L1_Mes)+1)&gt;N(P_L1_Gracia),(24-N(P_L1_Mes)+1)&lt;=N(P_L1_Gracia)+N(P_L1_Cuotas),N(P_L1_Cuotas)&gt;0),IF((24-N(P_L1_Mes)+1)=N(P_L1_Gracia)+N(P_L1_Cuotas),IF((24-N(P_L1_Mes)+1)=1,N(P_L1_Monto),AB$126),PMT(N(P_L1_Tasa)/12,N(P_L1_Cuotas),-N(P_L1_Monto))-AC$124),0)*AC$9</f>
        <v>47828.6762536197</v>
      </c>
      <c r="AD125" s="34" t="n">
        <f aca="false">IF(AND((25-N(P_L1_Mes)+1)&gt;N(P_L1_Gracia),(25-N(P_L1_Mes)+1)&lt;=N(P_L1_Gracia)+N(P_L1_Cuotas),N(P_L1_Cuotas)&gt;0),IF((25-N(P_L1_Mes)+1)=N(P_L1_Gracia)+N(P_L1_Cuotas),IF((25-N(P_L1_Mes)+1)=1,N(P_L1_Monto),AC$126),PMT(N(P_L1_Tasa)/12,N(P_L1_Cuotas),-N(P_L1_Monto))-AD$124),0)*AD$9</f>
        <v>48187.3913255219</v>
      </c>
      <c r="AE125" s="34" t="n">
        <f aca="false">IF(AND((26-N(P_L1_Mes)+1)&gt;N(P_L1_Gracia),(26-N(P_L1_Mes)+1)&lt;=N(P_L1_Gracia)+N(P_L1_Cuotas),N(P_L1_Cuotas)&gt;0),IF((26-N(P_L1_Mes)+1)=N(P_L1_Gracia)+N(P_L1_Cuotas),IF((26-N(P_L1_Mes)+1)=1,N(P_L1_Monto),AD$126),PMT(N(P_L1_Tasa)/12,N(P_L1_Cuotas),-N(P_L1_Monto))-AE$124),0)*AE$9</f>
        <v>48548.7967604633</v>
      </c>
      <c r="AF125" s="34" t="n">
        <f aca="false">IF(AND((27-N(P_L1_Mes)+1)&gt;N(P_L1_Gracia),(27-N(P_L1_Mes)+1)&lt;=N(P_L1_Gracia)+N(P_L1_Cuotas),N(P_L1_Cuotas)&gt;0),IF((27-N(P_L1_Mes)+1)=N(P_L1_Gracia)+N(P_L1_Cuotas),IF((27-N(P_L1_Mes)+1)=1,N(P_L1_Monto),AE$126),PMT(N(P_L1_Tasa)/12,N(P_L1_Cuotas),-N(P_L1_Monto))-AF$124),0)*AF$9</f>
        <v>48912.9127361668</v>
      </c>
      <c r="AG125" s="34" t="n">
        <f aca="false">IF(AND((28-N(P_L1_Mes)+1)&gt;N(P_L1_Gracia),(28-N(P_L1_Mes)+1)&lt;=N(P_L1_Gracia)+N(P_L1_Cuotas),N(P_L1_Cuotas)&gt;0),IF((28-N(P_L1_Mes)+1)=N(P_L1_Gracia)+N(P_L1_Cuotas),IF((28-N(P_L1_Mes)+1)=1,N(P_L1_Monto),AF$126),PMT(N(P_L1_Tasa)/12,N(P_L1_Cuotas),-N(P_L1_Monto))-AG$124),0)*AG$9</f>
        <v>49279.759581688</v>
      </c>
      <c r="AH125" s="34" t="n">
        <f aca="false">IF(AND((29-N(P_L1_Mes)+1)&gt;N(P_L1_Gracia),(29-N(P_L1_Mes)+1)&lt;=N(P_L1_Gracia)+N(P_L1_Cuotas),N(P_L1_Cuotas)&gt;0),IF((29-N(P_L1_Mes)+1)=N(P_L1_Gracia)+N(P_L1_Cuotas),IF((29-N(P_L1_Mes)+1)=1,N(P_L1_Monto),AG$126),PMT(N(P_L1_Tasa)/12,N(P_L1_Cuotas),-N(P_L1_Monto))-AH$124),0)*AH$9</f>
        <v>49649.3577785507</v>
      </c>
      <c r="AI125" s="34" t="n">
        <f aca="false">IF(AND((30-N(P_L1_Mes)+1)&gt;N(P_L1_Gracia),(30-N(P_L1_Mes)+1)&lt;=N(P_L1_Gracia)+N(P_L1_Cuotas),N(P_L1_Cuotas)&gt;0),IF((30-N(P_L1_Mes)+1)=N(P_L1_Gracia)+N(P_L1_Cuotas),IF((30-N(P_L1_Mes)+1)=1,N(P_L1_Monto),AH$126),PMT(N(P_L1_Tasa)/12,N(P_L1_Cuotas),-N(P_L1_Monto))-AI$124),0)*AI$9</f>
        <v>50021.7279618898</v>
      </c>
      <c r="AJ125" s="34" t="n">
        <f aca="false">IF(AND((31-N(P_L1_Mes)+1)&gt;N(P_L1_Gracia),(31-N(P_L1_Mes)+1)&lt;=N(P_L1_Gracia)+N(P_L1_Cuotas),N(P_L1_Cuotas)&gt;0),IF((31-N(P_L1_Mes)+1)=N(P_L1_Gracia)+N(P_L1_Cuotas),IF((31-N(P_L1_Mes)+1)=1,N(P_L1_Monto),AI$126),PMT(N(P_L1_Tasa)/12,N(P_L1_Cuotas),-N(P_L1_Monto))-AJ$124),0)*AJ$9</f>
        <v>50396.890921604</v>
      </c>
      <c r="AK125" s="34" t="n">
        <f aca="false">IF(AND((32-N(P_L1_Mes)+1)&gt;N(P_L1_Gracia),(32-N(P_L1_Mes)+1)&lt;=N(P_L1_Gracia)+N(P_L1_Cuotas),N(P_L1_Cuotas)&gt;0),IF((32-N(P_L1_Mes)+1)=N(P_L1_Gracia)+N(P_L1_Cuotas),IF((32-N(P_L1_Mes)+1)=1,N(P_L1_Monto),AJ$126),PMT(N(P_L1_Tasa)/12,N(P_L1_Cuotas),-N(P_L1_Monto))-AK$124),0)*AK$9</f>
        <v>50774.867603516</v>
      </c>
      <c r="AL125" s="34" t="n">
        <f aca="false">IF(AND((33-N(P_L1_Mes)+1)&gt;N(P_L1_Gracia),(33-N(P_L1_Mes)+1)&lt;=N(P_L1_Gracia)+N(P_L1_Cuotas),N(P_L1_Cuotas)&gt;0),IF((33-N(P_L1_Mes)+1)=N(P_L1_Gracia)+N(P_L1_Cuotas),IF((33-N(P_L1_Mes)+1)=1,N(P_L1_Monto),AK$126),PMT(N(P_L1_Tasa)/12,N(P_L1_Cuotas),-N(P_L1_Monto))-AL$124),0)*AL$9</f>
        <v>51155.6791105424</v>
      </c>
      <c r="AM125" s="34" t="n">
        <f aca="false">IF(AND((34-N(P_L1_Mes)+1)&gt;N(P_L1_Gracia),(34-N(P_L1_Mes)+1)&lt;=N(P_L1_Gracia)+N(P_L1_Cuotas),N(P_L1_Cuotas)&gt;0),IF((34-N(P_L1_Mes)+1)=N(P_L1_Gracia)+N(P_L1_Cuotas),IF((34-N(P_L1_Mes)+1)=1,N(P_L1_Monto),AL$126),PMT(N(P_L1_Tasa)/12,N(P_L1_Cuotas),-N(P_L1_Monto))-AM$124),0)*AM$9</f>
        <v>51539.3467038715</v>
      </c>
      <c r="AN125" s="34" t="n">
        <f aca="false">IF(AND((35-N(P_L1_Mes)+1)&gt;N(P_L1_Gracia),(35-N(P_L1_Mes)+1)&lt;=N(P_L1_Gracia)+N(P_L1_Cuotas),N(P_L1_Cuotas)&gt;0),IF((35-N(P_L1_Mes)+1)=N(P_L1_Gracia)+N(P_L1_Cuotas),IF((35-N(P_L1_Mes)+1)=1,N(P_L1_Monto),AM$126),PMT(N(P_L1_Tasa)/12,N(P_L1_Cuotas),-N(P_L1_Monto))-AN$124),0)*AN$9</f>
        <v>51925.8918041505</v>
      </c>
      <c r="AO125" s="34" t="n">
        <f aca="false">IF(AND((36-N(P_L1_Mes)+1)&gt;N(P_L1_Gracia),(36-N(P_L1_Mes)+1)&lt;=N(P_L1_Gracia)+N(P_L1_Cuotas),N(P_L1_Cuotas)&gt;0),IF((36-N(P_L1_Mes)+1)=N(P_L1_Gracia)+N(P_L1_Cuotas),IF((36-N(P_L1_Mes)+1)=1,N(P_L1_Monto),AN$126),PMT(N(P_L1_Tasa)/12,N(P_L1_Cuotas),-N(P_L1_Monto))-AO$124),0)*AO$9</f>
        <v>52315.3359926816</v>
      </c>
      <c r="AP125" s="34" t="n">
        <f aca="false">IF(AND((37-N(P_L1_Mes)+1)&gt;N(P_L1_Gracia),(37-N(P_L1_Mes)+1)&lt;=N(P_L1_Gracia)+N(P_L1_Cuotas),N(P_L1_Cuotas)&gt;0),IF((37-N(P_L1_Mes)+1)=N(P_L1_Gracia)+N(P_L1_Cuotas),IF((37-N(P_L1_Mes)+1)=1,N(P_L1_Monto),AO$126),PMT(N(P_L1_Tasa)/12,N(P_L1_Cuotas),-N(P_L1_Monto))-AP$124),0)*AP$9</f>
        <v>52707.7010126267</v>
      </c>
      <c r="AQ125" s="34" t="n">
        <f aca="false">IF(AND((38-N(P_L1_Mes)+1)&gt;N(P_L1_Gracia),(38-N(P_L1_Mes)+1)&lt;=N(P_L1_Gracia)+N(P_L1_Cuotas),N(P_L1_Cuotas)&gt;0),IF((38-N(P_L1_Mes)+1)=N(P_L1_Gracia)+N(P_L1_Cuotas),IF((38-N(P_L1_Mes)+1)=1,N(P_L1_Monto),AP$126),PMT(N(P_L1_Tasa)/12,N(P_L1_Cuotas),-N(P_L1_Monto))-AQ$124),0)*AQ$9</f>
        <v>53103.0087702214</v>
      </c>
      <c r="AR125" s="34" t="n">
        <f aca="false">IF(AND((39-N(P_L1_Mes)+1)&gt;N(P_L1_Gracia),(39-N(P_L1_Mes)+1)&lt;=N(P_L1_Gracia)+N(P_L1_Cuotas),N(P_L1_Cuotas)&gt;0),IF((39-N(P_L1_Mes)+1)=N(P_L1_Gracia)+N(P_L1_Cuotas),IF((39-N(P_L1_Mes)+1)=1,N(P_L1_Monto),AQ$126),PMT(N(P_L1_Tasa)/12,N(P_L1_Cuotas),-N(P_L1_Monto))-AR$124),0)*AR$9</f>
        <v>53501.2813359981</v>
      </c>
      <c r="AS125" s="34" t="n">
        <f aca="false">IF(AND((40-N(P_L1_Mes)+1)&gt;N(P_L1_Gracia),(40-N(P_L1_Mes)+1)&lt;=N(P_L1_Gracia)+N(P_L1_Cuotas),N(P_L1_Cuotas)&gt;0),IF((40-N(P_L1_Mes)+1)=N(P_L1_Gracia)+N(P_L1_Cuotas),IF((40-N(P_L1_Mes)+1)=1,N(P_L1_Monto),AR$126),PMT(N(P_L1_Tasa)/12,N(P_L1_Cuotas),-N(P_L1_Monto))-AS$124),0)*AS$9</f>
        <v>53902.5409460181</v>
      </c>
      <c r="AT125" s="34" t="n">
        <f aca="false">IF(AND((41-N(P_L1_Mes)+1)&gt;N(P_L1_Gracia),(41-N(P_L1_Mes)+1)&lt;=N(P_L1_Gracia)+N(P_L1_Cuotas),N(P_L1_Cuotas)&gt;0),IF((41-N(P_L1_Mes)+1)=N(P_L1_Gracia)+N(P_L1_Cuotas),IF((41-N(P_L1_Mes)+1)=1,N(P_L1_Monto),AS$126),PMT(N(P_L1_Tasa)/12,N(P_L1_Cuotas),-N(P_L1_Monto))-AT$124),0)*AT$9</f>
        <v>54306.8100031132</v>
      </c>
      <c r="AU125" s="34" t="n">
        <f aca="false">IF(AND((42-N(P_L1_Mes)+1)&gt;N(P_L1_Gracia),(42-N(P_L1_Mes)+1)&lt;=N(P_L1_Gracia)+N(P_L1_Cuotas),N(P_L1_Cuotas)&gt;0),IF((42-N(P_L1_Mes)+1)=N(P_L1_Gracia)+N(P_L1_Cuotas),IF((42-N(P_L1_Mes)+1)=1,N(P_L1_Monto),AT$126),PMT(N(P_L1_Tasa)/12,N(P_L1_Cuotas),-N(P_L1_Monto))-AU$124),0)*AU$9</f>
        <v>54714.1110781366</v>
      </c>
      <c r="AV125" s="34" t="n">
        <f aca="false">IF(AND((43-N(P_L1_Mes)+1)&gt;N(P_L1_Gracia),(43-N(P_L1_Mes)+1)&lt;=N(P_L1_Gracia)+N(P_L1_Cuotas),N(P_L1_Cuotas)&gt;0),IF((43-N(P_L1_Mes)+1)=N(P_L1_Gracia)+N(P_L1_Cuotas),IF((43-N(P_L1_Mes)+1)=1,N(P_L1_Monto),AU$126),PMT(N(P_L1_Tasa)/12,N(P_L1_Cuotas),-N(P_L1_Monto))-AV$124),0)*AV$9</f>
        <v>55124.4669112226</v>
      </c>
      <c r="AW125" s="34" t="n">
        <f aca="false">IF(AND((44-N(P_L1_Mes)+1)&gt;N(P_L1_Gracia),(44-N(P_L1_Mes)+1)&lt;=N(P_L1_Gracia)+N(P_L1_Cuotas),N(P_L1_Cuotas)&gt;0),IF((44-N(P_L1_Mes)+1)=N(P_L1_Gracia)+N(P_L1_Cuotas),IF((44-N(P_L1_Mes)+1)=1,N(P_L1_Monto),AV$126),PMT(N(P_L1_Tasa)/12,N(P_L1_Cuotas),-N(P_L1_Monto))-AW$124),0)*AW$9</f>
        <v>55537.9004130568</v>
      </c>
      <c r="AX125" s="34" t="n">
        <f aca="false">IF(AND((45-N(P_L1_Mes)+1)&gt;N(P_L1_Gracia),(45-N(P_L1_Mes)+1)&lt;=N(P_L1_Gracia)+N(P_L1_Cuotas),N(P_L1_Cuotas)&gt;0),IF((45-N(P_L1_Mes)+1)=N(P_L1_Gracia)+N(P_L1_Cuotas),IF((45-N(P_L1_Mes)+1)=1,N(P_L1_Monto),AW$126),PMT(N(P_L1_Tasa)/12,N(P_L1_Cuotas),-N(P_L1_Monto))-AX$124),0)*AX$9</f>
        <v>55954.4346661547</v>
      </c>
      <c r="AY125" s="34" t="n">
        <f aca="false">IF(AND((46-N(P_L1_Mes)+1)&gt;N(P_L1_Gracia),(46-N(P_L1_Mes)+1)&lt;=N(P_L1_Gracia)+N(P_L1_Cuotas),N(P_L1_Cuotas)&gt;0),IF((46-N(P_L1_Mes)+1)=N(P_L1_Gracia)+N(P_L1_Cuotas),IF((46-N(P_L1_Mes)+1)=1,N(P_L1_Monto),AX$126),PMT(N(P_L1_Tasa)/12,N(P_L1_Cuotas),-N(P_L1_Monto))-AY$124),0)*AY$9</f>
        <v>56374.0929261509</v>
      </c>
      <c r="AZ125" s="34" t="n">
        <f aca="false">IF(AND((47-N(P_L1_Mes)+1)&gt;N(P_L1_Gracia),(47-N(P_L1_Mes)+1)&lt;=N(P_L1_Gracia)+N(P_L1_Cuotas),N(P_L1_Cuotas)&gt;0),IF((47-N(P_L1_Mes)+1)=N(P_L1_Gracia)+N(P_L1_Cuotas),IF((47-N(P_L1_Mes)+1)=1,N(P_L1_Monto),AY$126),PMT(N(P_L1_Tasa)/12,N(P_L1_Cuotas),-N(P_L1_Monto))-AZ$124),0)*AZ$9</f>
        <v>56796.898623097</v>
      </c>
      <c r="BA125" s="34" t="n">
        <f aca="false">IF(AND((48-N(P_L1_Mes)+1)&gt;N(P_L1_Gracia),(48-N(P_L1_Mes)+1)&lt;=N(P_L1_Gracia)+N(P_L1_Cuotas),N(P_L1_Cuotas)&gt;0),IF((48-N(P_L1_Mes)+1)=N(P_L1_Gracia)+N(P_L1_Cuotas),IF((48-N(P_L1_Mes)+1)=1,N(P_L1_Monto),AZ$126),PMT(N(P_L1_Tasa)/12,N(P_L1_Cuotas),-N(P_L1_Monto))-BA$124),0)*BA$9</f>
        <v>57222.8753627702</v>
      </c>
      <c r="BB125" s="34" t="n">
        <f aca="false">IF(AND((49-N(P_L1_Mes)+1)&gt;N(P_L1_Gracia),(49-N(P_L1_Mes)+1)&lt;=N(P_L1_Gracia)+N(P_L1_Cuotas),N(P_L1_Cuotas)&gt;0),IF((49-N(P_L1_Mes)+1)=N(P_L1_Gracia)+N(P_L1_Cuotas),IF((49-N(P_L1_Mes)+1)=1,N(P_L1_Monto),BA$126),PMT(N(P_L1_Tasa)/12,N(P_L1_Cuotas),-N(P_L1_Monto))-BB$124),0)*BB$9</f>
        <v>57652.046927991</v>
      </c>
      <c r="BC125" s="34" t="n">
        <f aca="false">IF(AND((50-N(P_L1_Mes)+1)&gt;N(P_L1_Gracia),(50-N(P_L1_Mes)+1)&lt;=N(P_L1_Gracia)+N(P_L1_Cuotas),N(P_L1_Cuotas)&gt;0),IF((50-N(P_L1_Mes)+1)=N(P_L1_Gracia)+N(P_L1_Cuotas),IF((50-N(P_L1_Mes)+1)=1,N(P_L1_Monto),BB$126),PMT(N(P_L1_Tasa)/12,N(P_L1_Cuotas),-N(P_L1_Monto))-BC$124),0)*BC$9</f>
        <v>58084.4372799509</v>
      </c>
      <c r="BD125" s="34" t="n">
        <f aca="false">IF(AND((51-N(P_L1_Mes)+1)&gt;N(P_L1_Gracia),(51-N(P_L1_Mes)+1)&lt;=N(P_L1_Gracia)+N(P_L1_Cuotas),N(P_L1_Cuotas)&gt;0),IF((51-N(P_L1_Mes)+1)=N(P_L1_Gracia)+N(P_L1_Cuotas),IF((51-N(P_L1_Mes)+1)=1,N(P_L1_Monto),BC$126),PMT(N(P_L1_Tasa)/12,N(P_L1_Cuotas),-N(P_L1_Monto))-BD$124),0)*BD$9</f>
        <v>58520.0705595506</v>
      </c>
      <c r="BE125" s="34" t="n">
        <f aca="false">IF(AND((52-N(P_L1_Mes)+1)&gt;N(P_L1_Gracia),(52-N(P_L1_Mes)+1)&lt;=N(P_L1_Gracia)+N(P_L1_Cuotas),N(P_L1_Cuotas)&gt;0),IF((52-N(P_L1_Mes)+1)=N(P_L1_Gracia)+N(P_L1_Cuotas),IF((52-N(P_L1_Mes)+1)=1,N(P_L1_Monto),BD$126),PMT(N(P_L1_Tasa)/12,N(P_L1_Cuotas),-N(P_L1_Monto))-BE$124),0)*BE$9</f>
        <v>58958.9710887472</v>
      </c>
      <c r="BF125" s="34" t="n">
        <f aca="false">IF(AND((53-N(P_L1_Mes)+1)&gt;N(P_L1_Gracia),(53-N(P_L1_Mes)+1)&lt;=N(P_L1_Gracia)+N(P_L1_Cuotas),N(P_L1_Cuotas)&gt;0),IF((53-N(P_L1_Mes)+1)=N(P_L1_Gracia)+N(P_L1_Cuotas),IF((53-N(P_L1_Mes)+1)=1,N(P_L1_Monto),BE$126),PMT(N(P_L1_Tasa)/12,N(P_L1_Cuotas),-N(P_L1_Monto))-BF$124),0)*BF$9</f>
        <v>59401.1633719128</v>
      </c>
      <c r="BG125" s="34" t="n">
        <f aca="false">IF(AND((54-N(P_L1_Mes)+1)&gt;N(P_L1_Gracia),(54-N(P_L1_Mes)+1)&lt;=N(P_L1_Gracia)+N(P_L1_Cuotas),N(P_L1_Cuotas)&gt;0),IF((54-N(P_L1_Mes)+1)=N(P_L1_Gracia)+N(P_L1_Cuotas),IF((54-N(P_L1_Mes)+1)=1,N(P_L1_Monto),BF$126),PMT(N(P_L1_Tasa)/12,N(P_L1_Cuotas),-N(P_L1_Monto))-BG$124),0)*BG$9</f>
        <v>59846.6720972021</v>
      </c>
      <c r="BH125" s="34" t="n">
        <f aca="false">IF(AND((55-N(P_L1_Mes)+1)&gt;N(P_L1_Gracia),(55-N(P_L1_Mes)+1)&lt;=N(P_L1_Gracia)+N(P_L1_Cuotas),N(P_L1_Cuotas)&gt;0),IF((55-N(P_L1_Mes)+1)=N(P_L1_Gracia)+N(P_L1_Cuotas),IF((55-N(P_L1_Mes)+1)=1,N(P_L1_Monto),BG$126),PMT(N(P_L1_Tasa)/12,N(P_L1_Cuotas),-N(P_L1_Monto))-BH$124),0)*BH$9</f>
        <v>60295.5221379312</v>
      </c>
      <c r="BI125" s="34" t="n">
        <f aca="false">IF(AND((56-N(P_L1_Mes)+1)&gt;N(P_L1_Gracia),(56-N(P_L1_Mes)+1)&lt;=N(P_L1_Gracia)+N(P_L1_Cuotas),N(P_L1_Cuotas)&gt;0),IF((56-N(P_L1_Mes)+1)=N(P_L1_Gracia)+N(P_L1_Cuotas),IF((56-N(P_L1_Mes)+1)=1,N(P_L1_Monto),BH$126),PMT(N(P_L1_Tasa)/12,N(P_L1_Cuotas),-N(P_L1_Monto))-BI$124),0)*BI$9</f>
        <v>60747.7385539656</v>
      </c>
      <c r="BJ125" s="34" t="n">
        <f aca="false">IF(AND((57-N(P_L1_Mes)+1)&gt;N(P_L1_Gracia),(57-N(P_L1_Mes)+1)&lt;=N(P_L1_Gracia)+N(P_L1_Cuotas),N(P_L1_Cuotas)&gt;0),IF((57-N(P_L1_Mes)+1)=N(P_L1_Gracia)+N(P_L1_Cuotas),IF((57-N(P_L1_Mes)+1)=1,N(P_L1_Monto),BI$126),PMT(N(P_L1_Tasa)/12,N(P_L1_Cuotas),-N(P_L1_Monto))-BJ$124),0)*BJ$9</f>
        <v>61203.3465931204</v>
      </c>
      <c r="BK125" s="34" t="n">
        <f aca="false">IF(AND((58-N(P_L1_Mes)+1)&gt;N(P_L1_Gracia),(58-N(P_L1_Mes)+1)&lt;=N(P_L1_Gracia)+N(P_L1_Cuotas),N(P_L1_Cuotas)&gt;0),IF((58-N(P_L1_Mes)+1)=N(P_L1_Gracia)+N(P_L1_Cuotas),IF((58-N(P_L1_Mes)+1)=1,N(P_L1_Monto),BJ$126),PMT(N(P_L1_Tasa)/12,N(P_L1_Cuotas),-N(P_L1_Monto))-BK$124),0)*BK$9</f>
        <v>61662.3716925688</v>
      </c>
      <c r="BL125" s="34" t="n">
        <f aca="false">IF(AND((59-N(P_L1_Mes)+1)&gt;N(P_L1_Gracia),(59-N(P_L1_Mes)+1)&lt;=N(P_L1_Gracia)+N(P_L1_Cuotas),N(P_L1_Cuotas)&gt;0),IF((59-N(P_L1_Mes)+1)=N(P_L1_Gracia)+N(P_L1_Cuotas),IF((59-N(P_L1_Mes)+1)=1,N(P_L1_Monto),BK$126),PMT(N(P_L1_Tasa)/12,N(P_L1_Cuotas),-N(P_L1_Monto))-BL$124),0)*BL$9</f>
        <v>62124.839480263</v>
      </c>
      <c r="BM125" s="34" t="n">
        <f aca="false">IF(AND((60-N(P_L1_Mes)+1)&gt;N(P_L1_Gracia),(60-N(P_L1_Mes)+1)&lt;=N(P_L1_Gracia)+N(P_L1_Cuotas),N(P_L1_Cuotas)&gt;0),IF((60-N(P_L1_Mes)+1)=N(P_L1_Gracia)+N(P_L1_Cuotas),IF((60-N(P_L1_Mes)+1)=1,N(P_L1_Monto),BL$126),PMT(N(P_L1_Tasa)/12,N(P_L1_Cuotas),-N(P_L1_Monto))-BM$124),0)*BM$9</f>
        <v>62590.7757763667</v>
      </c>
      <c r="BN125" s="34" t="n">
        <f aca="false">IF(AND((61-N(P_L1_Mes)+1)&gt;N(P_L1_Gracia),(61-N(P_L1_Mes)+1)&lt;=N(P_L1_Gracia)+N(P_L1_Cuotas),N(P_L1_Cuotas)&gt;0),IF((61-N(P_L1_Mes)+1)=N(P_L1_Gracia)+N(P_L1_Cuotas),IF((61-N(P_L1_Mes)+1)=1,N(P_L1_Monto),BM$126),PMT(N(P_L1_Tasa)/12,N(P_L1_Cuotas),-N(P_L1_Monto))-BN$124),0)*BN$9</f>
        <v>0</v>
      </c>
      <c r="BO125" s="34" t="n">
        <f aca="false">IF(AND((62-N(P_L1_Mes)+1)&gt;N(P_L1_Gracia),(62-N(P_L1_Mes)+1)&lt;=N(P_L1_Gracia)+N(P_L1_Cuotas),N(P_L1_Cuotas)&gt;0),IF((62-N(P_L1_Mes)+1)=N(P_L1_Gracia)+N(P_L1_Cuotas),IF((62-N(P_L1_Mes)+1)=1,N(P_L1_Monto),BN$126),PMT(N(P_L1_Tasa)/12,N(P_L1_Cuotas),-N(P_L1_Monto))-BO$124),0)*BO$9</f>
        <v>0</v>
      </c>
      <c r="BP125" s="34" t="n">
        <f aca="false">IF(AND((63-N(P_L1_Mes)+1)&gt;N(P_L1_Gracia),(63-N(P_L1_Mes)+1)&lt;=N(P_L1_Gracia)+N(P_L1_Cuotas),N(P_L1_Cuotas)&gt;0),IF((63-N(P_L1_Mes)+1)=N(P_L1_Gracia)+N(P_L1_Cuotas),IF((63-N(P_L1_Mes)+1)=1,N(P_L1_Monto),BO$126),PMT(N(P_L1_Tasa)/12,N(P_L1_Cuotas),-N(P_L1_Monto))-BP$124),0)*BP$9</f>
        <v>0</v>
      </c>
      <c r="BQ125" s="34" t="n">
        <f aca="false">IF(AND((64-N(P_L1_Mes)+1)&gt;N(P_L1_Gracia),(64-N(P_L1_Mes)+1)&lt;=N(P_L1_Gracia)+N(P_L1_Cuotas),N(P_L1_Cuotas)&gt;0),IF((64-N(P_L1_Mes)+1)=N(P_L1_Gracia)+N(P_L1_Cuotas),IF((64-N(P_L1_Mes)+1)=1,N(P_L1_Monto),BP$126),PMT(N(P_L1_Tasa)/12,N(P_L1_Cuotas),-N(P_L1_Monto))-BQ$124),0)*BQ$9</f>
        <v>0</v>
      </c>
      <c r="BR125" s="34" t="n">
        <f aca="false">IF(AND((65-N(P_L1_Mes)+1)&gt;N(P_L1_Gracia),(65-N(P_L1_Mes)+1)&lt;=N(P_L1_Gracia)+N(P_L1_Cuotas),N(P_L1_Cuotas)&gt;0),IF((65-N(P_L1_Mes)+1)=N(P_L1_Gracia)+N(P_L1_Cuotas),IF((65-N(P_L1_Mes)+1)=1,N(P_L1_Monto),BQ$126),PMT(N(P_L1_Tasa)/12,N(P_L1_Cuotas),-N(P_L1_Monto))-BR$124),0)*BR$9</f>
        <v>0</v>
      </c>
      <c r="BS125" s="34" t="n">
        <f aca="false">IF(AND((66-N(P_L1_Mes)+1)&gt;N(P_L1_Gracia),(66-N(P_L1_Mes)+1)&lt;=N(P_L1_Gracia)+N(P_L1_Cuotas),N(P_L1_Cuotas)&gt;0),IF((66-N(P_L1_Mes)+1)=N(P_L1_Gracia)+N(P_L1_Cuotas),IF((66-N(P_L1_Mes)+1)=1,N(P_L1_Monto),BR$126),PMT(N(P_L1_Tasa)/12,N(P_L1_Cuotas),-N(P_L1_Monto))-BS$124),0)*BS$9</f>
        <v>0</v>
      </c>
      <c r="BT125" s="34" t="n">
        <f aca="false">IF(AND((67-N(P_L1_Mes)+1)&gt;N(P_L1_Gracia),(67-N(P_L1_Mes)+1)&lt;=N(P_L1_Gracia)+N(P_L1_Cuotas),N(P_L1_Cuotas)&gt;0),IF((67-N(P_L1_Mes)+1)=N(P_L1_Gracia)+N(P_L1_Cuotas),IF((67-N(P_L1_Mes)+1)=1,N(P_L1_Monto),BS$126),PMT(N(P_L1_Tasa)/12,N(P_L1_Cuotas),-N(P_L1_Monto))-BT$124),0)*BT$9</f>
        <v>0</v>
      </c>
      <c r="BU125" s="34" t="n">
        <f aca="false">IF(AND((68-N(P_L1_Mes)+1)&gt;N(P_L1_Gracia),(68-N(P_L1_Mes)+1)&lt;=N(P_L1_Gracia)+N(P_L1_Cuotas),N(P_L1_Cuotas)&gt;0),IF((68-N(P_L1_Mes)+1)=N(P_L1_Gracia)+N(P_L1_Cuotas),IF((68-N(P_L1_Mes)+1)=1,N(P_L1_Monto),BT$126),PMT(N(P_L1_Tasa)/12,N(P_L1_Cuotas),-N(P_L1_Monto))-BU$124),0)*BU$9</f>
        <v>0</v>
      </c>
      <c r="BV125" s="34" t="n">
        <f aca="false">IF(AND((69-N(P_L1_Mes)+1)&gt;N(P_L1_Gracia),(69-N(P_L1_Mes)+1)&lt;=N(P_L1_Gracia)+N(P_L1_Cuotas),N(P_L1_Cuotas)&gt;0),IF((69-N(P_L1_Mes)+1)=N(P_L1_Gracia)+N(P_L1_Cuotas),IF((69-N(P_L1_Mes)+1)=1,N(P_L1_Monto),BU$126),PMT(N(P_L1_Tasa)/12,N(P_L1_Cuotas),-N(P_L1_Monto))-BV$124),0)*BV$9</f>
        <v>0</v>
      </c>
      <c r="BW125" s="34" t="n">
        <f aca="false">IF(AND((70-N(P_L1_Mes)+1)&gt;N(P_L1_Gracia),(70-N(P_L1_Mes)+1)&lt;=N(P_L1_Gracia)+N(P_L1_Cuotas),N(P_L1_Cuotas)&gt;0),IF((70-N(P_L1_Mes)+1)=N(P_L1_Gracia)+N(P_L1_Cuotas),IF((70-N(P_L1_Mes)+1)=1,N(P_L1_Monto),BV$126),PMT(N(P_L1_Tasa)/12,N(P_L1_Cuotas),-N(P_L1_Monto))-BW$124),0)*BW$9</f>
        <v>0</v>
      </c>
      <c r="BX125" s="34" t="n">
        <f aca="false">IF(AND((71-N(P_L1_Mes)+1)&gt;N(P_L1_Gracia),(71-N(P_L1_Mes)+1)&lt;=N(P_L1_Gracia)+N(P_L1_Cuotas),N(P_L1_Cuotas)&gt;0),IF((71-N(P_L1_Mes)+1)=N(P_L1_Gracia)+N(P_L1_Cuotas),IF((71-N(P_L1_Mes)+1)=1,N(P_L1_Monto),BW$126),PMT(N(P_L1_Tasa)/12,N(P_L1_Cuotas),-N(P_L1_Monto))-BX$124),0)*BX$9</f>
        <v>0</v>
      </c>
      <c r="BY125" s="34" t="n">
        <f aca="false">IF(AND((72-N(P_L1_Mes)+1)&gt;N(P_L1_Gracia),(72-N(P_L1_Mes)+1)&lt;=N(P_L1_Gracia)+N(P_L1_Cuotas),N(P_L1_Cuotas)&gt;0),IF((72-N(P_L1_Mes)+1)=N(P_L1_Gracia)+N(P_L1_Cuotas),IF((72-N(P_L1_Mes)+1)=1,N(P_L1_Monto),BX$126),PMT(N(P_L1_Tasa)/12,N(P_L1_Cuotas),-N(P_L1_Monto))-BY$124),0)*BY$9</f>
        <v>0</v>
      </c>
      <c r="BZ125" s="34" t="n">
        <f aca="false">IF(AND((73-N(P_L1_Mes)+1)&gt;N(P_L1_Gracia),(73-N(P_L1_Mes)+1)&lt;=N(P_L1_Gracia)+N(P_L1_Cuotas),N(P_L1_Cuotas)&gt;0),IF((73-N(P_L1_Mes)+1)=N(P_L1_Gracia)+N(P_L1_Cuotas),IF((73-N(P_L1_Mes)+1)=1,N(P_L1_Monto),BY$126),PMT(N(P_L1_Tasa)/12,N(P_L1_Cuotas),-N(P_L1_Monto))-BZ$124),0)*BZ$9</f>
        <v>0</v>
      </c>
      <c r="CA125" s="34" t="n">
        <f aca="false">IF(AND((74-N(P_L1_Mes)+1)&gt;N(P_L1_Gracia),(74-N(P_L1_Mes)+1)&lt;=N(P_L1_Gracia)+N(P_L1_Cuotas),N(P_L1_Cuotas)&gt;0),IF((74-N(P_L1_Mes)+1)=N(P_L1_Gracia)+N(P_L1_Cuotas),IF((74-N(P_L1_Mes)+1)=1,N(P_L1_Monto),BZ$126),PMT(N(P_L1_Tasa)/12,N(P_L1_Cuotas),-N(P_L1_Monto))-CA$124),0)*CA$9</f>
        <v>0</v>
      </c>
      <c r="CB125" s="34" t="n">
        <f aca="false">IF(AND((75-N(P_L1_Mes)+1)&gt;N(P_L1_Gracia),(75-N(P_L1_Mes)+1)&lt;=N(P_L1_Gracia)+N(P_L1_Cuotas),N(P_L1_Cuotas)&gt;0),IF((75-N(P_L1_Mes)+1)=N(P_L1_Gracia)+N(P_L1_Cuotas),IF((75-N(P_L1_Mes)+1)=1,N(P_L1_Monto),CA$126),PMT(N(P_L1_Tasa)/12,N(P_L1_Cuotas),-N(P_L1_Monto))-CB$124),0)*CB$9</f>
        <v>0</v>
      </c>
      <c r="CC125" s="34" t="n">
        <f aca="false">IF(AND((76-N(P_L1_Mes)+1)&gt;N(P_L1_Gracia),(76-N(P_L1_Mes)+1)&lt;=N(P_L1_Gracia)+N(P_L1_Cuotas),N(P_L1_Cuotas)&gt;0),IF((76-N(P_L1_Mes)+1)=N(P_L1_Gracia)+N(P_L1_Cuotas),IF((76-N(P_L1_Mes)+1)=1,N(P_L1_Monto),CB$126),PMT(N(P_L1_Tasa)/12,N(P_L1_Cuotas),-N(P_L1_Monto))-CC$124),0)*CC$9</f>
        <v>0</v>
      </c>
      <c r="CD125" s="34" t="n">
        <f aca="false">IF(AND((77-N(P_L1_Mes)+1)&gt;N(P_L1_Gracia),(77-N(P_L1_Mes)+1)&lt;=N(P_L1_Gracia)+N(P_L1_Cuotas),N(P_L1_Cuotas)&gt;0),IF((77-N(P_L1_Mes)+1)=N(P_L1_Gracia)+N(P_L1_Cuotas),IF((77-N(P_L1_Mes)+1)=1,N(P_L1_Monto),CC$126),PMT(N(P_L1_Tasa)/12,N(P_L1_Cuotas),-N(P_L1_Monto))-CD$124),0)*CD$9</f>
        <v>0</v>
      </c>
      <c r="CE125" s="34" t="n">
        <f aca="false">IF(AND((78-N(P_L1_Mes)+1)&gt;N(P_L1_Gracia),(78-N(P_L1_Mes)+1)&lt;=N(P_L1_Gracia)+N(P_L1_Cuotas),N(P_L1_Cuotas)&gt;0),IF((78-N(P_L1_Mes)+1)=N(P_L1_Gracia)+N(P_L1_Cuotas),IF((78-N(P_L1_Mes)+1)=1,N(P_L1_Monto),CD$126),PMT(N(P_L1_Tasa)/12,N(P_L1_Cuotas),-N(P_L1_Monto))-CE$124),0)*CE$9</f>
        <v>0</v>
      </c>
      <c r="CF125" s="34" t="n">
        <f aca="false">IF(AND((79-N(P_L1_Mes)+1)&gt;N(P_L1_Gracia),(79-N(P_L1_Mes)+1)&lt;=N(P_L1_Gracia)+N(P_L1_Cuotas),N(P_L1_Cuotas)&gt;0),IF((79-N(P_L1_Mes)+1)=N(P_L1_Gracia)+N(P_L1_Cuotas),IF((79-N(P_L1_Mes)+1)=1,N(P_L1_Monto),CE$126),PMT(N(P_L1_Tasa)/12,N(P_L1_Cuotas),-N(P_L1_Monto))-CF$124),0)*CF$9</f>
        <v>0</v>
      </c>
      <c r="CG125" s="34" t="n">
        <f aca="false">IF(AND((80-N(P_L1_Mes)+1)&gt;N(P_L1_Gracia),(80-N(P_L1_Mes)+1)&lt;=N(P_L1_Gracia)+N(P_L1_Cuotas),N(P_L1_Cuotas)&gt;0),IF((80-N(P_L1_Mes)+1)=N(P_L1_Gracia)+N(P_L1_Cuotas),IF((80-N(P_L1_Mes)+1)=1,N(P_L1_Monto),CF$126),PMT(N(P_L1_Tasa)/12,N(P_L1_Cuotas),-N(P_L1_Monto))-CG$124),0)*CG$9</f>
        <v>0</v>
      </c>
      <c r="CH125" s="34" t="n">
        <f aca="false">IF(AND((81-N(P_L1_Mes)+1)&gt;N(P_L1_Gracia),(81-N(P_L1_Mes)+1)&lt;=N(P_L1_Gracia)+N(P_L1_Cuotas),N(P_L1_Cuotas)&gt;0),IF((81-N(P_L1_Mes)+1)=N(P_L1_Gracia)+N(P_L1_Cuotas),IF((81-N(P_L1_Mes)+1)=1,N(P_L1_Monto),CG$126),PMT(N(P_L1_Tasa)/12,N(P_L1_Cuotas),-N(P_L1_Monto))-CH$124),0)*CH$9</f>
        <v>0</v>
      </c>
      <c r="CI125" s="34" t="n">
        <f aca="false">IF(AND((82-N(P_L1_Mes)+1)&gt;N(P_L1_Gracia),(82-N(P_L1_Mes)+1)&lt;=N(P_L1_Gracia)+N(P_L1_Cuotas),N(P_L1_Cuotas)&gt;0),IF((82-N(P_L1_Mes)+1)=N(P_L1_Gracia)+N(P_L1_Cuotas),IF((82-N(P_L1_Mes)+1)=1,N(P_L1_Monto),CH$126),PMT(N(P_L1_Tasa)/12,N(P_L1_Cuotas),-N(P_L1_Monto))-CI$124),0)*CI$9</f>
        <v>0</v>
      </c>
      <c r="CJ125" s="34" t="n">
        <f aca="false">IF(AND((83-N(P_L1_Mes)+1)&gt;N(P_L1_Gracia),(83-N(P_L1_Mes)+1)&lt;=N(P_L1_Gracia)+N(P_L1_Cuotas),N(P_L1_Cuotas)&gt;0),IF((83-N(P_L1_Mes)+1)=N(P_L1_Gracia)+N(P_L1_Cuotas),IF((83-N(P_L1_Mes)+1)=1,N(P_L1_Monto),CI$126),PMT(N(P_L1_Tasa)/12,N(P_L1_Cuotas),-N(P_L1_Monto))-CJ$124),0)*CJ$9</f>
        <v>0</v>
      </c>
      <c r="CK125" s="34" t="n">
        <f aca="false">IF(AND((84-N(P_L1_Mes)+1)&gt;N(P_L1_Gracia),(84-N(P_L1_Mes)+1)&lt;=N(P_L1_Gracia)+N(P_L1_Cuotas),N(P_L1_Cuotas)&gt;0),IF((84-N(P_L1_Mes)+1)=N(P_L1_Gracia)+N(P_L1_Cuotas),IF((84-N(P_L1_Mes)+1)=1,N(P_L1_Monto),CJ$126),PMT(N(P_L1_Tasa)/12,N(P_L1_Cuotas),-N(P_L1_Monto))-CK$124),0)*CK$9</f>
        <v>0</v>
      </c>
      <c r="CL125" s="34" t="n">
        <f aca="false">IF(AND((85-N(P_L1_Mes)+1)&gt;N(P_L1_Gracia),(85-N(P_L1_Mes)+1)&lt;=N(P_L1_Gracia)+N(P_L1_Cuotas),N(P_L1_Cuotas)&gt;0),IF((85-N(P_L1_Mes)+1)=N(P_L1_Gracia)+N(P_L1_Cuotas),IF((85-N(P_L1_Mes)+1)=1,N(P_L1_Monto),CK$126),PMT(N(P_L1_Tasa)/12,N(P_L1_Cuotas),-N(P_L1_Monto))-CL$124),0)*CL$9</f>
        <v>0</v>
      </c>
      <c r="CM125" s="34" t="n">
        <f aca="false">IF(AND((86-N(P_L1_Mes)+1)&gt;N(P_L1_Gracia),(86-N(P_L1_Mes)+1)&lt;=N(P_L1_Gracia)+N(P_L1_Cuotas),N(P_L1_Cuotas)&gt;0),IF((86-N(P_L1_Mes)+1)=N(P_L1_Gracia)+N(P_L1_Cuotas),IF((86-N(P_L1_Mes)+1)=1,N(P_L1_Monto),CL$126),PMT(N(P_L1_Tasa)/12,N(P_L1_Cuotas),-N(P_L1_Monto))-CM$124),0)*CM$9</f>
        <v>0</v>
      </c>
      <c r="CN125" s="34" t="n">
        <f aca="false">IF(AND((87-N(P_L1_Mes)+1)&gt;N(P_L1_Gracia),(87-N(P_L1_Mes)+1)&lt;=N(P_L1_Gracia)+N(P_L1_Cuotas),N(P_L1_Cuotas)&gt;0),IF((87-N(P_L1_Mes)+1)=N(P_L1_Gracia)+N(P_L1_Cuotas),IF((87-N(P_L1_Mes)+1)=1,N(P_L1_Monto),CM$126),PMT(N(P_L1_Tasa)/12,N(P_L1_Cuotas),-N(P_L1_Monto))-CN$124),0)*CN$9</f>
        <v>0</v>
      </c>
      <c r="CO125" s="34" t="n">
        <f aca="false">IF(AND((88-N(P_L1_Mes)+1)&gt;N(P_L1_Gracia),(88-N(P_L1_Mes)+1)&lt;=N(P_L1_Gracia)+N(P_L1_Cuotas),N(P_L1_Cuotas)&gt;0),IF((88-N(P_L1_Mes)+1)=N(P_L1_Gracia)+N(P_L1_Cuotas),IF((88-N(P_L1_Mes)+1)=1,N(P_L1_Monto),CN$126),PMT(N(P_L1_Tasa)/12,N(P_L1_Cuotas),-N(P_L1_Monto))-CO$124),0)*CO$9</f>
        <v>0</v>
      </c>
      <c r="CP125" s="34" t="n">
        <f aca="false">IF(AND((89-N(P_L1_Mes)+1)&gt;N(P_L1_Gracia),(89-N(P_L1_Mes)+1)&lt;=N(P_L1_Gracia)+N(P_L1_Cuotas),N(P_L1_Cuotas)&gt;0),IF((89-N(P_L1_Mes)+1)=N(P_L1_Gracia)+N(P_L1_Cuotas),IF((89-N(P_L1_Mes)+1)=1,N(P_L1_Monto),CO$126),PMT(N(P_L1_Tasa)/12,N(P_L1_Cuotas),-N(P_L1_Monto))-CP$124),0)*CP$9</f>
        <v>0</v>
      </c>
      <c r="CQ125" s="34" t="n">
        <f aca="false">IF(AND((90-N(P_L1_Mes)+1)&gt;N(P_L1_Gracia),(90-N(P_L1_Mes)+1)&lt;=N(P_L1_Gracia)+N(P_L1_Cuotas),N(P_L1_Cuotas)&gt;0),IF((90-N(P_L1_Mes)+1)=N(P_L1_Gracia)+N(P_L1_Cuotas),IF((90-N(P_L1_Mes)+1)=1,N(P_L1_Monto),CP$126),PMT(N(P_L1_Tasa)/12,N(P_L1_Cuotas),-N(P_L1_Monto))-CQ$124),0)*CQ$9</f>
        <v>0</v>
      </c>
      <c r="CR125" s="34" t="n">
        <f aca="false">IF(AND((91-N(P_L1_Mes)+1)&gt;N(P_L1_Gracia),(91-N(P_L1_Mes)+1)&lt;=N(P_L1_Gracia)+N(P_L1_Cuotas),N(P_L1_Cuotas)&gt;0),IF((91-N(P_L1_Mes)+1)=N(P_L1_Gracia)+N(P_L1_Cuotas),IF((91-N(P_L1_Mes)+1)=1,N(P_L1_Monto),CQ$126),PMT(N(P_L1_Tasa)/12,N(P_L1_Cuotas),-N(P_L1_Monto))-CR$124),0)*CR$9</f>
        <v>0</v>
      </c>
      <c r="CS125" s="34" t="n">
        <f aca="false">IF(AND((92-N(P_L1_Mes)+1)&gt;N(P_L1_Gracia),(92-N(P_L1_Mes)+1)&lt;=N(P_L1_Gracia)+N(P_L1_Cuotas),N(P_L1_Cuotas)&gt;0),IF((92-N(P_L1_Mes)+1)=N(P_L1_Gracia)+N(P_L1_Cuotas),IF((92-N(P_L1_Mes)+1)=1,N(P_L1_Monto),CR$126),PMT(N(P_L1_Tasa)/12,N(P_L1_Cuotas),-N(P_L1_Monto))-CS$124),0)*CS$9</f>
        <v>0</v>
      </c>
      <c r="CT125" s="34" t="n">
        <f aca="false">IF(AND((93-N(P_L1_Mes)+1)&gt;N(P_L1_Gracia),(93-N(P_L1_Mes)+1)&lt;=N(P_L1_Gracia)+N(P_L1_Cuotas),N(P_L1_Cuotas)&gt;0),IF((93-N(P_L1_Mes)+1)=N(P_L1_Gracia)+N(P_L1_Cuotas),IF((93-N(P_L1_Mes)+1)=1,N(P_L1_Monto),CS$126),PMT(N(P_L1_Tasa)/12,N(P_L1_Cuotas),-N(P_L1_Monto))-CT$124),0)*CT$9</f>
        <v>0</v>
      </c>
      <c r="CU125" s="34" t="n">
        <f aca="false">IF(AND((94-N(P_L1_Mes)+1)&gt;N(P_L1_Gracia),(94-N(P_L1_Mes)+1)&lt;=N(P_L1_Gracia)+N(P_L1_Cuotas),N(P_L1_Cuotas)&gt;0),IF((94-N(P_L1_Mes)+1)=N(P_L1_Gracia)+N(P_L1_Cuotas),IF((94-N(P_L1_Mes)+1)=1,N(P_L1_Monto),CT$126),PMT(N(P_L1_Tasa)/12,N(P_L1_Cuotas),-N(P_L1_Monto))-CU$124),0)*CU$9</f>
        <v>0</v>
      </c>
      <c r="CV125" s="34" t="n">
        <f aca="false">IF(AND((95-N(P_L1_Mes)+1)&gt;N(P_L1_Gracia),(95-N(P_L1_Mes)+1)&lt;=N(P_L1_Gracia)+N(P_L1_Cuotas),N(P_L1_Cuotas)&gt;0),IF((95-N(P_L1_Mes)+1)=N(P_L1_Gracia)+N(P_L1_Cuotas),IF((95-N(P_L1_Mes)+1)=1,N(P_L1_Monto),CU$126),PMT(N(P_L1_Tasa)/12,N(P_L1_Cuotas),-N(P_L1_Monto))-CV$124),0)*CV$9</f>
        <v>0</v>
      </c>
      <c r="CW125" s="34" t="n">
        <f aca="false">IF(AND((96-N(P_L1_Mes)+1)&gt;N(P_L1_Gracia),(96-N(P_L1_Mes)+1)&lt;=N(P_L1_Gracia)+N(P_L1_Cuotas),N(P_L1_Cuotas)&gt;0),IF((96-N(P_L1_Mes)+1)=N(P_L1_Gracia)+N(P_L1_Cuotas),IF((96-N(P_L1_Mes)+1)=1,N(P_L1_Monto),CV$126),PMT(N(P_L1_Tasa)/12,N(P_L1_Cuotas),-N(P_L1_Monto))-CW$124),0)*CW$9</f>
        <v>0</v>
      </c>
      <c r="CX125" s="34" t="n">
        <f aca="false">IF(AND((97-N(P_L1_Mes)+1)&gt;N(P_L1_Gracia),(97-N(P_L1_Mes)+1)&lt;=N(P_L1_Gracia)+N(P_L1_Cuotas),N(P_L1_Cuotas)&gt;0),IF((97-N(P_L1_Mes)+1)=N(P_L1_Gracia)+N(P_L1_Cuotas),IF((97-N(P_L1_Mes)+1)=1,N(P_L1_Monto),CW$126),PMT(N(P_L1_Tasa)/12,N(P_L1_Cuotas),-N(P_L1_Monto))-CX$124),0)*CX$9</f>
        <v>0</v>
      </c>
      <c r="CY125" s="34" t="n">
        <f aca="false">IF(AND((98-N(P_L1_Mes)+1)&gt;N(P_L1_Gracia),(98-N(P_L1_Mes)+1)&lt;=N(P_L1_Gracia)+N(P_L1_Cuotas),N(P_L1_Cuotas)&gt;0),IF((98-N(P_L1_Mes)+1)=N(P_L1_Gracia)+N(P_L1_Cuotas),IF((98-N(P_L1_Mes)+1)=1,N(P_L1_Monto),CX$126),PMT(N(P_L1_Tasa)/12,N(P_L1_Cuotas),-N(P_L1_Monto))-CY$124),0)*CY$9</f>
        <v>0</v>
      </c>
      <c r="CZ125" s="34" t="n">
        <f aca="false">IF(AND((99-N(P_L1_Mes)+1)&gt;N(P_L1_Gracia),(99-N(P_L1_Mes)+1)&lt;=N(P_L1_Gracia)+N(P_L1_Cuotas),N(P_L1_Cuotas)&gt;0),IF((99-N(P_L1_Mes)+1)=N(P_L1_Gracia)+N(P_L1_Cuotas),IF((99-N(P_L1_Mes)+1)=1,N(P_L1_Monto),CY$126),PMT(N(P_L1_Tasa)/12,N(P_L1_Cuotas),-N(P_L1_Monto))-CZ$124),0)*CZ$9</f>
        <v>0</v>
      </c>
      <c r="DA125" s="34" t="n">
        <f aca="false">IF(AND((100-N(P_L1_Mes)+1)&gt;N(P_L1_Gracia),(100-N(P_L1_Mes)+1)&lt;=N(P_L1_Gracia)+N(P_L1_Cuotas),N(P_L1_Cuotas)&gt;0),IF((100-N(P_L1_Mes)+1)=N(P_L1_Gracia)+N(P_L1_Cuotas),IF((100-N(P_L1_Mes)+1)=1,N(P_L1_Monto),CZ$126),PMT(N(P_L1_Tasa)/12,N(P_L1_Cuotas),-N(P_L1_Monto))-DA$124),0)*DA$9</f>
        <v>0</v>
      </c>
      <c r="DB125" s="34" t="n">
        <f aca="false">IF(AND((101-N(P_L1_Mes)+1)&gt;N(P_L1_Gracia),(101-N(P_L1_Mes)+1)&lt;=N(P_L1_Gracia)+N(P_L1_Cuotas),N(P_L1_Cuotas)&gt;0),IF((101-N(P_L1_Mes)+1)=N(P_L1_Gracia)+N(P_L1_Cuotas),IF((101-N(P_L1_Mes)+1)=1,N(P_L1_Monto),DA$126),PMT(N(P_L1_Tasa)/12,N(P_L1_Cuotas),-N(P_L1_Monto))-DB$124),0)*DB$9</f>
        <v>0</v>
      </c>
      <c r="DC125" s="34" t="n">
        <f aca="false">IF(AND((102-N(P_L1_Mes)+1)&gt;N(P_L1_Gracia),(102-N(P_L1_Mes)+1)&lt;=N(P_L1_Gracia)+N(P_L1_Cuotas),N(P_L1_Cuotas)&gt;0),IF((102-N(P_L1_Mes)+1)=N(P_L1_Gracia)+N(P_L1_Cuotas),IF((102-N(P_L1_Mes)+1)=1,N(P_L1_Monto),DB$126),PMT(N(P_L1_Tasa)/12,N(P_L1_Cuotas),-N(P_L1_Monto))-DC$124),0)*DC$9</f>
        <v>0</v>
      </c>
      <c r="DD125" s="34" t="n">
        <f aca="false">IF(AND((103-N(P_L1_Mes)+1)&gt;N(P_L1_Gracia),(103-N(P_L1_Mes)+1)&lt;=N(P_L1_Gracia)+N(P_L1_Cuotas),N(P_L1_Cuotas)&gt;0),IF((103-N(P_L1_Mes)+1)=N(P_L1_Gracia)+N(P_L1_Cuotas),IF((103-N(P_L1_Mes)+1)=1,N(P_L1_Monto),DC$126),PMT(N(P_L1_Tasa)/12,N(P_L1_Cuotas),-N(P_L1_Monto))-DD$124),0)*DD$9</f>
        <v>0</v>
      </c>
      <c r="DE125" s="34" t="n">
        <f aca="false">IF(AND((104-N(P_L1_Mes)+1)&gt;N(P_L1_Gracia),(104-N(P_L1_Mes)+1)&lt;=N(P_L1_Gracia)+N(P_L1_Cuotas),N(P_L1_Cuotas)&gt;0),IF((104-N(P_L1_Mes)+1)=N(P_L1_Gracia)+N(P_L1_Cuotas),IF((104-N(P_L1_Mes)+1)=1,N(P_L1_Monto),DD$126),PMT(N(P_L1_Tasa)/12,N(P_L1_Cuotas),-N(P_L1_Monto))-DE$124),0)*DE$9</f>
        <v>0</v>
      </c>
      <c r="DF125" s="34" t="n">
        <f aca="false">IF(AND((105-N(P_L1_Mes)+1)&gt;N(P_L1_Gracia),(105-N(P_L1_Mes)+1)&lt;=N(P_L1_Gracia)+N(P_L1_Cuotas),N(P_L1_Cuotas)&gt;0),IF((105-N(P_L1_Mes)+1)=N(P_L1_Gracia)+N(P_L1_Cuotas),IF((105-N(P_L1_Mes)+1)=1,N(P_L1_Monto),DE$126),PMT(N(P_L1_Tasa)/12,N(P_L1_Cuotas),-N(P_L1_Monto))-DF$124),0)*DF$9</f>
        <v>0</v>
      </c>
      <c r="DG125" s="34" t="n">
        <f aca="false">IF(AND((106-N(P_L1_Mes)+1)&gt;N(P_L1_Gracia),(106-N(P_L1_Mes)+1)&lt;=N(P_L1_Gracia)+N(P_L1_Cuotas),N(P_L1_Cuotas)&gt;0),IF((106-N(P_L1_Mes)+1)=N(P_L1_Gracia)+N(P_L1_Cuotas),IF((106-N(P_L1_Mes)+1)=1,N(P_L1_Monto),DF$126),PMT(N(P_L1_Tasa)/12,N(P_L1_Cuotas),-N(P_L1_Monto))-DG$124),0)*DG$9</f>
        <v>0</v>
      </c>
      <c r="DH125" s="34" t="n">
        <f aca="false">IF(AND((107-N(P_L1_Mes)+1)&gt;N(P_L1_Gracia),(107-N(P_L1_Mes)+1)&lt;=N(P_L1_Gracia)+N(P_L1_Cuotas),N(P_L1_Cuotas)&gt;0),IF((107-N(P_L1_Mes)+1)=N(P_L1_Gracia)+N(P_L1_Cuotas),IF((107-N(P_L1_Mes)+1)=1,N(P_L1_Monto),DG$126),PMT(N(P_L1_Tasa)/12,N(P_L1_Cuotas),-N(P_L1_Monto))-DH$124),0)*DH$9</f>
        <v>0</v>
      </c>
      <c r="DI125" s="34" t="n">
        <f aca="false">IF(AND((108-N(P_L1_Mes)+1)&gt;N(P_L1_Gracia),(108-N(P_L1_Mes)+1)&lt;=N(P_L1_Gracia)+N(P_L1_Cuotas),N(P_L1_Cuotas)&gt;0),IF((108-N(P_L1_Mes)+1)=N(P_L1_Gracia)+N(P_L1_Cuotas),IF((108-N(P_L1_Mes)+1)=1,N(P_L1_Monto),DH$126),PMT(N(P_L1_Tasa)/12,N(P_L1_Cuotas),-N(P_L1_Monto))-DI$124),0)*DI$9</f>
        <v>0</v>
      </c>
      <c r="DJ125" s="34" t="n">
        <f aca="false">IF(AND((109-N(P_L1_Mes)+1)&gt;N(P_L1_Gracia),(109-N(P_L1_Mes)+1)&lt;=N(P_L1_Gracia)+N(P_L1_Cuotas),N(P_L1_Cuotas)&gt;0),IF((109-N(P_L1_Mes)+1)=N(P_L1_Gracia)+N(P_L1_Cuotas),IF((109-N(P_L1_Mes)+1)=1,N(P_L1_Monto),DI$126),PMT(N(P_L1_Tasa)/12,N(P_L1_Cuotas),-N(P_L1_Monto))-DJ$124),0)*DJ$9</f>
        <v>0</v>
      </c>
      <c r="DK125" s="34" t="n">
        <f aca="false">IF(AND((110-N(P_L1_Mes)+1)&gt;N(P_L1_Gracia),(110-N(P_L1_Mes)+1)&lt;=N(P_L1_Gracia)+N(P_L1_Cuotas),N(P_L1_Cuotas)&gt;0),IF((110-N(P_L1_Mes)+1)=N(P_L1_Gracia)+N(P_L1_Cuotas),IF((110-N(P_L1_Mes)+1)=1,N(P_L1_Monto),DJ$126),PMT(N(P_L1_Tasa)/12,N(P_L1_Cuotas),-N(P_L1_Monto))-DK$124),0)*DK$9</f>
        <v>0</v>
      </c>
      <c r="DL125" s="34" t="n">
        <f aca="false">IF(AND((111-N(P_L1_Mes)+1)&gt;N(P_L1_Gracia),(111-N(P_L1_Mes)+1)&lt;=N(P_L1_Gracia)+N(P_L1_Cuotas),N(P_L1_Cuotas)&gt;0),IF((111-N(P_L1_Mes)+1)=N(P_L1_Gracia)+N(P_L1_Cuotas),IF((111-N(P_L1_Mes)+1)=1,N(P_L1_Monto),DK$126),PMT(N(P_L1_Tasa)/12,N(P_L1_Cuotas),-N(P_L1_Monto))-DL$124),0)*DL$9</f>
        <v>0</v>
      </c>
      <c r="DM125" s="34" t="n">
        <f aca="false">IF(AND((112-N(P_L1_Mes)+1)&gt;N(P_L1_Gracia),(112-N(P_L1_Mes)+1)&lt;=N(P_L1_Gracia)+N(P_L1_Cuotas),N(P_L1_Cuotas)&gt;0),IF((112-N(P_L1_Mes)+1)=N(P_L1_Gracia)+N(P_L1_Cuotas),IF((112-N(P_L1_Mes)+1)=1,N(P_L1_Monto),DL$126),PMT(N(P_L1_Tasa)/12,N(P_L1_Cuotas),-N(P_L1_Monto))-DM$124),0)*DM$9</f>
        <v>0</v>
      </c>
      <c r="DN125" s="34" t="n">
        <f aca="false">IF(AND((113-N(P_L1_Mes)+1)&gt;N(P_L1_Gracia),(113-N(P_L1_Mes)+1)&lt;=N(P_L1_Gracia)+N(P_L1_Cuotas),N(P_L1_Cuotas)&gt;0),IF((113-N(P_L1_Mes)+1)=N(P_L1_Gracia)+N(P_L1_Cuotas),IF((113-N(P_L1_Mes)+1)=1,N(P_L1_Monto),DM$126),PMT(N(P_L1_Tasa)/12,N(P_L1_Cuotas),-N(P_L1_Monto))-DN$124),0)*DN$9</f>
        <v>0</v>
      </c>
      <c r="DO125" s="34" t="n">
        <f aca="false">IF(AND((114-N(P_L1_Mes)+1)&gt;N(P_L1_Gracia),(114-N(P_L1_Mes)+1)&lt;=N(P_L1_Gracia)+N(P_L1_Cuotas),N(P_L1_Cuotas)&gt;0),IF((114-N(P_L1_Mes)+1)=N(P_L1_Gracia)+N(P_L1_Cuotas),IF((114-N(P_L1_Mes)+1)=1,N(P_L1_Monto),DN$126),PMT(N(P_L1_Tasa)/12,N(P_L1_Cuotas),-N(P_L1_Monto))-DO$124),0)*DO$9</f>
        <v>0</v>
      </c>
      <c r="DP125" s="34" t="n">
        <f aca="false">IF(AND((115-N(P_L1_Mes)+1)&gt;N(P_L1_Gracia),(115-N(P_L1_Mes)+1)&lt;=N(P_L1_Gracia)+N(P_L1_Cuotas),N(P_L1_Cuotas)&gt;0),IF((115-N(P_L1_Mes)+1)=N(P_L1_Gracia)+N(P_L1_Cuotas),IF((115-N(P_L1_Mes)+1)=1,N(P_L1_Monto),DO$126),PMT(N(P_L1_Tasa)/12,N(P_L1_Cuotas),-N(P_L1_Monto))-DP$124),0)*DP$9</f>
        <v>0</v>
      </c>
      <c r="DQ125" s="34" t="n">
        <f aca="false">IF(AND((116-N(P_L1_Mes)+1)&gt;N(P_L1_Gracia),(116-N(P_L1_Mes)+1)&lt;=N(P_L1_Gracia)+N(P_L1_Cuotas),N(P_L1_Cuotas)&gt;0),IF((116-N(P_L1_Mes)+1)=N(P_L1_Gracia)+N(P_L1_Cuotas),IF((116-N(P_L1_Mes)+1)=1,N(P_L1_Monto),DP$126),PMT(N(P_L1_Tasa)/12,N(P_L1_Cuotas),-N(P_L1_Monto))-DQ$124),0)*DQ$9</f>
        <v>0</v>
      </c>
      <c r="DR125" s="34" t="n">
        <f aca="false">IF(AND((117-N(P_L1_Mes)+1)&gt;N(P_L1_Gracia),(117-N(P_L1_Mes)+1)&lt;=N(P_L1_Gracia)+N(P_L1_Cuotas),N(P_L1_Cuotas)&gt;0),IF((117-N(P_L1_Mes)+1)=N(P_L1_Gracia)+N(P_L1_Cuotas),IF((117-N(P_L1_Mes)+1)=1,N(P_L1_Monto),DQ$126),PMT(N(P_L1_Tasa)/12,N(P_L1_Cuotas),-N(P_L1_Monto))-DR$124),0)*DR$9</f>
        <v>0</v>
      </c>
      <c r="DS125" s="34" t="n">
        <f aca="false">IF(AND((118-N(P_L1_Mes)+1)&gt;N(P_L1_Gracia),(118-N(P_L1_Mes)+1)&lt;=N(P_L1_Gracia)+N(P_L1_Cuotas),N(P_L1_Cuotas)&gt;0),IF((118-N(P_L1_Mes)+1)=N(P_L1_Gracia)+N(P_L1_Cuotas),IF((118-N(P_L1_Mes)+1)=1,N(P_L1_Monto),DR$126),PMT(N(P_L1_Tasa)/12,N(P_L1_Cuotas),-N(P_L1_Monto))-DS$124),0)*DS$9</f>
        <v>0</v>
      </c>
      <c r="DT125" s="34" t="n">
        <f aca="false">IF(AND((119-N(P_L1_Mes)+1)&gt;N(P_L1_Gracia),(119-N(P_L1_Mes)+1)&lt;=N(P_L1_Gracia)+N(P_L1_Cuotas),N(P_L1_Cuotas)&gt;0),IF((119-N(P_L1_Mes)+1)=N(P_L1_Gracia)+N(P_L1_Cuotas),IF((119-N(P_L1_Mes)+1)=1,N(P_L1_Monto),DS$126),PMT(N(P_L1_Tasa)/12,N(P_L1_Cuotas),-N(P_L1_Monto))-DT$124),0)*DT$9</f>
        <v>0</v>
      </c>
      <c r="DU125" s="34" t="n">
        <f aca="false">IF(AND((120-N(P_L1_Mes)+1)&gt;N(P_L1_Gracia),(120-N(P_L1_Mes)+1)&lt;=N(P_L1_Gracia)+N(P_L1_Cuotas),N(P_L1_Cuotas)&gt;0),IF((120-N(P_L1_Mes)+1)=N(P_L1_Gracia)+N(P_L1_Cuotas),IF((120-N(P_L1_Mes)+1)=1,N(P_L1_Monto),DT$126),PMT(N(P_L1_Tasa)/12,N(P_L1_Cuotas),-N(P_L1_Monto))-DU$124),0)*DU$9</f>
        <v>0</v>
      </c>
      <c r="DV125" s="34" t="n">
        <f aca="false">IF(AND((121-N(P_L1_Mes)+1)&gt;N(P_L1_Gracia),(121-N(P_L1_Mes)+1)&lt;=N(P_L1_Gracia)+N(P_L1_Cuotas),N(P_L1_Cuotas)&gt;0),IF((121-N(P_L1_Mes)+1)=N(P_L1_Gracia)+N(P_L1_Cuotas),IF((121-N(P_L1_Mes)+1)=1,N(P_L1_Monto),DU$126),PMT(N(P_L1_Tasa)/12,N(P_L1_Cuotas),-N(P_L1_Monto))-DV$124),0)*DV$9</f>
        <v>0</v>
      </c>
      <c r="DW125" s="34" t="n">
        <f aca="false">IF(AND((122-N(P_L1_Mes)+1)&gt;N(P_L1_Gracia),(122-N(P_L1_Mes)+1)&lt;=N(P_L1_Gracia)+N(P_L1_Cuotas),N(P_L1_Cuotas)&gt;0),IF((122-N(P_L1_Mes)+1)=N(P_L1_Gracia)+N(P_L1_Cuotas),IF((122-N(P_L1_Mes)+1)=1,N(P_L1_Monto),DV$126),PMT(N(P_L1_Tasa)/12,N(P_L1_Cuotas),-N(P_L1_Monto))-DW$124),0)*DW$9</f>
        <v>0</v>
      </c>
      <c r="DX125" s="34" t="n">
        <f aca="false">IF(AND((123-N(P_L1_Mes)+1)&gt;N(P_L1_Gracia),(123-N(P_L1_Mes)+1)&lt;=N(P_L1_Gracia)+N(P_L1_Cuotas),N(P_L1_Cuotas)&gt;0),IF((123-N(P_L1_Mes)+1)=N(P_L1_Gracia)+N(P_L1_Cuotas),IF((123-N(P_L1_Mes)+1)=1,N(P_L1_Monto),DW$126),PMT(N(P_L1_Tasa)/12,N(P_L1_Cuotas),-N(P_L1_Monto))-DX$124),0)*DX$9</f>
        <v>0</v>
      </c>
      <c r="DY125" s="34" t="n">
        <f aca="false">IF(AND((124-N(P_L1_Mes)+1)&gt;N(P_L1_Gracia),(124-N(P_L1_Mes)+1)&lt;=N(P_L1_Gracia)+N(P_L1_Cuotas),N(P_L1_Cuotas)&gt;0),IF((124-N(P_L1_Mes)+1)=N(P_L1_Gracia)+N(P_L1_Cuotas),IF((124-N(P_L1_Mes)+1)=1,N(P_L1_Monto),DX$126),PMT(N(P_L1_Tasa)/12,N(P_L1_Cuotas),-N(P_L1_Monto))-DY$124),0)*DY$9</f>
        <v>0</v>
      </c>
      <c r="DZ125" s="34" t="n">
        <f aca="false">IF(AND((125-N(P_L1_Mes)+1)&gt;N(P_L1_Gracia),(125-N(P_L1_Mes)+1)&lt;=N(P_L1_Gracia)+N(P_L1_Cuotas),N(P_L1_Cuotas)&gt;0),IF((125-N(P_L1_Mes)+1)=N(P_L1_Gracia)+N(P_L1_Cuotas),IF((125-N(P_L1_Mes)+1)=1,N(P_L1_Monto),DY$126),PMT(N(P_L1_Tasa)/12,N(P_L1_Cuotas),-N(P_L1_Monto))-DZ$124),0)*DZ$9</f>
        <v>0</v>
      </c>
      <c r="EA125" s="34" t="n">
        <f aca="false">IF(AND((126-N(P_L1_Mes)+1)&gt;N(P_L1_Gracia),(126-N(P_L1_Mes)+1)&lt;=N(P_L1_Gracia)+N(P_L1_Cuotas),N(P_L1_Cuotas)&gt;0),IF((126-N(P_L1_Mes)+1)=N(P_L1_Gracia)+N(P_L1_Cuotas),IF((126-N(P_L1_Mes)+1)=1,N(P_L1_Monto),DZ$126),PMT(N(P_L1_Tasa)/12,N(P_L1_Cuotas),-N(P_L1_Monto))-EA$124),0)*EA$9</f>
        <v>0</v>
      </c>
      <c r="EB125" s="34" t="n">
        <f aca="false">IF(AND((127-N(P_L1_Mes)+1)&gt;N(P_L1_Gracia),(127-N(P_L1_Mes)+1)&lt;=N(P_L1_Gracia)+N(P_L1_Cuotas),N(P_L1_Cuotas)&gt;0),IF((127-N(P_L1_Mes)+1)=N(P_L1_Gracia)+N(P_L1_Cuotas),IF((127-N(P_L1_Mes)+1)=1,N(P_L1_Monto),EA$126),PMT(N(P_L1_Tasa)/12,N(P_L1_Cuotas),-N(P_L1_Monto))-EB$124),0)*EB$9</f>
        <v>0</v>
      </c>
      <c r="EC125" s="34" t="n">
        <f aca="false">IF(AND((128-N(P_L1_Mes)+1)&gt;N(P_L1_Gracia),(128-N(P_L1_Mes)+1)&lt;=N(P_L1_Gracia)+N(P_L1_Cuotas),N(P_L1_Cuotas)&gt;0),IF((128-N(P_L1_Mes)+1)=N(P_L1_Gracia)+N(P_L1_Cuotas),IF((128-N(P_L1_Mes)+1)=1,N(P_L1_Monto),EB$126),PMT(N(P_L1_Tasa)/12,N(P_L1_Cuotas),-N(P_L1_Monto))-EC$124),0)*EC$9</f>
        <v>0</v>
      </c>
      <c r="ED125" s="34" t="n">
        <f aca="false">IF(AND((129-N(P_L1_Mes)+1)&gt;N(P_L1_Gracia),(129-N(P_L1_Mes)+1)&lt;=N(P_L1_Gracia)+N(P_L1_Cuotas),N(P_L1_Cuotas)&gt;0),IF((129-N(P_L1_Mes)+1)=N(P_L1_Gracia)+N(P_L1_Cuotas),IF((129-N(P_L1_Mes)+1)=1,N(P_L1_Monto),EC$126),PMT(N(P_L1_Tasa)/12,N(P_L1_Cuotas),-N(P_L1_Monto))-ED$124),0)*ED$9</f>
        <v>0</v>
      </c>
      <c r="EE125" s="34" t="n">
        <f aca="false">IF(AND((130-N(P_L1_Mes)+1)&gt;N(P_L1_Gracia),(130-N(P_L1_Mes)+1)&lt;=N(P_L1_Gracia)+N(P_L1_Cuotas),N(P_L1_Cuotas)&gt;0),IF((130-N(P_L1_Mes)+1)=N(P_L1_Gracia)+N(P_L1_Cuotas),IF((130-N(P_L1_Mes)+1)=1,N(P_L1_Monto),ED$126),PMT(N(P_L1_Tasa)/12,N(P_L1_Cuotas),-N(P_L1_Monto))-EE$124),0)*EE$9</f>
        <v>0</v>
      </c>
      <c r="EF125" s="34" t="n">
        <f aca="false">IF(AND((131-N(P_L1_Mes)+1)&gt;N(P_L1_Gracia),(131-N(P_L1_Mes)+1)&lt;=N(P_L1_Gracia)+N(P_L1_Cuotas),N(P_L1_Cuotas)&gt;0),IF((131-N(P_L1_Mes)+1)=N(P_L1_Gracia)+N(P_L1_Cuotas),IF((131-N(P_L1_Mes)+1)=1,N(P_L1_Monto),EE$126),PMT(N(P_L1_Tasa)/12,N(P_L1_Cuotas),-N(P_L1_Monto))-EF$124),0)*EF$9</f>
        <v>0</v>
      </c>
      <c r="EG125" s="34" t="n">
        <f aca="false">IF(AND((132-N(P_L1_Mes)+1)&gt;N(P_L1_Gracia),(132-N(P_L1_Mes)+1)&lt;=N(P_L1_Gracia)+N(P_L1_Cuotas),N(P_L1_Cuotas)&gt;0),IF((132-N(P_L1_Mes)+1)=N(P_L1_Gracia)+N(P_L1_Cuotas),IF((132-N(P_L1_Mes)+1)=1,N(P_L1_Monto),EF$126),PMT(N(P_L1_Tasa)/12,N(P_L1_Cuotas),-N(P_L1_Monto))-EG$124),0)*EG$9</f>
        <v>0</v>
      </c>
      <c r="EH125" s="34" t="n">
        <f aca="false">IF(AND((133-N(P_L1_Mes)+1)&gt;N(P_L1_Gracia),(133-N(P_L1_Mes)+1)&lt;=N(P_L1_Gracia)+N(P_L1_Cuotas),N(P_L1_Cuotas)&gt;0),IF((133-N(P_L1_Mes)+1)=N(P_L1_Gracia)+N(P_L1_Cuotas),IF((133-N(P_L1_Mes)+1)=1,N(P_L1_Monto),EG$126),PMT(N(P_L1_Tasa)/12,N(P_L1_Cuotas),-N(P_L1_Monto))-EH$124),0)*EH$9</f>
        <v>0</v>
      </c>
      <c r="EI125" s="34" t="n">
        <f aca="false">IF(AND((134-N(P_L1_Mes)+1)&gt;N(P_L1_Gracia),(134-N(P_L1_Mes)+1)&lt;=N(P_L1_Gracia)+N(P_L1_Cuotas),N(P_L1_Cuotas)&gt;0),IF((134-N(P_L1_Mes)+1)=N(P_L1_Gracia)+N(P_L1_Cuotas),IF((134-N(P_L1_Mes)+1)=1,N(P_L1_Monto),EH$126),PMT(N(P_L1_Tasa)/12,N(P_L1_Cuotas),-N(P_L1_Monto))-EI$124),0)*EI$9</f>
        <v>0</v>
      </c>
      <c r="EJ125" s="34" t="n">
        <f aca="false">IF(AND((135-N(P_L1_Mes)+1)&gt;N(P_L1_Gracia),(135-N(P_L1_Mes)+1)&lt;=N(P_L1_Gracia)+N(P_L1_Cuotas),N(P_L1_Cuotas)&gt;0),IF((135-N(P_L1_Mes)+1)=N(P_L1_Gracia)+N(P_L1_Cuotas),IF((135-N(P_L1_Mes)+1)=1,N(P_L1_Monto),EI$126),PMT(N(P_L1_Tasa)/12,N(P_L1_Cuotas),-N(P_L1_Monto))-EJ$124),0)*EJ$9</f>
        <v>0</v>
      </c>
      <c r="EK125" s="34" t="n">
        <f aca="false">IF(AND((136-N(P_L1_Mes)+1)&gt;N(P_L1_Gracia),(136-N(P_L1_Mes)+1)&lt;=N(P_L1_Gracia)+N(P_L1_Cuotas),N(P_L1_Cuotas)&gt;0),IF((136-N(P_L1_Mes)+1)=N(P_L1_Gracia)+N(P_L1_Cuotas),IF((136-N(P_L1_Mes)+1)=1,N(P_L1_Monto),EJ$126),PMT(N(P_L1_Tasa)/12,N(P_L1_Cuotas),-N(P_L1_Monto))-EK$124),0)*EK$9</f>
        <v>0</v>
      </c>
      <c r="EL125" s="34" t="n">
        <f aca="false">IF(AND((137-N(P_L1_Mes)+1)&gt;N(P_L1_Gracia),(137-N(P_L1_Mes)+1)&lt;=N(P_L1_Gracia)+N(P_L1_Cuotas),N(P_L1_Cuotas)&gt;0),IF((137-N(P_L1_Mes)+1)=N(P_L1_Gracia)+N(P_L1_Cuotas),IF((137-N(P_L1_Mes)+1)=1,N(P_L1_Monto),EK$126),PMT(N(P_L1_Tasa)/12,N(P_L1_Cuotas),-N(P_L1_Monto))-EL$124),0)*EL$9</f>
        <v>0</v>
      </c>
      <c r="EM125" s="34" t="n">
        <f aca="false">IF(AND((138-N(P_L1_Mes)+1)&gt;N(P_L1_Gracia),(138-N(P_L1_Mes)+1)&lt;=N(P_L1_Gracia)+N(P_L1_Cuotas),N(P_L1_Cuotas)&gt;0),IF((138-N(P_L1_Mes)+1)=N(P_L1_Gracia)+N(P_L1_Cuotas),IF((138-N(P_L1_Mes)+1)=1,N(P_L1_Monto),EL$126),PMT(N(P_L1_Tasa)/12,N(P_L1_Cuotas),-N(P_L1_Monto))-EM$124),0)*EM$9</f>
        <v>0</v>
      </c>
      <c r="EN125" s="34" t="n">
        <f aca="false">IF(AND((139-N(P_L1_Mes)+1)&gt;N(P_L1_Gracia),(139-N(P_L1_Mes)+1)&lt;=N(P_L1_Gracia)+N(P_L1_Cuotas),N(P_L1_Cuotas)&gt;0),IF((139-N(P_L1_Mes)+1)=N(P_L1_Gracia)+N(P_L1_Cuotas),IF((139-N(P_L1_Mes)+1)=1,N(P_L1_Monto),EM$126),PMT(N(P_L1_Tasa)/12,N(P_L1_Cuotas),-N(P_L1_Monto))-EN$124),0)*EN$9</f>
        <v>0</v>
      </c>
      <c r="EO125" s="34" t="n">
        <f aca="false">IF(AND((140-N(P_L1_Mes)+1)&gt;N(P_L1_Gracia),(140-N(P_L1_Mes)+1)&lt;=N(P_L1_Gracia)+N(P_L1_Cuotas),N(P_L1_Cuotas)&gt;0),IF((140-N(P_L1_Mes)+1)=N(P_L1_Gracia)+N(P_L1_Cuotas),IF((140-N(P_L1_Mes)+1)=1,N(P_L1_Monto),EN$126),PMT(N(P_L1_Tasa)/12,N(P_L1_Cuotas),-N(P_L1_Monto))-EO$124),0)*EO$9</f>
        <v>0</v>
      </c>
      <c r="EP125" s="34" t="n">
        <f aca="false">IF(AND((141-N(P_L1_Mes)+1)&gt;N(P_L1_Gracia),(141-N(P_L1_Mes)+1)&lt;=N(P_L1_Gracia)+N(P_L1_Cuotas),N(P_L1_Cuotas)&gt;0),IF((141-N(P_L1_Mes)+1)=N(P_L1_Gracia)+N(P_L1_Cuotas),IF((141-N(P_L1_Mes)+1)=1,N(P_L1_Monto),EO$126),PMT(N(P_L1_Tasa)/12,N(P_L1_Cuotas),-N(P_L1_Monto))-EP$124),0)*EP$9</f>
        <v>0</v>
      </c>
      <c r="EQ125" s="34" t="n">
        <f aca="false">IF(AND((142-N(P_L1_Mes)+1)&gt;N(P_L1_Gracia),(142-N(P_L1_Mes)+1)&lt;=N(P_L1_Gracia)+N(P_L1_Cuotas),N(P_L1_Cuotas)&gt;0),IF((142-N(P_L1_Mes)+1)=N(P_L1_Gracia)+N(P_L1_Cuotas),IF((142-N(P_L1_Mes)+1)=1,N(P_L1_Monto),EP$126),PMT(N(P_L1_Tasa)/12,N(P_L1_Cuotas),-N(P_L1_Monto))-EQ$124),0)*EQ$9</f>
        <v>0</v>
      </c>
      <c r="ER125" s="34" t="n">
        <f aca="false">IF(AND((143-N(P_L1_Mes)+1)&gt;N(P_L1_Gracia),(143-N(P_L1_Mes)+1)&lt;=N(P_L1_Gracia)+N(P_L1_Cuotas),N(P_L1_Cuotas)&gt;0),IF((143-N(P_L1_Mes)+1)=N(P_L1_Gracia)+N(P_L1_Cuotas),IF((143-N(P_L1_Mes)+1)=1,N(P_L1_Monto),EQ$126),PMT(N(P_L1_Tasa)/12,N(P_L1_Cuotas),-N(P_L1_Monto))-ER$124),0)*ER$9</f>
        <v>0</v>
      </c>
      <c r="ES125" s="34" t="n">
        <f aca="false">IF(AND((144-N(P_L1_Mes)+1)&gt;N(P_L1_Gracia),(144-N(P_L1_Mes)+1)&lt;=N(P_L1_Gracia)+N(P_L1_Cuotas),N(P_L1_Cuotas)&gt;0),IF((144-N(P_L1_Mes)+1)=N(P_L1_Gracia)+N(P_L1_Cuotas),IF((144-N(P_L1_Mes)+1)=1,N(P_L1_Monto),ER$126),PMT(N(P_L1_Tasa)/12,N(P_L1_Cuotas),-N(P_L1_Monto))-ES$124),0)*ES$9</f>
        <v>0</v>
      </c>
    </row>
    <row r="126" customFormat="false" ht="15" hidden="false" customHeight="false" outlineLevel="0" collapsed="false">
      <c r="A126" s="2" t="s">
        <v>735</v>
      </c>
      <c r="B126" s="6" t="s">
        <v>736</v>
      </c>
      <c r="C126" s="6" t="s">
        <v>250</v>
      </c>
      <c r="E126" s="40" t="n">
        <f aca="false">INDEX(F126:ES126,1,MIN(144,Fin))</f>
        <v>0</v>
      </c>
      <c r="F126" s="34" t="n">
        <f aca="false">IF((1-N(P_L1_Mes)+1)&lt;1,0,IF((1-N(P_L1_Mes)+1)=1,N(P_L1_Monto),0)-F$125)</f>
        <v>2791587</v>
      </c>
      <c r="G126" s="34" t="n">
        <f aca="false">IF((2-N(P_L1_Mes)+1)&lt;1,0,IF((2-N(P_L1_Mes)+1)=1,N(P_L1_Monto),F$126)-G$125)</f>
        <v>2791587</v>
      </c>
      <c r="H126" s="34" t="n">
        <f aca="false">IF((3-N(P_L1_Mes)+1)&lt;1,0,IF((3-N(P_L1_Mes)+1)=1,N(P_L1_Monto),G$126)-H$125)</f>
        <v>2791587</v>
      </c>
      <c r="I126" s="34" t="n">
        <f aca="false">IF((4-N(P_L1_Mes)+1)&lt;1,0,IF((4-N(P_L1_Mes)+1)=1,N(P_L1_Monto),H$126)-I$125)</f>
        <v>2791587</v>
      </c>
      <c r="J126" s="34" t="n">
        <f aca="false">IF((5-N(P_L1_Mes)+1)&lt;1,0,IF((5-N(P_L1_Mes)+1)=1,N(P_L1_Monto),I$126)-J$125)</f>
        <v>2791587</v>
      </c>
      <c r="K126" s="34" t="n">
        <f aca="false">IF((6-N(P_L1_Mes)+1)&lt;1,0,IF((6-N(P_L1_Mes)+1)=1,N(P_L1_Monto),J$126)-K$125)</f>
        <v>2791587</v>
      </c>
      <c r="L126" s="34" t="n">
        <f aca="false">IF((7-N(P_L1_Mes)+1)&lt;1,0,IF((7-N(P_L1_Mes)+1)=1,N(P_L1_Monto),K$126)-L$125)</f>
        <v>2749463.69590531</v>
      </c>
      <c r="M126" s="34" t="n">
        <f aca="false">IF((8-N(P_L1_Mes)+1)&lt;1,0,IF((8-N(P_L1_Mes)+1)=1,N(P_L1_Monto),L$126)-M$125)</f>
        <v>2707024.46702991</v>
      </c>
      <c r="N126" s="34" t="n">
        <f aca="false">IF((9-N(P_L1_Mes)+1)&lt;1,0,IF((9-N(P_L1_Mes)+1)=1,N(P_L1_Monto),M$126)-N$125)</f>
        <v>2664266.94393795</v>
      </c>
      <c r="O126" s="34" t="n">
        <f aca="false">IF((10-N(P_L1_Mes)+1)&lt;1,0,IF((10-N(P_L1_Mes)+1)=1,N(P_L1_Monto),N$126)-O$125)</f>
        <v>2621188.7394228</v>
      </c>
      <c r="P126" s="34" t="n">
        <f aca="false">IF((11-N(P_L1_Mes)+1)&lt;1,0,IF((11-N(P_L1_Mes)+1)=1,N(P_L1_Monto),O$126)-P$125)</f>
        <v>2577787.44837378</v>
      </c>
      <c r="Q126" s="34" t="n">
        <f aca="false">IF((12-N(P_L1_Mes)+1)&lt;1,0,IF((12-N(P_L1_Mes)+1)=1,N(P_L1_Monto),P$126)-Q$125)</f>
        <v>2534060.6476419</v>
      </c>
      <c r="R126" s="34" t="n">
        <f aca="false">IF((13-N(P_L1_Mes)+1)&lt;1,0,IF((13-N(P_L1_Mes)+1)=1,N(P_L1_Monto),Q$126)-R$125)</f>
        <v>2490005.89590452</v>
      </c>
      <c r="S126" s="34" t="n">
        <f aca="false">IF((14-N(P_L1_Mes)+1)&lt;1,0,IF((14-N(P_L1_Mes)+1)=1,N(P_L1_Monto),R$126)-S$125)</f>
        <v>2445620.73352912</v>
      </c>
      <c r="T126" s="34" t="n">
        <f aca="false">IF((15-N(P_L1_Mes)+1)&lt;1,0,IF((15-N(P_L1_Mes)+1)=1,N(P_L1_Monto),S$126)-T$125)</f>
        <v>2400902.6824359</v>
      </c>
      <c r="U126" s="34" t="n">
        <f aca="false">IF((16-N(P_L1_Mes)+1)&lt;1,0,IF((16-N(P_L1_Mes)+1)=1,N(P_L1_Monto),T$126)-U$125)</f>
        <v>2355849.24595948</v>
      </c>
      <c r="V126" s="34" t="n">
        <f aca="false">IF((17-N(P_L1_Mes)+1)&lt;1,0,IF((17-N(P_L1_Mes)+1)=1,N(P_L1_Monto),U$126)-V$125)</f>
        <v>2310457.90870949</v>
      </c>
      <c r="W126" s="34" t="n">
        <f aca="false">IF((18-N(P_L1_Mes)+1)&lt;1,0,IF((18-N(P_L1_Mes)+1)=1,N(P_L1_Monto),V$126)-W$125)</f>
        <v>2264726.13643012</v>
      </c>
      <c r="X126" s="34" t="n">
        <f aca="false">IF((19-N(P_L1_Mes)+1)&lt;1,0,IF((19-N(P_L1_Mes)+1)=1,N(P_L1_Monto),W$126)-X$125)</f>
        <v>2218651.37585866</v>
      </c>
      <c r="Y126" s="34" t="n">
        <f aca="false">IF((20-N(P_L1_Mes)+1)&lt;1,0,IF((20-N(P_L1_Mes)+1)=1,N(P_L1_Monto),X$126)-Y$125)</f>
        <v>2172231.05458292</v>
      </c>
      <c r="Z126" s="34" t="n">
        <f aca="false">IF((21-N(P_L1_Mes)+1)&lt;1,0,IF((21-N(P_L1_Mes)+1)=1,N(P_L1_Monto),Y$126)-Z$125)</f>
        <v>2125462.5808976</v>
      </c>
      <c r="AA126" s="34" t="n">
        <f aca="false">IF((22-N(P_L1_Mes)+1)&lt;1,0,IF((22-N(P_L1_Mes)+1)=1,N(P_L1_Monto),Z$126)-AA$125)</f>
        <v>2078343.34365964</v>
      </c>
      <c r="AB126" s="34" t="n">
        <f aca="false">IF((23-N(P_L1_Mes)+1)&lt;1,0,IF((23-N(P_L1_Mes)+1)=1,N(P_L1_Monto),AA$126)-AB$125)</f>
        <v>2030870.7121424</v>
      </c>
      <c r="AC126" s="34" t="n">
        <f aca="false">IF((24-N(P_L1_Mes)+1)&lt;1,0,IF((24-N(P_L1_Mes)+1)=1,N(P_L1_Monto),AB$126)-AC$125)</f>
        <v>1983042.03588878</v>
      </c>
      <c r="AD126" s="34" t="n">
        <f aca="false">IF((25-N(P_L1_Mes)+1)&lt;1,0,IF((25-N(P_L1_Mes)+1)=1,N(P_L1_Monto),AC$126)-AD$125)</f>
        <v>1934854.64456326</v>
      </c>
      <c r="AE126" s="34" t="n">
        <f aca="false">IF((26-N(P_L1_Mes)+1)&lt;1,0,IF((26-N(P_L1_Mes)+1)=1,N(P_L1_Monto),AD$126)-AE$125)</f>
        <v>1886305.8478028</v>
      </c>
      <c r="AF126" s="34" t="n">
        <f aca="false">IF((27-N(P_L1_Mes)+1)&lt;1,0,IF((27-N(P_L1_Mes)+1)=1,N(P_L1_Monto),AE$126)-AF$125)</f>
        <v>1837392.93506663</v>
      </c>
      <c r="AG126" s="34" t="n">
        <f aca="false">IF((28-N(P_L1_Mes)+1)&lt;1,0,IF((28-N(P_L1_Mes)+1)=1,N(P_L1_Monto),AF$126)-AG$125)</f>
        <v>1788113.17548494</v>
      </c>
      <c r="AH126" s="34" t="n">
        <f aca="false">IF((29-N(P_L1_Mes)+1)&lt;1,0,IF((29-N(P_L1_Mes)+1)=1,N(P_L1_Monto),AG$126)-AH$125)</f>
        <v>1738463.81770639</v>
      </c>
      <c r="AI126" s="34" t="n">
        <f aca="false">IF((30-N(P_L1_Mes)+1)&lt;1,0,IF((30-N(P_L1_Mes)+1)=1,N(P_L1_Monto),AH$126)-AI$125)</f>
        <v>1688442.0897445</v>
      </c>
      <c r="AJ126" s="34" t="n">
        <f aca="false">IF((31-N(P_L1_Mes)+1)&lt;1,0,IF((31-N(P_L1_Mes)+1)=1,N(P_L1_Monto),AI$126)-AJ$125)</f>
        <v>1638045.1988229</v>
      </c>
      <c r="AK126" s="34" t="n">
        <f aca="false">IF((32-N(P_L1_Mes)+1)&lt;1,0,IF((32-N(P_L1_Mes)+1)=1,N(P_L1_Monto),AJ$126)-AK$125)</f>
        <v>1587270.33121938</v>
      </c>
      <c r="AL126" s="34" t="n">
        <f aca="false">IF((33-N(P_L1_Mes)+1)&lt;1,0,IF((33-N(P_L1_Mes)+1)=1,N(P_L1_Monto),AK$126)-AL$125)</f>
        <v>1536114.65210884</v>
      </c>
      <c r="AM126" s="34" t="n">
        <f aca="false">IF((34-N(P_L1_Mes)+1)&lt;1,0,IF((34-N(P_L1_Mes)+1)=1,N(P_L1_Monto),AL$126)-AM$125)</f>
        <v>1484575.30540497</v>
      </c>
      <c r="AN126" s="34" t="n">
        <f aca="false">IF((35-N(P_L1_Mes)+1)&lt;1,0,IF((35-N(P_L1_Mes)+1)=1,N(P_L1_Monto),AM$126)-AN$125)</f>
        <v>1432649.41360082</v>
      </c>
      <c r="AO126" s="34" t="n">
        <f aca="false">IF((36-N(P_L1_Mes)+1)&lt;1,0,IF((36-N(P_L1_Mes)+1)=1,N(P_L1_Monto),AN$126)-AO$125)</f>
        <v>1380334.07760814</v>
      </c>
      <c r="AP126" s="34" t="n">
        <f aca="false">IF((37-N(P_L1_Mes)+1)&lt;1,0,IF((37-N(P_L1_Mes)+1)=1,N(P_L1_Monto),AO$126)-AP$125)</f>
        <v>1327626.37659551</v>
      </c>
      <c r="AQ126" s="34" t="n">
        <f aca="false">IF((38-N(P_L1_Mes)+1)&lt;1,0,IF((38-N(P_L1_Mes)+1)=1,N(P_L1_Monto),AP$126)-AQ$125)</f>
        <v>1274523.36782529</v>
      </c>
      <c r="AR126" s="34" t="n">
        <f aca="false">IF((39-N(P_L1_Mes)+1)&lt;1,0,IF((39-N(P_L1_Mes)+1)=1,N(P_L1_Monto),AQ$126)-AR$125)</f>
        <v>1221022.08648929</v>
      </c>
      <c r="AS126" s="34" t="n">
        <f aca="false">IF((40-N(P_L1_Mes)+1)&lt;1,0,IF((40-N(P_L1_Mes)+1)=1,N(P_L1_Monto),AR$126)-AS$125)</f>
        <v>1167119.54554327</v>
      </c>
      <c r="AT126" s="34" t="n">
        <f aca="false">IF((41-N(P_L1_Mes)+1)&lt;1,0,IF((41-N(P_L1_Mes)+1)=1,N(P_L1_Monto),AS$126)-AT$125)</f>
        <v>1112812.73554016</v>
      </c>
      <c r="AU126" s="34" t="n">
        <f aca="false">IF((42-N(P_L1_Mes)+1)&lt;1,0,IF((42-N(P_L1_Mes)+1)=1,N(P_L1_Monto),AT$126)-AU$125)</f>
        <v>1058098.62446202</v>
      </c>
      <c r="AV126" s="34" t="n">
        <f aca="false">IF((43-N(P_L1_Mes)+1)&lt;1,0,IF((43-N(P_L1_Mes)+1)=1,N(P_L1_Monto),AU$126)-AV$125)</f>
        <v>1002974.1575508</v>
      </c>
      <c r="AW126" s="34" t="n">
        <f aca="false">IF((44-N(P_L1_Mes)+1)&lt;1,0,IF((44-N(P_L1_Mes)+1)=1,N(P_L1_Monto),AV$126)-AW$125)</f>
        <v>947436.257137743</v>
      </c>
      <c r="AX126" s="34" t="n">
        <f aca="false">IF((45-N(P_L1_Mes)+1)&lt;1,0,IF((45-N(P_L1_Mes)+1)=1,N(P_L1_Monto),AW$126)-AX$125)</f>
        <v>891481.822471588</v>
      </c>
      <c r="AY126" s="34" t="n">
        <f aca="false">IF((46-N(P_L1_Mes)+1)&lt;1,0,IF((46-N(P_L1_Mes)+1)=1,N(P_L1_Monto),AX$126)-AY$125)</f>
        <v>835107.729545437</v>
      </c>
      <c r="AZ126" s="34" t="n">
        <f aca="false">IF((47-N(P_L1_Mes)+1)&lt;1,0,IF((47-N(P_L1_Mes)+1)=1,N(P_L1_Monto),AY$126)-AZ$125)</f>
        <v>778310.83092234</v>
      </c>
      <c r="BA126" s="34" t="n">
        <f aca="false">IF((48-N(P_L1_Mes)+1)&lt;1,0,IF((48-N(P_L1_Mes)+1)=1,N(P_L1_Monto),AZ$126)-BA$125)</f>
        <v>721087.95555957</v>
      </c>
      <c r="BB126" s="34" t="n">
        <f aca="false">IF((49-N(P_L1_Mes)+1)&lt;1,0,IF((49-N(P_L1_Mes)+1)=1,N(P_L1_Monto),BA$126)-BB$125)</f>
        <v>663435.908631579</v>
      </c>
      <c r="BC126" s="34" t="n">
        <f aca="false">IF((50-N(P_L1_Mes)+1)&lt;1,0,IF((50-N(P_L1_Mes)+1)=1,N(P_L1_Monto),BB$126)-BC$125)</f>
        <v>605351.471351628</v>
      </c>
      <c r="BD126" s="34" t="n">
        <f aca="false">IF((51-N(P_L1_Mes)+1)&lt;1,0,IF((51-N(P_L1_Mes)+1)=1,N(P_L1_Monto),BC$126)-BD$125)</f>
        <v>546831.400792078</v>
      </c>
      <c r="BE126" s="34" t="n">
        <f aca="false">IF((52-N(P_L1_Mes)+1)&lt;1,0,IF((52-N(P_L1_Mes)+1)=1,N(P_L1_Monto),BD$126)-BE$125)</f>
        <v>487872.429703331</v>
      </c>
      <c r="BF126" s="34" t="n">
        <f aca="false">IF((53-N(P_L1_Mes)+1)&lt;1,0,IF((53-N(P_L1_Mes)+1)=1,N(P_L1_Monto),BE$126)-BF$125)</f>
        <v>428471.266331418</v>
      </c>
      <c r="BG126" s="34" t="n">
        <f aca="false">IF((54-N(P_L1_Mes)+1)&lt;1,0,IF((54-N(P_L1_Mes)+1)=1,N(P_L1_Monto),BF$126)-BG$125)</f>
        <v>368624.594234216</v>
      </c>
      <c r="BH126" s="34" t="n">
        <f aca="false">IF((55-N(P_L1_Mes)+1)&lt;1,0,IF((55-N(P_L1_Mes)+1)=1,N(P_L1_Monto),BG$126)-BH$125)</f>
        <v>308329.072096285</v>
      </c>
      <c r="BI126" s="34" t="n">
        <f aca="false">IF((56-N(P_L1_Mes)+1)&lt;1,0,IF((56-N(P_L1_Mes)+1)=1,N(P_L1_Monto),BH$126)-BI$125)</f>
        <v>247581.333542319</v>
      </c>
      <c r="BJ126" s="34" t="n">
        <f aca="false">IF((57-N(P_L1_Mes)+1)&lt;1,0,IF((57-N(P_L1_Mes)+1)=1,N(P_L1_Monto),BI$126)-BJ$125)</f>
        <v>186377.986949199</v>
      </c>
      <c r="BK126" s="34" t="n">
        <f aca="false">IF((58-N(P_L1_Mes)+1)&lt;1,0,IF((58-N(P_L1_Mes)+1)=1,N(P_L1_Monto),BJ$126)-BK$125)</f>
        <v>124715.61525663</v>
      </c>
      <c r="BL126" s="34" t="n">
        <f aca="false">IF((59-N(P_L1_Mes)+1)&lt;1,0,IF((59-N(P_L1_Mes)+1)=1,N(P_L1_Monto),BK$126)-BL$125)</f>
        <v>62590.7757763667</v>
      </c>
      <c r="BM126" s="34" t="n">
        <f aca="false">IF((60-N(P_L1_Mes)+1)&lt;1,0,IF((60-N(P_L1_Mes)+1)=1,N(P_L1_Monto),BL$126)-BM$125)</f>
        <v>0</v>
      </c>
      <c r="BN126" s="34" t="n">
        <f aca="false">IF((61-N(P_L1_Mes)+1)&lt;1,0,IF((61-N(P_L1_Mes)+1)=1,N(P_L1_Monto),BM$126)-BN$125)</f>
        <v>0</v>
      </c>
      <c r="BO126" s="34" t="n">
        <f aca="false">IF((62-N(P_L1_Mes)+1)&lt;1,0,IF((62-N(P_L1_Mes)+1)=1,N(P_L1_Monto),BN$126)-BO$125)</f>
        <v>0</v>
      </c>
      <c r="BP126" s="34" t="n">
        <f aca="false">IF((63-N(P_L1_Mes)+1)&lt;1,0,IF((63-N(P_L1_Mes)+1)=1,N(P_L1_Monto),BO$126)-BP$125)</f>
        <v>0</v>
      </c>
      <c r="BQ126" s="34" t="n">
        <f aca="false">IF((64-N(P_L1_Mes)+1)&lt;1,0,IF((64-N(P_L1_Mes)+1)=1,N(P_L1_Monto),BP$126)-BQ$125)</f>
        <v>0</v>
      </c>
      <c r="BR126" s="34" t="n">
        <f aca="false">IF((65-N(P_L1_Mes)+1)&lt;1,0,IF((65-N(P_L1_Mes)+1)=1,N(P_L1_Monto),BQ$126)-BR$125)</f>
        <v>0</v>
      </c>
      <c r="BS126" s="34" t="n">
        <f aca="false">IF((66-N(P_L1_Mes)+1)&lt;1,0,IF((66-N(P_L1_Mes)+1)=1,N(P_L1_Monto),BR$126)-BS$125)</f>
        <v>0</v>
      </c>
      <c r="BT126" s="34" t="n">
        <f aca="false">IF((67-N(P_L1_Mes)+1)&lt;1,0,IF((67-N(P_L1_Mes)+1)=1,N(P_L1_Monto),BS$126)-BT$125)</f>
        <v>0</v>
      </c>
      <c r="BU126" s="34" t="n">
        <f aca="false">IF((68-N(P_L1_Mes)+1)&lt;1,0,IF((68-N(P_L1_Mes)+1)=1,N(P_L1_Monto),BT$126)-BU$125)</f>
        <v>0</v>
      </c>
      <c r="BV126" s="34" t="n">
        <f aca="false">IF((69-N(P_L1_Mes)+1)&lt;1,0,IF((69-N(P_L1_Mes)+1)=1,N(P_L1_Monto),BU$126)-BV$125)</f>
        <v>0</v>
      </c>
      <c r="BW126" s="34" t="n">
        <f aca="false">IF((70-N(P_L1_Mes)+1)&lt;1,0,IF((70-N(P_L1_Mes)+1)=1,N(P_L1_Monto),BV$126)-BW$125)</f>
        <v>0</v>
      </c>
      <c r="BX126" s="34" t="n">
        <f aca="false">IF((71-N(P_L1_Mes)+1)&lt;1,0,IF((71-N(P_L1_Mes)+1)=1,N(P_L1_Monto),BW$126)-BX$125)</f>
        <v>0</v>
      </c>
      <c r="BY126" s="34" t="n">
        <f aca="false">IF((72-N(P_L1_Mes)+1)&lt;1,0,IF((72-N(P_L1_Mes)+1)=1,N(P_L1_Monto),BX$126)-BY$125)</f>
        <v>0</v>
      </c>
      <c r="BZ126" s="34" t="n">
        <f aca="false">IF((73-N(P_L1_Mes)+1)&lt;1,0,IF((73-N(P_L1_Mes)+1)=1,N(P_L1_Monto),BY$126)-BZ$125)</f>
        <v>0</v>
      </c>
      <c r="CA126" s="34" t="n">
        <f aca="false">IF((74-N(P_L1_Mes)+1)&lt;1,0,IF((74-N(P_L1_Mes)+1)=1,N(P_L1_Monto),BZ$126)-CA$125)</f>
        <v>0</v>
      </c>
      <c r="CB126" s="34" t="n">
        <f aca="false">IF((75-N(P_L1_Mes)+1)&lt;1,0,IF((75-N(P_L1_Mes)+1)=1,N(P_L1_Monto),CA$126)-CB$125)</f>
        <v>0</v>
      </c>
      <c r="CC126" s="34" t="n">
        <f aca="false">IF((76-N(P_L1_Mes)+1)&lt;1,0,IF((76-N(P_L1_Mes)+1)=1,N(P_L1_Monto),CB$126)-CC$125)</f>
        <v>0</v>
      </c>
      <c r="CD126" s="34" t="n">
        <f aca="false">IF((77-N(P_L1_Mes)+1)&lt;1,0,IF((77-N(P_L1_Mes)+1)=1,N(P_L1_Monto),CC$126)-CD$125)</f>
        <v>0</v>
      </c>
      <c r="CE126" s="34" t="n">
        <f aca="false">IF((78-N(P_L1_Mes)+1)&lt;1,0,IF((78-N(P_L1_Mes)+1)=1,N(P_L1_Monto),CD$126)-CE$125)</f>
        <v>0</v>
      </c>
      <c r="CF126" s="34" t="n">
        <f aca="false">IF((79-N(P_L1_Mes)+1)&lt;1,0,IF((79-N(P_L1_Mes)+1)=1,N(P_L1_Monto),CE$126)-CF$125)</f>
        <v>0</v>
      </c>
      <c r="CG126" s="34" t="n">
        <f aca="false">IF((80-N(P_L1_Mes)+1)&lt;1,0,IF((80-N(P_L1_Mes)+1)=1,N(P_L1_Monto),CF$126)-CG$125)</f>
        <v>0</v>
      </c>
      <c r="CH126" s="34" t="n">
        <f aca="false">IF((81-N(P_L1_Mes)+1)&lt;1,0,IF((81-N(P_L1_Mes)+1)=1,N(P_L1_Monto),CG$126)-CH$125)</f>
        <v>0</v>
      </c>
      <c r="CI126" s="34" t="n">
        <f aca="false">IF((82-N(P_L1_Mes)+1)&lt;1,0,IF((82-N(P_L1_Mes)+1)=1,N(P_L1_Monto),CH$126)-CI$125)</f>
        <v>0</v>
      </c>
      <c r="CJ126" s="34" t="n">
        <f aca="false">IF((83-N(P_L1_Mes)+1)&lt;1,0,IF((83-N(P_L1_Mes)+1)=1,N(P_L1_Monto),CI$126)-CJ$125)</f>
        <v>0</v>
      </c>
      <c r="CK126" s="34" t="n">
        <f aca="false">IF((84-N(P_L1_Mes)+1)&lt;1,0,IF((84-N(P_L1_Mes)+1)=1,N(P_L1_Monto),CJ$126)-CK$125)</f>
        <v>0</v>
      </c>
      <c r="CL126" s="34" t="n">
        <f aca="false">IF((85-N(P_L1_Mes)+1)&lt;1,0,IF((85-N(P_L1_Mes)+1)=1,N(P_L1_Monto),CK$126)-CL$125)</f>
        <v>0</v>
      </c>
      <c r="CM126" s="34" t="n">
        <f aca="false">IF((86-N(P_L1_Mes)+1)&lt;1,0,IF((86-N(P_L1_Mes)+1)=1,N(P_L1_Monto),CL$126)-CM$125)</f>
        <v>0</v>
      </c>
      <c r="CN126" s="34" t="n">
        <f aca="false">IF((87-N(P_L1_Mes)+1)&lt;1,0,IF((87-N(P_L1_Mes)+1)=1,N(P_L1_Monto),CM$126)-CN$125)</f>
        <v>0</v>
      </c>
      <c r="CO126" s="34" t="n">
        <f aca="false">IF((88-N(P_L1_Mes)+1)&lt;1,0,IF((88-N(P_L1_Mes)+1)=1,N(P_L1_Monto),CN$126)-CO$125)</f>
        <v>0</v>
      </c>
      <c r="CP126" s="34" t="n">
        <f aca="false">IF((89-N(P_L1_Mes)+1)&lt;1,0,IF((89-N(P_L1_Mes)+1)=1,N(P_L1_Monto),CO$126)-CP$125)</f>
        <v>0</v>
      </c>
      <c r="CQ126" s="34" t="n">
        <f aca="false">IF((90-N(P_L1_Mes)+1)&lt;1,0,IF((90-N(P_L1_Mes)+1)=1,N(P_L1_Monto),CP$126)-CQ$125)</f>
        <v>0</v>
      </c>
      <c r="CR126" s="34" t="n">
        <f aca="false">IF((91-N(P_L1_Mes)+1)&lt;1,0,IF((91-N(P_L1_Mes)+1)=1,N(P_L1_Monto),CQ$126)-CR$125)</f>
        <v>0</v>
      </c>
      <c r="CS126" s="34" t="n">
        <f aca="false">IF((92-N(P_L1_Mes)+1)&lt;1,0,IF((92-N(P_L1_Mes)+1)=1,N(P_L1_Monto),CR$126)-CS$125)</f>
        <v>0</v>
      </c>
      <c r="CT126" s="34" t="n">
        <f aca="false">IF((93-N(P_L1_Mes)+1)&lt;1,0,IF((93-N(P_L1_Mes)+1)=1,N(P_L1_Monto),CS$126)-CT$125)</f>
        <v>0</v>
      </c>
      <c r="CU126" s="34" t="n">
        <f aca="false">IF((94-N(P_L1_Mes)+1)&lt;1,0,IF((94-N(P_L1_Mes)+1)=1,N(P_L1_Monto),CT$126)-CU$125)</f>
        <v>0</v>
      </c>
      <c r="CV126" s="34" t="n">
        <f aca="false">IF((95-N(P_L1_Mes)+1)&lt;1,0,IF((95-N(P_L1_Mes)+1)=1,N(P_L1_Monto),CU$126)-CV$125)</f>
        <v>0</v>
      </c>
      <c r="CW126" s="34" t="n">
        <f aca="false">IF((96-N(P_L1_Mes)+1)&lt;1,0,IF((96-N(P_L1_Mes)+1)=1,N(P_L1_Monto),CV$126)-CW$125)</f>
        <v>0</v>
      </c>
      <c r="CX126" s="34" t="n">
        <f aca="false">IF((97-N(P_L1_Mes)+1)&lt;1,0,IF((97-N(P_L1_Mes)+1)=1,N(P_L1_Monto),CW$126)-CX$125)</f>
        <v>0</v>
      </c>
      <c r="CY126" s="34" t="n">
        <f aca="false">IF((98-N(P_L1_Mes)+1)&lt;1,0,IF((98-N(P_L1_Mes)+1)=1,N(P_L1_Monto),CX$126)-CY$125)</f>
        <v>0</v>
      </c>
      <c r="CZ126" s="34" t="n">
        <f aca="false">IF((99-N(P_L1_Mes)+1)&lt;1,0,IF((99-N(P_L1_Mes)+1)=1,N(P_L1_Monto),CY$126)-CZ$125)</f>
        <v>0</v>
      </c>
      <c r="DA126" s="34" t="n">
        <f aca="false">IF((100-N(P_L1_Mes)+1)&lt;1,0,IF((100-N(P_L1_Mes)+1)=1,N(P_L1_Monto),CZ$126)-DA$125)</f>
        <v>0</v>
      </c>
      <c r="DB126" s="34" t="n">
        <f aca="false">IF((101-N(P_L1_Mes)+1)&lt;1,0,IF((101-N(P_L1_Mes)+1)=1,N(P_L1_Monto),DA$126)-DB$125)</f>
        <v>0</v>
      </c>
      <c r="DC126" s="34" t="n">
        <f aca="false">IF((102-N(P_L1_Mes)+1)&lt;1,0,IF((102-N(P_L1_Mes)+1)=1,N(P_L1_Monto),DB$126)-DC$125)</f>
        <v>0</v>
      </c>
      <c r="DD126" s="34" t="n">
        <f aca="false">IF((103-N(P_L1_Mes)+1)&lt;1,0,IF((103-N(P_L1_Mes)+1)=1,N(P_L1_Monto),DC$126)-DD$125)</f>
        <v>0</v>
      </c>
      <c r="DE126" s="34" t="n">
        <f aca="false">IF((104-N(P_L1_Mes)+1)&lt;1,0,IF((104-N(P_L1_Mes)+1)=1,N(P_L1_Monto),DD$126)-DE$125)</f>
        <v>0</v>
      </c>
      <c r="DF126" s="34" t="n">
        <f aca="false">IF((105-N(P_L1_Mes)+1)&lt;1,0,IF((105-N(P_L1_Mes)+1)=1,N(P_L1_Monto),DE$126)-DF$125)</f>
        <v>0</v>
      </c>
      <c r="DG126" s="34" t="n">
        <f aca="false">IF((106-N(P_L1_Mes)+1)&lt;1,0,IF((106-N(P_L1_Mes)+1)=1,N(P_L1_Monto),DF$126)-DG$125)</f>
        <v>0</v>
      </c>
      <c r="DH126" s="34" t="n">
        <f aca="false">IF((107-N(P_L1_Mes)+1)&lt;1,0,IF((107-N(P_L1_Mes)+1)=1,N(P_L1_Monto),DG$126)-DH$125)</f>
        <v>0</v>
      </c>
      <c r="DI126" s="34" t="n">
        <f aca="false">IF((108-N(P_L1_Mes)+1)&lt;1,0,IF((108-N(P_L1_Mes)+1)=1,N(P_L1_Monto),DH$126)-DI$125)</f>
        <v>0</v>
      </c>
      <c r="DJ126" s="34" t="n">
        <f aca="false">IF((109-N(P_L1_Mes)+1)&lt;1,0,IF((109-N(P_L1_Mes)+1)=1,N(P_L1_Monto),DI$126)-DJ$125)</f>
        <v>0</v>
      </c>
      <c r="DK126" s="34" t="n">
        <f aca="false">IF((110-N(P_L1_Mes)+1)&lt;1,0,IF((110-N(P_L1_Mes)+1)=1,N(P_L1_Monto),DJ$126)-DK$125)</f>
        <v>0</v>
      </c>
      <c r="DL126" s="34" t="n">
        <f aca="false">IF((111-N(P_L1_Mes)+1)&lt;1,0,IF((111-N(P_L1_Mes)+1)=1,N(P_L1_Monto),DK$126)-DL$125)</f>
        <v>0</v>
      </c>
      <c r="DM126" s="34" t="n">
        <f aca="false">IF((112-N(P_L1_Mes)+1)&lt;1,0,IF((112-N(P_L1_Mes)+1)=1,N(P_L1_Monto),DL$126)-DM$125)</f>
        <v>0</v>
      </c>
      <c r="DN126" s="34" t="n">
        <f aca="false">IF((113-N(P_L1_Mes)+1)&lt;1,0,IF((113-N(P_L1_Mes)+1)=1,N(P_L1_Monto),DM$126)-DN$125)</f>
        <v>0</v>
      </c>
      <c r="DO126" s="34" t="n">
        <f aca="false">IF((114-N(P_L1_Mes)+1)&lt;1,0,IF((114-N(P_L1_Mes)+1)=1,N(P_L1_Monto),DN$126)-DO$125)</f>
        <v>0</v>
      </c>
      <c r="DP126" s="34" t="n">
        <f aca="false">IF((115-N(P_L1_Mes)+1)&lt;1,0,IF((115-N(P_L1_Mes)+1)=1,N(P_L1_Monto),DO$126)-DP$125)</f>
        <v>0</v>
      </c>
      <c r="DQ126" s="34" t="n">
        <f aca="false">IF((116-N(P_L1_Mes)+1)&lt;1,0,IF((116-N(P_L1_Mes)+1)=1,N(P_L1_Monto),DP$126)-DQ$125)</f>
        <v>0</v>
      </c>
      <c r="DR126" s="34" t="n">
        <f aca="false">IF((117-N(P_L1_Mes)+1)&lt;1,0,IF((117-N(P_L1_Mes)+1)=1,N(P_L1_Monto),DQ$126)-DR$125)</f>
        <v>0</v>
      </c>
      <c r="DS126" s="34" t="n">
        <f aca="false">IF((118-N(P_L1_Mes)+1)&lt;1,0,IF((118-N(P_L1_Mes)+1)=1,N(P_L1_Monto),DR$126)-DS$125)</f>
        <v>0</v>
      </c>
      <c r="DT126" s="34" t="n">
        <f aca="false">IF((119-N(P_L1_Mes)+1)&lt;1,0,IF((119-N(P_L1_Mes)+1)=1,N(P_L1_Monto),DS$126)-DT$125)</f>
        <v>0</v>
      </c>
      <c r="DU126" s="34" t="n">
        <f aca="false">IF((120-N(P_L1_Mes)+1)&lt;1,0,IF((120-N(P_L1_Mes)+1)=1,N(P_L1_Monto),DT$126)-DU$125)</f>
        <v>0</v>
      </c>
      <c r="DV126" s="34" t="n">
        <f aca="false">IF((121-N(P_L1_Mes)+1)&lt;1,0,IF((121-N(P_L1_Mes)+1)=1,N(P_L1_Monto),DU$126)-DV$125)</f>
        <v>0</v>
      </c>
      <c r="DW126" s="34" t="n">
        <f aca="false">IF((122-N(P_L1_Mes)+1)&lt;1,0,IF((122-N(P_L1_Mes)+1)=1,N(P_L1_Monto),DV$126)-DW$125)</f>
        <v>0</v>
      </c>
      <c r="DX126" s="34" t="n">
        <f aca="false">IF((123-N(P_L1_Mes)+1)&lt;1,0,IF((123-N(P_L1_Mes)+1)=1,N(P_L1_Monto),DW$126)-DX$125)</f>
        <v>0</v>
      </c>
      <c r="DY126" s="34" t="n">
        <f aca="false">IF((124-N(P_L1_Mes)+1)&lt;1,0,IF((124-N(P_L1_Mes)+1)=1,N(P_L1_Monto),DX$126)-DY$125)</f>
        <v>0</v>
      </c>
      <c r="DZ126" s="34" t="n">
        <f aca="false">IF((125-N(P_L1_Mes)+1)&lt;1,0,IF((125-N(P_L1_Mes)+1)=1,N(P_L1_Monto),DY$126)-DZ$125)</f>
        <v>0</v>
      </c>
      <c r="EA126" s="34" t="n">
        <f aca="false">IF((126-N(P_L1_Mes)+1)&lt;1,0,IF((126-N(P_L1_Mes)+1)=1,N(P_L1_Monto),DZ$126)-EA$125)</f>
        <v>0</v>
      </c>
      <c r="EB126" s="34" t="n">
        <f aca="false">IF((127-N(P_L1_Mes)+1)&lt;1,0,IF((127-N(P_L1_Mes)+1)=1,N(P_L1_Monto),EA$126)-EB$125)</f>
        <v>0</v>
      </c>
      <c r="EC126" s="34" t="n">
        <f aca="false">IF((128-N(P_L1_Mes)+1)&lt;1,0,IF((128-N(P_L1_Mes)+1)=1,N(P_L1_Monto),EB$126)-EC$125)</f>
        <v>0</v>
      </c>
      <c r="ED126" s="34" t="n">
        <f aca="false">IF((129-N(P_L1_Mes)+1)&lt;1,0,IF((129-N(P_L1_Mes)+1)=1,N(P_L1_Monto),EC$126)-ED$125)</f>
        <v>0</v>
      </c>
      <c r="EE126" s="34" t="n">
        <f aca="false">IF((130-N(P_L1_Mes)+1)&lt;1,0,IF((130-N(P_L1_Mes)+1)=1,N(P_L1_Monto),ED$126)-EE$125)</f>
        <v>0</v>
      </c>
      <c r="EF126" s="34" t="n">
        <f aca="false">IF((131-N(P_L1_Mes)+1)&lt;1,0,IF((131-N(P_L1_Mes)+1)=1,N(P_L1_Monto),EE$126)-EF$125)</f>
        <v>0</v>
      </c>
      <c r="EG126" s="34" t="n">
        <f aca="false">IF((132-N(P_L1_Mes)+1)&lt;1,0,IF((132-N(P_L1_Mes)+1)=1,N(P_L1_Monto),EF$126)-EG$125)</f>
        <v>0</v>
      </c>
      <c r="EH126" s="34" t="n">
        <f aca="false">IF((133-N(P_L1_Mes)+1)&lt;1,0,IF((133-N(P_L1_Mes)+1)=1,N(P_L1_Monto),EG$126)-EH$125)</f>
        <v>0</v>
      </c>
      <c r="EI126" s="34" t="n">
        <f aca="false">IF((134-N(P_L1_Mes)+1)&lt;1,0,IF((134-N(P_L1_Mes)+1)=1,N(P_L1_Monto),EH$126)-EI$125)</f>
        <v>0</v>
      </c>
      <c r="EJ126" s="34" t="n">
        <f aca="false">IF((135-N(P_L1_Mes)+1)&lt;1,0,IF((135-N(P_L1_Mes)+1)=1,N(P_L1_Monto),EI$126)-EJ$125)</f>
        <v>0</v>
      </c>
      <c r="EK126" s="34" t="n">
        <f aca="false">IF((136-N(P_L1_Mes)+1)&lt;1,0,IF((136-N(P_L1_Mes)+1)=1,N(P_L1_Monto),EJ$126)-EK$125)</f>
        <v>0</v>
      </c>
      <c r="EL126" s="34" t="n">
        <f aca="false">IF((137-N(P_L1_Mes)+1)&lt;1,0,IF((137-N(P_L1_Mes)+1)=1,N(P_L1_Monto),EK$126)-EL$125)</f>
        <v>0</v>
      </c>
      <c r="EM126" s="34" t="n">
        <f aca="false">IF((138-N(P_L1_Mes)+1)&lt;1,0,IF((138-N(P_L1_Mes)+1)=1,N(P_L1_Monto),EL$126)-EM$125)</f>
        <v>0</v>
      </c>
      <c r="EN126" s="34" t="n">
        <f aca="false">IF((139-N(P_L1_Mes)+1)&lt;1,0,IF((139-N(P_L1_Mes)+1)=1,N(P_L1_Monto),EM$126)-EN$125)</f>
        <v>0</v>
      </c>
      <c r="EO126" s="34" t="n">
        <f aca="false">IF((140-N(P_L1_Mes)+1)&lt;1,0,IF((140-N(P_L1_Mes)+1)=1,N(P_L1_Monto),EN$126)-EO$125)</f>
        <v>0</v>
      </c>
      <c r="EP126" s="34" t="n">
        <f aca="false">IF((141-N(P_L1_Mes)+1)&lt;1,0,IF((141-N(P_L1_Mes)+1)=1,N(P_L1_Monto),EO$126)-EP$125)</f>
        <v>0</v>
      </c>
      <c r="EQ126" s="34" t="n">
        <f aca="false">IF((142-N(P_L1_Mes)+1)&lt;1,0,IF((142-N(P_L1_Mes)+1)=1,N(P_L1_Monto),EP$126)-EQ$125)</f>
        <v>0</v>
      </c>
      <c r="ER126" s="34" t="n">
        <f aca="false">IF((143-N(P_L1_Mes)+1)&lt;1,0,IF((143-N(P_L1_Mes)+1)=1,N(P_L1_Monto),EQ$126)-ER$125)</f>
        <v>0</v>
      </c>
      <c r="ES126" s="34" t="n">
        <f aca="false">IF((144-N(P_L1_Mes)+1)&lt;1,0,IF((144-N(P_L1_Mes)+1)=1,N(P_L1_Monto),ER$126)-ES$125)</f>
        <v>0</v>
      </c>
    </row>
    <row r="127" customFormat="false" ht="15" hidden="false" customHeight="false" outlineLevel="0" collapsed="false">
      <c r="A127" s="2" t="s">
        <v>737</v>
      </c>
      <c r="B127" s="6" t="s">
        <v>738</v>
      </c>
      <c r="C127" s="6" t="s">
        <v>250</v>
      </c>
      <c r="E127" s="40" t="n">
        <f aca="false">SUM(F127:ES127)</f>
        <v>0</v>
      </c>
      <c r="F127" s="34" t="n">
        <f aca="false">IF((1-N(P_L2_Mes)+1)=1,N(P_L2_Monto),0)*F$9</f>
        <v>0</v>
      </c>
      <c r="G127" s="34" t="n">
        <f aca="false">IF((2-N(P_L2_Mes)+1)=1,N(P_L2_Monto),0)*G$9</f>
        <v>0</v>
      </c>
      <c r="H127" s="34" t="n">
        <f aca="false">IF((3-N(P_L2_Mes)+1)=1,N(P_L2_Monto),0)*H$9</f>
        <v>0</v>
      </c>
      <c r="I127" s="34" t="n">
        <f aca="false">IF((4-N(P_L2_Mes)+1)=1,N(P_L2_Monto),0)*I$9</f>
        <v>0</v>
      </c>
      <c r="J127" s="34" t="n">
        <f aca="false">IF((5-N(P_L2_Mes)+1)=1,N(P_L2_Monto),0)*J$9</f>
        <v>0</v>
      </c>
      <c r="K127" s="34" t="n">
        <f aca="false">IF((6-N(P_L2_Mes)+1)=1,N(P_L2_Monto),0)*K$9</f>
        <v>0</v>
      </c>
      <c r="L127" s="34" t="n">
        <f aca="false">IF((7-N(P_L2_Mes)+1)=1,N(P_L2_Monto),0)*L$9</f>
        <v>0</v>
      </c>
      <c r="M127" s="34" t="n">
        <f aca="false">IF((8-N(P_L2_Mes)+1)=1,N(P_L2_Monto),0)*M$9</f>
        <v>0</v>
      </c>
      <c r="N127" s="34" t="n">
        <f aca="false">IF((9-N(P_L2_Mes)+1)=1,N(P_L2_Monto),0)*N$9</f>
        <v>0</v>
      </c>
      <c r="O127" s="34" t="n">
        <f aca="false">IF((10-N(P_L2_Mes)+1)=1,N(P_L2_Monto),0)*O$9</f>
        <v>0</v>
      </c>
      <c r="P127" s="34" t="n">
        <f aca="false">IF((11-N(P_L2_Mes)+1)=1,N(P_L2_Monto),0)*P$9</f>
        <v>0</v>
      </c>
      <c r="Q127" s="34" t="n">
        <f aca="false">IF((12-N(P_L2_Mes)+1)=1,N(P_L2_Monto),0)*Q$9</f>
        <v>0</v>
      </c>
      <c r="R127" s="34" t="n">
        <f aca="false">IF((13-N(P_L2_Mes)+1)=1,N(P_L2_Monto),0)*R$9</f>
        <v>0</v>
      </c>
      <c r="S127" s="34" t="n">
        <f aca="false">IF((14-N(P_L2_Mes)+1)=1,N(P_L2_Monto),0)*S$9</f>
        <v>0</v>
      </c>
      <c r="T127" s="34" t="n">
        <f aca="false">IF((15-N(P_L2_Mes)+1)=1,N(P_L2_Monto),0)*T$9</f>
        <v>0</v>
      </c>
      <c r="U127" s="34" t="n">
        <f aca="false">IF((16-N(P_L2_Mes)+1)=1,N(P_L2_Monto),0)*U$9</f>
        <v>0</v>
      </c>
      <c r="V127" s="34" t="n">
        <f aca="false">IF((17-N(P_L2_Mes)+1)=1,N(P_L2_Monto),0)*V$9</f>
        <v>0</v>
      </c>
      <c r="W127" s="34" t="n">
        <f aca="false">IF((18-N(P_L2_Mes)+1)=1,N(P_L2_Monto),0)*W$9</f>
        <v>0</v>
      </c>
      <c r="X127" s="34" t="n">
        <f aca="false">IF((19-N(P_L2_Mes)+1)=1,N(P_L2_Monto),0)*X$9</f>
        <v>0</v>
      </c>
      <c r="Y127" s="34" t="n">
        <f aca="false">IF((20-N(P_L2_Mes)+1)=1,N(P_L2_Monto),0)*Y$9</f>
        <v>0</v>
      </c>
      <c r="Z127" s="34" t="n">
        <f aca="false">IF((21-N(P_L2_Mes)+1)=1,N(P_L2_Monto),0)*Z$9</f>
        <v>0</v>
      </c>
      <c r="AA127" s="34" t="n">
        <f aca="false">IF((22-N(P_L2_Mes)+1)=1,N(P_L2_Monto),0)*AA$9</f>
        <v>0</v>
      </c>
      <c r="AB127" s="34" t="n">
        <f aca="false">IF((23-N(P_L2_Mes)+1)=1,N(P_L2_Monto),0)*AB$9</f>
        <v>0</v>
      </c>
      <c r="AC127" s="34" t="n">
        <f aca="false">IF((24-N(P_L2_Mes)+1)=1,N(P_L2_Monto),0)*AC$9</f>
        <v>0</v>
      </c>
      <c r="AD127" s="34" t="n">
        <f aca="false">IF((25-N(P_L2_Mes)+1)=1,N(P_L2_Monto),0)*AD$9</f>
        <v>0</v>
      </c>
      <c r="AE127" s="34" t="n">
        <f aca="false">IF((26-N(P_L2_Mes)+1)=1,N(P_L2_Monto),0)*AE$9</f>
        <v>0</v>
      </c>
      <c r="AF127" s="34" t="n">
        <f aca="false">IF((27-N(P_L2_Mes)+1)=1,N(P_L2_Monto),0)*AF$9</f>
        <v>0</v>
      </c>
      <c r="AG127" s="34" t="n">
        <f aca="false">IF((28-N(P_L2_Mes)+1)=1,N(P_L2_Monto),0)*AG$9</f>
        <v>0</v>
      </c>
      <c r="AH127" s="34" t="n">
        <f aca="false">IF((29-N(P_L2_Mes)+1)=1,N(P_L2_Monto),0)*AH$9</f>
        <v>0</v>
      </c>
      <c r="AI127" s="34" t="n">
        <f aca="false">IF((30-N(P_L2_Mes)+1)=1,N(P_L2_Monto),0)*AI$9</f>
        <v>0</v>
      </c>
      <c r="AJ127" s="34" t="n">
        <f aca="false">IF((31-N(P_L2_Mes)+1)=1,N(P_L2_Monto),0)*AJ$9</f>
        <v>0</v>
      </c>
      <c r="AK127" s="34" t="n">
        <f aca="false">IF((32-N(P_L2_Mes)+1)=1,N(P_L2_Monto),0)*AK$9</f>
        <v>0</v>
      </c>
      <c r="AL127" s="34" t="n">
        <f aca="false">IF((33-N(P_L2_Mes)+1)=1,N(P_L2_Monto),0)*AL$9</f>
        <v>0</v>
      </c>
      <c r="AM127" s="34" t="n">
        <f aca="false">IF((34-N(P_L2_Mes)+1)=1,N(P_L2_Monto),0)*AM$9</f>
        <v>0</v>
      </c>
      <c r="AN127" s="34" t="n">
        <f aca="false">IF((35-N(P_L2_Mes)+1)=1,N(P_L2_Monto),0)*AN$9</f>
        <v>0</v>
      </c>
      <c r="AO127" s="34" t="n">
        <f aca="false">IF((36-N(P_L2_Mes)+1)=1,N(P_L2_Monto),0)*AO$9</f>
        <v>0</v>
      </c>
      <c r="AP127" s="34" t="n">
        <f aca="false">IF((37-N(P_L2_Mes)+1)=1,N(P_L2_Monto),0)*AP$9</f>
        <v>0</v>
      </c>
      <c r="AQ127" s="34" t="n">
        <f aca="false">IF((38-N(P_L2_Mes)+1)=1,N(P_L2_Monto),0)*AQ$9</f>
        <v>0</v>
      </c>
      <c r="AR127" s="34" t="n">
        <f aca="false">IF((39-N(P_L2_Mes)+1)=1,N(P_L2_Monto),0)*AR$9</f>
        <v>0</v>
      </c>
      <c r="AS127" s="34" t="n">
        <f aca="false">IF((40-N(P_L2_Mes)+1)=1,N(P_L2_Monto),0)*AS$9</f>
        <v>0</v>
      </c>
      <c r="AT127" s="34" t="n">
        <f aca="false">IF((41-N(P_L2_Mes)+1)=1,N(P_L2_Monto),0)*AT$9</f>
        <v>0</v>
      </c>
      <c r="AU127" s="34" t="n">
        <f aca="false">IF((42-N(P_L2_Mes)+1)=1,N(P_L2_Monto),0)*AU$9</f>
        <v>0</v>
      </c>
      <c r="AV127" s="34" t="n">
        <f aca="false">IF((43-N(P_L2_Mes)+1)=1,N(P_L2_Monto),0)*AV$9</f>
        <v>0</v>
      </c>
      <c r="AW127" s="34" t="n">
        <f aca="false">IF((44-N(P_L2_Mes)+1)=1,N(P_L2_Monto),0)*AW$9</f>
        <v>0</v>
      </c>
      <c r="AX127" s="34" t="n">
        <f aca="false">IF((45-N(P_L2_Mes)+1)=1,N(P_L2_Monto),0)*AX$9</f>
        <v>0</v>
      </c>
      <c r="AY127" s="34" t="n">
        <f aca="false">IF((46-N(P_L2_Mes)+1)=1,N(P_L2_Monto),0)*AY$9</f>
        <v>0</v>
      </c>
      <c r="AZ127" s="34" t="n">
        <f aca="false">IF((47-N(P_L2_Mes)+1)=1,N(P_L2_Monto),0)*AZ$9</f>
        <v>0</v>
      </c>
      <c r="BA127" s="34" t="n">
        <f aca="false">IF((48-N(P_L2_Mes)+1)=1,N(P_L2_Monto),0)*BA$9</f>
        <v>0</v>
      </c>
      <c r="BB127" s="34" t="n">
        <f aca="false">IF((49-N(P_L2_Mes)+1)=1,N(P_L2_Monto),0)*BB$9</f>
        <v>0</v>
      </c>
      <c r="BC127" s="34" t="n">
        <f aca="false">IF((50-N(P_L2_Mes)+1)=1,N(P_L2_Monto),0)*BC$9</f>
        <v>0</v>
      </c>
      <c r="BD127" s="34" t="n">
        <f aca="false">IF((51-N(P_L2_Mes)+1)=1,N(P_L2_Monto),0)*BD$9</f>
        <v>0</v>
      </c>
      <c r="BE127" s="34" t="n">
        <f aca="false">IF((52-N(P_L2_Mes)+1)=1,N(P_L2_Monto),0)*BE$9</f>
        <v>0</v>
      </c>
      <c r="BF127" s="34" t="n">
        <f aca="false">IF((53-N(P_L2_Mes)+1)=1,N(P_L2_Monto),0)*BF$9</f>
        <v>0</v>
      </c>
      <c r="BG127" s="34" t="n">
        <f aca="false">IF((54-N(P_L2_Mes)+1)=1,N(P_L2_Monto),0)*BG$9</f>
        <v>0</v>
      </c>
      <c r="BH127" s="34" t="n">
        <f aca="false">IF((55-N(P_L2_Mes)+1)=1,N(P_L2_Monto),0)*BH$9</f>
        <v>0</v>
      </c>
      <c r="BI127" s="34" t="n">
        <f aca="false">IF((56-N(P_L2_Mes)+1)=1,N(P_L2_Monto),0)*BI$9</f>
        <v>0</v>
      </c>
      <c r="BJ127" s="34" t="n">
        <f aca="false">IF((57-N(P_L2_Mes)+1)=1,N(P_L2_Monto),0)*BJ$9</f>
        <v>0</v>
      </c>
      <c r="BK127" s="34" t="n">
        <f aca="false">IF((58-N(P_L2_Mes)+1)=1,N(P_L2_Monto),0)*BK$9</f>
        <v>0</v>
      </c>
      <c r="BL127" s="34" t="n">
        <f aca="false">IF((59-N(P_L2_Mes)+1)=1,N(P_L2_Monto),0)*BL$9</f>
        <v>0</v>
      </c>
      <c r="BM127" s="34" t="n">
        <f aca="false">IF((60-N(P_L2_Mes)+1)=1,N(P_L2_Monto),0)*BM$9</f>
        <v>0</v>
      </c>
      <c r="BN127" s="34" t="n">
        <f aca="false">IF((61-N(P_L2_Mes)+1)=1,N(P_L2_Monto),0)*BN$9</f>
        <v>0</v>
      </c>
      <c r="BO127" s="34" t="n">
        <f aca="false">IF((62-N(P_L2_Mes)+1)=1,N(P_L2_Monto),0)*BO$9</f>
        <v>0</v>
      </c>
      <c r="BP127" s="34" t="n">
        <f aca="false">IF((63-N(P_L2_Mes)+1)=1,N(P_L2_Monto),0)*BP$9</f>
        <v>0</v>
      </c>
      <c r="BQ127" s="34" t="n">
        <f aca="false">IF((64-N(P_L2_Mes)+1)=1,N(P_L2_Monto),0)*BQ$9</f>
        <v>0</v>
      </c>
      <c r="BR127" s="34" t="n">
        <f aca="false">IF((65-N(P_L2_Mes)+1)=1,N(P_L2_Monto),0)*BR$9</f>
        <v>0</v>
      </c>
      <c r="BS127" s="34" t="n">
        <f aca="false">IF((66-N(P_L2_Mes)+1)=1,N(P_L2_Monto),0)*BS$9</f>
        <v>0</v>
      </c>
      <c r="BT127" s="34" t="n">
        <f aca="false">IF((67-N(P_L2_Mes)+1)=1,N(P_L2_Monto),0)*BT$9</f>
        <v>0</v>
      </c>
      <c r="BU127" s="34" t="n">
        <f aca="false">IF((68-N(P_L2_Mes)+1)=1,N(P_L2_Monto),0)*BU$9</f>
        <v>0</v>
      </c>
      <c r="BV127" s="34" t="n">
        <f aca="false">IF((69-N(P_L2_Mes)+1)=1,N(P_L2_Monto),0)*BV$9</f>
        <v>0</v>
      </c>
      <c r="BW127" s="34" t="n">
        <f aca="false">IF((70-N(P_L2_Mes)+1)=1,N(P_L2_Monto),0)*BW$9</f>
        <v>0</v>
      </c>
      <c r="BX127" s="34" t="n">
        <f aca="false">IF((71-N(P_L2_Mes)+1)=1,N(P_L2_Monto),0)*BX$9</f>
        <v>0</v>
      </c>
      <c r="BY127" s="34" t="n">
        <f aca="false">IF((72-N(P_L2_Mes)+1)=1,N(P_L2_Monto),0)*BY$9</f>
        <v>0</v>
      </c>
      <c r="BZ127" s="34" t="n">
        <f aca="false">IF((73-N(P_L2_Mes)+1)=1,N(P_L2_Monto),0)*BZ$9</f>
        <v>0</v>
      </c>
      <c r="CA127" s="34" t="n">
        <f aca="false">IF((74-N(P_L2_Mes)+1)=1,N(P_L2_Monto),0)*CA$9</f>
        <v>0</v>
      </c>
      <c r="CB127" s="34" t="n">
        <f aca="false">IF((75-N(P_L2_Mes)+1)=1,N(P_L2_Monto),0)*CB$9</f>
        <v>0</v>
      </c>
      <c r="CC127" s="34" t="n">
        <f aca="false">IF((76-N(P_L2_Mes)+1)=1,N(P_L2_Monto),0)*CC$9</f>
        <v>0</v>
      </c>
      <c r="CD127" s="34" t="n">
        <f aca="false">IF((77-N(P_L2_Mes)+1)=1,N(P_L2_Monto),0)*CD$9</f>
        <v>0</v>
      </c>
      <c r="CE127" s="34" t="n">
        <f aca="false">IF((78-N(P_L2_Mes)+1)=1,N(P_L2_Monto),0)*CE$9</f>
        <v>0</v>
      </c>
      <c r="CF127" s="34" t="n">
        <f aca="false">IF((79-N(P_L2_Mes)+1)=1,N(P_L2_Monto),0)*CF$9</f>
        <v>0</v>
      </c>
      <c r="CG127" s="34" t="n">
        <f aca="false">IF((80-N(P_L2_Mes)+1)=1,N(P_L2_Monto),0)*CG$9</f>
        <v>0</v>
      </c>
      <c r="CH127" s="34" t="n">
        <f aca="false">IF((81-N(P_L2_Mes)+1)=1,N(P_L2_Monto),0)*CH$9</f>
        <v>0</v>
      </c>
      <c r="CI127" s="34" t="n">
        <f aca="false">IF((82-N(P_L2_Mes)+1)=1,N(P_L2_Monto),0)*CI$9</f>
        <v>0</v>
      </c>
      <c r="CJ127" s="34" t="n">
        <f aca="false">IF((83-N(P_L2_Mes)+1)=1,N(P_L2_Monto),0)*CJ$9</f>
        <v>0</v>
      </c>
      <c r="CK127" s="34" t="n">
        <f aca="false">IF((84-N(P_L2_Mes)+1)=1,N(P_L2_Monto),0)*CK$9</f>
        <v>0</v>
      </c>
      <c r="CL127" s="34" t="n">
        <f aca="false">IF((85-N(P_L2_Mes)+1)=1,N(P_L2_Monto),0)*CL$9</f>
        <v>0</v>
      </c>
      <c r="CM127" s="34" t="n">
        <f aca="false">IF((86-N(P_L2_Mes)+1)=1,N(P_L2_Monto),0)*CM$9</f>
        <v>0</v>
      </c>
      <c r="CN127" s="34" t="n">
        <f aca="false">IF((87-N(P_L2_Mes)+1)=1,N(P_L2_Monto),0)*CN$9</f>
        <v>0</v>
      </c>
      <c r="CO127" s="34" t="n">
        <f aca="false">IF((88-N(P_L2_Mes)+1)=1,N(P_L2_Monto),0)*CO$9</f>
        <v>0</v>
      </c>
      <c r="CP127" s="34" t="n">
        <f aca="false">IF((89-N(P_L2_Mes)+1)=1,N(P_L2_Monto),0)*CP$9</f>
        <v>0</v>
      </c>
      <c r="CQ127" s="34" t="n">
        <f aca="false">IF((90-N(P_L2_Mes)+1)=1,N(P_L2_Monto),0)*CQ$9</f>
        <v>0</v>
      </c>
      <c r="CR127" s="34" t="n">
        <f aca="false">IF((91-N(P_L2_Mes)+1)=1,N(P_L2_Monto),0)*CR$9</f>
        <v>0</v>
      </c>
      <c r="CS127" s="34" t="n">
        <f aca="false">IF((92-N(P_L2_Mes)+1)=1,N(P_L2_Monto),0)*CS$9</f>
        <v>0</v>
      </c>
      <c r="CT127" s="34" t="n">
        <f aca="false">IF((93-N(P_L2_Mes)+1)=1,N(P_L2_Monto),0)*CT$9</f>
        <v>0</v>
      </c>
      <c r="CU127" s="34" t="n">
        <f aca="false">IF((94-N(P_L2_Mes)+1)=1,N(P_L2_Monto),0)*CU$9</f>
        <v>0</v>
      </c>
      <c r="CV127" s="34" t="n">
        <f aca="false">IF((95-N(P_L2_Mes)+1)=1,N(P_L2_Monto),0)*CV$9</f>
        <v>0</v>
      </c>
      <c r="CW127" s="34" t="n">
        <f aca="false">IF((96-N(P_L2_Mes)+1)=1,N(P_L2_Monto),0)*CW$9</f>
        <v>0</v>
      </c>
      <c r="CX127" s="34" t="n">
        <f aca="false">IF((97-N(P_L2_Mes)+1)=1,N(P_L2_Monto),0)*CX$9</f>
        <v>0</v>
      </c>
      <c r="CY127" s="34" t="n">
        <f aca="false">IF((98-N(P_L2_Mes)+1)=1,N(P_L2_Monto),0)*CY$9</f>
        <v>0</v>
      </c>
      <c r="CZ127" s="34" t="n">
        <f aca="false">IF((99-N(P_L2_Mes)+1)=1,N(P_L2_Monto),0)*CZ$9</f>
        <v>0</v>
      </c>
      <c r="DA127" s="34" t="n">
        <f aca="false">IF((100-N(P_L2_Mes)+1)=1,N(P_L2_Monto),0)*DA$9</f>
        <v>0</v>
      </c>
      <c r="DB127" s="34" t="n">
        <f aca="false">IF((101-N(P_L2_Mes)+1)=1,N(P_L2_Monto),0)*DB$9</f>
        <v>0</v>
      </c>
      <c r="DC127" s="34" t="n">
        <f aca="false">IF((102-N(P_L2_Mes)+1)=1,N(P_L2_Monto),0)*DC$9</f>
        <v>0</v>
      </c>
      <c r="DD127" s="34" t="n">
        <f aca="false">IF((103-N(P_L2_Mes)+1)=1,N(P_L2_Monto),0)*DD$9</f>
        <v>0</v>
      </c>
      <c r="DE127" s="34" t="n">
        <f aca="false">IF((104-N(P_L2_Mes)+1)=1,N(P_L2_Monto),0)*DE$9</f>
        <v>0</v>
      </c>
      <c r="DF127" s="34" t="n">
        <f aca="false">IF((105-N(P_L2_Mes)+1)=1,N(P_L2_Monto),0)*DF$9</f>
        <v>0</v>
      </c>
      <c r="DG127" s="34" t="n">
        <f aca="false">IF((106-N(P_L2_Mes)+1)=1,N(P_L2_Monto),0)*DG$9</f>
        <v>0</v>
      </c>
      <c r="DH127" s="34" t="n">
        <f aca="false">IF((107-N(P_L2_Mes)+1)=1,N(P_L2_Monto),0)*DH$9</f>
        <v>0</v>
      </c>
      <c r="DI127" s="34" t="n">
        <f aca="false">IF((108-N(P_L2_Mes)+1)=1,N(P_L2_Monto),0)*DI$9</f>
        <v>0</v>
      </c>
      <c r="DJ127" s="34" t="n">
        <f aca="false">IF((109-N(P_L2_Mes)+1)=1,N(P_L2_Monto),0)*DJ$9</f>
        <v>0</v>
      </c>
      <c r="DK127" s="34" t="n">
        <f aca="false">IF((110-N(P_L2_Mes)+1)=1,N(P_L2_Monto),0)*DK$9</f>
        <v>0</v>
      </c>
      <c r="DL127" s="34" t="n">
        <f aca="false">IF((111-N(P_L2_Mes)+1)=1,N(P_L2_Monto),0)*DL$9</f>
        <v>0</v>
      </c>
      <c r="DM127" s="34" t="n">
        <f aca="false">IF((112-N(P_L2_Mes)+1)=1,N(P_L2_Monto),0)*DM$9</f>
        <v>0</v>
      </c>
      <c r="DN127" s="34" t="n">
        <f aca="false">IF((113-N(P_L2_Mes)+1)=1,N(P_L2_Monto),0)*DN$9</f>
        <v>0</v>
      </c>
      <c r="DO127" s="34" t="n">
        <f aca="false">IF((114-N(P_L2_Mes)+1)=1,N(P_L2_Monto),0)*DO$9</f>
        <v>0</v>
      </c>
      <c r="DP127" s="34" t="n">
        <f aca="false">IF((115-N(P_L2_Mes)+1)=1,N(P_L2_Monto),0)*DP$9</f>
        <v>0</v>
      </c>
      <c r="DQ127" s="34" t="n">
        <f aca="false">IF((116-N(P_L2_Mes)+1)=1,N(P_L2_Monto),0)*DQ$9</f>
        <v>0</v>
      </c>
      <c r="DR127" s="34" t="n">
        <f aca="false">IF((117-N(P_L2_Mes)+1)=1,N(P_L2_Monto),0)*DR$9</f>
        <v>0</v>
      </c>
      <c r="DS127" s="34" t="n">
        <f aca="false">IF((118-N(P_L2_Mes)+1)=1,N(P_L2_Monto),0)*DS$9</f>
        <v>0</v>
      </c>
      <c r="DT127" s="34" t="n">
        <f aca="false">IF((119-N(P_L2_Mes)+1)=1,N(P_L2_Monto),0)*DT$9</f>
        <v>0</v>
      </c>
      <c r="DU127" s="34" t="n">
        <f aca="false">IF((120-N(P_L2_Mes)+1)=1,N(P_L2_Monto),0)*DU$9</f>
        <v>0</v>
      </c>
      <c r="DV127" s="34" t="n">
        <f aca="false">IF((121-N(P_L2_Mes)+1)=1,N(P_L2_Monto),0)*DV$9</f>
        <v>0</v>
      </c>
      <c r="DW127" s="34" t="n">
        <f aca="false">IF((122-N(P_L2_Mes)+1)=1,N(P_L2_Monto),0)*DW$9</f>
        <v>0</v>
      </c>
      <c r="DX127" s="34" t="n">
        <f aca="false">IF((123-N(P_L2_Mes)+1)=1,N(P_L2_Monto),0)*DX$9</f>
        <v>0</v>
      </c>
      <c r="DY127" s="34" t="n">
        <f aca="false">IF((124-N(P_L2_Mes)+1)=1,N(P_L2_Monto),0)*DY$9</f>
        <v>0</v>
      </c>
      <c r="DZ127" s="34" t="n">
        <f aca="false">IF((125-N(P_L2_Mes)+1)=1,N(P_L2_Monto),0)*DZ$9</f>
        <v>0</v>
      </c>
      <c r="EA127" s="34" t="n">
        <f aca="false">IF((126-N(P_L2_Mes)+1)=1,N(P_L2_Monto),0)*EA$9</f>
        <v>0</v>
      </c>
      <c r="EB127" s="34" t="n">
        <f aca="false">IF((127-N(P_L2_Mes)+1)=1,N(P_L2_Monto),0)*EB$9</f>
        <v>0</v>
      </c>
      <c r="EC127" s="34" t="n">
        <f aca="false">IF((128-N(P_L2_Mes)+1)=1,N(P_L2_Monto),0)*EC$9</f>
        <v>0</v>
      </c>
      <c r="ED127" s="34" t="n">
        <f aca="false">IF((129-N(P_L2_Mes)+1)=1,N(P_L2_Monto),0)*ED$9</f>
        <v>0</v>
      </c>
      <c r="EE127" s="34" t="n">
        <f aca="false">IF((130-N(P_L2_Mes)+1)=1,N(P_L2_Monto),0)*EE$9</f>
        <v>0</v>
      </c>
      <c r="EF127" s="34" t="n">
        <f aca="false">IF((131-N(P_L2_Mes)+1)=1,N(P_L2_Monto),0)*EF$9</f>
        <v>0</v>
      </c>
      <c r="EG127" s="34" t="n">
        <f aca="false">IF((132-N(P_L2_Mes)+1)=1,N(P_L2_Monto),0)*EG$9</f>
        <v>0</v>
      </c>
      <c r="EH127" s="34" t="n">
        <f aca="false">IF((133-N(P_L2_Mes)+1)=1,N(P_L2_Monto),0)*EH$9</f>
        <v>0</v>
      </c>
      <c r="EI127" s="34" t="n">
        <f aca="false">IF((134-N(P_L2_Mes)+1)=1,N(P_L2_Monto),0)*EI$9</f>
        <v>0</v>
      </c>
      <c r="EJ127" s="34" t="n">
        <f aca="false">IF((135-N(P_L2_Mes)+1)=1,N(P_L2_Monto),0)*EJ$9</f>
        <v>0</v>
      </c>
      <c r="EK127" s="34" t="n">
        <f aca="false">IF((136-N(P_L2_Mes)+1)=1,N(P_L2_Monto),0)*EK$9</f>
        <v>0</v>
      </c>
      <c r="EL127" s="34" t="n">
        <f aca="false">IF((137-N(P_L2_Mes)+1)=1,N(P_L2_Monto),0)*EL$9</f>
        <v>0</v>
      </c>
      <c r="EM127" s="34" t="n">
        <f aca="false">IF((138-N(P_L2_Mes)+1)=1,N(P_L2_Monto),0)*EM$9</f>
        <v>0</v>
      </c>
      <c r="EN127" s="34" t="n">
        <f aca="false">IF((139-N(P_L2_Mes)+1)=1,N(P_L2_Monto),0)*EN$9</f>
        <v>0</v>
      </c>
      <c r="EO127" s="34" t="n">
        <f aca="false">IF((140-N(P_L2_Mes)+1)=1,N(P_L2_Monto),0)*EO$9</f>
        <v>0</v>
      </c>
      <c r="EP127" s="34" t="n">
        <f aca="false">IF((141-N(P_L2_Mes)+1)=1,N(P_L2_Monto),0)*EP$9</f>
        <v>0</v>
      </c>
      <c r="EQ127" s="34" t="n">
        <f aca="false">IF((142-N(P_L2_Mes)+1)=1,N(P_L2_Monto),0)*EQ$9</f>
        <v>0</v>
      </c>
      <c r="ER127" s="34" t="n">
        <f aca="false">IF((143-N(P_L2_Mes)+1)=1,N(P_L2_Monto),0)*ER$9</f>
        <v>0</v>
      </c>
      <c r="ES127" s="34" t="n">
        <f aca="false">IF((144-N(P_L2_Mes)+1)=1,N(P_L2_Monto),0)*ES$9</f>
        <v>0</v>
      </c>
    </row>
    <row r="128" customFormat="false" ht="15" hidden="false" customHeight="false" outlineLevel="0" collapsed="false">
      <c r="A128" s="2" t="s">
        <v>739</v>
      </c>
      <c r="B128" s="6" t="s">
        <v>740</v>
      </c>
      <c r="C128" s="6" t="s">
        <v>250</v>
      </c>
      <c r="E128" s="40" t="n">
        <f aca="false">SUM(F128:ES128)</f>
        <v>0</v>
      </c>
      <c r="F128" s="34" t="n">
        <f aca="false">IF((1-N(P_L2_Mes)+1)&gt;=1,IF((1-N(P_L2_Mes)+1)=1,N(P_L2_Monto),0)*N(P_L2_Tasa)/12,0)*F$9</f>
        <v>0</v>
      </c>
      <c r="G128" s="34" t="n">
        <f aca="false">IF((2-N(P_L2_Mes)+1)&gt;=1,IF((2-N(P_L2_Mes)+1)=1,N(P_L2_Monto),F$130)*N(P_L2_Tasa)/12,0)*G$9</f>
        <v>0</v>
      </c>
      <c r="H128" s="34" t="n">
        <f aca="false">IF((3-N(P_L2_Mes)+1)&gt;=1,IF((3-N(P_L2_Mes)+1)=1,N(P_L2_Monto),G$130)*N(P_L2_Tasa)/12,0)*H$9</f>
        <v>0</v>
      </c>
      <c r="I128" s="34" t="n">
        <f aca="false">IF((4-N(P_L2_Mes)+1)&gt;=1,IF((4-N(P_L2_Mes)+1)=1,N(P_L2_Monto),H$130)*N(P_L2_Tasa)/12,0)*I$9</f>
        <v>0</v>
      </c>
      <c r="J128" s="34" t="n">
        <f aca="false">IF((5-N(P_L2_Mes)+1)&gt;=1,IF((5-N(P_L2_Mes)+1)=1,N(P_L2_Monto),I$130)*N(P_L2_Tasa)/12,0)*J$9</f>
        <v>0</v>
      </c>
      <c r="K128" s="34" t="n">
        <f aca="false">IF((6-N(P_L2_Mes)+1)&gt;=1,IF((6-N(P_L2_Mes)+1)=1,N(P_L2_Monto),J$130)*N(P_L2_Tasa)/12,0)*K$9</f>
        <v>0</v>
      </c>
      <c r="L128" s="34" t="n">
        <f aca="false">IF((7-N(P_L2_Mes)+1)&gt;=1,IF((7-N(P_L2_Mes)+1)=1,N(P_L2_Monto),K$130)*N(P_L2_Tasa)/12,0)*L$9</f>
        <v>0</v>
      </c>
      <c r="M128" s="34" t="n">
        <f aca="false">IF((8-N(P_L2_Mes)+1)&gt;=1,IF((8-N(P_L2_Mes)+1)=1,N(P_L2_Monto),L$130)*N(P_L2_Tasa)/12,0)*M$9</f>
        <v>0</v>
      </c>
      <c r="N128" s="34" t="n">
        <f aca="false">IF((9-N(P_L2_Mes)+1)&gt;=1,IF((9-N(P_L2_Mes)+1)=1,N(P_L2_Monto),M$130)*N(P_L2_Tasa)/12,0)*N$9</f>
        <v>0</v>
      </c>
      <c r="O128" s="34" t="n">
        <f aca="false">IF((10-N(P_L2_Mes)+1)&gt;=1,IF((10-N(P_L2_Mes)+1)=1,N(P_L2_Monto),N$130)*N(P_L2_Tasa)/12,0)*O$9</f>
        <v>0</v>
      </c>
      <c r="P128" s="34" t="n">
        <f aca="false">IF((11-N(P_L2_Mes)+1)&gt;=1,IF((11-N(P_L2_Mes)+1)=1,N(P_L2_Monto),O$130)*N(P_L2_Tasa)/12,0)*P$9</f>
        <v>0</v>
      </c>
      <c r="Q128" s="34" t="n">
        <f aca="false">IF((12-N(P_L2_Mes)+1)&gt;=1,IF((12-N(P_L2_Mes)+1)=1,N(P_L2_Monto),P$130)*N(P_L2_Tasa)/12,0)*Q$9</f>
        <v>0</v>
      </c>
      <c r="R128" s="34" t="n">
        <f aca="false">IF((13-N(P_L2_Mes)+1)&gt;=1,IF((13-N(P_L2_Mes)+1)=1,N(P_L2_Monto),Q$130)*N(P_L2_Tasa)/12,0)*R$9</f>
        <v>0</v>
      </c>
      <c r="S128" s="34" t="n">
        <f aca="false">IF((14-N(P_L2_Mes)+1)&gt;=1,IF((14-N(P_L2_Mes)+1)=1,N(P_L2_Monto),R$130)*N(P_L2_Tasa)/12,0)*S$9</f>
        <v>0</v>
      </c>
      <c r="T128" s="34" t="n">
        <f aca="false">IF((15-N(P_L2_Mes)+1)&gt;=1,IF((15-N(P_L2_Mes)+1)=1,N(P_L2_Monto),S$130)*N(P_L2_Tasa)/12,0)*T$9</f>
        <v>0</v>
      </c>
      <c r="U128" s="34" t="n">
        <f aca="false">IF((16-N(P_L2_Mes)+1)&gt;=1,IF((16-N(P_L2_Mes)+1)=1,N(P_L2_Monto),T$130)*N(P_L2_Tasa)/12,0)*U$9</f>
        <v>0</v>
      </c>
      <c r="V128" s="34" t="n">
        <f aca="false">IF((17-N(P_L2_Mes)+1)&gt;=1,IF((17-N(P_L2_Mes)+1)=1,N(P_L2_Monto),U$130)*N(P_L2_Tasa)/12,0)*V$9</f>
        <v>0</v>
      </c>
      <c r="W128" s="34" t="n">
        <f aca="false">IF((18-N(P_L2_Mes)+1)&gt;=1,IF((18-N(P_L2_Mes)+1)=1,N(P_L2_Monto),V$130)*N(P_L2_Tasa)/12,0)*W$9</f>
        <v>0</v>
      </c>
      <c r="X128" s="34" t="n">
        <f aca="false">IF((19-N(P_L2_Mes)+1)&gt;=1,IF((19-N(P_L2_Mes)+1)=1,N(P_L2_Monto),W$130)*N(P_L2_Tasa)/12,0)*X$9</f>
        <v>0</v>
      </c>
      <c r="Y128" s="34" t="n">
        <f aca="false">IF((20-N(P_L2_Mes)+1)&gt;=1,IF((20-N(P_L2_Mes)+1)=1,N(P_L2_Monto),X$130)*N(P_L2_Tasa)/12,0)*Y$9</f>
        <v>0</v>
      </c>
      <c r="Z128" s="34" t="n">
        <f aca="false">IF((21-N(P_L2_Mes)+1)&gt;=1,IF((21-N(P_L2_Mes)+1)=1,N(P_L2_Monto),Y$130)*N(P_L2_Tasa)/12,0)*Z$9</f>
        <v>0</v>
      </c>
      <c r="AA128" s="34" t="n">
        <f aca="false">IF((22-N(P_L2_Mes)+1)&gt;=1,IF((22-N(P_L2_Mes)+1)=1,N(P_L2_Monto),Z$130)*N(P_L2_Tasa)/12,0)*AA$9</f>
        <v>0</v>
      </c>
      <c r="AB128" s="34" t="n">
        <f aca="false">IF((23-N(P_L2_Mes)+1)&gt;=1,IF((23-N(P_L2_Mes)+1)=1,N(P_L2_Monto),AA$130)*N(P_L2_Tasa)/12,0)*AB$9</f>
        <v>0</v>
      </c>
      <c r="AC128" s="34" t="n">
        <f aca="false">IF((24-N(P_L2_Mes)+1)&gt;=1,IF((24-N(P_L2_Mes)+1)=1,N(P_L2_Monto),AB$130)*N(P_L2_Tasa)/12,0)*AC$9</f>
        <v>0</v>
      </c>
      <c r="AD128" s="34" t="n">
        <f aca="false">IF((25-N(P_L2_Mes)+1)&gt;=1,IF((25-N(P_L2_Mes)+1)=1,N(P_L2_Monto),AC$130)*N(P_L2_Tasa)/12,0)*AD$9</f>
        <v>0</v>
      </c>
      <c r="AE128" s="34" t="n">
        <f aca="false">IF((26-N(P_L2_Mes)+1)&gt;=1,IF((26-N(P_L2_Mes)+1)=1,N(P_L2_Monto),AD$130)*N(P_L2_Tasa)/12,0)*AE$9</f>
        <v>0</v>
      </c>
      <c r="AF128" s="34" t="n">
        <f aca="false">IF((27-N(P_L2_Mes)+1)&gt;=1,IF((27-N(P_L2_Mes)+1)=1,N(P_L2_Monto),AE$130)*N(P_L2_Tasa)/12,0)*AF$9</f>
        <v>0</v>
      </c>
      <c r="AG128" s="34" t="n">
        <f aca="false">IF((28-N(P_L2_Mes)+1)&gt;=1,IF((28-N(P_L2_Mes)+1)=1,N(P_L2_Monto),AF$130)*N(P_L2_Tasa)/12,0)*AG$9</f>
        <v>0</v>
      </c>
      <c r="AH128" s="34" t="n">
        <f aca="false">IF((29-N(P_L2_Mes)+1)&gt;=1,IF((29-N(P_L2_Mes)+1)=1,N(P_L2_Monto),AG$130)*N(P_L2_Tasa)/12,0)*AH$9</f>
        <v>0</v>
      </c>
      <c r="AI128" s="34" t="n">
        <f aca="false">IF((30-N(P_L2_Mes)+1)&gt;=1,IF((30-N(P_L2_Mes)+1)=1,N(P_L2_Monto),AH$130)*N(P_L2_Tasa)/12,0)*AI$9</f>
        <v>0</v>
      </c>
      <c r="AJ128" s="34" t="n">
        <f aca="false">IF((31-N(P_L2_Mes)+1)&gt;=1,IF((31-N(P_L2_Mes)+1)=1,N(P_L2_Monto),AI$130)*N(P_L2_Tasa)/12,0)*AJ$9</f>
        <v>0</v>
      </c>
      <c r="AK128" s="34" t="n">
        <f aca="false">IF((32-N(P_L2_Mes)+1)&gt;=1,IF((32-N(P_L2_Mes)+1)=1,N(P_L2_Monto),AJ$130)*N(P_L2_Tasa)/12,0)*AK$9</f>
        <v>0</v>
      </c>
      <c r="AL128" s="34" t="n">
        <f aca="false">IF((33-N(P_L2_Mes)+1)&gt;=1,IF((33-N(P_L2_Mes)+1)=1,N(P_L2_Monto),AK$130)*N(P_L2_Tasa)/12,0)*AL$9</f>
        <v>0</v>
      </c>
      <c r="AM128" s="34" t="n">
        <f aca="false">IF((34-N(P_L2_Mes)+1)&gt;=1,IF((34-N(P_L2_Mes)+1)=1,N(P_L2_Monto),AL$130)*N(P_L2_Tasa)/12,0)*AM$9</f>
        <v>0</v>
      </c>
      <c r="AN128" s="34" t="n">
        <f aca="false">IF((35-N(P_L2_Mes)+1)&gt;=1,IF((35-N(P_L2_Mes)+1)=1,N(P_L2_Monto),AM$130)*N(P_L2_Tasa)/12,0)*AN$9</f>
        <v>0</v>
      </c>
      <c r="AO128" s="34" t="n">
        <f aca="false">IF((36-N(P_L2_Mes)+1)&gt;=1,IF((36-N(P_L2_Mes)+1)=1,N(P_L2_Monto),AN$130)*N(P_L2_Tasa)/12,0)*AO$9</f>
        <v>0</v>
      </c>
      <c r="AP128" s="34" t="n">
        <f aca="false">IF((37-N(P_L2_Mes)+1)&gt;=1,IF((37-N(P_L2_Mes)+1)=1,N(P_L2_Monto),AO$130)*N(P_L2_Tasa)/12,0)*AP$9</f>
        <v>0</v>
      </c>
      <c r="AQ128" s="34" t="n">
        <f aca="false">IF((38-N(P_L2_Mes)+1)&gt;=1,IF((38-N(P_L2_Mes)+1)=1,N(P_L2_Monto),AP$130)*N(P_L2_Tasa)/12,0)*AQ$9</f>
        <v>0</v>
      </c>
      <c r="AR128" s="34" t="n">
        <f aca="false">IF((39-N(P_L2_Mes)+1)&gt;=1,IF((39-N(P_L2_Mes)+1)=1,N(P_L2_Monto),AQ$130)*N(P_L2_Tasa)/12,0)*AR$9</f>
        <v>0</v>
      </c>
      <c r="AS128" s="34" t="n">
        <f aca="false">IF((40-N(P_L2_Mes)+1)&gt;=1,IF((40-N(P_L2_Mes)+1)=1,N(P_L2_Monto),AR$130)*N(P_L2_Tasa)/12,0)*AS$9</f>
        <v>0</v>
      </c>
      <c r="AT128" s="34" t="n">
        <f aca="false">IF((41-N(P_L2_Mes)+1)&gt;=1,IF((41-N(P_L2_Mes)+1)=1,N(P_L2_Monto),AS$130)*N(P_L2_Tasa)/12,0)*AT$9</f>
        <v>0</v>
      </c>
      <c r="AU128" s="34" t="n">
        <f aca="false">IF((42-N(P_L2_Mes)+1)&gt;=1,IF((42-N(P_L2_Mes)+1)=1,N(P_L2_Monto),AT$130)*N(P_L2_Tasa)/12,0)*AU$9</f>
        <v>0</v>
      </c>
      <c r="AV128" s="34" t="n">
        <f aca="false">IF((43-N(P_L2_Mes)+1)&gt;=1,IF((43-N(P_L2_Mes)+1)=1,N(P_L2_Monto),AU$130)*N(P_L2_Tasa)/12,0)*AV$9</f>
        <v>0</v>
      </c>
      <c r="AW128" s="34" t="n">
        <f aca="false">IF((44-N(P_L2_Mes)+1)&gt;=1,IF((44-N(P_L2_Mes)+1)=1,N(P_L2_Monto),AV$130)*N(P_L2_Tasa)/12,0)*AW$9</f>
        <v>0</v>
      </c>
      <c r="AX128" s="34" t="n">
        <f aca="false">IF((45-N(P_L2_Mes)+1)&gt;=1,IF((45-N(P_L2_Mes)+1)=1,N(P_L2_Monto),AW$130)*N(P_L2_Tasa)/12,0)*AX$9</f>
        <v>0</v>
      </c>
      <c r="AY128" s="34" t="n">
        <f aca="false">IF((46-N(P_L2_Mes)+1)&gt;=1,IF((46-N(P_L2_Mes)+1)=1,N(P_L2_Monto),AX$130)*N(P_L2_Tasa)/12,0)*AY$9</f>
        <v>0</v>
      </c>
      <c r="AZ128" s="34" t="n">
        <f aca="false">IF((47-N(P_L2_Mes)+1)&gt;=1,IF((47-N(P_L2_Mes)+1)=1,N(P_L2_Monto),AY$130)*N(P_L2_Tasa)/12,0)*AZ$9</f>
        <v>0</v>
      </c>
      <c r="BA128" s="34" t="n">
        <f aca="false">IF((48-N(P_L2_Mes)+1)&gt;=1,IF((48-N(P_L2_Mes)+1)=1,N(P_L2_Monto),AZ$130)*N(P_L2_Tasa)/12,0)*BA$9</f>
        <v>0</v>
      </c>
      <c r="BB128" s="34" t="n">
        <f aca="false">IF((49-N(P_L2_Mes)+1)&gt;=1,IF((49-N(P_L2_Mes)+1)=1,N(P_L2_Monto),BA$130)*N(P_L2_Tasa)/12,0)*BB$9</f>
        <v>0</v>
      </c>
      <c r="BC128" s="34" t="n">
        <f aca="false">IF((50-N(P_L2_Mes)+1)&gt;=1,IF((50-N(P_L2_Mes)+1)=1,N(P_L2_Monto),BB$130)*N(P_L2_Tasa)/12,0)*BC$9</f>
        <v>0</v>
      </c>
      <c r="BD128" s="34" t="n">
        <f aca="false">IF((51-N(P_L2_Mes)+1)&gt;=1,IF((51-N(P_L2_Mes)+1)=1,N(P_L2_Monto),BC$130)*N(P_L2_Tasa)/12,0)*BD$9</f>
        <v>0</v>
      </c>
      <c r="BE128" s="34" t="n">
        <f aca="false">IF((52-N(P_L2_Mes)+1)&gt;=1,IF((52-N(P_L2_Mes)+1)=1,N(P_L2_Monto),BD$130)*N(P_L2_Tasa)/12,0)*BE$9</f>
        <v>0</v>
      </c>
      <c r="BF128" s="34" t="n">
        <f aca="false">IF((53-N(P_L2_Mes)+1)&gt;=1,IF((53-N(P_L2_Mes)+1)=1,N(P_L2_Monto),BE$130)*N(P_L2_Tasa)/12,0)*BF$9</f>
        <v>0</v>
      </c>
      <c r="BG128" s="34" t="n">
        <f aca="false">IF((54-N(P_L2_Mes)+1)&gt;=1,IF((54-N(P_L2_Mes)+1)=1,N(P_L2_Monto),BF$130)*N(P_L2_Tasa)/12,0)*BG$9</f>
        <v>0</v>
      </c>
      <c r="BH128" s="34" t="n">
        <f aca="false">IF((55-N(P_L2_Mes)+1)&gt;=1,IF((55-N(P_L2_Mes)+1)=1,N(P_L2_Monto),BG$130)*N(P_L2_Tasa)/12,0)*BH$9</f>
        <v>0</v>
      </c>
      <c r="BI128" s="34" t="n">
        <f aca="false">IF((56-N(P_L2_Mes)+1)&gt;=1,IF((56-N(P_L2_Mes)+1)=1,N(P_L2_Monto),BH$130)*N(P_L2_Tasa)/12,0)*BI$9</f>
        <v>0</v>
      </c>
      <c r="BJ128" s="34" t="n">
        <f aca="false">IF((57-N(P_L2_Mes)+1)&gt;=1,IF((57-N(P_L2_Mes)+1)=1,N(P_L2_Monto),BI$130)*N(P_L2_Tasa)/12,0)*BJ$9</f>
        <v>0</v>
      </c>
      <c r="BK128" s="34" t="n">
        <f aca="false">IF((58-N(P_L2_Mes)+1)&gt;=1,IF((58-N(P_L2_Mes)+1)=1,N(P_L2_Monto),BJ$130)*N(P_L2_Tasa)/12,0)*BK$9</f>
        <v>0</v>
      </c>
      <c r="BL128" s="34" t="n">
        <f aca="false">IF((59-N(P_L2_Mes)+1)&gt;=1,IF((59-N(P_L2_Mes)+1)=1,N(P_L2_Monto),BK$130)*N(P_L2_Tasa)/12,0)*BL$9</f>
        <v>0</v>
      </c>
      <c r="BM128" s="34" t="n">
        <f aca="false">IF((60-N(P_L2_Mes)+1)&gt;=1,IF((60-N(P_L2_Mes)+1)=1,N(P_L2_Monto),BL$130)*N(P_L2_Tasa)/12,0)*BM$9</f>
        <v>0</v>
      </c>
      <c r="BN128" s="34" t="n">
        <f aca="false">IF((61-N(P_L2_Mes)+1)&gt;=1,IF((61-N(P_L2_Mes)+1)=1,N(P_L2_Monto),BM$130)*N(P_L2_Tasa)/12,0)*BN$9</f>
        <v>0</v>
      </c>
      <c r="BO128" s="34" t="n">
        <f aca="false">IF((62-N(P_L2_Mes)+1)&gt;=1,IF((62-N(P_L2_Mes)+1)=1,N(P_L2_Monto),BN$130)*N(P_L2_Tasa)/12,0)*BO$9</f>
        <v>0</v>
      </c>
      <c r="BP128" s="34" t="n">
        <f aca="false">IF((63-N(P_L2_Mes)+1)&gt;=1,IF((63-N(P_L2_Mes)+1)=1,N(P_L2_Monto),BO$130)*N(P_L2_Tasa)/12,0)*BP$9</f>
        <v>0</v>
      </c>
      <c r="BQ128" s="34" t="n">
        <f aca="false">IF((64-N(P_L2_Mes)+1)&gt;=1,IF((64-N(P_L2_Mes)+1)=1,N(P_L2_Monto),BP$130)*N(P_L2_Tasa)/12,0)*BQ$9</f>
        <v>0</v>
      </c>
      <c r="BR128" s="34" t="n">
        <f aca="false">IF((65-N(P_L2_Mes)+1)&gt;=1,IF((65-N(P_L2_Mes)+1)=1,N(P_L2_Monto),BQ$130)*N(P_L2_Tasa)/12,0)*BR$9</f>
        <v>0</v>
      </c>
      <c r="BS128" s="34" t="n">
        <f aca="false">IF((66-N(P_L2_Mes)+1)&gt;=1,IF((66-N(P_L2_Mes)+1)=1,N(P_L2_Monto),BR$130)*N(P_L2_Tasa)/12,0)*BS$9</f>
        <v>0</v>
      </c>
      <c r="BT128" s="34" t="n">
        <f aca="false">IF((67-N(P_L2_Mes)+1)&gt;=1,IF((67-N(P_L2_Mes)+1)=1,N(P_L2_Monto),BS$130)*N(P_L2_Tasa)/12,0)*BT$9</f>
        <v>0</v>
      </c>
      <c r="BU128" s="34" t="n">
        <f aca="false">IF((68-N(P_L2_Mes)+1)&gt;=1,IF((68-N(P_L2_Mes)+1)=1,N(P_L2_Monto),BT$130)*N(P_L2_Tasa)/12,0)*BU$9</f>
        <v>0</v>
      </c>
      <c r="BV128" s="34" t="n">
        <f aca="false">IF((69-N(P_L2_Mes)+1)&gt;=1,IF((69-N(P_L2_Mes)+1)=1,N(P_L2_Monto),BU$130)*N(P_L2_Tasa)/12,0)*BV$9</f>
        <v>0</v>
      </c>
      <c r="BW128" s="34" t="n">
        <f aca="false">IF((70-N(P_L2_Mes)+1)&gt;=1,IF((70-N(P_L2_Mes)+1)=1,N(P_L2_Monto),BV$130)*N(P_L2_Tasa)/12,0)*BW$9</f>
        <v>0</v>
      </c>
      <c r="BX128" s="34" t="n">
        <f aca="false">IF((71-N(P_L2_Mes)+1)&gt;=1,IF((71-N(P_L2_Mes)+1)=1,N(P_L2_Monto),BW$130)*N(P_L2_Tasa)/12,0)*BX$9</f>
        <v>0</v>
      </c>
      <c r="BY128" s="34" t="n">
        <f aca="false">IF((72-N(P_L2_Mes)+1)&gt;=1,IF((72-N(P_L2_Mes)+1)=1,N(P_L2_Monto),BX$130)*N(P_L2_Tasa)/12,0)*BY$9</f>
        <v>0</v>
      </c>
      <c r="BZ128" s="34" t="n">
        <f aca="false">IF((73-N(P_L2_Mes)+1)&gt;=1,IF((73-N(P_L2_Mes)+1)=1,N(P_L2_Monto),BY$130)*N(P_L2_Tasa)/12,0)*BZ$9</f>
        <v>0</v>
      </c>
      <c r="CA128" s="34" t="n">
        <f aca="false">IF((74-N(P_L2_Mes)+1)&gt;=1,IF((74-N(P_L2_Mes)+1)=1,N(P_L2_Monto),BZ$130)*N(P_L2_Tasa)/12,0)*CA$9</f>
        <v>0</v>
      </c>
      <c r="CB128" s="34" t="n">
        <f aca="false">IF((75-N(P_L2_Mes)+1)&gt;=1,IF((75-N(P_L2_Mes)+1)=1,N(P_L2_Monto),CA$130)*N(P_L2_Tasa)/12,0)*CB$9</f>
        <v>0</v>
      </c>
      <c r="CC128" s="34" t="n">
        <f aca="false">IF((76-N(P_L2_Mes)+1)&gt;=1,IF((76-N(P_L2_Mes)+1)=1,N(P_L2_Monto),CB$130)*N(P_L2_Tasa)/12,0)*CC$9</f>
        <v>0</v>
      </c>
      <c r="CD128" s="34" t="n">
        <f aca="false">IF((77-N(P_L2_Mes)+1)&gt;=1,IF((77-N(P_L2_Mes)+1)=1,N(P_L2_Monto),CC$130)*N(P_L2_Tasa)/12,0)*CD$9</f>
        <v>0</v>
      </c>
      <c r="CE128" s="34" t="n">
        <f aca="false">IF((78-N(P_L2_Mes)+1)&gt;=1,IF((78-N(P_L2_Mes)+1)=1,N(P_L2_Monto),CD$130)*N(P_L2_Tasa)/12,0)*CE$9</f>
        <v>0</v>
      </c>
      <c r="CF128" s="34" t="n">
        <f aca="false">IF((79-N(P_L2_Mes)+1)&gt;=1,IF((79-N(P_L2_Mes)+1)=1,N(P_L2_Monto),CE$130)*N(P_L2_Tasa)/12,0)*CF$9</f>
        <v>0</v>
      </c>
      <c r="CG128" s="34" t="n">
        <f aca="false">IF((80-N(P_L2_Mes)+1)&gt;=1,IF((80-N(P_L2_Mes)+1)=1,N(P_L2_Monto),CF$130)*N(P_L2_Tasa)/12,0)*CG$9</f>
        <v>0</v>
      </c>
      <c r="CH128" s="34" t="n">
        <f aca="false">IF((81-N(P_L2_Mes)+1)&gt;=1,IF((81-N(P_L2_Mes)+1)=1,N(P_L2_Monto),CG$130)*N(P_L2_Tasa)/12,0)*CH$9</f>
        <v>0</v>
      </c>
      <c r="CI128" s="34" t="n">
        <f aca="false">IF((82-N(P_L2_Mes)+1)&gt;=1,IF((82-N(P_L2_Mes)+1)=1,N(P_L2_Monto),CH$130)*N(P_L2_Tasa)/12,0)*CI$9</f>
        <v>0</v>
      </c>
      <c r="CJ128" s="34" t="n">
        <f aca="false">IF((83-N(P_L2_Mes)+1)&gt;=1,IF((83-N(P_L2_Mes)+1)=1,N(P_L2_Monto),CI$130)*N(P_L2_Tasa)/12,0)*CJ$9</f>
        <v>0</v>
      </c>
      <c r="CK128" s="34" t="n">
        <f aca="false">IF((84-N(P_L2_Mes)+1)&gt;=1,IF((84-N(P_L2_Mes)+1)=1,N(P_L2_Monto),CJ$130)*N(P_L2_Tasa)/12,0)*CK$9</f>
        <v>0</v>
      </c>
      <c r="CL128" s="34" t="n">
        <f aca="false">IF((85-N(P_L2_Mes)+1)&gt;=1,IF((85-N(P_L2_Mes)+1)=1,N(P_L2_Monto),CK$130)*N(P_L2_Tasa)/12,0)*CL$9</f>
        <v>0</v>
      </c>
      <c r="CM128" s="34" t="n">
        <f aca="false">IF((86-N(P_L2_Mes)+1)&gt;=1,IF((86-N(P_L2_Mes)+1)=1,N(P_L2_Monto),CL$130)*N(P_L2_Tasa)/12,0)*CM$9</f>
        <v>0</v>
      </c>
      <c r="CN128" s="34" t="n">
        <f aca="false">IF((87-N(P_L2_Mes)+1)&gt;=1,IF((87-N(P_L2_Mes)+1)=1,N(P_L2_Monto),CM$130)*N(P_L2_Tasa)/12,0)*CN$9</f>
        <v>0</v>
      </c>
      <c r="CO128" s="34" t="n">
        <f aca="false">IF((88-N(P_L2_Mes)+1)&gt;=1,IF((88-N(P_L2_Mes)+1)=1,N(P_L2_Monto),CN$130)*N(P_L2_Tasa)/12,0)*CO$9</f>
        <v>0</v>
      </c>
      <c r="CP128" s="34" t="n">
        <f aca="false">IF((89-N(P_L2_Mes)+1)&gt;=1,IF((89-N(P_L2_Mes)+1)=1,N(P_L2_Monto),CO$130)*N(P_L2_Tasa)/12,0)*CP$9</f>
        <v>0</v>
      </c>
      <c r="CQ128" s="34" t="n">
        <f aca="false">IF((90-N(P_L2_Mes)+1)&gt;=1,IF((90-N(P_L2_Mes)+1)=1,N(P_L2_Monto),CP$130)*N(P_L2_Tasa)/12,0)*CQ$9</f>
        <v>0</v>
      </c>
      <c r="CR128" s="34" t="n">
        <f aca="false">IF((91-N(P_L2_Mes)+1)&gt;=1,IF((91-N(P_L2_Mes)+1)=1,N(P_L2_Monto),CQ$130)*N(P_L2_Tasa)/12,0)*CR$9</f>
        <v>0</v>
      </c>
      <c r="CS128" s="34" t="n">
        <f aca="false">IF((92-N(P_L2_Mes)+1)&gt;=1,IF((92-N(P_L2_Mes)+1)=1,N(P_L2_Monto),CR$130)*N(P_L2_Tasa)/12,0)*CS$9</f>
        <v>0</v>
      </c>
      <c r="CT128" s="34" t="n">
        <f aca="false">IF((93-N(P_L2_Mes)+1)&gt;=1,IF((93-N(P_L2_Mes)+1)=1,N(P_L2_Monto),CS$130)*N(P_L2_Tasa)/12,0)*CT$9</f>
        <v>0</v>
      </c>
      <c r="CU128" s="34" t="n">
        <f aca="false">IF((94-N(P_L2_Mes)+1)&gt;=1,IF((94-N(P_L2_Mes)+1)=1,N(P_L2_Monto),CT$130)*N(P_L2_Tasa)/12,0)*CU$9</f>
        <v>0</v>
      </c>
      <c r="CV128" s="34" t="n">
        <f aca="false">IF((95-N(P_L2_Mes)+1)&gt;=1,IF((95-N(P_L2_Mes)+1)=1,N(P_L2_Monto),CU$130)*N(P_L2_Tasa)/12,0)*CV$9</f>
        <v>0</v>
      </c>
      <c r="CW128" s="34" t="n">
        <f aca="false">IF((96-N(P_L2_Mes)+1)&gt;=1,IF((96-N(P_L2_Mes)+1)=1,N(P_L2_Monto),CV$130)*N(P_L2_Tasa)/12,0)*CW$9</f>
        <v>0</v>
      </c>
      <c r="CX128" s="34" t="n">
        <f aca="false">IF((97-N(P_L2_Mes)+1)&gt;=1,IF((97-N(P_L2_Mes)+1)=1,N(P_L2_Monto),CW$130)*N(P_L2_Tasa)/12,0)*CX$9</f>
        <v>0</v>
      </c>
      <c r="CY128" s="34" t="n">
        <f aca="false">IF((98-N(P_L2_Mes)+1)&gt;=1,IF((98-N(P_L2_Mes)+1)=1,N(P_L2_Monto),CX$130)*N(P_L2_Tasa)/12,0)*CY$9</f>
        <v>0</v>
      </c>
      <c r="CZ128" s="34" t="n">
        <f aca="false">IF((99-N(P_L2_Mes)+1)&gt;=1,IF((99-N(P_L2_Mes)+1)=1,N(P_L2_Monto),CY$130)*N(P_L2_Tasa)/12,0)*CZ$9</f>
        <v>0</v>
      </c>
      <c r="DA128" s="34" t="n">
        <f aca="false">IF((100-N(P_L2_Mes)+1)&gt;=1,IF((100-N(P_L2_Mes)+1)=1,N(P_L2_Monto),CZ$130)*N(P_L2_Tasa)/12,0)*DA$9</f>
        <v>0</v>
      </c>
      <c r="DB128" s="34" t="n">
        <f aca="false">IF((101-N(P_L2_Mes)+1)&gt;=1,IF((101-N(P_L2_Mes)+1)=1,N(P_L2_Monto),DA$130)*N(P_L2_Tasa)/12,0)*DB$9</f>
        <v>0</v>
      </c>
      <c r="DC128" s="34" t="n">
        <f aca="false">IF((102-N(P_L2_Mes)+1)&gt;=1,IF((102-N(P_L2_Mes)+1)=1,N(P_L2_Monto),DB$130)*N(P_L2_Tasa)/12,0)*DC$9</f>
        <v>0</v>
      </c>
      <c r="DD128" s="34" t="n">
        <f aca="false">IF((103-N(P_L2_Mes)+1)&gt;=1,IF((103-N(P_L2_Mes)+1)=1,N(P_L2_Monto),DC$130)*N(P_L2_Tasa)/12,0)*DD$9</f>
        <v>0</v>
      </c>
      <c r="DE128" s="34" t="n">
        <f aca="false">IF((104-N(P_L2_Mes)+1)&gt;=1,IF((104-N(P_L2_Mes)+1)=1,N(P_L2_Monto),DD$130)*N(P_L2_Tasa)/12,0)*DE$9</f>
        <v>0</v>
      </c>
      <c r="DF128" s="34" t="n">
        <f aca="false">IF((105-N(P_L2_Mes)+1)&gt;=1,IF((105-N(P_L2_Mes)+1)=1,N(P_L2_Monto),DE$130)*N(P_L2_Tasa)/12,0)*DF$9</f>
        <v>0</v>
      </c>
      <c r="DG128" s="34" t="n">
        <f aca="false">IF((106-N(P_L2_Mes)+1)&gt;=1,IF((106-N(P_L2_Mes)+1)=1,N(P_L2_Monto),DF$130)*N(P_L2_Tasa)/12,0)*DG$9</f>
        <v>0</v>
      </c>
      <c r="DH128" s="34" t="n">
        <f aca="false">IF((107-N(P_L2_Mes)+1)&gt;=1,IF((107-N(P_L2_Mes)+1)=1,N(P_L2_Monto),DG$130)*N(P_L2_Tasa)/12,0)*DH$9</f>
        <v>0</v>
      </c>
      <c r="DI128" s="34" t="n">
        <f aca="false">IF((108-N(P_L2_Mes)+1)&gt;=1,IF((108-N(P_L2_Mes)+1)=1,N(P_L2_Monto),DH$130)*N(P_L2_Tasa)/12,0)*DI$9</f>
        <v>0</v>
      </c>
      <c r="DJ128" s="34" t="n">
        <f aca="false">IF((109-N(P_L2_Mes)+1)&gt;=1,IF((109-N(P_L2_Mes)+1)=1,N(P_L2_Monto),DI$130)*N(P_L2_Tasa)/12,0)*DJ$9</f>
        <v>0</v>
      </c>
      <c r="DK128" s="34" t="n">
        <f aca="false">IF((110-N(P_L2_Mes)+1)&gt;=1,IF((110-N(P_L2_Mes)+1)=1,N(P_L2_Monto),DJ$130)*N(P_L2_Tasa)/12,0)*DK$9</f>
        <v>0</v>
      </c>
      <c r="DL128" s="34" t="n">
        <f aca="false">IF((111-N(P_L2_Mes)+1)&gt;=1,IF((111-N(P_L2_Mes)+1)=1,N(P_L2_Monto),DK$130)*N(P_L2_Tasa)/12,0)*DL$9</f>
        <v>0</v>
      </c>
      <c r="DM128" s="34" t="n">
        <f aca="false">IF((112-N(P_L2_Mes)+1)&gt;=1,IF((112-N(P_L2_Mes)+1)=1,N(P_L2_Monto),DL$130)*N(P_L2_Tasa)/12,0)*DM$9</f>
        <v>0</v>
      </c>
      <c r="DN128" s="34" t="n">
        <f aca="false">IF((113-N(P_L2_Mes)+1)&gt;=1,IF((113-N(P_L2_Mes)+1)=1,N(P_L2_Monto),DM$130)*N(P_L2_Tasa)/12,0)*DN$9</f>
        <v>0</v>
      </c>
      <c r="DO128" s="34" t="n">
        <f aca="false">IF((114-N(P_L2_Mes)+1)&gt;=1,IF((114-N(P_L2_Mes)+1)=1,N(P_L2_Monto),DN$130)*N(P_L2_Tasa)/12,0)*DO$9</f>
        <v>0</v>
      </c>
      <c r="DP128" s="34" t="n">
        <f aca="false">IF((115-N(P_L2_Mes)+1)&gt;=1,IF((115-N(P_L2_Mes)+1)=1,N(P_L2_Monto),DO$130)*N(P_L2_Tasa)/12,0)*DP$9</f>
        <v>0</v>
      </c>
      <c r="DQ128" s="34" t="n">
        <f aca="false">IF((116-N(P_L2_Mes)+1)&gt;=1,IF((116-N(P_L2_Mes)+1)=1,N(P_L2_Monto),DP$130)*N(P_L2_Tasa)/12,0)*DQ$9</f>
        <v>0</v>
      </c>
      <c r="DR128" s="34" t="n">
        <f aca="false">IF((117-N(P_L2_Mes)+1)&gt;=1,IF((117-N(P_L2_Mes)+1)=1,N(P_L2_Monto),DQ$130)*N(P_L2_Tasa)/12,0)*DR$9</f>
        <v>0</v>
      </c>
      <c r="DS128" s="34" t="n">
        <f aca="false">IF((118-N(P_L2_Mes)+1)&gt;=1,IF((118-N(P_L2_Mes)+1)=1,N(P_L2_Monto),DR$130)*N(P_L2_Tasa)/12,0)*DS$9</f>
        <v>0</v>
      </c>
      <c r="DT128" s="34" t="n">
        <f aca="false">IF((119-N(P_L2_Mes)+1)&gt;=1,IF((119-N(P_L2_Mes)+1)=1,N(P_L2_Monto),DS$130)*N(P_L2_Tasa)/12,0)*DT$9</f>
        <v>0</v>
      </c>
      <c r="DU128" s="34" t="n">
        <f aca="false">IF((120-N(P_L2_Mes)+1)&gt;=1,IF((120-N(P_L2_Mes)+1)=1,N(P_L2_Monto),DT$130)*N(P_L2_Tasa)/12,0)*DU$9</f>
        <v>0</v>
      </c>
      <c r="DV128" s="34" t="n">
        <f aca="false">IF((121-N(P_L2_Mes)+1)&gt;=1,IF((121-N(P_L2_Mes)+1)=1,N(P_L2_Monto),DU$130)*N(P_L2_Tasa)/12,0)*DV$9</f>
        <v>0</v>
      </c>
      <c r="DW128" s="34" t="n">
        <f aca="false">IF((122-N(P_L2_Mes)+1)&gt;=1,IF((122-N(P_L2_Mes)+1)=1,N(P_L2_Monto),DV$130)*N(P_L2_Tasa)/12,0)*DW$9</f>
        <v>0</v>
      </c>
      <c r="DX128" s="34" t="n">
        <f aca="false">IF((123-N(P_L2_Mes)+1)&gt;=1,IF((123-N(P_L2_Mes)+1)=1,N(P_L2_Monto),DW$130)*N(P_L2_Tasa)/12,0)*DX$9</f>
        <v>0</v>
      </c>
      <c r="DY128" s="34" t="n">
        <f aca="false">IF((124-N(P_L2_Mes)+1)&gt;=1,IF((124-N(P_L2_Mes)+1)=1,N(P_L2_Monto),DX$130)*N(P_L2_Tasa)/12,0)*DY$9</f>
        <v>0</v>
      </c>
      <c r="DZ128" s="34" t="n">
        <f aca="false">IF((125-N(P_L2_Mes)+1)&gt;=1,IF((125-N(P_L2_Mes)+1)=1,N(P_L2_Monto),DY$130)*N(P_L2_Tasa)/12,0)*DZ$9</f>
        <v>0</v>
      </c>
      <c r="EA128" s="34" t="n">
        <f aca="false">IF((126-N(P_L2_Mes)+1)&gt;=1,IF((126-N(P_L2_Mes)+1)=1,N(P_L2_Monto),DZ$130)*N(P_L2_Tasa)/12,0)*EA$9</f>
        <v>0</v>
      </c>
      <c r="EB128" s="34" t="n">
        <f aca="false">IF((127-N(P_L2_Mes)+1)&gt;=1,IF((127-N(P_L2_Mes)+1)=1,N(P_L2_Monto),EA$130)*N(P_L2_Tasa)/12,0)*EB$9</f>
        <v>0</v>
      </c>
      <c r="EC128" s="34" t="n">
        <f aca="false">IF((128-N(P_L2_Mes)+1)&gt;=1,IF((128-N(P_L2_Mes)+1)=1,N(P_L2_Monto),EB$130)*N(P_L2_Tasa)/12,0)*EC$9</f>
        <v>0</v>
      </c>
      <c r="ED128" s="34" t="n">
        <f aca="false">IF((129-N(P_L2_Mes)+1)&gt;=1,IF((129-N(P_L2_Mes)+1)=1,N(P_L2_Monto),EC$130)*N(P_L2_Tasa)/12,0)*ED$9</f>
        <v>0</v>
      </c>
      <c r="EE128" s="34" t="n">
        <f aca="false">IF((130-N(P_L2_Mes)+1)&gt;=1,IF((130-N(P_L2_Mes)+1)=1,N(P_L2_Monto),ED$130)*N(P_L2_Tasa)/12,0)*EE$9</f>
        <v>0</v>
      </c>
      <c r="EF128" s="34" t="n">
        <f aca="false">IF((131-N(P_L2_Mes)+1)&gt;=1,IF((131-N(P_L2_Mes)+1)=1,N(P_L2_Monto),EE$130)*N(P_L2_Tasa)/12,0)*EF$9</f>
        <v>0</v>
      </c>
      <c r="EG128" s="34" t="n">
        <f aca="false">IF((132-N(P_L2_Mes)+1)&gt;=1,IF((132-N(P_L2_Mes)+1)=1,N(P_L2_Monto),EF$130)*N(P_L2_Tasa)/12,0)*EG$9</f>
        <v>0</v>
      </c>
      <c r="EH128" s="34" t="n">
        <f aca="false">IF((133-N(P_L2_Mes)+1)&gt;=1,IF((133-N(P_L2_Mes)+1)=1,N(P_L2_Monto),EG$130)*N(P_L2_Tasa)/12,0)*EH$9</f>
        <v>0</v>
      </c>
      <c r="EI128" s="34" t="n">
        <f aca="false">IF((134-N(P_L2_Mes)+1)&gt;=1,IF((134-N(P_L2_Mes)+1)=1,N(P_L2_Monto),EH$130)*N(P_L2_Tasa)/12,0)*EI$9</f>
        <v>0</v>
      </c>
      <c r="EJ128" s="34" t="n">
        <f aca="false">IF((135-N(P_L2_Mes)+1)&gt;=1,IF((135-N(P_L2_Mes)+1)=1,N(P_L2_Monto),EI$130)*N(P_L2_Tasa)/12,0)*EJ$9</f>
        <v>0</v>
      </c>
      <c r="EK128" s="34" t="n">
        <f aca="false">IF((136-N(P_L2_Mes)+1)&gt;=1,IF((136-N(P_L2_Mes)+1)=1,N(P_L2_Monto),EJ$130)*N(P_L2_Tasa)/12,0)*EK$9</f>
        <v>0</v>
      </c>
      <c r="EL128" s="34" t="n">
        <f aca="false">IF((137-N(P_L2_Mes)+1)&gt;=1,IF((137-N(P_L2_Mes)+1)=1,N(P_L2_Monto),EK$130)*N(P_L2_Tasa)/12,0)*EL$9</f>
        <v>0</v>
      </c>
      <c r="EM128" s="34" t="n">
        <f aca="false">IF((138-N(P_L2_Mes)+1)&gt;=1,IF((138-N(P_L2_Mes)+1)=1,N(P_L2_Monto),EL$130)*N(P_L2_Tasa)/12,0)*EM$9</f>
        <v>0</v>
      </c>
      <c r="EN128" s="34" t="n">
        <f aca="false">IF((139-N(P_L2_Mes)+1)&gt;=1,IF((139-N(P_L2_Mes)+1)=1,N(P_L2_Monto),EM$130)*N(P_L2_Tasa)/12,0)*EN$9</f>
        <v>0</v>
      </c>
      <c r="EO128" s="34" t="n">
        <f aca="false">IF((140-N(P_L2_Mes)+1)&gt;=1,IF((140-N(P_L2_Mes)+1)=1,N(P_L2_Monto),EN$130)*N(P_L2_Tasa)/12,0)*EO$9</f>
        <v>0</v>
      </c>
      <c r="EP128" s="34" t="n">
        <f aca="false">IF((141-N(P_L2_Mes)+1)&gt;=1,IF((141-N(P_L2_Mes)+1)=1,N(P_L2_Monto),EO$130)*N(P_L2_Tasa)/12,0)*EP$9</f>
        <v>0</v>
      </c>
      <c r="EQ128" s="34" t="n">
        <f aca="false">IF((142-N(P_L2_Mes)+1)&gt;=1,IF((142-N(P_L2_Mes)+1)=1,N(P_L2_Monto),EP$130)*N(P_L2_Tasa)/12,0)*EQ$9</f>
        <v>0</v>
      </c>
      <c r="ER128" s="34" t="n">
        <f aca="false">IF((143-N(P_L2_Mes)+1)&gt;=1,IF((143-N(P_L2_Mes)+1)=1,N(P_L2_Monto),EQ$130)*N(P_L2_Tasa)/12,0)*ER$9</f>
        <v>0</v>
      </c>
      <c r="ES128" s="34" t="n">
        <f aca="false">IF((144-N(P_L2_Mes)+1)&gt;=1,IF((144-N(P_L2_Mes)+1)=1,N(P_L2_Monto),ER$130)*N(P_L2_Tasa)/12,0)*ES$9</f>
        <v>0</v>
      </c>
    </row>
    <row r="129" customFormat="false" ht="15" hidden="false" customHeight="false" outlineLevel="0" collapsed="false">
      <c r="A129" s="2" t="s">
        <v>741</v>
      </c>
      <c r="B129" s="6" t="s">
        <v>742</v>
      </c>
      <c r="C129" s="6" t="s">
        <v>250</v>
      </c>
      <c r="E129" s="40" t="n">
        <f aca="false">SUM(F129:ES129)</f>
        <v>0</v>
      </c>
      <c r="F129" s="34" t="n">
        <f aca="false">IF(AND((1-N(P_L2_Mes)+1)&gt;N(P_L2_Gracia),(1-N(P_L2_Mes)+1)&lt;=N(P_L2_Gracia)+N(P_L2_Cuotas),N(P_L2_Cuotas)&gt;0),IF((1-N(P_L2_Mes)+1)=N(P_L2_Gracia)+N(P_L2_Cuotas),IF((1-N(P_L2_Mes)+1)=1,N(P_L2_Monto),0),PMT(N(P_L2_Tasa)/12,N(P_L2_Cuotas),-N(P_L2_Monto))-F$128),0)*F$9</f>
        <v>0</v>
      </c>
      <c r="G129" s="34" t="n">
        <f aca="false">IF(AND((2-N(P_L2_Mes)+1)&gt;N(P_L2_Gracia),(2-N(P_L2_Mes)+1)&lt;=N(P_L2_Gracia)+N(P_L2_Cuotas),N(P_L2_Cuotas)&gt;0),IF((2-N(P_L2_Mes)+1)=N(P_L2_Gracia)+N(P_L2_Cuotas),IF((2-N(P_L2_Mes)+1)=1,N(P_L2_Monto),F$130),PMT(N(P_L2_Tasa)/12,N(P_L2_Cuotas),-N(P_L2_Monto))-G$128),0)*G$9</f>
        <v>0</v>
      </c>
      <c r="H129" s="34" t="n">
        <f aca="false">IF(AND((3-N(P_L2_Mes)+1)&gt;N(P_L2_Gracia),(3-N(P_L2_Mes)+1)&lt;=N(P_L2_Gracia)+N(P_L2_Cuotas),N(P_L2_Cuotas)&gt;0),IF((3-N(P_L2_Mes)+1)=N(P_L2_Gracia)+N(P_L2_Cuotas),IF((3-N(P_L2_Mes)+1)=1,N(P_L2_Monto),G$130),PMT(N(P_L2_Tasa)/12,N(P_L2_Cuotas),-N(P_L2_Monto))-H$128),0)*H$9</f>
        <v>0</v>
      </c>
      <c r="I129" s="34" t="n">
        <f aca="false">IF(AND((4-N(P_L2_Mes)+1)&gt;N(P_L2_Gracia),(4-N(P_L2_Mes)+1)&lt;=N(P_L2_Gracia)+N(P_L2_Cuotas),N(P_L2_Cuotas)&gt;0),IF((4-N(P_L2_Mes)+1)=N(P_L2_Gracia)+N(P_L2_Cuotas),IF((4-N(P_L2_Mes)+1)=1,N(P_L2_Monto),H$130),PMT(N(P_L2_Tasa)/12,N(P_L2_Cuotas),-N(P_L2_Monto))-I$128),0)*I$9</f>
        <v>0</v>
      </c>
      <c r="J129" s="34" t="n">
        <f aca="false">IF(AND((5-N(P_L2_Mes)+1)&gt;N(P_L2_Gracia),(5-N(P_L2_Mes)+1)&lt;=N(P_L2_Gracia)+N(P_L2_Cuotas),N(P_L2_Cuotas)&gt;0),IF((5-N(P_L2_Mes)+1)=N(P_L2_Gracia)+N(P_L2_Cuotas),IF((5-N(P_L2_Mes)+1)=1,N(P_L2_Monto),I$130),PMT(N(P_L2_Tasa)/12,N(P_L2_Cuotas),-N(P_L2_Monto))-J$128),0)*J$9</f>
        <v>0</v>
      </c>
      <c r="K129" s="34" t="n">
        <f aca="false">IF(AND((6-N(P_L2_Mes)+1)&gt;N(P_L2_Gracia),(6-N(P_L2_Mes)+1)&lt;=N(P_L2_Gracia)+N(P_L2_Cuotas),N(P_L2_Cuotas)&gt;0),IF((6-N(P_L2_Mes)+1)=N(P_L2_Gracia)+N(P_L2_Cuotas),IF((6-N(P_L2_Mes)+1)=1,N(P_L2_Monto),J$130),PMT(N(P_L2_Tasa)/12,N(P_L2_Cuotas),-N(P_L2_Monto))-K$128),0)*K$9</f>
        <v>0</v>
      </c>
      <c r="L129" s="34" t="n">
        <f aca="false">IF(AND((7-N(P_L2_Mes)+1)&gt;N(P_L2_Gracia),(7-N(P_L2_Mes)+1)&lt;=N(P_L2_Gracia)+N(P_L2_Cuotas),N(P_L2_Cuotas)&gt;0),IF((7-N(P_L2_Mes)+1)=N(P_L2_Gracia)+N(P_L2_Cuotas),IF((7-N(P_L2_Mes)+1)=1,N(P_L2_Monto),K$130),PMT(N(P_L2_Tasa)/12,N(P_L2_Cuotas),-N(P_L2_Monto))-L$128),0)*L$9</f>
        <v>0</v>
      </c>
      <c r="M129" s="34" t="n">
        <f aca="false">IF(AND((8-N(P_L2_Mes)+1)&gt;N(P_L2_Gracia),(8-N(P_L2_Mes)+1)&lt;=N(P_L2_Gracia)+N(P_L2_Cuotas),N(P_L2_Cuotas)&gt;0),IF((8-N(P_L2_Mes)+1)=N(P_L2_Gracia)+N(P_L2_Cuotas),IF((8-N(P_L2_Mes)+1)=1,N(P_L2_Monto),L$130),PMT(N(P_L2_Tasa)/12,N(P_L2_Cuotas),-N(P_L2_Monto))-M$128),0)*M$9</f>
        <v>0</v>
      </c>
      <c r="N129" s="34" t="n">
        <f aca="false">IF(AND((9-N(P_L2_Mes)+1)&gt;N(P_L2_Gracia),(9-N(P_L2_Mes)+1)&lt;=N(P_L2_Gracia)+N(P_L2_Cuotas),N(P_L2_Cuotas)&gt;0),IF((9-N(P_L2_Mes)+1)=N(P_L2_Gracia)+N(P_L2_Cuotas),IF((9-N(P_L2_Mes)+1)=1,N(P_L2_Monto),M$130),PMT(N(P_L2_Tasa)/12,N(P_L2_Cuotas),-N(P_L2_Monto))-N$128),0)*N$9</f>
        <v>0</v>
      </c>
      <c r="O129" s="34" t="n">
        <f aca="false">IF(AND((10-N(P_L2_Mes)+1)&gt;N(P_L2_Gracia),(10-N(P_L2_Mes)+1)&lt;=N(P_L2_Gracia)+N(P_L2_Cuotas),N(P_L2_Cuotas)&gt;0),IF((10-N(P_L2_Mes)+1)=N(P_L2_Gracia)+N(P_L2_Cuotas),IF((10-N(P_L2_Mes)+1)=1,N(P_L2_Monto),N$130),PMT(N(P_L2_Tasa)/12,N(P_L2_Cuotas),-N(P_L2_Monto))-O$128),0)*O$9</f>
        <v>0</v>
      </c>
      <c r="P129" s="34" t="n">
        <f aca="false">IF(AND((11-N(P_L2_Mes)+1)&gt;N(P_L2_Gracia),(11-N(P_L2_Mes)+1)&lt;=N(P_L2_Gracia)+N(P_L2_Cuotas),N(P_L2_Cuotas)&gt;0),IF((11-N(P_L2_Mes)+1)=N(P_L2_Gracia)+N(P_L2_Cuotas),IF((11-N(P_L2_Mes)+1)=1,N(P_L2_Monto),O$130),PMT(N(P_L2_Tasa)/12,N(P_L2_Cuotas),-N(P_L2_Monto))-P$128),0)*P$9</f>
        <v>0</v>
      </c>
      <c r="Q129" s="34" t="n">
        <f aca="false">IF(AND((12-N(P_L2_Mes)+1)&gt;N(P_L2_Gracia),(12-N(P_L2_Mes)+1)&lt;=N(P_L2_Gracia)+N(P_L2_Cuotas),N(P_L2_Cuotas)&gt;0),IF((12-N(P_L2_Mes)+1)=N(P_L2_Gracia)+N(P_L2_Cuotas),IF((12-N(P_L2_Mes)+1)=1,N(P_L2_Monto),P$130),PMT(N(P_L2_Tasa)/12,N(P_L2_Cuotas),-N(P_L2_Monto))-Q$128),0)*Q$9</f>
        <v>0</v>
      </c>
      <c r="R129" s="34" t="n">
        <f aca="false">IF(AND((13-N(P_L2_Mes)+1)&gt;N(P_L2_Gracia),(13-N(P_L2_Mes)+1)&lt;=N(P_L2_Gracia)+N(P_L2_Cuotas),N(P_L2_Cuotas)&gt;0),IF((13-N(P_L2_Mes)+1)=N(P_L2_Gracia)+N(P_L2_Cuotas),IF((13-N(P_L2_Mes)+1)=1,N(P_L2_Monto),Q$130),PMT(N(P_L2_Tasa)/12,N(P_L2_Cuotas),-N(P_L2_Monto))-R$128),0)*R$9</f>
        <v>0</v>
      </c>
      <c r="S129" s="34" t="n">
        <f aca="false">IF(AND((14-N(P_L2_Mes)+1)&gt;N(P_L2_Gracia),(14-N(P_L2_Mes)+1)&lt;=N(P_L2_Gracia)+N(P_L2_Cuotas),N(P_L2_Cuotas)&gt;0),IF((14-N(P_L2_Mes)+1)=N(P_L2_Gracia)+N(P_L2_Cuotas),IF((14-N(P_L2_Mes)+1)=1,N(P_L2_Monto),R$130),PMT(N(P_L2_Tasa)/12,N(P_L2_Cuotas),-N(P_L2_Monto))-S$128),0)*S$9</f>
        <v>0</v>
      </c>
      <c r="T129" s="34" t="n">
        <f aca="false">IF(AND((15-N(P_L2_Mes)+1)&gt;N(P_L2_Gracia),(15-N(P_L2_Mes)+1)&lt;=N(P_L2_Gracia)+N(P_L2_Cuotas),N(P_L2_Cuotas)&gt;0),IF((15-N(P_L2_Mes)+1)=N(P_L2_Gracia)+N(P_L2_Cuotas),IF((15-N(P_L2_Mes)+1)=1,N(P_L2_Monto),S$130),PMT(N(P_L2_Tasa)/12,N(P_L2_Cuotas),-N(P_L2_Monto))-T$128),0)*T$9</f>
        <v>0</v>
      </c>
      <c r="U129" s="34" t="n">
        <f aca="false">IF(AND((16-N(P_L2_Mes)+1)&gt;N(P_L2_Gracia),(16-N(P_L2_Mes)+1)&lt;=N(P_L2_Gracia)+N(P_L2_Cuotas),N(P_L2_Cuotas)&gt;0),IF((16-N(P_L2_Mes)+1)=N(P_L2_Gracia)+N(P_L2_Cuotas),IF((16-N(P_L2_Mes)+1)=1,N(P_L2_Monto),T$130),PMT(N(P_L2_Tasa)/12,N(P_L2_Cuotas),-N(P_L2_Monto))-U$128),0)*U$9</f>
        <v>0</v>
      </c>
      <c r="V129" s="34" t="n">
        <f aca="false">IF(AND((17-N(P_L2_Mes)+1)&gt;N(P_L2_Gracia),(17-N(P_L2_Mes)+1)&lt;=N(P_L2_Gracia)+N(P_L2_Cuotas),N(P_L2_Cuotas)&gt;0),IF((17-N(P_L2_Mes)+1)=N(P_L2_Gracia)+N(P_L2_Cuotas),IF((17-N(P_L2_Mes)+1)=1,N(P_L2_Monto),U$130),PMT(N(P_L2_Tasa)/12,N(P_L2_Cuotas),-N(P_L2_Monto))-V$128),0)*V$9</f>
        <v>0</v>
      </c>
      <c r="W129" s="34" t="n">
        <f aca="false">IF(AND((18-N(P_L2_Mes)+1)&gt;N(P_L2_Gracia),(18-N(P_L2_Mes)+1)&lt;=N(P_L2_Gracia)+N(P_L2_Cuotas),N(P_L2_Cuotas)&gt;0),IF((18-N(P_L2_Mes)+1)=N(P_L2_Gracia)+N(P_L2_Cuotas),IF((18-N(P_L2_Mes)+1)=1,N(P_L2_Monto),V$130),PMT(N(P_L2_Tasa)/12,N(P_L2_Cuotas),-N(P_L2_Monto))-W$128),0)*W$9</f>
        <v>0</v>
      </c>
      <c r="X129" s="34" t="n">
        <f aca="false">IF(AND((19-N(P_L2_Mes)+1)&gt;N(P_L2_Gracia),(19-N(P_L2_Mes)+1)&lt;=N(P_L2_Gracia)+N(P_L2_Cuotas),N(P_L2_Cuotas)&gt;0),IF((19-N(P_L2_Mes)+1)=N(P_L2_Gracia)+N(P_L2_Cuotas),IF((19-N(P_L2_Mes)+1)=1,N(P_L2_Monto),W$130),PMT(N(P_L2_Tasa)/12,N(P_L2_Cuotas),-N(P_L2_Monto))-X$128),0)*X$9</f>
        <v>0</v>
      </c>
      <c r="Y129" s="34" t="n">
        <f aca="false">IF(AND((20-N(P_L2_Mes)+1)&gt;N(P_L2_Gracia),(20-N(P_L2_Mes)+1)&lt;=N(P_L2_Gracia)+N(P_L2_Cuotas),N(P_L2_Cuotas)&gt;0),IF((20-N(P_L2_Mes)+1)=N(P_L2_Gracia)+N(P_L2_Cuotas),IF((20-N(P_L2_Mes)+1)=1,N(P_L2_Monto),X$130),PMT(N(P_L2_Tasa)/12,N(P_L2_Cuotas),-N(P_L2_Monto))-Y$128),0)*Y$9</f>
        <v>0</v>
      </c>
      <c r="Z129" s="34" t="n">
        <f aca="false">IF(AND((21-N(P_L2_Mes)+1)&gt;N(P_L2_Gracia),(21-N(P_L2_Mes)+1)&lt;=N(P_L2_Gracia)+N(P_L2_Cuotas),N(P_L2_Cuotas)&gt;0),IF((21-N(P_L2_Mes)+1)=N(P_L2_Gracia)+N(P_L2_Cuotas),IF((21-N(P_L2_Mes)+1)=1,N(P_L2_Monto),Y$130),PMT(N(P_L2_Tasa)/12,N(P_L2_Cuotas),-N(P_L2_Monto))-Z$128),0)*Z$9</f>
        <v>0</v>
      </c>
      <c r="AA129" s="34" t="n">
        <f aca="false">IF(AND((22-N(P_L2_Mes)+1)&gt;N(P_L2_Gracia),(22-N(P_L2_Mes)+1)&lt;=N(P_L2_Gracia)+N(P_L2_Cuotas),N(P_L2_Cuotas)&gt;0),IF((22-N(P_L2_Mes)+1)=N(P_L2_Gracia)+N(P_L2_Cuotas),IF((22-N(P_L2_Mes)+1)=1,N(P_L2_Monto),Z$130),PMT(N(P_L2_Tasa)/12,N(P_L2_Cuotas),-N(P_L2_Monto))-AA$128),0)*AA$9</f>
        <v>0</v>
      </c>
      <c r="AB129" s="34" t="n">
        <f aca="false">IF(AND((23-N(P_L2_Mes)+1)&gt;N(P_L2_Gracia),(23-N(P_L2_Mes)+1)&lt;=N(P_L2_Gracia)+N(P_L2_Cuotas),N(P_L2_Cuotas)&gt;0),IF((23-N(P_L2_Mes)+1)=N(P_L2_Gracia)+N(P_L2_Cuotas),IF((23-N(P_L2_Mes)+1)=1,N(P_L2_Monto),AA$130),PMT(N(P_L2_Tasa)/12,N(P_L2_Cuotas),-N(P_L2_Monto))-AB$128),0)*AB$9</f>
        <v>0</v>
      </c>
      <c r="AC129" s="34" t="n">
        <f aca="false">IF(AND((24-N(P_L2_Mes)+1)&gt;N(P_L2_Gracia),(24-N(P_L2_Mes)+1)&lt;=N(P_L2_Gracia)+N(P_L2_Cuotas),N(P_L2_Cuotas)&gt;0),IF((24-N(P_L2_Mes)+1)=N(P_L2_Gracia)+N(P_L2_Cuotas),IF((24-N(P_L2_Mes)+1)=1,N(P_L2_Monto),AB$130),PMT(N(P_L2_Tasa)/12,N(P_L2_Cuotas),-N(P_L2_Monto))-AC$128),0)*AC$9</f>
        <v>0</v>
      </c>
      <c r="AD129" s="34" t="n">
        <f aca="false">IF(AND((25-N(P_L2_Mes)+1)&gt;N(P_L2_Gracia),(25-N(P_L2_Mes)+1)&lt;=N(P_L2_Gracia)+N(P_L2_Cuotas),N(P_L2_Cuotas)&gt;0),IF((25-N(P_L2_Mes)+1)=N(P_L2_Gracia)+N(P_L2_Cuotas),IF((25-N(P_L2_Mes)+1)=1,N(P_L2_Monto),AC$130),PMT(N(P_L2_Tasa)/12,N(P_L2_Cuotas),-N(P_L2_Monto))-AD$128),0)*AD$9</f>
        <v>0</v>
      </c>
      <c r="AE129" s="34" t="n">
        <f aca="false">IF(AND((26-N(P_L2_Mes)+1)&gt;N(P_L2_Gracia),(26-N(P_L2_Mes)+1)&lt;=N(P_L2_Gracia)+N(P_L2_Cuotas),N(P_L2_Cuotas)&gt;0),IF((26-N(P_L2_Mes)+1)=N(P_L2_Gracia)+N(P_L2_Cuotas),IF((26-N(P_L2_Mes)+1)=1,N(P_L2_Monto),AD$130),PMT(N(P_L2_Tasa)/12,N(P_L2_Cuotas),-N(P_L2_Monto))-AE$128),0)*AE$9</f>
        <v>0</v>
      </c>
      <c r="AF129" s="34" t="n">
        <f aca="false">IF(AND((27-N(P_L2_Mes)+1)&gt;N(P_L2_Gracia),(27-N(P_L2_Mes)+1)&lt;=N(P_L2_Gracia)+N(P_L2_Cuotas),N(P_L2_Cuotas)&gt;0),IF((27-N(P_L2_Mes)+1)=N(P_L2_Gracia)+N(P_L2_Cuotas),IF((27-N(P_L2_Mes)+1)=1,N(P_L2_Monto),AE$130),PMT(N(P_L2_Tasa)/12,N(P_L2_Cuotas),-N(P_L2_Monto))-AF$128),0)*AF$9</f>
        <v>0</v>
      </c>
      <c r="AG129" s="34" t="n">
        <f aca="false">IF(AND((28-N(P_L2_Mes)+1)&gt;N(P_L2_Gracia),(28-N(P_L2_Mes)+1)&lt;=N(P_L2_Gracia)+N(P_L2_Cuotas),N(P_L2_Cuotas)&gt;0),IF((28-N(P_L2_Mes)+1)=N(P_L2_Gracia)+N(P_L2_Cuotas),IF((28-N(P_L2_Mes)+1)=1,N(P_L2_Monto),AF$130),PMT(N(P_L2_Tasa)/12,N(P_L2_Cuotas),-N(P_L2_Monto))-AG$128),0)*AG$9</f>
        <v>0</v>
      </c>
      <c r="AH129" s="34" t="n">
        <f aca="false">IF(AND((29-N(P_L2_Mes)+1)&gt;N(P_L2_Gracia),(29-N(P_L2_Mes)+1)&lt;=N(P_L2_Gracia)+N(P_L2_Cuotas),N(P_L2_Cuotas)&gt;0),IF((29-N(P_L2_Mes)+1)=N(P_L2_Gracia)+N(P_L2_Cuotas),IF((29-N(P_L2_Mes)+1)=1,N(P_L2_Monto),AG$130),PMT(N(P_L2_Tasa)/12,N(P_L2_Cuotas),-N(P_L2_Monto))-AH$128),0)*AH$9</f>
        <v>0</v>
      </c>
      <c r="AI129" s="34" t="n">
        <f aca="false">IF(AND((30-N(P_L2_Mes)+1)&gt;N(P_L2_Gracia),(30-N(P_L2_Mes)+1)&lt;=N(P_L2_Gracia)+N(P_L2_Cuotas),N(P_L2_Cuotas)&gt;0),IF((30-N(P_L2_Mes)+1)=N(P_L2_Gracia)+N(P_L2_Cuotas),IF((30-N(P_L2_Mes)+1)=1,N(P_L2_Monto),AH$130),PMT(N(P_L2_Tasa)/12,N(P_L2_Cuotas),-N(P_L2_Monto))-AI$128),0)*AI$9</f>
        <v>0</v>
      </c>
      <c r="AJ129" s="34" t="n">
        <f aca="false">IF(AND((31-N(P_L2_Mes)+1)&gt;N(P_L2_Gracia),(31-N(P_L2_Mes)+1)&lt;=N(P_L2_Gracia)+N(P_L2_Cuotas),N(P_L2_Cuotas)&gt;0),IF((31-N(P_L2_Mes)+1)=N(P_L2_Gracia)+N(P_L2_Cuotas),IF((31-N(P_L2_Mes)+1)=1,N(P_L2_Monto),AI$130),PMT(N(P_L2_Tasa)/12,N(P_L2_Cuotas),-N(P_L2_Monto))-AJ$128),0)*AJ$9</f>
        <v>0</v>
      </c>
      <c r="AK129" s="34" t="n">
        <f aca="false">IF(AND((32-N(P_L2_Mes)+1)&gt;N(P_L2_Gracia),(32-N(P_L2_Mes)+1)&lt;=N(P_L2_Gracia)+N(P_L2_Cuotas),N(P_L2_Cuotas)&gt;0),IF((32-N(P_L2_Mes)+1)=N(P_L2_Gracia)+N(P_L2_Cuotas),IF((32-N(P_L2_Mes)+1)=1,N(P_L2_Monto),AJ$130),PMT(N(P_L2_Tasa)/12,N(P_L2_Cuotas),-N(P_L2_Monto))-AK$128),0)*AK$9</f>
        <v>0</v>
      </c>
      <c r="AL129" s="34" t="n">
        <f aca="false">IF(AND((33-N(P_L2_Mes)+1)&gt;N(P_L2_Gracia),(33-N(P_L2_Mes)+1)&lt;=N(P_L2_Gracia)+N(P_L2_Cuotas),N(P_L2_Cuotas)&gt;0),IF((33-N(P_L2_Mes)+1)=N(P_L2_Gracia)+N(P_L2_Cuotas),IF((33-N(P_L2_Mes)+1)=1,N(P_L2_Monto),AK$130),PMT(N(P_L2_Tasa)/12,N(P_L2_Cuotas),-N(P_L2_Monto))-AL$128),0)*AL$9</f>
        <v>0</v>
      </c>
      <c r="AM129" s="34" t="n">
        <f aca="false">IF(AND((34-N(P_L2_Mes)+1)&gt;N(P_L2_Gracia),(34-N(P_L2_Mes)+1)&lt;=N(P_L2_Gracia)+N(P_L2_Cuotas),N(P_L2_Cuotas)&gt;0),IF((34-N(P_L2_Mes)+1)=N(P_L2_Gracia)+N(P_L2_Cuotas),IF((34-N(P_L2_Mes)+1)=1,N(P_L2_Monto),AL$130),PMT(N(P_L2_Tasa)/12,N(P_L2_Cuotas),-N(P_L2_Monto))-AM$128),0)*AM$9</f>
        <v>0</v>
      </c>
      <c r="AN129" s="34" t="n">
        <f aca="false">IF(AND((35-N(P_L2_Mes)+1)&gt;N(P_L2_Gracia),(35-N(P_L2_Mes)+1)&lt;=N(P_L2_Gracia)+N(P_L2_Cuotas),N(P_L2_Cuotas)&gt;0),IF((35-N(P_L2_Mes)+1)=N(P_L2_Gracia)+N(P_L2_Cuotas),IF((35-N(P_L2_Mes)+1)=1,N(P_L2_Monto),AM$130),PMT(N(P_L2_Tasa)/12,N(P_L2_Cuotas),-N(P_L2_Monto))-AN$128),0)*AN$9</f>
        <v>0</v>
      </c>
      <c r="AO129" s="34" t="n">
        <f aca="false">IF(AND((36-N(P_L2_Mes)+1)&gt;N(P_L2_Gracia),(36-N(P_L2_Mes)+1)&lt;=N(P_L2_Gracia)+N(P_L2_Cuotas),N(P_L2_Cuotas)&gt;0),IF((36-N(P_L2_Mes)+1)=N(P_L2_Gracia)+N(P_L2_Cuotas),IF((36-N(P_L2_Mes)+1)=1,N(P_L2_Monto),AN$130),PMT(N(P_L2_Tasa)/12,N(P_L2_Cuotas),-N(P_L2_Monto))-AO$128),0)*AO$9</f>
        <v>0</v>
      </c>
      <c r="AP129" s="34" t="n">
        <f aca="false">IF(AND((37-N(P_L2_Mes)+1)&gt;N(P_L2_Gracia),(37-N(P_L2_Mes)+1)&lt;=N(P_L2_Gracia)+N(P_L2_Cuotas),N(P_L2_Cuotas)&gt;0),IF((37-N(P_L2_Mes)+1)=N(P_L2_Gracia)+N(P_L2_Cuotas),IF((37-N(P_L2_Mes)+1)=1,N(P_L2_Monto),AO$130),PMT(N(P_L2_Tasa)/12,N(P_L2_Cuotas),-N(P_L2_Monto))-AP$128),0)*AP$9</f>
        <v>0</v>
      </c>
      <c r="AQ129" s="34" t="n">
        <f aca="false">IF(AND((38-N(P_L2_Mes)+1)&gt;N(P_L2_Gracia),(38-N(P_L2_Mes)+1)&lt;=N(P_L2_Gracia)+N(P_L2_Cuotas),N(P_L2_Cuotas)&gt;0),IF((38-N(P_L2_Mes)+1)=N(P_L2_Gracia)+N(P_L2_Cuotas),IF((38-N(P_L2_Mes)+1)=1,N(P_L2_Monto),AP$130),PMT(N(P_L2_Tasa)/12,N(P_L2_Cuotas),-N(P_L2_Monto))-AQ$128),0)*AQ$9</f>
        <v>0</v>
      </c>
      <c r="AR129" s="34" t="n">
        <f aca="false">IF(AND((39-N(P_L2_Mes)+1)&gt;N(P_L2_Gracia),(39-N(P_L2_Mes)+1)&lt;=N(P_L2_Gracia)+N(P_L2_Cuotas),N(P_L2_Cuotas)&gt;0),IF((39-N(P_L2_Mes)+1)=N(P_L2_Gracia)+N(P_L2_Cuotas),IF((39-N(P_L2_Mes)+1)=1,N(P_L2_Monto),AQ$130),PMT(N(P_L2_Tasa)/12,N(P_L2_Cuotas),-N(P_L2_Monto))-AR$128),0)*AR$9</f>
        <v>0</v>
      </c>
      <c r="AS129" s="34" t="n">
        <f aca="false">IF(AND((40-N(P_L2_Mes)+1)&gt;N(P_L2_Gracia),(40-N(P_L2_Mes)+1)&lt;=N(P_L2_Gracia)+N(P_L2_Cuotas),N(P_L2_Cuotas)&gt;0),IF((40-N(P_L2_Mes)+1)=N(P_L2_Gracia)+N(P_L2_Cuotas),IF((40-N(P_L2_Mes)+1)=1,N(P_L2_Monto),AR$130),PMT(N(P_L2_Tasa)/12,N(P_L2_Cuotas),-N(P_L2_Monto))-AS$128),0)*AS$9</f>
        <v>0</v>
      </c>
      <c r="AT129" s="34" t="n">
        <f aca="false">IF(AND((41-N(P_L2_Mes)+1)&gt;N(P_L2_Gracia),(41-N(P_L2_Mes)+1)&lt;=N(P_L2_Gracia)+N(P_L2_Cuotas),N(P_L2_Cuotas)&gt;0),IF((41-N(P_L2_Mes)+1)=N(P_L2_Gracia)+N(P_L2_Cuotas),IF((41-N(P_L2_Mes)+1)=1,N(P_L2_Monto),AS$130),PMT(N(P_L2_Tasa)/12,N(P_L2_Cuotas),-N(P_L2_Monto))-AT$128),0)*AT$9</f>
        <v>0</v>
      </c>
      <c r="AU129" s="34" t="n">
        <f aca="false">IF(AND((42-N(P_L2_Mes)+1)&gt;N(P_L2_Gracia),(42-N(P_L2_Mes)+1)&lt;=N(P_L2_Gracia)+N(P_L2_Cuotas),N(P_L2_Cuotas)&gt;0),IF((42-N(P_L2_Mes)+1)=N(P_L2_Gracia)+N(P_L2_Cuotas),IF((42-N(P_L2_Mes)+1)=1,N(P_L2_Monto),AT$130),PMT(N(P_L2_Tasa)/12,N(P_L2_Cuotas),-N(P_L2_Monto))-AU$128),0)*AU$9</f>
        <v>0</v>
      </c>
      <c r="AV129" s="34" t="n">
        <f aca="false">IF(AND((43-N(P_L2_Mes)+1)&gt;N(P_L2_Gracia),(43-N(P_L2_Mes)+1)&lt;=N(P_L2_Gracia)+N(P_L2_Cuotas),N(P_L2_Cuotas)&gt;0),IF((43-N(P_L2_Mes)+1)=N(P_L2_Gracia)+N(P_L2_Cuotas),IF((43-N(P_L2_Mes)+1)=1,N(P_L2_Monto),AU$130),PMT(N(P_L2_Tasa)/12,N(P_L2_Cuotas),-N(P_L2_Monto))-AV$128),0)*AV$9</f>
        <v>0</v>
      </c>
      <c r="AW129" s="34" t="n">
        <f aca="false">IF(AND((44-N(P_L2_Mes)+1)&gt;N(P_L2_Gracia),(44-N(P_L2_Mes)+1)&lt;=N(P_L2_Gracia)+N(P_L2_Cuotas),N(P_L2_Cuotas)&gt;0),IF((44-N(P_L2_Mes)+1)=N(P_L2_Gracia)+N(P_L2_Cuotas),IF((44-N(P_L2_Mes)+1)=1,N(P_L2_Monto),AV$130),PMT(N(P_L2_Tasa)/12,N(P_L2_Cuotas),-N(P_L2_Monto))-AW$128),0)*AW$9</f>
        <v>0</v>
      </c>
      <c r="AX129" s="34" t="n">
        <f aca="false">IF(AND((45-N(P_L2_Mes)+1)&gt;N(P_L2_Gracia),(45-N(P_L2_Mes)+1)&lt;=N(P_L2_Gracia)+N(P_L2_Cuotas),N(P_L2_Cuotas)&gt;0),IF((45-N(P_L2_Mes)+1)=N(P_L2_Gracia)+N(P_L2_Cuotas),IF((45-N(P_L2_Mes)+1)=1,N(P_L2_Monto),AW$130),PMT(N(P_L2_Tasa)/12,N(P_L2_Cuotas),-N(P_L2_Monto))-AX$128),0)*AX$9</f>
        <v>0</v>
      </c>
      <c r="AY129" s="34" t="n">
        <f aca="false">IF(AND((46-N(P_L2_Mes)+1)&gt;N(P_L2_Gracia),(46-N(P_L2_Mes)+1)&lt;=N(P_L2_Gracia)+N(P_L2_Cuotas),N(P_L2_Cuotas)&gt;0),IF((46-N(P_L2_Mes)+1)=N(P_L2_Gracia)+N(P_L2_Cuotas),IF((46-N(P_L2_Mes)+1)=1,N(P_L2_Monto),AX$130),PMT(N(P_L2_Tasa)/12,N(P_L2_Cuotas),-N(P_L2_Monto))-AY$128),0)*AY$9</f>
        <v>0</v>
      </c>
      <c r="AZ129" s="34" t="n">
        <f aca="false">IF(AND((47-N(P_L2_Mes)+1)&gt;N(P_L2_Gracia),(47-N(P_L2_Mes)+1)&lt;=N(P_L2_Gracia)+N(P_L2_Cuotas),N(P_L2_Cuotas)&gt;0),IF((47-N(P_L2_Mes)+1)=N(P_L2_Gracia)+N(P_L2_Cuotas),IF((47-N(P_L2_Mes)+1)=1,N(P_L2_Monto),AY$130),PMT(N(P_L2_Tasa)/12,N(P_L2_Cuotas),-N(P_L2_Monto))-AZ$128),0)*AZ$9</f>
        <v>0</v>
      </c>
      <c r="BA129" s="34" t="n">
        <f aca="false">IF(AND((48-N(P_L2_Mes)+1)&gt;N(P_L2_Gracia),(48-N(P_L2_Mes)+1)&lt;=N(P_L2_Gracia)+N(P_L2_Cuotas),N(P_L2_Cuotas)&gt;0),IF((48-N(P_L2_Mes)+1)=N(P_L2_Gracia)+N(P_L2_Cuotas),IF((48-N(P_L2_Mes)+1)=1,N(P_L2_Monto),AZ$130),PMT(N(P_L2_Tasa)/12,N(P_L2_Cuotas),-N(P_L2_Monto))-BA$128),0)*BA$9</f>
        <v>0</v>
      </c>
      <c r="BB129" s="34" t="n">
        <f aca="false">IF(AND((49-N(P_L2_Mes)+1)&gt;N(P_L2_Gracia),(49-N(P_L2_Mes)+1)&lt;=N(P_L2_Gracia)+N(P_L2_Cuotas),N(P_L2_Cuotas)&gt;0),IF((49-N(P_L2_Mes)+1)=N(P_L2_Gracia)+N(P_L2_Cuotas),IF((49-N(P_L2_Mes)+1)=1,N(P_L2_Monto),BA$130),PMT(N(P_L2_Tasa)/12,N(P_L2_Cuotas),-N(P_L2_Monto))-BB$128),0)*BB$9</f>
        <v>0</v>
      </c>
      <c r="BC129" s="34" t="n">
        <f aca="false">IF(AND((50-N(P_L2_Mes)+1)&gt;N(P_L2_Gracia),(50-N(P_L2_Mes)+1)&lt;=N(P_L2_Gracia)+N(P_L2_Cuotas),N(P_L2_Cuotas)&gt;0),IF((50-N(P_L2_Mes)+1)=N(P_L2_Gracia)+N(P_L2_Cuotas),IF((50-N(P_L2_Mes)+1)=1,N(P_L2_Monto),BB$130),PMT(N(P_L2_Tasa)/12,N(P_L2_Cuotas),-N(P_L2_Monto))-BC$128),0)*BC$9</f>
        <v>0</v>
      </c>
      <c r="BD129" s="34" t="n">
        <f aca="false">IF(AND((51-N(P_L2_Mes)+1)&gt;N(P_L2_Gracia),(51-N(P_L2_Mes)+1)&lt;=N(P_L2_Gracia)+N(P_L2_Cuotas),N(P_L2_Cuotas)&gt;0),IF((51-N(P_L2_Mes)+1)=N(P_L2_Gracia)+N(P_L2_Cuotas),IF((51-N(P_L2_Mes)+1)=1,N(P_L2_Monto),BC$130),PMT(N(P_L2_Tasa)/12,N(P_L2_Cuotas),-N(P_L2_Monto))-BD$128),0)*BD$9</f>
        <v>0</v>
      </c>
      <c r="BE129" s="34" t="n">
        <f aca="false">IF(AND((52-N(P_L2_Mes)+1)&gt;N(P_L2_Gracia),(52-N(P_L2_Mes)+1)&lt;=N(P_L2_Gracia)+N(P_L2_Cuotas),N(P_L2_Cuotas)&gt;0),IF((52-N(P_L2_Mes)+1)=N(P_L2_Gracia)+N(P_L2_Cuotas),IF((52-N(P_L2_Mes)+1)=1,N(P_L2_Monto),BD$130),PMT(N(P_L2_Tasa)/12,N(P_L2_Cuotas),-N(P_L2_Monto))-BE$128),0)*BE$9</f>
        <v>0</v>
      </c>
      <c r="BF129" s="34" t="n">
        <f aca="false">IF(AND((53-N(P_L2_Mes)+1)&gt;N(P_L2_Gracia),(53-N(P_L2_Mes)+1)&lt;=N(P_L2_Gracia)+N(P_L2_Cuotas),N(P_L2_Cuotas)&gt;0),IF((53-N(P_L2_Mes)+1)=N(P_L2_Gracia)+N(P_L2_Cuotas),IF((53-N(P_L2_Mes)+1)=1,N(P_L2_Monto),BE$130),PMT(N(P_L2_Tasa)/12,N(P_L2_Cuotas),-N(P_L2_Monto))-BF$128),0)*BF$9</f>
        <v>0</v>
      </c>
      <c r="BG129" s="34" t="n">
        <f aca="false">IF(AND((54-N(P_L2_Mes)+1)&gt;N(P_L2_Gracia),(54-N(P_L2_Mes)+1)&lt;=N(P_L2_Gracia)+N(P_L2_Cuotas),N(P_L2_Cuotas)&gt;0),IF((54-N(P_L2_Mes)+1)=N(P_L2_Gracia)+N(P_L2_Cuotas),IF((54-N(P_L2_Mes)+1)=1,N(P_L2_Monto),BF$130),PMT(N(P_L2_Tasa)/12,N(P_L2_Cuotas),-N(P_L2_Monto))-BG$128),0)*BG$9</f>
        <v>0</v>
      </c>
      <c r="BH129" s="34" t="n">
        <f aca="false">IF(AND((55-N(P_L2_Mes)+1)&gt;N(P_L2_Gracia),(55-N(P_L2_Mes)+1)&lt;=N(P_L2_Gracia)+N(P_L2_Cuotas),N(P_L2_Cuotas)&gt;0),IF((55-N(P_L2_Mes)+1)=N(P_L2_Gracia)+N(P_L2_Cuotas),IF((55-N(P_L2_Mes)+1)=1,N(P_L2_Monto),BG$130),PMT(N(P_L2_Tasa)/12,N(P_L2_Cuotas),-N(P_L2_Monto))-BH$128),0)*BH$9</f>
        <v>0</v>
      </c>
      <c r="BI129" s="34" t="n">
        <f aca="false">IF(AND((56-N(P_L2_Mes)+1)&gt;N(P_L2_Gracia),(56-N(P_L2_Mes)+1)&lt;=N(P_L2_Gracia)+N(P_L2_Cuotas),N(P_L2_Cuotas)&gt;0),IF((56-N(P_L2_Mes)+1)=N(P_L2_Gracia)+N(P_L2_Cuotas),IF((56-N(P_L2_Mes)+1)=1,N(P_L2_Monto),BH$130),PMT(N(P_L2_Tasa)/12,N(P_L2_Cuotas),-N(P_L2_Monto))-BI$128),0)*BI$9</f>
        <v>0</v>
      </c>
      <c r="BJ129" s="34" t="n">
        <f aca="false">IF(AND((57-N(P_L2_Mes)+1)&gt;N(P_L2_Gracia),(57-N(P_L2_Mes)+1)&lt;=N(P_L2_Gracia)+N(P_L2_Cuotas),N(P_L2_Cuotas)&gt;0),IF((57-N(P_L2_Mes)+1)=N(P_L2_Gracia)+N(P_L2_Cuotas),IF((57-N(P_L2_Mes)+1)=1,N(P_L2_Monto),BI$130),PMT(N(P_L2_Tasa)/12,N(P_L2_Cuotas),-N(P_L2_Monto))-BJ$128),0)*BJ$9</f>
        <v>0</v>
      </c>
      <c r="BK129" s="34" t="n">
        <f aca="false">IF(AND((58-N(P_L2_Mes)+1)&gt;N(P_L2_Gracia),(58-N(P_L2_Mes)+1)&lt;=N(P_L2_Gracia)+N(P_L2_Cuotas),N(P_L2_Cuotas)&gt;0),IF((58-N(P_L2_Mes)+1)=N(P_L2_Gracia)+N(P_L2_Cuotas),IF((58-N(P_L2_Mes)+1)=1,N(P_L2_Monto),BJ$130),PMT(N(P_L2_Tasa)/12,N(P_L2_Cuotas),-N(P_L2_Monto))-BK$128),0)*BK$9</f>
        <v>0</v>
      </c>
      <c r="BL129" s="34" t="n">
        <f aca="false">IF(AND((59-N(P_L2_Mes)+1)&gt;N(P_L2_Gracia),(59-N(P_L2_Mes)+1)&lt;=N(P_L2_Gracia)+N(P_L2_Cuotas),N(P_L2_Cuotas)&gt;0),IF((59-N(P_L2_Mes)+1)=N(P_L2_Gracia)+N(P_L2_Cuotas),IF((59-N(P_L2_Mes)+1)=1,N(P_L2_Monto),BK$130),PMT(N(P_L2_Tasa)/12,N(P_L2_Cuotas),-N(P_L2_Monto))-BL$128),0)*BL$9</f>
        <v>0</v>
      </c>
      <c r="BM129" s="34" t="n">
        <f aca="false">IF(AND((60-N(P_L2_Mes)+1)&gt;N(P_L2_Gracia),(60-N(P_L2_Mes)+1)&lt;=N(P_L2_Gracia)+N(P_L2_Cuotas),N(P_L2_Cuotas)&gt;0),IF((60-N(P_L2_Mes)+1)=N(P_L2_Gracia)+N(P_L2_Cuotas),IF((60-N(P_L2_Mes)+1)=1,N(P_L2_Monto),BL$130),PMT(N(P_L2_Tasa)/12,N(P_L2_Cuotas),-N(P_L2_Monto))-BM$128),0)*BM$9</f>
        <v>0</v>
      </c>
      <c r="BN129" s="34" t="n">
        <f aca="false">IF(AND((61-N(P_L2_Mes)+1)&gt;N(P_L2_Gracia),(61-N(P_L2_Mes)+1)&lt;=N(P_L2_Gracia)+N(P_L2_Cuotas),N(P_L2_Cuotas)&gt;0),IF((61-N(P_L2_Mes)+1)=N(P_L2_Gracia)+N(P_L2_Cuotas),IF((61-N(P_L2_Mes)+1)=1,N(P_L2_Monto),BM$130),PMT(N(P_L2_Tasa)/12,N(P_L2_Cuotas),-N(P_L2_Monto))-BN$128),0)*BN$9</f>
        <v>0</v>
      </c>
      <c r="BO129" s="34" t="n">
        <f aca="false">IF(AND((62-N(P_L2_Mes)+1)&gt;N(P_L2_Gracia),(62-N(P_L2_Mes)+1)&lt;=N(P_L2_Gracia)+N(P_L2_Cuotas),N(P_L2_Cuotas)&gt;0),IF((62-N(P_L2_Mes)+1)=N(P_L2_Gracia)+N(P_L2_Cuotas),IF((62-N(P_L2_Mes)+1)=1,N(P_L2_Monto),BN$130),PMT(N(P_L2_Tasa)/12,N(P_L2_Cuotas),-N(P_L2_Monto))-BO$128),0)*BO$9</f>
        <v>0</v>
      </c>
      <c r="BP129" s="34" t="n">
        <f aca="false">IF(AND((63-N(P_L2_Mes)+1)&gt;N(P_L2_Gracia),(63-N(P_L2_Mes)+1)&lt;=N(P_L2_Gracia)+N(P_L2_Cuotas),N(P_L2_Cuotas)&gt;0),IF((63-N(P_L2_Mes)+1)=N(P_L2_Gracia)+N(P_L2_Cuotas),IF((63-N(P_L2_Mes)+1)=1,N(P_L2_Monto),BO$130),PMT(N(P_L2_Tasa)/12,N(P_L2_Cuotas),-N(P_L2_Monto))-BP$128),0)*BP$9</f>
        <v>0</v>
      </c>
      <c r="BQ129" s="34" t="n">
        <f aca="false">IF(AND((64-N(P_L2_Mes)+1)&gt;N(P_L2_Gracia),(64-N(P_L2_Mes)+1)&lt;=N(P_L2_Gracia)+N(P_L2_Cuotas),N(P_L2_Cuotas)&gt;0),IF((64-N(P_L2_Mes)+1)=N(P_L2_Gracia)+N(P_L2_Cuotas),IF((64-N(P_L2_Mes)+1)=1,N(P_L2_Monto),BP$130),PMT(N(P_L2_Tasa)/12,N(P_L2_Cuotas),-N(P_L2_Monto))-BQ$128),0)*BQ$9</f>
        <v>0</v>
      </c>
      <c r="BR129" s="34" t="n">
        <f aca="false">IF(AND((65-N(P_L2_Mes)+1)&gt;N(P_L2_Gracia),(65-N(P_L2_Mes)+1)&lt;=N(P_L2_Gracia)+N(P_L2_Cuotas),N(P_L2_Cuotas)&gt;0),IF((65-N(P_L2_Mes)+1)=N(P_L2_Gracia)+N(P_L2_Cuotas),IF((65-N(P_L2_Mes)+1)=1,N(P_L2_Monto),BQ$130),PMT(N(P_L2_Tasa)/12,N(P_L2_Cuotas),-N(P_L2_Monto))-BR$128),0)*BR$9</f>
        <v>0</v>
      </c>
      <c r="BS129" s="34" t="n">
        <f aca="false">IF(AND((66-N(P_L2_Mes)+1)&gt;N(P_L2_Gracia),(66-N(P_L2_Mes)+1)&lt;=N(P_L2_Gracia)+N(P_L2_Cuotas),N(P_L2_Cuotas)&gt;0),IF((66-N(P_L2_Mes)+1)=N(P_L2_Gracia)+N(P_L2_Cuotas),IF((66-N(P_L2_Mes)+1)=1,N(P_L2_Monto),BR$130),PMT(N(P_L2_Tasa)/12,N(P_L2_Cuotas),-N(P_L2_Monto))-BS$128),0)*BS$9</f>
        <v>0</v>
      </c>
      <c r="BT129" s="34" t="n">
        <f aca="false">IF(AND((67-N(P_L2_Mes)+1)&gt;N(P_L2_Gracia),(67-N(P_L2_Mes)+1)&lt;=N(P_L2_Gracia)+N(P_L2_Cuotas),N(P_L2_Cuotas)&gt;0),IF((67-N(P_L2_Mes)+1)=N(P_L2_Gracia)+N(P_L2_Cuotas),IF((67-N(P_L2_Mes)+1)=1,N(P_L2_Monto),BS$130),PMT(N(P_L2_Tasa)/12,N(P_L2_Cuotas),-N(P_L2_Monto))-BT$128),0)*BT$9</f>
        <v>0</v>
      </c>
      <c r="BU129" s="34" t="n">
        <f aca="false">IF(AND((68-N(P_L2_Mes)+1)&gt;N(P_L2_Gracia),(68-N(P_L2_Mes)+1)&lt;=N(P_L2_Gracia)+N(P_L2_Cuotas),N(P_L2_Cuotas)&gt;0),IF((68-N(P_L2_Mes)+1)=N(P_L2_Gracia)+N(P_L2_Cuotas),IF((68-N(P_L2_Mes)+1)=1,N(P_L2_Monto),BT$130),PMT(N(P_L2_Tasa)/12,N(P_L2_Cuotas),-N(P_L2_Monto))-BU$128),0)*BU$9</f>
        <v>0</v>
      </c>
      <c r="BV129" s="34" t="n">
        <f aca="false">IF(AND((69-N(P_L2_Mes)+1)&gt;N(P_L2_Gracia),(69-N(P_L2_Mes)+1)&lt;=N(P_L2_Gracia)+N(P_L2_Cuotas),N(P_L2_Cuotas)&gt;0),IF((69-N(P_L2_Mes)+1)=N(P_L2_Gracia)+N(P_L2_Cuotas),IF((69-N(P_L2_Mes)+1)=1,N(P_L2_Monto),BU$130),PMT(N(P_L2_Tasa)/12,N(P_L2_Cuotas),-N(P_L2_Monto))-BV$128),0)*BV$9</f>
        <v>0</v>
      </c>
      <c r="BW129" s="34" t="n">
        <f aca="false">IF(AND((70-N(P_L2_Mes)+1)&gt;N(P_L2_Gracia),(70-N(P_L2_Mes)+1)&lt;=N(P_L2_Gracia)+N(P_L2_Cuotas),N(P_L2_Cuotas)&gt;0),IF((70-N(P_L2_Mes)+1)=N(P_L2_Gracia)+N(P_L2_Cuotas),IF((70-N(P_L2_Mes)+1)=1,N(P_L2_Monto),BV$130),PMT(N(P_L2_Tasa)/12,N(P_L2_Cuotas),-N(P_L2_Monto))-BW$128),0)*BW$9</f>
        <v>0</v>
      </c>
      <c r="BX129" s="34" t="n">
        <f aca="false">IF(AND((71-N(P_L2_Mes)+1)&gt;N(P_L2_Gracia),(71-N(P_L2_Mes)+1)&lt;=N(P_L2_Gracia)+N(P_L2_Cuotas),N(P_L2_Cuotas)&gt;0),IF((71-N(P_L2_Mes)+1)=N(P_L2_Gracia)+N(P_L2_Cuotas),IF((71-N(P_L2_Mes)+1)=1,N(P_L2_Monto),BW$130),PMT(N(P_L2_Tasa)/12,N(P_L2_Cuotas),-N(P_L2_Monto))-BX$128),0)*BX$9</f>
        <v>0</v>
      </c>
      <c r="BY129" s="34" t="n">
        <f aca="false">IF(AND((72-N(P_L2_Mes)+1)&gt;N(P_L2_Gracia),(72-N(P_L2_Mes)+1)&lt;=N(P_L2_Gracia)+N(P_L2_Cuotas),N(P_L2_Cuotas)&gt;0),IF((72-N(P_L2_Mes)+1)=N(P_L2_Gracia)+N(P_L2_Cuotas),IF((72-N(P_L2_Mes)+1)=1,N(P_L2_Monto),BX$130),PMT(N(P_L2_Tasa)/12,N(P_L2_Cuotas),-N(P_L2_Monto))-BY$128),0)*BY$9</f>
        <v>0</v>
      </c>
      <c r="BZ129" s="34" t="n">
        <f aca="false">IF(AND((73-N(P_L2_Mes)+1)&gt;N(P_L2_Gracia),(73-N(P_L2_Mes)+1)&lt;=N(P_L2_Gracia)+N(P_L2_Cuotas),N(P_L2_Cuotas)&gt;0),IF((73-N(P_L2_Mes)+1)=N(P_L2_Gracia)+N(P_L2_Cuotas),IF((73-N(P_L2_Mes)+1)=1,N(P_L2_Monto),BY$130),PMT(N(P_L2_Tasa)/12,N(P_L2_Cuotas),-N(P_L2_Monto))-BZ$128),0)*BZ$9</f>
        <v>0</v>
      </c>
      <c r="CA129" s="34" t="n">
        <f aca="false">IF(AND((74-N(P_L2_Mes)+1)&gt;N(P_L2_Gracia),(74-N(P_L2_Mes)+1)&lt;=N(P_L2_Gracia)+N(P_L2_Cuotas),N(P_L2_Cuotas)&gt;0),IF((74-N(P_L2_Mes)+1)=N(P_L2_Gracia)+N(P_L2_Cuotas),IF((74-N(P_L2_Mes)+1)=1,N(P_L2_Monto),BZ$130),PMT(N(P_L2_Tasa)/12,N(P_L2_Cuotas),-N(P_L2_Monto))-CA$128),0)*CA$9</f>
        <v>0</v>
      </c>
      <c r="CB129" s="34" t="n">
        <f aca="false">IF(AND((75-N(P_L2_Mes)+1)&gt;N(P_L2_Gracia),(75-N(P_L2_Mes)+1)&lt;=N(P_L2_Gracia)+N(P_L2_Cuotas),N(P_L2_Cuotas)&gt;0),IF((75-N(P_L2_Mes)+1)=N(P_L2_Gracia)+N(P_L2_Cuotas),IF((75-N(P_L2_Mes)+1)=1,N(P_L2_Monto),CA$130),PMT(N(P_L2_Tasa)/12,N(P_L2_Cuotas),-N(P_L2_Monto))-CB$128),0)*CB$9</f>
        <v>0</v>
      </c>
      <c r="CC129" s="34" t="n">
        <f aca="false">IF(AND((76-N(P_L2_Mes)+1)&gt;N(P_L2_Gracia),(76-N(P_L2_Mes)+1)&lt;=N(P_L2_Gracia)+N(P_L2_Cuotas),N(P_L2_Cuotas)&gt;0),IF((76-N(P_L2_Mes)+1)=N(P_L2_Gracia)+N(P_L2_Cuotas),IF((76-N(P_L2_Mes)+1)=1,N(P_L2_Monto),CB$130),PMT(N(P_L2_Tasa)/12,N(P_L2_Cuotas),-N(P_L2_Monto))-CC$128),0)*CC$9</f>
        <v>0</v>
      </c>
      <c r="CD129" s="34" t="n">
        <f aca="false">IF(AND((77-N(P_L2_Mes)+1)&gt;N(P_L2_Gracia),(77-N(P_L2_Mes)+1)&lt;=N(P_L2_Gracia)+N(P_L2_Cuotas),N(P_L2_Cuotas)&gt;0),IF((77-N(P_L2_Mes)+1)=N(P_L2_Gracia)+N(P_L2_Cuotas),IF((77-N(P_L2_Mes)+1)=1,N(P_L2_Monto),CC$130),PMT(N(P_L2_Tasa)/12,N(P_L2_Cuotas),-N(P_L2_Monto))-CD$128),0)*CD$9</f>
        <v>0</v>
      </c>
      <c r="CE129" s="34" t="n">
        <f aca="false">IF(AND((78-N(P_L2_Mes)+1)&gt;N(P_L2_Gracia),(78-N(P_L2_Mes)+1)&lt;=N(P_L2_Gracia)+N(P_L2_Cuotas),N(P_L2_Cuotas)&gt;0),IF((78-N(P_L2_Mes)+1)=N(P_L2_Gracia)+N(P_L2_Cuotas),IF((78-N(P_L2_Mes)+1)=1,N(P_L2_Monto),CD$130),PMT(N(P_L2_Tasa)/12,N(P_L2_Cuotas),-N(P_L2_Monto))-CE$128),0)*CE$9</f>
        <v>0</v>
      </c>
      <c r="CF129" s="34" t="n">
        <f aca="false">IF(AND((79-N(P_L2_Mes)+1)&gt;N(P_L2_Gracia),(79-N(P_L2_Mes)+1)&lt;=N(P_L2_Gracia)+N(P_L2_Cuotas),N(P_L2_Cuotas)&gt;0),IF((79-N(P_L2_Mes)+1)=N(P_L2_Gracia)+N(P_L2_Cuotas),IF((79-N(P_L2_Mes)+1)=1,N(P_L2_Monto),CE$130),PMT(N(P_L2_Tasa)/12,N(P_L2_Cuotas),-N(P_L2_Monto))-CF$128),0)*CF$9</f>
        <v>0</v>
      </c>
      <c r="CG129" s="34" t="n">
        <f aca="false">IF(AND((80-N(P_L2_Mes)+1)&gt;N(P_L2_Gracia),(80-N(P_L2_Mes)+1)&lt;=N(P_L2_Gracia)+N(P_L2_Cuotas),N(P_L2_Cuotas)&gt;0),IF((80-N(P_L2_Mes)+1)=N(P_L2_Gracia)+N(P_L2_Cuotas),IF((80-N(P_L2_Mes)+1)=1,N(P_L2_Monto),CF$130),PMT(N(P_L2_Tasa)/12,N(P_L2_Cuotas),-N(P_L2_Monto))-CG$128),0)*CG$9</f>
        <v>0</v>
      </c>
      <c r="CH129" s="34" t="n">
        <f aca="false">IF(AND((81-N(P_L2_Mes)+1)&gt;N(P_L2_Gracia),(81-N(P_L2_Mes)+1)&lt;=N(P_L2_Gracia)+N(P_L2_Cuotas),N(P_L2_Cuotas)&gt;0),IF((81-N(P_L2_Mes)+1)=N(P_L2_Gracia)+N(P_L2_Cuotas),IF((81-N(P_L2_Mes)+1)=1,N(P_L2_Monto),CG$130),PMT(N(P_L2_Tasa)/12,N(P_L2_Cuotas),-N(P_L2_Monto))-CH$128),0)*CH$9</f>
        <v>0</v>
      </c>
      <c r="CI129" s="34" t="n">
        <f aca="false">IF(AND((82-N(P_L2_Mes)+1)&gt;N(P_L2_Gracia),(82-N(P_L2_Mes)+1)&lt;=N(P_L2_Gracia)+N(P_L2_Cuotas),N(P_L2_Cuotas)&gt;0),IF((82-N(P_L2_Mes)+1)=N(P_L2_Gracia)+N(P_L2_Cuotas),IF((82-N(P_L2_Mes)+1)=1,N(P_L2_Monto),CH$130),PMT(N(P_L2_Tasa)/12,N(P_L2_Cuotas),-N(P_L2_Monto))-CI$128),0)*CI$9</f>
        <v>0</v>
      </c>
      <c r="CJ129" s="34" t="n">
        <f aca="false">IF(AND((83-N(P_L2_Mes)+1)&gt;N(P_L2_Gracia),(83-N(P_L2_Mes)+1)&lt;=N(P_L2_Gracia)+N(P_L2_Cuotas),N(P_L2_Cuotas)&gt;0),IF((83-N(P_L2_Mes)+1)=N(P_L2_Gracia)+N(P_L2_Cuotas),IF((83-N(P_L2_Mes)+1)=1,N(P_L2_Monto),CI$130),PMT(N(P_L2_Tasa)/12,N(P_L2_Cuotas),-N(P_L2_Monto))-CJ$128),0)*CJ$9</f>
        <v>0</v>
      </c>
      <c r="CK129" s="34" t="n">
        <f aca="false">IF(AND((84-N(P_L2_Mes)+1)&gt;N(P_L2_Gracia),(84-N(P_L2_Mes)+1)&lt;=N(P_L2_Gracia)+N(P_L2_Cuotas),N(P_L2_Cuotas)&gt;0),IF((84-N(P_L2_Mes)+1)=N(P_L2_Gracia)+N(P_L2_Cuotas),IF((84-N(P_L2_Mes)+1)=1,N(P_L2_Monto),CJ$130),PMT(N(P_L2_Tasa)/12,N(P_L2_Cuotas),-N(P_L2_Monto))-CK$128),0)*CK$9</f>
        <v>0</v>
      </c>
      <c r="CL129" s="34" t="n">
        <f aca="false">IF(AND((85-N(P_L2_Mes)+1)&gt;N(P_L2_Gracia),(85-N(P_L2_Mes)+1)&lt;=N(P_L2_Gracia)+N(P_L2_Cuotas),N(P_L2_Cuotas)&gt;0),IF((85-N(P_L2_Mes)+1)=N(P_L2_Gracia)+N(P_L2_Cuotas),IF((85-N(P_L2_Mes)+1)=1,N(P_L2_Monto),CK$130),PMT(N(P_L2_Tasa)/12,N(P_L2_Cuotas),-N(P_L2_Monto))-CL$128),0)*CL$9</f>
        <v>0</v>
      </c>
      <c r="CM129" s="34" t="n">
        <f aca="false">IF(AND((86-N(P_L2_Mes)+1)&gt;N(P_L2_Gracia),(86-N(P_L2_Mes)+1)&lt;=N(P_L2_Gracia)+N(P_L2_Cuotas),N(P_L2_Cuotas)&gt;0),IF((86-N(P_L2_Mes)+1)=N(P_L2_Gracia)+N(P_L2_Cuotas),IF((86-N(P_L2_Mes)+1)=1,N(P_L2_Monto),CL$130),PMT(N(P_L2_Tasa)/12,N(P_L2_Cuotas),-N(P_L2_Monto))-CM$128),0)*CM$9</f>
        <v>0</v>
      </c>
      <c r="CN129" s="34" t="n">
        <f aca="false">IF(AND((87-N(P_L2_Mes)+1)&gt;N(P_L2_Gracia),(87-N(P_L2_Mes)+1)&lt;=N(P_L2_Gracia)+N(P_L2_Cuotas),N(P_L2_Cuotas)&gt;0),IF((87-N(P_L2_Mes)+1)=N(P_L2_Gracia)+N(P_L2_Cuotas),IF((87-N(P_L2_Mes)+1)=1,N(P_L2_Monto),CM$130),PMT(N(P_L2_Tasa)/12,N(P_L2_Cuotas),-N(P_L2_Monto))-CN$128),0)*CN$9</f>
        <v>0</v>
      </c>
      <c r="CO129" s="34" t="n">
        <f aca="false">IF(AND((88-N(P_L2_Mes)+1)&gt;N(P_L2_Gracia),(88-N(P_L2_Mes)+1)&lt;=N(P_L2_Gracia)+N(P_L2_Cuotas),N(P_L2_Cuotas)&gt;0),IF((88-N(P_L2_Mes)+1)=N(P_L2_Gracia)+N(P_L2_Cuotas),IF((88-N(P_L2_Mes)+1)=1,N(P_L2_Monto),CN$130),PMT(N(P_L2_Tasa)/12,N(P_L2_Cuotas),-N(P_L2_Monto))-CO$128),0)*CO$9</f>
        <v>0</v>
      </c>
      <c r="CP129" s="34" t="n">
        <f aca="false">IF(AND((89-N(P_L2_Mes)+1)&gt;N(P_L2_Gracia),(89-N(P_L2_Mes)+1)&lt;=N(P_L2_Gracia)+N(P_L2_Cuotas),N(P_L2_Cuotas)&gt;0),IF((89-N(P_L2_Mes)+1)=N(P_L2_Gracia)+N(P_L2_Cuotas),IF((89-N(P_L2_Mes)+1)=1,N(P_L2_Monto),CO$130),PMT(N(P_L2_Tasa)/12,N(P_L2_Cuotas),-N(P_L2_Monto))-CP$128),0)*CP$9</f>
        <v>0</v>
      </c>
      <c r="CQ129" s="34" t="n">
        <f aca="false">IF(AND((90-N(P_L2_Mes)+1)&gt;N(P_L2_Gracia),(90-N(P_L2_Mes)+1)&lt;=N(P_L2_Gracia)+N(P_L2_Cuotas),N(P_L2_Cuotas)&gt;0),IF((90-N(P_L2_Mes)+1)=N(P_L2_Gracia)+N(P_L2_Cuotas),IF((90-N(P_L2_Mes)+1)=1,N(P_L2_Monto),CP$130),PMT(N(P_L2_Tasa)/12,N(P_L2_Cuotas),-N(P_L2_Monto))-CQ$128),0)*CQ$9</f>
        <v>0</v>
      </c>
      <c r="CR129" s="34" t="n">
        <f aca="false">IF(AND((91-N(P_L2_Mes)+1)&gt;N(P_L2_Gracia),(91-N(P_L2_Mes)+1)&lt;=N(P_L2_Gracia)+N(P_L2_Cuotas),N(P_L2_Cuotas)&gt;0),IF((91-N(P_L2_Mes)+1)=N(P_L2_Gracia)+N(P_L2_Cuotas),IF((91-N(P_L2_Mes)+1)=1,N(P_L2_Monto),CQ$130),PMT(N(P_L2_Tasa)/12,N(P_L2_Cuotas),-N(P_L2_Monto))-CR$128),0)*CR$9</f>
        <v>0</v>
      </c>
      <c r="CS129" s="34" t="n">
        <f aca="false">IF(AND((92-N(P_L2_Mes)+1)&gt;N(P_L2_Gracia),(92-N(P_L2_Mes)+1)&lt;=N(P_L2_Gracia)+N(P_L2_Cuotas),N(P_L2_Cuotas)&gt;0),IF((92-N(P_L2_Mes)+1)=N(P_L2_Gracia)+N(P_L2_Cuotas),IF((92-N(P_L2_Mes)+1)=1,N(P_L2_Monto),CR$130),PMT(N(P_L2_Tasa)/12,N(P_L2_Cuotas),-N(P_L2_Monto))-CS$128),0)*CS$9</f>
        <v>0</v>
      </c>
      <c r="CT129" s="34" t="n">
        <f aca="false">IF(AND((93-N(P_L2_Mes)+1)&gt;N(P_L2_Gracia),(93-N(P_L2_Mes)+1)&lt;=N(P_L2_Gracia)+N(P_L2_Cuotas),N(P_L2_Cuotas)&gt;0),IF((93-N(P_L2_Mes)+1)=N(P_L2_Gracia)+N(P_L2_Cuotas),IF((93-N(P_L2_Mes)+1)=1,N(P_L2_Monto),CS$130),PMT(N(P_L2_Tasa)/12,N(P_L2_Cuotas),-N(P_L2_Monto))-CT$128),0)*CT$9</f>
        <v>0</v>
      </c>
      <c r="CU129" s="34" t="n">
        <f aca="false">IF(AND((94-N(P_L2_Mes)+1)&gt;N(P_L2_Gracia),(94-N(P_L2_Mes)+1)&lt;=N(P_L2_Gracia)+N(P_L2_Cuotas),N(P_L2_Cuotas)&gt;0),IF((94-N(P_L2_Mes)+1)=N(P_L2_Gracia)+N(P_L2_Cuotas),IF((94-N(P_L2_Mes)+1)=1,N(P_L2_Monto),CT$130),PMT(N(P_L2_Tasa)/12,N(P_L2_Cuotas),-N(P_L2_Monto))-CU$128),0)*CU$9</f>
        <v>0</v>
      </c>
      <c r="CV129" s="34" t="n">
        <f aca="false">IF(AND((95-N(P_L2_Mes)+1)&gt;N(P_L2_Gracia),(95-N(P_L2_Mes)+1)&lt;=N(P_L2_Gracia)+N(P_L2_Cuotas),N(P_L2_Cuotas)&gt;0),IF((95-N(P_L2_Mes)+1)=N(P_L2_Gracia)+N(P_L2_Cuotas),IF((95-N(P_L2_Mes)+1)=1,N(P_L2_Monto),CU$130),PMT(N(P_L2_Tasa)/12,N(P_L2_Cuotas),-N(P_L2_Monto))-CV$128),0)*CV$9</f>
        <v>0</v>
      </c>
      <c r="CW129" s="34" t="n">
        <f aca="false">IF(AND((96-N(P_L2_Mes)+1)&gt;N(P_L2_Gracia),(96-N(P_L2_Mes)+1)&lt;=N(P_L2_Gracia)+N(P_L2_Cuotas),N(P_L2_Cuotas)&gt;0),IF((96-N(P_L2_Mes)+1)=N(P_L2_Gracia)+N(P_L2_Cuotas),IF((96-N(P_L2_Mes)+1)=1,N(P_L2_Monto),CV$130),PMT(N(P_L2_Tasa)/12,N(P_L2_Cuotas),-N(P_L2_Monto))-CW$128),0)*CW$9</f>
        <v>0</v>
      </c>
      <c r="CX129" s="34" t="n">
        <f aca="false">IF(AND((97-N(P_L2_Mes)+1)&gt;N(P_L2_Gracia),(97-N(P_L2_Mes)+1)&lt;=N(P_L2_Gracia)+N(P_L2_Cuotas),N(P_L2_Cuotas)&gt;0),IF((97-N(P_L2_Mes)+1)=N(P_L2_Gracia)+N(P_L2_Cuotas),IF((97-N(P_L2_Mes)+1)=1,N(P_L2_Monto),CW$130),PMT(N(P_L2_Tasa)/12,N(P_L2_Cuotas),-N(P_L2_Monto))-CX$128),0)*CX$9</f>
        <v>0</v>
      </c>
      <c r="CY129" s="34" t="n">
        <f aca="false">IF(AND((98-N(P_L2_Mes)+1)&gt;N(P_L2_Gracia),(98-N(P_L2_Mes)+1)&lt;=N(P_L2_Gracia)+N(P_L2_Cuotas),N(P_L2_Cuotas)&gt;0),IF((98-N(P_L2_Mes)+1)=N(P_L2_Gracia)+N(P_L2_Cuotas),IF((98-N(P_L2_Mes)+1)=1,N(P_L2_Monto),CX$130),PMT(N(P_L2_Tasa)/12,N(P_L2_Cuotas),-N(P_L2_Monto))-CY$128),0)*CY$9</f>
        <v>0</v>
      </c>
      <c r="CZ129" s="34" t="n">
        <f aca="false">IF(AND((99-N(P_L2_Mes)+1)&gt;N(P_L2_Gracia),(99-N(P_L2_Mes)+1)&lt;=N(P_L2_Gracia)+N(P_L2_Cuotas),N(P_L2_Cuotas)&gt;0),IF((99-N(P_L2_Mes)+1)=N(P_L2_Gracia)+N(P_L2_Cuotas),IF((99-N(P_L2_Mes)+1)=1,N(P_L2_Monto),CY$130),PMT(N(P_L2_Tasa)/12,N(P_L2_Cuotas),-N(P_L2_Monto))-CZ$128),0)*CZ$9</f>
        <v>0</v>
      </c>
      <c r="DA129" s="34" t="n">
        <f aca="false">IF(AND((100-N(P_L2_Mes)+1)&gt;N(P_L2_Gracia),(100-N(P_L2_Mes)+1)&lt;=N(P_L2_Gracia)+N(P_L2_Cuotas),N(P_L2_Cuotas)&gt;0),IF((100-N(P_L2_Mes)+1)=N(P_L2_Gracia)+N(P_L2_Cuotas),IF((100-N(P_L2_Mes)+1)=1,N(P_L2_Monto),CZ$130),PMT(N(P_L2_Tasa)/12,N(P_L2_Cuotas),-N(P_L2_Monto))-DA$128),0)*DA$9</f>
        <v>0</v>
      </c>
      <c r="DB129" s="34" t="n">
        <f aca="false">IF(AND((101-N(P_L2_Mes)+1)&gt;N(P_L2_Gracia),(101-N(P_L2_Mes)+1)&lt;=N(P_L2_Gracia)+N(P_L2_Cuotas),N(P_L2_Cuotas)&gt;0),IF((101-N(P_L2_Mes)+1)=N(P_L2_Gracia)+N(P_L2_Cuotas),IF((101-N(P_L2_Mes)+1)=1,N(P_L2_Monto),DA$130),PMT(N(P_L2_Tasa)/12,N(P_L2_Cuotas),-N(P_L2_Monto))-DB$128),0)*DB$9</f>
        <v>0</v>
      </c>
      <c r="DC129" s="34" t="n">
        <f aca="false">IF(AND((102-N(P_L2_Mes)+1)&gt;N(P_L2_Gracia),(102-N(P_L2_Mes)+1)&lt;=N(P_L2_Gracia)+N(P_L2_Cuotas),N(P_L2_Cuotas)&gt;0),IF((102-N(P_L2_Mes)+1)=N(P_L2_Gracia)+N(P_L2_Cuotas),IF((102-N(P_L2_Mes)+1)=1,N(P_L2_Monto),DB$130),PMT(N(P_L2_Tasa)/12,N(P_L2_Cuotas),-N(P_L2_Monto))-DC$128),0)*DC$9</f>
        <v>0</v>
      </c>
      <c r="DD129" s="34" t="n">
        <f aca="false">IF(AND((103-N(P_L2_Mes)+1)&gt;N(P_L2_Gracia),(103-N(P_L2_Mes)+1)&lt;=N(P_L2_Gracia)+N(P_L2_Cuotas),N(P_L2_Cuotas)&gt;0),IF((103-N(P_L2_Mes)+1)=N(P_L2_Gracia)+N(P_L2_Cuotas),IF((103-N(P_L2_Mes)+1)=1,N(P_L2_Monto),DC$130),PMT(N(P_L2_Tasa)/12,N(P_L2_Cuotas),-N(P_L2_Monto))-DD$128),0)*DD$9</f>
        <v>0</v>
      </c>
      <c r="DE129" s="34" t="n">
        <f aca="false">IF(AND((104-N(P_L2_Mes)+1)&gt;N(P_L2_Gracia),(104-N(P_L2_Mes)+1)&lt;=N(P_L2_Gracia)+N(P_L2_Cuotas),N(P_L2_Cuotas)&gt;0),IF((104-N(P_L2_Mes)+1)=N(P_L2_Gracia)+N(P_L2_Cuotas),IF((104-N(P_L2_Mes)+1)=1,N(P_L2_Monto),DD$130),PMT(N(P_L2_Tasa)/12,N(P_L2_Cuotas),-N(P_L2_Monto))-DE$128),0)*DE$9</f>
        <v>0</v>
      </c>
      <c r="DF129" s="34" t="n">
        <f aca="false">IF(AND((105-N(P_L2_Mes)+1)&gt;N(P_L2_Gracia),(105-N(P_L2_Mes)+1)&lt;=N(P_L2_Gracia)+N(P_L2_Cuotas),N(P_L2_Cuotas)&gt;0),IF((105-N(P_L2_Mes)+1)=N(P_L2_Gracia)+N(P_L2_Cuotas),IF((105-N(P_L2_Mes)+1)=1,N(P_L2_Monto),DE$130),PMT(N(P_L2_Tasa)/12,N(P_L2_Cuotas),-N(P_L2_Monto))-DF$128),0)*DF$9</f>
        <v>0</v>
      </c>
      <c r="DG129" s="34" t="n">
        <f aca="false">IF(AND((106-N(P_L2_Mes)+1)&gt;N(P_L2_Gracia),(106-N(P_L2_Mes)+1)&lt;=N(P_L2_Gracia)+N(P_L2_Cuotas),N(P_L2_Cuotas)&gt;0),IF((106-N(P_L2_Mes)+1)=N(P_L2_Gracia)+N(P_L2_Cuotas),IF((106-N(P_L2_Mes)+1)=1,N(P_L2_Monto),DF$130),PMT(N(P_L2_Tasa)/12,N(P_L2_Cuotas),-N(P_L2_Monto))-DG$128),0)*DG$9</f>
        <v>0</v>
      </c>
      <c r="DH129" s="34" t="n">
        <f aca="false">IF(AND((107-N(P_L2_Mes)+1)&gt;N(P_L2_Gracia),(107-N(P_L2_Mes)+1)&lt;=N(P_L2_Gracia)+N(P_L2_Cuotas),N(P_L2_Cuotas)&gt;0),IF((107-N(P_L2_Mes)+1)=N(P_L2_Gracia)+N(P_L2_Cuotas),IF((107-N(P_L2_Mes)+1)=1,N(P_L2_Monto),DG$130),PMT(N(P_L2_Tasa)/12,N(P_L2_Cuotas),-N(P_L2_Monto))-DH$128),0)*DH$9</f>
        <v>0</v>
      </c>
      <c r="DI129" s="34" t="n">
        <f aca="false">IF(AND((108-N(P_L2_Mes)+1)&gt;N(P_L2_Gracia),(108-N(P_L2_Mes)+1)&lt;=N(P_L2_Gracia)+N(P_L2_Cuotas),N(P_L2_Cuotas)&gt;0),IF((108-N(P_L2_Mes)+1)=N(P_L2_Gracia)+N(P_L2_Cuotas),IF((108-N(P_L2_Mes)+1)=1,N(P_L2_Monto),DH$130),PMT(N(P_L2_Tasa)/12,N(P_L2_Cuotas),-N(P_L2_Monto))-DI$128),0)*DI$9</f>
        <v>0</v>
      </c>
      <c r="DJ129" s="34" t="n">
        <f aca="false">IF(AND((109-N(P_L2_Mes)+1)&gt;N(P_L2_Gracia),(109-N(P_L2_Mes)+1)&lt;=N(P_L2_Gracia)+N(P_L2_Cuotas),N(P_L2_Cuotas)&gt;0),IF((109-N(P_L2_Mes)+1)=N(P_L2_Gracia)+N(P_L2_Cuotas),IF((109-N(P_L2_Mes)+1)=1,N(P_L2_Monto),DI$130),PMT(N(P_L2_Tasa)/12,N(P_L2_Cuotas),-N(P_L2_Monto))-DJ$128),0)*DJ$9</f>
        <v>0</v>
      </c>
      <c r="DK129" s="34" t="n">
        <f aca="false">IF(AND((110-N(P_L2_Mes)+1)&gt;N(P_L2_Gracia),(110-N(P_L2_Mes)+1)&lt;=N(P_L2_Gracia)+N(P_L2_Cuotas),N(P_L2_Cuotas)&gt;0),IF((110-N(P_L2_Mes)+1)=N(P_L2_Gracia)+N(P_L2_Cuotas),IF((110-N(P_L2_Mes)+1)=1,N(P_L2_Monto),DJ$130),PMT(N(P_L2_Tasa)/12,N(P_L2_Cuotas),-N(P_L2_Monto))-DK$128),0)*DK$9</f>
        <v>0</v>
      </c>
      <c r="DL129" s="34" t="n">
        <f aca="false">IF(AND((111-N(P_L2_Mes)+1)&gt;N(P_L2_Gracia),(111-N(P_L2_Mes)+1)&lt;=N(P_L2_Gracia)+N(P_L2_Cuotas),N(P_L2_Cuotas)&gt;0),IF((111-N(P_L2_Mes)+1)=N(P_L2_Gracia)+N(P_L2_Cuotas),IF((111-N(P_L2_Mes)+1)=1,N(P_L2_Monto),DK$130),PMT(N(P_L2_Tasa)/12,N(P_L2_Cuotas),-N(P_L2_Monto))-DL$128),0)*DL$9</f>
        <v>0</v>
      </c>
      <c r="DM129" s="34" t="n">
        <f aca="false">IF(AND((112-N(P_L2_Mes)+1)&gt;N(P_L2_Gracia),(112-N(P_L2_Mes)+1)&lt;=N(P_L2_Gracia)+N(P_L2_Cuotas),N(P_L2_Cuotas)&gt;0),IF((112-N(P_L2_Mes)+1)=N(P_L2_Gracia)+N(P_L2_Cuotas),IF((112-N(P_L2_Mes)+1)=1,N(P_L2_Monto),DL$130),PMT(N(P_L2_Tasa)/12,N(P_L2_Cuotas),-N(P_L2_Monto))-DM$128),0)*DM$9</f>
        <v>0</v>
      </c>
      <c r="DN129" s="34" t="n">
        <f aca="false">IF(AND((113-N(P_L2_Mes)+1)&gt;N(P_L2_Gracia),(113-N(P_L2_Mes)+1)&lt;=N(P_L2_Gracia)+N(P_L2_Cuotas),N(P_L2_Cuotas)&gt;0),IF((113-N(P_L2_Mes)+1)=N(P_L2_Gracia)+N(P_L2_Cuotas),IF((113-N(P_L2_Mes)+1)=1,N(P_L2_Monto),DM$130),PMT(N(P_L2_Tasa)/12,N(P_L2_Cuotas),-N(P_L2_Monto))-DN$128),0)*DN$9</f>
        <v>0</v>
      </c>
      <c r="DO129" s="34" t="n">
        <f aca="false">IF(AND((114-N(P_L2_Mes)+1)&gt;N(P_L2_Gracia),(114-N(P_L2_Mes)+1)&lt;=N(P_L2_Gracia)+N(P_L2_Cuotas),N(P_L2_Cuotas)&gt;0),IF((114-N(P_L2_Mes)+1)=N(P_L2_Gracia)+N(P_L2_Cuotas),IF((114-N(P_L2_Mes)+1)=1,N(P_L2_Monto),DN$130),PMT(N(P_L2_Tasa)/12,N(P_L2_Cuotas),-N(P_L2_Monto))-DO$128),0)*DO$9</f>
        <v>0</v>
      </c>
      <c r="DP129" s="34" t="n">
        <f aca="false">IF(AND((115-N(P_L2_Mes)+1)&gt;N(P_L2_Gracia),(115-N(P_L2_Mes)+1)&lt;=N(P_L2_Gracia)+N(P_L2_Cuotas),N(P_L2_Cuotas)&gt;0),IF((115-N(P_L2_Mes)+1)=N(P_L2_Gracia)+N(P_L2_Cuotas),IF((115-N(P_L2_Mes)+1)=1,N(P_L2_Monto),DO$130),PMT(N(P_L2_Tasa)/12,N(P_L2_Cuotas),-N(P_L2_Monto))-DP$128),0)*DP$9</f>
        <v>0</v>
      </c>
      <c r="DQ129" s="34" t="n">
        <f aca="false">IF(AND((116-N(P_L2_Mes)+1)&gt;N(P_L2_Gracia),(116-N(P_L2_Mes)+1)&lt;=N(P_L2_Gracia)+N(P_L2_Cuotas),N(P_L2_Cuotas)&gt;0),IF((116-N(P_L2_Mes)+1)=N(P_L2_Gracia)+N(P_L2_Cuotas),IF((116-N(P_L2_Mes)+1)=1,N(P_L2_Monto),DP$130),PMT(N(P_L2_Tasa)/12,N(P_L2_Cuotas),-N(P_L2_Monto))-DQ$128),0)*DQ$9</f>
        <v>0</v>
      </c>
      <c r="DR129" s="34" t="n">
        <f aca="false">IF(AND((117-N(P_L2_Mes)+1)&gt;N(P_L2_Gracia),(117-N(P_L2_Mes)+1)&lt;=N(P_L2_Gracia)+N(P_L2_Cuotas),N(P_L2_Cuotas)&gt;0),IF((117-N(P_L2_Mes)+1)=N(P_L2_Gracia)+N(P_L2_Cuotas),IF((117-N(P_L2_Mes)+1)=1,N(P_L2_Monto),DQ$130),PMT(N(P_L2_Tasa)/12,N(P_L2_Cuotas),-N(P_L2_Monto))-DR$128),0)*DR$9</f>
        <v>0</v>
      </c>
      <c r="DS129" s="34" t="n">
        <f aca="false">IF(AND((118-N(P_L2_Mes)+1)&gt;N(P_L2_Gracia),(118-N(P_L2_Mes)+1)&lt;=N(P_L2_Gracia)+N(P_L2_Cuotas),N(P_L2_Cuotas)&gt;0),IF((118-N(P_L2_Mes)+1)=N(P_L2_Gracia)+N(P_L2_Cuotas),IF((118-N(P_L2_Mes)+1)=1,N(P_L2_Monto),DR$130),PMT(N(P_L2_Tasa)/12,N(P_L2_Cuotas),-N(P_L2_Monto))-DS$128),0)*DS$9</f>
        <v>0</v>
      </c>
      <c r="DT129" s="34" t="n">
        <f aca="false">IF(AND((119-N(P_L2_Mes)+1)&gt;N(P_L2_Gracia),(119-N(P_L2_Mes)+1)&lt;=N(P_L2_Gracia)+N(P_L2_Cuotas),N(P_L2_Cuotas)&gt;0),IF((119-N(P_L2_Mes)+1)=N(P_L2_Gracia)+N(P_L2_Cuotas),IF((119-N(P_L2_Mes)+1)=1,N(P_L2_Monto),DS$130),PMT(N(P_L2_Tasa)/12,N(P_L2_Cuotas),-N(P_L2_Monto))-DT$128),0)*DT$9</f>
        <v>0</v>
      </c>
      <c r="DU129" s="34" t="n">
        <f aca="false">IF(AND((120-N(P_L2_Mes)+1)&gt;N(P_L2_Gracia),(120-N(P_L2_Mes)+1)&lt;=N(P_L2_Gracia)+N(P_L2_Cuotas),N(P_L2_Cuotas)&gt;0),IF((120-N(P_L2_Mes)+1)=N(P_L2_Gracia)+N(P_L2_Cuotas),IF((120-N(P_L2_Mes)+1)=1,N(P_L2_Monto),DT$130),PMT(N(P_L2_Tasa)/12,N(P_L2_Cuotas),-N(P_L2_Monto))-DU$128),0)*DU$9</f>
        <v>0</v>
      </c>
      <c r="DV129" s="34" t="n">
        <f aca="false">IF(AND((121-N(P_L2_Mes)+1)&gt;N(P_L2_Gracia),(121-N(P_L2_Mes)+1)&lt;=N(P_L2_Gracia)+N(P_L2_Cuotas),N(P_L2_Cuotas)&gt;0),IF((121-N(P_L2_Mes)+1)=N(P_L2_Gracia)+N(P_L2_Cuotas),IF((121-N(P_L2_Mes)+1)=1,N(P_L2_Monto),DU$130),PMT(N(P_L2_Tasa)/12,N(P_L2_Cuotas),-N(P_L2_Monto))-DV$128),0)*DV$9</f>
        <v>0</v>
      </c>
      <c r="DW129" s="34" t="n">
        <f aca="false">IF(AND((122-N(P_L2_Mes)+1)&gt;N(P_L2_Gracia),(122-N(P_L2_Mes)+1)&lt;=N(P_L2_Gracia)+N(P_L2_Cuotas),N(P_L2_Cuotas)&gt;0),IF((122-N(P_L2_Mes)+1)=N(P_L2_Gracia)+N(P_L2_Cuotas),IF((122-N(P_L2_Mes)+1)=1,N(P_L2_Monto),DV$130),PMT(N(P_L2_Tasa)/12,N(P_L2_Cuotas),-N(P_L2_Monto))-DW$128),0)*DW$9</f>
        <v>0</v>
      </c>
      <c r="DX129" s="34" t="n">
        <f aca="false">IF(AND((123-N(P_L2_Mes)+1)&gt;N(P_L2_Gracia),(123-N(P_L2_Mes)+1)&lt;=N(P_L2_Gracia)+N(P_L2_Cuotas),N(P_L2_Cuotas)&gt;0),IF((123-N(P_L2_Mes)+1)=N(P_L2_Gracia)+N(P_L2_Cuotas),IF((123-N(P_L2_Mes)+1)=1,N(P_L2_Monto),DW$130),PMT(N(P_L2_Tasa)/12,N(P_L2_Cuotas),-N(P_L2_Monto))-DX$128),0)*DX$9</f>
        <v>0</v>
      </c>
      <c r="DY129" s="34" t="n">
        <f aca="false">IF(AND((124-N(P_L2_Mes)+1)&gt;N(P_L2_Gracia),(124-N(P_L2_Mes)+1)&lt;=N(P_L2_Gracia)+N(P_L2_Cuotas),N(P_L2_Cuotas)&gt;0),IF((124-N(P_L2_Mes)+1)=N(P_L2_Gracia)+N(P_L2_Cuotas),IF((124-N(P_L2_Mes)+1)=1,N(P_L2_Monto),DX$130),PMT(N(P_L2_Tasa)/12,N(P_L2_Cuotas),-N(P_L2_Monto))-DY$128),0)*DY$9</f>
        <v>0</v>
      </c>
      <c r="DZ129" s="34" t="n">
        <f aca="false">IF(AND((125-N(P_L2_Mes)+1)&gt;N(P_L2_Gracia),(125-N(P_L2_Mes)+1)&lt;=N(P_L2_Gracia)+N(P_L2_Cuotas),N(P_L2_Cuotas)&gt;0),IF((125-N(P_L2_Mes)+1)=N(P_L2_Gracia)+N(P_L2_Cuotas),IF((125-N(P_L2_Mes)+1)=1,N(P_L2_Monto),DY$130),PMT(N(P_L2_Tasa)/12,N(P_L2_Cuotas),-N(P_L2_Monto))-DZ$128),0)*DZ$9</f>
        <v>0</v>
      </c>
      <c r="EA129" s="34" t="n">
        <f aca="false">IF(AND((126-N(P_L2_Mes)+1)&gt;N(P_L2_Gracia),(126-N(P_L2_Mes)+1)&lt;=N(P_L2_Gracia)+N(P_L2_Cuotas),N(P_L2_Cuotas)&gt;0),IF((126-N(P_L2_Mes)+1)=N(P_L2_Gracia)+N(P_L2_Cuotas),IF((126-N(P_L2_Mes)+1)=1,N(P_L2_Monto),DZ$130),PMT(N(P_L2_Tasa)/12,N(P_L2_Cuotas),-N(P_L2_Monto))-EA$128),0)*EA$9</f>
        <v>0</v>
      </c>
      <c r="EB129" s="34" t="n">
        <f aca="false">IF(AND((127-N(P_L2_Mes)+1)&gt;N(P_L2_Gracia),(127-N(P_L2_Mes)+1)&lt;=N(P_L2_Gracia)+N(P_L2_Cuotas),N(P_L2_Cuotas)&gt;0),IF((127-N(P_L2_Mes)+1)=N(P_L2_Gracia)+N(P_L2_Cuotas),IF((127-N(P_L2_Mes)+1)=1,N(P_L2_Monto),EA$130),PMT(N(P_L2_Tasa)/12,N(P_L2_Cuotas),-N(P_L2_Monto))-EB$128),0)*EB$9</f>
        <v>0</v>
      </c>
      <c r="EC129" s="34" t="n">
        <f aca="false">IF(AND((128-N(P_L2_Mes)+1)&gt;N(P_L2_Gracia),(128-N(P_L2_Mes)+1)&lt;=N(P_L2_Gracia)+N(P_L2_Cuotas),N(P_L2_Cuotas)&gt;0),IF((128-N(P_L2_Mes)+1)=N(P_L2_Gracia)+N(P_L2_Cuotas),IF((128-N(P_L2_Mes)+1)=1,N(P_L2_Monto),EB$130),PMT(N(P_L2_Tasa)/12,N(P_L2_Cuotas),-N(P_L2_Monto))-EC$128),0)*EC$9</f>
        <v>0</v>
      </c>
      <c r="ED129" s="34" t="n">
        <f aca="false">IF(AND((129-N(P_L2_Mes)+1)&gt;N(P_L2_Gracia),(129-N(P_L2_Mes)+1)&lt;=N(P_L2_Gracia)+N(P_L2_Cuotas),N(P_L2_Cuotas)&gt;0),IF((129-N(P_L2_Mes)+1)=N(P_L2_Gracia)+N(P_L2_Cuotas),IF((129-N(P_L2_Mes)+1)=1,N(P_L2_Monto),EC$130),PMT(N(P_L2_Tasa)/12,N(P_L2_Cuotas),-N(P_L2_Monto))-ED$128),0)*ED$9</f>
        <v>0</v>
      </c>
      <c r="EE129" s="34" t="n">
        <f aca="false">IF(AND((130-N(P_L2_Mes)+1)&gt;N(P_L2_Gracia),(130-N(P_L2_Mes)+1)&lt;=N(P_L2_Gracia)+N(P_L2_Cuotas),N(P_L2_Cuotas)&gt;0),IF((130-N(P_L2_Mes)+1)=N(P_L2_Gracia)+N(P_L2_Cuotas),IF((130-N(P_L2_Mes)+1)=1,N(P_L2_Monto),ED$130),PMT(N(P_L2_Tasa)/12,N(P_L2_Cuotas),-N(P_L2_Monto))-EE$128),0)*EE$9</f>
        <v>0</v>
      </c>
      <c r="EF129" s="34" t="n">
        <f aca="false">IF(AND((131-N(P_L2_Mes)+1)&gt;N(P_L2_Gracia),(131-N(P_L2_Mes)+1)&lt;=N(P_L2_Gracia)+N(P_L2_Cuotas),N(P_L2_Cuotas)&gt;0),IF((131-N(P_L2_Mes)+1)=N(P_L2_Gracia)+N(P_L2_Cuotas),IF((131-N(P_L2_Mes)+1)=1,N(P_L2_Monto),EE$130),PMT(N(P_L2_Tasa)/12,N(P_L2_Cuotas),-N(P_L2_Monto))-EF$128),0)*EF$9</f>
        <v>0</v>
      </c>
      <c r="EG129" s="34" t="n">
        <f aca="false">IF(AND((132-N(P_L2_Mes)+1)&gt;N(P_L2_Gracia),(132-N(P_L2_Mes)+1)&lt;=N(P_L2_Gracia)+N(P_L2_Cuotas),N(P_L2_Cuotas)&gt;0),IF((132-N(P_L2_Mes)+1)=N(P_L2_Gracia)+N(P_L2_Cuotas),IF((132-N(P_L2_Mes)+1)=1,N(P_L2_Monto),EF$130),PMT(N(P_L2_Tasa)/12,N(P_L2_Cuotas),-N(P_L2_Monto))-EG$128),0)*EG$9</f>
        <v>0</v>
      </c>
      <c r="EH129" s="34" t="n">
        <f aca="false">IF(AND((133-N(P_L2_Mes)+1)&gt;N(P_L2_Gracia),(133-N(P_L2_Mes)+1)&lt;=N(P_L2_Gracia)+N(P_L2_Cuotas),N(P_L2_Cuotas)&gt;0),IF((133-N(P_L2_Mes)+1)=N(P_L2_Gracia)+N(P_L2_Cuotas),IF((133-N(P_L2_Mes)+1)=1,N(P_L2_Monto),EG$130),PMT(N(P_L2_Tasa)/12,N(P_L2_Cuotas),-N(P_L2_Monto))-EH$128),0)*EH$9</f>
        <v>0</v>
      </c>
      <c r="EI129" s="34" t="n">
        <f aca="false">IF(AND((134-N(P_L2_Mes)+1)&gt;N(P_L2_Gracia),(134-N(P_L2_Mes)+1)&lt;=N(P_L2_Gracia)+N(P_L2_Cuotas),N(P_L2_Cuotas)&gt;0),IF((134-N(P_L2_Mes)+1)=N(P_L2_Gracia)+N(P_L2_Cuotas),IF((134-N(P_L2_Mes)+1)=1,N(P_L2_Monto),EH$130),PMT(N(P_L2_Tasa)/12,N(P_L2_Cuotas),-N(P_L2_Monto))-EI$128),0)*EI$9</f>
        <v>0</v>
      </c>
      <c r="EJ129" s="34" t="n">
        <f aca="false">IF(AND((135-N(P_L2_Mes)+1)&gt;N(P_L2_Gracia),(135-N(P_L2_Mes)+1)&lt;=N(P_L2_Gracia)+N(P_L2_Cuotas),N(P_L2_Cuotas)&gt;0),IF((135-N(P_L2_Mes)+1)=N(P_L2_Gracia)+N(P_L2_Cuotas),IF((135-N(P_L2_Mes)+1)=1,N(P_L2_Monto),EI$130),PMT(N(P_L2_Tasa)/12,N(P_L2_Cuotas),-N(P_L2_Monto))-EJ$128),0)*EJ$9</f>
        <v>0</v>
      </c>
      <c r="EK129" s="34" t="n">
        <f aca="false">IF(AND((136-N(P_L2_Mes)+1)&gt;N(P_L2_Gracia),(136-N(P_L2_Mes)+1)&lt;=N(P_L2_Gracia)+N(P_L2_Cuotas),N(P_L2_Cuotas)&gt;0),IF((136-N(P_L2_Mes)+1)=N(P_L2_Gracia)+N(P_L2_Cuotas),IF((136-N(P_L2_Mes)+1)=1,N(P_L2_Monto),EJ$130),PMT(N(P_L2_Tasa)/12,N(P_L2_Cuotas),-N(P_L2_Monto))-EK$128),0)*EK$9</f>
        <v>0</v>
      </c>
      <c r="EL129" s="34" t="n">
        <f aca="false">IF(AND((137-N(P_L2_Mes)+1)&gt;N(P_L2_Gracia),(137-N(P_L2_Mes)+1)&lt;=N(P_L2_Gracia)+N(P_L2_Cuotas),N(P_L2_Cuotas)&gt;0),IF((137-N(P_L2_Mes)+1)=N(P_L2_Gracia)+N(P_L2_Cuotas),IF((137-N(P_L2_Mes)+1)=1,N(P_L2_Monto),EK$130),PMT(N(P_L2_Tasa)/12,N(P_L2_Cuotas),-N(P_L2_Monto))-EL$128),0)*EL$9</f>
        <v>0</v>
      </c>
      <c r="EM129" s="34" t="n">
        <f aca="false">IF(AND((138-N(P_L2_Mes)+1)&gt;N(P_L2_Gracia),(138-N(P_L2_Mes)+1)&lt;=N(P_L2_Gracia)+N(P_L2_Cuotas),N(P_L2_Cuotas)&gt;0),IF((138-N(P_L2_Mes)+1)=N(P_L2_Gracia)+N(P_L2_Cuotas),IF((138-N(P_L2_Mes)+1)=1,N(P_L2_Monto),EL$130),PMT(N(P_L2_Tasa)/12,N(P_L2_Cuotas),-N(P_L2_Monto))-EM$128),0)*EM$9</f>
        <v>0</v>
      </c>
      <c r="EN129" s="34" t="n">
        <f aca="false">IF(AND((139-N(P_L2_Mes)+1)&gt;N(P_L2_Gracia),(139-N(P_L2_Mes)+1)&lt;=N(P_L2_Gracia)+N(P_L2_Cuotas),N(P_L2_Cuotas)&gt;0),IF((139-N(P_L2_Mes)+1)=N(P_L2_Gracia)+N(P_L2_Cuotas),IF((139-N(P_L2_Mes)+1)=1,N(P_L2_Monto),EM$130),PMT(N(P_L2_Tasa)/12,N(P_L2_Cuotas),-N(P_L2_Monto))-EN$128),0)*EN$9</f>
        <v>0</v>
      </c>
      <c r="EO129" s="34" t="n">
        <f aca="false">IF(AND((140-N(P_L2_Mes)+1)&gt;N(P_L2_Gracia),(140-N(P_L2_Mes)+1)&lt;=N(P_L2_Gracia)+N(P_L2_Cuotas),N(P_L2_Cuotas)&gt;0),IF((140-N(P_L2_Mes)+1)=N(P_L2_Gracia)+N(P_L2_Cuotas),IF((140-N(P_L2_Mes)+1)=1,N(P_L2_Monto),EN$130),PMT(N(P_L2_Tasa)/12,N(P_L2_Cuotas),-N(P_L2_Monto))-EO$128),0)*EO$9</f>
        <v>0</v>
      </c>
      <c r="EP129" s="34" t="n">
        <f aca="false">IF(AND((141-N(P_L2_Mes)+1)&gt;N(P_L2_Gracia),(141-N(P_L2_Mes)+1)&lt;=N(P_L2_Gracia)+N(P_L2_Cuotas),N(P_L2_Cuotas)&gt;0),IF((141-N(P_L2_Mes)+1)=N(P_L2_Gracia)+N(P_L2_Cuotas),IF((141-N(P_L2_Mes)+1)=1,N(P_L2_Monto),EO$130),PMT(N(P_L2_Tasa)/12,N(P_L2_Cuotas),-N(P_L2_Monto))-EP$128),0)*EP$9</f>
        <v>0</v>
      </c>
      <c r="EQ129" s="34" t="n">
        <f aca="false">IF(AND((142-N(P_L2_Mes)+1)&gt;N(P_L2_Gracia),(142-N(P_L2_Mes)+1)&lt;=N(P_L2_Gracia)+N(P_L2_Cuotas),N(P_L2_Cuotas)&gt;0),IF((142-N(P_L2_Mes)+1)=N(P_L2_Gracia)+N(P_L2_Cuotas),IF((142-N(P_L2_Mes)+1)=1,N(P_L2_Monto),EP$130),PMT(N(P_L2_Tasa)/12,N(P_L2_Cuotas),-N(P_L2_Monto))-EQ$128),0)*EQ$9</f>
        <v>0</v>
      </c>
      <c r="ER129" s="34" t="n">
        <f aca="false">IF(AND((143-N(P_L2_Mes)+1)&gt;N(P_L2_Gracia),(143-N(P_L2_Mes)+1)&lt;=N(P_L2_Gracia)+N(P_L2_Cuotas),N(P_L2_Cuotas)&gt;0),IF((143-N(P_L2_Mes)+1)=N(P_L2_Gracia)+N(P_L2_Cuotas),IF((143-N(P_L2_Mes)+1)=1,N(P_L2_Monto),EQ$130),PMT(N(P_L2_Tasa)/12,N(P_L2_Cuotas),-N(P_L2_Monto))-ER$128),0)*ER$9</f>
        <v>0</v>
      </c>
      <c r="ES129" s="34" t="n">
        <f aca="false">IF(AND((144-N(P_L2_Mes)+1)&gt;N(P_L2_Gracia),(144-N(P_L2_Mes)+1)&lt;=N(P_L2_Gracia)+N(P_L2_Cuotas),N(P_L2_Cuotas)&gt;0),IF((144-N(P_L2_Mes)+1)=N(P_L2_Gracia)+N(P_L2_Cuotas),IF((144-N(P_L2_Mes)+1)=1,N(P_L2_Monto),ER$130),PMT(N(P_L2_Tasa)/12,N(P_L2_Cuotas),-N(P_L2_Monto))-ES$128),0)*ES$9</f>
        <v>0</v>
      </c>
    </row>
    <row r="130" customFormat="false" ht="15" hidden="false" customHeight="false" outlineLevel="0" collapsed="false">
      <c r="A130" s="2" t="s">
        <v>743</v>
      </c>
      <c r="B130" s="6" t="s">
        <v>744</v>
      </c>
      <c r="C130" s="6" t="s">
        <v>250</v>
      </c>
      <c r="E130" s="40" t="n">
        <f aca="false">INDEX(F130:ES130,1,MIN(144,Fin))</f>
        <v>0</v>
      </c>
      <c r="F130" s="34" t="n">
        <f aca="false">IF((1-N(P_L2_Mes)+1)&lt;1,0,IF((1-N(P_L2_Mes)+1)=1,N(P_L2_Monto),0)-F$129)</f>
        <v>0</v>
      </c>
      <c r="G130" s="34" t="n">
        <f aca="false">IF((2-N(P_L2_Mes)+1)&lt;1,0,IF((2-N(P_L2_Mes)+1)=1,N(P_L2_Monto),F$130)-G$129)</f>
        <v>0</v>
      </c>
      <c r="H130" s="34" t="n">
        <f aca="false">IF((3-N(P_L2_Mes)+1)&lt;1,0,IF((3-N(P_L2_Mes)+1)=1,N(P_L2_Monto),G$130)-H$129)</f>
        <v>0</v>
      </c>
      <c r="I130" s="34" t="n">
        <f aca="false">IF((4-N(P_L2_Mes)+1)&lt;1,0,IF((4-N(P_L2_Mes)+1)=1,N(P_L2_Monto),H$130)-I$129)</f>
        <v>0</v>
      </c>
      <c r="J130" s="34" t="n">
        <f aca="false">IF((5-N(P_L2_Mes)+1)&lt;1,0,IF((5-N(P_L2_Mes)+1)=1,N(P_L2_Monto),I$130)-J$129)</f>
        <v>0</v>
      </c>
      <c r="K130" s="34" t="n">
        <f aca="false">IF((6-N(P_L2_Mes)+1)&lt;1,0,IF((6-N(P_L2_Mes)+1)=1,N(P_L2_Monto),J$130)-K$129)</f>
        <v>0</v>
      </c>
      <c r="L130" s="34" t="n">
        <f aca="false">IF((7-N(P_L2_Mes)+1)&lt;1,0,IF((7-N(P_L2_Mes)+1)=1,N(P_L2_Monto),K$130)-L$129)</f>
        <v>0</v>
      </c>
      <c r="M130" s="34" t="n">
        <f aca="false">IF((8-N(P_L2_Mes)+1)&lt;1,0,IF((8-N(P_L2_Mes)+1)=1,N(P_L2_Monto),L$130)-M$129)</f>
        <v>0</v>
      </c>
      <c r="N130" s="34" t="n">
        <f aca="false">IF((9-N(P_L2_Mes)+1)&lt;1,0,IF((9-N(P_L2_Mes)+1)=1,N(P_L2_Monto),M$130)-N$129)</f>
        <v>0</v>
      </c>
      <c r="O130" s="34" t="n">
        <f aca="false">IF((10-N(P_L2_Mes)+1)&lt;1,0,IF((10-N(P_L2_Mes)+1)=1,N(P_L2_Monto),N$130)-O$129)</f>
        <v>0</v>
      </c>
      <c r="P130" s="34" t="n">
        <f aca="false">IF((11-N(P_L2_Mes)+1)&lt;1,0,IF((11-N(P_L2_Mes)+1)=1,N(P_L2_Monto),O$130)-P$129)</f>
        <v>0</v>
      </c>
      <c r="Q130" s="34" t="n">
        <f aca="false">IF((12-N(P_L2_Mes)+1)&lt;1,0,IF((12-N(P_L2_Mes)+1)=1,N(P_L2_Monto),P$130)-Q$129)</f>
        <v>0</v>
      </c>
      <c r="R130" s="34" t="n">
        <f aca="false">IF((13-N(P_L2_Mes)+1)&lt;1,0,IF((13-N(P_L2_Mes)+1)=1,N(P_L2_Monto),Q$130)-R$129)</f>
        <v>0</v>
      </c>
      <c r="S130" s="34" t="n">
        <f aca="false">IF((14-N(P_L2_Mes)+1)&lt;1,0,IF((14-N(P_L2_Mes)+1)=1,N(P_L2_Monto),R$130)-S$129)</f>
        <v>0</v>
      </c>
      <c r="T130" s="34" t="n">
        <f aca="false">IF((15-N(P_L2_Mes)+1)&lt;1,0,IF((15-N(P_L2_Mes)+1)=1,N(P_L2_Monto),S$130)-T$129)</f>
        <v>0</v>
      </c>
      <c r="U130" s="34" t="n">
        <f aca="false">IF((16-N(P_L2_Mes)+1)&lt;1,0,IF((16-N(P_L2_Mes)+1)=1,N(P_L2_Monto),T$130)-U$129)</f>
        <v>0</v>
      </c>
      <c r="V130" s="34" t="n">
        <f aca="false">IF((17-N(P_L2_Mes)+1)&lt;1,0,IF((17-N(P_L2_Mes)+1)=1,N(P_L2_Monto),U$130)-V$129)</f>
        <v>0</v>
      </c>
      <c r="W130" s="34" t="n">
        <f aca="false">IF((18-N(P_L2_Mes)+1)&lt;1,0,IF((18-N(P_L2_Mes)+1)=1,N(P_L2_Monto),V$130)-W$129)</f>
        <v>0</v>
      </c>
      <c r="X130" s="34" t="n">
        <f aca="false">IF((19-N(P_L2_Mes)+1)&lt;1,0,IF((19-N(P_L2_Mes)+1)=1,N(P_L2_Monto),W$130)-X$129)</f>
        <v>0</v>
      </c>
      <c r="Y130" s="34" t="n">
        <f aca="false">IF((20-N(P_L2_Mes)+1)&lt;1,0,IF((20-N(P_L2_Mes)+1)=1,N(P_L2_Monto),X$130)-Y$129)</f>
        <v>0</v>
      </c>
      <c r="Z130" s="34" t="n">
        <f aca="false">IF((21-N(P_L2_Mes)+1)&lt;1,0,IF((21-N(P_L2_Mes)+1)=1,N(P_L2_Monto),Y$130)-Z$129)</f>
        <v>0</v>
      </c>
      <c r="AA130" s="34" t="n">
        <f aca="false">IF((22-N(P_L2_Mes)+1)&lt;1,0,IF((22-N(P_L2_Mes)+1)=1,N(P_L2_Monto),Z$130)-AA$129)</f>
        <v>0</v>
      </c>
      <c r="AB130" s="34" t="n">
        <f aca="false">IF((23-N(P_L2_Mes)+1)&lt;1,0,IF((23-N(P_L2_Mes)+1)=1,N(P_L2_Monto),AA$130)-AB$129)</f>
        <v>0</v>
      </c>
      <c r="AC130" s="34" t="n">
        <f aca="false">IF((24-N(P_L2_Mes)+1)&lt;1,0,IF((24-N(P_L2_Mes)+1)=1,N(P_L2_Monto),AB$130)-AC$129)</f>
        <v>0</v>
      </c>
      <c r="AD130" s="34" t="n">
        <f aca="false">IF((25-N(P_L2_Mes)+1)&lt;1,0,IF((25-N(P_L2_Mes)+1)=1,N(P_L2_Monto),AC$130)-AD$129)</f>
        <v>0</v>
      </c>
      <c r="AE130" s="34" t="n">
        <f aca="false">IF((26-N(P_L2_Mes)+1)&lt;1,0,IF((26-N(P_L2_Mes)+1)=1,N(P_L2_Monto),AD$130)-AE$129)</f>
        <v>0</v>
      </c>
      <c r="AF130" s="34" t="n">
        <f aca="false">IF((27-N(P_L2_Mes)+1)&lt;1,0,IF((27-N(P_L2_Mes)+1)=1,N(P_L2_Monto),AE$130)-AF$129)</f>
        <v>0</v>
      </c>
      <c r="AG130" s="34" t="n">
        <f aca="false">IF((28-N(P_L2_Mes)+1)&lt;1,0,IF((28-N(P_L2_Mes)+1)=1,N(P_L2_Monto),AF$130)-AG$129)</f>
        <v>0</v>
      </c>
      <c r="AH130" s="34" t="n">
        <f aca="false">IF((29-N(P_L2_Mes)+1)&lt;1,0,IF((29-N(P_L2_Mes)+1)=1,N(P_L2_Monto),AG$130)-AH$129)</f>
        <v>0</v>
      </c>
      <c r="AI130" s="34" t="n">
        <f aca="false">IF((30-N(P_L2_Mes)+1)&lt;1,0,IF((30-N(P_L2_Mes)+1)=1,N(P_L2_Monto),AH$130)-AI$129)</f>
        <v>0</v>
      </c>
      <c r="AJ130" s="34" t="n">
        <f aca="false">IF((31-N(P_L2_Mes)+1)&lt;1,0,IF((31-N(P_L2_Mes)+1)=1,N(P_L2_Monto),AI$130)-AJ$129)</f>
        <v>0</v>
      </c>
      <c r="AK130" s="34" t="n">
        <f aca="false">IF((32-N(P_L2_Mes)+1)&lt;1,0,IF((32-N(P_L2_Mes)+1)=1,N(P_L2_Monto),AJ$130)-AK$129)</f>
        <v>0</v>
      </c>
      <c r="AL130" s="34" t="n">
        <f aca="false">IF((33-N(P_L2_Mes)+1)&lt;1,0,IF((33-N(P_L2_Mes)+1)=1,N(P_L2_Monto),AK$130)-AL$129)</f>
        <v>0</v>
      </c>
      <c r="AM130" s="34" t="n">
        <f aca="false">IF((34-N(P_L2_Mes)+1)&lt;1,0,IF((34-N(P_L2_Mes)+1)=1,N(P_L2_Monto),AL$130)-AM$129)</f>
        <v>0</v>
      </c>
      <c r="AN130" s="34" t="n">
        <f aca="false">IF((35-N(P_L2_Mes)+1)&lt;1,0,IF((35-N(P_L2_Mes)+1)=1,N(P_L2_Monto),AM$130)-AN$129)</f>
        <v>0</v>
      </c>
      <c r="AO130" s="34" t="n">
        <f aca="false">IF((36-N(P_L2_Mes)+1)&lt;1,0,IF((36-N(P_L2_Mes)+1)=1,N(P_L2_Monto),AN$130)-AO$129)</f>
        <v>0</v>
      </c>
      <c r="AP130" s="34" t="n">
        <f aca="false">IF((37-N(P_L2_Mes)+1)&lt;1,0,IF((37-N(P_L2_Mes)+1)=1,N(P_L2_Monto),AO$130)-AP$129)</f>
        <v>0</v>
      </c>
      <c r="AQ130" s="34" t="n">
        <f aca="false">IF((38-N(P_L2_Mes)+1)&lt;1,0,IF((38-N(P_L2_Mes)+1)=1,N(P_L2_Monto),AP$130)-AQ$129)</f>
        <v>0</v>
      </c>
      <c r="AR130" s="34" t="n">
        <f aca="false">IF((39-N(P_L2_Mes)+1)&lt;1,0,IF((39-N(P_L2_Mes)+1)=1,N(P_L2_Monto),AQ$130)-AR$129)</f>
        <v>0</v>
      </c>
      <c r="AS130" s="34" t="n">
        <f aca="false">IF((40-N(P_L2_Mes)+1)&lt;1,0,IF((40-N(P_L2_Mes)+1)=1,N(P_L2_Monto),AR$130)-AS$129)</f>
        <v>0</v>
      </c>
      <c r="AT130" s="34" t="n">
        <f aca="false">IF((41-N(P_L2_Mes)+1)&lt;1,0,IF((41-N(P_L2_Mes)+1)=1,N(P_L2_Monto),AS$130)-AT$129)</f>
        <v>0</v>
      </c>
      <c r="AU130" s="34" t="n">
        <f aca="false">IF((42-N(P_L2_Mes)+1)&lt;1,0,IF((42-N(P_L2_Mes)+1)=1,N(P_L2_Monto),AT$130)-AU$129)</f>
        <v>0</v>
      </c>
      <c r="AV130" s="34" t="n">
        <f aca="false">IF((43-N(P_L2_Mes)+1)&lt;1,0,IF((43-N(P_L2_Mes)+1)=1,N(P_L2_Monto),AU$130)-AV$129)</f>
        <v>0</v>
      </c>
      <c r="AW130" s="34" t="n">
        <f aca="false">IF((44-N(P_L2_Mes)+1)&lt;1,0,IF((44-N(P_L2_Mes)+1)=1,N(P_L2_Monto),AV$130)-AW$129)</f>
        <v>0</v>
      </c>
      <c r="AX130" s="34" t="n">
        <f aca="false">IF((45-N(P_L2_Mes)+1)&lt;1,0,IF((45-N(P_L2_Mes)+1)=1,N(P_L2_Monto),AW$130)-AX$129)</f>
        <v>0</v>
      </c>
      <c r="AY130" s="34" t="n">
        <f aca="false">IF((46-N(P_L2_Mes)+1)&lt;1,0,IF((46-N(P_L2_Mes)+1)=1,N(P_L2_Monto),AX$130)-AY$129)</f>
        <v>0</v>
      </c>
      <c r="AZ130" s="34" t="n">
        <f aca="false">IF((47-N(P_L2_Mes)+1)&lt;1,0,IF((47-N(P_L2_Mes)+1)=1,N(P_L2_Monto),AY$130)-AZ$129)</f>
        <v>0</v>
      </c>
      <c r="BA130" s="34" t="n">
        <f aca="false">IF((48-N(P_L2_Mes)+1)&lt;1,0,IF((48-N(P_L2_Mes)+1)=1,N(P_L2_Monto),AZ$130)-BA$129)</f>
        <v>0</v>
      </c>
      <c r="BB130" s="34" t="n">
        <f aca="false">IF((49-N(P_L2_Mes)+1)&lt;1,0,IF((49-N(P_L2_Mes)+1)=1,N(P_L2_Monto),BA$130)-BB$129)</f>
        <v>0</v>
      </c>
      <c r="BC130" s="34" t="n">
        <f aca="false">IF((50-N(P_L2_Mes)+1)&lt;1,0,IF((50-N(P_L2_Mes)+1)=1,N(P_L2_Monto),BB$130)-BC$129)</f>
        <v>0</v>
      </c>
      <c r="BD130" s="34" t="n">
        <f aca="false">IF((51-N(P_L2_Mes)+1)&lt;1,0,IF((51-N(P_L2_Mes)+1)=1,N(P_L2_Monto),BC$130)-BD$129)</f>
        <v>0</v>
      </c>
      <c r="BE130" s="34" t="n">
        <f aca="false">IF((52-N(P_L2_Mes)+1)&lt;1,0,IF((52-N(P_L2_Mes)+1)=1,N(P_L2_Monto),BD$130)-BE$129)</f>
        <v>0</v>
      </c>
      <c r="BF130" s="34" t="n">
        <f aca="false">IF((53-N(P_L2_Mes)+1)&lt;1,0,IF((53-N(P_L2_Mes)+1)=1,N(P_L2_Monto),BE$130)-BF$129)</f>
        <v>0</v>
      </c>
      <c r="BG130" s="34" t="n">
        <f aca="false">IF((54-N(P_L2_Mes)+1)&lt;1,0,IF((54-N(P_L2_Mes)+1)=1,N(P_L2_Monto),BF$130)-BG$129)</f>
        <v>0</v>
      </c>
      <c r="BH130" s="34" t="n">
        <f aca="false">IF((55-N(P_L2_Mes)+1)&lt;1,0,IF((55-N(P_L2_Mes)+1)=1,N(P_L2_Monto),BG$130)-BH$129)</f>
        <v>0</v>
      </c>
      <c r="BI130" s="34" t="n">
        <f aca="false">IF((56-N(P_L2_Mes)+1)&lt;1,0,IF((56-N(P_L2_Mes)+1)=1,N(P_L2_Monto),BH$130)-BI$129)</f>
        <v>0</v>
      </c>
      <c r="BJ130" s="34" t="n">
        <f aca="false">IF((57-N(P_L2_Mes)+1)&lt;1,0,IF((57-N(P_L2_Mes)+1)=1,N(P_L2_Monto),BI$130)-BJ$129)</f>
        <v>0</v>
      </c>
      <c r="BK130" s="34" t="n">
        <f aca="false">IF((58-N(P_L2_Mes)+1)&lt;1,0,IF((58-N(P_L2_Mes)+1)=1,N(P_L2_Monto),BJ$130)-BK$129)</f>
        <v>0</v>
      </c>
      <c r="BL130" s="34" t="n">
        <f aca="false">IF((59-N(P_L2_Mes)+1)&lt;1,0,IF((59-N(P_L2_Mes)+1)=1,N(P_L2_Monto),BK$130)-BL$129)</f>
        <v>0</v>
      </c>
      <c r="BM130" s="34" t="n">
        <f aca="false">IF((60-N(P_L2_Mes)+1)&lt;1,0,IF((60-N(P_L2_Mes)+1)=1,N(P_L2_Monto),BL$130)-BM$129)</f>
        <v>0</v>
      </c>
      <c r="BN130" s="34" t="n">
        <f aca="false">IF((61-N(P_L2_Mes)+1)&lt;1,0,IF((61-N(P_L2_Mes)+1)=1,N(P_L2_Monto),BM$130)-BN$129)</f>
        <v>0</v>
      </c>
      <c r="BO130" s="34" t="n">
        <f aca="false">IF((62-N(P_L2_Mes)+1)&lt;1,0,IF((62-N(P_L2_Mes)+1)=1,N(P_L2_Monto),BN$130)-BO$129)</f>
        <v>0</v>
      </c>
      <c r="BP130" s="34" t="n">
        <f aca="false">IF((63-N(P_L2_Mes)+1)&lt;1,0,IF((63-N(P_L2_Mes)+1)=1,N(P_L2_Monto),BO$130)-BP$129)</f>
        <v>0</v>
      </c>
      <c r="BQ130" s="34" t="n">
        <f aca="false">IF((64-N(P_L2_Mes)+1)&lt;1,0,IF((64-N(P_L2_Mes)+1)=1,N(P_L2_Monto),BP$130)-BQ$129)</f>
        <v>0</v>
      </c>
      <c r="BR130" s="34" t="n">
        <f aca="false">IF((65-N(P_L2_Mes)+1)&lt;1,0,IF((65-N(P_L2_Mes)+1)=1,N(P_L2_Monto),BQ$130)-BR$129)</f>
        <v>0</v>
      </c>
      <c r="BS130" s="34" t="n">
        <f aca="false">IF((66-N(P_L2_Mes)+1)&lt;1,0,IF((66-N(P_L2_Mes)+1)=1,N(P_L2_Monto),BR$130)-BS$129)</f>
        <v>0</v>
      </c>
      <c r="BT130" s="34" t="n">
        <f aca="false">IF((67-N(P_L2_Mes)+1)&lt;1,0,IF((67-N(P_L2_Mes)+1)=1,N(P_L2_Monto),BS$130)-BT$129)</f>
        <v>0</v>
      </c>
      <c r="BU130" s="34" t="n">
        <f aca="false">IF((68-N(P_L2_Mes)+1)&lt;1,0,IF((68-N(P_L2_Mes)+1)=1,N(P_L2_Monto),BT$130)-BU$129)</f>
        <v>0</v>
      </c>
      <c r="BV130" s="34" t="n">
        <f aca="false">IF((69-N(P_L2_Mes)+1)&lt;1,0,IF((69-N(P_L2_Mes)+1)=1,N(P_L2_Monto),BU$130)-BV$129)</f>
        <v>0</v>
      </c>
      <c r="BW130" s="34" t="n">
        <f aca="false">IF((70-N(P_L2_Mes)+1)&lt;1,0,IF((70-N(P_L2_Mes)+1)=1,N(P_L2_Monto),BV$130)-BW$129)</f>
        <v>0</v>
      </c>
      <c r="BX130" s="34" t="n">
        <f aca="false">IF((71-N(P_L2_Mes)+1)&lt;1,0,IF((71-N(P_L2_Mes)+1)=1,N(P_L2_Monto),BW$130)-BX$129)</f>
        <v>0</v>
      </c>
      <c r="BY130" s="34" t="n">
        <f aca="false">IF((72-N(P_L2_Mes)+1)&lt;1,0,IF((72-N(P_L2_Mes)+1)=1,N(P_L2_Monto),BX$130)-BY$129)</f>
        <v>0</v>
      </c>
      <c r="BZ130" s="34" t="n">
        <f aca="false">IF((73-N(P_L2_Mes)+1)&lt;1,0,IF((73-N(P_L2_Mes)+1)=1,N(P_L2_Monto),BY$130)-BZ$129)</f>
        <v>0</v>
      </c>
      <c r="CA130" s="34" t="n">
        <f aca="false">IF((74-N(P_L2_Mes)+1)&lt;1,0,IF((74-N(P_L2_Mes)+1)=1,N(P_L2_Monto),BZ$130)-CA$129)</f>
        <v>0</v>
      </c>
      <c r="CB130" s="34" t="n">
        <f aca="false">IF((75-N(P_L2_Mes)+1)&lt;1,0,IF((75-N(P_L2_Mes)+1)=1,N(P_L2_Monto),CA$130)-CB$129)</f>
        <v>0</v>
      </c>
      <c r="CC130" s="34" t="n">
        <f aca="false">IF((76-N(P_L2_Mes)+1)&lt;1,0,IF((76-N(P_L2_Mes)+1)=1,N(P_L2_Monto),CB$130)-CC$129)</f>
        <v>0</v>
      </c>
      <c r="CD130" s="34" t="n">
        <f aca="false">IF((77-N(P_L2_Mes)+1)&lt;1,0,IF((77-N(P_L2_Mes)+1)=1,N(P_L2_Monto),CC$130)-CD$129)</f>
        <v>0</v>
      </c>
      <c r="CE130" s="34" t="n">
        <f aca="false">IF((78-N(P_L2_Mes)+1)&lt;1,0,IF((78-N(P_L2_Mes)+1)=1,N(P_L2_Monto),CD$130)-CE$129)</f>
        <v>0</v>
      </c>
      <c r="CF130" s="34" t="n">
        <f aca="false">IF((79-N(P_L2_Mes)+1)&lt;1,0,IF((79-N(P_L2_Mes)+1)=1,N(P_L2_Monto),CE$130)-CF$129)</f>
        <v>0</v>
      </c>
      <c r="CG130" s="34" t="n">
        <f aca="false">IF((80-N(P_L2_Mes)+1)&lt;1,0,IF((80-N(P_L2_Mes)+1)=1,N(P_L2_Monto),CF$130)-CG$129)</f>
        <v>0</v>
      </c>
      <c r="CH130" s="34" t="n">
        <f aca="false">IF((81-N(P_L2_Mes)+1)&lt;1,0,IF((81-N(P_L2_Mes)+1)=1,N(P_L2_Monto),CG$130)-CH$129)</f>
        <v>0</v>
      </c>
      <c r="CI130" s="34" t="n">
        <f aca="false">IF((82-N(P_L2_Mes)+1)&lt;1,0,IF((82-N(P_L2_Mes)+1)=1,N(P_L2_Monto),CH$130)-CI$129)</f>
        <v>0</v>
      </c>
      <c r="CJ130" s="34" t="n">
        <f aca="false">IF((83-N(P_L2_Mes)+1)&lt;1,0,IF((83-N(P_L2_Mes)+1)=1,N(P_L2_Monto),CI$130)-CJ$129)</f>
        <v>0</v>
      </c>
      <c r="CK130" s="34" t="n">
        <f aca="false">IF((84-N(P_L2_Mes)+1)&lt;1,0,IF((84-N(P_L2_Mes)+1)=1,N(P_L2_Monto),CJ$130)-CK$129)</f>
        <v>0</v>
      </c>
      <c r="CL130" s="34" t="n">
        <f aca="false">IF((85-N(P_L2_Mes)+1)&lt;1,0,IF((85-N(P_L2_Mes)+1)=1,N(P_L2_Monto),CK$130)-CL$129)</f>
        <v>0</v>
      </c>
      <c r="CM130" s="34" t="n">
        <f aca="false">IF((86-N(P_L2_Mes)+1)&lt;1,0,IF((86-N(P_L2_Mes)+1)=1,N(P_L2_Monto),CL$130)-CM$129)</f>
        <v>0</v>
      </c>
      <c r="CN130" s="34" t="n">
        <f aca="false">IF((87-N(P_L2_Mes)+1)&lt;1,0,IF((87-N(P_L2_Mes)+1)=1,N(P_L2_Monto),CM$130)-CN$129)</f>
        <v>0</v>
      </c>
      <c r="CO130" s="34" t="n">
        <f aca="false">IF((88-N(P_L2_Mes)+1)&lt;1,0,IF((88-N(P_L2_Mes)+1)=1,N(P_L2_Monto),CN$130)-CO$129)</f>
        <v>0</v>
      </c>
      <c r="CP130" s="34" t="n">
        <f aca="false">IF((89-N(P_L2_Mes)+1)&lt;1,0,IF((89-N(P_L2_Mes)+1)=1,N(P_L2_Monto),CO$130)-CP$129)</f>
        <v>0</v>
      </c>
      <c r="CQ130" s="34" t="n">
        <f aca="false">IF((90-N(P_L2_Mes)+1)&lt;1,0,IF((90-N(P_L2_Mes)+1)=1,N(P_L2_Monto),CP$130)-CQ$129)</f>
        <v>0</v>
      </c>
      <c r="CR130" s="34" t="n">
        <f aca="false">IF((91-N(P_L2_Mes)+1)&lt;1,0,IF((91-N(P_L2_Mes)+1)=1,N(P_L2_Monto),CQ$130)-CR$129)</f>
        <v>0</v>
      </c>
      <c r="CS130" s="34" t="n">
        <f aca="false">IF((92-N(P_L2_Mes)+1)&lt;1,0,IF((92-N(P_L2_Mes)+1)=1,N(P_L2_Monto),CR$130)-CS$129)</f>
        <v>0</v>
      </c>
      <c r="CT130" s="34" t="n">
        <f aca="false">IF((93-N(P_L2_Mes)+1)&lt;1,0,IF((93-N(P_L2_Mes)+1)=1,N(P_L2_Monto),CS$130)-CT$129)</f>
        <v>0</v>
      </c>
      <c r="CU130" s="34" t="n">
        <f aca="false">IF((94-N(P_L2_Mes)+1)&lt;1,0,IF((94-N(P_L2_Mes)+1)=1,N(P_L2_Monto),CT$130)-CU$129)</f>
        <v>0</v>
      </c>
      <c r="CV130" s="34" t="n">
        <f aca="false">IF((95-N(P_L2_Mes)+1)&lt;1,0,IF((95-N(P_L2_Mes)+1)=1,N(P_L2_Monto),CU$130)-CV$129)</f>
        <v>0</v>
      </c>
      <c r="CW130" s="34" t="n">
        <f aca="false">IF((96-N(P_L2_Mes)+1)&lt;1,0,IF((96-N(P_L2_Mes)+1)=1,N(P_L2_Monto),CV$130)-CW$129)</f>
        <v>0</v>
      </c>
      <c r="CX130" s="34" t="n">
        <f aca="false">IF((97-N(P_L2_Mes)+1)&lt;1,0,IF((97-N(P_L2_Mes)+1)=1,N(P_L2_Monto),CW$130)-CX$129)</f>
        <v>0</v>
      </c>
      <c r="CY130" s="34" t="n">
        <f aca="false">IF((98-N(P_L2_Mes)+1)&lt;1,0,IF((98-N(P_L2_Mes)+1)=1,N(P_L2_Monto),CX$130)-CY$129)</f>
        <v>0</v>
      </c>
      <c r="CZ130" s="34" t="n">
        <f aca="false">IF((99-N(P_L2_Mes)+1)&lt;1,0,IF((99-N(P_L2_Mes)+1)=1,N(P_L2_Monto),CY$130)-CZ$129)</f>
        <v>0</v>
      </c>
      <c r="DA130" s="34" t="n">
        <f aca="false">IF((100-N(P_L2_Mes)+1)&lt;1,0,IF((100-N(P_L2_Mes)+1)=1,N(P_L2_Monto),CZ$130)-DA$129)</f>
        <v>0</v>
      </c>
      <c r="DB130" s="34" t="n">
        <f aca="false">IF((101-N(P_L2_Mes)+1)&lt;1,0,IF((101-N(P_L2_Mes)+1)=1,N(P_L2_Monto),DA$130)-DB$129)</f>
        <v>0</v>
      </c>
      <c r="DC130" s="34" t="n">
        <f aca="false">IF((102-N(P_L2_Mes)+1)&lt;1,0,IF((102-N(P_L2_Mes)+1)=1,N(P_L2_Monto),DB$130)-DC$129)</f>
        <v>0</v>
      </c>
      <c r="DD130" s="34" t="n">
        <f aca="false">IF((103-N(P_L2_Mes)+1)&lt;1,0,IF((103-N(P_L2_Mes)+1)=1,N(P_L2_Monto),DC$130)-DD$129)</f>
        <v>0</v>
      </c>
      <c r="DE130" s="34" t="n">
        <f aca="false">IF((104-N(P_L2_Mes)+1)&lt;1,0,IF((104-N(P_L2_Mes)+1)=1,N(P_L2_Monto),DD$130)-DE$129)</f>
        <v>0</v>
      </c>
      <c r="DF130" s="34" t="n">
        <f aca="false">IF((105-N(P_L2_Mes)+1)&lt;1,0,IF((105-N(P_L2_Mes)+1)=1,N(P_L2_Monto),DE$130)-DF$129)</f>
        <v>0</v>
      </c>
      <c r="DG130" s="34" t="n">
        <f aca="false">IF((106-N(P_L2_Mes)+1)&lt;1,0,IF((106-N(P_L2_Mes)+1)=1,N(P_L2_Monto),DF$130)-DG$129)</f>
        <v>0</v>
      </c>
      <c r="DH130" s="34" t="n">
        <f aca="false">IF((107-N(P_L2_Mes)+1)&lt;1,0,IF((107-N(P_L2_Mes)+1)=1,N(P_L2_Monto),DG$130)-DH$129)</f>
        <v>0</v>
      </c>
      <c r="DI130" s="34" t="n">
        <f aca="false">IF((108-N(P_L2_Mes)+1)&lt;1,0,IF((108-N(P_L2_Mes)+1)=1,N(P_L2_Monto),DH$130)-DI$129)</f>
        <v>0</v>
      </c>
      <c r="DJ130" s="34" t="n">
        <f aca="false">IF((109-N(P_L2_Mes)+1)&lt;1,0,IF((109-N(P_L2_Mes)+1)=1,N(P_L2_Monto),DI$130)-DJ$129)</f>
        <v>0</v>
      </c>
      <c r="DK130" s="34" t="n">
        <f aca="false">IF((110-N(P_L2_Mes)+1)&lt;1,0,IF((110-N(P_L2_Mes)+1)=1,N(P_L2_Monto),DJ$130)-DK$129)</f>
        <v>0</v>
      </c>
      <c r="DL130" s="34" t="n">
        <f aca="false">IF((111-N(P_L2_Mes)+1)&lt;1,0,IF((111-N(P_L2_Mes)+1)=1,N(P_L2_Monto),DK$130)-DL$129)</f>
        <v>0</v>
      </c>
      <c r="DM130" s="34" t="n">
        <f aca="false">IF((112-N(P_L2_Mes)+1)&lt;1,0,IF((112-N(P_L2_Mes)+1)=1,N(P_L2_Monto),DL$130)-DM$129)</f>
        <v>0</v>
      </c>
      <c r="DN130" s="34" t="n">
        <f aca="false">IF((113-N(P_L2_Mes)+1)&lt;1,0,IF((113-N(P_L2_Mes)+1)=1,N(P_L2_Monto),DM$130)-DN$129)</f>
        <v>0</v>
      </c>
      <c r="DO130" s="34" t="n">
        <f aca="false">IF((114-N(P_L2_Mes)+1)&lt;1,0,IF((114-N(P_L2_Mes)+1)=1,N(P_L2_Monto),DN$130)-DO$129)</f>
        <v>0</v>
      </c>
      <c r="DP130" s="34" t="n">
        <f aca="false">IF((115-N(P_L2_Mes)+1)&lt;1,0,IF((115-N(P_L2_Mes)+1)=1,N(P_L2_Monto),DO$130)-DP$129)</f>
        <v>0</v>
      </c>
      <c r="DQ130" s="34" t="n">
        <f aca="false">IF((116-N(P_L2_Mes)+1)&lt;1,0,IF((116-N(P_L2_Mes)+1)=1,N(P_L2_Monto),DP$130)-DQ$129)</f>
        <v>0</v>
      </c>
      <c r="DR130" s="34" t="n">
        <f aca="false">IF((117-N(P_L2_Mes)+1)&lt;1,0,IF((117-N(P_L2_Mes)+1)=1,N(P_L2_Monto),DQ$130)-DR$129)</f>
        <v>0</v>
      </c>
      <c r="DS130" s="34" t="n">
        <f aca="false">IF((118-N(P_L2_Mes)+1)&lt;1,0,IF((118-N(P_L2_Mes)+1)=1,N(P_L2_Monto),DR$130)-DS$129)</f>
        <v>0</v>
      </c>
      <c r="DT130" s="34" t="n">
        <f aca="false">IF((119-N(P_L2_Mes)+1)&lt;1,0,IF((119-N(P_L2_Mes)+1)=1,N(P_L2_Monto),DS$130)-DT$129)</f>
        <v>0</v>
      </c>
      <c r="DU130" s="34" t="n">
        <f aca="false">IF((120-N(P_L2_Mes)+1)&lt;1,0,IF((120-N(P_L2_Mes)+1)=1,N(P_L2_Monto),DT$130)-DU$129)</f>
        <v>0</v>
      </c>
      <c r="DV130" s="34" t="n">
        <f aca="false">IF((121-N(P_L2_Mes)+1)&lt;1,0,IF((121-N(P_L2_Mes)+1)=1,N(P_L2_Monto),DU$130)-DV$129)</f>
        <v>0</v>
      </c>
      <c r="DW130" s="34" t="n">
        <f aca="false">IF((122-N(P_L2_Mes)+1)&lt;1,0,IF((122-N(P_L2_Mes)+1)=1,N(P_L2_Monto),DV$130)-DW$129)</f>
        <v>0</v>
      </c>
      <c r="DX130" s="34" t="n">
        <f aca="false">IF((123-N(P_L2_Mes)+1)&lt;1,0,IF((123-N(P_L2_Mes)+1)=1,N(P_L2_Monto),DW$130)-DX$129)</f>
        <v>0</v>
      </c>
      <c r="DY130" s="34" t="n">
        <f aca="false">IF((124-N(P_L2_Mes)+1)&lt;1,0,IF((124-N(P_L2_Mes)+1)=1,N(P_L2_Monto),DX$130)-DY$129)</f>
        <v>0</v>
      </c>
      <c r="DZ130" s="34" t="n">
        <f aca="false">IF((125-N(P_L2_Mes)+1)&lt;1,0,IF((125-N(P_L2_Mes)+1)=1,N(P_L2_Monto),DY$130)-DZ$129)</f>
        <v>0</v>
      </c>
      <c r="EA130" s="34" t="n">
        <f aca="false">IF((126-N(P_L2_Mes)+1)&lt;1,0,IF((126-N(P_L2_Mes)+1)=1,N(P_L2_Monto),DZ$130)-EA$129)</f>
        <v>0</v>
      </c>
      <c r="EB130" s="34" t="n">
        <f aca="false">IF((127-N(P_L2_Mes)+1)&lt;1,0,IF((127-N(P_L2_Mes)+1)=1,N(P_L2_Monto),EA$130)-EB$129)</f>
        <v>0</v>
      </c>
      <c r="EC130" s="34" t="n">
        <f aca="false">IF((128-N(P_L2_Mes)+1)&lt;1,0,IF((128-N(P_L2_Mes)+1)=1,N(P_L2_Monto),EB$130)-EC$129)</f>
        <v>0</v>
      </c>
      <c r="ED130" s="34" t="n">
        <f aca="false">IF((129-N(P_L2_Mes)+1)&lt;1,0,IF((129-N(P_L2_Mes)+1)=1,N(P_L2_Monto),EC$130)-ED$129)</f>
        <v>0</v>
      </c>
      <c r="EE130" s="34" t="n">
        <f aca="false">IF((130-N(P_L2_Mes)+1)&lt;1,0,IF((130-N(P_L2_Mes)+1)=1,N(P_L2_Monto),ED$130)-EE$129)</f>
        <v>0</v>
      </c>
      <c r="EF130" s="34" t="n">
        <f aca="false">IF((131-N(P_L2_Mes)+1)&lt;1,0,IF((131-N(P_L2_Mes)+1)=1,N(P_L2_Monto),EE$130)-EF$129)</f>
        <v>0</v>
      </c>
      <c r="EG130" s="34" t="n">
        <f aca="false">IF((132-N(P_L2_Mes)+1)&lt;1,0,IF((132-N(P_L2_Mes)+1)=1,N(P_L2_Monto),EF$130)-EG$129)</f>
        <v>0</v>
      </c>
      <c r="EH130" s="34" t="n">
        <f aca="false">IF((133-N(P_L2_Mes)+1)&lt;1,0,IF((133-N(P_L2_Mes)+1)=1,N(P_L2_Monto),EG$130)-EH$129)</f>
        <v>0</v>
      </c>
      <c r="EI130" s="34" t="n">
        <f aca="false">IF((134-N(P_L2_Mes)+1)&lt;1,0,IF((134-N(P_L2_Mes)+1)=1,N(P_L2_Monto),EH$130)-EI$129)</f>
        <v>0</v>
      </c>
      <c r="EJ130" s="34" t="n">
        <f aca="false">IF((135-N(P_L2_Mes)+1)&lt;1,0,IF((135-N(P_L2_Mes)+1)=1,N(P_L2_Monto),EI$130)-EJ$129)</f>
        <v>0</v>
      </c>
      <c r="EK130" s="34" t="n">
        <f aca="false">IF((136-N(P_L2_Mes)+1)&lt;1,0,IF((136-N(P_L2_Mes)+1)=1,N(P_L2_Monto),EJ$130)-EK$129)</f>
        <v>0</v>
      </c>
      <c r="EL130" s="34" t="n">
        <f aca="false">IF((137-N(P_L2_Mes)+1)&lt;1,0,IF((137-N(P_L2_Mes)+1)=1,N(P_L2_Monto),EK$130)-EL$129)</f>
        <v>0</v>
      </c>
      <c r="EM130" s="34" t="n">
        <f aca="false">IF((138-N(P_L2_Mes)+1)&lt;1,0,IF((138-N(P_L2_Mes)+1)=1,N(P_L2_Monto),EL$130)-EM$129)</f>
        <v>0</v>
      </c>
      <c r="EN130" s="34" t="n">
        <f aca="false">IF((139-N(P_L2_Mes)+1)&lt;1,0,IF((139-N(P_L2_Mes)+1)=1,N(P_L2_Monto),EM$130)-EN$129)</f>
        <v>0</v>
      </c>
      <c r="EO130" s="34" t="n">
        <f aca="false">IF((140-N(P_L2_Mes)+1)&lt;1,0,IF((140-N(P_L2_Mes)+1)=1,N(P_L2_Monto),EN$130)-EO$129)</f>
        <v>0</v>
      </c>
      <c r="EP130" s="34" t="n">
        <f aca="false">IF((141-N(P_L2_Mes)+1)&lt;1,0,IF((141-N(P_L2_Mes)+1)=1,N(P_L2_Monto),EO$130)-EP$129)</f>
        <v>0</v>
      </c>
      <c r="EQ130" s="34" t="n">
        <f aca="false">IF((142-N(P_L2_Mes)+1)&lt;1,0,IF((142-N(P_L2_Mes)+1)=1,N(P_L2_Monto),EP$130)-EQ$129)</f>
        <v>0</v>
      </c>
      <c r="ER130" s="34" t="n">
        <f aca="false">IF((143-N(P_L2_Mes)+1)&lt;1,0,IF((143-N(P_L2_Mes)+1)=1,N(P_L2_Monto),EQ$130)-ER$129)</f>
        <v>0</v>
      </c>
      <c r="ES130" s="34" t="n">
        <f aca="false">IF((144-N(P_L2_Mes)+1)&lt;1,0,IF((144-N(P_L2_Mes)+1)=1,N(P_L2_Monto),ER$130)-ES$129)</f>
        <v>0</v>
      </c>
    </row>
    <row r="131" customFormat="false" ht="15" hidden="false" customHeight="false" outlineLevel="0" collapsed="false">
      <c r="A131" s="2" t="s">
        <v>745</v>
      </c>
      <c r="B131" s="6" t="s">
        <v>746</v>
      </c>
      <c r="C131" s="6" t="s">
        <v>250</v>
      </c>
      <c r="E131" s="40" t="n">
        <f aca="false">SUM(F131:ES131)</f>
        <v>0</v>
      </c>
      <c r="F131" s="34" t="n">
        <f aca="false">IF((1-N(P_L3_Mes)+1)=1,N(P_L3_Monto),0)*F$9</f>
        <v>0</v>
      </c>
      <c r="G131" s="34" t="n">
        <f aca="false">IF((2-N(P_L3_Mes)+1)=1,N(P_L3_Monto),0)*G$9</f>
        <v>0</v>
      </c>
      <c r="H131" s="34" t="n">
        <f aca="false">IF((3-N(P_L3_Mes)+1)=1,N(P_L3_Monto),0)*H$9</f>
        <v>0</v>
      </c>
      <c r="I131" s="34" t="n">
        <f aca="false">IF((4-N(P_L3_Mes)+1)=1,N(P_L3_Monto),0)*I$9</f>
        <v>0</v>
      </c>
      <c r="J131" s="34" t="n">
        <f aca="false">IF((5-N(P_L3_Mes)+1)=1,N(P_L3_Monto),0)*J$9</f>
        <v>0</v>
      </c>
      <c r="K131" s="34" t="n">
        <f aca="false">IF((6-N(P_L3_Mes)+1)=1,N(P_L3_Monto),0)*K$9</f>
        <v>0</v>
      </c>
      <c r="L131" s="34" t="n">
        <f aca="false">IF((7-N(P_L3_Mes)+1)=1,N(P_L3_Monto),0)*L$9</f>
        <v>0</v>
      </c>
      <c r="M131" s="34" t="n">
        <f aca="false">IF((8-N(P_L3_Mes)+1)=1,N(P_L3_Monto),0)*M$9</f>
        <v>0</v>
      </c>
      <c r="N131" s="34" t="n">
        <f aca="false">IF((9-N(P_L3_Mes)+1)=1,N(P_L3_Monto),0)*N$9</f>
        <v>0</v>
      </c>
      <c r="O131" s="34" t="n">
        <f aca="false">IF((10-N(P_L3_Mes)+1)=1,N(P_L3_Monto),0)*O$9</f>
        <v>0</v>
      </c>
      <c r="P131" s="34" t="n">
        <f aca="false">IF((11-N(P_L3_Mes)+1)=1,N(P_L3_Monto),0)*P$9</f>
        <v>0</v>
      </c>
      <c r="Q131" s="34" t="n">
        <f aca="false">IF((12-N(P_L3_Mes)+1)=1,N(P_L3_Monto),0)*Q$9</f>
        <v>0</v>
      </c>
      <c r="R131" s="34" t="n">
        <f aca="false">IF((13-N(P_L3_Mes)+1)=1,N(P_L3_Monto),0)*R$9</f>
        <v>0</v>
      </c>
      <c r="S131" s="34" t="n">
        <f aca="false">IF((14-N(P_L3_Mes)+1)=1,N(P_L3_Monto),0)*S$9</f>
        <v>0</v>
      </c>
      <c r="T131" s="34" t="n">
        <f aca="false">IF((15-N(P_L3_Mes)+1)=1,N(P_L3_Monto),0)*T$9</f>
        <v>0</v>
      </c>
      <c r="U131" s="34" t="n">
        <f aca="false">IF((16-N(P_L3_Mes)+1)=1,N(P_L3_Monto),0)*U$9</f>
        <v>0</v>
      </c>
      <c r="V131" s="34" t="n">
        <f aca="false">IF((17-N(P_L3_Mes)+1)=1,N(P_L3_Monto),0)*V$9</f>
        <v>0</v>
      </c>
      <c r="W131" s="34" t="n">
        <f aca="false">IF((18-N(P_L3_Mes)+1)=1,N(P_L3_Monto),0)*W$9</f>
        <v>0</v>
      </c>
      <c r="X131" s="34" t="n">
        <f aca="false">IF((19-N(P_L3_Mes)+1)=1,N(P_L3_Monto),0)*X$9</f>
        <v>0</v>
      </c>
      <c r="Y131" s="34" t="n">
        <f aca="false">IF((20-N(P_L3_Mes)+1)=1,N(P_L3_Monto),0)*Y$9</f>
        <v>0</v>
      </c>
      <c r="Z131" s="34" t="n">
        <f aca="false">IF((21-N(P_L3_Mes)+1)=1,N(P_L3_Monto),0)*Z$9</f>
        <v>0</v>
      </c>
      <c r="AA131" s="34" t="n">
        <f aca="false">IF((22-N(P_L3_Mes)+1)=1,N(P_L3_Monto),0)*AA$9</f>
        <v>0</v>
      </c>
      <c r="AB131" s="34" t="n">
        <f aca="false">IF((23-N(P_L3_Mes)+1)=1,N(P_L3_Monto),0)*AB$9</f>
        <v>0</v>
      </c>
      <c r="AC131" s="34" t="n">
        <f aca="false">IF((24-N(P_L3_Mes)+1)=1,N(P_L3_Monto),0)*AC$9</f>
        <v>0</v>
      </c>
      <c r="AD131" s="34" t="n">
        <f aca="false">IF((25-N(P_L3_Mes)+1)=1,N(P_L3_Monto),0)*AD$9</f>
        <v>0</v>
      </c>
      <c r="AE131" s="34" t="n">
        <f aca="false">IF((26-N(P_L3_Mes)+1)=1,N(P_L3_Monto),0)*AE$9</f>
        <v>0</v>
      </c>
      <c r="AF131" s="34" t="n">
        <f aca="false">IF((27-N(P_L3_Mes)+1)=1,N(P_L3_Monto),0)*AF$9</f>
        <v>0</v>
      </c>
      <c r="AG131" s="34" t="n">
        <f aca="false">IF((28-N(P_L3_Mes)+1)=1,N(P_L3_Monto),0)*AG$9</f>
        <v>0</v>
      </c>
      <c r="AH131" s="34" t="n">
        <f aca="false">IF((29-N(P_L3_Mes)+1)=1,N(P_L3_Monto),0)*AH$9</f>
        <v>0</v>
      </c>
      <c r="AI131" s="34" t="n">
        <f aca="false">IF((30-N(P_L3_Mes)+1)=1,N(P_L3_Monto),0)*AI$9</f>
        <v>0</v>
      </c>
      <c r="AJ131" s="34" t="n">
        <f aca="false">IF((31-N(P_L3_Mes)+1)=1,N(P_L3_Monto),0)*AJ$9</f>
        <v>0</v>
      </c>
      <c r="AK131" s="34" t="n">
        <f aca="false">IF((32-N(P_L3_Mes)+1)=1,N(P_L3_Monto),0)*AK$9</f>
        <v>0</v>
      </c>
      <c r="AL131" s="34" t="n">
        <f aca="false">IF((33-N(P_L3_Mes)+1)=1,N(P_L3_Monto),0)*AL$9</f>
        <v>0</v>
      </c>
      <c r="AM131" s="34" t="n">
        <f aca="false">IF((34-N(P_L3_Mes)+1)=1,N(P_L3_Monto),0)*AM$9</f>
        <v>0</v>
      </c>
      <c r="AN131" s="34" t="n">
        <f aca="false">IF((35-N(P_L3_Mes)+1)=1,N(P_L3_Monto),0)*AN$9</f>
        <v>0</v>
      </c>
      <c r="AO131" s="34" t="n">
        <f aca="false">IF((36-N(P_L3_Mes)+1)=1,N(P_L3_Monto),0)*AO$9</f>
        <v>0</v>
      </c>
      <c r="AP131" s="34" t="n">
        <f aca="false">IF((37-N(P_L3_Mes)+1)=1,N(P_L3_Monto),0)*AP$9</f>
        <v>0</v>
      </c>
      <c r="AQ131" s="34" t="n">
        <f aca="false">IF((38-N(P_L3_Mes)+1)=1,N(P_L3_Monto),0)*AQ$9</f>
        <v>0</v>
      </c>
      <c r="AR131" s="34" t="n">
        <f aca="false">IF((39-N(P_L3_Mes)+1)=1,N(P_L3_Monto),0)*AR$9</f>
        <v>0</v>
      </c>
      <c r="AS131" s="34" t="n">
        <f aca="false">IF((40-N(P_L3_Mes)+1)=1,N(P_L3_Monto),0)*AS$9</f>
        <v>0</v>
      </c>
      <c r="AT131" s="34" t="n">
        <f aca="false">IF((41-N(P_L3_Mes)+1)=1,N(P_L3_Monto),0)*AT$9</f>
        <v>0</v>
      </c>
      <c r="AU131" s="34" t="n">
        <f aca="false">IF((42-N(P_L3_Mes)+1)=1,N(P_L3_Monto),0)*AU$9</f>
        <v>0</v>
      </c>
      <c r="AV131" s="34" t="n">
        <f aca="false">IF((43-N(P_L3_Mes)+1)=1,N(P_L3_Monto),0)*AV$9</f>
        <v>0</v>
      </c>
      <c r="AW131" s="34" t="n">
        <f aca="false">IF((44-N(P_L3_Mes)+1)=1,N(P_L3_Monto),0)*AW$9</f>
        <v>0</v>
      </c>
      <c r="AX131" s="34" t="n">
        <f aca="false">IF((45-N(P_L3_Mes)+1)=1,N(P_L3_Monto),0)*AX$9</f>
        <v>0</v>
      </c>
      <c r="AY131" s="34" t="n">
        <f aca="false">IF((46-N(P_L3_Mes)+1)=1,N(P_L3_Monto),0)*AY$9</f>
        <v>0</v>
      </c>
      <c r="AZ131" s="34" t="n">
        <f aca="false">IF((47-N(P_L3_Mes)+1)=1,N(P_L3_Monto),0)*AZ$9</f>
        <v>0</v>
      </c>
      <c r="BA131" s="34" t="n">
        <f aca="false">IF((48-N(P_L3_Mes)+1)=1,N(P_L3_Monto),0)*BA$9</f>
        <v>0</v>
      </c>
      <c r="BB131" s="34" t="n">
        <f aca="false">IF((49-N(P_L3_Mes)+1)=1,N(P_L3_Monto),0)*BB$9</f>
        <v>0</v>
      </c>
      <c r="BC131" s="34" t="n">
        <f aca="false">IF((50-N(P_L3_Mes)+1)=1,N(P_L3_Monto),0)*BC$9</f>
        <v>0</v>
      </c>
      <c r="BD131" s="34" t="n">
        <f aca="false">IF((51-N(P_L3_Mes)+1)=1,N(P_L3_Monto),0)*BD$9</f>
        <v>0</v>
      </c>
      <c r="BE131" s="34" t="n">
        <f aca="false">IF((52-N(P_L3_Mes)+1)=1,N(P_L3_Monto),0)*BE$9</f>
        <v>0</v>
      </c>
      <c r="BF131" s="34" t="n">
        <f aca="false">IF((53-N(P_L3_Mes)+1)=1,N(P_L3_Monto),0)*BF$9</f>
        <v>0</v>
      </c>
      <c r="BG131" s="34" t="n">
        <f aca="false">IF((54-N(P_L3_Mes)+1)=1,N(P_L3_Monto),0)*BG$9</f>
        <v>0</v>
      </c>
      <c r="BH131" s="34" t="n">
        <f aca="false">IF((55-N(P_L3_Mes)+1)=1,N(P_L3_Monto),0)*BH$9</f>
        <v>0</v>
      </c>
      <c r="BI131" s="34" t="n">
        <f aca="false">IF((56-N(P_L3_Mes)+1)=1,N(P_L3_Monto),0)*BI$9</f>
        <v>0</v>
      </c>
      <c r="BJ131" s="34" t="n">
        <f aca="false">IF((57-N(P_L3_Mes)+1)=1,N(P_L3_Monto),0)*BJ$9</f>
        <v>0</v>
      </c>
      <c r="BK131" s="34" t="n">
        <f aca="false">IF((58-N(P_L3_Mes)+1)=1,N(P_L3_Monto),0)*BK$9</f>
        <v>0</v>
      </c>
      <c r="BL131" s="34" t="n">
        <f aca="false">IF((59-N(P_L3_Mes)+1)=1,N(P_L3_Monto),0)*BL$9</f>
        <v>0</v>
      </c>
      <c r="BM131" s="34" t="n">
        <f aca="false">IF((60-N(P_L3_Mes)+1)=1,N(P_L3_Monto),0)*BM$9</f>
        <v>0</v>
      </c>
      <c r="BN131" s="34" t="n">
        <f aca="false">IF((61-N(P_L3_Mes)+1)=1,N(P_L3_Monto),0)*BN$9</f>
        <v>0</v>
      </c>
      <c r="BO131" s="34" t="n">
        <f aca="false">IF((62-N(P_L3_Mes)+1)=1,N(P_L3_Monto),0)*BO$9</f>
        <v>0</v>
      </c>
      <c r="BP131" s="34" t="n">
        <f aca="false">IF((63-N(P_L3_Mes)+1)=1,N(P_L3_Monto),0)*BP$9</f>
        <v>0</v>
      </c>
      <c r="BQ131" s="34" t="n">
        <f aca="false">IF((64-N(P_L3_Mes)+1)=1,N(P_L3_Monto),0)*BQ$9</f>
        <v>0</v>
      </c>
      <c r="BR131" s="34" t="n">
        <f aca="false">IF((65-N(P_L3_Mes)+1)=1,N(P_L3_Monto),0)*BR$9</f>
        <v>0</v>
      </c>
      <c r="BS131" s="34" t="n">
        <f aca="false">IF((66-N(P_L3_Mes)+1)=1,N(P_L3_Monto),0)*BS$9</f>
        <v>0</v>
      </c>
      <c r="BT131" s="34" t="n">
        <f aca="false">IF((67-N(P_L3_Mes)+1)=1,N(P_L3_Monto),0)*BT$9</f>
        <v>0</v>
      </c>
      <c r="BU131" s="34" t="n">
        <f aca="false">IF((68-N(P_L3_Mes)+1)=1,N(P_L3_Monto),0)*BU$9</f>
        <v>0</v>
      </c>
      <c r="BV131" s="34" t="n">
        <f aca="false">IF((69-N(P_L3_Mes)+1)=1,N(P_L3_Monto),0)*BV$9</f>
        <v>0</v>
      </c>
      <c r="BW131" s="34" t="n">
        <f aca="false">IF((70-N(P_L3_Mes)+1)=1,N(P_L3_Monto),0)*BW$9</f>
        <v>0</v>
      </c>
      <c r="BX131" s="34" t="n">
        <f aca="false">IF((71-N(P_L3_Mes)+1)=1,N(P_L3_Monto),0)*BX$9</f>
        <v>0</v>
      </c>
      <c r="BY131" s="34" t="n">
        <f aca="false">IF((72-N(P_L3_Mes)+1)=1,N(P_L3_Monto),0)*BY$9</f>
        <v>0</v>
      </c>
      <c r="BZ131" s="34" t="n">
        <f aca="false">IF((73-N(P_L3_Mes)+1)=1,N(P_L3_Monto),0)*BZ$9</f>
        <v>0</v>
      </c>
      <c r="CA131" s="34" t="n">
        <f aca="false">IF((74-N(P_L3_Mes)+1)=1,N(P_L3_Monto),0)*CA$9</f>
        <v>0</v>
      </c>
      <c r="CB131" s="34" t="n">
        <f aca="false">IF((75-N(P_L3_Mes)+1)=1,N(P_L3_Monto),0)*CB$9</f>
        <v>0</v>
      </c>
      <c r="CC131" s="34" t="n">
        <f aca="false">IF((76-N(P_L3_Mes)+1)=1,N(P_L3_Monto),0)*CC$9</f>
        <v>0</v>
      </c>
      <c r="CD131" s="34" t="n">
        <f aca="false">IF((77-N(P_L3_Mes)+1)=1,N(P_L3_Monto),0)*CD$9</f>
        <v>0</v>
      </c>
      <c r="CE131" s="34" t="n">
        <f aca="false">IF((78-N(P_L3_Mes)+1)=1,N(P_L3_Monto),0)*CE$9</f>
        <v>0</v>
      </c>
      <c r="CF131" s="34" t="n">
        <f aca="false">IF((79-N(P_L3_Mes)+1)=1,N(P_L3_Monto),0)*CF$9</f>
        <v>0</v>
      </c>
      <c r="CG131" s="34" t="n">
        <f aca="false">IF((80-N(P_L3_Mes)+1)=1,N(P_L3_Monto),0)*CG$9</f>
        <v>0</v>
      </c>
      <c r="CH131" s="34" t="n">
        <f aca="false">IF((81-N(P_L3_Mes)+1)=1,N(P_L3_Monto),0)*CH$9</f>
        <v>0</v>
      </c>
      <c r="CI131" s="34" t="n">
        <f aca="false">IF((82-N(P_L3_Mes)+1)=1,N(P_L3_Monto),0)*CI$9</f>
        <v>0</v>
      </c>
      <c r="CJ131" s="34" t="n">
        <f aca="false">IF((83-N(P_L3_Mes)+1)=1,N(P_L3_Monto),0)*CJ$9</f>
        <v>0</v>
      </c>
      <c r="CK131" s="34" t="n">
        <f aca="false">IF((84-N(P_L3_Mes)+1)=1,N(P_L3_Monto),0)*CK$9</f>
        <v>0</v>
      </c>
      <c r="CL131" s="34" t="n">
        <f aca="false">IF((85-N(P_L3_Mes)+1)=1,N(P_L3_Monto),0)*CL$9</f>
        <v>0</v>
      </c>
      <c r="CM131" s="34" t="n">
        <f aca="false">IF((86-N(P_L3_Mes)+1)=1,N(P_L3_Monto),0)*CM$9</f>
        <v>0</v>
      </c>
      <c r="CN131" s="34" t="n">
        <f aca="false">IF((87-N(P_L3_Mes)+1)=1,N(P_L3_Monto),0)*CN$9</f>
        <v>0</v>
      </c>
      <c r="CO131" s="34" t="n">
        <f aca="false">IF((88-N(P_L3_Mes)+1)=1,N(P_L3_Monto),0)*CO$9</f>
        <v>0</v>
      </c>
      <c r="CP131" s="34" t="n">
        <f aca="false">IF((89-N(P_L3_Mes)+1)=1,N(P_L3_Monto),0)*CP$9</f>
        <v>0</v>
      </c>
      <c r="CQ131" s="34" t="n">
        <f aca="false">IF((90-N(P_L3_Mes)+1)=1,N(P_L3_Monto),0)*CQ$9</f>
        <v>0</v>
      </c>
      <c r="CR131" s="34" t="n">
        <f aca="false">IF((91-N(P_L3_Mes)+1)=1,N(P_L3_Monto),0)*CR$9</f>
        <v>0</v>
      </c>
      <c r="CS131" s="34" t="n">
        <f aca="false">IF((92-N(P_L3_Mes)+1)=1,N(P_L3_Monto),0)*CS$9</f>
        <v>0</v>
      </c>
      <c r="CT131" s="34" t="n">
        <f aca="false">IF((93-N(P_L3_Mes)+1)=1,N(P_L3_Monto),0)*CT$9</f>
        <v>0</v>
      </c>
      <c r="CU131" s="34" t="n">
        <f aca="false">IF((94-N(P_L3_Mes)+1)=1,N(P_L3_Monto),0)*CU$9</f>
        <v>0</v>
      </c>
      <c r="CV131" s="34" t="n">
        <f aca="false">IF((95-N(P_L3_Mes)+1)=1,N(P_L3_Monto),0)*CV$9</f>
        <v>0</v>
      </c>
      <c r="CW131" s="34" t="n">
        <f aca="false">IF((96-N(P_L3_Mes)+1)=1,N(P_L3_Monto),0)*CW$9</f>
        <v>0</v>
      </c>
      <c r="CX131" s="34" t="n">
        <f aca="false">IF((97-N(P_L3_Mes)+1)=1,N(P_L3_Monto),0)*CX$9</f>
        <v>0</v>
      </c>
      <c r="CY131" s="34" t="n">
        <f aca="false">IF((98-N(P_L3_Mes)+1)=1,N(P_L3_Monto),0)*CY$9</f>
        <v>0</v>
      </c>
      <c r="CZ131" s="34" t="n">
        <f aca="false">IF((99-N(P_L3_Mes)+1)=1,N(P_L3_Monto),0)*CZ$9</f>
        <v>0</v>
      </c>
      <c r="DA131" s="34" t="n">
        <f aca="false">IF((100-N(P_L3_Mes)+1)=1,N(P_L3_Monto),0)*DA$9</f>
        <v>0</v>
      </c>
      <c r="DB131" s="34" t="n">
        <f aca="false">IF((101-N(P_L3_Mes)+1)=1,N(P_L3_Monto),0)*DB$9</f>
        <v>0</v>
      </c>
      <c r="DC131" s="34" t="n">
        <f aca="false">IF((102-N(P_L3_Mes)+1)=1,N(P_L3_Monto),0)*DC$9</f>
        <v>0</v>
      </c>
      <c r="DD131" s="34" t="n">
        <f aca="false">IF((103-N(P_L3_Mes)+1)=1,N(P_L3_Monto),0)*DD$9</f>
        <v>0</v>
      </c>
      <c r="DE131" s="34" t="n">
        <f aca="false">IF((104-N(P_L3_Mes)+1)=1,N(P_L3_Monto),0)*DE$9</f>
        <v>0</v>
      </c>
      <c r="DF131" s="34" t="n">
        <f aca="false">IF((105-N(P_L3_Mes)+1)=1,N(P_L3_Monto),0)*DF$9</f>
        <v>0</v>
      </c>
      <c r="DG131" s="34" t="n">
        <f aca="false">IF((106-N(P_L3_Mes)+1)=1,N(P_L3_Monto),0)*DG$9</f>
        <v>0</v>
      </c>
      <c r="DH131" s="34" t="n">
        <f aca="false">IF((107-N(P_L3_Mes)+1)=1,N(P_L3_Monto),0)*DH$9</f>
        <v>0</v>
      </c>
      <c r="DI131" s="34" t="n">
        <f aca="false">IF((108-N(P_L3_Mes)+1)=1,N(P_L3_Monto),0)*DI$9</f>
        <v>0</v>
      </c>
      <c r="DJ131" s="34" t="n">
        <f aca="false">IF((109-N(P_L3_Mes)+1)=1,N(P_L3_Monto),0)*DJ$9</f>
        <v>0</v>
      </c>
      <c r="DK131" s="34" t="n">
        <f aca="false">IF((110-N(P_L3_Mes)+1)=1,N(P_L3_Monto),0)*DK$9</f>
        <v>0</v>
      </c>
      <c r="DL131" s="34" t="n">
        <f aca="false">IF((111-N(P_L3_Mes)+1)=1,N(P_L3_Monto),0)*DL$9</f>
        <v>0</v>
      </c>
      <c r="DM131" s="34" t="n">
        <f aca="false">IF((112-N(P_L3_Mes)+1)=1,N(P_L3_Monto),0)*DM$9</f>
        <v>0</v>
      </c>
      <c r="DN131" s="34" t="n">
        <f aca="false">IF((113-N(P_L3_Mes)+1)=1,N(P_L3_Monto),0)*DN$9</f>
        <v>0</v>
      </c>
      <c r="DO131" s="34" t="n">
        <f aca="false">IF((114-N(P_L3_Mes)+1)=1,N(P_L3_Monto),0)*DO$9</f>
        <v>0</v>
      </c>
      <c r="DP131" s="34" t="n">
        <f aca="false">IF((115-N(P_L3_Mes)+1)=1,N(P_L3_Monto),0)*DP$9</f>
        <v>0</v>
      </c>
      <c r="DQ131" s="34" t="n">
        <f aca="false">IF((116-N(P_L3_Mes)+1)=1,N(P_L3_Monto),0)*DQ$9</f>
        <v>0</v>
      </c>
      <c r="DR131" s="34" t="n">
        <f aca="false">IF((117-N(P_L3_Mes)+1)=1,N(P_L3_Monto),0)*DR$9</f>
        <v>0</v>
      </c>
      <c r="DS131" s="34" t="n">
        <f aca="false">IF((118-N(P_L3_Mes)+1)=1,N(P_L3_Monto),0)*DS$9</f>
        <v>0</v>
      </c>
      <c r="DT131" s="34" t="n">
        <f aca="false">IF((119-N(P_L3_Mes)+1)=1,N(P_L3_Monto),0)*DT$9</f>
        <v>0</v>
      </c>
      <c r="DU131" s="34" t="n">
        <f aca="false">IF((120-N(P_L3_Mes)+1)=1,N(P_L3_Monto),0)*DU$9</f>
        <v>0</v>
      </c>
      <c r="DV131" s="34" t="n">
        <f aca="false">IF((121-N(P_L3_Mes)+1)=1,N(P_L3_Monto),0)*DV$9</f>
        <v>0</v>
      </c>
      <c r="DW131" s="34" t="n">
        <f aca="false">IF((122-N(P_L3_Mes)+1)=1,N(P_L3_Monto),0)*DW$9</f>
        <v>0</v>
      </c>
      <c r="DX131" s="34" t="n">
        <f aca="false">IF((123-N(P_L3_Mes)+1)=1,N(P_L3_Monto),0)*DX$9</f>
        <v>0</v>
      </c>
      <c r="DY131" s="34" t="n">
        <f aca="false">IF((124-N(P_L3_Mes)+1)=1,N(P_L3_Monto),0)*DY$9</f>
        <v>0</v>
      </c>
      <c r="DZ131" s="34" t="n">
        <f aca="false">IF((125-N(P_L3_Mes)+1)=1,N(P_L3_Monto),0)*DZ$9</f>
        <v>0</v>
      </c>
      <c r="EA131" s="34" t="n">
        <f aca="false">IF((126-N(P_L3_Mes)+1)=1,N(P_L3_Monto),0)*EA$9</f>
        <v>0</v>
      </c>
      <c r="EB131" s="34" t="n">
        <f aca="false">IF((127-N(P_L3_Mes)+1)=1,N(P_L3_Monto),0)*EB$9</f>
        <v>0</v>
      </c>
      <c r="EC131" s="34" t="n">
        <f aca="false">IF((128-N(P_L3_Mes)+1)=1,N(P_L3_Monto),0)*EC$9</f>
        <v>0</v>
      </c>
      <c r="ED131" s="34" t="n">
        <f aca="false">IF((129-N(P_L3_Mes)+1)=1,N(P_L3_Monto),0)*ED$9</f>
        <v>0</v>
      </c>
      <c r="EE131" s="34" t="n">
        <f aca="false">IF((130-N(P_L3_Mes)+1)=1,N(P_L3_Monto),0)*EE$9</f>
        <v>0</v>
      </c>
      <c r="EF131" s="34" t="n">
        <f aca="false">IF((131-N(P_L3_Mes)+1)=1,N(P_L3_Monto),0)*EF$9</f>
        <v>0</v>
      </c>
      <c r="EG131" s="34" t="n">
        <f aca="false">IF((132-N(P_L3_Mes)+1)=1,N(P_L3_Monto),0)*EG$9</f>
        <v>0</v>
      </c>
      <c r="EH131" s="34" t="n">
        <f aca="false">IF((133-N(P_L3_Mes)+1)=1,N(P_L3_Monto),0)*EH$9</f>
        <v>0</v>
      </c>
      <c r="EI131" s="34" t="n">
        <f aca="false">IF((134-N(P_L3_Mes)+1)=1,N(P_L3_Monto),0)*EI$9</f>
        <v>0</v>
      </c>
      <c r="EJ131" s="34" t="n">
        <f aca="false">IF((135-N(P_L3_Mes)+1)=1,N(P_L3_Monto),0)*EJ$9</f>
        <v>0</v>
      </c>
      <c r="EK131" s="34" t="n">
        <f aca="false">IF((136-N(P_L3_Mes)+1)=1,N(P_L3_Monto),0)*EK$9</f>
        <v>0</v>
      </c>
      <c r="EL131" s="34" t="n">
        <f aca="false">IF((137-N(P_L3_Mes)+1)=1,N(P_L3_Monto),0)*EL$9</f>
        <v>0</v>
      </c>
      <c r="EM131" s="34" t="n">
        <f aca="false">IF((138-N(P_L3_Mes)+1)=1,N(P_L3_Monto),0)*EM$9</f>
        <v>0</v>
      </c>
      <c r="EN131" s="34" t="n">
        <f aca="false">IF((139-N(P_L3_Mes)+1)=1,N(P_L3_Monto),0)*EN$9</f>
        <v>0</v>
      </c>
      <c r="EO131" s="34" t="n">
        <f aca="false">IF((140-N(P_L3_Mes)+1)=1,N(P_L3_Monto),0)*EO$9</f>
        <v>0</v>
      </c>
      <c r="EP131" s="34" t="n">
        <f aca="false">IF((141-N(P_L3_Mes)+1)=1,N(P_L3_Monto),0)*EP$9</f>
        <v>0</v>
      </c>
      <c r="EQ131" s="34" t="n">
        <f aca="false">IF((142-N(P_L3_Mes)+1)=1,N(P_L3_Monto),0)*EQ$9</f>
        <v>0</v>
      </c>
      <c r="ER131" s="34" t="n">
        <f aca="false">IF((143-N(P_L3_Mes)+1)=1,N(P_L3_Monto),0)*ER$9</f>
        <v>0</v>
      </c>
      <c r="ES131" s="34" t="n">
        <f aca="false">IF((144-N(P_L3_Mes)+1)=1,N(P_L3_Monto),0)*ES$9</f>
        <v>0</v>
      </c>
    </row>
    <row r="132" customFormat="false" ht="15" hidden="false" customHeight="false" outlineLevel="0" collapsed="false">
      <c r="A132" s="2" t="s">
        <v>747</v>
      </c>
      <c r="B132" s="6" t="s">
        <v>748</v>
      </c>
      <c r="C132" s="6" t="s">
        <v>250</v>
      </c>
      <c r="E132" s="40" t="n">
        <f aca="false">SUM(F132:ES132)</f>
        <v>0</v>
      </c>
      <c r="F132" s="34" t="n">
        <f aca="false">IF((1-N(P_L3_Mes)+1)&gt;=1,IF((1-N(P_L3_Mes)+1)=1,N(P_L3_Monto),0)*N(P_L3_Tasa)/12,0)*F$9</f>
        <v>0</v>
      </c>
      <c r="G132" s="34" t="n">
        <f aca="false">IF((2-N(P_L3_Mes)+1)&gt;=1,IF((2-N(P_L3_Mes)+1)=1,N(P_L3_Monto),F$134)*N(P_L3_Tasa)/12,0)*G$9</f>
        <v>0</v>
      </c>
      <c r="H132" s="34" t="n">
        <f aca="false">IF((3-N(P_L3_Mes)+1)&gt;=1,IF((3-N(P_L3_Mes)+1)=1,N(P_L3_Monto),G$134)*N(P_L3_Tasa)/12,0)*H$9</f>
        <v>0</v>
      </c>
      <c r="I132" s="34" t="n">
        <f aca="false">IF((4-N(P_L3_Mes)+1)&gt;=1,IF((4-N(P_L3_Mes)+1)=1,N(P_L3_Monto),H$134)*N(P_L3_Tasa)/12,0)*I$9</f>
        <v>0</v>
      </c>
      <c r="J132" s="34" t="n">
        <f aca="false">IF((5-N(P_L3_Mes)+1)&gt;=1,IF((5-N(P_L3_Mes)+1)=1,N(P_L3_Monto),I$134)*N(P_L3_Tasa)/12,0)*J$9</f>
        <v>0</v>
      </c>
      <c r="K132" s="34" t="n">
        <f aca="false">IF((6-N(P_L3_Mes)+1)&gt;=1,IF((6-N(P_L3_Mes)+1)=1,N(P_L3_Monto),J$134)*N(P_L3_Tasa)/12,0)*K$9</f>
        <v>0</v>
      </c>
      <c r="L132" s="34" t="n">
        <f aca="false">IF((7-N(P_L3_Mes)+1)&gt;=1,IF((7-N(P_L3_Mes)+1)=1,N(P_L3_Monto),K$134)*N(P_L3_Tasa)/12,0)*L$9</f>
        <v>0</v>
      </c>
      <c r="M132" s="34" t="n">
        <f aca="false">IF((8-N(P_L3_Mes)+1)&gt;=1,IF((8-N(P_L3_Mes)+1)=1,N(P_L3_Monto),L$134)*N(P_L3_Tasa)/12,0)*M$9</f>
        <v>0</v>
      </c>
      <c r="N132" s="34" t="n">
        <f aca="false">IF((9-N(P_L3_Mes)+1)&gt;=1,IF((9-N(P_L3_Mes)+1)=1,N(P_L3_Monto),M$134)*N(P_L3_Tasa)/12,0)*N$9</f>
        <v>0</v>
      </c>
      <c r="O132" s="34" t="n">
        <f aca="false">IF((10-N(P_L3_Mes)+1)&gt;=1,IF((10-N(P_L3_Mes)+1)=1,N(P_L3_Monto),N$134)*N(P_L3_Tasa)/12,0)*O$9</f>
        <v>0</v>
      </c>
      <c r="P132" s="34" t="n">
        <f aca="false">IF((11-N(P_L3_Mes)+1)&gt;=1,IF((11-N(P_L3_Mes)+1)=1,N(P_L3_Monto),O$134)*N(P_L3_Tasa)/12,0)*P$9</f>
        <v>0</v>
      </c>
      <c r="Q132" s="34" t="n">
        <f aca="false">IF((12-N(P_L3_Mes)+1)&gt;=1,IF((12-N(P_L3_Mes)+1)=1,N(P_L3_Monto),P$134)*N(P_L3_Tasa)/12,0)*Q$9</f>
        <v>0</v>
      </c>
      <c r="R132" s="34" t="n">
        <f aca="false">IF((13-N(P_L3_Mes)+1)&gt;=1,IF((13-N(P_L3_Mes)+1)=1,N(P_L3_Monto),Q$134)*N(P_L3_Tasa)/12,0)*R$9</f>
        <v>0</v>
      </c>
      <c r="S132" s="34" t="n">
        <f aca="false">IF((14-N(P_L3_Mes)+1)&gt;=1,IF((14-N(P_L3_Mes)+1)=1,N(P_L3_Monto),R$134)*N(P_L3_Tasa)/12,0)*S$9</f>
        <v>0</v>
      </c>
      <c r="T132" s="34" t="n">
        <f aca="false">IF((15-N(P_L3_Mes)+1)&gt;=1,IF((15-N(P_L3_Mes)+1)=1,N(P_L3_Monto),S$134)*N(P_L3_Tasa)/12,0)*T$9</f>
        <v>0</v>
      </c>
      <c r="U132" s="34" t="n">
        <f aca="false">IF((16-N(P_L3_Mes)+1)&gt;=1,IF((16-N(P_L3_Mes)+1)=1,N(P_L3_Monto),T$134)*N(P_L3_Tasa)/12,0)*U$9</f>
        <v>0</v>
      </c>
      <c r="V132" s="34" t="n">
        <f aca="false">IF((17-N(P_L3_Mes)+1)&gt;=1,IF((17-N(P_L3_Mes)+1)=1,N(P_L3_Monto),U$134)*N(P_L3_Tasa)/12,0)*V$9</f>
        <v>0</v>
      </c>
      <c r="W132" s="34" t="n">
        <f aca="false">IF((18-N(P_L3_Mes)+1)&gt;=1,IF((18-N(P_L3_Mes)+1)=1,N(P_L3_Monto),V$134)*N(P_L3_Tasa)/12,0)*W$9</f>
        <v>0</v>
      </c>
      <c r="X132" s="34" t="n">
        <f aca="false">IF((19-N(P_L3_Mes)+1)&gt;=1,IF((19-N(P_L3_Mes)+1)=1,N(P_L3_Monto),W$134)*N(P_L3_Tasa)/12,0)*X$9</f>
        <v>0</v>
      </c>
      <c r="Y132" s="34" t="n">
        <f aca="false">IF((20-N(P_L3_Mes)+1)&gt;=1,IF((20-N(P_L3_Mes)+1)=1,N(P_L3_Monto),X$134)*N(P_L3_Tasa)/12,0)*Y$9</f>
        <v>0</v>
      </c>
      <c r="Z132" s="34" t="n">
        <f aca="false">IF((21-N(P_L3_Mes)+1)&gt;=1,IF((21-N(P_L3_Mes)+1)=1,N(P_L3_Monto),Y$134)*N(P_L3_Tasa)/12,0)*Z$9</f>
        <v>0</v>
      </c>
      <c r="AA132" s="34" t="n">
        <f aca="false">IF((22-N(P_L3_Mes)+1)&gt;=1,IF((22-N(P_L3_Mes)+1)=1,N(P_L3_Monto),Z$134)*N(P_L3_Tasa)/12,0)*AA$9</f>
        <v>0</v>
      </c>
      <c r="AB132" s="34" t="n">
        <f aca="false">IF((23-N(P_L3_Mes)+1)&gt;=1,IF((23-N(P_L3_Mes)+1)=1,N(P_L3_Monto),AA$134)*N(P_L3_Tasa)/12,0)*AB$9</f>
        <v>0</v>
      </c>
      <c r="AC132" s="34" t="n">
        <f aca="false">IF((24-N(P_L3_Mes)+1)&gt;=1,IF((24-N(P_L3_Mes)+1)=1,N(P_L3_Monto),AB$134)*N(P_L3_Tasa)/12,0)*AC$9</f>
        <v>0</v>
      </c>
      <c r="AD132" s="34" t="n">
        <f aca="false">IF((25-N(P_L3_Mes)+1)&gt;=1,IF((25-N(P_L3_Mes)+1)=1,N(P_L3_Monto),AC$134)*N(P_L3_Tasa)/12,0)*AD$9</f>
        <v>0</v>
      </c>
      <c r="AE132" s="34" t="n">
        <f aca="false">IF((26-N(P_L3_Mes)+1)&gt;=1,IF((26-N(P_L3_Mes)+1)=1,N(P_L3_Monto),AD$134)*N(P_L3_Tasa)/12,0)*AE$9</f>
        <v>0</v>
      </c>
      <c r="AF132" s="34" t="n">
        <f aca="false">IF((27-N(P_L3_Mes)+1)&gt;=1,IF((27-N(P_L3_Mes)+1)=1,N(P_L3_Monto),AE$134)*N(P_L3_Tasa)/12,0)*AF$9</f>
        <v>0</v>
      </c>
      <c r="AG132" s="34" t="n">
        <f aca="false">IF((28-N(P_L3_Mes)+1)&gt;=1,IF((28-N(P_L3_Mes)+1)=1,N(P_L3_Monto),AF$134)*N(P_L3_Tasa)/12,0)*AG$9</f>
        <v>0</v>
      </c>
      <c r="AH132" s="34" t="n">
        <f aca="false">IF((29-N(P_L3_Mes)+1)&gt;=1,IF((29-N(P_L3_Mes)+1)=1,N(P_L3_Monto),AG$134)*N(P_L3_Tasa)/12,0)*AH$9</f>
        <v>0</v>
      </c>
      <c r="AI132" s="34" t="n">
        <f aca="false">IF((30-N(P_L3_Mes)+1)&gt;=1,IF((30-N(P_L3_Mes)+1)=1,N(P_L3_Monto),AH$134)*N(P_L3_Tasa)/12,0)*AI$9</f>
        <v>0</v>
      </c>
      <c r="AJ132" s="34" t="n">
        <f aca="false">IF((31-N(P_L3_Mes)+1)&gt;=1,IF((31-N(P_L3_Mes)+1)=1,N(P_L3_Monto),AI$134)*N(P_L3_Tasa)/12,0)*AJ$9</f>
        <v>0</v>
      </c>
      <c r="AK132" s="34" t="n">
        <f aca="false">IF((32-N(P_L3_Mes)+1)&gt;=1,IF((32-N(P_L3_Mes)+1)=1,N(P_L3_Monto),AJ$134)*N(P_L3_Tasa)/12,0)*AK$9</f>
        <v>0</v>
      </c>
      <c r="AL132" s="34" t="n">
        <f aca="false">IF((33-N(P_L3_Mes)+1)&gt;=1,IF((33-N(P_L3_Mes)+1)=1,N(P_L3_Monto),AK$134)*N(P_L3_Tasa)/12,0)*AL$9</f>
        <v>0</v>
      </c>
      <c r="AM132" s="34" t="n">
        <f aca="false">IF((34-N(P_L3_Mes)+1)&gt;=1,IF((34-N(P_L3_Mes)+1)=1,N(P_L3_Monto),AL$134)*N(P_L3_Tasa)/12,0)*AM$9</f>
        <v>0</v>
      </c>
      <c r="AN132" s="34" t="n">
        <f aca="false">IF((35-N(P_L3_Mes)+1)&gt;=1,IF((35-N(P_L3_Mes)+1)=1,N(P_L3_Monto),AM$134)*N(P_L3_Tasa)/12,0)*AN$9</f>
        <v>0</v>
      </c>
      <c r="AO132" s="34" t="n">
        <f aca="false">IF((36-N(P_L3_Mes)+1)&gt;=1,IF((36-N(P_L3_Mes)+1)=1,N(P_L3_Monto),AN$134)*N(P_L3_Tasa)/12,0)*AO$9</f>
        <v>0</v>
      </c>
      <c r="AP132" s="34" t="n">
        <f aca="false">IF((37-N(P_L3_Mes)+1)&gt;=1,IF((37-N(P_L3_Mes)+1)=1,N(P_L3_Monto),AO$134)*N(P_L3_Tasa)/12,0)*AP$9</f>
        <v>0</v>
      </c>
      <c r="AQ132" s="34" t="n">
        <f aca="false">IF((38-N(P_L3_Mes)+1)&gt;=1,IF((38-N(P_L3_Mes)+1)=1,N(P_L3_Monto),AP$134)*N(P_L3_Tasa)/12,0)*AQ$9</f>
        <v>0</v>
      </c>
      <c r="AR132" s="34" t="n">
        <f aca="false">IF((39-N(P_L3_Mes)+1)&gt;=1,IF((39-N(P_L3_Mes)+1)=1,N(P_L3_Monto),AQ$134)*N(P_L3_Tasa)/12,0)*AR$9</f>
        <v>0</v>
      </c>
      <c r="AS132" s="34" t="n">
        <f aca="false">IF((40-N(P_L3_Mes)+1)&gt;=1,IF((40-N(P_L3_Mes)+1)=1,N(P_L3_Monto),AR$134)*N(P_L3_Tasa)/12,0)*AS$9</f>
        <v>0</v>
      </c>
      <c r="AT132" s="34" t="n">
        <f aca="false">IF((41-N(P_L3_Mes)+1)&gt;=1,IF((41-N(P_L3_Mes)+1)=1,N(P_L3_Monto),AS$134)*N(P_L3_Tasa)/12,0)*AT$9</f>
        <v>0</v>
      </c>
      <c r="AU132" s="34" t="n">
        <f aca="false">IF((42-N(P_L3_Mes)+1)&gt;=1,IF((42-N(P_L3_Mes)+1)=1,N(P_L3_Monto),AT$134)*N(P_L3_Tasa)/12,0)*AU$9</f>
        <v>0</v>
      </c>
      <c r="AV132" s="34" t="n">
        <f aca="false">IF((43-N(P_L3_Mes)+1)&gt;=1,IF((43-N(P_L3_Mes)+1)=1,N(P_L3_Monto),AU$134)*N(P_L3_Tasa)/12,0)*AV$9</f>
        <v>0</v>
      </c>
      <c r="AW132" s="34" t="n">
        <f aca="false">IF((44-N(P_L3_Mes)+1)&gt;=1,IF((44-N(P_L3_Mes)+1)=1,N(P_L3_Monto),AV$134)*N(P_L3_Tasa)/12,0)*AW$9</f>
        <v>0</v>
      </c>
      <c r="AX132" s="34" t="n">
        <f aca="false">IF((45-N(P_L3_Mes)+1)&gt;=1,IF((45-N(P_L3_Mes)+1)=1,N(P_L3_Monto),AW$134)*N(P_L3_Tasa)/12,0)*AX$9</f>
        <v>0</v>
      </c>
      <c r="AY132" s="34" t="n">
        <f aca="false">IF((46-N(P_L3_Mes)+1)&gt;=1,IF((46-N(P_L3_Mes)+1)=1,N(P_L3_Monto),AX$134)*N(P_L3_Tasa)/12,0)*AY$9</f>
        <v>0</v>
      </c>
      <c r="AZ132" s="34" t="n">
        <f aca="false">IF((47-N(P_L3_Mes)+1)&gt;=1,IF((47-N(P_L3_Mes)+1)=1,N(P_L3_Monto),AY$134)*N(P_L3_Tasa)/12,0)*AZ$9</f>
        <v>0</v>
      </c>
      <c r="BA132" s="34" t="n">
        <f aca="false">IF((48-N(P_L3_Mes)+1)&gt;=1,IF((48-N(P_L3_Mes)+1)=1,N(P_L3_Monto),AZ$134)*N(P_L3_Tasa)/12,0)*BA$9</f>
        <v>0</v>
      </c>
      <c r="BB132" s="34" t="n">
        <f aca="false">IF((49-N(P_L3_Mes)+1)&gt;=1,IF((49-N(P_L3_Mes)+1)=1,N(P_L3_Monto),BA$134)*N(P_L3_Tasa)/12,0)*BB$9</f>
        <v>0</v>
      </c>
      <c r="BC132" s="34" t="n">
        <f aca="false">IF((50-N(P_L3_Mes)+1)&gt;=1,IF((50-N(P_L3_Mes)+1)=1,N(P_L3_Monto),BB$134)*N(P_L3_Tasa)/12,0)*BC$9</f>
        <v>0</v>
      </c>
      <c r="BD132" s="34" t="n">
        <f aca="false">IF((51-N(P_L3_Mes)+1)&gt;=1,IF((51-N(P_L3_Mes)+1)=1,N(P_L3_Monto),BC$134)*N(P_L3_Tasa)/12,0)*BD$9</f>
        <v>0</v>
      </c>
      <c r="BE132" s="34" t="n">
        <f aca="false">IF((52-N(P_L3_Mes)+1)&gt;=1,IF((52-N(P_L3_Mes)+1)=1,N(P_L3_Monto),BD$134)*N(P_L3_Tasa)/12,0)*BE$9</f>
        <v>0</v>
      </c>
      <c r="BF132" s="34" t="n">
        <f aca="false">IF((53-N(P_L3_Mes)+1)&gt;=1,IF((53-N(P_L3_Mes)+1)=1,N(P_L3_Monto),BE$134)*N(P_L3_Tasa)/12,0)*BF$9</f>
        <v>0</v>
      </c>
      <c r="BG132" s="34" t="n">
        <f aca="false">IF((54-N(P_L3_Mes)+1)&gt;=1,IF((54-N(P_L3_Mes)+1)=1,N(P_L3_Monto),BF$134)*N(P_L3_Tasa)/12,0)*BG$9</f>
        <v>0</v>
      </c>
      <c r="BH132" s="34" t="n">
        <f aca="false">IF((55-N(P_L3_Mes)+1)&gt;=1,IF((55-N(P_L3_Mes)+1)=1,N(P_L3_Monto),BG$134)*N(P_L3_Tasa)/12,0)*BH$9</f>
        <v>0</v>
      </c>
      <c r="BI132" s="34" t="n">
        <f aca="false">IF((56-N(P_L3_Mes)+1)&gt;=1,IF((56-N(P_L3_Mes)+1)=1,N(P_L3_Monto),BH$134)*N(P_L3_Tasa)/12,0)*BI$9</f>
        <v>0</v>
      </c>
      <c r="BJ132" s="34" t="n">
        <f aca="false">IF((57-N(P_L3_Mes)+1)&gt;=1,IF((57-N(P_L3_Mes)+1)=1,N(P_L3_Monto),BI$134)*N(P_L3_Tasa)/12,0)*BJ$9</f>
        <v>0</v>
      </c>
      <c r="BK132" s="34" t="n">
        <f aca="false">IF((58-N(P_L3_Mes)+1)&gt;=1,IF((58-N(P_L3_Mes)+1)=1,N(P_L3_Monto),BJ$134)*N(P_L3_Tasa)/12,0)*BK$9</f>
        <v>0</v>
      </c>
      <c r="BL132" s="34" t="n">
        <f aca="false">IF((59-N(P_L3_Mes)+1)&gt;=1,IF((59-N(P_L3_Mes)+1)=1,N(P_L3_Monto),BK$134)*N(P_L3_Tasa)/12,0)*BL$9</f>
        <v>0</v>
      </c>
      <c r="BM132" s="34" t="n">
        <f aca="false">IF((60-N(P_L3_Mes)+1)&gt;=1,IF((60-N(P_L3_Mes)+1)=1,N(P_L3_Monto),BL$134)*N(P_L3_Tasa)/12,0)*BM$9</f>
        <v>0</v>
      </c>
      <c r="BN132" s="34" t="n">
        <f aca="false">IF((61-N(P_L3_Mes)+1)&gt;=1,IF((61-N(P_L3_Mes)+1)=1,N(P_L3_Monto),BM$134)*N(P_L3_Tasa)/12,0)*BN$9</f>
        <v>0</v>
      </c>
      <c r="BO132" s="34" t="n">
        <f aca="false">IF((62-N(P_L3_Mes)+1)&gt;=1,IF((62-N(P_L3_Mes)+1)=1,N(P_L3_Monto),BN$134)*N(P_L3_Tasa)/12,0)*BO$9</f>
        <v>0</v>
      </c>
      <c r="BP132" s="34" t="n">
        <f aca="false">IF((63-N(P_L3_Mes)+1)&gt;=1,IF((63-N(P_L3_Mes)+1)=1,N(P_L3_Monto),BO$134)*N(P_L3_Tasa)/12,0)*BP$9</f>
        <v>0</v>
      </c>
      <c r="BQ132" s="34" t="n">
        <f aca="false">IF((64-N(P_L3_Mes)+1)&gt;=1,IF((64-N(P_L3_Mes)+1)=1,N(P_L3_Monto),BP$134)*N(P_L3_Tasa)/12,0)*BQ$9</f>
        <v>0</v>
      </c>
      <c r="BR132" s="34" t="n">
        <f aca="false">IF((65-N(P_L3_Mes)+1)&gt;=1,IF((65-N(P_L3_Mes)+1)=1,N(P_L3_Monto),BQ$134)*N(P_L3_Tasa)/12,0)*BR$9</f>
        <v>0</v>
      </c>
      <c r="BS132" s="34" t="n">
        <f aca="false">IF((66-N(P_L3_Mes)+1)&gt;=1,IF((66-N(P_L3_Mes)+1)=1,N(P_L3_Monto),BR$134)*N(P_L3_Tasa)/12,0)*BS$9</f>
        <v>0</v>
      </c>
      <c r="BT132" s="34" t="n">
        <f aca="false">IF((67-N(P_L3_Mes)+1)&gt;=1,IF((67-N(P_L3_Mes)+1)=1,N(P_L3_Monto),BS$134)*N(P_L3_Tasa)/12,0)*BT$9</f>
        <v>0</v>
      </c>
      <c r="BU132" s="34" t="n">
        <f aca="false">IF((68-N(P_L3_Mes)+1)&gt;=1,IF((68-N(P_L3_Mes)+1)=1,N(P_L3_Monto),BT$134)*N(P_L3_Tasa)/12,0)*BU$9</f>
        <v>0</v>
      </c>
      <c r="BV132" s="34" t="n">
        <f aca="false">IF((69-N(P_L3_Mes)+1)&gt;=1,IF((69-N(P_L3_Mes)+1)=1,N(P_L3_Monto),BU$134)*N(P_L3_Tasa)/12,0)*BV$9</f>
        <v>0</v>
      </c>
      <c r="BW132" s="34" t="n">
        <f aca="false">IF((70-N(P_L3_Mes)+1)&gt;=1,IF((70-N(P_L3_Mes)+1)=1,N(P_L3_Monto),BV$134)*N(P_L3_Tasa)/12,0)*BW$9</f>
        <v>0</v>
      </c>
      <c r="BX132" s="34" t="n">
        <f aca="false">IF((71-N(P_L3_Mes)+1)&gt;=1,IF((71-N(P_L3_Mes)+1)=1,N(P_L3_Monto),BW$134)*N(P_L3_Tasa)/12,0)*BX$9</f>
        <v>0</v>
      </c>
      <c r="BY132" s="34" t="n">
        <f aca="false">IF((72-N(P_L3_Mes)+1)&gt;=1,IF((72-N(P_L3_Mes)+1)=1,N(P_L3_Monto),BX$134)*N(P_L3_Tasa)/12,0)*BY$9</f>
        <v>0</v>
      </c>
      <c r="BZ132" s="34" t="n">
        <f aca="false">IF((73-N(P_L3_Mes)+1)&gt;=1,IF((73-N(P_L3_Mes)+1)=1,N(P_L3_Monto),BY$134)*N(P_L3_Tasa)/12,0)*BZ$9</f>
        <v>0</v>
      </c>
      <c r="CA132" s="34" t="n">
        <f aca="false">IF((74-N(P_L3_Mes)+1)&gt;=1,IF((74-N(P_L3_Mes)+1)=1,N(P_L3_Monto),BZ$134)*N(P_L3_Tasa)/12,0)*CA$9</f>
        <v>0</v>
      </c>
      <c r="CB132" s="34" t="n">
        <f aca="false">IF((75-N(P_L3_Mes)+1)&gt;=1,IF((75-N(P_L3_Mes)+1)=1,N(P_L3_Monto),CA$134)*N(P_L3_Tasa)/12,0)*CB$9</f>
        <v>0</v>
      </c>
      <c r="CC132" s="34" t="n">
        <f aca="false">IF((76-N(P_L3_Mes)+1)&gt;=1,IF((76-N(P_L3_Mes)+1)=1,N(P_L3_Monto),CB$134)*N(P_L3_Tasa)/12,0)*CC$9</f>
        <v>0</v>
      </c>
      <c r="CD132" s="34" t="n">
        <f aca="false">IF((77-N(P_L3_Mes)+1)&gt;=1,IF((77-N(P_L3_Mes)+1)=1,N(P_L3_Monto),CC$134)*N(P_L3_Tasa)/12,0)*CD$9</f>
        <v>0</v>
      </c>
      <c r="CE132" s="34" t="n">
        <f aca="false">IF((78-N(P_L3_Mes)+1)&gt;=1,IF((78-N(P_L3_Mes)+1)=1,N(P_L3_Monto),CD$134)*N(P_L3_Tasa)/12,0)*CE$9</f>
        <v>0</v>
      </c>
      <c r="CF132" s="34" t="n">
        <f aca="false">IF((79-N(P_L3_Mes)+1)&gt;=1,IF((79-N(P_L3_Mes)+1)=1,N(P_L3_Monto),CE$134)*N(P_L3_Tasa)/12,0)*CF$9</f>
        <v>0</v>
      </c>
      <c r="CG132" s="34" t="n">
        <f aca="false">IF((80-N(P_L3_Mes)+1)&gt;=1,IF((80-N(P_L3_Mes)+1)=1,N(P_L3_Monto),CF$134)*N(P_L3_Tasa)/12,0)*CG$9</f>
        <v>0</v>
      </c>
      <c r="CH132" s="34" t="n">
        <f aca="false">IF((81-N(P_L3_Mes)+1)&gt;=1,IF((81-N(P_L3_Mes)+1)=1,N(P_L3_Monto),CG$134)*N(P_L3_Tasa)/12,0)*CH$9</f>
        <v>0</v>
      </c>
      <c r="CI132" s="34" t="n">
        <f aca="false">IF((82-N(P_L3_Mes)+1)&gt;=1,IF((82-N(P_L3_Mes)+1)=1,N(P_L3_Monto),CH$134)*N(P_L3_Tasa)/12,0)*CI$9</f>
        <v>0</v>
      </c>
      <c r="CJ132" s="34" t="n">
        <f aca="false">IF((83-N(P_L3_Mes)+1)&gt;=1,IF((83-N(P_L3_Mes)+1)=1,N(P_L3_Monto),CI$134)*N(P_L3_Tasa)/12,0)*CJ$9</f>
        <v>0</v>
      </c>
      <c r="CK132" s="34" t="n">
        <f aca="false">IF((84-N(P_L3_Mes)+1)&gt;=1,IF((84-N(P_L3_Mes)+1)=1,N(P_L3_Monto),CJ$134)*N(P_L3_Tasa)/12,0)*CK$9</f>
        <v>0</v>
      </c>
      <c r="CL132" s="34" t="n">
        <f aca="false">IF((85-N(P_L3_Mes)+1)&gt;=1,IF((85-N(P_L3_Mes)+1)=1,N(P_L3_Monto),CK$134)*N(P_L3_Tasa)/12,0)*CL$9</f>
        <v>0</v>
      </c>
      <c r="CM132" s="34" t="n">
        <f aca="false">IF((86-N(P_L3_Mes)+1)&gt;=1,IF((86-N(P_L3_Mes)+1)=1,N(P_L3_Monto),CL$134)*N(P_L3_Tasa)/12,0)*CM$9</f>
        <v>0</v>
      </c>
      <c r="CN132" s="34" t="n">
        <f aca="false">IF((87-N(P_L3_Mes)+1)&gt;=1,IF((87-N(P_L3_Mes)+1)=1,N(P_L3_Monto),CM$134)*N(P_L3_Tasa)/12,0)*CN$9</f>
        <v>0</v>
      </c>
      <c r="CO132" s="34" t="n">
        <f aca="false">IF((88-N(P_L3_Mes)+1)&gt;=1,IF((88-N(P_L3_Mes)+1)=1,N(P_L3_Monto),CN$134)*N(P_L3_Tasa)/12,0)*CO$9</f>
        <v>0</v>
      </c>
      <c r="CP132" s="34" t="n">
        <f aca="false">IF((89-N(P_L3_Mes)+1)&gt;=1,IF((89-N(P_L3_Mes)+1)=1,N(P_L3_Monto),CO$134)*N(P_L3_Tasa)/12,0)*CP$9</f>
        <v>0</v>
      </c>
      <c r="CQ132" s="34" t="n">
        <f aca="false">IF((90-N(P_L3_Mes)+1)&gt;=1,IF((90-N(P_L3_Mes)+1)=1,N(P_L3_Monto),CP$134)*N(P_L3_Tasa)/12,0)*CQ$9</f>
        <v>0</v>
      </c>
      <c r="CR132" s="34" t="n">
        <f aca="false">IF((91-N(P_L3_Mes)+1)&gt;=1,IF((91-N(P_L3_Mes)+1)=1,N(P_L3_Monto),CQ$134)*N(P_L3_Tasa)/12,0)*CR$9</f>
        <v>0</v>
      </c>
      <c r="CS132" s="34" t="n">
        <f aca="false">IF((92-N(P_L3_Mes)+1)&gt;=1,IF((92-N(P_L3_Mes)+1)=1,N(P_L3_Monto),CR$134)*N(P_L3_Tasa)/12,0)*CS$9</f>
        <v>0</v>
      </c>
      <c r="CT132" s="34" t="n">
        <f aca="false">IF((93-N(P_L3_Mes)+1)&gt;=1,IF((93-N(P_L3_Mes)+1)=1,N(P_L3_Monto),CS$134)*N(P_L3_Tasa)/12,0)*CT$9</f>
        <v>0</v>
      </c>
      <c r="CU132" s="34" t="n">
        <f aca="false">IF((94-N(P_L3_Mes)+1)&gt;=1,IF((94-N(P_L3_Mes)+1)=1,N(P_L3_Monto),CT$134)*N(P_L3_Tasa)/12,0)*CU$9</f>
        <v>0</v>
      </c>
      <c r="CV132" s="34" t="n">
        <f aca="false">IF((95-N(P_L3_Mes)+1)&gt;=1,IF((95-N(P_L3_Mes)+1)=1,N(P_L3_Monto),CU$134)*N(P_L3_Tasa)/12,0)*CV$9</f>
        <v>0</v>
      </c>
      <c r="CW132" s="34" t="n">
        <f aca="false">IF((96-N(P_L3_Mes)+1)&gt;=1,IF((96-N(P_L3_Mes)+1)=1,N(P_L3_Monto),CV$134)*N(P_L3_Tasa)/12,0)*CW$9</f>
        <v>0</v>
      </c>
      <c r="CX132" s="34" t="n">
        <f aca="false">IF((97-N(P_L3_Mes)+1)&gt;=1,IF((97-N(P_L3_Mes)+1)=1,N(P_L3_Monto),CW$134)*N(P_L3_Tasa)/12,0)*CX$9</f>
        <v>0</v>
      </c>
      <c r="CY132" s="34" t="n">
        <f aca="false">IF((98-N(P_L3_Mes)+1)&gt;=1,IF((98-N(P_L3_Mes)+1)=1,N(P_L3_Monto),CX$134)*N(P_L3_Tasa)/12,0)*CY$9</f>
        <v>0</v>
      </c>
      <c r="CZ132" s="34" t="n">
        <f aca="false">IF((99-N(P_L3_Mes)+1)&gt;=1,IF((99-N(P_L3_Mes)+1)=1,N(P_L3_Monto),CY$134)*N(P_L3_Tasa)/12,0)*CZ$9</f>
        <v>0</v>
      </c>
      <c r="DA132" s="34" t="n">
        <f aca="false">IF((100-N(P_L3_Mes)+1)&gt;=1,IF((100-N(P_L3_Mes)+1)=1,N(P_L3_Monto),CZ$134)*N(P_L3_Tasa)/12,0)*DA$9</f>
        <v>0</v>
      </c>
      <c r="DB132" s="34" t="n">
        <f aca="false">IF((101-N(P_L3_Mes)+1)&gt;=1,IF((101-N(P_L3_Mes)+1)=1,N(P_L3_Monto),DA$134)*N(P_L3_Tasa)/12,0)*DB$9</f>
        <v>0</v>
      </c>
      <c r="DC132" s="34" t="n">
        <f aca="false">IF((102-N(P_L3_Mes)+1)&gt;=1,IF((102-N(P_L3_Mes)+1)=1,N(P_L3_Monto),DB$134)*N(P_L3_Tasa)/12,0)*DC$9</f>
        <v>0</v>
      </c>
      <c r="DD132" s="34" t="n">
        <f aca="false">IF((103-N(P_L3_Mes)+1)&gt;=1,IF((103-N(P_L3_Mes)+1)=1,N(P_L3_Monto),DC$134)*N(P_L3_Tasa)/12,0)*DD$9</f>
        <v>0</v>
      </c>
      <c r="DE132" s="34" t="n">
        <f aca="false">IF((104-N(P_L3_Mes)+1)&gt;=1,IF((104-N(P_L3_Mes)+1)=1,N(P_L3_Monto),DD$134)*N(P_L3_Tasa)/12,0)*DE$9</f>
        <v>0</v>
      </c>
      <c r="DF132" s="34" t="n">
        <f aca="false">IF((105-N(P_L3_Mes)+1)&gt;=1,IF((105-N(P_L3_Mes)+1)=1,N(P_L3_Monto),DE$134)*N(P_L3_Tasa)/12,0)*DF$9</f>
        <v>0</v>
      </c>
      <c r="DG132" s="34" t="n">
        <f aca="false">IF((106-N(P_L3_Mes)+1)&gt;=1,IF((106-N(P_L3_Mes)+1)=1,N(P_L3_Monto),DF$134)*N(P_L3_Tasa)/12,0)*DG$9</f>
        <v>0</v>
      </c>
      <c r="DH132" s="34" t="n">
        <f aca="false">IF((107-N(P_L3_Mes)+1)&gt;=1,IF((107-N(P_L3_Mes)+1)=1,N(P_L3_Monto),DG$134)*N(P_L3_Tasa)/12,0)*DH$9</f>
        <v>0</v>
      </c>
      <c r="DI132" s="34" t="n">
        <f aca="false">IF((108-N(P_L3_Mes)+1)&gt;=1,IF((108-N(P_L3_Mes)+1)=1,N(P_L3_Monto),DH$134)*N(P_L3_Tasa)/12,0)*DI$9</f>
        <v>0</v>
      </c>
      <c r="DJ132" s="34" t="n">
        <f aca="false">IF((109-N(P_L3_Mes)+1)&gt;=1,IF((109-N(P_L3_Mes)+1)=1,N(P_L3_Monto),DI$134)*N(P_L3_Tasa)/12,0)*DJ$9</f>
        <v>0</v>
      </c>
      <c r="DK132" s="34" t="n">
        <f aca="false">IF((110-N(P_L3_Mes)+1)&gt;=1,IF((110-N(P_L3_Mes)+1)=1,N(P_L3_Monto),DJ$134)*N(P_L3_Tasa)/12,0)*DK$9</f>
        <v>0</v>
      </c>
      <c r="DL132" s="34" t="n">
        <f aca="false">IF((111-N(P_L3_Mes)+1)&gt;=1,IF((111-N(P_L3_Mes)+1)=1,N(P_L3_Monto),DK$134)*N(P_L3_Tasa)/12,0)*DL$9</f>
        <v>0</v>
      </c>
      <c r="DM132" s="34" t="n">
        <f aca="false">IF((112-N(P_L3_Mes)+1)&gt;=1,IF((112-N(P_L3_Mes)+1)=1,N(P_L3_Monto),DL$134)*N(P_L3_Tasa)/12,0)*DM$9</f>
        <v>0</v>
      </c>
      <c r="DN132" s="34" t="n">
        <f aca="false">IF((113-N(P_L3_Mes)+1)&gt;=1,IF((113-N(P_L3_Mes)+1)=1,N(P_L3_Monto),DM$134)*N(P_L3_Tasa)/12,0)*DN$9</f>
        <v>0</v>
      </c>
      <c r="DO132" s="34" t="n">
        <f aca="false">IF((114-N(P_L3_Mes)+1)&gt;=1,IF((114-N(P_L3_Mes)+1)=1,N(P_L3_Monto),DN$134)*N(P_L3_Tasa)/12,0)*DO$9</f>
        <v>0</v>
      </c>
      <c r="DP132" s="34" t="n">
        <f aca="false">IF((115-N(P_L3_Mes)+1)&gt;=1,IF((115-N(P_L3_Mes)+1)=1,N(P_L3_Monto),DO$134)*N(P_L3_Tasa)/12,0)*DP$9</f>
        <v>0</v>
      </c>
      <c r="DQ132" s="34" t="n">
        <f aca="false">IF((116-N(P_L3_Mes)+1)&gt;=1,IF((116-N(P_L3_Mes)+1)=1,N(P_L3_Monto),DP$134)*N(P_L3_Tasa)/12,0)*DQ$9</f>
        <v>0</v>
      </c>
      <c r="DR132" s="34" t="n">
        <f aca="false">IF((117-N(P_L3_Mes)+1)&gt;=1,IF((117-N(P_L3_Mes)+1)=1,N(P_L3_Monto),DQ$134)*N(P_L3_Tasa)/12,0)*DR$9</f>
        <v>0</v>
      </c>
      <c r="DS132" s="34" t="n">
        <f aca="false">IF((118-N(P_L3_Mes)+1)&gt;=1,IF((118-N(P_L3_Mes)+1)=1,N(P_L3_Monto),DR$134)*N(P_L3_Tasa)/12,0)*DS$9</f>
        <v>0</v>
      </c>
      <c r="DT132" s="34" t="n">
        <f aca="false">IF((119-N(P_L3_Mes)+1)&gt;=1,IF((119-N(P_L3_Mes)+1)=1,N(P_L3_Monto),DS$134)*N(P_L3_Tasa)/12,0)*DT$9</f>
        <v>0</v>
      </c>
      <c r="DU132" s="34" t="n">
        <f aca="false">IF((120-N(P_L3_Mes)+1)&gt;=1,IF((120-N(P_L3_Mes)+1)=1,N(P_L3_Monto),DT$134)*N(P_L3_Tasa)/12,0)*DU$9</f>
        <v>0</v>
      </c>
      <c r="DV132" s="34" t="n">
        <f aca="false">IF((121-N(P_L3_Mes)+1)&gt;=1,IF((121-N(P_L3_Mes)+1)=1,N(P_L3_Monto),DU$134)*N(P_L3_Tasa)/12,0)*DV$9</f>
        <v>0</v>
      </c>
      <c r="DW132" s="34" t="n">
        <f aca="false">IF((122-N(P_L3_Mes)+1)&gt;=1,IF((122-N(P_L3_Mes)+1)=1,N(P_L3_Monto),DV$134)*N(P_L3_Tasa)/12,0)*DW$9</f>
        <v>0</v>
      </c>
      <c r="DX132" s="34" t="n">
        <f aca="false">IF((123-N(P_L3_Mes)+1)&gt;=1,IF((123-N(P_L3_Mes)+1)=1,N(P_L3_Monto),DW$134)*N(P_L3_Tasa)/12,0)*DX$9</f>
        <v>0</v>
      </c>
      <c r="DY132" s="34" t="n">
        <f aca="false">IF((124-N(P_L3_Mes)+1)&gt;=1,IF((124-N(P_L3_Mes)+1)=1,N(P_L3_Monto),DX$134)*N(P_L3_Tasa)/12,0)*DY$9</f>
        <v>0</v>
      </c>
      <c r="DZ132" s="34" t="n">
        <f aca="false">IF((125-N(P_L3_Mes)+1)&gt;=1,IF((125-N(P_L3_Mes)+1)=1,N(P_L3_Monto),DY$134)*N(P_L3_Tasa)/12,0)*DZ$9</f>
        <v>0</v>
      </c>
      <c r="EA132" s="34" t="n">
        <f aca="false">IF((126-N(P_L3_Mes)+1)&gt;=1,IF((126-N(P_L3_Mes)+1)=1,N(P_L3_Monto),DZ$134)*N(P_L3_Tasa)/12,0)*EA$9</f>
        <v>0</v>
      </c>
      <c r="EB132" s="34" t="n">
        <f aca="false">IF((127-N(P_L3_Mes)+1)&gt;=1,IF((127-N(P_L3_Mes)+1)=1,N(P_L3_Monto),EA$134)*N(P_L3_Tasa)/12,0)*EB$9</f>
        <v>0</v>
      </c>
      <c r="EC132" s="34" t="n">
        <f aca="false">IF((128-N(P_L3_Mes)+1)&gt;=1,IF((128-N(P_L3_Mes)+1)=1,N(P_L3_Monto),EB$134)*N(P_L3_Tasa)/12,0)*EC$9</f>
        <v>0</v>
      </c>
      <c r="ED132" s="34" t="n">
        <f aca="false">IF((129-N(P_L3_Mes)+1)&gt;=1,IF((129-N(P_L3_Mes)+1)=1,N(P_L3_Monto),EC$134)*N(P_L3_Tasa)/12,0)*ED$9</f>
        <v>0</v>
      </c>
      <c r="EE132" s="34" t="n">
        <f aca="false">IF((130-N(P_L3_Mes)+1)&gt;=1,IF((130-N(P_L3_Mes)+1)=1,N(P_L3_Monto),ED$134)*N(P_L3_Tasa)/12,0)*EE$9</f>
        <v>0</v>
      </c>
      <c r="EF132" s="34" t="n">
        <f aca="false">IF((131-N(P_L3_Mes)+1)&gt;=1,IF((131-N(P_L3_Mes)+1)=1,N(P_L3_Monto),EE$134)*N(P_L3_Tasa)/12,0)*EF$9</f>
        <v>0</v>
      </c>
      <c r="EG132" s="34" t="n">
        <f aca="false">IF((132-N(P_L3_Mes)+1)&gt;=1,IF((132-N(P_L3_Mes)+1)=1,N(P_L3_Monto),EF$134)*N(P_L3_Tasa)/12,0)*EG$9</f>
        <v>0</v>
      </c>
      <c r="EH132" s="34" t="n">
        <f aca="false">IF((133-N(P_L3_Mes)+1)&gt;=1,IF((133-N(P_L3_Mes)+1)=1,N(P_L3_Monto),EG$134)*N(P_L3_Tasa)/12,0)*EH$9</f>
        <v>0</v>
      </c>
      <c r="EI132" s="34" t="n">
        <f aca="false">IF((134-N(P_L3_Mes)+1)&gt;=1,IF((134-N(P_L3_Mes)+1)=1,N(P_L3_Monto),EH$134)*N(P_L3_Tasa)/12,0)*EI$9</f>
        <v>0</v>
      </c>
      <c r="EJ132" s="34" t="n">
        <f aca="false">IF((135-N(P_L3_Mes)+1)&gt;=1,IF((135-N(P_L3_Mes)+1)=1,N(P_L3_Monto),EI$134)*N(P_L3_Tasa)/12,0)*EJ$9</f>
        <v>0</v>
      </c>
      <c r="EK132" s="34" t="n">
        <f aca="false">IF((136-N(P_L3_Mes)+1)&gt;=1,IF((136-N(P_L3_Mes)+1)=1,N(P_L3_Monto),EJ$134)*N(P_L3_Tasa)/12,0)*EK$9</f>
        <v>0</v>
      </c>
      <c r="EL132" s="34" t="n">
        <f aca="false">IF((137-N(P_L3_Mes)+1)&gt;=1,IF((137-N(P_L3_Mes)+1)=1,N(P_L3_Monto),EK$134)*N(P_L3_Tasa)/12,0)*EL$9</f>
        <v>0</v>
      </c>
      <c r="EM132" s="34" t="n">
        <f aca="false">IF((138-N(P_L3_Mes)+1)&gt;=1,IF((138-N(P_L3_Mes)+1)=1,N(P_L3_Monto),EL$134)*N(P_L3_Tasa)/12,0)*EM$9</f>
        <v>0</v>
      </c>
      <c r="EN132" s="34" t="n">
        <f aca="false">IF((139-N(P_L3_Mes)+1)&gt;=1,IF((139-N(P_L3_Mes)+1)=1,N(P_L3_Monto),EM$134)*N(P_L3_Tasa)/12,0)*EN$9</f>
        <v>0</v>
      </c>
      <c r="EO132" s="34" t="n">
        <f aca="false">IF((140-N(P_L3_Mes)+1)&gt;=1,IF((140-N(P_L3_Mes)+1)=1,N(P_L3_Monto),EN$134)*N(P_L3_Tasa)/12,0)*EO$9</f>
        <v>0</v>
      </c>
      <c r="EP132" s="34" t="n">
        <f aca="false">IF((141-N(P_L3_Mes)+1)&gt;=1,IF((141-N(P_L3_Mes)+1)=1,N(P_L3_Monto),EO$134)*N(P_L3_Tasa)/12,0)*EP$9</f>
        <v>0</v>
      </c>
      <c r="EQ132" s="34" t="n">
        <f aca="false">IF((142-N(P_L3_Mes)+1)&gt;=1,IF((142-N(P_L3_Mes)+1)=1,N(P_L3_Monto),EP$134)*N(P_L3_Tasa)/12,0)*EQ$9</f>
        <v>0</v>
      </c>
      <c r="ER132" s="34" t="n">
        <f aca="false">IF((143-N(P_L3_Mes)+1)&gt;=1,IF((143-N(P_L3_Mes)+1)=1,N(P_L3_Monto),EQ$134)*N(P_L3_Tasa)/12,0)*ER$9</f>
        <v>0</v>
      </c>
      <c r="ES132" s="34" t="n">
        <f aca="false">IF((144-N(P_L3_Mes)+1)&gt;=1,IF((144-N(P_L3_Mes)+1)=1,N(P_L3_Monto),ER$134)*N(P_L3_Tasa)/12,0)*ES$9</f>
        <v>0</v>
      </c>
    </row>
    <row r="133" customFormat="false" ht="15" hidden="false" customHeight="false" outlineLevel="0" collapsed="false">
      <c r="A133" s="2" t="s">
        <v>749</v>
      </c>
      <c r="B133" s="6" t="s">
        <v>750</v>
      </c>
      <c r="C133" s="6" t="s">
        <v>250</v>
      </c>
      <c r="E133" s="40" t="n">
        <f aca="false">SUM(F133:ES133)</f>
        <v>0</v>
      </c>
      <c r="F133" s="34" t="n">
        <f aca="false">IF(AND((1-N(P_L3_Mes)+1)&gt;N(P_L3_Gracia),(1-N(P_L3_Mes)+1)&lt;=N(P_L3_Gracia)+N(P_L3_Cuotas),N(P_L3_Cuotas)&gt;0),IF((1-N(P_L3_Mes)+1)=N(P_L3_Gracia)+N(P_L3_Cuotas),IF((1-N(P_L3_Mes)+1)=1,N(P_L3_Monto),0),PMT(N(P_L3_Tasa)/12,N(P_L3_Cuotas),-N(P_L3_Monto))-F$132),0)*F$9</f>
        <v>0</v>
      </c>
      <c r="G133" s="34" t="n">
        <f aca="false">IF(AND((2-N(P_L3_Mes)+1)&gt;N(P_L3_Gracia),(2-N(P_L3_Mes)+1)&lt;=N(P_L3_Gracia)+N(P_L3_Cuotas),N(P_L3_Cuotas)&gt;0),IF((2-N(P_L3_Mes)+1)=N(P_L3_Gracia)+N(P_L3_Cuotas),IF((2-N(P_L3_Mes)+1)=1,N(P_L3_Monto),F$134),PMT(N(P_L3_Tasa)/12,N(P_L3_Cuotas),-N(P_L3_Monto))-G$132),0)*G$9</f>
        <v>0</v>
      </c>
      <c r="H133" s="34" t="n">
        <f aca="false">IF(AND((3-N(P_L3_Mes)+1)&gt;N(P_L3_Gracia),(3-N(P_L3_Mes)+1)&lt;=N(P_L3_Gracia)+N(P_L3_Cuotas),N(P_L3_Cuotas)&gt;0),IF((3-N(P_L3_Mes)+1)=N(P_L3_Gracia)+N(P_L3_Cuotas),IF((3-N(P_L3_Mes)+1)=1,N(P_L3_Monto),G$134),PMT(N(P_L3_Tasa)/12,N(P_L3_Cuotas),-N(P_L3_Monto))-H$132),0)*H$9</f>
        <v>0</v>
      </c>
      <c r="I133" s="34" t="n">
        <f aca="false">IF(AND((4-N(P_L3_Mes)+1)&gt;N(P_L3_Gracia),(4-N(P_L3_Mes)+1)&lt;=N(P_L3_Gracia)+N(P_L3_Cuotas),N(P_L3_Cuotas)&gt;0),IF((4-N(P_L3_Mes)+1)=N(P_L3_Gracia)+N(P_L3_Cuotas),IF((4-N(P_L3_Mes)+1)=1,N(P_L3_Monto),H$134),PMT(N(P_L3_Tasa)/12,N(P_L3_Cuotas),-N(P_L3_Monto))-I$132),0)*I$9</f>
        <v>0</v>
      </c>
      <c r="J133" s="34" t="n">
        <f aca="false">IF(AND((5-N(P_L3_Mes)+1)&gt;N(P_L3_Gracia),(5-N(P_L3_Mes)+1)&lt;=N(P_L3_Gracia)+N(P_L3_Cuotas),N(P_L3_Cuotas)&gt;0),IF((5-N(P_L3_Mes)+1)=N(P_L3_Gracia)+N(P_L3_Cuotas),IF((5-N(P_L3_Mes)+1)=1,N(P_L3_Monto),I$134),PMT(N(P_L3_Tasa)/12,N(P_L3_Cuotas),-N(P_L3_Monto))-J$132),0)*J$9</f>
        <v>0</v>
      </c>
      <c r="K133" s="34" t="n">
        <f aca="false">IF(AND((6-N(P_L3_Mes)+1)&gt;N(P_L3_Gracia),(6-N(P_L3_Mes)+1)&lt;=N(P_L3_Gracia)+N(P_L3_Cuotas),N(P_L3_Cuotas)&gt;0),IF((6-N(P_L3_Mes)+1)=N(P_L3_Gracia)+N(P_L3_Cuotas),IF((6-N(P_L3_Mes)+1)=1,N(P_L3_Monto),J$134),PMT(N(P_L3_Tasa)/12,N(P_L3_Cuotas),-N(P_L3_Monto))-K$132),0)*K$9</f>
        <v>0</v>
      </c>
      <c r="L133" s="34" t="n">
        <f aca="false">IF(AND((7-N(P_L3_Mes)+1)&gt;N(P_L3_Gracia),(7-N(P_L3_Mes)+1)&lt;=N(P_L3_Gracia)+N(P_L3_Cuotas),N(P_L3_Cuotas)&gt;0),IF((7-N(P_L3_Mes)+1)=N(P_L3_Gracia)+N(P_L3_Cuotas),IF((7-N(P_L3_Mes)+1)=1,N(P_L3_Monto),K$134),PMT(N(P_L3_Tasa)/12,N(P_L3_Cuotas),-N(P_L3_Monto))-L$132),0)*L$9</f>
        <v>0</v>
      </c>
      <c r="M133" s="34" t="n">
        <f aca="false">IF(AND((8-N(P_L3_Mes)+1)&gt;N(P_L3_Gracia),(8-N(P_L3_Mes)+1)&lt;=N(P_L3_Gracia)+N(P_L3_Cuotas),N(P_L3_Cuotas)&gt;0),IF((8-N(P_L3_Mes)+1)=N(P_L3_Gracia)+N(P_L3_Cuotas),IF((8-N(P_L3_Mes)+1)=1,N(P_L3_Monto),L$134),PMT(N(P_L3_Tasa)/12,N(P_L3_Cuotas),-N(P_L3_Monto))-M$132),0)*M$9</f>
        <v>0</v>
      </c>
      <c r="N133" s="34" t="n">
        <f aca="false">IF(AND((9-N(P_L3_Mes)+1)&gt;N(P_L3_Gracia),(9-N(P_L3_Mes)+1)&lt;=N(P_L3_Gracia)+N(P_L3_Cuotas),N(P_L3_Cuotas)&gt;0),IF((9-N(P_L3_Mes)+1)=N(P_L3_Gracia)+N(P_L3_Cuotas),IF((9-N(P_L3_Mes)+1)=1,N(P_L3_Monto),M$134),PMT(N(P_L3_Tasa)/12,N(P_L3_Cuotas),-N(P_L3_Monto))-N$132),0)*N$9</f>
        <v>0</v>
      </c>
      <c r="O133" s="34" t="n">
        <f aca="false">IF(AND((10-N(P_L3_Mes)+1)&gt;N(P_L3_Gracia),(10-N(P_L3_Mes)+1)&lt;=N(P_L3_Gracia)+N(P_L3_Cuotas),N(P_L3_Cuotas)&gt;0),IF((10-N(P_L3_Mes)+1)=N(P_L3_Gracia)+N(P_L3_Cuotas),IF((10-N(P_L3_Mes)+1)=1,N(P_L3_Monto),N$134),PMT(N(P_L3_Tasa)/12,N(P_L3_Cuotas),-N(P_L3_Monto))-O$132),0)*O$9</f>
        <v>0</v>
      </c>
      <c r="P133" s="34" t="n">
        <f aca="false">IF(AND((11-N(P_L3_Mes)+1)&gt;N(P_L3_Gracia),(11-N(P_L3_Mes)+1)&lt;=N(P_L3_Gracia)+N(P_L3_Cuotas),N(P_L3_Cuotas)&gt;0),IF((11-N(P_L3_Mes)+1)=N(P_L3_Gracia)+N(P_L3_Cuotas),IF((11-N(P_L3_Mes)+1)=1,N(P_L3_Monto),O$134),PMT(N(P_L3_Tasa)/12,N(P_L3_Cuotas),-N(P_L3_Monto))-P$132),0)*P$9</f>
        <v>0</v>
      </c>
      <c r="Q133" s="34" t="n">
        <f aca="false">IF(AND((12-N(P_L3_Mes)+1)&gt;N(P_L3_Gracia),(12-N(P_L3_Mes)+1)&lt;=N(P_L3_Gracia)+N(P_L3_Cuotas),N(P_L3_Cuotas)&gt;0),IF((12-N(P_L3_Mes)+1)=N(P_L3_Gracia)+N(P_L3_Cuotas),IF((12-N(P_L3_Mes)+1)=1,N(P_L3_Monto),P$134),PMT(N(P_L3_Tasa)/12,N(P_L3_Cuotas),-N(P_L3_Monto))-Q$132),0)*Q$9</f>
        <v>0</v>
      </c>
      <c r="R133" s="34" t="n">
        <f aca="false">IF(AND((13-N(P_L3_Mes)+1)&gt;N(P_L3_Gracia),(13-N(P_L3_Mes)+1)&lt;=N(P_L3_Gracia)+N(P_L3_Cuotas),N(P_L3_Cuotas)&gt;0),IF((13-N(P_L3_Mes)+1)=N(P_L3_Gracia)+N(P_L3_Cuotas),IF((13-N(P_L3_Mes)+1)=1,N(P_L3_Monto),Q$134),PMT(N(P_L3_Tasa)/12,N(P_L3_Cuotas),-N(P_L3_Monto))-R$132),0)*R$9</f>
        <v>0</v>
      </c>
      <c r="S133" s="34" t="n">
        <f aca="false">IF(AND((14-N(P_L3_Mes)+1)&gt;N(P_L3_Gracia),(14-N(P_L3_Mes)+1)&lt;=N(P_L3_Gracia)+N(P_L3_Cuotas),N(P_L3_Cuotas)&gt;0),IF((14-N(P_L3_Mes)+1)=N(P_L3_Gracia)+N(P_L3_Cuotas),IF((14-N(P_L3_Mes)+1)=1,N(P_L3_Monto),R$134),PMT(N(P_L3_Tasa)/12,N(P_L3_Cuotas),-N(P_L3_Monto))-S$132),0)*S$9</f>
        <v>0</v>
      </c>
      <c r="T133" s="34" t="n">
        <f aca="false">IF(AND((15-N(P_L3_Mes)+1)&gt;N(P_L3_Gracia),(15-N(P_L3_Mes)+1)&lt;=N(P_L3_Gracia)+N(P_L3_Cuotas),N(P_L3_Cuotas)&gt;0),IF((15-N(P_L3_Mes)+1)=N(P_L3_Gracia)+N(P_L3_Cuotas),IF((15-N(P_L3_Mes)+1)=1,N(P_L3_Monto),S$134),PMT(N(P_L3_Tasa)/12,N(P_L3_Cuotas),-N(P_L3_Monto))-T$132),0)*T$9</f>
        <v>0</v>
      </c>
      <c r="U133" s="34" t="n">
        <f aca="false">IF(AND((16-N(P_L3_Mes)+1)&gt;N(P_L3_Gracia),(16-N(P_L3_Mes)+1)&lt;=N(P_L3_Gracia)+N(P_L3_Cuotas),N(P_L3_Cuotas)&gt;0),IF((16-N(P_L3_Mes)+1)=N(P_L3_Gracia)+N(P_L3_Cuotas),IF((16-N(P_L3_Mes)+1)=1,N(P_L3_Monto),T$134),PMT(N(P_L3_Tasa)/12,N(P_L3_Cuotas),-N(P_L3_Monto))-U$132),0)*U$9</f>
        <v>0</v>
      </c>
      <c r="V133" s="34" t="n">
        <f aca="false">IF(AND((17-N(P_L3_Mes)+1)&gt;N(P_L3_Gracia),(17-N(P_L3_Mes)+1)&lt;=N(P_L3_Gracia)+N(P_L3_Cuotas),N(P_L3_Cuotas)&gt;0),IF((17-N(P_L3_Mes)+1)=N(P_L3_Gracia)+N(P_L3_Cuotas),IF((17-N(P_L3_Mes)+1)=1,N(P_L3_Monto),U$134),PMT(N(P_L3_Tasa)/12,N(P_L3_Cuotas),-N(P_L3_Monto))-V$132),0)*V$9</f>
        <v>0</v>
      </c>
      <c r="W133" s="34" t="n">
        <f aca="false">IF(AND((18-N(P_L3_Mes)+1)&gt;N(P_L3_Gracia),(18-N(P_L3_Mes)+1)&lt;=N(P_L3_Gracia)+N(P_L3_Cuotas),N(P_L3_Cuotas)&gt;0),IF((18-N(P_L3_Mes)+1)=N(P_L3_Gracia)+N(P_L3_Cuotas),IF((18-N(P_L3_Mes)+1)=1,N(P_L3_Monto),V$134),PMT(N(P_L3_Tasa)/12,N(P_L3_Cuotas),-N(P_L3_Monto))-W$132),0)*W$9</f>
        <v>0</v>
      </c>
      <c r="X133" s="34" t="n">
        <f aca="false">IF(AND((19-N(P_L3_Mes)+1)&gt;N(P_L3_Gracia),(19-N(P_L3_Mes)+1)&lt;=N(P_L3_Gracia)+N(P_L3_Cuotas),N(P_L3_Cuotas)&gt;0),IF((19-N(P_L3_Mes)+1)=N(P_L3_Gracia)+N(P_L3_Cuotas),IF((19-N(P_L3_Mes)+1)=1,N(P_L3_Monto),W$134),PMT(N(P_L3_Tasa)/12,N(P_L3_Cuotas),-N(P_L3_Monto))-X$132),0)*X$9</f>
        <v>0</v>
      </c>
      <c r="Y133" s="34" t="n">
        <f aca="false">IF(AND((20-N(P_L3_Mes)+1)&gt;N(P_L3_Gracia),(20-N(P_L3_Mes)+1)&lt;=N(P_L3_Gracia)+N(P_L3_Cuotas),N(P_L3_Cuotas)&gt;0),IF((20-N(P_L3_Mes)+1)=N(P_L3_Gracia)+N(P_L3_Cuotas),IF((20-N(P_L3_Mes)+1)=1,N(P_L3_Monto),X$134),PMT(N(P_L3_Tasa)/12,N(P_L3_Cuotas),-N(P_L3_Monto))-Y$132),0)*Y$9</f>
        <v>0</v>
      </c>
      <c r="Z133" s="34" t="n">
        <f aca="false">IF(AND((21-N(P_L3_Mes)+1)&gt;N(P_L3_Gracia),(21-N(P_L3_Mes)+1)&lt;=N(P_L3_Gracia)+N(P_L3_Cuotas),N(P_L3_Cuotas)&gt;0),IF((21-N(P_L3_Mes)+1)=N(P_L3_Gracia)+N(P_L3_Cuotas),IF((21-N(P_L3_Mes)+1)=1,N(P_L3_Monto),Y$134),PMT(N(P_L3_Tasa)/12,N(P_L3_Cuotas),-N(P_L3_Monto))-Z$132),0)*Z$9</f>
        <v>0</v>
      </c>
      <c r="AA133" s="34" t="n">
        <f aca="false">IF(AND((22-N(P_L3_Mes)+1)&gt;N(P_L3_Gracia),(22-N(P_L3_Mes)+1)&lt;=N(P_L3_Gracia)+N(P_L3_Cuotas),N(P_L3_Cuotas)&gt;0),IF((22-N(P_L3_Mes)+1)=N(P_L3_Gracia)+N(P_L3_Cuotas),IF((22-N(P_L3_Mes)+1)=1,N(P_L3_Monto),Z$134),PMT(N(P_L3_Tasa)/12,N(P_L3_Cuotas),-N(P_L3_Monto))-AA$132),0)*AA$9</f>
        <v>0</v>
      </c>
      <c r="AB133" s="34" t="n">
        <f aca="false">IF(AND((23-N(P_L3_Mes)+1)&gt;N(P_L3_Gracia),(23-N(P_L3_Mes)+1)&lt;=N(P_L3_Gracia)+N(P_L3_Cuotas),N(P_L3_Cuotas)&gt;0),IF((23-N(P_L3_Mes)+1)=N(P_L3_Gracia)+N(P_L3_Cuotas),IF((23-N(P_L3_Mes)+1)=1,N(P_L3_Monto),AA$134),PMT(N(P_L3_Tasa)/12,N(P_L3_Cuotas),-N(P_L3_Monto))-AB$132),0)*AB$9</f>
        <v>0</v>
      </c>
      <c r="AC133" s="34" t="n">
        <f aca="false">IF(AND((24-N(P_L3_Mes)+1)&gt;N(P_L3_Gracia),(24-N(P_L3_Mes)+1)&lt;=N(P_L3_Gracia)+N(P_L3_Cuotas),N(P_L3_Cuotas)&gt;0),IF((24-N(P_L3_Mes)+1)=N(P_L3_Gracia)+N(P_L3_Cuotas),IF((24-N(P_L3_Mes)+1)=1,N(P_L3_Monto),AB$134),PMT(N(P_L3_Tasa)/12,N(P_L3_Cuotas),-N(P_L3_Monto))-AC$132),0)*AC$9</f>
        <v>0</v>
      </c>
      <c r="AD133" s="34" t="n">
        <f aca="false">IF(AND((25-N(P_L3_Mes)+1)&gt;N(P_L3_Gracia),(25-N(P_L3_Mes)+1)&lt;=N(P_L3_Gracia)+N(P_L3_Cuotas),N(P_L3_Cuotas)&gt;0),IF((25-N(P_L3_Mes)+1)=N(P_L3_Gracia)+N(P_L3_Cuotas),IF((25-N(P_L3_Mes)+1)=1,N(P_L3_Monto),AC$134),PMT(N(P_L3_Tasa)/12,N(P_L3_Cuotas),-N(P_L3_Monto))-AD$132),0)*AD$9</f>
        <v>0</v>
      </c>
      <c r="AE133" s="34" t="n">
        <f aca="false">IF(AND((26-N(P_L3_Mes)+1)&gt;N(P_L3_Gracia),(26-N(P_L3_Mes)+1)&lt;=N(P_L3_Gracia)+N(P_L3_Cuotas),N(P_L3_Cuotas)&gt;0),IF((26-N(P_L3_Mes)+1)=N(P_L3_Gracia)+N(P_L3_Cuotas),IF((26-N(P_L3_Mes)+1)=1,N(P_L3_Monto),AD$134),PMT(N(P_L3_Tasa)/12,N(P_L3_Cuotas),-N(P_L3_Monto))-AE$132),0)*AE$9</f>
        <v>0</v>
      </c>
      <c r="AF133" s="34" t="n">
        <f aca="false">IF(AND((27-N(P_L3_Mes)+1)&gt;N(P_L3_Gracia),(27-N(P_L3_Mes)+1)&lt;=N(P_L3_Gracia)+N(P_L3_Cuotas),N(P_L3_Cuotas)&gt;0),IF((27-N(P_L3_Mes)+1)=N(P_L3_Gracia)+N(P_L3_Cuotas),IF((27-N(P_L3_Mes)+1)=1,N(P_L3_Monto),AE$134),PMT(N(P_L3_Tasa)/12,N(P_L3_Cuotas),-N(P_L3_Monto))-AF$132),0)*AF$9</f>
        <v>0</v>
      </c>
      <c r="AG133" s="34" t="n">
        <f aca="false">IF(AND((28-N(P_L3_Mes)+1)&gt;N(P_L3_Gracia),(28-N(P_L3_Mes)+1)&lt;=N(P_L3_Gracia)+N(P_L3_Cuotas),N(P_L3_Cuotas)&gt;0),IF((28-N(P_L3_Mes)+1)=N(P_L3_Gracia)+N(P_L3_Cuotas),IF((28-N(P_L3_Mes)+1)=1,N(P_L3_Monto),AF$134),PMT(N(P_L3_Tasa)/12,N(P_L3_Cuotas),-N(P_L3_Monto))-AG$132),0)*AG$9</f>
        <v>0</v>
      </c>
      <c r="AH133" s="34" t="n">
        <f aca="false">IF(AND((29-N(P_L3_Mes)+1)&gt;N(P_L3_Gracia),(29-N(P_L3_Mes)+1)&lt;=N(P_L3_Gracia)+N(P_L3_Cuotas),N(P_L3_Cuotas)&gt;0),IF((29-N(P_L3_Mes)+1)=N(P_L3_Gracia)+N(P_L3_Cuotas),IF((29-N(P_L3_Mes)+1)=1,N(P_L3_Monto),AG$134),PMT(N(P_L3_Tasa)/12,N(P_L3_Cuotas),-N(P_L3_Monto))-AH$132),0)*AH$9</f>
        <v>0</v>
      </c>
      <c r="AI133" s="34" t="n">
        <f aca="false">IF(AND((30-N(P_L3_Mes)+1)&gt;N(P_L3_Gracia),(30-N(P_L3_Mes)+1)&lt;=N(P_L3_Gracia)+N(P_L3_Cuotas),N(P_L3_Cuotas)&gt;0),IF((30-N(P_L3_Mes)+1)=N(P_L3_Gracia)+N(P_L3_Cuotas),IF((30-N(P_L3_Mes)+1)=1,N(P_L3_Monto),AH$134),PMT(N(P_L3_Tasa)/12,N(P_L3_Cuotas),-N(P_L3_Monto))-AI$132),0)*AI$9</f>
        <v>0</v>
      </c>
      <c r="AJ133" s="34" t="n">
        <f aca="false">IF(AND((31-N(P_L3_Mes)+1)&gt;N(P_L3_Gracia),(31-N(P_L3_Mes)+1)&lt;=N(P_L3_Gracia)+N(P_L3_Cuotas),N(P_L3_Cuotas)&gt;0),IF((31-N(P_L3_Mes)+1)=N(P_L3_Gracia)+N(P_L3_Cuotas),IF((31-N(P_L3_Mes)+1)=1,N(P_L3_Monto),AI$134),PMT(N(P_L3_Tasa)/12,N(P_L3_Cuotas),-N(P_L3_Monto))-AJ$132),0)*AJ$9</f>
        <v>0</v>
      </c>
      <c r="AK133" s="34" t="n">
        <f aca="false">IF(AND((32-N(P_L3_Mes)+1)&gt;N(P_L3_Gracia),(32-N(P_L3_Mes)+1)&lt;=N(P_L3_Gracia)+N(P_L3_Cuotas),N(P_L3_Cuotas)&gt;0),IF((32-N(P_L3_Mes)+1)=N(P_L3_Gracia)+N(P_L3_Cuotas),IF((32-N(P_L3_Mes)+1)=1,N(P_L3_Monto),AJ$134),PMT(N(P_L3_Tasa)/12,N(P_L3_Cuotas),-N(P_L3_Monto))-AK$132),0)*AK$9</f>
        <v>0</v>
      </c>
      <c r="AL133" s="34" t="n">
        <f aca="false">IF(AND((33-N(P_L3_Mes)+1)&gt;N(P_L3_Gracia),(33-N(P_L3_Mes)+1)&lt;=N(P_L3_Gracia)+N(P_L3_Cuotas),N(P_L3_Cuotas)&gt;0),IF((33-N(P_L3_Mes)+1)=N(P_L3_Gracia)+N(P_L3_Cuotas),IF((33-N(P_L3_Mes)+1)=1,N(P_L3_Monto),AK$134),PMT(N(P_L3_Tasa)/12,N(P_L3_Cuotas),-N(P_L3_Monto))-AL$132),0)*AL$9</f>
        <v>0</v>
      </c>
      <c r="AM133" s="34" t="n">
        <f aca="false">IF(AND((34-N(P_L3_Mes)+1)&gt;N(P_L3_Gracia),(34-N(P_L3_Mes)+1)&lt;=N(P_L3_Gracia)+N(P_L3_Cuotas),N(P_L3_Cuotas)&gt;0),IF((34-N(P_L3_Mes)+1)=N(P_L3_Gracia)+N(P_L3_Cuotas),IF((34-N(P_L3_Mes)+1)=1,N(P_L3_Monto),AL$134),PMT(N(P_L3_Tasa)/12,N(P_L3_Cuotas),-N(P_L3_Monto))-AM$132),0)*AM$9</f>
        <v>0</v>
      </c>
      <c r="AN133" s="34" t="n">
        <f aca="false">IF(AND((35-N(P_L3_Mes)+1)&gt;N(P_L3_Gracia),(35-N(P_L3_Mes)+1)&lt;=N(P_L3_Gracia)+N(P_L3_Cuotas),N(P_L3_Cuotas)&gt;0),IF((35-N(P_L3_Mes)+1)=N(P_L3_Gracia)+N(P_L3_Cuotas),IF((35-N(P_L3_Mes)+1)=1,N(P_L3_Monto),AM$134),PMT(N(P_L3_Tasa)/12,N(P_L3_Cuotas),-N(P_L3_Monto))-AN$132),0)*AN$9</f>
        <v>0</v>
      </c>
      <c r="AO133" s="34" t="n">
        <f aca="false">IF(AND((36-N(P_L3_Mes)+1)&gt;N(P_L3_Gracia),(36-N(P_L3_Mes)+1)&lt;=N(P_L3_Gracia)+N(P_L3_Cuotas),N(P_L3_Cuotas)&gt;0),IF((36-N(P_L3_Mes)+1)=N(P_L3_Gracia)+N(P_L3_Cuotas),IF((36-N(P_L3_Mes)+1)=1,N(P_L3_Monto),AN$134),PMT(N(P_L3_Tasa)/12,N(P_L3_Cuotas),-N(P_L3_Monto))-AO$132),0)*AO$9</f>
        <v>0</v>
      </c>
      <c r="AP133" s="34" t="n">
        <f aca="false">IF(AND((37-N(P_L3_Mes)+1)&gt;N(P_L3_Gracia),(37-N(P_L3_Mes)+1)&lt;=N(P_L3_Gracia)+N(P_L3_Cuotas),N(P_L3_Cuotas)&gt;0),IF((37-N(P_L3_Mes)+1)=N(P_L3_Gracia)+N(P_L3_Cuotas),IF((37-N(P_L3_Mes)+1)=1,N(P_L3_Monto),AO$134),PMT(N(P_L3_Tasa)/12,N(P_L3_Cuotas),-N(P_L3_Monto))-AP$132),0)*AP$9</f>
        <v>0</v>
      </c>
      <c r="AQ133" s="34" t="n">
        <f aca="false">IF(AND((38-N(P_L3_Mes)+1)&gt;N(P_L3_Gracia),(38-N(P_L3_Mes)+1)&lt;=N(P_L3_Gracia)+N(P_L3_Cuotas),N(P_L3_Cuotas)&gt;0),IF((38-N(P_L3_Mes)+1)=N(P_L3_Gracia)+N(P_L3_Cuotas),IF((38-N(P_L3_Mes)+1)=1,N(P_L3_Monto),AP$134),PMT(N(P_L3_Tasa)/12,N(P_L3_Cuotas),-N(P_L3_Monto))-AQ$132),0)*AQ$9</f>
        <v>0</v>
      </c>
      <c r="AR133" s="34" t="n">
        <f aca="false">IF(AND((39-N(P_L3_Mes)+1)&gt;N(P_L3_Gracia),(39-N(P_L3_Mes)+1)&lt;=N(P_L3_Gracia)+N(P_L3_Cuotas),N(P_L3_Cuotas)&gt;0),IF((39-N(P_L3_Mes)+1)=N(P_L3_Gracia)+N(P_L3_Cuotas),IF((39-N(P_L3_Mes)+1)=1,N(P_L3_Monto),AQ$134),PMT(N(P_L3_Tasa)/12,N(P_L3_Cuotas),-N(P_L3_Monto))-AR$132),0)*AR$9</f>
        <v>0</v>
      </c>
      <c r="AS133" s="34" t="n">
        <f aca="false">IF(AND((40-N(P_L3_Mes)+1)&gt;N(P_L3_Gracia),(40-N(P_L3_Mes)+1)&lt;=N(P_L3_Gracia)+N(P_L3_Cuotas),N(P_L3_Cuotas)&gt;0),IF((40-N(P_L3_Mes)+1)=N(P_L3_Gracia)+N(P_L3_Cuotas),IF((40-N(P_L3_Mes)+1)=1,N(P_L3_Monto),AR$134),PMT(N(P_L3_Tasa)/12,N(P_L3_Cuotas),-N(P_L3_Monto))-AS$132),0)*AS$9</f>
        <v>0</v>
      </c>
      <c r="AT133" s="34" t="n">
        <f aca="false">IF(AND((41-N(P_L3_Mes)+1)&gt;N(P_L3_Gracia),(41-N(P_L3_Mes)+1)&lt;=N(P_L3_Gracia)+N(P_L3_Cuotas),N(P_L3_Cuotas)&gt;0),IF((41-N(P_L3_Mes)+1)=N(P_L3_Gracia)+N(P_L3_Cuotas),IF((41-N(P_L3_Mes)+1)=1,N(P_L3_Monto),AS$134),PMT(N(P_L3_Tasa)/12,N(P_L3_Cuotas),-N(P_L3_Monto))-AT$132),0)*AT$9</f>
        <v>0</v>
      </c>
      <c r="AU133" s="34" t="n">
        <f aca="false">IF(AND((42-N(P_L3_Mes)+1)&gt;N(P_L3_Gracia),(42-N(P_L3_Mes)+1)&lt;=N(P_L3_Gracia)+N(P_L3_Cuotas),N(P_L3_Cuotas)&gt;0),IF((42-N(P_L3_Mes)+1)=N(P_L3_Gracia)+N(P_L3_Cuotas),IF((42-N(P_L3_Mes)+1)=1,N(P_L3_Monto),AT$134),PMT(N(P_L3_Tasa)/12,N(P_L3_Cuotas),-N(P_L3_Monto))-AU$132),0)*AU$9</f>
        <v>0</v>
      </c>
      <c r="AV133" s="34" t="n">
        <f aca="false">IF(AND((43-N(P_L3_Mes)+1)&gt;N(P_L3_Gracia),(43-N(P_L3_Mes)+1)&lt;=N(P_L3_Gracia)+N(P_L3_Cuotas),N(P_L3_Cuotas)&gt;0),IF((43-N(P_L3_Mes)+1)=N(P_L3_Gracia)+N(P_L3_Cuotas),IF((43-N(P_L3_Mes)+1)=1,N(P_L3_Monto),AU$134),PMT(N(P_L3_Tasa)/12,N(P_L3_Cuotas),-N(P_L3_Monto))-AV$132),0)*AV$9</f>
        <v>0</v>
      </c>
      <c r="AW133" s="34" t="n">
        <f aca="false">IF(AND((44-N(P_L3_Mes)+1)&gt;N(P_L3_Gracia),(44-N(P_L3_Mes)+1)&lt;=N(P_L3_Gracia)+N(P_L3_Cuotas),N(P_L3_Cuotas)&gt;0),IF((44-N(P_L3_Mes)+1)=N(P_L3_Gracia)+N(P_L3_Cuotas),IF((44-N(P_L3_Mes)+1)=1,N(P_L3_Monto),AV$134),PMT(N(P_L3_Tasa)/12,N(P_L3_Cuotas),-N(P_L3_Monto))-AW$132),0)*AW$9</f>
        <v>0</v>
      </c>
      <c r="AX133" s="34" t="n">
        <f aca="false">IF(AND((45-N(P_L3_Mes)+1)&gt;N(P_L3_Gracia),(45-N(P_L3_Mes)+1)&lt;=N(P_L3_Gracia)+N(P_L3_Cuotas),N(P_L3_Cuotas)&gt;0),IF((45-N(P_L3_Mes)+1)=N(P_L3_Gracia)+N(P_L3_Cuotas),IF((45-N(P_L3_Mes)+1)=1,N(P_L3_Monto),AW$134),PMT(N(P_L3_Tasa)/12,N(P_L3_Cuotas),-N(P_L3_Monto))-AX$132),0)*AX$9</f>
        <v>0</v>
      </c>
      <c r="AY133" s="34" t="n">
        <f aca="false">IF(AND((46-N(P_L3_Mes)+1)&gt;N(P_L3_Gracia),(46-N(P_L3_Mes)+1)&lt;=N(P_L3_Gracia)+N(P_L3_Cuotas),N(P_L3_Cuotas)&gt;0),IF((46-N(P_L3_Mes)+1)=N(P_L3_Gracia)+N(P_L3_Cuotas),IF((46-N(P_L3_Mes)+1)=1,N(P_L3_Monto),AX$134),PMT(N(P_L3_Tasa)/12,N(P_L3_Cuotas),-N(P_L3_Monto))-AY$132),0)*AY$9</f>
        <v>0</v>
      </c>
      <c r="AZ133" s="34" t="n">
        <f aca="false">IF(AND((47-N(P_L3_Mes)+1)&gt;N(P_L3_Gracia),(47-N(P_L3_Mes)+1)&lt;=N(P_L3_Gracia)+N(P_L3_Cuotas),N(P_L3_Cuotas)&gt;0),IF((47-N(P_L3_Mes)+1)=N(P_L3_Gracia)+N(P_L3_Cuotas),IF((47-N(P_L3_Mes)+1)=1,N(P_L3_Monto),AY$134),PMT(N(P_L3_Tasa)/12,N(P_L3_Cuotas),-N(P_L3_Monto))-AZ$132),0)*AZ$9</f>
        <v>0</v>
      </c>
      <c r="BA133" s="34" t="n">
        <f aca="false">IF(AND((48-N(P_L3_Mes)+1)&gt;N(P_L3_Gracia),(48-N(P_L3_Mes)+1)&lt;=N(P_L3_Gracia)+N(P_L3_Cuotas),N(P_L3_Cuotas)&gt;0),IF((48-N(P_L3_Mes)+1)=N(P_L3_Gracia)+N(P_L3_Cuotas),IF((48-N(P_L3_Mes)+1)=1,N(P_L3_Monto),AZ$134),PMT(N(P_L3_Tasa)/12,N(P_L3_Cuotas),-N(P_L3_Monto))-BA$132),0)*BA$9</f>
        <v>0</v>
      </c>
      <c r="BB133" s="34" t="n">
        <f aca="false">IF(AND((49-N(P_L3_Mes)+1)&gt;N(P_L3_Gracia),(49-N(P_L3_Mes)+1)&lt;=N(P_L3_Gracia)+N(P_L3_Cuotas),N(P_L3_Cuotas)&gt;0),IF((49-N(P_L3_Mes)+1)=N(P_L3_Gracia)+N(P_L3_Cuotas),IF((49-N(P_L3_Mes)+1)=1,N(P_L3_Monto),BA$134),PMT(N(P_L3_Tasa)/12,N(P_L3_Cuotas),-N(P_L3_Monto))-BB$132),0)*BB$9</f>
        <v>0</v>
      </c>
      <c r="BC133" s="34" t="n">
        <f aca="false">IF(AND((50-N(P_L3_Mes)+1)&gt;N(P_L3_Gracia),(50-N(P_L3_Mes)+1)&lt;=N(P_L3_Gracia)+N(P_L3_Cuotas),N(P_L3_Cuotas)&gt;0),IF((50-N(P_L3_Mes)+1)=N(P_L3_Gracia)+N(P_L3_Cuotas),IF((50-N(P_L3_Mes)+1)=1,N(P_L3_Monto),BB$134),PMT(N(P_L3_Tasa)/12,N(P_L3_Cuotas),-N(P_L3_Monto))-BC$132),0)*BC$9</f>
        <v>0</v>
      </c>
      <c r="BD133" s="34" t="n">
        <f aca="false">IF(AND((51-N(P_L3_Mes)+1)&gt;N(P_L3_Gracia),(51-N(P_L3_Mes)+1)&lt;=N(P_L3_Gracia)+N(P_L3_Cuotas),N(P_L3_Cuotas)&gt;0),IF((51-N(P_L3_Mes)+1)=N(P_L3_Gracia)+N(P_L3_Cuotas),IF((51-N(P_L3_Mes)+1)=1,N(P_L3_Monto),BC$134),PMT(N(P_L3_Tasa)/12,N(P_L3_Cuotas),-N(P_L3_Monto))-BD$132),0)*BD$9</f>
        <v>0</v>
      </c>
      <c r="BE133" s="34" t="n">
        <f aca="false">IF(AND((52-N(P_L3_Mes)+1)&gt;N(P_L3_Gracia),(52-N(P_L3_Mes)+1)&lt;=N(P_L3_Gracia)+N(P_L3_Cuotas),N(P_L3_Cuotas)&gt;0),IF((52-N(P_L3_Mes)+1)=N(P_L3_Gracia)+N(P_L3_Cuotas),IF((52-N(P_L3_Mes)+1)=1,N(P_L3_Monto),BD$134),PMT(N(P_L3_Tasa)/12,N(P_L3_Cuotas),-N(P_L3_Monto))-BE$132),0)*BE$9</f>
        <v>0</v>
      </c>
      <c r="BF133" s="34" t="n">
        <f aca="false">IF(AND((53-N(P_L3_Mes)+1)&gt;N(P_L3_Gracia),(53-N(P_L3_Mes)+1)&lt;=N(P_L3_Gracia)+N(P_L3_Cuotas),N(P_L3_Cuotas)&gt;0),IF((53-N(P_L3_Mes)+1)=N(P_L3_Gracia)+N(P_L3_Cuotas),IF((53-N(P_L3_Mes)+1)=1,N(P_L3_Monto),BE$134),PMT(N(P_L3_Tasa)/12,N(P_L3_Cuotas),-N(P_L3_Monto))-BF$132),0)*BF$9</f>
        <v>0</v>
      </c>
      <c r="BG133" s="34" t="n">
        <f aca="false">IF(AND((54-N(P_L3_Mes)+1)&gt;N(P_L3_Gracia),(54-N(P_L3_Mes)+1)&lt;=N(P_L3_Gracia)+N(P_L3_Cuotas),N(P_L3_Cuotas)&gt;0),IF((54-N(P_L3_Mes)+1)=N(P_L3_Gracia)+N(P_L3_Cuotas),IF((54-N(P_L3_Mes)+1)=1,N(P_L3_Monto),BF$134),PMT(N(P_L3_Tasa)/12,N(P_L3_Cuotas),-N(P_L3_Monto))-BG$132),0)*BG$9</f>
        <v>0</v>
      </c>
      <c r="BH133" s="34" t="n">
        <f aca="false">IF(AND((55-N(P_L3_Mes)+1)&gt;N(P_L3_Gracia),(55-N(P_L3_Mes)+1)&lt;=N(P_L3_Gracia)+N(P_L3_Cuotas),N(P_L3_Cuotas)&gt;0),IF((55-N(P_L3_Mes)+1)=N(P_L3_Gracia)+N(P_L3_Cuotas),IF((55-N(P_L3_Mes)+1)=1,N(P_L3_Monto),BG$134),PMT(N(P_L3_Tasa)/12,N(P_L3_Cuotas),-N(P_L3_Monto))-BH$132),0)*BH$9</f>
        <v>0</v>
      </c>
      <c r="BI133" s="34" t="n">
        <f aca="false">IF(AND((56-N(P_L3_Mes)+1)&gt;N(P_L3_Gracia),(56-N(P_L3_Mes)+1)&lt;=N(P_L3_Gracia)+N(P_L3_Cuotas),N(P_L3_Cuotas)&gt;0),IF((56-N(P_L3_Mes)+1)=N(P_L3_Gracia)+N(P_L3_Cuotas),IF((56-N(P_L3_Mes)+1)=1,N(P_L3_Monto),BH$134),PMT(N(P_L3_Tasa)/12,N(P_L3_Cuotas),-N(P_L3_Monto))-BI$132),0)*BI$9</f>
        <v>0</v>
      </c>
      <c r="BJ133" s="34" t="n">
        <f aca="false">IF(AND((57-N(P_L3_Mes)+1)&gt;N(P_L3_Gracia),(57-N(P_L3_Mes)+1)&lt;=N(P_L3_Gracia)+N(P_L3_Cuotas),N(P_L3_Cuotas)&gt;0),IF((57-N(P_L3_Mes)+1)=N(P_L3_Gracia)+N(P_L3_Cuotas),IF((57-N(P_L3_Mes)+1)=1,N(P_L3_Monto),BI$134),PMT(N(P_L3_Tasa)/12,N(P_L3_Cuotas),-N(P_L3_Monto))-BJ$132),0)*BJ$9</f>
        <v>0</v>
      </c>
      <c r="BK133" s="34" t="n">
        <f aca="false">IF(AND((58-N(P_L3_Mes)+1)&gt;N(P_L3_Gracia),(58-N(P_L3_Mes)+1)&lt;=N(P_L3_Gracia)+N(P_L3_Cuotas),N(P_L3_Cuotas)&gt;0),IF((58-N(P_L3_Mes)+1)=N(P_L3_Gracia)+N(P_L3_Cuotas),IF((58-N(P_L3_Mes)+1)=1,N(P_L3_Monto),BJ$134),PMT(N(P_L3_Tasa)/12,N(P_L3_Cuotas),-N(P_L3_Monto))-BK$132),0)*BK$9</f>
        <v>0</v>
      </c>
      <c r="BL133" s="34" t="n">
        <f aca="false">IF(AND((59-N(P_L3_Mes)+1)&gt;N(P_L3_Gracia),(59-N(P_L3_Mes)+1)&lt;=N(P_L3_Gracia)+N(P_L3_Cuotas),N(P_L3_Cuotas)&gt;0),IF((59-N(P_L3_Mes)+1)=N(P_L3_Gracia)+N(P_L3_Cuotas),IF((59-N(P_L3_Mes)+1)=1,N(P_L3_Monto),BK$134),PMT(N(P_L3_Tasa)/12,N(P_L3_Cuotas),-N(P_L3_Monto))-BL$132),0)*BL$9</f>
        <v>0</v>
      </c>
      <c r="BM133" s="34" t="n">
        <f aca="false">IF(AND((60-N(P_L3_Mes)+1)&gt;N(P_L3_Gracia),(60-N(P_L3_Mes)+1)&lt;=N(P_L3_Gracia)+N(P_L3_Cuotas),N(P_L3_Cuotas)&gt;0),IF((60-N(P_L3_Mes)+1)=N(P_L3_Gracia)+N(P_L3_Cuotas),IF((60-N(P_L3_Mes)+1)=1,N(P_L3_Monto),BL$134),PMT(N(P_L3_Tasa)/12,N(P_L3_Cuotas),-N(P_L3_Monto))-BM$132),0)*BM$9</f>
        <v>0</v>
      </c>
      <c r="BN133" s="34" t="n">
        <f aca="false">IF(AND((61-N(P_L3_Mes)+1)&gt;N(P_L3_Gracia),(61-N(P_L3_Mes)+1)&lt;=N(P_L3_Gracia)+N(P_L3_Cuotas),N(P_L3_Cuotas)&gt;0),IF((61-N(P_L3_Mes)+1)=N(P_L3_Gracia)+N(P_L3_Cuotas),IF((61-N(P_L3_Mes)+1)=1,N(P_L3_Monto),BM$134),PMT(N(P_L3_Tasa)/12,N(P_L3_Cuotas),-N(P_L3_Monto))-BN$132),0)*BN$9</f>
        <v>0</v>
      </c>
      <c r="BO133" s="34" t="n">
        <f aca="false">IF(AND((62-N(P_L3_Mes)+1)&gt;N(P_L3_Gracia),(62-N(P_L3_Mes)+1)&lt;=N(P_L3_Gracia)+N(P_L3_Cuotas),N(P_L3_Cuotas)&gt;0),IF((62-N(P_L3_Mes)+1)=N(P_L3_Gracia)+N(P_L3_Cuotas),IF((62-N(P_L3_Mes)+1)=1,N(P_L3_Monto),BN$134),PMT(N(P_L3_Tasa)/12,N(P_L3_Cuotas),-N(P_L3_Monto))-BO$132),0)*BO$9</f>
        <v>0</v>
      </c>
      <c r="BP133" s="34" t="n">
        <f aca="false">IF(AND((63-N(P_L3_Mes)+1)&gt;N(P_L3_Gracia),(63-N(P_L3_Mes)+1)&lt;=N(P_L3_Gracia)+N(P_L3_Cuotas),N(P_L3_Cuotas)&gt;0),IF((63-N(P_L3_Mes)+1)=N(P_L3_Gracia)+N(P_L3_Cuotas),IF((63-N(P_L3_Mes)+1)=1,N(P_L3_Monto),BO$134),PMT(N(P_L3_Tasa)/12,N(P_L3_Cuotas),-N(P_L3_Monto))-BP$132),0)*BP$9</f>
        <v>0</v>
      </c>
      <c r="BQ133" s="34" t="n">
        <f aca="false">IF(AND((64-N(P_L3_Mes)+1)&gt;N(P_L3_Gracia),(64-N(P_L3_Mes)+1)&lt;=N(P_L3_Gracia)+N(P_L3_Cuotas),N(P_L3_Cuotas)&gt;0),IF((64-N(P_L3_Mes)+1)=N(P_L3_Gracia)+N(P_L3_Cuotas),IF((64-N(P_L3_Mes)+1)=1,N(P_L3_Monto),BP$134),PMT(N(P_L3_Tasa)/12,N(P_L3_Cuotas),-N(P_L3_Monto))-BQ$132),0)*BQ$9</f>
        <v>0</v>
      </c>
      <c r="BR133" s="34" t="n">
        <f aca="false">IF(AND((65-N(P_L3_Mes)+1)&gt;N(P_L3_Gracia),(65-N(P_L3_Mes)+1)&lt;=N(P_L3_Gracia)+N(P_L3_Cuotas),N(P_L3_Cuotas)&gt;0),IF((65-N(P_L3_Mes)+1)=N(P_L3_Gracia)+N(P_L3_Cuotas),IF((65-N(P_L3_Mes)+1)=1,N(P_L3_Monto),BQ$134),PMT(N(P_L3_Tasa)/12,N(P_L3_Cuotas),-N(P_L3_Monto))-BR$132),0)*BR$9</f>
        <v>0</v>
      </c>
      <c r="BS133" s="34" t="n">
        <f aca="false">IF(AND((66-N(P_L3_Mes)+1)&gt;N(P_L3_Gracia),(66-N(P_L3_Mes)+1)&lt;=N(P_L3_Gracia)+N(P_L3_Cuotas),N(P_L3_Cuotas)&gt;0),IF((66-N(P_L3_Mes)+1)=N(P_L3_Gracia)+N(P_L3_Cuotas),IF((66-N(P_L3_Mes)+1)=1,N(P_L3_Monto),BR$134),PMT(N(P_L3_Tasa)/12,N(P_L3_Cuotas),-N(P_L3_Monto))-BS$132),0)*BS$9</f>
        <v>0</v>
      </c>
      <c r="BT133" s="34" t="n">
        <f aca="false">IF(AND((67-N(P_L3_Mes)+1)&gt;N(P_L3_Gracia),(67-N(P_L3_Mes)+1)&lt;=N(P_L3_Gracia)+N(P_L3_Cuotas),N(P_L3_Cuotas)&gt;0),IF((67-N(P_L3_Mes)+1)=N(P_L3_Gracia)+N(P_L3_Cuotas),IF((67-N(P_L3_Mes)+1)=1,N(P_L3_Monto),BS$134),PMT(N(P_L3_Tasa)/12,N(P_L3_Cuotas),-N(P_L3_Monto))-BT$132),0)*BT$9</f>
        <v>0</v>
      </c>
      <c r="BU133" s="34" t="n">
        <f aca="false">IF(AND((68-N(P_L3_Mes)+1)&gt;N(P_L3_Gracia),(68-N(P_L3_Mes)+1)&lt;=N(P_L3_Gracia)+N(P_L3_Cuotas),N(P_L3_Cuotas)&gt;0),IF((68-N(P_L3_Mes)+1)=N(P_L3_Gracia)+N(P_L3_Cuotas),IF((68-N(P_L3_Mes)+1)=1,N(P_L3_Monto),BT$134),PMT(N(P_L3_Tasa)/12,N(P_L3_Cuotas),-N(P_L3_Monto))-BU$132),0)*BU$9</f>
        <v>0</v>
      </c>
      <c r="BV133" s="34" t="n">
        <f aca="false">IF(AND((69-N(P_L3_Mes)+1)&gt;N(P_L3_Gracia),(69-N(P_L3_Mes)+1)&lt;=N(P_L3_Gracia)+N(P_L3_Cuotas),N(P_L3_Cuotas)&gt;0),IF((69-N(P_L3_Mes)+1)=N(P_L3_Gracia)+N(P_L3_Cuotas),IF((69-N(P_L3_Mes)+1)=1,N(P_L3_Monto),BU$134),PMT(N(P_L3_Tasa)/12,N(P_L3_Cuotas),-N(P_L3_Monto))-BV$132),0)*BV$9</f>
        <v>0</v>
      </c>
      <c r="BW133" s="34" t="n">
        <f aca="false">IF(AND((70-N(P_L3_Mes)+1)&gt;N(P_L3_Gracia),(70-N(P_L3_Mes)+1)&lt;=N(P_L3_Gracia)+N(P_L3_Cuotas),N(P_L3_Cuotas)&gt;0),IF((70-N(P_L3_Mes)+1)=N(P_L3_Gracia)+N(P_L3_Cuotas),IF((70-N(P_L3_Mes)+1)=1,N(P_L3_Monto),BV$134),PMT(N(P_L3_Tasa)/12,N(P_L3_Cuotas),-N(P_L3_Monto))-BW$132),0)*BW$9</f>
        <v>0</v>
      </c>
      <c r="BX133" s="34" t="n">
        <f aca="false">IF(AND((71-N(P_L3_Mes)+1)&gt;N(P_L3_Gracia),(71-N(P_L3_Mes)+1)&lt;=N(P_L3_Gracia)+N(P_L3_Cuotas),N(P_L3_Cuotas)&gt;0),IF((71-N(P_L3_Mes)+1)=N(P_L3_Gracia)+N(P_L3_Cuotas),IF((71-N(P_L3_Mes)+1)=1,N(P_L3_Monto),BW$134),PMT(N(P_L3_Tasa)/12,N(P_L3_Cuotas),-N(P_L3_Monto))-BX$132),0)*BX$9</f>
        <v>0</v>
      </c>
      <c r="BY133" s="34" t="n">
        <f aca="false">IF(AND((72-N(P_L3_Mes)+1)&gt;N(P_L3_Gracia),(72-N(P_L3_Mes)+1)&lt;=N(P_L3_Gracia)+N(P_L3_Cuotas),N(P_L3_Cuotas)&gt;0),IF((72-N(P_L3_Mes)+1)=N(P_L3_Gracia)+N(P_L3_Cuotas),IF((72-N(P_L3_Mes)+1)=1,N(P_L3_Monto),BX$134),PMT(N(P_L3_Tasa)/12,N(P_L3_Cuotas),-N(P_L3_Monto))-BY$132),0)*BY$9</f>
        <v>0</v>
      </c>
      <c r="BZ133" s="34" t="n">
        <f aca="false">IF(AND((73-N(P_L3_Mes)+1)&gt;N(P_L3_Gracia),(73-N(P_L3_Mes)+1)&lt;=N(P_L3_Gracia)+N(P_L3_Cuotas),N(P_L3_Cuotas)&gt;0),IF((73-N(P_L3_Mes)+1)=N(P_L3_Gracia)+N(P_L3_Cuotas),IF((73-N(P_L3_Mes)+1)=1,N(P_L3_Monto),BY$134),PMT(N(P_L3_Tasa)/12,N(P_L3_Cuotas),-N(P_L3_Monto))-BZ$132),0)*BZ$9</f>
        <v>0</v>
      </c>
      <c r="CA133" s="34" t="n">
        <f aca="false">IF(AND((74-N(P_L3_Mes)+1)&gt;N(P_L3_Gracia),(74-N(P_L3_Mes)+1)&lt;=N(P_L3_Gracia)+N(P_L3_Cuotas),N(P_L3_Cuotas)&gt;0),IF((74-N(P_L3_Mes)+1)=N(P_L3_Gracia)+N(P_L3_Cuotas),IF((74-N(P_L3_Mes)+1)=1,N(P_L3_Monto),BZ$134),PMT(N(P_L3_Tasa)/12,N(P_L3_Cuotas),-N(P_L3_Monto))-CA$132),0)*CA$9</f>
        <v>0</v>
      </c>
      <c r="CB133" s="34" t="n">
        <f aca="false">IF(AND((75-N(P_L3_Mes)+1)&gt;N(P_L3_Gracia),(75-N(P_L3_Mes)+1)&lt;=N(P_L3_Gracia)+N(P_L3_Cuotas),N(P_L3_Cuotas)&gt;0),IF((75-N(P_L3_Mes)+1)=N(P_L3_Gracia)+N(P_L3_Cuotas),IF((75-N(P_L3_Mes)+1)=1,N(P_L3_Monto),CA$134),PMT(N(P_L3_Tasa)/12,N(P_L3_Cuotas),-N(P_L3_Monto))-CB$132),0)*CB$9</f>
        <v>0</v>
      </c>
      <c r="CC133" s="34" t="n">
        <f aca="false">IF(AND((76-N(P_L3_Mes)+1)&gt;N(P_L3_Gracia),(76-N(P_L3_Mes)+1)&lt;=N(P_L3_Gracia)+N(P_L3_Cuotas),N(P_L3_Cuotas)&gt;0),IF((76-N(P_L3_Mes)+1)=N(P_L3_Gracia)+N(P_L3_Cuotas),IF((76-N(P_L3_Mes)+1)=1,N(P_L3_Monto),CB$134),PMT(N(P_L3_Tasa)/12,N(P_L3_Cuotas),-N(P_L3_Monto))-CC$132),0)*CC$9</f>
        <v>0</v>
      </c>
      <c r="CD133" s="34" t="n">
        <f aca="false">IF(AND((77-N(P_L3_Mes)+1)&gt;N(P_L3_Gracia),(77-N(P_L3_Mes)+1)&lt;=N(P_L3_Gracia)+N(P_L3_Cuotas),N(P_L3_Cuotas)&gt;0),IF((77-N(P_L3_Mes)+1)=N(P_L3_Gracia)+N(P_L3_Cuotas),IF((77-N(P_L3_Mes)+1)=1,N(P_L3_Monto),CC$134),PMT(N(P_L3_Tasa)/12,N(P_L3_Cuotas),-N(P_L3_Monto))-CD$132),0)*CD$9</f>
        <v>0</v>
      </c>
      <c r="CE133" s="34" t="n">
        <f aca="false">IF(AND((78-N(P_L3_Mes)+1)&gt;N(P_L3_Gracia),(78-N(P_L3_Mes)+1)&lt;=N(P_L3_Gracia)+N(P_L3_Cuotas),N(P_L3_Cuotas)&gt;0),IF((78-N(P_L3_Mes)+1)=N(P_L3_Gracia)+N(P_L3_Cuotas),IF((78-N(P_L3_Mes)+1)=1,N(P_L3_Monto),CD$134),PMT(N(P_L3_Tasa)/12,N(P_L3_Cuotas),-N(P_L3_Monto))-CE$132),0)*CE$9</f>
        <v>0</v>
      </c>
      <c r="CF133" s="34" t="n">
        <f aca="false">IF(AND((79-N(P_L3_Mes)+1)&gt;N(P_L3_Gracia),(79-N(P_L3_Mes)+1)&lt;=N(P_L3_Gracia)+N(P_L3_Cuotas),N(P_L3_Cuotas)&gt;0),IF((79-N(P_L3_Mes)+1)=N(P_L3_Gracia)+N(P_L3_Cuotas),IF((79-N(P_L3_Mes)+1)=1,N(P_L3_Monto),CE$134),PMT(N(P_L3_Tasa)/12,N(P_L3_Cuotas),-N(P_L3_Monto))-CF$132),0)*CF$9</f>
        <v>0</v>
      </c>
      <c r="CG133" s="34" t="n">
        <f aca="false">IF(AND((80-N(P_L3_Mes)+1)&gt;N(P_L3_Gracia),(80-N(P_L3_Mes)+1)&lt;=N(P_L3_Gracia)+N(P_L3_Cuotas),N(P_L3_Cuotas)&gt;0),IF((80-N(P_L3_Mes)+1)=N(P_L3_Gracia)+N(P_L3_Cuotas),IF((80-N(P_L3_Mes)+1)=1,N(P_L3_Monto),CF$134),PMT(N(P_L3_Tasa)/12,N(P_L3_Cuotas),-N(P_L3_Monto))-CG$132),0)*CG$9</f>
        <v>0</v>
      </c>
      <c r="CH133" s="34" t="n">
        <f aca="false">IF(AND((81-N(P_L3_Mes)+1)&gt;N(P_L3_Gracia),(81-N(P_L3_Mes)+1)&lt;=N(P_L3_Gracia)+N(P_L3_Cuotas),N(P_L3_Cuotas)&gt;0),IF((81-N(P_L3_Mes)+1)=N(P_L3_Gracia)+N(P_L3_Cuotas),IF((81-N(P_L3_Mes)+1)=1,N(P_L3_Monto),CG$134),PMT(N(P_L3_Tasa)/12,N(P_L3_Cuotas),-N(P_L3_Monto))-CH$132),0)*CH$9</f>
        <v>0</v>
      </c>
      <c r="CI133" s="34" t="n">
        <f aca="false">IF(AND((82-N(P_L3_Mes)+1)&gt;N(P_L3_Gracia),(82-N(P_L3_Mes)+1)&lt;=N(P_L3_Gracia)+N(P_L3_Cuotas),N(P_L3_Cuotas)&gt;0),IF((82-N(P_L3_Mes)+1)=N(P_L3_Gracia)+N(P_L3_Cuotas),IF((82-N(P_L3_Mes)+1)=1,N(P_L3_Monto),CH$134),PMT(N(P_L3_Tasa)/12,N(P_L3_Cuotas),-N(P_L3_Monto))-CI$132),0)*CI$9</f>
        <v>0</v>
      </c>
      <c r="CJ133" s="34" t="n">
        <f aca="false">IF(AND((83-N(P_L3_Mes)+1)&gt;N(P_L3_Gracia),(83-N(P_L3_Mes)+1)&lt;=N(P_L3_Gracia)+N(P_L3_Cuotas),N(P_L3_Cuotas)&gt;0),IF((83-N(P_L3_Mes)+1)=N(P_L3_Gracia)+N(P_L3_Cuotas),IF((83-N(P_L3_Mes)+1)=1,N(P_L3_Monto),CI$134),PMT(N(P_L3_Tasa)/12,N(P_L3_Cuotas),-N(P_L3_Monto))-CJ$132),0)*CJ$9</f>
        <v>0</v>
      </c>
      <c r="CK133" s="34" t="n">
        <f aca="false">IF(AND((84-N(P_L3_Mes)+1)&gt;N(P_L3_Gracia),(84-N(P_L3_Mes)+1)&lt;=N(P_L3_Gracia)+N(P_L3_Cuotas),N(P_L3_Cuotas)&gt;0),IF((84-N(P_L3_Mes)+1)=N(P_L3_Gracia)+N(P_L3_Cuotas),IF((84-N(P_L3_Mes)+1)=1,N(P_L3_Monto),CJ$134),PMT(N(P_L3_Tasa)/12,N(P_L3_Cuotas),-N(P_L3_Monto))-CK$132),0)*CK$9</f>
        <v>0</v>
      </c>
      <c r="CL133" s="34" t="n">
        <f aca="false">IF(AND((85-N(P_L3_Mes)+1)&gt;N(P_L3_Gracia),(85-N(P_L3_Mes)+1)&lt;=N(P_L3_Gracia)+N(P_L3_Cuotas),N(P_L3_Cuotas)&gt;0),IF((85-N(P_L3_Mes)+1)=N(P_L3_Gracia)+N(P_L3_Cuotas),IF((85-N(P_L3_Mes)+1)=1,N(P_L3_Monto),CK$134),PMT(N(P_L3_Tasa)/12,N(P_L3_Cuotas),-N(P_L3_Monto))-CL$132),0)*CL$9</f>
        <v>0</v>
      </c>
      <c r="CM133" s="34" t="n">
        <f aca="false">IF(AND((86-N(P_L3_Mes)+1)&gt;N(P_L3_Gracia),(86-N(P_L3_Mes)+1)&lt;=N(P_L3_Gracia)+N(P_L3_Cuotas),N(P_L3_Cuotas)&gt;0),IF((86-N(P_L3_Mes)+1)=N(P_L3_Gracia)+N(P_L3_Cuotas),IF((86-N(P_L3_Mes)+1)=1,N(P_L3_Monto),CL$134),PMT(N(P_L3_Tasa)/12,N(P_L3_Cuotas),-N(P_L3_Monto))-CM$132),0)*CM$9</f>
        <v>0</v>
      </c>
      <c r="CN133" s="34" t="n">
        <f aca="false">IF(AND((87-N(P_L3_Mes)+1)&gt;N(P_L3_Gracia),(87-N(P_L3_Mes)+1)&lt;=N(P_L3_Gracia)+N(P_L3_Cuotas),N(P_L3_Cuotas)&gt;0),IF((87-N(P_L3_Mes)+1)=N(P_L3_Gracia)+N(P_L3_Cuotas),IF((87-N(P_L3_Mes)+1)=1,N(P_L3_Monto),CM$134),PMT(N(P_L3_Tasa)/12,N(P_L3_Cuotas),-N(P_L3_Monto))-CN$132),0)*CN$9</f>
        <v>0</v>
      </c>
      <c r="CO133" s="34" t="n">
        <f aca="false">IF(AND((88-N(P_L3_Mes)+1)&gt;N(P_L3_Gracia),(88-N(P_L3_Mes)+1)&lt;=N(P_L3_Gracia)+N(P_L3_Cuotas),N(P_L3_Cuotas)&gt;0),IF((88-N(P_L3_Mes)+1)=N(P_L3_Gracia)+N(P_L3_Cuotas),IF((88-N(P_L3_Mes)+1)=1,N(P_L3_Monto),CN$134),PMT(N(P_L3_Tasa)/12,N(P_L3_Cuotas),-N(P_L3_Monto))-CO$132),0)*CO$9</f>
        <v>0</v>
      </c>
      <c r="CP133" s="34" t="n">
        <f aca="false">IF(AND((89-N(P_L3_Mes)+1)&gt;N(P_L3_Gracia),(89-N(P_L3_Mes)+1)&lt;=N(P_L3_Gracia)+N(P_L3_Cuotas),N(P_L3_Cuotas)&gt;0),IF((89-N(P_L3_Mes)+1)=N(P_L3_Gracia)+N(P_L3_Cuotas),IF((89-N(P_L3_Mes)+1)=1,N(P_L3_Monto),CO$134),PMT(N(P_L3_Tasa)/12,N(P_L3_Cuotas),-N(P_L3_Monto))-CP$132),0)*CP$9</f>
        <v>0</v>
      </c>
      <c r="CQ133" s="34" t="n">
        <f aca="false">IF(AND((90-N(P_L3_Mes)+1)&gt;N(P_L3_Gracia),(90-N(P_L3_Mes)+1)&lt;=N(P_L3_Gracia)+N(P_L3_Cuotas),N(P_L3_Cuotas)&gt;0),IF((90-N(P_L3_Mes)+1)=N(P_L3_Gracia)+N(P_L3_Cuotas),IF((90-N(P_L3_Mes)+1)=1,N(P_L3_Monto),CP$134),PMT(N(P_L3_Tasa)/12,N(P_L3_Cuotas),-N(P_L3_Monto))-CQ$132),0)*CQ$9</f>
        <v>0</v>
      </c>
      <c r="CR133" s="34" t="n">
        <f aca="false">IF(AND((91-N(P_L3_Mes)+1)&gt;N(P_L3_Gracia),(91-N(P_L3_Mes)+1)&lt;=N(P_L3_Gracia)+N(P_L3_Cuotas),N(P_L3_Cuotas)&gt;0),IF((91-N(P_L3_Mes)+1)=N(P_L3_Gracia)+N(P_L3_Cuotas),IF((91-N(P_L3_Mes)+1)=1,N(P_L3_Monto),CQ$134),PMT(N(P_L3_Tasa)/12,N(P_L3_Cuotas),-N(P_L3_Monto))-CR$132),0)*CR$9</f>
        <v>0</v>
      </c>
      <c r="CS133" s="34" t="n">
        <f aca="false">IF(AND((92-N(P_L3_Mes)+1)&gt;N(P_L3_Gracia),(92-N(P_L3_Mes)+1)&lt;=N(P_L3_Gracia)+N(P_L3_Cuotas),N(P_L3_Cuotas)&gt;0),IF((92-N(P_L3_Mes)+1)=N(P_L3_Gracia)+N(P_L3_Cuotas),IF((92-N(P_L3_Mes)+1)=1,N(P_L3_Monto),CR$134),PMT(N(P_L3_Tasa)/12,N(P_L3_Cuotas),-N(P_L3_Monto))-CS$132),0)*CS$9</f>
        <v>0</v>
      </c>
      <c r="CT133" s="34" t="n">
        <f aca="false">IF(AND((93-N(P_L3_Mes)+1)&gt;N(P_L3_Gracia),(93-N(P_L3_Mes)+1)&lt;=N(P_L3_Gracia)+N(P_L3_Cuotas),N(P_L3_Cuotas)&gt;0),IF((93-N(P_L3_Mes)+1)=N(P_L3_Gracia)+N(P_L3_Cuotas),IF((93-N(P_L3_Mes)+1)=1,N(P_L3_Monto),CS$134),PMT(N(P_L3_Tasa)/12,N(P_L3_Cuotas),-N(P_L3_Monto))-CT$132),0)*CT$9</f>
        <v>0</v>
      </c>
      <c r="CU133" s="34" t="n">
        <f aca="false">IF(AND((94-N(P_L3_Mes)+1)&gt;N(P_L3_Gracia),(94-N(P_L3_Mes)+1)&lt;=N(P_L3_Gracia)+N(P_L3_Cuotas),N(P_L3_Cuotas)&gt;0),IF((94-N(P_L3_Mes)+1)=N(P_L3_Gracia)+N(P_L3_Cuotas),IF((94-N(P_L3_Mes)+1)=1,N(P_L3_Monto),CT$134),PMT(N(P_L3_Tasa)/12,N(P_L3_Cuotas),-N(P_L3_Monto))-CU$132),0)*CU$9</f>
        <v>0</v>
      </c>
      <c r="CV133" s="34" t="n">
        <f aca="false">IF(AND((95-N(P_L3_Mes)+1)&gt;N(P_L3_Gracia),(95-N(P_L3_Mes)+1)&lt;=N(P_L3_Gracia)+N(P_L3_Cuotas),N(P_L3_Cuotas)&gt;0),IF((95-N(P_L3_Mes)+1)=N(P_L3_Gracia)+N(P_L3_Cuotas),IF((95-N(P_L3_Mes)+1)=1,N(P_L3_Monto),CU$134),PMT(N(P_L3_Tasa)/12,N(P_L3_Cuotas),-N(P_L3_Monto))-CV$132),0)*CV$9</f>
        <v>0</v>
      </c>
      <c r="CW133" s="34" t="n">
        <f aca="false">IF(AND((96-N(P_L3_Mes)+1)&gt;N(P_L3_Gracia),(96-N(P_L3_Mes)+1)&lt;=N(P_L3_Gracia)+N(P_L3_Cuotas),N(P_L3_Cuotas)&gt;0),IF((96-N(P_L3_Mes)+1)=N(P_L3_Gracia)+N(P_L3_Cuotas),IF((96-N(P_L3_Mes)+1)=1,N(P_L3_Monto),CV$134),PMT(N(P_L3_Tasa)/12,N(P_L3_Cuotas),-N(P_L3_Monto))-CW$132),0)*CW$9</f>
        <v>0</v>
      </c>
      <c r="CX133" s="34" t="n">
        <f aca="false">IF(AND((97-N(P_L3_Mes)+1)&gt;N(P_L3_Gracia),(97-N(P_L3_Mes)+1)&lt;=N(P_L3_Gracia)+N(P_L3_Cuotas),N(P_L3_Cuotas)&gt;0),IF((97-N(P_L3_Mes)+1)=N(P_L3_Gracia)+N(P_L3_Cuotas),IF((97-N(P_L3_Mes)+1)=1,N(P_L3_Monto),CW$134),PMT(N(P_L3_Tasa)/12,N(P_L3_Cuotas),-N(P_L3_Monto))-CX$132),0)*CX$9</f>
        <v>0</v>
      </c>
      <c r="CY133" s="34" t="n">
        <f aca="false">IF(AND((98-N(P_L3_Mes)+1)&gt;N(P_L3_Gracia),(98-N(P_L3_Mes)+1)&lt;=N(P_L3_Gracia)+N(P_L3_Cuotas),N(P_L3_Cuotas)&gt;0),IF((98-N(P_L3_Mes)+1)=N(P_L3_Gracia)+N(P_L3_Cuotas),IF((98-N(P_L3_Mes)+1)=1,N(P_L3_Monto),CX$134),PMT(N(P_L3_Tasa)/12,N(P_L3_Cuotas),-N(P_L3_Monto))-CY$132),0)*CY$9</f>
        <v>0</v>
      </c>
      <c r="CZ133" s="34" t="n">
        <f aca="false">IF(AND((99-N(P_L3_Mes)+1)&gt;N(P_L3_Gracia),(99-N(P_L3_Mes)+1)&lt;=N(P_L3_Gracia)+N(P_L3_Cuotas),N(P_L3_Cuotas)&gt;0),IF((99-N(P_L3_Mes)+1)=N(P_L3_Gracia)+N(P_L3_Cuotas),IF((99-N(P_L3_Mes)+1)=1,N(P_L3_Monto),CY$134),PMT(N(P_L3_Tasa)/12,N(P_L3_Cuotas),-N(P_L3_Monto))-CZ$132),0)*CZ$9</f>
        <v>0</v>
      </c>
      <c r="DA133" s="34" t="n">
        <f aca="false">IF(AND((100-N(P_L3_Mes)+1)&gt;N(P_L3_Gracia),(100-N(P_L3_Mes)+1)&lt;=N(P_L3_Gracia)+N(P_L3_Cuotas),N(P_L3_Cuotas)&gt;0),IF((100-N(P_L3_Mes)+1)=N(P_L3_Gracia)+N(P_L3_Cuotas),IF((100-N(P_L3_Mes)+1)=1,N(P_L3_Monto),CZ$134),PMT(N(P_L3_Tasa)/12,N(P_L3_Cuotas),-N(P_L3_Monto))-DA$132),0)*DA$9</f>
        <v>0</v>
      </c>
      <c r="DB133" s="34" t="n">
        <f aca="false">IF(AND((101-N(P_L3_Mes)+1)&gt;N(P_L3_Gracia),(101-N(P_L3_Mes)+1)&lt;=N(P_L3_Gracia)+N(P_L3_Cuotas),N(P_L3_Cuotas)&gt;0),IF((101-N(P_L3_Mes)+1)=N(P_L3_Gracia)+N(P_L3_Cuotas),IF((101-N(P_L3_Mes)+1)=1,N(P_L3_Monto),DA$134),PMT(N(P_L3_Tasa)/12,N(P_L3_Cuotas),-N(P_L3_Monto))-DB$132),0)*DB$9</f>
        <v>0</v>
      </c>
      <c r="DC133" s="34" t="n">
        <f aca="false">IF(AND((102-N(P_L3_Mes)+1)&gt;N(P_L3_Gracia),(102-N(P_L3_Mes)+1)&lt;=N(P_L3_Gracia)+N(P_L3_Cuotas),N(P_L3_Cuotas)&gt;0),IF((102-N(P_L3_Mes)+1)=N(P_L3_Gracia)+N(P_L3_Cuotas),IF((102-N(P_L3_Mes)+1)=1,N(P_L3_Monto),DB$134),PMT(N(P_L3_Tasa)/12,N(P_L3_Cuotas),-N(P_L3_Monto))-DC$132),0)*DC$9</f>
        <v>0</v>
      </c>
      <c r="DD133" s="34" t="n">
        <f aca="false">IF(AND((103-N(P_L3_Mes)+1)&gt;N(P_L3_Gracia),(103-N(P_L3_Mes)+1)&lt;=N(P_L3_Gracia)+N(P_L3_Cuotas),N(P_L3_Cuotas)&gt;0),IF((103-N(P_L3_Mes)+1)=N(P_L3_Gracia)+N(P_L3_Cuotas),IF((103-N(P_L3_Mes)+1)=1,N(P_L3_Monto),DC$134),PMT(N(P_L3_Tasa)/12,N(P_L3_Cuotas),-N(P_L3_Monto))-DD$132),0)*DD$9</f>
        <v>0</v>
      </c>
      <c r="DE133" s="34" t="n">
        <f aca="false">IF(AND((104-N(P_L3_Mes)+1)&gt;N(P_L3_Gracia),(104-N(P_L3_Mes)+1)&lt;=N(P_L3_Gracia)+N(P_L3_Cuotas),N(P_L3_Cuotas)&gt;0),IF((104-N(P_L3_Mes)+1)=N(P_L3_Gracia)+N(P_L3_Cuotas),IF((104-N(P_L3_Mes)+1)=1,N(P_L3_Monto),DD$134),PMT(N(P_L3_Tasa)/12,N(P_L3_Cuotas),-N(P_L3_Monto))-DE$132),0)*DE$9</f>
        <v>0</v>
      </c>
      <c r="DF133" s="34" t="n">
        <f aca="false">IF(AND((105-N(P_L3_Mes)+1)&gt;N(P_L3_Gracia),(105-N(P_L3_Mes)+1)&lt;=N(P_L3_Gracia)+N(P_L3_Cuotas),N(P_L3_Cuotas)&gt;0),IF((105-N(P_L3_Mes)+1)=N(P_L3_Gracia)+N(P_L3_Cuotas),IF((105-N(P_L3_Mes)+1)=1,N(P_L3_Monto),DE$134),PMT(N(P_L3_Tasa)/12,N(P_L3_Cuotas),-N(P_L3_Monto))-DF$132),0)*DF$9</f>
        <v>0</v>
      </c>
      <c r="DG133" s="34" t="n">
        <f aca="false">IF(AND((106-N(P_L3_Mes)+1)&gt;N(P_L3_Gracia),(106-N(P_L3_Mes)+1)&lt;=N(P_L3_Gracia)+N(P_L3_Cuotas),N(P_L3_Cuotas)&gt;0),IF((106-N(P_L3_Mes)+1)=N(P_L3_Gracia)+N(P_L3_Cuotas),IF((106-N(P_L3_Mes)+1)=1,N(P_L3_Monto),DF$134),PMT(N(P_L3_Tasa)/12,N(P_L3_Cuotas),-N(P_L3_Monto))-DG$132),0)*DG$9</f>
        <v>0</v>
      </c>
      <c r="DH133" s="34" t="n">
        <f aca="false">IF(AND((107-N(P_L3_Mes)+1)&gt;N(P_L3_Gracia),(107-N(P_L3_Mes)+1)&lt;=N(P_L3_Gracia)+N(P_L3_Cuotas),N(P_L3_Cuotas)&gt;0),IF((107-N(P_L3_Mes)+1)=N(P_L3_Gracia)+N(P_L3_Cuotas),IF((107-N(P_L3_Mes)+1)=1,N(P_L3_Monto),DG$134),PMT(N(P_L3_Tasa)/12,N(P_L3_Cuotas),-N(P_L3_Monto))-DH$132),0)*DH$9</f>
        <v>0</v>
      </c>
      <c r="DI133" s="34" t="n">
        <f aca="false">IF(AND((108-N(P_L3_Mes)+1)&gt;N(P_L3_Gracia),(108-N(P_L3_Mes)+1)&lt;=N(P_L3_Gracia)+N(P_L3_Cuotas),N(P_L3_Cuotas)&gt;0),IF((108-N(P_L3_Mes)+1)=N(P_L3_Gracia)+N(P_L3_Cuotas),IF((108-N(P_L3_Mes)+1)=1,N(P_L3_Monto),DH$134),PMT(N(P_L3_Tasa)/12,N(P_L3_Cuotas),-N(P_L3_Monto))-DI$132),0)*DI$9</f>
        <v>0</v>
      </c>
      <c r="DJ133" s="34" t="n">
        <f aca="false">IF(AND((109-N(P_L3_Mes)+1)&gt;N(P_L3_Gracia),(109-N(P_L3_Mes)+1)&lt;=N(P_L3_Gracia)+N(P_L3_Cuotas),N(P_L3_Cuotas)&gt;0),IF((109-N(P_L3_Mes)+1)=N(P_L3_Gracia)+N(P_L3_Cuotas),IF((109-N(P_L3_Mes)+1)=1,N(P_L3_Monto),DI$134),PMT(N(P_L3_Tasa)/12,N(P_L3_Cuotas),-N(P_L3_Monto))-DJ$132),0)*DJ$9</f>
        <v>0</v>
      </c>
      <c r="DK133" s="34" t="n">
        <f aca="false">IF(AND((110-N(P_L3_Mes)+1)&gt;N(P_L3_Gracia),(110-N(P_L3_Mes)+1)&lt;=N(P_L3_Gracia)+N(P_L3_Cuotas),N(P_L3_Cuotas)&gt;0),IF((110-N(P_L3_Mes)+1)=N(P_L3_Gracia)+N(P_L3_Cuotas),IF((110-N(P_L3_Mes)+1)=1,N(P_L3_Monto),DJ$134),PMT(N(P_L3_Tasa)/12,N(P_L3_Cuotas),-N(P_L3_Monto))-DK$132),0)*DK$9</f>
        <v>0</v>
      </c>
      <c r="DL133" s="34" t="n">
        <f aca="false">IF(AND((111-N(P_L3_Mes)+1)&gt;N(P_L3_Gracia),(111-N(P_L3_Mes)+1)&lt;=N(P_L3_Gracia)+N(P_L3_Cuotas),N(P_L3_Cuotas)&gt;0),IF((111-N(P_L3_Mes)+1)=N(P_L3_Gracia)+N(P_L3_Cuotas),IF((111-N(P_L3_Mes)+1)=1,N(P_L3_Monto),DK$134),PMT(N(P_L3_Tasa)/12,N(P_L3_Cuotas),-N(P_L3_Monto))-DL$132),0)*DL$9</f>
        <v>0</v>
      </c>
      <c r="DM133" s="34" t="n">
        <f aca="false">IF(AND((112-N(P_L3_Mes)+1)&gt;N(P_L3_Gracia),(112-N(P_L3_Mes)+1)&lt;=N(P_L3_Gracia)+N(P_L3_Cuotas),N(P_L3_Cuotas)&gt;0),IF((112-N(P_L3_Mes)+1)=N(P_L3_Gracia)+N(P_L3_Cuotas),IF((112-N(P_L3_Mes)+1)=1,N(P_L3_Monto),DL$134),PMT(N(P_L3_Tasa)/12,N(P_L3_Cuotas),-N(P_L3_Monto))-DM$132),0)*DM$9</f>
        <v>0</v>
      </c>
      <c r="DN133" s="34" t="n">
        <f aca="false">IF(AND((113-N(P_L3_Mes)+1)&gt;N(P_L3_Gracia),(113-N(P_L3_Mes)+1)&lt;=N(P_L3_Gracia)+N(P_L3_Cuotas),N(P_L3_Cuotas)&gt;0),IF((113-N(P_L3_Mes)+1)=N(P_L3_Gracia)+N(P_L3_Cuotas),IF((113-N(P_L3_Mes)+1)=1,N(P_L3_Monto),DM$134),PMT(N(P_L3_Tasa)/12,N(P_L3_Cuotas),-N(P_L3_Monto))-DN$132),0)*DN$9</f>
        <v>0</v>
      </c>
      <c r="DO133" s="34" t="n">
        <f aca="false">IF(AND((114-N(P_L3_Mes)+1)&gt;N(P_L3_Gracia),(114-N(P_L3_Mes)+1)&lt;=N(P_L3_Gracia)+N(P_L3_Cuotas),N(P_L3_Cuotas)&gt;0),IF((114-N(P_L3_Mes)+1)=N(P_L3_Gracia)+N(P_L3_Cuotas),IF((114-N(P_L3_Mes)+1)=1,N(P_L3_Monto),DN$134),PMT(N(P_L3_Tasa)/12,N(P_L3_Cuotas),-N(P_L3_Monto))-DO$132),0)*DO$9</f>
        <v>0</v>
      </c>
      <c r="DP133" s="34" t="n">
        <f aca="false">IF(AND((115-N(P_L3_Mes)+1)&gt;N(P_L3_Gracia),(115-N(P_L3_Mes)+1)&lt;=N(P_L3_Gracia)+N(P_L3_Cuotas),N(P_L3_Cuotas)&gt;0),IF((115-N(P_L3_Mes)+1)=N(P_L3_Gracia)+N(P_L3_Cuotas),IF((115-N(P_L3_Mes)+1)=1,N(P_L3_Monto),DO$134),PMT(N(P_L3_Tasa)/12,N(P_L3_Cuotas),-N(P_L3_Monto))-DP$132),0)*DP$9</f>
        <v>0</v>
      </c>
      <c r="DQ133" s="34" t="n">
        <f aca="false">IF(AND((116-N(P_L3_Mes)+1)&gt;N(P_L3_Gracia),(116-N(P_L3_Mes)+1)&lt;=N(P_L3_Gracia)+N(P_L3_Cuotas),N(P_L3_Cuotas)&gt;0),IF((116-N(P_L3_Mes)+1)=N(P_L3_Gracia)+N(P_L3_Cuotas),IF((116-N(P_L3_Mes)+1)=1,N(P_L3_Monto),DP$134),PMT(N(P_L3_Tasa)/12,N(P_L3_Cuotas),-N(P_L3_Monto))-DQ$132),0)*DQ$9</f>
        <v>0</v>
      </c>
      <c r="DR133" s="34" t="n">
        <f aca="false">IF(AND((117-N(P_L3_Mes)+1)&gt;N(P_L3_Gracia),(117-N(P_L3_Mes)+1)&lt;=N(P_L3_Gracia)+N(P_L3_Cuotas),N(P_L3_Cuotas)&gt;0),IF((117-N(P_L3_Mes)+1)=N(P_L3_Gracia)+N(P_L3_Cuotas),IF((117-N(P_L3_Mes)+1)=1,N(P_L3_Monto),DQ$134),PMT(N(P_L3_Tasa)/12,N(P_L3_Cuotas),-N(P_L3_Monto))-DR$132),0)*DR$9</f>
        <v>0</v>
      </c>
      <c r="DS133" s="34" t="n">
        <f aca="false">IF(AND((118-N(P_L3_Mes)+1)&gt;N(P_L3_Gracia),(118-N(P_L3_Mes)+1)&lt;=N(P_L3_Gracia)+N(P_L3_Cuotas),N(P_L3_Cuotas)&gt;0),IF((118-N(P_L3_Mes)+1)=N(P_L3_Gracia)+N(P_L3_Cuotas),IF((118-N(P_L3_Mes)+1)=1,N(P_L3_Monto),DR$134),PMT(N(P_L3_Tasa)/12,N(P_L3_Cuotas),-N(P_L3_Monto))-DS$132),0)*DS$9</f>
        <v>0</v>
      </c>
      <c r="DT133" s="34" t="n">
        <f aca="false">IF(AND((119-N(P_L3_Mes)+1)&gt;N(P_L3_Gracia),(119-N(P_L3_Mes)+1)&lt;=N(P_L3_Gracia)+N(P_L3_Cuotas),N(P_L3_Cuotas)&gt;0),IF((119-N(P_L3_Mes)+1)=N(P_L3_Gracia)+N(P_L3_Cuotas),IF((119-N(P_L3_Mes)+1)=1,N(P_L3_Monto),DS$134),PMT(N(P_L3_Tasa)/12,N(P_L3_Cuotas),-N(P_L3_Monto))-DT$132),0)*DT$9</f>
        <v>0</v>
      </c>
      <c r="DU133" s="34" t="n">
        <f aca="false">IF(AND((120-N(P_L3_Mes)+1)&gt;N(P_L3_Gracia),(120-N(P_L3_Mes)+1)&lt;=N(P_L3_Gracia)+N(P_L3_Cuotas),N(P_L3_Cuotas)&gt;0),IF((120-N(P_L3_Mes)+1)=N(P_L3_Gracia)+N(P_L3_Cuotas),IF((120-N(P_L3_Mes)+1)=1,N(P_L3_Monto),DT$134),PMT(N(P_L3_Tasa)/12,N(P_L3_Cuotas),-N(P_L3_Monto))-DU$132),0)*DU$9</f>
        <v>0</v>
      </c>
      <c r="DV133" s="34" t="n">
        <f aca="false">IF(AND((121-N(P_L3_Mes)+1)&gt;N(P_L3_Gracia),(121-N(P_L3_Mes)+1)&lt;=N(P_L3_Gracia)+N(P_L3_Cuotas),N(P_L3_Cuotas)&gt;0),IF((121-N(P_L3_Mes)+1)=N(P_L3_Gracia)+N(P_L3_Cuotas),IF((121-N(P_L3_Mes)+1)=1,N(P_L3_Monto),DU$134),PMT(N(P_L3_Tasa)/12,N(P_L3_Cuotas),-N(P_L3_Monto))-DV$132),0)*DV$9</f>
        <v>0</v>
      </c>
      <c r="DW133" s="34" t="n">
        <f aca="false">IF(AND((122-N(P_L3_Mes)+1)&gt;N(P_L3_Gracia),(122-N(P_L3_Mes)+1)&lt;=N(P_L3_Gracia)+N(P_L3_Cuotas),N(P_L3_Cuotas)&gt;0),IF((122-N(P_L3_Mes)+1)=N(P_L3_Gracia)+N(P_L3_Cuotas),IF((122-N(P_L3_Mes)+1)=1,N(P_L3_Monto),DV$134),PMT(N(P_L3_Tasa)/12,N(P_L3_Cuotas),-N(P_L3_Monto))-DW$132),0)*DW$9</f>
        <v>0</v>
      </c>
      <c r="DX133" s="34" t="n">
        <f aca="false">IF(AND((123-N(P_L3_Mes)+1)&gt;N(P_L3_Gracia),(123-N(P_L3_Mes)+1)&lt;=N(P_L3_Gracia)+N(P_L3_Cuotas),N(P_L3_Cuotas)&gt;0),IF((123-N(P_L3_Mes)+1)=N(P_L3_Gracia)+N(P_L3_Cuotas),IF((123-N(P_L3_Mes)+1)=1,N(P_L3_Monto),DW$134),PMT(N(P_L3_Tasa)/12,N(P_L3_Cuotas),-N(P_L3_Monto))-DX$132),0)*DX$9</f>
        <v>0</v>
      </c>
      <c r="DY133" s="34" t="n">
        <f aca="false">IF(AND((124-N(P_L3_Mes)+1)&gt;N(P_L3_Gracia),(124-N(P_L3_Mes)+1)&lt;=N(P_L3_Gracia)+N(P_L3_Cuotas),N(P_L3_Cuotas)&gt;0),IF((124-N(P_L3_Mes)+1)=N(P_L3_Gracia)+N(P_L3_Cuotas),IF((124-N(P_L3_Mes)+1)=1,N(P_L3_Monto),DX$134),PMT(N(P_L3_Tasa)/12,N(P_L3_Cuotas),-N(P_L3_Monto))-DY$132),0)*DY$9</f>
        <v>0</v>
      </c>
      <c r="DZ133" s="34" t="n">
        <f aca="false">IF(AND((125-N(P_L3_Mes)+1)&gt;N(P_L3_Gracia),(125-N(P_L3_Mes)+1)&lt;=N(P_L3_Gracia)+N(P_L3_Cuotas),N(P_L3_Cuotas)&gt;0),IF((125-N(P_L3_Mes)+1)=N(P_L3_Gracia)+N(P_L3_Cuotas),IF((125-N(P_L3_Mes)+1)=1,N(P_L3_Monto),DY$134),PMT(N(P_L3_Tasa)/12,N(P_L3_Cuotas),-N(P_L3_Monto))-DZ$132),0)*DZ$9</f>
        <v>0</v>
      </c>
      <c r="EA133" s="34" t="n">
        <f aca="false">IF(AND((126-N(P_L3_Mes)+1)&gt;N(P_L3_Gracia),(126-N(P_L3_Mes)+1)&lt;=N(P_L3_Gracia)+N(P_L3_Cuotas),N(P_L3_Cuotas)&gt;0),IF((126-N(P_L3_Mes)+1)=N(P_L3_Gracia)+N(P_L3_Cuotas),IF((126-N(P_L3_Mes)+1)=1,N(P_L3_Monto),DZ$134),PMT(N(P_L3_Tasa)/12,N(P_L3_Cuotas),-N(P_L3_Monto))-EA$132),0)*EA$9</f>
        <v>0</v>
      </c>
      <c r="EB133" s="34" t="n">
        <f aca="false">IF(AND((127-N(P_L3_Mes)+1)&gt;N(P_L3_Gracia),(127-N(P_L3_Mes)+1)&lt;=N(P_L3_Gracia)+N(P_L3_Cuotas),N(P_L3_Cuotas)&gt;0),IF((127-N(P_L3_Mes)+1)=N(P_L3_Gracia)+N(P_L3_Cuotas),IF((127-N(P_L3_Mes)+1)=1,N(P_L3_Monto),EA$134),PMT(N(P_L3_Tasa)/12,N(P_L3_Cuotas),-N(P_L3_Monto))-EB$132),0)*EB$9</f>
        <v>0</v>
      </c>
      <c r="EC133" s="34" t="n">
        <f aca="false">IF(AND((128-N(P_L3_Mes)+1)&gt;N(P_L3_Gracia),(128-N(P_L3_Mes)+1)&lt;=N(P_L3_Gracia)+N(P_L3_Cuotas),N(P_L3_Cuotas)&gt;0),IF((128-N(P_L3_Mes)+1)=N(P_L3_Gracia)+N(P_L3_Cuotas),IF((128-N(P_L3_Mes)+1)=1,N(P_L3_Monto),EB$134),PMT(N(P_L3_Tasa)/12,N(P_L3_Cuotas),-N(P_L3_Monto))-EC$132),0)*EC$9</f>
        <v>0</v>
      </c>
      <c r="ED133" s="34" t="n">
        <f aca="false">IF(AND((129-N(P_L3_Mes)+1)&gt;N(P_L3_Gracia),(129-N(P_L3_Mes)+1)&lt;=N(P_L3_Gracia)+N(P_L3_Cuotas),N(P_L3_Cuotas)&gt;0),IF((129-N(P_L3_Mes)+1)=N(P_L3_Gracia)+N(P_L3_Cuotas),IF((129-N(P_L3_Mes)+1)=1,N(P_L3_Monto),EC$134),PMT(N(P_L3_Tasa)/12,N(P_L3_Cuotas),-N(P_L3_Monto))-ED$132),0)*ED$9</f>
        <v>0</v>
      </c>
      <c r="EE133" s="34" t="n">
        <f aca="false">IF(AND((130-N(P_L3_Mes)+1)&gt;N(P_L3_Gracia),(130-N(P_L3_Mes)+1)&lt;=N(P_L3_Gracia)+N(P_L3_Cuotas),N(P_L3_Cuotas)&gt;0),IF((130-N(P_L3_Mes)+1)=N(P_L3_Gracia)+N(P_L3_Cuotas),IF((130-N(P_L3_Mes)+1)=1,N(P_L3_Monto),ED$134),PMT(N(P_L3_Tasa)/12,N(P_L3_Cuotas),-N(P_L3_Monto))-EE$132),0)*EE$9</f>
        <v>0</v>
      </c>
      <c r="EF133" s="34" t="n">
        <f aca="false">IF(AND((131-N(P_L3_Mes)+1)&gt;N(P_L3_Gracia),(131-N(P_L3_Mes)+1)&lt;=N(P_L3_Gracia)+N(P_L3_Cuotas),N(P_L3_Cuotas)&gt;0),IF((131-N(P_L3_Mes)+1)=N(P_L3_Gracia)+N(P_L3_Cuotas),IF((131-N(P_L3_Mes)+1)=1,N(P_L3_Monto),EE$134),PMT(N(P_L3_Tasa)/12,N(P_L3_Cuotas),-N(P_L3_Monto))-EF$132),0)*EF$9</f>
        <v>0</v>
      </c>
      <c r="EG133" s="34" t="n">
        <f aca="false">IF(AND((132-N(P_L3_Mes)+1)&gt;N(P_L3_Gracia),(132-N(P_L3_Mes)+1)&lt;=N(P_L3_Gracia)+N(P_L3_Cuotas),N(P_L3_Cuotas)&gt;0),IF((132-N(P_L3_Mes)+1)=N(P_L3_Gracia)+N(P_L3_Cuotas),IF((132-N(P_L3_Mes)+1)=1,N(P_L3_Monto),EF$134),PMT(N(P_L3_Tasa)/12,N(P_L3_Cuotas),-N(P_L3_Monto))-EG$132),0)*EG$9</f>
        <v>0</v>
      </c>
      <c r="EH133" s="34" t="n">
        <f aca="false">IF(AND((133-N(P_L3_Mes)+1)&gt;N(P_L3_Gracia),(133-N(P_L3_Mes)+1)&lt;=N(P_L3_Gracia)+N(P_L3_Cuotas),N(P_L3_Cuotas)&gt;0),IF((133-N(P_L3_Mes)+1)=N(P_L3_Gracia)+N(P_L3_Cuotas),IF((133-N(P_L3_Mes)+1)=1,N(P_L3_Monto),EG$134),PMT(N(P_L3_Tasa)/12,N(P_L3_Cuotas),-N(P_L3_Monto))-EH$132),0)*EH$9</f>
        <v>0</v>
      </c>
      <c r="EI133" s="34" t="n">
        <f aca="false">IF(AND((134-N(P_L3_Mes)+1)&gt;N(P_L3_Gracia),(134-N(P_L3_Mes)+1)&lt;=N(P_L3_Gracia)+N(P_L3_Cuotas),N(P_L3_Cuotas)&gt;0),IF((134-N(P_L3_Mes)+1)=N(P_L3_Gracia)+N(P_L3_Cuotas),IF((134-N(P_L3_Mes)+1)=1,N(P_L3_Monto),EH$134),PMT(N(P_L3_Tasa)/12,N(P_L3_Cuotas),-N(P_L3_Monto))-EI$132),0)*EI$9</f>
        <v>0</v>
      </c>
      <c r="EJ133" s="34" t="n">
        <f aca="false">IF(AND((135-N(P_L3_Mes)+1)&gt;N(P_L3_Gracia),(135-N(P_L3_Mes)+1)&lt;=N(P_L3_Gracia)+N(P_L3_Cuotas),N(P_L3_Cuotas)&gt;0),IF((135-N(P_L3_Mes)+1)=N(P_L3_Gracia)+N(P_L3_Cuotas),IF((135-N(P_L3_Mes)+1)=1,N(P_L3_Monto),EI$134),PMT(N(P_L3_Tasa)/12,N(P_L3_Cuotas),-N(P_L3_Monto))-EJ$132),0)*EJ$9</f>
        <v>0</v>
      </c>
      <c r="EK133" s="34" t="n">
        <f aca="false">IF(AND((136-N(P_L3_Mes)+1)&gt;N(P_L3_Gracia),(136-N(P_L3_Mes)+1)&lt;=N(P_L3_Gracia)+N(P_L3_Cuotas),N(P_L3_Cuotas)&gt;0),IF((136-N(P_L3_Mes)+1)=N(P_L3_Gracia)+N(P_L3_Cuotas),IF((136-N(P_L3_Mes)+1)=1,N(P_L3_Monto),EJ$134),PMT(N(P_L3_Tasa)/12,N(P_L3_Cuotas),-N(P_L3_Monto))-EK$132),0)*EK$9</f>
        <v>0</v>
      </c>
      <c r="EL133" s="34" t="n">
        <f aca="false">IF(AND((137-N(P_L3_Mes)+1)&gt;N(P_L3_Gracia),(137-N(P_L3_Mes)+1)&lt;=N(P_L3_Gracia)+N(P_L3_Cuotas),N(P_L3_Cuotas)&gt;0),IF((137-N(P_L3_Mes)+1)=N(P_L3_Gracia)+N(P_L3_Cuotas),IF((137-N(P_L3_Mes)+1)=1,N(P_L3_Monto),EK$134),PMT(N(P_L3_Tasa)/12,N(P_L3_Cuotas),-N(P_L3_Monto))-EL$132),0)*EL$9</f>
        <v>0</v>
      </c>
      <c r="EM133" s="34" t="n">
        <f aca="false">IF(AND((138-N(P_L3_Mes)+1)&gt;N(P_L3_Gracia),(138-N(P_L3_Mes)+1)&lt;=N(P_L3_Gracia)+N(P_L3_Cuotas),N(P_L3_Cuotas)&gt;0),IF((138-N(P_L3_Mes)+1)=N(P_L3_Gracia)+N(P_L3_Cuotas),IF((138-N(P_L3_Mes)+1)=1,N(P_L3_Monto),EL$134),PMT(N(P_L3_Tasa)/12,N(P_L3_Cuotas),-N(P_L3_Monto))-EM$132),0)*EM$9</f>
        <v>0</v>
      </c>
      <c r="EN133" s="34" t="n">
        <f aca="false">IF(AND((139-N(P_L3_Mes)+1)&gt;N(P_L3_Gracia),(139-N(P_L3_Mes)+1)&lt;=N(P_L3_Gracia)+N(P_L3_Cuotas),N(P_L3_Cuotas)&gt;0),IF((139-N(P_L3_Mes)+1)=N(P_L3_Gracia)+N(P_L3_Cuotas),IF((139-N(P_L3_Mes)+1)=1,N(P_L3_Monto),EM$134),PMT(N(P_L3_Tasa)/12,N(P_L3_Cuotas),-N(P_L3_Monto))-EN$132),0)*EN$9</f>
        <v>0</v>
      </c>
      <c r="EO133" s="34" t="n">
        <f aca="false">IF(AND((140-N(P_L3_Mes)+1)&gt;N(P_L3_Gracia),(140-N(P_L3_Mes)+1)&lt;=N(P_L3_Gracia)+N(P_L3_Cuotas),N(P_L3_Cuotas)&gt;0),IF((140-N(P_L3_Mes)+1)=N(P_L3_Gracia)+N(P_L3_Cuotas),IF((140-N(P_L3_Mes)+1)=1,N(P_L3_Monto),EN$134),PMT(N(P_L3_Tasa)/12,N(P_L3_Cuotas),-N(P_L3_Monto))-EO$132),0)*EO$9</f>
        <v>0</v>
      </c>
      <c r="EP133" s="34" t="n">
        <f aca="false">IF(AND((141-N(P_L3_Mes)+1)&gt;N(P_L3_Gracia),(141-N(P_L3_Mes)+1)&lt;=N(P_L3_Gracia)+N(P_L3_Cuotas),N(P_L3_Cuotas)&gt;0),IF((141-N(P_L3_Mes)+1)=N(P_L3_Gracia)+N(P_L3_Cuotas),IF((141-N(P_L3_Mes)+1)=1,N(P_L3_Monto),EO$134),PMT(N(P_L3_Tasa)/12,N(P_L3_Cuotas),-N(P_L3_Monto))-EP$132),0)*EP$9</f>
        <v>0</v>
      </c>
      <c r="EQ133" s="34" t="n">
        <f aca="false">IF(AND((142-N(P_L3_Mes)+1)&gt;N(P_L3_Gracia),(142-N(P_L3_Mes)+1)&lt;=N(P_L3_Gracia)+N(P_L3_Cuotas),N(P_L3_Cuotas)&gt;0),IF((142-N(P_L3_Mes)+1)=N(P_L3_Gracia)+N(P_L3_Cuotas),IF((142-N(P_L3_Mes)+1)=1,N(P_L3_Monto),EP$134),PMT(N(P_L3_Tasa)/12,N(P_L3_Cuotas),-N(P_L3_Monto))-EQ$132),0)*EQ$9</f>
        <v>0</v>
      </c>
      <c r="ER133" s="34" t="n">
        <f aca="false">IF(AND((143-N(P_L3_Mes)+1)&gt;N(P_L3_Gracia),(143-N(P_L3_Mes)+1)&lt;=N(P_L3_Gracia)+N(P_L3_Cuotas),N(P_L3_Cuotas)&gt;0),IF((143-N(P_L3_Mes)+1)=N(P_L3_Gracia)+N(P_L3_Cuotas),IF((143-N(P_L3_Mes)+1)=1,N(P_L3_Monto),EQ$134),PMT(N(P_L3_Tasa)/12,N(P_L3_Cuotas),-N(P_L3_Monto))-ER$132),0)*ER$9</f>
        <v>0</v>
      </c>
      <c r="ES133" s="34" t="n">
        <f aca="false">IF(AND((144-N(P_L3_Mes)+1)&gt;N(P_L3_Gracia),(144-N(P_L3_Mes)+1)&lt;=N(P_L3_Gracia)+N(P_L3_Cuotas),N(P_L3_Cuotas)&gt;0),IF((144-N(P_L3_Mes)+1)=N(P_L3_Gracia)+N(P_L3_Cuotas),IF((144-N(P_L3_Mes)+1)=1,N(P_L3_Monto),ER$134),PMT(N(P_L3_Tasa)/12,N(P_L3_Cuotas),-N(P_L3_Monto))-ES$132),0)*ES$9</f>
        <v>0</v>
      </c>
    </row>
    <row r="134" customFormat="false" ht="15" hidden="false" customHeight="false" outlineLevel="0" collapsed="false">
      <c r="A134" s="2" t="s">
        <v>751</v>
      </c>
      <c r="B134" s="6" t="s">
        <v>752</v>
      </c>
      <c r="C134" s="6" t="s">
        <v>250</v>
      </c>
      <c r="E134" s="40" t="n">
        <f aca="false">INDEX(F134:ES134,1,MIN(144,Fin))</f>
        <v>0</v>
      </c>
      <c r="F134" s="34" t="n">
        <f aca="false">IF((1-N(P_L3_Mes)+1)&lt;1,0,IF((1-N(P_L3_Mes)+1)=1,N(P_L3_Monto),0)-F$133)</f>
        <v>0</v>
      </c>
      <c r="G134" s="34" t="n">
        <f aca="false">IF((2-N(P_L3_Mes)+1)&lt;1,0,IF((2-N(P_L3_Mes)+1)=1,N(P_L3_Monto),F$134)-G$133)</f>
        <v>0</v>
      </c>
      <c r="H134" s="34" t="n">
        <f aca="false">IF((3-N(P_L3_Mes)+1)&lt;1,0,IF((3-N(P_L3_Mes)+1)=1,N(P_L3_Monto),G$134)-H$133)</f>
        <v>0</v>
      </c>
      <c r="I134" s="34" t="n">
        <f aca="false">IF((4-N(P_L3_Mes)+1)&lt;1,0,IF((4-N(P_L3_Mes)+1)=1,N(P_L3_Monto),H$134)-I$133)</f>
        <v>0</v>
      </c>
      <c r="J134" s="34" t="n">
        <f aca="false">IF((5-N(P_L3_Mes)+1)&lt;1,0,IF((5-N(P_L3_Mes)+1)=1,N(P_L3_Monto),I$134)-J$133)</f>
        <v>0</v>
      </c>
      <c r="K134" s="34" t="n">
        <f aca="false">IF((6-N(P_L3_Mes)+1)&lt;1,0,IF((6-N(P_L3_Mes)+1)=1,N(P_L3_Monto),J$134)-K$133)</f>
        <v>0</v>
      </c>
      <c r="L134" s="34" t="n">
        <f aca="false">IF((7-N(P_L3_Mes)+1)&lt;1,0,IF((7-N(P_L3_Mes)+1)=1,N(P_L3_Monto),K$134)-L$133)</f>
        <v>0</v>
      </c>
      <c r="M134" s="34" t="n">
        <f aca="false">IF((8-N(P_L3_Mes)+1)&lt;1,0,IF((8-N(P_L3_Mes)+1)=1,N(P_L3_Monto),L$134)-M$133)</f>
        <v>0</v>
      </c>
      <c r="N134" s="34" t="n">
        <f aca="false">IF((9-N(P_L3_Mes)+1)&lt;1,0,IF((9-N(P_L3_Mes)+1)=1,N(P_L3_Monto),M$134)-N$133)</f>
        <v>0</v>
      </c>
      <c r="O134" s="34" t="n">
        <f aca="false">IF((10-N(P_L3_Mes)+1)&lt;1,0,IF((10-N(P_L3_Mes)+1)=1,N(P_L3_Monto),N$134)-O$133)</f>
        <v>0</v>
      </c>
      <c r="P134" s="34" t="n">
        <f aca="false">IF((11-N(P_L3_Mes)+1)&lt;1,0,IF((11-N(P_L3_Mes)+1)=1,N(P_L3_Monto),O$134)-P$133)</f>
        <v>0</v>
      </c>
      <c r="Q134" s="34" t="n">
        <f aca="false">IF((12-N(P_L3_Mes)+1)&lt;1,0,IF((12-N(P_L3_Mes)+1)=1,N(P_L3_Monto),P$134)-Q$133)</f>
        <v>0</v>
      </c>
      <c r="R134" s="34" t="n">
        <f aca="false">IF((13-N(P_L3_Mes)+1)&lt;1,0,IF((13-N(P_L3_Mes)+1)=1,N(P_L3_Monto),Q$134)-R$133)</f>
        <v>0</v>
      </c>
      <c r="S134" s="34" t="n">
        <f aca="false">IF((14-N(P_L3_Mes)+1)&lt;1,0,IF((14-N(P_L3_Mes)+1)=1,N(P_L3_Monto),R$134)-S$133)</f>
        <v>0</v>
      </c>
      <c r="T134" s="34" t="n">
        <f aca="false">IF((15-N(P_L3_Mes)+1)&lt;1,0,IF((15-N(P_L3_Mes)+1)=1,N(P_L3_Monto),S$134)-T$133)</f>
        <v>0</v>
      </c>
      <c r="U134" s="34" t="n">
        <f aca="false">IF((16-N(P_L3_Mes)+1)&lt;1,0,IF((16-N(P_L3_Mes)+1)=1,N(P_L3_Monto),T$134)-U$133)</f>
        <v>0</v>
      </c>
      <c r="V134" s="34" t="n">
        <f aca="false">IF((17-N(P_L3_Mes)+1)&lt;1,0,IF((17-N(P_L3_Mes)+1)=1,N(P_L3_Monto),U$134)-V$133)</f>
        <v>0</v>
      </c>
      <c r="W134" s="34" t="n">
        <f aca="false">IF((18-N(P_L3_Mes)+1)&lt;1,0,IF((18-N(P_L3_Mes)+1)=1,N(P_L3_Monto),V$134)-W$133)</f>
        <v>0</v>
      </c>
      <c r="X134" s="34" t="n">
        <f aca="false">IF((19-N(P_L3_Mes)+1)&lt;1,0,IF((19-N(P_L3_Mes)+1)=1,N(P_L3_Monto),W$134)-X$133)</f>
        <v>0</v>
      </c>
      <c r="Y134" s="34" t="n">
        <f aca="false">IF((20-N(P_L3_Mes)+1)&lt;1,0,IF((20-N(P_L3_Mes)+1)=1,N(P_L3_Monto),X$134)-Y$133)</f>
        <v>0</v>
      </c>
      <c r="Z134" s="34" t="n">
        <f aca="false">IF((21-N(P_L3_Mes)+1)&lt;1,0,IF((21-N(P_L3_Mes)+1)=1,N(P_L3_Monto),Y$134)-Z$133)</f>
        <v>0</v>
      </c>
      <c r="AA134" s="34" t="n">
        <f aca="false">IF((22-N(P_L3_Mes)+1)&lt;1,0,IF((22-N(P_L3_Mes)+1)=1,N(P_L3_Monto),Z$134)-AA$133)</f>
        <v>0</v>
      </c>
      <c r="AB134" s="34" t="n">
        <f aca="false">IF((23-N(P_L3_Mes)+1)&lt;1,0,IF((23-N(P_L3_Mes)+1)=1,N(P_L3_Monto),AA$134)-AB$133)</f>
        <v>0</v>
      </c>
      <c r="AC134" s="34" t="n">
        <f aca="false">IF((24-N(P_L3_Mes)+1)&lt;1,0,IF((24-N(P_L3_Mes)+1)=1,N(P_L3_Monto),AB$134)-AC$133)</f>
        <v>0</v>
      </c>
      <c r="AD134" s="34" t="n">
        <f aca="false">IF((25-N(P_L3_Mes)+1)&lt;1,0,IF((25-N(P_L3_Mes)+1)=1,N(P_L3_Monto),AC$134)-AD$133)</f>
        <v>0</v>
      </c>
      <c r="AE134" s="34" t="n">
        <f aca="false">IF((26-N(P_L3_Mes)+1)&lt;1,0,IF((26-N(P_L3_Mes)+1)=1,N(P_L3_Monto),AD$134)-AE$133)</f>
        <v>0</v>
      </c>
      <c r="AF134" s="34" t="n">
        <f aca="false">IF((27-N(P_L3_Mes)+1)&lt;1,0,IF((27-N(P_L3_Mes)+1)=1,N(P_L3_Monto),AE$134)-AF$133)</f>
        <v>0</v>
      </c>
      <c r="AG134" s="34" t="n">
        <f aca="false">IF((28-N(P_L3_Mes)+1)&lt;1,0,IF((28-N(P_L3_Mes)+1)=1,N(P_L3_Monto),AF$134)-AG$133)</f>
        <v>0</v>
      </c>
      <c r="AH134" s="34" t="n">
        <f aca="false">IF((29-N(P_L3_Mes)+1)&lt;1,0,IF((29-N(P_L3_Mes)+1)=1,N(P_L3_Monto),AG$134)-AH$133)</f>
        <v>0</v>
      </c>
      <c r="AI134" s="34" t="n">
        <f aca="false">IF((30-N(P_L3_Mes)+1)&lt;1,0,IF((30-N(P_L3_Mes)+1)=1,N(P_L3_Monto),AH$134)-AI$133)</f>
        <v>0</v>
      </c>
      <c r="AJ134" s="34" t="n">
        <f aca="false">IF((31-N(P_L3_Mes)+1)&lt;1,0,IF((31-N(P_L3_Mes)+1)=1,N(P_L3_Monto),AI$134)-AJ$133)</f>
        <v>0</v>
      </c>
      <c r="AK134" s="34" t="n">
        <f aca="false">IF((32-N(P_L3_Mes)+1)&lt;1,0,IF((32-N(P_L3_Mes)+1)=1,N(P_L3_Monto),AJ$134)-AK$133)</f>
        <v>0</v>
      </c>
      <c r="AL134" s="34" t="n">
        <f aca="false">IF((33-N(P_L3_Mes)+1)&lt;1,0,IF((33-N(P_L3_Mes)+1)=1,N(P_L3_Monto),AK$134)-AL$133)</f>
        <v>0</v>
      </c>
      <c r="AM134" s="34" t="n">
        <f aca="false">IF((34-N(P_L3_Mes)+1)&lt;1,0,IF((34-N(P_L3_Mes)+1)=1,N(P_L3_Monto),AL$134)-AM$133)</f>
        <v>0</v>
      </c>
      <c r="AN134" s="34" t="n">
        <f aca="false">IF((35-N(P_L3_Mes)+1)&lt;1,0,IF((35-N(P_L3_Mes)+1)=1,N(P_L3_Monto),AM$134)-AN$133)</f>
        <v>0</v>
      </c>
      <c r="AO134" s="34" t="n">
        <f aca="false">IF((36-N(P_L3_Mes)+1)&lt;1,0,IF((36-N(P_L3_Mes)+1)=1,N(P_L3_Monto),AN$134)-AO$133)</f>
        <v>0</v>
      </c>
      <c r="AP134" s="34" t="n">
        <f aca="false">IF((37-N(P_L3_Mes)+1)&lt;1,0,IF((37-N(P_L3_Mes)+1)=1,N(P_L3_Monto),AO$134)-AP$133)</f>
        <v>0</v>
      </c>
      <c r="AQ134" s="34" t="n">
        <f aca="false">IF((38-N(P_L3_Mes)+1)&lt;1,0,IF((38-N(P_L3_Mes)+1)=1,N(P_L3_Monto),AP$134)-AQ$133)</f>
        <v>0</v>
      </c>
      <c r="AR134" s="34" t="n">
        <f aca="false">IF((39-N(P_L3_Mes)+1)&lt;1,0,IF((39-N(P_L3_Mes)+1)=1,N(P_L3_Monto),AQ$134)-AR$133)</f>
        <v>0</v>
      </c>
      <c r="AS134" s="34" t="n">
        <f aca="false">IF((40-N(P_L3_Mes)+1)&lt;1,0,IF((40-N(P_L3_Mes)+1)=1,N(P_L3_Monto),AR$134)-AS$133)</f>
        <v>0</v>
      </c>
      <c r="AT134" s="34" t="n">
        <f aca="false">IF((41-N(P_L3_Mes)+1)&lt;1,0,IF((41-N(P_L3_Mes)+1)=1,N(P_L3_Monto),AS$134)-AT$133)</f>
        <v>0</v>
      </c>
      <c r="AU134" s="34" t="n">
        <f aca="false">IF((42-N(P_L3_Mes)+1)&lt;1,0,IF((42-N(P_L3_Mes)+1)=1,N(P_L3_Monto),AT$134)-AU$133)</f>
        <v>0</v>
      </c>
      <c r="AV134" s="34" t="n">
        <f aca="false">IF((43-N(P_L3_Mes)+1)&lt;1,0,IF((43-N(P_L3_Mes)+1)=1,N(P_L3_Monto),AU$134)-AV$133)</f>
        <v>0</v>
      </c>
      <c r="AW134" s="34" t="n">
        <f aca="false">IF((44-N(P_L3_Mes)+1)&lt;1,0,IF((44-N(P_L3_Mes)+1)=1,N(P_L3_Monto),AV$134)-AW$133)</f>
        <v>0</v>
      </c>
      <c r="AX134" s="34" t="n">
        <f aca="false">IF((45-N(P_L3_Mes)+1)&lt;1,0,IF((45-N(P_L3_Mes)+1)=1,N(P_L3_Monto),AW$134)-AX$133)</f>
        <v>0</v>
      </c>
      <c r="AY134" s="34" t="n">
        <f aca="false">IF((46-N(P_L3_Mes)+1)&lt;1,0,IF((46-N(P_L3_Mes)+1)=1,N(P_L3_Monto),AX$134)-AY$133)</f>
        <v>0</v>
      </c>
      <c r="AZ134" s="34" t="n">
        <f aca="false">IF((47-N(P_L3_Mes)+1)&lt;1,0,IF((47-N(P_L3_Mes)+1)=1,N(P_L3_Monto),AY$134)-AZ$133)</f>
        <v>0</v>
      </c>
      <c r="BA134" s="34" t="n">
        <f aca="false">IF((48-N(P_L3_Mes)+1)&lt;1,0,IF((48-N(P_L3_Mes)+1)=1,N(P_L3_Monto),AZ$134)-BA$133)</f>
        <v>0</v>
      </c>
      <c r="BB134" s="34" t="n">
        <f aca="false">IF((49-N(P_L3_Mes)+1)&lt;1,0,IF((49-N(P_L3_Mes)+1)=1,N(P_L3_Monto),BA$134)-BB$133)</f>
        <v>0</v>
      </c>
      <c r="BC134" s="34" t="n">
        <f aca="false">IF((50-N(P_L3_Mes)+1)&lt;1,0,IF((50-N(P_L3_Mes)+1)=1,N(P_L3_Monto),BB$134)-BC$133)</f>
        <v>0</v>
      </c>
      <c r="BD134" s="34" t="n">
        <f aca="false">IF((51-N(P_L3_Mes)+1)&lt;1,0,IF((51-N(P_L3_Mes)+1)=1,N(P_L3_Monto),BC$134)-BD$133)</f>
        <v>0</v>
      </c>
      <c r="BE134" s="34" t="n">
        <f aca="false">IF((52-N(P_L3_Mes)+1)&lt;1,0,IF((52-N(P_L3_Mes)+1)=1,N(P_L3_Monto),BD$134)-BE$133)</f>
        <v>0</v>
      </c>
      <c r="BF134" s="34" t="n">
        <f aca="false">IF((53-N(P_L3_Mes)+1)&lt;1,0,IF((53-N(P_L3_Mes)+1)=1,N(P_L3_Monto),BE$134)-BF$133)</f>
        <v>0</v>
      </c>
      <c r="BG134" s="34" t="n">
        <f aca="false">IF((54-N(P_L3_Mes)+1)&lt;1,0,IF((54-N(P_L3_Mes)+1)=1,N(P_L3_Monto),BF$134)-BG$133)</f>
        <v>0</v>
      </c>
      <c r="BH134" s="34" t="n">
        <f aca="false">IF((55-N(P_L3_Mes)+1)&lt;1,0,IF((55-N(P_L3_Mes)+1)=1,N(P_L3_Monto),BG$134)-BH$133)</f>
        <v>0</v>
      </c>
      <c r="BI134" s="34" t="n">
        <f aca="false">IF((56-N(P_L3_Mes)+1)&lt;1,0,IF((56-N(P_L3_Mes)+1)=1,N(P_L3_Monto),BH$134)-BI$133)</f>
        <v>0</v>
      </c>
      <c r="BJ134" s="34" t="n">
        <f aca="false">IF((57-N(P_L3_Mes)+1)&lt;1,0,IF((57-N(P_L3_Mes)+1)=1,N(P_L3_Monto),BI$134)-BJ$133)</f>
        <v>0</v>
      </c>
      <c r="BK134" s="34" t="n">
        <f aca="false">IF((58-N(P_L3_Mes)+1)&lt;1,0,IF((58-N(P_L3_Mes)+1)=1,N(P_L3_Monto),BJ$134)-BK$133)</f>
        <v>0</v>
      </c>
      <c r="BL134" s="34" t="n">
        <f aca="false">IF((59-N(P_L3_Mes)+1)&lt;1,0,IF((59-N(P_L3_Mes)+1)=1,N(P_L3_Monto),BK$134)-BL$133)</f>
        <v>0</v>
      </c>
      <c r="BM134" s="34" t="n">
        <f aca="false">IF((60-N(P_L3_Mes)+1)&lt;1,0,IF((60-N(P_L3_Mes)+1)=1,N(P_L3_Monto),BL$134)-BM$133)</f>
        <v>0</v>
      </c>
      <c r="BN134" s="34" t="n">
        <f aca="false">IF((61-N(P_L3_Mes)+1)&lt;1,0,IF((61-N(P_L3_Mes)+1)=1,N(P_L3_Monto),BM$134)-BN$133)</f>
        <v>0</v>
      </c>
      <c r="BO134" s="34" t="n">
        <f aca="false">IF((62-N(P_L3_Mes)+1)&lt;1,0,IF((62-N(P_L3_Mes)+1)=1,N(P_L3_Monto),BN$134)-BO$133)</f>
        <v>0</v>
      </c>
      <c r="BP134" s="34" t="n">
        <f aca="false">IF((63-N(P_L3_Mes)+1)&lt;1,0,IF((63-N(P_L3_Mes)+1)=1,N(P_L3_Monto),BO$134)-BP$133)</f>
        <v>0</v>
      </c>
      <c r="BQ134" s="34" t="n">
        <f aca="false">IF((64-N(P_L3_Mes)+1)&lt;1,0,IF((64-N(P_L3_Mes)+1)=1,N(P_L3_Monto),BP$134)-BQ$133)</f>
        <v>0</v>
      </c>
      <c r="BR134" s="34" t="n">
        <f aca="false">IF((65-N(P_L3_Mes)+1)&lt;1,0,IF((65-N(P_L3_Mes)+1)=1,N(P_L3_Monto),BQ$134)-BR$133)</f>
        <v>0</v>
      </c>
      <c r="BS134" s="34" t="n">
        <f aca="false">IF((66-N(P_L3_Mes)+1)&lt;1,0,IF((66-N(P_L3_Mes)+1)=1,N(P_L3_Monto),BR$134)-BS$133)</f>
        <v>0</v>
      </c>
      <c r="BT134" s="34" t="n">
        <f aca="false">IF((67-N(P_L3_Mes)+1)&lt;1,0,IF((67-N(P_L3_Mes)+1)=1,N(P_L3_Monto),BS$134)-BT$133)</f>
        <v>0</v>
      </c>
      <c r="BU134" s="34" t="n">
        <f aca="false">IF((68-N(P_L3_Mes)+1)&lt;1,0,IF((68-N(P_L3_Mes)+1)=1,N(P_L3_Monto),BT$134)-BU$133)</f>
        <v>0</v>
      </c>
      <c r="BV134" s="34" t="n">
        <f aca="false">IF((69-N(P_L3_Mes)+1)&lt;1,0,IF((69-N(P_L3_Mes)+1)=1,N(P_L3_Monto),BU$134)-BV$133)</f>
        <v>0</v>
      </c>
      <c r="BW134" s="34" t="n">
        <f aca="false">IF((70-N(P_L3_Mes)+1)&lt;1,0,IF((70-N(P_L3_Mes)+1)=1,N(P_L3_Monto),BV$134)-BW$133)</f>
        <v>0</v>
      </c>
      <c r="BX134" s="34" t="n">
        <f aca="false">IF((71-N(P_L3_Mes)+1)&lt;1,0,IF((71-N(P_L3_Mes)+1)=1,N(P_L3_Monto),BW$134)-BX$133)</f>
        <v>0</v>
      </c>
      <c r="BY134" s="34" t="n">
        <f aca="false">IF((72-N(P_L3_Mes)+1)&lt;1,0,IF((72-N(P_L3_Mes)+1)=1,N(P_L3_Monto),BX$134)-BY$133)</f>
        <v>0</v>
      </c>
      <c r="BZ134" s="34" t="n">
        <f aca="false">IF((73-N(P_L3_Mes)+1)&lt;1,0,IF((73-N(P_L3_Mes)+1)=1,N(P_L3_Monto),BY$134)-BZ$133)</f>
        <v>0</v>
      </c>
      <c r="CA134" s="34" t="n">
        <f aca="false">IF((74-N(P_L3_Mes)+1)&lt;1,0,IF((74-N(P_L3_Mes)+1)=1,N(P_L3_Monto),BZ$134)-CA$133)</f>
        <v>0</v>
      </c>
      <c r="CB134" s="34" t="n">
        <f aca="false">IF((75-N(P_L3_Mes)+1)&lt;1,0,IF((75-N(P_L3_Mes)+1)=1,N(P_L3_Monto),CA$134)-CB$133)</f>
        <v>0</v>
      </c>
      <c r="CC134" s="34" t="n">
        <f aca="false">IF((76-N(P_L3_Mes)+1)&lt;1,0,IF((76-N(P_L3_Mes)+1)=1,N(P_L3_Monto),CB$134)-CC$133)</f>
        <v>0</v>
      </c>
      <c r="CD134" s="34" t="n">
        <f aca="false">IF((77-N(P_L3_Mes)+1)&lt;1,0,IF((77-N(P_L3_Mes)+1)=1,N(P_L3_Monto),CC$134)-CD$133)</f>
        <v>0</v>
      </c>
      <c r="CE134" s="34" t="n">
        <f aca="false">IF((78-N(P_L3_Mes)+1)&lt;1,0,IF((78-N(P_L3_Mes)+1)=1,N(P_L3_Monto),CD$134)-CE$133)</f>
        <v>0</v>
      </c>
      <c r="CF134" s="34" t="n">
        <f aca="false">IF((79-N(P_L3_Mes)+1)&lt;1,0,IF((79-N(P_L3_Mes)+1)=1,N(P_L3_Monto),CE$134)-CF$133)</f>
        <v>0</v>
      </c>
      <c r="CG134" s="34" t="n">
        <f aca="false">IF((80-N(P_L3_Mes)+1)&lt;1,0,IF((80-N(P_L3_Mes)+1)=1,N(P_L3_Monto),CF$134)-CG$133)</f>
        <v>0</v>
      </c>
      <c r="CH134" s="34" t="n">
        <f aca="false">IF((81-N(P_L3_Mes)+1)&lt;1,0,IF((81-N(P_L3_Mes)+1)=1,N(P_L3_Monto),CG$134)-CH$133)</f>
        <v>0</v>
      </c>
      <c r="CI134" s="34" t="n">
        <f aca="false">IF((82-N(P_L3_Mes)+1)&lt;1,0,IF((82-N(P_L3_Mes)+1)=1,N(P_L3_Monto),CH$134)-CI$133)</f>
        <v>0</v>
      </c>
      <c r="CJ134" s="34" t="n">
        <f aca="false">IF((83-N(P_L3_Mes)+1)&lt;1,0,IF((83-N(P_L3_Mes)+1)=1,N(P_L3_Monto),CI$134)-CJ$133)</f>
        <v>0</v>
      </c>
      <c r="CK134" s="34" t="n">
        <f aca="false">IF((84-N(P_L3_Mes)+1)&lt;1,0,IF((84-N(P_L3_Mes)+1)=1,N(P_L3_Monto),CJ$134)-CK$133)</f>
        <v>0</v>
      </c>
      <c r="CL134" s="34" t="n">
        <f aca="false">IF((85-N(P_L3_Mes)+1)&lt;1,0,IF((85-N(P_L3_Mes)+1)=1,N(P_L3_Monto),CK$134)-CL$133)</f>
        <v>0</v>
      </c>
      <c r="CM134" s="34" t="n">
        <f aca="false">IF((86-N(P_L3_Mes)+1)&lt;1,0,IF((86-N(P_L3_Mes)+1)=1,N(P_L3_Monto),CL$134)-CM$133)</f>
        <v>0</v>
      </c>
      <c r="CN134" s="34" t="n">
        <f aca="false">IF((87-N(P_L3_Mes)+1)&lt;1,0,IF((87-N(P_L3_Mes)+1)=1,N(P_L3_Monto),CM$134)-CN$133)</f>
        <v>0</v>
      </c>
      <c r="CO134" s="34" t="n">
        <f aca="false">IF((88-N(P_L3_Mes)+1)&lt;1,0,IF((88-N(P_L3_Mes)+1)=1,N(P_L3_Monto),CN$134)-CO$133)</f>
        <v>0</v>
      </c>
      <c r="CP134" s="34" t="n">
        <f aca="false">IF((89-N(P_L3_Mes)+1)&lt;1,0,IF((89-N(P_L3_Mes)+1)=1,N(P_L3_Monto),CO$134)-CP$133)</f>
        <v>0</v>
      </c>
      <c r="CQ134" s="34" t="n">
        <f aca="false">IF((90-N(P_L3_Mes)+1)&lt;1,0,IF((90-N(P_L3_Mes)+1)=1,N(P_L3_Monto),CP$134)-CQ$133)</f>
        <v>0</v>
      </c>
      <c r="CR134" s="34" t="n">
        <f aca="false">IF((91-N(P_L3_Mes)+1)&lt;1,0,IF((91-N(P_L3_Mes)+1)=1,N(P_L3_Monto),CQ$134)-CR$133)</f>
        <v>0</v>
      </c>
      <c r="CS134" s="34" t="n">
        <f aca="false">IF((92-N(P_L3_Mes)+1)&lt;1,0,IF((92-N(P_L3_Mes)+1)=1,N(P_L3_Monto),CR$134)-CS$133)</f>
        <v>0</v>
      </c>
      <c r="CT134" s="34" t="n">
        <f aca="false">IF((93-N(P_L3_Mes)+1)&lt;1,0,IF((93-N(P_L3_Mes)+1)=1,N(P_L3_Monto),CS$134)-CT$133)</f>
        <v>0</v>
      </c>
      <c r="CU134" s="34" t="n">
        <f aca="false">IF((94-N(P_L3_Mes)+1)&lt;1,0,IF((94-N(P_L3_Mes)+1)=1,N(P_L3_Monto),CT$134)-CU$133)</f>
        <v>0</v>
      </c>
      <c r="CV134" s="34" t="n">
        <f aca="false">IF((95-N(P_L3_Mes)+1)&lt;1,0,IF((95-N(P_L3_Mes)+1)=1,N(P_L3_Monto),CU$134)-CV$133)</f>
        <v>0</v>
      </c>
      <c r="CW134" s="34" t="n">
        <f aca="false">IF((96-N(P_L3_Mes)+1)&lt;1,0,IF((96-N(P_L3_Mes)+1)=1,N(P_L3_Monto),CV$134)-CW$133)</f>
        <v>0</v>
      </c>
      <c r="CX134" s="34" t="n">
        <f aca="false">IF((97-N(P_L3_Mes)+1)&lt;1,0,IF((97-N(P_L3_Mes)+1)=1,N(P_L3_Monto),CW$134)-CX$133)</f>
        <v>0</v>
      </c>
      <c r="CY134" s="34" t="n">
        <f aca="false">IF((98-N(P_L3_Mes)+1)&lt;1,0,IF((98-N(P_L3_Mes)+1)=1,N(P_L3_Monto),CX$134)-CY$133)</f>
        <v>0</v>
      </c>
      <c r="CZ134" s="34" t="n">
        <f aca="false">IF((99-N(P_L3_Mes)+1)&lt;1,0,IF((99-N(P_L3_Mes)+1)=1,N(P_L3_Monto),CY$134)-CZ$133)</f>
        <v>0</v>
      </c>
      <c r="DA134" s="34" t="n">
        <f aca="false">IF((100-N(P_L3_Mes)+1)&lt;1,0,IF((100-N(P_L3_Mes)+1)=1,N(P_L3_Monto),CZ$134)-DA$133)</f>
        <v>0</v>
      </c>
      <c r="DB134" s="34" t="n">
        <f aca="false">IF((101-N(P_L3_Mes)+1)&lt;1,0,IF((101-N(P_L3_Mes)+1)=1,N(P_L3_Monto),DA$134)-DB$133)</f>
        <v>0</v>
      </c>
      <c r="DC134" s="34" t="n">
        <f aca="false">IF((102-N(P_L3_Mes)+1)&lt;1,0,IF((102-N(P_L3_Mes)+1)=1,N(P_L3_Monto),DB$134)-DC$133)</f>
        <v>0</v>
      </c>
      <c r="DD134" s="34" t="n">
        <f aca="false">IF((103-N(P_L3_Mes)+1)&lt;1,0,IF((103-N(P_L3_Mes)+1)=1,N(P_L3_Monto),DC$134)-DD$133)</f>
        <v>0</v>
      </c>
      <c r="DE134" s="34" t="n">
        <f aca="false">IF((104-N(P_L3_Mes)+1)&lt;1,0,IF((104-N(P_L3_Mes)+1)=1,N(P_L3_Monto),DD$134)-DE$133)</f>
        <v>0</v>
      </c>
      <c r="DF134" s="34" t="n">
        <f aca="false">IF((105-N(P_L3_Mes)+1)&lt;1,0,IF((105-N(P_L3_Mes)+1)=1,N(P_L3_Monto),DE$134)-DF$133)</f>
        <v>0</v>
      </c>
      <c r="DG134" s="34" t="n">
        <f aca="false">IF((106-N(P_L3_Mes)+1)&lt;1,0,IF((106-N(P_L3_Mes)+1)=1,N(P_L3_Monto),DF$134)-DG$133)</f>
        <v>0</v>
      </c>
      <c r="DH134" s="34" t="n">
        <f aca="false">IF((107-N(P_L3_Mes)+1)&lt;1,0,IF((107-N(P_L3_Mes)+1)=1,N(P_L3_Monto),DG$134)-DH$133)</f>
        <v>0</v>
      </c>
      <c r="DI134" s="34" t="n">
        <f aca="false">IF((108-N(P_L3_Mes)+1)&lt;1,0,IF((108-N(P_L3_Mes)+1)=1,N(P_L3_Monto),DH$134)-DI$133)</f>
        <v>0</v>
      </c>
      <c r="DJ134" s="34" t="n">
        <f aca="false">IF((109-N(P_L3_Mes)+1)&lt;1,0,IF((109-N(P_L3_Mes)+1)=1,N(P_L3_Monto),DI$134)-DJ$133)</f>
        <v>0</v>
      </c>
      <c r="DK134" s="34" t="n">
        <f aca="false">IF((110-N(P_L3_Mes)+1)&lt;1,0,IF((110-N(P_L3_Mes)+1)=1,N(P_L3_Monto),DJ$134)-DK$133)</f>
        <v>0</v>
      </c>
      <c r="DL134" s="34" t="n">
        <f aca="false">IF((111-N(P_L3_Mes)+1)&lt;1,0,IF((111-N(P_L3_Mes)+1)=1,N(P_L3_Monto),DK$134)-DL$133)</f>
        <v>0</v>
      </c>
      <c r="DM134" s="34" t="n">
        <f aca="false">IF((112-N(P_L3_Mes)+1)&lt;1,0,IF((112-N(P_L3_Mes)+1)=1,N(P_L3_Monto),DL$134)-DM$133)</f>
        <v>0</v>
      </c>
      <c r="DN134" s="34" t="n">
        <f aca="false">IF((113-N(P_L3_Mes)+1)&lt;1,0,IF((113-N(P_L3_Mes)+1)=1,N(P_L3_Monto),DM$134)-DN$133)</f>
        <v>0</v>
      </c>
      <c r="DO134" s="34" t="n">
        <f aca="false">IF((114-N(P_L3_Mes)+1)&lt;1,0,IF((114-N(P_L3_Mes)+1)=1,N(P_L3_Monto),DN$134)-DO$133)</f>
        <v>0</v>
      </c>
      <c r="DP134" s="34" t="n">
        <f aca="false">IF((115-N(P_L3_Mes)+1)&lt;1,0,IF((115-N(P_L3_Mes)+1)=1,N(P_L3_Monto),DO$134)-DP$133)</f>
        <v>0</v>
      </c>
      <c r="DQ134" s="34" t="n">
        <f aca="false">IF((116-N(P_L3_Mes)+1)&lt;1,0,IF((116-N(P_L3_Mes)+1)=1,N(P_L3_Monto),DP$134)-DQ$133)</f>
        <v>0</v>
      </c>
      <c r="DR134" s="34" t="n">
        <f aca="false">IF((117-N(P_L3_Mes)+1)&lt;1,0,IF((117-N(P_L3_Mes)+1)=1,N(P_L3_Monto),DQ$134)-DR$133)</f>
        <v>0</v>
      </c>
      <c r="DS134" s="34" t="n">
        <f aca="false">IF((118-N(P_L3_Mes)+1)&lt;1,0,IF((118-N(P_L3_Mes)+1)=1,N(P_L3_Monto),DR$134)-DS$133)</f>
        <v>0</v>
      </c>
      <c r="DT134" s="34" t="n">
        <f aca="false">IF((119-N(P_L3_Mes)+1)&lt;1,0,IF((119-N(P_L3_Mes)+1)=1,N(P_L3_Monto),DS$134)-DT$133)</f>
        <v>0</v>
      </c>
      <c r="DU134" s="34" t="n">
        <f aca="false">IF((120-N(P_L3_Mes)+1)&lt;1,0,IF((120-N(P_L3_Mes)+1)=1,N(P_L3_Monto),DT$134)-DU$133)</f>
        <v>0</v>
      </c>
      <c r="DV134" s="34" t="n">
        <f aca="false">IF((121-N(P_L3_Mes)+1)&lt;1,0,IF((121-N(P_L3_Mes)+1)=1,N(P_L3_Monto),DU$134)-DV$133)</f>
        <v>0</v>
      </c>
      <c r="DW134" s="34" t="n">
        <f aca="false">IF((122-N(P_L3_Mes)+1)&lt;1,0,IF((122-N(P_L3_Mes)+1)=1,N(P_L3_Monto),DV$134)-DW$133)</f>
        <v>0</v>
      </c>
      <c r="DX134" s="34" t="n">
        <f aca="false">IF((123-N(P_L3_Mes)+1)&lt;1,0,IF((123-N(P_L3_Mes)+1)=1,N(P_L3_Monto),DW$134)-DX$133)</f>
        <v>0</v>
      </c>
      <c r="DY134" s="34" t="n">
        <f aca="false">IF((124-N(P_L3_Mes)+1)&lt;1,0,IF((124-N(P_L3_Mes)+1)=1,N(P_L3_Monto),DX$134)-DY$133)</f>
        <v>0</v>
      </c>
      <c r="DZ134" s="34" t="n">
        <f aca="false">IF((125-N(P_L3_Mes)+1)&lt;1,0,IF((125-N(P_L3_Mes)+1)=1,N(P_L3_Monto),DY$134)-DZ$133)</f>
        <v>0</v>
      </c>
      <c r="EA134" s="34" t="n">
        <f aca="false">IF((126-N(P_L3_Mes)+1)&lt;1,0,IF((126-N(P_L3_Mes)+1)=1,N(P_L3_Monto),DZ$134)-EA$133)</f>
        <v>0</v>
      </c>
      <c r="EB134" s="34" t="n">
        <f aca="false">IF((127-N(P_L3_Mes)+1)&lt;1,0,IF((127-N(P_L3_Mes)+1)=1,N(P_L3_Monto),EA$134)-EB$133)</f>
        <v>0</v>
      </c>
      <c r="EC134" s="34" t="n">
        <f aca="false">IF((128-N(P_L3_Mes)+1)&lt;1,0,IF((128-N(P_L3_Mes)+1)=1,N(P_L3_Monto),EB$134)-EC$133)</f>
        <v>0</v>
      </c>
      <c r="ED134" s="34" t="n">
        <f aca="false">IF((129-N(P_L3_Mes)+1)&lt;1,0,IF((129-N(P_L3_Mes)+1)=1,N(P_L3_Monto),EC$134)-ED$133)</f>
        <v>0</v>
      </c>
      <c r="EE134" s="34" t="n">
        <f aca="false">IF((130-N(P_L3_Mes)+1)&lt;1,0,IF((130-N(P_L3_Mes)+1)=1,N(P_L3_Monto),ED$134)-EE$133)</f>
        <v>0</v>
      </c>
      <c r="EF134" s="34" t="n">
        <f aca="false">IF((131-N(P_L3_Mes)+1)&lt;1,0,IF((131-N(P_L3_Mes)+1)=1,N(P_L3_Monto),EE$134)-EF$133)</f>
        <v>0</v>
      </c>
      <c r="EG134" s="34" t="n">
        <f aca="false">IF((132-N(P_L3_Mes)+1)&lt;1,0,IF((132-N(P_L3_Mes)+1)=1,N(P_L3_Monto),EF$134)-EG$133)</f>
        <v>0</v>
      </c>
      <c r="EH134" s="34" t="n">
        <f aca="false">IF((133-N(P_L3_Mes)+1)&lt;1,0,IF((133-N(P_L3_Mes)+1)=1,N(P_L3_Monto),EG$134)-EH$133)</f>
        <v>0</v>
      </c>
      <c r="EI134" s="34" t="n">
        <f aca="false">IF((134-N(P_L3_Mes)+1)&lt;1,0,IF((134-N(P_L3_Mes)+1)=1,N(P_L3_Monto),EH$134)-EI$133)</f>
        <v>0</v>
      </c>
      <c r="EJ134" s="34" t="n">
        <f aca="false">IF((135-N(P_L3_Mes)+1)&lt;1,0,IF((135-N(P_L3_Mes)+1)=1,N(P_L3_Monto),EI$134)-EJ$133)</f>
        <v>0</v>
      </c>
      <c r="EK134" s="34" t="n">
        <f aca="false">IF((136-N(P_L3_Mes)+1)&lt;1,0,IF((136-N(P_L3_Mes)+1)=1,N(P_L3_Monto),EJ$134)-EK$133)</f>
        <v>0</v>
      </c>
      <c r="EL134" s="34" t="n">
        <f aca="false">IF((137-N(P_L3_Mes)+1)&lt;1,0,IF((137-N(P_L3_Mes)+1)=1,N(P_L3_Monto),EK$134)-EL$133)</f>
        <v>0</v>
      </c>
      <c r="EM134" s="34" t="n">
        <f aca="false">IF((138-N(P_L3_Mes)+1)&lt;1,0,IF((138-N(P_L3_Mes)+1)=1,N(P_L3_Monto),EL$134)-EM$133)</f>
        <v>0</v>
      </c>
      <c r="EN134" s="34" t="n">
        <f aca="false">IF((139-N(P_L3_Mes)+1)&lt;1,0,IF((139-N(P_L3_Mes)+1)=1,N(P_L3_Monto),EM$134)-EN$133)</f>
        <v>0</v>
      </c>
      <c r="EO134" s="34" t="n">
        <f aca="false">IF((140-N(P_L3_Mes)+1)&lt;1,0,IF((140-N(P_L3_Mes)+1)=1,N(P_L3_Monto),EN$134)-EO$133)</f>
        <v>0</v>
      </c>
      <c r="EP134" s="34" t="n">
        <f aca="false">IF((141-N(P_L3_Mes)+1)&lt;1,0,IF((141-N(P_L3_Mes)+1)=1,N(P_L3_Monto),EO$134)-EP$133)</f>
        <v>0</v>
      </c>
      <c r="EQ134" s="34" t="n">
        <f aca="false">IF((142-N(P_L3_Mes)+1)&lt;1,0,IF((142-N(P_L3_Mes)+1)=1,N(P_L3_Monto),EP$134)-EQ$133)</f>
        <v>0</v>
      </c>
      <c r="ER134" s="34" t="n">
        <f aca="false">IF((143-N(P_L3_Mes)+1)&lt;1,0,IF((143-N(P_L3_Mes)+1)=1,N(P_L3_Monto),EQ$134)-ER$133)</f>
        <v>0</v>
      </c>
      <c r="ES134" s="34" t="n">
        <f aca="false">IF((144-N(P_L3_Mes)+1)&lt;1,0,IF((144-N(P_L3_Mes)+1)=1,N(P_L3_Monto),ER$134)-ES$133)</f>
        <v>0</v>
      </c>
    </row>
    <row r="135" customFormat="false" ht="15" hidden="false" customHeight="false" outlineLevel="0" collapsed="false">
      <c r="A135" s="4"/>
      <c r="B135" s="3" t="s">
        <v>753</v>
      </c>
      <c r="C135" s="4"/>
      <c r="D135" s="4"/>
      <c r="E135" s="4"/>
    </row>
    <row r="136" customFormat="false" ht="15" hidden="false" customHeight="false" outlineLevel="0" collapsed="false">
      <c r="A136" s="2" t="s">
        <v>754</v>
      </c>
      <c r="B136" s="6" t="s">
        <v>755</v>
      </c>
      <c r="C136" s="6" t="s">
        <v>250</v>
      </c>
      <c r="E136" s="40" t="n">
        <f aca="false">SUM(F136:ES136)</f>
        <v>2791587</v>
      </c>
      <c r="F136" s="34" t="n">
        <f aca="false">F$123+F$127+F$131</f>
        <v>2791587</v>
      </c>
      <c r="G136" s="34" t="n">
        <f aca="false">G$123+G$127+G$131</f>
        <v>0</v>
      </c>
      <c r="H136" s="34" t="n">
        <f aca="false">H$123+H$127+H$131</f>
        <v>0</v>
      </c>
      <c r="I136" s="34" t="n">
        <f aca="false">I$123+I$127+I$131</f>
        <v>0</v>
      </c>
      <c r="J136" s="34" t="n">
        <f aca="false">J$123+J$127+J$131</f>
        <v>0</v>
      </c>
      <c r="K136" s="34" t="n">
        <f aca="false">K$123+K$127+K$131</f>
        <v>0</v>
      </c>
      <c r="L136" s="34" t="n">
        <f aca="false">L$123+L$127+L$131</f>
        <v>0</v>
      </c>
      <c r="M136" s="34" t="n">
        <f aca="false">M$123+M$127+M$131</f>
        <v>0</v>
      </c>
      <c r="N136" s="34" t="n">
        <f aca="false">N$123+N$127+N$131</f>
        <v>0</v>
      </c>
      <c r="O136" s="34" t="n">
        <f aca="false">O$123+O$127+O$131</f>
        <v>0</v>
      </c>
      <c r="P136" s="34" t="n">
        <f aca="false">P$123+P$127+P$131</f>
        <v>0</v>
      </c>
      <c r="Q136" s="34" t="n">
        <f aca="false">Q$123+Q$127+Q$131</f>
        <v>0</v>
      </c>
      <c r="R136" s="34" t="n">
        <f aca="false">R$123+R$127+R$131</f>
        <v>0</v>
      </c>
      <c r="S136" s="34" t="n">
        <f aca="false">S$123+S$127+S$131</f>
        <v>0</v>
      </c>
      <c r="T136" s="34" t="n">
        <f aca="false">T$123+T$127+T$131</f>
        <v>0</v>
      </c>
      <c r="U136" s="34" t="n">
        <f aca="false">U$123+U$127+U$131</f>
        <v>0</v>
      </c>
      <c r="V136" s="34" t="n">
        <f aca="false">V$123+V$127+V$131</f>
        <v>0</v>
      </c>
      <c r="W136" s="34" t="n">
        <f aca="false">W$123+W$127+W$131</f>
        <v>0</v>
      </c>
      <c r="X136" s="34" t="n">
        <f aca="false">X$123+X$127+X$131</f>
        <v>0</v>
      </c>
      <c r="Y136" s="34" t="n">
        <f aca="false">Y$123+Y$127+Y$131</f>
        <v>0</v>
      </c>
      <c r="Z136" s="34" t="n">
        <f aca="false">Z$123+Z$127+Z$131</f>
        <v>0</v>
      </c>
      <c r="AA136" s="34" t="n">
        <f aca="false">AA$123+AA$127+AA$131</f>
        <v>0</v>
      </c>
      <c r="AB136" s="34" t="n">
        <f aca="false">AB$123+AB$127+AB$131</f>
        <v>0</v>
      </c>
      <c r="AC136" s="34" t="n">
        <f aca="false">AC$123+AC$127+AC$131</f>
        <v>0</v>
      </c>
      <c r="AD136" s="34" t="n">
        <f aca="false">AD$123+AD$127+AD$131</f>
        <v>0</v>
      </c>
      <c r="AE136" s="34" t="n">
        <f aca="false">AE$123+AE$127+AE$131</f>
        <v>0</v>
      </c>
      <c r="AF136" s="34" t="n">
        <f aca="false">AF$123+AF$127+AF$131</f>
        <v>0</v>
      </c>
      <c r="AG136" s="34" t="n">
        <f aca="false">AG$123+AG$127+AG$131</f>
        <v>0</v>
      </c>
      <c r="AH136" s="34" t="n">
        <f aca="false">AH$123+AH$127+AH$131</f>
        <v>0</v>
      </c>
      <c r="AI136" s="34" t="n">
        <f aca="false">AI$123+AI$127+AI$131</f>
        <v>0</v>
      </c>
      <c r="AJ136" s="34" t="n">
        <f aca="false">AJ$123+AJ$127+AJ$131</f>
        <v>0</v>
      </c>
      <c r="AK136" s="34" t="n">
        <f aca="false">AK$123+AK$127+AK$131</f>
        <v>0</v>
      </c>
      <c r="AL136" s="34" t="n">
        <f aca="false">AL$123+AL$127+AL$131</f>
        <v>0</v>
      </c>
      <c r="AM136" s="34" t="n">
        <f aca="false">AM$123+AM$127+AM$131</f>
        <v>0</v>
      </c>
      <c r="AN136" s="34" t="n">
        <f aca="false">AN$123+AN$127+AN$131</f>
        <v>0</v>
      </c>
      <c r="AO136" s="34" t="n">
        <f aca="false">AO$123+AO$127+AO$131</f>
        <v>0</v>
      </c>
      <c r="AP136" s="34" t="n">
        <f aca="false">AP$123+AP$127+AP$131</f>
        <v>0</v>
      </c>
      <c r="AQ136" s="34" t="n">
        <f aca="false">AQ$123+AQ$127+AQ$131</f>
        <v>0</v>
      </c>
      <c r="AR136" s="34" t="n">
        <f aca="false">AR$123+AR$127+AR$131</f>
        <v>0</v>
      </c>
      <c r="AS136" s="34" t="n">
        <f aca="false">AS$123+AS$127+AS$131</f>
        <v>0</v>
      </c>
      <c r="AT136" s="34" t="n">
        <f aca="false">AT$123+AT$127+AT$131</f>
        <v>0</v>
      </c>
      <c r="AU136" s="34" t="n">
        <f aca="false">AU$123+AU$127+AU$131</f>
        <v>0</v>
      </c>
      <c r="AV136" s="34" t="n">
        <f aca="false">AV$123+AV$127+AV$131</f>
        <v>0</v>
      </c>
      <c r="AW136" s="34" t="n">
        <f aca="false">AW$123+AW$127+AW$131</f>
        <v>0</v>
      </c>
      <c r="AX136" s="34" t="n">
        <f aca="false">AX$123+AX$127+AX$131</f>
        <v>0</v>
      </c>
      <c r="AY136" s="34" t="n">
        <f aca="false">AY$123+AY$127+AY$131</f>
        <v>0</v>
      </c>
      <c r="AZ136" s="34" t="n">
        <f aca="false">AZ$123+AZ$127+AZ$131</f>
        <v>0</v>
      </c>
      <c r="BA136" s="34" t="n">
        <f aca="false">BA$123+BA$127+BA$131</f>
        <v>0</v>
      </c>
      <c r="BB136" s="34" t="n">
        <f aca="false">BB$123+BB$127+BB$131</f>
        <v>0</v>
      </c>
      <c r="BC136" s="34" t="n">
        <f aca="false">BC$123+BC$127+BC$131</f>
        <v>0</v>
      </c>
      <c r="BD136" s="34" t="n">
        <f aca="false">BD$123+BD$127+BD$131</f>
        <v>0</v>
      </c>
      <c r="BE136" s="34" t="n">
        <f aca="false">BE$123+BE$127+BE$131</f>
        <v>0</v>
      </c>
      <c r="BF136" s="34" t="n">
        <f aca="false">BF$123+BF$127+BF$131</f>
        <v>0</v>
      </c>
      <c r="BG136" s="34" t="n">
        <f aca="false">BG$123+BG$127+BG$131</f>
        <v>0</v>
      </c>
      <c r="BH136" s="34" t="n">
        <f aca="false">BH$123+BH$127+BH$131</f>
        <v>0</v>
      </c>
      <c r="BI136" s="34" t="n">
        <f aca="false">BI$123+BI$127+BI$131</f>
        <v>0</v>
      </c>
      <c r="BJ136" s="34" t="n">
        <f aca="false">BJ$123+BJ$127+BJ$131</f>
        <v>0</v>
      </c>
      <c r="BK136" s="34" t="n">
        <f aca="false">BK$123+BK$127+BK$131</f>
        <v>0</v>
      </c>
      <c r="BL136" s="34" t="n">
        <f aca="false">BL$123+BL$127+BL$131</f>
        <v>0</v>
      </c>
      <c r="BM136" s="34" t="n">
        <f aca="false">BM$123+BM$127+BM$131</f>
        <v>0</v>
      </c>
      <c r="BN136" s="34" t="n">
        <f aca="false">BN$123+BN$127+BN$131</f>
        <v>0</v>
      </c>
      <c r="BO136" s="34" t="n">
        <f aca="false">BO$123+BO$127+BO$131</f>
        <v>0</v>
      </c>
      <c r="BP136" s="34" t="n">
        <f aca="false">BP$123+BP$127+BP$131</f>
        <v>0</v>
      </c>
      <c r="BQ136" s="34" t="n">
        <f aca="false">BQ$123+BQ$127+BQ$131</f>
        <v>0</v>
      </c>
      <c r="BR136" s="34" t="n">
        <f aca="false">BR$123+BR$127+BR$131</f>
        <v>0</v>
      </c>
      <c r="BS136" s="34" t="n">
        <f aca="false">BS$123+BS$127+BS$131</f>
        <v>0</v>
      </c>
      <c r="BT136" s="34" t="n">
        <f aca="false">BT$123+BT$127+BT$131</f>
        <v>0</v>
      </c>
      <c r="BU136" s="34" t="n">
        <f aca="false">BU$123+BU$127+BU$131</f>
        <v>0</v>
      </c>
      <c r="BV136" s="34" t="n">
        <f aca="false">BV$123+BV$127+BV$131</f>
        <v>0</v>
      </c>
      <c r="BW136" s="34" t="n">
        <f aca="false">BW$123+BW$127+BW$131</f>
        <v>0</v>
      </c>
      <c r="BX136" s="34" t="n">
        <f aca="false">BX$123+BX$127+BX$131</f>
        <v>0</v>
      </c>
      <c r="BY136" s="34" t="n">
        <f aca="false">BY$123+BY$127+BY$131</f>
        <v>0</v>
      </c>
      <c r="BZ136" s="34" t="n">
        <f aca="false">BZ$123+BZ$127+BZ$131</f>
        <v>0</v>
      </c>
      <c r="CA136" s="34" t="n">
        <f aca="false">CA$123+CA$127+CA$131</f>
        <v>0</v>
      </c>
      <c r="CB136" s="34" t="n">
        <f aca="false">CB$123+CB$127+CB$131</f>
        <v>0</v>
      </c>
      <c r="CC136" s="34" t="n">
        <f aca="false">CC$123+CC$127+CC$131</f>
        <v>0</v>
      </c>
      <c r="CD136" s="34" t="n">
        <f aca="false">CD$123+CD$127+CD$131</f>
        <v>0</v>
      </c>
      <c r="CE136" s="34" t="n">
        <f aca="false">CE$123+CE$127+CE$131</f>
        <v>0</v>
      </c>
      <c r="CF136" s="34" t="n">
        <f aca="false">CF$123+CF$127+CF$131</f>
        <v>0</v>
      </c>
      <c r="CG136" s="34" t="n">
        <f aca="false">CG$123+CG$127+CG$131</f>
        <v>0</v>
      </c>
      <c r="CH136" s="34" t="n">
        <f aca="false">CH$123+CH$127+CH$131</f>
        <v>0</v>
      </c>
      <c r="CI136" s="34" t="n">
        <f aca="false">CI$123+CI$127+CI$131</f>
        <v>0</v>
      </c>
      <c r="CJ136" s="34" t="n">
        <f aca="false">CJ$123+CJ$127+CJ$131</f>
        <v>0</v>
      </c>
      <c r="CK136" s="34" t="n">
        <f aca="false">CK$123+CK$127+CK$131</f>
        <v>0</v>
      </c>
      <c r="CL136" s="34" t="n">
        <f aca="false">CL$123+CL$127+CL$131</f>
        <v>0</v>
      </c>
      <c r="CM136" s="34" t="n">
        <f aca="false">CM$123+CM$127+CM$131</f>
        <v>0</v>
      </c>
      <c r="CN136" s="34" t="n">
        <f aca="false">CN$123+CN$127+CN$131</f>
        <v>0</v>
      </c>
      <c r="CO136" s="34" t="n">
        <f aca="false">CO$123+CO$127+CO$131</f>
        <v>0</v>
      </c>
      <c r="CP136" s="34" t="n">
        <f aca="false">CP$123+CP$127+CP$131</f>
        <v>0</v>
      </c>
      <c r="CQ136" s="34" t="n">
        <f aca="false">CQ$123+CQ$127+CQ$131</f>
        <v>0</v>
      </c>
      <c r="CR136" s="34" t="n">
        <f aca="false">CR$123+CR$127+CR$131</f>
        <v>0</v>
      </c>
      <c r="CS136" s="34" t="n">
        <f aca="false">CS$123+CS$127+CS$131</f>
        <v>0</v>
      </c>
      <c r="CT136" s="34" t="n">
        <f aca="false">CT$123+CT$127+CT$131</f>
        <v>0</v>
      </c>
      <c r="CU136" s="34" t="n">
        <f aca="false">CU$123+CU$127+CU$131</f>
        <v>0</v>
      </c>
      <c r="CV136" s="34" t="n">
        <f aca="false">CV$123+CV$127+CV$131</f>
        <v>0</v>
      </c>
      <c r="CW136" s="34" t="n">
        <f aca="false">CW$123+CW$127+CW$131</f>
        <v>0</v>
      </c>
      <c r="CX136" s="34" t="n">
        <f aca="false">CX$123+CX$127+CX$131</f>
        <v>0</v>
      </c>
      <c r="CY136" s="34" t="n">
        <f aca="false">CY$123+CY$127+CY$131</f>
        <v>0</v>
      </c>
      <c r="CZ136" s="34" t="n">
        <f aca="false">CZ$123+CZ$127+CZ$131</f>
        <v>0</v>
      </c>
      <c r="DA136" s="34" t="n">
        <f aca="false">DA$123+DA$127+DA$131</f>
        <v>0</v>
      </c>
      <c r="DB136" s="34" t="n">
        <f aca="false">DB$123+DB$127+DB$131</f>
        <v>0</v>
      </c>
      <c r="DC136" s="34" t="n">
        <f aca="false">DC$123+DC$127+DC$131</f>
        <v>0</v>
      </c>
      <c r="DD136" s="34" t="n">
        <f aca="false">DD$123+DD$127+DD$131</f>
        <v>0</v>
      </c>
      <c r="DE136" s="34" t="n">
        <f aca="false">DE$123+DE$127+DE$131</f>
        <v>0</v>
      </c>
      <c r="DF136" s="34" t="n">
        <f aca="false">DF$123+DF$127+DF$131</f>
        <v>0</v>
      </c>
      <c r="DG136" s="34" t="n">
        <f aca="false">DG$123+DG$127+DG$131</f>
        <v>0</v>
      </c>
      <c r="DH136" s="34" t="n">
        <f aca="false">DH$123+DH$127+DH$131</f>
        <v>0</v>
      </c>
      <c r="DI136" s="34" t="n">
        <f aca="false">DI$123+DI$127+DI$131</f>
        <v>0</v>
      </c>
      <c r="DJ136" s="34" t="n">
        <f aca="false">DJ$123+DJ$127+DJ$131</f>
        <v>0</v>
      </c>
      <c r="DK136" s="34" t="n">
        <f aca="false">DK$123+DK$127+DK$131</f>
        <v>0</v>
      </c>
      <c r="DL136" s="34" t="n">
        <f aca="false">DL$123+DL$127+DL$131</f>
        <v>0</v>
      </c>
      <c r="DM136" s="34" t="n">
        <f aca="false">DM$123+DM$127+DM$131</f>
        <v>0</v>
      </c>
      <c r="DN136" s="34" t="n">
        <f aca="false">DN$123+DN$127+DN$131</f>
        <v>0</v>
      </c>
      <c r="DO136" s="34" t="n">
        <f aca="false">DO$123+DO$127+DO$131</f>
        <v>0</v>
      </c>
      <c r="DP136" s="34" t="n">
        <f aca="false">DP$123+DP$127+DP$131</f>
        <v>0</v>
      </c>
      <c r="DQ136" s="34" t="n">
        <f aca="false">DQ$123+DQ$127+DQ$131</f>
        <v>0</v>
      </c>
      <c r="DR136" s="34" t="n">
        <f aca="false">DR$123+DR$127+DR$131</f>
        <v>0</v>
      </c>
      <c r="DS136" s="34" t="n">
        <f aca="false">DS$123+DS$127+DS$131</f>
        <v>0</v>
      </c>
      <c r="DT136" s="34" t="n">
        <f aca="false">DT$123+DT$127+DT$131</f>
        <v>0</v>
      </c>
      <c r="DU136" s="34" t="n">
        <f aca="false">DU$123+DU$127+DU$131</f>
        <v>0</v>
      </c>
      <c r="DV136" s="34" t="n">
        <f aca="false">DV$123+DV$127+DV$131</f>
        <v>0</v>
      </c>
      <c r="DW136" s="34" t="n">
        <f aca="false">DW$123+DW$127+DW$131</f>
        <v>0</v>
      </c>
      <c r="DX136" s="34" t="n">
        <f aca="false">DX$123+DX$127+DX$131</f>
        <v>0</v>
      </c>
      <c r="DY136" s="34" t="n">
        <f aca="false">DY$123+DY$127+DY$131</f>
        <v>0</v>
      </c>
      <c r="DZ136" s="34" t="n">
        <f aca="false">DZ$123+DZ$127+DZ$131</f>
        <v>0</v>
      </c>
      <c r="EA136" s="34" t="n">
        <f aca="false">EA$123+EA$127+EA$131</f>
        <v>0</v>
      </c>
      <c r="EB136" s="34" t="n">
        <f aca="false">EB$123+EB$127+EB$131</f>
        <v>0</v>
      </c>
      <c r="EC136" s="34" t="n">
        <f aca="false">EC$123+EC$127+EC$131</f>
        <v>0</v>
      </c>
      <c r="ED136" s="34" t="n">
        <f aca="false">ED$123+ED$127+ED$131</f>
        <v>0</v>
      </c>
      <c r="EE136" s="34" t="n">
        <f aca="false">EE$123+EE$127+EE$131</f>
        <v>0</v>
      </c>
      <c r="EF136" s="34" t="n">
        <f aca="false">EF$123+EF$127+EF$131</f>
        <v>0</v>
      </c>
      <c r="EG136" s="34" t="n">
        <f aca="false">EG$123+EG$127+EG$131</f>
        <v>0</v>
      </c>
      <c r="EH136" s="34" t="n">
        <f aca="false">EH$123+EH$127+EH$131</f>
        <v>0</v>
      </c>
      <c r="EI136" s="34" t="n">
        <f aca="false">EI$123+EI$127+EI$131</f>
        <v>0</v>
      </c>
      <c r="EJ136" s="34" t="n">
        <f aca="false">EJ$123+EJ$127+EJ$131</f>
        <v>0</v>
      </c>
      <c r="EK136" s="34" t="n">
        <f aca="false">EK$123+EK$127+EK$131</f>
        <v>0</v>
      </c>
      <c r="EL136" s="34" t="n">
        <f aca="false">EL$123+EL$127+EL$131</f>
        <v>0</v>
      </c>
      <c r="EM136" s="34" t="n">
        <f aca="false">EM$123+EM$127+EM$131</f>
        <v>0</v>
      </c>
      <c r="EN136" s="34" t="n">
        <f aca="false">EN$123+EN$127+EN$131</f>
        <v>0</v>
      </c>
      <c r="EO136" s="34" t="n">
        <f aca="false">EO$123+EO$127+EO$131</f>
        <v>0</v>
      </c>
      <c r="EP136" s="34" t="n">
        <f aca="false">EP$123+EP$127+EP$131</f>
        <v>0</v>
      </c>
      <c r="EQ136" s="34" t="n">
        <f aca="false">EQ$123+EQ$127+EQ$131</f>
        <v>0</v>
      </c>
      <c r="ER136" s="34" t="n">
        <f aca="false">ER$123+ER$127+ER$131</f>
        <v>0</v>
      </c>
      <c r="ES136" s="34" t="n">
        <f aca="false">ES$123+ES$127+ES$131</f>
        <v>0</v>
      </c>
    </row>
    <row r="137" customFormat="false" ht="15" hidden="false" customHeight="false" outlineLevel="0" collapsed="false">
      <c r="A137" s="2" t="s">
        <v>756</v>
      </c>
      <c r="B137" s="6" t="s">
        <v>757</v>
      </c>
      <c r="C137" s="6" t="s">
        <v>250</v>
      </c>
      <c r="E137" s="40" t="n">
        <f aca="false">SUM(F137:ES137)</f>
        <v>2791587</v>
      </c>
      <c r="F137" s="34" t="n">
        <f aca="false">MAX(0,MIN(0-0+F$136,F$125+F$129+F$133))</f>
        <v>0</v>
      </c>
      <c r="G137" s="34" t="n">
        <f aca="false">MAX(0,MIN(F$148-F$145+G$136,G$125+G$129+G$133))</f>
        <v>0</v>
      </c>
      <c r="H137" s="34" t="n">
        <f aca="false">MAX(0,MIN(G$148-G$145+H$136,H$125+H$129+H$133))</f>
        <v>0</v>
      </c>
      <c r="I137" s="34" t="n">
        <f aca="false">MAX(0,MIN(H$148-H$145+I$136,I$125+I$129+I$133))</f>
        <v>0</v>
      </c>
      <c r="J137" s="34" t="n">
        <f aca="false">MAX(0,MIN(I$148-I$145+J$136,J$125+J$129+J$133))</f>
        <v>0</v>
      </c>
      <c r="K137" s="34" t="n">
        <f aca="false">MAX(0,MIN(J$148-J$145+K$136,K$125+K$129+K$133))</f>
        <v>0</v>
      </c>
      <c r="L137" s="34" t="n">
        <f aca="false">MAX(0,MIN(K$148-K$145+L$136,L$125+L$129+L$133))</f>
        <v>42123.3040946878</v>
      </c>
      <c r="M137" s="34" t="n">
        <f aca="false">MAX(0,MIN(L$148-L$145+M$136,M$125+M$129+M$133))</f>
        <v>42439.2288753979</v>
      </c>
      <c r="N137" s="34" t="n">
        <f aca="false">MAX(0,MIN(M$148-M$145+N$136,N$125+N$129+N$133))</f>
        <v>42757.5230919634</v>
      </c>
      <c r="O137" s="34" t="n">
        <f aca="false">MAX(0,MIN(N$148-N$145+O$136,O$125+O$129+O$133))</f>
        <v>43078.2045151531</v>
      </c>
      <c r="P137" s="34" t="n">
        <f aca="false">MAX(0,MIN(O$148-O$145+P$136,P$125+P$129+P$133))</f>
        <v>43401.2910490168</v>
      </c>
      <c r="Q137" s="34" t="n">
        <f aca="false">MAX(0,MIN(P$148-P$145+Q$136,Q$125+Q$129+Q$133))</f>
        <v>43726.8007318844</v>
      </c>
      <c r="R137" s="34" t="n">
        <f aca="false">MAX(0,MIN(Q$148-Q$145+R$136,R$125+R$129+R$133))</f>
        <v>44054.7517373735</v>
      </c>
      <c r="S137" s="34" t="n">
        <f aca="false">MAX(0,MIN(R$148-R$145+S$136,S$125+S$129+S$133))</f>
        <v>44385.1623754038</v>
      </c>
      <c r="T137" s="34" t="n">
        <f aca="false">MAX(0,MIN(S$148-S$145+T$136,T$125+T$129+T$133))</f>
        <v>44718.0510932194</v>
      </c>
      <c r="U137" s="34" t="n">
        <f aca="false">MAX(0,MIN(T$148-T$145+U$136,U$125+U$129+U$133))</f>
        <v>45053.4364764185</v>
      </c>
      <c r="V137" s="34" t="n">
        <f aca="false">MAX(0,MIN(U$148-U$145+V$136,V$125+V$129+V$133))</f>
        <v>45391.3372499916</v>
      </c>
      <c r="W137" s="34" t="n">
        <f aca="false">MAX(0,MIN(V$148-V$145+W$136,W$125+W$129+W$133))</f>
        <v>45731.7722793666</v>
      </c>
      <c r="X137" s="34" t="n">
        <f aca="false">MAX(0,MIN(W$148-W$145+X$136,X$125+X$129+X$133))</f>
        <v>46074.7605714618</v>
      </c>
      <c r="Y137" s="34" t="n">
        <f aca="false">MAX(0,MIN(X$148-X$145+Y$136,Y$125+Y$129+Y$133))</f>
        <v>46420.3212757478</v>
      </c>
      <c r="Z137" s="34" t="n">
        <f aca="false">MAX(0,MIN(Y$148-Y$145+Z$136,Z$125+Z$129+Z$133))</f>
        <v>46768.4736853159</v>
      </c>
      <c r="AA137" s="34" t="n">
        <f aca="false">MAX(0,MIN(Z$148-Z$145+AA$136,AA$125+AA$129+AA$133))</f>
        <v>47119.2372379558</v>
      </c>
      <c r="AB137" s="34" t="n">
        <f aca="false">MAX(0,MIN(AA$148-AA$145+AB$136,AB$125+AB$129+AB$133))</f>
        <v>47472.6315172404</v>
      </c>
      <c r="AC137" s="34" t="n">
        <f aca="false">MAX(0,MIN(AB$148-AB$145+AC$136,AC$125+AC$129+AC$133))</f>
        <v>47828.6762536197</v>
      </c>
      <c r="AD137" s="34" t="n">
        <f aca="false">MAX(0,MIN(AC$148-AC$145+AD$136,AD$125+AD$129+AD$133))</f>
        <v>48187.3913255219</v>
      </c>
      <c r="AE137" s="34" t="n">
        <f aca="false">MAX(0,MIN(AD$148-AD$145+AE$136,AE$125+AE$129+AE$133))</f>
        <v>48548.7967604633</v>
      </c>
      <c r="AF137" s="34" t="n">
        <f aca="false">MAX(0,MIN(AE$148-AE$145+AF$136,AF$125+AF$129+AF$133))</f>
        <v>48912.9127361668</v>
      </c>
      <c r="AG137" s="34" t="n">
        <f aca="false">MAX(0,MIN(AF$148-AF$145+AG$136,AG$125+AG$129+AG$133))</f>
        <v>49279.759581688</v>
      </c>
      <c r="AH137" s="34" t="n">
        <f aca="false">MAX(0,MIN(AG$148-AG$145+AH$136,AH$125+AH$129+AH$133))</f>
        <v>49649.3577785507</v>
      </c>
      <c r="AI137" s="34" t="n">
        <f aca="false">MAX(0,MIN(AH$148-AH$145+AI$136,AI$125+AI$129+AI$133))</f>
        <v>50021.7279618898</v>
      </c>
      <c r="AJ137" s="34" t="n">
        <f aca="false">MAX(0,MIN(AI$148-AI$145+AJ$136,AJ$125+AJ$129+AJ$133))</f>
        <v>50396.890921604</v>
      </c>
      <c r="AK137" s="34" t="n">
        <f aca="false">MAX(0,MIN(AJ$148-AJ$145+AK$136,AK$125+AK$129+AK$133))</f>
        <v>50774.867603516</v>
      </c>
      <c r="AL137" s="34" t="n">
        <f aca="false">MAX(0,MIN(AK$148-AK$145+AL$136,AL$125+AL$129+AL$133))</f>
        <v>51155.6791105424</v>
      </c>
      <c r="AM137" s="34" t="n">
        <f aca="false">MAX(0,MIN(AL$148-AL$145+AM$136,AM$125+AM$129+AM$133))</f>
        <v>51539.3467038715</v>
      </c>
      <c r="AN137" s="34" t="n">
        <f aca="false">MAX(0,MIN(AM$148-AM$145+AN$136,AN$125+AN$129+AN$133))</f>
        <v>51925.8918041505</v>
      </c>
      <c r="AO137" s="34" t="n">
        <f aca="false">MAX(0,MIN(AN$148-AN$145+AO$136,AO$125+AO$129+AO$133))</f>
        <v>52315.3359926816</v>
      </c>
      <c r="AP137" s="34" t="n">
        <f aca="false">MAX(0,MIN(AO$148-AO$145+AP$136,AP$125+AP$129+AP$133))</f>
        <v>52707.7010126267</v>
      </c>
      <c r="AQ137" s="34" t="n">
        <f aca="false">MAX(0,MIN(AP$148-AP$145+AQ$136,AQ$125+AQ$129+AQ$133))</f>
        <v>53103.0087702214</v>
      </c>
      <c r="AR137" s="34" t="n">
        <f aca="false">MAX(0,MIN(AQ$148-AQ$145+AR$136,AR$125+AR$129+AR$133))</f>
        <v>53501.2813359981</v>
      </c>
      <c r="AS137" s="34" t="n">
        <f aca="false">MAX(0,MIN(AR$148-AR$145+AS$136,AS$125+AS$129+AS$133))</f>
        <v>53902.5409460181</v>
      </c>
      <c r="AT137" s="34" t="n">
        <f aca="false">MAX(0,MIN(AS$148-AS$145+AT$136,AT$125+AT$129+AT$133))</f>
        <v>54306.8100031132</v>
      </c>
      <c r="AU137" s="34" t="n">
        <f aca="false">MAX(0,MIN(AT$148-AT$145+AU$136,AU$125+AU$129+AU$133))</f>
        <v>54714.1110781366</v>
      </c>
      <c r="AV137" s="34" t="n">
        <f aca="false">MAX(0,MIN(AU$148-AU$145+AV$136,AV$125+AV$129+AV$133))</f>
        <v>55124.4669112226</v>
      </c>
      <c r="AW137" s="34" t="n">
        <f aca="false">MAX(0,MIN(AV$148-AV$145+AW$136,AW$125+AW$129+AW$133))</f>
        <v>55537.9004130568</v>
      </c>
      <c r="AX137" s="34" t="n">
        <f aca="false">MAX(0,MIN(AW$148-AW$145+AX$136,AX$125+AX$129+AX$133))</f>
        <v>55954.4346661547</v>
      </c>
      <c r="AY137" s="34" t="n">
        <f aca="false">MAX(0,MIN(AX$148-AX$145+AY$136,AY$125+AY$129+AY$133))</f>
        <v>56374.0929261509</v>
      </c>
      <c r="AZ137" s="34" t="n">
        <f aca="false">MAX(0,MIN(AY$148-AY$145+AZ$136,AZ$125+AZ$129+AZ$133))</f>
        <v>56796.898623097</v>
      </c>
      <c r="BA137" s="34" t="n">
        <f aca="false">MAX(0,MIN(AZ$148-AZ$145+BA$136,BA$125+BA$129+BA$133))</f>
        <v>57222.8753627702</v>
      </c>
      <c r="BB137" s="34" t="n">
        <f aca="false">MAX(0,MIN(BA$148-BA$145+BB$136,BB$125+BB$129+BB$133))</f>
        <v>57652.046927991</v>
      </c>
      <c r="BC137" s="34" t="n">
        <f aca="false">MAX(0,MIN(BB$148-BB$145+BC$136,BC$125+BC$129+BC$133))</f>
        <v>58084.4372799509</v>
      </c>
      <c r="BD137" s="34" t="n">
        <f aca="false">MAX(0,MIN(BC$148-BC$145+BD$136,BD$125+BD$129+BD$133))</f>
        <v>58520.0705595506</v>
      </c>
      <c r="BE137" s="34" t="n">
        <f aca="false">MAX(0,MIN(BD$148-BD$145+BE$136,BE$125+BE$129+BE$133))</f>
        <v>58958.9710887472</v>
      </c>
      <c r="BF137" s="34" t="n">
        <f aca="false">MAX(0,MIN(BE$148-BE$145+BF$136,BF$125+BF$129+BF$133))</f>
        <v>59401.1633719128</v>
      </c>
      <c r="BG137" s="34" t="n">
        <f aca="false">MAX(0,MIN(BF$148-BF$145+BG$136,BG$125+BG$129+BG$133))</f>
        <v>59846.6720972021</v>
      </c>
      <c r="BH137" s="34" t="n">
        <f aca="false">MAX(0,MIN(BG$148-BG$145+BH$136,BH$125+BH$129+BH$133))</f>
        <v>60295.5221379312</v>
      </c>
      <c r="BI137" s="34" t="n">
        <f aca="false">MAX(0,MIN(BH$148-BH$145+BI$136,BI$125+BI$129+BI$133))</f>
        <v>60747.7385539656</v>
      </c>
      <c r="BJ137" s="34" t="n">
        <f aca="false">MAX(0,MIN(BI$148-BI$145+BJ$136,BJ$125+BJ$129+BJ$133))</f>
        <v>61203.3465931204</v>
      </c>
      <c r="BK137" s="34" t="n">
        <f aca="false">MAX(0,MIN(BJ$148-BJ$145+BK$136,BK$125+BK$129+BK$133))</f>
        <v>61662.3716925688</v>
      </c>
      <c r="BL137" s="34" t="n">
        <f aca="false">MAX(0,MIN(BK$148-BK$145+BL$136,BL$125+BL$129+BL$133))</f>
        <v>62124.839480263</v>
      </c>
      <c r="BM137" s="34" t="n">
        <f aca="false">MAX(0,MIN(BL$148-BL$145+BM$136,BM$125+BM$129+BM$133))</f>
        <v>62590.7757763667</v>
      </c>
      <c r="BN137" s="34" t="n">
        <f aca="false">MAX(0,MIN(BM$148-BM$145+BN$136,BN$125+BN$129+BN$133))</f>
        <v>0</v>
      </c>
      <c r="BO137" s="34" t="n">
        <f aca="false">MAX(0,MIN(BN$148-BN$145+BO$136,BO$125+BO$129+BO$133))</f>
        <v>0</v>
      </c>
      <c r="BP137" s="34" t="n">
        <f aca="false">MAX(0,MIN(BO$148-BO$145+BP$136,BP$125+BP$129+BP$133))</f>
        <v>0</v>
      </c>
      <c r="BQ137" s="34" t="n">
        <f aca="false">MAX(0,MIN(BP$148-BP$145+BQ$136,BQ$125+BQ$129+BQ$133))</f>
        <v>0</v>
      </c>
      <c r="BR137" s="34" t="n">
        <f aca="false">MAX(0,MIN(BQ$148-BQ$145+BR$136,BR$125+BR$129+BR$133))</f>
        <v>0</v>
      </c>
      <c r="BS137" s="34" t="n">
        <f aca="false">MAX(0,MIN(BR$148-BR$145+BS$136,BS$125+BS$129+BS$133))</f>
        <v>0</v>
      </c>
      <c r="BT137" s="34" t="n">
        <f aca="false">MAX(0,MIN(BS$148-BS$145+BT$136,BT$125+BT$129+BT$133))</f>
        <v>0</v>
      </c>
      <c r="BU137" s="34" t="n">
        <f aca="false">MAX(0,MIN(BT$148-BT$145+BU$136,BU$125+BU$129+BU$133))</f>
        <v>0</v>
      </c>
      <c r="BV137" s="34" t="n">
        <f aca="false">MAX(0,MIN(BU$148-BU$145+BV$136,BV$125+BV$129+BV$133))</f>
        <v>0</v>
      </c>
      <c r="BW137" s="34" t="n">
        <f aca="false">MAX(0,MIN(BV$148-BV$145+BW$136,BW$125+BW$129+BW$133))</f>
        <v>0</v>
      </c>
      <c r="BX137" s="34" t="n">
        <f aca="false">MAX(0,MIN(BW$148-BW$145+BX$136,BX$125+BX$129+BX$133))</f>
        <v>0</v>
      </c>
      <c r="BY137" s="34" t="n">
        <f aca="false">MAX(0,MIN(BX$148-BX$145+BY$136,BY$125+BY$129+BY$133))</f>
        <v>0</v>
      </c>
      <c r="BZ137" s="34" t="n">
        <f aca="false">MAX(0,MIN(BY$148-BY$145+BZ$136,BZ$125+BZ$129+BZ$133))</f>
        <v>0</v>
      </c>
      <c r="CA137" s="34" t="n">
        <f aca="false">MAX(0,MIN(BZ$148-BZ$145+CA$136,CA$125+CA$129+CA$133))</f>
        <v>0</v>
      </c>
      <c r="CB137" s="34" t="n">
        <f aca="false">MAX(0,MIN(CA$148-CA$145+CB$136,CB$125+CB$129+CB$133))</f>
        <v>0</v>
      </c>
      <c r="CC137" s="34" t="n">
        <f aca="false">MAX(0,MIN(CB$148-CB$145+CC$136,CC$125+CC$129+CC$133))</f>
        <v>0</v>
      </c>
      <c r="CD137" s="34" t="n">
        <f aca="false">MAX(0,MIN(CC$148-CC$145+CD$136,CD$125+CD$129+CD$133))</f>
        <v>0</v>
      </c>
      <c r="CE137" s="34" t="n">
        <f aca="false">MAX(0,MIN(CD$148-CD$145+CE$136,CE$125+CE$129+CE$133))</f>
        <v>0</v>
      </c>
      <c r="CF137" s="34" t="n">
        <f aca="false">MAX(0,MIN(CE$148-CE$145+CF$136,CF$125+CF$129+CF$133))</f>
        <v>0</v>
      </c>
      <c r="CG137" s="34" t="n">
        <f aca="false">MAX(0,MIN(CF$148-CF$145+CG$136,CG$125+CG$129+CG$133))</f>
        <v>0</v>
      </c>
      <c r="CH137" s="34" t="n">
        <f aca="false">MAX(0,MIN(CG$148-CG$145+CH$136,CH$125+CH$129+CH$133))</f>
        <v>0</v>
      </c>
      <c r="CI137" s="34" t="n">
        <f aca="false">MAX(0,MIN(CH$148-CH$145+CI$136,CI$125+CI$129+CI$133))</f>
        <v>0</v>
      </c>
      <c r="CJ137" s="34" t="n">
        <f aca="false">MAX(0,MIN(CI$148-CI$145+CJ$136,CJ$125+CJ$129+CJ$133))</f>
        <v>0</v>
      </c>
      <c r="CK137" s="34" t="n">
        <f aca="false">MAX(0,MIN(CJ$148-CJ$145+CK$136,CK$125+CK$129+CK$133))</f>
        <v>0</v>
      </c>
      <c r="CL137" s="34" t="n">
        <f aca="false">MAX(0,MIN(CK$148-CK$145+CL$136,CL$125+CL$129+CL$133))</f>
        <v>0</v>
      </c>
      <c r="CM137" s="34" t="n">
        <f aca="false">MAX(0,MIN(CL$148-CL$145+CM$136,CM$125+CM$129+CM$133))</f>
        <v>0</v>
      </c>
      <c r="CN137" s="34" t="n">
        <f aca="false">MAX(0,MIN(CM$148-CM$145+CN$136,CN$125+CN$129+CN$133))</f>
        <v>0</v>
      </c>
      <c r="CO137" s="34" t="n">
        <f aca="false">MAX(0,MIN(CN$148-CN$145+CO$136,CO$125+CO$129+CO$133))</f>
        <v>0</v>
      </c>
      <c r="CP137" s="34" t="n">
        <f aca="false">MAX(0,MIN(CO$148-CO$145+CP$136,CP$125+CP$129+CP$133))</f>
        <v>0</v>
      </c>
      <c r="CQ137" s="34" t="n">
        <f aca="false">MAX(0,MIN(CP$148-CP$145+CQ$136,CQ$125+CQ$129+CQ$133))</f>
        <v>0</v>
      </c>
      <c r="CR137" s="34" t="n">
        <f aca="false">MAX(0,MIN(CQ$148-CQ$145+CR$136,CR$125+CR$129+CR$133))</f>
        <v>0</v>
      </c>
      <c r="CS137" s="34" t="n">
        <f aca="false">MAX(0,MIN(CR$148-CR$145+CS$136,CS$125+CS$129+CS$133))</f>
        <v>0</v>
      </c>
      <c r="CT137" s="34" t="n">
        <f aca="false">MAX(0,MIN(CS$148-CS$145+CT$136,CT$125+CT$129+CT$133))</f>
        <v>0</v>
      </c>
      <c r="CU137" s="34" t="n">
        <f aca="false">MAX(0,MIN(CT$148-CT$145+CU$136,CU$125+CU$129+CU$133))</f>
        <v>0</v>
      </c>
      <c r="CV137" s="34" t="n">
        <f aca="false">MAX(0,MIN(CU$148-CU$145+CV$136,CV$125+CV$129+CV$133))</f>
        <v>0</v>
      </c>
      <c r="CW137" s="34" t="n">
        <f aca="false">MAX(0,MIN(CV$148-CV$145+CW$136,CW$125+CW$129+CW$133))</f>
        <v>0</v>
      </c>
      <c r="CX137" s="34" t="n">
        <f aca="false">MAX(0,MIN(CW$148-CW$145+CX$136,CX$125+CX$129+CX$133))</f>
        <v>0</v>
      </c>
      <c r="CY137" s="34" t="n">
        <f aca="false">MAX(0,MIN(CX$148-CX$145+CY$136,CY$125+CY$129+CY$133))</f>
        <v>0</v>
      </c>
      <c r="CZ137" s="34" t="n">
        <f aca="false">MAX(0,MIN(CY$148-CY$145+CZ$136,CZ$125+CZ$129+CZ$133))</f>
        <v>0</v>
      </c>
      <c r="DA137" s="34" t="n">
        <f aca="false">MAX(0,MIN(CZ$148-CZ$145+DA$136,DA$125+DA$129+DA$133))</f>
        <v>0</v>
      </c>
      <c r="DB137" s="34" t="n">
        <f aca="false">MAX(0,MIN(DA$148-DA$145+DB$136,DB$125+DB$129+DB$133))</f>
        <v>0</v>
      </c>
      <c r="DC137" s="34" t="n">
        <f aca="false">MAX(0,MIN(DB$148-DB$145+DC$136,DC$125+DC$129+DC$133))</f>
        <v>0</v>
      </c>
      <c r="DD137" s="34" t="n">
        <f aca="false">MAX(0,MIN(DC$148-DC$145+DD$136,DD$125+DD$129+DD$133))</f>
        <v>0</v>
      </c>
      <c r="DE137" s="34" t="n">
        <f aca="false">MAX(0,MIN(DD$148-DD$145+DE$136,DE$125+DE$129+DE$133))</f>
        <v>0</v>
      </c>
      <c r="DF137" s="34" t="n">
        <f aca="false">MAX(0,MIN(DE$148-DE$145+DF$136,DF$125+DF$129+DF$133))</f>
        <v>0</v>
      </c>
      <c r="DG137" s="34" t="n">
        <f aca="false">MAX(0,MIN(DF$148-DF$145+DG$136,DG$125+DG$129+DG$133))</f>
        <v>0</v>
      </c>
      <c r="DH137" s="34" t="n">
        <f aca="false">MAX(0,MIN(DG$148-DG$145+DH$136,DH$125+DH$129+DH$133))</f>
        <v>0</v>
      </c>
      <c r="DI137" s="34" t="n">
        <f aca="false">MAX(0,MIN(DH$148-DH$145+DI$136,DI$125+DI$129+DI$133))</f>
        <v>0</v>
      </c>
      <c r="DJ137" s="34" t="n">
        <f aca="false">MAX(0,MIN(DI$148-DI$145+DJ$136,DJ$125+DJ$129+DJ$133))</f>
        <v>0</v>
      </c>
      <c r="DK137" s="34" t="n">
        <f aca="false">MAX(0,MIN(DJ$148-DJ$145+DK$136,DK$125+DK$129+DK$133))</f>
        <v>0</v>
      </c>
      <c r="DL137" s="34" t="n">
        <f aca="false">MAX(0,MIN(DK$148-DK$145+DL$136,DL$125+DL$129+DL$133))</f>
        <v>0</v>
      </c>
      <c r="DM137" s="34" t="n">
        <f aca="false">MAX(0,MIN(DL$148-DL$145+DM$136,DM$125+DM$129+DM$133))</f>
        <v>0</v>
      </c>
      <c r="DN137" s="34" t="n">
        <f aca="false">MAX(0,MIN(DM$148-DM$145+DN$136,DN$125+DN$129+DN$133))</f>
        <v>0</v>
      </c>
      <c r="DO137" s="34" t="n">
        <f aca="false">MAX(0,MIN(DN$148-DN$145+DO$136,DO$125+DO$129+DO$133))</f>
        <v>0</v>
      </c>
      <c r="DP137" s="34" t="n">
        <f aca="false">MAX(0,MIN(DO$148-DO$145+DP$136,DP$125+DP$129+DP$133))</f>
        <v>0</v>
      </c>
      <c r="DQ137" s="34" t="n">
        <f aca="false">MAX(0,MIN(DP$148-DP$145+DQ$136,DQ$125+DQ$129+DQ$133))</f>
        <v>0</v>
      </c>
      <c r="DR137" s="34" t="n">
        <f aca="false">MAX(0,MIN(DQ$148-DQ$145+DR$136,DR$125+DR$129+DR$133))</f>
        <v>0</v>
      </c>
      <c r="DS137" s="34" t="n">
        <f aca="false">MAX(0,MIN(DR$148-DR$145+DS$136,DS$125+DS$129+DS$133))</f>
        <v>0</v>
      </c>
      <c r="DT137" s="34" t="n">
        <f aca="false">MAX(0,MIN(DS$148-DS$145+DT$136,DT$125+DT$129+DT$133))</f>
        <v>0</v>
      </c>
      <c r="DU137" s="34" t="n">
        <f aca="false">MAX(0,MIN(DT$148-DT$145+DU$136,DU$125+DU$129+DU$133))</f>
        <v>0</v>
      </c>
      <c r="DV137" s="34" t="n">
        <f aca="false">MAX(0,MIN(DU$148-DU$145+DV$136,DV$125+DV$129+DV$133))</f>
        <v>0</v>
      </c>
      <c r="DW137" s="34" t="n">
        <f aca="false">MAX(0,MIN(DV$148-DV$145+DW$136,DW$125+DW$129+DW$133))</f>
        <v>0</v>
      </c>
      <c r="DX137" s="34" t="n">
        <f aca="false">MAX(0,MIN(DW$148-DW$145+DX$136,DX$125+DX$129+DX$133))</f>
        <v>0</v>
      </c>
      <c r="DY137" s="34" t="n">
        <f aca="false">MAX(0,MIN(DX$148-DX$145+DY$136,DY$125+DY$129+DY$133))</f>
        <v>0</v>
      </c>
      <c r="DZ137" s="34" t="n">
        <f aca="false">MAX(0,MIN(DY$148-DY$145+DZ$136,DZ$125+DZ$129+DZ$133))</f>
        <v>0</v>
      </c>
      <c r="EA137" s="34" t="n">
        <f aca="false">MAX(0,MIN(DZ$148-DZ$145+EA$136,EA$125+EA$129+EA$133))</f>
        <v>0</v>
      </c>
      <c r="EB137" s="34" t="n">
        <f aca="false">MAX(0,MIN(EA$148-EA$145+EB$136,EB$125+EB$129+EB$133))</f>
        <v>0</v>
      </c>
      <c r="EC137" s="34" t="n">
        <f aca="false">MAX(0,MIN(EB$148-EB$145+EC$136,EC$125+EC$129+EC$133))</f>
        <v>0</v>
      </c>
      <c r="ED137" s="34" t="n">
        <f aca="false">MAX(0,MIN(EC$148-EC$145+ED$136,ED$125+ED$129+ED$133))</f>
        <v>0</v>
      </c>
      <c r="EE137" s="34" t="n">
        <f aca="false">MAX(0,MIN(ED$148-ED$145+EE$136,EE$125+EE$129+EE$133))</f>
        <v>0</v>
      </c>
      <c r="EF137" s="34" t="n">
        <f aca="false">MAX(0,MIN(EE$148-EE$145+EF$136,EF$125+EF$129+EF$133))</f>
        <v>0</v>
      </c>
      <c r="EG137" s="34" t="n">
        <f aca="false">MAX(0,MIN(EF$148-EF$145+EG$136,EG$125+EG$129+EG$133))</f>
        <v>0</v>
      </c>
      <c r="EH137" s="34" t="n">
        <f aca="false">MAX(0,MIN(EG$148-EG$145+EH$136,EH$125+EH$129+EH$133))</f>
        <v>0</v>
      </c>
      <c r="EI137" s="34" t="n">
        <f aca="false">MAX(0,MIN(EH$148-EH$145+EI$136,EI$125+EI$129+EI$133))</f>
        <v>0</v>
      </c>
      <c r="EJ137" s="34" t="n">
        <f aca="false">MAX(0,MIN(EI$148-EI$145+EJ$136,EJ$125+EJ$129+EJ$133))</f>
        <v>0</v>
      </c>
      <c r="EK137" s="34" t="n">
        <f aca="false">MAX(0,MIN(EJ$148-EJ$145+EK$136,EK$125+EK$129+EK$133))</f>
        <v>0</v>
      </c>
      <c r="EL137" s="34" t="n">
        <f aca="false">MAX(0,MIN(EK$148-EK$145+EL$136,EL$125+EL$129+EL$133))</f>
        <v>0</v>
      </c>
      <c r="EM137" s="34" t="n">
        <f aca="false">MAX(0,MIN(EL$148-EL$145+EM$136,EM$125+EM$129+EM$133))</f>
        <v>0</v>
      </c>
      <c r="EN137" s="34" t="n">
        <f aca="false">MAX(0,MIN(EM$148-EM$145+EN$136,EN$125+EN$129+EN$133))</f>
        <v>0</v>
      </c>
      <c r="EO137" s="34" t="n">
        <f aca="false">MAX(0,MIN(EN$148-EN$145+EO$136,EO$125+EO$129+EO$133))</f>
        <v>0</v>
      </c>
      <c r="EP137" s="34" t="n">
        <f aca="false">MAX(0,MIN(EO$148-EO$145+EP$136,EP$125+EP$129+EP$133))</f>
        <v>0</v>
      </c>
      <c r="EQ137" s="34" t="n">
        <f aca="false">MAX(0,MIN(EP$148-EP$145+EQ$136,EQ$125+EQ$129+EQ$133))</f>
        <v>0</v>
      </c>
      <c r="ER137" s="34" t="n">
        <f aca="false">MAX(0,MIN(EQ$148-EQ$145+ER$136,ER$125+ER$129+ER$133))</f>
        <v>0</v>
      </c>
      <c r="ES137" s="34" t="n">
        <f aca="false">MAX(0,MIN(ER$148-ER$145+ES$136,ES$125+ES$129+ES$133))</f>
        <v>0</v>
      </c>
    </row>
    <row r="138" customFormat="false" ht="15" hidden="false" customHeight="false" outlineLevel="0" collapsed="false">
      <c r="A138" s="2" t="s">
        <v>758</v>
      </c>
      <c r="B138" s="6" t="s">
        <v>759</v>
      </c>
      <c r="C138" s="6" t="s">
        <v>250</v>
      </c>
      <c r="E138" s="40" t="n">
        <f aca="false">SUM(F138:ES138)</f>
        <v>1139710</v>
      </c>
      <c r="F138" s="34" t="n">
        <f aca="false">SUMIF(Ap_MesO,1,Ap_MontoO)*F$9</f>
        <v>767782</v>
      </c>
      <c r="G138" s="34" t="n">
        <f aca="false">SUMIF(Ap_MesO,2,Ap_MontoO)*G$9</f>
        <v>0</v>
      </c>
      <c r="H138" s="34" t="n">
        <f aca="false">SUMIF(Ap_MesO,3,Ap_MontoO)*H$9</f>
        <v>0</v>
      </c>
      <c r="I138" s="34" t="n">
        <f aca="false">SUMIF(Ap_MesO,4,Ap_MontoO)*I$9</f>
        <v>0</v>
      </c>
      <c r="J138" s="34" t="n">
        <f aca="false">SUMIF(Ap_MesO,5,Ap_MontoO)*J$9</f>
        <v>0</v>
      </c>
      <c r="K138" s="34" t="n">
        <f aca="false">SUMIF(Ap_MesO,6,Ap_MontoO)*K$9</f>
        <v>0</v>
      </c>
      <c r="L138" s="34" t="n">
        <f aca="false">SUMIF(Ap_MesO,7,Ap_MontoO)*L$9</f>
        <v>0</v>
      </c>
      <c r="M138" s="34" t="n">
        <f aca="false">SUMIF(Ap_MesO,8,Ap_MontoO)*M$9</f>
        <v>0</v>
      </c>
      <c r="N138" s="34" t="n">
        <f aca="false">SUMIF(Ap_MesO,9,Ap_MontoO)*N$9</f>
        <v>0</v>
      </c>
      <c r="O138" s="34" t="n">
        <f aca="false">SUMIF(Ap_MesO,10,Ap_MontoO)*O$9</f>
        <v>0</v>
      </c>
      <c r="P138" s="34" t="n">
        <f aca="false">SUMIF(Ap_MesO,11,Ap_MontoO)*P$9</f>
        <v>0</v>
      </c>
      <c r="Q138" s="34" t="n">
        <f aca="false">SUMIF(Ap_MesO,12,Ap_MontoO)*Q$9</f>
        <v>0</v>
      </c>
      <c r="R138" s="34" t="n">
        <f aca="false">SUMIF(Ap_MesO,13,Ap_MontoO)*R$9</f>
        <v>371928</v>
      </c>
      <c r="S138" s="34" t="n">
        <f aca="false">SUMIF(Ap_MesO,14,Ap_MontoO)*S$9</f>
        <v>0</v>
      </c>
      <c r="T138" s="34" t="n">
        <f aca="false">SUMIF(Ap_MesO,15,Ap_MontoO)*T$9</f>
        <v>0</v>
      </c>
      <c r="U138" s="34" t="n">
        <f aca="false">SUMIF(Ap_MesO,16,Ap_MontoO)*U$9</f>
        <v>0</v>
      </c>
      <c r="V138" s="34" t="n">
        <f aca="false">SUMIF(Ap_MesO,17,Ap_MontoO)*V$9</f>
        <v>0</v>
      </c>
      <c r="W138" s="34" t="n">
        <f aca="false">SUMIF(Ap_MesO,18,Ap_MontoO)*W$9</f>
        <v>0</v>
      </c>
      <c r="X138" s="34" t="n">
        <f aca="false">SUMIF(Ap_MesO,19,Ap_MontoO)*X$9</f>
        <v>0</v>
      </c>
      <c r="Y138" s="34" t="n">
        <f aca="false">SUMIF(Ap_MesO,20,Ap_MontoO)*Y$9</f>
        <v>0</v>
      </c>
      <c r="Z138" s="34" t="n">
        <f aca="false">SUMIF(Ap_MesO,21,Ap_MontoO)*Z$9</f>
        <v>0</v>
      </c>
      <c r="AA138" s="34" t="n">
        <f aca="false">SUMIF(Ap_MesO,22,Ap_MontoO)*AA$9</f>
        <v>0</v>
      </c>
      <c r="AB138" s="34" t="n">
        <f aca="false">SUMIF(Ap_MesO,23,Ap_MontoO)*AB$9</f>
        <v>0</v>
      </c>
      <c r="AC138" s="34" t="n">
        <f aca="false">SUMIF(Ap_MesO,24,Ap_MontoO)*AC$9</f>
        <v>0</v>
      </c>
      <c r="AD138" s="34" t="n">
        <f aca="false">SUMIF(Ap_MesO,25,Ap_MontoO)*AD$9</f>
        <v>0</v>
      </c>
      <c r="AE138" s="34" t="n">
        <f aca="false">SUMIF(Ap_MesO,26,Ap_MontoO)*AE$9</f>
        <v>0</v>
      </c>
      <c r="AF138" s="34" t="n">
        <f aca="false">SUMIF(Ap_MesO,27,Ap_MontoO)*AF$9</f>
        <v>0</v>
      </c>
      <c r="AG138" s="34" t="n">
        <f aca="false">SUMIF(Ap_MesO,28,Ap_MontoO)*AG$9</f>
        <v>0</v>
      </c>
      <c r="AH138" s="34" t="n">
        <f aca="false">SUMIF(Ap_MesO,29,Ap_MontoO)*AH$9</f>
        <v>0</v>
      </c>
      <c r="AI138" s="34" t="n">
        <f aca="false">SUMIF(Ap_MesO,30,Ap_MontoO)*AI$9</f>
        <v>0</v>
      </c>
      <c r="AJ138" s="34" t="n">
        <f aca="false">SUMIF(Ap_MesO,31,Ap_MontoO)*AJ$9</f>
        <v>0</v>
      </c>
      <c r="AK138" s="34" t="n">
        <f aca="false">SUMIF(Ap_MesO,32,Ap_MontoO)*AK$9</f>
        <v>0</v>
      </c>
      <c r="AL138" s="34" t="n">
        <f aca="false">SUMIF(Ap_MesO,33,Ap_MontoO)*AL$9</f>
        <v>0</v>
      </c>
      <c r="AM138" s="34" t="n">
        <f aca="false">SUMIF(Ap_MesO,34,Ap_MontoO)*AM$9</f>
        <v>0</v>
      </c>
      <c r="AN138" s="34" t="n">
        <f aca="false">SUMIF(Ap_MesO,35,Ap_MontoO)*AN$9</f>
        <v>0</v>
      </c>
      <c r="AO138" s="34" t="n">
        <f aca="false">SUMIF(Ap_MesO,36,Ap_MontoO)*AO$9</f>
        <v>0</v>
      </c>
      <c r="AP138" s="34" t="n">
        <f aca="false">SUMIF(Ap_MesO,37,Ap_MontoO)*AP$9</f>
        <v>0</v>
      </c>
      <c r="AQ138" s="34" t="n">
        <f aca="false">SUMIF(Ap_MesO,38,Ap_MontoO)*AQ$9</f>
        <v>0</v>
      </c>
      <c r="AR138" s="34" t="n">
        <f aca="false">SUMIF(Ap_MesO,39,Ap_MontoO)*AR$9</f>
        <v>0</v>
      </c>
      <c r="AS138" s="34" t="n">
        <f aca="false">SUMIF(Ap_MesO,40,Ap_MontoO)*AS$9</f>
        <v>0</v>
      </c>
      <c r="AT138" s="34" t="n">
        <f aca="false">SUMIF(Ap_MesO,41,Ap_MontoO)*AT$9</f>
        <v>0</v>
      </c>
      <c r="AU138" s="34" t="n">
        <f aca="false">SUMIF(Ap_MesO,42,Ap_MontoO)*AU$9</f>
        <v>0</v>
      </c>
      <c r="AV138" s="34" t="n">
        <f aca="false">SUMIF(Ap_MesO,43,Ap_MontoO)*AV$9</f>
        <v>0</v>
      </c>
      <c r="AW138" s="34" t="n">
        <f aca="false">SUMIF(Ap_MesO,44,Ap_MontoO)*AW$9</f>
        <v>0</v>
      </c>
      <c r="AX138" s="34" t="n">
        <f aca="false">SUMIF(Ap_MesO,45,Ap_MontoO)*AX$9</f>
        <v>0</v>
      </c>
      <c r="AY138" s="34" t="n">
        <f aca="false">SUMIF(Ap_MesO,46,Ap_MontoO)*AY$9</f>
        <v>0</v>
      </c>
      <c r="AZ138" s="34" t="n">
        <f aca="false">SUMIF(Ap_MesO,47,Ap_MontoO)*AZ$9</f>
        <v>0</v>
      </c>
      <c r="BA138" s="34" t="n">
        <f aca="false">SUMIF(Ap_MesO,48,Ap_MontoO)*BA$9</f>
        <v>0</v>
      </c>
      <c r="BB138" s="34" t="n">
        <f aca="false">SUMIF(Ap_MesO,49,Ap_MontoO)*BB$9</f>
        <v>0</v>
      </c>
      <c r="BC138" s="34" t="n">
        <f aca="false">SUMIF(Ap_MesO,50,Ap_MontoO)*BC$9</f>
        <v>0</v>
      </c>
      <c r="BD138" s="34" t="n">
        <f aca="false">SUMIF(Ap_MesO,51,Ap_MontoO)*BD$9</f>
        <v>0</v>
      </c>
      <c r="BE138" s="34" t="n">
        <f aca="false">SUMIF(Ap_MesO,52,Ap_MontoO)*BE$9</f>
        <v>0</v>
      </c>
      <c r="BF138" s="34" t="n">
        <f aca="false">SUMIF(Ap_MesO,53,Ap_MontoO)*BF$9</f>
        <v>0</v>
      </c>
      <c r="BG138" s="34" t="n">
        <f aca="false">SUMIF(Ap_MesO,54,Ap_MontoO)*BG$9</f>
        <v>0</v>
      </c>
      <c r="BH138" s="34" t="n">
        <f aca="false">SUMIF(Ap_MesO,55,Ap_MontoO)*BH$9</f>
        <v>0</v>
      </c>
      <c r="BI138" s="34" t="n">
        <f aca="false">SUMIF(Ap_MesO,56,Ap_MontoO)*BI$9</f>
        <v>0</v>
      </c>
      <c r="BJ138" s="34" t="n">
        <f aca="false">SUMIF(Ap_MesO,57,Ap_MontoO)*BJ$9</f>
        <v>0</v>
      </c>
      <c r="BK138" s="34" t="n">
        <f aca="false">SUMIF(Ap_MesO,58,Ap_MontoO)*BK$9</f>
        <v>0</v>
      </c>
      <c r="BL138" s="34" t="n">
        <f aca="false">SUMIF(Ap_MesO,59,Ap_MontoO)*BL$9</f>
        <v>0</v>
      </c>
      <c r="BM138" s="34" t="n">
        <f aca="false">SUMIF(Ap_MesO,60,Ap_MontoO)*BM$9</f>
        <v>0</v>
      </c>
      <c r="BN138" s="34" t="n">
        <f aca="false">SUMIF(Ap_MesO,61,Ap_MontoO)*BN$9</f>
        <v>0</v>
      </c>
      <c r="BO138" s="34" t="n">
        <f aca="false">SUMIF(Ap_MesO,62,Ap_MontoO)*BO$9</f>
        <v>0</v>
      </c>
      <c r="BP138" s="34" t="n">
        <f aca="false">SUMIF(Ap_MesO,63,Ap_MontoO)*BP$9</f>
        <v>0</v>
      </c>
      <c r="BQ138" s="34" t="n">
        <f aca="false">SUMIF(Ap_MesO,64,Ap_MontoO)*BQ$9</f>
        <v>0</v>
      </c>
      <c r="BR138" s="34" t="n">
        <f aca="false">SUMIF(Ap_MesO,65,Ap_MontoO)*BR$9</f>
        <v>0</v>
      </c>
      <c r="BS138" s="34" t="n">
        <f aca="false">SUMIF(Ap_MesO,66,Ap_MontoO)*BS$9</f>
        <v>0</v>
      </c>
      <c r="BT138" s="34" t="n">
        <f aca="false">SUMIF(Ap_MesO,67,Ap_MontoO)*BT$9</f>
        <v>0</v>
      </c>
      <c r="BU138" s="34" t="n">
        <f aca="false">SUMIF(Ap_MesO,68,Ap_MontoO)*BU$9</f>
        <v>0</v>
      </c>
      <c r="BV138" s="34" t="n">
        <f aca="false">SUMIF(Ap_MesO,69,Ap_MontoO)*BV$9</f>
        <v>0</v>
      </c>
      <c r="BW138" s="34" t="n">
        <f aca="false">SUMIF(Ap_MesO,70,Ap_MontoO)*BW$9</f>
        <v>0</v>
      </c>
      <c r="BX138" s="34" t="n">
        <f aca="false">SUMIF(Ap_MesO,71,Ap_MontoO)*BX$9</f>
        <v>0</v>
      </c>
      <c r="BY138" s="34" t="n">
        <f aca="false">SUMIF(Ap_MesO,72,Ap_MontoO)*BY$9</f>
        <v>0</v>
      </c>
      <c r="BZ138" s="34" t="n">
        <f aca="false">SUMIF(Ap_MesO,73,Ap_MontoO)*BZ$9</f>
        <v>0</v>
      </c>
      <c r="CA138" s="34" t="n">
        <f aca="false">SUMIF(Ap_MesO,74,Ap_MontoO)*CA$9</f>
        <v>0</v>
      </c>
      <c r="CB138" s="34" t="n">
        <f aca="false">SUMIF(Ap_MesO,75,Ap_MontoO)*CB$9</f>
        <v>0</v>
      </c>
      <c r="CC138" s="34" t="n">
        <f aca="false">SUMIF(Ap_MesO,76,Ap_MontoO)*CC$9</f>
        <v>0</v>
      </c>
      <c r="CD138" s="34" t="n">
        <f aca="false">SUMIF(Ap_MesO,77,Ap_MontoO)*CD$9</f>
        <v>0</v>
      </c>
      <c r="CE138" s="34" t="n">
        <f aca="false">SUMIF(Ap_MesO,78,Ap_MontoO)*CE$9</f>
        <v>0</v>
      </c>
      <c r="CF138" s="34" t="n">
        <f aca="false">SUMIF(Ap_MesO,79,Ap_MontoO)*CF$9</f>
        <v>0</v>
      </c>
      <c r="CG138" s="34" t="n">
        <f aca="false">SUMIF(Ap_MesO,80,Ap_MontoO)*CG$9</f>
        <v>0</v>
      </c>
      <c r="CH138" s="34" t="n">
        <f aca="false">SUMIF(Ap_MesO,81,Ap_MontoO)*CH$9</f>
        <v>0</v>
      </c>
      <c r="CI138" s="34" t="n">
        <f aca="false">SUMIF(Ap_MesO,82,Ap_MontoO)*CI$9</f>
        <v>0</v>
      </c>
      <c r="CJ138" s="34" t="n">
        <f aca="false">SUMIF(Ap_MesO,83,Ap_MontoO)*CJ$9</f>
        <v>0</v>
      </c>
      <c r="CK138" s="34" t="n">
        <f aca="false">SUMIF(Ap_MesO,84,Ap_MontoO)*CK$9</f>
        <v>0</v>
      </c>
      <c r="CL138" s="34" t="n">
        <f aca="false">SUMIF(Ap_MesO,85,Ap_MontoO)*CL$9</f>
        <v>0</v>
      </c>
      <c r="CM138" s="34" t="n">
        <f aca="false">SUMIF(Ap_MesO,86,Ap_MontoO)*CM$9</f>
        <v>0</v>
      </c>
      <c r="CN138" s="34" t="n">
        <f aca="false">SUMIF(Ap_MesO,87,Ap_MontoO)*CN$9</f>
        <v>0</v>
      </c>
      <c r="CO138" s="34" t="n">
        <f aca="false">SUMIF(Ap_MesO,88,Ap_MontoO)*CO$9</f>
        <v>0</v>
      </c>
      <c r="CP138" s="34" t="n">
        <f aca="false">SUMIF(Ap_MesO,89,Ap_MontoO)*CP$9</f>
        <v>0</v>
      </c>
      <c r="CQ138" s="34" t="n">
        <f aca="false">SUMIF(Ap_MesO,90,Ap_MontoO)*CQ$9</f>
        <v>0</v>
      </c>
      <c r="CR138" s="34" t="n">
        <f aca="false">SUMIF(Ap_MesO,91,Ap_MontoO)*CR$9</f>
        <v>0</v>
      </c>
      <c r="CS138" s="34" t="n">
        <f aca="false">SUMIF(Ap_MesO,92,Ap_MontoO)*CS$9</f>
        <v>0</v>
      </c>
      <c r="CT138" s="34" t="n">
        <f aca="false">SUMIF(Ap_MesO,93,Ap_MontoO)*CT$9</f>
        <v>0</v>
      </c>
      <c r="CU138" s="34" t="n">
        <f aca="false">SUMIF(Ap_MesO,94,Ap_MontoO)*CU$9</f>
        <v>0</v>
      </c>
      <c r="CV138" s="34" t="n">
        <f aca="false">SUMIF(Ap_MesO,95,Ap_MontoO)*CV$9</f>
        <v>0</v>
      </c>
      <c r="CW138" s="34" t="n">
        <f aca="false">SUMIF(Ap_MesO,96,Ap_MontoO)*CW$9</f>
        <v>0</v>
      </c>
      <c r="CX138" s="34" t="n">
        <f aca="false">SUMIF(Ap_MesO,97,Ap_MontoO)*CX$9</f>
        <v>0</v>
      </c>
      <c r="CY138" s="34" t="n">
        <f aca="false">SUMIF(Ap_MesO,98,Ap_MontoO)*CY$9</f>
        <v>0</v>
      </c>
      <c r="CZ138" s="34" t="n">
        <f aca="false">SUMIF(Ap_MesO,99,Ap_MontoO)*CZ$9</f>
        <v>0</v>
      </c>
      <c r="DA138" s="34" t="n">
        <f aca="false">SUMIF(Ap_MesO,100,Ap_MontoO)*DA$9</f>
        <v>0</v>
      </c>
      <c r="DB138" s="34" t="n">
        <f aca="false">SUMIF(Ap_MesO,101,Ap_MontoO)*DB$9</f>
        <v>0</v>
      </c>
      <c r="DC138" s="34" t="n">
        <f aca="false">SUMIF(Ap_MesO,102,Ap_MontoO)*DC$9</f>
        <v>0</v>
      </c>
      <c r="DD138" s="34" t="n">
        <f aca="false">SUMIF(Ap_MesO,103,Ap_MontoO)*DD$9</f>
        <v>0</v>
      </c>
      <c r="DE138" s="34" t="n">
        <f aca="false">SUMIF(Ap_MesO,104,Ap_MontoO)*DE$9</f>
        <v>0</v>
      </c>
      <c r="DF138" s="34" t="n">
        <f aca="false">SUMIF(Ap_MesO,105,Ap_MontoO)*DF$9</f>
        <v>0</v>
      </c>
      <c r="DG138" s="34" t="n">
        <f aca="false">SUMIF(Ap_MesO,106,Ap_MontoO)*DG$9</f>
        <v>0</v>
      </c>
      <c r="DH138" s="34" t="n">
        <f aca="false">SUMIF(Ap_MesO,107,Ap_MontoO)*DH$9</f>
        <v>0</v>
      </c>
      <c r="DI138" s="34" t="n">
        <f aca="false">SUMIF(Ap_MesO,108,Ap_MontoO)*DI$9</f>
        <v>0</v>
      </c>
      <c r="DJ138" s="34" t="n">
        <f aca="false">SUMIF(Ap_MesO,109,Ap_MontoO)*DJ$9</f>
        <v>0</v>
      </c>
      <c r="DK138" s="34" t="n">
        <f aca="false">SUMIF(Ap_MesO,110,Ap_MontoO)*DK$9</f>
        <v>0</v>
      </c>
      <c r="DL138" s="34" t="n">
        <f aca="false">SUMIF(Ap_MesO,111,Ap_MontoO)*DL$9</f>
        <v>0</v>
      </c>
      <c r="DM138" s="34" t="n">
        <f aca="false">SUMIF(Ap_MesO,112,Ap_MontoO)*DM$9</f>
        <v>0</v>
      </c>
      <c r="DN138" s="34" t="n">
        <f aca="false">SUMIF(Ap_MesO,113,Ap_MontoO)*DN$9</f>
        <v>0</v>
      </c>
      <c r="DO138" s="34" t="n">
        <f aca="false">SUMIF(Ap_MesO,114,Ap_MontoO)*DO$9</f>
        <v>0</v>
      </c>
      <c r="DP138" s="34" t="n">
        <f aca="false">SUMIF(Ap_MesO,115,Ap_MontoO)*DP$9</f>
        <v>0</v>
      </c>
      <c r="DQ138" s="34" t="n">
        <f aca="false">SUMIF(Ap_MesO,116,Ap_MontoO)*DQ$9</f>
        <v>0</v>
      </c>
      <c r="DR138" s="34" t="n">
        <f aca="false">SUMIF(Ap_MesO,117,Ap_MontoO)*DR$9</f>
        <v>0</v>
      </c>
      <c r="DS138" s="34" t="n">
        <f aca="false">SUMIF(Ap_MesO,118,Ap_MontoO)*DS$9</f>
        <v>0</v>
      </c>
      <c r="DT138" s="34" t="n">
        <f aca="false">SUMIF(Ap_MesO,119,Ap_MontoO)*DT$9</f>
        <v>0</v>
      </c>
      <c r="DU138" s="34" t="n">
        <f aca="false">SUMIF(Ap_MesO,120,Ap_MontoO)*DU$9</f>
        <v>0</v>
      </c>
      <c r="DV138" s="34" t="n">
        <f aca="false">SUMIF(Ap_MesO,121,Ap_MontoO)*DV$9</f>
        <v>0</v>
      </c>
      <c r="DW138" s="34" t="n">
        <f aca="false">SUMIF(Ap_MesO,122,Ap_MontoO)*DW$9</f>
        <v>0</v>
      </c>
      <c r="DX138" s="34" t="n">
        <f aca="false">SUMIF(Ap_MesO,123,Ap_MontoO)*DX$9</f>
        <v>0</v>
      </c>
      <c r="DY138" s="34" t="n">
        <f aca="false">SUMIF(Ap_MesO,124,Ap_MontoO)*DY$9</f>
        <v>0</v>
      </c>
      <c r="DZ138" s="34" t="n">
        <f aca="false">SUMIF(Ap_MesO,125,Ap_MontoO)*DZ$9</f>
        <v>0</v>
      </c>
      <c r="EA138" s="34" t="n">
        <f aca="false">SUMIF(Ap_MesO,126,Ap_MontoO)*EA$9</f>
        <v>0</v>
      </c>
      <c r="EB138" s="34" t="n">
        <f aca="false">SUMIF(Ap_MesO,127,Ap_MontoO)*EB$9</f>
        <v>0</v>
      </c>
      <c r="EC138" s="34" t="n">
        <f aca="false">SUMIF(Ap_MesO,128,Ap_MontoO)*EC$9</f>
        <v>0</v>
      </c>
      <c r="ED138" s="34" t="n">
        <f aca="false">SUMIF(Ap_MesO,129,Ap_MontoO)*ED$9</f>
        <v>0</v>
      </c>
      <c r="EE138" s="34" t="n">
        <f aca="false">SUMIF(Ap_MesO,130,Ap_MontoO)*EE$9</f>
        <v>0</v>
      </c>
      <c r="EF138" s="34" t="n">
        <f aca="false">SUMIF(Ap_MesO,131,Ap_MontoO)*EF$9</f>
        <v>0</v>
      </c>
      <c r="EG138" s="34" t="n">
        <f aca="false">SUMIF(Ap_MesO,132,Ap_MontoO)*EG$9</f>
        <v>0</v>
      </c>
      <c r="EH138" s="34" t="n">
        <f aca="false">SUMIF(Ap_MesO,133,Ap_MontoO)*EH$9</f>
        <v>0</v>
      </c>
      <c r="EI138" s="34" t="n">
        <f aca="false">SUMIF(Ap_MesO,134,Ap_MontoO)*EI$9</f>
        <v>0</v>
      </c>
      <c r="EJ138" s="34" t="n">
        <f aca="false">SUMIF(Ap_MesO,135,Ap_MontoO)*EJ$9</f>
        <v>0</v>
      </c>
      <c r="EK138" s="34" t="n">
        <f aca="false">SUMIF(Ap_MesO,136,Ap_MontoO)*EK$9</f>
        <v>0</v>
      </c>
      <c r="EL138" s="34" t="n">
        <f aca="false">SUMIF(Ap_MesO,137,Ap_MontoO)*EL$9</f>
        <v>0</v>
      </c>
      <c r="EM138" s="34" t="n">
        <f aca="false">SUMIF(Ap_MesO,138,Ap_MontoO)*EM$9</f>
        <v>0</v>
      </c>
      <c r="EN138" s="34" t="n">
        <f aca="false">SUMIF(Ap_MesO,139,Ap_MontoO)*EN$9</f>
        <v>0</v>
      </c>
      <c r="EO138" s="34" t="n">
        <f aca="false">SUMIF(Ap_MesO,140,Ap_MontoO)*EO$9</f>
        <v>0</v>
      </c>
      <c r="EP138" s="34" t="n">
        <f aca="false">SUMIF(Ap_MesO,141,Ap_MontoO)*EP$9</f>
        <v>0</v>
      </c>
      <c r="EQ138" s="34" t="n">
        <f aca="false">SUMIF(Ap_MesO,142,Ap_MontoO)*EQ$9</f>
        <v>0</v>
      </c>
      <c r="ER138" s="34" t="n">
        <f aca="false">SUMIF(Ap_MesO,143,Ap_MontoO)*ER$9</f>
        <v>0</v>
      </c>
      <c r="ES138" s="34" t="n">
        <f aca="false">SUMIF(Ap_MesO,144,Ap_MontoO)*ES$9</f>
        <v>0</v>
      </c>
    </row>
    <row r="139" customFormat="false" ht="15" hidden="false" customHeight="false" outlineLevel="0" collapsed="false">
      <c r="A139" s="2" t="s">
        <v>760</v>
      </c>
      <c r="B139" s="6" t="s">
        <v>761</v>
      </c>
      <c r="C139" s="6" t="s">
        <v>575</v>
      </c>
      <c r="F139" s="19" t="n">
        <f aca="false">IF(AND(N(P_LC_Lim)&gt;0,1&gt;=MAX(1,N(P_LC_Desde)),1&lt;=IF(N(P_LC_Hasta)=0,Fin,N(P_LC_Hasta))),1,0)</f>
        <v>0</v>
      </c>
      <c r="G139" s="19" t="n">
        <f aca="false">IF(AND(N(P_LC_Lim)&gt;0,2&gt;=MAX(1,N(P_LC_Desde)),2&lt;=IF(N(P_LC_Hasta)=0,Fin,N(P_LC_Hasta))),1,0)</f>
        <v>0</v>
      </c>
      <c r="H139" s="19" t="n">
        <f aca="false">IF(AND(N(P_LC_Lim)&gt;0,3&gt;=MAX(1,N(P_LC_Desde)),3&lt;=IF(N(P_LC_Hasta)=0,Fin,N(P_LC_Hasta))),1,0)</f>
        <v>0</v>
      </c>
      <c r="I139" s="19" t="n">
        <f aca="false">IF(AND(N(P_LC_Lim)&gt;0,4&gt;=MAX(1,N(P_LC_Desde)),4&lt;=IF(N(P_LC_Hasta)=0,Fin,N(P_LC_Hasta))),1,0)</f>
        <v>0</v>
      </c>
      <c r="J139" s="19" t="n">
        <f aca="false">IF(AND(N(P_LC_Lim)&gt;0,5&gt;=MAX(1,N(P_LC_Desde)),5&lt;=IF(N(P_LC_Hasta)=0,Fin,N(P_LC_Hasta))),1,0)</f>
        <v>0</v>
      </c>
      <c r="K139" s="19" t="n">
        <f aca="false">IF(AND(N(P_LC_Lim)&gt;0,6&gt;=MAX(1,N(P_LC_Desde)),6&lt;=IF(N(P_LC_Hasta)=0,Fin,N(P_LC_Hasta))),1,0)</f>
        <v>0</v>
      </c>
      <c r="L139" s="19" t="n">
        <f aca="false">IF(AND(N(P_LC_Lim)&gt;0,7&gt;=MAX(1,N(P_LC_Desde)),7&lt;=IF(N(P_LC_Hasta)=0,Fin,N(P_LC_Hasta))),1,0)</f>
        <v>0</v>
      </c>
      <c r="M139" s="19" t="n">
        <f aca="false">IF(AND(N(P_LC_Lim)&gt;0,8&gt;=MAX(1,N(P_LC_Desde)),8&lt;=IF(N(P_LC_Hasta)=0,Fin,N(P_LC_Hasta))),1,0)</f>
        <v>0</v>
      </c>
      <c r="N139" s="19" t="n">
        <f aca="false">IF(AND(N(P_LC_Lim)&gt;0,9&gt;=MAX(1,N(P_LC_Desde)),9&lt;=IF(N(P_LC_Hasta)=0,Fin,N(P_LC_Hasta))),1,0)</f>
        <v>0</v>
      </c>
      <c r="O139" s="19" t="n">
        <f aca="false">IF(AND(N(P_LC_Lim)&gt;0,10&gt;=MAX(1,N(P_LC_Desde)),10&lt;=IF(N(P_LC_Hasta)=0,Fin,N(P_LC_Hasta))),1,0)</f>
        <v>0</v>
      </c>
      <c r="P139" s="19" t="n">
        <f aca="false">IF(AND(N(P_LC_Lim)&gt;0,11&gt;=MAX(1,N(P_LC_Desde)),11&lt;=IF(N(P_LC_Hasta)=0,Fin,N(P_LC_Hasta))),1,0)</f>
        <v>0</v>
      </c>
      <c r="Q139" s="19" t="n">
        <f aca="false">IF(AND(N(P_LC_Lim)&gt;0,12&gt;=MAX(1,N(P_LC_Desde)),12&lt;=IF(N(P_LC_Hasta)=0,Fin,N(P_LC_Hasta))),1,0)</f>
        <v>0</v>
      </c>
      <c r="R139" s="19" t="n">
        <f aca="false">IF(AND(N(P_LC_Lim)&gt;0,13&gt;=MAX(1,N(P_LC_Desde)),13&lt;=IF(N(P_LC_Hasta)=0,Fin,N(P_LC_Hasta))),1,0)</f>
        <v>0</v>
      </c>
      <c r="S139" s="19" t="n">
        <f aca="false">IF(AND(N(P_LC_Lim)&gt;0,14&gt;=MAX(1,N(P_LC_Desde)),14&lt;=IF(N(P_LC_Hasta)=0,Fin,N(P_LC_Hasta))),1,0)</f>
        <v>0</v>
      </c>
      <c r="T139" s="19" t="n">
        <f aca="false">IF(AND(N(P_LC_Lim)&gt;0,15&gt;=MAX(1,N(P_LC_Desde)),15&lt;=IF(N(P_LC_Hasta)=0,Fin,N(P_LC_Hasta))),1,0)</f>
        <v>0</v>
      </c>
      <c r="U139" s="19" t="n">
        <f aca="false">IF(AND(N(P_LC_Lim)&gt;0,16&gt;=MAX(1,N(P_LC_Desde)),16&lt;=IF(N(P_LC_Hasta)=0,Fin,N(P_LC_Hasta))),1,0)</f>
        <v>0</v>
      </c>
      <c r="V139" s="19" t="n">
        <f aca="false">IF(AND(N(P_LC_Lim)&gt;0,17&gt;=MAX(1,N(P_LC_Desde)),17&lt;=IF(N(P_LC_Hasta)=0,Fin,N(P_LC_Hasta))),1,0)</f>
        <v>0</v>
      </c>
      <c r="W139" s="19" t="n">
        <f aca="false">IF(AND(N(P_LC_Lim)&gt;0,18&gt;=MAX(1,N(P_LC_Desde)),18&lt;=IF(N(P_LC_Hasta)=0,Fin,N(P_LC_Hasta))),1,0)</f>
        <v>0</v>
      </c>
      <c r="X139" s="19" t="n">
        <f aca="false">IF(AND(N(P_LC_Lim)&gt;0,19&gt;=MAX(1,N(P_LC_Desde)),19&lt;=IF(N(P_LC_Hasta)=0,Fin,N(P_LC_Hasta))),1,0)</f>
        <v>0</v>
      </c>
      <c r="Y139" s="19" t="n">
        <f aca="false">IF(AND(N(P_LC_Lim)&gt;0,20&gt;=MAX(1,N(P_LC_Desde)),20&lt;=IF(N(P_LC_Hasta)=0,Fin,N(P_LC_Hasta))),1,0)</f>
        <v>0</v>
      </c>
      <c r="Z139" s="19" t="n">
        <f aca="false">IF(AND(N(P_LC_Lim)&gt;0,21&gt;=MAX(1,N(P_LC_Desde)),21&lt;=IF(N(P_LC_Hasta)=0,Fin,N(P_LC_Hasta))),1,0)</f>
        <v>0</v>
      </c>
      <c r="AA139" s="19" t="n">
        <f aca="false">IF(AND(N(P_LC_Lim)&gt;0,22&gt;=MAX(1,N(P_LC_Desde)),22&lt;=IF(N(P_LC_Hasta)=0,Fin,N(P_LC_Hasta))),1,0)</f>
        <v>0</v>
      </c>
      <c r="AB139" s="19" t="n">
        <f aca="false">IF(AND(N(P_LC_Lim)&gt;0,23&gt;=MAX(1,N(P_LC_Desde)),23&lt;=IF(N(P_LC_Hasta)=0,Fin,N(P_LC_Hasta))),1,0)</f>
        <v>0</v>
      </c>
      <c r="AC139" s="19" t="n">
        <f aca="false">IF(AND(N(P_LC_Lim)&gt;0,24&gt;=MAX(1,N(P_LC_Desde)),24&lt;=IF(N(P_LC_Hasta)=0,Fin,N(P_LC_Hasta))),1,0)</f>
        <v>0</v>
      </c>
      <c r="AD139" s="19" t="n">
        <f aca="false">IF(AND(N(P_LC_Lim)&gt;0,25&gt;=MAX(1,N(P_LC_Desde)),25&lt;=IF(N(P_LC_Hasta)=0,Fin,N(P_LC_Hasta))),1,0)</f>
        <v>0</v>
      </c>
      <c r="AE139" s="19" t="n">
        <f aca="false">IF(AND(N(P_LC_Lim)&gt;0,26&gt;=MAX(1,N(P_LC_Desde)),26&lt;=IF(N(P_LC_Hasta)=0,Fin,N(P_LC_Hasta))),1,0)</f>
        <v>0</v>
      </c>
      <c r="AF139" s="19" t="n">
        <f aca="false">IF(AND(N(P_LC_Lim)&gt;0,27&gt;=MAX(1,N(P_LC_Desde)),27&lt;=IF(N(P_LC_Hasta)=0,Fin,N(P_LC_Hasta))),1,0)</f>
        <v>0</v>
      </c>
      <c r="AG139" s="19" t="n">
        <f aca="false">IF(AND(N(P_LC_Lim)&gt;0,28&gt;=MAX(1,N(P_LC_Desde)),28&lt;=IF(N(P_LC_Hasta)=0,Fin,N(P_LC_Hasta))),1,0)</f>
        <v>0</v>
      </c>
      <c r="AH139" s="19" t="n">
        <f aca="false">IF(AND(N(P_LC_Lim)&gt;0,29&gt;=MAX(1,N(P_LC_Desde)),29&lt;=IF(N(P_LC_Hasta)=0,Fin,N(P_LC_Hasta))),1,0)</f>
        <v>0</v>
      </c>
      <c r="AI139" s="19" t="n">
        <f aca="false">IF(AND(N(P_LC_Lim)&gt;0,30&gt;=MAX(1,N(P_LC_Desde)),30&lt;=IF(N(P_LC_Hasta)=0,Fin,N(P_LC_Hasta))),1,0)</f>
        <v>0</v>
      </c>
      <c r="AJ139" s="19" t="n">
        <f aca="false">IF(AND(N(P_LC_Lim)&gt;0,31&gt;=MAX(1,N(P_LC_Desde)),31&lt;=IF(N(P_LC_Hasta)=0,Fin,N(P_LC_Hasta))),1,0)</f>
        <v>0</v>
      </c>
      <c r="AK139" s="19" t="n">
        <f aca="false">IF(AND(N(P_LC_Lim)&gt;0,32&gt;=MAX(1,N(P_LC_Desde)),32&lt;=IF(N(P_LC_Hasta)=0,Fin,N(P_LC_Hasta))),1,0)</f>
        <v>0</v>
      </c>
      <c r="AL139" s="19" t="n">
        <f aca="false">IF(AND(N(P_LC_Lim)&gt;0,33&gt;=MAX(1,N(P_LC_Desde)),33&lt;=IF(N(P_LC_Hasta)=0,Fin,N(P_LC_Hasta))),1,0)</f>
        <v>0</v>
      </c>
      <c r="AM139" s="19" t="n">
        <f aca="false">IF(AND(N(P_LC_Lim)&gt;0,34&gt;=MAX(1,N(P_LC_Desde)),34&lt;=IF(N(P_LC_Hasta)=0,Fin,N(P_LC_Hasta))),1,0)</f>
        <v>0</v>
      </c>
      <c r="AN139" s="19" t="n">
        <f aca="false">IF(AND(N(P_LC_Lim)&gt;0,35&gt;=MAX(1,N(P_LC_Desde)),35&lt;=IF(N(P_LC_Hasta)=0,Fin,N(P_LC_Hasta))),1,0)</f>
        <v>0</v>
      </c>
      <c r="AO139" s="19" t="n">
        <f aca="false">IF(AND(N(P_LC_Lim)&gt;0,36&gt;=MAX(1,N(P_LC_Desde)),36&lt;=IF(N(P_LC_Hasta)=0,Fin,N(P_LC_Hasta))),1,0)</f>
        <v>0</v>
      </c>
      <c r="AP139" s="19" t="n">
        <f aca="false">IF(AND(N(P_LC_Lim)&gt;0,37&gt;=MAX(1,N(P_LC_Desde)),37&lt;=IF(N(P_LC_Hasta)=0,Fin,N(P_LC_Hasta))),1,0)</f>
        <v>0</v>
      </c>
      <c r="AQ139" s="19" t="n">
        <f aca="false">IF(AND(N(P_LC_Lim)&gt;0,38&gt;=MAX(1,N(P_LC_Desde)),38&lt;=IF(N(P_LC_Hasta)=0,Fin,N(P_LC_Hasta))),1,0)</f>
        <v>0</v>
      </c>
      <c r="AR139" s="19" t="n">
        <f aca="false">IF(AND(N(P_LC_Lim)&gt;0,39&gt;=MAX(1,N(P_LC_Desde)),39&lt;=IF(N(P_LC_Hasta)=0,Fin,N(P_LC_Hasta))),1,0)</f>
        <v>0</v>
      </c>
      <c r="AS139" s="19" t="n">
        <f aca="false">IF(AND(N(P_LC_Lim)&gt;0,40&gt;=MAX(1,N(P_LC_Desde)),40&lt;=IF(N(P_LC_Hasta)=0,Fin,N(P_LC_Hasta))),1,0)</f>
        <v>0</v>
      </c>
      <c r="AT139" s="19" t="n">
        <f aca="false">IF(AND(N(P_LC_Lim)&gt;0,41&gt;=MAX(1,N(P_LC_Desde)),41&lt;=IF(N(P_LC_Hasta)=0,Fin,N(P_LC_Hasta))),1,0)</f>
        <v>0</v>
      </c>
      <c r="AU139" s="19" t="n">
        <f aca="false">IF(AND(N(P_LC_Lim)&gt;0,42&gt;=MAX(1,N(P_LC_Desde)),42&lt;=IF(N(P_LC_Hasta)=0,Fin,N(P_LC_Hasta))),1,0)</f>
        <v>0</v>
      </c>
      <c r="AV139" s="19" t="n">
        <f aca="false">IF(AND(N(P_LC_Lim)&gt;0,43&gt;=MAX(1,N(P_LC_Desde)),43&lt;=IF(N(P_LC_Hasta)=0,Fin,N(P_LC_Hasta))),1,0)</f>
        <v>0</v>
      </c>
      <c r="AW139" s="19" t="n">
        <f aca="false">IF(AND(N(P_LC_Lim)&gt;0,44&gt;=MAX(1,N(P_LC_Desde)),44&lt;=IF(N(P_LC_Hasta)=0,Fin,N(P_LC_Hasta))),1,0)</f>
        <v>0</v>
      </c>
      <c r="AX139" s="19" t="n">
        <f aca="false">IF(AND(N(P_LC_Lim)&gt;0,45&gt;=MAX(1,N(P_LC_Desde)),45&lt;=IF(N(P_LC_Hasta)=0,Fin,N(P_LC_Hasta))),1,0)</f>
        <v>0</v>
      </c>
      <c r="AY139" s="19" t="n">
        <f aca="false">IF(AND(N(P_LC_Lim)&gt;0,46&gt;=MAX(1,N(P_LC_Desde)),46&lt;=IF(N(P_LC_Hasta)=0,Fin,N(P_LC_Hasta))),1,0)</f>
        <v>0</v>
      </c>
      <c r="AZ139" s="19" t="n">
        <f aca="false">IF(AND(N(P_LC_Lim)&gt;0,47&gt;=MAX(1,N(P_LC_Desde)),47&lt;=IF(N(P_LC_Hasta)=0,Fin,N(P_LC_Hasta))),1,0)</f>
        <v>0</v>
      </c>
      <c r="BA139" s="19" t="n">
        <f aca="false">IF(AND(N(P_LC_Lim)&gt;0,48&gt;=MAX(1,N(P_LC_Desde)),48&lt;=IF(N(P_LC_Hasta)=0,Fin,N(P_LC_Hasta))),1,0)</f>
        <v>0</v>
      </c>
      <c r="BB139" s="19" t="n">
        <f aca="false">IF(AND(N(P_LC_Lim)&gt;0,49&gt;=MAX(1,N(P_LC_Desde)),49&lt;=IF(N(P_LC_Hasta)=0,Fin,N(P_LC_Hasta))),1,0)</f>
        <v>0</v>
      </c>
      <c r="BC139" s="19" t="n">
        <f aca="false">IF(AND(N(P_LC_Lim)&gt;0,50&gt;=MAX(1,N(P_LC_Desde)),50&lt;=IF(N(P_LC_Hasta)=0,Fin,N(P_LC_Hasta))),1,0)</f>
        <v>0</v>
      </c>
      <c r="BD139" s="19" t="n">
        <f aca="false">IF(AND(N(P_LC_Lim)&gt;0,51&gt;=MAX(1,N(P_LC_Desde)),51&lt;=IF(N(P_LC_Hasta)=0,Fin,N(P_LC_Hasta))),1,0)</f>
        <v>0</v>
      </c>
      <c r="BE139" s="19" t="n">
        <f aca="false">IF(AND(N(P_LC_Lim)&gt;0,52&gt;=MAX(1,N(P_LC_Desde)),52&lt;=IF(N(P_LC_Hasta)=0,Fin,N(P_LC_Hasta))),1,0)</f>
        <v>0</v>
      </c>
      <c r="BF139" s="19" t="n">
        <f aca="false">IF(AND(N(P_LC_Lim)&gt;0,53&gt;=MAX(1,N(P_LC_Desde)),53&lt;=IF(N(P_LC_Hasta)=0,Fin,N(P_LC_Hasta))),1,0)</f>
        <v>0</v>
      </c>
      <c r="BG139" s="19" t="n">
        <f aca="false">IF(AND(N(P_LC_Lim)&gt;0,54&gt;=MAX(1,N(P_LC_Desde)),54&lt;=IF(N(P_LC_Hasta)=0,Fin,N(P_LC_Hasta))),1,0)</f>
        <v>0</v>
      </c>
      <c r="BH139" s="19" t="n">
        <f aca="false">IF(AND(N(P_LC_Lim)&gt;0,55&gt;=MAX(1,N(P_LC_Desde)),55&lt;=IF(N(P_LC_Hasta)=0,Fin,N(P_LC_Hasta))),1,0)</f>
        <v>0</v>
      </c>
      <c r="BI139" s="19" t="n">
        <f aca="false">IF(AND(N(P_LC_Lim)&gt;0,56&gt;=MAX(1,N(P_LC_Desde)),56&lt;=IF(N(P_LC_Hasta)=0,Fin,N(P_LC_Hasta))),1,0)</f>
        <v>0</v>
      </c>
      <c r="BJ139" s="19" t="n">
        <f aca="false">IF(AND(N(P_LC_Lim)&gt;0,57&gt;=MAX(1,N(P_LC_Desde)),57&lt;=IF(N(P_LC_Hasta)=0,Fin,N(P_LC_Hasta))),1,0)</f>
        <v>0</v>
      </c>
      <c r="BK139" s="19" t="n">
        <f aca="false">IF(AND(N(P_LC_Lim)&gt;0,58&gt;=MAX(1,N(P_LC_Desde)),58&lt;=IF(N(P_LC_Hasta)=0,Fin,N(P_LC_Hasta))),1,0)</f>
        <v>0</v>
      </c>
      <c r="BL139" s="19" t="n">
        <f aca="false">IF(AND(N(P_LC_Lim)&gt;0,59&gt;=MAX(1,N(P_LC_Desde)),59&lt;=IF(N(P_LC_Hasta)=0,Fin,N(P_LC_Hasta))),1,0)</f>
        <v>0</v>
      </c>
      <c r="BM139" s="19" t="n">
        <f aca="false">IF(AND(N(P_LC_Lim)&gt;0,60&gt;=MAX(1,N(P_LC_Desde)),60&lt;=IF(N(P_LC_Hasta)=0,Fin,N(P_LC_Hasta))),1,0)</f>
        <v>0</v>
      </c>
      <c r="BN139" s="19" t="n">
        <f aca="false">IF(AND(N(P_LC_Lim)&gt;0,61&gt;=MAX(1,N(P_LC_Desde)),61&lt;=IF(N(P_LC_Hasta)=0,Fin,N(P_LC_Hasta))),1,0)</f>
        <v>0</v>
      </c>
      <c r="BO139" s="19" t="n">
        <f aca="false">IF(AND(N(P_LC_Lim)&gt;0,62&gt;=MAX(1,N(P_LC_Desde)),62&lt;=IF(N(P_LC_Hasta)=0,Fin,N(P_LC_Hasta))),1,0)</f>
        <v>0</v>
      </c>
      <c r="BP139" s="19" t="n">
        <f aca="false">IF(AND(N(P_LC_Lim)&gt;0,63&gt;=MAX(1,N(P_LC_Desde)),63&lt;=IF(N(P_LC_Hasta)=0,Fin,N(P_LC_Hasta))),1,0)</f>
        <v>0</v>
      </c>
      <c r="BQ139" s="19" t="n">
        <f aca="false">IF(AND(N(P_LC_Lim)&gt;0,64&gt;=MAX(1,N(P_LC_Desde)),64&lt;=IF(N(P_LC_Hasta)=0,Fin,N(P_LC_Hasta))),1,0)</f>
        <v>0</v>
      </c>
      <c r="BR139" s="19" t="n">
        <f aca="false">IF(AND(N(P_LC_Lim)&gt;0,65&gt;=MAX(1,N(P_LC_Desde)),65&lt;=IF(N(P_LC_Hasta)=0,Fin,N(P_LC_Hasta))),1,0)</f>
        <v>0</v>
      </c>
      <c r="BS139" s="19" t="n">
        <f aca="false">IF(AND(N(P_LC_Lim)&gt;0,66&gt;=MAX(1,N(P_LC_Desde)),66&lt;=IF(N(P_LC_Hasta)=0,Fin,N(P_LC_Hasta))),1,0)</f>
        <v>0</v>
      </c>
      <c r="BT139" s="19" t="n">
        <f aca="false">IF(AND(N(P_LC_Lim)&gt;0,67&gt;=MAX(1,N(P_LC_Desde)),67&lt;=IF(N(P_LC_Hasta)=0,Fin,N(P_LC_Hasta))),1,0)</f>
        <v>0</v>
      </c>
      <c r="BU139" s="19" t="n">
        <f aca="false">IF(AND(N(P_LC_Lim)&gt;0,68&gt;=MAX(1,N(P_LC_Desde)),68&lt;=IF(N(P_LC_Hasta)=0,Fin,N(P_LC_Hasta))),1,0)</f>
        <v>0</v>
      </c>
      <c r="BV139" s="19" t="n">
        <f aca="false">IF(AND(N(P_LC_Lim)&gt;0,69&gt;=MAX(1,N(P_LC_Desde)),69&lt;=IF(N(P_LC_Hasta)=0,Fin,N(P_LC_Hasta))),1,0)</f>
        <v>0</v>
      </c>
      <c r="BW139" s="19" t="n">
        <f aca="false">IF(AND(N(P_LC_Lim)&gt;0,70&gt;=MAX(1,N(P_LC_Desde)),70&lt;=IF(N(P_LC_Hasta)=0,Fin,N(P_LC_Hasta))),1,0)</f>
        <v>0</v>
      </c>
      <c r="BX139" s="19" t="n">
        <f aca="false">IF(AND(N(P_LC_Lim)&gt;0,71&gt;=MAX(1,N(P_LC_Desde)),71&lt;=IF(N(P_LC_Hasta)=0,Fin,N(P_LC_Hasta))),1,0)</f>
        <v>0</v>
      </c>
      <c r="BY139" s="19" t="n">
        <f aca="false">IF(AND(N(P_LC_Lim)&gt;0,72&gt;=MAX(1,N(P_LC_Desde)),72&lt;=IF(N(P_LC_Hasta)=0,Fin,N(P_LC_Hasta))),1,0)</f>
        <v>0</v>
      </c>
      <c r="BZ139" s="19" t="n">
        <f aca="false">IF(AND(N(P_LC_Lim)&gt;0,73&gt;=MAX(1,N(P_LC_Desde)),73&lt;=IF(N(P_LC_Hasta)=0,Fin,N(P_LC_Hasta))),1,0)</f>
        <v>0</v>
      </c>
      <c r="CA139" s="19" t="n">
        <f aca="false">IF(AND(N(P_LC_Lim)&gt;0,74&gt;=MAX(1,N(P_LC_Desde)),74&lt;=IF(N(P_LC_Hasta)=0,Fin,N(P_LC_Hasta))),1,0)</f>
        <v>0</v>
      </c>
      <c r="CB139" s="19" t="n">
        <f aca="false">IF(AND(N(P_LC_Lim)&gt;0,75&gt;=MAX(1,N(P_LC_Desde)),75&lt;=IF(N(P_LC_Hasta)=0,Fin,N(P_LC_Hasta))),1,0)</f>
        <v>0</v>
      </c>
      <c r="CC139" s="19" t="n">
        <f aca="false">IF(AND(N(P_LC_Lim)&gt;0,76&gt;=MAX(1,N(P_LC_Desde)),76&lt;=IF(N(P_LC_Hasta)=0,Fin,N(P_LC_Hasta))),1,0)</f>
        <v>0</v>
      </c>
      <c r="CD139" s="19" t="n">
        <f aca="false">IF(AND(N(P_LC_Lim)&gt;0,77&gt;=MAX(1,N(P_LC_Desde)),77&lt;=IF(N(P_LC_Hasta)=0,Fin,N(P_LC_Hasta))),1,0)</f>
        <v>0</v>
      </c>
      <c r="CE139" s="19" t="n">
        <f aca="false">IF(AND(N(P_LC_Lim)&gt;0,78&gt;=MAX(1,N(P_LC_Desde)),78&lt;=IF(N(P_LC_Hasta)=0,Fin,N(P_LC_Hasta))),1,0)</f>
        <v>0</v>
      </c>
      <c r="CF139" s="19" t="n">
        <f aca="false">IF(AND(N(P_LC_Lim)&gt;0,79&gt;=MAX(1,N(P_LC_Desde)),79&lt;=IF(N(P_LC_Hasta)=0,Fin,N(P_LC_Hasta))),1,0)</f>
        <v>0</v>
      </c>
      <c r="CG139" s="19" t="n">
        <f aca="false">IF(AND(N(P_LC_Lim)&gt;0,80&gt;=MAX(1,N(P_LC_Desde)),80&lt;=IF(N(P_LC_Hasta)=0,Fin,N(P_LC_Hasta))),1,0)</f>
        <v>0</v>
      </c>
      <c r="CH139" s="19" t="n">
        <f aca="false">IF(AND(N(P_LC_Lim)&gt;0,81&gt;=MAX(1,N(P_LC_Desde)),81&lt;=IF(N(P_LC_Hasta)=0,Fin,N(P_LC_Hasta))),1,0)</f>
        <v>0</v>
      </c>
      <c r="CI139" s="19" t="n">
        <f aca="false">IF(AND(N(P_LC_Lim)&gt;0,82&gt;=MAX(1,N(P_LC_Desde)),82&lt;=IF(N(P_LC_Hasta)=0,Fin,N(P_LC_Hasta))),1,0)</f>
        <v>0</v>
      </c>
      <c r="CJ139" s="19" t="n">
        <f aca="false">IF(AND(N(P_LC_Lim)&gt;0,83&gt;=MAX(1,N(P_LC_Desde)),83&lt;=IF(N(P_LC_Hasta)=0,Fin,N(P_LC_Hasta))),1,0)</f>
        <v>0</v>
      </c>
      <c r="CK139" s="19" t="n">
        <f aca="false">IF(AND(N(P_LC_Lim)&gt;0,84&gt;=MAX(1,N(P_LC_Desde)),84&lt;=IF(N(P_LC_Hasta)=0,Fin,N(P_LC_Hasta))),1,0)</f>
        <v>0</v>
      </c>
      <c r="CL139" s="19" t="n">
        <f aca="false">IF(AND(N(P_LC_Lim)&gt;0,85&gt;=MAX(1,N(P_LC_Desde)),85&lt;=IF(N(P_LC_Hasta)=0,Fin,N(P_LC_Hasta))),1,0)</f>
        <v>0</v>
      </c>
      <c r="CM139" s="19" t="n">
        <f aca="false">IF(AND(N(P_LC_Lim)&gt;0,86&gt;=MAX(1,N(P_LC_Desde)),86&lt;=IF(N(P_LC_Hasta)=0,Fin,N(P_LC_Hasta))),1,0)</f>
        <v>0</v>
      </c>
      <c r="CN139" s="19" t="n">
        <f aca="false">IF(AND(N(P_LC_Lim)&gt;0,87&gt;=MAX(1,N(P_LC_Desde)),87&lt;=IF(N(P_LC_Hasta)=0,Fin,N(P_LC_Hasta))),1,0)</f>
        <v>0</v>
      </c>
      <c r="CO139" s="19" t="n">
        <f aca="false">IF(AND(N(P_LC_Lim)&gt;0,88&gt;=MAX(1,N(P_LC_Desde)),88&lt;=IF(N(P_LC_Hasta)=0,Fin,N(P_LC_Hasta))),1,0)</f>
        <v>0</v>
      </c>
      <c r="CP139" s="19" t="n">
        <f aca="false">IF(AND(N(P_LC_Lim)&gt;0,89&gt;=MAX(1,N(P_LC_Desde)),89&lt;=IF(N(P_LC_Hasta)=0,Fin,N(P_LC_Hasta))),1,0)</f>
        <v>0</v>
      </c>
      <c r="CQ139" s="19" t="n">
        <f aca="false">IF(AND(N(P_LC_Lim)&gt;0,90&gt;=MAX(1,N(P_LC_Desde)),90&lt;=IF(N(P_LC_Hasta)=0,Fin,N(P_LC_Hasta))),1,0)</f>
        <v>0</v>
      </c>
      <c r="CR139" s="19" t="n">
        <f aca="false">IF(AND(N(P_LC_Lim)&gt;0,91&gt;=MAX(1,N(P_LC_Desde)),91&lt;=IF(N(P_LC_Hasta)=0,Fin,N(P_LC_Hasta))),1,0)</f>
        <v>0</v>
      </c>
      <c r="CS139" s="19" t="n">
        <f aca="false">IF(AND(N(P_LC_Lim)&gt;0,92&gt;=MAX(1,N(P_LC_Desde)),92&lt;=IF(N(P_LC_Hasta)=0,Fin,N(P_LC_Hasta))),1,0)</f>
        <v>0</v>
      </c>
      <c r="CT139" s="19" t="n">
        <f aca="false">IF(AND(N(P_LC_Lim)&gt;0,93&gt;=MAX(1,N(P_LC_Desde)),93&lt;=IF(N(P_LC_Hasta)=0,Fin,N(P_LC_Hasta))),1,0)</f>
        <v>0</v>
      </c>
      <c r="CU139" s="19" t="n">
        <f aca="false">IF(AND(N(P_LC_Lim)&gt;0,94&gt;=MAX(1,N(P_LC_Desde)),94&lt;=IF(N(P_LC_Hasta)=0,Fin,N(P_LC_Hasta))),1,0)</f>
        <v>0</v>
      </c>
      <c r="CV139" s="19" t="n">
        <f aca="false">IF(AND(N(P_LC_Lim)&gt;0,95&gt;=MAX(1,N(P_LC_Desde)),95&lt;=IF(N(P_LC_Hasta)=0,Fin,N(P_LC_Hasta))),1,0)</f>
        <v>0</v>
      </c>
      <c r="CW139" s="19" t="n">
        <f aca="false">IF(AND(N(P_LC_Lim)&gt;0,96&gt;=MAX(1,N(P_LC_Desde)),96&lt;=IF(N(P_LC_Hasta)=0,Fin,N(P_LC_Hasta))),1,0)</f>
        <v>0</v>
      </c>
      <c r="CX139" s="19" t="n">
        <f aca="false">IF(AND(N(P_LC_Lim)&gt;0,97&gt;=MAX(1,N(P_LC_Desde)),97&lt;=IF(N(P_LC_Hasta)=0,Fin,N(P_LC_Hasta))),1,0)</f>
        <v>0</v>
      </c>
      <c r="CY139" s="19" t="n">
        <f aca="false">IF(AND(N(P_LC_Lim)&gt;0,98&gt;=MAX(1,N(P_LC_Desde)),98&lt;=IF(N(P_LC_Hasta)=0,Fin,N(P_LC_Hasta))),1,0)</f>
        <v>0</v>
      </c>
      <c r="CZ139" s="19" t="n">
        <f aca="false">IF(AND(N(P_LC_Lim)&gt;0,99&gt;=MAX(1,N(P_LC_Desde)),99&lt;=IF(N(P_LC_Hasta)=0,Fin,N(P_LC_Hasta))),1,0)</f>
        <v>0</v>
      </c>
      <c r="DA139" s="19" t="n">
        <f aca="false">IF(AND(N(P_LC_Lim)&gt;0,100&gt;=MAX(1,N(P_LC_Desde)),100&lt;=IF(N(P_LC_Hasta)=0,Fin,N(P_LC_Hasta))),1,0)</f>
        <v>0</v>
      </c>
      <c r="DB139" s="19" t="n">
        <f aca="false">IF(AND(N(P_LC_Lim)&gt;0,101&gt;=MAX(1,N(P_LC_Desde)),101&lt;=IF(N(P_LC_Hasta)=0,Fin,N(P_LC_Hasta))),1,0)</f>
        <v>0</v>
      </c>
      <c r="DC139" s="19" t="n">
        <f aca="false">IF(AND(N(P_LC_Lim)&gt;0,102&gt;=MAX(1,N(P_LC_Desde)),102&lt;=IF(N(P_LC_Hasta)=0,Fin,N(P_LC_Hasta))),1,0)</f>
        <v>0</v>
      </c>
      <c r="DD139" s="19" t="n">
        <f aca="false">IF(AND(N(P_LC_Lim)&gt;0,103&gt;=MAX(1,N(P_LC_Desde)),103&lt;=IF(N(P_LC_Hasta)=0,Fin,N(P_LC_Hasta))),1,0)</f>
        <v>0</v>
      </c>
      <c r="DE139" s="19" t="n">
        <f aca="false">IF(AND(N(P_LC_Lim)&gt;0,104&gt;=MAX(1,N(P_LC_Desde)),104&lt;=IF(N(P_LC_Hasta)=0,Fin,N(P_LC_Hasta))),1,0)</f>
        <v>0</v>
      </c>
      <c r="DF139" s="19" t="n">
        <f aca="false">IF(AND(N(P_LC_Lim)&gt;0,105&gt;=MAX(1,N(P_LC_Desde)),105&lt;=IF(N(P_LC_Hasta)=0,Fin,N(P_LC_Hasta))),1,0)</f>
        <v>0</v>
      </c>
      <c r="DG139" s="19" t="n">
        <f aca="false">IF(AND(N(P_LC_Lim)&gt;0,106&gt;=MAX(1,N(P_LC_Desde)),106&lt;=IF(N(P_LC_Hasta)=0,Fin,N(P_LC_Hasta))),1,0)</f>
        <v>0</v>
      </c>
      <c r="DH139" s="19" t="n">
        <f aca="false">IF(AND(N(P_LC_Lim)&gt;0,107&gt;=MAX(1,N(P_LC_Desde)),107&lt;=IF(N(P_LC_Hasta)=0,Fin,N(P_LC_Hasta))),1,0)</f>
        <v>0</v>
      </c>
      <c r="DI139" s="19" t="n">
        <f aca="false">IF(AND(N(P_LC_Lim)&gt;0,108&gt;=MAX(1,N(P_LC_Desde)),108&lt;=IF(N(P_LC_Hasta)=0,Fin,N(P_LC_Hasta))),1,0)</f>
        <v>0</v>
      </c>
      <c r="DJ139" s="19" t="n">
        <f aca="false">IF(AND(N(P_LC_Lim)&gt;0,109&gt;=MAX(1,N(P_LC_Desde)),109&lt;=IF(N(P_LC_Hasta)=0,Fin,N(P_LC_Hasta))),1,0)</f>
        <v>0</v>
      </c>
      <c r="DK139" s="19" t="n">
        <f aca="false">IF(AND(N(P_LC_Lim)&gt;0,110&gt;=MAX(1,N(P_LC_Desde)),110&lt;=IF(N(P_LC_Hasta)=0,Fin,N(P_LC_Hasta))),1,0)</f>
        <v>0</v>
      </c>
      <c r="DL139" s="19" t="n">
        <f aca="false">IF(AND(N(P_LC_Lim)&gt;0,111&gt;=MAX(1,N(P_LC_Desde)),111&lt;=IF(N(P_LC_Hasta)=0,Fin,N(P_LC_Hasta))),1,0)</f>
        <v>0</v>
      </c>
      <c r="DM139" s="19" t="n">
        <f aca="false">IF(AND(N(P_LC_Lim)&gt;0,112&gt;=MAX(1,N(P_LC_Desde)),112&lt;=IF(N(P_LC_Hasta)=0,Fin,N(P_LC_Hasta))),1,0)</f>
        <v>0</v>
      </c>
      <c r="DN139" s="19" t="n">
        <f aca="false">IF(AND(N(P_LC_Lim)&gt;0,113&gt;=MAX(1,N(P_LC_Desde)),113&lt;=IF(N(P_LC_Hasta)=0,Fin,N(P_LC_Hasta))),1,0)</f>
        <v>0</v>
      </c>
      <c r="DO139" s="19" t="n">
        <f aca="false">IF(AND(N(P_LC_Lim)&gt;0,114&gt;=MAX(1,N(P_LC_Desde)),114&lt;=IF(N(P_LC_Hasta)=0,Fin,N(P_LC_Hasta))),1,0)</f>
        <v>0</v>
      </c>
      <c r="DP139" s="19" t="n">
        <f aca="false">IF(AND(N(P_LC_Lim)&gt;0,115&gt;=MAX(1,N(P_LC_Desde)),115&lt;=IF(N(P_LC_Hasta)=0,Fin,N(P_LC_Hasta))),1,0)</f>
        <v>0</v>
      </c>
      <c r="DQ139" s="19" t="n">
        <f aca="false">IF(AND(N(P_LC_Lim)&gt;0,116&gt;=MAX(1,N(P_LC_Desde)),116&lt;=IF(N(P_LC_Hasta)=0,Fin,N(P_LC_Hasta))),1,0)</f>
        <v>0</v>
      </c>
      <c r="DR139" s="19" t="n">
        <f aca="false">IF(AND(N(P_LC_Lim)&gt;0,117&gt;=MAX(1,N(P_LC_Desde)),117&lt;=IF(N(P_LC_Hasta)=0,Fin,N(P_LC_Hasta))),1,0)</f>
        <v>0</v>
      </c>
      <c r="DS139" s="19" t="n">
        <f aca="false">IF(AND(N(P_LC_Lim)&gt;0,118&gt;=MAX(1,N(P_LC_Desde)),118&lt;=IF(N(P_LC_Hasta)=0,Fin,N(P_LC_Hasta))),1,0)</f>
        <v>0</v>
      </c>
      <c r="DT139" s="19" t="n">
        <f aca="false">IF(AND(N(P_LC_Lim)&gt;0,119&gt;=MAX(1,N(P_LC_Desde)),119&lt;=IF(N(P_LC_Hasta)=0,Fin,N(P_LC_Hasta))),1,0)</f>
        <v>0</v>
      </c>
      <c r="DU139" s="19" t="n">
        <f aca="false">IF(AND(N(P_LC_Lim)&gt;0,120&gt;=MAX(1,N(P_LC_Desde)),120&lt;=IF(N(P_LC_Hasta)=0,Fin,N(P_LC_Hasta))),1,0)</f>
        <v>0</v>
      </c>
      <c r="DV139" s="19" t="n">
        <f aca="false">IF(AND(N(P_LC_Lim)&gt;0,121&gt;=MAX(1,N(P_LC_Desde)),121&lt;=IF(N(P_LC_Hasta)=0,Fin,N(P_LC_Hasta))),1,0)</f>
        <v>0</v>
      </c>
      <c r="DW139" s="19" t="n">
        <f aca="false">IF(AND(N(P_LC_Lim)&gt;0,122&gt;=MAX(1,N(P_LC_Desde)),122&lt;=IF(N(P_LC_Hasta)=0,Fin,N(P_LC_Hasta))),1,0)</f>
        <v>0</v>
      </c>
      <c r="DX139" s="19" t="n">
        <f aca="false">IF(AND(N(P_LC_Lim)&gt;0,123&gt;=MAX(1,N(P_LC_Desde)),123&lt;=IF(N(P_LC_Hasta)=0,Fin,N(P_LC_Hasta))),1,0)</f>
        <v>0</v>
      </c>
      <c r="DY139" s="19" t="n">
        <f aca="false">IF(AND(N(P_LC_Lim)&gt;0,124&gt;=MAX(1,N(P_LC_Desde)),124&lt;=IF(N(P_LC_Hasta)=0,Fin,N(P_LC_Hasta))),1,0)</f>
        <v>0</v>
      </c>
      <c r="DZ139" s="19" t="n">
        <f aca="false">IF(AND(N(P_LC_Lim)&gt;0,125&gt;=MAX(1,N(P_LC_Desde)),125&lt;=IF(N(P_LC_Hasta)=0,Fin,N(P_LC_Hasta))),1,0)</f>
        <v>0</v>
      </c>
      <c r="EA139" s="19" t="n">
        <f aca="false">IF(AND(N(P_LC_Lim)&gt;0,126&gt;=MAX(1,N(P_LC_Desde)),126&lt;=IF(N(P_LC_Hasta)=0,Fin,N(P_LC_Hasta))),1,0)</f>
        <v>0</v>
      </c>
      <c r="EB139" s="19" t="n">
        <f aca="false">IF(AND(N(P_LC_Lim)&gt;0,127&gt;=MAX(1,N(P_LC_Desde)),127&lt;=IF(N(P_LC_Hasta)=0,Fin,N(P_LC_Hasta))),1,0)</f>
        <v>0</v>
      </c>
      <c r="EC139" s="19" t="n">
        <f aca="false">IF(AND(N(P_LC_Lim)&gt;0,128&gt;=MAX(1,N(P_LC_Desde)),128&lt;=IF(N(P_LC_Hasta)=0,Fin,N(P_LC_Hasta))),1,0)</f>
        <v>0</v>
      </c>
      <c r="ED139" s="19" t="n">
        <f aca="false">IF(AND(N(P_LC_Lim)&gt;0,129&gt;=MAX(1,N(P_LC_Desde)),129&lt;=IF(N(P_LC_Hasta)=0,Fin,N(P_LC_Hasta))),1,0)</f>
        <v>0</v>
      </c>
      <c r="EE139" s="19" t="n">
        <f aca="false">IF(AND(N(P_LC_Lim)&gt;0,130&gt;=MAX(1,N(P_LC_Desde)),130&lt;=IF(N(P_LC_Hasta)=0,Fin,N(P_LC_Hasta))),1,0)</f>
        <v>0</v>
      </c>
      <c r="EF139" s="19" t="n">
        <f aca="false">IF(AND(N(P_LC_Lim)&gt;0,131&gt;=MAX(1,N(P_LC_Desde)),131&lt;=IF(N(P_LC_Hasta)=0,Fin,N(P_LC_Hasta))),1,0)</f>
        <v>0</v>
      </c>
      <c r="EG139" s="19" t="n">
        <f aca="false">IF(AND(N(P_LC_Lim)&gt;0,132&gt;=MAX(1,N(P_LC_Desde)),132&lt;=IF(N(P_LC_Hasta)=0,Fin,N(P_LC_Hasta))),1,0)</f>
        <v>0</v>
      </c>
      <c r="EH139" s="19" t="n">
        <f aca="false">IF(AND(N(P_LC_Lim)&gt;0,133&gt;=MAX(1,N(P_LC_Desde)),133&lt;=IF(N(P_LC_Hasta)=0,Fin,N(P_LC_Hasta))),1,0)</f>
        <v>0</v>
      </c>
      <c r="EI139" s="19" t="n">
        <f aca="false">IF(AND(N(P_LC_Lim)&gt;0,134&gt;=MAX(1,N(P_LC_Desde)),134&lt;=IF(N(P_LC_Hasta)=0,Fin,N(P_LC_Hasta))),1,0)</f>
        <v>0</v>
      </c>
      <c r="EJ139" s="19" t="n">
        <f aca="false">IF(AND(N(P_LC_Lim)&gt;0,135&gt;=MAX(1,N(P_LC_Desde)),135&lt;=IF(N(P_LC_Hasta)=0,Fin,N(P_LC_Hasta))),1,0)</f>
        <v>0</v>
      </c>
      <c r="EK139" s="19" t="n">
        <f aca="false">IF(AND(N(P_LC_Lim)&gt;0,136&gt;=MAX(1,N(P_LC_Desde)),136&lt;=IF(N(P_LC_Hasta)=0,Fin,N(P_LC_Hasta))),1,0)</f>
        <v>0</v>
      </c>
      <c r="EL139" s="19" t="n">
        <f aca="false">IF(AND(N(P_LC_Lim)&gt;0,137&gt;=MAX(1,N(P_LC_Desde)),137&lt;=IF(N(P_LC_Hasta)=0,Fin,N(P_LC_Hasta))),1,0)</f>
        <v>0</v>
      </c>
      <c r="EM139" s="19" t="n">
        <f aca="false">IF(AND(N(P_LC_Lim)&gt;0,138&gt;=MAX(1,N(P_LC_Desde)),138&lt;=IF(N(P_LC_Hasta)=0,Fin,N(P_LC_Hasta))),1,0)</f>
        <v>0</v>
      </c>
      <c r="EN139" s="19" t="n">
        <f aca="false">IF(AND(N(P_LC_Lim)&gt;0,139&gt;=MAX(1,N(P_LC_Desde)),139&lt;=IF(N(P_LC_Hasta)=0,Fin,N(P_LC_Hasta))),1,0)</f>
        <v>0</v>
      </c>
      <c r="EO139" s="19" t="n">
        <f aca="false">IF(AND(N(P_LC_Lim)&gt;0,140&gt;=MAX(1,N(P_LC_Desde)),140&lt;=IF(N(P_LC_Hasta)=0,Fin,N(P_LC_Hasta))),1,0)</f>
        <v>0</v>
      </c>
      <c r="EP139" s="19" t="n">
        <f aca="false">IF(AND(N(P_LC_Lim)&gt;0,141&gt;=MAX(1,N(P_LC_Desde)),141&lt;=IF(N(P_LC_Hasta)=0,Fin,N(P_LC_Hasta))),1,0)</f>
        <v>0</v>
      </c>
      <c r="EQ139" s="19" t="n">
        <f aca="false">IF(AND(N(P_LC_Lim)&gt;0,142&gt;=MAX(1,N(P_LC_Desde)),142&lt;=IF(N(P_LC_Hasta)=0,Fin,N(P_LC_Hasta))),1,0)</f>
        <v>0</v>
      </c>
      <c r="ER139" s="19" t="n">
        <f aca="false">IF(AND(N(P_LC_Lim)&gt;0,143&gt;=MAX(1,N(P_LC_Desde)),143&lt;=IF(N(P_LC_Hasta)=0,Fin,N(P_LC_Hasta))),1,0)</f>
        <v>0</v>
      </c>
      <c r="ES139" s="19" t="n">
        <f aca="false">IF(AND(N(P_LC_Lim)&gt;0,144&gt;=MAX(1,N(P_LC_Desde)),144&lt;=IF(N(P_LC_Hasta)=0,Fin,N(P_LC_Hasta))),1,0)</f>
        <v>0</v>
      </c>
    </row>
    <row r="140" customFormat="false" ht="15" hidden="false" customHeight="false" outlineLevel="0" collapsed="false">
      <c r="A140" s="2" t="s">
        <v>762</v>
      </c>
      <c r="B140" s="6" t="s">
        <v>763</v>
      </c>
      <c r="C140" s="6" t="s">
        <v>250</v>
      </c>
      <c r="E140" s="40" t="n">
        <f aca="false">SUM(F140:ES140)</f>
        <v>0</v>
      </c>
      <c r="F140" s="34" t="n">
        <f aca="false">0*N(P_LC_Tasa)/12*F$9</f>
        <v>0</v>
      </c>
      <c r="G140" s="34" t="n">
        <f aca="false">F$145*N(P_LC_Tasa)/12*G$9</f>
        <v>0</v>
      </c>
      <c r="H140" s="34" t="n">
        <f aca="false">G$145*N(P_LC_Tasa)/12*H$9</f>
        <v>0</v>
      </c>
      <c r="I140" s="34" t="n">
        <f aca="false">H$145*N(P_LC_Tasa)/12*I$9</f>
        <v>0</v>
      </c>
      <c r="J140" s="34" t="n">
        <f aca="false">I$145*N(P_LC_Tasa)/12*J$9</f>
        <v>0</v>
      </c>
      <c r="K140" s="34" t="n">
        <f aca="false">J$145*N(P_LC_Tasa)/12*K$9</f>
        <v>0</v>
      </c>
      <c r="L140" s="34" t="n">
        <f aca="false">K$145*N(P_LC_Tasa)/12*L$9</f>
        <v>0</v>
      </c>
      <c r="M140" s="34" t="n">
        <f aca="false">L$145*N(P_LC_Tasa)/12*M$9</f>
        <v>0</v>
      </c>
      <c r="N140" s="34" t="n">
        <f aca="false">M$145*N(P_LC_Tasa)/12*N$9</f>
        <v>0</v>
      </c>
      <c r="O140" s="34" t="n">
        <f aca="false">N$145*N(P_LC_Tasa)/12*O$9</f>
        <v>0</v>
      </c>
      <c r="P140" s="34" t="n">
        <f aca="false">O$145*N(P_LC_Tasa)/12*P$9</f>
        <v>0</v>
      </c>
      <c r="Q140" s="34" t="n">
        <f aca="false">P$145*N(P_LC_Tasa)/12*Q$9</f>
        <v>0</v>
      </c>
      <c r="R140" s="34" t="n">
        <f aca="false">Q$145*N(P_LC_Tasa)/12*R$9</f>
        <v>0</v>
      </c>
      <c r="S140" s="34" t="n">
        <f aca="false">R$145*N(P_LC_Tasa)/12*S$9</f>
        <v>0</v>
      </c>
      <c r="T140" s="34" t="n">
        <f aca="false">S$145*N(P_LC_Tasa)/12*T$9</f>
        <v>0</v>
      </c>
      <c r="U140" s="34" t="n">
        <f aca="false">T$145*N(P_LC_Tasa)/12*U$9</f>
        <v>0</v>
      </c>
      <c r="V140" s="34" t="n">
        <f aca="false">U$145*N(P_LC_Tasa)/12*V$9</f>
        <v>0</v>
      </c>
      <c r="W140" s="34" t="n">
        <f aca="false">V$145*N(P_LC_Tasa)/12*W$9</f>
        <v>0</v>
      </c>
      <c r="X140" s="34" t="n">
        <f aca="false">W$145*N(P_LC_Tasa)/12*X$9</f>
        <v>0</v>
      </c>
      <c r="Y140" s="34" t="n">
        <f aca="false">X$145*N(P_LC_Tasa)/12*Y$9</f>
        <v>0</v>
      </c>
      <c r="Z140" s="34" t="n">
        <f aca="false">Y$145*N(P_LC_Tasa)/12*Z$9</f>
        <v>0</v>
      </c>
      <c r="AA140" s="34" t="n">
        <f aca="false">Z$145*N(P_LC_Tasa)/12*AA$9</f>
        <v>0</v>
      </c>
      <c r="AB140" s="34" t="n">
        <f aca="false">AA$145*N(P_LC_Tasa)/12*AB$9</f>
        <v>0</v>
      </c>
      <c r="AC140" s="34" t="n">
        <f aca="false">AB$145*N(P_LC_Tasa)/12*AC$9</f>
        <v>0</v>
      </c>
      <c r="AD140" s="34" t="n">
        <f aca="false">AC$145*N(P_LC_Tasa)/12*AD$9</f>
        <v>0</v>
      </c>
      <c r="AE140" s="34" t="n">
        <f aca="false">AD$145*N(P_LC_Tasa)/12*AE$9</f>
        <v>0</v>
      </c>
      <c r="AF140" s="34" t="n">
        <f aca="false">AE$145*N(P_LC_Tasa)/12*AF$9</f>
        <v>0</v>
      </c>
      <c r="AG140" s="34" t="n">
        <f aca="false">AF$145*N(P_LC_Tasa)/12*AG$9</f>
        <v>0</v>
      </c>
      <c r="AH140" s="34" t="n">
        <f aca="false">AG$145*N(P_LC_Tasa)/12*AH$9</f>
        <v>0</v>
      </c>
      <c r="AI140" s="34" t="n">
        <f aca="false">AH$145*N(P_LC_Tasa)/12*AI$9</f>
        <v>0</v>
      </c>
      <c r="AJ140" s="34" t="n">
        <f aca="false">AI$145*N(P_LC_Tasa)/12*AJ$9</f>
        <v>0</v>
      </c>
      <c r="AK140" s="34" t="n">
        <f aca="false">AJ$145*N(P_LC_Tasa)/12*AK$9</f>
        <v>0</v>
      </c>
      <c r="AL140" s="34" t="n">
        <f aca="false">AK$145*N(P_LC_Tasa)/12*AL$9</f>
        <v>0</v>
      </c>
      <c r="AM140" s="34" t="n">
        <f aca="false">AL$145*N(P_LC_Tasa)/12*AM$9</f>
        <v>0</v>
      </c>
      <c r="AN140" s="34" t="n">
        <f aca="false">AM$145*N(P_LC_Tasa)/12*AN$9</f>
        <v>0</v>
      </c>
      <c r="AO140" s="34" t="n">
        <f aca="false">AN$145*N(P_LC_Tasa)/12*AO$9</f>
        <v>0</v>
      </c>
      <c r="AP140" s="34" t="n">
        <f aca="false">AO$145*N(P_LC_Tasa)/12*AP$9</f>
        <v>0</v>
      </c>
      <c r="AQ140" s="34" t="n">
        <f aca="false">AP$145*N(P_LC_Tasa)/12*AQ$9</f>
        <v>0</v>
      </c>
      <c r="AR140" s="34" t="n">
        <f aca="false">AQ$145*N(P_LC_Tasa)/12*AR$9</f>
        <v>0</v>
      </c>
      <c r="AS140" s="34" t="n">
        <f aca="false">AR$145*N(P_LC_Tasa)/12*AS$9</f>
        <v>0</v>
      </c>
      <c r="AT140" s="34" t="n">
        <f aca="false">AS$145*N(P_LC_Tasa)/12*AT$9</f>
        <v>0</v>
      </c>
      <c r="AU140" s="34" t="n">
        <f aca="false">AT$145*N(P_LC_Tasa)/12*AU$9</f>
        <v>0</v>
      </c>
      <c r="AV140" s="34" t="n">
        <f aca="false">AU$145*N(P_LC_Tasa)/12*AV$9</f>
        <v>0</v>
      </c>
      <c r="AW140" s="34" t="n">
        <f aca="false">AV$145*N(P_LC_Tasa)/12*AW$9</f>
        <v>0</v>
      </c>
      <c r="AX140" s="34" t="n">
        <f aca="false">AW$145*N(P_LC_Tasa)/12*AX$9</f>
        <v>0</v>
      </c>
      <c r="AY140" s="34" t="n">
        <f aca="false">AX$145*N(P_LC_Tasa)/12*AY$9</f>
        <v>0</v>
      </c>
      <c r="AZ140" s="34" t="n">
        <f aca="false">AY$145*N(P_LC_Tasa)/12*AZ$9</f>
        <v>0</v>
      </c>
      <c r="BA140" s="34" t="n">
        <f aca="false">AZ$145*N(P_LC_Tasa)/12*BA$9</f>
        <v>0</v>
      </c>
      <c r="BB140" s="34" t="n">
        <f aca="false">BA$145*N(P_LC_Tasa)/12*BB$9</f>
        <v>0</v>
      </c>
      <c r="BC140" s="34" t="n">
        <f aca="false">BB$145*N(P_LC_Tasa)/12*BC$9</f>
        <v>0</v>
      </c>
      <c r="BD140" s="34" t="n">
        <f aca="false">BC$145*N(P_LC_Tasa)/12*BD$9</f>
        <v>0</v>
      </c>
      <c r="BE140" s="34" t="n">
        <f aca="false">BD$145*N(P_LC_Tasa)/12*BE$9</f>
        <v>0</v>
      </c>
      <c r="BF140" s="34" t="n">
        <f aca="false">BE$145*N(P_LC_Tasa)/12*BF$9</f>
        <v>0</v>
      </c>
      <c r="BG140" s="34" t="n">
        <f aca="false">BF$145*N(P_LC_Tasa)/12*BG$9</f>
        <v>0</v>
      </c>
      <c r="BH140" s="34" t="n">
        <f aca="false">BG$145*N(P_LC_Tasa)/12*BH$9</f>
        <v>0</v>
      </c>
      <c r="BI140" s="34" t="n">
        <f aca="false">BH$145*N(P_LC_Tasa)/12*BI$9</f>
        <v>0</v>
      </c>
      <c r="BJ140" s="34" t="n">
        <f aca="false">BI$145*N(P_LC_Tasa)/12*BJ$9</f>
        <v>0</v>
      </c>
      <c r="BK140" s="34" t="n">
        <f aca="false">BJ$145*N(P_LC_Tasa)/12*BK$9</f>
        <v>0</v>
      </c>
      <c r="BL140" s="34" t="n">
        <f aca="false">BK$145*N(P_LC_Tasa)/12*BL$9</f>
        <v>0</v>
      </c>
      <c r="BM140" s="34" t="n">
        <f aca="false">BL$145*N(P_LC_Tasa)/12*BM$9</f>
        <v>0</v>
      </c>
      <c r="BN140" s="34" t="n">
        <f aca="false">BM$145*N(P_LC_Tasa)/12*BN$9</f>
        <v>0</v>
      </c>
      <c r="BO140" s="34" t="n">
        <f aca="false">BN$145*N(P_LC_Tasa)/12*BO$9</f>
        <v>0</v>
      </c>
      <c r="BP140" s="34" t="n">
        <f aca="false">BO$145*N(P_LC_Tasa)/12*BP$9</f>
        <v>0</v>
      </c>
      <c r="BQ140" s="34" t="n">
        <f aca="false">BP$145*N(P_LC_Tasa)/12*BQ$9</f>
        <v>0</v>
      </c>
      <c r="BR140" s="34" t="n">
        <f aca="false">BQ$145*N(P_LC_Tasa)/12*BR$9</f>
        <v>0</v>
      </c>
      <c r="BS140" s="34" t="n">
        <f aca="false">BR$145*N(P_LC_Tasa)/12*BS$9</f>
        <v>0</v>
      </c>
      <c r="BT140" s="34" t="n">
        <f aca="false">BS$145*N(P_LC_Tasa)/12*BT$9</f>
        <v>0</v>
      </c>
      <c r="BU140" s="34" t="n">
        <f aca="false">BT$145*N(P_LC_Tasa)/12*BU$9</f>
        <v>0</v>
      </c>
      <c r="BV140" s="34" t="n">
        <f aca="false">BU$145*N(P_LC_Tasa)/12*BV$9</f>
        <v>0</v>
      </c>
      <c r="BW140" s="34" t="n">
        <f aca="false">BV$145*N(P_LC_Tasa)/12*BW$9</f>
        <v>0</v>
      </c>
      <c r="BX140" s="34" t="n">
        <f aca="false">BW$145*N(P_LC_Tasa)/12*BX$9</f>
        <v>0</v>
      </c>
      <c r="BY140" s="34" t="n">
        <f aca="false">BX$145*N(P_LC_Tasa)/12*BY$9</f>
        <v>0</v>
      </c>
      <c r="BZ140" s="34" t="n">
        <f aca="false">BY$145*N(P_LC_Tasa)/12*BZ$9</f>
        <v>0</v>
      </c>
      <c r="CA140" s="34" t="n">
        <f aca="false">BZ$145*N(P_LC_Tasa)/12*CA$9</f>
        <v>0</v>
      </c>
      <c r="CB140" s="34" t="n">
        <f aca="false">CA$145*N(P_LC_Tasa)/12*CB$9</f>
        <v>0</v>
      </c>
      <c r="CC140" s="34" t="n">
        <f aca="false">CB$145*N(P_LC_Tasa)/12*CC$9</f>
        <v>0</v>
      </c>
      <c r="CD140" s="34" t="n">
        <f aca="false">CC$145*N(P_LC_Tasa)/12*CD$9</f>
        <v>0</v>
      </c>
      <c r="CE140" s="34" t="n">
        <f aca="false">CD$145*N(P_LC_Tasa)/12*CE$9</f>
        <v>0</v>
      </c>
      <c r="CF140" s="34" t="n">
        <f aca="false">CE$145*N(P_LC_Tasa)/12*CF$9</f>
        <v>0</v>
      </c>
      <c r="CG140" s="34" t="n">
        <f aca="false">CF$145*N(P_LC_Tasa)/12*CG$9</f>
        <v>0</v>
      </c>
      <c r="CH140" s="34" t="n">
        <f aca="false">CG$145*N(P_LC_Tasa)/12*CH$9</f>
        <v>0</v>
      </c>
      <c r="CI140" s="34" t="n">
        <f aca="false">CH$145*N(P_LC_Tasa)/12*CI$9</f>
        <v>0</v>
      </c>
      <c r="CJ140" s="34" t="n">
        <f aca="false">CI$145*N(P_LC_Tasa)/12*CJ$9</f>
        <v>0</v>
      </c>
      <c r="CK140" s="34" t="n">
        <f aca="false">CJ$145*N(P_LC_Tasa)/12*CK$9</f>
        <v>0</v>
      </c>
      <c r="CL140" s="34" t="n">
        <f aca="false">CK$145*N(P_LC_Tasa)/12*CL$9</f>
        <v>0</v>
      </c>
      <c r="CM140" s="34" t="n">
        <f aca="false">CL$145*N(P_LC_Tasa)/12*CM$9</f>
        <v>0</v>
      </c>
      <c r="CN140" s="34" t="n">
        <f aca="false">CM$145*N(P_LC_Tasa)/12*CN$9</f>
        <v>0</v>
      </c>
      <c r="CO140" s="34" t="n">
        <f aca="false">CN$145*N(P_LC_Tasa)/12*CO$9</f>
        <v>0</v>
      </c>
      <c r="CP140" s="34" t="n">
        <f aca="false">CO$145*N(P_LC_Tasa)/12*CP$9</f>
        <v>0</v>
      </c>
      <c r="CQ140" s="34" t="n">
        <f aca="false">CP$145*N(P_LC_Tasa)/12*CQ$9</f>
        <v>0</v>
      </c>
      <c r="CR140" s="34" t="n">
        <f aca="false">CQ$145*N(P_LC_Tasa)/12*CR$9</f>
        <v>0</v>
      </c>
      <c r="CS140" s="34" t="n">
        <f aca="false">CR$145*N(P_LC_Tasa)/12*CS$9</f>
        <v>0</v>
      </c>
      <c r="CT140" s="34" t="n">
        <f aca="false">CS$145*N(P_LC_Tasa)/12*CT$9</f>
        <v>0</v>
      </c>
      <c r="CU140" s="34" t="n">
        <f aca="false">CT$145*N(P_LC_Tasa)/12*CU$9</f>
        <v>0</v>
      </c>
      <c r="CV140" s="34" t="n">
        <f aca="false">CU$145*N(P_LC_Tasa)/12*CV$9</f>
        <v>0</v>
      </c>
      <c r="CW140" s="34" t="n">
        <f aca="false">CV$145*N(P_LC_Tasa)/12*CW$9</f>
        <v>0</v>
      </c>
      <c r="CX140" s="34" t="n">
        <f aca="false">CW$145*N(P_LC_Tasa)/12*CX$9</f>
        <v>0</v>
      </c>
      <c r="CY140" s="34" t="n">
        <f aca="false">CX$145*N(P_LC_Tasa)/12*CY$9</f>
        <v>0</v>
      </c>
      <c r="CZ140" s="34" t="n">
        <f aca="false">CY$145*N(P_LC_Tasa)/12*CZ$9</f>
        <v>0</v>
      </c>
      <c r="DA140" s="34" t="n">
        <f aca="false">CZ$145*N(P_LC_Tasa)/12*DA$9</f>
        <v>0</v>
      </c>
      <c r="DB140" s="34" t="n">
        <f aca="false">DA$145*N(P_LC_Tasa)/12*DB$9</f>
        <v>0</v>
      </c>
      <c r="DC140" s="34" t="n">
        <f aca="false">DB$145*N(P_LC_Tasa)/12*DC$9</f>
        <v>0</v>
      </c>
      <c r="DD140" s="34" t="n">
        <f aca="false">DC$145*N(P_LC_Tasa)/12*DD$9</f>
        <v>0</v>
      </c>
      <c r="DE140" s="34" t="n">
        <f aca="false">DD$145*N(P_LC_Tasa)/12*DE$9</f>
        <v>0</v>
      </c>
      <c r="DF140" s="34" t="n">
        <f aca="false">DE$145*N(P_LC_Tasa)/12*DF$9</f>
        <v>0</v>
      </c>
      <c r="DG140" s="34" t="n">
        <f aca="false">DF$145*N(P_LC_Tasa)/12*DG$9</f>
        <v>0</v>
      </c>
      <c r="DH140" s="34" t="n">
        <f aca="false">DG$145*N(P_LC_Tasa)/12*DH$9</f>
        <v>0</v>
      </c>
      <c r="DI140" s="34" t="n">
        <f aca="false">DH$145*N(P_LC_Tasa)/12*DI$9</f>
        <v>0</v>
      </c>
      <c r="DJ140" s="34" t="n">
        <f aca="false">DI$145*N(P_LC_Tasa)/12*DJ$9</f>
        <v>0</v>
      </c>
      <c r="DK140" s="34" t="n">
        <f aca="false">DJ$145*N(P_LC_Tasa)/12*DK$9</f>
        <v>0</v>
      </c>
      <c r="DL140" s="34" t="n">
        <f aca="false">DK$145*N(P_LC_Tasa)/12*DL$9</f>
        <v>0</v>
      </c>
      <c r="DM140" s="34" t="n">
        <f aca="false">DL$145*N(P_LC_Tasa)/12*DM$9</f>
        <v>0</v>
      </c>
      <c r="DN140" s="34" t="n">
        <f aca="false">DM$145*N(P_LC_Tasa)/12*DN$9</f>
        <v>0</v>
      </c>
      <c r="DO140" s="34" t="n">
        <f aca="false">DN$145*N(P_LC_Tasa)/12*DO$9</f>
        <v>0</v>
      </c>
      <c r="DP140" s="34" t="n">
        <f aca="false">DO$145*N(P_LC_Tasa)/12*DP$9</f>
        <v>0</v>
      </c>
      <c r="DQ140" s="34" t="n">
        <f aca="false">DP$145*N(P_LC_Tasa)/12*DQ$9</f>
        <v>0</v>
      </c>
      <c r="DR140" s="34" t="n">
        <f aca="false">DQ$145*N(P_LC_Tasa)/12*DR$9</f>
        <v>0</v>
      </c>
      <c r="DS140" s="34" t="n">
        <f aca="false">DR$145*N(P_LC_Tasa)/12*DS$9</f>
        <v>0</v>
      </c>
      <c r="DT140" s="34" t="n">
        <f aca="false">DS$145*N(P_LC_Tasa)/12*DT$9</f>
        <v>0</v>
      </c>
      <c r="DU140" s="34" t="n">
        <f aca="false">DT$145*N(P_LC_Tasa)/12*DU$9</f>
        <v>0</v>
      </c>
      <c r="DV140" s="34" t="n">
        <f aca="false">DU$145*N(P_LC_Tasa)/12*DV$9</f>
        <v>0</v>
      </c>
      <c r="DW140" s="34" t="n">
        <f aca="false">DV$145*N(P_LC_Tasa)/12*DW$9</f>
        <v>0</v>
      </c>
      <c r="DX140" s="34" t="n">
        <f aca="false">DW$145*N(P_LC_Tasa)/12*DX$9</f>
        <v>0</v>
      </c>
      <c r="DY140" s="34" t="n">
        <f aca="false">DX$145*N(P_LC_Tasa)/12*DY$9</f>
        <v>0</v>
      </c>
      <c r="DZ140" s="34" t="n">
        <f aca="false">DY$145*N(P_LC_Tasa)/12*DZ$9</f>
        <v>0</v>
      </c>
      <c r="EA140" s="34" t="n">
        <f aca="false">DZ$145*N(P_LC_Tasa)/12*EA$9</f>
        <v>0</v>
      </c>
      <c r="EB140" s="34" t="n">
        <f aca="false">EA$145*N(P_LC_Tasa)/12*EB$9</f>
        <v>0</v>
      </c>
      <c r="EC140" s="34" t="n">
        <f aca="false">EB$145*N(P_LC_Tasa)/12*EC$9</f>
        <v>0</v>
      </c>
      <c r="ED140" s="34" t="n">
        <f aca="false">EC$145*N(P_LC_Tasa)/12*ED$9</f>
        <v>0</v>
      </c>
      <c r="EE140" s="34" t="n">
        <f aca="false">ED$145*N(P_LC_Tasa)/12*EE$9</f>
        <v>0</v>
      </c>
      <c r="EF140" s="34" t="n">
        <f aca="false">EE$145*N(P_LC_Tasa)/12*EF$9</f>
        <v>0</v>
      </c>
      <c r="EG140" s="34" t="n">
        <f aca="false">EF$145*N(P_LC_Tasa)/12*EG$9</f>
        <v>0</v>
      </c>
      <c r="EH140" s="34" t="n">
        <f aca="false">EG$145*N(P_LC_Tasa)/12*EH$9</f>
        <v>0</v>
      </c>
      <c r="EI140" s="34" t="n">
        <f aca="false">EH$145*N(P_LC_Tasa)/12*EI$9</f>
        <v>0</v>
      </c>
      <c r="EJ140" s="34" t="n">
        <f aca="false">EI$145*N(P_LC_Tasa)/12*EJ$9</f>
        <v>0</v>
      </c>
      <c r="EK140" s="34" t="n">
        <f aca="false">EJ$145*N(P_LC_Tasa)/12*EK$9</f>
        <v>0</v>
      </c>
      <c r="EL140" s="34" t="n">
        <f aca="false">EK$145*N(P_LC_Tasa)/12*EL$9</f>
        <v>0</v>
      </c>
      <c r="EM140" s="34" t="n">
        <f aca="false">EL$145*N(P_LC_Tasa)/12*EM$9</f>
        <v>0</v>
      </c>
      <c r="EN140" s="34" t="n">
        <f aca="false">EM$145*N(P_LC_Tasa)/12*EN$9</f>
        <v>0</v>
      </c>
      <c r="EO140" s="34" t="n">
        <f aca="false">EN$145*N(P_LC_Tasa)/12*EO$9</f>
        <v>0</v>
      </c>
      <c r="EP140" s="34" t="n">
        <f aca="false">EO$145*N(P_LC_Tasa)/12*EP$9</f>
        <v>0</v>
      </c>
      <c r="EQ140" s="34" t="n">
        <f aca="false">EP$145*N(P_LC_Tasa)/12*EQ$9</f>
        <v>0</v>
      </c>
      <c r="ER140" s="34" t="n">
        <f aca="false">EQ$145*N(P_LC_Tasa)/12*ER$9</f>
        <v>0</v>
      </c>
      <c r="ES140" s="34" t="n">
        <f aca="false">ER$145*N(P_LC_Tasa)/12*ES$9</f>
        <v>0</v>
      </c>
    </row>
    <row r="141" customFormat="false" ht="15" hidden="false" customHeight="false" outlineLevel="0" collapsed="false">
      <c r="A141" s="2" t="s">
        <v>764</v>
      </c>
      <c r="B141" s="6" t="s">
        <v>765</v>
      </c>
      <c r="C141" s="6" t="s">
        <v>250</v>
      </c>
      <c r="E141" s="40" t="n">
        <f aca="false">MIN(F141:ES141)</f>
        <v>-311740.118672618</v>
      </c>
      <c r="F141" s="34" t="n">
        <f aca="false">0+F$116-F$117+F$136-F$137-F$105*F$9+F$138</f>
        <v>535727.93036656</v>
      </c>
      <c r="G141" s="34" t="n">
        <f aca="false">F$154+G$116-G$117+G$136-G$137-G$105*G$9+G$138</f>
        <v>555194.83809215</v>
      </c>
      <c r="H141" s="34" t="n">
        <f aca="false">G$154+H$116-H$117+H$136-H$137-H$105*H$9+H$138</f>
        <v>574661.745817739</v>
      </c>
      <c r="I141" s="34" t="n">
        <f aca="false">H$154+I$116-I$117+I$136-I$137-I$105*I$9+I$138</f>
        <v>594128.653543329</v>
      </c>
      <c r="J141" s="34" t="n">
        <f aca="false">I$154+J$116-J$117+J$136-J$137-J$105*J$9+J$138</f>
        <v>613595.561268919</v>
      </c>
      <c r="K141" s="34" t="n">
        <f aca="false">J$154+K$116-K$117+K$136-K$137-K$105*K$9+K$138</f>
        <v>633062.468994509</v>
      </c>
      <c r="L141" s="34" t="n">
        <f aca="false">K$154+L$116-L$117+L$136-L$137-L$105*L$9+L$138</f>
        <v>610406.072625411</v>
      </c>
      <c r="M141" s="34" t="n">
        <f aca="false">L$154+M$116-M$117+M$136-M$137-M$105*M$9+M$138</f>
        <v>587781.268734384</v>
      </c>
      <c r="N141" s="34" t="n">
        <f aca="false">M$154+N$116-N$117+N$136-N$137-N$105*N$9+N$138</f>
        <v>565188.294265013</v>
      </c>
      <c r="O141" s="34" t="n">
        <f aca="false">N$154+O$116-O$117+O$136-O$137-O$105*O$9+O$138</f>
        <v>542627.387937962</v>
      </c>
      <c r="P141" s="34" t="n">
        <f aca="false">O$154+P$116-P$117+P$136-P$137-P$105*P$9+P$138</f>
        <v>520098.790264297</v>
      </c>
      <c r="Q141" s="34" t="n">
        <f aca="false">P$154+Q$116-Q$117+Q$136-Q$137-Q$105*Q$9+Q$138</f>
        <v>497602.743558918</v>
      </c>
      <c r="R141" s="34" t="n">
        <f aca="false">Q$154+R$116-R$117+R$136-R$137-R$105*R$9+R$138</f>
        <v>129920.95007682</v>
      </c>
      <c r="S141" s="34" t="n">
        <f aca="false">R$154+S$116-S$117+S$136-S$137-S$105*S$9+S$138</f>
        <v>145489.642054168</v>
      </c>
      <c r="T141" s="34" t="n">
        <f aca="false">S$154+T$116-T$117+T$136-T$137-T$105*T$9+T$138</f>
        <v>161091.622903299</v>
      </c>
      <c r="U141" s="34" t="n">
        <f aca="false">T$154+U$116-U$117+U$136-U$137-U$105*U$9+U$138</f>
        <v>176727.142290749</v>
      </c>
      <c r="V141" s="34" t="n">
        <f aca="false">U$154+V$116-V$117+V$136-V$137-V$105*V$9+V$138</f>
        <v>192396.451755556</v>
      </c>
      <c r="W141" s="34" t="n">
        <f aca="false">V$154+W$116-W$117+W$136-W$137-W$105*W$9+W$138</f>
        <v>208099.804723301</v>
      </c>
      <c r="X141" s="34" t="n">
        <f aca="false">W$154+X$116-X$117+X$136-X$137-X$105*X$9+X$138</f>
        <v>223837.456520255</v>
      </c>
      <c r="Y141" s="34" t="n">
        <f aca="false">X$154+Y$116-Y$117+Y$136-Y$137-Y$105*Y$9+Y$138</f>
        <v>239609.664387639</v>
      </c>
      <c r="Z141" s="34" t="n">
        <f aca="false">Y$154+Z$116-Z$117+Z$136-Z$137-Z$105*Z$9+Z$138</f>
        <v>255416.687495978</v>
      </c>
      <c r="AA141" s="34" t="n">
        <f aca="false">Z$154+AA$116-AA$117+AA$136-AA$137-AA$105*AA$9+AA$138</f>
        <v>271258.786959582</v>
      </c>
      <c r="AB141" s="34" t="n">
        <f aca="false">AA$154+AB$116-AB$117+AB$136-AB$137-AB$105*AB$9+AB$138</f>
        <v>287136.225851114</v>
      </c>
      <c r="AC141" s="34" t="n">
        <f aca="false">AB$154+AC$116-AC$117+AC$136-AC$137-AC$105*AC$9+AC$138</f>
        <v>303049.269216285</v>
      </c>
      <c r="AD141" s="34" t="n">
        <f aca="false">AC$154+AD$116-AD$117+AD$136-AD$137-AD$105*AD$9+AD$138</f>
        <v>-311740.118672618</v>
      </c>
      <c r="AE141" s="34" t="n">
        <f aca="false">AD$154+AE$116-AE$117+AE$136-AE$137-AE$105*AE$9+AE$138</f>
        <v>-259166.435385603</v>
      </c>
      <c r="AF141" s="34" t="n">
        <f aca="false">AE$154+AF$116-AF$117+AF$136-AF$137-AF$105*AF$9+AF$138</f>
        <v>-206556.340501018</v>
      </c>
      <c r="AG141" s="34" t="n">
        <f aca="false">AF$154+AG$116-AG$117+AG$136-AG$137-AG$105*AG$9+AG$138</f>
        <v>-153909.560931882</v>
      </c>
      <c r="AH141" s="34" t="n">
        <f aca="false">AG$154+AH$116-AH$117+AH$136-AH$137-AH$105*AH$9+AH$138</f>
        <v>-101225.821543058</v>
      </c>
      <c r="AI141" s="34" t="n">
        <f aca="false">AH$154+AI$116-AI$117+AI$136-AI$137-AI$105*AI$9+AI$138</f>
        <v>-48504.8451359012</v>
      </c>
      <c r="AJ141" s="34" t="n">
        <f aca="false">AI$154+AJ$116-AJ$117+AJ$136-AJ$137-AJ$105*AJ$9+AJ$138</f>
        <v>4253.64756722731</v>
      </c>
      <c r="AK141" s="34" t="n">
        <f aca="false">AJ$154+AK$116-AK$117+AK$136-AK$137-AK$105*AK$9+AK$138</f>
        <v>57049.9379385471</v>
      </c>
      <c r="AL141" s="34" t="n">
        <f aca="false">AK$154+AL$116-AL$117+AL$136-AL$137-AL$105*AL$9+AL$138</f>
        <v>109884.309460569</v>
      </c>
      <c r="AM141" s="34" t="n">
        <f aca="false">AL$154+AM$116-AM$117+AM$136-AM$137-AM$105*AM$9+AM$138</f>
        <v>162757.047741925</v>
      </c>
      <c r="AN141" s="34" t="n">
        <f aca="false">AM$154+AN$116-AN$117+AN$136-AN$137-AN$105*AN$9+AN$138</f>
        <v>215668.440533308</v>
      </c>
      <c r="AO141" s="34" t="n">
        <f aca="false">AN$154+AO$116-AO$117+AO$136-AO$137-AO$105*AO$9+AO$138</f>
        <v>268618.777743544</v>
      </c>
      <c r="AP141" s="34" t="n">
        <f aca="false">AO$154+AP$116-AP$117+AP$136-AP$137-AP$105*AP$9+AP$138</f>
        <v>-204392.169462804</v>
      </c>
      <c r="AQ141" s="34" t="n">
        <f aca="false">AP$154+AQ$116-AQ$117+AQ$136-AQ$137-AQ$105*AQ$9+AQ$138</f>
        <v>-118554.51596008</v>
      </c>
      <c r="AR141" s="34" t="n">
        <f aca="false">AQ$154+AR$116-AR$117+AR$136-AR$137-AR$105*AR$9+AR$138</f>
        <v>-32677.0352007788</v>
      </c>
      <c r="AS141" s="34" t="n">
        <f aca="false">AR$154+AS$116-AS$117+AS$136-AS$137-AS$105*AS$9+AS$138</f>
        <v>53240.5715195248</v>
      </c>
      <c r="AT141" s="34" t="n">
        <f aca="false">AS$154+AT$116-AT$117+AT$136-AT$137-AT$105*AT$9+AT$138</f>
        <v>139198.605145538</v>
      </c>
      <c r="AU141" s="34" t="n">
        <f aca="false">AT$154+AU$116-AU$117+AU$136-AU$137-AU$105*AU$9+AU$138</f>
        <v>225197.368879053</v>
      </c>
      <c r="AV141" s="34" t="n">
        <f aca="false">AU$154+AV$116-AV$117+AV$136-AV$137-AV$105*AV$9+AV$138</f>
        <v>311237.168195877</v>
      </c>
      <c r="AW141" s="34" t="n">
        <f aca="false">AV$154+AW$116-AW$117+AW$136-AW$137-AW$105*AW$9+AW$138</f>
        <v>397318.310862885</v>
      </c>
      <c r="AX141" s="34" t="n">
        <f aca="false">AW$154+AX$116-AX$117+AX$136-AX$137-AX$105*AX$9+AX$138</f>
        <v>483441.106955202</v>
      </c>
      <c r="AY141" s="34" t="n">
        <f aca="false">AX$154+AY$116-AY$117+AY$136-AY$137-AY$105*AY$9+AY$138</f>
        <v>569605.868873519</v>
      </c>
      <c r="AZ141" s="34" t="n">
        <f aca="false">AY$154+AZ$116-AZ$117+AZ$136-AZ$137-AZ$105*AZ$9+AZ$138</f>
        <v>655812.91136153</v>
      </c>
      <c r="BA141" s="34" t="n">
        <f aca="false">AZ$154+BA$116-BA$117+BA$136-BA$137-BA$105*BA$9+BA$138</f>
        <v>742062.551523509</v>
      </c>
      <c r="BB141" s="34" t="n">
        <f aca="false">BA$154+BB$116-BB$117+BB$136-BB$137-BB$105*BB$9+BB$138</f>
        <v>791565.146132666</v>
      </c>
      <c r="BC141" s="34" t="n">
        <f aca="false">BB$154+BC$116-BC$117+BC$136-BC$137-BC$105*BC$9+BC$138</f>
        <v>879220.527482878</v>
      </c>
      <c r="BD141" s="34" t="n">
        <f aca="false">BC$154+BD$116-BD$117+BD$136-BD$137-BD$105*BD$9+BD$138</f>
        <v>966919.47216105</v>
      </c>
      <c r="BE141" s="34" t="n">
        <f aca="false">BD$154+BE$116-BE$117+BE$136-BE$137-BE$105*BE$9+BE$138</f>
        <v>1054662.30689214</v>
      </c>
      <c r="BF141" s="34" t="n">
        <f aca="false">BE$154+BF$116-BF$117+BF$136-BF$137-BF$105*BF$9+BF$138</f>
        <v>337495.982470628</v>
      </c>
      <c r="BG141" s="34" t="n">
        <f aca="false">BF$154+BG$116-BG$117+BG$136-BG$137-BG$105*BG$9+BG$138</f>
        <v>425327.587302565</v>
      </c>
      <c r="BH141" s="34" t="n">
        <f aca="false">BG$154+BH$116-BH$117+BH$136-BH$137-BH$105*BH$9+BH$138</f>
        <v>513204.077138576</v>
      </c>
      <c r="BI141" s="34" t="n">
        <f aca="false">BH$154+BI$116-BI$117+BI$136-BI$137-BI$105*BI$9+BI$138</f>
        <v>601125.788616189</v>
      </c>
      <c r="BJ141" s="34" t="n">
        <f aca="false">BI$154+BJ$116-BJ$117+BJ$136-BJ$137-BJ$105*BJ$9+BJ$138</f>
        <v>689093.060897719</v>
      </c>
      <c r="BK141" s="34" t="n">
        <f aca="false">BJ$154+BK$116-BK$117+BK$136-BK$137-BK$105*BK$9+BK$138</f>
        <v>777106.235689193</v>
      </c>
      <c r="BL141" s="34" t="n">
        <f aca="false">BK$154+BL$116-BL$117+BL$136-BL$137-BL$105*BL$9+BL$138</f>
        <v>865165.657259436</v>
      </c>
      <c r="BM141" s="34" t="n">
        <f aca="false">BL$154+BM$116-BM$117+BM$136-BM$137-BM$105*BM$9+BM$138</f>
        <v>953271.672459288</v>
      </c>
      <c r="BN141" s="34" t="n">
        <f aca="false">BM$154+BN$116-BN$117+BN$136-BN$137-BN$105*BN$9+BN$138</f>
        <v>1070847.25778852</v>
      </c>
      <c r="BO141" s="34" t="n">
        <f aca="false">BN$154+BO$116-BO$117+BO$136-BO$137-BO$105*BO$9+BO$138</f>
        <v>1226147.69958634</v>
      </c>
      <c r="BP141" s="34" t="n">
        <f aca="false">BO$154+BP$116-BP$117+BP$136-BP$137-BP$105*BP$9+BP$138</f>
        <v>1381448.14138417</v>
      </c>
      <c r="BQ141" s="34" t="n">
        <f aca="false">BP$154+BQ$116-BQ$117+BQ$136-BQ$137-BQ$105*BQ$9+BQ$138</f>
        <v>1536748.583182</v>
      </c>
      <c r="BR141" s="34" t="n">
        <f aca="false">BQ$154+BR$116-BR$117+BR$136-BR$137-BR$105*BR$9+BR$138</f>
        <v>228122.480611604</v>
      </c>
      <c r="BS141" s="34" t="n">
        <f aca="false">BR$154+BS$116-BS$117+BS$136-BS$137-BS$105*BS$9+BS$138</f>
        <v>383422.92240943</v>
      </c>
      <c r="BT141" s="34" t="n">
        <f aca="false">BS$154+BT$116-BT$117+BT$136-BT$137-BT$105*BT$9+BT$138</f>
        <v>538723.364207257</v>
      </c>
      <c r="BU141" s="34" t="n">
        <f aca="false">BT$154+BU$116-BU$117+BU$136-BU$137-BU$105*BU$9+BU$138</f>
        <v>694023.806005083</v>
      </c>
      <c r="BV141" s="34" t="n">
        <f aca="false">BU$154+BV$116-BV$117+BV$136-BV$137-BV$105*BV$9+BV$138</f>
        <v>849324.247802909</v>
      </c>
      <c r="BW141" s="34" t="n">
        <f aca="false">BV$154+BW$116-BW$117+BW$136-BW$137-BW$105*BW$9+BW$138</f>
        <v>1004624.68960073</v>
      </c>
      <c r="BX141" s="34" t="n">
        <f aca="false">BW$154+BX$116-BX$117+BX$136-BX$137-BX$105*BX$9+BX$138</f>
        <v>1159925.13139856</v>
      </c>
      <c r="BY141" s="34" t="n">
        <f aca="false">BX$154+BY$116-BY$117+BY$136-BY$137-BY$105*BY$9+BY$138</f>
        <v>1315225.57319639</v>
      </c>
      <c r="BZ141" s="34" t="n">
        <f aca="false">BY$154+BZ$116-BZ$117+BZ$136-BZ$137-BZ$105*BZ$9+BZ$138</f>
        <v>1436551.70246101</v>
      </c>
      <c r="CA141" s="34" t="n">
        <f aca="false">BZ$154+CA$116-CA$117+CA$136-CA$137-CA$105*CA$9+CA$138</f>
        <v>1595967.72495041</v>
      </c>
      <c r="CB141" s="34" t="n">
        <f aca="false">CA$154+CB$116-CB$117+CB$136-CB$137-CB$105*CB$9+CB$138</f>
        <v>1755383.74743981</v>
      </c>
      <c r="CC141" s="34" t="n">
        <f aca="false">CB$154+CC$116-CC$117+CC$136-CC$137-CC$105*CC$9+CC$138</f>
        <v>1914799.76992921</v>
      </c>
      <c r="CD141" s="34" t="n">
        <f aca="false">CC$154+CD$116-CD$117+CD$136-CD$137-CD$105*CD$9+CD$138</f>
        <v>280027.099844691</v>
      </c>
      <c r="CE141" s="34" t="n">
        <f aca="false">CD$154+CE$116-CE$117+CE$136-CE$137-CE$105*CE$9+CE$138</f>
        <v>439443.122334091</v>
      </c>
      <c r="CF141" s="34" t="n">
        <f aca="false">CE$154+CF$116-CF$117+CF$136-CF$137-CF$105*CF$9+CF$138</f>
        <v>598859.144823491</v>
      </c>
      <c r="CG141" s="34" t="n">
        <f aca="false">CF$154+CG$116-CG$117+CG$136-CG$137-CG$105*CG$9+CG$138</f>
        <v>758275.167312891</v>
      </c>
      <c r="CH141" s="34" t="n">
        <f aca="false">CG$154+CH$116-CH$117+CH$136-CH$137-CH$105*CH$9+CH$138</f>
        <v>917691.18980229</v>
      </c>
      <c r="CI141" s="34" t="n">
        <f aca="false">CH$154+CI$116-CI$117+CI$136-CI$137-CI$105*CI$9+CI$138</f>
        <v>1077107.21229169</v>
      </c>
      <c r="CJ141" s="34" t="n">
        <f aca="false">CI$154+CJ$116-CJ$117+CJ$136-CJ$137-CJ$105*CJ$9+CJ$138</f>
        <v>1236523.23478109</v>
      </c>
      <c r="CK141" s="34" t="n">
        <f aca="false">CJ$154+CK$116-CK$117+CK$136-CK$137-CK$105*CK$9+CK$138</f>
        <v>1395939.25727049</v>
      </c>
      <c r="CL141" s="34" t="n">
        <f aca="false">CK$154+CL$116-CL$117+CL$136-CL$137-CL$105*CL$9+CL$138</f>
        <v>1521040.85812226</v>
      </c>
      <c r="CM141" s="34" t="n">
        <f aca="false">CL$154+CM$116-CM$117+CM$136-CM$137-CM$105*CM$9+CM$138</f>
        <v>1684600.67666855</v>
      </c>
      <c r="CN141" s="34" t="n">
        <f aca="false">CM$154+CN$116-CN$117+CN$136-CN$137-CN$105*CN$9+CN$138</f>
        <v>1848160.49521483</v>
      </c>
      <c r="CO141" s="34" t="n">
        <f aca="false">CN$154+CO$116-CO$117+CO$136-CO$137-CO$105*CO$9+CO$138</f>
        <v>2011720.31376112</v>
      </c>
      <c r="CP141" s="34" t="n">
        <f aca="false">CO$154+CP$116-CP$117+CP$136-CP$137-CP$105*CP$9+CP$138</f>
        <v>331704.47143461</v>
      </c>
      <c r="CQ141" s="34" t="n">
        <f aca="false">CP$154+CQ$116-CQ$117+CQ$136-CQ$137-CQ$105*CQ$9+CQ$138</f>
        <v>495264.289980898</v>
      </c>
      <c r="CR141" s="34" t="n">
        <f aca="false">CQ$154+CR$116-CR$117+CR$136-CR$137-CR$105*CR$9+CR$138</f>
        <v>658824.108527185</v>
      </c>
      <c r="CS141" s="34" t="n">
        <f aca="false">CR$154+CS$116-CS$117+CS$136-CS$137-CS$105*CS$9+CS$138</f>
        <v>822383.927073473</v>
      </c>
      <c r="CT141" s="34" t="n">
        <f aca="false">CS$154+CT$116-CT$117+CT$136-CT$137-CT$105*CT$9+CT$138</f>
        <v>985943.74561976</v>
      </c>
      <c r="CU141" s="34" t="n">
        <f aca="false">CT$154+CU$116-CU$117+CU$136-CU$137-CU$105*CU$9+CU$138</f>
        <v>1149503.56416605</v>
      </c>
      <c r="CV141" s="34" t="n">
        <f aca="false">CU$154+CV$116-CV$117+CV$136-CV$137-CV$105*CV$9+CV$138</f>
        <v>1313063.38271234</v>
      </c>
      <c r="CW141" s="34" t="n">
        <f aca="false">CV$154+CW$116-CW$117+CW$136-CW$137-CW$105*CW$9+CW$138</f>
        <v>1476623.20125862</v>
      </c>
      <c r="CX141" s="34" t="n">
        <f aca="false">CW$154+CX$116-CX$117+CX$136-CX$137-CX$105*CX$9+CX$138</f>
        <v>1605525.07895819</v>
      </c>
      <c r="CY141" s="34" t="n">
        <f aca="false">CX$154+CY$116-CY$117+CY$136-CY$137-CY$105*CY$9+CY$138</f>
        <v>1773256.8086071</v>
      </c>
      <c r="CZ141" s="34" t="n">
        <f aca="false">CY$154+CZ$116-CZ$117+CZ$136-CZ$137-CZ$105*CZ$9+CZ$138</f>
        <v>1940988.53825601</v>
      </c>
      <c r="DA141" s="34" t="n">
        <f aca="false">CZ$154+DA$116-DA$117+DA$136-DA$137-DA$105*DA$9+DA$138</f>
        <v>2108720.26790492</v>
      </c>
      <c r="DB141" s="34" t="n">
        <f aca="false">DA$154+DB$116-DB$117+DB$136-DB$137-DB$105*DB$9+DB$138</f>
        <v>383150.783998375</v>
      </c>
      <c r="DC141" s="34" t="n">
        <f aca="false">DB$154+DC$116-DC$117+DC$136-DC$137-DC$105*DC$9+DC$138</f>
        <v>550882.513647283</v>
      </c>
      <c r="DD141" s="34" t="n">
        <f aca="false">DC$154+DD$116-DD$117+DD$136-DD$137-DD$105*DD$9+DD$138</f>
        <v>718614.24329619</v>
      </c>
      <c r="DE141" s="34" t="n">
        <f aca="false">DD$154+DE$116-DE$117+DE$136-DE$137-DE$105*DE$9+DE$138</f>
        <v>886345.972945098</v>
      </c>
      <c r="DF141" s="34" t="n">
        <f aca="false">DE$154+DF$116-DF$117+DF$136-DF$137-DF$105*DF$9+DF$138</f>
        <v>1054077.70259401</v>
      </c>
      <c r="DG141" s="34" t="n">
        <f aca="false">DF$154+DG$116-DG$117+DG$136-DG$137-DG$105*DG$9+DG$138</f>
        <v>1221809.43224291</v>
      </c>
      <c r="DH141" s="34" t="n">
        <f aca="false">DG$154+DH$116-DH$117+DH$136-DH$137-DH$105*DH$9+DH$138</f>
        <v>1389541.16189182</v>
      </c>
      <c r="DI141" s="34" t="n">
        <f aca="false">DH$154+DI$116-DI$117+DI$136-DI$137-DI$105*DI$9+DI$138</f>
        <v>1557272.89154073</v>
      </c>
      <c r="DJ141" s="34" t="n">
        <f aca="false">DI$154+DJ$116-DJ$117+DJ$136-DJ$137-DJ$105*DJ$9+DJ$138</f>
        <v>1689999.71669704</v>
      </c>
      <c r="DK141" s="34" t="n">
        <f aca="false">DJ$154+DK$116-DK$117+DK$136-DK$137-DK$105*DK$9+DK$138</f>
        <v>1861931.35981212</v>
      </c>
      <c r="DL141" s="34" t="n">
        <f aca="false">DK$154+DL$116-DL$117+DL$136-DL$137-DL$105*DL$9+DL$138</f>
        <v>2033863.00292721</v>
      </c>
      <c r="DM141" s="34" t="n">
        <f aca="false">DL$154+DM$116-DM$117+DM$136-DM$137-DM$105*DM$9+DM$138</f>
        <v>2205794.64604229</v>
      </c>
      <c r="DN141" s="34" t="n">
        <f aca="false">DM$154+DN$116-DN$117+DN$136-DN$137-DN$105*DN$9+DN$138</f>
        <v>434362.142370491</v>
      </c>
      <c r="DO141" s="34" t="n">
        <f aca="false">DN$154+DO$116-DO$117+DO$136-DO$137-DO$105*DO$9+DO$138</f>
        <v>606293.785485577</v>
      </c>
      <c r="DP141" s="34" t="n">
        <f aca="false">DO$154+DP$116-DP$117+DP$136-DP$137-DP$105*DP$9+DP$138</f>
        <v>778225.428600663</v>
      </c>
      <c r="DQ141" s="34" t="n">
        <f aca="false">DP$154+DQ$116-DQ$117+DQ$136-DQ$137-DQ$105*DQ$9+DQ$138</f>
        <v>950157.071715749</v>
      </c>
      <c r="DR141" s="34" t="n">
        <f aca="false">DQ$154+DR$116-DR$117+DR$136-DR$137-DR$105*DR$9+DR$138</f>
        <v>1122088.71483084</v>
      </c>
      <c r="DS141" s="34" t="n">
        <f aca="false">DR$154+DS$116-DS$117+DS$136-DS$137-DS$105*DS$9+DS$138</f>
        <v>1294020.35794592</v>
      </c>
      <c r="DT141" s="34" t="n">
        <f aca="false">DS$154+DT$116-DT$117+DT$136-DT$137-DT$105*DT$9+DT$138</f>
        <v>1465952.00106101</v>
      </c>
      <c r="DU141" s="34" t="n">
        <f aca="false">DT$154+DU$116-DU$117+DU$136-DU$137-DU$105*DU$9+DU$138</f>
        <v>1637883.64417609</v>
      </c>
      <c r="DV141" s="34" t="n">
        <f aca="false">DU$154+DV$116-DV$117+DV$136-DV$137-DV$105*DV$9+DV$138</f>
        <v>1637883.64417609</v>
      </c>
      <c r="DW141" s="34" t="n">
        <f aca="false">DV$154+DW$116-DW$117+DW$136-DW$137-DW$105*DW$9+DW$138</f>
        <v>1637883.64417609</v>
      </c>
      <c r="DX141" s="34" t="n">
        <f aca="false">DW$154+DX$116-DX$117+DX$136-DX$137-DX$105*DX$9+DX$138</f>
        <v>1637883.64417609</v>
      </c>
      <c r="DY141" s="34" t="n">
        <f aca="false">DX$154+DY$116-DY$117+DY$136-DY$137-DY$105*DY$9+DY$138</f>
        <v>1637883.64417609</v>
      </c>
      <c r="DZ141" s="34" t="n">
        <f aca="false">DY$154+DZ$116-DZ$117+DZ$136-DZ$137-DZ$105*DZ$9+DZ$138</f>
        <v>1637883.64417609</v>
      </c>
      <c r="EA141" s="34" t="n">
        <f aca="false">DZ$154+EA$116-EA$117+EA$136-EA$137-EA$105*EA$9+EA$138</f>
        <v>1637883.64417609</v>
      </c>
      <c r="EB141" s="34" t="n">
        <f aca="false">EA$154+EB$116-EB$117+EB$136-EB$137-EB$105*EB$9+EB$138</f>
        <v>1637883.64417609</v>
      </c>
      <c r="EC141" s="34" t="n">
        <f aca="false">EB$154+EC$116-EC$117+EC$136-EC$137-EC$105*EC$9+EC$138</f>
        <v>1637883.64417609</v>
      </c>
      <c r="ED141" s="34" t="n">
        <f aca="false">EC$154+ED$116-ED$117+ED$136-ED$137-ED$105*ED$9+ED$138</f>
        <v>1637883.64417609</v>
      </c>
      <c r="EE141" s="34" t="n">
        <f aca="false">ED$154+EE$116-EE$117+EE$136-EE$137-EE$105*EE$9+EE$138</f>
        <v>1637883.64417609</v>
      </c>
      <c r="EF141" s="34" t="n">
        <f aca="false">EE$154+EF$116-EF$117+EF$136-EF$137-EF$105*EF$9+EF$138</f>
        <v>1637883.64417609</v>
      </c>
      <c r="EG141" s="34" t="n">
        <f aca="false">EF$154+EG$116-EG$117+EG$136-EG$137-EG$105*EG$9+EG$138</f>
        <v>1637883.64417609</v>
      </c>
      <c r="EH141" s="34" t="n">
        <f aca="false">EG$154+EH$116-EH$117+EH$136-EH$137-EH$105*EH$9+EH$138</f>
        <v>1637883.64417609</v>
      </c>
      <c r="EI141" s="34" t="n">
        <f aca="false">EH$154+EI$116-EI$117+EI$136-EI$137-EI$105*EI$9+EI$138</f>
        <v>1637883.64417609</v>
      </c>
      <c r="EJ141" s="34" t="n">
        <f aca="false">EI$154+EJ$116-EJ$117+EJ$136-EJ$137-EJ$105*EJ$9+EJ$138</f>
        <v>1637883.64417609</v>
      </c>
      <c r="EK141" s="34" t="n">
        <f aca="false">EJ$154+EK$116-EK$117+EK$136-EK$137-EK$105*EK$9+EK$138</f>
        <v>1637883.64417609</v>
      </c>
      <c r="EL141" s="34" t="n">
        <f aca="false">EK$154+EL$116-EL$117+EL$136-EL$137-EL$105*EL$9+EL$138</f>
        <v>1637883.64417609</v>
      </c>
      <c r="EM141" s="34" t="n">
        <f aca="false">EL$154+EM$116-EM$117+EM$136-EM$137-EM$105*EM$9+EM$138</f>
        <v>1637883.64417609</v>
      </c>
      <c r="EN141" s="34" t="n">
        <f aca="false">EM$154+EN$116-EN$117+EN$136-EN$137-EN$105*EN$9+EN$138</f>
        <v>1637883.64417609</v>
      </c>
      <c r="EO141" s="34" t="n">
        <f aca="false">EN$154+EO$116-EO$117+EO$136-EO$137-EO$105*EO$9+EO$138</f>
        <v>1637883.64417609</v>
      </c>
      <c r="EP141" s="34" t="n">
        <f aca="false">EO$154+EP$116-EP$117+EP$136-EP$137-EP$105*EP$9+EP$138</f>
        <v>1637883.64417609</v>
      </c>
      <c r="EQ141" s="34" t="n">
        <f aca="false">EP$154+EQ$116-EQ$117+EQ$136-EQ$137-EQ$105*EQ$9+EQ$138</f>
        <v>1637883.64417609</v>
      </c>
      <c r="ER141" s="34" t="n">
        <f aca="false">EQ$154+ER$116-ER$117+ER$136-ER$137-ER$105*ER$9+ER$138</f>
        <v>1637883.64417609</v>
      </c>
      <c r="ES141" s="34" t="n">
        <f aca="false">ER$154+ES$116-ES$117+ES$136-ES$137-ES$105*ES$9+ES$138</f>
        <v>1637883.64417609</v>
      </c>
    </row>
    <row r="142" customFormat="false" ht="15" hidden="false" customHeight="false" outlineLevel="0" collapsed="false">
      <c r="A142" s="2" t="s">
        <v>766</v>
      </c>
      <c r="B142" s="6" t="s">
        <v>164</v>
      </c>
      <c r="C142" s="6" t="s">
        <v>250</v>
      </c>
      <c r="F142" s="34" t="n">
        <f aca="false">F$71*P_CajaMin/DiasMes*F$9</f>
        <v>39863.0136986301</v>
      </c>
      <c r="G142" s="34" t="n">
        <f aca="false">G$71*P_CajaMin/DiasMes*G$9</f>
        <v>39863.0136986301</v>
      </c>
      <c r="H142" s="34" t="n">
        <f aca="false">H$71*P_CajaMin/DiasMes*H$9</f>
        <v>39863.0136986301</v>
      </c>
      <c r="I142" s="34" t="n">
        <f aca="false">I$71*P_CajaMin/DiasMes*I$9</f>
        <v>39863.0136986301</v>
      </c>
      <c r="J142" s="34" t="n">
        <f aca="false">J$71*P_CajaMin/DiasMes*J$9</f>
        <v>39863.0136986301</v>
      </c>
      <c r="K142" s="34" t="n">
        <f aca="false">K$71*P_CajaMin/DiasMes*K$9</f>
        <v>39863.0136986301</v>
      </c>
      <c r="L142" s="34" t="n">
        <f aca="false">L$71*P_CajaMin/DiasMes*L$9</f>
        <v>39863.0136986301</v>
      </c>
      <c r="M142" s="34" t="n">
        <f aca="false">M$71*P_CajaMin/DiasMes*M$9</f>
        <v>39863.0136986301</v>
      </c>
      <c r="N142" s="34" t="n">
        <f aca="false">N$71*P_CajaMin/DiasMes*N$9</f>
        <v>39863.0136986301</v>
      </c>
      <c r="O142" s="34" t="n">
        <f aca="false">O$71*P_CajaMin/DiasMes*O$9</f>
        <v>39863.0136986301</v>
      </c>
      <c r="P142" s="34" t="n">
        <f aca="false">P$71*P_CajaMin/DiasMes*P$9</f>
        <v>39863.0136986301</v>
      </c>
      <c r="Q142" s="34" t="n">
        <f aca="false">Q$71*P_CajaMin/DiasMes*Q$9</f>
        <v>39863.0136986301</v>
      </c>
      <c r="R142" s="34" t="n">
        <f aca="false">R$71*P_CajaMin/DiasMes*R$9</f>
        <v>50804.3835616438</v>
      </c>
      <c r="S142" s="34" t="n">
        <f aca="false">S$71*P_CajaMin/DiasMes*S$9</f>
        <v>50804.3835616438</v>
      </c>
      <c r="T142" s="34" t="n">
        <f aca="false">T$71*P_CajaMin/DiasMes*T$9</f>
        <v>50804.3835616438</v>
      </c>
      <c r="U142" s="34" t="n">
        <f aca="false">U$71*P_CajaMin/DiasMes*U$9</f>
        <v>50804.3835616438</v>
      </c>
      <c r="V142" s="34" t="n">
        <f aca="false">V$71*P_CajaMin/DiasMes*V$9</f>
        <v>50804.3835616438</v>
      </c>
      <c r="W142" s="34" t="n">
        <f aca="false">W$71*P_CajaMin/DiasMes*W$9</f>
        <v>50804.3835616438</v>
      </c>
      <c r="X142" s="34" t="n">
        <f aca="false">X$71*P_CajaMin/DiasMes*X$9</f>
        <v>50804.3835616438</v>
      </c>
      <c r="Y142" s="34" t="n">
        <f aca="false">Y$71*P_CajaMin/DiasMes*Y$9</f>
        <v>50804.3835616438</v>
      </c>
      <c r="Z142" s="34" t="n">
        <f aca="false">Z$71*P_CajaMin/DiasMes*Z$9</f>
        <v>50804.3835616438</v>
      </c>
      <c r="AA142" s="34" t="n">
        <f aca="false">AA$71*P_CajaMin/DiasMes*AA$9</f>
        <v>50804.3835616438</v>
      </c>
      <c r="AB142" s="34" t="n">
        <f aca="false">AB$71*P_CajaMin/DiasMes*AB$9</f>
        <v>50804.3835616438</v>
      </c>
      <c r="AC142" s="34" t="n">
        <f aca="false">AC$71*P_CajaMin/DiasMes*AC$9</f>
        <v>50804.3835616438</v>
      </c>
      <c r="AD142" s="34" t="n">
        <f aca="false">AD$71*P_CajaMin/DiasMes*AD$9</f>
        <v>61960.5945205479</v>
      </c>
      <c r="AE142" s="34" t="n">
        <f aca="false">AE$71*P_CajaMin/DiasMes*AE$9</f>
        <v>61960.5945205479</v>
      </c>
      <c r="AF142" s="34" t="n">
        <f aca="false">AF$71*P_CajaMin/DiasMes*AF$9</f>
        <v>61960.5945205479</v>
      </c>
      <c r="AG142" s="34" t="n">
        <f aca="false">AG$71*P_CajaMin/DiasMes*AG$9</f>
        <v>61960.5945205479</v>
      </c>
      <c r="AH142" s="34" t="n">
        <f aca="false">AH$71*P_CajaMin/DiasMes*AH$9</f>
        <v>61960.5945205479</v>
      </c>
      <c r="AI142" s="34" t="n">
        <f aca="false">AI$71*P_CajaMin/DiasMes*AI$9</f>
        <v>61960.5945205479</v>
      </c>
      <c r="AJ142" s="34" t="n">
        <f aca="false">AJ$71*P_CajaMin/DiasMes*AJ$9</f>
        <v>61960.5945205479</v>
      </c>
      <c r="AK142" s="34" t="n">
        <f aca="false">AK$71*P_CajaMin/DiasMes*AK$9</f>
        <v>61960.5945205479</v>
      </c>
      <c r="AL142" s="34" t="n">
        <f aca="false">AL$71*P_CajaMin/DiasMes*AL$9</f>
        <v>61960.5945205479</v>
      </c>
      <c r="AM142" s="34" t="n">
        <f aca="false">AM$71*P_CajaMin/DiasMes*AM$9</f>
        <v>61960.5945205479</v>
      </c>
      <c r="AN142" s="34" t="n">
        <f aca="false">AN$71*P_CajaMin/DiasMes*AN$9</f>
        <v>61960.5945205479</v>
      </c>
      <c r="AO142" s="34" t="n">
        <f aca="false">AO$71*P_CajaMin/DiasMes*AO$9</f>
        <v>61960.5945205479</v>
      </c>
      <c r="AP142" s="34" t="n">
        <f aca="false">AP$71*P_CajaMin/DiasMes*AP$9</f>
        <v>71387.1569589041</v>
      </c>
      <c r="AQ142" s="34" t="n">
        <f aca="false">AQ$71*P_CajaMin/DiasMes*AQ$9</f>
        <v>71387.1569589041</v>
      </c>
      <c r="AR142" s="34" t="n">
        <f aca="false">AR$71*P_CajaMin/DiasMes*AR$9</f>
        <v>71387.1569589041</v>
      </c>
      <c r="AS142" s="34" t="n">
        <f aca="false">AS$71*P_CajaMin/DiasMes*AS$9</f>
        <v>71387.1569589041</v>
      </c>
      <c r="AT142" s="34" t="n">
        <f aca="false">AT$71*P_CajaMin/DiasMes*AT$9</f>
        <v>71387.1569589041</v>
      </c>
      <c r="AU142" s="34" t="n">
        <f aca="false">AU$71*P_CajaMin/DiasMes*AU$9</f>
        <v>71387.1569589041</v>
      </c>
      <c r="AV142" s="34" t="n">
        <f aca="false">AV$71*P_CajaMin/DiasMes*AV$9</f>
        <v>71387.1569589041</v>
      </c>
      <c r="AW142" s="34" t="n">
        <f aca="false">AW$71*P_CajaMin/DiasMes*AW$9</f>
        <v>71387.1569589041</v>
      </c>
      <c r="AX142" s="34" t="n">
        <f aca="false">AX$71*P_CajaMin/DiasMes*AX$9</f>
        <v>71387.1569589041</v>
      </c>
      <c r="AY142" s="34" t="n">
        <f aca="false">AY$71*P_CajaMin/DiasMes*AY$9</f>
        <v>71387.1569589041</v>
      </c>
      <c r="AZ142" s="34" t="n">
        <f aca="false">AZ$71*P_CajaMin/DiasMes*AZ$9</f>
        <v>71387.1569589041</v>
      </c>
      <c r="BA142" s="34" t="n">
        <f aca="false">BA$71*P_CajaMin/DiasMes*BA$9</f>
        <v>71387.1569589041</v>
      </c>
      <c r="BB142" s="34" t="n">
        <f aca="false">BB$71*P_CajaMin/DiasMes*BB$9</f>
        <v>72101.0285284932</v>
      </c>
      <c r="BC142" s="34" t="n">
        <f aca="false">BC$71*P_CajaMin/DiasMes*BC$9</f>
        <v>72101.0285284932</v>
      </c>
      <c r="BD142" s="34" t="n">
        <f aca="false">BD$71*P_CajaMin/DiasMes*BD$9</f>
        <v>72101.0285284932</v>
      </c>
      <c r="BE142" s="34" t="n">
        <f aca="false">BE$71*P_CajaMin/DiasMes*BE$9</f>
        <v>72101.0285284932</v>
      </c>
      <c r="BF142" s="34" t="n">
        <f aca="false">BF$71*P_CajaMin/DiasMes*BF$9</f>
        <v>72101.0285284932</v>
      </c>
      <c r="BG142" s="34" t="n">
        <f aca="false">BG$71*P_CajaMin/DiasMes*BG$9</f>
        <v>72101.0285284932</v>
      </c>
      <c r="BH142" s="34" t="n">
        <f aca="false">BH$71*P_CajaMin/DiasMes*BH$9</f>
        <v>72101.0285284932</v>
      </c>
      <c r="BI142" s="34" t="n">
        <f aca="false">BI$71*P_CajaMin/DiasMes*BI$9</f>
        <v>72101.0285284932</v>
      </c>
      <c r="BJ142" s="34" t="n">
        <f aca="false">BJ$71*P_CajaMin/DiasMes*BJ$9</f>
        <v>72101.0285284932</v>
      </c>
      <c r="BK142" s="34" t="n">
        <f aca="false">BK$71*P_CajaMin/DiasMes*BK$9</f>
        <v>72101.0285284932</v>
      </c>
      <c r="BL142" s="34" t="n">
        <f aca="false">BL$71*P_CajaMin/DiasMes*BL$9</f>
        <v>72101.0285284932</v>
      </c>
      <c r="BM142" s="34" t="n">
        <f aca="false">BM$71*P_CajaMin/DiasMes*BM$9</f>
        <v>72101.0285284932</v>
      </c>
      <c r="BN142" s="34" t="n">
        <f aca="false">BN$71*P_CajaMin/DiasMes*BN$9</f>
        <v>72822.0388137781</v>
      </c>
      <c r="BO142" s="34" t="n">
        <f aca="false">BO$71*P_CajaMin/DiasMes*BO$9</f>
        <v>72822.0388137781</v>
      </c>
      <c r="BP142" s="34" t="n">
        <f aca="false">BP$71*P_CajaMin/DiasMes*BP$9</f>
        <v>72822.0388137781</v>
      </c>
      <c r="BQ142" s="34" t="n">
        <f aca="false">BQ$71*P_CajaMin/DiasMes*BQ$9</f>
        <v>72822.0388137781</v>
      </c>
      <c r="BR142" s="34" t="n">
        <f aca="false">BR$71*P_CajaMin/DiasMes*BR$9</f>
        <v>72822.0388137781</v>
      </c>
      <c r="BS142" s="34" t="n">
        <f aca="false">BS$71*P_CajaMin/DiasMes*BS$9</f>
        <v>72822.0388137781</v>
      </c>
      <c r="BT142" s="34" t="n">
        <f aca="false">BT$71*P_CajaMin/DiasMes*BT$9</f>
        <v>72822.0388137781</v>
      </c>
      <c r="BU142" s="34" t="n">
        <f aca="false">BU$71*P_CajaMin/DiasMes*BU$9</f>
        <v>72822.0388137781</v>
      </c>
      <c r="BV142" s="34" t="n">
        <f aca="false">BV$71*P_CajaMin/DiasMes*BV$9</f>
        <v>72822.0388137781</v>
      </c>
      <c r="BW142" s="34" t="n">
        <f aca="false">BW$71*P_CajaMin/DiasMes*BW$9</f>
        <v>72822.0388137781</v>
      </c>
      <c r="BX142" s="34" t="n">
        <f aca="false">BX$71*P_CajaMin/DiasMes*BX$9</f>
        <v>72822.0388137781</v>
      </c>
      <c r="BY142" s="34" t="n">
        <f aca="false">BY$71*P_CajaMin/DiasMes*BY$9</f>
        <v>72822.0388137781</v>
      </c>
      <c r="BZ142" s="34" t="n">
        <f aca="false">BZ$71*P_CajaMin/DiasMes*BZ$9</f>
        <v>73550.2592019159</v>
      </c>
      <c r="CA142" s="34" t="n">
        <f aca="false">CA$71*P_CajaMin/DiasMes*CA$9</f>
        <v>73550.2592019159</v>
      </c>
      <c r="CB142" s="34" t="n">
        <f aca="false">CB$71*P_CajaMin/DiasMes*CB$9</f>
        <v>73550.2592019159</v>
      </c>
      <c r="CC142" s="34" t="n">
        <f aca="false">CC$71*P_CajaMin/DiasMes*CC$9</f>
        <v>73550.2592019159</v>
      </c>
      <c r="CD142" s="34" t="n">
        <f aca="false">CD$71*P_CajaMin/DiasMes*CD$9</f>
        <v>73550.2592019159</v>
      </c>
      <c r="CE142" s="34" t="n">
        <f aca="false">CE$71*P_CajaMin/DiasMes*CE$9</f>
        <v>73550.2592019159</v>
      </c>
      <c r="CF142" s="34" t="n">
        <f aca="false">CF$71*P_CajaMin/DiasMes*CF$9</f>
        <v>73550.2592019159</v>
      </c>
      <c r="CG142" s="34" t="n">
        <f aca="false">CG$71*P_CajaMin/DiasMes*CG$9</f>
        <v>73550.2592019159</v>
      </c>
      <c r="CH142" s="34" t="n">
        <f aca="false">CH$71*P_CajaMin/DiasMes*CH$9</f>
        <v>73550.2592019159</v>
      </c>
      <c r="CI142" s="34" t="n">
        <f aca="false">CI$71*P_CajaMin/DiasMes*CI$9</f>
        <v>73550.2592019159</v>
      </c>
      <c r="CJ142" s="34" t="n">
        <f aca="false">CJ$71*P_CajaMin/DiasMes*CJ$9</f>
        <v>73550.2592019159</v>
      </c>
      <c r="CK142" s="34" t="n">
        <f aca="false">CK$71*P_CajaMin/DiasMes*CK$9</f>
        <v>73550.2592019159</v>
      </c>
      <c r="CL142" s="34" t="n">
        <f aca="false">CL$71*P_CajaMin/DiasMes*CL$9</f>
        <v>74285.761793935</v>
      </c>
      <c r="CM142" s="34" t="n">
        <f aca="false">CM$71*P_CajaMin/DiasMes*CM$9</f>
        <v>74285.761793935</v>
      </c>
      <c r="CN142" s="34" t="n">
        <f aca="false">CN$71*P_CajaMin/DiasMes*CN$9</f>
        <v>74285.761793935</v>
      </c>
      <c r="CO142" s="34" t="n">
        <f aca="false">CO$71*P_CajaMin/DiasMes*CO$9</f>
        <v>74285.761793935</v>
      </c>
      <c r="CP142" s="34" t="n">
        <f aca="false">CP$71*P_CajaMin/DiasMes*CP$9</f>
        <v>74285.761793935</v>
      </c>
      <c r="CQ142" s="34" t="n">
        <f aca="false">CQ$71*P_CajaMin/DiasMes*CQ$9</f>
        <v>74285.761793935</v>
      </c>
      <c r="CR142" s="34" t="n">
        <f aca="false">CR$71*P_CajaMin/DiasMes*CR$9</f>
        <v>74285.761793935</v>
      </c>
      <c r="CS142" s="34" t="n">
        <f aca="false">CS$71*P_CajaMin/DiasMes*CS$9</f>
        <v>74285.761793935</v>
      </c>
      <c r="CT142" s="34" t="n">
        <f aca="false">CT$71*P_CajaMin/DiasMes*CT$9</f>
        <v>74285.761793935</v>
      </c>
      <c r="CU142" s="34" t="n">
        <f aca="false">CU$71*P_CajaMin/DiasMes*CU$9</f>
        <v>74285.761793935</v>
      </c>
      <c r="CV142" s="34" t="n">
        <f aca="false">CV$71*P_CajaMin/DiasMes*CV$9</f>
        <v>74285.761793935</v>
      </c>
      <c r="CW142" s="34" t="n">
        <f aca="false">CW$71*P_CajaMin/DiasMes*CW$9</f>
        <v>74285.761793935</v>
      </c>
      <c r="CX142" s="34" t="n">
        <f aca="false">CX$71*P_CajaMin/DiasMes*CX$9</f>
        <v>75028.6194118744</v>
      </c>
      <c r="CY142" s="34" t="n">
        <f aca="false">CY$71*P_CajaMin/DiasMes*CY$9</f>
        <v>75028.6194118744</v>
      </c>
      <c r="CZ142" s="34" t="n">
        <f aca="false">CZ$71*P_CajaMin/DiasMes*CZ$9</f>
        <v>75028.6194118744</v>
      </c>
      <c r="DA142" s="34" t="n">
        <f aca="false">DA$71*P_CajaMin/DiasMes*DA$9</f>
        <v>75028.6194118744</v>
      </c>
      <c r="DB142" s="34" t="n">
        <f aca="false">DB$71*P_CajaMin/DiasMes*DB$9</f>
        <v>75028.6194118744</v>
      </c>
      <c r="DC142" s="34" t="n">
        <f aca="false">DC$71*P_CajaMin/DiasMes*DC$9</f>
        <v>75028.6194118744</v>
      </c>
      <c r="DD142" s="34" t="n">
        <f aca="false">DD$71*P_CajaMin/DiasMes*DD$9</f>
        <v>75028.6194118744</v>
      </c>
      <c r="DE142" s="34" t="n">
        <f aca="false">DE$71*P_CajaMin/DiasMes*DE$9</f>
        <v>75028.6194118744</v>
      </c>
      <c r="DF142" s="34" t="n">
        <f aca="false">DF$71*P_CajaMin/DiasMes*DF$9</f>
        <v>75028.6194118744</v>
      </c>
      <c r="DG142" s="34" t="n">
        <f aca="false">DG$71*P_CajaMin/DiasMes*DG$9</f>
        <v>75028.6194118744</v>
      </c>
      <c r="DH142" s="34" t="n">
        <f aca="false">DH$71*P_CajaMin/DiasMes*DH$9</f>
        <v>75028.6194118744</v>
      </c>
      <c r="DI142" s="34" t="n">
        <f aca="false">DI$71*P_CajaMin/DiasMes*DI$9</f>
        <v>75028.6194118744</v>
      </c>
      <c r="DJ142" s="34" t="n">
        <f aca="false">DJ$71*P_CajaMin/DiasMes*DJ$9</f>
        <v>75778.9056059931</v>
      </c>
      <c r="DK142" s="34" t="n">
        <f aca="false">DK$71*P_CajaMin/DiasMes*DK$9</f>
        <v>75778.9056059931</v>
      </c>
      <c r="DL142" s="34" t="n">
        <f aca="false">DL$71*P_CajaMin/DiasMes*DL$9</f>
        <v>75778.9056059931</v>
      </c>
      <c r="DM142" s="34" t="n">
        <f aca="false">DM$71*P_CajaMin/DiasMes*DM$9</f>
        <v>75778.9056059931</v>
      </c>
      <c r="DN142" s="34" t="n">
        <f aca="false">DN$71*P_CajaMin/DiasMes*DN$9</f>
        <v>75778.9056059931</v>
      </c>
      <c r="DO142" s="34" t="n">
        <f aca="false">DO$71*P_CajaMin/DiasMes*DO$9</f>
        <v>75778.9056059931</v>
      </c>
      <c r="DP142" s="34" t="n">
        <f aca="false">DP$71*P_CajaMin/DiasMes*DP$9</f>
        <v>75778.9056059931</v>
      </c>
      <c r="DQ142" s="34" t="n">
        <f aca="false">DQ$71*P_CajaMin/DiasMes*DQ$9</f>
        <v>75778.9056059931</v>
      </c>
      <c r="DR142" s="34" t="n">
        <f aca="false">DR$71*P_CajaMin/DiasMes*DR$9</f>
        <v>75778.9056059931</v>
      </c>
      <c r="DS142" s="34" t="n">
        <f aca="false">DS$71*P_CajaMin/DiasMes*DS$9</f>
        <v>75778.9056059931</v>
      </c>
      <c r="DT142" s="34" t="n">
        <f aca="false">DT$71*P_CajaMin/DiasMes*DT$9</f>
        <v>75778.9056059931</v>
      </c>
      <c r="DU142" s="34" t="n">
        <f aca="false">DU$71*P_CajaMin/DiasMes*DU$9</f>
        <v>75778.9056059931</v>
      </c>
      <c r="DV142" s="34" t="n">
        <f aca="false">DV$71*P_CajaMin/DiasMes*DV$9</f>
        <v>0</v>
      </c>
      <c r="DW142" s="34" t="n">
        <f aca="false">DW$71*P_CajaMin/DiasMes*DW$9</f>
        <v>0</v>
      </c>
      <c r="DX142" s="34" t="n">
        <f aca="false">DX$71*P_CajaMin/DiasMes*DX$9</f>
        <v>0</v>
      </c>
      <c r="DY142" s="34" t="n">
        <f aca="false">DY$71*P_CajaMin/DiasMes*DY$9</f>
        <v>0</v>
      </c>
      <c r="DZ142" s="34" t="n">
        <f aca="false">DZ$71*P_CajaMin/DiasMes*DZ$9</f>
        <v>0</v>
      </c>
      <c r="EA142" s="34" t="n">
        <f aca="false">EA$71*P_CajaMin/DiasMes*EA$9</f>
        <v>0</v>
      </c>
      <c r="EB142" s="34" t="n">
        <f aca="false">EB$71*P_CajaMin/DiasMes*EB$9</f>
        <v>0</v>
      </c>
      <c r="EC142" s="34" t="n">
        <f aca="false">EC$71*P_CajaMin/DiasMes*EC$9</f>
        <v>0</v>
      </c>
      <c r="ED142" s="34" t="n">
        <f aca="false">ED$71*P_CajaMin/DiasMes*ED$9</f>
        <v>0</v>
      </c>
      <c r="EE142" s="34" t="n">
        <f aca="false">EE$71*P_CajaMin/DiasMes*EE$9</f>
        <v>0</v>
      </c>
      <c r="EF142" s="34" t="n">
        <f aca="false">EF$71*P_CajaMin/DiasMes*EF$9</f>
        <v>0</v>
      </c>
      <c r="EG142" s="34" t="n">
        <f aca="false">EG$71*P_CajaMin/DiasMes*EG$9</f>
        <v>0</v>
      </c>
      <c r="EH142" s="34" t="n">
        <f aca="false">EH$71*P_CajaMin/DiasMes*EH$9</f>
        <v>0</v>
      </c>
      <c r="EI142" s="34" t="n">
        <f aca="false">EI$71*P_CajaMin/DiasMes*EI$9</f>
        <v>0</v>
      </c>
      <c r="EJ142" s="34" t="n">
        <f aca="false">EJ$71*P_CajaMin/DiasMes*EJ$9</f>
        <v>0</v>
      </c>
      <c r="EK142" s="34" t="n">
        <f aca="false">EK$71*P_CajaMin/DiasMes*EK$9</f>
        <v>0</v>
      </c>
      <c r="EL142" s="34" t="n">
        <f aca="false">EL$71*P_CajaMin/DiasMes*EL$9</f>
        <v>0</v>
      </c>
      <c r="EM142" s="34" t="n">
        <f aca="false">EM$71*P_CajaMin/DiasMes*EM$9</f>
        <v>0</v>
      </c>
      <c r="EN142" s="34" t="n">
        <f aca="false">EN$71*P_CajaMin/DiasMes*EN$9</f>
        <v>0</v>
      </c>
      <c r="EO142" s="34" t="n">
        <f aca="false">EO$71*P_CajaMin/DiasMes*EO$9</f>
        <v>0</v>
      </c>
      <c r="EP142" s="34" t="n">
        <f aca="false">EP$71*P_CajaMin/DiasMes*EP$9</f>
        <v>0</v>
      </c>
      <c r="EQ142" s="34" t="n">
        <f aca="false">EQ$71*P_CajaMin/DiasMes*EQ$9</f>
        <v>0</v>
      </c>
      <c r="ER142" s="34" t="n">
        <f aca="false">ER$71*P_CajaMin/DiasMes*ER$9</f>
        <v>0</v>
      </c>
      <c r="ES142" s="34" t="n">
        <f aca="false">ES$71*P_CajaMin/DiasMes*ES$9</f>
        <v>0</v>
      </c>
    </row>
    <row r="143" customFormat="false" ht="15" hidden="false" customHeight="false" outlineLevel="0" collapsed="false">
      <c r="A143" s="2" t="s">
        <v>767</v>
      </c>
      <c r="B143" s="6" t="s">
        <v>768</v>
      </c>
      <c r="C143" s="6" t="s">
        <v>250</v>
      </c>
      <c r="E143" s="40" t="n">
        <f aca="false">SUM(F143:ES143)</f>
        <v>0</v>
      </c>
      <c r="F143" s="34" t="n">
        <f aca="false">IF(F$139=1,MIN(MAX(0,N(P_LC_Lim)-0),MAX(0,F$142-F$141)),0)*F$9</f>
        <v>0</v>
      </c>
      <c r="G143" s="34" t="n">
        <f aca="false">IF(G$139=1,MIN(MAX(0,N(P_LC_Lim)-F$145),MAX(0,G$142-G$141)),0)*G$9</f>
        <v>0</v>
      </c>
      <c r="H143" s="34" t="n">
        <f aca="false">IF(H$139=1,MIN(MAX(0,N(P_LC_Lim)-G$145),MAX(0,H$142-H$141)),0)*H$9</f>
        <v>0</v>
      </c>
      <c r="I143" s="34" t="n">
        <f aca="false">IF(I$139=1,MIN(MAX(0,N(P_LC_Lim)-H$145),MAX(0,I$142-I$141)),0)*I$9</f>
        <v>0</v>
      </c>
      <c r="J143" s="34" t="n">
        <f aca="false">IF(J$139=1,MIN(MAX(0,N(P_LC_Lim)-I$145),MAX(0,J$142-J$141)),0)*J$9</f>
        <v>0</v>
      </c>
      <c r="K143" s="34" t="n">
        <f aca="false">IF(K$139=1,MIN(MAX(0,N(P_LC_Lim)-J$145),MAX(0,K$142-K$141)),0)*K$9</f>
        <v>0</v>
      </c>
      <c r="L143" s="34" t="n">
        <f aca="false">IF(L$139=1,MIN(MAX(0,N(P_LC_Lim)-K$145),MAX(0,L$142-L$141)),0)*L$9</f>
        <v>0</v>
      </c>
      <c r="M143" s="34" t="n">
        <f aca="false">IF(M$139=1,MIN(MAX(0,N(P_LC_Lim)-L$145),MAX(0,M$142-M$141)),0)*M$9</f>
        <v>0</v>
      </c>
      <c r="N143" s="34" t="n">
        <f aca="false">IF(N$139=1,MIN(MAX(0,N(P_LC_Lim)-M$145),MAX(0,N$142-N$141)),0)*N$9</f>
        <v>0</v>
      </c>
      <c r="O143" s="34" t="n">
        <f aca="false">IF(O$139=1,MIN(MAX(0,N(P_LC_Lim)-N$145),MAX(0,O$142-O$141)),0)*O$9</f>
        <v>0</v>
      </c>
      <c r="P143" s="34" t="n">
        <f aca="false">IF(P$139=1,MIN(MAX(0,N(P_LC_Lim)-O$145),MAX(0,P$142-P$141)),0)*P$9</f>
        <v>0</v>
      </c>
      <c r="Q143" s="34" t="n">
        <f aca="false">IF(Q$139=1,MIN(MAX(0,N(P_LC_Lim)-P$145),MAX(0,Q$142-Q$141)),0)*Q$9</f>
        <v>0</v>
      </c>
      <c r="R143" s="34" t="n">
        <f aca="false">IF(R$139=1,MIN(MAX(0,N(P_LC_Lim)-Q$145),MAX(0,R$142-R$141)),0)*R$9</f>
        <v>0</v>
      </c>
      <c r="S143" s="34" t="n">
        <f aca="false">IF(S$139=1,MIN(MAX(0,N(P_LC_Lim)-R$145),MAX(0,S$142-S$141)),0)*S$9</f>
        <v>0</v>
      </c>
      <c r="T143" s="34" t="n">
        <f aca="false">IF(T$139=1,MIN(MAX(0,N(P_LC_Lim)-S$145),MAX(0,T$142-T$141)),0)*T$9</f>
        <v>0</v>
      </c>
      <c r="U143" s="34" t="n">
        <f aca="false">IF(U$139=1,MIN(MAX(0,N(P_LC_Lim)-T$145),MAX(0,U$142-U$141)),0)*U$9</f>
        <v>0</v>
      </c>
      <c r="V143" s="34" t="n">
        <f aca="false">IF(V$139=1,MIN(MAX(0,N(P_LC_Lim)-U$145),MAX(0,V$142-V$141)),0)*V$9</f>
        <v>0</v>
      </c>
      <c r="W143" s="34" t="n">
        <f aca="false">IF(W$139=1,MIN(MAX(0,N(P_LC_Lim)-V$145),MAX(0,W$142-W$141)),0)*W$9</f>
        <v>0</v>
      </c>
      <c r="X143" s="34" t="n">
        <f aca="false">IF(X$139=1,MIN(MAX(0,N(P_LC_Lim)-W$145),MAX(0,X$142-X$141)),0)*X$9</f>
        <v>0</v>
      </c>
      <c r="Y143" s="34" t="n">
        <f aca="false">IF(Y$139=1,MIN(MAX(0,N(P_LC_Lim)-X$145),MAX(0,Y$142-Y$141)),0)*Y$9</f>
        <v>0</v>
      </c>
      <c r="Z143" s="34" t="n">
        <f aca="false">IF(Z$139=1,MIN(MAX(0,N(P_LC_Lim)-Y$145),MAX(0,Z$142-Z$141)),0)*Z$9</f>
        <v>0</v>
      </c>
      <c r="AA143" s="34" t="n">
        <f aca="false">IF(AA$139=1,MIN(MAX(0,N(P_LC_Lim)-Z$145),MAX(0,AA$142-AA$141)),0)*AA$9</f>
        <v>0</v>
      </c>
      <c r="AB143" s="34" t="n">
        <f aca="false">IF(AB$139=1,MIN(MAX(0,N(P_LC_Lim)-AA$145),MAX(0,AB$142-AB$141)),0)*AB$9</f>
        <v>0</v>
      </c>
      <c r="AC143" s="34" t="n">
        <f aca="false">IF(AC$139=1,MIN(MAX(0,N(P_LC_Lim)-AB$145),MAX(0,AC$142-AC$141)),0)*AC$9</f>
        <v>0</v>
      </c>
      <c r="AD143" s="34" t="n">
        <f aca="false">IF(AD$139=1,MIN(MAX(0,N(P_LC_Lim)-AC$145),MAX(0,AD$142-AD$141)),0)*AD$9</f>
        <v>0</v>
      </c>
      <c r="AE143" s="34" t="n">
        <f aca="false">IF(AE$139=1,MIN(MAX(0,N(P_LC_Lim)-AD$145),MAX(0,AE$142-AE$141)),0)*AE$9</f>
        <v>0</v>
      </c>
      <c r="AF143" s="34" t="n">
        <f aca="false">IF(AF$139=1,MIN(MAX(0,N(P_LC_Lim)-AE$145),MAX(0,AF$142-AF$141)),0)*AF$9</f>
        <v>0</v>
      </c>
      <c r="AG143" s="34" t="n">
        <f aca="false">IF(AG$139=1,MIN(MAX(0,N(P_LC_Lim)-AF$145),MAX(0,AG$142-AG$141)),0)*AG$9</f>
        <v>0</v>
      </c>
      <c r="AH143" s="34" t="n">
        <f aca="false">IF(AH$139=1,MIN(MAX(0,N(P_LC_Lim)-AG$145),MAX(0,AH$142-AH$141)),0)*AH$9</f>
        <v>0</v>
      </c>
      <c r="AI143" s="34" t="n">
        <f aca="false">IF(AI$139=1,MIN(MAX(0,N(P_LC_Lim)-AH$145),MAX(0,AI$142-AI$141)),0)*AI$9</f>
        <v>0</v>
      </c>
      <c r="AJ143" s="34" t="n">
        <f aca="false">IF(AJ$139=1,MIN(MAX(0,N(P_LC_Lim)-AI$145),MAX(0,AJ$142-AJ$141)),0)*AJ$9</f>
        <v>0</v>
      </c>
      <c r="AK143" s="34" t="n">
        <f aca="false">IF(AK$139=1,MIN(MAX(0,N(P_LC_Lim)-AJ$145),MAX(0,AK$142-AK$141)),0)*AK$9</f>
        <v>0</v>
      </c>
      <c r="AL143" s="34" t="n">
        <f aca="false">IF(AL$139=1,MIN(MAX(0,N(P_LC_Lim)-AK$145),MAX(0,AL$142-AL$141)),0)*AL$9</f>
        <v>0</v>
      </c>
      <c r="AM143" s="34" t="n">
        <f aca="false">IF(AM$139=1,MIN(MAX(0,N(P_LC_Lim)-AL$145),MAX(0,AM$142-AM$141)),0)*AM$9</f>
        <v>0</v>
      </c>
      <c r="AN143" s="34" t="n">
        <f aca="false">IF(AN$139=1,MIN(MAX(0,N(P_LC_Lim)-AM$145),MAX(0,AN$142-AN$141)),0)*AN$9</f>
        <v>0</v>
      </c>
      <c r="AO143" s="34" t="n">
        <f aca="false">IF(AO$139=1,MIN(MAX(0,N(P_LC_Lim)-AN$145),MAX(0,AO$142-AO$141)),0)*AO$9</f>
        <v>0</v>
      </c>
      <c r="AP143" s="34" t="n">
        <f aca="false">IF(AP$139=1,MIN(MAX(0,N(P_LC_Lim)-AO$145),MAX(0,AP$142-AP$141)),0)*AP$9</f>
        <v>0</v>
      </c>
      <c r="AQ143" s="34" t="n">
        <f aca="false">IF(AQ$139=1,MIN(MAX(0,N(P_LC_Lim)-AP$145),MAX(0,AQ$142-AQ$141)),0)*AQ$9</f>
        <v>0</v>
      </c>
      <c r="AR143" s="34" t="n">
        <f aca="false">IF(AR$139=1,MIN(MAX(0,N(P_LC_Lim)-AQ$145),MAX(0,AR$142-AR$141)),0)*AR$9</f>
        <v>0</v>
      </c>
      <c r="AS143" s="34" t="n">
        <f aca="false">IF(AS$139=1,MIN(MAX(0,N(P_LC_Lim)-AR$145),MAX(0,AS$142-AS$141)),0)*AS$9</f>
        <v>0</v>
      </c>
      <c r="AT143" s="34" t="n">
        <f aca="false">IF(AT$139=1,MIN(MAX(0,N(P_LC_Lim)-AS$145),MAX(0,AT$142-AT$141)),0)*AT$9</f>
        <v>0</v>
      </c>
      <c r="AU143" s="34" t="n">
        <f aca="false">IF(AU$139=1,MIN(MAX(0,N(P_LC_Lim)-AT$145),MAX(0,AU$142-AU$141)),0)*AU$9</f>
        <v>0</v>
      </c>
      <c r="AV143" s="34" t="n">
        <f aca="false">IF(AV$139=1,MIN(MAX(0,N(P_LC_Lim)-AU$145),MAX(0,AV$142-AV$141)),0)*AV$9</f>
        <v>0</v>
      </c>
      <c r="AW143" s="34" t="n">
        <f aca="false">IF(AW$139=1,MIN(MAX(0,N(P_LC_Lim)-AV$145),MAX(0,AW$142-AW$141)),0)*AW$9</f>
        <v>0</v>
      </c>
      <c r="AX143" s="34" t="n">
        <f aca="false">IF(AX$139=1,MIN(MAX(0,N(P_LC_Lim)-AW$145),MAX(0,AX$142-AX$141)),0)*AX$9</f>
        <v>0</v>
      </c>
      <c r="AY143" s="34" t="n">
        <f aca="false">IF(AY$139=1,MIN(MAX(0,N(P_LC_Lim)-AX$145),MAX(0,AY$142-AY$141)),0)*AY$9</f>
        <v>0</v>
      </c>
      <c r="AZ143" s="34" t="n">
        <f aca="false">IF(AZ$139=1,MIN(MAX(0,N(P_LC_Lim)-AY$145),MAX(0,AZ$142-AZ$141)),0)*AZ$9</f>
        <v>0</v>
      </c>
      <c r="BA143" s="34" t="n">
        <f aca="false">IF(BA$139=1,MIN(MAX(0,N(P_LC_Lim)-AZ$145),MAX(0,BA$142-BA$141)),0)*BA$9</f>
        <v>0</v>
      </c>
      <c r="BB143" s="34" t="n">
        <f aca="false">IF(BB$139=1,MIN(MAX(0,N(P_LC_Lim)-BA$145),MAX(0,BB$142-BB$141)),0)*BB$9</f>
        <v>0</v>
      </c>
      <c r="BC143" s="34" t="n">
        <f aca="false">IF(BC$139=1,MIN(MAX(0,N(P_LC_Lim)-BB$145),MAX(0,BC$142-BC$141)),0)*BC$9</f>
        <v>0</v>
      </c>
      <c r="BD143" s="34" t="n">
        <f aca="false">IF(BD$139=1,MIN(MAX(0,N(P_LC_Lim)-BC$145),MAX(0,BD$142-BD$141)),0)*BD$9</f>
        <v>0</v>
      </c>
      <c r="BE143" s="34" t="n">
        <f aca="false">IF(BE$139=1,MIN(MAX(0,N(P_LC_Lim)-BD$145),MAX(0,BE$142-BE$141)),0)*BE$9</f>
        <v>0</v>
      </c>
      <c r="BF143" s="34" t="n">
        <f aca="false">IF(BF$139=1,MIN(MAX(0,N(P_LC_Lim)-BE$145),MAX(0,BF$142-BF$141)),0)*BF$9</f>
        <v>0</v>
      </c>
      <c r="BG143" s="34" t="n">
        <f aca="false">IF(BG$139=1,MIN(MAX(0,N(P_LC_Lim)-BF$145),MAX(0,BG$142-BG$141)),0)*BG$9</f>
        <v>0</v>
      </c>
      <c r="BH143" s="34" t="n">
        <f aca="false">IF(BH$139=1,MIN(MAX(0,N(P_LC_Lim)-BG$145),MAX(0,BH$142-BH$141)),0)*BH$9</f>
        <v>0</v>
      </c>
      <c r="BI143" s="34" t="n">
        <f aca="false">IF(BI$139=1,MIN(MAX(0,N(P_LC_Lim)-BH$145),MAX(0,BI$142-BI$141)),0)*BI$9</f>
        <v>0</v>
      </c>
      <c r="BJ143" s="34" t="n">
        <f aca="false">IF(BJ$139=1,MIN(MAX(0,N(P_LC_Lim)-BI$145),MAX(0,BJ$142-BJ$141)),0)*BJ$9</f>
        <v>0</v>
      </c>
      <c r="BK143" s="34" t="n">
        <f aca="false">IF(BK$139=1,MIN(MAX(0,N(P_LC_Lim)-BJ$145),MAX(0,BK$142-BK$141)),0)*BK$9</f>
        <v>0</v>
      </c>
      <c r="BL143" s="34" t="n">
        <f aca="false">IF(BL$139=1,MIN(MAX(0,N(P_LC_Lim)-BK$145),MAX(0,BL$142-BL$141)),0)*BL$9</f>
        <v>0</v>
      </c>
      <c r="BM143" s="34" t="n">
        <f aca="false">IF(BM$139=1,MIN(MAX(0,N(P_LC_Lim)-BL$145),MAX(0,BM$142-BM$141)),0)*BM$9</f>
        <v>0</v>
      </c>
      <c r="BN143" s="34" t="n">
        <f aca="false">IF(BN$139=1,MIN(MAX(0,N(P_LC_Lim)-BM$145),MAX(0,BN$142-BN$141)),0)*BN$9</f>
        <v>0</v>
      </c>
      <c r="BO143" s="34" t="n">
        <f aca="false">IF(BO$139=1,MIN(MAX(0,N(P_LC_Lim)-BN$145),MAX(0,BO$142-BO$141)),0)*BO$9</f>
        <v>0</v>
      </c>
      <c r="BP143" s="34" t="n">
        <f aca="false">IF(BP$139=1,MIN(MAX(0,N(P_LC_Lim)-BO$145),MAX(0,BP$142-BP$141)),0)*BP$9</f>
        <v>0</v>
      </c>
      <c r="BQ143" s="34" t="n">
        <f aca="false">IF(BQ$139=1,MIN(MAX(0,N(P_LC_Lim)-BP$145),MAX(0,BQ$142-BQ$141)),0)*BQ$9</f>
        <v>0</v>
      </c>
      <c r="BR143" s="34" t="n">
        <f aca="false">IF(BR$139=1,MIN(MAX(0,N(P_LC_Lim)-BQ$145),MAX(0,BR$142-BR$141)),0)*BR$9</f>
        <v>0</v>
      </c>
      <c r="BS143" s="34" t="n">
        <f aca="false">IF(BS$139=1,MIN(MAX(0,N(P_LC_Lim)-BR$145),MAX(0,BS$142-BS$141)),0)*BS$9</f>
        <v>0</v>
      </c>
      <c r="BT143" s="34" t="n">
        <f aca="false">IF(BT$139=1,MIN(MAX(0,N(P_LC_Lim)-BS$145),MAX(0,BT$142-BT$141)),0)*BT$9</f>
        <v>0</v>
      </c>
      <c r="BU143" s="34" t="n">
        <f aca="false">IF(BU$139=1,MIN(MAX(0,N(P_LC_Lim)-BT$145),MAX(0,BU$142-BU$141)),0)*BU$9</f>
        <v>0</v>
      </c>
      <c r="BV143" s="34" t="n">
        <f aca="false">IF(BV$139=1,MIN(MAX(0,N(P_LC_Lim)-BU$145),MAX(0,BV$142-BV$141)),0)*BV$9</f>
        <v>0</v>
      </c>
      <c r="BW143" s="34" t="n">
        <f aca="false">IF(BW$139=1,MIN(MAX(0,N(P_LC_Lim)-BV$145),MAX(0,BW$142-BW$141)),0)*BW$9</f>
        <v>0</v>
      </c>
      <c r="BX143" s="34" t="n">
        <f aca="false">IF(BX$139=1,MIN(MAX(0,N(P_LC_Lim)-BW$145),MAX(0,BX$142-BX$141)),0)*BX$9</f>
        <v>0</v>
      </c>
      <c r="BY143" s="34" t="n">
        <f aca="false">IF(BY$139=1,MIN(MAX(0,N(P_LC_Lim)-BX$145),MAX(0,BY$142-BY$141)),0)*BY$9</f>
        <v>0</v>
      </c>
      <c r="BZ143" s="34" t="n">
        <f aca="false">IF(BZ$139=1,MIN(MAX(0,N(P_LC_Lim)-BY$145),MAX(0,BZ$142-BZ$141)),0)*BZ$9</f>
        <v>0</v>
      </c>
      <c r="CA143" s="34" t="n">
        <f aca="false">IF(CA$139=1,MIN(MAX(0,N(P_LC_Lim)-BZ$145),MAX(0,CA$142-CA$141)),0)*CA$9</f>
        <v>0</v>
      </c>
      <c r="CB143" s="34" t="n">
        <f aca="false">IF(CB$139=1,MIN(MAX(0,N(P_LC_Lim)-CA$145),MAX(0,CB$142-CB$141)),0)*CB$9</f>
        <v>0</v>
      </c>
      <c r="CC143" s="34" t="n">
        <f aca="false">IF(CC$139=1,MIN(MAX(0,N(P_LC_Lim)-CB$145),MAX(0,CC$142-CC$141)),0)*CC$9</f>
        <v>0</v>
      </c>
      <c r="CD143" s="34" t="n">
        <f aca="false">IF(CD$139=1,MIN(MAX(0,N(P_LC_Lim)-CC$145),MAX(0,CD$142-CD$141)),0)*CD$9</f>
        <v>0</v>
      </c>
      <c r="CE143" s="34" t="n">
        <f aca="false">IF(CE$139=1,MIN(MAX(0,N(P_LC_Lim)-CD$145),MAX(0,CE$142-CE$141)),0)*CE$9</f>
        <v>0</v>
      </c>
      <c r="CF143" s="34" t="n">
        <f aca="false">IF(CF$139=1,MIN(MAX(0,N(P_LC_Lim)-CE$145),MAX(0,CF$142-CF$141)),0)*CF$9</f>
        <v>0</v>
      </c>
      <c r="CG143" s="34" t="n">
        <f aca="false">IF(CG$139=1,MIN(MAX(0,N(P_LC_Lim)-CF$145),MAX(0,CG$142-CG$141)),0)*CG$9</f>
        <v>0</v>
      </c>
      <c r="CH143" s="34" t="n">
        <f aca="false">IF(CH$139=1,MIN(MAX(0,N(P_LC_Lim)-CG$145),MAX(0,CH$142-CH$141)),0)*CH$9</f>
        <v>0</v>
      </c>
      <c r="CI143" s="34" t="n">
        <f aca="false">IF(CI$139=1,MIN(MAX(0,N(P_LC_Lim)-CH$145),MAX(0,CI$142-CI$141)),0)*CI$9</f>
        <v>0</v>
      </c>
      <c r="CJ143" s="34" t="n">
        <f aca="false">IF(CJ$139=1,MIN(MAX(0,N(P_LC_Lim)-CI$145),MAX(0,CJ$142-CJ$141)),0)*CJ$9</f>
        <v>0</v>
      </c>
      <c r="CK143" s="34" t="n">
        <f aca="false">IF(CK$139=1,MIN(MAX(0,N(P_LC_Lim)-CJ$145),MAX(0,CK$142-CK$141)),0)*CK$9</f>
        <v>0</v>
      </c>
      <c r="CL143" s="34" t="n">
        <f aca="false">IF(CL$139=1,MIN(MAX(0,N(P_LC_Lim)-CK$145),MAX(0,CL$142-CL$141)),0)*CL$9</f>
        <v>0</v>
      </c>
      <c r="CM143" s="34" t="n">
        <f aca="false">IF(CM$139=1,MIN(MAX(0,N(P_LC_Lim)-CL$145),MAX(0,CM$142-CM$141)),0)*CM$9</f>
        <v>0</v>
      </c>
      <c r="CN143" s="34" t="n">
        <f aca="false">IF(CN$139=1,MIN(MAX(0,N(P_LC_Lim)-CM$145),MAX(0,CN$142-CN$141)),0)*CN$9</f>
        <v>0</v>
      </c>
      <c r="CO143" s="34" t="n">
        <f aca="false">IF(CO$139=1,MIN(MAX(0,N(P_LC_Lim)-CN$145),MAX(0,CO$142-CO$141)),0)*CO$9</f>
        <v>0</v>
      </c>
      <c r="CP143" s="34" t="n">
        <f aca="false">IF(CP$139=1,MIN(MAX(0,N(P_LC_Lim)-CO$145),MAX(0,CP$142-CP$141)),0)*CP$9</f>
        <v>0</v>
      </c>
      <c r="CQ143" s="34" t="n">
        <f aca="false">IF(CQ$139=1,MIN(MAX(0,N(P_LC_Lim)-CP$145),MAX(0,CQ$142-CQ$141)),0)*CQ$9</f>
        <v>0</v>
      </c>
      <c r="CR143" s="34" t="n">
        <f aca="false">IF(CR$139=1,MIN(MAX(0,N(P_LC_Lim)-CQ$145),MAX(0,CR$142-CR$141)),0)*CR$9</f>
        <v>0</v>
      </c>
      <c r="CS143" s="34" t="n">
        <f aca="false">IF(CS$139=1,MIN(MAX(0,N(P_LC_Lim)-CR$145),MAX(0,CS$142-CS$141)),0)*CS$9</f>
        <v>0</v>
      </c>
      <c r="CT143" s="34" t="n">
        <f aca="false">IF(CT$139=1,MIN(MAX(0,N(P_LC_Lim)-CS$145),MAX(0,CT$142-CT$141)),0)*CT$9</f>
        <v>0</v>
      </c>
      <c r="CU143" s="34" t="n">
        <f aca="false">IF(CU$139=1,MIN(MAX(0,N(P_LC_Lim)-CT$145),MAX(0,CU$142-CU$141)),0)*CU$9</f>
        <v>0</v>
      </c>
      <c r="CV143" s="34" t="n">
        <f aca="false">IF(CV$139=1,MIN(MAX(0,N(P_LC_Lim)-CU$145),MAX(0,CV$142-CV$141)),0)*CV$9</f>
        <v>0</v>
      </c>
      <c r="CW143" s="34" t="n">
        <f aca="false">IF(CW$139=1,MIN(MAX(0,N(P_LC_Lim)-CV$145),MAX(0,CW$142-CW$141)),0)*CW$9</f>
        <v>0</v>
      </c>
      <c r="CX143" s="34" t="n">
        <f aca="false">IF(CX$139=1,MIN(MAX(0,N(P_LC_Lim)-CW$145),MAX(0,CX$142-CX$141)),0)*CX$9</f>
        <v>0</v>
      </c>
      <c r="CY143" s="34" t="n">
        <f aca="false">IF(CY$139=1,MIN(MAX(0,N(P_LC_Lim)-CX$145),MAX(0,CY$142-CY$141)),0)*CY$9</f>
        <v>0</v>
      </c>
      <c r="CZ143" s="34" t="n">
        <f aca="false">IF(CZ$139=1,MIN(MAX(0,N(P_LC_Lim)-CY$145),MAX(0,CZ$142-CZ$141)),0)*CZ$9</f>
        <v>0</v>
      </c>
      <c r="DA143" s="34" t="n">
        <f aca="false">IF(DA$139=1,MIN(MAX(0,N(P_LC_Lim)-CZ$145),MAX(0,DA$142-DA$141)),0)*DA$9</f>
        <v>0</v>
      </c>
      <c r="DB143" s="34" t="n">
        <f aca="false">IF(DB$139=1,MIN(MAX(0,N(P_LC_Lim)-DA$145),MAX(0,DB$142-DB$141)),0)*DB$9</f>
        <v>0</v>
      </c>
      <c r="DC143" s="34" t="n">
        <f aca="false">IF(DC$139=1,MIN(MAX(0,N(P_LC_Lim)-DB$145),MAX(0,DC$142-DC$141)),0)*DC$9</f>
        <v>0</v>
      </c>
      <c r="DD143" s="34" t="n">
        <f aca="false">IF(DD$139=1,MIN(MAX(0,N(P_LC_Lim)-DC$145),MAX(0,DD$142-DD$141)),0)*DD$9</f>
        <v>0</v>
      </c>
      <c r="DE143" s="34" t="n">
        <f aca="false">IF(DE$139=1,MIN(MAX(0,N(P_LC_Lim)-DD$145),MAX(0,DE$142-DE$141)),0)*DE$9</f>
        <v>0</v>
      </c>
      <c r="DF143" s="34" t="n">
        <f aca="false">IF(DF$139=1,MIN(MAX(0,N(P_LC_Lim)-DE$145),MAX(0,DF$142-DF$141)),0)*DF$9</f>
        <v>0</v>
      </c>
      <c r="DG143" s="34" t="n">
        <f aca="false">IF(DG$139=1,MIN(MAX(0,N(P_LC_Lim)-DF$145),MAX(0,DG$142-DG$141)),0)*DG$9</f>
        <v>0</v>
      </c>
      <c r="DH143" s="34" t="n">
        <f aca="false">IF(DH$139=1,MIN(MAX(0,N(P_LC_Lim)-DG$145),MAX(0,DH$142-DH$141)),0)*DH$9</f>
        <v>0</v>
      </c>
      <c r="DI143" s="34" t="n">
        <f aca="false">IF(DI$139=1,MIN(MAX(0,N(P_LC_Lim)-DH$145),MAX(0,DI$142-DI$141)),0)*DI$9</f>
        <v>0</v>
      </c>
      <c r="DJ143" s="34" t="n">
        <f aca="false">IF(DJ$139=1,MIN(MAX(0,N(P_LC_Lim)-DI$145),MAX(0,DJ$142-DJ$141)),0)*DJ$9</f>
        <v>0</v>
      </c>
      <c r="DK143" s="34" t="n">
        <f aca="false">IF(DK$139=1,MIN(MAX(0,N(P_LC_Lim)-DJ$145),MAX(0,DK$142-DK$141)),0)*DK$9</f>
        <v>0</v>
      </c>
      <c r="DL143" s="34" t="n">
        <f aca="false">IF(DL$139=1,MIN(MAX(0,N(P_LC_Lim)-DK$145),MAX(0,DL$142-DL$141)),0)*DL$9</f>
        <v>0</v>
      </c>
      <c r="DM143" s="34" t="n">
        <f aca="false">IF(DM$139=1,MIN(MAX(0,N(P_LC_Lim)-DL$145),MAX(0,DM$142-DM$141)),0)*DM$9</f>
        <v>0</v>
      </c>
      <c r="DN143" s="34" t="n">
        <f aca="false">IF(DN$139=1,MIN(MAX(0,N(P_LC_Lim)-DM$145),MAX(0,DN$142-DN$141)),0)*DN$9</f>
        <v>0</v>
      </c>
      <c r="DO143" s="34" t="n">
        <f aca="false">IF(DO$139=1,MIN(MAX(0,N(P_LC_Lim)-DN$145),MAX(0,DO$142-DO$141)),0)*DO$9</f>
        <v>0</v>
      </c>
      <c r="DP143" s="34" t="n">
        <f aca="false">IF(DP$139=1,MIN(MAX(0,N(P_LC_Lim)-DO$145),MAX(0,DP$142-DP$141)),0)*DP$9</f>
        <v>0</v>
      </c>
      <c r="DQ143" s="34" t="n">
        <f aca="false">IF(DQ$139=1,MIN(MAX(0,N(P_LC_Lim)-DP$145),MAX(0,DQ$142-DQ$141)),0)*DQ$9</f>
        <v>0</v>
      </c>
      <c r="DR143" s="34" t="n">
        <f aca="false">IF(DR$139=1,MIN(MAX(0,N(P_LC_Lim)-DQ$145),MAX(0,DR$142-DR$141)),0)*DR$9</f>
        <v>0</v>
      </c>
      <c r="DS143" s="34" t="n">
        <f aca="false">IF(DS$139=1,MIN(MAX(0,N(P_LC_Lim)-DR$145),MAX(0,DS$142-DS$141)),0)*DS$9</f>
        <v>0</v>
      </c>
      <c r="DT143" s="34" t="n">
        <f aca="false">IF(DT$139=1,MIN(MAX(0,N(P_LC_Lim)-DS$145),MAX(0,DT$142-DT$141)),0)*DT$9</f>
        <v>0</v>
      </c>
      <c r="DU143" s="34" t="n">
        <f aca="false">IF(DU$139=1,MIN(MAX(0,N(P_LC_Lim)-DT$145),MAX(0,DU$142-DU$141)),0)*DU$9</f>
        <v>0</v>
      </c>
      <c r="DV143" s="34" t="n">
        <f aca="false">IF(DV$139=1,MIN(MAX(0,N(P_LC_Lim)-DU$145),MAX(0,DV$142-DV$141)),0)*DV$9</f>
        <v>0</v>
      </c>
      <c r="DW143" s="34" t="n">
        <f aca="false">IF(DW$139=1,MIN(MAX(0,N(P_LC_Lim)-DV$145),MAX(0,DW$142-DW$141)),0)*DW$9</f>
        <v>0</v>
      </c>
      <c r="DX143" s="34" t="n">
        <f aca="false">IF(DX$139=1,MIN(MAX(0,N(P_LC_Lim)-DW$145),MAX(0,DX$142-DX$141)),0)*DX$9</f>
        <v>0</v>
      </c>
      <c r="DY143" s="34" t="n">
        <f aca="false">IF(DY$139=1,MIN(MAX(0,N(P_LC_Lim)-DX$145),MAX(0,DY$142-DY$141)),0)*DY$9</f>
        <v>0</v>
      </c>
      <c r="DZ143" s="34" t="n">
        <f aca="false">IF(DZ$139=1,MIN(MAX(0,N(P_LC_Lim)-DY$145),MAX(0,DZ$142-DZ$141)),0)*DZ$9</f>
        <v>0</v>
      </c>
      <c r="EA143" s="34" t="n">
        <f aca="false">IF(EA$139=1,MIN(MAX(0,N(P_LC_Lim)-DZ$145),MAX(0,EA$142-EA$141)),0)*EA$9</f>
        <v>0</v>
      </c>
      <c r="EB143" s="34" t="n">
        <f aca="false">IF(EB$139=1,MIN(MAX(0,N(P_LC_Lim)-EA$145),MAX(0,EB$142-EB$141)),0)*EB$9</f>
        <v>0</v>
      </c>
      <c r="EC143" s="34" t="n">
        <f aca="false">IF(EC$139=1,MIN(MAX(0,N(P_LC_Lim)-EB$145),MAX(0,EC$142-EC$141)),0)*EC$9</f>
        <v>0</v>
      </c>
      <c r="ED143" s="34" t="n">
        <f aca="false">IF(ED$139=1,MIN(MAX(0,N(P_LC_Lim)-EC$145),MAX(0,ED$142-ED$141)),0)*ED$9</f>
        <v>0</v>
      </c>
      <c r="EE143" s="34" t="n">
        <f aca="false">IF(EE$139=1,MIN(MAX(0,N(P_LC_Lim)-ED$145),MAX(0,EE$142-EE$141)),0)*EE$9</f>
        <v>0</v>
      </c>
      <c r="EF143" s="34" t="n">
        <f aca="false">IF(EF$139=1,MIN(MAX(0,N(P_LC_Lim)-EE$145),MAX(0,EF$142-EF$141)),0)*EF$9</f>
        <v>0</v>
      </c>
      <c r="EG143" s="34" t="n">
        <f aca="false">IF(EG$139=1,MIN(MAX(0,N(P_LC_Lim)-EF$145),MAX(0,EG$142-EG$141)),0)*EG$9</f>
        <v>0</v>
      </c>
      <c r="EH143" s="34" t="n">
        <f aca="false">IF(EH$139=1,MIN(MAX(0,N(P_LC_Lim)-EG$145),MAX(0,EH$142-EH$141)),0)*EH$9</f>
        <v>0</v>
      </c>
      <c r="EI143" s="34" t="n">
        <f aca="false">IF(EI$139=1,MIN(MAX(0,N(P_LC_Lim)-EH$145),MAX(0,EI$142-EI$141)),0)*EI$9</f>
        <v>0</v>
      </c>
      <c r="EJ143" s="34" t="n">
        <f aca="false">IF(EJ$139=1,MIN(MAX(0,N(P_LC_Lim)-EI$145),MAX(0,EJ$142-EJ$141)),0)*EJ$9</f>
        <v>0</v>
      </c>
      <c r="EK143" s="34" t="n">
        <f aca="false">IF(EK$139=1,MIN(MAX(0,N(P_LC_Lim)-EJ$145),MAX(0,EK$142-EK$141)),0)*EK$9</f>
        <v>0</v>
      </c>
      <c r="EL143" s="34" t="n">
        <f aca="false">IF(EL$139=1,MIN(MAX(0,N(P_LC_Lim)-EK$145),MAX(0,EL$142-EL$141)),0)*EL$9</f>
        <v>0</v>
      </c>
      <c r="EM143" s="34" t="n">
        <f aca="false">IF(EM$139=1,MIN(MAX(0,N(P_LC_Lim)-EL$145),MAX(0,EM$142-EM$141)),0)*EM$9</f>
        <v>0</v>
      </c>
      <c r="EN143" s="34" t="n">
        <f aca="false">IF(EN$139=1,MIN(MAX(0,N(P_LC_Lim)-EM$145),MAX(0,EN$142-EN$141)),0)*EN$9</f>
        <v>0</v>
      </c>
      <c r="EO143" s="34" t="n">
        <f aca="false">IF(EO$139=1,MIN(MAX(0,N(P_LC_Lim)-EN$145),MAX(0,EO$142-EO$141)),0)*EO$9</f>
        <v>0</v>
      </c>
      <c r="EP143" s="34" t="n">
        <f aca="false">IF(EP$139=1,MIN(MAX(0,N(P_LC_Lim)-EO$145),MAX(0,EP$142-EP$141)),0)*EP$9</f>
        <v>0</v>
      </c>
      <c r="EQ143" s="34" t="n">
        <f aca="false">IF(EQ$139=1,MIN(MAX(0,N(P_LC_Lim)-EP$145),MAX(0,EQ$142-EQ$141)),0)*EQ$9</f>
        <v>0</v>
      </c>
      <c r="ER143" s="34" t="n">
        <f aca="false">IF(ER$139=1,MIN(MAX(0,N(P_LC_Lim)-EQ$145),MAX(0,ER$142-ER$141)),0)*ER$9</f>
        <v>0</v>
      </c>
      <c r="ES143" s="34" t="n">
        <f aca="false">IF(ES$139=1,MIN(MAX(0,N(P_LC_Lim)-ER$145),MAX(0,ES$142-ES$141)),0)*ES$9</f>
        <v>0</v>
      </c>
    </row>
    <row r="144" customFormat="false" ht="15" hidden="false" customHeight="false" outlineLevel="0" collapsed="false">
      <c r="A144" s="2" t="s">
        <v>769</v>
      </c>
      <c r="B144" s="6" t="s">
        <v>770</v>
      </c>
      <c r="C144" s="6" t="s">
        <v>250</v>
      </c>
      <c r="E144" s="40" t="n">
        <f aca="false">SUM(F144:ES144)</f>
        <v>0</v>
      </c>
      <c r="F144" s="34" t="n">
        <f aca="false">IF(F$139=1,MIN(0,MAX(0,F$141-F$142)),0)*F$9</f>
        <v>0</v>
      </c>
      <c r="G144" s="34" t="n">
        <f aca="false">IF(G$139=1,MIN(F$145,MAX(0,G$141-G$142)),F$145)*G$9</f>
        <v>0</v>
      </c>
      <c r="H144" s="34" t="n">
        <f aca="false">IF(H$139=1,MIN(G$145,MAX(0,H$141-H$142)),G$145)*H$9</f>
        <v>0</v>
      </c>
      <c r="I144" s="34" t="n">
        <f aca="false">IF(I$139=1,MIN(H$145,MAX(0,I$141-I$142)),H$145)*I$9</f>
        <v>0</v>
      </c>
      <c r="J144" s="34" t="n">
        <f aca="false">IF(J$139=1,MIN(I$145,MAX(0,J$141-J$142)),I$145)*J$9</f>
        <v>0</v>
      </c>
      <c r="K144" s="34" t="n">
        <f aca="false">IF(K$139=1,MIN(J$145,MAX(0,K$141-K$142)),J$145)*K$9</f>
        <v>0</v>
      </c>
      <c r="L144" s="34" t="n">
        <f aca="false">IF(L$139=1,MIN(K$145,MAX(0,L$141-L$142)),K$145)*L$9</f>
        <v>0</v>
      </c>
      <c r="M144" s="34" t="n">
        <f aca="false">IF(M$139=1,MIN(L$145,MAX(0,M$141-M$142)),L$145)*M$9</f>
        <v>0</v>
      </c>
      <c r="N144" s="34" t="n">
        <f aca="false">IF(N$139=1,MIN(M$145,MAX(0,N$141-N$142)),M$145)*N$9</f>
        <v>0</v>
      </c>
      <c r="O144" s="34" t="n">
        <f aca="false">IF(O$139=1,MIN(N$145,MAX(0,O$141-O$142)),N$145)*O$9</f>
        <v>0</v>
      </c>
      <c r="P144" s="34" t="n">
        <f aca="false">IF(P$139=1,MIN(O$145,MAX(0,P$141-P$142)),O$145)*P$9</f>
        <v>0</v>
      </c>
      <c r="Q144" s="34" t="n">
        <f aca="false">IF(Q$139=1,MIN(P$145,MAX(0,Q$141-Q$142)),P$145)*Q$9</f>
        <v>0</v>
      </c>
      <c r="R144" s="34" t="n">
        <f aca="false">IF(R$139=1,MIN(Q$145,MAX(0,R$141-R$142)),Q$145)*R$9</f>
        <v>0</v>
      </c>
      <c r="S144" s="34" t="n">
        <f aca="false">IF(S$139=1,MIN(R$145,MAX(0,S$141-S$142)),R$145)*S$9</f>
        <v>0</v>
      </c>
      <c r="T144" s="34" t="n">
        <f aca="false">IF(T$139=1,MIN(S$145,MAX(0,T$141-T$142)),S$145)*T$9</f>
        <v>0</v>
      </c>
      <c r="U144" s="34" t="n">
        <f aca="false">IF(U$139=1,MIN(T$145,MAX(0,U$141-U$142)),T$145)*U$9</f>
        <v>0</v>
      </c>
      <c r="V144" s="34" t="n">
        <f aca="false">IF(V$139=1,MIN(U$145,MAX(0,V$141-V$142)),U$145)*V$9</f>
        <v>0</v>
      </c>
      <c r="W144" s="34" t="n">
        <f aca="false">IF(W$139=1,MIN(V$145,MAX(0,W$141-W$142)),V$145)*W$9</f>
        <v>0</v>
      </c>
      <c r="X144" s="34" t="n">
        <f aca="false">IF(X$139=1,MIN(W$145,MAX(0,X$141-X$142)),W$145)*X$9</f>
        <v>0</v>
      </c>
      <c r="Y144" s="34" t="n">
        <f aca="false">IF(Y$139=1,MIN(X$145,MAX(0,Y$141-Y$142)),X$145)*Y$9</f>
        <v>0</v>
      </c>
      <c r="Z144" s="34" t="n">
        <f aca="false">IF(Z$139=1,MIN(Y$145,MAX(0,Z$141-Z$142)),Y$145)*Z$9</f>
        <v>0</v>
      </c>
      <c r="AA144" s="34" t="n">
        <f aca="false">IF(AA$139=1,MIN(Z$145,MAX(0,AA$141-AA$142)),Z$145)*AA$9</f>
        <v>0</v>
      </c>
      <c r="AB144" s="34" t="n">
        <f aca="false">IF(AB$139=1,MIN(AA$145,MAX(0,AB$141-AB$142)),AA$145)*AB$9</f>
        <v>0</v>
      </c>
      <c r="AC144" s="34" t="n">
        <f aca="false">IF(AC$139=1,MIN(AB$145,MAX(0,AC$141-AC$142)),AB$145)*AC$9</f>
        <v>0</v>
      </c>
      <c r="AD144" s="34" t="n">
        <f aca="false">IF(AD$139=1,MIN(AC$145,MAX(0,AD$141-AD$142)),AC$145)*AD$9</f>
        <v>0</v>
      </c>
      <c r="AE144" s="34" t="n">
        <f aca="false">IF(AE$139=1,MIN(AD$145,MAX(0,AE$141-AE$142)),AD$145)*AE$9</f>
        <v>0</v>
      </c>
      <c r="AF144" s="34" t="n">
        <f aca="false">IF(AF$139=1,MIN(AE$145,MAX(0,AF$141-AF$142)),AE$145)*AF$9</f>
        <v>0</v>
      </c>
      <c r="AG144" s="34" t="n">
        <f aca="false">IF(AG$139=1,MIN(AF$145,MAX(0,AG$141-AG$142)),AF$145)*AG$9</f>
        <v>0</v>
      </c>
      <c r="AH144" s="34" t="n">
        <f aca="false">IF(AH$139=1,MIN(AG$145,MAX(0,AH$141-AH$142)),AG$145)*AH$9</f>
        <v>0</v>
      </c>
      <c r="AI144" s="34" t="n">
        <f aca="false">IF(AI$139=1,MIN(AH$145,MAX(0,AI$141-AI$142)),AH$145)*AI$9</f>
        <v>0</v>
      </c>
      <c r="AJ144" s="34" t="n">
        <f aca="false">IF(AJ$139=1,MIN(AI$145,MAX(0,AJ$141-AJ$142)),AI$145)*AJ$9</f>
        <v>0</v>
      </c>
      <c r="AK144" s="34" t="n">
        <f aca="false">IF(AK$139=1,MIN(AJ$145,MAX(0,AK$141-AK$142)),AJ$145)*AK$9</f>
        <v>0</v>
      </c>
      <c r="AL144" s="34" t="n">
        <f aca="false">IF(AL$139=1,MIN(AK$145,MAX(0,AL$141-AL$142)),AK$145)*AL$9</f>
        <v>0</v>
      </c>
      <c r="AM144" s="34" t="n">
        <f aca="false">IF(AM$139=1,MIN(AL$145,MAX(0,AM$141-AM$142)),AL$145)*AM$9</f>
        <v>0</v>
      </c>
      <c r="AN144" s="34" t="n">
        <f aca="false">IF(AN$139=1,MIN(AM$145,MAX(0,AN$141-AN$142)),AM$145)*AN$9</f>
        <v>0</v>
      </c>
      <c r="AO144" s="34" t="n">
        <f aca="false">IF(AO$139=1,MIN(AN$145,MAX(0,AO$141-AO$142)),AN$145)*AO$9</f>
        <v>0</v>
      </c>
      <c r="AP144" s="34" t="n">
        <f aca="false">IF(AP$139=1,MIN(AO$145,MAX(0,AP$141-AP$142)),AO$145)*AP$9</f>
        <v>0</v>
      </c>
      <c r="AQ144" s="34" t="n">
        <f aca="false">IF(AQ$139=1,MIN(AP$145,MAX(0,AQ$141-AQ$142)),AP$145)*AQ$9</f>
        <v>0</v>
      </c>
      <c r="AR144" s="34" t="n">
        <f aca="false">IF(AR$139=1,MIN(AQ$145,MAX(0,AR$141-AR$142)),AQ$145)*AR$9</f>
        <v>0</v>
      </c>
      <c r="AS144" s="34" t="n">
        <f aca="false">IF(AS$139=1,MIN(AR$145,MAX(0,AS$141-AS$142)),AR$145)*AS$9</f>
        <v>0</v>
      </c>
      <c r="AT144" s="34" t="n">
        <f aca="false">IF(AT$139=1,MIN(AS$145,MAX(0,AT$141-AT$142)),AS$145)*AT$9</f>
        <v>0</v>
      </c>
      <c r="AU144" s="34" t="n">
        <f aca="false">IF(AU$139=1,MIN(AT$145,MAX(0,AU$141-AU$142)),AT$145)*AU$9</f>
        <v>0</v>
      </c>
      <c r="AV144" s="34" t="n">
        <f aca="false">IF(AV$139=1,MIN(AU$145,MAX(0,AV$141-AV$142)),AU$145)*AV$9</f>
        <v>0</v>
      </c>
      <c r="AW144" s="34" t="n">
        <f aca="false">IF(AW$139=1,MIN(AV$145,MAX(0,AW$141-AW$142)),AV$145)*AW$9</f>
        <v>0</v>
      </c>
      <c r="AX144" s="34" t="n">
        <f aca="false">IF(AX$139=1,MIN(AW$145,MAX(0,AX$141-AX$142)),AW$145)*AX$9</f>
        <v>0</v>
      </c>
      <c r="AY144" s="34" t="n">
        <f aca="false">IF(AY$139=1,MIN(AX$145,MAX(0,AY$141-AY$142)),AX$145)*AY$9</f>
        <v>0</v>
      </c>
      <c r="AZ144" s="34" t="n">
        <f aca="false">IF(AZ$139=1,MIN(AY$145,MAX(0,AZ$141-AZ$142)),AY$145)*AZ$9</f>
        <v>0</v>
      </c>
      <c r="BA144" s="34" t="n">
        <f aca="false">IF(BA$139=1,MIN(AZ$145,MAX(0,BA$141-BA$142)),AZ$145)*BA$9</f>
        <v>0</v>
      </c>
      <c r="BB144" s="34" t="n">
        <f aca="false">IF(BB$139=1,MIN(BA$145,MAX(0,BB$141-BB$142)),BA$145)*BB$9</f>
        <v>0</v>
      </c>
      <c r="BC144" s="34" t="n">
        <f aca="false">IF(BC$139=1,MIN(BB$145,MAX(0,BC$141-BC$142)),BB$145)*BC$9</f>
        <v>0</v>
      </c>
      <c r="BD144" s="34" t="n">
        <f aca="false">IF(BD$139=1,MIN(BC$145,MAX(0,BD$141-BD$142)),BC$145)*BD$9</f>
        <v>0</v>
      </c>
      <c r="BE144" s="34" t="n">
        <f aca="false">IF(BE$139=1,MIN(BD$145,MAX(0,BE$141-BE$142)),BD$145)*BE$9</f>
        <v>0</v>
      </c>
      <c r="BF144" s="34" t="n">
        <f aca="false">IF(BF$139=1,MIN(BE$145,MAX(0,BF$141-BF$142)),BE$145)*BF$9</f>
        <v>0</v>
      </c>
      <c r="BG144" s="34" t="n">
        <f aca="false">IF(BG$139=1,MIN(BF$145,MAX(0,BG$141-BG$142)),BF$145)*BG$9</f>
        <v>0</v>
      </c>
      <c r="BH144" s="34" t="n">
        <f aca="false">IF(BH$139=1,MIN(BG$145,MAX(0,BH$141-BH$142)),BG$145)*BH$9</f>
        <v>0</v>
      </c>
      <c r="BI144" s="34" t="n">
        <f aca="false">IF(BI$139=1,MIN(BH$145,MAX(0,BI$141-BI$142)),BH$145)*BI$9</f>
        <v>0</v>
      </c>
      <c r="BJ144" s="34" t="n">
        <f aca="false">IF(BJ$139=1,MIN(BI$145,MAX(0,BJ$141-BJ$142)),BI$145)*BJ$9</f>
        <v>0</v>
      </c>
      <c r="BK144" s="34" t="n">
        <f aca="false">IF(BK$139=1,MIN(BJ$145,MAX(0,BK$141-BK$142)),BJ$145)*BK$9</f>
        <v>0</v>
      </c>
      <c r="BL144" s="34" t="n">
        <f aca="false">IF(BL$139=1,MIN(BK$145,MAX(0,BL$141-BL$142)),BK$145)*BL$9</f>
        <v>0</v>
      </c>
      <c r="BM144" s="34" t="n">
        <f aca="false">IF(BM$139=1,MIN(BL$145,MAX(0,BM$141-BM$142)),BL$145)*BM$9</f>
        <v>0</v>
      </c>
      <c r="BN144" s="34" t="n">
        <f aca="false">IF(BN$139=1,MIN(BM$145,MAX(0,BN$141-BN$142)),BM$145)*BN$9</f>
        <v>0</v>
      </c>
      <c r="BO144" s="34" t="n">
        <f aca="false">IF(BO$139=1,MIN(BN$145,MAX(0,BO$141-BO$142)),BN$145)*BO$9</f>
        <v>0</v>
      </c>
      <c r="BP144" s="34" t="n">
        <f aca="false">IF(BP$139=1,MIN(BO$145,MAX(0,BP$141-BP$142)),BO$145)*BP$9</f>
        <v>0</v>
      </c>
      <c r="BQ144" s="34" t="n">
        <f aca="false">IF(BQ$139=1,MIN(BP$145,MAX(0,BQ$141-BQ$142)),BP$145)*BQ$9</f>
        <v>0</v>
      </c>
      <c r="BR144" s="34" t="n">
        <f aca="false">IF(BR$139=1,MIN(BQ$145,MAX(0,BR$141-BR$142)),BQ$145)*BR$9</f>
        <v>0</v>
      </c>
      <c r="BS144" s="34" t="n">
        <f aca="false">IF(BS$139=1,MIN(BR$145,MAX(0,BS$141-BS$142)),BR$145)*BS$9</f>
        <v>0</v>
      </c>
      <c r="BT144" s="34" t="n">
        <f aca="false">IF(BT$139=1,MIN(BS$145,MAX(0,BT$141-BT$142)),BS$145)*BT$9</f>
        <v>0</v>
      </c>
      <c r="BU144" s="34" t="n">
        <f aca="false">IF(BU$139=1,MIN(BT$145,MAX(0,BU$141-BU$142)),BT$145)*BU$9</f>
        <v>0</v>
      </c>
      <c r="BV144" s="34" t="n">
        <f aca="false">IF(BV$139=1,MIN(BU$145,MAX(0,BV$141-BV$142)),BU$145)*BV$9</f>
        <v>0</v>
      </c>
      <c r="BW144" s="34" t="n">
        <f aca="false">IF(BW$139=1,MIN(BV$145,MAX(0,BW$141-BW$142)),BV$145)*BW$9</f>
        <v>0</v>
      </c>
      <c r="BX144" s="34" t="n">
        <f aca="false">IF(BX$139=1,MIN(BW$145,MAX(0,BX$141-BX$142)),BW$145)*BX$9</f>
        <v>0</v>
      </c>
      <c r="BY144" s="34" t="n">
        <f aca="false">IF(BY$139=1,MIN(BX$145,MAX(0,BY$141-BY$142)),BX$145)*BY$9</f>
        <v>0</v>
      </c>
      <c r="BZ144" s="34" t="n">
        <f aca="false">IF(BZ$139=1,MIN(BY$145,MAX(0,BZ$141-BZ$142)),BY$145)*BZ$9</f>
        <v>0</v>
      </c>
      <c r="CA144" s="34" t="n">
        <f aca="false">IF(CA$139=1,MIN(BZ$145,MAX(0,CA$141-CA$142)),BZ$145)*CA$9</f>
        <v>0</v>
      </c>
      <c r="CB144" s="34" t="n">
        <f aca="false">IF(CB$139=1,MIN(CA$145,MAX(0,CB$141-CB$142)),CA$145)*CB$9</f>
        <v>0</v>
      </c>
      <c r="CC144" s="34" t="n">
        <f aca="false">IF(CC$139=1,MIN(CB$145,MAX(0,CC$141-CC$142)),CB$145)*CC$9</f>
        <v>0</v>
      </c>
      <c r="CD144" s="34" t="n">
        <f aca="false">IF(CD$139=1,MIN(CC$145,MAX(0,CD$141-CD$142)),CC$145)*CD$9</f>
        <v>0</v>
      </c>
      <c r="CE144" s="34" t="n">
        <f aca="false">IF(CE$139=1,MIN(CD$145,MAX(0,CE$141-CE$142)),CD$145)*CE$9</f>
        <v>0</v>
      </c>
      <c r="CF144" s="34" t="n">
        <f aca="false">IF(CF$139=1,MIN(CE$145,MAX(0,CF$141-CF$142)),CE$145)*CF$9</f>
        <v>0</v>
      </c>
      <c r="CG144" s="34" t="n">
        <f aca="false">IF(CG$139=1,MIN(CF$145,MAX(0,CG$141-CG$142)),CF$145)*CG$9</f>
        <v>0</v>
      </c>
      <c r="CH144" s="34" t="n">
        <f aca="false">IF(CH$139=1,MIN(CG$145,MAX(0,CH$141-CH$142)),CG$145)*CH$9</f>
        <v>0</v>
      </c>
      <c r="CI144" s="34" t="n">
        <f aca="false">IF(CI$139=1,MIN(CH$145,MAX(0,CI$141-CI$142)),CH$145)*CI$9</f>
        <v>0</v>
      </c>
      <c r="CJ144" s="34" t="n">
        <f aca="false">IF(CJ$139=1,MIN(CI$145,MAX(0,CJ$141-CJ$142)),CI$145)*CJ$9</f>
        <v>0</v>
      </c>
      <c r="CK144" s="34" t="n">
        <f aca="false">IF(CK$139=1,MIN(CJ$145,MAX(0,CK$141-CK$142)),CJ$145)*CK$9</f>
        <v>0</v>
      </c>
      <c r="CL144" s="34" t="n">
        <f aca="false">IF(CL$139=1,MIN(CK$145,MAX(0,CL$141-CL$142)),CK$145)*CL$9</f>
        <v>0</v>
      </c>
      <c r="CM144" s="34" t="n">
        <f aca="false">IF(CM$139=1,MIN(CL$145,MAX(0,CM$141-CM$142)),CL$145)*CM$9</f>
        <v>0</v>
      </c>
      <c r="CN144" s="34" t="n">
        <f aca="false">IF(CN$139=1,MIN(CM$145,MAX(0,CN$141-CN$142)),CM$145)*CN$9</f>
        <v>0</v>
      </c>
      <c r="CO144" s="34" t="n">
        <f aca="false">IF(CO$139=1,MIN(CN$145,MAX(0,CO$141-CO$142)),CN$145)*CO$9</f>
        <v>0</v>
      </c>
      <c r="CP144" s="34" t="n">
        <f aca="false">IF(CP$139=1,MIN(CO$145,MAX(0,CP$141-CP$142)),CO$145)*CP$9</f>
        <v>0</v>
      </c>
      <c r="CQ144" s="34" t="n">
        <f aca="false">IF(CQ$139=1,MIN(CP$145,MAX(0,CQ$141-CQ$142)),CP$145)*CQ$9</f>
        <v>0</v>
      </c>
      <c r="CR144" s="34" t="n">
        <f aca="false">IF(CR$139=1,MIN(CQ$145,MAX(0,CR$141-CR$142)),CQ$145)*CR$9</f>
        <v>0</v>
      </c>
      <c r="CS144" s="34" t="n">
        <f aca="false">IF(CS$139=1,MIN(CR$145,MAX(0,CS$141-CS$142)),CR$145)*CS$9</f>
        <v>0</v>
      </c>
      <c r="CT144" s="34" t="n">
        <f aca="false">IF(CT$139=1,MIN(CS$145,MAX(0,CT$141-CT$142)),CS$145)*CT$9</f>
        <v>0</v>
      </c>
      <c r="CU144" s="34" t="n">
        <f aca="false">IF(CU$139=1,MIN(CT$145,MAX(0,CU$141-CU$142)),CT$145)*CU$9</f>
        <v>0</v>
      </c>
      <c r="CV144" s="34" t="n">
        <f aca="false">IF(CV$139=1,MIN(CU$145,MAX(0,CV$141-CV$142)),CU$145)*CV$9</f>
        <v>0</v>
      </c>
      <c r="CW144" s="34" t="n">
        <f aca="false">IF(CW$139=1,MIN(CV$145,MAX(0,CW$141-CW$142)),CV$145)*CW$9</f>
        <v>0</v>
      </c>
      <c r="CX144" s="34" t="n">
        <f aca="false">IF(CX$139=1,MIN(CW$145,MAX(0,CX$141-CX$142)),CW$145)*CX$9</f>
        <v>0</v>
      </c>
      <c r="CY144" s="34" t="n">
        <f aca="false">IF(CY$139=1,MIN(CX$145,MAX(0,CY$141-CY$142)),CX$145)*CY$9</f>
        <v>0</v>
      </c>
      <c r="CZ144" s="34" t="n">
        <f aca="false">IF(CZ$139=1,MIN(CY$145,MAX(0,CZ$141-CZ$142)),CY$145)*CZ$9</f>
        <v>0</v>
      </c>
      <c r="DA144" s="34" t="n">
        <f aca="false">IF(DA$139=1,MIN(CZ$145,MAX(0,DA$141-DA$142)),CZ$145)*DA$9</f>
        <v>0</v>
      </c>
      <c r="DB144" s="34" t="n">
        <f aca="false">IF(DB$139=1,MIN(DA$145,MAX(0,DB$141-DB$142)),DA$145)*DB$9</f>
        <v>0</v>
      </c>
      <c r="DC144" s="34" t="n">
        <f aca="false">IF(DC$139=1,MIN(DB$145,MAX(0,DC$141-DC$142)),DB$145)*DC$9</f>
        <v>0</v>
      </c>
      <c r="DD144" s="34" t="n">
        <f aca="false">IF(DD$139=1,MIN(DC$145,MAX(0,DD$141-DD$142)),DC$145)*DD$9</f>
        <v>0</v>
      </c>
      <c r="DE144" s="34" t="n">
        <f aca="false">IF(DE$139=1,MIN(DD$145,MAX(0,DE$141-DE$142)),DD$145)*DE$9</f>
        <v>0</v>
      </c>
      <c r="DF144" s="34" t="n">
        <f aca="false">IF(DF$139=1,MIN(DE$145,MAX(0,DF$141-DF$142)),DE$145)*DF$9</f>
        <v>0</v>
      </c>
      <c r="DG144" s="34" t="n">
        <f aca="false">IF(DG$139=1,MIN(DF$145,MAX(0,DG$141-DG$142)),DF$145)*DG$9</f>
        <v>0</v>
      </c>
      <c r="DH144" s="34" t="n">
        <f aca="false">IF(DH$139=1,MIN(DG$145,MAX(0,DH$141-DH$142)),DG$145)*DH$9</f>
        <v>0</v>
      </c>
      <c r="DI144" s="34" t="n">
        <f aca="false">IF(DI$139=1,MIN(DH$145,MAX(0,DI$141-DI$142)),DH$145)*DI$9</f>
        <v>0</v>
      </c>
      <c r="DJ144" s="34" t="n">
        <f aca="false">IF(DJ$139=1,MIN(DI$145,MAX(0,DJ$141-DJ$142)),DI$145)*DJ$9</f>
        <v>0</v>
      </c>
      <c r="DK144" s="34" t="n">
        <f aca="false">IF(DK$139=1,MIN(DJ$145,MAX(0,DK$141-DK$142)),DJ$145)*DK$9</f>
        <v>0</v>
      </c>
      <c r="DL144" s="34" t="n">
        <f aca="false">IF(DL$139=1,MIN(DK$145,MAX(0,DL$141-DL$142)),DK$145)*DL$9</f>
        <v>0</v>
      </c>
      <c r="DM144" s="34" t="n">
        <f aca="false">IF(DM$139=1,MIN(DL$145,MAX(0,DM$141-DM$142)),DL$145)*DM$9</f>
        <v>0</v>
      </c>
      <c r="DN144" s="34" t="n">
        <f aca="false">IF(DN$139=1,MIN(DM$145,MAX(0,DN$141-DN$142)),DM$145)*DN$9</f>
        <v>0</v>
      </c>
      <c r="DO144" s="34" t="n">
        <f aca="false">IF(DO$139=1,MIN(DN$145,MAX(0,DO$141-DO$142)),DN$145)*DO$9</f>
        <v>0</v>
      </c>
      <c r="DP144" s="34" t="n">
        <f aca="false">IF(DP$139=1,MIN(DO$145,MAX(0,DP$141-DP$142)),DO$145)*DP$9</f>
        <v>0</v>
      </c>
      <c r="DQ144" s="34" t="n">
        <f aca="false">IF(DQ$139=1,MIN(DP$145,MAX(0,DQ$141-DQ$142)),DP$145)*DQ$9</f>
        <v>0</v>
      </c>
      <c r="DR144" s="34" t="n">
        <f aca="false">IF(DR$139=1,MIN(DQ$145,MAX(0,DR$141-DR$142)),DQ$145)*DR$9</f>
        <v>0</v>
      </c>
      <c r="DS144" s="34" t="n">
        <f aca="false">IF(DS$139=1,MIN(DR$145,MAX(0,DS$141-DS$142)),DR$145)*DS$9</f>
        <v>0</v>
      </c>
      <c r="DT144" s="34" t="n">
        <f aca="false">IF(DT$139=1,MIN(DS$145,MAX(0,DT$141-DT$142)),DS$145)*DT$9</f>
        <v>0</v>
      </c>
      <c r="DU144" s="34" t="n">
        <f aca="false">IF(DU$139=1,MIN(DT$145,MAX(0,DU$141-DU$142)),DT$145)*DU$9</f>
        <v>0</v>
      </c>
      <c r="DV144" s="34" t="n">
        <f aca="false">IF(DV$139=1,MIN(DU$145,MAX(0,DV$141-DV$142)),DU$145)*DV$9</f>
        <v>0</v>
      </c>
      <c r="DW144" s="34" t="n">
        <f aca="false">IF(DW$139=1,MIN(DV$145,MAX(0,DW$141-DW$142)),DV$145)*DW$9</f>
        <v>0</v>
      </c>
      <c r="DX144" s="34" t="n">
        <f aca="false">IF(DX$139=1,MIN(DW$145,MAX(0,DX$141-DX$142)),DW$145)*DX$9</f>
        <v>0</v>
      </c>
      <c r="DY144" s="34" t="n">
        <f aca="false">IF(DY$139=1,MIN(DX$145,MAX(0,DY$141-DY$142)),DX$145)*DY$9</f>
        <v>0</v>
      </c>
      <c r="DZ144" s="34" t="n">
        <f aca="false">IF(DZ$139=1,MIN(DY$145,MAX(0,DZ$141-DZ$142)),DY$145)*DZ$9</f>
        <v>0</v>
      </c>
      <c r="EA144" s="34" t="n">
        <f aca="false">IF(EA$139=1,MIN(DZ$145,MAX(0,EA$141-EA$142)),DZ$145)*EA$9</f>
        <v>0</v>
      </c>
      <c r="EB144" s="34" t="n">
        <f aca="false">IF(EB$139=1,MIN(EA$145,MAX(0,EB$141-EB$142)),EA$145)*EB$9</f>
        <v>0</v>
      </c>
      <c r="EC144" s="34" t="n">
        <f aca="false">IF(EC$139=1,MIN(EB$145,MAX(0,EC$141-EC$142)),EB$145)*EC$9</f>
        <v>0</v>
      </c>
      <c r="ED144" s="34" t="n">
        <f aca="false">IF(ED$139=1,MIN(EC$145,MAX(0,ED$141-ED$142)),EC$145)*ED$9</f>
        <v>0</v>
      </c>
      <c r="EE144" s="34" t="n">
        <f aca="false">IF(EE$139=1,MIN(ED$145,MAX(0,EE$141-EE$142)),ED$145)*EE$9</f>
        <v>0</v>
      </c>
      <c r="EF144" s="34" t="n">
        <f aca="false">IF(EF$139=1,MIN(EE$145,MAX(0,EF$141-EF$142)),EE$145)*EF$9</f>
        <v>0</v>
      </c>
      <c r="EG144" s="34" t="n">
        <f aca="false">IF(EG$139=1,MIN(EF$145,MAX(0,EG$141-EG$142)),EF$145)*EG$9</f>
        <v>0</v>
      </c>
      <c r="EH144" s="34" t="n">
        <f aca="false">IF(EH$139=1,MIN(EG$145,MAX(0,EH$141-EH$142)),EG$145)*EH$9</f>
        <v>0</v>
      </c>
      <c r="EI144" s="34" t="n">
        <f aca="false">IF(EI$139=1,MIN(EH$145,MAX(0,EI$141-EI$142)),EH$145)*EI$9</f>
        <v>0</v>
      </c>
      <c r="EJ144" s="34" t="n">
        <f aca="false">IF(EJ$139=1,MIN(EI$145,MAX(0,EJ$141-EJ$142)),EI$145)*EJ$9</f>
        <v>0</v>
      </c>
      <c r="EK144" s="34" t="n">
        <f aca="false">IF(EK$139=1,MIN(EJ$145,MAX(0,EK$141-EK$142)),EJ$145)*EK$9</f>
        <v>0</v>
      </c>
      <c r="EL144" s="34" t="n">
        <f aca="false">IF(EL$139=1,MIN(EK$145,MAX(0,EL$141-EL$142)),EK$145)*EL$9</f>
        <v>0</v>
      </c>
      <c r="EM144" s="34" t="n">
        <f aca="false">IF(EM$139=1,MIN(EL$145,MAX(0,EM$141-EM$142)),EL$145)*EM$9</f>
        <v>0</v>
      </c>
      <c r="EN144" s="34" t="n">
        <f aca="false">IF(EN$139=1,MIN(EM$145,MAX(0,EN$141-EN$142)),EM$145)*EN$9</f>
        <v>0</v>
      </c>
      <c r="EO144" s="34" t="n">
        <f aca="false">IF(EO$139=1,MIN(EN$145,MAX(0,EO$141-EO$142)),EN$145)*EO$9</f>
        <v>0</v>
      </c>
      <c r="EP144" s="34" t="n">
        <f aca="false">IF(EP$139=1,MIN(EO$145,MAX(0,EP$141-EP$142)),EO$145)*EP$9</f>
        <v>0</v>
      </c>
      <c r="EQ144" s="34" t="n">
        <f aca="false">IF(EQ$139=1,MIN(EP$145,MAX(0,EQ$141-EQ$142)),EP$145)*EQ$9</f>
        <v>0</v>
      </c>
      <c r="ER144" s="34" t="n">
        <f aca="false">IF(ER$139=1,MIN(EQ$145,MAX(0,ER$141-ER$142)),EQ$145)*ER$9</f>
        <v>0</v>
      </c>
      <c r="ES144" s="34" t="n">
        <f aca="false">IF(ES$139=1,MIN(ER$145,MAX(0,ES$141-ES$142)),ER$145)*ES$9</f>
        <v>0</v>
      </c>
    </row>
    <row r="145" customFormat="false" ht="15" hidden="false" customHeight="false" outlineLevel="0" collapsed="false">
      <c r="A145" s="2" t="s">
        <v>771</v>
      </c>
      <c r="B145" s="6" t="s">
        <v>772</v>
      </c>
      <c r="C145" s="6" t="s">
        <v>250</v>
      </c>
      <c r="E145" s="40" t="n">
        <f aca="false">MAX(F145:ES145)</f>
        <v>0</v>
      </c>
      <c r="F145" s="34" t="n">
        <f aca="false">0+F$143-F$144</f>
        <v>0</v>
      </c>
      <c r="G145" s="34" t="n">
        <f aca="false">F$145+G$143-G$144</f>
        <v>0</v>
      </c>
      <c r="H145" s="34" t="n">
        <f aca="false">G$145+H$143-H$144</f>
        <v>0</v>
      </c>
      <c r="I145" s="34" t="n">
        <f aca="false">H$145+I$143-I$144</f>
        <v>0</v>
      </c>
      <c r="J145" s="34" t="n">
        <f aca="false">I$145+J$143-J$144</f>
        <v>0</v>
      </c>
      <c r="K145" s="34" t="n">
        <f aca="false">J$145+K$143-K$144</f>
        <v>0</v>
      </c>
      <c r="L145" s="34" t="n">
        <f aca="false">K$145+L$143-L$144</f>
        <v>0</v>
      </c>
      <c r="M145" s="34" t="n">
        <f aca="false">L$145+M$143-M$144</f>
        <v>0</v>
      </c>
      <c r="N145" s="34" t="n">
        <f aca="false">M$145+N$143-N$144</f>
        <v>0</v>
      </c>
      <c r="O145" s="34" t="n">
        <f aca="false">N$145+O$143-O$144</f>
        <v>0</v>
      </c>
      <c r="P145" s="34" t="n">
        <f aca="false">O$145+P$143-P$144</f>
        <v>0</v>
      </c>
      <c r="Q145" s="34" t="n">
        <f aca="false">P$145+Q$143-Q$144</f>
        <v>0</v>
      </c>
      <c r="R145" s="34" t="n">
        <f aca="false">Q$145+R$143-R$144</f>
        <v>0</v>
      </c>
      <c r="S145" s="34" t="n">
        <f aca="false">R$145+S$143-S$144</f>
        <v>0</v>
      </c>
      <c r="T145" s="34" t="n">
        <f aca="false">S$145+T$143-T$144</f>
        <v>0</v>
      </c>
      <c r="U145" s="34" t="n">
        <f aca="false">T$145+U$143-U$144</f>
        <v>0</v>
      </c>
      <c r="V145" s="34" t="n">
        <f aca="false">U$145+V$143-V$144</f>
        <v>0</v>
      </c>
      <c r="W145" s="34" t="n">
        <f aca="false">V$145+W$143-W$144</f>
        <v>0</v>
      </c>
      <c r="X145" s="34" t="n">
        <f aca="false">W$145+X$143-X$144</f>
        <v>0</v>
      </c>
      <c r="Y145" s="34" t="n">
        <f aca="false">X$145+Y$143-Y$144</f>
        <v>0</v>
      </c>
      <c r="Z145" s="34" t="n">
        <f aca="false">Y$145+Z$143-Z$144</f>
        <v>0</v>
      </c>
      <c r="AA145" s="34" t="n">
        <f aca="false">Z$145+AA$143-AA$144</f>
        <v>0</v>
      </c>
      <c r="AB145" s="34" t="n">
        <f aca="false">AA$145+AB$143-AB$144</f>
        <v>0</v>
      </c>
      <c r="AC145" s="34" t="n">
        <f aca="false">AB$145+AC$143-AC$144</f>
        <v>0</v>
      </c>
      <c r="AD145" s="34" t="n">
        <f aca="false">AC$145+AD$143-AD$144</f>
        <v>0</v>
      </c>
      <c r="AE145" s="34" t="n">
        <f aca="false">AD$145+AE$143-AE$144</f>
        <v>0</v>
      </c>
      <c r="AF145" s="34" t="n">
        <f aca="false">AE$145+AF$143-AF$144</f>
        <v>0</v>
      </c>
      <c r="AG145" s="34" t="n">
        <f aca="false">AF$145+AG$143-AG$144</f>
        <v>0</v>
      </c>
      <c r="AH145" s="34" t="n">
        <f aca="false">AG$145+AH$143-AH$144</f>
        <v>0</v>
      </c>
      <c r="AI145" s="34" t="n">
        <f aca="false">AH$145+AI$143-AI$144</f>
        <v>0</v>
      </c>
      <c r="AJ145" s="34" t="n">
        <f aca="false">AI$145+AJ$143-AJ$144</f>
        <v>0</v>
      </c>
      <c r="AK145" s="34" t="n">
        <f aca="false">AJ$145+AK$143-AK$144</f>
        <v>0</v>
      </c>
      <c r="AL145" s="34" t="n">
        <f aca="false">AK$145+AL$143-AL$144</f>
        <v>0</v>
      </c>
      <c r="AM145" s="34" t="n">
        <f aca="false">AL$145+AM$143-AM$144</f>
        <v>0</v>
      </c>
      <c r="AN145" s="34" t="n">
        <f aca="false">AM$145+AN$143-AN$144</f>
        <v>0</v>
      </c>
      <c r="AO145" s="34" t="n">
        <f aca="false">AN$145+AO$143-AO$144</f>
        <v>0</v>
      </c>
      <c r="AP145" s="34" t="n">
        <f aca="false">AO$145+AP$143-AP$144</f>
        <v>0</v>
      </c>
      <c r="AQ145" s="34" t="n">
        <f aca="false">AP$145+AQ$143-AQ$144</f>
        <v>0</v>
      </c>
      <c r="AR145" s="34" t="n">
        <f aca="false">AQ$145+AR$143-AR$144</f>
        <v>0</v>
      </c>
      <c r="AS145" s="34" t="n">
        <f aca="false">AR$145+AS$143-AS$144</f>
        <v>0</v>
      </c>
      <c r="AT145" s="34" t="n">
        <f aca="false">AS$145+AT$143-AT$144</f>
        <v>0</v>
      </c>
      <c r="AU145" s="34" t="n">
        <f aca="false">AT$145+AU$143-AU$144</f>
        <v>0</v>
      </c>
      <c r="AV145" s="34" t="n">
        <f aca="false">AU$145+AV$143-AV$144</f>
        <v>0</v>
      </c>
      <c r="AW145" s="34" t="n">
        <f aca="false">AV$145+AW$143-AW$144</f>
        <v>0</v>
      </c>
      <c r="AX145" s="34" t="n">
        <f aca="false">AW$145+AX$143-AX$144</f>
        <v>0</v>
      </c>
      <c r="AY145" s="34" t="n">
        <f aca="false">AX$145+AY$143-AY$144</f>
        <v>0</v>
      </c>
      <c r="AZ145" s="34" t="n">
        <f aca="false">AY$145+AZ$143-AZ$144</f>
        <v>0</v>
      </c>
      <c r="BA145" s="34" t="n">
        <f aca="false">AZ$145+BA$143-BA$144</f>
        <v>0</v>
      </c>
      <c r="BB145" s="34" t="n">
        <f aca="false">BA$145+BB$143-BB$144</f>
        <v>0</v>
      </c>
      <c r="BC145" s="34" t="n">
        <f aca="false">BB$145+BC$143-BC$144</f>
        <v>0</v>
      </c>
      <c r="BD145" s="34" t="n">
        <f aca="false">BC$145+BD$143-BD$144</f>
        <v>0</v>
      </c>
      <c r="BE145" s="34" t="n">
        <f aca="false">BD$145+BE$143-BE$144</f>
        <v>0</v>
      </c>
      <c r="BF145" s="34" t="n">
        <f aca="false">BE$145+BF$143-BF$144</f>
        <v>0</v>
      </c>
      <c r="BG145" s="34" t="n">
        <f aca="false">BF$145+BG$143-BG$144</f>
        <v>0</v>
      </c>
      <c r="BH145" s="34" t="n">
        <f aca="false">BG$145+BH$143-BH$144</f>
        <v>0</v>
      </c>
      <c r="BI145" s="34" t="n">
        <f aca="false">BH$145+BI$143-BI$144</f>
        <v>0</v>
      </c>
      <c r="BJ145" s="34" t="n">
        <f aca="false">BI$145+BJ$143-BJ$144</f>
        <v>0</v>
      </c>
      <c r="BK145" s="34" t="n">
        <f aca="false">BJ$145+BK$143-BK$144</f>
        <v>0</v>
      </c>
      <c r="BL145" s="34" t="n">
        <f aca="false">BK$145+BL$143-BL$144</f>
        <v>0</v>
      </c>
      <c r="BM145" s="34" t="n">
        <f aca="false">BL$145+BM$143-BM$144</f>
        <v>0</v>
      </c>
      <c r="BN145" s="34" t="n">
        <f aca="false">BM$145+BN$143-BN$144</f>
        <v>0</v>
      </c>
      <c r="BO145" s="34" t="n">
        <f aca="false">BN$145+BO$143-BO$144</f>
        <v>0</v>
      </c>
      <c r="BP145" s="34" t="n">
        <f aca="false">BO$145+BP$143-BP$144</f>
        <v>0</v>
      </c>
      <c r="BQ145" s="34" t="n">
        <f aca="false">BP$145+BQ$143-BQ$144</f>
        <v>0</v>
      </c>
      <c r="BR145" s="34" t="n">
        <f aca="false">BQ$145+BR$143-BR$144</f>
        <v>0</v>
      </c>
      <c r="BS145" s="34" t="n">
        <f aca="false">BR$145+BS$143-BS$144</f>
        <v>0</v>
      </c>
      <c r="BT145" s="34" t="n">
        <f aca="false">BS$145+BT$143-BT$144</f>
        <v>0</v>
      </c>
      <c r="BU145" s="34" t="n">
        <f aca="false">BT$145+BU$143-BU$144</f>
        <v>0</v>
      </c>
      <c r="BV145" s="34" t="n">
        <f aca="false">BU$145+BV$143-BV$144</f>
        <v>0</v>
      </c>
      <c r="BW145" s="34" t="n">
        <f aca="false">BV$145+BW$143-BW$144</f>
        <v>0</v>
      </c>
      <c r="BX145" s="34" t="n">
        <f aca="false">BW$145+BX$143-BX$144</f>
        <v>0</v>
      </c>
      <c r="BY145" s="34" t="n">
        <f aca="false">BX$145+BY$143-BY$144</f>
        <v>0</v>
      </c>
      <c r="BZ145" s="34" t="n">
        <f aca="false">BY$145+BZ$143-BZ$144</f>
        <v>0</v>
      </c>
      <c r="CA145" s="34" t="n">
        <f aca="false">BZ$145+CA$143-CA$144</f>
        <v>0</v>
      </c>
      <c r="CB145" s="34" t="n">
        <f aca="false">CA$145+CB$143-CB$144</f>
        <v>0</v>
      </c>
      <c r="CC145" s="34" t="n">
        <f aca="false">CB$145+CC$143-CC$144</f>
        <v>0</v>
      </c>
      <c r="CD145" s="34" t="n">
        <f aca="false">CC$145+CD$143-CD$144</f>
        <v>0</v>
      </c>
      <c r="CE145" s="34" t="n">
        <f aca="false">CD$145+CE$143-CE$144</f>
        <v>0</v>
      </c>
      <c r="CF145" s="34" t="n">
        <f aca="false">CE$145+CF$143-CF$144</f>
        <v>0</v>
      </c>
      <c r="CG145" s="34" t="n">
        <f aca="false">CF$145+CG$143-CG$144</f>
        <v>0</v>
      </c>
      <c r="CH145" s="34" t="n">
        <f aca="false">CG$145+CH$143-CH$144</f>
        <v>0</v>
      </c>
      <c r="CI145" s="34" t="n">
        <f aca="false">CH$145+CI$143-CI$144</f>
        <v>0</v>
      </c>
      <c r="CJ145" s="34" t="n">
        <f aca="false">CI$145+CJ$143-CJ$144</f>
        <v>0</v>
      </c>
      <c r="CK145" s="34" t="n">
        <f aca="false">CJ$145+CK$143-CK$144</f>
        <v>0</v>
      </c>
      <c r="CL145" s="34" t="n">
        <f aca="false">CK$145+CL$143-CL$144</f>
        <v>0</v>
      </c>
      <c r="CM145" s="34" t="n">
        <f aca="false">CL$145+CM$143-CM$144</f>
        <v>0</v>
      </c>
      <c r="CN145" s="34" t="n">
        <f aca="false">CM$145+CN$143-CN$144</f>
        <v>0</v>
      </c>
      <c r="CO145" s="34" t="n">
        <f aca="false">CN$145+CO$143-CO$144</f>
        <v>0</v>
      </c>
      <c r="CP145" s="34" t="n">
        <f aca="false">CO$145+CP$143-CP$144</f>
        <v>0</v>
      </c>
      <c r="CQ145" s="34" t="n">
        <f aca="false">CP$145+CQ$143-CQ$144</f>
        <v>0</v>
      </c>
      <c r="CR145" s="34" t="n">
        <f aca="false">CQ$145+CR$143-CR$144</f>
        <v>0</v>
      </c>
      <c r="CS145" s="34" t="n">
        <f aca="false">CR$145+CS$143-CS$144</f>
        <v>0</v>
      </c>
      <c r="CT145" s="34" t="n">
        <f aca="false">CS$145+CT$143-CT$144</f>
        <v>0</v>
      </c>
      <c r="CU145" s="34" t="n">
        <f aca="false">CT$145+CU$143-CU$144</f>
        <v>0</v>
      </c>
      <c r="CV145" s="34" t="n">
        <f aca="false">CU$145+CV$143-CV$144</f>
        <v>0</v>
      </c>
      <c r="CW145" s="34" t="n">
        <f aca="false">CV$145+CW$143-CW$144</f>
        <v>0</v>
      </c>
      <c r="CX145" s="34" t="n">
        <f aca="false">CW$145+CX$143-CX$144</f>
        <v>0</v>
      </c>
      <c r="CY145" s="34" t="n">
        <f aca="false">CX$145+CY$143-CY$144</f>
        <v>0</v>
      </c>
      <c r="CZ145" s="34" t="n">
        <f aca="false">CY$145+CZ$143-CZ$144</f>
        <v>0</v>
      </c>
      <c r="DA145" s="34" t="n">
        <f aca="false">CZ$145+DA$143-DA$144</f>
        <v>0</v>
      </c>
      <c r="DB145" s="34" t="n">
        <f aca="false">DA$145+DB$143-DB$144</f>
        <v>0</v>
      </c>
      <c r="DC145" s="34" t="n">
        <f aca="false">DB$145+DC$143-DC$144</f>
        <v>0</v>
      </c>
      <c r="DD145" s="34" t="n">
        <f aca="false">DC$145+DD$143-DD$144</f>
        <v>0</v>
      </c>
      <c r="DE145" s="34" t="n">
        <f aca="false">DD$145+DE$143-DE$144</f>
        <v>0</v>
      </c>
      <c r="DF145" s="34" t="n">
        <f aca="false">DE$145+DF$143-DF$144</f>
        <v>0</v>
      </c>
      <c r="DG145" s="34" t="n">
        <f aca="false">DF$145+DG$143-DG$144</f>
        <v>0</v>
      </c>
      <c r="DH145" s="34" t="n">
        <f aca="false">DG$145+DH$143-DH$144</f>
        <v>0</v>
      </c>
      <c r="DI145" s="34" t="n">
        <f aca="false">DH$145+DI$143-DI$144</f>
        <v>0</v>
      </c>
      <c r="DJ145" s="34" t="n">
        <f aca="false">DI$145+DJ$143-DJ$144</f>
        <v>0</v>
      </c>
      <c r="DK145" s="34" t="n">
        <f aca="false">DJ$145+DK$143-DK$144</f>
        <v>0</v>
      </c>
      <c r="DL145" s="34" t="n">
        <f aca="false">DK$145+DL$143-DL$144</f>
        <v>0</v>
      </c>
      <c r="DM145" s="34" t="n">
        <f aca="false">DL$145+DM$143-DM$144</f>
        <v>0</v>
      </c>
      <c r="DN145" s="34" t="n">
        <f aca="false">DM$145+DN$143-DN$144</f>
        <v>0</v>
      </c>
      <c r="DO145" s="34" t="n">
        <f aca="false">DN$145+DO$143-DO$144</f>
        <v>0</v>
      </c>
      <c r="DP145" s="34" t="n">
        <f aca="false">DO$145+DP$143-DP$144</f>
        <v>0</v>
      </c>
      <c r="DQ145" s="34" t="n">
        <f aca="false">DP$145+DQ$143-DQ$144</f>
        <v>0</v>
      </c>
      <c r="DR145" s="34" t="n">
        <f aca="false">DQ$145+DR$143-DR$144</f>
        <v>0</v>
      </c>
      <c r="DS145" s="34" t="n">
        <f aca="false">DR$145+DS$143-DS$144</f>
        <v>0</v>
      </c>
      <c r="DT145" s="34" t="n">
        <f aca="false">DS$145+DT$143-DT$144</f>
        <v>0</v>
      </c>
      <c r="DU145" s="34" t="n">
        <f aca="false">DT$145+DU$143-DU$144</f>
        <v>0</v>
      </c>
      <c r="DV145" s="34" t="n">
        <f aca="false">DU$145+DV$143-DV$144</f>
        <v>0</v>
      </c>
      <c r="DW145" s="34" t="n">
        <f aca="false">DV$145+DW$143-DW$144</f>
        <v>0</v>
      </c>
      <c r="DX145" s="34" t="n">
        <f aca="false">DW$145+DX$143-DX$144</f>
        <v>0</v>
      </c>
      <c r="DY145" s="34" t="n">
        <f aca="false">DX$145+DY$143-DY$144</f>
        <v>0</v>
      </c>
      <c r="DZ145" s="34" t="n">
        <f aca="false">DY$145+DZ$143-DZ$144</f>
        <v>0</v>
      </c>
      <c r="EA145" s="34" t="n">
        <f aca="false">DZ$145+EA$143-EA$144</f>
        <v>0</v>
      </c>
      <c r="EB145" s="34" t="n">
        <f aca="false">EA$145+EB$143-EB$144</f>
        <v>0</v>
      </c>
      <c r="EC145" s="34" t="n">
        <f aca="false">EB$145+EC$143-EC$144</f>
        <v>0</v>
      </c>
      <c r="ED145" s="34" t="n">
        <f aca="false">EC$145+ED$143-ED$144</f>
        <v>0</v>
      </c>
      <c r="EE145" s="34" t="n">
        <f aca="false">ED$145+EE$143-EE$144</f>
        <v>0</v>
      </c>
      <c r="EF145" s="34" t="n">
        <f aca="false">EE$145+EF$143-EF$144</f>
        <v>0</v>
      </c>
      <c r="EG145" s="34" t="n">
        <f aca="false">EF$145+EG$143-EG$144</f>
        <v>0</v>
      </c>
      <c r="EH145" s="34" t="n">
        <f aca="false">EG$145+EH$143-EH$144</f>
        <v>0</v>
      </c>
      <c r="EI145" s="34" t="n">
        <f aca="false">EH$145+EI$143-EI$144</f>
        <v>0</v>
      </c>
      <c r="EJ145" s="34" t="n">
        <f aca="false">EI$145+EJ$143-EJ$144</f>
        <v>0</v>
      </c>
      <c r="EK145" s="34" t="n">
        <f aca="false">EJ$145+EK$143-EK$144</f>
        <v>0</v>
      </c>
      <c r="EL145" s="34" t="n">
        <f aca="false">EK$145+EL$143-EL$144</f>
        <v>0</v>
      </c>
      <c r="EM145" s="34" t="n">
        <f aca="false">EL$145+EM$143-EM$144</f>
        <v>0</v>
      </c>
      <c r="EN145" s="34" t="n">
        <f aca="false">EM$145+EN$143-EN$144</f>
        <v>0</v>
      </c>
      <c r="EO145" s="34" t="n">
        <f aca="false">EN$145+EO$143-EO$144</f>
        <v>0</v>
      </c>
      <c r="EP145" s="34" t="n">
        <f aca="false">EO$145+EP$143-EP$144</f>
        <v>0</v>
      </c>
      <c r="EQ145" s="34" t="n">
        <f aca="false">EP$145+EQ$143-EQ$144</f>
        <v>0</v>
      </c>
      <c r="ER145" s="34" t="n">
        <f aca="false">EQ$145+ER$143-ER$144</f>
        <v>0</v>
      </c>
      <c r="ES145" s="34" t="n">
        <f aca="false">ER$145+ES$143-ES$144</f>
        <v>0</v>
      </c>
    </row>
    <row r="146" customFormat="false" ht="15" hidden="false" customHeight="false" outlineLevel="0" collapsed="false">
      <c r="A146" s="2" t="s">
        <v>773</v>
      </c>
      <c r="B146" s="6" t="s">
        <v>774</v>
      </c>
      <c r="C146" s="6" t="s">
        <v>250</v>
      </c>
      <c r="E146" s="40" t="n">
        <f aca="false">SUM(F146:ES146)</f>
        <v>2791587</v>
      </c>
      <c r="F146" s="34" t="n">
        <f aca="false">F$136+F$143</f>
        <v>2791587</v>
      </c>
      <c r="G146" s="34" t="n">
        <f aca="false">G$136+G$143</f>
        <v>0</v>
      </c>
      <c r="H146" s="34" t="n">
        <f aca="false">H$136+H$143</f>
        <v>0</v>
      </c>
      <c r="I146" s="34" t="n">
        <f aca="false">I$136+I$143</f>
        <v>0</v>
      </c>
      <c r="J146" s="34" t="n">
        <f aca="false">J$136+J$143</f>
        <v>0</v>
      </c>
      <c r="K146" s="34" t="n">
        <f aca="false">K$136+K$143</f>
        <v>0</v>
      </c>
      <c r="L146" s="34" t="n">
        <f aca="false">L$136+L$143</f>
        <v>0</v>
      </c>
      <c r="M146" s="34" t="n">
        <f aca="false">M$136+M$143</f>
        <v>0</v>
      </c>
      <c r="N146" s="34" t="n">
        <f aca="false">N$136+N$143</f>
        <v>0</v>
      </c>
      <c r="O146" s="34" t="n">
        <f aca="false">O$136+O$143</f>
        <v>0</v>
      </c>
      <c r="P146" s="34" t="n">
        <f aca="false">P$136+P$143</f>
        <v>0</v>
      </c>
      <c r="Q146" s="34" t="n">
        <f aca="false">Q$136+Q$143</f>
        <v>0</v>
      </c>
      <c r="R146" s="34" t="n">
        <f aca="false">R$136+R$143</f>
        <v>0</v>
      </c>
      <c r="S146" s="34" t="n">
        <f aca="false">S$136+S$143</f>
        <v>0</v>
      </c>
      <c r="T146" s="34" t="n">
        <f aca="false">T$136+T$143</f>
        <v>0</v>
      </c>
      <c r="U146" s="34" t="n">
        <f aca="false">U$136+U$143</f>
        <v>0</v>
      </c>
      <c r="V146" s="34" t="n">
        <f aca="false">V$136+V$143</f>
        <v>0</v>
      </c>
      <c r="W146" s="34" t="n">
        <f aca="false">W$136+W$143</f>
        <v>0</v>
      </c>
      <c r="X146" s="34" t="n">
        <f aca="false">X$136+X$143</f>
        <v>0</v>
      </c>
      <c r="Y146" s="34" t="n">
        <f aca="false">Y$136+Y$143</f>
        <v>0</v>
      </c>
      <c r="Z146" s="34" t="n">
        <f aca="false">Z$136+Z$143</f>
        <v>0</v>
      </c>
      <c r="AA146" s="34" t="n">
        <f aca="false">AA$136+AA$143</f>
        <v>0</v>
      </c>
      <c r="AB146" s="34" t="n">
        <f aca="false">AB$136+AB$143</f>
        <v>0</v>
      </c>
      <c r="AC146" s="34" t="n">
        <f aca="false">AC$136+AC$143</f>
        <v>0</v>
      </c>
      <c r="AD146" s="34" t="n">
        <f aca="false">AD$136+AD$143</f>
        <v>0</v>
      </c>
      <c r="AE146" s="34" t="n">
        <f aca="false">AE$136+AE$143</f>
        <v>0</v>
      </c>
      <c r="AF146" s="34" t="n">
        <f aca="false">AF$136+AF$143</f>
        <v>0</v>
      </c>
      <c r="AG146" s="34" t="n">
        <f aca="false">AG$136+AG$143</f>
        <v>0</v>
      </c>
      <c r="AH146" s="34" t="n">
        <f aca="false">AH$136+AH$143</f>
        <v>0</v>
      </c>
      <c r="AI146" s="34" t="n">
        <f aca="false">AI$136+AI$143</f>
        <v>0</v>
      </c>
      <c r="AJ146" s="34" t="n">
        <f aca="false">AJ$136+AJ$143</f>
        <v>0</v>
      </c>
      <c r="AK146" s="34" t="n">
        <f aca="false">AK$136+AK$143</f>
        <v>0</v>
      </c>
      <c r="AL146" s="34" t="n">
        <f aca="false">AL$136+AL$143</f>
        <v>0</v>
      </c>
      <c r="AM146" s="34" t="n">
        <f aca="false">AM$136+AM$143</f>
        <v>0</v>
      </c>
      <c r="AN146" s="34" t="n">
        <f aca="false">AN$136+AN$143</f>
        <v>0</v>
      </c>
      <c r="AO146" s="34" t="n">
        <f aca="false">AO$136+AO$143</f>
        <v>0</v>
      </c>
      <c r="AP146" s="34" t="n">
        <f aca="false">AP$136+AP$143</f>
        <v>0</v>
      </c>
      <c r="AQ146" s="34" t="n">
        <f aca="false">AQ$136+AQ$143</f>
        <v>0</v>
      </c>
      <c r="AR146" s="34" t="n">
        <f aca="false">AR$136+AR$143</f>
        <v>0</v>
      </c>
      <c r="AS146" s="34" t="n">
        <f aca="false">AS$136+AS$143</f>
        <v>0</v>
      </c>
      <c r="AT146" s="34" t="n">
        <f aca="false">AT$136+AT$143</f>
        <v>0</v>
      </c>
      <c r="AU146" s="34" t="n">
        <f aca="false">AU$136+AU$143</f>
        <v>0</v>
      </c>
      <c r="AV146" s="34" t="n">
        <f aca="false">AV$136+AV$143</f>
        <v>0</v>
      </c>
      <c r="AW146" s="34" t="n">
        <f aca="false">AW$136+AW$143</f>
        <v>0</v>
      </c>
      <c r="AX146" s="34" t="n">
        <f aca="false">AX$136+AX$143</f>
        <v>0</v>
      </c>
      <c r="AY146" s="34" t="n">
        <f aca="false">AY$136+AY$143</f>
        <v>0</v>
      </c>
      <c r="AZ146" s="34" t="n">
        <f aca="false">AZ$136+AZ$143</f>
        <v>0</v>
      </c>
      <c r="BA146" s="34" t="n">
        <f aca="false">BA$136+BA$143</f>
        <v>0</v>
      </c>
      <c r="BB146" s="34" t="n">
        <f aca="false">BB$136+BB$143</f>
        <v>0</v>
      </c>
      <c r="BC146" s="34" t="n">
        <f aca="false">BC$136+BC$143</f>
        <v>0</v>
      </c>
      <c r="BD146" s="34" t="n">
        <f aca="false">BD$136+BD$143</f>
        <v>0</v>
      </c>
      <c r="BE146" s="34" t="n">
        <f aca="false">BE$136+BE$143</f>
        <v>0</v>
      </c>
      <c r="BF146" s="34" t="n">
        <f aca="false">BF$136+BF$143</f>
        <v>0</v>
      </c>
      <c r="BG146" s="34" t="n">
        <f aca="false">BG$136+BG$143</f>
        <v>0</v>
      </c>
      <c r="BH146" s="34" t="n">
        <f aca="false">BH$136+BH$143</f>
        <v>0</v>
      </c>
      <c r="BI146" s="34" t="n">
        <f aca="false">BI$136+BI$143</f>
        <v>0</v>
      </c>
      <c r="BJ146" s="34" t="n">
        <f aca="false">BJ$136+BJ$143</f>
        <v>0</v>
      </c>
      <c r="BK146" s="34" t="n">
        <f aca="false">BK$136+BK$143</f>
        <v>0</v>
      </c>
      <c r="BL146" s="34" t="n">
        <f aca="false">BL$136+BL$143</f>
        <v>0</v>
      </c>
      <c r="BM146" s="34" t="n">
        <f aca="false">BM$136+BM$143</f>
        <v>0</v>
      </c>
      <c r="BN146" s="34" t="n">
        <f aca="false">BN$136+BN$143</f>
        <v>0</v>
      </c>
      <c r="BO146" s="34" t="n">
        <f aca="false">BO$136+BO$143</f>
        <v>0</v>
      </c>
      <c r="BP146" s="34" t="n">
        <f aca="false">BP$136+BP$143</f>
        <v>0</v>
      </c>
      <c r="BQ146" s="34" t="n">
        <f aca="false">BQ$136+BQ$143</f>
        <v>0</v>
      </c>
      <c r="BR146" s="34" t="n">
        <f aca="false">BR$136+BR$143</f>
        <v>0</v>
      </c>
      <c r="BS146" s="34" t="n">
        <f aca="false">BS$136+BS$143</f>
        <v>0</v>
      </c>
      <c r="BT146" s="34" t="n">
        <f aca="false">BT$136+BT$143</f>
        <v>0</v>
      </c>
      <c r="BU146" s="34" t="n">
        <f aca="false">BU$136+BU$143</f>
        <v>0</v>
      </c>
      <c r="BV146" s="34" t="n">
        <f aca="false">BV$136+BV$143</f>
        <v>0</v>
      </c>
      <c r="BW146" s="34" t="n">
        <f aca="false">BW$136+BW$143</f>
        <v>0</v>
      </c>
      <c r="BX146" s="34" t="n">
        <f aca="false">BX$136+BX$143</f>
        <v>0</v>
      </c>
      <c r="BY146" s="34" t="n">
        <f aca="false">BY$136+BY$143</f>
        <v>0</v>
      </c>
      <c r="BZ146" s="34" t="n">
        <f aca="false">BZ$136+BZ$143</f>
        <v>0</v>
      </c>
      <c r="CA146" s="34" t="n">
        <f aca="false">CA$136+CA$143</f>
        <v>0</v>
      </c>
      <c r="CB146" s="34" t="n">
        <f aca="false">CB$136+CB$143</f>
        <v>0</v>
      </c>
      <c r="CC146" s="34" t="n">
        <f aca="false">CC$136+CC$143</f>
        <v>0</v>
      </c>
      <c r="CD146" s="34" t="n">
        <f aca="false">CD$136+CD$143</f>
        <v>0</v>
      </c>
      <c r="CE146" s="34" t="n">
        <f aca="false">CE$136+CE$143</f>
        <v>0</v>
      </c>
      <c r="CF146" s="34" t="n">
        <f aca="false">CF$136+CF$143</f>
        <v>0</v>
      </c>
      <c r="CG146" s="34" t="n">
        <f aca="false">CG$136+CG$143</f>
        <v>0</v>
      </c>
      <c r="CH146" s="34" t="n">
        <f aca="false">CH$136+CH$143</f>
        <v>0</v>
      </c>
      <c r="CI146" s="34" t="n">
        <f aca="false">CI$136+CI$143</f>
        <v>0</v>
      </c>
      <c r="CJ146" s="34" t="n">
        <f aca="false">CJ$136+CJ$143</f>
        <v>0</v>
      </c>
      <c r="CK146" s="34" t="n">
        <f aca="false">CK$136+CK$143</f>
        <v>0</v>
      </c>
      <c r="CL146" s="34" t="n">
        <f aca="false">CL$136+CL$143</f>
        <v>0</v>
      </c>
      <c r="CM146" s="34" t="n">
        <f aca="false">CM$136+CM$143</f>
        <v>0</v>
      </c>
      <c r="CN146" s="34" t="n">
        <f aca="false">CN$136+CN$143</f>
        <v>0</v>
      </c>
      <c r="CO146" s="34" t="n">
        <f aca="false">CO$136+CO$143</f>
        <v>0</v>
      </c>
      <c r="CP146" s="34" t="n">
        <f aca="false">CP$136+CP$143</f>
        <v>0</v>
      </c>
      <c r="CQ146" s="34" t="n">
        <f aca="false">CQ$136+CQ$143</f>
        <v>0</v>
      </c>
      <c r="CR146" s="34" t="n">
        <f aca="false">CR$136+CR$143</f>
        <v>0</v>
      </c>
      <c r="CS146" s="34" t="n">
        <f aca="false">CS$136+CS$143</f>
        <v>0</v>
      </c>
      <c r="CT146" s="34" t="n">
        <f aca="false">CT$136+CT$143</f>
        <v>0</v>
      </c>
      <c r="CU146" s="34" t="n">
        <f aca="false">CU$136+CU$143</f>
        <v>0</v>
      </c>
      <c r="CV146" s="34" t="n">
        <f aca="false">CV$136+CV$143</f>
        <v>0</v>
      </c>
      <c r="CW146" s="34" t="n">
        <f aca="false">CW$136+CW$143</f>
        <v>0</v>
      </c>
      <c r="CX146" s="34" t="n">
        <f aca="false">CX$136+CX$143</f>
        <v>0</v>
      </c>
      <c r="CY146" s="34" t="n">
        <f aca="false">CY$136+CY$143</f>
        <v>0</v>
      </c>
      <c r="CZ146" s="34" t="n">
        <f aca="false">CZ$136+CZ$143</f>
        <v>0</v>
      </c>
      <c r="DA146" s="34" t="n">
        <f aca="false">DA$136+DA$143</f>
        <v>0</v>
      </c>
      <c r="DB146" s="34" t="n">
        <f aca="false">DB$136+DB$143</f>
        <v>0</v>
      </c>
      <c r="DC146" s="34" t="n">
        <f aca="false">DC$136+DC$143</f>
        <v>0</v>
      </c>
      <c r="DD146" s="34" t="n">
        <f aca="false">DD$136+DD$143</f>
        <v>0</v>
      </c>
      <c r="DE146" s="34" t="n">
        <f aca="false">DE$136+DE$143</f>
        <v>0</v>
      </c>
      <c r="DF146" s="34" t="n">
        <f aca="false">DF$136+DF$143</f>
        <v>0</v>
      </c>
      <c r="DG146" s="34" t="n">
        <f aca="false">DG$136+DG$143</f>
        <v>0</v>
      </c>
      <c r="DH146" s="34" t="n">
        <f aca="false">DH$136+DH$143</f>
        <v>0</v>
      </c>
      <c r="DI146" s="34" t="n">
        <f aca="false">DI$136+DI$143</f>
        <v>0</v>
      </c>
      <c r="DJ146" s="34" t="n">
        <f aca="false">DJ$136+DJ$143</f>
        <v>0</v>
      </c>
      <c r="DK146" s="34" t="n">
        <f aca="false">DK$136+DK$143</f>
        <v>0</v>
      </c>
      <c r="DL146" s="34" t="n">
        <f aca="false">DL$136+DL$143</f>
        <v>0</v>
      </c>
      <c r="DM146" s="34" t="n">
        <f aca="false">DM$136+DM$143</f>
        <v>0</v>
      </c>
      <c r="DN146" s="34" t="n">
        <f aca="false">DN$136+DN$143</f>
        <v>0</v>
      </c>
      <c r="DO146" s="34" t="n">
        <f aca="false">DO$136+DO$143</f>
        <v>0</v>
      </c>
      <c r="DP146" s="34" t="n">
        <f aca="false">DP$136+DP$143</f>
        <v>0</v>
      </c>
      <c r="DQ146" s="34" t="n">
        <f aca="false">DQ$136+DQ$143</f>
        <v>0</v>
      </c>
      <c r="DR146" s="34" t="n">
        <f aca="false">DR$136+DR$143</f>
        <v>0</v>
      </c>
      <c r="DS146" s="34" t="n">
        <f aca="false">DS$136+DS$143</f>
        <v>0</v>
      </c>
      <c r="DT146" s="34" t="n">
        <f aca="false">DT$136+DT$143</f>
        <v>0</v>
      </c>
      <c r="DU146" s="34" t="n">
        <f aca="false">DU$136+DU$143</f>
        <v>0</v>
      </c>
      <c r="DV146" s="34" t="n">
        <f aca="false">DV$136+DV$143</f>
        <v>0</v>
      </c>
      <c r="DW146" s="34" t="n">
        <f aca="false">DW$136+DW$143</f>
        <v>0</v>
      </c>
      <c r="DX146" s="34" t="n">
        <f aca="false">DX$136+DX$143</f>
        <v>0</v>
      </c>
      <c r="DY146" s="34" t="n">
        <f aca="false">DY$136+DY$143</f>
        <v>0</v>
      </c>
      <c r="DZ146" s="34" t="n">
        <f aca="false">DZ$136+DZ$143</f>
        <v>0</v>
      </c>
      <c r="EA146" s="34" t="n">
        <f aca="false">EA$136+EA$143</f>
        <v>0</v>
      </c>
      <c r="EB146" s="34" t="n">
        <f aca="false">EB$136+EB$143</f>
        <v>0</v>
      </c>
      <c r="EC146" s="34" t="n">
        <f aca="false">EC$136+EC$143</f>
        <v>0</v>
      </c>
      <c r="ED146" s="34" t="n">
        <f aca="false">ED$136+ED$143</f>
        <v>0</v>
      </c>
      <c r="EE146" s="34" t="n">
        <f aca="false">EE$136+EE$143</f>
        <v>0</v>
      </c>
      <c r="EF146" s="34" t="n">
        <f aca="false">EF$136+EF$143</f>
        <v>0</v>
      </c>
      <c r="EG146" s="34" t="n">
        <f aca="false">EG$136+EG$143</f>
        <v>0</v>
      </c>
      <c r="EH146" s="34" t="n">
        <f aca="false">EH$136+EH$143</f>
        <v>0</v>
      </c>
      <c r="EI146" s="34" t="n">
        <f aca="false">EI$136+EI$143</f>
        <v>0</v>
      </c>
      <c r="EJ146" s="34" t="n">
        <f aca="false">EJ$136+EJ$143</f>
        <v>0</v>
      </c>
      <c r="EK146" s="34" t="n">
        <f aca="false">EK$136+EK$143</f>
        <v>0</v>
      </c>
      <c r="EL146" s="34" t="n">
        <f aca="false">EL$136+EL$143</f>
        <v>0</v>
      </c>
      <c r="EM146" s="34" t="n">
        <f aca="false">EM$136+EM$143</f>
        <v>0</v>
      </c>
      <c r="EN146" s="34" t="n">
        <f aca="false">EN$136+EN$143</f>
        <v>0</v>
      </c>
      <c r="EO146" s="34" t="n">
        <f aca="false">EO$136+EO$143</f>
        <v>0</v>
      </c>
      <c r="EP146" s="34" t="n">
        <f aca="false">EP$136+EP$143</f>
        <v>0</v>
      </c>
      <c r="EQ146" s="34" t="n">
        <f aca="false">EQ$136+EQ$143</f>
        <v>0</v>
      </c>
      <c r="ER146" s="34" t="n">
        <f aca="false">ER$136+ER$143</f>
        <v>0</v>
      </c>
      <c r="ES146" s="34" t="n">
        <f aca="false">ES$136+ES$143</f>
        <v>0</v>
      </c>
    </row>
    <row r="147" customFormat="false" ht="15" hidden="false" customHeight="false" outlineLevel="0" collapsed="false">
      <c r="A147" s="2" t="s">
        <v>775</v>
      </c>
      <c r="B147" s="6" t="s">
        <v>776</v>
      </c>
      <c r="C147" s="6" t="s">
        <v>250</v>
      </c>
      <c r="E147" s="40" t="n">
        <f aca="false">SUM(F147:ES147)</f>
        <v>2791587</v>
      </c>
      <c r="F147" s="34" t="n">
        <f aca="false">F$137+F$144</f>
        <v>0</v>
      </c>
      <c r="G147" s="34" t="n">
        <f aca="false">G$137+G$144</f>
        <v>0</v>
      </c>
      <c r="H147" s="34" t="n">
        <f aca="false">H$137+H$144</f>
        <v>0</v>
      </c>
      <c r="I147" s="34" t="n">
        <f aca="false">I$137+I$144</f>
        <v>0</v>
      </c>
      <c r="J147" s="34" t="n">
        <f aca="false">J$137+J$144</f>
        <v>0</v>
      </c>
      <c r="K147" s="34" t="n">
        <f aca="false">K$137+K$144</f>
        <v>0</v>
      </c>
      <c r="L147" s="34" t="n">
        <f aca="false">L$137+L$144</f>
        <v>42123.3040946878</v>
      </c>
      <c r="M147" s="34" t="n">
        <f aca="false">M$137+M$144</f>
        <v>42439.2288753979</v>
      </c>
      <c r="N147" s="34" t="n">
        <f aca="false">N$137+N$144</f>
        <v>42757.5230919634</v>
      </c>
      <c r="O147" s="34" t="n">
        <f aca="false">O$137+O$144</f>
        <v>43078.2045151531</v>
      </c>
      <c r="P147" s="34" t="n">
        <f aca="false">P$137+P$144</f>
        <v>43401.2910490168</v>
      </c>
      <c r="Q147" s="34" t="n">
        <f aca="false">Q$137+Q$144</f>
        <v>43726.8007318844</v>
      </c>
      <c r="R147" s="34" t="n">
        <f aca="false">R$137+R$144</f>
        <v>44054.7517373735</v>
      </c>
      <c r="S147" s="34" t="n">
        <f aca="false">S$137+S$144</f>
        <v>44385.1623754038</v>
      </c>
      <c r="T147" s="34" t="n">
        <f aca="false">T$137+T$144</f>
        <v>44718.0510932194</v>
      </c>
      <c r="U147" s="34" t="n">
        <f aca="false">U$137+U$144</f>
        <v>45053.4364764185</v>
      </c>
      <c r="V147" s="34" t="n">
        <f aca="false">V$137+V$144</f>
        <v>45391.3372499916</v>
      </c>
      <c r="W147" s="34" t="n">
        <f aca="false">W$137+W$144</f>
        <v>45731.7722793666</v>
      </c>
      <c r="X147" s="34" t="n">
        <f aca="false">X$137+X$144</f>
        <v>46074.7605714618</v>
      </c>
      <c r="Y147" s="34" t="n">
        <f aca="false">Y$137+Y$144</f>
        <v>46420.3212757478</v>
      </c>
      <c r="Z147" s="34" t="n">
        <f aca="false">Z$137+Z$144</f>
        <v>46768.4736853159</v>
      </c>
      <c r="AA147" s="34" t="n">
        <f aca="false">AA$137+AA$144</f>
        <v>47119.2372379558</v>
      </c>
      <c r="AB147" s="34" t="n">
        <f aca="false">AB$137+AB$144</f>
        <v>47472.6315172404</v>
      </c>
      <c r="AC147" s="34" t="n">
        <f aca="false">AC$137+AC$144</f>
        <v>47828.6762536197</v>
      </c>
      <c r="AD147" s="34" t="n">
        <f aca="false">AD$137+AD$144</f>
        <v>48187.3913255219</v>
      </c>
      <c r="AE147" s="34" t="n">
        <f aca="false">AE$137+AE$144</f>
        <v>48548.7967604633</v>
      </c>
      <c r="AF147" s="34" t="n">
        <f aca="false">AF$137+AF$144</f>
        <v>48912.9127361668</v>
      </c>
      <c r="AG147" s="34" t="n">
        <f aca="false">AG$137+AG$144</f>
        <v>49279.759581688</v>
      </c>
      <c r="AH147" s="34" t="n">
        <f aca="false">AH$137+AH$144</f>
        <v>49649.3577785507</v>
      </c>
      <c r="AI147" s="34" t="n">
        <f aca="false">AI$137+AI$144</f>
        <v>50021.7279618898</v>
      </c>
      <c r="AJ147" s="34" t="n">
        <f aca="false">AJ$137+AJ$144</f>
        <v>50396.890921604</v>
      </c>
      <c r="AK147" s="34" t="n">
        <f aca="false">AK$137+AK$144</f>
        <v>50774.867603516</v>
      </c>
      <c r="AL147" s="34" t="n">
        <f aca="false">AL$137+AL$144</f>
        <v>51155.6791105424</v>
      </c>
      <c r="AM147" s="34" t="n">
        <f aca="false">AM$137+AM$144</f>
        <v>51539.3467038715</v>
      </c>
      <c r="AN147" s="34" t="n">
        <f aca="false">AN$137+AN$144</f>
        <v>51925.8918041505</v>
      </c>
      <c r="AO147" s="34" t="n">
        <f aca="false">AO$137+AO$144</f>
        <v>52315.3359926816</v>
      </c>
      <c r="AP147" s="34" t="n">
        <f aca="false">AP$137+AP$144</f>
        <v>52707.7010126267</v>
      </c>
      <c r="AQ147" s="34" t="n">
        <f aca="false">AQ$137+AQ$144</f>
        <v>53103.0087702214</v>
      </c>
      <c r="AR147" s="34" t="n">
        <f aca="false">AR$137+AR$144</f>
        <v>53501.2813359981</v>
      </c>
      <c r="AS147" s="34" t="n">
        <f aca="false">AS$137+AS$144</f>
        <v>53902.5409460181</v>
      </c>
      <c r="AT147" s="34" t="n">
        <f aca="false">AT$137+AT$144</f>
        <v>54306.8100031132</v>
      </c>
      <c r="AU147" s="34" t="n">
        <f aca="false">AU$137+AU$144</f>
        <v>54714.1110781366</v>
      </c>
      <c r="AV147" s="34" t="n">
        <f aca="false">AV$137+AV$144</f>
        <v>55124.4669112226</v>
      </c>
      <c r="AW147" s="34" t="n">
        <f aca="false">AW$137+AW$144</f>
        <v>55537.9004130568</v>
      </c>
      <c r="AX147" s="34" t="n">
        <f aca="false">AX$137+AX$144</f>
        <v>55954.4346661547</v>
      </c>
      <c r="AY147" s="34" t="n">
        <f aca="false">AY$137+AY$144</f>
        <v>56374.0929261509</v>
      </c>
      <c r="AZ147" s="34" t="n">
        <f aca="false">AZ$137+AZ$144</f>
        <v>56796.898623097</v>
      </c>
      <c r="BA147" s="34" t="n">
        <f aca="false">BA$137+BA$144</f>
        <v>57222.8753627702</v>
      </c>
      <c r="BB147" s="34" t="n">
        <f aca="false">BB$137+BB$144</f>
        <v>57652.046927991</v>
      </c>
      <c r="BC147" s="34" t="n">
        <f aca="false">BC$137+BC$144</f>
        <v>58084.4372799509</v>
      </c>
      <c r="BD147" s="34" t="n">
        <f aca="false">BD$137+BD$144</f>
        <v>58520.0705595506</v>
      </c>
      <c r="BE147" s="34" t="n">
        <f aca="false">BE$137+BE$144</f>
        <v>58958.9710887472</v>
      </c>
      <c r="BF147" s="34" t="n">
        <f aca="false">BF$137+BF$144</f>
        <v>59401.1633719128</v>
      </c>
      <c r="BG147" s="34" t="n">
        <f aca="false">BG$137+BG$144</f>
        <v>59846.6720972021</v>
      </c>
      <c r="BH147" s="34" t="n">
        <f aca="false">BH$137+BH$144</f>
        <v>60295.5221379312</v>
      </c>
      <c r="BI147" s="34" t="n">
        <f aca="false">BI$137+BI$144</f>
        <v>60747.7385539656</v>
      </c>
      <c r="BJ147" s="34" t="n">
        <f aca="false">BJ$137+BJ$144</f>
        <v>61203.3465931204</v>
      </c>
      <c r="BK147" s="34" t="n">
        <f aca="false">BK$137+BK$144</f>
        <v>61662.3716925688</v>
      </c>
      <c r="BL147" s="34" t="n">
        <f aca="false">BL$137+BL$144</f>
        <v>62124.839480263</v>
      </c>
      <c r="BM147" s="34" t="n">
        <f aca="false">BM$137+BM$144</f>
        <v>62590.7757763667</v>
      </c>
      <c r="BN147" s="34" t="n">
        <f aca="false">BN$137+BN$144</f>
        <v>0</v>
      </c>
      <c r="BO147" s="34" t="n">
        <f aca="false">BO$137+BO$144</f>
        <v>0</v>
      </c>
      <c r="BP147" s="34" t="n">
        <f aca="false">BP$137+BP$144</f>
        <v>0</v>
      </c>
      <c r="BQ147" s="34" t="n">
        <f aca="false">BQ$137+BQ$144</f>
        <v>0</v>
      </c>
      <c r="BR147" s="34" t="n">
        <f aca="false">BR$137+BR$144</f>
        <v>0</v>
      </c>
      <c r="BS147" s="34" t="n">
        <f aca="false">BS$137+BS$144</f>
        <v>0</v>
      </c>
      <c r="BT147" s="34" t="n">
        <f aca="false">BT$137+BT$144</f>
        <v>0</v>
      </c>
      <c r="BU147" s="34" t="n">
        <f aca="false">BU$137+BU$144</f>
        <v>0</v>
      </c>
      <c r="BV147" s="34" t="n">
        <f aca="false">BV$137+BV$144</f>
        <v>0</v>
      </c>
      <c r="BW147" s="34" t="n">
        <f aca="false">BW$137+BW$144</f>
        <v>0</v>
      </c>
      <c r="BX147" s="34" t="n">
        <f aca="false">BX$137+BX$144</f>
        <v>0</v>
      </c>
      <c r="BY147" s="34" t="n">
        <f aca="false">BY$137+BY$144</f>
        <v>0</v>
      </c>
      <c r="BZ147" s="34" t="n">
        <f aca="false">BZ$137+BZ$144</f>
        <v>0</v>
      </c>
      <c r="CA147" s="34" t="n">
        <f aca="false">CA$137+CA$144</f>
        <v>0</v>
      </c>
      <c r="CB147" s="34" t="n">
        <f aca="false">CB$137+CB$144</f>
        <v>0</v>
      </c>
      <c r="CC147" s="34" t="n">
        <f aca="false">CC$137+CC$144</f>
        <v>0</v>
      </c>
      <c r="CD147" s="34" t="n">
        <f aca="false">CD$137+CD$144</f>
        <v>0</v>
      </c>
      <c r="CE147" s="34" t="n">
        <f aca="false">CE$137+CE$144</f>
        <v>0</v>
      </c>
      <c r="CF147" s="34" t="n">
        <f aca="false">CF$137+CF$144</f>
        <v>0</v>
      </c>
      <c r="CG147" s="34" t="n">
        <f aca="false">CG$137+CG$144</f>
        <v>0</v>
      </c>
      <c r="CH147" s="34" t="n">
        <f aca="false">CH$137+CH$144</f>
        <v>0</v>
      </c>
      <c r="CI147" s="34" t="n">
        <f aca="false">CI$137+CI$144</f>
        <v>0</v>
      </c>
      <c r="CJ147" s="34" t="n">
        <f aca="false">CJ$137+CJ$144</f>
        <v>0</v>
      </c>
      <c r="CK147" s="34" t="n">
        <f aca="false">CK$137+CK$144</f>
        <v>0</v>
      </c>
      <c r="CL147" s="34" t="n">
        <f aca="false">CL$137+CL$144</f>
        <v>0</v>
      </c>
      <c r="CM147" s="34" t="n">
        <f aca="false">CM$137+CM$144</f>
        <v>0</v>
      </c>
      <c r="CN147" s="34" t="n">
        <f aca="false">CN$137+CN$144</f>
        <v>0</v>
      </c>
      <c r="CO147" s="34" t="n">
        <f aca="false">CO$137+CO$144</f>
        <v>0</v>
      </c>
      <c r="CP147" s="34" t="n">
        <f aca="false">CP$137+CP$144</f>
        <v>0</v>
      </c>
      <c r="CQ147" s="34" t="n">
        <f aca="false">CQ$137+CQ$144</f>
        <v>0</v>
      </c>
      <c r="CR147" s="34" t="n">
        <f aca="false">CR$137+CR$144</f>
        <v>0</v>
      </c>
      <c r="CS147" s="34" t="n">
        <f aca="false">CS$137+CS$144</f>
        <v>0</v>
      </c>
      <c r="CT147" s="34" t="n">
        <f aca="false">CT$137+CT$144</f>
        <v>0</v>
      </c>
      <c r="CU147" s="34" t="n">
        <f aca="false">CU$137+CU$144</f>
        <v>0</v>
      </c>
      <c r="CV147" s="34" t="n">
        <f aca="false">CV$137+CV$144</f>
        <v>0</v>
      </c>
      <c r="CW147" s="34" t="n">
        <f aca="false">CW$137+CW$144</f>
        <v>0</v>
      </c>
      <c r="CX147" s="34" t="n">
        <f aca="false">CX$137+CX$144</f>
        <v>0</v>
      </c>
      <c r="CY147" s="34" t="n">
        <f aca="false">CY$137+CY$144</f>
        <v>0</v>
      </c>
      <c r="CZ147" s="34" t="n">
        <f aca="false">CZ$137+CZ$144</f>
        <v>0</v>
      </c>
      <c r="DA147" s="34" t="n">
        <f aca="false">DA$137+DA$144</f>
        <v>0</v>
      </c>
      <c r="DB147" s="34" t="n">
        <f aca="false">DB$137+DB$144</f>
        <v>0</v>
      </c>
      <c r="DC147" s="34" t="n">
        <f aca="false">DC$137+DC$144</f>
        <v>0</v>
      </c>
      <c r="DD147" s="34" t="n">
        <f aca="false">DD$137+DD$144</f>
        <v>0</v>
      </c>
      <c r="DE147" s="34" t="n">
        <f aca="false">DE$137+DE$144</f>
        <v>0</v>
      </c>
      <c r="DF147" s="34" t="n">
        <f aca="false">DF$137+DF$144</f>
        <v>0</v>
      </c>
      <c r="DG147" s="34" t="n">
        <f aca="false">DG$137+DG$144</f>
        <v>0</v>
      </c>
      <c r="DH147" s="34" t="n">
        <f aca="false">DH$137+DH$144</f>
        <v>0</v>
      </c>
      <c r="DI147" s="34" t="n">
        <f aca="false">DI$137+DI$144</f>
        <v>0</v>
      </c>
      <c r="DJ147" s="34" t="n">
        <f aca="false">DJ$137+DJ$144</f>
        <v>0</v>
      </c>
      <c r="DK147" s="34" t="n">
        <f aca="false">DK$137+DK$144</f>
        <v>0</v>
      </c>
      <c r="DL147" s="34" t="n">
        <f aca="false">DL$137+DL$144</f>
        <v>0</v>
      </c>
      <c r="DM147" s="34" t="n">
        <f aca="false">DM$137+DM$144</f>
        <v>0</v>
      </c>
      <c r="DN147" s="34" t="n">
        <f aca="false">DN$137+DN$144</f>
        <v>0</v>
      </c>
      <c r="DO147" s="34" t="n">
        <f aca="false">DO$137+DO$144</f>
        <v>0</v>
      </c>
      <c r="DP147" s="34" t="n">
        <f aca="false">DP$137+DP$144</f>
        <v>0</v>
      </c>
      <c r="DQ147" s="34" t="n">
        <f aca="false">DQ$137+DQ$144</f>
        <v>0</v>
      </c>
      <c r="DR147" s="34" t="n">
        <f aca="false">DR$137+DR$144</f>
        <v>0</v>
      </c>
      <c r="DS147" s="34" t="n">
        <f aca="false">DS$137+DS$144</f>
        <v>0</v>
      </c>
      <c r="DT147" s="34" t="n">
        <f aca="false">DT$137+DT$144</f>
        <v>0</v>
      </c>
      <c r="DU147" s="34" t="n">
        <f aca="false">DU$137+DU$144</f>
        <v>0</v>
      </c>
      <c r="DV147" s="34" t="n">
        <f aca="false">DV$137+DV$144</f>
        <v>0</v>
      </c>
      <c r="DW147" s="34" t="n">
        <f aca="false">DW$137+DW$144</f>
        <v>0</v>
      </c>
      <c r="DX147" s="34" t="n">
        <f aca="false">DX$137+DX$144</f>
        <v>0</v>
      </c>
      <c r="DY147" s="34" t="n">
        <f aca="false">DY$137+DY$144</f>
        <v>0</v>
      </c>
      <c r="DZ147" s="34" t="n">
        <f aca="false">DZ$137+DZ$144</f>
        <v>0</v>
      </c>
      <c r="EA147" s="34" t="n">
        <f aca="false">EA$137+EA$144</f>
        <v>0</v>
      </c>
      <c r="EB147" s="34" t="n">
        <f aca="false">EB$137+EB$144</f>
        <v>0</v>
      </c>
      <c r="EC147" s="34" t="n">
        <f aca="false">EC$137+EC$144</f>
        <v>0</v>
      </c>
      <c r="ED147" s="34" t="n">
        <f aca="false">ED$137+ED$144</f>
        <v>0</v>
      </c>
      <c r="EE147" s="34" t="n">
        <f aca="false">EE$137+EE$144</f>
        <v>0</v>
      </c>
      <c r="EF147" s="34" t="n">
        <f aca="false">EF$137+EF$144</f>
        <v>0</v>
      </c>
      <c r="EG147" s="34" t="n">
        <f aca="false">EG$137+EG$144</f>
        <v>0</v>
      </c>
      <c r="EH147" s="34" t="n">
        <f aca="false">EH$137+EH$144</f>
        <v>0</v>
      </c>
      <c r="EI147" s="34" t="n">
        <f aca="false">EI$137+EI$144</f>
        <v>0</v>
      </c>
      <c r="EJ147" s="34" t="n">
        <f aca="false">EJ$137+EJ$144</f>
        <v>0</v>
      </c>
      <c r="EK147" s="34" t="n">
        <f aca="false">EK$137+EK$144</f>
        <v>0</v>
      </c>
      <c r="EL147" s="34" t="n">
        <f aca="false">EL$137+EL$144</f>
        <v>0</v>
      </c>
      <c r="EM147" s="34" t="n">
        <f aca="false">EM$137+EM$144</f>
        <v>0</v>
      </c>
      <c r="EN147" s="34" t="n">
        <f aca="false">EN$137+EN$144</f>
        <v>0</v>
      </c>
      <c r="EO147" s="34" t="n">
        <f aca="false">EO$137+EO$144</f>
        <v>0</v>
      </c>
      <c r="EP147" s="34" t="n">
        <f aca="false">EP$137+EP$144</f>
        <v>0</v>
      </c>
      <c r="EQ147" s="34" t="n">
        <f aca="false">EQ$137+EQ$144</f>
        <v>0</v>
      </c>
      <c r="ER147" s="34" t="n">
        <f aca="false">ER$137+ER$144</f>
        <v>0</v>
      </c>
      <c r="ES147" s="34" t="n">
        <f aca="false">ES$137+ES$144</f>
        <v>0</v>
      </c>
    </row>
    <row r="148" customFormat="false" ht="15" hidden="false" customHeight="false" outlineLevel="0" collapsed="false">
      <c r="A148" s="2" t="s">
        <v>777</v>
      </c>
      <c r="B148" s="52" t="s">
        <v>778</v>
      </c>
      <c r="C148" s="6" t="s">
        <v>250</v>
      </c>
      <c r="E148" s="40" t="n">
        <f aca="false">MAX(F148:ES148)</f>
        <v>2791587</v>
      </c>
      <c r="F148" s="10" t="n">
        <f aca="false">0+F$146-F$147</f>
        <v>2791587</v>
      </c>
      <c r="G148" s="10" t="n">
        <f aca="false">F$148+G$146-G$147</f>
        <v>2791587</v>
      </c>
      <c r="H148" s="10" t="n">
        <f aca="false">G$148+H$146-H$147</f>
        <v>2791587</v>
      </c>
      <c r="I148" s="10" t="n">
        <f aca="false">H$148+I$146-I$147</f>
        <v>2791587</v>
      </c>
      <c r="J148" s="10" t="n">
        <f aca="false">I$148+J$146-J$147</f>
        <v>2791587</v>
      </c>
      <c r="K148" s="10" t="n">
        <f aca="false">J$148+K$146-K$147</f>
        <v>2791587</v>
      </c>
      <c r="L148" s="10" t="n">
        <f aca="false">K$148+L$146-L$147</f>
        <v>2749463.69590531</v>
      </c>
      <c r="M148" s="10" t="n">
        <f aca="false">L$148+M$146-M$147</f>
        <v>2707024.46702991</v>
      </c>
      <c r="N148" s="10" t="n">
        <f aca="false">M$148+N$146-N$147</f>
        <v>2664266.94393795</v>
      </c>
      <c r="O148" s="10" t="n">
        <f aca="false">N$148+O$146-O$147</f>
        <v>2621188.7394228</v>
      </c>
      <c r="P148" s="10" t="n">
        <f aca="false">O$148+P$146-P$147</f>
        <v>2577787.44837378</v>
      </c>
      <c r="Q148" s="10" t="n">
        <f aca="false">P$148+Q$146-Q$147</f>
        <v>2534060.6476419</v>
      </c>
      <c r="R148" s="10" t="n">
        <f aca="false">Q$148+R$146-R$147</f>
        <v>2490005.89590452</v>
      </c>
      <c r="S148" s="10" t="n">
        <f aca="false">R$148+S$146-S$147</f>
        <v>2445620.73352912</v>
      </c>
      <c r="T148" s="10" t="n">
        <f aca="false">S$148+T$146-T$147</f>
        <v>2400902.6824359</v>
      </c>
      <c r="U148" s="10" t="n">
        <f aca="false">T$148+U$146-U$147</f>
        <v>2355849.24595948</v>
      </c>
      <c r="V148" s="10" t="n">
        <f aca="false">U$148+V$146-V$147</f>
        <v>2310457.90870949</v>
      </c>
      <c r="W148" s="10" t="n">
        <f aca="false">V$148+W$146-W$147</f>
        <v>2264726.13643012</v>
      </c>
      <c r="X148" s="10" t="n">
        <f aca="false">W$148+X$146-X$147</f>
        <v>2218651.37585866</v>
      </c>
      <c r="Y148" s="10" t="n">
        <f aca="false">X$148+Y$146-Y$147</f>
        <v>2172231.05458292</v>
      </c>
      <c r="Z148" s="10" t="n">
        <f aca="false">Y$148+Z$146-Z$147</f>
        <v>2125462.5808976</v>
      </c>
      <c r="AA148" s="10" t="n">
        <f aca="false">Z$148+AA$146-AA$147</f>
        <v>2078343.34365964</v>
      </c>
      <c r="AB148" s="10" t="n">
        <f aca="false">AA$148+AB$146-AB$147</f>
        <v>2030870.7121424</v>
      </c>
      <c r="AC148" s="10" t="n">
        <f aca="false">AB$148+AC$146-AC$147</f>
        <v>1983042.03588878</v>
      </c>
      <c r="AD148" s="10" t="n">
        <f aca="false">AC$148+AD$146-AD$147</f>
        <v>1934854.64456326</v>
      </c>
      <c r="AE148" s="10" t="n">
        <f aca="false">AD$148+AE$146-AE$147</f>
        <v>1886305.8478028</v>
      </c>
      <c r="AF148" s="10" t="n">
        <f aca="false">AE$148+AF$146-AF$147</f>
        <v>1837392.93506663</v>
      </c>
      <c r="AG148" s="10" t="n">
        <f aca="false">AF$148+AG$146-AG$147</f>
        <v>1788113.17548494</v>
      </c>
      <c r="AH148" s="10" t="n">
        <f aca="false">AG$148+AH$146-AH$147</f>
        <v>1738463.81770639</v>
      </c>
      <c r="AI148" s="10" t="n">
        <f aca="false">AH$148+AI$146-AI$147</f>
        <v>1688442.0897445</v>
      </c>
      <c r="AJ148" s="10" t="n">
        <f aca="false">AI$148+AJ$146-AJ$147</f>
        <v>1638045.1988229</v>
      </c>
      <c r="AK148" s="10" t="n">
        <f aca="false">AJ$148+AK$146-AK$147</f>
        <v>1587270.33121938</v>
      </c>
      <c r="AL148" s="10" t="n">
        <f aca="false">AK$148+AL$146-AL$147</f>
        <v>1536114.65210884</v>
      </c>
      <c r="AM148" s="10" t="n">
        <f aca="false">AL$148+AM$146-AM$147</f>
        <v>1484575.30540497</v>
      </c>
      <c r="AN148" s="10" t="n">
        <f aca="false">AM$148+AN$146-AN$147</f>
        <v>1432649.41360082</v>
      </c>
      <c r="AO148" s="10" t="n">
        <f aca="false">AN$148+AO$146-AO$147</f>
        <v>1380334.07760814</v>
      </c>
      <c r="AP148" s="10" t="n">
        <f aca="false">AO$148+AP$146-AP$147</f>
        <v>1327626.37659551</v>
      </c>
      <c r="AQ148" s="10" t="n">
        <f aca="false">AP$148+AQ$146-AQ$147</f>
        <v>1274523.36782529</v>
      </c>
      <c r="AR148" s="10" t="n">
        <f aca="false">AQ$148+AR$146-AR$147</f>
        <v>1221022.08648929</v>
      </c>
      <c r="AS148" s="10" t="n">
        <f aca="false">AR$148+AS$146-AS$147</f>
        <v>1167119.54554327</v>
      </c>
      <c r="AT148" s="10" t="n">
        <f aca="false">AS$148+AT$146-AT$147</f>
        <v>1112812.73554016</v>
      </c>
      <c r="AU148" s="10" t="n">
        <f aca="false">AT$148+AU$146-AU$147</f>
        <v>1058098.62446202</v>
      </c>
      <c r="AV148" s="10" t="n">
        <f aca="false">AU$148+AV$146-AV$147</f>
        <v>1002974.1575508</v>
      </c>
      <c r="AW148" s="10" t="n">
        <f aca="false">AV$148+AW$146-AW$147</f>
        <v>947436.257137743</v>
      </c>
      <c r="AX148" s="10" t="n">
        <f aca="false">AW$148+AX$146-AX$147</f>
        <v>891481.822471588</v>
      </c>
      <c r="AY148" s="10" t="n">
        <f aca="false">AX$148+AY$146-AY$147</f>
        <v>835107.729545437</v>
      </c>
      <c r="AZ148" s="10" t="n">
        <f aca="false">AY$148+AZ$146-AZ$147</f>
        <v>778310.83092234</v>
      </c>
      <c r="BA148" s="10" t="n">
        <f aca="false">AZ$148+BA$146-BA$147</f>
        <v>721087.95555957</v>
      </c>
      <c r="BB148" s="10" t="n">
        <f aca="false">BA$148+BB$146-BB$147</f>
        <v>663435.908631579</v>
      </c>
      <c r="BC148" s="10" t="n">
        <f aca="false">BB$148+BC$146-BC$147</f>
        <v>605351.471351628</v>
      </c>
      <c r="BD148" s="10" t="n">
        <f aca="false">BC$148+BD$146-BD$147</f>
        <v>546831.400792078</v>
      </c>
      <c r="BE148" s="10" t="n">
        <f aca="false">BD$148+BE$146-BE$147</f>
        <v>487872.429703331</v>
      </c>
      <c r="BF148" s="10" t="n">
        <f aca="false">BE$148+BF$146-BF$147</f>
        <v>428471.266331418</v>
      </c>
      <c r="BG148" s="10" t="n">
        <f aca="false">BF$148+BG$146-BG$147</f>
        <v>368624.594234216</v>
      </c>
      <c r="BH148" s="10" t="n">
        <f aca="false">BG$148+BH$146-BH$147</f>
        <v>308329.072096285</v>
      </c>
      <c r="BI148" s="10" t="n">
        <f aca="false">BH$148+BI$146-BI$147</f>
        <v>247581.333542319</v>
      </c>
      <c r="BJ148" s="10" t="n">
        <f aca="false">BI$148+BJ$146-BJ$147</f>
        <v>186377.986949199</v>
      </c>
      <c r="BK148" s="10" t="n">
        <f aca="false">BJ$148+BK$146-BK$147</f>
        <v>124715.61525663</v>
      </c>
      <c r="BL148" s="10" t="n">
        <f aca="false">BK$148+BL$146-BL$147</f>
        <v>62590.7757763667</v>
      </c>
      <c r="BM148" s="10" t="n">
        <f aca="false">BL$148+BM$146-BM$147</f>
        <v>0</v>
      </c>
      <c r="BN148" s="10" t="n">
        <f aca="false">BM$148+BN$146-BN$147</f>
        <v>0</v>
      </c>
      <c r="BO148" s="10" t="n">
        <f aca="false">BN$148+BO$146-BO$147</f>
        <v>0</v>
      </c>
      <c r="BP148" s="10" t="n">
        <f aca="false">BO$148+BP$146-BP$147</f>
        <v>0</v>
      </c>
      <c r="BQ148" s="10" t="n">
        <f aca="false">BP$148+BQ$146-BQ$147</f>
        <v>0</v>
      </c>
      <c r="BR148" s="10" t="n">
        <f aca="false">BQ$148+BR$146-BR$147</f>
        <v>0</v>
      </c>
      <c r="BS148" s="10" t="n">
        <f aca="false">BR$148+BS$146-BS$147</f>
        <v>0</v>
      </c>
      <c r="BT148" s="10" t="n">
        <f aca="false">BS$148+BT$146-BT$147</f>
        <v>0</v>
      </c>
      <c r="BU148" s="10" t="n">
        <f aca="false">BT$148+BU$146-BU$147</f>
        <v>0</v>
      </c>
      <c r="BV148" s="10" t="n">
        <f aca="false">BU$148+BV$146-BV$147</f>
        <v>0</v>
      </c>
      <c r="BW148" s="10" t="n">
        <f aca="false">BV$148+BW$146-BW$147</f>
        <v>0</v>
      </c>
      <c r="BX148" s="10" t="n">
        <f aca="false">BW$148+BX$146-BX$147</f>
        <v>0</v>
      </c>
      <c r="BY148" s="10" t="n">
        <f aca="false">BX$148+BY$146-BY$147</f>
        <v>0</v>
      </c>
      <c r="BZ148" s="10" t="n">
        <f aca="false">BY$148+BZ$146-BZ$147</f>
        <v>0</v>
      </c>
      <c r="CA148" s="10" t="n">
        <f aca="false">BZ$148+CA$146-CA$147</f>
        <v>0</v>
      </c>
      <c r="CB148" s="10" t="n">
        <f aca="false">CA$148+CB$146-CB$147</f>
        <v>0</v>
      </c>
      <c r="CC148" s="10" t="n">
        <f aca="false">CB$148+CC$146-CC$147</f>
        <v>0</v>
      </c>
      <c r="CD148" s="10" t="n">
        <f aca="false">CC$148+CD$146-CD$147</f>
        <v>0</v>
      </c>
      <c r="CE148" s="10" t="n">
        <f aca="false">CD$148+CE$146-CE$147</f>
        <v>0</v>
      </c>
      <c r="CF148" s="10" t="n">
        <f aca="false">CE$148+CF$146-CF$147</f>
        <v>0</v>
      </c>
      <c r="CG148" s="10" t="n">
        <f aca="false">CF$148+CG$146-CG$147</f>
        <v>0</v>
      </c>
      <c r="CH148" s="10" t="n">
        <f aca="false">CG$148+CH$146-CH$147</f>
        <v>0</v>
      </c>
      <c r="CI148" s="10" t="n">
        <f aca="false">CH$148+CI$146-CI$147</f>
        <v>0</v>
      </c>
      <c r="CJ148" s="10" t="n">
        <f aca="false">CI$148+CJ$146-CJ$147</f>
        <v>0</v>
      </c>
      <c r="CK148" s="10" t="n">
        <f aca="false">CJ$148+CK$146-CK$147</f>
        <v>0</v>
      </c>
      <c r="CL148" s="10" t="n">
        <f aca="false">CK$148+CL$146-CL$147</f>
        <v>0</v>
      </c>
      <c r="CM148" s="10" t="n">
        <f aca="false">CL$148+CM$146-CM$147</f>
        <v>0</v>
      </c>
      <c r="CN148" s="10" t="n">
        <f aca="false">CM$148+CN$146-CN$147</f>
        <v>0</v>
      </c>
      <c r="CO148" s="10" t="n">
        <f aca="false">CN$148+CO$146-CO$147</f>
        <v>0</v>
      </c>
      <c r="CP148" s="10" t="n">
        <f aca="false">CO$148+CP$146-CP$147</f>
        <v>0</v>
      </c>
      <c r="CQ148" s="10" t="n">
        <f aca="false">CP$148+CQ$146-CQ$147</f>
        <v>0</v>
      </c>
      <c r="CR148" s="10" t="n">
        <f aca="false">CQ$148+CR$146-CR$147</f>
        <v>0</v>
      </c>
      <c r="CS148" s="10" t="n">
        <f aca="false">CR$148+CS$146-CS$147</f>
        <v>0</v>
      </c>
      <c r="CT148" s="10" t="n">
        <f aca="false">CS$148+CT$146-CT$147</f>
        <v>0</v>
      </c>
      <c r="CU148" s="10" t="n">
        <f aca="false">CT$148+CU$146-CU$147</f>
        <v>0</v>
      </c>
      <c r="CV148" s="10" t="n">
        <f aca="false">CU$148+CV$146-CV$147</f>
        <v>0</v>
      </c>
      <c r="CW148" s="10" t="n">
        <f aca="false">CV$148+CW$146-CW$147</f>
        <v>0</v>
      </c>
      <c r="CX148" s="10" t="n">
        <f aca="false">CW$148+CX$146-CX$147</f>
        <v>0</v>
      </c>
      <c r="CY148" s="10" t="n">
        <f aca="false">CX$148+CY$146-CY$147</f>
        <v>0</v>
      </c>
      <c r="CZ148" s="10" t="n">
        <f aca="false">CY$148+CZ$146-CZ$147</f>
        <v>0</v>
      </c>
      <c r="DA148" s="10" t="n">
        <f aca="false">CZ$148+DA$146-DA$147</f>
        <v>0</v>
      </c>
      <c r="DB148" s="10" t="n">
        <f aca="false">DA$148+DB$146-DB$147</f>
        <v>0</v>
      </c>
      <c r="DC148" s="10" t="n">
        <f aca="false">DB$148+DC$146-DC$147</f>
        <v>0</v>
      </c>
      <c r="DD148" s="10" t="n">
        <f aca="false">DC$148+DD$146-DD$147</f>
        <v>0</v>
      </c>
      <c r="DE148" s="10" t="n">
        <f aca="false">DD$148+DE$146-DE$147</f>
        <v>0</v>
      </c>
      <c r="DF148" s="10" t="n">
        <f aca="false">DE$148+DF$146-DF$147</f>
        <v>0</v>
      </c>
      <c r="DG148" s="10" t="n">
        <f aca="false">DF$148+DG$146-DG$147</f>
        <v>0</v>
      </c>
      <c r="DH148" s="10" t="n">
        <f aca="false">DG$148+DH$146-DH$147</f>
        <v>0</v>
      </c>
      <c r="DI148" s="10" t="n">
        <f aca="false">DH$148+DI$146-DI$147</f>
        <v>0</v>
      </c>
      <c r="DJ148" s="10" t="n">
        <f aca="false">DI$148+DJ$146-DJ$147</f>
        <v>0</v>
      </c>
      <c r="DK148" s="10" t="n">
        <f aca="false">DJ$148+DK$146-DK$147</f>
        <v>0</v>
      </c>
      <c r="DL148" s="10" t="n">
        <f aca="false">DK$148+DL$146-DL$147</f>
        <v>0</v>
      </c>
      <c r="DM148" s="10" t="n">
        <f aca="false">DL$148+DM$146-DM$147</f>
        <v>0</v>
      </c>
      <c r="DN148" s="10" t="n">
        <f aca="false">DM$148+DN$146-DN$147</f>
        <v>0</v>
      </c>
      <c r="DO148" s="10" t="n">
        <f aca="false">DN$148+DO$146-DO$147</f>
        <v>0</v>
      </c>
      <c r="DP148" s="10" t="n">
        <f aca="false">DO$148+DP$146-DP$147</f>
        <v>0</v>
      </c>
      <c r="DQ148" s="10" t="n">
        <f aca="false">DP$148+DQ$146-DQ$147</f>
        <v>0</v>
      </c>
      <c r="DR148" s="10" t="n">
        <f aca="false">DQ$148+DR$146-DR$147</f>
        <v>0</v>
      </c>
      <c r="DS148" s="10" t="n">
        <f aca="false">DR$148+DS$146-DS$147</f>
        <v>0</v>
      </c>
      <c r="DT148" s="10" t="n">
        <f aca="false">DS$148+DT$146-DT$147</f>
        <v>0</v>
      </c>
      <c r="DU148" s="10" t="n">
        <f aca="false">DT$148+DU$146-DU$147</f>
        <v>0</v>
      </c>
      <c r="DV148" s="10" t="n">
        <f aca="false">DU$148+DV$146-DV$147</f>
        <v>0</v>
      </c>
      <c r="DW148" s="10" t="n">
        <f aca="false">DV$148+DW$146-DW$147</f>
        <v>0</v>
      </c>
      <c r="DX148" s="10" t="n">
        <f aca="false">DW$148+DX$146-DX$147</f>
        <v>0</v>
      </c>
      <c r="DY148" s="10" t="n">
        <f aca="false">DX$148+DY$146-DY$147</f>
        <v>0</v>
      </c>
      <c r="DZ148" s="10" t="n">
        <f aca="false">DY$148+DZ$146-DZ$147</f>
        <v>0</v>
      </c>
      <c r="EA148" s="10" t="n">
        <f aca="false">DZ$148+EA$146-EA$147</f>
        <v>0</v>
      </c>
      <c r="EB148" s="10" t="n">
        <f aca="false">EA$148+EB$146-EB$147</f>
        <v>0</v>
      </c>
      <c r="EC148" s="10" t="n">
        <f aca="false">EB$148+EC$146-EC$147</f>
        <v>0</v>
      </c>
      <c r="ED148" s="10" t="n">
        <f aca="false">EC$148+ED$146-ED$147</f>
        <v>0</v>
      </c>
      <c r="EE148" s="10" t="n">
        <f aca="false">ED$148+EE$146-EE$147</f>
        <v>0</v>
      </c>
      <c r="EF148" s="10" t="n">
        <f aca="false">EE$148+EF$146-EF$147</f>
        <v>0</v>
      </c>
      <c r="EG148" s="10" t="n">
        <f aca="false">EF$148+EG$146-EG$147</f>
        <v>0</v>
      </c>
      <c r="EH148" s="10" t="n">
        <f aca="false">EG$148+EH$146-EH$147</f>
        <v>0</v>
      </c>
      <c r="EI148" s="10" t="n">
        <f aca="false">EH$148+EI$146-EI$147</f>
        <v>0</v>
      </c>
      <c r="EJ148" s="10" t="n">
        <f aca="false">EI$148+EJ$146-EJ$147</f>
        <v>0</v>
      </c>
      <c r="EK148" s="10" t="n">
        <f aca="false">EJ$148+EK$146-EK$147</f>
        <v>0</v>
      </c>
      <c r="EL148" s="10" t="n">
        <f aca="false">EK$148+EL$146-EL$147</f>
        <v>0</v>
      </c>
      <c r="EM148" s="10" t="n">
        <f aca="false">EL$148+EM$146-EM$147</f>
        <v>0</v>
      </c>
      <c r="EN148" s="10" t="n">
        <f aca="false">EM$148+EN$146-EN$147</f>
        <v>0</v>
      </c>
      <c r="EO148" s="10" t="n">
        <f aca="false">EN$148+EO$146-EO$147</f>
        <v>0</v>
      </c>
      <c r="EP148" s="10" t="n">
        <f aca="false">EO$148+EP$146-EP$147</f>
        <v>0</v>
      </c>
      <c r="EQ148" s="10" t="n">
        <f aca="false">EP$148+EQ$146-EQ$147</f>
        <v>0</v>
      </c>
      <c r="ER148" s="10" t="n">
        <f aca="false">EQ$148+ER$146-ER$147</f>
        <v>0</v>
      </c>
      <c r="ES148" s="10" t="n">
        <f aca="false">ER$148+ES$146-ES$147</f>
        <v>0</v>
      </c>
    </row>
    <row r="149" customFormat="false" ht="15" hidden="false" customHeight="false" outlineLevel="0" collapsed="false">
      <c r="A149" s="2" t="s">
        <v>779</v>
      </c>
      <c r="B149" s="6" t="s">
        <v>780</v>
      </c>
      <c r="C149" s="6" t="s">
        <v>250</v>
      </c>
      <c r="E149" s="40" t="n">
        <f aca="false">MIN(F149:ES149)</f>
        <v>-311740.118672618</v>
      </c>
      <c r="F149" s="34" t="n">
        <f aca="false">F$141+F$143-F$144</f>
        <v>535727.93036656</v>
      </c>
      <c r="G149" s="34" t="n">
        <f aca="false">G$141+G$143-G$144</f>
        <v>555194.83809215</v>
      </c>
      <c r="H149" s="34" t="n">
        <f aca="false">H$141+H$143-H$144</f>
        <v>574661.745817739</v>
      </c>
      <c r="I149" s="34" t="n">
        <f aca="false">I$141+I$143-I$144</f>
        <v>594128.653543329</v>
      </c>
      <c r="J149" s="34" t="n">
        <f aca="false">J$141+J$143-J$144</f>
        <v>613595.561268919</v>
      </c>
      <c r="K149" s="34" t="n">
        <f aca="false">K$141+K$143-K$144</f>
        <v>633062.468994509</v>
      </c>
      <c r="L149" s="34" t="n">
        <f aca="false">L$141+L$143-L$144</f>
        <v>610406.072625411</v>
      </c>
      <c r="M149" s="34" t="n">
        <f aca="false">M$141+M$143-M$144</f>
        <v>587781.268734384</v>
      </c>
      <c r="N149" s="34" t="n">
        <f aca="false">N$141+N$143-N$144</f>
        <v>565188.294265013</v>
      </c>
      <c r="O149" s="34" t="n">
        <f aca="false">O$141+O$143-O$144</f>
        <v>542627.387937962</v>
      </c>
      <c r="P149" s="34" t="n">
        <f aca="false">P$141+P$143-P$144</f>
        <v>520098.790264297</v>
      </c>
      <c r="Q149" s="34" t="n">
        <f aca="false">Q$141+Q$143-Q$144</f>
        <v>497602.743558918</v>
      </c>
      <c r="R149" s="34" t="n">
        <f aca="false">R$141+R$143-R$144</f>
        <v>129920.95007682</v>
      </c>
      <c r="S149" s="34" t="n">
        <f aca="false">S$141+S$143-S$144</f>
        <v>145489.642054168</v>
      </c>
      <c r="T149" s="34" t="n">
        <f aca="false">T$141+T$143-T$144</f>
        <v>161091.622903299</v>
      </c>
      <c r="U149" s="34" t="n">
        <f aca="false">U$141+U$143-U$144</f>
        <v>176727.142290749</v>
      </c>
      <c r="V149" s="34" t="n">
        <f aca="false">V$141+V$143-V$144</f>
        <v>192396.451755556</v>
      </c>
      <c r="W149" s="34" t="n">
        <f aca="false">W$141+W$143-W$144</f>
        <v>208099.804723301</v>
      </c>
      <c r="X149" s="34" t="n">
        <f aca="false">X$141+X$143-X$144</f>
        <v>223837.456520255</v>
      </c>
      <c r="Y149" s="34" t="n">
        <f aca="false">Y$141+Y$143-Y$144</f>
        <v>239609.664387639</v>
      </c>
      <c r="Z149" s="34" t="n">
        <f aca="false">Z$141+Z$143-Z$144</f>
        <v>255416.687495978</v>
      </c>
      <c r="AA149" s="34" t="n">
        <f aca="false">AA$141+AA$143-AA$144</f>
        <v>271258.786959582</v>
      </c>
      <c r="AB149" s="34" t="n">
        <f aca="false">AB$141+AB$143-AB$144</f>
        <v>287136.225851114</v>
      </c>
      <c r="AC149" s="34" t="n">
        <f aca="false">AC$141+AC$143-AC$144</f>
        <v>303049.269216285</v>
      </c>
      <c r="AD149" s="34" t="n">
        <f aca="false">AD$141+AD$143-AD$144</f>
        <v>-311740.118672618</v>
      </c>
      <c r="AE149" s="34" t="n">
        <f aca="false">AE$141+AE$143-AE$144</f>
        <v>-259166.435385603</v>
      </c>
      <c r="AF149" s="34" t="n">
        <f aca="false">AF$141+AF$143-AF$144</f>
        <v>-206556.340501018</v>
      </c>
      <c r="AG149" s="34" t="n">
        <f aca="false">AG$141+AG$143-AG$144</f>
        <v>-153909.560931882</v>
      </c>
      <c r="AH149" s="34" t="n">
        <f aca="false">AH$141+AH$143-AH$144</f>
        <v>-101225.821543058</v>
      </c>
      <c r="AI149" s="34" t="n">
        <f aca="false">AI$141+AI$143-AI$144</f>
        <v>-48504.8451359012</v>
      </c>
      <c r="AJ149" s="34" t="n">
        <f aca="false">AJ$141+AJ$143-AJ$144</f>
        <v>4253.64756722731</v>
      </c>
      <c r="AK149" s="34" t="n">
        <f aca="false">AK$141+AK$143-AK$144</f>
        <v>57049.9379385471</v>
      </c>
      <c r="AL149" s="34" t="n">
        <f aca="false">AL$141+AL$143-AL$144</f>
        <v>109884.309460569</v>
      </c>
      <c r="AM149" s="34" t="n">
        <f aca="false">AM$141+AM$143-AM$144</f>
        <v>162757.047741925</v>
      </c>
      <c r="AN149" s="34" t="n">
        <f aca="false">AN$141+AN$143-AN$144</f>
        <v>215668.440533308</v>
      </c>
      <c r="AO149" s="34" t="n">
        <f aca="false">AO$141+AO$143-AO$144</f>
        <v>268618.777743544</v>
      </c>
      <c r="AP149" s="34" t="n">
        <f aca="false">AP$141+AP$143-AP$144</f>
        <v>-204392.169462804</v>
      </c>
      <c r="AQ149" s="34" t="n">
        <f aca="false">AQ$141+AQ$143-AQ$144</f>
        <v>-118554.51596008</v>
      </c>
      <c r="AR149" s="34" t="n">
        <f aca="false">AR$141+AR$143-AR$144</f>
        <v>-32677.0352007788</v>
      </c>
      <c r="AS149" s="34" t="n">
        <f aca="false">AS$141+AS$143-AS$144</f>
        <v>53240.5715195248</v>
      </c>
      <c r="AT149" s="34" t="n">
        <f aca="false">AT$141+AT$143-AT$144</f>
        <v>139198.605145538</v>
      </c>
      <c r="AU149" s="34" t="n">
        <f aca="false">AU$141+AU$143-AU$144</f>
        <v>225197.368879053</v>
      </c>
      <c r="AV149" s="34" t="n">
        <f aca="false">AV$141+AV$143-AV$144</f>
        <v>311237.168195877</v>
      </c>
      <c r="AW149" s="34" t="n">
        <f aca="false">AW$141+AW$143-AW$144</f>
        <v>397318.310862885</v>
      </c>
      <c r="AX149" s="34" t="n">
        <f aca="false">AX$141+AX$143-AX$144</f>
        <v>483441.106955202</v>
      </c>
      <c r="AY149" s="34" t="n">
        <f aca="false">AY$141+AY$143-AY$144</f>
        <v>569605.868873519</v>
      </c>
      <c r="AZ149" s="34" t="n">
        <f aca="false">AZ$141+AZ$143-AZ$144</f>
        <v>655812.91136153</v>
      </c>
      <c r="BA149" s="34" t="n">
        <f aca="false">BA$141+BA$143-BA$144</f>
        <v>742062.551523509</v>
      </c>
      <c r="BB149" s="34" t="n">
        <f aca="false">BB$141+BB$143-BB$144</f>
        <v>791565.146132666</v>
      </c>
      <c r="BC149" s="34" t="n">
        <f aca="false">BC$141+BC$143-BC$144</f>
        <v>879220.527482878</v>
      </c>
      <c r="BD149" s="34" t="n">
        <f aca="false">BD$141+BD$143-BD$144</f>
        <v>966919.47216105</v>
      </c>
      <c r="BE149" s="34" t="n">
        <f aca="false">BE$141+BE$143-BE$144</f>
        <v>1054662.30689214</v>
      </c>
      <c r="BF149" s="34" t="n">
        <f aca="false">BF$141+BF$143-BF$144</f>
        <v>337495.982470628</v>
      </c>
      <c r="BG149" s="34" t="n">
        <f aca="false">BG$141+BG$143-BG$144</f>
        <v>425327.587302565</v>
      </c>
      <c r="BH149" s="34" t="n">
        <f aca="false">BH$141+BH$143-BH$144</f>
        <v>513204.077138576</v>
      </c>
      <c r="BI149" s="34" t="n">
        <f aca="false">BI$141+BI$143-BI$144</f>
        <v>601125.788616189</v>
      </c>
      <c r="BJ149" s="34" t="n">
        <f aca="false">BJ$141+BJ$143-BJ$144</f>
        <v>689093.060897719</v>
      </c>
      <c r="BK149" s="34" t="n">
        <f aca="false">BK$141+BK$143-BK$144</f>
        <v>777106.235689193</v>
      </c>
      <c r="BL149" s="34" t="n">
        <f aca="false">BL$141+BL$143-BL$144</f>
        <v>865165.657259436</v>
      </c>
      <c r="BM149" s="34" t="n">
        <f aca="false">BM$141+BM$143-BM$144</f>
        <v>953271.672459288</v>
      </c>
      <c r="BN149" s="34" t="n">
        <f aca="false">BN$141+BN$143-BN$144</f>
        <v>1070847.25778852</v>
      </c>
      <c r="BO149" s="34" t="n">
        <f aca="false">BO$141+BO$143-BO$144</f>
        <v>1226147.69958634</v>
      </c>
      <c r="BP149" s="34" t="n">
        <f aca="false">BP$141+BP$143-BP$144</f>
        <v>1381448.14138417</v>
      </c>
      <c r="BQ149" s="34" t="n">
        <f aca="false">BQ$141+BQ$143-BQ$144</f>
        <v>1536748.583182</v>
      </c>
      <c r="BR149" s="34" t="n">
        <f aca="false">BR$141+BR$143-BR$144</f>
        <v>228122.480611604</v>
      </c>
      <c r="BS149" s="34" t="n">
        <f aca="false">BS$141+BS$143-BS$144</f>
        <v>383422.92240943</v>
      </c>
      <c r="BT149" s="34" t="n">
        <f aca="false">BT$141+BT$143-BT$144</f>
        <v>538723.364207257</v>
      </c>
      <c r="BU149" s="34" t="n">
        <f aca="false">BU$141+BU$143-BU$144</f>
        <v>694023.806005083</v>
      </c>
      <c r="BV149" s="34" t="n">
        <f aca="false">BV$141+BV$143-BV$144</f>
        <v>849324.247802909</v>
      </c>
      <c r="BW149" s="34" t="n">
        <f aca="false">BW$141+BW$143-BW$144</f>
        <v>1004624.68960073</v>
      </c>
      <c r="BX149" s="34" t="n">
        <f aca="false">BX$141+BX$143-BX$144</f>
        <v>1159925.13139856</v>
      </c>
      <c r="BY149" s="34" t="n">
        <f aca="false">BY$141+BY$143-BY$144</f>
        <v>1315225.57319639</v>
      </c>
      <c r="BZ149" s="34" t="n">
        <f aca="false">BZ$141+BZ$143-BZ$144</f>
        <v>1436551.70246101</v>
      </c>
      <c r="CA149" s="34" t="n">
        <f aca="false">CA$141+CA$143-CA$144</f>
        <v>1595967.72495041</v>
      </c>
      <c r="CB149" s="34" t="n">
        <f aca="false">CB$141+CB$143-CB$144</f>
        <v>1755383.74743981</v>
      </c>
      <c r="CC149" s="34" t="n">
        <f aca="false">CC$141+CC$143-CC$144</f>
        <v>1914799.76992921</v>
      </c>
      <c r="CD149" s="34" t="n">
        <f aca="false">CD$141+CD$143-CD$144</f>
        <v>280027.099844691</v>
      </c>
      <c r="CE149" s="34" t="n">
        <f aca="false">CE$141+CE$143-CE$144</f>
        <v>439443.122334091</v>
      </c>
      <c r="CF149" s="34" t="n">
        <f aca="false">CF$141+CF$143-CF$144</f>
        <v>598859.144823491</v>
      </c>
      <c r="CG149" s="34" t="n">
        <f aca="false">CG$141+CG$143-CG$144</f>
        <v>758275.167312891</v>
      </c>
      <c r="CH149" s="34" t="n">
        <f aca="false">CH$141+CH$143-CH$144</f>
        <v>917691.18980229</v>
      </c>
      <c r="CI149" s="34" t="n">
        <f aca="false">CI$141+CI$143-CI$144</f>
        <v>1077107.21229169</v>
      </c>
      <c r="CJ149" s="34" t="n">
        <f aca="false">CJ$141+CJ$143-CJ$144</f>
        <v>1236523.23478109</v>
      </c>
      <c r="CK149" s="34" t="n">
        <f aca="false">CK$141+CK$143-CK$144</f>
        <v>1395939.25727049</v>
      </c>
      <c r="CL149" s="34" t="n">
        <f aca="false">CL$141+CL$143-CL$144</f>
        <v>1521040.85812226</v>
      </c>
      <c r="CM149" s="34" t="n">
        <f aca="false">CM$141+CM$143-CM$144</f>
        <v>1684600.67666855</v>
      </c>
      <c r="CN149" s="34" t="n">
        <f aca="false">CN$141+CN$143-CN$144</f>
        <v>1848160.49521483</v>
      </c>
      <c r="CO149" s="34" t="n">
        <f aca="false">CO$141+CO$143-CO$144</f>
        <v>2011720.31376112</v>
      </c>
      <c r="CP149" s="34" t="n">
        <f aca="false">CP$141+CP$143-CP$144</f>
        <v>331704.47143461</v>
      </c>
      <c r="CQ149" s="34" t="n">
        <f aca="false">CQ$141+CQ$143-CQ$144</f>
        <v>495264.289980898</v>
      </c>
      <c r="CR149" s="34" t="n">
        <f aca="false">CR$141+CR$143-CR$144</f>
        <v>658824.108527185</v>
      </c>
      <c r="CS149" s="34" t="n">
        <f aca="false">CS$141+CS$143-CS$144</f>
        <v>822383.927073473</v>
      </c>
      <c r="CT149" s="34" t="n">
        <f aca="false">CT$141+CT$143-CT$144</f>
        <v>985943.74561976</v>
      </c>
      <c r="CU149" s="34" t="n">
        <f aca="false">CU$141+CU$143-CU$144</f>
        <v>1149503.56416605</v>
      </c>
      <c r="CV149" s="34" t="n">
        <f aca="false">CV$141+CV$143-CV$144</f>
        <v>1313063.38271234</v>
      </c>
      <c r="CW149" s="34" t="n">
        <f aca="false">CW$141+CW$143-CW$144</f>
        <v>1476623.20125862</v>
      </c>
      <c r="CX149" s="34" t="n">
        <f aca="false">CX$141+CX$143-CX$144</f>
        <v>1605525.07895819</v>
      </c>
      <c r="CY149" s="34" t="n">
        <f aca="false">CY$141+CY$143-CY$144</f>
        <v>1773256.8086071</v>
      </c>
      <c r="CZ149" s="34" t="n">
        <f aca="false">CZ$141+CZ$143-CZ$144</f>
        <v>1940988.53825601</v>
      </c>
      <c r="DA149" s="34" t="n">
        <f aca="false">DA$141+DA$143-DA$144</f>
        <v>2108720.26790492</v>
      </c>
      <c r="DB149" s="34" t="n">
        <f aca="false">DB$141+DB$143-DB$144</f>
        <v>383150.783998375</v>
      </c>
      <c r="DC149" s="34" t="n">
        <f aca="false">DC$141+DC$143-DC$144</f>
        <v>550882.513647283</v>
      </c>
      <c r="DD149" s="34" t="n">
        <f aca="false">DD$141+DD$143-DD$144</f>
        <v>718614.24329619</v>
      </c>
      <c r="DE149" s="34" t="n">
        <f aca="false">DE$141+DE$143-DE$144</f>
        <v>886345.972945098</v>
      </c>
      <c r="DF149" s="34" t="n">
        <f aca="false">DF$141+DF$143-DF$144</f>
        <v>1054077.70259401</v>
      </c>
      <c r="DG149" s="34" t="n">
        <f aca="false">DG$141+DG$143-DG$144</f>
        <v>1221809.43224291</v>
      </c>
      <c r="DH149" s="34" t="n">
        <f aca="false">DH$141+DH$143-DH$144</f>
        <v>1389541.16189182</v>
      </c>
      <c r="DI149" s="34" t="n">
        <f aca="false">DI$141+DI$143-DI$144</f>
        <v>1557272.89154073</v>
      </c>
      <c r="DJ149" s="34" t="n">
        <f aca="false">DJ$141+DJ$143-DJ$144</f>
        <v>1689999.71669704</v>
      </c>
      <c r="DK149" s="34" t="n">
        <f aca="false">DK$141+DK$143-DK$144</f>
        <v>1861931.35981212</v>
      </c>
      <c r="DL149" s="34" t="n">
        <f aca="false">DL$141+DL$143-DL$144</f>
        <v>2033863.00292721</v>
      </c>
      <c r="DM149" s="34" t="n">
        <f aca="false">DM$141+DM$143-DM$144</f>
        <v>2205794.64604229</v>
      </c>
      <c r="DN149" s="34" t="n">
        <f aca="false">DN$141+DN$143-DN$144</f>
        <v>434362.142370491</v>
      </c>
      <c r="DO149" s="34" t="n">
        <f aca="false">DO$141+DO$143-DO$144</f>
        <v>606293.785485577</v>
      </c>
      <c r="DP149" s="34" t="n">
        <f aca="false">DP$141+DP$143-DP$144</f>
        <v>778225.428600663</v>
      </c>
      <c r="DQ149" s="34" t="n">
        <f aca="false">DQ$141+DQ$143-DQ$144</f>
        <v>950157.071715749</v>
      </c>
      <c r="DR149" s="34" t="n">
        <f aca="false">DR$141+DR$143-DR$144</f>
        <v>1122088.71483084</v>
      </c>
      <c r="DS149" s="34" t="n">
        <f aca="false">DS$141+DS$143-DS$144</f>
        <v>1294020.35794592</v>
      </c>
      <c r="DT149" s="34" t="n">
        <f aca="false">DT$141+DT$143-DT$144</f>
        <v>1465952.00106101</v>
      </c>
      <c r="DU149" s="34" t="n">
        <f aca="false">DU$141+DU$143-DU$144</f>
        <v>1637883.64417609</v>
      </c>
      <c r="DV149" s="34" t="n">
        <f aca="false">DV$141+DV$143-DV$144</f>
        <v>1637883.64417609</v>
      </c>
      <c r="DW149" s="34" t="n">
        <f aca="false">DW$141+DW$143-DW$144</f>
        <v>1637883.64417609</v>
      </c>
      <c r="DX149" s="34" t="n">
        <f aca="false">DX$141+DX$143-DX$144</f>
        <v>1637883.64417609</v>
      </c>
      <c r="DY149" s="34" t="n">
        <f aca="false">DY$141+DY$143-DY$144</f>
        <v>1637883.64417609</v>
      </c>
      <c r="DZ149" s="34" t="n">
        <f aca="false">DZ$141+DZ$143-DZ$144</f>
        <v>1637883.64417609</v>
      </c>
      <c r="EA149" s="34" t="n">
        <f aca="false">EA$141+EA$143-EA$144</f>
        <v>1637883.64417609</v>
      </c>
      <c r="EB149" s="34" t="n">
        <f aca="false">EB$141+EB$143-EB$144</f>
        <v>1637883.64417609</v>
      </c>
      <c r="EC149" s="34" t="n">
        <f aca="false">EC$141+EC$143-EC$144</f>
        <v>1637883.64417609</v>
      </c>
      <c r="ED149" s="34" t="n">
        <f aca="false">ED$141+ED$143-ED$144</f>
        <v>1637883.64417609</v>
      </c>
      <c r="EE149" s="34" t="n">
        <f aca="false">EE$141+EE$143-EE$144</f>
        <v>1637883.64417609</v>
      </c>
      <c r="EF149" s="34" t="n">
        <f aca="false">EF$141+EF$143-EF$144</f>
        <v>1637883.64417609</v>
      </c>
      <c r="EG149" s="34" t="n">
        <f aca="false">EG$141+EG$143-EG$144</f>
        <v>1637883.64417609</v>
      </c>
      <c r="EH149" s="34" t="n">
        <f aca="false">EH$141+EH$143-EH$144</f>
        <v>1637883.64417609</v>
      </c>
      <c r="EI149" s="34" t="n">
        <f aca="false">EI$141+EI$143-EI$144</f>
        <v>1637883.64417609</v>
      </c>
      <c r="EJ149" s="34" t="n">
        <f aca="false">EJ$141+EJ$143-EJ$144</f>
        <v>1637883.64417609</v>
      </c>
      <c r="EK149" s="34" t="n">
        <f aca="false">EK$141+EK$143-EK$144</f>
        <v>1637883.64417609</v>
      </c>
      <c r="EL149" s="34" t="n">
        <f aca="false">EL$141+EL$143-EL$144</f>
        <v>1637883.64417609</v>
      </c>
      <c r="EM149" s="34" t="n">
        <f aca="false">EM$141+EM$143-EM$144</f>
        <v>1637883.64417609</v>
      </c>
      <c r="EN149" s="34" t="n">
        <f aca="false">EN$141+EN$143-EN$144</f>
        <v>1637883.64417609</v>
      </c>
      <c r="EO149" s="34" t="n">
        <f aca="false">EO$141+EO$143-EO$144</f>
        <v>1637883.64417609</v>
      </c>
      <c r="EP149" s="34" t="n">
        <f aca="false">EP$141+EP$143-EP$144</f>
        <v>1637883.64417609</v>
      </c>
      <c r="EQ149" s="34" t="n">
        <f aca="false">EQ$141+EQ$143-EQ$144</f>
        <v>1637883.64417609</v>
      </c>
      <c r="ER149" s="34" t="n">
        <f aca="false">ER$141+ER$143-ER$144</f>
        <v>1637883.64417609</v>
      </c>
      <c r="ES149" s="34" t="n">
        <f aca="false">ES$141+ES$143-ES$144</f>
        <v>1637883.64417609</v>
      </c>
    </row>
    <row r="150" customFormat="false" ht="15" hidden="false" customHeight="false" outlineLevel="0" collapsed="false">
      <c r="A150" s="2" t="s">
        <v>781</v>
      </c>
      <c r="B150" s="6" t="s">
        <v>782</v>
      </c>
      <c r="C150" s="6" t="s">
        <v>250</v>
      </c>
      <c r="F150" s="34" t="n">
        <f aca="false">IF(F$7=1,F$107,0+F$107)</f>
        <v>13500.8903089231</v>
      </c>
      <c r="G150" s="34" t="n">
        <f aca="false">IF(G$7=1,G$107,F$150+G$107)</f>
        <v>27001.7806178461</v>
      </c>
      <c r="H150" s="34" t="n">
        <f aca="false">IF(H$7=1,H$107,G$150+H$107)</f>
        <v>40502.6709267692</v>
      </c>
      <c r="I150" s="34" t="n">
        <f aca="false">IF(I$7=1,I$107,H$150+I$107)</f>
        <v>54003.5612356923</v>
      </c>
      <c r="J150" s="34" t="n">
        <f aca="false">IF(J$7=1,J$107,I$150+J$107)</f>
        <v>67504.4515446154</v>
      </c>
      <c r="K150" s="34" t="n">
        <f aca="false">IF(K$7=1,K$107,J$150+K$107)</f>
        <v>81005.3418535384</v>
      </c>
      <c r="L150" s="34" t="n">
        <f aca="false">IF(L$7=1,L$107,K$150+L$107)</f>
        <v>94506.2321624615</v>
      </c>
      <c r="M150" s="34" t="n">
        <f aca="false">IF(M$7=1,M$107,L$150+M$107)</f>
        <v>108354.639730166</v>
      </c>
      <c r="N150" s="34" t="n">
        <f aca="false">IF(N$7=1,N$107,M$150+N$107)</f>
        <v>122553.170936092</v>
      </c>
      <c r="O150" s="34" t="n">
        <f aca="false">IF(O$7=1,O$107,N$150+O$107)</f>
        <v>137104.451707527</v>
      </c>
      <c r="P150" s="34" t="n">
        <f aca="false">IF(P$7=1,P$107,O$150+P$107)</f>
        <v>152011.127666212</v>
      </c>
      <c r="Q150" s="34" t="n">
        <f aca="false">IF(Q$7=1,Q$107,P$150+Q$107)</f>
        <v>167275.864276051</v>
      </c>
      <c r="R150" s="34" t="n">
        <f aca="false">IF(R$7=1,R$107,Q$150+R$107)</f>
        <v>52791.0519009191</v>
      </c>
      <c r="S150" s="34" t="n">
        <f aca="false">IF(S$7=1,S$107,R$150+S$107)</f>
        <v>105945.555503672</v>
      </c>
      <c r="T150" s="34" t="n">
        <f aca="false">IF(T$7=1,T$107,S$150+T$107)</f>
        <v>159466.236696021</v>
      </c>
      <c r="U150" s="34" t="n">
        <f aca="false">IF(U$7=1,U$107,T$150+U$107)</f>
        <v>213355.84180989</v>
      </c>
      <c r="V150" s="34" t="n">
        <f aca="false">IF(V$7=1,V$107,U$150+V$107)</f>
        <v>267617.137774689</v>
      </c>
      <c r="W150" s="34" t="n">
        <f aca="false">IF(W$7=1,W$107,V$150+W$107)</f>
        <v>322252.9122718</v>
      </c>
      <c r="X150" s="34" t="n">
        <f aca="false">IF(X$7=1,X$107,W$150+X$107)</f>
        <v>377265.973890217</v>
      </c>
      <c r="Y150" s="34" t="n">
        <f aca="false">IF(Y$7=1,Y$107,X$150+Y$107)</f>
        <v>432659.152283347</v>
      </c>
      <c r="Z150" s="34" t="n">
        <f aca="false">IF(Z$7=1,Z$107,Y$150+Z$107)</f>
        <v>488435.298327003</v>
      </c>
      <c r="AA150" s="34" t="n">
        <f aca="false">IF(AA$7=1,AA$107,Z$150+AA$107)</f>
        <v>544597.284278563</v>
      </c>
      <c r="AB150" s="34" t="n">
        <f aca="false">IF(AB$7=1,AB$107,AA$150+AB$107)</f>
        <v>601148.003937336</v>
      </c>
      <c r="AC150" s="34" t="n">
        <f aca="false">IF(AC$7=1,AC$107,AB$150+AC$107)</f>
        <v>658090.372806125</v>
      </c>
      <c r="AD150" s="34" t="n">
        <f aca="false">IF(AD$7=1,AD$107,AC$150+AD$107)</f>
        <v>93925.5833190422</v>
      </c>
      <c r="AE150" s="34" t="n">
        <f aca="false">IF(AE$7=1,AE$107,AD$150+AE$107)</f>
        <v>188248.71261652</v>
      </c>
      <c r="AF150" s="34" t="n">
        <f aca="false">IF(AF$7=1,AF$107,AE$150+AF$107)</f>
        <v>282972.369487272</v>
      </c>
      <c r="AG150" s="34" t="n">
        <f aca="false">IF(AG$7=1,AG$107,AF$150+AG$107)</f>
        <v>378099.557888097</v>
      </c>
      <c r="AH150" s="34" t="n">
        <f aca="false">IF(AH$7=1,AH$107,AG$150+AH$107)</f>
        <v>473633.30430547</v>
      </c>
      <c r="AI150" s="34" t="n">
        <f aca="false">IF(AI$7=1,AI$107,AH$150+AI$107)</f>
        <v>569576.657924517</v>
      </c>
      <c r="AJ150" s="34" t="n">
        <f aca="false">IF(AJ$7=1,AJ$107,AI$150+AJ$107)</f>
        <v>665932.69079925</v>
      </c>
      <c r="AK150" s="34" t="n">
        <f aca="false">IF(AK$7=1,AK$107,AJ$150+AK$107)</f>
        <v>762704.498024086</v>
      </c>
      <c r="AL150" s="34" t="n">
        <f aca="false">IF(AL$7=1,AL$107,AK$150+AL$107)</f>
        <v>859895.19790665</v>
      </c>
      <c r="AM150" s="34" t="n">
        <f aca="false">IF(AM$7=1,AM$107,AL$150+AM$107)</f>
        <v>957507.932141877</v>
      </c>
      <c r="AN150" s="34" t="n">
        <f aca="false">IF(AN$7=1,AN$107,AM$150+AN$107)</f>
        <v>1055545.86598741</v>
      </c>
      <c r="AO150" s="34" t="n">
        <f aca="false">IF(AO$7=1,AO$107,AN$150+AO$107)</f>
        <v>1154012.18844033</v>
      </c>
      <c r="AP150" s="34" t="n">
        <f aca="false">IF(AP$7=1,AP$107,AO$150+AP$107)</f>
        <v>131706.472989591</v>
      </c>
      <c r="AQ150" s="34" t="n">
        <f aca="false">IF(AQ$7=1,AQ$107,AP$150+AQ$107)</f>
        <v>263847.784512537</v>
      </c>
      <c r="AR150" s="34" t="n">
        <f aca="false">IF(AR$7=1,AR$107,AQ$150+AR$107)</f>
        <v>396427.195857836</v>
      </c>
      <c r="AS150" s="34" t="n">
        <f aca="false">IF(AS$7=1,AS$107,AR$150+AS$107)</f>
        <v>529447.992774158</v>
      </c>
      <c r="AT150" s="34" t="n">
        <f aca="false">IF(AT$7=1,AT$107,AS$150+AT$107)</f>
        <v>662913.485653284</v>
      </c>
      <c r="AU150" s="34" t="n">
        <f aca="false">IF(AU$7=1,AU$107,AT$150+AU$107)</f>
        <v>796827.009714936</v>
      </c>
      <c r="AV150" s="34" t="n">
        <f aca="false">IF(AV$7=1,AV$107,AU$150+AV$107)</f>
        <v>931191.925192983</v>
      </c>
      <c r="AW150" s="34" t="n">
        <f aca="false">IF(AW$7=1,AW$107,AV$150+AW$107)</f>
        <v>1066011.61752305</v>
      </c>
      <c r="AX150" s="34" t="n">
        <f aca="false">IF(AX$7=1,AX$107,AW$150+AX$107)</f>
        <v>1201289.49753152</v>
      </c>
      <c r="AY150" s="34" t="n">
        <f aca="false">IF(AY$7=1,AY$107,AX$150+AY$107)</f>
        <v>1337029.00162599</v>
      </c>
      <c r="AZ150" s="34" t="n">
        <f aca="false">IF(AZ$7=1,AZ$107,AY$150+AZ$107)</f>
        <v>1473233.5919871</v>
      </c>
      <c r="BA150" s="34" t="n">
        <f aca="false">IF(BA$7=1,BA$107,AZ$150+BA$107)</f>
        <v>1609906.75676184</v>
      </c>
      <c r="BB150" s="34" t="n">
        <f aca="false">IF(BB$7=1,BB$107,BA$150+BB$107)</f>
        <v>138464.838493007</v>
      </c>
      <c r="BC150" s="34" t="n">
        <f aca="false">IF(BC$7=1,BC$107,BB$150+BC$107)</f>
        <v>277405.30637317</v>
      </c>
      <c r="BD150" s="34" t="n">
        <f aca="false">IF(BD$7=1,BD$107,BC$150+BD$107)</f>
        <v>416824.970860893</v>
      </c>
      <c r="BE150" s="34" t="n">
        <f aca="false">IF(BE$7=1,BE$107,BD$150+BE$107)</f>
        <v>556727.425930732</v>
      </c>
      <c r="BF150" s="34" t="n">
        <f aca="false">IF(BF$7=1,BF$107,BE$150+BF$107)</f>
        <v>697116.292512053</v>
      </c>
      <c r="BG150" s="34" t="n">
        <f aca="false">IF(BG$7=1,BG$107,BF$150+BG$107)</f>
        <v>837995.218691193</v>
      </c>
      <c r="BH150" s="34" t="n">
        <f aca="false">IF(BH$7=1,BH$107,BG$150+BH$107)</f>
        <v>979367.879915134</v>
      </c>
      <c r="BI150" s="34" t="n">
        <f aca="false">IF(BI$7=1,BI$107,BH$150+BI$107)</f>
        <v>1121237.97919671</v>
      </c>
      <c r="BJ150" s="34" t="n">
        <f aca="false">IF(BJ$7=1,BJ$107,BI$150+BJ$107)</f>
        <v>1263609.24732136</v>
      </c>
      <c r="BK150" s="34" t="n">
        <f aca="false">IF(BK$7=1,BK$107,BJ$150+BK$107)</f>
        <v>1406485.44305541</v>
      </c>
      <c r="BL150" s="34" t="n">
        <f aca="false">IF(BL$7=1,BL$107,BK$150+BL$107)</f>
        <v>1549870.35335591</v>
      </c>
      <c r="BM150" s="34" t="n">
        <f aca="false">IF(BM$7=1,BM$107,BL$150+BM$107)</f>
        <v>1693767.79358213</v>
      </c>
      <c r="BN150" s="34" t="n">
        <f aca="false">IF(BN$7=1,BN$107,BM$150+BN$107)</f>
        <v>149515.724381159</v>
      </c>
      <c r="BO150" s="34" t="n">
        <f aca="false">IF(BO$7=1,BO$107,BN$150+BO$107)</f>
        <v>299031.448762319</v>
      </c>
      <c r="BP150" s="34" t="n">
        <f aca="false">IF(BP$7=1,BP$107,BO$150+BP$107)</f>
        <v>448547.173143478</v>
      </c>
      <c r="BQ150" s="34" t="n">
        <f aca="false">IF(BQ$7=1,BQ$107,BP$150+BQ$107)</f>
        <v>598062.897524638</v>
      </c>
      <c r="BR150" s="34" t="n">
        <f aca="false">IF(BR$7=1,BR$107,BQ$150+BR$107)</f>
        <v>747578.621905797</v>
      </c>
      <c r="BS150" s="34" t="n">
        <f aca="false">IF(BS$7=1,BS$107,BR$150+BS$107)</f>
        <v>897094.346286957</v>
      </c>
      <c r="BT150" s="34" t="n">
        <f aca="false">IF(BT$7=1,BT$107,BS$150+BT$107)</f>
        <v>1046610.07066812</v>
      </c>
      <c r="BU150" s="34" t="n">
        <f aca="false">IF(BU$7=1,BU$107,BT$150+BU$107)</f>
        <v>1196125.79504928</v>
      </c>
      <c r="BV150" s="34" t="n">
        <f aca="false">IF(BV$7=1,BV$107,BU$150+BV$107)</f>
        <v>1345641.51943044</v>
      </c>
      <c r="BW150" s="34" t="n">
        <f aca="false">IF(BW$7=1,BW$107,BV$150+BW$107)</f>
        <v>1495157.2438116</v>
      </c>
      <c r="BX150" s="34" t="n">
        <f aca="false">IF(BX$7=1,BX$107,BW$150+BX$107)</f>
        <v>1644672.96819275</v>
      </c>
      <c r="BY150" s="34" t="n">
        <f aca="false">IF(BY$7=1,BY$107,BX$150+BY$107)</f>
        <v>1794188.69257391</v>
      </c>
      <c r="BZ150" s="34" t="n">
        <f aca="false">IF(BZ$7=1,BZ$107,BY$150+BZ$107)</f>
        <v>153631.305072733</v>
      </c>
      <c r="CA150" s="34" t="n">
        <f aca="false">IF(CA$7=1,CA$107,BZ$150+CA$107)</f>
        <v>307262.610145466</v>
      </c>
      <c r="CB150" s="34" t="n">
        <f aca="false">IF(CB$7=1,CB$107,CA$150+CB$107)</f>
        <v>460893.915218199</v>
      </c>
      <c r="CC150" s="34" t="n">
        <f aca="false">IF(CC$7=1,CC$107,CB$150+CC$107)</f>
        <v>614525.220290932</v>
      </c>
      <c r="CD150" s="34" t="n">
        <f aca="false">IF(CD$7=1,CD$107,CC$150+CD$107)</f>
        <v>768156.525363665</v>
      </c>
      <c r="CE150" s="34" t="n">
        <f aca="false">IF(CE$7=1,CE$107,CD$150+CE$107)</f>
        <v>921787.830436399</v>
      </c>
      <c r="CF150" s="34" t="n">
        <f aca="false">IF(CF$7=1,CF$107,CE$150+CF$107)</f>
        <v>1075419.13550913</v>
      </c>
      <c r="CG150" s="34" t="n">
        <f aca="false">IF(CG$7=1,CG$107,CF$150+CG$107)</f>
        <v>1229050.44058186</v>
      </c>
      <c r="CH150" s="34" t="n">
        <f aca="false">IF(CH$7=1,CH$107,CG$150+CH$107)</f>
        <v>1382681.7456546</v>
      </c>
      <c r="CI150" s="34" t="n">
        <f aca="false">IF(CI$7=1,CI$107,CH$150+CI$107)</f>
        <v>1536313.05072733</v>
      </c>
      <c r="CJ150" s="34" t="n">
        <f aca="false">IF(CJ$7=1,CJ$107,CI$150+CJ$107)</f>
        <v>1689944.35580006</v>
      </c>
      <c r="CK150" s="34" t="n">
        <f aca="false">IF(CK$7=1,CK$107,CJ$150+CK$107)</f>
        <v>1843575.6608728</v>
      </c>
      <c r="CL150" s="34" t="n">
        <f aca="false">IF(CL$7=1,CL$107,CK$150+CL$107)</f>
        <v>157775.101129621</v>
      </c>
      <c r="CM150" s="34" t="n">
        <f aca="false">IF(CM$7=1,CM$107,CL$150+CM$107)</f>
        <v>315550.202259242</v>
      </c>
      <c r="CN150" s="34" t="n">
        <f aca="false">IF(CN$7=1,CN$107,CM$150+CN$107)</f>
        <v>473325.303388863</v>
      </c>
      <c r="CO150" s="34" t="n">
        <f aca="false">IF(CO$7=1,CO$107,CN$150+CO$107)</f>
        <v>631100.404518483</v>
      </c>
      <c r="CP150" s="34" t="n">
        <f aca="false">IF(CP$7=1,CP$107,CO$150+CP$107)</f>
        <v>788875.505648104</v>
      </c>
      <c r="CQ150" s="34" t="n">
        <f aca="false">IF(CQ$7=1,CQ$107,CP$150+CQ$107)</f>
        <v>946650.606777725</v>
      </c>
      <c r="CR150" s="34" t="n">
        <f aca="false">IF(CR$7=1,CR$107,CQ$150+CR$107)</f>
        <v>1104425.70790735</v>
      </c>
      <c r="CS150" s="34" t="n">
        <f aca="false">IF(CS$7=1,CS$107,CR$150+CS$107)</f>
        <v>1262200.80903697</v>
      </c>
      <c r="CT150" s="34" t="n">
        <f aca="false">IF(CT$7=1,CT$107,CS$150+CT$107)</f>
        <v>1419975.91016659</v>
      </c>
      <c r="CU150" s="34" t="n">
        <f aca="false">IF(CU$7=1,CU$107,CT$150+CU$107)</f>
        <v>1577751.01129621</v>
      </c>
      <c r="CV150" s="34" t="n">
        <f aca="false">IF(CV$7=1,CV$107,CU$150+CV$107)</f>
        <v>1735526.11242583</v>
      </c>
      <c r="CW150" s="34" t="n">
        <f aca="false">IF(CW$7=1,CW$107,CV$150+CW$107)</f>
        <v>1893301.21355545</v>
      </c>
      <c r="CX150" s="34" t="n">
        <f aca="false">IF(CX$7=1,CX$107,CW$150+CX$107)</f>
        <v>161947.012232241</v>
      </c>
      <c r="CY150" s="34" t="n">
        <f aca="false">IF(CY$7=1,CY$107,CX$150+CY$107)</f>
        <v>323894.024464482</v>
      </c>
      <c r="CZ150" s="34" t="n">
        <f aca="false">IF(CZ$7=1,CZ$107,CY$150+CZ$107)</f>
        <v>485841.036696723</v>
      </c>
      <c r="DA150" s="34" t="n">
        <f aca="false">IF(DA$7=1,DA$107,CZ$150+DA$107)</f>
        <v>647788.048928964</v>
      </c>
      <c r="DB150" s="34" t="n">
        <f aca="false">IF(DB$7=1,DB$107,DA$150+DB$107)</f>
        <v>809735.061161204</v>
      </c>
      <c r="DC150" s="34" t="n">
        <f aca="false">IF(DC$7=1,DC$107,DB$150+DC$107)</f>
        <v>971682.073393445</v>
      </c>
      <c r="DD150" s="34" t="n">
        <f aca="false">IF(DD$7=1,DD$107,DC$150+DD$107)</f>
        <v>1133629.08562569</v>
      </c>
      <c r="DE150" s="34" t="n">
        <f aca="false">IF(DE$7=1,DE$107,DD$150+DE$107)</f>
        <v>1295576.09785793</v>
      </c>
      <c r="DF150" s="34" t="n">
        <f aca="false">IF(DF$7=1,DF$107,DE$150+DF$107)</f>
        <v>1457523.11009017</v>
      </c>
      <c r="DG150" s="34" t="n">
        <f aca="false">IF(DG$7=1,DG$107,DF$150+DG$107)</f>
        <v>1619470.12232241</v>
      </c>
      <c r="DH150" s="34" t="n">
        <f aca="false">IF(DH$7=1,DH$107,DG$150+DH$107)</f>
        <v>1781417.13455465</v>
      </c>
      <c r="DI150" s="34" t="n">
        <f aca="false">IF(DI$7=1,DI$107,DH$150+DI$107)</f>
        <v>1943364.14678689</v>
      </c>
      <c r="DJ150" s="34" t="n">
        <f aca="false">IF(DJ$7=1,DJ$107,DI$150+DJ$107)</f>
        <v>166146.925698419</v>
      </c>
      <c r="DK150" s="34" t="n">
        <f aca="false">IF(DK$7=1,DK$107,DJ$150+DK$107)</f>
        <v>332293.851396839</v>
      </c>
      <c r="DL150" s="34" t="n">
        <f aca="false">IF(DL$7=1,DL$107,DK$150+DL$107)</f>
        <v>498440.777095258</v>
      </c>
      <c r="DM150" s="34" t="n">
        <f aca="false">IF(DM$7=1,DM$107,DL$150+DM$107)</f>
        <v>664587.702793678</v>
      </c>
      <c r="DN150" s="34" t="n">
        <f aca="false">IF(DN$7=1,DN$107,DM$150+DN$107)</f>
        <v>830734.628492097</v>
      </c>
      <c r="DO150" s="34" t="n">
        <f aca="false">IF(DO$7=1,DO$107,DN$150+DO$107)</f>
        <v>996881.554190517</v>
      </c>
      <c r="DP150" s="34" t="n">
        <f aca="false">IF(DP$7=1,DP$107,DO$150+DP$107)</f>
        <v>1163028.47988894</v>
      </c>
      <c r="DQ150" s="34" t="n">
        <f aca="false">IF(DQ$7=1,DQ$107,DP$150+DQ$107)</f>
        <v>1329175.40558736</v>
      </c>
      <c r="DR150" s="34" t="n">
        <f aca="false">IF(DR$7=1,DR$107,DQ$150+DR$107)</f>
        <v>1495322.33128578</v>
      </c>
      <c r="DS150" s="34" t="n">
        <f aca="false">IF(DS$7=1,DS$107,DR$150+DS$107)</f>
        <v>1661469.25698419</v>
      </c>
      <c r="DT150" s="34" t="n">
        <f aca="false">IF(DT$7=1,DT$107,DS$150+DT$107)</f>
        <v>1827616.18268261</v>
      </c>
      <c r="DU150" s="34" t="n">
        <f aca="false">IF(DU$7=1,DU$107,DT$150+DU$107)</f>
        <v>1993763.10838103</v>
      </c>
      <c r="DV150" s="34" t="n">
        <f aca="false">IF(DV$7=1,DV$107,DU$150+DV$107)</f>
        <v>0</v>
      </c>
      <c r="DW150" s="34" t="n">
        <f aca="false">IF(DW$7=1,DW$107,DV$150+DW$107)</f>
        <v>0</v>
      </c>
      <c r="DX150" s="34" t="n">
        <f aca="false">IF(DX$7=1,DX$107,DW$150+DX$107)</f>
        <v>0</v>
      </c>
      <c r="DY150" s="34" t="n">
        <f aca="false">IF(DY$7=1,DY$107,DX$150+DY$107)</f>
        <v>0</v>
      </c>
      <c r="DZ150" s="34" t="n">
        <f aca="false">IF(DZ$7=1,DZ$107,DY$150+DZ$107)</f>
        <v>0</v>
      </c>
      <c r="EA150" s="34" t="n">
        <f aca="false">IF(EA$7=1,EA$107,DZ$150+EA$107)</f>
        <v>0</v>
      </c>
      <c r="EB150" s="34" t="n">
        <f aca="false">IF(EB$7=1,EB$107,EA$150+EB$107)</f>
        <v>0</v>
      </c>
      <c r="EC150" s="34" t="n">
        <f aca="false">IF(EC$7=1,EC$107,EB$150+EC$107)</f>
        <v>0</v>
      </c>
      <c r="ED150" s="34" t="n">
        <f aca="false">IF(ED$7=1,ED$107,EC$150+ED$107)</f>
        <v>0</v>
      </c>
      <c r="EE150" s="34" t="n">
        <f aca="false">IF(EE$7=1,EE$107,ED$150+EE$107)</f>
        <v>0</v>
      </c>
      <c r="EF150" s="34" t="n">
        <f aca="false">IF(EF$7=1,EF$107,EE$150+EF$107)</f>
        <v>0</v>
      </c>
      <c r="EG150" s="34" t="n">
        <f aca="false">IF(EG$7=1,EG$107,EF$150+EG$107)</f>
        <v>0</v>
      </c>
      <c r="EH150" s="34" t="n">
        <f aca="false">IF(EH$7=1,EH$107,EG$150+EH$107)</f>
        <v>0</v>
      </c>
      <c r="EI150" s="34" t="n">
        <f aca="false">IF(EI$7=1,EI$107,EH$150+EI$107)</f>
        <v>0</v>
      </c>
      <c r="EJ150" s="34" t="n">
        <f aca="false">IF(EJ$7=1,EJ$107,EI$150+EJ$107)</f>
        <v>0</v>
      </c>
      <c r="EK150" s="34" t="n">
        <f aca="false">IF(EK$7=1,EK$107,EJ$150+EK$107)</f>
        <v>0</v>
      </c>
      <c r="EL150" s="34" t="n">
        <f aca="false">IF(EL$7=1,EL$107,EK$150+EL$107)</f>
        <v>0</v>
      </c>
      <c r="EM150" s="34" t="n">
        <f aca="false">IF(EM$7=1,EM$107,EL$150+EM$107)</f>
        <v>0</v>
      </c>
      <c r="EN150" s="34" t="n">
        <f aca="false">IF(EN$7=1,EN$107,EM$150+EN$107)</f>
        <v>0</v>
      </c>
      <c r="EO150" s="34" t="n">
        <f aca="false">IF(EO$7=1,EO$107,EN$150+EO$107)</f>
        <v>0</v>
      </c>
      <c r="EP150" s="34" t="n">
        <f aca="false">IF(EP$7=1,EP$107,EO$150+EP$107)</f>
        <v>0</v>
      </c>
      <c r="EQ150" s="34" t="n">
        <f aca="false">IF(EQ$7=1,EQ$107,EP$150+EQ$107)</f>
        <v>0</v>
      </c>
      <c r="ER150" s="34" t="n">
        <f aca="false">IF(ER$7=1,ER$107,EQ$150+ER$107)</f>
        <v>0</v>
      </c>
      <c r="ES150" s="34" t="n">
        <f aca="false">IF(ES$7=1,ES$107,ER$150+ES$107)</f>
        <v>0</v>
      </c>
    </row>
    <row r="151" customFormat="false" ht="15" hidden="false" customHeight="false" outlineLevel="0" collapsed="false">
      <c r="A151" s="2" t="s">
        <v>783</v>
      </c>
      <c r="B151" s="6" t="s">
        <v>784</v>
      </c>
      <c r="C151" s="6" t="s">
        <v>250</v>
      </c>
      <c r="F151" s="34" t="n">
        <f aca="false">0</f>
        <v>0</v>
      </c>
      <c r="G151" s="34" t="n">
        <f aca="false">IF(G$7=1,F$150,F$151)</f>
        <v>0</v>
      </c>
      <c r="H151" s="34" t="n">
        <f aca="false">IF(H$7=1,G$150,G$151)</f>
        <v>0</v>
      </c>
      <c r="I151" s="34" t="n">
        <f aca="false">IF(I$7=1,H$150,H$151)</f>
        <v>0</v>
      </c>
      <c r="J151" s="34" t="n">
        <f aca="false">IF(J$7=1,I$150,I$151)</f>
        <v>0</v>
      </c>
      <c r="K151" s="34" t="n">
        <f aca="false">IF(K$7=1,J$150,J$151)</f>
        <v>0</v>
      </c>
      <c r="L151" s="34" t="n">
        <f aca="false">IF(L$7=1,K$150,K$151)</f>
        <v>0</v>
      </c>
      <c r="M151" s="34" t="n">
        <f aca="false">IF(M$7=1,L$150,L$151)</f>
        <v>0</v>
      </c>
      <c r="N151" s="34" t="n">
        <f aca="false">IF(N$7=1,M$150,M$151)</f>
        <v>0</v>
      </c>
      <c r="O151" s="34" t="n">
        <f aca="false">IF(O$7=1,N$150,N$151)</f>
        <v>0</v>
      </c>
      <c r="P151" s="34" t="n">
        <f aca="false">IF(P$7=1,O$150,O$151)</f>
        <v>0</v>
      </c>
      <c r="Q151" s="34" t="n">
        <f aca="false">IF(Q$7=1,P$150,P$151)</f>
        <v>0</v>
      </c>
      <c r="R151" s="34" t="n">
        <f aca="false">IF(R$7=1,Q$150,Q$151)</f>
        <v>167275.864276051</v>
      </c>
      <c r="S151" s="34" t="n">
        <f aca="false">IF(S$7=1,R$150,R$151)</f>
        <v>167275.864276051</v>
      </c>
      <c r="T151" s="34" t="n">
        <f aca="false">IF(T$7=1,S$150,S$151)</f>
        <v>167275.864276051</v>
      </c>
      <c r="U151" s="34" t="n">
        <f aca="false">IF(U$7=1,T$150,T$151)</f>
        <v>167275.864276051</v>
      </c>
      <c r="V151" s="34" t="n">
        <f aca="false">IF(V$7=1,U$150,U$151)</f>
        <v>167275.864276051</v>
      </c>
      <c r="W151" s="34" t="n">
        <f aca="false">IF(W$7=1,V$150,V$151)</f>
        <v>167275.864276051</v>
      </c>
      <c r="X151" s="34" t="n">
        <f aca="false">IF(X$7=1,W$150,W$151)</f>
        <v>167275.864276051</v>
      </c>
      <c r="Y151" s="34" t="n">
        <f aca="false">IF(Y$7=1,X$150,X$151)</f>
        <v>167275.864276051</v>
      </c>
      <c r="Z151" s="34" t="n">
        <f aca="false">IF(Z$7=1,Y$150,Y$151)</f>
        <v>167275.864276051</v>
      </c>
      <c r="AA151" s="34" t="n">
        <f aca="false">IF(AA$7=1,Z$150,Z$151)</f>
        <v>167275.864276051</v>
      </c>
      <c r="AB151" s="34" t="n">
        <f aca="false">IF(AB$7=1,AA$150,AA$151)</f>
        <v>167275.864276051</v>
      </c>
      <c r="AC151" s="34" t="n">
        <f aca="false">IF(AC$7=1,AB$150,AB$151)</f>
        <v>167275.864276051</v>
      </c>
      <c r="AD151" s="34" t="n">
        <f aca="false">IF(AD$7=1,AC$150,AC$151)</f>
        <v>658090.372806125</v>
      </c>
      <c r="AE151" s="34" t="n">
        <f aca="false">IF(AE$7=1,AD$150,AD$151)</f>
        <v>658090.372806125</v>
      </c>
      <c r="AF151" s="34" t="n">
        <f aca="false">IF(AF$7=1,AE$150,AE$151)</f>
        <v>658090.372806125</v>
      </c>
      <c r="AG151" s="34" t="n">
        <f aca="false">IF(AG$7=1,AF$150,AF$151)</f>
        <v>658090.372806125</v>
      </c>
      <c r="AH151" s="34" t="n">
        <f aca="false">IF(AH$7=1,AG$150,AG$151)</f>
        <v>658090.372806125</v>
      </c>
      <c r="AI151" s="34" t="n">
        <f aca="false">IF(AI$7=1,AH$150,AH$151)</f>
        <v>658090.372806125</v>
      </c>
      <c r="AJ151" s="34" t="n">
        <f aca="false">IF(AJ$7=1,AI$150,AI$151)</f>
        <v>658090.372806125</v>
      </c>
      <c r="AK151" s="34" t="n">
        <f aca="false">IF(AK$7=1,AJ$150,AJ$151)</f>
        <v>658090.372806125</v>
      </c>
      <c r="AL151" s="34" t="n">
        <f aca="false">IF(AL$7=1,AK$150,AK$151)</f>
        <v>658090.372806125</v>
      </c>
      <c r="AM151" s="34" t="n">
        <f aca="false">IF(AM$7=1,AL$150,AL$151)</f>
        <v>658090.372806125</v>
      </c>
      <c r="AN151" s="34" t="n">
        <f aca="false">IF(AN$7=1,AM$150,AM$151)</f>
        <v>658090.372806125</v>
      </c>
      <c r="AO151" s="34" t="n">
        <f aca="false">IF(AO$7=1,AN$150,AN$151)</f>
        <v>658090.372806125</v>
      </c>
      <c r="AP151" s="34" t="n">
        <f aca="false">IF(AP$7=1,AO$150,AO$151)</f>
        <v>1154012.18844033</v>
      </c>
      <c r="AQ151" s="34" t="n">
        <f aca="false">IF(AQ$7=1,AP$150,AP$151)</f>
        <v>1154012.18844033</v>
      </c>
      <c r="AR151" s="34" t="n">
        <f aca="false">IF(AR$7=1,AQ$150,AQ$151)</f>
        <v>1154012.18844033</v>
      </c>
      <c r="AS151" s="34" t="n">
        <f aca="false">IF(AS$7=1,AR$150,AR$151)</f>
        <v>1154012.18844033</v>
      </c>
      <c r="AT151" s="34" t="n">
        <f aca="false">IF(AT$7=1,AS$150,AS$151)</f>
        <v>1154012.18844033</v>
      </c>
      <c r="AU151" s="34" t="n">
        <f aca="false">IF(AU$7=1,AT$150,AT$151)</f>
        <v>1154012.18844033</v>
      </c>
      <c r="AV151" s="34" t="n">
        <f aca="false">IF(AV$7=1,AU$150,AU$151)</f>
        <v>1154012.18844033</v>
      </c>
      <c r="AW151" s="34" t="n">
        <f aca="false">IF(AW$7=1,AV$150,AV$151)</f>
        <v>1154012.18844033</v>
      </c>
      <c r="AX151" s="34" t="n">
        <f aca="false">IF(AX$7=1,AW$150,AW$151)</f>
        <v>1154012.18844033</v>
      </c>
      <c r="AY151" s="34" t="n">
        <f aca="false">IF(AY$7=1,AX$150,AX$151)</f>
        <v>1154012.18844033</v>
      </c>
      <c r="AZ151" s="34" t="n">
        <f aca="false">IF(AZ$7=1,AY$150,AY$151)</f>
        <v>1154012.18844033</v>
      </c>
      <c r="BA151" s="34" t="n">
        <f aca="false">IF(BA$7=1,AZ$150,AZ$151)</f>
        <v>1154012.18844033</v>
      </c>
      <c r="BB151" s="34" t="n">
        <f aca="false">IF(BB$7=1,BA$150,BA$151)</f>
        <v>1609906.75676184</v>
      </c>
      <c r="BC151" s="34" t="n">
        <f aca="false">IF(BC$7=1,BB$150,BB$151)</f>
        <v>1609906.75676184</v>
      </c>
      <c r="BD151" s="34" t="n">
        <f aca="false">IF(BD$7=1,BC$150,BC$151)</f>
        <v>1609906.75676184</v>
      </c>
      <c r="BE151" s="34" t="n">
        <f aca="false">IF(BE$7=1,BD$150,BD$151)</f>
        <v>1609906.75676184</v>
      </c>
      <c r="BF151" s="34" t="n">
        <f aca="false">IF(BF$7=1,BE$150,BE$151)</f>
        <v>1609906.75676184</v>
      </c>
      <c r="BG151" s="34" t="n">
        <f aca="false">IF(BG$7=1,BF$150,BF$151)</f>
        <v>1609906.75676184</v>
      </c>
      <c r="BH151" s="34" t="n">
        <f aca="false">IF(BH$7=1,BG$150,BG$151)</f>
        <v>1609906.75676184</v>
      </c>
      <c r="BI151" s="34" t="n">
        <f aca="false">IF(BI$7=1,BH$150,BH$151)</f>
        <v>1609906.75676184</v>
      </c>
      <c r="BJ151" s="34" t="n">
        <f aca="false">IF(BJ$7=1,BI$150,BI$151)</f>
        <v>1609906.75676184</v>
      </c>
      <c r="BK151" s="34" t="n">
        <f aca="false">IF(BK$7=1,BJ$150,BJ$151)</f>
        <v>1609906.75676184</v>
      </c>
      <c r="BL151" s="34" t="n">
        <f aca="false">IF(BL$7=1,BK$150,BK$151)</f>
        <v>1609906.75676184</v>
      </c>
      <c r="BM151" s="34" t="n">
        <f aca="false">IF(BM$7=1,BL$150,BL$151)</f>
        <v>1609906.75676184</v>
      </c>
      <c r="BN151" s="34" t="n">
        <f aca="false">IF(BN$7=1,BM$150,BM$151)</f>
        <v>1693767.79358213</v>
      </c>
      <c r="BO151" s="34" t="n">
        <f aca="false">IF(BO$7=1,BN$150,BN$151)</f>
        <v>1693767.79358213</v>
      </c>
      <c r="BP151" s="34" t="n">
        <f aca="false">IF(BP$7=1,BO$150,BO$151)</f>
        <v>1693767.79358213</v>
      </c>
      <c r="BQ151" s="34" t="n">
        <f aca="false">IF(BQ$7=1,BP$150,BP$151)</f>
        <v>1693767.79358213</v>
      </c>
      <c r="BR151" s="34" t="n">
        <f aca="false">IF(BR$7=1,BQ$150,BQ$151)</f>
        <v>1693767.79358213</v>
      </c>
      <c r="BS151" s="34" t="n">
        <f aca="false">IF(BS$7=1,BR$150,BR$151)</f>
        <v>1693767.79358213</v>
      </c>
      <c r="BT151" s="34" t="n">
        <f aca="false">IF(BT$7=1,BS$150,BS$151)</f>
        <v>1693767.79358213</v>
      </c>
      <c r="BU151" s="34" t="n">
        <f aca="false">IF(BU$7=1,BT$150,BT$151)</f>
        <v>1693767.79358213</v>
      </c>
      <c r="BV151" s="34" t="n">
        <f aca="false">IF(BV$7=1,BU$150,BU$151)</f>
        <v>1693767.79358213</v>
      </c>
      <c r="BW151" s="34" t="n">
        <f aca="false">IF(BW$7=1,BV$150,BV$151)</f>
        <v>1693767.79358213</v>
      </c>
      <c r="BX151" s="34" t="n">
        <f aca="false">IF(BX$7=1,BW$150,BW$151)</f>
        <v>1693767.79358213</v>
      </c>
      <c r="BY151" s="34" t="n">
        <f aca="false">IF(BY$7=1,BX$150,BX$151)</f>
        <v>1693767.79358213</v>
      </c>
      <c r="BZ151" s="34" t="n">
        <f aca="false">IF(BZ$7=1,BY$150,BY$151)</f>
        <v>1794188.69257391</v>
      </c>
      <c r="CA151" s="34" t="n">
        <f aca="false">IF(CA$7=1,BZ$150,BZ$151)</f>
        <v>1794188.69257391</v>
      </c>
      <c r="CB151" s="34" t="n">
        <f aca="false">IF(CB$7=1,CA$150,CA$151)</f>
        <v>1794188.69257391</v>
      </c>
      <c r="CC151" s="34" t="n">
        <f aca="false">IF(CC$7=1,CB$150,CB$151)</f>
        <v>1794188.69257391</v>
      </c>
      <c r="CD151" s="34" t="n">
        <f aca="false">IF(CD$7=1,CC$150,CC$151)</f>
        <v>1794188.69257391</v>
      </c>
      <c r="CE151" s="34" t="n">
        <f aca="false">IF(CE$7=1,CD$150,CD$151)</f>
        <v>1794188.69257391</v>
      </c>
      <c r="CF151" s="34" t="n">
        <f aca="false">IF(CF$7=1,CE$150,CE$151)</f>
        <v>1794188.69257391</v>
      </c>
      <c r="CG151" s="34" t="n">
        <f aca="false">IF(CG$7=1,CF$150,CF$151)</f>
        <v>1794188.69257391</v>
      </c>
      <c r="CH151" s="34" t="n">
        <f aca="false">IF(CH$7=1,CG$150,CG$151)</f>
        <v>1794188.69257391</v>
      </c>
      <c r="CI151" s="34" t="n">
        <f aca="false">IF(CI$7=1,CH$150,CH$151)</f>
        <v>1794188.69257391</v>
      </c>
      <c r="CJ151" s="34" t="n">
        <f aca="false">IF(CJ$7=1,CI$150,CI$151)</f>
        <v>1794188.69257391</v>
      </c>
      <c r="CK151" s="34" t="n">
        <f aca="false">IF(CK$7=1,CJ$150,CJ$151)</f>
        <v>1794188.69257391</v>
      </c>
      <c r="CL151" s="34" t="n">
        <f aca="false">IF(CL$7=1,CK$150,CK$151)</f>
        <v>1843575.6608728</v>
      </c>
      <c r="CM151" s="34" t="n">
        <f aca="false">IF(CM$7=1,CL$150,CL$151)</f>
        <v>1843575.6608728</v>
      </c>
      <c r="CN151" s="34" t="n">
        <f aca="false">IF(CN$7=1,CM$150,CM$151)</f>
        <v>1843575.6608728</v>
      </c>
      <c r="CO151" s="34" t="n">
        <f aca="false">IF(CO$7=1,CN$150,CN$151)</f>
        <v>1843575.6608728</v>
      </c>
      <c r="CP151" s="34" t="n">
        <f aca="false">IF(CP$7=1,CO$150,CO$151)</f>
        <v>1843575.6608728</v>
      </c>
      <c r="CQ151" s="34" t="n">
        <f aca="false">IF(CQ$7=1,CP$150,CP$151)</f>
        <v>1843575.6608728</v>
      </c>
      <c r="CR151" s="34" t="n">
        <f aca="false">IF(CR$7=1,CQ$150,CQ$151)</f>
        <v>1843575.6608728</v>
      </c>
      <c r="CS151" s="34" t="n">
        <f aca="false">IF(CS$7=1,CR$150,CR$151)</f>
        <v>1843575.6608728</v>
      </c>
      <c r="CT151" s="34" t="n">
        <f aca="false">IF(CT$7=1,CS$150,CS$151)</f>
        <v>1843575.6608728</v>
      </c>
      <c r="CU151" s="34" t="n">
        <f aca="false">IF(CU$7=1,CT$150,CT$151)</f>
        <v>1843575.6608728</v>
      </c>
      <c r="CV151" s="34" t="n">
        <f aca="false">IF(CV$7=1,CU$150,CU$151)</f>
        <v>1843575.6608728</v>
      </c>
      <c r="CW151" s="34" t="n">
        <f aca="false">IF(CW$7=1,CV$150,CV$151)</f>
        <v>1843575.6608728</v>
      </c>
      <c r="CX151" s="34" t="n">
        <f aca="false">IF(CX$7=1,CW$150,CW$151)</f>
        <v>1893301.21355545</v>
      </c>
      <c r="CY151" s="34" t="n">
        <f aca="false">IF(CY$7=1,CX$150,CX$151)</f>
        <v>1893301.21355545</v>
      </c>
      <c r="CZ151" s="34" t="n">
        <f aca="false">IF(CZ$7=1,CY$150,CY$151)</f>
        <v>1893301.21355545</v>
      </c>
      <c r="DA151" s="34" t="n">
        <f aca="false">IF(DA$7=1,CZ$150,CZ$151)</f>
        <v>1893301.21355545</v>
      </c>
      <c r="DB151" s="34" t="n">
        <f aca="false">IF(DB$7=1,DA$150,DA$151)</f>
        <v>1893301.21355545</v>
      </c>
      <c r="DC151" s="34" t="n">
        <f aca="false">IF(DC$7=1,DB$150,DB$151)</f>
        <v>1893301.21355545</v>
      </c>
      <c r="DD151" s="34" t="n">
        <f aca="false">IF(DD$7=1,DC$150,DC$151)</f>
        <v>1893301.21355545</v>
      </c>
      <c r="DE151" s="34" t="n">
        <f aca="false">IF(DE$7=1,DD$150,DD$151)</f>
        <v>1893301.21355545</v>
      </c>
      <c r="DF151" s="34" t="n">
        <f aca="false">IF(DF$7=1,DE$150,DE$151)</f>
        <v>1893301.21355545</v>
      </c>
      <c r="DG151" s="34" t="n">
        <f aca="false">IF(DG$7=1,DF$150,DF$151)</f>
        <v>1893301.21355545</v>
      </c>
      <c r="DH151" s="34" t="n">
        <f aca="false">IF(DH$7=1,DG$150,DG$151)</f>
        <v>1893301.21355545</v>
      </c>
      <c r="DI151" s="34" t="n">
        <f aca="false">IF(DI$7=1,DH$150,DH$151)</f>
        <v>1893301.21355545</v>
      </c>
      <c r="DJ151" s="34" t="n">
        <f aca="false">IF(DJ$7=1,DI$150,DI$151)</f>
        <v>1943364.14678689</v>
      </c>
      <c r="DK151" s="34" t="n">
        <f aca="false">IF(DK$7=1,DJ$150,DJ$151)</f>
        <v>1943364.14678689</v>
      </c>
      <c r="DL151" s="34" t="n">
        <f aca="false">IF(DL$7=1,DK$150,DK$151)</f>
        <v>1943364.14678689</v>
      </c>
      <c r="DM151" s="34" t="n">
        <f aca="false">IF(DM$7=1,DL$150,DL$151)</f>
        <v>1943364.14678689</v>
      </c>
      <c r="DN151" s="34" t="n">
        <f aca="false">IF(DN$7=1,DM$150,DM$151)</f>
        <v>1943364.14678689</v>
      </c>
      <c r="DO151" s="34" t="n">
        <f aca="false">IF(DO$7=1,DN$150,DN$151)</f>
        <v>1943364.14678689</v>
      </c>
      <c r="DP151" s="34" t="n">
        <f aca="false">IF(DP$7=1,DO$150,DO$151)</f>
        <v>1943364.14678689</v>
      </c>
      <c r="DQ151" s="34" t="n">
        <f aca="false">IF(DQ$7=1,DP$150,DP$151)</f>
        <v>1943364.14678689</v>
      </c>
      <c r="DR151" s="34" t="n">
        <f aca="false">IF(DR$7=1,DQ$150,DQ$151)</f>
        <v>1943364.14678689</v>
      </c>
      <c r="DS151" s="34" t="n">
        <f aca="false">IF(DS$7=1,DR$150,DR$151)</f>
        <v>1943364.14678689</v>
      </c>
      <c r="DT151" s="34" t="n">
        <f aca="false">IF(DT$7=1,DS$150,DS$151)</f>
        <v>1943364.14678689</v>
      </c>
      <c r="DU151" s="34" t="n">
        <f aca="false">IF(DU$7=1,DT$150,DT$151)</f>
        <v>1943364.14678689</v>
      </c>
      <c r="DV151" s="34" t="n">
        <f aca="false">IF(DV$7=1,DU$150,DU$151)</f>
        <v>1993763.10838103</v>
      </c>
      <c r="DW151" s="34" t="n">
        <f aca="false">IF(DW$7=1,DV$150,DV$151)</f>
        <v>1993763.10838103</v>
      </c>
      <c r="DX151" s="34" t="n">
        <f aca="false">IF(DX$7=1,DW$150,DW$151)</f>
        <v>1993763.10838103</v>
      </c>
      <c r="DY151" s="34" t="n">
        <f aca="false">IF(DY$7=1,DX$150,DX$151)</f>
        <v>1993763.10838103</v>
      </c>
      <c r="DZ151" s="34" t="n">
        <f aca="false">IF(DZ$7=1,DY$150,DY$151)</f>
        <v>1993763.10838103</v>
      </c>
      <c r="EA151" s="34" t="n">
        <f aca="false">IF(EA$7=1,DZ$150,DZ$151)</f>
        <v>1993763.10838103</v>
      </c>
      <c r="EB151" s="34" t="n">
        <f aca="false">IF(EB$7=1,EA$150,EA$151)</f>
        <v>1993763.10838103</v>
      </c>
      <c r="EC151" s="34" t="n">
        <f aca="false">IF(EC$7=1,EB$150,EB$151)</f>
        <v>1993763.10838103</v>
      </c>
      <c r="ED151" s="34" t="n">
        <f aca="false">IF(ED$7=1,EC$150,EC$151)</f>
        <v>1993763.10838103</v>
      </c>
      <c r="EE151" s="34" t="n">
        <f aca="false">IF(EE$7=1,ED$150,ED$151)</f>
        <v>1993763.10838103</v>
      </c>
      <c r="EF151" s="34" t="n">
        <f aca="false">IF(EF$7=1,EE$150,EE$151)</f>
        <v>1993763.10838103</v>
      </c>
      <c r="EG151" s="34" t="n">
        <f aca="false">IF(EG$7=1,EF$150,EF$151)</f>
        <v>1993763.10838103</v>
      </c>
      <c r="EH151" s="34" t="n">
        <f aca="false">IF(EH$7=1,EG$150,EG$151)</f>
        <v>0</v>
      </c>
      <c r="EI151" s="34" t="n">
        <f aca="false">IF(EI$7=1,EH$150,EH$151)</f>
        <v>0</v>
      </c>
      <c r="EJ151" s="34" t="n">
        <f aca="false">IF(EJ$7=1,EI$150,EI$151)</f>
        <v>0</v>
      </c>
      <c r="EK151" s="34" t="n">
        <f aca="false">IF(EK$7=1,EJ$150,EJ$151)</f>
        <v>0</v>
      </c>
      <c r="EL151" s="34" t="n">
        <f aca="false">IF(EL$7=1,EK$150,EK$151)</f>
        <v>0</v>
      </c>
      <c r="EM151" s="34" t="n">
        <f aca="false">IF(EM$7=1,EL$150,EL$151)</f>
        <v>0</v>
      </c>
      <c r="EN151" s="34" t="n">
        <f aca="false">IF(EN$7=1,EM$150,EM$151)</f>
        <v>0</v>
      </c>
      <c r="EO151" s="34" t="n">
        <f aca="false">IF(EO$7=1,EN$150,EN$151)</f>
        <v>0</v>
      </c>
      <c r="EP151" s="34" t="n">
        <f aca="false">IF(EP$7=1,EO$150,EO$151)</f>
        <v>0</v>
      </c>
      <c r="EQ151" s="34" t="n">
        <f aca="false">IF(EQ$7=1,EP$150,EP$151)</f>
        <v>0</v>
      </c>
      <c r="ER151" s="34" t="n">
        <f aca="false">IF(ER$7=1,EQ$150,EQ$151)</f>
        <v>0</v>
      </c>
      <c r="ES151" s="34" t="n">
        <f aca="false">IF(ES$7=1,ER$150,ER$151)</f>
        <v>0</v>
      </c>
    </row>
    <row r="152" customFormat="false" ht="15" hidden="false" customHeight="false" outlineLevel="0" collapsed="false">
      <c r="A152" s="2" t="s">
        <v>785</v>
      </c>
      <c r="B152" s="6" t="s">
        <v>786</v>
      </c>
      <c r="C152" s="6" t="s">
        <v>250</v>
      </c>
      <c r="E152" s="40" t="n">
        <f aca="false">SUM(F152:ES152)</f>
        <v>10319354.5422842</v>
      </c>
      <c r="F152" s="34" t="n">
        <f aca="false">IF(AND(F$7=MAX(1,P_MesDiv),F$6&gt;=2),INDEX(Payout_O,1,MIN(10,F$6-1))*MAX(0,F$151),0)*F$9</f>
        <v>0</v>
      </c>
      <c r="G152" s="34" t="n">
        <f aca="false">IF(AND(G$7=MAX(1,P_MesDiv),G$6&gt;=2),INDEX(Payout_O,1,MIN(10,G$6-1))*MAX(0,G$151),0)*G$9</f>
        <v>0</v>
      </c>
      <c r="H152" s="34" t="n">
        <f aca="false">IF(AND(H$7=MAX(1,P_MesDiv),H$6&gt;=2),INDEX(Payout_O,1,MIN(10,H$6-1))*MAX(0,H$151),0)*H$9</f>
        <v>0</v>
      </c>
      <c r="I152" s="34" t="n">
        <f aca="false">IF(AND(I$7=MAX(1,P_MesDiv),I$6&gt;=2),INDEX(Payout_O,1,MIN(10,I$6-1))*MAX(0,I$151),0)*I$9</f>
        <v>0</v>
      </c>
      <c r="J152" s="34" t="n">
        <f aca="false">IF(AND(J$7=MAX(1,P_MesDiv),J$6&gt;=2),INDEX(Payout_O,1,MIN(10,J$6-1))*MAX(0,J$151),0)*J$9</f>
        <v>0</v>
      </c>
      <c r="K152" s="34" t="n">
        <f aca="false">IF(AND(K$7=MAX(1,P_MesDiv),K$6&gt;=2),INDEX(Payout_O,1,MIN(10,K$6-1))*MAX(0,K$151),0)*K$9</f>
        <v>0</v>
      </c>
      <c r="L152" s="34" t="n">
        <f aca="false">IF(AND(L$7=MAX(1,P_MesDiv),L$6&gt;=2),INDEX(Payout_O,1,MIN(10,L$6-1))*MAX(0,L$151),0)*L$9</f>
        <v>0</v>
      </c>
      <c r="M152" s="34" t="n">
        <f aca="false">IF(AND(M$7=MAX(1,P_MesDiv),M$6&gt;=2),INDEX(Payout_O,1,MIN(10,M$6-1))*MAX(0,M$151),0)*M$9</f>
        <v>0</v>
      </c>
      <c r="N152" s="34" t="n">
        <f aca="false">IF(AND(N$7=MAX(1,P_MesDiv),N$6&gt;=2),INDEX(Payout_O,1,MIN(10,N$6-1))*MAX(0,N$151),0)*N$9</f>
        <v>0</v>
      </c>
      <c r="O152" s="34" t="n">
        <f aca="false">IF(AND(O$7=MAX(1,P_MesDiv),O$6&gt;=2),INDEX(Payout_O,1,MIN(10,O$6-1))*MAX(0,O$151),0)*O$9</f>
        <v>0</v>
      </c>
      <c r="P152" s="34" t="n">
        <f aca="false">IF(AND(P$7=MAX(1,P_MesDiv),P$6&gt;=2),INDEX(Payout_O,1,MIN(10,P$6-1))*MAX(0,P$151),0)*P$9</f>
        <v>0</v>
      </c>
      <c r="Q152" s="34" t="n">
        <f aca="false">IF(AND(Q$7=MAX(1,P_MesDiv),Q$6&gt;=2),INDEX(Payout_O,1,MIN(10,Q$6-1))*MAX(0,Q$151),0)*Q$9</f>
        <v>0</v>
      </c>
      <c r="R152" s="34" t="n">
        <f aca="false">IF(AND(R$7=MAX(1,P_MesDiv),R$6&gt;=2),INDEX(Payout_O,1,MIN(10,R$6-1))*MAX(0,R$151),0)*R$9</f>
        <v>0</v>
      </c>
      <c r="S152" s="34" t="n">
        <f aca="false">IF(AND(S$7=MAX(1,P_MesDiv),S$6&gt;=2),INDEX(Payout_O,1,MIN(10,S$6-1))*MAX(0,S$151),0)*S$9</f>
        <v>0</v>
      </c>
      <c r="T152" s="34" t="n">
        <f aca="false">IF(AND(T$7=MAX(1,P_MesDiv),T$6&gt;=2),INDEX(Payout_O,1,MIN(10,T$6-1))*MAX(0,T$151),0)*T$9</f>
        <v>0</v>
      </c>
      <c r="U152" s="34" t="n">
        <f aca="false">IF(AND(U$7=MAX(1,P_MesDiv),U$6&gt;=2),INDEX(Payout_O,1,MIN(10,U$6-1))*MAX(0,U$151),0)*U$9</f>
        <v>0</v>
      </c>
      <c r="V152" s="34" t="n">
        <f aca="false">IF(AND(V$7=MAX(1,P_MesDiv),V$6&gt;=2),INDEX(Payout_O,1,MIN(10,V$6-1))*MAX(0,V$151),0)*V$9</f>
        <v>0</v>
      </c>
      <c r="W152" s="34" t="n">
        <f aca="false">IF(AND(W$7=MAX(1,P_MesDiv),W$6&gt;=2),INDEX(Payout_O,1,MIN(10,W$6-1))*MAX(0,W$151),0)*W$9</f>
        <v>0</v>
      </c>
      <c r="X152" s="34" t="n">
        <f aca="false">IF(AND(X$7=MAX(1,P_MesDiv),X$6&gt;=2),INDEX(Payout_O,1,MIN(10,X$6-1))*MAX(0,X$151),0)*X$9</f>
        <v>0</v>
      </c>
      <c r="Y152" s="34" t="n">
        <f aca="false">IF(AND(Y$7=MAX(1,P_MesDiv),Y$6&gt;=2),INDEX(Payout_O,1,MIN(10,Y$6-1))*MAX(0,Y$151),0)*Y$9</f>
        <v>0</v>
      </c>
      <c r="Z152" s="34" t="n">
        <f aca="false">IF(AND(Z$7=MAX(1,P_MesDiv),Z$6&gt;=2),INDEX(Payout_O,1,MIN(10,Z$6-1))*MAX(0,Z$151),0)*Z$9</f>
        <v>0</v>
      </c>
      <c r="AA152" s="34" t="n">
        <f aca="false">IF(AND(AA$7=MAX(1,P_MesDiv),AA$6&gt;=2),INDEX(Payout_O,1,MIN(10,AA$6-1))*MAX(0,AA$151),0)*AA$9</f>
        <v>0</v>
      </c>
      <c r="AB152" s="34" t="n">
        <f aca="false">IF(AND(AB$7=MAX(1,P_MesDiv),AB$6&gt;=2),INDEX(Payout_O,1,MIN(10,AB$6-1))*MAX(0,AB$151),0)*AB$9</f>
        <v>0</v>
      </c>
      <c r="AC152" s="34" t="n">
        <f aca="false">IF(AND(AC$7=MAX(1,P_MesDiv),AC$6&gt;=2),INDEX(Payout_O,1,MIN(10,AC$6-1))*MAX(0,AC$151),0)*AC$9</f>
        <v>0</v>
      </c>
      <c r="AD152" s="34" t="n">
        <f aca="false">IF(AND(AD$7=MAX(1,P_MesDiv),AD$6&gt;=2),INDEX(Payout_O,1,MIN(10,AD$6-1))*MAX(0,AD$151),0)*AD$9</f>
        <v>0</v>
      </c>
      <c r="AE152" s="34" t="n">
        <f aca="false">IF(AND(AE$7=MAX(1,P_MesDiv),AE$6&gt;=2),INDEX(Payout_O,1,MIN(10,AE$6-1))*MAX(0,AE$151),0)*AE$9</f>
        <v>0</v>
      </c>
      <c r="AF152" s="34" t="n">
        <f aca="false">IF(AND(AF$7=MAX(1,P_MesDiv),AF$6&gt;=2),INDEX(Payout_O,1,MIN(10,AF$6-1))*MAX(0,AF$151),0)*AF$9</f>
        <v>0</v>
      </c>
      <c r="AG152" s="34" t="n">
        <f aca="false">IF(AND(AG$7=MAX(1,P_MesDiv),AG$6&gt;=2),INDEX(Payout_O,1,MIN(10,AG$6-1))*MAX(0,AG$151),0)*AG$9</f>
        <v>0</v>
      </c>
      <c r="AH152" s="34" t="n">
        <f aca="false">IF(AND(AH$7=MAX(1,P_MesDiv),AH$6&gt;=2),INDEX(Payout_O,1,MIN(10,AH$6-1))*MAX(0,AH$151),0)*AH$9</f>
        <v>0</v>
      </c>
      <c r="AI152" s="34" t="n">
        <f aca="false">IF(AND(AI$7=MAX(1,P_MesDiv),AI$6&gt;=2),INDEX(Payout_O,1,MIN(10,AI$6-1))*MAX(0,AI$151),0)*AI$9</f>
        <v>0</v>
      </c>
      <c r="AJ152" s="34" t="n">
        <f aca="false">IF(AND(AJ$7=MAX(1,P_MesDiv),AJ$6&gt;=2),INDEX(Payout_O,1,MIN(10,AJ$6-1))*MAX(0,AJ$151),0)*AJ$9</f>
        <v>0</v>
      </c>
      <c r="AK152" s="34" t="n">
        <f aca="false">IF(AND(AK$7=MAX(1,P_MesDiv),AK$6&gt;=2),INDEX(Payout_O,1,MIN(10,AK$6-1))*MAX(0,AK$151),0)*AK$9</f>
        <v>0</v>
      </c>
      <c r="AL152" s="34" t="n">
        <f aca="false">IF(AND(AL$7=MAX(1,P_MesDiv),AL$6&gt;=2),INDEX(Payout_O,1,MIN(10,AL$6-1))*MAX(0,AL$151),0)*AL$9</f>
        <v>0</v>
      </c>
      <c r="AM152" s="34" t="n">
        <f aca="false">IF(AND(AM$7=MAX(1,P_MesDiv),AM$6&gt;=2),INDEX(Payout_O,1,MIN(10,AM$6-1))*MAX(0,AM$151),0)*AM$9</f>
        <v>0</v>
      </c>
      <c r="AN152" s="34" t="n">
        <f aca="false">IF(AND(AN$7=MAX(1,P_MesDiv),AN$6&gt;=2),INDEX(Payout_O,1,MIN(10,AN$6-1))*MAX(0,AN$151),0)*AN$9</f>
        <v>0</v>
      </c>
      <c r="AO152" s="34" t="n">
        <f aca="false">IF(AND(AO$7=MAX(1,P_MesDiv),AO$6&gt;=2),INDEX(Payout_O,1,MIN(10,AO$6-1))*MAX(0,AO$151),0)*AO$9</f>
        <v>0</v>
      </c>
      <c r="AP152" s="34" t="n">
        <f aca="false">IF(AND(AP$7=MAX(1,P_MesDiv),AP$6&gt;=2),INDEX(Payout_O,1,MIN(10,AP$6-1))*MAX(0,AP$151),0)*AP$9</f>
        <v>0</v>
      </c>
      <c r="AQ152" s="34" t="n">
        <f aca="false">IF(AND(AQ$7=MAX(1,P_MesDiv),AQ$6&gt;=2),INDEX(Payout_O,1,MIN(10,AQ$6-1))*MAX(0,AQ$151),0)*AQ$9</f>
        <v>0</v>
      </c>
      <c r="AR152" s="34" t="n">
        <f aca="false">IF(AND(AR$7=MAX(1,P_MesDiv),AR$6&gt;=2),INDEX(Payout_O,1,MIN(10,AR$6-1))*MAX(0,AR$151),0)*AR$9</f>
        <v>0</v>
      </c>
      <c r="AS152" s="34" t="n">
        <f aca="false">IF(AND(AS$7=MAX(1,P_MesDiv),AS$6&gt;=2),INDEX(Payout_O,1,MIN(10,AS$6-1))*MAX(0,AS$151),0)*AS$9</f>
        <v>346203.656532099</v>
      </c>
      <c r="AT152" s="34" t="n">
        <f aca="false">IF(AND(AT$7=MAX(1,P_MesDiv),AT$6&gt;=2),INDEX(Payout_O,1,MIN(10,AT$6-1))*MAX(0,AT$151),0)*AT$9</f>
        <v>0</v>
      </c>
      <c r="AU152" s="34" t="n">
        <f aca="false">IF(AND(AU$7=MAX(1,P_MesDiv),AU$6&gt;=2),INDEX(Payout_O,1,MIN(10,AU$6-1))*MAX(0,AU$151),0)*AU$9</f>
        <v>0</v>
      </c>
      <c r="AV152" s="34" t="n">
        <f aca="false">IF(AND(AV$7=MAX(1,P_MesDiv),AV$6&gt;=2),INDEX(Payout_O,1,MIN(10,AV$6-1))*MAX(0,AV$151),0)*AV$9</f>
        <v>0</v>
      </c>
      <c r="AW152" s="34" t="n">
        <f aca="false">IF(AND(AW$7=MAX(1,P_MesDiv),AW$6&gt;=2),INDEX(Payout_O,1,MIN(10,AW$6-1))*MAX(0,AW$151),0)*AW$9</f>
        <v>0</v>
      </c>
      <c r="AX152" s="34" t="n">
        <f aca="false">IF(AND(AX$7=MAX(1,P_MesDiv),AX$6&gt;=2),INDEX(Payout_O,1,MIN(10,AX$6-1))*MAX(0,AX$151),0)*AX$9</f>
        <v>0</v>
      </c>
      <c r="AY152" s="34" t="n">
        <f aca="false">IF(AND(AY$7=MAX(1,P_MesDiv),AY$6&gt;=2),INDEX(Payout_O,1,MIN(10,AY$6-1))*MAX(0,AY$151),0)*AY$9</f>
        <v>0</v>
      </c>
      <c r="AZ152" s="34" t="n">
        <f aca="false">IF(AND(AZ$7=MAX(1,P_MesDiv),AZ$6&gt;=2),INDEX(Payout_O,1,MIN(10,AZ$6-1))*MAX(0,AZ$151),0)*AZ$9</f>
        <v>0</v>
      </c>
      <c r="BA152" s="34" t="n">
        <f aca="false">IF(AND(BA$7=MAX(1,P_MesDiv),BA$6&gt;=2),INDEX(Payout_O,1,MIN(10,BA$6-1))*MAX(0,BA$151),0)*BA$9</f>
        <v>0</v>
      </c>
      <c r="BB152" s="34" t="n">
        <f aca="false">IF(AND(BB$7=MAX(1,P_MesDiv),BB$6&gt;=2),INDEX(Payout_O,1,MIN(10,BB$6-1))*MAX(0,BB$151),0)*BB$9</f>
        <v>0</v>
      </c>
      <c r="BC152" s="34" t="n">
        <f aca="false">IF(AND(BC$7=MAX(1,P_MesDiv),BC$6&gt;=2),INDEX(Payout_O,1,MIN(10,BC$6-1))*MAX(0,BC$151),0)*BC$9</f>
        <v>0</v>
      </c>
      <c r="BD152" s="34" t="n">
        <f aca="false">IF(AND(BD$7=MAX(1,P_MesDiv),BD$6&gt;=2),INDEX(Payout_O,1,MIN(10,BD$6-1))*MAX(0,BD$151),0)*BD$9</f>
        <v>0</v>
      </c>
      <c r="BE152" s="34" t="n">
        <f aca="false">IF(AND(BE$7=MAX(1,P_MesDiv),BE$6&gt;=2),INDEX(Payout_O,1,MIN(10,BE$6-1))*MAX(0,BE$151),0)*BE$9</f>
        <v>804953.378380922</v>
      </c>
      <c r="BF152" s="34" t="n">
        <f aca="false">IF(AND(BF$7=MAX(1,P_MesDiv),BF$6&gt;=2),INDEX(Payout_O,1,MIN(10,BF$6-1))*MAX(0,BF$151),0)*BF$9</f>
        <v>0</v>
      </c>
      <c r="BG152" s="34" t="n">
        <f aca="false">IF(AND(BG$7=MAX(1,P_MesDiv),BG$6&gt;=2),INDEX(Payout_O,1,MIN(10,BG$6-1))*MAX(0,BG$151),0)*BG$9</f>
        <v>0</v>
      </c>
      <c r="BH152" s="34" t="n">
        <f aca="false">IF(AND(BH$7=MAX(1,P_MesDiv),BH$6&gt;=2),INDEX(Payout_O,1,MIN(10,BH$6-1))*MAX(0,BH$151),0)*BH$9</f>
        <v>0</v>
      </c>
      <c r="BI152" s="34" t="n">
        <f aca="false">IF(AND(BI$7=MAX(1,P_MesDiv),BI$6&gt;=2),INDEX(Payout_O,1,MIN(10,BI$6-1))*MAX(0,BI$151),0)*BI$9</f>
        <v>0</v>
      </c>
      <c r="BJ152" s="34" t="n">
        <f aca="false">IF(AND(BJ$7=MAX(1,P_MesDiv),BJ$6&gt;=2),INDEX(Payout_O,1,MIN(10,BJ$6-1))*MAX(0,BJ$151),0)*BJ$9</f>
        <v>0</v>
      </c>
      <c r="BK152" s="34" t="n">
        <f aca="false">IF(AND(BK$7=MAX(1,P_MesDiv),BK$6&gt;=2),INDEX(Payout_O,1,MIN(10,BK$6-1))*MAX(0,BK$151),0)*BK$9</f>
        <v>0</v>
      </c>
      <c r="BL152" s="34" t="n">
        <f aca="false">IF(AND(BL$7=MAX(1,P_MesDiv),BL$6&gt;=2),INDEX(Payout_O,1,MIN(10,BL$6-1))*MAX(0,BL$151),0)*BL$9</f>
        <v>0</v>
      </c>
      <c r="BM152" s="34" t="n">
        <f aca="false">IF(AND(BM$7=MAX(1,P_MesDiv),BM$6&gt;=2),INDEX(Payout_O,1,MIN(10,BM$6-1))*MAX(0,BM$151),0)*BM$9</f>
        <v>0</v>
      </c>
      <c r="BN152" s="34" t="n">
        <f aca="false">IF(AND(BN$7=MAX(1,P_MesDiv),BN$6&gt;=2),INDEX(Payout_O,1,MIN(10,BN$6-1))*MAX(0,BN$151),0)*BN$9</f>
        <v>0</v>
      </c>
      <c r="BO152" s="34" t="n">
        <f aca="false">IF(AND(BO$7=MAX(1,P_MesDiv),BO$6&gt;=2),INDEX(Payout_O,1,MIN(10,BO$6-1))*MAX(0,BO$151),0)*BO$9</f>
        <v>0</v>
      </c>
      <c r="BP152" s="34" t="n">
        <f aca="false">IF(AND(BP$7=MAX(1,P_MesDiv),BP$6&gt;=2),INDEX(Payout_O,1,MIN(10,BP$6-1))*MAX(0,BP$151),0)*BP$9</f>
        <v>0</v>
      </c>
      <c r="BQ152" s="34" t="n">
        <f aca="false">IF(AND(BQ$7=MAX(1,P_MesDiv),BQ$6&gt;=2),INDEX(Payout_O,1,MIN(10,BQ$6-1))*MAX(0,BQ$151),0)*BQ$9</f>
        <v>1693767.79358213</v>
      </c>
      <c r="BR152" s="34" t="n">
        <f aca="false">IF(AND(BR$7=MAX(1,P_MesDiv),BR$6&gt;=2),INDEX(Payout_O,1,MIN(10,BR$6-1))*MAX(0,BR$151),0)*BR$9</f>
        <v>0</v>
      </c>
      <c r="BS152" s="34" t="n">
        <f aca="false">IF(AND(BS$7=MAX(1,P_MesDiv),BS$6&gt;=2),INDEX(Payout_O,1,MIN(10,BS$6-1))*MAX(0,BS$151),0)*BS$9</f>
        <v>0</v>
      </c>
      <c r="BT152" s="34" t="n">
        <f aca="false">IF(AND(BT$7=MAX(1,P_MesDiv),BT$6&gt;=2),INDEX(Payout_O,1,MIN(10,BT$6-1))*MAX(0,BT$151),0)*BT$9</f>
        <v>0</v>
      </c>
      <c r="BU152" s="34" t="n">
        <f aca="false">IF(AND(BU$7=MAX(1,P_MesDiv),BU$6&gt;=2),INDEX(Payout_O,1,MIN(10,BU$6-1))*MAX(0,BU$151),0)*BU$9</f>
        <v>0</v>
      </c>
      <c r="BV152" s="34" t="n">
        <f aca="false">IF(AND(BV$7=MAX(1,P_MesDiv),BV$6&gt;=2),INDEX(Payout_O,1,MIN(10,BV$6-1))*MAX(0,BV$151),0)*BV$9</f>
        <v>0</v>
      </c>
      <c r="BW152" s="34" t="n">
        <f aca="false">IF(AND(BW$7=MAX(1,P_MesDiv),BW$6&gt;=2),INDEX(Payout_O,1,MIN(10,BW$6-1))*MAX(0,BW$151),0)*BW$9</f>
        <v>0</v>
      </c>
      <c r="BX152" s="34" t="n">
        <f aca="false">IF(AND(BX$7=MAX(1,P_MesDiv),BX$6&gt;=2),INDEX(Payout_O,1,MIN(10,BX$6-1))*MAX(0,BX$151),0)*BX$9</f>
        <v>0</v>
      </c>
      <c r="BY152" s="34" t="n">
        <f aca="false">IF(AND(BY$7=MAX(1,P_MesDiv),BY$6&gt;=2),INDEX(Payout_O,1,MIN(10,BY$6-1))*MAX(0,BY$151),0)*BY$9</f>
        <v>0</v>
      </c>
      <c r="BZ152" s="34" t="n">
        <f aca="false">IF(AND(BZ$7=MAX(1,P_MesDiv),BZ$6&gt;=2),INDEX(Payout_O,1,MIN(10,BZ$6-1))*MAX(0,BZ$151),0)*BZ$9</f>
        <v>0</v>
      </c>
      <c r="CA152" s="34" t="n">
        <f aca="false">IF(AND(CA$7=MAX(1,P_MesDiv),CA$6&gt;=2),INDEX(Payout_O,1,MIN(10,CA$6-1))*MAX(0,CA$151),0)*CA$9</f>
        <v>0</v>
      </c>
      <c r="CB152" s="34" t="n">
        <f aca="false">IF(AND(CB$7=MAX(1,P_MesDiv),CB$6&gt;=2),INDEX(Payout_O,1,MIN(10,CB$6-1))*MAX(0,CB$151),0)*CB$9</f>
        <v>0</v>
      </c>
      <c r="CC152" s="34" t="n">
        <f aca="false">IF(AND(CC$7=MAX(1,P_MesDiv),CC$6&gt;=2),INDEX(Payout_O,1,MIN(10,CC$6-1))*MAX(0,CC$151),0)*CC$9</f>
        <v>1794188.69257391</v>
      </c>
      <c r="CD152" s="34" t="n">
        <f aca="false">IF(AND(CD$7=MAX(1,P_MesDiv),CD$6&gt;=2),INDEX(Payout_O,1,MIN(10,CD$6-1))*MAX(0,CD$151),0)*CD$9</f>
        <v>0</v>
      </c>
      <c r="CE152" s="34" t="n">
        <f aca="false">IF(AND(CE$7=MAX(1,P_MesDiv),CE$6&gt;=2),INDEX(Payout_O,1,MIN(10,CE$6-1))*MAX(0,CE$151),0)*CE$9</f>
        <v>0</v>
      </c>
      <c r="CF152" s="34" t="n">
        <f aca="false">IF(AND(CF$7=MAX(1,P_MesDiv),CF$6&gt;=2),INDEX(Payout_O,1,MIN(10,CF$6-1))*MAX(0,CF$151),0)*CF$9</f>
        <v>0</v>
      </c>
      <c r="CG152" s="34" t="n">
        <f aca="false">IF(AND(CG$7=MAX(1,P_MesDiv),CG$6&gt;=2),INDEX(Payout_O,1,MIN(10,CG$6-1))*MAX(0,CG$151),0)*CG$9</f>
        <v>0</v>
      </c>
      <c r="CH152" s="34" t="n">
        <f aca="false">IF(AND(CH$7=MAX(1,P_MesDiv),CH$6&gt;=2),INDEX(Payout_O,1,MIN(10,CH$6-1))*MAX(0,CH$151),0)*CH$9</f>
        <v>0</v>
      </c>
      <c r="CI152" s="34" t="n">
        <f aca="false">IF(AND(CI$7=MAX(1,P_MesDiv),CI$6&gt;=2),INDEX(Payout_O,1,MIN(10,CI$6-1))*MAX(0,CI$151),0)*CI$9</f>
        <v>0</v>
      </c>
      <c r="CJ152" s="34" t="n">
        <f aca="false">IF(AND(CJ$7=MAX(1,P_MesDiv),CJ$6&gt;=2),INDEX(Payout_O,1,MIN(10,CJ$6-1))*MAX(0,CJ$151),0)*CJ$9</f>
        <v>0</v>
      </c>
      <c r="CK152" s="34" t="n">
        <f aca="false">IF(AND(CK$7=MAX(1,P_MesDiv),CK$6&gt;=2),INDEX(Payout_O,1,MIN(10,CK$6-1))*MAX(0,CK$151),0)*CK$9</f>
        <v>0</v>
      </c>
      <c r="CL152" s="34" t="n">
        <f aca="false">IF(AND(CL$7=MAX(1,P_MesDiv),CL$6&gt;=2),INDEX(Payout_O,1,MIN(10,CL$6-1))*MAX(0,CL$151),0)*CL$9</f>
        <v>0</v>
      </c>
      <c r="CM152" s="34" t="n">
        <f aca="false">IF(AND(CM$7=MAX(1,P_MesDiv),CM$6&gt;=2),INDEX(Payout_O,1,MIN(10,CM$6-1))*MAX(0,CM$151),0)*CM$9</f>
        <v>0</v>
      </c>
      <c r="CN152" s="34" t="n">
        <f aca="false">IF(AND(CN$7=MAX(1,P_MesDiv),CN$6&gt;=2),INDEX(Payout_O,1,MIN(10,CN$6-1))*MAX(0,CN$151),0)*CN$9</f>
        <v>0</v>
      </c>
      <c r="CO152" s="34" t="n">
        <f aca="false">IF(AND(CO$7=MAX(1,P_MesDiv),CO$6&gt;=2),INDEX(Payout_O,1,MIN(10,CO$6-1))*MAX(0,CO$151),0)*CO$9</f>
        <v>1843575.6608728</v>
      </c>
      <c r="CP152" s="34" t="n">
        <f aca="false">IF(AND(CP$7=MAX(1,P_MesDiv),CP$6&gt;=2),INDEX(Payout_O,1,MIN(10,CP$6-1))*MAX(0,CP$151),0)*CP$9</f>
        <v>0</v>
      </c>
      <c r="CQ152" s="34" t="n">
        <f aca="false">IF(AND(CQ$7=MAX(1,P_MesDiv),CQ$6&gt;=2),INDEX(Payout_O,1,MIN(10,CQ$6-1))*MAX(0,CQ$151),0)*CQ$9</f>
        <v>0</v>
      </c>
      <c r="CR152" s="34" t="n">
        <f aca="false">IF(AND(CR$7=MAX(1,P_MesDiv),CR$6&gt;=2),INDEX(Payout_O,1,MIN(10,CR$6-1))*MAX(0,CR$151),0)*CR$9</f>
        <v>0</v>
      </c>
      <c r="CS152" s="34" t="n">
        <f aca="false">IF(AND(CS$7=MAX(1,P_MesDiv),CS$6&gt;=2),INDEX(Payout_O,1,MIN(10,CS$6-1))*MAX(0,CS$151),0)*CS$9</f>
        <v>0</v>
      </c>
      <c r="CT152" s="34" t="n">
        <f aca="false">IF(AND(CT$7=MAX(1,P_MesDiv),CT$6&gt;=2),INDEX(Payout_O,1,MIN(10,CT$6-1))*MAX(0,CT$151),0)*CT$9</f>
        <v>0</v>
      </c>
      <c r="CU152" s="34" t="n">
        <f aca="false">IF(AND(CU$7=MAX(1,P_MesDiv),CU$6&gt;=2),INDEX(Payout_O,1,MIN(10,CU$6-1))*MAX(0,CU$151),0)*CU$9</f>
        <v>0</v>
      </c>
      <c r="CV152" s="34" t="n">
        <f aca="false">IF(AND(CV$7=MAX(1,P_MesDiv),CV$6&gt;=2),INDEX(Payout_O,1,MIN(10,CV$6-1))*MAX(0,CV$151),0)*CV$9</f>
        <v>0</v>
      </c>
      <c r="CW152" s="34" t="n">
        <f aca="false">IF(AND(CW$7=MAX(1,P_MesDiv),CW$6&gt;=2),INDEX(Payout_O,1,MIN(10,CW$6-1))*MAX(0,CW$151),0)*CW$9</f>
        <v>0</v>
      </c>
      <c r="CX152" s="34" t="n">
        <f aca="false">IF(AND(CX$7=MAX(1,P_MesDiv),CX$6&gt;=2),INDEX(Payout_O,1,MIN(10,CX$6-1))*MAX(0,CX$151),0)*CX$9</f>
        <v>0</v>
      </c>
      <c r="CY152" s="34" t="n">
        <f aca="false">IF(AND(CY$7=MAX(1,P_MesDiv),CY$6&gt;=2),INDEX(Payout_O,1,MIN(10,CY$6-1))*MAX(0,CY$151),0)*CY$9</f>
        <v>0</v>
      </c>
      <c r="CZ152" s="34" t="n">
        <f aca="false">IF(AND(CZ$7=MAX(1,P_MesDiv),CZ$6&gt;=2),INDEX(Payout_O,1,MIN(10,CZ$6-1))*MAX(0,CZ$151),0)*CZ$9</f>
        <v>0</v>
      </c>
      <c r="DA152" s="34" t="n">
        <f aca="false">IF(AND(DA$7=MAX(1,P_MesDiv),DA$6&gt;=2),INDEX(Payout_O,1,MIN(10,DA$6-1))*MAX(0,DA$151),0)*DA$9</f>
        <v>1893301.21355545</v>
      </c>
      <c r="DB152" s="34" t="n">
        <f aca="false">IF(AND(DB$7=MAX(1,P_MesDiv),DB$6&gt;=2),INDEX(Payout_O,1,MIN(10,DB$6-1))*MAX(0,DB$151),0)*DB$9</f>
        <v>0</v>
      </c>
      <c r="DC152" s="34" t="n">
        <f aca="false">IF(AND(DC$7=MAX(1,P_MesDiv),DC$6&gt;=2),INDEX(Payout_O,1,MIN(10,DC$6-1))*MAX(0,DC$151),0)*DC$9</f>
        <v>0</v>
      </c>
      <c r="DD152" s="34" t="n">
        <f aca="false">IF(AND(DD$7=MAX(1,P_MesDiv),DD$6&gt;=2),INDEX(Payout_O,1,MIN(10,DD$6-1))*MAX(0,DD$151),0)*DD$9</f>
        <v>0</v>
      </c>
      <c r="DE152" s="34" t="n">
        <f aca="false">IF(AND(DE$7=MAX(1,P_MesDiv),DE$6&gt;=2),INDEX(Payout_O,1,MIN(10,DE$6-1))*MAX(0,DE$151),0)*DE$9</f>
        <v>0</v>
      </c>
      <c r="DF152" s="34" t="n">
        <f aca="false">IF(AND(DF$7=MAX(1,P_MesDiv),DF$6&gt;=2),INDEX(Payout_O,1,MIN(10,DF$6-1))*MAX(0,DF$151),0)*DF$9</f>
        <v>0</v>
      </c>
      <c r="DG152" s="34" t="n">
        <f aca="false">IF(AND(DG$7=MAX(1,P_MesDiv),DG$6&gt;=2),INDEX(Payout_O,1,MIN(10,DG$6-1))*MAX(0,DG$151),0)*DG$9</f>
        <v>0</v>
      </c>
      <c r="DH152" s="34" t="n">
        <f aca="false">IF(AND(DH$7=MAX(1,P_MesDiv),DH$6&gt;=2),INDEX(Payout_O,1,MIN(10,DH$6-1))*MAX(0,DH$151),0)*DH$9</f>
        <v>0</v>
      </c>
      <c r="DI152" s="34" t="n">
        <f aca="false">IF(AND(DI$7=MAX(1,P_MesDiv),DI$6&gt;=2),INDEX(Payout_O,1,MIN(10,DI$6-1))*MAX(0,DI$151),0)*DI$9</f>
        <v>0</v>
      </c>
      <c r="DJ152" s="34" t="n">
        <f aca="false">IF(AND(DJ$7=MAX(1,P_MesDiv),DJ$6&gt;=2),INDEX(Payout_O,1,MIN(10,DJ$6-1))*MAX(0,DJ$151),0)*DJ$9</f>
        <v>0</v>
      </c>
      <c r="DK152" s="34" t="n">
        <f aca="false">IF(AND(DK$7=MAX(1,P_MesDiv),DK$6&gt;=2),INDEX(Payout_O,1,MIN(10,DK$6-1))*MAX(0,DK$151),0)*DK$9</f>
        <v>0</v>
      </c>
      <c r="DL152" s="34" t="n">
        <f aca="false">IF(AND(DL$7=MAX(1,P_MesDiv),DL$6&gt;=2),INDEX(Payout_O,1,MIN(10,DL$6-1))*MAX(0,DL$151),0)*DL$9</f>
        <v>0</v>
      </c>
      <c r="DM152" s="34" t="n">
        <f aca="false">IF(AND(DM$7=MAX(1,P_MesDiv),DM$6&gt;=2),INDEX(Payout_O,1,MIN(10,DM$6-1))*MAX(0,DM$151),0)*DM$9</f>
        <v>1943364.14678689</v>
      </c>
      <c r="DN152" s="34" t="n">
        <f aca="false">IF(AND(DN$7=MAX(1,P_MesDiv),DN$6&gt;=2),INDEX(Payout_O,1,MIN(10,DN$6-1))*MAX(0,DN$151),0)*DN$9</f>
        <v>0</v>
      </c>
      <c r="DO152" s="34" t="n">
        <f aca="false">IF(AND(DO$7=MAX(1,P_MesDiv),DO$6&gt;=2),INDEX(Payout_O,1,MIN(10,DO$6-1))*MAX(0,DO$151),0)*DO$9</f>
        <v>0</v>
      </c>
      <c r="DP152" s="34" t="n">
        <f aca="false">IF(AND(DP$7=MAX(1,P_MesDiv),DP$6&gt;=2),INDEX(Payout_O,1,MIN(10,DP$6-1))*MAX(0,DP$151),0)*DP$9</f>
        <v>0</v>
      </c>
      <c r="DQ152" s="34" t="n">
        <f aca="false">IF(AND(DQ$7=MAX(1,P_MesDiv),DQ$6&gt;=2),INDEX(Payout_O,1,MIN(10,DQ$6-1))*MAX(0,DQ$151),0)*DQ$9</f>
        <v>0</v>
      </c>
      <c r="DR152" s="34" t="n">
        <f aca="false">IF(AND(DR$7=MAX(1,P_MesDiv),DR$6&gt;=2),INDEX(Payout_O,1,MIN(10,DR$6-1))*MAX(0,DR$151),0)*DR$9</f>
        <v>0</v>
      </c>
      <c r="DS152" s="34" t="n">
        <f aca="false">IF(AND(DS$7=MAX(1,P_MesDiv),DS$6&gt;=2),INDEX(Payout_O,1,MIN(10,DS$6-1))*MAX(0,DS$151),0)*DS$9</f>
        <v>0</v>
      </c>
      <c r="DT152" s="34" t="n">
        <f aca="false">IF(AND(DT$7=MAX(1,P_MesDiv),DT$6&gt;=2),INDEX(Payout_O,1,MIN(10,DT$6-1))*MAX(0,DT$151),0)*DT$9</f>
        <v>0</v>
      </c>
      <c r="DU152" s="34" t="n">
        <f aca="false">IF(AND(DU$7=MAX(1,P_MesDiv),DU$6&gt;=2),INDEX(Payout_O,1,MIN(10,DU$6-1))*MAX(0,DU$151),0)*DU$9</f>
        <v>0</v>
      </c>
      <c r="DV152" s="34" t="n">
        <f aca="false">IF(AND(DV$7=MAX(1,P_MesDiv),DV$6&gt;=2),INDEX(Payout_O,1,MIN(10,DV$6-1))*MAX(0,DV$151),0)*DV$9</f>
        <v>0</v>
      </c>
      <c r="DW152" s="34" t="n">
        <f aca="false">IF(AND(DW$7=MAX(1,P_MesDiv),DW$6&gt;=2),INDEX(Payout_O,1,MIN(10,DW$6-1))*MAX(0,DW$151),0)*DW$9</f>
        <v>0</v>
      </c>
      <c r="DX152" s="34" t="n">
        <f aca="false">IF(AND(DX$7=MAX(1,P_MesDiv),DX$6&gt;=2),INDEX(Payout_O,1,MIN(10,DX$6-1))*MAX(0,DX$151),0)*DX$9</f>
        <v>0</v>
      </c>
      <c r="DY152" s="34" t="n">
        <f aca="false">IF(AND(DY$7=MAX(1,P_MesDiv),DY$6&gt;=2),INDEX(Payout_O,1,MIN(10,DY$6-1))*MAX(0,DY$151),0)*DY$9</f>
        <v>0</v>
      </c>
      <c r="DZ152" s="34" t="n">
        <f aca="false">IF(AND(DZ$7=MAX(1,P_MesDiv),DZ$6&gt;=2),INDEX(Payout_O,1,MIN(10,DZ$6-1))*MAX(0,DZ$151),0)*DZ$9</f>
        <v>0</v>
      </c>
      <c r="EA152" s="34" t="n">
        <f aca="false">IF(AND(EA$7=MAX(1,P_MesDiv),EA$6&gt;=2),INDEX(Payout_O,1,MIN(10,EA$6-1))*MAX(0,EA$151),0)*EA$9</f>
        <v>0</v>
      </c>
      <c r="EB152" s="34" t="n">
        <f aca="false">IF(AND(EB$7=MAX(1,P_MesDiv),EB$6&gt;=2),INDEX(Payout_O,1,MIN(10,EB$6-1))*MAX(0,EB$151),0)*EB$9</f>
        <v>0</v>
      </c>
      <c r="EC152" s="34" t="n">
        <f aca="false">IF(AND(EC$7=MAX(1,P_MesDiv),EC$6&gt;=2),INDEX(Payout_O,1,MIN(10,EC$6-1))*MAX(0,EC$151),0)*EC$9</f>
        <v>0</v>
      </c>
      <c r="ED152" s="34" t="n">
        <f aca="false">IF(AND(ED$7=MAX(1,P_MesDiv),ED$6&gt;=2),INDEX(Payout_O,1,MIN(10,ED$6-1))*MAX(0,ED$151),0)*ED$9</f>
        <v>0</v>
      </c>
      <c r="EE152" s="34" t="n">
        <f aca="false">IF(AND(EE$7=MAX(1,P_MesDiv),EE$6&gt;=2),INDEX(Payout_O,1,MIN(10,EE$6-1))*MAX(0,EE$151),0)*EE$9</f>
        <v>0</v>
      </c>
      <c r="EF152" s="34" t="n">
        <f aca="false">IF(AND(EF$7=MAX(1,P_MesDiv),EF$6&gt;=2),INDEX(Payout_O,1,MIN(10,EF$6-1))*MAX(0,EF$151),0)*EF$9</f>
        <v>0</v>
      </c>
      <c r="EG152" s="34" t="n">
        <f aca="false">IF(AND(EG$7=MAX(1,P_MesDiv),EG$6&gt;=2),INDEX(Payout_O,1,MIN(10,EG$6-1))*MAX(0,EG$151),0)*EG$9</f>
        <v>0</v>
      </c>
      <c r="EH152" s="34" t="n">
        <f aca="false">IF(AND(EH$7=MAX(1,P_MesDiv),EH$6&gt;=2),INDEX(Payout_O,1,MIN(10,EH$6-1))*MAX(0,EH$151),0)*EH$9</f>
        <v>0</v>
      </c>
      <c r="EI152" s="34" t="n">
        <f aca="false">IF(AND(EI$7=MAX(1,P_MesDiv),EI$6&gt;=2),INDEX(Payout_O,1,MIN(10,EI$6-1))*MAX(0,EI$151),0)*EI$9</f>
        <v>0</v>
      </c>
      <c r="EJ152" s="34" t="n">
        <f aca="false">IF(AND(EJ$7=MAX(1,P_MesDiv),EJ$6&gt;=2),INDEX(Payout_O,1,MIN(10,EJ$6-1))*MAX(0,EJ$151),0)*EJ$9</f>
        <v>0</v>
      </c>
      <c r="EK152" s="34" t="n">
        <f aca="false">IF(AND(EK$7=MAX(1,P_MesDiv),EK$6&gt;=2),INDEX(Payout_O,1,MIN(10,EK$6-1))*MAX(0,EK$151),0)*EK$9</f>
        <v>0</v>
      </c>
      <c r="EL152" s="34" t="n">
        <f aca="false">IF(AND(EL$7=MAX(1,P_MesDiv),EL$6&gt;=2),INDEX(Payout_O,1,MIN(10,EL$6-1))*MAX(0,EL$151),0)*EL$9</f>
        <v>0</v>
      </c>
      <c r="EM152" s="34" t="n">
        <f aca="false">IF(AND(EM$7=MAX(1,P_MesDiv),EM$6&gt;=2),INDEX(Payout_O,1,MIN(10,EM$6-1))*MAX(0,EM$151),0)*EM$9</f>
        <v>0</v>
      </c>
      <c r="EN152" s="34" t="n">
        <f aca="false">IF(AND(EN$7=MAX(1,P_MesDiv),EN$6&gt;=2),INDEX(Payout_O,1,MIN(10,EN$6-1))*MAX(0,EN$151),0)*EN$9</f>
        <v>0</v>
      </c>
      <c r="EO152" s="34" t="n">
        <f aca="false">IF(AND(EO$7=MAX(1,P_MesDiv),EO$6&gt;=2),INDEX(Payout_O,1,MIN(10,EO$6-1))*MAX(0,EO$151),0)*EO$9</f>
        <v>0</v>
      </c>
      <c r="EP152" s="34" t="n">
        <f aca="false">IF(AND(EP$7=MAX(1,P_MesDiv),EP$6&gt;=2),INDEX(Payout_O,1,MIN(10,EP$6-1))*MAX(0,EP$151),0)*EP$9</f>
        <v>0</v>
      </c>
      <c r="EQ152" s="34" t="n">
        <f aca="false">IF(AND(EQ$7=MAX(1,P_MesDiv),EQ$6&gt;=2),INDEX(Payout_O,1,MIN(10,EQ$6-1))*MAX(0,EQ$151),0)*EQ$9</f>
        <v>0</v>
      </c>
      <c r="ER152" s="34" t="n">
        <f aca="false">IF(AND(ER$7=MAX(1,P_MesDiv),ER$6&gt;=2),INDEX(Payout_O,1,MIN(10,ER$6-1))*MAX(0,ER$151),0)*ER$9</f>
        <v>0</v>
      </c>
      <c r="ES152" s="34" t="n">
        <f aca="false">IF(AND(ES$7=MAX(1,P_MesDiv),ES$6&gt;=2),INDEX(Payout_O,1,MIN(10,ES$6-1))*MAX(0,ES$151),0)*ES$9</f>
        <v>0</v>
      </c>
    </row>
    <row r="153" customFormat="false" ht="15" hidden="false" customHeight="false" outlineLevel="0" collapsed="false">
      <c r="A153" s="2" t="s">
        <v>787</v>
      </c>
      <c r="B153" s="6" t="s">
        <v>788</v>
      </c>
      <c r="C153" s="6" t="s">
        <v>250</v>
      </c>
      <c r="E153" s="40" t="n">
        <f aca="false">SUM(F153:ES153)</f>
        <v>9743309.63653819</v>
      </c>
      <c r="F153" s="34" t="n">
        <f aca="false">MIN(F$152,MAX(0,F$149-F$142))</f>
        <v>0</v>
      </c>
      <c r="G153" s="34" t="n">
        <f aca="false">MIN(G$152,MAX(0,G$149-G$142))</f>
        <v>0</v>
      </c>
      <c r="H153" s="34" t="n">
        <f aca="false">MIN(H$152,MAX(0,H$149-H$142))</f>
        <v>0</v>
      </c>
      <c r="I153" s="34" t="n">
        <f aca="false">MIN(I$152,MAX(0,I$149-I$142))</f>
        <v>0</v>
      </c>
      <c r="J153" s="34" t="n">
        <f aca="false">MIN(J$152,MAX(0,J$149-J$142))</f>
        <v>0</v>
      </c>
      <c r="K153" s="34" t="n">
        <f aca="false">MIN(K$152,MAX(0,K$149-K$142))</f>
        <v>0</v>
      </c>
      <c r="L153" s="34" t="n">
        <f aca="false">MIN(L$152,MAX(0,L$149-L$142))</f>
        <v>0</v>
      </c>
      <c r="M153" s="34" t="n">
        <f aca="false">MIN(M$152,MAX(0,M$149-M$142))</f>
        <v>0</v>
      </c>
      <c r="N153" s="34" t="n">
        <f aca="false">MIN(N$152,MAX(0,N$149-N$142))</f>
        <v>0</v>
      </c>
      <c r="O153" s="34" t="n">
        <f aca="false">MIN(O$152,MAX(0,O$149-O$142))</f>
        <v>0</v>
      </c>
      <c r="P153" s="34" t="n">
        <f aca="false">MIN(P$152,MAX(0,P$149-P$142))</f>
        <v>0</v>
      </c>
      <c r="Q153" s="34" t="n">
        <f aca="false">MIN(Q$152,MAX(0,Q$149-Q$142))</f>
        <v>0</v>
      </c>
      <c r="R153" s="34" t="n">
        <f aca="false">MIN(R$152,MAX(0,R$149-R$142))</f>
        <v>0</v>
      </c>
      <c r="S153" s="34" t="n">
        <f aca="false">MIN(S$152,MAX(0,S$149-S$142))</f>
        <v>0</v>
      </c>
      <c r="T153" s="34" t="n">
        <f aca="false">MIN(T$152,MAX(0,T$149-T$142))</f>
        <v>0</v>
      </c>
      <c r="U153" s="34" t="n">
        <f aca="false">MIN(U$152,MAX(0,U$149-U$142))</f>
        <v>0</v>
      </c>
      <c r="V153" s="34" t="n">
        <f aca="false">MIN(V$152,MAX(0,V$149-V$142))</f>
        <v>0</v>
      </c>
      <c r="W153" s="34" t="n">
        <f aca="false">MIN(W$152,MAX(0,W$149-W$142))</f>
        <v>0</v>
      </c>
      <c r="X153" s="34" t="n">
        <f aca="false">MIN(X$152,MAX(0,X$149-X$142))</f>
        <v>0</v>
      </c>
      <c r="Y153" s="34" t="n">
        <f aca="false">MIN(Y$152,MAX(0,Y$149-Y$142))</f>
        <v>0</v>
      </c>
      <c r="Z153" s="34" t="n">
        <f aca="false">MIN(Z$152,MAX(0,Z$149-Z$142))</f>
        <v>0</v>
      </c>
      <c r="AA153" s="34" t="n">
        <f aca="false">MIN(AA$152,MAX(0,AA$149-AA$142))</f>
        <v>0</v>
      </c>
      <c r="AB153" s="34" t="n">
        <f aca="false">MIN(AB$152,MAX(0,AB$149-AB$142))</f>
        <v>0</v>
      </c>
      <c r="AC153" s="34" t="n">
        <f aca="false">MIN(AC$152,MAX(0,AC$149-AC$142))</f>
        <v>0</v>
      </c>
      <c r="AD153" s="34" t="n">
        <f aca="false">MIN(AD$152,MAX(0,AD$149-AD$142))</f>
        <v>0</v>
      </c>
      <c r="AE153" s="34" t="n">
        <f aca="false">MIN(AE$152,MAX(0,AE$149-AE$142))</f>
        <v>0</v>
      </c>
      <c r="AF153" s="34" t="n">
        <f aca="false">MIN(AF$152,MAX(0,AF$149-AF$142))</f>
        <v>0</v>
      </c>
      <c r="AG153" s="34" t="n">
        <f aca="false">MIN(AG$152,MAX(0,AG$149-AG$142))</f>
        <v>0</v>
      </c>
      <c r="AH153" s="34" t="n">
        <f aca="false">MIN(AH$152,MAX(0,AH$149-AH$142))</f>
        <v>0</v>
      </c>
      <c r="AI153" s="34" t="n">
        <f aca="false">MIN(AI$152,MAX(0,AI$149-AI$142))</f>
        <v>0</v>
      </c>
      <c r="AJ153" s="34" t="n">
        <f aca="false">MIN(AJ$152,MAX(0,AJ$149-AJ$142))</f>
        <v>0</v>
      </c>
      <c r="AK153" s="34" t="n">
        <f aca="false">MIN(AK$152,MAX(0,AK$149-AK$142))</f>
        <v>0</v>
      </c>
      <c r="AL153" s="34" t="n">
        <f aca="false">MIN(AL$152,MAX(0,AL$149-AL$142))</f>
        <v>0</v>
      </c>
      <c r="AM153" s="34" t="n">
        <f aca="false">MIN(AM$152,MAX(0,AM$149-AM$142))</f>
        <v>0</v>
      </c>
      <c r="AN153" s="34" t="n">
        <f aca="false">MIN(AN$152,MAX(0,AN$149-AN$142))</f>
        <v>0</v>
      </c>
      <c r="AO153" s="34" t="n">
        <f aca="false">MIN(AO$152,MAX(0,AO$149-AO$142))</f>
        <v>0</v>
      </c>
      <c r="AP153" s="34" t="n">
        <f aca="false">MIN(AP$152,MAX(0,AP$149-AP$142))</f>
        <v>0</v>
      </c>
      <c r="AQ153" s="34" t="n">
        <f aca="false">MIN(AQ$152,MAX(0,AQ$149-AQ$142))</f>
        <v>0</v>
      </c>
      <c r="AR153" s="34" t="n">
        <f aca="false">MIN(AR$152,MAX(0,AR$149-AR$142))</f>
        <v>0</v>
      </c>
      <c r="AS153" s="34" t="n">
        <f aca="false">MIN(AS$152,MAX(0,AS$149-AS$142))</f>
        <v>0</v>
      </c>
      <c r="AT153" s="34" t="n">
        <f aca="false">MIN(AT$152,MAX(0,AT$149-AT$142))</f>
        <v>0</v>
      </c>
      <c r="AU153" s="34" t="n">
        <f aca="false">MIN(AU$152,MAX(0,AU$149-AU$142))</f>
        <v>0</v>
      </c>
      <c r="AV153" s="34" t="n">
        <f aca="false">MIN(AV$152,MAX(0,AV$149-AV$142))</f>
        <v>0</v>
      </c>
      <c r="AW153" s="34" t="n">
        <f aca="false">MIN(AW$152,MAX(0,AW$149-AW$142))</f>
        <v>0</v>
      </c>
      <c r="AX153" s="34" t="n">
        <f aca="false">MIN(AX$152,MAX(0,AX$149-AX$142))</f>
        <v>0</v>
      </c>
      <c r="AY153" s="34" t="n">
        <f aca="false">MIN(AY$152,MAX(0,AY$149-AY$142))</f>
        <v>0</v>
      </c>
      <c r="AZ153" s="34" t="n">
        <f aca="false">MIN(AZ$152,MAX(0,AZ$149-AZ$142))</f>
        <v>0</v>
      </c>
      <c r="BA153" s="34" t="n">
        <f aca="false">MIN(BA$152,MAX(0,BA$149-BA$142))</f>
        <v>0</v>
      </c>
      <c r="BB153" s="34" t="n">
        <f aca="false">MIN(BB$152,MAX(0,BB$149-BB$142))</f>
        <v>0</v>
      </c>
      <c r="BC153" s="34" t="n">
        <f aca="false">MIN(BC$152,MAX(0,BC$149-BC$142))</f>
        <v>0</v>
      </c>
      <c r="BD153" s="34" t="n">
        <f aca="false">MIN(BD$152,MAX(0,BD$149-BD$142))</f>
        <v>0</v>
      </c>
      <c r="BE153" s="34" t="n">
        <f aca="false">MIN(BE$152,MAX(0,BE$149-BE$142))</f>
        <v>804953.378380922</v>
      </c>
      <c r="BF153" s="34" t="n">
        <f aca="false">MIN(BF$152,MAX(0,BF$149-BF$142))</f>
        <v>0</v>
      </c>
      <c r="BG153" s="34" t="n">
        <f aca="false">MIN(BG$152,MAX(0,BG$149-BG$142))</f>
        <v>0</v>
      </c>
      <c r="BH153" s="34" t="n">
        <f aca="false">MIN(BH$152,MAX(0,BH$149-BH$142))</f>
        <v>0</v>
      </c>
      <c r="BI153" s="34" t="n">
        <f aca="false">MIN(BI$152,MAX(0,BI$149-BI$142))</f>
        <v>0</v>
      </c>
      <c r="BJ153" s="34" t="n">
        <f aca="false">MIN(BJ$152,MAX(0,BJ$149-BJ$142))</f>
        <v>0</v>
      </c>
      <c r="BK153" s="34" t="n">
        <f aca="false">MIN(BK$152,MAX(0,BK$149-BK$142))</f>
        <v>0</v>
      </c>
      <c r="BL153" s="34" t="n">
        <f aca="false">MIN(BL$152,MAX(0,BL$149-BL$142))</f>
        <v>0</v>
      </c>
      <c r="BM153" s="34" t="n">
        <f aca="false">MIN(BM$152,MAX(0,BM$149-BM$142))</f>
        <v>0</v>
      </c>
      <c r="BN153" s="34" t="n">
        <f aca="false">MIN(BN$152,MAX(0,BN$149-BN$142))</f>
        <v>0</v>
      </c>
      <c r="BO153" s="34" t="n">
        <f aca="false">MIN(BO$152,MAX(0,BO$149-BO$142))</f>
        <v>0</v>
      </c>
      <c r="BP153" s="34" t="n">
        <f aca="false">MIN(BP$152,MAX(0,BP$149-BP$142))</f>
        <v>0</v>
      </c>
      <c r="BQ153" s="34" t="n">
        <f aca="false">MIN(BQ$152,MAX(0,BQ$149-BQ$142))</f>
        <v>1463926.54436822</v>
      </c>
      <c r="BR153" s="34" t="n">
        <f aca="false">MIN(BR$152,MAX(0,BR$149-BR$142))</f>
        <v>0</v>
      </c>
      <c r="BS153" s="34" t="n">
        <f aca="false">MIN(BS$152,MAX(0,BS$149-BS$142))</f>
        <v>0</v>
      </c>
      <c r="BT153" s="34" t="n">
        <f aca="false">MIN(BT$152,MAX(0,BT$149-BT$142))</f>
        <v>0</v>
      </c>
      <c r="BU153" s="34" t="n">
        <f aca="false">MIN(BU$152,MAX(0,BU$149-BU$142))</f>
        <v>0</v>
      </c>
      <c r="BV153" s="34" t="n">
        <f aca="false">MIN(BV$152,MAX(0,BV$149-BV$142))</f>
        <v>0</v>
      </c>
      <c r="BW153" s="34" t="n">
        <f aca="false">MIN(BW$152,MAX(0,BW$149-BW$142))</f>
        <v>0</v>
      </c>
      <c r="BX153" s="34" t="n">
        <f aca="false">MIN(BX$152,MAX(0,BX$149-BX$142))</f>
        <v>0</v>
      </c>
      <c r="BY153" s="34" t="n">
        <f aca="false">MIN(BY$152,MAX(0,BY$149-BY$142))</f>
        <v>0</v>
      </c>
      <c r="BZ153" s="34" t="n">
        <f aca="false">MIN(BZ$152,MAX(0,BZ$149-BZ$142))</f>
        <v>0</v>
      </c>
      <c r="CA153" s="34" t="n">
        <f aca="false">MIN(CA$152,MAX(0,CA$149-CA$142))</f>
        <v>0</v>
      </c>
      <c r="CB153" s="34" t="n">
        <f aca="false">MIN(CB$152,MAX(0,CB$149-CB$142))</f>
        <v>0</v>
      </c>
      <c r="CC153" s="34" t="n">
        <f aca="false">MIN(CC$152,MAX(0,CC$149-CC$142))</f>
        <v>1794188.69257391</v>
      </c>
      <c r="CD153" s="34" t="n">
        <f aca="false">MIN(CD$152,MAX(0,CD$149-CD$142))</f>
        <v>0</v>
      </c>
      <c r="CE153" s="34" t="n">
        <f aca="false">MIN(CE$152,MAX(0,CE$149-CE$142))</f>
        <v>0</v>
      </c>
      <c r="CF153" s="34" t="n">
        <f aca="false">MIN(CF$152,MAX(0,CF$149-CF$142))</f>
        <v>0</v>
      </c>
      <c r="CG153" s="34" t="n">
        <f aca="false">MIN(CG$152,MAX(0,CG$149-CG$142))</f>
        <v>0</v>
      </c>
      <c r="CH153" s="34" t="n">
        <f aca="false">MIN(CH$152,MAX(0,CH$149-CH$142))</f>
        <v>0</v>
      </c>
      <c r="CI153" s="34" t="n">
        <f aca="false">MIN(CI$152,MAX(0,CI$149-CI$142))</f>
        <v>0</v>
      </c>
      <c r="CJ153" s="34" t="n">
        <f aca="false">MIN(CJ$152,MAX(0,CJ$149-CJ$142))</f>
        <v>0</v>
      </c>
      <c r="CK153" s="34" t="n">
        <f aca="false">MIN(CK$152,MAX(0,CK$149-CK$142))</f>
        <v>0</v>
      </c>
      <c r="CL153" s="34" t="n">
        <f aca="false">MIN(CL$152,MAX(0,CL$149-CL$142))</f>
        <v>0</v>
      </c>
      <c r="CM153" s="34" t="n">
        <f aca="false">MIN(CM$152,MAX(0,CM$149-CM$142))</f>
        <v>0</v>
      </c>
      <c r="CN153" s="34" t="n">
        <f aca="false">MIN(CN$152,MAX(0,CN$149-CN$142))</f>
        <v>0</v>
      </c>
      <c r="CO153" s="34" t="n">
        <f aca="false">MIN(CO$152,MAX(0,CO$149-CO$142))</f>
        <v>1843575.6608728</v>
      </c>
      <c r="CP153" s="34" t="n">
        <f aca="false">MIN(CP$152,MAX(0,CP$149-CP$142))</f>
        <v>0</v>
      </c>
      <c r="CQ153" s="34" t="n">
        <f aca="false">MIN(CQ$152,MAX(0,CQ$149-CQ$142))</f>
        <v>0</v>
      </c>
      <c r="CR153" s="34" t="n">
        <f aca="false">MIN(CR$152,MAX(0,CR$149-CR$142))</f>
        <v>0</v>
      </c>
      <c r="CS153" s="34" t="n">
        <f aca="false">MIN(CS$152,MAX(0,CS$149-CS$142))</f>
        <v>0</v>
      </c>
      <c r="CT153" s="34" t="n">
        <f aca="false">MIN(CT$152,MAX(0,CT$149-CT$142))</f>
        <v>0</v>
      </c>
      <c r="CU153" s="34" t="n">
        <f aca="false">MIN(CU$152,MAX(0,CU$149-CU$142))</f>
        <v>0</v>
      </c>
      <c r="CV153" s="34" t="n">
        <f aca="false">MIN(CV$152,MAX(0,CV$149-CV$142))</f>
        <v>0</v>
      </c>
      <c r="CW153" s="34" t="n">
        <f aca="false">MIN(CW$152,MAX(0,CW$149-CW$142))</f>
        <v>0</v>
      </c>
      <c r="CX153" s="34" t="n">
        <f aca="false">MIN(CX$152,MAX(0,CX$149-CX$142))</f>
        <v>0</v>
      </c>
      <c r="CY153" s="34" t="n">
        <f aca="false">MIN(CY$152,MAX(0,CY$149-CY$142))</f>
        <v>0</v>
      </c>
      <c r="CZ153" s="34" t="n">
        <f aca="false">MIN(CZ$152,MAX(0,CZ$149-CZ$142))</f>
        <v>0</v>
      </c>
      <c r="DA153" s="34" t="n">
        <f aca="false">MIN(DA$152,MAX(0,DA$149-DA$142))</f>
        <v>1893301.21355545</v>
      </c>
      <c r="DB153" s="34" t="n">
        <f aca="false">MIN(DB$152,MAX(0,DB$149-DB$142))</f>
        <v>0</v>
      </c>
      <c r="DC153" s="34" t="n">
        <f aca="false">MIN(DC$152,MAX(0,DC$149-DC$142))</f>
        <v>0</v>
      </c>
      <c r="DD153" s="34" t="n">
        <f aca="false">MIN(DD$152,MAX(0,DD$149-DD$142))</f>
        <v>0</v>
      </c>
      <c r="DE153" s="34" t="n">
        <f aca="false">MIN(DE$152,MAX(0,DE$149-DE$142))</f>
        <v>0</v>
      </c>
      <c r="DF153" s="34" t="n">
        <f aca="false">MIN(DF$152,MAX(0,DF$149-DF$142))</f>
        <v>0</v>
      </c>
      <c r="DG153" s="34" t="n">
        <f aca="false">MIN(DG$152,MAX(0,DG$149-DG$142))</f>
        <v>0</v>
      </c>
      <c r="DH153" s="34" t="n">
        <f aca="false">MIN(DH$152,MAX(0,DH$149-DH$142))</f>
        <v>0</v>
      </c>
      <c r="DI153" s="34" t="n">
        <f aca="false">MIN(DI$152,MAX(0,DI$149-DI$142))</f>
        <v>0</v>
      </c>
      <c r="DJ153" s="34" t="n">
        <f aca="false">MIN(DJ$152,MAX(0,DJ$149-DJ$142))</f>
        <v>0</v>
      </c>
      <c r="DK153" s="34" t="n">
        <f aca="false">MIN(DK$152,MAX(0,DK$149-DK$142))</f>
        <v>0</v>
      </c>
      <c r="DL153" s="34" t="n">
        <f aca="false">MIN(DL$152,MAX(0,DL$149-DL$142))</f>
        <v>0</v>
      </c>
      <c r="DM153" s="34" t="n">
        <f aca="false">MIN(DM$152,MAX(0,DM$149-DM$142))</f>
        <v>1943364.14678689</v>
      </c>
      <c r="DN153" s="34" t="n">
        <f aca="false">MIN(DN$152,MAX(0,DN$149-DN$142))</f>
        <v>0</v>
      </c>
      <c r="DO153" s="34" t="n">
        <f aca="false">MIN(DO$152,MAX(0,DO$149-DO$142))</f>
        <v>0</v>
      </c>
      <c r="DP153" s="34" t="n">
        <f aca="false">MIN(DP$152,MAX(0,DP$149-DP$142))</f>
        <v>0</v>
      </c>
      <c r="DQ153" s="34" t="n">
        <f aca="false">MIN(DQ$152,MAX(0,DQ$149-DQ$142))</f>
        <v>0</v>
      </c>
      <c r="DR153" s="34" t="n">
        <f aca="false">MIN(DR$152,MAX(0,DR$149-DR$142))</f>
        <v>0</v>
      </c>
      <c r="DS153" s="34" t="n">
        <f aca="false">MIN(DS$152,MAX(0,DS$149-DS$142))</f>
        <v>0</v>
      </c>
      <c r="DT153" s="34" t="n">
        <f aca="false">MIN(DT$152,MAX(0,DT$149-DT$142))</f>
        <v>0</v>
      </c>
      <c r="DU153" s="34" t="n">
        <f aca="false">MIN(DU$152,MAX(0,DU$149-DU$142))</f>
        <v>0</v>
      </c>
      <c r="DV153" s="34" t="n">
        <f aca="false">MIN(DV$152,MAX(0,DV$149-DV$142))</f>
        <v>0</v>
      </c>
      <c r="DW153" s="34" t="n">
        <f aca="false">MIN(DW$152,MAX(0,DW$149-DW$142))</f>
        <v>0</v>
      </c>
      <c r="DX153" s="34" t="n">
        <f aca="false">MIN(DX$152,MAX(0,DX$149-DX$142))</f>
        <v>0</v>
      </c>
      <c r="DY153" s="34" t="n">
        <f aca="false">MIN(DY$152,MAX(0,DY$149-DY$142))</f>
        <v>0</v>
      </c>
      <c r="DZ153" s="34" t="n">
        <f aca="false">MIN(DZ$152,MAX(0,DZ$149-DZ$142))</f>
        <v>0</v>
      </c>
      <c r="EA153" s="34" t="n">
        <f aca="false">MIN(EA$152,MAX(0,EA$149-EA$142))</f>
        <v>0</v>
      </c>
      <c r="EB153" s="34" t="n">
        <f aca="false">MIN(EB$152,MAX(0,EB$149-EB$142))</f>
        <v>0</v>
      </c>
      <c r="EC153" s="34" t="n">
        <f aca="false">MIN(EC$152,MAX(0,EC$149-EC$142))</f>
        <v>0</v>
      </c>
      <c r="ED153" s="34" t="n">
        <f aca="false">MIN(ED$152,MAX(0,ED$149-ED$142))</f>
        <v>0</v>
      </c>
      <c r="EE153" s="34" t="n">
        <f aca="false">MIN(EE$152,MAX(0,EE$149-EE$142))</f>
        <v>0</v>
      </c>
      <c r="EF153" s="34" t="n">
        <f aca="false">MIN(EF$152,MAX(0,EF$149-EF$142))</f>
        <v>0</v>
      </c>
      <c r="EG153" s="34" t="n">
        <f aca="false">MIN(EG$152,MAX(0,EG$149-EG$142))</f>
        <v>0</v>
      </c>
      <c r="EH153" s="34" t="n">
        <f aca="false">MIN(EH$152,MAX(0,EH$149-EH$142))</f>
        <v>0</v>
      </c>
      <c r="EI153" s="34" t="n">
        <f aca="false">MIN(EI$152,MAX(0,EI$149-EI$142))</f>
        <v>0</v>
      </c>
      <c r="EJ153" s="34" t="n">
        <f aca="false">MIN(EJ$152,MAX(0,EJ$149-EJ$142))</f>
        <v>0</v>
      </c>
      <c r="EK153" s="34" t="n">
        <f aca="false">MIN(EK$152,MAX(0,EK$149-EK$142))</f>
        <v>0</v>
      </c>
      <c r="EL153" s="34" t="n">
        <f aca="false">MIN(EL$152,MAX(0,EL$149-EL$142))</f>
        <v>0</v>
      </c>
      <c r="EM153" s="34" t="n">
        <f aca="false">MIN(EM$152,MAX(0,EM$149-EM$142))</f>
        <v>0</v>
      </c>
      <c r="EN153" s="34" t="n">
        <f aca="false">MIN(EN$152,MAX(0,EN$149-EN$142))</f>
        <v>0</v>
      </c>
      <c r="EO153" s="34" t="n">
        <f aca="false">MIN(EO$152,MAX(0,EO$149-EO$142))</f>
        <v>0</v>
      </c>
      <c r="EP153" s="34" t="n">
        <f aca="false">MIN(EP$152,MAX(0,EP$149-EP$142))</f>
        <v>0</v>
      </c>
      <c r="EQ153" s="34" t="n">
        <f aca="false">MIN(EQ$152,MAX(0,EQ$149-EQ$142))</f>
        <v>0</v>
      </c>
      <c r="ER153" s="34" t="n">
        <f aca="false">MIN(ER$152,MAX(0,ER$149-ER$142))</f>
        <v>0</v>
      </c>
      <c r="ES153" s="34" t="n">
        <f aca="false">MIN(ES$152,MAX(0,ES$149-ES$142))</f>
        <v>0</v>
      </c>
    </row>
    <row r="154" customFormat="false" ht="15" hidden="false" customHeight="false" outlineLevel="0" collapsed="false">
      <c r="A154" s="2" t="s">
        <v>789</v>
      </c>
      <c r="B154" s="52" t="s">
        <v>790</v>
      </c>
      <c r="C154" s="6" t="s">
        <v>250</v>
      </c>
      <c r="E154" s="40" t="n">
        <f aca="false">MIN(F154:ES154)</f>
        <v>-311740.118672618</v>
      </c>
      <c r="F154" s="10" t="n">
        <f aca="false">F$149-F$153</f>
        <v>535727.93036656</v>
      </c>
      <c r="G154" s="10" t="n">
        <f aca="false">G$149-G$153</f>
        <v>555194.83809215</v>
      </c>
      <c r="H154" s="10" t="n">
        <f aca="false">H$149-H$153</f>
        <v>574661.745817739</v>
      </c>
      <c r="I154" s="10" t="n">
        <f aca="false">I$149-I$153</f>
        <v>594128.653543329</v>
      </c>
      <c r="J154" s="10" t="n">
        <f aca="false">J$149-J$153</f>
        <v>613595.561268919</v>
      </c>
      <c r="K154" s="10" t="n">
        <f aca="false">K$149-K$153</f>
        <v>633062.468994509</v>
      </c>
      <c r="L154" s="10" t="n">
        <f aca="false">L$149-L$153</f>
        <v>610406.072625411</v>
      </c>
      <c r="M154" s="10" t="n">
        <f aca="false">M$149-M$153</f>
        <v>587781.268734384</v>
      </c>
      <c r="N154" s="10" t="n">
        <f aca="false">N$149-N$153</f>
        <v>565188.294265013</v>
      </c>
      <c r="O154" s="10" t="n">
        <f aca="false">O$149-O$153</f>
        <v>542627.387937962</v>
      </c>
      <c r="P154" s="10" t="n">
        <f aca="false">P$149-P$153</f>
        <v>520098.790264297</v>
      </c>
      <c r="Q154" s="10" t="n">
        <f aca="false">Q$149-Q$153</f>
        <v>497602.743558918</v>
      </c>
      <c r="R154" s="10" t="n">
        <f aca="false">R$149-R$153</f>
        <v>129920.95007682</v>
      </c>
      <c r="S154" s="10" t="n">
        <f aca="false">S$149-S$153</f>
        <v>145489.642054168</v>
      </c>
      <c r="T154" s="10" t="n">
        <f aca="false">T$149-T$153</f>
        <v>161091.622903299</v>
      </c>
      <c r="U154" s="10" t="n">
        <f aca="false">U$149-U$153</f>
        <v>176727.142290749</v>
      </c>
      <c r="V154" s="10" t="n">
        <f aca="false">V$149-V$153</f>
        <v>192396.451755556</v>
      </c>
      <c r="W154" s="10" t="n">
        <f aca="false">W$149-W$153</f>
        <v>208099.804723301</v>
      </c>
      <c r="X154" s="10" t="n">
        <f aca="false">X$149-X$153</f>
        <v>223837.456520255</v>
      </c>
      <c r="Y154" s="10" t="n">
        <f aca="false">Y$149-Y$153</f>
        <v>239609.664387639</v>
      </c>
      <c r="Z154" s="10" t="n">
        <f aca="false">Z$149-Z$153</f>
        <v>255416.687495978</v>
      </c>
      <c r="AA154" s="10" t="n">
        <f aca="false">AA$149-AA$153</f>
        <v>271258.786959582</v>
      </c>
      <c r="AB154" s="10" t="n">
        <f aca="false">AB$149-AB$153</f>
        <v>287136.225851114</v>
      </c>
      <c r="AC154" s="10" t="n">
        <f aca="false">AC$149-AC$153</f>
        <v>303049.269216285</v>
      </c>
      <c r="AD154" s="10" t="n">
        <f aca="false">AD$149-AD$153</f>
        <v>-311740.118672618</v>
      </c>
      <c r="AE154" s="10" t="n">
        <f aca="false">AE$149-AE$153</f>
        <v>-259166.435385603</v>
      </c>
      <c r="AF154" s="10" t="n">
        <f aca="false">AF$149-AF$153</f>
        <v>-206556.340501018</v>
      </c>
      <c r="AG154" s="10" t="n">
        <f aca="false">AG$149-AG$153</f>
        <v>-153909.560931882</v>
      </c>
      <c r="AH154" s="10" t="n">
        <f aca="false">AH$149-AH$153</f>
        <v>-101225.821543058</v>
      </c>
      <c r="AI154" s="10" t="n">
        <f aca="false">AI$149-AI$153</f>
        <v>-48504.8451359012</v>
      </c>
      <c r="AJ154" s="10" t="n">
        <f aca="false">AJ$149-AJ$153</f>
        <v>4253.64756722731</v>
      </c>
      <c r="AK154" s="10" t="n">
        <f aca="false">AK$149-AK$153</f>
        <v>57049.9379385471</v>
      </c>
      <c r="AL154" s="10" t="n">
        <f aca="false">AL$149-AL$153</f>
        <v>109884.309460569</v>
      </c>
      <c r="AM154" s="10" t="n">
        <f aca="false">AM$149-AM$153</f>
        <v>162757.047741925</v>
      </c>
      <c r="AN154" s="10" t="n">
        <f aca="false">AN$149-AN$153</f>
        <v>215668.440533308</v>
      </c>
      <c r="AO154" s="10" t="n">
        <f aca="false">AO$149-AO$153</f>
        <v>268618.777743544</v>
      </c>
      <c r="AP154" s="10" t="n">
        <f aca="false">AP$149-AP$153</f>
        <v>-204392.169462804</v>
      </c>
      <c r="AQ154" s="10" t="n">
        <f aca="false">AQ$149-AQ$153</f>
        <v>-118554.51596008</v>
      </c>
      <c r="AR154" s="10" t="n">
        <f aca="false">AR$149-AR$153</f>
        <v>-32677.0352007788</v>
      </c>
      <c r="AS154" s="10" t="n">
        <f aca="false">AS$149-AS$153</f>
        <v>53240.5715195248</v>
      </c>
      <c r="AT154" s="10" t="n">
        <f aca="false">AT$149-AT$153</f>
        <v>139198.605145538</v>
      </c>
      <c r="AU154" s="10" t="n">
        <f aca="false">AU$149-AU$153</f>
        <v>225197.368879053</v>
      </c>
      <c r="AV154" s="10" t="n">
        <f aca="false">AV$149-AV$153</f>
        <v>311237.168195877</v>
      </c>
      <c r="AW154" s="10" t="n">
        <f aca="false">AW$149-AW$153</f>
        <v>397318.310862885</v>
      </c>
      <c r="AX154" s="10" t="n">
        <f aca="false">AX$149-AX$153</f>
        <v>483441.106955202</v>
      </c>
      <c r="AY154" s="10" t="n">
        <f aca="false">AY$149-AY$153</f>
        <v>569605.868873519</v>
      </c>
      <c r="AZ154" s="10" t="n">
        <f aca="false">AZ$149-AZ$153</f>
        <v>655812.91136153</v>
      </c>
      <c r="BA154" s="10" t="n">
        <f aca="false">BA$149-BA$153</f>
        <v>742062.551523509</v>
      </c>
      <c r="BB154" s="10" t="n">
        <f aca="false">BB$149-BB$153</f>
        <v>791565.146132666</v>
      </c>
      <c r="BC154" s="10" t="n">
        <f aca="false">BC$149-BC$153</f>
        <v>879220.527482878</v>
      </c>
      <c r="BD154" s="10" t="n">
        <f aca="false">BD$149-BD$153</f>
        <v>966919.47216105</v>
      </c>
      <c r="BE154" s="10" t="n">
        <f aca="false">BE$149-BE$153</f>
        <v>249708.92851122</v>
      </c>
      <c r="BF154" s="10" t="n">
        <f aca="false">BF$149-BF$153</f>
        <v>337495.982470628</v>
      </c>
      <c r="BG154" s="10" t="n">
        <f aca="false">BG$149-BG$153</f>
        <v>425327.587302565</v>
      </c>
      <c r="BH154" s="10" t="n">
        <f aca="false">BH$149-BH$153</f>
        <v>513204.077138576</v>
      </c>
      <c r="BI154" s="10" t="n">
        <f aca="false">BI$149-BI$153</f>
        <v>601125.788616189</v>
      </c>
      <c r="BJ154" s="10" t="n">
        <f aca="false">BJ$149-BJ$153</f>
        <v>689093.060897719</v>
      </c>
      <c r="BK154" s="10" t="n">
        <f aca="false">BK$149-BK$153</f>
        <v>777106.235689193</v>
      </c>
      <c r="BL154" s="10" t="n">
        <f aca="false">BL$149-BL$153</f>
        <v>865165.657259436</v>
      </c>
      <c r="BM154" s="10" t="n">
        <f aca="false">BM$149-BM$153</f>
        <v>953271.672459288</v>
      </c>
      <c r="BN154" s="10" t="n">
        <f aca="false">BN$149-BN$153</f>
        <v>1070847.25778852</v>
      </c>
      <c r="BO154" s="10" t="n">
        <f aca="false">BO$149-BO$153</f>
        <v>1226147.69958634</v>
      </c>
      <c r="BP154" s="10" t="n">
        <f aca="false">BP$149-BP$153</f>
        <v>1381448.14138417</v>
      </c>
      <c r="BQ154" s="10" t="n">
        <f aca="false">BQ$149-BQ$153</f>
        <v>72822.0388137782</v>
      </c>
      <c r="BR154" s="10" t="n">
        <f aca="false">BR$149-BR$153</f>
        <v>228122.480611604</v>
      </c>
      <c r="BS154" s="10" t="n">
        <f aca="false">BS$149-BS$153</f>
        <v>383422.92240943</v>
      </c>
      <c r="BT154" s="10" t="n">
        <f aca="false">BT$149-BT$153</f>
        <v>538723.364207257</v>
      </c>
      <c r="BU154" s="10" t="n">
        <f aca="false">BU$149-BU$153</f>
        <v>694023.806005083</v>
      </c>
      <c r="BV154" s="10" t="n">
        <f aca="false">BV$149-BV$153</f>
        <v>849324.247802909</v>
      </c>
      <c r="BW154" s="10" t="n">
        <f aca="false">BW$149-BW$153</f>
        <v>1004624.68960073</v>
      </c>
      <c r="BX154" s="10" t="n">
        <f aca="false">BX$149-BX$153</f>
        <v>1159925.13139856</v>
      </c>
      <c r="BY154" s="10" t="n">
        <f aca="false">BY$149-BY$153</f>
        <v>1315225.57319639</v>
      </c>
      <c r="BZ154" s="10" t="n">
        <f aca="false">BZ$149-BZ$153</f>
        <v>1436551.70246101</v>
      </c>
      <c r="CA154" s="10" t="n">
        <f aca="false">CA$149-CA$153</f>
        <v>1595967.72495041</v>
      </c>
      <c r="CB154" s="10" t="n">
        <f aca="false">CB$149-CB$153</f>
        <v>1755383.74743981</v>
      </c>
      <c r="CC154" s="10" t="n">
        <f aca="false">CC$149-CC$153</f>
        <v>120611.077355291</v>
      </c>
      <c r="CD154" s="10" t="n">
        <f aca="false">CD$149-CD$153</f>
        <v>280027.099844691</v>
      </c>
      <c r="CE154" s="10" t="n">
        <f aca="false">CE$149-CE$153</f>
        <v>439443.122334091</v>
      </c>
      <c r="CF154" s="10" t="n">
        <f aca="false">CF$149-CF$153</f>
        <v>598859.144823491</v>
      </c>
      <c r="CG154" s="10" t="n">
        <f aca="false">CG$149-CG$153</f>
        <v>758275.167312891</v>
      </c>
      <c r="CH154" s="10" t="n">
        <f aca="false">CH$149-CH$153</f>
        <v>917691.18980229</v>
      </c>
      <c r="CI154" s="10" t="n">
        <f aca="false">CI$149-CI$153</f>
        <v>1077107.21229169</v>
      </c>
      <c r="CJ154" s="10" t="n">
        <f aca="false">CJ$149-CJ$153</f>
        <v>1236523.23478109</v>
      </c>
      <c r="CK154" s="10" t="n">
        <f aca="false">CK$149-CK$153</f>
        <v>1395939.25727049</v>
      </c>
      <c r="CL154" s="10" t="n">
        <f aca="false">CL$149-CL$153</f>
        <v>1521040.85812226</v>
      </c>
      <c r="CM154" s="10" t="n">
        <f aca="false">CM$149-CM$153</f>
        <v>1684600.67666855</v>
      </c>
      <c r="CN154" s="10" t="n">
        <f aca="false">CN$149-CN$153</f>
        <v>1848160.49521483</v>
      </c>
      <c r="CO154" s="10" t="n">
        <f aca="false">CO$149-CO$153</f>
        <v>168144.652888323</v>
      </c>
      <c r="CP154" s="10" t="n">
        <f aca="false">CP$149-CP$153</f>
        <v>331704.47143461</v>
      </c>
      <c r="CQ154" s="10" t="n">
        <f aca="false">CQ$149-CQ$153</f>
        <v>495264.289980898</v>
      </c>
      <c r="CR154" s="10" t="n">
        <f aca="false">CR$149-CR$153</f>
        <v>658824.108527185</v>
      </c>
      <c r="CS154" s="10" t="n">
        <f aca="false">CS$149-CS$153</f>
        <v>822383.927073473</v>
      </c>
      <c r="CT154" s="10" t="n">
        <f aca="false">CT$149-CT$153</f>
        <v>985943.74561976</v>
      </c>
      <c r="CU154" s="10" t="n">
        <f aca="false">CU$149-CU$153</f>
        <v>1149503.56416605</v>
      </c>
      <c r="CV154" s="10" t="n">
        <f aca="false">CV$149-CV$153</f>
        <v>1313063.38271234</v>
      </c>
      <c r="CW154" s="10" t="n">
        <f aca="false">CW$149-CW$153</f>
        <v>1476623.20125862</v>
      </c>
      <c r="CX154" s="10" t="n">
        <f aca="false">CX$149-CX$153</f>
        <v>1605525.07895819</v>
      </c>
      <c r="CY154" s="10" t="n">
        <f aca="false">CY$149-CY$153</f>
        <v>1773256.8086071</v>
      </c>
      <c r="CZ154" s="10" t="n">
        <f aca="false">CZ$149-CZ$153</f>
        <v>1940988.53825601</v>
      </c>
      <c r="DA154" s="10" t="n">
        <f aca="false">DA$149-DA$153</f>
        <v>215419.054349467</v>
      </c>
      <c r="DB154" s="10" t="n">
        <f aca="false">DB$149-DB$153</f>
        <v>383150.783998375</v>
      </c>
      <c r="DC154" s="10" t="n">
        <f aca="false">DC$149-DC$153</f>
        <v>550882.513647283</v>
      </c>
      <c r="DD154" s="10" t="n">
        <f aca="false">DD$149-DD$153</f>
        <v>718614.24329619</v>
      </c>
      <c r="DE154" s="10" t="n">
        <f aca="false">DE$149-DE$153</f>
        <v>886345.972945098</v>
      </c>
      <c r="DF154" s="10" t="n">
        <f aca="false">DF$149-DF$153</f>
        <v>1054077.70259401</v>
      </c>
      <c r="DG154" s="10" t="n">
        <f aca="false">DG$149-DG$153</f>
        <v>1221809.43224291</v>
      </c>
      <c r="DH154" s="10" t="n">
        <f aca="false">DH$149-DH$153</f>
        <v>1389541.16189182</v>
      </c>
      <c r="DI154" s="10" t="n">
        <f aca="false">DI$149-DI$153</f>
        <v>1557272.89154073</v>
      </c>
      <c r="DJ154" s="10" t="n">
        <f aca="false">DJ$149-DJ$153</f>
        <v>1689999.71669704</v>
      </c>
      <c r="DK154" s="10" t="n">
        <f aca="false">DK$149-DK$153</f>
        <v>1861931.35981212</v>
      </c>
      <c r="DL154" s="10" t="n">
        <f aca="false">DL$149-DL$153</f>
        <v>2033863.00292721</v>
      </c>
      <c r="DM154" s="10" t="n">
        <f aca="false">DM$149-DM$153</f>
        <v>262430.499255404</v>
      </c>
      <c r="DN154" s="10" t="n">
        <f aca="false">DN$149-DN$153</f>
        <v>434362.142370491</v>
      </c>
      <c r="DO154" s="10" t="n">
        <f aca="false">DO$149-DO$153</f>
        <v>606293.785485577</v>
      </c>
      <c r="DP154" s="10" t="n">
        <f aca="false">DP$149-DP$153</f>
        <v>778225.428600663</v>
      </c>
      <c r="DQ154" s="10" t="n">
        <f aca="false">DQ$149-DQ$153</f>
        <v>950157.071715749</v>
      </c>
      <c r="DR154" s="10" t="n">
        <f aca="false">DR$149-DR$153</f>
        <v>1122088.71483084</v>
      </c>
      <c r="DS154" s="10" t="n">
        <f aca="false">DS$149-DS$153</f>
        <v>1294020.35794592</v>
      </c>
      <c r="DT154" s="10" t="n">
        <f aca="false">DT$149-DT$153</f>
        <v>1465952.00106101</v>
      </c>
      <c r="DU154" s="10" t="n">
        <f aca="false">DU$149-DU$153</f>
        <v>1637883.64417609</v>
      </c>
      <c r="DV154" s="10" t="n">
        <f aca="false">DV$149-DV$153</f>
        <v>1637883.64417609</v>
      </c>
      <c r="DW154" s="10" t="n">
        <f aca="false">DW$149-DW$153</f>
        <v>1637883.64417609</v>
      </c>
      <c r="DX154" s="10" t="n">
        <f aca="false">DX$149-DX$153</f>
        <v>1637883.64417609</v>
      </c>
      <c r="DY154" s="10" t="n">
        <f aca="false">DY$149-DY$153</f>
        <v>1637883.64417609</v>
      </c>
      <c r="DZ154" s="10" t="n">
        <f aca="false">DZ$149-DZ$153</f>
        <v>1637883.64417609</v>
      </c>
      <c r="EA154" s="10" t="n">
        <f aca="false">EA$149-EA$153</f>
        <v>1637883.64417609</v>
      </c>
      <c r="EB154" s="10" t="n">
        <f aca="false">EB$149-EB$153</f>
        <v>1637883.64417609</v>
      </c>
      <c r="EC154" s="10" t="n">
        <f aca="false">EC$149-EC$153</f>
        <v>1637883.64417609</v>
      </c>
      <c r="ED154" s="10" t="n">
        <f aca="false">ED$149-ED$153</f>
        <v>1637883.64417609</v>
      </c>
      <c r="EE154" s="10" t="n">
        <f aca="false">EE$149-EE$153</f>
        <v>1637883.64417609</v>
      </c>
      <c r="EF154" s="10" t="n">
        <f aca="false">EF$149-EF$153</f>
        <v>1637883.64417609</v>
      </c>
      <c r="EG154" s="10" t="n">
        <f aca="false">EG$149-EG$153</f>
        <v>1637883.64417609</v>
      </c>
      <c r="EH154" s="10" t="n">
        <f aca="false">EH$149-EH$153</f>
        <v>1637883.64417609</v>
      </c>
      <c r="EI154" s="10" t="n">
        <f aca="false">EI$149-EI$153</f>
        <v>1637883.64417609</v>
      </c>
      <c r="EJ154" s="10" t="n">
        <f aca="false">EJ$149-EJ$153</f>
        <v>1637883.64417609</v>
      </c>
      <c r="EK154" s="10" t="n">
        <f aca="false">EK$149-EK$153</f>
        <v>1637883.64417609</v>
      </c>
      <c r="EL154" s="10" t="n">
        <f aca="false">EL$149-EL$153</f>
        <v>1637883.64417609</v>
      </c>
      <c r="EM154" s="10" t="n">
        <f aca="false">EM$149-EM$153</f>
        <v>1637883.64417609</v>
      </c>
      <c r="EN154" s="10" t="n">
        <f aca="false">EN$149-EN$153</f>
        <v>1637883.64417609</v>
      </c>
      <c r="EO154" s="10" t="n">
        <f aca="false">EO$149-EO$153</f>
        <v>1637883.64417609</v>
      </c>
      <c r="EP154" s="10" t="n">
        <f aca="false">EP$149-EP$153</f>
        <v>1637883.64417609</v>
      </c>
      <c r="EQ154" s="10" t="n">
        <f aca="false">EQ$149-EQ$153</f>
        <v>1637883.64417609</v>
      </c>
      <c r="ER154" s="10" t="n">
        <f aca="false">ER$149-ER$153</f>
        <v>1637883.64417609</v>
      </c>
      <c r="ES154" s="10" t="n">
        <f aca="false">ES$149-ES$153</f>
        <v>1637883.64417609</v>
      </c>
    </row>
    <row r="155" customFormat="false" ht="15" hidden="false" customHeight="false" outlineLevel="0" collapsed="false">
      <c r="A155" s="2" t="s">
        <v>791</v>
      </c>
      <c r="B155" s="6" t="s">
        <v>792</v>
      </c>
      <c r="C155" s="6" t="s">
        <v>250</v>
      </c>
      <c r="E155" s="40" t="n">
        <f aca="false">SUM(F155:ES155)</f>
        <v>0</v>
      </c>
      <c r="F155" s="34" t="n">
        <f aca="false">F$154-(F$149-F$153)</f>
        <v>0</v>
      </c>
      <c r="G155" s="34" t="n">
        <f aca="false">G$154-(G$149-G$153)</f>
        <v>0</v>
      </c>
      <c r="H155" s="34" t="n">
        <f aca="false">H$154-(H$149-H$153)</f>
        <v>0</v>
      </c>
      <c r="I155" s="34" t="n">
        <f aca="false">I$154-(I$149-I$153)</f>
        <v>0</v>
      </c>
      <c r="J155" s="34" t="n">
        <f aca="false">J$154-(J$149-J$153)</f>
        <v>0</v>
      </c>
      <c r="K155" s="34" t="n">
        <f aca="false">K$154-(K$149-K$153)</f>
        <v>0</v>
      </c>
      <c r="L155" s="34" t="n">
        <f aca="false">L$154-(L$149-L$153)</f>
        <v>0</v>
      </c>
      <c r="M155" s="34" t="n">
        <f aca="false">M$154-(M$149-M$153)</f>
        <v>0</v>
      </c>
      <c r="N155" s="34" t="n">
        <f aca="false">N$154-(N$149-N$153)</f>
        <v>0</v>
      </c>
      <c r="O155" s="34" t="n">
        <f aca="false">O$154-(O$149-O$153)</f>
        <v>0</v>
      </c>
      <c r="P155" s="34" t="n">
        <f aca="false">P$154-(P$149-P$153)</f>
        <v>0</v>
      </c>
      <c r="Q155" s="34" t="n">
        <f aca="false">Q$154-(Q$149-Q$153)</f>
        <v>0</v>
      </c>
      <c r="R155" s="34" t="n">
        <f aca="false">R$154-(R$149-R$153)</f>
        <v>0</v>
      </c>
      <c r="S155" s="34" t="n">
        <f aca="false">S$154-(S$149-S$153)</f>
        <v>0</v>
      </c>
      <c r="T155" s="34" t="n">
        <f aca="false">T$154-(T$149-T$153)</f>
        <v>0</v>
      </c>
      <c r="U155" s="34" t="n">
        <f aca="false">U$154-(U$149-U$153)</f>
        <v>0</v>
      </c>
      <c r="V155" s="34" t="n">
        <f aca="false">V$154-(V$149-V$153)</f>
        <v>0</v>
      </c>
      <c r="W155" s="34" t="n">
        <f aca="false">W$154-(W$149-W$153)</f>
        <v>0</v>
      </c>
      <c r="X155" s="34" t="n">
        <f aca="false">X$154-(X$149-X$153)</f>
        <v>0</v>
      </c>
      <c r="Y155" s="34" t="n">
        <f aca="false">Y$154-(Y$149-Y$153)</f>
        <v>0</v>
      </c>
      <c r="Z155" s="34" t="n">
        <f aca="false">Z$154-(Z$149-Z$153)</f>
        <v>0</v>
      </c>
      <c r="AA155" s="34" t="n">
        <f aca="false">AA$154-(AA$149-AA$153)</f>
        <v>0</v>
      </c>
      <c r="AB155" s="34" t="n">
        <f aca="false">AB$154-(AB$149-AB$153)</f>
        <v>0</v>
      </c>
      <c r="AC155" s="34" t="n">
        <f aca="false">AC$154-(AC$149-AC$153)</f>
        <v>0</v>
      </c>
      <c r="AD155" s="34" t="n">
        <f aca="false">AD$154-(AD$149-AD$153)</f>
        <v>0</v>
      </c>
      <c r="AE155" s="34" t="n">
        <f aca="false">AE$154-(AE$149-AE$153)</f>
        <v>0</v>
      </c>
      <c r="AF155" s="34" t="n">
        <f aca="false">AF$154-(AF$149-AF$153)</f>
        <v>0</v>
      </c>
      <c r="AG155" s="34" t="n">
        <f aca="false">AG$154-(AG$149-AG$153)</f>
        <v>0</v>
      </c>
      <c r="AH155" s="34" t="n">
        <f aca="false">AH$154-(AH$149-AH$153)</f>
        <v>0</v>
      </c>
      <c r="AI155" s="34" t="n">
        <f aca="false">AI$154-(AI$149-AI$153)</f>
        <v>0</v>
      </c>
      <c r="AJ155" s="34" t="n">
        <f aca="false">AJ$154-(AJ$149-AJ$153)</f>
        <v>0</v>
      </c>
      <c r="AK155" s="34" t="n">
        <f aca="false">AK$154-(AK$149-AK$153)</f>
        <v>0</v>
      </c>
      <c r="AL155" s="34" t="n">
        <f aca="false">AL$154-(AL$149-AL$153)</f>
        <v>0</v>
      </c>
      <c r="AM155" s="34" t="n">
        <f aca="false">AM$154-(AM$149-AM$153)</f>
        <v>0</v>
      </c>
      <c r="AN155" s="34" t="n">
        <f aca="false">AN$154-(AN$149-AN$153)</f>
        <v>0</v>
      </c>
      <c r="AO155" s="34" t="n">
        <f aca="false">AO$154-(AO$149-AO$153)</f>
        <v>0</v>
      </c>
      <c r="AP155" s="34" t="n">
        <f aca="false">AP$154-(AP$149-AP$153)</f>
        <v>0</v>
      </c>
      <c r="AQ155" s="34" t="n">
        <f aca="false">AQ$154-(AQ$149-AQ$153)</f>
        <v>0</v>
      </c>
      <c r="AR155" s="34" t="n">
        <f aca="false">AR$154-(AR$149-AR$153)</f>
        <v>0</v>
      </c>
      <c r="AS155" s="34" t="n">
        <f aca="false">AS$154-(AS$149-AS$153)</f>
        <v>0</v>
      </c>
      <c r="AT155" s="34" t="n">
        <f aca="false">AT$154-(AT$149-AT$153)</f>
        <v>0</v>
      </c>
      <c r="AU155" s="34" t="n">
        <f aca="false">AU$154-(AU$149-AU$153)</f>
        <v>0</v>
      </c>
      <c r="AV155" s="34" t="n">
        <f aca="false">AV$154-(AV$149-AV$153)</f>
        <v>0</v>
      </c>
      <c r="AW155" s="34" t="n">
        <f aca="false">AW$154-(AW$149-AW$153)</f>
        <v>0</v>
      </c>
      <c r="AX155" s="34" t="n">
        <f aca="false">AX$154-(AX$149-AX$153)</f>
        <v>0</v>
      </c>
      <c r="AY155" s="34" t="n">
        <f aca="false">AY$154-(AY$149-AY$153)</f>
        <v>0</v>
      </c>
      <c r="AZ155" s="34" t="n">
        <f aca="false">AZ$154-(AZ$149-AZ$153)</f>
        <v>0</v>
      </c>
      <c r="BA155" s="34" t="n">
        <f aca="false">BA$154-(BA$149-BA$153)</f>
        <v>0</v>
      </c>
      <c r="BB155" s="34" t="n">
        <f aca="false">BB$154-(BB$149-BB$153)</f>
        <v>0</v>
      </c>
      <c r="BC155" s="34" t="n">
        <f aca="false">BC$154-(BC$149-BC$153)</f>
        <v>0</v>
      </c>
      <c r="BD155" s="34" t="n">
        <f aca="false">BD$154-(BD$149-BD$153)</f>
        <v>0</v>
      </c>
      <c r="BE155" s="34" t="n">
        <f aca="false">BE$154-(BE$149-BE$153)</f>
        <v>0</v>
      </c>
      <c r="BF155" s="34" t="n">
        <f aca="false">BF$154-(BF$149-BF$153)</f>
        <v>0</v>
      </c>
      <c r="BG155" s="34" t="n">
        <f aca="false">BG$154-(BG$149-BG$153)</f>
        <v>0</v>
      </c>
      <c r="BH155" s="34" t="n">
        <f aca="false">BH$154-(BH$149-BH$153)</f>
        <v>0</v>
      </c>
      <c r="BI155" s="34" t="n">
        <f aca="false">BI$154-(BI$149-BI$153)</f>
        <v>0</v>
      </c>
      <c r="BJ155" s="34" t="n">
        <f aca="false">BJ$154-(BJ$149-BJ$153)</f>
        <v>0</v>
      </c>
      <c r="BK155" s="34" t="n">
        <f aca="false">BK$154-(BK$149-BK$153)</f>
        <v>0</v>
      </c>
      <c r="BL155" s="34" t="n">
        <f aca="false">BL$154-(BL$149-BL$153)</f>
        <v>0</v>
      </c>
      <c r="BM155" s="34" t="n">
        <f aca="false">BM$154-(BM$149-BM$153)</f>
        <v>0</v>
      </c>
      <c r="BN155" s="34" t="n">
        <f aca="false">BN$154-(BN$149-BN$153)</f>
        <v>0</v>
      </c>
      <c r="BO155" s="34" t="n">
        <f aca="false">BO$154-(BO$149-BO$153)</f>
        <v>0</v>
      </c>
      <c r="BP155" s="34" t="n">
        <f aca="false">BP$154-(BP$149-BP$153)</f>
        <v>0</v>
      </c>
      <c r="BQ155" s="34" t="n">
        <f aca="false">BQ$154-(BQ$149-BQ$153)</f>
        <v>0</v>
      </c>
      <c r="BR155" s="34" t="n">
        <f aca="false">BR$154-(BR$149-BR$153)</f>
        <v>0</v>
      </c>
      <c r="BS155" s="34" t="n">
        <f aca="false">BS$154-(BS$149-BS$153)</f>
        <v>0</v>
      </c>
      <c r="BT155" s="34" t="n">
        <f aca="false">BT$154-(BT$149-BT$153)</f>
        <v>0</v>
      </c>
      <c r="BU155" s="34" t="n">
        <f aca="false">BU$154-(BU$149-BU$153)</f>
        <v>0</v>
      </c>
      <c r="BV155" s="34" t="n">
        <f aca="false">BV$154-(BV$149-BV$153)</f>
        <v>0</v>
      </c>
      <c r="BW155" s="34" t="n">
        <f aca="false">BW$154-(BW$149-BW$153)</f>
        <v>0</v>
      </c>
      <c r="BX155" s="34" t="n">
        <f aca="false">BX$154-(BX$149-BX$153)</f>
        <v>0</v>
      </c>
      <c r="BY155" s="34" t="n">
        <f aca="false">BY$154-(BY$149-BY$153)</f>
        <v>0</v>
      </c>
      <c r="BZ155" s="34" t="n">
        <f aca="false">BZ$154-(BZ$149-BZ$153)</f>
        <v>0</v>
      </c>
      <c r="CA155" s="34" t="n">
        <f aca="false">CA$154-(CA$149-CA$153)</f>
        <v>0</v>
      </c>
      <c r="CB155" s="34" t="n">
        <f aca="false">CB$154-(CB$149-CB$153)</f>
        <v>0</v>
      </c>
      <c r="CC155" s="34" t="n">
        <f aca="false">CC$154-(CC$149-CC$153)</f>
        <v>0</v>
      </c>
      <c r="CD155" s="34" t="n">
        <f aca="false">CD$154-(CD$149-CD$153)</f>
        <v>0</v>
      </c>
      <c r="CE155" s="34" t="n">
        <f aca="false">CE$154-(CE$149-CE$153)</f>
        <v>0</v>
      </c>
      <c r="CF155" s="34" t="n">
        <f aca="false">CF$154-(CF$149-CF$153)</f>
        <v>0</v>
      </c>
      <c r="CG155" s="34" t="n">
        <f aca="false">CG$154-(CG$149-CG$153)</f>
        <v>0</v>
      </c>
      <c r="CH155" s="34" t="n">
        <f aca="false">CH$154-(CH$149-CH$153)</f>
        <v>0</v>
      </c>
      <c r="CI155" s="34" t="n">
        <f aca="false">CI$154-(CI$149-CI$153)</f>
        <v>0</v>
      </c>
      <c r="CJ155" s="34" t="n">
        <f aca="false">CJ$154-(CJ$149-CJ$153)</f>
        <v>0</v>
      </c>
      <c r="CK155" s="34" t="n">
        <f aca="false">CK$154-(CK$149-CK$153)</f>
        <v>0</v>
      </c>
      <c r="CL155" s="34" t="n">
        <f aca="false">CL$154-(CL$149-CL$153)</f>
        <v>0</v>
      </c>
      <c r="CM155" s="34" t="n">
        <f aca="false">CM$154-(CM$149-CM$153)</f>
        <v>0</v>
      </c>
      <c r="CN155" s="34" t="n">
        <f aca="false">CN$154-(CN$149-CN$153)</f>
        <v>0</v>
      </c>
      <c r="CO155" s="34" t="n">
        <f aca="false">CO$154-(CO$149-CO$153)</f>
        <v>0</v>
      </c>
      <c r="CP155" s="34" t="n">
        <f aca="false">CP$154-(CP$149-CP$153)</f>
        <v>0</v>
      </c>
      <c r="CQ155" s="34" t="n">
        <f aca="false">CQ$154-(CQ$149-CQ$153)</f>
        <v>0</v>
      </c>
      <c r="CR155" s="34" t="n">
        <f aca="false">CR$154-(CR$149-CR$153)</f>
        <v>0</v>
      </c>
      <c r="CS155" s="34" t="n">
        <f aca="false">CS$154-(CS$149-CS$153)</f>
        <v>0</v>
      </c>
      <c r="CT155" s="34" t="n">
        <f aca="false">CT$154-(CT$149-CT$153)</f>
        <v>0</v>
      </c>
      <c r="CU155" s="34" t="n">
        <f aca="false">CU$154-(CU$149-CU$153)</f>
        <v>0</v>
      </c>
      <c r="CV155" s="34" t="n">
        <f aca="false">CV$154-(CV$149-CV$153)</f>
        <v>0</v>
      </c>
      <c r="CW155" s="34" t="n">
        <f aca="false">CW$154-(CW$149-CW$153)</f>
        <v>0</v>
      </c>
      <c r="CX155" s="34" t="n">
        <f aca="false">CX$154-(CX$149-CX$153)</f>
        <v>0</v>
      </c>
      <c r="CY155" s="34" t="n">
        <f aca="false">CY$154-(CY$149-CY$153)</f>
        <v>0</v>
      </c>
      <c r="CZ155" s="34" t="n">
        <f aca="false">CZ$154-(CZ$149-CZ$153)</f>
        <v>0</v>
      </c>
      <c r="DA155" s="34" t="n">
        <f aca="false">DA$154-(DA$149-DA$153)</f>
        <v>0</v>
      </c>
      <c r="DB155" s="34" t="n">
        <f aca="false">DB$154-(DB$149-DB$153)</f>
        <v>0</v>
      </c>
      <c r="DC155" s="34" t="n">
        <f aca="false">DC$154-(DC$149-DC$153)</f>
        <v>0</v>
      </c>
      <c r="DD155" s="34" t="n">
        <f aca="false">DD$154-(DD$149-DD$153)</f>
        <v>0</v>
      </c>
      <c r="DE155" s="34" t="n">
        <f aca="false">DE$154-(DE$149-DE$153)</f>
        <v>0</v>
      </c>
      <c r="DF155" s="34" t="n">
        <f aca="false">DF$154-(DF$149-DF$153)</f>
        <v>0</v>
      </c>
      <c r="DG155" s="34" t="n">
        <f aca="false">DG$154-(DG$149-DG$153)</f>
        <v>0</v>
      </c>
      <c r="DH155" s="34" t="n">
        <f aca="false">DH$154-(DH$149-DH$153)</f>
        <v>0</v>
      </c>
      <c r="DI155" s="34" t="n">
        <f aca="false">DI$154-(DI$149-DI$153)</f>
        <v>0</v>
      </c>
      <c r="DJ155" s="34" t="n">
        <f aca="false">DJ$154-(DJ$149-DJ$153)</f>
        <v>0</v>
      </c>
      <c r="DK155" s="34" t="n">
        <f aca="false">DK$154-(DK$149-DK$153)</f>
        <v>0</v>
      </c>
      <c r="DL155" s="34" t="n">
        <f aca="false">DL$154-(DL$149-DL$153)</f>
        <v>0</v>
      </c>
      <c r="DM155" s="34" t="n">
        <f aca="false">DM$154-(DM$149-DM$153)</f>
        <v>0</v>
      </c>
      <c r="DN155" s="34" t="n">
        <f aca="false">DN$154-(DN$149-DN$153)</f>
        <v>0</v>
      </c>
      <c r="DO155" s="34" t="n">
        <f aca="false">DO$154-(DO$149-DO$153)</f>
        <v>0</v>
      </c>
      <c r="DP155" s="34" t="n">
        <f aca="false">DP$154-(DP$149-DP$153)</f>
        <v>0</v>
      </c>
      <c r="DQ155" s="34" t="n">
        <f aca="false">DQ$154-(DQ$149-DQ$153)</f>
        <v>0</v>
      </c>
      <c r="DR155" s="34" t="n">
        <f aca="false">DR$154-(DR$149-DR$153)</f>
        <v>0</v>
      </c>
      <c r="DS155" s="34" t="n">
        <f aca="false">DS$154-(DS$149-DS$153)</f>
        <v>0</v>
      </c>
      <c r="DT155" s="34" t="n">
        <f aca="false">DT$154-(DT$149-DT$153)</f>
        <v>0</v>
      </c>
      <c r="DU155" s="34" t="n">
        <f aca="false">DU$154-(DU$149-DU$153)</f>
        <v>0</v>
      </c>
      <c r="DV155" s="34" t="n">
        <f aca="false">DV$154-(DV$149-DV$153)</f>
        <v>0</v>
      </c>
      <c r="DW155" s="34" t="n">
        <f aca="false">DW$154-(DW$149-DW$153)</f>
        <v>0</v>
      </c>
      <c r="DX155" s="34" t="n">
        <f aca="false">DX$154-(DX$149-DX$153)</f>
        <v>0</v>
      </c>
      <c r="DY155" s="34" t="n">
        <f aca="false">DY$154-(DY$149-DY$153)</f>
        <v>0</v>
      </c>
      <c r="DZ155" s="34" t="n">
        <f aca="false">DZ$154-(DZ$149-DZ$153)</f>
        <v>0</v>
      </c>
      <c r="EA155" s="34" t="n">
        <f aca="false">EA$154-(EA$149-EA$153)</f>
        <v>0</v>
      </c>
      <c r="EB155" s="34" t="n">
        <f aca="false">EB$154-(EB$149-EB$153)</f>
        <v>0</v>
      </c>
      <c r="EC155" s="34" t="n">
        <f aca="false">EC$154-(EC$149-EC$153)</f>
        <v>0</v>
      </c>
      <c r="ED155" s="34" t="n">
        <f aca="false">ED$154-(ED$149-ED$153)</f>
        <v>0</v>
      </c>
      <c r="EE155" s="34" t="n">
        <f aca="false">EE$154-(EE$149-EE$153)</f>
        <v>0</v>
      </c>
      <c r="EF155" s="34" t="n">
        <f aca="false">EF$154-(EF$149-EF$153)</f>
        <v>0</v>
      </c>
      <c r="EG155" s="34" t="n">
        <f aca="false">EG$154-(EG$149-EG$153)</f>
        <v>0</v>
      </c>
      <c r="EH155" s="34" t="n">
        <f aca="false">EH$154-(EH$149-EH$153)</f>
        <v>0</v>
      </c>
      <c r="EI155" s="34" t="n">
        <f aca="false">EI$154-(EI$149-EI$153)</f>
        <v>0</v>
      </c>
      <c r="EJ155" s="34" t="n">
        <f aca="false">EJ$154-(EJ$149-EJ$153)</f>
        <v>0</v>
      </c>
      <c r="EK155" s="34" t="n">
        <f aca="false">EK$154-(EK$149-EK$153)</f>
        <v>0</v>
      </c>
      <c r="EL155" s="34" t="n">
        <f aca="false">EL$154-(EL$149-EL$153)</f>
        <v>0</v>
      </c>
      <c r="EM155" s="34" t="n">
        <f aca="false">EM$154-(EM$149-EM$153)</f>
        <v>0</v>
      </c>
      <c r="EN155" s="34" t="n">
        <f aca="false">EN$154-(EN$149-EN$153)</f>
        <v>0</v>
      </c>
      <c r="EO155" s="34" t="n">
        <f aca="false">EO$154-(EO$149-EO$153)</f>
        <v>0</v>
      </c>
      <c r="EP155" s="34" t="n">
        <f aca="false">EP$154-(EP$149-EP$153)</f>
        <v>0</v>
      </c>
      <c r="EQ155" s="34" t="n">
        <f aca="false">EQ$154-(EQ$149-EQ$153)</f>
        <v>0</v>
      </c>
      <c r="ER155" s="34" t="n">
        <f aca="false">ER$154-(ER$149-ER$153)</f>
        <v>0</v>
      </c>
      <c r="ES155" s="34" t="n">
        <f aca="false">ES$154-(ES$149-ES$153)</f>
        <v>0</v>
      </c>
    </row>
    <row r="156" customFormat="false" ht="15" hidden="false" customHeight="false" outlineLevel="0" collapsed="false">
      <c r="A156" s="2" t="s">
        <v>793</v>
      </c>
      <c r="B156" s="52" t="s">
        <v>794</v>
      </c>
      <c r="C156" s="6" t="s">
        <v>250</v>
      </c>
      <c r="E156" s="40" t="n">
        <f aca="false">MAX(F156:ES156)</f>
        <v>373700.713193166</v>
      </c>
      <c r="F156" s="10" t="n">
        <f aca="false">MAX(0,F$142-F$154)*F$9</f>
        <v>0</v>
      </c>
      <c r="G156" s="10" t="n">
        <f aca="false">MAX(0,G$142-G$154)*G$9</f>
        <v>0</v>
      </c>
      <c r="H156" s="10" t="n">
        <f aca="false">MAX(0,H$142-H$154)*H$9</f>
        <v>0</v>
      </c>
      <c r="I156" s="10" t="n">
        <f aca="false">MAX(0,I$142-I$154)*I$9</f>
        <v>0</v>
      </c>
      <c r="J156" s="10" t="n">
        <f aca="false">MAX(0,J$142-J$154)*J$9</f>
        <v>0</v>
      </c>
      <c r="K156" s="10" t="n">
        <f aca="false">MAX(0,K$142-K$154)*K$9</f>
        <v>0</v>
      </c>
      <c r="L156" s="10" t="n">
        <f aca="false">MAX(0,L$142-L$154)*L$9</f>
        <v>0</v>
      </c>
      <c r="M156" s="10" t="n">
        <f aca="false">MAX(0,M$142-M$154)*M$9</f>
        <v>0</v>
      </c>
      <c r="N156" s="10" t="n">
        <f aca="false">MAX(0,N$142-N$154)*N$9</f>
        <v>0</v>
      </c>
      <c r="O156" s="10" t="n">
        <f aca="false">MAX(0,O$142-O$154)*O$9</f>
        <v>0</v>
      </c>
      <c r="P156" s="10" t="n">
        <f aca="false">MAX(0,P$142-P$154)*P$9</f>
        <v>0</v>
      </c>
      <c r="Q156" s="10" t="n">
        <f aca="false">MAX(0,Q$142-Q$154)*Q$9</f>
        <v>0</v>
      </c>
      <c r="R156" s="10" t="n">
        <f aca="false">MAX(0,R$142-R$154)*R$9</f>
        <v>0</v>
      </c>
      <c r="S156" s="10" t="n">
        <f aca="false">MAX(0,S$142-S$154)*S$9</f>
        <v>0</v>
      </c>
      <c r="T156" s="10" t="n">
        <f aca="false">MAX(0,T$142-T$154)*T$9</f>
        <v>0</v>
      </c>
      <c r="U156" s="10" t="n">
        <f aca="false">MAX(0,U$142-U$154)*U$9</f>
        <v>0</v>
      </c>
      <c r="V156" s="10" t="n">
        <f aca="false">MAX(0,V$142-V$154)*V$9</f>
        <v>0</v>
      </c>
      <c r="W156" s="10" t="n">
        <f aca="false">MAX(0,W$142-W$154)*W$9</f>
        <v>0</v>
      </c>
      <c r="X156" s="10" t="n">
        <f aca="false">MAX(0,X$142-X$154)*X$9</f>
        <v>0</v>
      </c>
      <c r="Y156" s="10" t="n">
        <f aca="false">MAX(0,Y$142-Y$154)*Y$9</f>
        <v>0</v>
      </c>
      <c r="Z156" s="10" t="n">
        <f aca="false">MAX(0,Z$142-Z$154)*Z$9</f>
        <v>0</v>
      </c>
      <c r="AA156" s="10" t="n">
        <f aca="false">MAX(0,AA$142-AA$154)*AA$9</f>
        <v>0</v>
      </c>
      <c r="AB156" s="10" t="n">
        <f aca="false">MAX(0,AB$142-AB$154)*AB$9</f>
        <v>0</v>
      </c>
      <c r="AC156" s="10" t="n">
        <f aca="false">MAX(0,AC$142-AC$154)*AC$9</f>
        <v>0</v>
      </c>
      <c r="AD156" s="10" t="n">
        <f aca="false">MAX(0,AD$142-AD$154)*AD$9</f>
        <v>373700.713193166</v>
      </c>
      <c r="AE156" s="10" t="n">
        <f aca="false">MAX(0,AE$142-AE$154)*AE$9</f>
        <v>321127.029906151</v>
      </c>
      <c r="AF156" s="10" t="n">
        <f aca="false">MAX(0,AF$142-AF$154)*AF$9</f>
        <v>268516.935021566</v>
      </c>
      <c r="AG156" s="10" t="n">
        <f aca="false">MAX(0,AG$142-AG$154)*AG$9</f>
        <v>215870.15545243</v>
      </c>
      <c r="AH156" s="10" t="n">
        <f aca="false">MAX(0,AH$142-AH$154)*AH$9</f>
        <v>163186.416063606</v>
      </c>
      <c r="AI156" s="10" t="n">
        <f aca="false">MAX(0,AI$142-AI$154)*AI$9</f>
        <v>110465.439656449</v>
      </c>
      <c r="AJ156" s="10" t="n">
        <f aca="false">MAX(0,AJ$142-AJ$154)*AJ$9</f>
        <v>57706.9469533206</v>
      </c>
      <c r="AK156" s="10" t="n">
        <f aca="false">MAX(0,AK$142-AK$154)*AK$9</f>
        <v>4910.65658200088</v>
      </c>
      <c r="AL156" s="10" t="n">
        <f aca="false">MAX(0,AL$142-AL$154)*AL$9</f>
        <v>0</v>
      </c>
      <c r="AM156" s="10" t="n">
        <f aca="false">MAX(0,AM$142-AM$154)*AM$9</f>
        <v>0</v>
      </c>
      <c r="AN156" s="10" t="n">
        <f aca="false">MAX(0,AN$142-AN$154)*AN$9</f>
        <v>0</v>
      </c>
      <c r="AO156" s="10" t="n">
        <f aca="false">MAX(0,AO$142-AO$154)*AO$9</f>
        <v>0</v>
      </c>
      <c r="AP156" s="10" t="n">
        <f aca="false">MAX(0,AP$142-AP$154)*AP$9</f>
        <v>275779.326421708</v>
      </c>
      <c r="AQ156" s="10" t="n">
        <f aca="false">MAX(0,AQ$142-AQ$154)*AQ$9</f>
        <v>189941.672918985</v>
      </c>
      <c r="AR156" s="10" t="n">
        <f aca="false">MAX(0,AR$142-AR$154)*AR$9</f>
        <v>104064.192159683</v>
      </c>
      <c r="AS156" s="10" t="n">
        <f aca="false">MAX(0,AS$142-AS$154)*AS$9</f>
        <v>18146.5854393793</v>
      </c>
      <c r="AT156" s="10" t="n">
        <f aca="false">MAX(0,AT$142-AT$154)*AT$9</f>
        <v>0</v>
      </c>
      <c r="AU156" s="10" t="n">
        <f aca="false">MAX(0,AU$142-AU$154)*AU$9</f>
        <v>0</v>
      </c>
      <c r="AV156" s="10" t="n">
        <f aca="false">MAX(0,AV$142-AV$154)*AV$9</f>
        <v>0</v>
      </c>
      <c r="AW156" s="10" t="n">
        <f aca="false">MAX(0,AW$142-AW$154)*AW$9</f>
        <v>0</v>
      </c>
      <c r="AX156" s="10" t="n">
        <f aca="false">MAX(0,AX$142-AX$154)*AX$9</f>
        <v>0</v>
      </c>
      <c r="AY156" s="10" t="n">
        <f aca="false">MAX(0,AY$142-AY$154)*AY$9</f>
        <v>0</v>
      </c>
      <c r="AZ156" s="10" t="n">
        <f aca="false">MAX(0,AZ$142-AZ$154)*AZ$9</f>
        <v>0</v>
      </c>
      <c r="BA156" s="10" t="n">
        <f aca="false">MAX(0,BA$142-BA$154)*BA$9</f>
        <v>0</v>
      </c>
      <c r="BB156" s="10" t="n">
        <f aca="false">MAX(0,BB$142-BB$154)*BB$9</f>
        <v>0</v>
      </c>
      <c r="BC156" s="10" t="n">
        <f aca="false">MAX(0,BC$142-BC$154)*BC$9</f>
        <v>0</v>
      </c>
      <c r="BD156" s="10" t="n">
        <f aca="false">MAX(0,BD$142-BD$154)*BD$9</f>
        <v>0</v>
      </c>
      <c r="BE156" s="10" t="n">
        <f aca="false">MAX(0,BE$142-BE$154)*BE$9</f>
        <v>0</v>
      </c>
      <c r="BF156" s="10" t="n">
        <f aca="false">MAX(0,BF$142-BF$154)*BF$9</f>
        <v>0</v>
      </c>
      <c r="BG156" s="10" t="n">
        <f aca="false">MAX(0,BG$142-BG$154)*BG$9</f>
        <v>0</v>
      </c>
      <c r="BH156" s="10" t="n">
        <f aca="false">MAX(0,BH$142-BH$154)*BH$9</f>
        <v>0</v>
      </c>
      <c r="BI156" s="10" t="n">
        <f aca="false">MAX(0,BI$142-BI$154)*BI$9</f>
        <v>0</v>
      </c>
      <c r="BJ156" s="10" t="n">
        <f aca="false">MAX(0,BJ$142-BJ$154)*BJ$9</f>
        <v>0</v>
      </c>
      <c r="BK156" s="10" t="n">
        <f aca="false">MAX(0,BK$142-BK$154)*BK$9</f>
        <v>0</v>
      </c>
      <c r="BL156" s="10" t="n">
        <f aca="false">MAX(0,BL$142-BL$154)*BL$9</f>
        <v>0</v>
      </c>
      <c r="BM156" s="10" t="n">
        <f aca="false">MAX(0,BM$142-BM$154)*BM$9</f>
        <v>0</v>
      </c>
      <c r="BN156" s="10" t="n">
        <f aca="false">MAX(0,BN$142-BN$154)*BN$9</f>
        <v>0</v>
      </c>
      <c r="BO156" s="10" t="n">
        <f aca="false">MAX(0,BO$142-BO$154)*BO$9</f>
        <v>0</v>
      </c>
      <c r="BP156" s="10" t="n">
        <f aca="false">MAX(0,BP$142-BP$154)*BP$9</f>
        <v>0</v>
      </c>
      <c r="BQ156" s="10" t="n">
        <f aca="false">MAX(0,BQ$142-BQ$154)*BQ$9</f>
        <v>0</v>
      </c>
      <c r="BR156" s="10" t="n">
        <f aca="false">MAX(0,BR$142-BR$154)*BR$9</f>
        <v>0</v>
      </c>
      <c r="BS156" s="10" t="n">
        <f aca="false">MAX(0,BS$142-BS$154)*BS$9</f>
        <v>0</v>
      </c>
      <c r="BT156" s="10" t="n">
        <f aca="false">MAX(0,BT$142-BT$154)*BT$9</f>
        <v>0</v>
      </c>
      <c r="BU156" s="10" t="n">
        <f aca="false">MAX(0,BU$142-BU$154)*BU$9</f>
        <v>0</v>
      </c>
      <c r="BV156" s="10" t="n">
        <f aca="false">MAX(0,BV$142-BV$154)*BV$9</f>
        <v>0</v>
      </c>
      <c r="BW156" s="10" t="n">
        <f aca="false">MAX(0,BW$142-BW$154)*BW$9</f>
        <v>0</v>
      </c>
      <c r="BX156" s="10" t="n">
        <f aca="false">MAX(0,BX$142-BX$154)*BX$9</f>
        <v>0</v>
      </c>
      <c r="BY156" s="10" t="n">
        <f aca="false">MAX(0,BY$142-BY$154)*BY$9</f>
        <v>0</v>
      </c>
      <c r="BZ156" s="10" t="n">
        <f aca="false">MAX(0,BZ$142-BZ$154)*BZ$9</f>
        <v>0</v>
      </c>
      <c r="CA156" s="10" t="n">
        <f aca="false">MAX(0,CA$142-CA$154)*CA$9</f>
        <v>0</v>
      </c>
      <c r="CB156" s="10" t="n">
        <f aca="false">MAX(0,CB$142-CB$154)*CB$9</f>
        <v>0</v>
      </c>
      <c r="CC156" s="10" t="n">
        <f aca="false">MAX(0,CC$142-CC$154)*CC$9</f>
        <v>0</v>
      </c>
      <c r="CD156" s="10" t="n">
        <f aca="false">MAX(0,CD$142-CD$154)*CD$9</f>
        <v>0</v>
      </c>
      <c r="CE156" s="10" t="n">
        <f aca="false">MAX(0,CE$142-CE$154)*CE$9</f>
        <v>0</v>
      </c>
      <c r="CF156" s="10" t="n">
        <f aca="false">MAX(0,CF$142-CF$154)*CF$9</f>
        <v>0</v>
      </c>
      <c r="CG156" s="10" t="n">
        <f aca="false">MAX(0,CG$142-CG$154)*CG$9</f>
        <v>0</v>
      </c>
      <c r="CH156" s="10" t="n">
        <f aca="false">MAX(0,CH$142-CH$154)*CH$9</f>
        <v>0</v>
      </c>
      <c r="CI156" s="10" t="n">
        <f aca="false">MAX(0,CI$142-CI$154)*CI$9</f>
        <v>0</v>
      </c>
      <c r="CJ156" s="10" t="n">
        <f aca="false">MAX(0,CJ$142-CJ$154)*CJ$9</f>
        <v>0</v>
      </c>
      <c r="CK156" s="10" t="n">
        <f aca="false">MAX(0,CK$142-CK$154)*CK$9</f>
        <v>0</v>
      </c>
      <c r="CL156" s="10" t="n">
        <f aca="false">MAX(0,CL$142-CL$154)*CL$9</f>
        <v>0</v>
      </c>
      <c r="CM156" s="10" t="n">
        <f aca="false">MAX(0,CM$142-CM$154)*CM$9</f>
        <v>0</v>
      </c>
      <c r="CN156" s="10" t="n">
        <f aca="false">MAX(0,CN$142-CN$154)*CN$9</f>
        <v>0</v>
      </c>
      <c r="CO156" s="10" t="n">
        <f aca="false">MAX(0,CO$142-CO$154)*CO$9</f>
        <v>0</v>
      </c>
      <c r="CP156" s="10" t="n">
        <f aca="false">MAX(0,CP$142-CP$154)*CP$9</f>
        <v>0</v>
      </c>
      <c r="CQ156" s="10" t="n">
        <f aca="false">MAX(0,CQ$142-CQ$154)*CQ$9</f>
        <v>0</v>
      </c>
      <c r="CR156" s="10" t="n">
        <f aca="false">MAX(0,CR$142-CR$154)*CR$9</f>
        <v>0</v>
      </c>
      <c r="CS156" s="10" t="n">
        <f aca="false">MAX(0,CS$142-CS$154)*CS$9</f>
        <v>0</v>
      </c>
      <c r="CT156" s="10" t="n">
        <f aca="false">MAX(0,CT$142-CT$154)*CT$9</f>
        <v>0</v>
      </c>
      <c r="CU156" s="10" t="n">
        <f aca="false">MAX(0,CU$142-CU$154)*CU$9</f>
        <v>0</v>
      </c>
      <c r="CV156" s="10" t="n">
        <f aca="false">MAX(0,CV$142-CV$154)*CV$9</f>
        <v>0</v>
      </c>
      <c r="CW156" s="10" t="n">
        <f aca="false">MAX(0,CW$142-CW$154)*CW$9</f>
        <v>0</v>
      </c>
      <c r="CX156" s="10" t="n">
        <f aca="false">MAX(0,CX$142-CX$154)*CX$9</f>
        <v>0</v>
      </c>
      <c r="CY156" s="10" t="n">
        <f aca="false">MAX(0,CY$142-CY$154)*CY$9</f>
        <v>0</v>
      </c>
      <c r="CZ156" s="10" t="n">
        <f aca="false">MAX(0,CZ$142-CZ$154)*CZ$9</f>
        <v>0</v>
      </c>
      <c r="DA156" s="10" t="n">
        <f aca="false">MAX(0,DA$142-DA$154)*DA$9</f>
        <v>0</v>
      </c>
      <c r="DB156" s="10" t="n">
        <f aca="false">MAX(0,DB$142-DB$154)*DB$9</f>
        <v>0</v>
      </c>
      <c r="DC156" s="10" t="n">
        <f aca="false">MAX(0,DC$142-DC$154)*DC$9</f>
        <v>0</v>
      </c>
      <c r="DD156" s="10" t="n">
        <f aca="false">MAX(0,DD$142-DD$154)*DD$9</f>
        <v>0</v>
      </c>
      <c r="DE156" s="10" t="n">
        <f aca="false">MAX(0,DE$142-DE$154)*DE$9</f>
        <v>0</v>
      </c>
      <c r="DF156" s="10" t="n">
        <f aca="false">MAX(0,DF$142-DF$154)*DF$9</f>
        <v>0</v>
      </c>
      <c r="DG156" s="10" t="n">
        <f aca="false">MAX(0,DG$142-DG$154)*DG$9</f>
        <v>0</v>
      </c>
      <c r="DH156" s="10" t="n">
        <f aca="false">MAX(0,DH$142-DH$154)*DH$9</f>
        <v>0</v>
      </c>
      <c r="DI156" s="10" t="n">
        <f aca="false">MAX(0,DI$142-DI$154)*DI$9</f>
        <v>0</v>
      </c>
      <c r="DJ156" s="10" t="n">
        <f aca="false">MAX(0,DJ$142-DJ$154)*DJ$9</f>
        <v>0</v>
      </c>
      <c r="DK156" s="10" t="n">
        <f aca="false">MAX(0,DK$142-DK$154)*DK$9</f>
        <v>0</v>
      </c>
      <c r="DL156" s="10" t="n">
        <f aca="false">MAX(0,DL$142-DL$154)*DL$9</f>
        <v>0</v>
      </c>
      <c r="DM156" s="10" t="n">
        <f aca="false">MAX(0,DM$142-DM$154)*DM$9</f>
        <v>0</v>
      </c>
      <c r="DN156" s="10" t="n">
        <f aca="false">MAX(0,DN$142-DN$154)*DN$9</f>
        <v>0</v>
      </c>
      <c r="DO156" s="10" t="n">
        <f aca="false">MAX(0,DO$142-DO$154)*DO$9</f>
        <v>0</v>
      </c>
      <c r="DP156" s="10" t="n">
        <f aca="false">MAX(0,DP$142-DP$154)*DP$9</f>
        <v>0</v>
      </c>
      <c r="DQ156" s="10" t="n">
        <f aca="false">MAX(0,DQ$142-DQ$154)*DQ$9</f>
        <v>0</v>
      </c>
      <c r="DR156" s="10" t="n">
        <f aca="false">MAX(0,DR$142-DR$154)*DR$9</f>
        <v>0</v>
      </c>
      <c r="DS156" s="10" t="n">
        <f aca="false">MAX(0,DS$142-DS$154)*DS$9</f>
        <v>0</v>
      </c>
      <c r="DT156" s="10" t="n">
        <f aca="false">MAX(0,DT$142-DT$154)*DT$9</f>
        <v>0</v>
      </c>
      <c r="DU156" s="10" t="n">
        <f aca="false">MAX(0,DU$142-DU$154)*DU$9</f>
        <v>0</v>
      </c>
      <c r="DV156" s="10" t="n">
        <f aca="false">MAX(0,DV$142-DV$154)*DV$9</f>
        <v>0</v>
      </c>
      <c r="DW156" s="10" t="n">
        <f aca="false">MAX(0,DW$142-DW$154)*DW$9</f>
        <v>0</v>
      </c>
      <c r="DX156" s="10" t="n">
        <f aca="false">MAX(0,DX$142-DX$154)*DX$9</f>
        <v>0</v>
      </c>
      <c r="DY156" s="10" t="n">
        <f aca="false">MAX(0,DY$142-DY$154)*DY$9</f>
        <v>0</v>
      </c>
      <c r="DZ156" s="10" t="n">
        <f aca="false">MAX(0,DZ$142-DZ$154)*DZ$9</f>
        <v>0</v>
      </c>
      <c r="EA156" s="10" t="n">
        <f aca="false">MAX(0,EA$142-EA$154)*EA$9</f>
        <v>0</v>
      </c>
      <c r="EB156" s="10" t="n">
        <f aca="false">MAX(0,EB$142-EB$154)*EB$9</f>
        <v>0</v>
      </c>
      <c r="EC156" s="10" t="n">
        <f aca="false">MAX(0,EC$142-EC$154)*EC$9</f>
        <v>0</v>
      </c>
      <c r="ED156" s="10" t="n">
        <f aca="false">MAX(0,ED$142-ED$154)*ED$9</f>
        <v>0</v>
      </c>
      <c r="EE156" s="10" t="n">
        <f aca="false">MAX(0,EE$142-EE$154)*EE$9</f>
        <v>0</v>
      </c>
      <c r="EF156" s="10" t="n">
        <f aca="false">MAX(0,EF$142-EF$154)*EF$9</f>
        <v>0</v>
      </c>
      <c r="EG156" s="10" t="n">
        <f aca="false">MAX(0,EG$142-EG$154)*EG$9</f>
        <v>0</v>
      </c>
      <c r="EH156" s="10" t="n">
        <f aca="false">MAX(0,EH$142-EH$154)*EH$9</f>
        <v>0</v>
      </c>
      <c r="EI156" s="10" t="n">
        <f aca="false">MAX(0,EI$142-EI$154)*EI$9</f>
        <v>0</v>
      </c>
      <c r="EJ156" s="10" t="n">
        <f aca="false">MAX(0,EJ$142-EJ$154)*EJ$9</f>
        <v>0</v>
      </c>
      <c r="EK156" s="10" t="n">
        <f aca="false">MAX(0,EK$142-EK$154)*EK$9</f>
        <v>0</v>
      </c>
      <c r="EL156" s="10" t="n">
        <f aca="false">MAX(0,EL$142-EL$154)*EL$9</f>
        <v>0</v>
      </c>
      <c r="EM156" s="10" t="n">
        <f aca="false">MAX(0,EM$142-EM$154)*EM$9</f>
        <v>0</v>
      </c>
      <c r="EN156" s="10" t="n">
        <f aca="false">MAX(0,EN$142-EN$154)*EN$9</f>
        <v>0</v>
      </c>
      <c r="EO156" s="10" t="n">
        <f aca="false">MAX(0,EO$142-EO$154)*EO$9</f>
        <v>0</v>
      </c>
      <c r="EP156" s="10" t="n">
        <f aca="false">MAX(0,EP$142-EP$154)*EP$9</f>
        <v>0</v>
      </c>
      <c r="EQ156" s="10" t="n">
        <f aca="false">MAX(0,EQ$142-EQ$154)*EQ$9</f>
        <v>0</v>
      </c>
      <c r="ER156" s="10" t="n">
        <f aca="false">MAX(0,ER$142-ER$154)*ER$9</f>
        <v>0</v>
      </c>
      <c r="ES156" s="10" t="n">
        <f aca="false">MAX(0,ES$142-ES$154)*ES$9</f>
        <v>0</v>
      </c>
    </row>
    <row r="157" customFormat="false" ht="15" hidden="false" customHeight="false" outlineLevel="0" collapsed="false">
      <c r="A157" s="2" t="s">
        <v>795</v>
      </c>
      <c r="B157" s="6" t="s">
        <v>796</v>
      </c>
      <c r="C157" s="6" t="s">
        <v>250</v>
      </c>
      <c r="E157" s="40" t="n">
        <f aca="false">MAX(F157:ES157)</f>
        <v>311740.118672618</v>
      </c>
      <c r="F157" s="34" t="n">
        <f aca="false">MAX(0,-F$154)</f>
        <v>0</v>
      </c>
      <c r="G157" s="34" t="n">
        <f aca="false">MAX(0,-G$154)</f>
        <v>0</v>
      </c>
      <c r="H157" s="34" t="n">
        <f aca="false">MAX(0,-H$154)</f>
        <v>0</v>
      </c>
      <c r="I157" s="34" t="n">
        <f aca="false">MAX(0,-I$154)</f>
        <v>0</v>
      </c>
      <c r="J157" s="34" t="n">
        <f aca="false">MAX(0,-J$154)</f>
        <v>0</v>
      </c>
      <c r="K157" s="34" t="n">
        <f aca="false">MAX(0,-K$154)</f>
        <v>0</v>
      </c>
      <c r="L157" s="34" t="n">
        <f aca="false">MAX(0,-L$154)</f>
        <v>0</v>
      </c>
      <c r="M157" s="34" t="n">
        <f aca="false">MAX(0,-M$154)</f>
        <v>0</v>
      </c>
      <c r="N157" s="34" t="n">
        <f aca="false">MAX(0,-N$154)</f>
        <v>0</v>
      </c>
      <c r="O157" s="34" t="n">
        <f aca="false">MAX(0,-O$154)</f>
        <v>0</v>
      </c>
      <c r="P157" s="34" t="n">
        <f aca="false">MAX(0,-P$154)</f>
        <v>0</v>
      </c>
      <c r="Q157" s="34" t="n">
        <f aca="false">MAX(0,-Q$154)</f>
        <v>0</v>
      </c>
      <c r="R157" s="34" t="n">
        <f aca="false">MAX(0,-R$154)</f>
        <v>0</v>
      </c>
      <c r="S157" s="34" t="n">
        <f aca="false">MAX(0,-S$154)</f>
        <v>0</v>
      </c>
      <c r="T157" s="34" t="n">
        <f aca="false">MAX(0,-T$154)</f>
        <v>0</v>
      </c>
      <c r="U157" s="34" t="n">
        <f aca="false">MAX(0,-U$154)</f>
        <v>0</v>
      </c>
      <c r="V157" s="34" t="n">
        <f aca="false">MAX(0,-V$154)</f>
        <v>0</v>
      </c>
      <c r="W157" s="34" t="n">
        <f aca="false">MAX(0,-W$154)</f>
        <v>0</v>
      </c>
      <c r="X157" s="34" t="n">
        <f aca="false">MAX(0,-X$154)</f>
        <v>0</v>
      </c>
      <c r="Y157" s="34" t="n">
        <f aca="false">MAX(0,-Y$154)</f>
        <v>0</v>
      </c>
      <c r="Z157" s="34" t="n">
        <f aca="false">MAX(0,-Z$154)</f>
        <v>0</v>
      </c>
      <c r="AA157" s="34" t="n">
        <f aca="false">MAX(0,-AA$154)</f>
        <v>0</v>
      </c>
      <c r="AB157" s="34" t="n">
        <f aca="false">MAX(0,-AB$154)</f>
        <v>0</v>
      </c>
      <c r="AC157" s="34" t="n">
        <f aca="false">MAX(0,-AC$154)</f>
        <v>0</v>
      </c>
      <c r="AD157" s="34" t="n">
        <f aca="false">MAX(0,-AD$154)</f>
        <v>311740.118672618</v>
      </c>
      <c r="AE157" s="34" t="n">
        <f aca="false">MAX(0,-AE$154)</f>
        <v>259166.435385603</v>
      </c>
      <c r="AF157" s="34" t="n">
        <f aca="false">MAX(0,-AF$154)</f>
        <v>206556.340501018</v>
      </c>
      <c r="AG157" s="34" t="n">
        <f aca="false">MAX(0,-AG$154)</f>
        <v>153909.560931882</v>
      </c>
      <c r="AH157" s="34" t="n">
        <f aca="false">MAX(0,-AH$154)</f>
        <v>101225.821543058</v>
      </c>
      <c r="AI157" s="34" t="n">
        <f aca="false">MAX(0,-AI$154)</f>
        <v>48504.8451359012</v>
      </c>
      <c r="AJ157" s="34" t="n">
        <f aca="false">MAX(0,-AJ$154)</f>
        <v>0</v>
      </c>
      <c r="AK157" s="34" t="n">
        <f aca="false">MAX(0,-AK$154)</f>
        <v>0</v>
      </c>
      <c r="AL157" s="34" t="n">
        <f aca="false">MAX(0,-AL$154)</f>
        <v>0</v>
      </c>
      <c r="AM157" s="34" t="n">
        <f aca="false">MAX(0,-AM$154)</f>
        <v>0</v>
      </c>
      <c r="AN157" s="34" t="n">
        <f aca="false">MAX(0,-AN$154)</f>
        <v>0</v>
      </c>
      <c r="AO157" s="34" t="n">
        <f aca="false">MAX(0,-AO$154)</f>
        <v>0</v>
      </c>
      <c r="AP157" s="34" t="n">
        <f aca="false">MAX(0,-AP$154)</f>
        <v>204392.169462804</v>
      </c>
      <c r="AQ157" s="34" t="n">
        <f aca="false">MAX(0,-AQ$154)</f>
        <v>118554.51596008</v>
      </c>
      <c r="AR157" s="34" t="n">
        <f aca="false">MAX(0,-AR$154)</f>
        <v>32677.0352007788</v>
      </c>
      <c r="AS157" s="34" t="n">
        <f aca="false">MAX(0,-AS$154)</f>
        <v>0</v>
      </c>
      <c r="AT157" s="34" t="n">
        <f aca="false">MAX(0,-AT$154)</f>
        <v>0</v>
      </c>
      <c r="AU157" s="34" t="n">
        <f aca="false">MAX(0,-AU$154)</f>
        <v>0</v>
      </c>
      <c r="AV157" s="34" t="n">
        <f aca="false">MAX(0,-AV$154)</f>
        <v>0</v>
      </c>
      <c r="AW157" s="34" t="n">
        <f aca="false">MAX(0,-AW$154)</f>
        <v>0</v>
      </c>
      <c r="AX157" s="34" t="n">
        <f aca="false">MAX(0,-AX$154)</f>
        <v>0</v>
      </c>
      <c r="AY157" s="34" t="n">
        <f aca="false">MAX(0,-AY$154)</f>
        <v>0</v>
      </c>
      <c r="AZ157" s="34" t="n">
        <f aca="false">MAX(0,-AZ$154)</f>
        <v>0</v>
      </c>
      <c r="BA157" s="34" t="n">
        <f aca="false">MAX(0,-BA$154)</f>
        <v>0</v>
      </c>
      <c r="BB157" s="34" t="n">
        <f aca="false">MAX(0,-BB$154)</f>
        <v>0</v>
      </c>
      <c r="BC157" s="34" t="n">
        <f aca="false">MAX(0,-BC$154)</f>
        <v>0</v>
      </c>
      <c r="BD157" s="34" t="n">
        <f aca="false">MAX(0,-BD$154)</f>
        <v>0</v>
      </c>
      <c r="BE157" s="34" t="n">
        <f aca="false">MAX(0,-BE$154)</f>
        <v>0</v>
      </c>
      <c r="BF157" s="34" t="n">
        <f aca="false">MAX(0,-BF$154)</f>
        <v>0</v>
      </c>
      <c r="BG157" s="34" t="n">
        <f aca="false">MAX(0,-BG$154)</f>
        <v>0</v>
      </c>
      <c r="BH157" s="34" t="n">
        <f aca="false">MAX(0,-BH$154)</f>
        <v>0</v>
      </c>
      <c r="BI157" s="34" t="n">
        <f aca="false">MAX(0,-BI$154)</f>
        <v>0</v>
      </c>
      <c r="BJ157" s="34" t="n">
        <f aca="false">MAX(0,-BJ$154)</f>
        <v>0</v>
      </c>
      <c r="BK157" s="34" t="n">
        <f aca="false">MAX(0,-BK$154)</f>
        <v>0</v>
      </c>
      <c r="BL157" s="34" t="n">
        <f aca="false">MAX(0,-BL$154)</f>
        <v>0</v>
      </c>
      <c r="BM157" s="34" t="n">
        <f aca="false">MAX(0,-BM$154)</f>
        <v>0</v>
      </c>
      <c r="BN157" s="34" t="n">
        <f aca="false">MAX(0,-BN$154)</f>
        <v>0</v>
      </c>
      <c r="BO157" s="34" t="n">
        <f aca="false">MAX(0,-BO$154)</f>
        <v>0</v>
      </c>
      <c r="BP157" s="34" t="n">
        <f aca="false">MAX(0,-BP$154)</f>
        <v>0</v>
      </c>
      <c r="BQ157" s="34" t="n">
        <f aca="false">MAX(0,-BQ$154)</f>
        <v>0</v>
      </c>
      <c r="BR157" s="34" t="n">
        <f aca="false">MAX(0,-BR$154)</f>
        <v>0</v>
      </c>
      <c r="BS157" s="34" t="n">
        <f aca="false">MAX(0,-BS$154)</f>
        <v>0</v>
      </c>
      <c r="BT157" s="34" t="n">
        <f aca="false">MAX(0,-BT$154)</f>
        <v>0</v>
      </c>
      <c r="BU157" s="34" t="n">
        <f aca="false">MAX(0,-BU$154)</f>
        <v>0</v>
      </c>
      <c r="BV157" s="34" t="n">
        <f aca="false">MAX(0,-BV$154)</f>
        <v>0</v>
      </c>
      <c r="BW157" s="34" t="n">
        <f aca="false">MAX(0,-BW$154)</f>
        <v>0</v>
      </c>
      <c r="BX157" s="34" t="n">
        <f aca="false">MAX(0,-BX$154)</f>
        <v>0</v>
      </c>
      <c r="BY157" s="34" t="n">
        <f aca="false">MAX(0,-BY$154)</f>
        <v>0</v>
      </c>
      <c r="BZ157" s="34" t="n">
        <f aca="false">MAX(0,-BZ$154)</f>
        <v>0</v>
      </c>
      <c r="CA157" s="34" t="n">
        <f aca="false">MAX(0,-CA$154)</f>
        <v>0</v>
      </c>
      <c r="CB157" s="34" t="n">
        <f aca="false">MAX(0,-CB$154)</f>
        <v>0</v>
      </c>
      <c r="CC157" s="34" t="n">
        <f aca="false">MAX(0,-CC$154)</f>
        <v>0</v>
      </c>
      <c r="CD157" s="34" t="n">
        <f aca="false">MAX(0,-CD$154)</f>
        <v>0</v>
      </c>
      <c r="CE157" s="34" t="n">
        <f aca="false">MAX(0,-CE$154)</f>
        <v>0</v>
      </c>
      <c r="CF157" s="34" t="n">
        <f aca="false">MAX(0,-CF$154)</f>
        <v>0</v>
      </c>
      <c r="CG157" s="34" t="n">
        <f aca="false">MAX(0,-CG$154)</f>
        <v>0</v>
      </c>
      <c r="CH157" s="34" t="n">
        <f aca="false">MAX(0,-CH$154)</f>
        <v>0</v>
      </c>
      <c r="CI157" s="34" t="n">
        <f aca="false">MAX(0,-CI$154)</f>
        <v>0</v>
      </c>
      <c r="CJ157" s="34" t="n">
        <f aca="false">MAX(0,-CJ$154)</f>
        <v>0</v>
      </c>
      <c r="CK157" s="34" t="n">
        <f aca="false">MAX(0,-CK$154)</f>
        <v>0</v>
      </c>
      <c r="CL157" s="34" t="n">
        <f aca="false">MAX(0,-CL$154)</f>
        <v>0</v>
      </c>
      <c r="CM157" s="34" t="n">
        <f aca="false">MAX(0,-CM$154)</f>
        <v>0</v>
      </c>
      <c r="CN157" s="34" t="n">
        <f aca="false">MAX(0,-CN$154)</f>
        <v>0</v>
      </c>
      <c r="CO157" s="34" t="n">
        <f aca="false">MAX(0,-CO$154)</f>
        <v>0</v>
      </c>
      <c r="CP157" s="34" t="n">
        <f aca="false">MAX(0,-CP$154)</f>
        <v>0</v>
      </c>
      <c r="CQ157" s="34" t="n">
        <f aca="false">MAX(0,-CQ$154)</f>
        <v>0</v>
      </c>
      <c r="CR157" s="34" t="n">
        <f aca="false">MAX(0,-CR$154)</f>
        <v>0</v>
      </c>
      <c r="CS157" s="34" t="n">
        <f aca="false">MAX(0,-CS$154)</f>
        <v>0</v>
      </c>
      <c r="CT157" s="34" t="n">
        <f aca="false">MAX(0,-CT$154)</f>
        <v>0</v>
      </c>
      <c r="CU157" s="34" t="n">
        <f aca="false">MAX(0,-CU$154)</f>
        <v>0</v>
      </c>
      <c r="CV157" s="34" t="n">
        <f aca="false">MAX(0,-CV$154)</f>
        <v>0</v>
      </c>
      <c r="CW157" s="34" t="n">
        <f aca="false">MAX(0,-CW$154)</f>
        <v>0</v>
      </c>
      <c r="CX157" s="34" t="n">
        <f aca="false">MAX(0,-CX$154)</f>
        <v>0</v>
      </c>
      <c r="CY157" s="34" t="n">
        <f aca="false">MAX(0,-CY$154)</f>
        <v>0</v>
      </c>
      <c r="CZ157" s="34" t="n">
        <f aca="false">MAX(0,-CZ$154)</f>
        <v>0</v>
      </c>
      <c r="DA157" s="34" t="n">
        <f aca="false">MAX(0,-DA$154)</f>
        <v>0</v>
      </c>
      <c r="DB157" s="34" t="n">
        <f aca="false">MAX(0,-DB$154)</f>
        <v>0</v>
      </c>
      <c r="DC157" s="34" t="n">
        <f aca="false">MAX(0,-DC$154)</f>
        <v>0</v>
      </c>
      <c r="DD157" s="34" t="n">
        <f aca="false">MAX(0,-DD$154)</f>
        <v>0</v>
      </c>
      <c r="DE157" s="34" t="n">
        <f aca="false">MAX(0,-DE$154)</f>
        <v>0</v>
      </c>
      <c r="DF157" s="34" t="n">
        <f aca="false">MAX(0,-DF$154)</f>
        <v>0</v>
      </c>
      <c r="DG157" s="34" t="n">
        <f aca="false">MAX(0,-DG$154)</f>
        <v>0</v>
      </c>
      <c r="DH157" s="34" t="n">
        <f aca="false">MAX(0,-DH$154)</f>
        <v>0</v>
      </c>
      <c r="DI157" s="34" t="n">
        <f aca="false">MAX(0,-DI$154)</f>
        <v>0</v>
      </c>
      <c r="DJ157" s="34" t="n">
        <f aca="false">MAX(0,-DJ$154)</f>
        <v>0</v>
      </c>
      <c r="DK157" s="34" t="n">
        <f aca="false">MAX(0,-DK$154)</f>
        <v>0</v>
      </c>
      <c r="DL157" s="34" t="n">
        <f aca="false">MAX(0,-DL$154)</f>
        <v>0</v>
      </c>
      <c r="DM157" s="34" t="n">
        <f aca="false">MAX(0,-DM$154)</f>
        <v>0</v>
      </c>
      <c r="DN157" s="34" t="n">
        <f aca="false">MAX(0,-DN$154)</f>
        <v>0</v>
      </c>
      <c r="DO157" s="34" t="n">
        <f aca="false">MAX(0,-DO$154)</f>
        <v>0</v>
      </c>
      <c r="DP157" s="34" t="n">
        <f aca="false">MAX(0,-DP$154)</f>
        <v>0</v>
      </c>
      <c r="DQ157" s="34" t="n">
        <f aca="false">MAX(0,-DQ$154)</f>
        <v>0</v>
      </c>
      <c r="DR157" s="34" t="n">
        <f aca="false">MAX(0,-DR$154)</f>
        <v>0</v>
      </c>
      <c r="DS157" s="34" t="n">
        <f aca="false">MAX(0,-DS$154)</f>
        <v>0</v>
      </c>
      <c r="DT157" s="34" t="n">
        <f aca="false">MAX(0,-DT$154)</f>
        <v>0</v>
      </c>
      <c r="DU157" s="34" t="n">
        <f aca="false">MAX(0,-DU$154)</f>
        <v>0</v>
      </c>
      <c r="DV157" s="34" t="n">
        <f aca="false">MAX(0,-DV$154)</f>
        <v>0</v>
      </c>
      <c r="DW157" s="34" t="n">
        <f aca="false">MAX(0,-DW$154)</f>
        <v>0</v>
      </c>
      <c r="DX157" s="34" t="n">
        <f aca="false">MAX(0,-DX$154)</f>
        <v>0</v>
      </c>
      <c r="DY157" s="34" t="n">
        <f aca="false">MAX(0,-DY$154)</f>
        <v>0</v>
      </c>
      <c r="DZ157" s="34" t="n">
        <f aca="false">MAX(0,-DZ$154)</f>
        <v>0</v>
      </c>
      <c r="EA157" s="34" t="n">
        <f aca="false">MAX(0,-EA$154)</f>
        <v>0</v>
      </c>
      <c r="EB157" s="34" t="n">
        <f aca="false">MAX(0,-EB$154)</f>
        <v>0</v>
      </c>
      <c r="EC157" s="34" t="n">
        <f aca="false">MAX(0,-EC$154)</f>
        <v>0</v>
      </c>
      <c r="ED157" s="34" t="n">
        <f aca="false">MAX(0,-ED$154)</f>
        <v>0</v>
      </c>
      <c r="EE157" s="34" t="n">
        <f aca="false">MAX(0,-EE$154)</f>
        <v>0</v>
      </c>
      <c r="EF157" s="34" t="n">
        <f aca="false">MAX(0,-EF$154)</f>
        <v>0</v>
      </c>
      <c r="EG157" s="34" t="n">
        <f aca="false">MAX(0,-EG$154)</f>
        <v>0</v>
      </c>
      <c r="EH157" s="34" t="n">
        <f aca="false">MAX(0,-EH$154)</f>
        <v>0</v>
      </c>
      <c r="EI157" s="34" t="n">
        <f aca="false">MAX(0,-EI$154)</f>
        <v>0</v>
      </c>
      <c r="EJ157" s="34" t="n">
        <f aca="false">MAX(0,-EJ$154)</f>
        <v>0</v>
      </c>
      <c r="EK157" s="34" t="n">
        <f aca="false">MAX(0,-EK$154)</f>
        <v>0</v>
      </c>
      <c r="EL157" s="34" t="n">
        <f aca="false">MAX(0,-EL$154)</f>
        <v>0</v>
      </c>
      <c r="EM157" s="34" t="n">
        <f aca="false">MAX(0,-EM$154)</f>
        <v>0</v>
      </c>
      <c r="EN157" s="34" t="n">
        <f aca="false">MAX(0,-EN$154)</f>
        <v>0</v>
      </c>
      <c r="EO157" s="34" t="n">
        <f aca="false">MAX(0,-EO$154)</f>
        <v>0</v>
      </c>
      <c r="EP157" s="34" t="n">
        <f aca="false">MAX(0,-EP$154)</f>
        <v>0</v>
      </c>
      <c r="EQ157" s="34" t="n">
        <f aca="false">MAX(0,-EQ$154)</f>
        <v>0</v>
      </c>
      <c r="ER157" s="34" t="n">
        <f aca="false">MAX(0,-ER$154)</f>
        <v>0</v>
      </c>
      <c r="ES157" s="34" t="n">
        <f aca="false">MAX(0,-ES$154)</f>
        <v>0</v>
      </c>
    </row>
    <row r="158" customFormat="false" ht="15" hidden="false" customHeight="false" outlineLevel="0" collapsed="false">
      <c r="A158" s="4"/>
      <c r="B158" s="3" t="s">
        <v>797</v>
      </c>
      <c r="C158" s="4"/>
      <c r="D158" s="4"/>
      <c r="E158" s="4"/>
    </row>
    <row r="159" customFormat="false" ht="15" hidden="false" customHeight="false" outlineLevel="0" collapsed="false">
      <c r="A159" s="2" t="s">
        <v>798</v>
      </c>
      <c r="B159" s="6" t="s">
        <v>799</v>
      </c>
      <c r="C159" s="6"/>
      <c r="F159" s="27" t="n">
        <f aca="false">1/(1+P_WACC)^((1-1)/12)</f>
        <v>1</v>
      </c>
      <c r="G159" s="27" t="n">
        <f aca="false">1/(1+P_WACC)^((2-1)/12)</f>
        <v>0.99247369216101</v>
      </c>
      <c r="H159" s="27" t="n">
        <f aca="false">1/(1+P_WACC)^((3-1)/12)</f>
        <v>0.985004029631707</v>
      </c>
      <c r="I159" s="27" t="n">
        <f aca="false">1/(1+P_WACC)^((4-1)/12)</f>
        <v>0.977590586082053</v>
      </c>
      <c r="J159" s="27" t="n">
        <f aca="false">1/(1+P_WACC)^((5-1)/12)</f>
        <v>0.970232938390701</v>
      </c>
      <c r="K159" s="27" t="n">
        <f aca="false">1/(1+P_WACC)^((6-1)/12)</f>
        <v>0.962930666620845</v>
      </c>
      <c r="L159" s="27" t="n">
        <f aca="false">1/(1+P_WACC)^((7-1)/12)</f>
        <v>0.955683353996252</v>
      </c>
      <c r="M159" s="27" t="n">
        <f aca="false">1/(1+P_WACC)^((8-1)/12)</f>
        <v>0.948490586877478</v>
      </c>
      <c r="N159" s="27" t="n">
        <f aca="false">1/(1+P_WACC)^((9-1)/12)</f>
        <v>0.941351954738254</v>
      </c>
      <c r="O159" s="27" t="n">
        <f aca="false">1/(1+P_WACC)^((10-1)/12)</f>
        <v>0.934267050142059</v>
      </c>
      <c r="P159" s="27" t="n">
        <f aca="false">1/(1+P_WACC)^((11-1)/12)</f>
        <v>0.927235468718864</v>
      </c>
      <c r="Q159" s="27" t="n">
        <f aca="false">1/(1+P_WACC)^((12-1)/12)</f>
        <v>0.920256809142056</v>
      </c>
      <c r="R159" s="27" t="n">
        <f aca="false">1/(1+P_WACC)^((13-1)/12)</f>
        <v>0.913330673105526</v>
      </c>
      <c r="S159" s="27" t="n">
        <f aca="false">1/(1+P_WACC)^((14-1)/12)</f>
        <v>0.906456665300942</v>
      </c>
      <c r="T159" s="27" t="n">
        <f aca="false">1/(1+P_WACC)^((15-1)/12)</f>
        <v>0.899634393395183</v>
      </c>
      <c r="U159" s="27" t="n">
        <f aca="false">1/(1+P_WACC)^((16-1)/12)</f>
        <v>0.892863468007947</v>
      </c>
      <c r="V159" s="27" t="n">
        <f aca="false">1/(1+P_WACC)^((17-1)/12)</f>
        <v>0.886143502689531</v>
      </c>
      <c r="W159" s="27" t="n">
        <f aca="false">1/(1+P_WACC)^((18-1)/12)</f>
        <v>0.879474113898769</v>
      </c>
      <c r="X159" s="27" t="n">
        <f aca="false">1/(1+P_WACC)^((19-1)/12)</f>
        <v>0.872854920981144</v>
      </c>
      <c r="Y159" s="27" t="n">
        <f aca="false">1/(1+P_WACC)^((20-1)/12)</f>
        <v>0.866285546147062</v>
      </c>
      <c r="Z159" s="27" t="n">
        <f aca="false">1/(1+P_WACC)^((21-1)/12)</f>
        <v>0.859765614450292</v>
      </c>
      <c r="AA159" s="27" t="n">
        <f aca="false">1/(1+P_WACC)^((22-1)/12)</f>
        <v>0.853294753766561</v>
      </c>
      <c r="AB159" s="27" t="n">
        <f aca="false">1/(1+P_WACC)^((23-1)/12)</f>
        <v>0.846872594772318</v>
      </c>
      <c r="AC159" s="27" t="n">
        <f aca="false">1/(1+P_WACC)^((24-1)/12)</f>
        <v>0.840498770923658</v>
      </c>
      <c r="AD159" s="27" t="n">
        <f aca="false">1/(1+P_WACC)^((25-1)/12)</f>
        <v>0.834172918435393</v>
      </c>
      <c r="AE159" s="27" t="n">
        <f aca="false">1/(1+P_WACC)^((26-1)/12)</f>
        <v>0.8278946762603</v>
      </c>
      <c r="AF159" s="27" t="n">
        <f aca="false">1/(1+P_WACC)^((27-1)/12)</f>
        <v>0.821663686068504</v>
      </c>
      <c r="AG159" s="27" t="n">
        <f aca="false">1/(1+P_WACC)^((28-1)/12)</f>
        <v>0.815479592227033</v>
      </c>
      <c r="AH159" s="27" t="n">
        <f aca="false">1/(1+P_WACC)^((29-1)/12)</f>
        <v>0.809342041779518</v>
      </c>
      <c r="AI159" s="27" t="n">
        <f aca="false">1/(1+P_WACC)^((30-1)/12)</f>
        <v>0.803250684426049</v>
      </c>
      <c r="AJ159" s="27" t="n">
        <f aca="false">1/(1+P_WACC)^((31-1)/12)</f>
        <v>0.797205172503179</v>
      </c>
      <c r="AK159" s="27" t="n">
        <f aca="false">1/(1+P_WACC)^((32-1)/12)</f>
        <v>0.791205160964085</v>
      </c>
      <c r="AL159" s="27" t="n">
        <f aca="false">1/(1+P_WACC)^((33-1)/12)</f>
        <v>0.785250307358871</v>
      </c>
      <c r="AM159" s="27" t="n">
        <f aca="false">1/(1+P_WACC)^((34-1)/12)</f>
        <v>0.779340271815027</v>
      </c>
      <c r="AN159" s="27" t="n">
        <f aca="false">1/(1+P_WACC)^((35-1)/12)</f>
        <v>0.773474717018025</v>
      </c>
      <c r="AO159" s="27" t="n">
        <f aca="false">1/(1+P_WACC)^((36-1)/12)</f>
        <v>0.767653308192072</v>
      </c>
      <c r="AP159" s="27" t="n">
        <f aca="false">1/(1+P_WACC)^((37-1)/12)</f>
        <v>0.761875713080999</v>
      </c>
      <c r="AQ159" s="27" t="n">
        <f aca="false">1/(1+P_WACC)^((38-1)/12)</f>
        <v>0.756141601929301</v>
      </c>
      <c r="AR159" s="27" t="n">
        <f aca="false">1/(1+P_WACC)^((39-1)/12)</f>
        <v>0.750450647463314</v>
      </c>
      <c r="AS159" s="27" t="n">
        <f aca="false">1/(1+P_WACC)^((40-1)/12)</f>
        <v>0.744802524872536</v>
      </c>
      <c r="AT159" s="27" t="n">
        <f aca="false">1/(1+P_WACC)^((41-1)/12)</f>
        <v>0.739196911791088</v>
      </c>
      <c r="AU159" s="27" t="n">
        <f aca="false">1/(1+P_WACC)^((42-1)/12)</f>
        <v>0.733633488279318</v>
      </c>
      <c r="AV159" s="27" t="n">
        <f aca="false">1/(1+P_WACC)^((43-1)/12)</f>
        <v>0.728111936805535</v>
      </c>
      <c r="AW159" s="27" t="n">
        <f aca="false">1/(1+P_WACC)^((44-1)/12)</f>
        <v>0.722631942227894</v>
      </c>
      <c r="AX159" s="27" t="n">
        <f aca="false">1/(1+P_WACC)^((45-1)/12)</f>
        <v>0.717193191776399</v>
      </c>
      <c r="AY159" s="27" t="n">
        <f aca="false">1/(1+P_WACC)^((46-1)/12)</f>
        <v>0.711795375035062</v>
      </c>
      <c r="AZ159" s="27" t="n">
        <f aca="false">1/(1+P_WACC)^((47-1)/12)</f>
        <v>0.706438183924179</v>
      </c>
      <c r="BA159" s="27" t="n">
        <f aca="false">1/(1+P_WACC)^((48-1)/12)</f>
        <v>0.701121312682749</v>
      </c>
      <c r="BB159" s="27" t="n">
        <f aca="false">1/(1+P_WACC)^((49-1)/12)</f>
        <v>0.695844457851021</v>
      </c>
      <c r="BC159" s="27" t="n">
        <f aca="false">1/(1+P_WACC)^((50-1)/12)</f>
        <v>0.690607318253179</v>
      </c>
      <c r="BD159" s="27" t="n">
        <f aca="false">1/(1+P_WACC)^((51-1)/12)</f>
        <v>0.685409594980147</v>
      </c>
      <c r="BE159" s="27" t="n">
        <f aca="false">1/(1+P_WACC)^((52-1)/12)</f>
        <v>0.680250991372529</v>
      </c>
      <c r="BF159" s="27" t="n">
        <f aca="false">1/(1+P_WACC)^((53-1)/12)</f>
        <v>0.675131213003681</v>
      </c>
      <c r="BG159" s="27" t="n">
        <f aca="false">1/(1+P_WACC)^((54-1)/12)</f>
        <v>0.670049967662904</v>
      </c>
      <c r="BH159" s="27" t="n">
        <f aca="false">1/(1+P_WACC)^((55-1)/12)</f>
        <v>0.665006965338768</v>
      </c>
      <c r="BI159" s="27" t="n">
        <f aca="false">1/(1+P_WACC)^((56-1)/12)</f>
        <v>0.660001918202556</v>
      </c>
      <c r="BJ159" s="27" t="n">
        <f aca="false">1/(1+P_WACC)^((57-1)/12)</f>
        <v>0.655034540591839</v>
      </c>
      <c r="BK159" s="27" t="n">
        <f aca="false">1/(1+P_WACC)^((58-1)/12)</f>
        <v>0.650104548994174</v>
      </c>
      <c r="BL159" s="27" t="n">
        <f aca="false">1/(1+P_WACC)^((59-1)/12)</f>
        <v>0.645211662030916</v>
      </c>
      <c r="BM159" s="27" t="n">
        <f aca="false">1/(1+P_WACC)^((60-1)/12)</f>
        <v>0.640355600441165</v>
      </c>
      <c r="BN159" s="27" t="n">
        <f aca="false">1/(1+P_WACC)^((61-1)/12)</f>
        <v>0.635536087065823</v>
      </c>
      <c r="BO159" s="27" t="n">
        <f aca="false">1/(1+P_WACC)^((62-1)/12)</f>
        <v>0.630752846831779</v>
      </c>
      <c r="BP159" s="27" t="n">
        <f aca="false">1/(1+P_WACC)^((63-1)/12)</f>
        <v>0.626005606736203</v>
      </c>
      <c r="BQ159" s="27" t="n">
        <f aca="false">1/(1+P_WACC)^((64-1)/12)</f>
        <v>0.621294095830973</v>
      </c>
      <c r="BR159" s="27" t="n">
        <f aca="false">1/(1+P_WACC)^((65-1)/12)</f>
        <v>0.616618045207202</v>
      </c>
      <c r="BS159" s="27" t="n">
        <f aca="false">1/(1+P_WACC)^((66-1)/12)</f>
        <v>0.611977187979896</v>
      </c>
      <c r="BT159" s="27" t="n">
        <f aca="false">1/(1+P_WACC)^((67-1)/12)</f>
        <v>0.60737125927272</v>
      </c>
      <c r="BU159" s="27" t="n">
        <f aca="false">1/(1+P_WACC)^((68-1)/12)</f>
        <v>0.602799996202879</v>
      </c>
      <c r="BV159" s="27" t="n">
        <f aca="false">1/(1+P_WACC)^((69-1)/12)</f>
        <v>0.598263137866114</v>
      </c>
      <c r="BW159" s="27" t="n">
        <f aca="false">1/(1+P_WACC)^((70-1)/12)</f>
        <v>0.593760425321813</v>
      </c>
      <c r="BX159" s="27" t="n">
        <f aca="false">1/(1+P_WACC)^((71-1)/12)</f>
        <v>0.589291601578232</v>
      </c>
      <c r="BY159" s="27" t="n">
        <f aca="false">1/(1+P_WACC)^((72-1)/12)</f>
        <v>0.584856411577822</v>
      </c>
      <c r="BZ159" s="27" t="n">
        <f aca="false">1/(1+P_WACC)^((73-1)/12)</f>
        <v>0.580454602182681</v>
      </c>
      <c r="CA159" s="27" t="n">
        <f aca="false">1/(1+P_WACC)^((74-1)/12)</f>
        <v>0.576085922160095</v>
      </c>
      <c r="CB159" s="27" t="n">
        <f aca="false">1/(1+P_WACC)^((75-1)/12)</f>
        <v>0.57175012216821</v>
      </c>
      <c r="CC159" s="27" t="n">
        <f aca="false">1/(1+P_WACC)^((76-1)/12)</f>
        <v>0.567446954741792</v>
      </c>
      <c r="CD159" s="27" t="n">
        <f aca="false">1/(1+P_WACC)^((77-1)/12)</f>
        <v>0.563176174278108</v>
      </c>
      <c r="CE159" s="27" t="n">
        <f aca="false">1/(1+P_WACC)^((78-1)/12)</f>
        <v>0.558937537022906</v>
      </c>
      <c r="CF159" s="27" t="n">
        <f aca="false">1/(1+P_WACC)^((79-1)/12)</f>
        <v>0.554730801056504</v>
      </c>
      <c r="CG159" s="27" t="n">
        <f aca="false">1/(1+P_WACC)^((80-1)/12)</f>
        <v>0.550555726279984</v>
      </c>
      <c r="CH159" s="27" t="n">
        <f aca="false">1/(1+P_WACC)^((81-1)/12)</f>
        <v>0.546412074401482</v>
      </c>
      <c r="CI159" s="27" t="n">
        <f aca="false">1/(1+P_WACC)^((82-1)/12)</f>
        <v>0.542299608922595</v>
      </c>
      <c r="CJ159" s="27" t="n">
        <f aca="false">1/(1+P_WACC)^((83-1)/12)</f>
        <v>0.53821809512488</v>
      </c>
      <c r="CK159" s="27" t="n">
        <f aca="false">1/(1+P_WACC)^((84-1)/12)</f>
        <v>0.534167300056455</v>
      </c>
      <c r="CL159" s="27" t="n">
        <f aca="false">1/(1+P_WACC)^((85-1)/12)</f>
        <v>0.530146992518708</v>
      </c>
      <c r="CM159" s="27" t="n">
        <f aca="false">1/(1+P_WACC)^((86-1)/12)</f>
        <v>0.526156943053098</v>
      </c>
      <c r="CN159" s="27" t="n">
        <f aca="false">1/(1+P_WACC)^((87-1)/12)</f>
        <v>0.522196923928058</v>
      </c>
      <c r="CO159" s="27" t="n">
        <f aca="false">1/(1+P_WACC)^((88-1)/12)</f>
        <v>0.518266709126002</v>
      </c>
      <c r="CP159" s="27" t="n">
        <f aca="false">1/(1+P_WACC)^((89-1)/12)</f>
        <v>0.514366074330419</v>
      </c>
      <c r="CQ159" s="27" t="n">
        <f aca="false">1/(1+P_WACC)^((90-1)/12)</f>
        <v>0.510494796913075</v>
      </c>
      <c r="CR159" s="27" t="n">
        <f aca="false">1/(1+P_WACC)^((91-1)/12)</f>
        <v>0.506652655921305</v>
      </c>
      <c r="CS159" s="27" t="n">
        <f aca="false">1/(1+P_WACC)^((92-1)/12)</f>
        <v>0.502839432065399</v>
      </c>
      <c r="CT159" s="27" t="n">
        <f aca="false">1/(1+P_WACC)^((93-1)/12)</f>
        <v>0.499054907706092</v>
      </c>
      <c r="CU159" s="27" t="n">
        <f aca="false">1/(1+P_WACC)^((94-1)/12)</f>
        <v>0.495298866842137</v>
      </c>
      <c r="CV159" s="27" t="n">
        <f aca="false">1/(1+P_WACC)^((95-1)/12)</f>
        <v>0.49157109509798</v>
      </c>
      <c r="CW159" s="27" t="n">
        <f aca="false">1/(1+P_WACC)^((96-1)/12)</f>
        <v>0.487871379711524</v>
      </c>
      <c r="CX159" s="27" t="n">
        <f aca="false">1/(1+P_WACC)^((97-1)/12)</f>
        <v>0.484199509521982</v>
      </c>
      <c r="CY159" s="27" t="n">
        <f aca="false">1/(1+P_WACC)^((98-1)/12)</f>
        <v>0.480555274957831</v>
      </c>
      <c r="CZ159" s="27" t="n">
        <f aca="false">1/(1+P_WACC)^((99-1)/12)</f>
        <v>0.476938468024848</v>
      </c>
      <c r="DA159" s="27" t="n">
        <f aca="false">1/(1+P_WACC)^((100-1)/12)</f>
        <v>0.473348882294237</v>
      </c>
      <c r="DB159" s="27" t="n">
        <f aca="false">1/(1+P_WACC)^((101-1)/12)</f>
        <v>0.469786312890849</v>
      </c>
      <c r="DC159" s="27" t="n">
        <f aca="false">1/(1+P_WACC)^((102-1)/12)</f>
        <v>0.466250556481488</v>
      </c>
      <c r="DD159" s="27" t="n">
        <f aca="false">1/(1+P_WACC)^((103-1)/12)</f>
        <v>0.462741411263308</v>
      </c>
      <c r="DE159" s="27" t="n">
        <f aca="false">1/(1+P_WACC)^((104-1)/12)</f>
        <v>0.459258676952292</v>
      </c>
      <c r="DF159" s="27" t="n">
        <f aca="false">1/(1+P_WACC)^((105-1)/12)</f>
        <v>0.455802154771821</v>
      </c>
      <c r="DG159" s="27" t="n">
        <f aca="false">1/(1+P_WACC)^((106-1)/12)</f>
        <v>0.452371647441334</v>
      </c>
      <c r="DH159" s="27" t="n">
        <f aca="false">1/(1+P_WACC)^((107-1)/12)</f>
        <v>0.448966959165059</v>
      </c>
      <c r="DI159" s="27" t="n">
        <f aca="false">1/(1+P_WACC)^((108-1)/12)</f>
        <v>0.445587895620848</v>
      </c>
      <c r="DJ159" s="27" t="n">
        <f aca="false">1/(1+P_WACC)^((109-1)/12)</f>
        <v>0.442234263949077</v>
      </c>
      <c r="DK159" s="27" t="n">
        <f aca="false">1/(1+P_WACC)^((110-1)/12)</f>
        <v>0.438905872741647</v>
      </c>
      <c r="DL159" s="27" t="n">
        <f aca="false">1/(1+P_WACC)^((111-1)/12)</f>
        <v>0.435602532031053</v>
      </c>
      <c r="DM159" s="27" t="n">
        <f aca="false">1/(1+P_WACC)^((112-1)/12)</f>
        <v>0.432324053279544</v>
      </c>
      <c r="DN159" s="27" t="n">
        <f aca="false">1/(1+P_WACC)^((113-1)/12)</f>
        <v>0.429070249368362</v>
      </c>
      <c r="DO159" s="27" t="n">
        <f aca="false">1/(1+P_WACC)^((114-1)/12)</f>
        <v>0.425840934587064</v>
      </c>
      <c r="DP159" s="27" t="n">
        <f aca="false">1/(1+P_WACC)^((115-1)/12)</f>
        <v>0.422635924622918</v>
      </c>
      <c r="DQ159" s="27" t="n">
        <f aca="false">1/(1+P_WACC)^((116-1)/12)</f>
        <v>0.41945503655039</v>
      </c>
      <c r="DR159" s="27" t="n">
        <f aca="false">1/(1+P_WACC)^((117-1)/12)</f>
        <v>0.416298088820697</v>
      </c>
      <c r="DS159" s="27" t="n">
        <f aca="false">1/(1+P_WACC)^((118-1)/12)</f>
        <v>0.413164901251449</v>
      </c>
      <c r="DT159" s="27" t="n">
        <f aca="false">1/(1+P_WACC)^((119-1)/12)</f>
        <v>0.410055295016365</v>
      </c>
      <c r="DU159" s="27" t="n">
        <f aca="false">1/(1+P_WACC)^((120-1)/12)</f>
        <v>0.406969092635064</v>
      </c>
      <c r="DV159" s="27" t="n">
        <f aca="false">1/(1+P_WACC)^((121-1)/12)</f>
        <v>0.403906117962938</v>
      </c>
      <c r="DW159" s="27" t="n">
        <f aca="false">1/(1+P_WACC)^((122-1)/12)</f>
        <v>0.400866196181097</v>
      </c>
      <c r="DX159" s="27" t="n">
        <f aca="false">1/(1+P_WACC)^((123-1)/12)</f>
        <v>0.397849153786393</v>
      </c>
      <c r="DY159" s="27" t="n">
        <f aca="false">1/(1+P_WACC)^((124-1)/12)</f>
        <v>0.394854818581515</v>
      </c>
      <c r="DZ159" s="27" t="n">
        <f aca="false">1/(1+P_WACC)^((125-1)/12)</f>
        <v>0.391883019665162</v>
      </c>
      <c r="EA159" s="27" t="n">
        <f aca="false">1/(1+P_WACC)^((126-1)/12)</f>
        <v>0.388933587422289</v>
      </c>
      <c r="EB159" s="27" t="n">
        <f aca="false">1/(1+P_WACC)^((127-1)/12)</f>
        <v>0.386006353514426</v>
      </c>
      <c r="EC159" s="27" t="n">
        <f aca="false">1/(1+P_WACC)^((128-1)/12)</f>
        <v>0.383101150870071</v>
      </c>
      <c r="ED159" s="27" t="n">
        <f aca="false">1/(1+P_WACC)^((129-1)/12)</f>
        <v>0.380217813675151</v>
      </c>
      <c r="EE159" s="27" t="n">
        <f aca="false">1/(1+P_WACC)^((130-1)/12)</f>
        <v>0.377356177363564</v>
      </c>
      <c r="EF159" s="27" t="n">
        <f aca="false">1/(1+P_WACC)^((131-1)/12)</f>
        <v>0.374516078607781</v>
      </c>
      <c r="EG159" s="27" t="n">
        <f aca="false">1/(1+P_WACC)^((132-1)/12)</f>
        <v>0.371697355309528</v>
      </c>
      <c r="EH159" s="27" t="n">
        <f aca="false">1/(1+P_WACC)^((133-1)/12)</f>
        <v>0.36889984659053</v>
      </c>
      <c r="EI159" s="27" t="n">
        <f aca="false">1/(1+P_WACC)^((134-1)/12)</f>
        <v>0.366123392783333</v>
      </c>
      <c r="EJ159" s="27" t="n">
        <f aca="false">1/(1+P_WACC)^((135-1)/12)</f>
        <v>0.36336783542219</v>
      </c>
      <c r="EK159" s="27" t="n">
        <f aca="false">1/(1+P_WACC)^((136-1)/12)</f>
        <v>0.360633017234016</v>
      </c>
      <c r="EL159" s="27" t="n">
        <f aca="false">1/(1+P_WACC)^((137-1)/12)</f>
        <v>0.357918782129409</v>
      </c>
      <c r="EM159" s="27" t="n">
        <f aca="false">1/(1+P_WACC)^((138-1)/12)</f>
        <v>0.355224975193746</v>
      </c>
      <c r="EN159" s="27" t="n">
        <f aca="false">1/(1+P_WACC)^((139-1)/12)</f>
        <v>0.352551442678341</v>
      </c>
      <c r="EO159" s="27" t="n">
        <f aca="false">1/(1+P_WACC)^((140-1)/12)</f>
        <v>0.349898031991663</v>
      </c>
      <c r="EP159" s="27" t="n">
        <f aca="false">1/(1+P_WACC)^((141-1)/12)</f>
        <v>0.347264591690637</v>
      </c>
      <c r="EQ159" s="27" t="n">
        <f aca="false">1/(1+P_WACC)^((142-1)/12)</f>
        <v>0.344650971471992</v>
      </c>
      <c r="ER159" s="27" t="n">
        <f aca="false">1/(1+P_WACC)^((143-1)/12)</f>
        <v>0.342057022163687</v>
      </c>
      <c r="ES159" s="27" t="n">
        <f aca="false">1/(1+P_WACC)^((144-1)/12)</f>
        <v>0.339482595716395</v>
      </c>
    </row>
    <row r="160" customFormat="false" ht="15" hidden="false" customHeight="false" outlineLevel="0" collapsed="false">
      <c r="A160" s="2" t="s">
        <v>800</v>
      </c>
      <c r="B160" s="6" t="s">
        <v>801</v>
      </c>
      <c r="C160" s="6"/>
      <c r="F160" s="27" t="n">
        <f aca="false">1/(1+P_Ke)^((1-1)/12)</f>
        <v>1</v>
      </c>
      <c r="G160" s="27" t="n">
        <f aca="false">1/(1+P_Ke)^((2-1)/12)</f>
        <v>0.987481119072306</v>
      </c>
      <c r="H160" s="27" t="n">
        <f aca="false">1/(1+P_Ke)^((3-1)/12)</f>
        <v>0.975118960524295</v>
      </c>
      <c r="I160" s="27" t="n">
        <f aca="false">1/(1+P_Ke)^((4-1)/12)</f>
        <v>0.962911562367155</v>
      </c>
      <c r="J160" s="27" t="n">
        <f aca="false">1/(1+P_Ke)^((5-1)/12)</f>
        <v>0.950856987173981</v>
      </c>
      <c r="K160" s="27" t="n">
        <f aca="false">1/(1+P_Ke)^((6-1)/12)</f>
        <v>0.938953321772285</v>
      </c>
      <c r="L160" s="27" t="n">
        <f aca="false">1/(1+P_Ke)^((7-1)/12)</f>
        <v>0.927198676940355</v>
      </c>
      <c r="M160" s="27" t="n">
        <f aca="false">1/(1+P_Ke)^((8-1)/12)</f>
        <v>0.915591187107424</v>
      </c>
      <c r="N160" s="27" t="n">
        <f aca="false">1/(1+P_Ke)^((9-1)/12)</f>
        <v>0.90412901005758</v>
      </c>
      <c r="O160" s="27" t="n">
        <f aca="false">1/(1+P_Ke)^((10-1)/12)</f>
        <v>0.892810326637396</v>
      </c>
      <c r="P160" s="27" t="n">
        <f aca="false">1/(1+P_Ke)^((11-1)/12)</f>
        <v>0.881633340467207</v>
      </c>
      <c r="Q160" s="27" t="n">
        <f aca="false">1/(1+P_Ke)^((12-1)/12)</f>
        <v>0.870596277656014</v>
      </c>
      <c r="R160" s="27" t="n">
        <f aca="false">1/(1+P_Ke)^((13-1)/12)</f>
        <v>0.859697386519945</v>
      </c>
      <c r="S160" s="27" t="n">
        <f aca="false">1/(1+P_Ke)^((14-1)/12)</f>
        <v>0.848934937304252</v>
      </c>
      <c r="T160" s="27" t="n">
        <f aca="false">1/(1+P_Ke)^((15-1)/12)</f>
        <v>0.838307221908782</v>
      </c>
      <c r="U160" s="27" t="n">
        <f aca="false">1/(1+P_Ke)^((16-1)/12)</f>
        <v>0.82781255361688</v>
      </c>
      <c r="V160" s="27" t="n">
        <f aca="false">1/(1+P_Ke)^((17-1)/12)</f>
        <v>0.8174492668277</v>
      </c>
      <c r="W160" s="27" t="n">
        <f aca="false">1/(1+P_Ke)^((18-1)/12)</f>
        <v>0.807215716791854</v>
      </c>
      <c r="X160" s="27" t="n">
        <f aca="false">1/(1+P_Ke)^((19-1)/12)</f>
        <v>0.797110279350374</v>
      </c>
      <c r="Y160" s="27" t="n">
        <f aca="false">1/(1+P_Ke)^((20-1)/12)</f>
        <v>0.787131350676946</v>
      </c>
      <c r="Z160" s="27" t="n">
        <f aca="false">1/(1+P_Ke)^((21-1)/12)</f>
        <v>0.777277347023367</v>
      </c>
      <c r="AA160" s="27" t="n">
        <f aca="false">1/(1+P_Ke)^((22-1)/12)</f>
        <v>0.767546704468188</v>
      </c>
      <c r="AB160" s="27" t="n">
        <f aca="false">1/(1+P_Ke)^((23-1)/12)</f>
        <v>0.757937878668507</v>
      </c>
      <c r="AC160" s="27" t="n">
        <f aca="false">1/(1+P_Ke)^((24-1)/12)</f>
        <v>0.748449344614867</v>
      </c>
      <c r="AD160" s="27" t="n">
        <f aca="false">1/(1+P_Ke)^((25-1)/12)</f>
        <v>0.739079596389224</v>
      </c>
      <c r="AE160" s="27" t="n">
        <f aca="false">1/(1+P_Ke)^((26-1)/12)</f>
        <v>0.729827146925939</v>
      </c>
      <c r="AF160" s="27" t="n">
        <f aca="false">1/(1+P_Ke)^((27-1)/12)</f>
        <v>0.720690527775775</v>
      </c>
      <c r="AG160" s="27" t="n">
        <f aca="false">1/(1+P_Ke)^((28-1)/12)</f>
        <v>0.711668288872834</v>
      </c>
      <c r="AH160" s="27" t="n">
        <f aca="false">1/(1+P_Ke)^((29-1)/12)</f>
        <v>0.702758998304419</v>
      </c>
      <c r="AI160" s="27" t="n">
        <f aca="false">1/(1+P_Ke)^((30-1)/12)</f>
        <v>0.693961242083781</v>
      </c>
      <c r="AJ160" s="27" t="n">
        <f aca="false">1/(1+P_Ke)^((31-1)/12)</f>
        <v>0.6852736239257</v>
      </c>
      <c r="AK160" s="27" t="n">
        <f aca="false">1/(1+P_Ke)^((32-1)/12)</f>
        <v>0.676694765024885</v>
      </c>
      <c r="AL160" s="27" t="n">
        <f aca="false">1/(1+P_Ke)^((33-1)/12)</f>
        <v>0.668223303837145</v>
      </c>
      <c r="AM160" s="27" t="n">
        <f aca="false">1/(1+P_Ke)^((34-1)/12)</f>
        <v>0.659857895863298</v>
      </c>
      <c r="AN160" s="27" t="n">
        <f aca="false">1/(1+P_Ke)^((35-1)/12)</f>
        <v>0.651597213435787</v>
      </c>
      <c r="AO160" s="27" t="n">
        <f aca="false">1/(1+P_Ke)^((36-1)/12)</f>
        <v>0.643439945507967</v>
      </c>
      <c r="AP160" s="27" t="n">
        <f aca="false">1/(1+P_Ke)^((37-1)/12)</f>
        <v>0.635384797446031</v>
      </c>
      <c r="AQ160" s="27" t="n">
        <f aca="false">1/(1+P_Ke)^((38-1)/12)</f>
        <v>0.627430490823538</v>
      </c>
      <c r="AR160" s="27" t="n">
        <f aca="false">1/(1+P_Ke)^((39-1)/12)</f>
        <v>0.619575763218514</v>
      </c>
      <c r="AS160" s="27" t="n">
        <f aca="false">1/(1+P_Ke)^((40-1)/12)</f>
        <v>0.611819368013096</v>
      </c>
      <c r="AT160" s="27" t="n">
        <f aca="false">1/(1+P_Ke)^((41-1)/12)</f>
        <v>0.604160074195684</v>
      </c>
      <c r="AU160" s="27" t="n">
        <f aca="false">1/(1+P_Ke)^((42-1)/12)</f>
        <v>0.596596666165561</v>
      </c>
      <c r="AV160" s="27" t="n">
        <f aca="false">1/(1+P_Ke)^((43-1)/12)</f>
        <v>0.589127943539976</v>
      </c>
      <c r="AW160" s="27" t="n">
        <f aca="false">1/(1+P_Ke)^((44-1)/12)</f>
        <v>0.581752720963622</v>
      </c>
      <c r="AX160" s="27" t="n">
        <f aca="false">1/(1+P_Ke)^((45-1)/12)</f>
        <v>0.574469827920517</v>
      </c>
      <c r="AY160" s="27" t="n">
        <f aca="false">1/(1+P_Ke)^((46-1)/12)</f>
        <v>0.567278108548227</v>
      </c>
      <c r="AZ160" s="27" t="n">
        <f aca="false">1/(1+P_Ke)^((47-1)/12)</f>
        <v>0.560176421454425</v>
      </c>
      <c r="BA160" s="27" t="n">
        <f aca="false">1/(1+P_Ke)^((48-1)/12)</f>
        <v>0.553163639535735</v>
      </c>
      <c r="BB160" s="27" t="n">
        <f aca="false">1/(1+P_Ke)^((49-1)/12)</f>
        <v>0.546238649798858</v>
      </c>
      <c r="BC160" s="27" t="n">
        <f aca="false">1/(1+P_Ke)^((50-1)/12)</f>
        <v>0.539400353183922</v>
      </c>
      <c r="BD160" s="27" t="n">
        <f aca="false">1/(1+P_Ke)^((51-1)/12)</f>
        <v>0.532647664390056</v>
      </c>
      <c r="BE160" s="27" t="n">
        <f aca="false">1/(1+P_Ke)^((52-1)/12)</f>
        <v>0.525979511703143</v>
      </c>
      <c r="BF160" s="27" t="n">
        <f aca="false">1/(1+P_Ke)^((53-1)/12)</f>
        <v>0.519394836825725</v>
      </c>
      <c r="BG160" s="27" t="n">
        <f aca="false">1/(1+P_Ke)^((54-1)/12)</f>
        <v>0.512892594709045</v>
      </c>
      <c r="BH160" s="27" t="n">
        <f aca="false">1/(1+P_Ke)^((55-1)/12)</f>
        <v>0.506471753387187</v>
      </c>
      <c r="BI160" s="27" t="n">
        <f aca="false">1/(1+P_Ke)^((56-1)/12)</f>
        <v>0.500131293813293</v>
      </c>
      <c r="BJ160" s="27" t="n">
        <f aca="false">1/(1+P_Ke)^((57-1)/12)</f>
        <v>0.493870209697831</v>
      </c>
      <c r="BK160" s="27" t="n">
        <f aca="false">1/(1+P_Ke)^((58-1)/12)</f>
        <v>0.487687507348888</v>
      </c>
      <c r="BL160" s="27" t="n">
        <f aca="false">1/(1+P_Ke)^((59-1)/12)</f>
        <v>0.481582205514464</v>
      </c>
      <c r="BM160" s="27" t="n">
        <f aca="false">1/(1+P_Ke)^((60-1)/12)</f>
        <v>0.475553335226732</v>
      </c>
      <c r="BN160" s="27" t="n">
        <f aca="false">1/(1+P_Ke)^((61-1)/12)</f>
        <v>0.469599939648261</v>
      </c>
      <c r="BO160" s="27" t="n">
        <f aca="false">1/(1+P_Ke)^((62-1)/12)</f>
        <v>0.463721073920153</v>
      </c>
      <c r="BP160" s="27" t="n">
        <f aca="false">1/(1+P_Ke)^((63-1)/12)</f>
        <v>0.457915805012084</v>
      </c>
      <c r="BQ160" s="27" t="n">
        <f aca="false">1/(1+P_Ke)^((64-1)/12)</f>
        <v>0.452183211574229</v>
      </c>
      <c r="BR160" s="27" t="n">
        <f aca="false">1/(1+P_Ke)^((65-1)/12)</f>
        <v>0.446522383791029</v>
      </c>
      <c r="BS160" s="27" t="n">
        <f aca="false">1/(1+P_Ke)^((66-1)/12)</f>
        <v>0.4409324232368</v>
      </c>
      <c r="BT160" s="27" t="n">
        <f aca="false">1/(1+P_Ke)^((67-1)/12)</f>
        <v>0.435412442733139</v>
      </c>
      <c r="BU160" s="27" t="n">
        <f aca="false">1/(1+P_Ke)^((68-1)/12)</f>
        <v>0.429961566208126</v>
      </c>
      <c r="BV160" s="27" t="n">
        <f aca="false">1/(1+P_Ke)^((69-1)/12)</f>
        <v>0.424578928557282</v>
      </c>
      <c r="BW160" s="27" t="n">
        <f aca="false">1/(1+P_Ke)^((70-1)/12)</f>
        <v>0.419263675506266</v>
      </c>
      <c r="BX160" s="27" t="n">
        <f aca="false">1/(1+P_Ke)^((71-1)/12)</f>
        <v>0.414014963475296</v>
      </c>
      <c r="BY160" s="27" t="n">
        <f aca="false">1/(1+P_Ke)^((72-1)/12)</f>
        <v>0.408831959445265</v>
      </c>
      <c r="BZ160" s="27" t="n">
        <f aca="false">1/(1+P_Ke)^((73-1)/12)</f>
        <v>0.403713840825534</v>
      </c>
      <c r="CA160" s="27" t="n">
        <f aca="false">1/(1+P_Ke)^((74-1)/12)</f>
        <v>0.398659795323378</v>
      </c>
      <c r="CB160" s="27" t="n">
        <f aca="false">1/(1+P_Ke)^((75-1)/12)</f>
        <v>0.393669020815066</v>
      </c>
      <c r="CC160" s="27" t="n">
        <f aca="false">1/(1+P_Ke)^((76-1)/12)</f>
        <v>0.38874072521856</v>
      </c>
      <c r="CD160" s="27" t="n">
        <f aca="false">1/(1+P_Ke)^((77-1)/12)</f>
        <v>0.383874126367804</v>
      </c>
      <c r="CE160" s="27" t="n">
        <f aca="false">1/(1+P_Ke)^((78-1)/12)</f>
        <v>0.379068451888583</v>
      </c>
      <c r="CF160" s="27" t="n">
        <f aca="false">1/(1+P_Ke)^((79-1)/12)</f>
        <v>0.374322939075945</v>
      </c>
      <c r="CG160" s="27" t="n">
        <f aca="false">1/(1+P_Ke)^((80-1)/12)</f>
        <v>0.369636834773149</v>
      </c>
      <c r="CH160" s="27" t="n">
        <f aca="false">1/(1+P_Ke)^((81-1)/12)</f>
        <v>0.365009395252134</v>
      </c>
      <c r="CI160" s="27" t="n">
        <f aca="false">1/(1+P_Ke)^((82-1)/12)</f>
        <v>0.360439886095483</v>
      </c>
      <c r="CJ160" s="27" t="n">
        <f aca="false">1/(1+P_Ke)^((83-1)/12)</f>
        <v>0.355927582079862</v>
      </c>
      <c r="CK160" s="27" t="n">
        <f aca="false">1/(1+P_Ke)^((84-1)/12)</f>
        <v>0.351471767060923</v>
      </c>
      <c r="CL160" s="27" t="n">
        <f aca="false">1/(1+P_Ke)^((85-1)/12)</f>
        <v>0.347071733859641</v>
      </c>
      <c r="CM160" s="27" t="n">
        <f aca="false">1/(1+P_Ke)^((86-1)/12)</f>
        <v>0.342726784150084</v>
      </c>
      <c r="CN160" s="27" t="n">
        <f aca="false">1/(1+P_Ke)^((87-1)/12)</f>
        <v>0.338436228348578</v>
      </c>
      <c r="CO160" s="27" t="n">
        <f aca="false">1/(1+P_Ke)^((88-1)/12)</f>
        <v>0.334199385504264</v>
      </c>
      <c r="CP160" s="27" t="n">
        <f aca="false">1/(1+P_Ke)^((89-1)/12)</f>
        <v>0.330015583191028</v>
      </c>
      <c r="CQ160" s="27" t="n">
        <f aca="false">1/(1+P_Ke)^((90-1)/12)</f>
        <v>0.325884157400776</v>
      </c>
      <c r="CR160" s="27" t="n">
        <f aca="false">1/(1+P_Ke)^((91-1)/12)</f>
        <v>0.321804452438054</v>
      </c>
      <c r="CS160" s="27" t="n">
        <f aca="false">1/(1+P_Ke)^((92-1)/12)</f>
        <v>0.31777582081598</v>
      </c>
      <c r="CT160" s="27" t="n">
        <f aca="false">1/(1+P_Ke)^((93-1)/12)</f>
        <v>0.313797623153485</v>
      </c>
      <c r="CU160" s="27" t="n">
        <f aca="false">1/(1+P_Ke)^((94-1)/12)</f>
        <v>0.309869228073833</v>
      </c>
      <c r="CV160" s="27" t="n">
        <f aca="false">1/(1+P_Ke)^((95-1)/12)</f>
        <v>0.305990012104421</v>
      </c>
      <c r="CW160" s="27" t="n">
        <f aca="false">1/(1+P_Ke)^((96-1)/12)</f>
        <v>0.302159359577822</v>
      </c>
      <c r="CX160" s="27" t="n">
        <f aca="false">1/(1+P_Ke)^((97-1)/12)</f>
        <v>0.298376662534079</v>
      </c>
      <c r="CY160" s="27" t="n">
        <f aca="false">1/(1+P_Ke)^((98-1)/12)</f>
        <v>0.294641320624212</v>
      </c>
      <c r="CZ160" s="27" t="n">
        <f aca="false">1/(1+P_Ke)^((99-1)/12)</f>
        <v>0.29095274101494</v>
      </c>
      <c r="DA160" s="27" t="n">
        <f aca="false">1/(1+P_Ke)^((100-1)/12)</f>
        <v>0.287310338294587</v>
      </c>
      <c r="DB160" s="27" t="n">
        <f aca="false">1/(1+P_Ke)^((101-1)/12)</f>
        <v>0.283713534380182</v>
      </c>
      <c r="DC160" s="27" t="n">
        <f aca="false">1/(1+P_Ke)^((102-1)/12)</f>
        <v>0.280161758425702</v>
      </c>
      <c r="DD160" s="27" t="n">
        <f aca="false">1/(1+P_Ke)^((103-1)/12)</f>
        <v>0.276654446731477</v>
      </c>
      <c r="DE160" s="27" t="n">
        <f aca="false">1/(1+P_Ke)^((104-1)/12)</f>
        <v>0.273191042654729</v>
      </c>
      <c r="DF160" s="27" t="n">
        <f aca="false">1/(1+P_Ke)^((105-1)/12)</f>
        <v>0.269770996521222</v>
      </c>
      <c r="DG160" s="27" t="n">
        <f aca="false">1/(1+P_Ke)^((106-1)/12)</f>
        <v>0.266393765538027</v>
      </c>
      <c r="DH160" s="27" t="n">
        <f aca="false">1/(1+P_Ke)^((107-1)/12)</f>
        <v>0.263058813707377</v>
      </c>
      <c r="DI160" s="27" t="n">
        <f aca="false">1/(1+P_Ke)^((108-1)/12)</f>
        <v>0.259765611741594</v>
      </c>
      <c r="DJ160" s="27" t="n">
        <f aca="false">1/(1+P_Ke)^((109-1)/12)</f>
        <v>0.256513636979091</v>
      </c>
      <c r="DK160" s="27" t="n">
        <f aca="false">1/(1+P_Ke)^((110-1)/12)</f>
        <v>0.253302373301421</v>
      </c>
      <c r="DL160" s="27" t="n">
        <f aca="false">1/(1+P_Ke)^((111-1)/12)</f>
        <v>0.250131311051358</v>
      </c>
      <c r="DM160" s="27" t="n">
        <f aca="false">1/(1+P_Ke)^((112-1)/12)</f>
        <v>0.246999946952018</v>
      </c>
      <c r="DN160" s="27" t="n">
        <f aca="false">1/(1+P_Ke)^((113-1)/12)</f>
        <v>0.243907784026979</v>
      </c>
      <c r="DO160" s="27" t="n">
        <f aca="false">1/(1+P_Ke)^((114-1)/12)</f>
        <v>0.240854331521408</v>
      </c>
      <c r="DP160" s="27" t="n">
        <f aca="false">1/(1+P_Ke)^((115-1)/12)</f>
        <v>0.237839104824172</v>
      </c>
      <c r="DQ160" s="27" t="n">
        <f aca="false">1/(1+P_Ke)^((116-1)/12)</f>
        <v>0.234861625390929</v>
      </c>
      <c r="DR160" s="27" t="n">
        <f aca="false">1/(1+P_Ke)^((117-1)/12)</f>
        <v>0.231921420668176</v>
      </c>
      <c r="DS160" s="27" t="n">
        <f aca="false">1/(1+P_Ke)^((118-1)/12)</f>
        <v>0.229018024018249</v>
      </c>
      <c r="DT160" s="27" t="n">
        <f aca="false">1/(1+P_Ke)^((119-1)/12)</f>
        <v>0.226150974645269</v>
      </c>
      <c r="DU160" s="27" t="n">
        <f aca="false">1/(1+P_Ke)^((120-1)/12)</f>
        <v>0.223319817522003</v>
      </c>
      <c r="DV160" s="27" t="n">
        <f aca="false">1/(1+P_Ke)^((121-1)/12)</f>
        <v>0.220524103317651</v>
      </c>
      <c r="DW160" s="27" t="n">
        <f aca="false">1/(1+P_Ke)^((122-1)/12)</f>
        <v>0.217763388326531</v>
      </c>
      <c r="DX160" s="27" t="n">
        <f aca="false">1/(1+P_Ke)^((123-1)/12)</f>
        <v>0.21503723439766</v>
      </c>
      <c r="DY160" s="27" t="n">
        <f aca="false">1/(1+P_Ke)^((124-1)/12)</f>
        <v>0.212345208865215</v>
      </c>
      <c r="DZ160" s="27" t="n">
        <f aca="false">1/(1+P_Ke)^((125-1)/12)</f>
        <v>0.209686884479865</v>
      </c>
      <c r="EA160" s="27" t="n">
        <f aca="false">1/(1+P_Ke)^((126-1)/12)</f>
        <v>0.207061839340963</v>
      </c>
      <c r="EB160" s="27" t="n">
        <f aca="false">1/(1+P_Ke)^((127-1)/12)</f>
        <v>0.204469656829584</v>
      </c>
      <c r="EC160" s="27" t="n">
        <f aca="false">1/(1+P_Ke)^((128-1)/12)</f>
        <v>0.201909925542408</v>
      </c>
      <c r="ED160" s="27" t="n">
        <f aca="false">1/(1+P_Ke)^((129-1)/12)</f>
        <v>0.199382239226423</v>
      </c>
      <c r="EE160" s="27" t="n">
        <f aca="false">1/(1+P_Ke)^((130-1)/12)</f>
        <v>0.196886196714451</v>
      </c>
      <c r="EF160" s="27" t="n">
        <f aca="false">1/(1+P_Ke)^((131-1)/12)</f>
        <v>0.194421401861476</v>
      </c>
      <c r="EG160" s="27" t="n">
        <f aca="false">1/(1+P_Ke)^((132-1)/12)</f>
        <v>0.191987463481777</v>
      </c>
      <c r="EH160" s="27" t="n">
        <f aca="false">1/(1+P_Ke)^((133-1)/12)</f>
        <v>0.189583995286839</v>
      </c>
      <c r="EI160" s="27" t="n">
        <f aca="false">1/(1+P_Ke)^((134-1)/12)</f>
        <v>0.187210615824046</v>
      </c>
      <c r="EJ160" s="27" t="n">
        <f aca="false">1/(1+P_Ke)^((135-1)/12)</f>
        <v>0.184866948416145</v>
      </c>
      <c r="EK160" s="27" t="n">
        <f aca="false">1/(1+P_Ke)^((136-1)/12)</f>
        <v>0.182552621101457</v>
      </c>
      <c r="EL160" s="27" t="n">
        <f aca="false">1/(1+P_Ke)^((137-1)/12)</f>
        <v>0.18026726657485</v>
      </c>
      <c r="EM160" s="27" t="n">
        <f aca="false">1/(1+P_Ke)^((138-1)/12)</f>
        <v>0.178010522129438</v>
      </c>
      <c r="EN160" s="27" t="n">
        <f aca="false">1/(1+P_Ke)^((139-1)/12)</f>
        <v>0.175782029599023</v>
      </c>
      <c r="EO160" s="27" t="n">
        <f aca="false">1/(1+P_Ke)^((140-1)/12)</f>
        <v>0.173581435301245</v>
      </c>
      <c r="EP160" s="27" t="n">
        <f aca="false">1/(1+P_Ke)^((141-1)/12)</f>
        <v>0.171408389981451</v>
      </c>
      <c r="EQ160" s="27" t="n">
        <f aca="false">1/(1+P_Ke)^((142-1)/12)</f>
        <v>0.169262548757265</v>
      </c>
      <c r="ER160" s="27" t="n">
        <f aca="false">1/(1+P_Ke)^((143-1)/12)</f>
        <v>0.167143571063855</v>
      </c>
      <c r="ES160" s="27" t="n">
        <f aca="false">1/(1+P_Ke)^((144-1)/12)</f>
        <v>0.165051120599877</v>
      </c>
    </row>
    <row r="161" customFormat="false" ht="15" hidden="false" customHeight="false" outlineLevel="0" collapsed="false">
      <c r="A161" s="2" t="s">
        <v>802</v>
      </c>
      <c r="B161" s="6" t="s">
        <v>803</v>
      </c>
      <c r="C161" s="6" t="s">
        <v>250</v>
      </c>
      <c r="E161" s="40" t="n">
        <f aca="false">SUM(F161:ES161)</f>
        <v>14751245.7980366</v>
      </c>
      <c r="F161" s="34" t="n">
        <f aca="false">-F$138-(F$157-0)+F$153+IF(1=Fin,F$154+F$157+F$119-F$148,0)</f>
        <v>-767782</v>
      </c>
      <c r="G161" s="34" t="n">
        <f aca="false">-G$138-(G$157-F$157)+G$153+IF(2=Fin,G$154+G$157+G$119-G$148,0)</f>
        <v>0</v>
      </c>
      <c r="H161" s="34" t="n">
        <f aca="false">-H$138-(H$157-G$157)+H$153+IF(3=Fin,H$154+H$157+H$119-H$148,0)</f>
        <v>0</v>
      </c>
      <c r="I161" s="34" t="n">
        <f aca="false">-I$138-(I$157-H$157)+I$153+IF(4=Fin,I$154+I$157+I$119-I$148,0)</f>
        <v>0</v>
      </c>
      <c r="J161" s="34" t="n">
        <f aca="false">-J$138-(J$157-I$157)+J$153+IF(5=Fin,J$154+J$157+J$119-J$148,0)</f>
        <v>0</v>
      </c>
      <c r="K161" s="34" t="n">
        <f aca="false">-K$138-(K$157-J$157)+K$153+IF(6=Fin,K$154+K$157+K$119-K$148,0)</f>
        <v>0</v>
      </c>
      <c r="L161" s="34" t="n">
        <f aca="false">-L$138-(L$157-K$157)+L$153+IF(7=Fin,L$154+L$157+L$119-L$148,0)</f>
        <v>0</v>
      </c>
      <c r="M161" s="34" t="n">
        <f aca="false">-M$138-(M$157-L$157)+M$153+IF(8=Fin,M$154+M$157+M$119-M$148,0)</f>
        <v>0</v>
      </c>
      <c r="N161" s="34" t="n">
        <f aca="false">-N$138-(N$157-M$157)+N$153+IF(9=Fin,N$154+N$157+N$119-N$148,0)</f>
        <v>0</v>
      </c>
      <c r="O161" s="34" t="n">
        <f aca="false">-O$138-(O$157-N$157)+O$153+IF(10=Fin,O$154+O$157+O$119-O$148,0)</f>
        <v>0</v>
      </c>
      <c r="P161" s="34" t="n">
        <f aca="false">-P$138-(P$157-O$157)+P$153+IF(11=Fin,P$154+P$157+P$119-P$148,0)</f>
        <v>0</v>
      </c>
      <c r="Q161" s="34" t="n">
        <f aca="false">-Q$138-(Q$157-P$157)+Q$153+IF(12=Fin,Q$154+Q$157+Q$119-Q$148,0)</f>
        <v>0</v>
      </c>
      <c r="R161" s="34" t="n">
        <f aca="false">-R$138-(R$157-Q$157)+R$153+IF(13=Fin,R$154+R$157+R$119-R$148,0)</f>
        <v>-371928</v>
      </c>
      <c r="S161" s="34" t="n">
        <f aca="false">-S$138-(S$157-R$157)+S$153+IF(14=Fin,S$154+S$157+S$119-S$148,0)</f>
        <v>0</v>
      </c>
      <c r="T161" s="34" t="n">
        <f aca="false">-T$138-(T$157-S$157)+T$153+IF(15=Fin,T$154+T$157+T$119-T$148,0)</f>
        <v>0</v>
      </c>
      <c r="U161" s="34" t="n">
        <f aca="false">-U$138-(U$157-T$157)+U$153+IF(16=Fin,U$154+U$157+U$119-U$148,0)</f>
        <v>0</v>
      </c>
      <c r="V161" s="34" t="n">
        <f aca="false">-V$138-(V$157-U$157)+V$153+IF(17=Fin,V$154+V$157+V$119-V$148,0)</f>
        <v>0</v>
      </c>
      <c r="W161" s="34" t="n">
        <f aca="false">-W$138-(W$157-V$157)+W$153+IF(18=Fin,W$154+W$157+W$119-W$148,0)</f>
        <v>0</v>
      </c>
      <c r="X161" s="34" t="n">
        <f aca="false">-X$138-(X$157-W$157)+X$153+IF(19=Fin,X$154+X$157+X$119-X$148,0)</f>
        <v>0</v>
      </c>
      <c r="Y161" s="34" t="n">
        <f aca="false">-Y$138-(Y$157-X$157)+Y$153+IF(20=Fin,Y$154+Y$157+Y$119-Y$148,0)</f>
        <v>0</v>
      </c>
      <c r="Z161" s="34" t="n">
        <f aca="false">-Z$138-(Z$157-Y$157)+Z$153+IF(21=Fin,Z$154+Z$157+Z$119-Z$148,0)</f>
        <v>0</v>
      </c>
      <c r="AA161" s="34" t="n">
        <f aca="false">-AA$138-(AA$157-Z$157)+AA$153+IF(22=Fin,AA$154+AA$157+AA$119-AA$148,0)</f>
        <v>0</v>
      </c>
      <c r="AB161" s="34" t="n">
        <f aca="false">-AB$138-(AB$157-AA$157)+AB$153+IF(23=Fin,AB$154+AB$157+AB$119-AB$148,0)</f>
        <v>0</v>
      </c>
      <c r="AC161" s="34" t="n">
        <f aca="false">-AC$138-(AC$157-AB$157)+AC$153+IF(24=Fin,AC$154+AC$157+AC$119-AC$148,0)</f>
        <v>0</v>
      </c>
      <c r="AD161" s="34" t="n">
        <f aca="false">-AD$138-(AD$157-AC$157)+AD$153+IF(25=Fin,AD$154+AD$157+AD$119-AD$148,0)</f>
        <v>-311740.118672618</v>
      </c>
      <c r="AE161" s="34" t="n">
        <f aca="false">-AE$138-(AE$157-AD$157)+AE$153+IF(26=Fin,AE$154+AE$157+AE$119-AE$148,0)</f>
        <v>52573.6832870145</v>
      </c>
      <c r="AF161" s="34" t="n">
        <f aca="false">-AF$138-(AF$157-AE$157)+AF$153+IF(27=Fin,AF$154+AF$157+AF$119-AF$148,0)</f>
        <v>52610.0948845848</v>
      </c>
      <c r="AG161" s="34" t="n">
        <f aca="false">-AG$138-(AG$157-AF$157)+AG$153+IF(28=Fin,AG$154+AG$157+AG$119-AG$148,0)</f>
        <v>52646.7795691369</v>
      </c>
      <c r="AH161" s="34" t="n">
        <f aca="false">-AH$138-(AH$157-AG$157)+AH$153+IF(29=Fin,AH$154+AH$157+AH$119-AH$148,0)</f>
        <v>52683.7393888232</v>
      </c>
      <c r="AI161" s="34" t="n">
        <f aca="false">-AI$138-(AI$157-AH$157)+AI$153+IF(30=Fin,AI$154+AI$157+AI$119-AI$148,0)</f>
        <v>52720.9764071571</v>
      </c>
      <c r="AJ161" s="34" t="n">
        <f aca="false">-AJ$138-(AJ$157-AI$157)+AJ$153+IF(31=Fin,AJ$154+AJ$157+AJ$119-AJ$148,0)</f>
        <v>48504.8451359012</v>
      </c>
      <c r="AK161" s="34" t="n">
        <f aca="false">-AK$138-(AK$157-AJ$157)+AK$153+IF(32=Fin,AK$154+AK$157+AK$119-AK$148,0)</f>
        <v>0</v>
      </c>
      <c r="AL161" s="34" t="n">
        <f aca="false">-AL$138-(AL$157-AK$157)+AL$153+IF(33=Fin,AL$154+AL$157+AL$119-AL$148,0)</f>
        <v>0</v>
      </c>
      <c r="AM161" s="34" t="n">
        <f aca="false">-AM$138-(AM$157-AL$157)+AM$153+IF(34=Fin,AM$154+AM$157+AM$119-AM$148,0)</f>
        <v>0</v>
      </c>
      <c r="AN161" s="34" t="n">
        <f aca="false">-AN$138-(AN$157-AM$157)+AN$153+IF(35=Fin,AN$154+AN$157+AN$119-AN$148,0)</f>
        <v>0</v>
      </c>
      <c r="AO161" s="34" t="n">
        <f aca="false">-AO$138-(AO$157-AN$157)+AO$153+IF(36=Fin,AO$154+AO$157+AO$119-AO$148,0)</f>
        <v>0</v>
      </c>
      <c r="AP161" s="34" t="n">
        <f aca="false">-AP$138-(AP$157-AO$157)+AP$153+IF(37=Fin,AP$154+AP$157+AP$119-AP$148,0)</f>
        <v>-204392.169462804</v>
      </c>
      <c r="AQ161" s="34" t="n">
        <f aca="false">-AQ$138-(AQ$157-AP$157)+AQ$153+IF(38=Fin,AQ$154+AQ$157+AQ$119-AQ$148,0)</f>
        <v>85837.6535027239</v>
      </c>
      <c r="AR161" s="34" t="n">
        <f aca="false">-AR$138-(AR$157-AQ$157)+AR$153+IF(39=Fin,AR$154+AR$157+AR$119-AR$148,0)</f>
        <v>85877.4807593016</v>
      </c>
      <c r="AS161" s="34" t="n">
        <f aca="false">-AS$138-(AS$157-AR$157)+AS$153+IF(40=Fin,AS$154+AS$157+AS$119-AS$148,0)</f>
        <v>32677.0352007788</v>
      </c>
      <c r="AT161" s="34" t="n">
        <f aca="false">-AT$138-(AT$157-AS$157)+AT$153+IF(41=Fin,AT$154+AT$157+AT$119-AT$148,0)</f>
        <v>0</v>
      </c>
      <c r="AU161" s="34" t="n">
        <f aca="false">-AU$138-(AU$157-AT$157)+AU$153+IF(42=Fin,AU$154+AU$157+AU$119-AU$148,0)</f>
        <v>0</v>
      </c>
      <c r="AV161" s="34" t="n">
        <f aca="false">-AV$138-(AV$157-AU$157)+AV$153+IF(43=Fin,AV$154+AV$157+AV$119-AV$148,0)</f>
        <v>0</v>
      </c>
      <c r="AW161" s="34" t="n">
        <f aca="false">-AW$138-(AW$157-AV$157)+AW$153+IF(44=Fin,AW$154+AW$157+AW$119-AW$148,0)</f>
        <v>0</v>
      </c>
      <c r="AX161" s="34" t="n">
        <f aca="false">-AX$138-(AX$157-AW$157)+AX$153+IF(45=Fin,AX$154+AX$157+AX$119-AX$148,0)</f>
        <v>0</v>
      </c>
      <c r="AY161" s="34" t="n">
        <f aca="false">-AY$138-(AY$157-AX$157)+AY$153+IF(46=Fin,AY$154+AY$157+AY$119-AY$148,0)</f>
        <v>0</v>
      </c>
      <c r="AZ161" s="34" t="n">
        <f aca="false">-AZ$138-(AZ$157-AY$157)+AZ$153+IF(47=Fin,AZ$154+AZ$157+AZ$119-AZ$148,0)</f>
        <v>0</v>
      </c>
      <c r="BA161" s="34" t="n">
        <f aca="false">-BA$138-(BA$157-AZ$157)+BA$153+IF(48=Fin,BA$154+BA$157+BA$119-BA$148,0)</f>
        <v>0</v>
      </c>
      <c r="BB161" s="34" t="n">
        <f aca="false">-BB$138-(BB$157-BA$157)+BB$153+IF(49=Fin,BB$154+BB$157+BB$119-BB$148,0)</f>
        <v>0</v>
      </c>
      <c r="BC161" s="34" t="n">
        <f aca="false">-BC$138-(BC$157-BB$157)+BC$153+IF(50=Fin,BC$154+BC$157+BC$119-BC$148,0)</f>
        <v>0</v>
      </c>
      <c r="BD161" s="34" t="n">
        <f aca="false">-BD$138-(BD$157-BC$157)+BD$153+IF(51=Fin,BD$154+BD$157+BD$119-BD$148,0)</f>
        <v>0</v>
      </c>
      <c r="BE161" s="34" t="n">
        <f aca="false">-BE$138-(BE$157-BD$157)+BE$153+IF(52=Fin,BE$154+BE$157+BE$119-BE$148,0)</f>
        <v>804953.378380922</v>
      </c>
      <c r="BF161" s="34" t="n">
        <f aca="false">-BF$138-(BF$157-BE$157)+BF$153+IF(53=Fin,BF$154+BF$157+BF$119-BF$148,0)</f>
        <v>0</v>
      </c>
      <c r="BG161" s="34" t="n">
        <f aca="false">-BG$138-(BG$157-BF$157)+BG$153+IF(54=Fin,BG$154+BG$157+BG$119-BG$148,0)</f>
        <v>0</v>
      </c>
      <c r="BH161" s="34" t="n">
        <f aca="false">-BH$138-(BH$157-BG$157)+BH$153+IF(55=Fin,BH$154+BH$157+BH$119-BH$148,0)</f>
        <v>0</v>
      </c>
      <c r="BI161" s="34" t="n">
        <f aca="false">-BI$138-(BI$157-BH$157)+BI$153+IF(56=Fin,BI$154+BI$157+BI$119-BI$148,0)</f>
        <v>0</v>
      </c>
      <c r="BJ161" s="34" t="n">
        <f aca="false">-BJ$138-(BJ$157-BI$157)+BJ$153+IF(57=Fin,BJ$154+BJ$157+BJ$119-BJ$148,0)</f>
        <v>0</v>
      </c>
      <c r="BK161" s="34" t="n">
        <f aca="false">-BK$138-(BK$157-BJ$157)+BK$153+IF(58=Fin,BK$154+BK$157+BK$119-BK$148,0)</f>
        <v>0</v>
      </c>
      <c r="BL161" s="34" t="n">
        <f aca="false">-BL$138-(BL$157-BK$157)+BL$153+IF(59=Fin,BL$154+BL$157+BL$119-BL$148,0)</f>
        <v>0</v>
      </c>
      <c r="BM161" s="34" t="n">
        <f aca="false">-BM$138-(BM$157-BL$157)+BM$153+IF(60=Fin,BM$154+BM$157+BM$119-BM$148,0)</f>
        <v>0</v>
      </c>
      <c r="BN161" s="34" t="n">
        <f aca="false">-BN$138-(BN$157-BM$157)+BN$153+IF(61=Fin,BN$154+BN$157+BN$119-BN$148,0)</f>
        <v>0</v>
      </c>
      <c r="BO161" s="34" t="n">
        <f aca="false">-BO$138-(BO$157-BN$157)+BO$153+IF(62=Fin,BO$154+BO$157+BO$119-BO$148,0)</f>
        <v>0</v>
      </c>
      <c r="BP161" s="34" t="n">
        <f aca="false">-BP$138-(BP$157-BO$157)+BP$153+IF(63=Fin,BP$154+BP$157+BP$119-BP$148,0)</f>
        <v>0</v>
      </c>
      <c r="BQ161" s="34" t="n">
        <f aca="false">-BQ$138-(BQ$157-BP$157)+BQ$153+IF(64=Fin,BQ$154+BQ$157+BQ$119-BQ$148,0)</f>
        <v>1463926.54436822</v>
      </c>
      <c r="BR161" s="34" t="n">
        <f aca="false">-BR$138-(BR$157-BQ$157)+BR$153+IF(65=Fin,BR$154+BR$157+BR$119-BR$148,0)</f>
        <v>0</v>
      </c>
      <c r="BS161" s="34" t="n">
        <f aca="false">-BS$138-(BS$157-BR$157)+BS$153+IF(66=Fin,BS$154+BS$157+BS$119-BS$148,0)</f>
        <v>0</v>
      </c>
      <c r="BT161" s="34" t="n">
        <f aca="false">-BT$138-(BT$157-BS$157)+BT$153+IF(67=Fin,BT$154+BT$157+BT$119-BT$148,0)</f>
        <v>0</v>
      </c>
      <c r="BU161" s="34" t="n">
        <f aca="false">-BU$138-(BU$157-BT$157)+BU$153+IF(68=Fin,BU$154+BU$157+BU$119-BU$148,0)</f>
        <v>0</v>
      </c>
      <c r="BV161" s="34" t="n">
        <f aca="false">-BV$138-(BV$157-BU$157)+BV$153+IF(69=Fin,BV$154+BV$157+BV$119-BV$148,0)</f>
        <v>0</v>
      </c>
      <c r="BW161" s="34" t="n">
        <f aca="false">-BW$138-(BW$157-BV$157)+BW$153+IF(70=Fin,BW$154+BW$157+BW$119-BW$148,0)</f>
        <v>0</v>
      </c>
      <c r="BX161" s="34" t="n">
        <f aca="false">-BX$138-(BX$157-BW$157)+BX$153+IF(71=Fin,BX$154+BX$157+BX$119-BX$148,0)</f>
        <v>0</v>
      </c>
      <c r="BY161" s="34" t="n">
        <f aca="false">-BY$138-(BY$157-BX$157)+BY$153+IF(72=Fin,BY$154+BY$157+BY$119-BY$148,0)</f>
        <v>0</v>
      </c>
      <c r="BZ161" s="34" t="n">
        <f aca="false">-BZ$138-(BZ$157-BY$157)+BZ$153+IF(73=Fin,BZ$154+BZ$157+BZ$119-BZ$148,0)</f>
        <v>0</v>
      </c>
      <c r="CA161" s="34" t="n">
        <f aca="false">-CA$138-(CA$157-BZ$157)+CA$153+IF(74=Fin,CA$154+CA$157+CA$119-CA$148,0)</f>
        <v>0</v>
      </c>
      <c r="CB161" s="34" t="n">
        <f aca="false">-CB$138-(CB$157-CA$157)+CB$153+IF(75=Fin,CB$154+CB$157+CB$119-CB$148,0)</f>
        <v>0</v>
      </c>
      <c r="CC161" s="34" t="n">
        <f aca="false">-CC$138-(CC$157-CB$157)+CC$153+IF(76=Fin,CC$154+CC$157+CC$119-CC$148,0)</f>
        <v>1794188.69257391</v>
      </c>
      <c r="CD161" s="34" t="n">
        <f aca="false">-CD$138-(CD$157-CC$157)+CD$153+IF(77=Fin,CD$154+CD$157+CD$119-CD$148,0)</f>
        <v>0</v>
      </c>
      <c r="CE161" s="34" t="n">
        <f aca="false">-CE$138-(CE$157-CD$157)+CE$153+IF(78=Fin,CE$154+CE$157+CE$119-CE$148,0)</f>
        <v>0</v>
      </c>
      <c r="CF161" s="34" t="n">
        <f aca="false">-CF$138-(CF$157-CE$157)+CF$153+IF(79=Fin,CF$154+CF$157+CF$119-CF$148,0)</f>
        <v>0</v>
      </c>
      <c r="CG161" s="34" t="n">
        <f aca="false">-CG$138-(CG$157-CF$157)+CG$153+IF(80=Fin,CG$154+CG$157+CG$119-CG$148,0)</f>
        <v>0</v>
      </c>
      <c r="CH161" s="34" t="n">
        <f aca="false">-CH$138-(CH$157-CG$157)+CH$153+IF(81=Fin,CH$154+CH$157+CH$119-CH$148,0)</f>
        <v>0</v>
      </c>
      <c r="CI161" s="34" t="n">
        <f aca="false">-CI$138-(CI$157-CH$157)+CI$153+IF(82=Fin,CI$154+CI$157+CI$119-CI$148,0)</f>
        <v>0</v>
      </c>
      <c r="CJ161" s="34" t="n">
        <f aca="false">-CJ$138-(CJ$157-CI$157)+CJ$153+IF(83=Fin,CJ$154+CJ$157+CJ$119-CJ$148,0)</f>
        <v>0</v>
      </c>
      <c r="CK161" s="34" t="n">
        <f aca="false">-CK$138-(CK$157-CJ$157)+CK$153+IF(84=Fin,CK$154+CK$157+CK$119-CK$148,0)</f>
        <v>0</v>
      </c>
      <c r="CL161" s="34" t="n">
        <f aca="false">-CL$138-(CL$157-CK$157)+CL$153+IF(85=Fin,CL$154+CL$157+CL$119-CL$148,0)</f>
        <v>0</v>
      </c>
      <c r="CM161" s="34" t="n">
        <f aca="false">-CM$138-(CM$157-CL$157)+CM$153+IF(86=Fin,CM$154+CM$157+CM$119-CM$148,0)</f>
        <v>0</v>
      </c>
      <c r="CN161" s="34" t="n">
        <f aca="false">-CN$138-(CN$157-CM$157)+CN$153+IF(87=Fin,CN$154+CN$157+CN$119-CN$148,0)</f>
        <v>0</v>
      </c>
      <c r="CO161" s="34" t="n">
        <f aca="false">-CO$138-(CO$157-CN$157)+CO$153+IF(88=Fin,CO$154+CO$157+CO$119-CO$148,0)</f>
        <v>1843575.6608728</v>
      </c>
      <c r="CP161" s="34" t="n">
        <f aca="false">-CP$138-(CP$157-CO$157)+CP$153+IF(89=Fin,CP$154+CP$157+CP$119-CP$148,0)</f>
        <v>0</v>
      </c>
      <c r="CQ161" s="34" t="n">
        <f aca="false">-CQ$138-(CQ$157-CP$157)+CQ$153+IF(90=Fin,CQ$154+CQ$157+CQ$119-CQ$148,0)</f>
        <v>0</v>
      </c>
      <c r="CR161" s="34" t="n">
        <f aca="false">-CR$138-(CR$157-CQ$157)+CR$153+IF(91=Fin,CR$154+CR$157+CR$119-CR$148,0)</f>
        <v>0</v>
      </c>
      <c r="CS161" s="34" t="n">
        <f aca="false">-CS$138-(CS$157-CR$157)+CS$153+IF(92=Fin,CS$154+CS$157+CS$119-CS$148,0)</f>
        <v>0</v>
      </c>
      <c r="CT161" s="34" t="n">
        <f aca="false">-CT$138-(CT$157-CS$157)+CT$153+IF(93=Fin,CT$154+CT$157+CT$119-CT$148,0)</f>
        <v>0</v>
      </c>
      <c r="CU161" s="34" t="n">
        <f aca="false">-CU$138-(CU$157-CT$157)+CU$153+IF(94=Fin,CU$154+CU$157+CU$119-CU$148,0)</f>
        <v>0</v>
      </c>
      <c r="CV161" s="34" t="n">
        <f aca="false">-CV$138-(CV$157-CU$157)+CV$153+IF(95=Fin,CV$154+CV$157+CV$119-CV$148,0)</f>
        <v>0</v>
      </c>
      <c r="CW161" s="34" t="n">
        <f aca="false">-CW$138-(CW$157-CV$157)+CW$153+IF(96=Fin,CW$154+CW$157+CW$119-CW$148,0)</f>
        <v>0</v>
      </c>
      <c r="CX161" s="34" t="n">
        <f aca="false">-CX$138-(CX$157-CW$157)+CX$153+IF(97=Fin,CX$154+CX$157+CX$119-CX$148,0)</f>
        <v>0</v>
      </c>
      <c r="CY161" s="34" t="n">
        <f aca="false">-CY$138-(CY$157-CX$157)+CY$153+IF(98=Fin,CY$154+CY$157+CY$119-CY$148,0)</f>
        <v>0</v>
      </c>
      <c r="CZ161" s="34" t="n">
        <f aca="false">-CZ$138-(CZ$157-CY$157)+CZ$153+IF(99=Fin,CZ$154+CZ$157+CZ$119-CZ$148,0)</f>
        <v>0</v>
      </c>
      <c r="DA161" s="34" t="n">
        <f aca="false">-DA$138-(DA$157-CZ$157)+DA$153+IF(100=Fin,DA$154+DA$157+DA$119-DA$148,0)</f>
        <v>1893301.21355545</v>
      </c>
      <c r="DB161" s="34" t="n">
        <f aca="false">-DB$138-(DB$157-DA$157)+DB$153+IF(101=Fin,DB$154+DB$157+DB$119-DB$148,0)</f>
        <v>0</v>
      </c>
      <c r="DC161" s="34" t="n">
        <f aca="false">-DC$138-(DC$157-DB$157)+DC$153+IF(102=Fin,DC$154+DC$157+DC$119-DC$148,0)</f>
        <v>0</v>
      </c>
      <c r="DD161" s="34" t="n">
        <f aca="false">-DD$138-(DD$157-DC$157)+DD$153+IF(103=Fin,DD$154+DD$157+DD$119-DD$148,0)</f>
        <v>0</v>
      </c>
      <c r="DE161" s="34" t="n">
        <f aca="false">-DE$138-(DE$157-DD$157)+DE$153+IF(104=Fin,DE$154+DE$157+DE$119-DE$148,0)</f>
        <v>0</v>
      </c>
      <c r="DF161" s="34" t="n">
        <f aca="false">-DF$138-(DF$157-DE$157)+DF$153+IF(105=Fin,DF$154+DF$157+DF$119-DF$148,0)</f>
        <v>0</v>
      </c>
      <c r="DG161" s="34" t="n">
        <f aca="false">-DG$138-(DG$157-DF$157)+DG$153+IF(106=Fin,DG$154+DG$157+DG$119-DG$148,0)</f>
        <v>0</v>
      </c>
      <c r="DH161" s="34" t="n">
        <f aca="false">-DH$138-(DH$157-DG$157)+DH$153+IF(107=Fin,DH$154+DH$157+DH$119-DH$148,0)</f>
        <v>0</v>
      </c>
      <c r="DI161" s="34" t="n">
        <f aca="false">-DI$138-(DI$157-DH$157)+DI$153+IF(108=Fin,DI$154+DI$157+DI$119-DI$148,0)</f>
        <v>0</v>
      </c>
      <c r="DJ161" s="34" t="n">
        <f aca="false">-DJ$138-(DJ$157-DI$157)+DJ$153+IF(109=Fin,DJ$154+DJ$157+DJ$119-DJ$148,0)</f>
        <v>0</v>
      </c>
      <c r="DK161" s="34" t="n">
        <f aca="false">-DK$138-(DK$157-DJ$157)+DK$153+IF(110=Fin,DK$154+DK$157+DK$119-DK$148,0)</f>
        <v>0</v>
      </c>
      <c r="DL161" s="34" t="n">
        <f aca="false">-DL$138-(DL$157-DK$157)+DL$153+IF(111=Fin,DL$154+DL$157+DL$119-DL$148,0)</f>
        <v>0</v>
      </c>
      <c r="DM161" s="34" t="n">
        <f aca="false">-DM$138-(DM$157-DL$157)+DM$153+IF(112=Fin,DM$154+DM$157+DM$119-DM$148,0)</f>
        <v>1943364.14678689</v>
      </c>
      <c r="DN161" s="34" t="n">
        <f aca="false">-DN$138-(DN$157-DM$157)+DN$153+IF(113=Fin,DN$154+DN$157+DN$119-DN$148,0)</f>
        <v>0</v>
      </c>
      <c r="DO161" s="34" t="n">
        <f aca="false">-DO$138-(DO$157-DN$157)+DO$153+IF(114=Fin,DO$154+DO$157+DO$119-DO$148,0)</f>
        <v>0</v>
      </c>
      <c r="DP161" s="34" t="n">
        <f aca="false">-DP$138-(DP$157-DO$157)+DP$153+IF(115=Fin,DP$154+DP$157+DP$119-DP$148,0)</f>
        <v>0</v>
      </c>
      <c r="DQ161" s="34" t="n">
        <f aca="false">-DQ$138-(DQ$157-DP$157)+DQ$153+IF(116=Fin,DQ$154+DQ$157+DQ$119-DQ$148,0)</f>
        <v>0</v>
      </c>
      <c r="DR161" s="34" t="n">
        <f aca="false">-DR$138-(DR$157-DQ$157)+DR$153+IF(117=Fin,DR$154+DR$157+DR$119-DR$148,0)</f>
        <v>0</v>
      </c>
      <c r="DS161" s="34" t="n">
        <f aca="false">-DS$138-(DS$157-DR$157)+DS$153+IF(118=Fin,DS$154+DS$157+DS$119-DS$148,0)</f>
        <v>0</v>
      </c>
      <c r="DT161" s="34" t="n">
        <f aca="false">-DT$138-(DT$157-DS$157)+DT$153+IF(119=Fin,DT$154+DT$157+DT$119-DT$148,0)</f>
        <v>0</v>
      </c>
      <c r="DU161" s="34" t="n">
        <f aca="false">-DU$138-(DU$157-DT$157)+DU$153+IF(120=Fin,DU$154+DU$157+DU$119-DU$148,0)</f>
        <v>6147646.16149837</v>
      </c>
      <c r="DV161" s="34" t="n">
        <f aca="false">-DV$138-(DV$157-DU$157)+DV$153+IF(121=Fin,DV$154+DV$157+DV$119-DV$148,0)</f>
        <v>0</v>
      </c>
      <c r="DW161" s="34" t="n">
        <f aca="false">-DW$138-(DW$157-DV$157)+DW$153+IF(122=Fin,DW$154+DW$157+DW$119-DW$148,0)</f>
        <v>0</v>
      </c>
      <c r="DX161" s="34" t="n">
        <f aca="false">-DX$138-(DX$157-DW$157)+DX$153+IF(123=Fin,DX$154+DX$157+DX$119-DX$148,0)</f>
        <v>0</v>
      </c>
      <c r="DY161" s="34" t="n">
        <f aca="false">-DY$138-(DY$157-DX$157)+DY$153+IF(124=Fin,DY$154+DY$157+DY$119-DY$148,0)</f>
        <v>0</v>
      </c>
      <c r="DZ161" s="34" t="n">
        <f aca="false">-DZ$138-(DZ$157-DY$157)+DZ$153+IF(125=Fin,DZ$154+DZ$157+DZ$119-DZ$148,0)</f>
        <v>0</v>
      </c>
      <c r="EA161" s="34" t="n">
        <f aca="false">-EA$138-(EA$157-DZ$157)+EA$153+IF(126=Fin,EA$154+EA$157+EA$119-EA$148,0)</f>
        <v>0</v>
      </c>
      <c r="EB161" s="34" t="n">
        <f aca="false">-EB$138-(EB$157-EA$157)+EB$153+IF(127=Fin,EB$154+EB$157+EB$119-EB$148,0)</f>
        <v>0</v>
      </c>
      <c r="EC161" s="34" t="n">
        <f aca="false">-EC$138-(EC$157-EB$157)+EC$153+IF(128=Fin,EC$154+EC$157+EC$119-EC$148,0)</f>
        <v>0</v>
      </c>
      <c r="ED161" s="34" t="n">
        <f aca="false">-ED$138-(ED$157-EC$157)+ED$153+IF(129=Fin,ED$154+ED$157+ED$119-ED$148,0)</f>
        <v>0</v>
      </c>
      <c r="EE161" s="34" t="n">
        <f aca="false">-EE$138-(EE$157-ED$157)+EE$153+IF(130=Fin,EE$154+EE$157+EE$119-EE$148,0)</f>
        <v>0</v>
      </c>
      <c r="EF161" s="34" t="n">
        <f aca="false">-EF$138-(EF$157-EE$157)+EF$153+IF(131=Fin,EF$154+EF$157+EF$119-EF$148,0)</f>
        <v>0</v>
      </c>
      <c r="EG161" s="34" t="n">
        <f aca="false">-EG$138-(EG$157-EF$157)+EG$153+IF(132=Fin,EG$154+EG$157+EG$119-EG$148,0)</f>
        <v>0</v>
      </c>
      <c r="EH161" s="34" t="n">
        <f aca="false">-EH$138-(EH$157-EG$157)+EH$153+IF(133=Fin,EH$154+EH$157+EH$119-EH$148,0)</f>
        <v>0</v>
      </c>
      <c r="EI161" s="34" t="n">
        <f aca="false">-EI$138-(EI$157-EH$157)+EI$153+IF(134=Fin,EI$154+EI$157+EI$119-EI$148,0)</f>
        <v>0</v>
      </c>
      <c r="EJ161" s="34" t="n">
        <f aca="false">-EJ$138-(EJ$157-EI$157)+EJ$153+IF(135=Fin,EJ$154+EJ$157+EJ$119-EJ$148,0)</f>
        <v>0</v>
      </c>
      <c r="EK161" s="34" t="n">
        <f aca="false">-EK$138-(EK$157-EJ$157)+EK$153+IF(136=Fin,EK$154+EK$157+EK$119-EK$148,0)</f>
        <v>0</v>
      </c>
      <c r="EL161" s="34" t="n">
        <f aca="false">-EL$138-(EL$157-EK$157)+EL$153+IF(137=Fin,EL$154+EL$157+EL$119-EL$148,0)</f>
        <v>0</v>
      </c>
      <c r="EM161" s="34" t="n">
        <f aca="false">-EM$138-(EM$157-EL$157)+EM$153+IF(138=Fin,EM$154+EM$157+EM$119-EM$148,0)</f>
        <v>0</v>
      </c>
      <c r="EN161" s="34" t="n">
        <f aca="false">-EN$138-(EN$157-EM$157)+EN$153+IF(139=Fin,EN$154+EN$157+EN$119-EN$148,0)</f>
        <v>0</v>
      </c>
      <c r="EO161" s="34" t="n">
        <f aca="false">-EO$138-(EO$157-EN$157)+EO$153+IF(140=Fin,EO$154+EO$157+EO$119-EO$148,0)</f>
        <v>0</v>
      </c>
      <c r="EP161" s="34" t="n">
        <f aca="false">-EP$138-(EP$157-EO$157)+EP$153+IF(141=Fin,EP$154+EP$157+EP$119-EP$148,0)</f>
        <v>0</v>
      </c>
      <c r="EQ161" s="34" t="n">
        <f aca="false">-EQ$138-(EQ$157-EP$157)+EQ$153+IF(142=Fin,EQ$154+EQ$157+EQ$119-EQ$148,0)</f>
        <v>0</v>
      </c>
      <c r="ER161" s="34" t="n">
        <f aca="false">-ER$138-(ER$157-EQ$157)+ER$153+IF(143=Fin,ER$154+ER$157+ER$119-ER$148,0)</f>
        <v>0</v>
      </c>
      <c r="ES161" s="34" t="n">
        <f aca="false">-ES$138-(ES$157-ER$157)+ES$153+IF(144=Fin,ES$154+ES$157+ES$119-ES$148,0)</f>
        <v>0</v>
      </c>
    </row>
    <row r="162" customFormat="false" ht="15" hidden="false" customHeight="false" outlineLevel="0" collapsed="false">
      <c r="A162" s="2" t="s">
        <v>804</v>
      </c>
      <c r="B162" s="6" t="s">
        <v>805</v>
      </c>
      <c r="C162" s="6" t="s">
        <v>250</v>
      </c>
      <c r="E162" s="40" t="n">
        <f aca="false">INDEX(F162:ES162,1,MIN(144,Fin))</f>
        <v>15564459.926261</v>
      </c>
      <c r="F162" s="34" t="n">
        <f aca="false">0+F$120</f>
        <v>-3000610.47688344</v>
      </c>
      <c r="G162" s="34" t="n">
        <f aca="false">F$162+G$120</f>
        <v>-2958112.97640785</v>
      </c>
      <c r="H162" s="34" t="n">
        <f aca="false">G$162+H$120</f>
        <v>-2915615.47593226</v>
      </c>
      <c r="I162" s="34" t="n">
        <f aca="false">H$162+I$120</f>
        <v>-2873117.97545667</v>
      </c>
      <c r="J162" s="34" t="n">
        <f aca="false">I$162+J$120</f>
        <v>-2830620.47498108</v>
      </c>
      <c r="K162" s="34" t="n">
        <f aca="false">J$162+K$120</f>
        <v>-2788122.97450549</v>
      </c>
      <c r="L162" s="34" t="n">
        <f aca="false">K$162+L$120</f>
        <v>-2745625.4740299</v>
      </c>
      <c r="M162" s="34" t="n">
        <f aca="false">L$162+M$120</f>
        <v>-2703127.97355431</v>
      </c>
      <c r="N162" s="34" t="n">
        <f aca="false">M$162+N$120</f>
        <v>-2660630.47307872</v>
      </c>
      <c r="O162" s="34" t="n">
        <f aca="false">N$162+O$120</f>
        <v>-2618132.97260313</v>
      </c>
      <c r="P162" s="34" t="n">
        <f aca="false">O$162+P$120</f>
        <v>-2575635.47212754</v>
      </c>
      <c r="Q162" s="34" t="n">
        <f aca="false">P$162+Q$120</f>
        <v>-2533137.97165195</v>
      </c>
      <c r="R162" s="34" t="n">
        <f aca="false">Q$162+R$120</f>
        <v>-3207787.01305363</v>
      </c>
      <c r="S162" s="34" t="n">
        <f aca="false">R$162+S$120</f>
        <v>-3127290.61005967</v>
      </c>
      <c r="T162" s="34" t="n">
        <f aca="false">S$162+T$120</f>
        <v>-3046794.2070657</v>
      </c>
      <c r="U162" s="34" t="n">
        <f aca="false">T$162+U$120</f>
        <v>-2966297.80407174</v>
      </c>
      <c r="V162" s="34" t="n">
        <f aca="false">U$162+V$120</f>
        <v>-2885801.40107777</v>
      </c>
      <c r="W162" s="34" t="n">
        <f aca="false">V$162+W$120</f>
        <v>-2805304.99808381</v>
      </c>
      <c r="X162" s="34" t="n">
        <f aca="false">W$162+X$120</f>
        <v>-2724808.59508984</v>
      </c>
      <c r="Y162" s="34" t="n">
        <f aca="false">X$162+Y$120</f>
        <v>-2644312.19209588</v>
      </c>
      <c r="Z162" s="34" t="n">
        <f aca="false">Y$162+Z$120</f>
        <v>-2563815.78910191</v>
      </c>
      <c r="AA162" s="34" t="n">
        <f aca="false">Z$162+AA$120</f>
        <v>-2483319.38610795</v>
      </c>
      <c r="AB162" s="34" t="n">
        <f aca="false">AA$162+AB$120</f>
        <v>-2402822.98311398</v>
      </c>
      <c r="AC162" s="34" t="n">
        <f aca="false">AB$162+AC$120</f>
        <v>-2322326.58012002</v>
      </c>
      <c r="AD162" s="34" t="n">
        <f aca="false">AC$162+AD$120</f>
        <v>-2872568.47988732</v>
      </c>
      <c r="AE162" s="34" t="n">
        <f aca="false">AD$162+AE$120</f>
        <v>-2755483.44902219</v>
      </c>
      <c r="AF162" s="34" t="n">
        <f aca="false">AE$162+AF$120</f>
        <v>-2638398.41815707</v>
      </c>
      <c r="AG162" s="34" t="n">
        <f aca="false">AF$162+AG$120</f>
        <v>-2521313.38729194</v>
      </c>
      <c r="AH162" s="34" t="n">
        <f aca="false">AG$162+AH$120</f>
        <v>-2404228.35642682</v>
      </c>
      <c r="AI162" s="34" t="n">
        <f aca="false">AH$162+AI$120</f>
        <v>-2287143.32556169</v>
      </c>
      <c r="AJ162" s="34" t="n">
        <f aca="false">AI$162+AJ$120</f>
        <v>-2170058.29469657</v>
      </c>
      <c r="AK162" s="34" t="n">
        <f aca="false">AJ$162+AK$120</f>
        <v>-2052973.26383144</v>
      </c>
      <c r="AL162" s="34" t="n">
        <f aca="false">AK$162+AL$120</f>
        <v>-1935888.23296632</v>
      </c>
      <c r="AM162" s="34" t="n">
        <f aca="false">AL$162+AM$120</f>
        <v>-1818803.20210119</v>
      </c>
      <c r="AN162" s="34" t="n">
        <f aca="false">AM$162+AN$120</f>
        <v>-1701718.17123607</v>
      </c>
      <c r="AO162" s="34" t="n">
        <f aca="false">AN$162+AO$120</f>
        <v>-1584633.14037094</v>
      </c>
      <c r="AP162" s="34" t="n">
        <f aca="false">AO$162+AP$120</f>
        <v>-1993548.6304244</v>
      </c>
      <c r="AQ162" s="34" t="n">
        <f aca="false">AP$162+AQ$120</f>
        <v>-1843655.05054454</v>
      </c>
      <c r="AR162" s="34" t="n">
        <f aca="false">AQ$162+AR$120</f>
        <v>-1693761.47066468</v>
      </c>
      <c r="AS162" s="34" t="n">
        <f aca="false">AR$162+AS$120</f>
        <v>-1543867.89078482</v>
      </c>
      <c r="AT162" s="34" t="n">
        <f aca="false">AS$162+AT$120</f>
        <v>-1393974.31090497</v>
      </c>
      <c r="AU162" s="34" t="n">
        <f aca="false">AT$162+AU$120</f>
        <v>-1244080.73102511</v>
      </c>
      <c r="AV162" s="34" t="n">
        <f aca="false">AU$162+AV$120</f>
        <v>-1094187.15114525</v>
      </c>
      <c r="AW162" s="34" t="n">
        <f aca="false">AV$162+AW$120</f>
        <v>-944293.571265391</v>
      </c>
      <c r="AX162" s="34" t="n">
        <f aca="false">AW$162+AX$120</f>
        <v>-794399.991385533</v>
      </c>
      <c r="AY162" s="34" t="n">
        <f aca="false">AX$162+AY$120</f>
        <v>-644506.411505674</v>
      </c>
      <c r="AZ162" s="34" t="n">
        <f aca="false">AY$162+AZ$120</f>
        <v>-494612.831625816</v>
      </c>
      <c r="BA162" s="34" t="n">
        <f aca="false">AZ$162+BA$120</f>
        <v>-344719.251745958</v>
      </c>
      <c r="BB162" s="34" t="n">
        <f aca="false">BA$162+BB$120</f>
        <v>-231615.634575444</v>
      </c>
      <c r="BC162" s="34" t="n">
        <f aca="false">BB$162+BC$120</f>
        <v>-80402.4696990702</v>
      </c>
      <c r="BD162" s="34" t="n">
        <f aca="false">BC$162+BD$120</f>
        <v>70810.6951773035</v>
      </c>
      <c r="BE162" s="34" t="n">
        <f aca="false">BD$162+BE$120</f>
        <v>222023.860053677</v>
      </c>
      <c r="BF162" s="34" t="n">
        <f aca="false">BE$162+BF$120</f>
        <v>373237.024930051</v>
      </c>
      <c r="BG162" s="34" t="n">
        <f aca="false">BF$162+BG$120</f>
        <v>524450.189806425</v>
      </c>
      <c r="BH162" s="34" t="n">
        <f aca="false">BG$162+BH$120</f>
        <v>675663.354682798</v>
      </c>
      <c r="BI162" s="34" t="n">
        <f aca="false">BH$162+BI$120</f>
        <v>826876.519559172</v>
      </c>
      <c r="BJ162" s="34" t="n">
        <f aca="false">BI$162+BJ$120</f>
        <v>978089.684435546</v>
      </c>
      <c r="BK162" s="34" t="n">
        <f aca="false">BJ$162+BK$120</f>
        <v>1129302.84931192</v>
      </c>
      <c r="BL162" s="34" t="n">
        <f aca="false">BK$162+BL$120</f>
        <v>1280516.01418829</v>
      </c>
      <c r="BM162" s="34" t="n">
        <f aca="false">BL$162+BM$120</f>
        <v>1431729.17906467</v>
      </c>
      <c r="BN162" s="34" t="n">
        <f aca="false">BM$162+BN$120</f>
        <v>1549304.7643939</v>
      </c>
      <c r="BO162" s="34" t="n">
        <f aca="false">BN$162+BO$120</f>
        <v>1704605.20619172</v>
      </c>
      <c r="BP162" s="34" t="n">
        <f aca="false">BO$162+BP$120</f>
        <v>1859905.64798955</v>
      </c>
      <c r="BQ162" s="34" t="n">
        <f aca="false">BP$162+BQ$120</f>
        <v>2015206.08978738</v>
      </c>
      <c r="BR162" s="34" t="n">
        <f aca="false">BQ$162+BR$120</f>
        <v>2170506.5315852</v>
      </c>
      <c r="BS162" s="34" t="n">
        <f aca="false">BR$162+BS$120</f>
        <v>2325806.97338303</v>
      </c>
      <c r="BT162" s="34" t="n">
        <f aca="false">BS$162+BT$120</f>
        <v>2481107.41518085</v>
      </c>
      <c r="BU162" s="34" t="n">
        <f aca="false">BT$162+BU$120</f>
        <v>2636407.85697868</v>
      </c>
      <c r="BV162" s="34" t="n">
        <f aca="false">BU$162+BV$120</f>
        <v>2791708.29877651</v>
      </c>
      <c r="BW162" s="34" t="n">
        <f aca="false">BV$162+BW$120</f>
        <v>2947008.74057433</v>
      </c>
      <c r="BX162" s="34" t="n">
        <f aca="false">BW$162+BX$120</f>
        <v>3102309.18237216</v>
      </c>
      <c r="BY162" s="34" t="n">
        <f aca="false">BX$162+BY$120</f>
        <v>3257609.62416998</v>
      </c>
      <c r="BZ162" s="34" t="n">
        <f aca="false">BY$162+BZ$120</f>
        <v>3378935.7534346</v>
      </c>
      <c r="CA162" s="34" t="n">
        <f aca="false">BZ$162+CA$120</f>
        <v>3538351.775924</v>
      </c>
      <c r="CB162" s="34" t="n">
        <f aca="false">CA$162+CB$120</f>
        <v>3697767.7984134</v>
      </c>
      <c r="CC162" s="34" t="n">
        <f aca="false">CB$162+CC$120</f>
        <v>3857183.8209028</v>
      </c>
      <c r="CD162" s="34" t="n">
        <f aca="false">CC$162+CD$120</f>
        <v>4016599.8433922</v>
      </c>
      <c r="CE162" s="34" t="n">
        <f aca="false">CD$162+CE$120</f>
        <v>4176015.8658816</v>
      </c>
      <c r="CF162" s="34" t="n">
        <f aca="false">CE$162+CF$120</f>
        <v>4335431.888371</v>
      </c>
      <c r="CG162" s="34" t="n">
        <f aca="false">CF$162+CG$120</f>
        <v>4494847.9108604</v>
      </c>
      <c r="CH162" s="34" t="n">
        <f aca="false">CG$162+CH$120</f>
        <v>4654263.9333498</v>
      </c>
      <c r="CI162" s="34" t="n">
        <f aca="false">CH$162+CI$120</f>
        <v>4813679.9558392</v>
      </c>
      <c r="CJ162" s="34" t="n">
        <f aca="false">CI$162+CJ$120</f>
        <v>4973095.9783286</v>
      </c>
      <c r="CK162" s="34" t="n">
        <f aca="false">CJ$162+CK$120</f>
        <v>5132512.000818</v>
      </c>
      <c r="CL162" s="34" t="n">
        <f aca="false">CK$162+CL$120</f>
        <v>5257613.60166977</v>
      </c>
      <c r="CM162" s="34" t="n">
        <f aca="false">CL$162+CM$120</f>
        <v>5421173.42021606</v>
      </c>
      <c r="CN162" s="34" t="n">
        <f aca="false">CM$162+CN$120</f>
        <v>5584733.23876234</v>
      </c>
      <c r="CO162" s="34" t="n">
        <f aca="false">CN$162+CO$120</f>
        <v>5748293.05730863</v>
      </c>
      <c r="CP162" s="34" t="n">
        <f aca="false">CO$162+CP$120</f>
        <v>5911852.87585492</v>
      </c>
      <c r="CQ162" s="34" t="n">
        <f aca="false">CP$162+CQ$120</f>
        <v>6075412.69440121</v>
      </c>
      <c r="CR162" s="34" t="n">
        <f aca="false">CQ$162+CR$120</f>
        <v>6238972.51294749</v>
      </c>
      <c r="CS162" s="34" t="n">
        <f aca="false">CR$162+CS$120</f>
        <v>6402532.33149378</v>
      </c>
      <c r="CT162" s="34" t="n">
        <f aca="false">CS$162+CT$120</f>
        <v>6566092.15004007</v>
      </c>
      <c r="CU162" s="34" t="n">
        <f aca="false">CT$162+CU$120</f>
        <v>6729651.96858636</v>
      </c>
      <c r="CV162" s="34" t="n">
        <f aca="false">CU$162+CV$120</f>
        <v>6893211.78713264</v>
      </c>
      <c r="CW162" s="34" t="n">
        <f aca="false">CV$162+CW$120</f>
        <v>7056771.60567893</v>
      </c>
      <c r="CX162" s="34" t="n">
        <f aca="false">CW$162+CX$120</f>
        <v>7185673.4833785</v>
      </c>
      <c r="CY162" s="34" t="n">
        <f aca="false">CX$162+CY$120</f>
        <v>7353405.21302741</v>
      </c>
      <c r="CZ162" s="34" t="n">
        <f aca="false">CY$162+CZ$120</f>
        <v>7521136.94267632</v>
      </c>
      <c r="DA162" s="34" t="n">
        <f aca="false">CZ$162+DA$120</f>
        <v>7688868.67232523</v>
      </c>
      <c r="DB162" s="34" t="n">
        <f aca="false">DA$162+DB$120</f>
        <v>7856600.40197413</v>
      </c>
      <c r="DC162" s="34" t="n">
        <f aca="false">DB$162+DC$120</f>
        <v>8024332.13162304</v>
      </c>
      <c r="DD162" s="34" t="n">
        <f aca="false">DC$162+DD$120</f>
        <v>8192063.86127195</v>
      </c>
      <c r="DE162" s="34" t="n">
        <f aca="false">DD$162+DE$120</f>
        <v>8359795.59092086</v>
      </c>
      <c r="DF162" s="34" t="n">
        <f aca="false">DE$162+DF$120</f>
        <v>8527527.32056977</v>
      </c>
      <c r="DG162" s="34" t="n">
        <f aca="false">DF$162+DG$120</f>
        <v>8695259.05021867</v>
      </c>
      <c r="DH162" s="34" t="n">
        <f aca="false">DG$162+DH$120</f>
        <v>8862990.77986758</v>
      </c>
      <c r="DI162" s="34" t="n">
        <f aca="false">DH$162+DI$120</f>
        <v>9030722.50951649</v>
      </c>
      <c r="DJ162" s="34" t="n">
        <f aca="false">DI$162+DJ$120</f>
        <v>9163449.33467279</v>
      </c>
      <c r="DK162" s="34" t="n">
        <f aca="false">DJ$162+DK$120</f>
        <v>9335380.97778788</v>
      </c>
      <c r="DL162" s="34" t="n">
        <f aca="false">DK$162+DL$120</f>
        <v>9507312.62090297</v>
      </c>
      <c r="DM162" s="34" t="n">
        <f aca="false">DL$162+DM$120</f>
        <v>9679244.26401805</v>
      </c>
      <c r="DN162" s="34" t="n">
        <f aca="false">DM$162+DN$120</f>
        <v>9851175.90713314</v>
      </c>
      <c r="DO162" s="34" t="n">
        <f aca="false">DN$162+DO$120</f>
        <v>10023107.5502482</v>
      </c>
      <c r="DP162" s="34" t="n">
        <f aca="false">DO$162+DP$120</f>
        <v>10195039.1933633</v>
      </c>
      <c r="DQ162" s="34" t="n">
        <f aca="false">DP$162+DQ$120</f>
        <v>10366970.8364784</v>
      </c>
      <c r="DR162" s="34" t="n">
        <f aca="false">DQ$162+DR$120</f>
        <v>10538902.4795935</v>
      </c>
      <c r="DS162" s="34" t="n">
        <f aca="false">DR$162+DS$120</f>
        <v>10710834.1227086</v>
      </c>
      <c r="DT162" s="34" t="n">
        <f aca="false">DS$162+DT$120</f>
        <v>10882765.7658237</v>
      </c>
      <c r="DU162" s="34" t="n">
        <f aca="false">DT$162+DU$120</f>
        <v>15564459.926261</v>
      </c>
      <c r="DV162" s="34" t="n">
        <f aca="false">DU$162+DV$120</f>
        <v>15564459.926261</v>
      </c>
      <c r="DW162" s="34" t="n">
        <f aca="false">DV$162+DW$120</f>
        <v>15564459.926261</v>
      </c>
      <c r="DX162" s="34" t="n">
        <f aca="false">DW$162+DX$120</f>
        <v>15564459.926261</v>
      </c>
      <c r="DY162" s="34" t="n">
        <f aca="false">DX$162+DY$120</f>
        <v>15564459.926261</v>
      </c>
      <c r="DZ162" s="34" t="n">
        <f aca="false">DY$162+DZ$120</f>
        <v>15564459.926261</v>
      </c>
      <c r="EA162" s="34" t="n">
        <f aca="false">DZ$162+EA$120</f>
        <v>15564459.926261</v>
      </c>
      <c r="EB162" s="34" t="n">
        <f aca="false">EA$162+EB$120</f>
        <v>15564459.926261</v>
      </c>
      <c r="EC162" s="34" t="n">
        <f aca="false">EB$162+EC$120</f>
        <v>15564459.926261</v>
      </c>
      <c r="ED162" s="34" t="n">
        <f aca="false">EC$162+ED$120</f>
        <v>15564459.926261</v>
      </c>
      <c r="EE162" s="34" t="n">
        <f aca="false">ED$162+EE$120</f>
        <v>15564459.926261</v>
      </c>
      <c r="EF162" s="34" t="n">
        <f aca="false">EE$162+EF$120</f>
        <v>15564459.926261</v>
      </c>
      <c r="EG162" s="34" t="n">
        <f aca="false">EF$162+EG$120</f>
        <v>15564459.926261</v>
      </c>
      <c r="EH162" s="34" t="n">
        <f aca="false">EG$162+EH$120</f>
        <v>15564459.926261</v>
      </c>
      <c r="EI162" s="34" t="n">
        <f aca="false">EH$162+EI$120</f>
        <v>15564459.926261</v>
      </c>
      <c r="EJ162" s="34" t="n">
        <f aca="false">EI$162+EJ$120</f>
        <v>15564459.926261</v>
      </c>
      <c r="EK162" s="34" t="n">
        <f aca="false">EJ$162+EK$120</f>
        <v>15564459.926261</v>
      </c>
      <c r="EL162" s="34" t="n">
        <f aca="false">EK$162+EL$120</f>
        <v>15564459.926261</v>
      </c>
      <c r="EM162" s="34" t="n">
        <f aca="false">EL$162+EM$120</f>
        <v>15564459.926261</v>
      </c>
      <c r="EN162" s="34" t="n">
        <f aca="false">EM$162+EN$120</f>
        <v>15564459.926261</v>
      </c>
      <c r="EO162" s="34" t="n">
        <f aca="false">EN$162+EO$120</f>
        <v>15564459.926261</v>
      </c>
      <c r="EP162" s="34" t="n">
        <f aca="false">EO$162+EP$120</f>
        <v>15564459.926261</v>
      </c>
      <c r="EQ162" s="34" t="n">
        <f aca="false">EP$162+EQ$120</f>
        <v>15564459.926261</v>
      </c>
      <c r="ER162" s="34" t="n">
        <f aca="false">EQ$162+ER$120</f>
        <v>15564459.926261</v>
      </c>
      <c r="ES162" s="34" t="n">
        <f aca="false">ER$162+ES$120</f>
        <v>15564459.926261</v>
      </c>
    </row>
    <row r="163" customFormat="false" ht="15" hidden="false" customHeight="false" outlineLevel="0" collapsed="false">
      <c r="A163" s="2" t="s">
        <v>806</v>
      </c>
      <c r="B163" s="6" t="s">
        <v>807</v>
      </c>
      <c r="C163" s="6" t="s">
        <v>101</v>
      </c>
      <c r="E163" s="53" t="n">
        <f aca="false">MAX(F163:ES163)</f>
        <v>49.5317160695949</v>
      </c>
      <c r="F163" s="36" t="n">
        <f aca="false">0</f>
        <v>0</v>
      </c>
      <c r="G163" s="36" t="n">
        <f aca="false">IF(AND(F$162&lt;0,G$162&gt;=0),0+(-F$162)/G$120,0)</f>
        <v>0</v>
      </c>
      <c r="H163" s="36" t="n">
        <f aca="false">IF(AND(G$162&lt;0,H$162&gt;=0),1+(-G$162)/H$120,0)</f>
        <v>0</v>
      </c>
      <c r="I163" s="36" t="n">
        <f aca="false">IF(AND(H$162&lt;0,I$162&gt;=0),2+(-H$162)/I$120,0)</f>
        <v>0</v>
      </c>
      <c r="J163" s="36" t="n">
        <f aca="false">IF(AND(I$162&lt;0,J$162&gt;=0),3+(-I$162)/J$120,0)</f>
        <v>0</v>
      </c>
      <c r="K163" s="36" t="n">
        <f aca="false">IF(AND(J$162&lt;0,K$162&gt;=0),4+(-J$162)/K$120,0)</f>
        <v>0</v>
      </c>
      <c r="L163" s="36" t="n">
        <f aca="false">IF(AND(K$162&lt;0,L$162&gt;=0),5+(-K$162)/L$120,0)</f>
        <v>0</v>
      </c>
      <c r="M163" s="36" t="n">
        <f aca="false">IF(AND(L$162&lt;0,M$162&gt;=0),6+(-L$162)/M$120,0)</f>
        <v>0</v>
      </c>
      <c r="N163" s="36" t="n">
        <f aca="false">IF(AND(M$162&lt;0,N$162&gt;=0),7+(-M$162)/N$120,0)</f>
        <v>0</v>
      </c>
      <c r="O163" s="36" t="n">
        <f aca="false">IF(AND(N$162&lt;0,O$162&gt;=0),8+(-N$162)/O$120,0)</f>
        <v>0</v>
      </c>
      <c r="P163" s="36" t="n">
        <f aca="false">IF(AND(O$162&lt;0,P$162&gt;=0),9+(-O$162)/P$120,0)</f>
        <v>0</v>
      </c>
      <c r="Q163" s="36" t="n">
        <f aca="false">IF(AND(P$162&lt;0,Q$162&gt;=0),10+(-P$162)/Q$120,0)</f>
        <v>0</v>
      </c>
      <c r="R163" s="36" t="n">
        <f aca="false">IF(AND(Q$162&lt;0,R$162&gt;=0),11+(-Q$162)/R$120,0)</f>
        <v>0</v>
      </c>
      <c r="S163" s="36" t="n">
        <f aca="false">IF(AND(R$162&lt;0,S$162&gt;=0),12+(-R$162)/S$120,0)</f>
        <v>0</v>
      </c>
      <c r="T163" s="36" t="n">
        <f aca="false">IF(AND(S$162&lt;0,T$162&gt;=0),13+(-S$162)/T$120,0)</f>
        <v>0</v>
      </c>
      <c r="U163" s="36" t="n">
        <f aca="false">IF(AND(T$162&lt;0,U$162&gt;=0),14+(-T$162)/U$120,0)</f>
        <v>0</v>
      </c>
      <c r="V163" s="36" t="n">
        <f aca="false">IF(AND(U$162&lt;0,V$162&gt;=0),15+(-U$162)/V$120,0)</f>
        <v>0</v>
      </c>
      <c r="W163" s="36" t="n">
        <f aca="false">IF(AND(V$162&lt;0,W$162&gt;=0),16+(-V$162)/W$120,0)</f>
        <v>0</v>
      </c>
      <c r="X163" s="36" t="n">
        <f aca="false">IF(AND(W$162&lt;0,X$162&gt;=0),17+(-W$162)/X$120,0)</f>
        <v>0</v>
      </c>
      <c r="Y163" s="36" t="n">
        <f aca="false">IF(AND(X$162&lt;0,Y$162&gt;=0),18+(-X$162)/Y$120,0)</f>
        <v>0</v>
      </c>
      <c r="Z163" s="36" t="n">
        <f aca="false">IF(AND(Y$162&lt;0,Z$162&gt;=0),19+(-Y$162)/Z$120,0)</f>
        <v>0</v>
      </c>
      <c r="AA163" s="36" t="n">
        <f aca="false">IF(AND(Z$162&lt;0,AA$162&gt;=0),20+(-Z$162)/AA$120,0)</f>
        <v>0</v>
      </c>
      <c r="AB163" s="36" t="n">
        <f aca="false">IF(AND(AA$162&lt;0,AB$162&gt;=0),21+(-AA$162)/AB$120,0)</f>
        <v>0</v>
      </c>
      <c r="AC163" s="36" t="n">
        <f aca="false">IF(AND(AB$162&lt;0,AC$162&gt;=0),22+(-AB$162)/AC$120,0)</f>
        <v>0</v>
      </c>
      <c r="AD163" s="36" t="n">
        <f aca="false">IF(AND(AC$162&lt;0,AD$162&gt;=0),23+(-AC$162)/AD$120,0)</f>
        <v>0</v>
      </c>
      <c r="AE163" s="36" t="n">
        <f aca="false">IF(AND(AD$162&lt;0,AE$162&gt;=0),24+(-AD$162)/AE$120,0)</f>
        <v>0</v>
      </c>
      <c r="AF163" s="36" t="n">
        <f aca="false">IF(AND(AE$162&lt;0,AF$162&gt;=0),25+(-AE$162)/AF$120,0)</f>
        <v>0</v>
      </c>
      <c r="AG163" s="36" t="n">
        <f aca="false">IF(AND(AF$162&lt;0,AG$162&gt;=0),26+(-AF$162)/AG$120,0)</f>
        <v>0</v>
      </c>
      <c r="AH163" s="36" t="n">
        <f aca="false">IF(AND(AG$162&lt;0,AH$162&gt;=0),27+(-AG$162)/AH$120,0)</f>
        <v>0</v>
      </c>
      <c r="AI163" s="36" t="n">
        <f aca="false">IF(AND(AH$162&lt;0,AI$162&gt;=0),28+(-AH$162)/AI$120,0)</f>
        <v>0</v>
      </c>
      <c r="AJ163" s="36" t="n">
        <f aca="false">IF(AND(AI$162&lt;0,AJ$162&gt;=0),29+(-AI$162)/AJ$120,0)</f>
        <v>0</v>
      </c>
      <c r="AK163" s="36" t="n">
        <f aca="false">IF(AND(AJ$162&lt;0,AK$162&gt;=0),30+(-AJ$162)/AK$120,0)</f>
        <v>0</v>
      </c>
      <c r="AL163" s="36" t="n">
        <f aca="false">IF(AND(AK$162&lt;0,AL$162&gt;=0),31+(-AK$162)/AL$120,0)</f>
        <v>0</v>
      </c>
      <c r="AM163" s="36" t="n">
        <f aca="false">IF(AND(AL$162&lt;0,AM$162&gt;=0),32+(-AL$162)/AM$120,0)</f>
        <v>0</v>
      </c>
      <c r="AN163" s="36" t="n">
        <f aca="false">IF(AND(AM$162&lt;0,AN$162&gt;=0),33+(-AM$162)/AN$120,0)</f>
        <v>0</v>
      </c>
      <c r="AO163" s="36" t="n">
        <f aca="false">IF(AND(AN$162&lt;0,AO$162&gt;=0),34+(-AN$162)/AO$120,0)</f>
        <v>0</v>
      </c>
      <c r="AP163" s="36" t="n">
        <f aca="false">IF(AND(AO$162&lt;0,AP$162&gt;=0),35+(-AO$162)/AP$120,0)</f>
        <v>0</v>
      </c>
      <c r="AQ163" s="36" t="n">
        <f aca="false">IF(AND(AP$162&lt;0,AQ$162&gt;=0),36+(-AP$162)/AQ$120,0)</f>
        <v>0</v>
      </c>
      <c r="AR163" s="36" t="n">
        <f aca="false">IF(AND(AQ$162&lt;0,AR$162&gt;=0),37+(-AQ$162)/AR$120,0)</f>
        <v>0</v>
      </c>
      <c r="AS163" s="36" t="n">
        <f aca="false">IF(AND(AR$162&lt;0,AS$162&gt;=0),38+(-AR$162)/AS$120,0)</f>
        <v>0</v>
      </c>
      <c r="AT163" s="36" t="n">
        <f aca="false">IF(AND(AS$162&lt;0,AT$162&gt;=0),39+(-AS$162)/AT$120,0)</f>
        <v>0</v>
      </c>
      <c r="AU163" s="36" t="n">
        <f aca="false">IF(AND(AT$162&lt;0,AU$162&gt;=0),40+(-AT$162)/AU$120,0)</f>
        <v>0</v>
      </c>
      <c r="AV163" s="36" t="n">
        <f aca="false">IF(AND(AU$162&lt;0,AV$162&gt;=0),41+(-AU$162)/AV$120,0)</f>
        <v>0</v>
      </c>
      <c r="AW163" s="36" t="n">
        <f aca="false">IF(AND(AV$162&lt;0,AW$162&gt;=0),42+(-AV$162)/AW$120,0)</f>
        <v>0</v>
      </c>
      <c r="AX163" s="36" t="n">
        <f aca="false">IF(AND(AW$162&lt;0,AX$162&gt;=0),43+(-AW$162)/AX$120,0)</f>
        <v>0</v>
      </c>
      <c r="AY163" s="36" t="n">
        <f aca="false">IF(AND(AX$162&lt;0,AY$162&gt;=0),44+(-AX$162)/AY$120,0)</f>
        <v>0</v>
      </c>
      <c r="AZ163" s="36" t="n">
        <f aca="false">IF(AND(AY$162&lt;0,AZ$162&gt;=0),45+(-AY$162)/AZ$120,0)</f>
        <v>0</v>
      </c>
      <c r="BA163" s="36" t="n">
        <f aca="false">IF(AND(AZ$162&lt;0,BA$162&gt;=0),46+(-AZ$162)/BA$120,0)</f>
        <v>0</v>
      </c>
      <c r="BB163" s="36" t="n">
        <f aca="false">IF(AND(BA$162&lt;0,BB$162&gt;=0),47+(-BA$162)/BB$120,0)</f>
        <v>0</v>
      </c>
      <c r="BC163" s="36" t="n">
        <f aca="false">IF(AND(BB$162&lt;0,BC$162&gt;=0),48+(-BB$162)/BC$120,0)</f>
        <v>0</v>
      </c>
      <c r="BD163" s="36" t="n">
        <f aca="false">IF(AND(BC$162&lt;0,BD$162&gt;=0),49+(-BC$162)/BD$120,0)</f>
        <v>49.5317160695949</v>
      </c>
      <c r="BE163" s="36" t="n">
        <f aca="false">IF(AND(BD$162&lt;0,BE$162&gt;=0),50+(-BD$162)/BE$120,0)</f>
        <v>0</v>
      </c>
      <c r="BF163" s="36" t="n">
        <f aca="false">IF(AND(BE$162&lt;0,BF$162&gt;=0),51+(-BE$162)/BF$120,0)</f>
        <v>0</v>
      </c>
      <c r="BG163" s="36" t="n">
        <f aca="false">IF(AND(BF$162&lt;0,BG$162&gt;=0),52+(-BF$162)/BG$120,0)</f>
        <v>0</v>
      </c>
      <c r="BH163" s="36" t="n">
        <f aca="false">IF(AND(BG$162&lt;0,BH$162&gt;=0),53+(-BG$162)/BH$120,0)</f>
        <v>0</v>
      </c>
      <c r="BI163" s="36" t="n">
        <f aca="false">IF(AND(BH$162&lt;0,BI$162&gt;=0),54+(-BH$162)/BI$120,0)</f>
        <v>0</v>
      </c>
      <c r="BJ163" s="36" t="n">
        <f aca="false">IF(AND(BI$162&lt;0,BJ$162&gt;=0),55+(-BI$162)/BJ$120,0)</f>
        <v>0</v>
      </c>
      <c r="BK163" s="36" t="n">
        <f aca="false">IF(AND(BJ$162&lt;0,BK$162&gt;=0),56+(-BJ$162)/BK$120,0)</f>
        <v>0</v>
      </c>
      <c r="BL163" s="36" t="n">
        <f aca="false">IF(AND(BK$162&lt;0,BL$162&gt;=0),57+(-BK$162)/BL$120,0)</f>
        <v>0</v>
      </c>
      <c r="BM163" s="36" t="n">
        <f aca="false">IF(AND(BL$162&lt;0,BM$162&gt;=0),58+(-BL$162)/BM$120,0)</f>
        <v>0</v>
      </c>
      <c r="BN163" s="36" t="n">
        <f aca="false">IF(AND(BM$162&lt;0,BN$162&gt;=0),59+(-BM$162)/BN$120,0)</f>
        <v>0</v>
      </c>
      <c r="BO163" s="36" t="n">
        <f aca="false">IF(AND(BN$162&lt;0,BO$162&gt;=0),60+(-BN$162)/BO$120,0)</f>
        <v>0</v>
      </c>
      <c r="BP163" s="36" t="n">
        <f aca="false">IF(AND(BO$162&lt;0,BP$162&gt;=0),61+(-BO$162)/BP$120,0)</f>
        <v>0</v>
      </c>
      <c r="BQ163" s="36" t="n">
        <f aca="false">IF(AND(BP$162&lt;0,BQ$162&gt;=0),62+(-BP$162)/BQ$120,0)</f>
        <v>0</v>
      </c>
      <c r="BR163" s="36" t="n">
        <f aca="false">IF(AND(BQ$162&lt;0,BR$162&gt;=0),63+(-BQ$162)/BR$120,0)</f>
        <v>0</v>
      </c>
      <c r="BS163" s="36" t="n">
        <f aca="false">IF(AND(BR$162&lt;0,BS$162&gt;=0),64+(-BR$162)/BS$120,0)</f>
        <v>0</v>
      </c>
      <c r="BT163" s="36" t="n">
        <f aca="false">IF(AND(BS$162&lt;0,BT$162&gt;=0),65+(-BS$162)/BT$120,0)</f>
        <v>0</v>
      </c>
      <c r="BU163" s="36" t="n">
        <f aca="false">IF(AND(BT$162&lt;0,BU$162&gt;=0),66+(-BT$162)/BU$120,0)</f>
        <v>0</v>
      </c>
      <c r="BV163" s="36" t="n">
        <f aca="false">IF(AND(BU$162&lt;0,BV$162&gt;=0),67+(-BU$162)/BV$120,0)</f>
        <v>0</v>
      </c>
      <c r="BW163" s="36" t="n">
        <f aca="false">IF(AND(BV$162&lt;0,BW$162&gt;=0),68+(-BV$162)/BW$120,0)</f>
        <v>0</v>
      </c>
      <c r="BX163" s="36" t="n">
        <f aca="false">IF(AND(BW$162&lt;0,BX$162&gt;=0),69+(-BW$162)/BX$120,0)</f>
        <v>0</v>
      </c>
      <c r="BY163" s="36" t="n">
        <f aca="false">IF(AND(BX$162&lt;0,BY$162&gt;=0),70+(-BX$162)/BY$120,0)</f>
        <v>0</v>
      </c>
      <c r="BZ163" s="36" t="n">
        <f aca="false">IF(AND(BY$162&lt;0,BZ$162&gt;=0),71+(-BY$162)/BZ$120,0)</f>
        <v>0</v>
      </c>
      <c r="CA163" s="36" t="n">
        <f aca="false">IF(AND(BZ$162&lt;0,CA$162&gt;=0),72+(-BZ$162)/CA$120,0)</f>
        <v>0</v>
      </c>
      <c r="CB163" s="36" t="n">
        <f aca="false">IF(AND(CA$162&lt;0,CB$162&gt;=0),73+(-CA$162)/CB$120,0)</f>
        <v>0</v>
      </c>
      <c r="CC163" s="36" t="n">
        <f aca="false">IF(AND(CB$162&lt;0,CC$162&gt;=0),74+(-CB$162)/CC$120,0)</f>
        <v>0</v>
      </c>
      <c r="CD163" s="36" t="n">
        <f aca="false">IF(AND(CC$162&lt;0,CD$162&gt;=0),75+(-CC$162)/CD$120,0)</f>
        <v>0</v>
      </c>
      <c r="CE163" s="36" t="n">
        <f aca="false">IF(AND(CD$162&lt;0,CE$162&gt;=0),76+(-CD$162)/CE$120,0)</f>
        <v>0</v>
      </c>
      <c r="CF163" s="36" t="n">
        <f aca="false">IF(AND(CE$162&lt;0,CF$162&gt;=0),77+(-CE$162)/CF$120,0)</f>
        <v>0</v>
      </c>
      <c r="CG163" s="36" t="n">
        <f aca="false">IF(AND(CF$162&lt;0,CG$162&gt;=0),78+(-CF$162)/CG$120,0)</f>
        <v>0</v>
      </c>
      <c r="CH163" s="36" t="n">
        <f aca="false">IF(AND(CG$162&lt;0,CH$162&gt;=0),79+(-CG$162)/CH$120,0)</f>
        <v>0</v>
      </c>
      <c r="CI163" s="36" t="n">
        <f aca="false">IF(AND(CH$162&lt;0,CI$162&gt;=0),80+(-CH$162)/CI$120,0)</f>
        <v>0</v>
      </c>
      <c r="CJ163" s="36" t="n">
        <f aca="false">IF(AND(CI$162&lt;0,CJ$162&gt;=0),81+(-CI$162)/CJ$120,0)</f>
        <v>0</v>
      </c>
      <c r="CK163" s="36" t="n">
        <f aca="false">IF(AND(CJ$162&lt;0,CK$162&gt;=0),82+(-CJ$162)/CK$120,0)</f>
        <v>0</v>
      </c>
      <c r="CL163" s="36" t="n">
        <f aca="false">IF(AND(CK$162&lt;0,CL$162&gt;=0),83+(-CK$162)/CL$120,0)</f>
        <v>0</v>
      </c>
      <c r="CM163" s="36" t="n">
        <f aca="false">IF(AND(CL$162&lt;0,CM$162&gt;=0),84+(-CL$162)/CM$120,0)</f>
        <v>0</v>
      </c>
      <c r="CN163" s="36" t="n">
        <f aca="false">IF(AND(CM$162&lt;0,CN$162&gt;=0),85+(-CM$162)/CN$120,0)</f>
        <v>0</v>
      </c>
      <c r="CO163" s="36" t="n">
        <f aca="false">IF(AND(CN$162&lt;0,CO$162&gt;=0),86+(-CN$162)/CO$120,0)</f>
        <v>0</v>
      </c>
      <c r="CP163" s="36" t="n">
        <f aca="false">IF(AND(CO$162&lt;0,CP$162&gt;=0),87+(-CO$162)/CP$120,0)</f>
        <v>0</v>
      </c>
      <c r="CQ163" s="36" t="n">
        <f aca="false">IF(AND(CP$162&lt;0,CQ$162&gt;=0),88+(-CP$162)/CQ$120,0)</f>
        <v>0</v>
      </c>
      <c r="CR163" s="36" t="n">
        <f aca="false">IF(AND(CQ$162&lt;0,CR$162&gt;=0),89+(-CQ$162)/CR$120,0)</f>
        <v>0</v>
      </c>
      <c r="CS163" s="36" t="n">
        <f aca="false">IF(AND(CR$162&lt;0,CS$162&gt;=0),90+(-CR$162)/CS$120,0)</f>
        <v>0</v>
      </c>
      <c r="CT163" s="36" t="n">
        <f aca="false">IF(AND(CS$162&lt;0,CT$162&gt;=0),91+(-CS$162)/CT$120,0)</f>
        <v>0</v>
      </c>
      <c r="CU163" s="36" t="n">
        <f aca="false">IF(AND(CT$162&lt;0,CU$162&gt;=0),92+(-CT$162)/CU$120,0)</f>
        <v>0</v>
      </c>
      <c r="CV163" s="36" t="n">
        <f aca="false">IF(AND(CU$162&lt;0,CV$162&gt;=0),93+(-CU$162)/CV$120,0)</f>
        <v>0</v>
      </c>
      <c r="CW163" s="36" t="n">
        <f aca="false">IF(AND(CV$162&lt;0,CW$162&gt;=0),94+(-CV$162)/CW$120,0)</f>
        <v>0</v>
      </c>
      <c r="CX163" s="36" t="n">
        <f aca="false">IF(AND(CW$162&lt;0,CX$162&gt;=0),95+(-CW$162)/CX$120,0)</f>
        <v>0</v>
      </c>
      <c r="CY163" s="36" t="n">
        <f aca="false">IF(AND(CX$162&lt;0,CY$162&gt;=0),96+(-CX$162)/CY$120,0)</f>
        <v>0</v>
      </c>
      <c r="CZ163" s="36" t="n">
        <f aca="false">IF(AND(CY$162&lt;0,CZ$162&gt;=0),97+(-CY$162)/CZ$120,0)</f>
        <v>0</v>
      </c>
      <c r="DA163" s="36" t="n">
        <f aca="false">IF(AND(CZ$162&lt;0,DA$162&gt;=0),98+(-CZ$162)/DA$120,0)</f>
        <v>0</v>
      </c>
      <c r="DB163" s="36" t="n">
        <f aca="false">IF(AND(DA$162&lt;0,DB$162&gt;=0),99+(-DA$162)/DB$120,0)</f>
        <v>0</v>
      </c>
      <c r="DC163" s="36" t="n">
        <f aca="false">IF(AND(DB$162&lt;0,DC$162&gt;=0),100+(-DB$162)/DC$120,0)</f>
        <v>0</v>
      </c>
      <c r="DD163" s="36" t="n">
        <f aca="false">IF(AND(DC$162&lt;0,DD$162&gt;=0),101+(-DC$162)/DD$120,0)</f>
        <v>0</v>
      </c>
      <c r="DE163" s="36" t="n">
        <f aca="false">IF(AND(DD$162&lt;0,DE$162&gt;=0),102+(-DD$162)/DE$120,0)</f>
        <v>0</v>
      </c>
      <c r="DF163" s="36" t="n">
        <f aca="false">IF(AND(DE$162&lt;0,DF$162&gt;=0),103+(-DE$162)/DF$120,0)</f>
        <v>0</v>
      </c>
      <c r="DG163" s="36" t="n">
        <f aca="false">IF(AND(DF$162&lt;0,DG$162&gt;=0),104+(-DF$162)/DG$120,0)</f>
        <v>0</v>
      </c>
      <c r="DH163" s="36" t="n">
        <f aca="false">IF(AND(DG$162&lt;0,DH$162&gt;=0),105+(-DG$162)/DH$120,0)</f>
        <v>0</v>
      </c>
      <c r="DI163" s="36" t="n">
        <f aca="false">IF(AND(DH$162&lt;0,DI$162&gt;=0),106+(-DH$162)/DI$120,0)</f>
        <v>0</v>
      </c>
      <c r="DJ163" s="36" t="n">
        <f aca="false">IF(AND(DI$162&lt;0,DJ$162&gt;=0),107+(-DI$162)/DJ$120,0)</f>
        <v>0</v>
      </c>
      <c r="DK163" s="36" t="n">
        <f aca="false">IF(AND(DJ$162&lt;0,DK$162&gt;=0),108+(-DJ$162)/DK$120,0)</f>
        <v>0</v>
      </c>
      <c r="DL163" s="36" t="n">
        <f aca="false">IF(AND(DK$162&lt;0,DL$162&gt;=0),109+(-DK$162)/DL$120,0)</f>
        <v>0</v>
      </c>
      <c r="DM163" s="36" t="n">
        <f aca="false">IF(AND(DL$162&lt;0,DM$162&gt;=0),110+(-DL$162)/DM$120,0)</f>
        <v>0</v>
      </c>
      <c r="DN163" s="36" t="n">
        <f aca="false">IF(AND(DM$162&lt;0,DN$162&gt;=0),111+(-DM$162)/DN$120,0)</f>
        <v>0</v>
      </c>
      <c r="DO163" s="36" t="n">
        <f aca="false">IF(AND(DN$162&lt;0,DO$162&gt;=0),112+(-DN$162)/DO$120,0)</f>
        <v>0</v>
      </c>
      <c r="DP163" s="36" t="n">
        <f aca="false">IF(AND(DO$162&lt;0,DP$162&gt;=0),113+(-DO$162)/DP$120,0)</f>
        <v>0</v>
      </c>
      <c r="DQ163" s="36" t="n">
        <f aca="false">IF(AND(DP$162&lt;0,DQ$162&gt;=0),114+(-DP$162)/DQ$120,0)</f>
        <v>0</v>
      </c>
      <c r="DR163" s="36" t="n">
        <f aca="false">IF(AND(DQ$162&lt;0,DR$162&gt;=0),115+(-DQ$162)/DR$120,0)</f>
        <v>0</v>
      </c>
      <c r="DS163" s="36" t="n">
        <f aca="false">IF(AND(DR$162&lt;0,DS$162&gt;=0),116+(-DR$162)/DS$120,0)</f>
        <v>0</v>
      </c>
      <c r="DT163" s="36" t="n">
        <f aca="false">IF(AND(DS$162&lt;0,DT$162&gt;=0),117+(-DS$162)/DT$120,0)</f>
        <v>0</v>
      </c>
      <c r="DU163" s="36" t="n">
        <f aca="false">IF(AND(DT$162&lt;0,DU$162&gt;=0),118+(-DT$162)/DU$120,0)</f>
        <v>0</v>
      </c>
      <c r="DV163" s="36" t="n">
        <f aca="false">IF(AND(DU$162&lt;0,DV$162&gt;=0),119+(-DU$162)/DV$120,0)</f>
        <v>0</v>
      </c>
      <c r="DW163" s="36" t="n">
        <f aca="false">IF(AND(DV$162&lt;0,DW$162&gt;=0),120+(-DV$162)/DW$120,0)</f>
        <v>0</v>
      </c>
      <c r="DX163" s="36" t="n">
        <f aca="false">IF(AND(DW$162&lt;0,DX$162&gt;=0),121+(-DW$162)/DX$120,0)</f>
        <v>0</v>
      </c>
      <c r="DY163" s="36" t="n">
        <f aca="false">IF(AND(DX$162&lt;0,DY$162&gt;=0),122+(-DX$162)/DY$120,0)</f>
        <v>0</v>
      </c>
      <c r="DZ163" s="36" t="n">
        <f aca="false">IF(AND(DY$162&lt;0,DZ$162&gt;=0),123+(-DY$162)/DZ$120,0)</f>
        <v>0</v>
      </c>
      <c r="EA163" s="36" t="n">
        <f aca="false">IF(AND(DZ$162&lt;0,EA$162&gt;=0),124+(-DZ$162)/EA$120,0)</f>
        <v>0</v>
      </c>
      <c r="EB163" s="36" t="n">
        <f aca="false">IF(AND(EA$162&lt;0,EB$162&gt;=0),125+(-EA$162)/EB$120,0)</f>
        <v>0</v>
      </c>
      <c r="EC163" s="36" t="n">
        <f aca="false">IF(AND(EB$162&lt;0,EC$162&gt;=0),126+(-EB$162)/EC$120,0)</f>
        <v>0</v>
      </c>
      <c r="ED163" s="36" t="n">
        <f aca="false">IF(AND(EC$162&lt;0,ED$162&gt;=0),127+(-EC$162)/ED$120,0)</f>
        <v>0</v>
      </c>
      <c r="EE163" s="36" t="n">
        <f aca="false">IF(AND(ED$162&lt;0,EE$162&gt;=0),128+(-ED$162)/EE$120,0)</f>
        <v>0</v>
      </c>
      <c r="EF163" s="36" t="n">
        <f aca="false">IF(AND(EE$162&lt;0,EF$162&gt;=0),129+(-EE$162)/EF$120,0)</f>
        <v>0</v>
      </c>
      <c r="EG163" s="36" t="n">
        <f aca="false">IF(AND(EF$162&lt;0,EG$162&gt;=0),130+(-EF$162)/EG$120,0)</f>
        <v>0</v>
      </c>
      <c r="EH163" s="36" t="n">
        <f aca="false">IF(AND(EG$162&lt;0,EH$162&gt;=0),131+(-EG$162)/EH$120,0)</f>
        <v>0</v>
      </c>
      <c r="EI163" s="36" t="n">
        <f aca="false">IF(AND(EH$162&lt;0,EI$162&gt;=0),132+(-EH$162)/EI$120,0)</f>
        <v>0</v>
      </c>
      <c r="EJ163" s="36" t="n">
        <f aca="false">IF(AND(EI$162&lt;0,EJ$162&gt;=0),133+(-EI$162)/EJ$120,0)</f>
        <v>0</v>
      </c>
      <c r="EK163" s="36" t="n">
        <f aca="false">IF(AND(EJ$162&lt;0,EK$162&gt;=0),134+(-EJ$162)/EK$120,0)</f>
        <v>0</v>
      </c>
      <c r="EL163" s="36" t="n">
        <f aca="false">IF(AND(EK$162&lt;0,EL$162&gt;=0),135+(-EK$162)/EL$120,0)</f>
        <v>0</v>
      </c>
      <c r="EM163" s="36" t="n">
        <f aca="false">IF(AND(EL$162&lt;0,EM$162&gt;=0),136+(-EL$162)/EM$120,0)</f>
        <v>0</v>
      </c>
      <c r="EN163" s="36" t="n">
        <f aca="false">IF(AND(EM$162&lt;0,EN$162&gt;=0),137+(-EM$162)/EN$120,0)</f>
        <v>0</v>
      </c>
      <c r="EO163" s="36" t="n">
        <f aca="false">IF(AND(EN$162&lt;0,EO$162&gt;=0),138+(-EN$162)/EO$120,0)</f>
        <v>0</v>
      </c>
      <c r="EP163" s="36" t="n">
        <f aca="false">IF(AND(EO$162&lt;0,EP$162&gt;=0),139+(-EO$162)/EP$120,0)</f>
        <v>0</v>
      </c>
      <c r="EQ163" s="36" t="n">
        <f aca="false">IF(AND(EP$162&lt;0,EQ$162&gt;=0),140+(-EP$162)/EQ$120,0)</f>
        <v>0</v>
      </c>
      <c r="ER163" s="36" t="n">
        <f aca="false">IF(AND(EQ$162&lt;0,ER$162&gt;=0),141+(-EQ$162)/ER$120,0)</f>
        <v>0</v>
      </c>
      <c r="ES163" s="36" t="n">
        <f aca="false">IF(AND(ER$162&lt;0,ES$162&gt;=0),142+(-ER$162)/ES$120,0)</f>
        <v>0</v>
      </c>
    </row>
    <row r="164" customFormat="false" ht="15" hidden="false" customHeight="false" outlineLevel="0" collapsed="false">
      <c r="A164" s="2" t="s">
        <v>808</v>
      </c>
      <c r="B164" s="6" t="s">
        <v>809</v>
      </c>
      <c r="C164" s="6" t="s">
        <v>250</v>
      </c>
      <c r="E164" s="40" t="n">
        <f aca="false">INDEX(F164:ES164,1,MIN(144,Fin))</f>
        <v>6147646.16149838</v>
      </c>
      <c r="F164" s="34" t="n">
        <f aca="false">0+F$138+F$107-F$153+F$155</f>
        <v>781282.890308923</v>
      </c>
      <c r="G164" s="34" t="n">
        <f aca="false">F$164+G$138+G$107-G$153+G$155</f>
        <v>794783.780617846</v>
      </c>
      <c r="H164" s="34" t="n">
        <f aca="false">G$164+H$138+H$107-H$153+H$155</f>
        <v>808284.670926769</v>
      </c>
      <c r="I164" s="34" t="n">
        <f aca="false">H$164+I$138+I$107-I$153+I$155</f>
        <v>821785.561235692</v>
      </c>
      <c r="J164" s="34" t="n">
        <f aca="false">I$164+J$138+J$107-J$153+J$155</f>
        <v>835286.451544615</v>
      </c>
      <c r="K164" s="34" t="n">
        <f aca="false">J$164+K$138+K$107-K$153+K$155</f>
        <v>848787.341853539</v>
      </c>
      <c r="L164" s="34" t="n">
        <f aca="false">K$164+L$138+L$107-L$153+L$155</f>
        <v>862288.232162462</v>
      </c>
      <c r="M164" s="34" t="n">
        <f aca="false">L$164+M$138+M$107-M$153+M$155</f>
        <v>876136.639730166</v>
      </c>
      <c r="N164" s="34" t="n">
        <f aca="false">M$164+N$138+N$107-N$153+N$155</f>
        <v>890335.170936092</v>
      </c>
      <c r="O164" s="34" t="n">
        <f aca="false">N$164+O$138+O$107-O$153+O$155</f>
        <v>904886.451707527</v>
      </c>
      <c r="P164" s="34" t="n">
        <f aca="false">O$164+P$138+P$107-P$153+P$155</f>
        <v>919793.127666212</v>
      </c>
      <c r="Q164" s="34" t="n">
        <f aca="false">P$164+Q$138+Q$107-Q$153+Q$155</f>
        <v>935057.864276052</v>
      </c>
      <c r="R164" s="34" t="n">
        <f aca="false">Q$164+R$138+R$107-R$153+R$155</f>
        <v>1359776.91617697</v>
      </c>
      <c r="S164" s="34" t="n">
        <f aca="false">R$164+S$138+S$107-S$153+S$155</f>
        <v>1412931.41977972</v>
      </c>
      <c r="T164" s="34" t="n">
        <f aca="false">S$164+T$138+T$107-T$153+T$155</f>
        <v>1466452.10097207</v>
      </c>
      <c r="U164" s="34" t="n">
        <f aca="false">T$164+U$138+U$107-U$153+U$155</f>
        <v>1520341.70608594</v>
      </c>
      <c r="V164" s="34" t="n">
        <f aca="false">U$164+V$138+V$107-V$153+V$155</f>
        <v>1574603.00205074</v>
      </c>
      <c r="W164" s="34" t="n">
        <f aca="false">V$164+W$138+W$107-W$153+W$155</f>
        <v>1629238.77654785</v>
      </c>
      <c r="X164" s="34" t="n">
        <f aca="false">W$164+X$138+X$107-X$153+X$155</f>
        <v>1684251.83816627</v>
      </c>
      <c r="Y164" s="34" t="n">
        <f aca="false">X$164+Y$138+Y$107-Y$153+Y$155</f>
        <v>1739645.0165594</v>
      </c>
      <c r="Z164" s="34" t="n">
        <f aca="false">Y$164+Z$138+Z$107-Z$153+Z$155</f>
        <v>1795421.16260306</v>
      </c>
      <c r="AA164" s="34" t="n">
        <f aca="false">Z$164+AA$138+AA$107-AA$153+AA$155</f>
        <v>1851583.14855461</v>
      </c>
      <c r="AB164" s="34" t="n">
        <f aca="false">AA$164+AB$138+AB$107-AB$153+AB$155</f>
        <v>1908133.86821339</v>
      </c>
      <c r="AC164" s="34" t="n">
        <f aca="false">AB$164+AC$138+AC$107-AC$153+AC$155</f>
        <v>1965076.23708218</v>
      </c>
      <c r="AD164" s="34" t="n">
        <f aca="false">AC$164+AD$138+AD$107-AD$153+AD$155</f>
        <v>2059001.82040122</v>
      </c>
      <c r="AE164" s="34" t="n">
        <f aca="false">AD$164+AE$138+AE$107-AE$153+AE$155</f>
        <v>2153324.9496987</v>
      </c>
      <c r="AF164" s="34" t="n">
        <f aca="false">AE$164+AF$138+AF$107-AF$153+AF$155</f>
        <v>2248048.60656945</v>
      </c>
      <c r="AG164" s="34" t="n">
        <f aca="false">AF$164+AG$138+AG$107-AG$153+AG$155</f>
        <v>2343175.79497027</v>
      </c>
      <c r="AH164" s="34" t="n">
        <f aca="false">AG$164+AH$138+AH$107-AH$153+AH$155</f>
        <v>2438709.54138765</v>
      </c>
      <c r="AI164" s="34" t="n">
        <f aca="false">AH$164+AI$138+AI$107-AI$153+AI$155</f>
        <v>2534652.89500669</v>
      </c>
      <c r="AJ164" s="34" t="n">
        <f aca="false">AI$164+AJ$138+AJ$107-AJ$153+AJ$155</f>
        <v>2631008.92788143</v>
      </c>
      <c r="AK164" s="34" t="n">
        <f aca="false">AJ$164+AK$138+AK$107-AK$153+AK$155</f>
        <v>2727780.73510626</v>
      </c>
      <c r="AL164" s="34" t="n">
        <f aca="false">AK$164+AL$138+AL$107-AL$153+AL$155</f>
        <v>2824971.43498883</v>
      </c>
      <c r="AM164" s="34" t="n">
        <f aca="false">AL$164+AM$138+AM$107-AM$153+AM$155</f>
        <v>2922584.16922405</v>
      </c>
      <c r="AN164" s="34" t="n">
        <f aca="false">AM$164+AN$138+AN$107-AN$153+AN$155</f>
        <v>3020622.10306959</v>
      </c>
      <c r="AO164" s="34" t="n">
        <f aca="false">AN$164+AO$138+AO$107-AO$153+AO$155</f>
        <v>3119088.42552251</v>
      </c>
      <c r="AP164" s="34" t="n">
        <f aca="false">AO$164+AP$138+AP$107-AP$153+AP$155</f>
        <v>3250794.8985121</v>
      </c>
      <c r="AQ164" s="34" t="n">
        <f aca="false">AP$164+AQ$138+AQ$107-AQ$153+AQ$155</f>
        <v>3382936.21003504</v>
      </c>
      <c r="AR164" s="34" t="n">
        <f aca="false">AQ$164+AR$138+AR$107-AR$153+AR$155</f>
        <v>3515515.62138034</v>
      </c>
      <c r="AS164" s="34" t="n">
        <f aca="false">AR$164+AS$138+AS$107-AS$153+AS$155</f>
        <v>3648536.41829666</v>
      </c>
      <c r="AT164" s="34" t="n">
        <f aca="false">AS$164+AT$138+AT$107-AT$153+AT$155</f>
        <v>3782001.91117579</v>
      </c>
      <c r="AU164" s="34" t="n">
        <f aca="false">AT$164+AU$138+AU$107-AU$153+AU$155</f>
        <v>3915915.43523744</v>
      </c>
      <c r="AV164" s="34" t="n">
        <f aca="false">AU$164+AV$138+AV$107-AV$153+AV$155</f>
        <v>4050280.35071549</v>
      </c>
      <c r="AW164" s="34" t="n">
        <f aca="false">AV$164+AW$138+AW$107-AW$153+AW$155</f>
        <v>4185100.04304555</v>
      </c>
      <c r="AX164" s="34" t="n">
        <f aca="false">AW$164+AX$138+AX$107-AX$153+AX$155</f>
        <v>4320377.92305403</v>
      </c>
      <c r="AY164" s="34" t="n">
        <f aca="false">AX$164+AY$138+AY$107-AY$153+AY$155</f>
        <v>4456117.42714849</v>
      </c>
      <c r="AZ164" s="34" t="n">
        <f aca="false">AY$164+AZ$138+AZ$107-AZ$153+AZ$155</f>
        <v>4592322.0175096</v>
      </c>
      <c r="BA164" s="34" t="n">
        <f aca="false">AZ$164+BA$138+BA$107-BA$153+BA$155</f>
        <v>4728995.18228435</v>
      </c>
      <c r="BB164" s="34" t="n">
        <f aca="false">BA$164+BB$138+BB$107-BB$153+BB$155</f>
        <v>4867460.02077736</v>
      </c>
      <c r="BC164" s="34" t="n">
        <f aca="false">BB$164+BC$138+BC$107-BC$153+BC$155</f>
        <v>5006400.48865752</v>
      </c>
      <c r="BD164" s="34" t="n">
        <f aca="false">BC$164+BD$138+BD$107-BD$153+BD$155</f>
        <v>5145820.15314524</v>
      </c>
      <c r="BE164" s="34" t="n">
        <f aca="false">BD$164+BE$138+BE$107-BE$153+BE$155</f>
        <v>4480769.22983416</v>
      </c>
      <c r="BF164" s="34" t="n">
        <f aca="false">BE$164+BF$138+BF$107-BF$153+BF$155</f>
        <v>4621158.09641548</v>
      </c>
      <c r="BG164" s="34" t="n">
        <f aca="false">BF$164+BG$138+BG$107-BG$153+BG$155</f>
        <v>4762037.02259462</v>
      </c>
      <c r="BH164" s="34" t="n">
        <f aca="false">BG$164+BH$138+BH$107-BH$153+BH$155</f>
        <v>4903409.68381856</v>
      </c>
      <c r="BI164" s="34" t="n">
        <f aca="false">BH$164+BI$138+BI$107-BI$153+BI$155</f>
        <v>5045279.78310014</v>
      </c>
      <c r="BJ164" s="34" t="n">
        <f aca="false">BI$164+BJ$138+BJ$107-BJ$153+BJ$155</f>
        <v>5187651.05122479</v>
      </c>
      <c r="BK164" s="34" t="n">
        <f aca="false">BJ$164+BK$138+BK$107-BK$153+BK$155</f>
        <v>5330527.24695883</v>
      </c>
      <c r="BL164" s="34" t="n">
        <f aca="false">BK$164+BL$138+BL$107-BL$153+BL$155</f>
        <v>5473912.15725934</v>
      </c>
      <c r="BM164" s="34" t="n">
        <f aca="false">BL$164+BM$138+BM$107-BM$153+BM$155</f>
        <v>5617809.59748556</v>
      </c>
      <c r="BN164" s="34" t="n">
        <f aca="false">BM$164+BN$138+BN$107-BN$153+BN$155</f>
        <v>5767325.32186672</v>
      </c>
      <c r="BO164" s="34" t="n">
        <f aca="false">BN$164+BO$138+BO$107-BO$153+BO$155</f>
        <v>5916841.04624788</v>
      </c>
      <c r="BP164" s="34" t="n">
        <f aca="false">BO$164+BP$138+BP$107-BP$153+BP$155</f>
        <v>6066356.77062904</v>
      </c>
      <c r="BQ164" s="34" t="n">
        <f aca="false">BP$164+BQ$138+BQ$107-BQ$153+BQ$155</f>
        <v>4751945.95064198</v>
      </c>
      <c r="BR164" s="34" t="n">
        <f aca="false">BQ$164+BR$138+BR$107-BR$153+BR$155</f>
        <v>4901461.67502314</v>
      </c>
      <c r="BS164" s="34" t="n">
        <f aca="false">BR$164+BS$138+BS$107-BS$153+BS$155</f>
        <v>5050977.3994043</v>
      </c>
      <c r="BT164" s="34" t="n">
        <f aca="false">BS$164+BT$138+BT$107-BT$153+BT$155</f>
        <v>5200493.12378545</v>
      </c>
      <c r="BU164" s="34" t="n">
        <f aca="false">BT$164+BU$138+BU$107-BU$153+BU$155</f>
        <v>5350008.84816661</v>
      </c>
      <c r="BV164" s="34" t="n">
        <f aca="false">BU$164+BV$138+BV$107-BV$153+BV$155</f>
        <v>5499524.57254777</v>
      </c>
      <c r="BW164" s="34" t="n">
        <f aca="false">BV$164+BW$138+BW$107-BW$153+BW$155</f>
        <v>5649040.29692893</v>
      </c>
      <c r="BX164" s="34" t="n">
        <f aca="false">BW$164+BX$138+BX$107-BX$153+BX$155</f>
        <v>5798556.02131009</v>
      </c>
      <c r="BY164" s="34" t="n">
        <f aca="false">BX$164+BY$138+BY$107-BY$153+BY$155</f>
        <v>5948071.74569125</v>
      </c>
      <c r="BZ164" s="34" t="n">
        <f aca="false">BY$164+BZ$138+BZ$107-BZ$153+BZ$155</f>
        <v>6101703.05076398</v>
      </c>
      <c r="CA164" s="34" t="n">
        <f aca="false">BZ$164+CA$138+CA$107-CA$153+CA$155</f>
        <v>6255334.35583672</v>
      </c>
      <c r="CB164" s="34" t="n">
        <f aca="false">CA$164+CB$138+CB$107-CB$153+CB$155</f>
        <v>6408965.66090945</v>
      </c>
      <c r="CC164" s="34" t="n">
        <f aca="false">CB$164+CC$138+CC$107-CC$153+CC$155</f>
        <v>4768408.27340827</v>
      </c>
      <c r="CD164" s="34" t="n">
        <f aca="false">CC$164+CD$138+CD$107-CD$153+CD$155</f>
        <v>4922039.578481</v>
      </c>
      <c r="CE164" s="34" t="n">
        <f aca="false">CD$164+CE$138+CE$107-CE$153+CE$155</f>
        <v>5075670.88355373</v>
      </c>
      <c r="CF164" s="34" t="n">
        <f aca="false">CE$164+CF$138+CF$107-CF$153+CF$155</f>
        <v>5229302.18862647</v>
      </c>
      <c r="CG164" s="34" t="n">
        <f aca="false">CF$164+CG$138+CG$107-CG$153+CG$155</f>
        <v>5382933.4936992</v>
      </c>
      <c r="CH164" s="34" t="n">
        <f aca="false">CG$164+CH$138+CH$107-CH$153+CH$155</f>
        <v>5536564.79877193</v>
      </c>
      <c r="CI164" s="34" t="n">
        <f aca="false">CH$164+CI$138+CI$107-CI$153+CI$155</f>
        <v>5690196.10384467</v>
      </c>
      <c r="CJ164" s="34" t="n">
        <f aca="false">CI$164+CJ$138+CJ$107-CJ$153+CJ$155</f>
        <v>5843827.4089174</v>
      </c>
      <c r="CK164" s="34" t="n">
        <f aca="false">CJ$164+CK$138+CK$107-CK$153+CK$155</f>
        <v>5997458.71399013</v>
      </c>
      <c r="CL164" s="34" t="n">
        <f aca="false">CK$164+CL$138+CL$107-CL$153+CL$155</f>
        <v>6155233.81511975</v>
      </c>
      <c r="CM164" s="34" t="n">
        <f aca="false">CL$164+CM$138+CM$107-CM$153+CM$155</f>
        <v>6313008.91624938</v>
      </c>
      <c r="CN164" s="34" t="n">
        <f aca="false">CM$164+CN$138+CN$107-CN$153+CN$155</f>
        <v>6470784.017379</v>
      </c>
      <c r="CO164" s="34" t="n">
        <f aca="false">CN$164+CO$138+CO$107-CO$153+CO$155</f>
        <v>4784983.45763582</v>
      </c>
      <c r="CP164" s="34" t="n">
        <f aca="false">CO$164+CP$138+CP$107-CP$153+CP$155</f>
        <v>4942758.55876544</v>
      </c>
      <c r="CQ164" s="34" t="n">
        <f aca="false">CP$164+CQ$138+CQ$107-CQ$153+CQ$155</f>
        <v>5100533.65989506</v>
      </c>
      <c r="CR164" s="34" t="n">
        <f aca="false">CQ$164+CR$138+CR$107-CR$153+CR$155</f>
        <v>5258308.76102469</v>
      </c>
      <c r="CS164" s="34" t="n">
        <f aca="false">CR$164+CS$138+CS$107-CS$153+CS$155</f>
        <v>5416083.86215431</v>
      </c>
      <c r="CT164" s="34" t="n">
        <f aca="false">CS$164+CT$138+CT$107-CT$153+CT$155</f>
        <v>5573858.96328393</v>
      </c>
      <c r="CU164" s="34" t="n">
        <f aca="false">CT$164+CU$138+CU$107-CU$153+CU$155</f>
        <v>5731634.06441355</v>
      </c>
      <c r="CV164" s="34" t="n">
        <f aca="false">CU$164+CV$138+CV$107-CV$153+CV$155</f>
        <v>5889409.16554317</v>
      </c>
      <c r="CW164" s="34" t="n">
        <f aca="false">CV$164+CW$138+CW$107-CW$153+CW$155</f>
        <v>6047184.26667279</v>
      </c>
      <c r="CX164" s="34" t="n">
        <f aca="false">CW$164+CX$138+CX$107-CX$153+CX$155</f>
        <v>6209131.27890503</v>
      </c>
      <c r="CY164" s="34" t="n">
        <f aca="false">CX$164+CY$138+CY$107-CY$153+CY$155</f>
        <v>6371078.29113727</v>
      </c>
      <c r="CZ164" s="34" t="n">
        <f aca="false">CY$164+CZ$138+CZ$107-CZ$153+CZ$155</f>
        <v>6533025.30336952</v>
      </c>
      <c r="DA164" s="34" t="n">
        <f aca="false">CZ$164+DA$138+DA$107-DA$153+DA$155</f>
        <v>4801671.10204631</v>
      </c>
      <c r="DB164" s="34" t="n">
        <f aca="false">DA$164+DB$138+DB$107-DB$153+DB$155</f>
        <v>4963618.11427855</v>
      </c>
      <c r="DC164" s="34" t="n">
        <f aca="false">DB$164+DC$138+DC$107-DC$153+DC$155</f>
        <v>5125565.12651079</v>
      </c>
      <c r="DD164" s="34" t="n">
        <f aca="false">DC$164+DD$138+DD$107-DD$153+DD$155</f>
        <v>5287512.13874303</v>
      </c>
      <c r="DE164" s="34" t="n">
        <f aca="false">DD$164+DE$138+DE$107-DE$153+DE$155</f>
        <v>5449459.15097527</v>
      </c>
      <c r="DF164" s="34" t="n">
        <f aca="false">DE$164+DF$138+DF$107-DF$153+DF$155</f>
        <v>5611406.16320751</v>
      </c>
      <c r="DG164" s="34" t="n">
        <f aca="false">DF$164+DG$138+DG$107-DG$153+DG$155</f>
        <v>5773353.17543975</v>
      </c>
      <c r="DH164" s="34" t="n">
        <f aca="false">DG$164+DH$138+DH$107-DH$153+DH$155</f>
        <v>5935300.187672</v>
      </c>
      <c r="DI164" s="34" t="n">
        <f aca="false">DH$164+DI$138+DI$107-DI$153+DI$155</f>
        <v>6097247.19990424</v>
      </c>
      <c r="DJ164" s="34" t="n">
        <f aca="false">DI$164+DJ$138+DJ$107-DJ$153+DJ$155</f>
        <v>6263394.12560266</v>
      </c>
      <c r="DK164" s="34" t="n">
        <f aca="false">DJ$164+DK$138+DK$107-DK$153+DK$155</f>
        <v>6429541.05130107</v>
      </c>
      <c r="DL164" s="34" t="n">
        <f aca="false">DK$164+DL$138+DL$107-DL$153+DL$155</f>
        <v>6595687.97699949</v>
      </c>
      <c r="DM164" s="34" t="n">
        <f aca="false">DL$164+DM$138+DM$107-DM$153+DM$155</f>
        <v>4818470.75591102</v>
      </c>
      <c r="DN164" s="34" t="n">
        <f aca="false">DM$164+DN$138+DN$107-DN$153+DN$155</f>
        <v>4984617.68160944</v>
      </c>
      <c r="DO164" s="34" t="n">
        <f aca="false">DN$164+DO$138+DO$107-DO$153+DO$155</f>
        <v>5150764.60730786</v>
      </c>
      <c r="DP164" s="34" t="n">
        <f aca="false">DO$164+DP$138+DP$107-DP$153+DP$155</f>
        <v>5316911.53300628</v>
      </c>
      <c r="DQ164" s="34" t="n">
        <f aca="false">DP$164+DQ$138+DQ$107-DQ$153+DQ$155</f>
        <v>5483058.4587047</v>
      </c>
      <c r="DR164" s="34" t="n">
        <f aca="false">DQ$164+DR$138+DR$107-DR$153+DR$155</f>
        <v>5649205.38440312</v>
      </c>
      <c r="DS164" s="34" t="n">
        <f aca="false">DR$164+DS$138+DS$107-DS$153+DS$155</f>
        <v>5815352.31010154</v>
      </c>
      <c r="DT164" s="34" t="n">
        <f aca="false">DS$164+DT$138+DT$107-DT$153+DT$155</f>
        <v>5981499.23579996</v>
      </c>
      <c r="DU164" s="34" t="n">
        <f aca="false">DT$164+DU$138+DU$107-DU$153+DU$155</f>
        <v>6147646.16149838</v>
      </c>
      <c r="DV164" s="34" t="n">
        <f aca="false">DU$164+DV$138+DV$107-DV$153+DV$155</f>
        <v>6147646.16149838</v>
      </c>
      <c r="DW164" s="34" t="n">
        <f aca="false">DV$164+DW$138+DW$107-DW$153+DW$155</f>
        <v>6147646.16149838</v>
      </c>
      <c r="DX164" s="34" t="n">
        <f aca="false">DW$164+DX$138+DX$107-DX$153+DX$155</f>
        <v>6147646.16149838</v>
      </c>
      <c r="DY164" s="34" t="n">
        <f aca="false">DX$164+DY$138+DY$107-DY$153+DY$155</f>
        <v>6147646.16149838</v>
      </c>
      <c r="DZ164" s="34" t="n">
        <f aca="false">DY$164+DZ$138+DZ$107-DZ$153+DZ$155</f>
        <v>6147646.16149838</v>
      </c>
      <c r="EA164" s="34" t="n">
        <f aca="false">DZ$164+EA$138+EA$107-EA$153+EA$155</f>
        <v>6147646.16149838</v>
      </c>
      <c r="EB164" s="34" t="n">
        <f aca="false">EA$164+EB$138+EB$107-EB$153+EB$155</f>
        <v>6147646.16149838</v>
      </c>
      <c r="EC164" s="34" t="n">
        <f aca="false">EB$164+EC$138+EC$107-EC$153+EC$155</f>
        <v>6147646.16149838</v>
      </c>
      <c r="ED164" s="34" t="n">
        <f aca="false">EC$164+ED$138+ED$107-ED$153+ED$155</f>
        <v>6147646.16149838</v>
      </c>
      <c r="EE164" s="34" t="n">
        <f aca="false">ED$164+EE$138+EE$107-EE$153+EE$155</f>
        <v>6147646.16149838</v>
      </c>
      <c r="EF164" s="34" t="n">
        <f aca="false">EE$164+EF$138+EF$107-EF$153+EF$155</f>
        <v>6147646.16149838</v>
      </c>
      <c r="EG164" s="34" t="n">
        <f aca="false">EF$164+EG$138+EG$107-EG$153+EG$155</f>
        <v>6147646.16149838</v>
      </c>
      <c r="EH164" s="34" t="n">
        <f aca="false">EG$164+EH$138+EH$107-EH$153+EH$155</f>
        <v>6147646.16149838</v>
      </c>
      <c r="EI164" s="34" t="n">
        <f aca="false">EH$164+EI$138+EI$107-EI$153+EI$155</f>
        <v>6147646.16149838</v>
      </c>
      <c r="EJ164" s="34" t="n">
        <f aca="false">EI$164+EJ$138+EJ$107-EJ$153+EJ$155</f>
        <v>6147646.16149838</v>
      </c>
      <c r="EK164" s="34" t="n">
        <f aca="false">EJ$164+EK$138+EK$107-EK$153+EK$155</f>
        <v>6147646.16149838</v>
      </c>
      <c r="EL164" s="34" t="n">
        <f aca="false">EK$164+EL$138+EL$107-EL$153+EL$155</f>
        <v>6147646.16149838</v>
      </c>
      <c r="EM164" s="34" t="n">
        <f aca="false">EL$164+EM$138+EM$107-EM$153+EM$155</f>
        <v>6147646.16149838</v>
      </c>
      <c r="EN164" s="34" t="n">
        <f aca="false">EM$164+EN$138+EN$107-EN$153+EN$155</f>
        <v>6147646.16149838</v>
      </c>
      <c r="EO164" s="34" t="n">
        <f aca="false">EN$164+EO$138+EO$107-EO$153+EO$155</f>
        <v>6147646.16149838</v>
      </c>
      <c r="EP164" s="34" t="n">
        <f aca="false">EO$164+EP$138+EP$107-EP$153+EP$155</f>
        <v>6147646.16149838</v>
      </c>
      <c r="EQ164" s="34" t="n">
        <f aca="false">EP$164+EQ$138+EQ$107-EQ$153+EQ$155</f>
        <v>6147646.16149838</v>
      </c>
      <c r="ER164" s="34" t="n">
        <f aca="false">EQ$164+ER$138+ER$107-ER$153+ER$155</f>
        <v>6147646.16149838</v>
      </c>
      <c r="ES164" s="34" t="n">
        <f aca="false">ER$164+ES$138+ES$107-ES$153+ES$155</f>
        <v>6147646.16149838</v>
      </c>
    </row>
    <row r="165" customFormat="false" ht="15" hidden="false" customHeight="false" outlineLevel="0" collapsed="false">
      <c r="A165" s="2" t="s">
        <v>810</v>
      </c>
      <c r="B165" s="52" t="s">
        <v>811</v>
      </c>
      <c r="C165" s="6" t="s">
        <v>250</v>
      </c>
      <c r="E165" s="53" t="n">
        <f aca="false">MAX(ABS(MAX(F165:ES165)),ABS(MIN(F165:ES165)))</f>
        <v>0</v>
      </c>
      <c r="F165" s="54" t="n">
        <f aca="false">ROUND(F$154+F$109+F$110+F$111+F$118-F$112-F$148-F$164,2)</f>
        <v>0</v>
      </c>
      <c r="G165" s="54" t="n">
        <f aca="false">ROUND(G$154+G$109+G$110+G$111+G$118-G$112-G$148-G$164,2)</f>
        <v>0</v>
      </c>
      <c r="H165" s="54" t="n">
        <f aca="false">ROUND(H$154+H$109+H$110+H$111+H$118-H$112-H$148-H$164,2)</f>
        <v>0</v>
      </c>
      <c r="I165" s="54" t="n">
        <f aca="false">ROUND(I$154+I$109+I$110+I$111+I$118-I$112-I$148-I$164,2)</f>
        <v>0</v>
      </c>
      <c r="J165" s="54" t="n">
        <f aca="false">ROUND(J$154+J$109+J$110+J$111+J$118-J$112-J$148-J$164,2)</f>
        <v>0</v>
      </c>
      <c r="K165" s="54" t="n">
        <f aca="false">ROUND(K$154+K$109+K$110+K$111+K$118-K$112-K$148-K$164,2)</f>
        <v>0</v>
      </c>
      <c r="L165" s="54" t="n">
        <f aca="false">ROUND(L$154+L$109+L$110+L$111+L$118-L$112-L$148-L$164,2)</f>
        <v>0</v>
      </c>
      <c r="M165" s="54" t="n">
        <f aca="false">ROUND(M$154+M$109+M$110+M$111+M$118-M$112-M$148-M$164,2)</f>
        <v>0</v>
      </c>
      <c r="N165" s="54" t="n">
        <f aca="false">ROUND(N$154+N$109+N$110+N$111+N$118-N$112-N$148-N$164,2)</f>
        <v>0</v>
      </c>
      <c r="O165" s="54" t="n">
        <f aca="false">ROUND(O$154+O$109+O$110+O$111+O$118-O$112-O$148-O$164,2)</f>
        <v>0</v>
      </c>
      <c r="P165" s="54" t="n">
        <f aca="false">ROUND(P$154+P$109+P$110+P$111+P$118-P$112-P$148-P$164,2)</f>
        <v>0</v>
      </c>
      <c r="Q165" s="54" t="n">
        <f aca="false">ROUND(Q$154+Q$109+Q$110+Q$111+Q$118-Q$112-Q$148-Q$164,2)</f>
        <v>0</v>
      </c>
      <c r="R165" s="54" t="n">
        <f aca="false">ROUND(R$154+R$109+R$110+R$111+R$118-R$112-R$148-R$164,2)</f>
        <v>0</v>
      </c>
      <c r="S165" s="54" t="n">
        <f aca="false">ROUND(S$154+S$109+S$110+S$111+S$118-S$112-S$148-S$164,2)</f>
        <v>0</v>
      </c>
      <c r="T165" s="54" t="n">
        <f aca="false">ROUND(T$154+T$109+T$110+T$111+T$118-T$112-T$148-T$164,2)</f>
        <v>0</v>
      </c>
      <c r="U165" s="54" t="n">
        <f aca="false">ROUND(U$154+U$109+U$110+U$111+U$118-U$112-U$148-U$164,2)</f>
        <v>0</v>
      </c>
      <c r="V165" s="54" t="n">
        <f aca="false">ROUND(V$154+V$109+V$110+V$111+V$118-V$112-V$148-V$164,2)</f>
        <v>0</v>
      </c>
      <c r="W165" s="54" t="n">
        <f aca="false">ROUND(W$154+W$109+W$110+W$111+W$118-W$112-W$148-W$164,2)</f>
        <v>0</v>
      </c>
      <c r="X165" s="54" t="n">
        <f aca="false">ROUND(X$154+X$109+X$110+X$111+X$118-X$112-X$148-X$164,2)</f>
        <v>0</v>
      </c>
      <c r="Y165" s="54" t="n">
        <f aca="false">ROUND(Y$154+Y$109+Y$110+Y$111+Y$118-Y$112-Y$148-Y$164,2)</f>
        <v>0</v>
      </c>
      <c r="Z165" s="54" t="n">
        <f aca="false">ROUND(Z$154+Z$109+Z$110+Z$111+Z$118-Z$112-Z$148-Z$164,2)</f>
        <v>0</v>
      </c>
      <c r="AA165" s="54" t="n">
        <f aca="false">ROUND(AA$154+AA$109+AA$110+AA$111+AA$118-AA$112-AA$148-AA$164,2)</f>
        <v>0</v>
      </c>
      <c r="AB165" s="54" t="n">
        <f aca="false">ROUND(AB$154+AB$109+AB$110+AB$111+AB$118-AB$112-AB$148-AB$164,2)</f>
        <v>0</v>
      </c>
      <c r="AC165" s="54" t="n">
        <f aca="false">ROUND(AC$154+AC$109+AC$110+AC$111+AC$118-AC$112-AC$148-AC$164,2)</f>
        <v>0</v>
      </c>
      <c r="AD165" s="54" t="n">
        <f aca="false">ROUND(AD$154+AD$109+AD$110+AD$111+AD$118-AD$112-AD$148-AD$164,2)</f>
        <v>0</v>
      </c>
      <c r="AE165" s="54" t="n">
        <f aca="false">ROUND(AE$154+AE$109+AE$110+AE$111+AE$118-AE$112-AE$148-AE$164,2)</f>
        <v>0</v>
      </c>
      <c r="AF165" s="54" t="n">
        <f aca="false">ROUND(AF$154+AF$109+AF$110+AF$111+AF$118-AF$112-AF$148-AF$164,2)</f>
        <v>0</v>
      </c>
      <c r="AG165" s="54" t="n">
        <f aca="false">ROUND(AG$154+AG$109+AG$110+AG$111+AG$118-AG$112-AG$148-AG$164,2)</f>
        <v>0</v>
      </c>
      <c r="AH165" s="54" t="n">
        <f aca="false">ROUND(AH$154+AH$109+AH$110+AH$111+AH$118-AH$112-AH$148-AH$164,2)</f>
        <v>0</v>
      </c>
      <c r="AI165" s="54" t="n">
        <f aca="false">ROUND(AI$154+AI$109+AI$110+AI$111+AI$118-AI$112-AI$148-AI$164,2)</f>
        <v>0</v>
      </c>
      <c r="AJ165" s="54" t="n">
        <f aca="false">ROUND(AJ$154+AJ$109+AJ$110+AJ$111+AJ$118-AJ$112-AJ$148-AJ$164,2)</f>
        <v>0</v>
      </c>
      <c r="AK165" s="54" t="n">
        <f aca="false">ROUND(AK$154+AK$109+AK$110+AK$111+AK$118-AK$112-AK$148-AK$164,2)</f>
        <v>0</v>
      </c>
      <c r="AL165" s="54" t="n">
        <f aca="false">ROUND(AL$154+AL$109+AL$110+AL$111+AL$118-AL$112-AL$148-AL$164,2)</f>
        <v>0</v>
      </c>
      <c r="AM165" s="54" t="n">
        <f aca="false">ROUND(AM$154+AM$109+AM$110+AM$111+AM$118-AM$112-AM$148-AM$164,2)</f>
        <v>0</v>
      </c>
      <c r="AN165" s="54" t="n">
        <f aca="false">ROUND(AN$154+AN$109+AN$110+AN$111+AN$118-AN$112-AN$148-AN$164,2)</f>
        <v>0</v>
      </c>
      <c r="AO165" s="54" t="n">
        <f aca="false">ROUND(AO$154+AO$109+AO$110+AO$111+AO$118-AO$112-AO$148-AO$164,2)</f>
        <v>0</v>
      </c>
      <c r="AP165" s="54" t="n">
        <f aca="false">ROUND(AP$154+AP$109+AP$110+AP$111+AP$118-AP$112-AP$148-AP$164,2)</f>
        <v>0</v>
      </c>
      <c r="AQ165" s="54" t="n">
        <f aca="false">ROUND(AQ$154+AQ$109+AQ$110+AQ$111+AQ$118-AQ$112-AQ$148-AQ$164,2)</f>
        <v>0</v>
      </c>
      <c r="AR165" s="54" t="n">
        <f aca="false">ROUND(AR$154+AR$109+AR$110+AR$111+AR$118-AR$112-AR$148-AR$164,2)</f>
        <v>0</v>
      </c>
      <c r="AS165" s="54" t="n">
        <f aca="false">ROUND(AS$154+AS$109+AS$110+AS$111+AS$118-AS$112-AS$148-AS$164,2)</f>
        <v>0</v>
      </c>
      <c r="AT165" s="54" t="n">
        <f aca="false">ROUND(AT$154+AT$109+AT$110+AT$111+AT$118-AT$112-AT$148-AT$164,2)</f>
        <v>0</v>
      </c>
      <c r="AU165" s="54" t="n">
        <f aca="false">ROUND(AU$154+AU$109+AU$110+AU$111+AU$118-AU$112-AU$148-AU$164,2)</f>
        <v>0</v>
      </c>
      <c r="AV165" s="54" t="n">
        <f aca="false">ROUND(AV$154+AV$109+AV$110+AV$111+AV$118-AV$112-AV$148-AV$164,2)</f>
        <v>0</v>
      </c>
      <c r="AW165" s="54" t="n">
        <f aca="false">ROUND(AW$154+AW$109+AW$110+AW$111+AW$118-AW$112-AW$148-AW$164,2)</f>
        <v>0</v>
      </c>
      <c r="AX165" s="54" t="n">
        <f aca="false">ROUND(AX$154+AX$109+AX$110+AX$111+AX$118-AX$112-AX$148-AX$164,2)</f>
        <v>0</v>
      </c>
      <c r="AY165" s="54" t="n">
        <f aca="false">ROUND(AY$154+AY$109+AY$110+AY$111+AY$118-AY$112-AY$148-AY$164,2)</f>
        <v>0</v>
      </c>
      <c r="AZ165" s="54" t="n">
        <f aca="false">ROUND(AZ$154+AZ$109+AZ$110+AZ$111+AZ$118-AZ$112-AZ$148-AZ$164,2)</f>
        <v>0</v>
      </c>
      <c r="BA165" s="54" t="n">
        <f aca="false">ROUND(BA$154+BA$109+BA$110+BA$111+BA$118-BA$112-BA$148-BA$164,2)</f>
        <v>0</v>
      </c>
      <c r="BB165" s="54" t="n">
        <f aca="false">ROUND(BB$154+BB$109+BB$110+BB$111+BB$118-BB$112-BB$148-BB$164,2)</f>
        <v>0</v>
      </c>
      <c r="BC165" s="54" t="n">
        <f aca="false">ROUND(BC$154+BC$109+BC$110+BC$111+BC$118-BC$112-BC$148-BC$164,2)</f>
        <v>0</v>
      </c>
      <c r="BD165" s="54" t="n">
        <f aca="false">ROUND(BD$154+BD$109+BD$110+BD$111+BD$118-BD$112-BD$148-BD$164,2)</f>
        <v>0</v>
      </c>
      <c r="BE165" s="54" t="n">
        <f aca="false">ROUND(BE$154+BE$109+BE$110+BE$111+BE$118-BE$112-BE$148-BE$164,2)</f>
        <v>0</v>
      </c>
      <c r="BF165" s="54" t="n">
        <f aca="false">ROUND(BF$154+BF$109+BF$110+BF$111+BF$118-BF$112-BF$148-BF$164,2)</f>
        <v>0</v>
      </c>
      <c r="BG165" s="54" t="n">
        <f aca="false">ROUND(BG$154+BG$109+BG$110+BG$111+BG$118-BG$112-BG$148-BG$164,2)</f>
        <v>0</v>
      </c>
      <c r="BH165" s="54" t="n">
        <f aca="false">ROUND(BH$154+BH$109+BH$110+BH$111+BH$118-BH$112-BH$148-BH$164,2)</f>
        <v>0</v>
      </c>
      <c r="BI165" s="54" t="n">
        <f aca="false">ROUND(BI$154+BI$109+BI$110+BI$111+BI$118-BI$112-BI$148-BI$164,2)</f>
        <v>0</v>
      </c>
      <c r="BJ165" s="54" t="n">
        <f aca="false">ROUND(BJ$154+BJ$109+BJ$110+BJ$111+BJ$118-BJ$112-BJ$148-BJ$164,2)</f>
        <v>0</v>
      </c>
      <c r="BK165" s="54" t="n">
        <f aca="false">ROUND(BK$154+BK$109+BK$110+BK$111+BK$118-BK$112-BK$148-BK$164,2)</f>
        <v>0</v>
      </c>
      <c r="BL165" s="54" t="n">
        <f aca="false">ROUND(BL$154+BL$109+BL$110+BL$111+BL$118-BL$112-BL$148-BL$164,2)</f>
        <v>0</v>
      </c>
      <c r="BM165" s="54" t="n">
        <f aca="false">ROUND(BM$154+BM$109+BM$110+BM$111+BM$118-BM$112-BM$148-BM$164,2)</f>
        <v>0</v>
      </c>
      <c r="BN165" s="54" t="n">
        <f aca="false">ROUND(BN$154+BN$109+BN$110+BN$111+BN$118-BN$112-BN$148-BN$164,2)</f>
        <v>0</v>
      </c>
      <c r="BO165" s="54" t="n">
        <f aca="false">ROUND(BO$154+BO$109+BO$110+BO$111+BO$118-BO$112-BO$148-BO$164,2)</f>
        <v>0</v>
      </c>
      <c r="BP165" s="54" t="n">
        <f aca="false">ROUND(BP$154+BP$109+BP$110+BP$111+BP$118-BP$112-BP$148-BP$164,2)</f>
        <v>0</v>
      </c>
      <c r="BQ165" s="54" t="n">
        <f aca="false">ROUND(BQ$154+BQ$109+BQ$110+BQ$111+BQ$118-BQ$112-BQ$148-BQ$164,2)</f>
        <v>0</v>
      </c>
      <c r="BR165" s="54" t="n">
        <f aca="false">ROUND(BR$154+BR$109+BR$110+BR$111+BR$118-BR$112-BR$148-BR$164,2)</f>
        <v>0</v>
      </c>
      <c r="BS165" s="54" t="n">
        <f aca="false">ROUND(BS$154+BS$109+BS$110+BS$111+BS$118-BS$112-BS$148-BS$164,2)</f>
        <v>0</v>
      </c>
      <c r="BT165" s="54" t="n">
        <f aca="false">ROUND(BT$154+BT$109+BT$110+BT$111+BT$118-BT$112-BT$148-BT$164,2)</f>
        <v>0</v>
      </c>
      <c r="BU165" s="54" t="n">
        <f aca="false">ROUND(BU$154+BU$109+BU$110+BU$111+BU$118-BU$112-BU$148-BU$164,2)</f>
        <v>0</v>
      </c>
      <c r="BV165" s="54" t="n">
        <f aca="false">ROUND(BV$154+BV$109+BV$110+BV$111+BV$118-BV$112-BV$148-BV$164,2)</f>
        <v>0</v>
      </c>
      <c r="BW165" s="54" t="n">
        <f aca="false">ROUND(BW$154+BW$109+BW$110+BW$111+BW$118-BW$112-BW$148-BW$164,2)</f>
        <v>0</v>
      </c>
      <c r="BX165" s="54" t="n">
        <f aca="false">ROUND(BX$154+BX$109+BX$110+BX$111+BX$118-BX$112-BX$148-BX$164,2)</f>
        <v>0</v>
      </c>
      <c r="BY165" s="54" t="n">
        <f aca="false">ROUND(BY$154+BY$109+BY$110+BY$111+BY$118-BY$112-BY$148-BY$164,2)</f>
        <v>0</v>
      </c>
      <c r="BZ165" s="54" t="n">
        <f aca="false">ROUND(BZ$154+BZ$109+BZ$110+BZ$111+BZ$118-BZ$112-BZ$148-BZ$164,2)</f>
        <v>0</v>
      </c>
      <c r="CA165" s="54" t="n">
        <f aca="false">ROUND(CA$154+CA$109+CA$110+CA$111+CA$118-CA$112-CA$148-CA$164,2)</f>
        <v>0</v>
      </c>
      <c r="CB165" s="54" t="n">
        <f aca="false">ROUND(CB$154+CB$109+CB$110+CB$111+CB$118-CB$112-CB$148-CB$164,2)</f>
        <v>0</v>
      </c>
      <c r="CC165" s="54" t="n">
        <f aca="false">ROUND(CC$154+CC$109+CC$110+CC$111+CC$118-CC$112-CC$148-CC$164,2)</f>
        <v>0</v>
      </c>
      <c r="CD165" s="54" t="n">
        <f aca="false">ROUND(CD$154+CD$109+CD$110+CD$111+CD$118-CD$112-CD$148-CD$164,2)</f>
        <v>0</v>
      </c>
      <c r="CE165" s="54" t="n">
        <f aca="false">ROUND(CE$154+CE$109+CE$110+CE$111+CE$118-CE$112-CE$148-CE$164,2)</f>
        <v>0</v>
      </c>
      <c r="CF165" s="54" t="n">
        <f aca="false">ROUND(CF$154+CF$109+CF$110+CF$111+CF$118-CF$112-CF$148-CF$164,2)</f>
        <v>0</v>
      </c>
      <c r="CG165" s="54" t="n">
        <f aca="false">ROUND(CG$154+CG$109+CG$110+CG$111+CG$118-CG$112-CG$148-CG$164,2)</f>
        <v>0</v>
      </c>
      <c r="CH165" s="54" t="n">
        <f aca="false">ROUND(CH$154+CH$109+CH$110+CH$111+CH$118-CH$112-CH$148-CH$164,2)</f>
        <v>0</v>
      </c>
      <c r="CI165" s="54" t="n">
        <f aca="false">ROUND(CI$154+CI$109+CI$110+CI$111+CI$118-CI$112-CI$148-CI$164,2)</f>
        <v>0</v>
      </c>
      <c r="CJ165" s="54" t="n">
        <f aca="false">ROUND(CJ$154+CJ$109+CJ$110+CJ$111+CJ$118-CJ$112-CJ$148-CJ$164,2)</f>
        <v>0</v>
      </c>
      <c r="CK165" s="54" t="n">
        <f aca="false">ROUND(CK$154+CK$109+CK$110+CK$111+CK$118-CK$112-CK$148-CK$164,2)</f>
        <v>0</v>
      </c>
      <c r="CL165" s="54" t="n">
        <f aca="false">ROUND(CL$154+CL$109+CL$110+CL$111+CL$118-CL$112-CL$148-CL$164,2)</f>
        <v>0</v>
      </c>
      <c r="CM165" s="54" t="n">
        <f aca="false">ROUND(CM$154+CM$109+CM$110+CM$111+CM$118-CM$112-CM$148-CM$164,2)</f>
        <v>0</v>
      </c>
      <c r="CN165" s="54" t="n">
        <f aca="false">ROUND(CN$154+CN$109+CN$110+CN$111+CN$118-CN$112-CN$148-CN$164,2)</f>
        <v>0</v>
      </c>
      <c r="CO165" s="54" t="n">
        <f aca="false">ROUND(CO$154+CO$109+CO$110+CO$111+CO$118-CO$112-CO$148-CO$164,2)</f>
        <v>0</v>
      </c>
      <c r="CP165" s="54" t="n">
        <f aca="false">ROUND(CP$154+CP$109+CP$110+CP$111+CP$118-CP$112-CP$148-CP$164,2)</f>
        <v>0</v>
      </c>
      <c r="CQ165" s="54" t="n">
        <f aca="false">ROUND(CQ$154+CQ$109+CQ$110+CQ$111+CQ$118-CQ$112-CQ$148-CQ$164,2)</f>
        <v>0</v>
      </c>
      <c r="CR165" s="54" t="n">
        <f aca="false">ROUND(CR$154+CR$109+CR$110+CR$111+CR$118-CR$112-CR$148-CR$164,2)</f>
        <v>0</v>
      </c>
      <c r="CS165" s="54" t="n">
        <f aca="false">ROUND(CS$154+CS$109+CS$110+CS$111+CS$118-CS$112-CS$148-CS$164,2)</f>
        <v>0</v>
      </c>
      <c r="CT165" s="54" t="n">
        <f aca="false">ROUND(CT$154+CT$109+CT$110+CT$111+CT$118-CT$112-CT$148-CT$164,2)</f>
        <v>0</v>
      </c>
      <c r="CU165" s="54" t="n">
        <f aca="false">ROUND(CU$154+CU$109+CU$110+CU$111+CU$118-CU$112-CU$148-CU$164,2)</f>
        <v>0</v>
      </c>
      <c r="CV165" s="54" t="n">
        <f aca="false">ROUND(CV$154+CV$109+CV$110+CV$111+CV$118-CV$112-CV$148-CV$164,2)</f>
        <v>0</v>
      </c>
      <c r="CW165" s="54" t="n">
        <f aca="false">ROUND(CW$154+CW$109+CW$110+CW$111+CW$118-CW$112-CW$148-CW$164,2)</f>
        <v>0</v>
      </c>
      <c r="CX165" s="54" t="n">
        <f aca="false">ROUND(CX$154+CX$109+CX$110+CX$111+CX$118-CX$112-CX$148-CX$164,2)</f>
        <v>0</v>
      </c>
      <c r="CY165" s="54" t="n">
        <f aca="false">ROUND(CY$154+CY$109+CY$110+CY$111+CY$118-CY$112-CY$148-CY$164,2)</f>
        <v>0</v>
      </c>
      <c r="CZ165" s="54" t="n">
        <f aca="false">ROUND(CZ$154+CZ$109+CZ$110+CZ$111+CZ$118-CZ$112-CZ$148-CZ$164,2)</f>
        <v>0</v>
      </c>
      <c r="DA165" s="54" t="n">
        <f aca="false">ROUND(DA$154+DA$109+DA$110+DA$111+DA$118-DA$112-DA$148-DA$164,2)</f>
        <v>0</v>
      </c>
      <c r="DB165" s="54" t="n">
        <f aca="false">ROUND(DB$154+DB$109+DB$110+DB$111+DB$118-DB$112-DB$148-DB$164,2)</f>
        <v>0</v>
      </c>
      <c r="DC165" s="54" t="n">
        <f aca="false">ROUND(DC$154+DC$109+DC$110+DC$111+DC$118-DC$112-DC$148-DC$164,2)</f>
        <v>0</v>
      </c>
      <c r="DD165" s="54" t="n">
        <f aca="false">ROUND(DD$154+DD$109+DD$110+DD$111+DD$118-DD$112-DD$148-DD$164,2)</f>
        <v>0</v>
      </c>
      <c r="DE165" s="54" t="n">
        <f aca="false">ROUND(DE$154+DE$109+DE$110+DE$111+DE$118-DE$112-DE$148-DE$164,2)</f>
        <v>0</v>
      </c>
      <c r="DF165" s="54" t="n">
        <f aca="false">ROUND(DF$154+DF$109+DF$110+DF$111+DF$118-DF$112-DF$148-DF$164,2)</f>
        <v>0</v>
      </c>
      <c r="DG165" s="54" t="n">
        <f aca="false">ROUND(DG$154+DG$109+DG$110+DG$111+DG$118-DG$112-DG$148-DG$164,2)</f>
        <v>0</v>
      </c>
      <c r="DH165" s="54" t="n">
        <f aca="false">ROUND(DH$154+DH$109+DH$110+DH$111+DH$118-DH$112-DH$148-DH$164,2)</f>
        <v>0</v>
      </c>
      <c r="DI165" s="54" t="n">
        <f aca="false">ROUND(DI$154+DI$109+DI$110+DI$111+DI$118-DI$112-DI$148-DI$164,2)</f>
        <v>0</v>
      </c>
      <c r="DJ165" s="54" t="n">
        <f aca="false">ROUND(DJ$154+DJ$109+DJ$110+DJ$111+DJ$118-DJ$112-DJ$148-DJ$164,2)</f>
        <v>0</v>
      </c>
      <c r="DK165" s="54" t="n">
        <f aca="false">ROUND(DK$154+DK$109+DK$110+DK$111+DK$118-DK$112-DK$148-DK$164,2)</f>
        <v>0</v>
      </c>
      <c r="DL165" s="54" t="n">
        <f aca="false">ROUND(DL$154+DL$109+DL$110+DL$111+DL$118-DL$112-DL$148-DL$164,2)</f>
        <v>0</v>
      </c>
      <c r="DM165" s="54" t="n">
        <f aca="false">ROUND(DM$154+DM$109+DM$110+DM$111+DM$118-DM$112-DM$148-DM$164,2)</f>
        <v>0</v>
      </c>
      <c r="DN165" s="54" t="n">
        <f aca="false">ROUND(DN$154+DN$109+DN$110+DN$111+DN$118-DN$112-DN$148-DN$164,2)</f>
        <v>0</v>
      </c>
      <c r="DO165" s="54" t="n">
        <f aca="false">ROUND(DO$154+DO$109+DO$110+DO$111+DO$118-DO$112-DO$148-DO$164,2)</f>
        <v>0</v>
      </c>
      <c r="DP165" s="54" t="n">
        <f aca="false">ROUND(DP$154+DP$109+DP$110+DP$111+DP$118-DP$112-DP$148-DP$164,2)</f>
        <v>0</v>
      </c>
      <c r="DQ165" s="54" t="n">
        <f aca="false">ROUND(DQ$154+DQ$109+DQ$110+DQ$111+DQ$118-DQ$112-DQ$148-DQ$164,2)</f>
        <v>0</v>
      </c>
      <c r="DR165" s="54" t="n">
        <f aca="false">ROUND(DR$154+DR$109+DR$110+DR$111+DR$118-DR$112-DR$148-DR$164,2)</f>
        <v>0</v>
      </c>
      <c r="DS165" s="54" t="n">
        <f aca="false">ROUND(DS$154+DS$109+DS$110+DS$111+DS$118-DS$112-DS$148-DS$164,2)</f>
        <v>0</v>
      </c>
      <c r="DT165" s="54" t="n">
        <f aca="false">ROUND(DT$154+DT$109+DT$110+DT$111+DT$118-DT$112-DT$148-DT$164,2)</f>
        <v>0</v>
      </c>
      <c r="DU165" s="54" t="n">
        <f aca="false">ROUND(DU$154+DU$109+DU$110+DU$111+DU$118-DU$112-DU$148-DU$164,2)</f>
        <v>0</v>
      </c>
      <c r="DV165" s="54" t="n">
        <f aca="false">ROUND(DV$154+DV$109+DV$110+DV$111+DV$118-DV$112-DV$148-DV$164,2)</f>
        <v>0</v>
      </c>
      <c r="DW165" s="54" t="n">
        <f aca="false">ROUND(DW$154+DW$109+DW$110+DW$111+DW$118-DW$112-DW$148-DW$164,2)</f>
        <v>0</v>
      </c>
      <c r="DX165" s="54" t="n">
        <f aca="false">ROUND(DX$154+DX$109+DX$110+DX$111+DX$118-DX$112-DX$148-DX$164,2)</f>
        <v>0</v>
      </c>
      <c r="DY165" s="54" t="n">
        <f aca="false">ROUND(DY$154+DY$109+DY$110+DY$111+DY$118-DY$112-DY$148-DY$164,2)</f>
        <v>0</v>
      </c>
      <c r="DZ165" s="54" t="n">
        <f aca="false">ROUND(DZ$154+DZ$109+DZ$110+DZ$111+DZ$118-DZ$112-DZ$148-DZ$164,2)</f>
        <v>0</v>
      </c>
      <c r="EA165" s="54" t="n">
        <f aca="false">ROUND(EA$154+EA$109+EA$110+EA$111+EA$118-EA$112-EA$148-EA$164,2)</f>
        <v>0</v>
      </c>
      <c r="EB165" s="54" t="n">
        <f aca="false">ROUND(EB$154+EB$109+EB$110+EB$111+EB$118-EB$112-EB$148-EB$164,2)</f>
        <v>0</v>
      </c>
      <c r="EC165" s="54" t="n">
        <f aca="false">ROUND(EC$154+EC$109+EC$110+EC$111+EC$118-EC$112-EC$148-EC$164,2)</f>
        <v>0</v>
      </c>
      <c r="ED165" s="54" t="n">
        <f aca="false">ROUND(ED$154+ED$109+ED$110+ED$111+ED$118-ED$112-ED$148-ED$164,2)</f>
        <v>0</v>
      </c>
      <c r="EE165" s="54" t="n">
        <f aca="false">ROUND(EE$154+EE$109+EE$110+EE$111+EE$118-EE$112-EE$148-EE$164,2)</f>
        <v>0</v>
      </c>
      <c r="EF165" s="54" t="n">
        <f aca="false">ROUND(EF$154+EF$109+EF$110+EF$111+EF$118-EF$112-EF$148-EF$164,2)</f>
        <v>0</v>
      </c>
      <c r="EG165" s="54" t="n">
        <f aca="false">ROUND(EG$154+EG$109+EG$110+EG$111+EG$118-EG$112-EG$148-EG$164,2)</f>
        <v>0</v>
      </c>
      <c r="EH165" s="54" t="n">
        <f aca="false">ROUND(EH$154+EH$109+EH$110+EH$111+EH$118-EH$112-EH$148-EH$164,2)</f>
        <v>0</v>
      </c>
      <c r="EI165" s="54" t="n">
        <f aca="false">ROUND(EI$154+EI$109+EI$110+EI$111+EI$118-EI$112-EI$148-EI$164,2)</f>
        <v>0</v>
      </c>
      <c r="EJ165" s="54" t="n">
        <f aca="false">ROUND(EJ$154+EJ$109+EJ$110+EJ$111+EJ$118-EJ$112-EJ$148-EJ$164,2)</f>
        <v>0</v>
      </c>
      <c r="EK165" s="54" t="n">
        <f aca="false">ROUND(EK$154+EK$109+EK$110+EK$111+EK$118-EK$112-EK$148-EK$164,2)</f>
        <v>0</v>
      </c>
      <c r="EL165" s="54" t="n">
        <f aca="false">ROUND(EL$154+EL$109+EL$110+EL$111+EL$118-EL$112-EL$148-EL$164,2)</f>
        <v>0</v>
      </c>
      <c r="EM165" s="54" t="n">
        <f aca="false">ROUND(EM$154+EM$109+EM$110+EM$111+EM$118-EM$112-EM$148-EM$164,2)</f>
        <v>0</v>
      </c>
      <c r="EN165" s="54" t="n">
        <f aca="false">ROUND(EN$154+EN$109+EN$110+EN$111+EN$118-EN$112-EN$148-EN$164,2)</f>
        <v>0</v>
      </c>
      <c r="EO165" s="54" t="n">
        <f aca="false">ROUND(EO$154+EO$109+EO$110+EO$111+EO$118-EO$112-EO$148-EO$164,2)</f>
        <v>0</v>
      </c>
      <c r="EP165" s="54" t="n">
        <f aca="false">ROUND(EP$154+EP$109+EP$110+EP$111+EP$118-EP$112-EP$148-EP$164,2)</f>
        <v>0</v>
      </c>
      <c r="EQ165" s="54" t="n">
        <f aca="false">ROUND(EQ$154+EQ$109+EQ$110+EQ$111+EQ$118-EQ$112-EQ$148-EQ$164,2)</f>
        <v>0</v>
      </c>
      <c r="ER165" s="54" t="n">
        <f aca="false">ROUND(ER$154+ER$109+ER$110+ER$111+ER$118-ER$112-ER$148-ER$164,2)</f>
        <v>0</v>
      </c>
      <c r="ES165" s="54" t="n">
        <f aca="false">ROUND(ES$154+ES$109+ES$110+ES$111+ES$118-ES$112-ES$148-ES$164,2)</f>
        <v>0</v>
      </c>
    </row>
    <row r="168" customFormat="false" ht="15" hidden="false" customHeight="false" outlineLevel="0" collapsed="false">
      <c r="A168" s="55"/>
      <c r="B168" s="56" t="s">
        <v>812</v>
      </c>
      <c r="C168" s="55"/>
      <c r="D168" s="55"/>
      <c r="E168" s="55"/>
    </row>
    <row r="169" customFormat="false" ht="15" hidden="false" customHeight="false" outlineLevel="0" collapsed="false">
      <c r="A169" s="4"/>
      <c r="B169" s="3" t="s">
        <v>569</v>
      </c>
      <c r="C169" s="4"/>
      <c r="D169" s="4"/>
      <c r="E169" s="4"/>
    </row>
    <row r="170" customFormat="false" ht="15" hidden="false" customHeight="false" outlineLevel="0" collapsed="false">
      <c r="A170" s="2" t="s">
        <v>813</v>
      </c>
      <c r="B170" s="6" t="s">
        <v>571</v>
      </c>
      <c r="C170" s="6" t="s">
        <v>572</v>
      </c>
      <c r="F170" s="19" t="n">
        <f aca="false">IF(AND(1&gt;=V_Inicio,1&lt;=Fin),INT((1-V_Inicio)/12)+1,0)</f>
        <v>1</v>
      </c>
      <c r="G170" s="19" t="n">
        <f aca="false">IF(AND(2&gt;=V_Inicio,2&lt;=Fin),INT((2-V_Inicio)/12)+1,0)</f>
        <v>1</v>
      </c>
      <c r="H170" s="19" t="n">
        <f aca="false">IF(AND(3&gt;=V_Inicio,3&lt;=Fin),INT((3-V_Inicio)/12)+1,0)</f>
        <v>1</v>
      </c>
      <c r="I170" s="19" t="n">
        <f aca="false">IF(AND(4&gt;=V_Inicio,4&lt;=Fin),INT((4-V_Inicio)/12)+1,0)</f>
        <v>1</v>
      </c>
      <c r="J170" s="19" t="n">
        <f aca="false">IF(AND(5&gt;=V_Inicio,5&lt;=Fin),INT((5-V_Inicio)/12)+1,0)</f>
        <v>1</v>
      </c>
      <c r="K170" s="19" t="n">
        <f aca="false">IF(AND(6&gt;=V_Inicio,6&lt;=Fin),INT((6-V_Inicio)/12)+1,0)</f>
        <v>1</v>
      </c>
      <c r="L170" s="19" t="n">
        <f aca="false">IF(AND(7&gt;=V_Inicio,7&lt;=Fin),INT((7-V_Inicio)/12)+1,0)</f>
        <v>1</v>
      </c>
      <c r="M170" s="19" t="n">
        <f aca="false">IF(AND(8&gt;=V_Inicio,8&lt;=Fin),INT((8-V_Inicio)/12)+1,0)</f>
        <v>1</v>
      </c>
      <c r="N170" s="19" t="n">
        <f aca="false">IF(AND(9&gt;=V_Inicio,9&lt;=Fin),INT((9-V_Inicio)/12)+1,0)</f>
        <v>1</v>
      </c>
      <c r="O170" s="19" t="n">
        <f aca="false">IF(AND(10&gt;=V_Inicio,10&lt;=Fin),INT((10-V_Inicio)/12)+1,0)</f>
        <v>1</v>
      </c>
      <c r="P170" s="19" t="n">
        <f aca="false">IF(AND(11&gt;=V_Inicio,11&lt;=Fin),INT((11-V_Inicio)/12)+1,0)</f>
        <v>1</v>
      </c>
      <c r="Q170" s="19" t="n">
        <f aca="false">IF(AND(12&gt;=V_Inicio,12&lt;=Fin),INT((12-V_Inicio)/12)+1,0)</f>
        <v>1</v>
      </c>
      <c r="R170" s="19" t="n">
        <f aca="false">IF(AND(13&gt;=V_Inicio,13&lt;=Fin),INT((13-V_Inicio)/12)+1,0)</f>
        <v>2</v>
      </c>
      <c r="S170" s="19" t="n">
        <f aca="false">IF(AND(14&gt;=V_Inicio,14&lt;=Fin),INT((14-V_Inicio)/12)+1,0)</f>
        <v>2</v>
      </c>
      <c r="T170" s="19" t="n">
        <f aca="false">IF(AND(15&gt;=V_Inicio,15&lt;=Fin),INT((15-V_Inicio)/12)+1,0)</f>
        <v>2</v>
      </c>
      <c r="U170" s="19" t="n">
        <f aca="false">IF(AND(16&gt;=V_Inicio,16&lt;=Fin),INT((16-V_Inicio)/12)+1,0)</f>
        <v>2</v>
      </c>
      <c r="V170" s="19" t="n">
        <f aca="false">IF(AND(17&gt;=V_Inicio,17&lt;=Fin),INT((17-V_Inicio)/12)+1,0)</f>
        <v>2</v>
      </c>
      <c r="W170" s="19" t="n">
        <f aca="false">IF(AND(18&gt;=V_Inicio,18&lt;=Fin),INT((18-V_Inicio)/12)+1,0)</f>
        <v>2</v>
      </c>
      <c r="X170" s="19" t="n">
        <f aca="false">IF(AND(19&gt;=V_Inicio,19&lt;=Fin),INT((19-V_Inicio)/12)+1,0)</f>
        <v>2</v>
      </c>
      <c r="Y170" s="19" t="n">
        <f aca="false">IF(AND(20&gt;=V_Inicio,20&lt;=Fin),INT((20-V_Inicio)/12)+1,0)</f>
        <v>2</v>
      </c>
      <c r="Z170" s="19" t="n">
        <f aca="false">IF(AND(21&gt;=V_Inicio,21&lt;=Fin),INT((21-V_Inicio)/12)+1,0)</f>
        <v>2</v>
      </c>
      <c r="AA170" s="19" t="n">
        <f aca="false">IF(AND(22&gt;=V_Inicio,22&lt;=Fin),INT((22-V_Inicio)/12)+1,0)</f>
        <v>2</v>
      </c>
      <c r="AB170" s="19" t="n">
        <f aca="false">IF(AND(23&gt;=V_Inicio,23&lt;=Fin),INT((23-V_Inicio)/12)+1,0)</f>
        <v>2</v>
      </c>
      <c r="AC170" s="19" t="n">
        <f aca="false">IF(AND(24&gt;=V_Inicio,24&lt;=Fin),INT((24-V_Inicio)/12)+1,0)</f>
        <v>2</v>
      </c>
      <c r="AD170" s="19" t="n">
        <f aca="false">IF(AND(25&gt;=V_Inicio,25&lt;=Fin),INT((25-V_Inicio)/12)+1,0)</f>
        <v>3</v>
      </c>
      <c r="AE170" s="19" t="n">
        <f aca="false">IF(AND(26&gt;=V_Inicio,26&lt;=Fin),INT((26-V_Inicio)/12)+1,0)</f>
        <v>3</v>
      </c>
      <c r="AF170" s="19" t="n">
        <f aca="false">IF(AND(27&gt;=V_Inicio,27&lt;=Fin),INT((27-V_Inicio)/12)+1,0)</f>
        <v>3</v>
      </c>
      <c r="AG170" s="19" t="n">
        <f aca="false">IF(AND(28&gt;=V_Inicio,28&lt;=Fin),INT((28-V_Inicio)/12)+1,0)</f>
        <v>3</v>
      </c>
      <c r="AH170" s="19" t="n">
        <f aca="false">IF(AND(29&gt;=V_Inicio,29&lt;=Fin),INT((29-V_Inicio)/12)+1,0)</f>
        <v>3</v>
      </c>
      <c r="AI170" s="19" t="n">
        <f aca="false">IF(AND(30&gt;=V_Inicio,30&lt;=Fin),INT((30-V_Inicio)/12)+1,0)</f>
        <v>3</v>
      </c>
      <c r="AJ170" s="19" t="n">
        <f aca="false">IF(AND(31&gt;=V_Inicio,31&lt;=Fin),INT((31-V_Inicio)/12)+1,0)</f>
        <v>3</v>
      </c>
      <c r="AK170" s="19" t="n">
        <f aca="false">IF(AND(32&gt;=V_Inicio,32&lt;=Fin),INT((32-V_Inicio)/12)+1,0)</f>
        <v>3</v>
      </c>
      <c r="AL170" s="19" t="n">
        <f aca="false">IF(AND(33&gt;=V_Inicio,33&lt;=Fin),INT((33-V_Inicio)/12)+1,0)</f>
        <v>3</v>
      </c>
      <c r="AM170" s="19" t="n">
        <f aca="false">IF(AND(34&gt;=V_Inicio,34&lt;=Fin),INT((34-V_Inicio)/12)+1,0)</f>
        <v>3</v>
      </c>
      <c r="AN170" s="19" t="n">
        <f aca="false">IF(AND(35&gt;=V_Inicio,35&lt;=Fin),INT((35-V_Inicio)/12)+1,0)</f>
        <v>3</v>
      </c>
      <c r="AO170" s="19" t="n">
        <f aca="false">IF(AND(36&gt;=V_Inicio,36&lt;=Fin),INT((36-V_Inicio)/12)+1,0)</f>
        <v>3</v>
      </c>
      <c r="AP170" s="19" t="n">
        <f aca="false">IF(AND(37&gt;=V_Inicio,37&lt;=Fin),INT((37-V_Inicio)/12)+1,0)</f>
        <v>4</v>
      </c>
      <c r="AQ170" s="19" t="n">
        <f aca="false">IF(AND(38&gt;=V_Inicio,38&lt;=Fin),INT((38-V_Inicio)/12)+1,0)</f>
        <v>4</v>
      </c>
      <c r="AR170" s="19" t="n">
        <f aca="false">IF(AND(39&gt;=V_Inicio,39&lt;=Fin),INT((39-V_Inicio)/12)+1,0)</f>
        <v>4</v>
      </c>
      <c r="AS170" s="19" t="n">
        <f aca="false">IF(AND(40&gt;=V_Inicio,40&lt;=Fin),INT((40-V_Inicio)/12)+1,0)</f>
        <v>4</v>
      </c>
      <c r="AT170" s="19" t="n">
        <f aca="false">IF(AND(41&gt;=V_Inicio,41&lt;=Fin),INT((41-V_Inicio)/12)+1,0)</f>
        <v>4</v>
      </c>
      <c r="AU170" s="19" t="n">
        <f aca="false">IF(AND(42&gt;=V_Inicio,42&lt;=Fin),INT((42-V_Inicio)/12)+1,0)</f>
        <v>4</v>
      </c>
      <c r="AV170" s="19" t="n">
        <f aca="false">IF(AND(43&gt;=V_Inicio,43&lt;=Fin),INT((43-V_Inicio)/12)+1,0)</f>
        <v>4</v>
      </c>
      <c r="AW170" s="19" t="n">
        <f aca="false">IF(AND(44&gt;=V_Inicio,44&lt;=Fin),INT((44-V_Inicio)/12)+1,0)</f>
        <v>4</v>
      </c>
      <c r="AX170" s="19" t="n">
        <f aca="false">IF(AND(45&gt;=V_Inicio,45&lt;=Fin),INT((45-V_Inicio)/12)+1,0)</f>
        <v>4</v>
      </c>
      <c r="AY170" s="19" t="n">
        <f aca="false">IF(AND(46&gt;=V_Inicio,46&lt;=Fin),INT((46-V_Inicio)/12)+1,0)</f>
        <v>4</v>
      </c>
      <c r="AZ170" s="19" t="n">
        <f aca="false">IF(AND(47&gt;=V_Inicio,47&lt;=Fin),INT((47-V_Inicio)/12)+1,0)</f>
        <v>4</v>
      </c>
      <c r="BA170" s="19" t="n">
        <f aca="false">IF(AND(48&gt;=V_Inicio,48&lt;=Fin),INT((48-V_Inicio)/12)+1,0)</f>
        <v>4</v>
      </c>
      <c r="BB170" s="19" t="n">
        <f aca="false">IF(AND(49&gt;=V_Inicio,49&lt;=Fin),INT((49-V_Inicio)/12)+1,0)</f>
        <v>5</v>
      </c>
      <c r="BC170" s="19" t="n">
        <f aca="false">IF(AND(50&gt;=V_Inicio,50&lt;=Fin),INT((50-V_Inicio)/12)+1,0)</f>
        <v>5</v>
      </c>
      <c r="BD170" s="19" t="n">
        <f aca="false">IF(AND(51&gt;=V_Inicio,51&lt;=Fin),INT((51-V_Inicio)/12)+1,0)</f>
        <v>5</v>
      </c>
      <c r="BE170" s="19" t="n">
        <f aca="false">IF(AND(52&gt;=V_Inicio,52&lt;=Fin),INT((52-V_Inicio)/12)+1,0)</f>
        <v>5</v>
      </c>
      <c r="BF170" s="19" t="n">
        <f aca="false">IF(AND(53&gt;=V_Inicio,53&lt;=Fin),INT((53-V_Inicio)/12)+1,0)</f>
        <v>5</v>
      </c>
      <c r="BG170" s="19" t="n">
        <f aca="false">IF(AND(54&gt;=V_Inicio,54&lt;=Fin),INT((54-V_Inicio)/12)+1,0)</f>
        <v>5</v>
      </c>
      <c r="BH170" s="19" t="n">
        <f aca="false">IF(AND(55&gt;=V_Inicio,55&lt;=Fin),INT((55-V_Inicio)/12)+1,0)</f>
        <v>5</v>
      </c>
      <c r="BI170" s="19" t="n">
        <f aca="false">IF(AND(56&gt;=V_Inicio,56&lt;=Fin),INT((56-V_Inicio)/12)+1,0)</f>
        <v>5</v>
      </c>
      <c r="BJ170" s="19" t="n">
        <f aca="false">IF(AND(57&gt;=V_Inicio,57&lt;=Fin),INT((57-V_Inicio)/12)+1,0)</f>
        <v>5</v>
      </c>
      <c r="BK170" s="19" t="n">
        <f aca="false">IF(AND(58&gt;=V_Inicio,58&lt;=Fin),INT((58-V_Inicio)/12)+1,0)</f>
        <v>5</v>
      </c>
      <c r="BL170" s="19" t="n">
        <f aca="false">IF(AND(59&gt;=V_Inicio,59&lt;=Fin),INT((59-V_Inicio)/12)+1,0)</f>
        <v>5</v>
      </c>
      <c r="BM170" s="19" t="n">
        <f aca="false">IF(AND(60&gt;=V_Inicio,60&lt;=Fin),INT((60-V_Inicio)/12)+1,0)</f>
        <v>5</v>
      </c>
      <c r="BN170" s="19" t="n">
        <f aca="false">IF(AND(61&gt;=V_Inicio,61&lt;=Fin),INT((61-V_Inicio)/12)+1,0)</f>
        <v>6</v>
      </c>
      <c r="BO170" s="19" t="n">
        <f aca="false">IF(AND(62&gt;=V_Inicio,62&lt;=Fin),INT((62-V_Inicio)/12)+1,0)</f>
        <v>6</v>
      </c>
      <c r="BP170" s="19" t="n">
        <f aca="false">IF(AND(63&gt;=V_Inicio,63&lt;=Fin),INT((63-V_Inicio)/12)+1,0)</f>
        <v>6</v>
      </c>
      <c r="BQ170" s="19" t="n">
        <f aca="false">IF(AND(64&gt;=V_Inicio,64&lt;=Fin),INT((64-V_Inicio)/12)+1,0)</f>
        <v>6</v>
      </c>
      <c r="BR170" s="19" t="n">
        <f aca="false">IF(AND(65&gt;=V_Inicio,65&lt;=Fin),INT((65-V_Inicio)/12)+1,0)</f>
        <v>6</v>
      </c>
      <c r="BS170" s="19" t="n">
        <f aca="false">IF(AND(66&gt;=V_Inicio,66&lt;=Fin),INT((66-V_Inicio)/12)+1,0)</f>
        <v>6</v>
      </c>
      <c r="BT170" s="19" t="n">
        <f aca="false">IF(AND(67&gt;=V_Inicio,67&lt;=Fin),INT((67-V_Inicio)/12)+1,0)</f>
        <v>6</v>
      </c>
      <c r="BU170" s="19" t="n">
        <f aca="false">IF(AND(68&gt;=V_Inicio,68&lt;=Fin),INT((68-V_Inicio)/12)+1,0)</f>
        <v>6</v>
      </c>
      <c r="BV170" s="19" t="n">
        <f aca="false">IF(AND(69&gt;=V_Inicio,69&lt;=Fin),INT((69-V_Inicio)/12)+1,0)</f>
        <v>6</v>
      </c>
      <c r="BW170" s="19" t="n">
        <f aca="false">IF(AND(70&gt;=V_Inicio,70&lt;=Fin),INT((70-V_Inicio)/12)+1,0)</f>
        <v>6</v>
      </c>
      <c r="BX170" s="19" t="n">
        <f aca="false">IF(AND(71&gt;=V_Inicio,71&lt;=Fin),INT((71-V_Inicio)/12)+1,0)</f>
        <v>6</v>
      </c>
      <c r="BY170" s="19" t="n">
        <f aca="false">IF(AND(72&gt;=V_Inicio,72&lt;=Fin),INT((72-V_Inicio)/12)+1,0)</f>
        <v>6</v>
      </c>
      <c r="BZ170" s="19" t="n">
        <f aca="false">IF(AND(73&gt;=V_Inicio,73&lt;=Fin),INT((73-V_Inicio)/12)+1,0)</f>
        <v>7</v>
      </c>
      <c r="CA170" s="19" t="n">
        <f aca="false">IF(AND(74&gt;=V_Inicio,74&lt;=Fin),INT((74-V_Inicio)/12)+1,0)</f>
        <v>7</v>
      </c>
      <c r="CB170" s="19" t="n">
        <f aca="false">IF(AND(75&gt;=V_Inicio,75&lt;=Fin),INT((75-V_Inicio)/12)+1,0)</f>
        <v>7</v>
      </c>
      <c r="CC170" s="19" t="n">
        <f aca="false">IF(AND(76&gt;=V_Inicio,76&lt;=Fin),INT((76-V_Inicio)/12)+1,0)</f>
        <v>7</v>
      </c>
      <c r="CD170" s="19" t="n">
        <f aca="false">IF(AND(77&gt;=V_Inicio,77&lt;=Fin),INT((77-V_Inicio)/12)+1,0)</f>
        <v>7</v>
      </c>
      <c r="CE170" s="19" t="n">
        <f aca="false">IF(AND(78&gt;=V_Inicio,78&lt;=Fin),INT((78-V_Inicio)/12)+1,0)</f>
        <v>7</v>
      </c>
      <c r="CF170" s="19" t="n">
        <f aca="false">IF(AND(79&gt;=V_Inicio,79&lt;=Fin),INT((79-V_Inicio)/12)+1,0)</f>
        <v>7</v>
      </c>
      <c r="CG170" s="19" t="n">
        <f aca="false">IF(AND(80&gt;=V_Inicio,80&lt;=Fin),INT((80-V_Inicio)/12)+1,0)</f>
        <v>7</v>
      </c>
      <c r="CH170" s="19" t="n">
        <f aca="false">IF(AND(81&gt;=V_Inicio,81&lt;=Fin),INT((81-V_Inicio)/12)+1,0)</f>
        <v>7</v>
      </c>
      <c r="CI170" s="19" t="n">
        <f aca="false">IF(AND(82&gt;=V_Inicio,82&lt;=Fin),INT((82-V_Inicio)/12)+1,0)</f>
        <v>7</v>
      </c>
      <c r="CJ170" s="19" t="n">
        <f aca="false">IF(AND(83&gt;=V_Inicio,83&lt;=Fin),INT((83-V_Inicio)/12)+1,0)</f>
        <v>7</v>
      </c>
      <c r="CK170" s="19" t="n">
        <f aca="false">IF(AND(84&gt;=V_Inicio,84&lt;=Fin),INT((84-V_Inicio)/12)+1,0)</f>
        <v>7</v>
      </c>
      <c r="CL170" s="19" t="n">
        <f aca="false">IF(AND(85&gt;=V_Inicio,85&lt;=Fin),INT((85-V_Inicio)/12)+1,0)</f>
        <v>8</v>
      </c>
      <c r="CM170" s="19" t="n">
        <f aca="false">IF(AND(86&gt;=V_Inicio,86&lt;=Fin),INT((86-V_Inicio)/12)+1,0)</f>
        <v>8</v>
      </c>
      <c r="CN170" s="19" t="n">
        <f aca="false">IF(AND(87&gt;=V_Inicio,87&lt;=Fin),INT((87-V_Inicio)/12)+1,0)</f>
        <v>8</v>
      </c>
      <c r="CO170" s="19" t="n">
        <f aca="false">IF(AND(88&gt;=V_Inicio,88&lt;=Fin),INT((88-V_Inicio)/12)+1,0)</f>
        <v>8</v>
      </c>
      <c r="CP170" s="19" t="n">
        <f aca="false">IF(AND(89&gt;=V_Inicio,89&lt;=Fin),INT((89-V_Inicio)/12)+1,0)</f>
        <v>8</v>
      </c>
      <c r="CQ170" s="19" t="n">
        <f aca="false">IF(AND(90&gt;=V_Inicio,90&lt;=Fin),INT((90-V_Inicio)/12)+1,0)</f>
        <v>8</v>
      </c>
      <c r="CR170" s="19" t="n">
        <f aca="false">IF(AND(91&gt;=V_Inicio,91&lt;=Fin),INT((91-V_Inicio)/12)+1,0)</f>
        <v>8</v>
      </c>
      <c r="CS170" s="19" t="n">
        <f aca="false">IF(AND(92&gt;=V_Inicio,92&lt;=Fin),INT((92-V_Inicio)/12)+1,0)</f>
        <v>8</v>
      </c>
      <c r="CT170" s="19" t="n">
        <f aca="false">IF(AND(93&gt;=V_Inicio,93&lt;=Fin),INT((93-V_Inicio)/12)+1,0)</f>
        <v>8</v>
      </c>
      <c r="CU170" s="19" t="n">
        <f aca="false">IF(AND(94&gt;=V_Inicio,94&lt;=Fin),INT((94-V_Inicio)/12)+1,0)</f>
        <v>8</v>
      </c>
      <c r="CV170" s="19" t="n">
        <f aca="false">IF(AND(95&gt;=V_Inicio,95&lt;=Fin),INT((95-V_Inicio)/12)+1,0)</f>
        <v>8</v>
      </c>
      <c r="CW170" s="19" t="n">
        <f aca="false">IF(AND(96&gt;=V_Inicio,96&lt;=Fin),INT((96-V_Inicio)/12)+1,0)</f>
        <v>8</v>
      </c>
      <c r="CX170" s="19" t="n">
        <f aca="false">IF(AND(97&gt;=V_Inicio,97&lt;=Fin),INT((97-V_Inicio)/12)+1,0)</f>
        <v>9</v>
      </c>
      <c r="CY170" s="19" t="n">
        <f aca="false">IF(AND(98&gt;=V_Inicio,98&lt;=Fin),INT((98-V_Inicio)/12)+1,0)</f>
        <v>9</v>
      </c>
      <c r="CZ170" s="19" t="n">
        <f aca="false">IF(AND(99&gt;=V_Inicio,99&lt;=Fin),INT((99-V_Inicio)/12)+1,0)</f>
        <v>9</v>
      </c>
      <c r="DA170" s="19" t="n">
        <f aca="false">IF(AND(100&gt;=V_Inicio,100&lt;=Fin),INT((100-V_Inicio)/12)+1,0)</f>
        <v>9</v>
      </c>
      <c r="DB170" s="19" t="n">
        <f aca="false">IF(AND(101&gt;=V_Inicio,101&lt;=Fin),INT((101-V_Inicio)/12)+1,0)</f>
        <v>9</v>
      </c>
      <c r="DC170" s="19" t="n">
        <f aca="false">IF(AND(102&gt;=V_Inicio,102&lt;=Fin),INT((102-V_Inicio)/12)+1,0)</f>
        <v>9</v>
      </c>
      <c r="DD170" s="19" t="n">
        <f aca="false">IF(AND(103&gt;=V_Inicio,103&lt;=Fin),INT((103-V_Inicio)/12)+1,0)</f>
        <v>9</v>
      </c>
      <c r="DE170" s="19" t="n">
        <f aca="false">IF(AND(104&gt;=V_Inicio,104&lt;=Fin),INT((104-V_Inicio)/12)+1,0)</f>
        <v>9</v>
      </c>
      <c r="DF170" s="19" t="n">
        <f aca="false">IF(AND(105&gt;=V_Inicio,105&lt;=Fin),INT((105-V_Inicio)/12)+1,0)</f>
        <v>9</v>
      </c>
      <c r="DG170" s="19" t="n">
        <f aca="false">IF(AND(106&gt;=V_Inicio,106&lt;=Fin),INT((106-V_Inicio)/12)+1,0)</f>
        <v>9</v>
      </c>
      <c r="DH170" s="19" t="n">
        <f aca="false">IF(AND(107&gt;=V_Inicio,107&lt;=Fin),INT((107-V_Inicio)/12)+1,0)</f>
        <v>9</v>
      </c>
      <c r="DI170" s="19" t="n">
        <f aca="false">IF(AND(108&gt;=V_Inicio,108&lt;=Fin),INT((108-V_Inicio)/12)+1,0)</f>
        <v>9</v>
      </c>
      <c r="DJ170" s="19" t="n">
        <f aca="false">IF(AND(109&gt;=V_Inicio,109&lt;=Fin),INT((109-V_Inicio)/12)+1,0)</f>
        <v>10</v>
      </c>
      <c r="DK170" s="19" t="n">
        <f aca="false">IF(AND(110&gt;=V_Inicio,110&lt;=Fin),INT((110-V_Inicio)/12)+1,0)</f>
        <v>10</v>
      </c>
      <c r="DL170" s="19" t="n">
        <f aca="false">IF(AND(111&gt;=V_Inicio,111&lt;=Fin),INT((111-V_Inicio)/12)+1,0)</f>
        <v>10</v>
      </c>
      <c r="DM170" s="19" t="n">
        <f aca="false">IF(AND(112&gt;=V_Inicio,112&lt;=Fin),INT((112-V_Inicio)/12)+1,0)</f>
        <v>10</v>
      </c>
      <c r="DN170" s="19" t="n">
        <f aca="false">IF(AND(113&gt;=V_Inicio,113&lt;=Fin),INT((113-V_Inicio)/12)+1,0)</f>
        <v>10</v>
      </c>
      <c r="DO170" s="19" t="n">
        <f aca="false">IF(AND(114&gt;=V_Inicio,114&lt;=Fin),INT((114-V_Inicio)/12)+1,0)</f>
        <v>10</v>
      </c>
      <c r="DP170" s="19" t="n">
        <f aca="false">IF(AND(115&gt;=V_Inicio,115&lt;=Fin),INT((115-V_Inicio)/12)+1,0)</f>
        <v>10</v>
      </c>
      <c r="DQ170" s="19" t="n">
        <f aca="false">IF(AND(116&gt;=V_Inicio,116&lt;=Fin),INT((116-V_Inicio)/12)+1,0)</f>
        <v>10</v>
      </c>
      <c r="DR170" s="19" t="n">
        <f aca="false">IF(AND(117&gt;=V_Inicio,117&lt;=Fin),INT((117-V_Inicio)/12)+1,0)</f>
        <v>10</v>
      </c>
      <c r="DS170" s="19" t="n">
        <f aca="false">IF(AND(118&gt;=V_Inicio,118&lt;=Fin),INT((118-V_Inicio)/12)+1,0)</f>
        <v>10</v>
      </c>
      <c r="DT170" s="19" t="n">
        <f aca="false">IF(AND(119&gt;=V_Inicio,119&lt;=Fin),INT((119-V_Inicio)/12)+1,0)</f>
        <v>10</v>
      </c>
      <c r="DU170" s="19" t="n">
        <f aca="false">IF(AND(120&gt;=V_Inicio,120&lt;=Fin),INT((120-V_Inicio)/12)+1,0)</f>
        <v>10</v>
      </c>
      <c r="DV170" s="19" t="n">
        <f aca="false">IF(AND(121&gt;=V_Inicio,121&lt;=Fin),INT((121-V_Inicio)/12)+1,0)</f>
        <v>0</v>
      </c>
      <c r="DW170" s="19" t="n">
        <f aca="false">IF(AND(122&gt;=V_Inicio,122&lt;=Fin),INT((122-V_Inicio)/12)+1,0)</f>
        <v>0</v>
      </c>
      <c r="DX170" s="19" t="n">
        <f aca="false">IF(AND(123&gt;=V_Inicio,123&lt;=Fin),INT((123-V_Inicio)/12)+1,0)</f>
        <v>0</v>
      </c>
      <c r="DY170" s="19" t="n">
        <f aca="false">IF(AND(124&gt;=V_Inicio,124&lt;=Fin),INT((124-V_Inicio)/12)+1,0)</f>
        <v>0</v>
      </c>
      <c r="DZ170" s="19" t="n">
        <f aca="false">IF(AND(125&gt;=V_Inicio,125&lt;=Fin),INT((125-V_Inicio)/12)+1,0)</f>
        <v>0</v>
      </c>
      <c r="EA170" s="19" t="n">
        <f aca="false">IF(AND(126&gt;=V_Inicio,126&lt;=Fin),INT((126-V_Inicio)/12)+1,0)</f>
        <v>0</v>
      </c>
      <c r="EB170" s="19" t="n">
        <f aca="false">IF(AND(127&gt;=V_Inicio,127&lt;=Fin),INT((127-V_Inicio)/12)+1,0)</f>
        <v>0</v>
      </c>
      <c r="EC170" s="19" t="n">
        <f aca="false">IF(AND(128&gt;=V_Inicio,128&lt;=Fin),INT((128-V_Inicio)/12)+1,0)</f>
        <v>0</v>
      </c>
      <c r="ED170" s="19" t="n">
        <f aca="false">IF(AND(129&gt;=V_Inicio,129&lt;=Fin),INT((129-V_Inicio)/12)+1,0)</f>
        <v>0</v>
      </c>
      <c r="EE170" s="19" t="n">
        <f aca="false">IF(AND(130&gt;=V_Inicio,130&lt;=Fin),INT((130-V_Inicio)/12)+1,0)</f>
        <v>0</v>
      </c>
      <c r="EF170" s="19" t="n">
        <f aca="false">IF(AND(131&gt;=V_Inicio,131&lt;=Fin),INT((131-V_Inicio)/12)+1,0)</f>
        <v>0</v>
      </c>
      <c r="EG170" s="19" t="n">
        <f aca="false">IF(AND(132&gt;=V_Inicio,132&lt;=Fin),INT((132-V_Inicio)/12)+1,0)</f>
        <v>0</v>
      </c>
      <c r="EH170" s="19" t="n">
        <f aca="false">IF(AND(133&gt;=V_Inicio,133&lt;=Fin),INT((133-V_Inicio)/12)+1,0)</f>
        <v>0</v>
      </c>
      <c r="EI170" s="19" t="n">
        <f aca="false">IF(AND(134&gt;=V_Inicio,134&lt;=Fin),INT((134-V_Inicio)/12)+1,0)</f>
        <v>0</v>
      </c>
      <c r="EJ170" s="19" t="n">
        <f aca="false">IF(AND(135&gt;=V_Inicio,135&lt;=Fin),INT((135-V_Inicio)/12)+1,0)</f>
        <v>0</v>
      </c>
      <c r="EK170" s="19" t="n">
        <f aca="false">IF(AND(136&gt;=V_Inicio,136&lt;=Fin),INT((136-V_Inicio)/12)+1,0)</f>
        <v>0</v>
      </c>
      <c r="EL170" s="19" t="n">
        <f aca="false">IF(AND(137&gt;=V_Inicio,137&lt;=Fin),INT((137-V_Inicio)/12)+1,0)</f>
        <v>0</v>
      </c>
      <c r="EM170" s="19" t="n">
        <f aca="false">IF(AND(138&gt;=V_Inicio,138&lt;=Fin),INT((138-V_Inicio)/12)+1,0)</f>
        <v>0</v>
      </c>
      <c r="EN170" s="19" t="n">
        <f aca="false">IF(AND(139&gt;=V_Inicio,139&lt;=Fin),INT((139-V_Inicio)/12)+1,0)</f>
        <v>0</v>
      </c>
      <c r="EO170" s="19" t="n">
        <f aca="false">IF(AND(140&gt;=V_Inicio,140&lt;=Fin),INT((140-V_Inicio)/12)+1,0)</f>
        <v>0</v>
      </c>
      <c r="EP170" s="19" t="n">
        <f aca="false">IF(AND(141&gt;=V_Inicio,141&lt;=Fin),INT((141-V_Inicio)/12)+1,0)</f>
        <v>0</v>
      </c>
      <c r="EQ170" s="19" t="n">
        <f aca="false">IF(AND(142&gt;=V_Inicio,142&lt;=Fin),INT((142-V_Inicio)/12)+1,0)</f>
        <v>0</v>
      </c>
      <c r="ER170" s="19" t="n">
        <f aca="false">IF(AND(143&gt;=V_Inicio,143&lt;=Fin),INT((143-V_Inicio)/12)+1,0)</f>
        <v>0</v>
      </c>
      <c r="ES170" s="19" t="n">
        <f aca="false">IF(AND(144&gt;=V_Inicio,144&lt;=Fin),INT((144-V_Inicio)/12)+1,0)</f>
        <v>0</v>
      </c>
    </row>
    <row r="171" customFormat="false" ht="15" hidden="false" customHeight="false" outlineLevel="0" collapsed="false">
      <c r="A171" s="2" t="s">
        <v>814</v>
      </c>
      <c r="B171" s="6" t="s">
        <v>574</v>
      </c>
      <c r="C171" s="6" t="s">
        <v>575</v>
      </c>
      <c r="E171" s="51" t="n">
        <f aca="false">SUM(F171:ES171)</f>
        <v>120</v>
      </c>
      <c r="F171" s="19" t="n">
        <f aca="false">IF(F$170&gt;0,1,0)</f>
        <v>1</v>
      </c>
      <c r="G171" s="19" t="n">
        <f aca="false">IF(G$170&gt;0,1,0)</f>
        <v>1</v>
      </c>
      <c r="H171" s="19" t="n">
        <f aca="false">IF(H$170&gt;0,1,0)</f>
        <v>1</v>
      </c>
      <c r="I171" s="19" t="n">
        <f aca="false">IF(I$170&gt;0,1,0)</f>
        <v>1</v>
      </c>
      <c r="J171" s="19" t="n">
        <f aca="false">IF(J$170&gt;0,1,0)</f>
        <v>1</v>
      </c>
      <c r="K171" s="19" t="n">
        <f aca="false">IF(K$170&gt;0,1,0)</f>
        <v>1</v>
      </c>
      <c r="L171" s="19" t="n">
        <f aca="false">IF(L$170&gt;0,1,0)</f>
        <v>1</v>
      </c>
      <c r="M171" s="19" t="n">
        <f aca="false">IF(M$170&gt;0,1,0)</f>
        <v>1</v>
      </c>
      <c r="N171" s="19" t="n">
        <f aca="false">IF(N$170&gt;0,1,0)</f>
        <v>1</v>
      </c>
      <c r="O171" s="19" t="n">
        <f aca="false">IF(O$170&gt;0,1,0)</f>
        <v>1</v>
      </c>
      <c r="P171" s="19" t="n">
        <f aca="false">IF(P$170&gt;0,1,0)</f>
        <v>1</v>
      </c>
      <c r="Q171" s="19" t="n">
        <f aca="false">IF(Q$170&gt;0,1,0)</f>
        <v>1</v>
      </c>
      <c r="R171" s="19" t="n">
        <f aca="false">IF(R$170&gt;0,1,0)</f>
        <v>1</v>
      </c>
      <c r="S171" s="19" t="n">
        <f aca="false">IF(S$170&gt;0,1,0)</f>
        <v>1</v>
      </c>
      <c r="T171" s="19" t="n">
        <f aca="false">IF(T$170&gt;0,1,0)</f>
        <v>1</v>
      </c>
      <c r="U171" s="19" t="n">
        <f aca="false">IF(U$170&gt;0,1,0)</f>
        <v>1</v>
      </c>
      <c r="V171" s="19" t="n">
        <f aca="false">IF(V$170&gt;0,1,0)</f>
        <v>1</v>
      </c>
      <c r="W171" s="19" t="n">
        <f aca="false">IF(W$170&gt;0,1,0)</f>
        <v>1</v>
      </c>
      <c r="X171" s="19" t="n">
        <f aca="false">IF(X$170&gt;0,1,0)</f>
        <v>1</v>
      </c>
      <c r="Y171" s="19" t="n">
        <f aca="false">IF(Y$170&gt;0,1,0)</f>
        <v>1</v>
      </c>
      <c r="Z171" s="19" t="n">
        <f aca="false">IF(Z$170&gt;0,1,0)</f>
        <v>1</v>
      </c>
      <c r="AA171" s="19" t="n">
        <f aca="false">IF(AA$170&gt;0,1,0)</f>
        <v>1</v>
      </c>
      <c r="AB171" s="19" t="n">
        <f aca="false">IF(AB$170&gt;0,1,0)</f>
        <v>1</v>
      </c>
      <c r="AC171" s="19" t="n">
        <f aca="false">IF(AC$170&gt;0,1,0)</f>
        <v>1</v>
      </c>
      <c r="AD171" s="19" t="n">
        <f aca="false">IF(AD$170&gt;0,1,0)</f>
        <v>1</v>
      </c>
      <c r="AE171" s="19" t="n">
        <f aca="false">IF(AE$170&gt;0,1,0)</f>
        <v>1</v>
      </c>
      <c r="AF171" s="19" t="n">
        <f aca="false">IF(AF$170&gt;0,1,0)</f>
        <v>1</v>
      </c>
      <c r="AG171" s="19" t="n">
        <f aca="false">IF(AG$170&gt;0,1,0)</f>
        <v>1</v>
      </c>
      <c r="AH171" s="19" t="n">
        <f aca="false">IF(AH$170&gt;0,1,0)</f>
        <v>1</v>
      </c>
      <c r="AI171" s="19" t="n">
        <f aca="false">IF(AI$170&gt;0,1,0)</f>
        <v>1</v>
      </c>
      <c r="AJ171" s="19" t="n">
        <f aca="false">IF(AJ$170&gt;0,1,0)</f>
        <v>1</v>
      </c>
      <c r="AK171" s="19" t="n">
        <f aca="false">IF(AK$170&gt;0,1,0)</f>
        <v>1</v>
      </c>
      <c r="AL171" s="19" t="n">
        <f aca="false">IF(AL$170&gt;0,1,0)</f>
        <v>1</v>
      </c>
      <c r="AM171" s="19" t="n">
        <f aca="false">IF(AM$170&gt;0,1,0)</f>
        <v>1</v>
      </c>
      <c r="AN171" s="19" t="n">
        <f aca="false">IF(AN$170&gt;0,1,0)</f>
        <v>1</v>
      </c>
      <c r="AO171" s="19" t="n">
        <f aca="false">IF(AO$170&gt;0,1,0)</f>
        <v>1</v>
      </c>
      <c r="AP171" s="19" t="n">
        <f aca="false">IF(AP$170&gt;0,1,0)</f>
        <v>1</v>
      </c>
      <c r="AQ171" s="19" t="n">
        <f aca="false">IF(AQ$170&gt;0,1,0)</f>
        <v>1</v>
      </c>
      <c r="AR171" s="19" t="n">
        <f aca="false">IF(AR$170&gt;0,1,0)</f>
        <v>1</v>
      </c>
      <c r="AS171" s="19" t="n">
        <f aca="false">IF(AS$170&gt;0,1,0)</f>
        <v>1</v>
      </c>
      <c r="AT171" s="19" t="n">
        <f aca="false">IF(AT$170&gt;0,1,0)</f>
        <v>1</v>
      </c>
      <c r="AU171" s="19" t="n">
        <f aca="false">IF(AU$170&gt;0,1,0)</f>
        <v>1</v>
      </c>
      <c r="AV171" s="19" t="n">
        <f aca="false">IF(AV$170&gt;0,1,0)</f>
        <v>1</v>
      </c>
      <c r="AW171" s="19" t="n">
        <f aca="false">IF(AW$170&gt;0,1,0)</f>
        <v>1</v>
      </c>
      <c r="AX171" s="19" t="n">
        <f aca="false">IF(AX$170&gt;0,1,0)</f>
        <v>1</v>
      </c>
      <c r="AY171" s="19" t="n">
        <f aca="false">IF(AY$170&gt;0,1,0)</f>
        <v>1</v>
      </c>
      <c r="AZ171" s="19" t="n">
        <f aca="false">IF(AZ$170&gt;0,1,0)</f>
        <v>1</v>
      </c>
      <c r="BA171" s="19" t="n">
        <f aca="false">IF(BA$170&gt;0,1,0)</f>
        <v>1</v>
      </c>
      <c r="BB171" s="19" t="n">
        <f aca="false">IF(BB$170&gt;0,1,0)</f>
        <v>1</v>
      </c>
      <c r="BC171" s="19" t="n">
        <f aca="false">IF(BC$170&gt;0,1,0)</f>
        <v>1</v>
      </c>
      <c r="BD171" s="19" t="n">
        <f aca="false">IF(BD$170&gt;0,1,0)</f>
        <v>1</v>
      </c>
      <c r="BE171" s="19" t="n">
        <f aca="false">IF(BE$170&gt;0,1,0)</f>
        <v>1</v>
      </c>
      <c r="BF171" s="19" t="n">
        <f aca="false">IF(BF$170&gt;0,1,0)</f>
        <v>1</v>
      </c>
      <c r="BG171" s="19" t="n">
        <f aca="false">IF(BG$170&gt;0,1,0)</f>
        <v>1</v>
      </c>
      <c r="BH171" s="19" t="n">
        <f aca="false">IF(BH$170&gt;0,1,0)</f>
        <v>1</v>
      </c>
      <c r="BI171" s="19" t="n">
        <f aca="false">IF(BI$170&gt;0,1,0)</f>
        <v>1</v>
      </c>
      <c r="BJ171" s="19" t="n">
        <f aca="false">IF(BJ$170&gt;0,1,0)</f>
        <v>1</v>
      </c>
      <c r="BK171" s="19" t="n">
        <f aca="false">IF(BK$170&gt;0,1,0)</f>
        <v>1</v>
      </c>
      <c r="BL171" s="19" t="n">
        <f aca="false">IF(BL$170&gt;0,1,0)</f>
        <v>1</v>
      </c>
      <c r="BM171" s="19" t="n">
        <f aca="false">IF(BM$170&gt;0,1,0)</f>
        <v>1</v>
      </c>
      <c r="BN171" s="19" t="n">
        <f aca="false">IF(BN$170&gt;0,1,0)</f>
        <v>1</v>
      </c>
      <c r="BO171" s="19" t="n">
        <f aca="false">IF(BO$170&gt;0,1,0)</f>
        <v>1</v>
      </c>
      <c r="BP171" s="19" t="n">
        <f aca="false">IF(BP$170&gt;0,1,0)</f>
        <v>1</v>
      </c>
      <c r="BQ171" s="19" t="n">
        <f aca="false">IF(BQ$170&gt;0,1,0)</f>
        <v>1</v>
      </c>
      <c r="BR171" s="19" t="n">
        <f aca="false">IF(BR$170&gt;0,1,0)</f>
        <v>1</v>
      </c>
      <c r="BS171" s="19" t="n">
        <f aca="false">IF(BS$170&gt;0,1,0)</f>
        <v>1</v>
      </c>
      <c r="BT171" s="19" t="n">
        <f aca="false">IF(BT$170&gt;0,1,0)</f>
        <v>1</v>
      </c>
      <c r="BU171" s="19" t="n">
        <f aca="false">IF(BU$170&gt;0,1,0)</f>
        <v>1</v>
      </c>
      <c r="BV171" s="19" t="n">
        <f aca="false">IF(BV$170&gt;0,1,0)</f>
        <v>1</v>
      </c>
      <c r="BW171" s="19" t="n">
        <f aca="false">IF(BW$170&gt;0,1,0)</f>
        <v>1</v>
      </c>
      <c r="BX171" s="19" t="n">
        <f aca="false">IF(BX$170&gt;0,1,0)</f>
        <v>1</v>
      </c>
      <c r="BY171" s="19" t="n">
        <f aca="false">IF(BY$170&gt;0,1,0)</f>
        <v>1</v>
      </c>
      <c r="BZ171" s="19" t="n">
        <f aca="false">IF(BZ$170&gt;0,1,0)</f>
        <v>1</v>
      </c>
      <c r="CA171" s="19" t="n">
        <f aca="false">IF(CA$170&gt;0,1,0)</f>
        <v>1</v>
      </c>
      <c r="CB171" s="19" t="n">
        <f aca="false">IF(CB$170&gt;0,1,0)</f>
        <v>1</v>
      </c>
      <c r="CC171" s="19" t="n">
        <f aca="false">IF(CC$170&gt;0,1,0)</f>
        <v>1</v>
      </c>
      <c r="CD171" s="19" t="n">
        <f aca="false">IF(CD$170&gt;0,1,0)</f>
        <v>1</v>
      </c>
      <c r="CE171" s="19" t="n">
        <f aca="false">IF(CE$170&gt;0,1,0)</f>
        <v>1</v>
      </c>
      <c r="CF171" s="19" t="n">
        <f aca="false">IF(CF$170&gt;0,1,0)</f>
        <v>1</v>
      </c>
      <c r="CG171" s="19" t="n">
        <f aca="false">IF(CG$170&gt;0,1,0)</f>
        <v>1</v>
      </c>
      <c r="CH171" s="19" t="n">
        <f aca="false">IF(CH$170&gt;0,1,0)</f>
        <v>1</v>
      </c>
      <c r="CI171" s="19" t="n">
        <f aca="false">IF(CI$170&gt;0,1,0)</f>
        <v>1</v>
      </c>
      <c r="CJ171" s="19" t="n">
        <f aca="false">IF(CJ$170&gt;0,1,0)</f>
        <v>1</v>
      </c>
      <c r="CK171" s="19" t="n">
        <f aca="false">IF(CK$170&gt;0,1,0)</f>
        <v>1</v>
      </c>
      <c r="CL171" s="19" t="n">
        <f aca="false">IF(CL$170&gt;0,1,0)</f>
        <v>1</v>
      </c>
      <c r="CM171" s="19" t="n">
        <f aca="false">IF(CM$170&gt;0,1,0)</f>
        <v>1</v>
      </c>
      <c r="CN171" s="19" t="n">
        <f aca="false">IF(CN$170&gt;0,1,0)</f>
        <v>1</v>
      </c>
      <c r="CO171" s="19" t="n">
        <f aca="false">IF(CO$170&gt;0,1,0)</f>
        <v>1</v>
      </c>
      <c r="CP171" s="19" t="n">
        <f aca="false">IF(CP$170&gt;0,1,0)</f>
        <v>1</v>
      </c>
      <c r="CQ171" s="19" t="n">
        <f aca="false">IF(CQ$170&gt;0,1,0)</f>
        <v>1</v>
      </c>
      <c r="CR171" s="19" t="n">
        <f aca="false">IF(CR$170&gt;0,1,0)</f>
        <v>1</v>
      </c>
      <c r="CS171" s="19" t="n">
        <f aca="false">IF(CS$170&gt;0,1,0)</f>
        <v>1</v>
      </c>
      <c r="CT171" s="19" t="n">
        <f aca="false">IF(CT$170&gt;0,1,0)</f>
        <v>1</v>
      </c>
      <c r="CU171" s="19" t="n">
        <f aca="false">IF(CU$170&gt;0,1,0)</f>
        <v>1</v>
      </c>
      <c r="CV171" s="19" t="n">
        <f aca="false">IF(CV$170&gt;0,1,0)</f>
        <v>1</v>
      </c>
      <c r="CW171" s="19" t="n">
        <f aca="false">IF(CW$170&gt;0,1,0)</f>
        <v>1</v>
      </c>
      <c r="CX171" s="19" t="n">
        <f aca="false">IF(CX$170&gt;0,1,0)</f>
        <v>1</v>
      </c>
      <c r="CY171" s="19" t="n">
        <f aca="false">IF(CY$170&gt;0,1,0)</f>
        <v>1</v>
      </c>
      <c r="CZ171" s="19" t="n">
        <f aca="false">IF(CZ$170&gt;0,1,0)</f>
        <v>1</v>
      </c>
      <c r="DA171" s="19" t="n">
        <f aca="false">IF(DA$170&gt;0,1,0)</f>
        <v>1</v>
      </c>
      <c r="DB171" s="19" t="n">
        <f aca="false">IF(DB$170&gt;0,1,0)</f>
        <v>1</v>
      </c>
      <c r="DC171" s="19" t="n">
        <f aca="false">IF(DC$170&gt;0,1,0)</f>
        <v>1</v>
      </c>
      <c r="DD171" s="19" t="n">
        <f aca="false">IF(DD$170&gt;0,1,0)</f>
        <v>1</v>
      </c>
      <c r="DE171" s="19" t="n">
        <f aca="false">IF(DE$170&gt;0,1,0)</f>
        <v>1</v>
      </c>
      <c r="DF171" s="19" t="n">
        <f aca="false">IF(DF$170&gt;0,1,0)</f>
        <v>1</v>
      </c>
      <c r="DG171" s="19" t="n">
        <f aca="false">IF(DG$170&gt;0,1,0)</f>
        <v>1</v>
      </c>
      <c r="DH171" s="19" t="n">
        <f aca="false">IF(DH$170&gt;0,1,0)</f>
        <v>1</v>
      </c>
      <c r="DI171" s="19" t="n">
        <f aca="false">IF(DI$170&gt;0,1,0)</f>
        <v>1</v>
      </c>
      <c r="DJ171" s="19" t="n">
        <f aca="false">IF(DJ$170&gt;0,1,0)</f>
        <v>1</v>
      </c>
      <c r="DK171" s="19" t="n">
        <f aca="false">IF(DK$170&gt;0,1,0)</f>
        <v>1</v>
      </c>
      <c r="DL171" s="19" t="n">
        <f aca="false">IF(DL$170&gt;0,1,0)</f>
        <v>1</v>
      </c>
      <c r="DM171" s="19" t="n">
        <f aca="false">IF(DM$170&gt;0,1,0)</f>
        <v>1</v>
      </c>
      <c r="DN171" s="19" t="n">
        <f aca="false">IF(DN$170&gt;0,1,0)</f>
        <v>1</v>
      </c>
      <c r="DO171" s="19" t="n">
        <f aca="false">IF(DO$170&gt;0,1,0)</f>
        <v>1</v>
      </c>
      <c r="DP171" s="19" t="n">
        <f aca="false">IF(DP$170&gt;0,1,0)</f>
        <v>1</v>
      </c>
      <c r="DQ171" s="19" t="n">
        <f aca="false">IF(DQ$170&gt;0,1,0)</f>
        <v>1</v>
      </c>
      <c r="DR171" s="19" t="n">
        <f aca="false">IF(DR$170&gt;0,1,0)</f>
        <v>1</v>
      </c>
      <c r="DS171" s="19" t="n">
        <f aca="false">IF(DS$170&gt;0,1,0)</f>
        <v>1</v>
      </c>
      <c r="DT171" s="19" t="n">
        <f aca="false">IF(DT$170&gt;0,1,0)</f>
        <v>1</v>
      </c>
      <c r="DU171" s="19" t="n">
        <f aca="false">IF(DU$170&gt;0,1,0)</f>
        <v>1</v>
      </c>
      <c r="DV171" s="19" t="n">
        <f aca="false">IF(DV$170&gt;0,1,0)</f>
        <v>0</v>
      </c>
      <c r="DW171" s="19" t="n">
        <f aca="false">IF(DW$170&gt;0,1,0)</f>
        <v>0</v>
      </c>
      <c r="DX171" s="19" t="n">
        <f aca="false">IF(DX$170&gt;0,1,0)</f>
        <v>0</v>
      </c>
      <c r="DY171" s="19" t="n">
        <f aca="false">IF(DY$170&gt;0,1,0)</f>
        <v>0</v>
      </c>
      <c r="DZ171" s="19" t="n">
        <f aca="false">IF(DZ$170&gt;0,1,0)</f>
        <v>0</v>
      </c>
      <c r="EA171" s="19" t="n">
        <f aca="false">IF(EA$170&gt;0,1,0)</f>
        <v>0</v>
      </c>
      <c r="EB171" s="19" t="n">
        <f aca="false">IF(EB$170&gt;0,1,0)</f>
        <v>0</v>
      </c>
      <c r="EC171" s="19" t="n">
        <f aca="false">IF(EC$170&gt;0,1,0)</f>
        <v>0</v>
      </c>
      <c r="ED171" s="19" t="n">
        <f aca="false">IF(ED$170&gt;0,1,0)</f>
        <v>0</v>
      </c>
      <c r="EE171" s="19" t="n">
        <f aca="false">IF(EE$170&gt;0,1,0)</f>
        <v>0</v>
      </c>
      <c r="EF171" s="19" t="n">
        <f aca="false">IF(EF$170&gt;0,1,0)</f>
        <v>0</v>
      </c>
      <c r="EG171" s="19" t="n">
        <f aca="false">IF(EG$170&gt;0,1,0)</f>
        <v>0</v>
      </c>
      <c r="EH171" s="19" t="n">
        <f aca="false">IF(EH$170&gt;0,1,0)</f>
        <v>0</v>
      </c>
      <c r="EI171" s="19" t="n">
        <f aca="false">IF(EI$170&gt;0,1,0)</f>
        <v>0</v>
      </c>
      <c r="EJ171" s="19" t="n">
        <f aca="false">IF(EJ$170&gt;0,1,0)</f>
        <v>0</v>
      </c>
      <c r="EK171" s="19" t="n">
        <f aca="false">IF(EK$170&gt;0,1,0)</f>
        <v>0</v>
      </c>
      <c r="EL171" s="19" t="n">
        <f aca="false">IF(EL$170&gt;0,1,0)</f>
        <v>0</v>
      </c>
      <c r="EM171" s="19" t="n">
        <f aca="false">IF(EM$170&gt;0,1,0)</f>
        <v>0</v>
      </c>
      <c r="EN171" s="19" t="n">
        <f aca="false">IF(EN$170&gt;0,1,0)</f>
        <v>0</v>
      </c>
      <c r="EO171" s="19" t="n">
        <f aca="false">IF(EO$170&gt;0,1,0)</f>
        <v>0</v>
      </c>
      <c r="EP171" s="19" t="n">
        <f aca="false">IF(EP$170&gt;0,1,0)</f>
        <v>0</v>
      </c>
      <c r="EQ171" s="19" t="n">
        <f aca="false">IF(EQ$170&gt;0,1,0)</f>
        <v>0</v>
      </c>
      <c r="ER171" s="19" t="n">
        <f aca="false">IF(ER$170&gt;0,1,0)</f>
        <v>0</v>
      </c>
      <c r="ES171" s="19" t="n">
        <f aca="false">IF(ES$170&gt;0,1,0)</f>
        <v>0</v>
      </c>
    </row>
    <row r="172" customFormat="false" ht="15" hidden="false" customHeight="false" outlineLevel="0" collapsed="false">
      <c r="A172" s="2" t="s">
        <v>815</v>
      </c>
      <c r="B172" s="6" t="s">
        <v>577</v>
      </c>
      <c r="C172" s="6" t="s">
        <v>575</v>
      </c>
      <c r="E172" s="51" t="n">
        <f aca="false">SUM(F172:ES172)</f>
        <v>0</v>
      </c>
      <c r="F172" s="19" t="n">
        <f aca="false">IF(AND(1&lt;V_Inicio,1&lt;=Fin),1,0)</f>
        <v>0</v>
      </c>
      <c r="G172" s="19" t="n">
        <f aca="false">IF(AND(2&lt;V_Inicio,2&lt;=Fin),1,0)</f>
        <v>0</v>
      </c>
      <c r="H172" s="19" t="n">
        <f aca="false">IF(AND(3&lt;V_Inicio,3&lt;=Fin),1,0)</f>
        <v>0</v>
      </c>
      <c r="I172" s="19" t="n">
        <f aca="false">IF(AND(4&lt;V_Inicio,4&lt;=Fin),1,0)</f>
        <v>0</v>
      </c>
      <c r="J172" s="19" t="n">
        <f aca="false">IF(AND(5&lt;V_Inicio,5&lt;=Fin),1,0)</f>
        <v>0</v>
      </c>
      <c r="K172" s="19" t="n">
        <f aca="false">IF(AND(6&lt;V_Inicio,6&lt;=Fin),1,0)</f>
        <v>0</v>
      </c>
      <c r="L172" s="19" t="n">
        <f aca="false">IF(AND(7&lt;V_Inicio,7&lt;=Fin),1,0)</f>
        <v>0</v>
      </c>
      <c r="M172" s="19" t="n">
        <f aca="false">IF(AND(8&lt;V_Inicio,8&lt;=Fin),1,0)</f>
        <v>0</v>
      </c>
      <c r="N172" s="19" t="n">
        <f aca="false">IF(AND(9&lt;V_Inicio,9&lt;=Fin),1,0)</f>
        <v>0</v>
      </c>
      <c r="O172" s="19" t="n">
        <f aca="false">IF(AND(10&lt;V_Inicio,10&lt;=Fin),1,0)</f>
        <v>0</v>
      </c>
      <c r="P172" s="19" t="n">
        <f aca="false">IF(AND(11&lt;V_Inicio,11&lt;=Fin),1,0)</f>
        <v>0</v>
      </c>
      <c r="Q172" s="19" t="n">
        <f aca="false">IF(AND(12&lt;V_Inicio,12&lt;=Fin),1,0)</f>
        <v>0</v>
      </c>
      <c r="R172" s="19" t="n">
        <f aca="false">IF(AND(13&lt;V_Inicio,13&lt;=Fin),1,0)</f>
        <v>0</v>
      </c>
      <c r="S172" s="19" t="n">
        <f aca="false">IF(AND(14&lt;V_Inicio,14&lt;=Fin),1,0)</f>
        <v>0</v>
      </c>
      <c r="T172" s="19" t="n">
        <f aca="false">IF(AND(15&lt;V_Inicio,15&lt;=Fin),1,0)</f>
        <v>0</v>
      </c>
      <c r="U172" s="19" t="n">
        <f aca="false">IF(AND(16&lt;V_Inicio,16&lt;=Fin),1,0)</f>
        <v>0</v>
      </c>
      <c r="V172" s="19" t="n">
        <f aca="false">IF(AND(17&lt;V_Inicio,17&lt;=Fin),1,0)</f>
        <v>0</v>
      </c>
      <c r="W172" s="19" t="n">
        <f aca="false">IF(AND(18&lt;V_Inicio,18&lt;=Fin),1,0)</f>
        <v>0</v>
      </c>
      <c r="X172" s="19" t="n">
        <f aca="false">IF(AND(19&lt;V_Inicio,19&lt;=Fin),1,0)</f>
        <v>0</v>
      </c>
      <c r="Y172" s="19" t="n">
        <f aca="false">IF(AND(20&lt;V_Inicio,20&lt;=Fin),1,0)</f>
        <v>0</v>
      </c>
      <c r="Z172" s="19" t="n">
        <f aca="false">IF(AND(21&lt;V_Inicio,21&lt;=Fin),1,0)</f>
        <v>0</v>
      </c>
      <c r="AA172" s="19" t="n">
        <f aca="false">IF(AND(22&lt;V_Inicio,22&lt;=Fin),1,0)</f>
        <v>0</v>
      </c>
      <c r="AB172" s="19" t="n">
        <f aca="false">IF(AND(23&lt;V_Inicio,23&lt;=Fin),1,0)</f>
        <v>0</v>
      </c>
      <c r="AC172" s="19" t="n">
        <f aca="false">IF(AND(24&lt;V_Inicio,24&lt;=Fin),1,0)</f>
        <v>0</v>
      </c>
      <c r="AD172" s="19" t="n">
        <f aca="false">IF(AND(25&lt;V_Inicio,25&lt;=Fin),1,0)</f>
        <v>0</v>
      </c>
      <c r="AE172" s="19" t="n">
        <f aca="false">IF(AND(26&lt;V_Inicio,26&lt;=Fin),1,0)</f>
        <v>0</v>
      </c>
      <c r="AF172" s="19" t="n">
        <f aca="false">IF(AND(27&lt;V_Inicio,27&lt;=Fin),1,0)</f>
        <v>0</v>
      </c>
      <c r="AG172" s="19" t="n">
        <f aca="false">IF(AND(28&lt;V_Inicio,28&lt;=Fin),1,0)</f>
        <v>0</v>
      </c>
      <c r="AH172" s="19" t="n">
        <f aca="false">IF(AND(29&lt;V_Inicio,29&lt;=Fin),1,0)</f>
        <v>0</v>
      </c>
      <c r="AI172" s="19" t="n">
        <f aca="false">IF(AND(30&lt;V_Inicio,30&lt;=Fin),1,0)</f>
        <v>0</v>
      </c>
      <c r="AJ172" s="19" t="n">
        <f aca="false">IF(AND(31&lt;V_Inicio,31&lt;=Fin),1,0)</f>
        <v>0</v>
      </c>
      <c r="AK172" s="19" t="n">
        <f aca="false">IF(AND(32&lt;V_Inicio,32&lt;=Fin),1,0)</f>
        <v>0</v>
      </c>
      <c r="AL172" s="19" t="n">
        <f aca="false">IF(AND(33&lt;V_Inicio,33&lt;=Fin),1,0)</f>
        <v>0</v>
      </c>
      <c r="AM172" s="19" t="n">
        <f aca="false">IF(AND(34&lt;V_Inicio,34&lt;=Fin),1,0)</f>
        <v>0</v>
      </c>
      <c r="AN172" s="19" t="n">
        <f aca="false">IF(AND(35&lt;V_Inicio,35&lt;=Fin),1,0)</f>
        <v>0</v>
      </c>
      <c r="AO172" s="19" t="n">
        <f aca="false">IF(AND(36&lt;V_Inicio,36&lt;=Fin),1,0)</f>
        <v>0</v>
      </c>
      <c r="AP172" s="19" t="n">
        <f aca="false">IF(AND(37&lt;V_Inicio,37&lt;=Fin),1,0)</f>
        <v>0</v>
      </c>
      <c r="AQ172" s="19" t="n">
        <f aca="false">IF(AND(38&lt;V_Inicio,38&lt;=Fin),1,0)</f>
        <v>0</v>
      </c>
      <c r="AR172" s="19" t="n">
        <f aca="false">IF(AND(39&lt;V_Inicio,39&lt;=Fin),1,0)</f>
        <v>0</v>
      </c>
      <c r="AS172" s="19" t="n">
        <f aca="false">IF(AND(40&lt;V_Inicio,40&lt;=Fin),1,0)</f>
        <v>0</v>
      </c>
      <c r="AT172" s="19" t="n">
        <f aca="false">IF(AND(41&lt;V_Inicio,41&lt;=Fin),1,0)</f>
        <v>0</v>
      </c>
      <c r="AU172" s="19" t="n">
        <f aca="false">IF(AND(42&lt;V_Inicio,42&lt;=Fin),1,0)</f>
        <v>0</v>
      </c>
      <c r="AV172" s="19" t="n">
        <f aca="false">IF(AND(43&lt;V_Inicio,43&lt;=Fin),1,0)</f>
        <v>0</v>
      </c>
      <c r="AW172" s="19" t="n">
        <f aca="false">IF(AND(44&lt;V_Inicio,44&lt;=Fin),1,0)</f>
        <v>0</v>
      </c>
      <c r="AX172" s="19" t="n">
        <f aca="false">IF(AND(45&lt;V_Inicio,45&lt;=Fin),1,0)</f>
        <v>0</v>
      </c>
      <c r="AY172" s="19" t="n">
        <f aca="false">IF(AND(46&lt;V_Inicio,46&lt;=Fin),1,0)</f>
        <v>0</v>
      </c>
      <c r="AZ172" s="19" t="n">
        <f aca="false">IF(AND(47&lt;V_Inicio,47&lt;=Fin),1,0)</f>
        <v>0</v>
      </c>
      <c r="BA172" s="19" t="n">
        <f aca="false">IF(AND(48&lt;V_Inicio,48&lt;=Fin),1,0)</f>
        <v>0</v>
      </c>
      <c r="BB172" s="19" t="n">
        <f aca="false">IF(AND(49&lt;V_Inicio,49&lt;=Fin),1,0)</f>
        <v>0</v>
      </c>
      <c r="BC172" s="19" t="n">
        <f aca="false">IF(AND(50&lt;V_Inicio,50&lt;=Fin),1,0)</f>
        <v>0</v>
      </c>
      <c r="BD172" s="19" t="n">
        <f aca="false">IF(AND(51&lt;V_Inicio,51&lt;=Fin),1,0)</f>
        <v>0</v>
      </c>
      <c r="BE172" s="19" t="n">
        <f aca="false">IF(AND(52&lt;V_Inicio,52&lt;=Fin),1,0)</f>
        <v>0</v>
      </c>
      <c r="BF172" s="19" t="n">
        <f aca="false">IF(AND(53&lt;V_Inicio,53&lt;=Fin),1,0)</f>
        <v>0</v>
      </c>
      <c r="BG172" s="19" t="n">
        <f aca="false">IF(AND(54&lt;V_Inicio,54&lt;=Fin),1,0)</f>
        <v>0</v>
      </c>
      <c r="BH172" s="19" t="n">
        <f aca="false">IF(AND(55&lt;V_Inicio,55&lt;=Fin),1,0)</f>
        <v>0</v>
      </c>
      <c r="BI172" s="19" t="n">
        <f aca="false">IF(AND(56&lt;V_Inicio,56&lt;=Fin),1,0)</f>
        <v>0</v>
      </c>
      <c r="BJ172" s="19" t="n">
        <f aca="false">IF(AND(57&lt;V_Inicio,57&lt;=Fin),1,0)</f>
        <v>0</v>
      </c>
      <c r="BK172" s="19" t="n">
        <f aca="false">IF(AND(58&lt;V_Inicio,58&lt;=Fin),1,0)</f>
        <v>0</v>
      </c>
      <c r="BL172" s="19" t="n">
        <f aca="false">IF(AND(59&lt;V_Inicio,59&lt;=Fin),1,0)</f>
        <v>0</v>
      </c>
      <c r="BM172" s="19" t="n">
        <f aca="false">IF(AND(60&lt;V_Inicio,60&lt;=Fin),1,0)</f>
        <v>0</v>
      </c>
      <c r="BN172" s="19" t="n">
        <f aca="false">IF(AND(61&lt;V_Inicio,61&lt;=Fin),1,0)</f>
        <v>0</v>
      </c>
      <c r="BO172" s="19" t="n">
        <f aca="false">IF(AND(62&lt;V_Inicio,62&lt;=Fin),1,0)</f>
        <v>0</v>
      </c>
      <c r="BP172" s="19" t="n">
        <f aca="false">IF(AND(63&lt;V_Inicio,63&lt;=Fin),1,0)</f>
        <v>0</v>
      </c>
      <c r="BQ172" s="19" t="n">
        <f aca="false">IF(AND(64&lt;V_Inicio,64&lt;=Fin),1,0)</f>
        <v>0</v>
      </c>
      <c r="BR172" s="19" t="n">
        <f aca="false">IF(AND(65&lt;V_Inicio,65&lt;=Fin),1,0)</f>
        <v>0</v>
      </c>
      <c r="BS172" s="19" t="n">
        <f aca="false">IF(AND(66&lt;V_Inicio,66&lt;=Fin),1,0)</f>
        <v>0</v>
      </c>
      <c r="BT172" s="19" t="n">
        <f aca="false">IF(AND(67&lt;V_Inicio,67&lt;=Fin),1,0)</f>
        <v>0</v>
      </c>
      <c r="BU172" s="19" t="n">
        <f aca="false">IF(AND(68&lt;V_Inicio,68&lt;=Fin),1,0)</f>
        <v>0</v>
      </c>
      <c r="BV172" s="19" t="n">
        <f aca="false">IF(AND(69&lt;V_Inicio,69&lt;=Fin),1,0)</f>
        <v>0</v>
      </c>
      <c r="BW172" s="19" t="n">
        <f aca="false">IF(AND(70&lt;V_Inicio,70&lt;=Fin),1,0)</f>
        <v>0</v>
      </c>
      <c r="BX172" s="19" t="n">
        <f aca="false">IF(AND(71&lt;V_Inicio,71&lt;=Fin),1,0)</f>
        <v>0</v>
      </c>
      <c r="BY172" s="19" t="n">
        <f aca="false">IF(AND(72&lt;V_Inicio,72&lt;=Fin),1,0)</f>
        <v>0</v>
      </c>
      <c r="BZ172" s="19" t="n">
        <f aca="false">IF(AND(73&lt;V_Inicio,73&lt;=Fin),1,0)</f>
        <v>0</v>
      </c>
      <c r="CA172" s="19" t="n">
        <f aca="false">IF(AND(74&lt;V_Inicio,74&lt;=Fin),1,0)</f>
        <v>0</v>
      </c>
      <c r="CB172" s="19" t="n">
        <f aca="false">IF(AND(75&lt;V_Inicio,75&lt;=Fin),1,0)</f>
        <v>0</v>
      </c>
      <c r="CC172" s="19" t="n">
        <f aca="false">IF(AND(76&lt;V_Inicio,76&lt;=Fin),1,0)</f>
        <v>0</v>
      </c>
      <c r="CD172" s="19" t="n">
        <f aca="false">IF(AND(77&lt;V_Inicio,77&lt;=Fin),1,0)</f>
        <v>0</v>
      </c>
      <c r="CE172" s="19" t="n">
        <f aca="false">IF(AND(78&lt;V_Inicio,78&lt;=Fin),1,0)</f>
        <v>0</v>
      </c>
      <c r="CF172" s="19" t="n">
        <f aca="false">IF(AND(79&lt;V_Inicio,79&lt;=Fin),1,0)</f>
        <v>0</v>
      </c>
      <c r="CG172" s="19" t="n">
        <f aca="false">IF(AND(80&lt;V_Inicio,80&lt;=Fin),1,0)</f>
        <v>0</v>
      </c>
      <c r="CH172" s="19" t="n">
        <f aca="false">IF(AND(81&lt;V_Inicio,81&lt;=Fin),1,0)</f>
        <v>0</v>
      </c>
      <c r="CI172" s="19" t="n">
        <f aca="false">IF(AND(82&lt;V_Inicio,82&lt;=Fin),1,0)</f>
        <v>0</v>
      </c>
      <c r="CJ172" s="19" t="n">
        <f aca="false">IF(AND(83&lt;V_Inicio,83&lt;=Fin),1,0)</f>
        <v>0</v>
      </c>
      <c r="CK172" s="19" t="n">
        <f aca="false">IF(AND(84&lt;V_Inicio,84&lt;=Fin),1,0)</f>
        <v>0</v>
      </c>
      <c r="CL172" s="19" t="n">
        <f aca="false">IF(AND(85&lt;V_Inicio,85&lt;=Fin),1,0)</f>
        <v>0</v>
      </c>
      <c r="CM172" s="19" t="n">
        <f aca="false">IF(AND(86&lt;V_Inicio,86&lt;=Fin),1,0)</f>
        <v>0</v>
      </c>
      <c r="CN172" s="19" t="n">
        <f aca="false">IF(AND(87&lt;V_Inicio,87&lt;=Fin),1,0)</f>
        <v>0</v>
      </c>
      <c r="CO172" s="19" t="n">
        <f aca="false">IF(AND(88&lt;V_Inicio,88&lt;=Fin),1,0)</f>
        <v>0</v>
      </c>
      <c r="CP172" s="19" t="n">
        <f aca="false">IF(AND(89&lt;V_Inicio,89&lt;=Fin),1,0)</f>
        <v>0</v>
      </c>
      <c r="CQ172" s="19" t="n">
        <f aca="false">IF(AND(90&lt;V_Inicio,90&lt;=Fin),1,0)</f>
        <v>0</v>
      </c>
      <c r="CR172" s="19" t="n">
        <f aca="false">IF(AND(91&lt;V_Inicio,91&lt;=Fin),1,0)</f>
        <v>0</v>
      </c>
      <c r="CS172" s="19" t="n">
        <f aca="false">IF(AND(92&lt;V_Inicio,92&lt;=Fin),1,0)</f>
        <v>0</v>
      </c>
      <c r="CT172" s="19" t="n">
        <f aca="false">IF(AND(93&lt;V_Inicio,93&lt;=Fin),1,0)</f>
        <v>0</v>
      </c>
      <c r="CU172" s="19" t="n">
        <f aca="false">IF(AND(94&lt;V_Inicio,94&lt;=Fin),1,0)</f>
        <v>0</v>
      </c>
      <c r="CV172" s="19" t="n">
        <f aca="false">IF(AND(95&lt;V_Inicio,95&lt;=Fin),1,0)</f>
        <v>0</v>
      </c>
      <c r="CW172" s="19" t="n">
        <f aca="false">IF(AND(96&lt;V_Inicio,96&lt;=Fin),1,0)</f>
        <v>0</v>
      </c>
      <c r="CX172" s="19" t="n">
        <f aca="false">IF(AND(97&lt;V_Inicio,97&lt;=Fin),1,0)</f>
        <v>0</v>
      </c>
      <c r="CY172" s="19" t="n">
        <f aca="false">IF(AND(98&lt;V_Inicio,98&lt;=Fin),1,0)</f>
        <v>0</v>
      </c>
      <c r="CZ172" s="19" t="n">
        <f aca="false">IF(AND(99&lt;V_Inicio,99&lt;=Fin),1,0)</f>
        <v>0</v>
      </c>
      <c r="DA172" s="19" t="n">
        <f aca="false">IF(AND(100&lt;V_Inicio,100&lt;=Fin),1,0)</f>
        <v>0</v>
      </c>
      <c r="DB172" s="19" t="n">
        <f aca="false">IF(AND(101&lt;V_Inicio,101&lt;=Fin),1,0)</f>
        <v>0</v>
      </c>
      <c r="DC172" s="19" t="n">
        <f aca="false">IF(AND(102&lt;V_Inicio,102&lt;=Fin),1,0)</f>
        <v>0</v>
      </c>
      <c r="DD172" s="19" t="n">
        <f aca="false">IF(AND(103&lt;V_Inicio,103&lt;=Fin),1,0)</f>
        <v>0</v>
      </c>
      <c r="DE172" s="19" t="n">
        <f aca="false">IF(AND(104&lt;V_Inicio,104&lt;=Fin),1,0)</f>
        <v>0</v>
      </c>
      <c r="DF172" s="19" t="n">
        <f aca="false">IF(AND(105&lt;V_Inicio,105&lt;=Fin),1,0)</f>
        <v>0</v>
      </c>
      <c r="DG172" s="19" t="n">
        <f aca="false">IF(AND(106&lt;V_Inicio,106&lt;=Fin),1,0)</f>
        <v>0</v>
      </c>
      <c r="DH172" s="19" t="n">
        <f aca="false">IF(AND(107&lt;V_Inicio,107&lt;=Fin),1,0)</f>
        <v>0</v>
      </c>
      <c r="DI172" s="19" t="n">
        <f aca="false">IF(AND(108&lt;V_Inicio,108&lt;=Fin),1,0)</f>
        <v>0</v>
      </c>
      <c r="DJ172" s="19" t="n">
        <f aca="false">IF(AND(109&lt;V_Inicio,109&lt;=Fin),1,0)</f>
        <v>0</v>
      </c>
      <c r="DK172" s="19" t="n">
        <f aca="false">IF(AND(110&lt;V_Inicio,110&lt;=Fin),1,0)</f>
        <v>0</v>
      </c>
      <c r="DL172" s="19" t="n">
        <f aca="false">IF(AND(111&lt;V_Inicio,111&lt;=Fin),1,0)</f>
        <v>0</v>
      </c>
      <c r="DM172" s="19" t="n">
        <f aca="false">IF(AND(112&lt;V_Inicio,112&lt;=Fin),1,0)</f>
        <v>0</v>
      </c>
      <c r="DN172" s="19" t="n">
        <f aca="false">IF(AND(113&lt;V_Inicio,113&lt;=Fin),1,0)</f>
        <v>0</v>
      </c>
      <c r="DO172" s="19" t="n">
        <f aca="false">IF(AND(114&lt;V_Inicio,114&lt;=Fin),1,0)</f>
        <v>0</v>
      </c>
      <c r="DP172" s="19" t="n">
        <f aca="false">IF(AND(115&lt;V_Inicio,115&lt;=Fin),1,0)</f>
        <v>0</v>
      </c>
      <c r="DQ172" s="19" t="n">
        <f aca="false">IF(AND(116&lt;V_Inicio,116&lt;=Fin),1,0)</f>
        <v>0</v>
      </c>
      <c r="DR172" s="19" t="n">
        <f aca="false">IF(AND(117&lt;V_Inicio,117&lt;=Fin),1,0)</f>
        <v>0</v>
      </c>
      <c r="DS172" s="19" t="n">
        <f aca="false">IF(AND(118&lt;V_Inicio,118&lt;=Fin),1,0)</f>
        <v>0</v>
      </c>
      <c r="DT172" s="19" t="n">
        <f aca="false">IF(AND(119&lt;V_Inicio,119&lt;=Fin),1,0)</f>
        <v>0</v>
      </c>
      <c r="DU172" s="19" t="n">
        <f aca="false">IF(AND(120&lt;V_Inicio,120&lt;=Fin),1,0)</f>
        <v>0</v>
      </c>
      <c r="DV172" s="19" t="n">
        <f aca="false">IF(AND(121&lt;V_Inicio,121&lt;=Fin),1,0)</f>
        <v>0</v>
      </c>
      <c r="DW172" s="19" t="n">
        <f aca="false">IF(AND(122&lt;V_Inicio,122&lt;=Fin),1,0)</f>
        <v>0</v>
      </c>
      <c r="DX172" s="19" t="n">
        <f aca="false">IF(AND(123&lt;V_Inicio,123&lt;=Fin),1,0)</f>
        <v>0</v>
      </c>
      <c r="DY172" s="19" t="n">
        <f aca="false">IF(AND(124&lt;V_Inicio,124&lt;=Fin),1,0)</f>
        <v>0</v>
      </c>
      <c r="DZ172" s="19" t="n">
        <f aca="false">IF(AND(125&lt;V_Inicio,125&lt;=Fin),1,0)</f>
        <v>0</v>
      </c>
      <c r="EA172" s="19" t="n">
        <f aca="false">IF(AND(126&lt;V_Inicio,126&lt;=Fin),1,0)</f>
        <v>0</v>
      </c>
      <c r="EB172" s="19" t="n">
        <f aca="false">IF(AND(127&lt;V_Inicio,127&lt;=Fin),1,0)</f>
        <v>0</v>
      </c>
      <c r="EC172" s="19" t="n">
        <f aca="false">IF(AND(128&lt;V_Inicio,128&lt;=Fin),1,0)</f>
        <v>0</v>
      </c>
      <c r="ED172" s="19" t="n">
        <f aca="false">IF(AND(129&lt;V_Inicio,129&lt;=Fin),1,0)</f>
        <v>0</v>
      </c>
      <c r="EE172" s="19" t="n">
        <f aca="false">IF(AND(130&lt;V_Inicio,130&lt;=Fin),1,0)</f>
        <v>0</v>
      </c>
      <c r="EF172" s="19" t="n">
        <f aca="false">IF(AND(131&lt;V_Inicio,131&lt;=Fin),1,0)</f>
        <v>0</v>
      </c>
      <c r="EG172" s="19" t="n">
        <f aca="false">IF(AND(132&lt;V_Inicio,132&lt;=Fin),1,0)</f>
        <v>0</v>
      </c>
      <c r="EH172" s="19" t="n">
        <f aca="false">IF(AND(133&lt;V_Inicio,133&lt;=Fin),1,0)</f>
        <v>0</v>
      </c>
      <c r="EI172" s="19" t="n">
        <f aca="false">IF(AND(134&lt;V_Inicio,134&lt;=Fin),1,0)</f>
        <v>0</v>
      </c>
      <c r="EJ172" s="19" t="n">
        <f aca="false">IF(AND(135&lt;V_Inicio,135&lt;=Fin),1,0)</f>
        <v>0</v>
      </c>
      <c r="EK172" s="19" t="n">
        <f aca="false">IF(AND(136&lt;V_Inicio,136&lt;=Fin),1,0)</f>
        <v>0</v>
      </c>
      <c r="EL172" s="19" t="n">
        <f aca="false">IF(AND(137&lt;V_Inicio,137&lt;=Fin),1,0)</f>
        <v>0</v>
      </c>
      <c r="EM172" s="19" t="n">
        <f aca="false">IF(AND(138&lt;V_Inicio,138&lt;=Fin),1,0)</f>
        <v>0</v>
      </c>
      <c r="EN172" s="19" t="n">
        <f aca="false">IF(AND(139&lt;V_Inicio,139&lt;=Fin),1,0)</f>
        <v>0</v>
      </c>
      <c r="EO172" s="19" t="n">
        <f aca="false">IF(AND(140&lt;V_Inicio,140&lt;=Fin),1,0)</f>
        <v>0</v>
      </c>
      <c r="EP172" s="19" t="n">
        <f aca="false">IF(AND(141&lt;V_Inicio,141&lt;=Fin),1,0)</f>
        <v>0</v>
      </c>
      <c r="EQ172" s="19" t="n">
        <f aca="false">IF(AND(142&lt;V_Inicio,142&lt;=Fin),1,0)</f>
        <v>0</v>
      </c>
      <c r="ER172" s="19" t="n">
        <f aca="false">IF(AND(143&lt;V_Inicio,143&lt;=Fin),1,0)</f>
        <v>0</v>
      </c>
      <c r="ES172" s="19" t="n">
        <f aca="false">IF(AND(144&lt;V_Inicio,144&lt;=Fin),1,0)</f>
        <v>0</v>
      </c>
    </row>
    <row r="173" customFormat="false" ht="15" hidden="false" customHeight="false" outlineLevel="0" collapsed="false">
      <c r="A173" s="2" t="s">
        <v>816</v>
      </c>
      <c r="B173" s="6" t="s">
        <v>579</v>
      </c>
      <c r="C173" s="6" t="s">
        <v>572</v>
      </c>
      <c r="F173" s="19" t="n">
        <f aca="false">MAX(1,F$170)</f>
        <v>1</v>
      </c>
      <c r="G173" s="19" t="n">
        <f aca="false">MAX(1,G$170)</f>
        <v>1</v>
      </c>
      <c r="H173" s="19" t="n">
        <f aca="false">MAX(1,H$170)</f>
        <v>1</v>
      </c>
      <c r="I173" s="19" t="n">
        <f aca="false">MAX(1,I$170)</f>
        <v>1</v>
      </c>
      <c r="J173" s="19" t="n">
        <f aca="false">MAX(1,J$170)</f>
        <v>1</v>
      </c>
      <c r="K173" s="19" t="n">
        <f aca="false">MAX(1,K$170)</f>
        <v>1</v>
      </c>
      <c r="L173" s="19" t="n">
        <f aca="false">MAX(1,L$170)</f>
        <v>1</v>
      </c>
      <c r="M173" s="19" t="n">
        <f aca="false">MAX(1,M$170)</f>
        <v>1</v>
      </c>
      <c r="N173" s="19" t="n">
        <f aca="false">MAX(1,N$170)</f>
        <v>1</v>
      </c>
      <c r="O173" s="19" t="n">
        <f aca="false">MAX(1,O$170)</f>
        <v>1</v>
      </c>
      <c r="P173" s="19" t="n">
        <f aca="false">MAX(1,P$170)</f>
        <v>1</v>
      </c>
      <c r="Q173" s="19" t="n">
        <f aca="false">MAX(1,Q$170)</f>
        <v>1</v>
      </c>
      <c r="R173" s="19" t="n">
        <f aca="false">MAX(1,R$170)</f>
        <v>2</v>
      </c>
      <c r="S173" s="19" t="n">
        <f aca="false">MAX(1,S$170)</f>
        <v>2</v>
      </c>
      <c r="T173" s="19" t="n">
        <f aca="false">MAX(1,T$170)</f>
        <v>2</v>
      </c>
      <c r="U173" s="19" t="n">
        <f aca="false">MAX(1,U$170)</f>
        <v>2</v>
      </c>
      <c r="V173" s="19" t="n">
        <f aca="false">MAX(1,V$170)</f>
        <v>2</v>
      </c>
      <c r="W173" s="19" t="n">
        <f aca="false">MAX(1,W$170)</f>
        <v>2</v>
      </c>
      <c r="X173" s="19" t="n">
        <f aca="false">MAX(1,X$170)</f>
        <v>2</v>
      </c>
      <c r="Y173" s="19" t="n">
        <f aca="false">MAX(1,Y$170)</f>
        <v>2</v>
      </c>
      <c r="Z173" s="19" t="n">
        <f aca="false">MAX(1,Z$170)</f>
        <v>2</v>
      </c>
      <c r="AA173" s="19" t="n">
        <f aca="false">MAX(1,AA$170)</f>
        <v>2</v>
      </c>
      <c r="AB173" s="19" t="n">
        <f aca="false">MAX(1,AB$170)</f>
        <v>2</v>
      </c>
      <c r="AC173" s="19" t="n">
        <f aca="false">MAX(1,AC$170)</f>
        <v>2</v>
      </c>
      <c r="AD173" s="19" t="n">
        <f aca="false">MAX(1,AD$170)</f>
        <v>3</v>
      </c>
      <c r="AE173" s="19" t="n">
        <f aca="false">MAX(1,AE$170)</f>
        <v>3</v>
      </c>
      <c r="AF173" s="19" t="n">
        <f aca="false">MAX(1,AF$170)</f>
        <v>3</v>
      </c>
      <c r="AG173" s="19" t="n">
        <f aca="false">MAX(1,AG$170)</f>
        <v>3</v>
      </c>
      <c r="AH173" s="19" t="n">
        <f aca="false">MAX(1,AH$170)</f>
        <v>3</v>
      </c>
      <c r="AI173" s="19" t="n">
        <f aca="false">MAX(1,AI$170)</f>
        <v>3</v>
      </c>
      <c r="AJ173" s="19" t="n">
        <f aca="false">MAX(1,AJ$170)</f>
        <v>3</v>
      </c>
      <c r="AK173" s="19" t="n">
        <f aca="false">MAX(1,AK$170)</f>
        <v>3</v>
      </c>
      <c r="AL173" s="19" t="n">
        <f aca="false">MAX(1,AL$170)</f>
        <v>3</v>
      </c>
      <c r="AM173" s="19" t="n">
        <f aca="false">MAX(1,AM$170)</f>
        <v>3</v>
      </c>
      <c r="AN173" s="19" t="n">
        <f aca="false">MAX(1,AN$170)</f>
        <v>3</v>
      </c>
      <c r="AO173" s="19" t="n">
        <f aca="false">MAX(1,AO$170)</f>
        <v>3</v>
      </c>
      <c r="AP173" s="19" t="n">
        <f aca="false">MAX(1,AP$170)</f>
        <v>4</v>
      </c>
      <c r="AQ173" s="19" t="n">
        <f aca="false">MAX(1,AQ$170)</f>
        <v>4</v>
      </c>
      <c r="AR173" s="19" t="n">
        <f aca="false">MAX(1,AR$170)</f>
        <v>4</v>
      </c>
      <c r="AS173" s="19" t="n">
        <f aca="false">MAX(1,AS$170)</f>
        <v>4</v>
      </c>
      <c r="AT173" s="19" t="n">
        <f aca="false">MAX(1,AT$170)</f>
        <v>4</v>
      </c>
      <c r="AU173" s="19" t="n">
        <f aca="false">MAX(1,AU$170)</f>
        <v>4</v>
      </c>
      <c r="AV173" s="19" t="n">
        <f aca="false">MAX(1,AV$170)</f>
        <v>4</v>
      </c>
      <c r="AW173" s="19" t="n">
        <f aca="false">MAX(1,AW$170)</f>
        <v>4</v>
      </c>
      <c r="AX173" s="19" t="n">
        <f aca="false">MAX(1,AX$170)</f>
        <v>4</v>
      </c>
      <c r="AY173" s="19" t="n">
        <f aca="false">MAX(1,AY$170)</f>
        <v>4</v>
      </c>
      <c r="AZ173" s="19" t="n">
        <f aca="false">MAX(1,AZ$170)</f>
        <v>4</v>
      </c>
      <c r="BA173" s="19" t="n">
        <f aca="false">MAX(1,BA$170)</f>
        <v>4</v>
      </c>
      <c r="BB173" s="19" t="n">
        <f aca="false">MAX(1,BB$170)</f>
        <v>5</v>
      </c>
      <c r="BC173" s="19" t="n">
        <f aca="false">MAX(1,BC$170)</f>
        <v>5</v>
      </c>
      <c r="BD173" s="19" t="n">
        <f aca="false">MAX(1,BD$170)</f>
        <v>5</v>
      </c>
      <c r="BE173" s="19" t="n">
        <f aca="false">MAX(1,BE$170)</f>
        <v>5</v>
      </c>
      <c r="BF173" s="19" t="n">
        <f aca="false">MAX(1,BF$170)</f>
        <v>5</v>
      </c>
      <c r="BG173" s="19" t="n">
        <f aca="false">MAX(1,BG$170)</f>
        <v>5</v>
      </c>
      <c r="BH173" s="19" t="n">
        <f aca="false">MAX(1,BH$170)</f>
        <v>5</v>
      </c>
      <c r="BI173" s="19" t="n">
        <f aca="false">MAX(1,BI$170)</f>
        <v>5</v>
      </c>
      <c r="BJ173" s="19" t="n">
        <f aca="false">MAX(1,BJ$170)</f>
        <v>5</v>
      </c>
      <c r="BK173" s="19" t="n">
        <f aca="false">MAX(1,BK$170)</f>
        <v>5</v>
      </c>
      <c r="BL173" s="19" t="n">
        <f aca="false">MAX(1,BL$170)</f>
        <v>5</v>
      </c>
      <c r="BM173" s="19" t="n">
        <f aca="false">MAX(1,BM$170)</f>
        <v>5</v>
      </c>
      <c r="BN173" s="19" t="n">
        <f aca="false">MAX(1,BN$170)</f>
        <v>6</v>
      </c>
      <c r="BO173" s="19" t="n">
        <f aca="false">MAX(1,BO$170)</f>
        <v>6</v>
      </c>
      <c r="BP173" s="19" t="n">
        <f aca="false">MAX(1,BP$170)</f>
        <v>6</v>
      </c>
      <c r="BQ173" s="19" t="n">
        <f aca="false">MAX(1,BQ$170)</f>
        <v>6</v>
      </c>
      <c r="BR173" s="19" t="n">
        <f aca="false">MAX(1,BR$170)</f>
        <v>6</v>
      </c>
      <c r="BS173" s="19" t="n">
        <f aca="false">MAX(1,BS$170)</f>
        <v>6</v>
      </c>
      <c r="BT173" s="19" t="n">
        <f aca="false">MAX(1,BT$170)</f>
        <v>6</v>
      </c>
      <c r="BU173" s="19" t="n">
        <f aca="false">MAX(1,BU$170)</f>
        <v>6</v>
      </c>
      <c r="BV173" s="19" t="n">
        <f aca="false">MAX(1,BV$170)</f>
        <v>6</v>
      </c>
      <c r="BW173" s="19" t="n">
        <f aca="false">MAX(1,BW$170)</f>
        <v>6</v>
      </c>
      <c r="BX173" s="19" t="n">
        <f aca="false">MAX(1,BX$170)</f>
        <v>6</v>
      </c>
      <c r="BY173" s="19" t="n">
        <f aca="false">MAX(1,BY$170)</f>
        <v>6</v>
      </c>
      <c r="BZ173" s="19" t="n">
        <f aca="false">MAX(1,BZ$170)</f>
        <v>7</v>
      </c>
      <c r="CA173" s="19" t="n">
        <f aca="false">MAX(1,CA$170)</f>
        <v>7</v>
      </c>
      <c r="CB173" s="19" t="n">
        <f aca="false">MAX(1,CB$170)</f>
        <v>7</v>
      </c>
      <c r="CC173" s="19" t="n">
        <f aca="false">MAX(1,CC$170)</f>
        <v>7</v>
      </c>
      <c r="CD173" s="19" t="n">
        <f aca="false">MAX(1,CD$170)</f>
        <v>7</v>
      </c>
      <c r="CE173" s="19" t="n">
        <f aca="false">MAX(1,CE$170)</f>
        <v>7</v>
      </c>
      <c r="CF173" s="19" t="n">
        <f aca="false">MAX(1,CF$170)</f>
        <v>7</v>
      </c>
      <c r="CG173" s="19" t="n">
        <f aca="false">MAX(1,CG$170)</f>
        <v>7</v>
      </c>
      <c r="CH173" s="19" t="n">
        <f aca="false">MAX(1,CH$170)</f>
        <v>7</v>
      </c>
      <c r="CI173" s="19" t="n">
        <f aca="false">MAX(1,CI$170)</f>
        <v>7</v>
      </c>
      <c r="CJ173" s="19" t="n">
        <f aca="false">MAX(1,CJ$170)</f>
        <v>7</v>
      </c>
      <c r="CK173" s="19" t="n">
        <f aca="false">MAX(1,CK$170)</f>
        <v>7</v>
      </c>
      <c r="CL173" s="19" t="n">
        <f aca="false">MAX(1,CL$170)</f>
        <v>8</v>
      </c>
      <c r="CM173" s="19" t="n">
        <f aca="false">MAX(1,CM$170)</f>
        <v>8</v>
      </c>
      <c r="CN173" s="19" t="n">
        <f aca="false">MAX(1,CN$170)</f>
        <v>8</v>
      </c>
      <c r="CO173" s="19" t="n">
        <f aca="false">MAX(1,CO$170)</f>
        <v>8</v>
      </c>
      <c r="CP173" s="19" t="n">
        <f aca="false">MAX(1,CP$170)</f>
        <v>8</v>
      </c>
      <c r="CQ173" s="19" t="n">
        <f aca="false">MAX(1,CQ$170)</f>
        <v>8</v>
      </c>
      <c r="CR173" s="19" t="n">
        <f aca="false">MAX(1,CR$170)</f>
        <v>8</v>
      </c>
      <c r="CS173" s="19" t="n">
        <f aca="false">MAX(1,CS$170)</f>
        <v>8</v>
      </c>
      <c r="CT173" s="19" t="n">
        <f aca="false">MAX(1,CT$170)</f>
        <v>8</v>
      </c>
      <c r="CU173" s="19" t="n">
        <f aca="false">MAX(1,CU$170)</f>
        <v>8</v>
      </c>
      <c r="CV173" s="19" t="n">
        <f aca="false">MAX(1,CV$170)</f>
        <v>8</v>
      </c>
      <c r="CW173" s="19" t="n">
        <f aca="false">MAX(1,CW$170)</f>
        <v>8</v>
      </c>
      <c r="CX173" s="19" t="n">
        <f aca="false">MAX(1,CX$170)</f>
        <v>9</v>
      </c>
      <c r="CY173" s="19" t="n">
        <f aca="false">MAX(1,CY$170)</f>
        <v>9</v>
      </c>
      <c r="CZ173" s="19" t="n">
        <f aca="false">MAX(1,CZ$170)</f>
        <v>9</v>
      </c>
      <c r="DA173" s="19" t="n">
        <f aca="false">MAX(1,DA$170)</f>
        <v>9</v>
      </c>
      <c r="DB173" s="19" t="n">
        <f aca="false">MAX(1,DB$170)</f>
        <v>9</v>
      </c>
      <c r="DC173" s="19" t="n">
        <f aca="false">MAX(1,DC$170)</f>
        <v>9</v>
      </c>
      <c r="DD173" s="19" t="n">
        <f aca="false">MAX(1,DD$170)</f>
        <v>9</v>
      </c>
      <c r="DE173" s="19" t="n">
        <f aca="false">MAX(1,DE$170)</f>
        <v>9</v>
      </c>
      <c r="DF173" s="19" t="n">
        <f aca="false">MAX(1,DF$170)</f>
        <v>9</v>
      </c>
      <c r="DG173" s="19" t="n">
        <f aca="false">MAX(1,DG$170)</f>
        <v>9</v>
      </c>
      <c r="DH173" s="19" t="n">
        <f aca="false">MAX(1,DH$170)</f>
        <v>9</v>
      </c>
      <c r="DI173" s="19" t="n">
        <f aca="false">MAX(1,DI$170)</f>
        <v>9</v>
      </c>
      <c r="DJ173" s="19" t="n">
        <f aca="false">MAX(1,DJ$170)</f>
        <v>10</v>
      </c>
      <c r="DK173" s="19" t="n">
        <f aca="false">MAX(1,DK$170)</f>
        <v>10</v>
      </c>
      <c r="DL173" s="19" t="n">
        <f aca="false">MAX(1,DL$170)</f>
        <v>10</v>
      </c>
      <c r="DM173" s="19" t="n">
        <f aca="false">MAX(1,DM$170)</f>
        <v>10</v>
      </c>
      <c r="DN173" s="19" t="n">
        <f aca="false">MAX(1,DN$170)</f>
        <v>10</v>
      </c>
      <c r="DO173" s="19" t="n">
        <f aca="false">MAX(1,DO$170)</f>
        <v>10</v>
      </c>
      <c r="DP173" s="19" t="n">
        <f aca="false">MAX(1,DP$170)</f>
        <v>10</v>
      </c>
      <c r="DQ173" s="19" t="n">
        <f aca="false">MAX(1,DQ$170)</f>
        <v>10</v>
      </c>
      <c r="DR173" s="19" t="n">
        <f aca="false">MAX(1,DR$170)</f>
        <v>10</v>
      </c>
      <c r="DS173" s="19" t="n">
        <f aca="false">MAX(1,DS$170)</f>
        <v>10</v>
      </c>
      <c r="DT173" s="19" t="n">
        <f aca="false">MAX(1,DT$170)</f>
        <v>10</v>
      </c>
      <c r="DU173" s="19" t="n">
        <f aca="false">MAX(1,DU$170)</f>
        <v>10</v>
      </c>
      <c r="DV173" s="19" t="n">
        <f aca="false">MAX(1,DV$170)</f>
        <v>1</v>
      </c>
      <c r="DW173" s="19" t="n">
        <f aca="false">MAX(1,DW$170)</f>
        <v>1</v>
      </c>
      <c r="DX173" s="19" t="n">
        <f aca="false">MAX(1,DX$170)</f>
        <v>1</v>
      </c>
      <c r="DY173" s="19" t="n">
        <f aca="false">MAX(1,DY$170)</f>
        <v>1</v>
      </c>
      <c r="DZ173" s="19" t="n">
        <f aca="false">MAX(1,DZ$170)</f>
        <v>1</v>
      </c>
      <c r="EA173" s="19" t="n">
        <f aca="false">MAX(1,EA$170)</f>
        <v>1</v>
      </c>
      <c r="EB173" s="19" t="n">
        <f aca="false">MAX(1,EB$170)</f>
        <v>1</v>
      </c>
      <c r="EC173" s="19" t="n">
        <f aca="false">MAX(1,EC$170)</f>
        <v>1</v>
      </c>
      <c r="ED173" s="19" t="n">
        <f aca="false">MAX(1,ED$170)</f>
        <v>1</v>
      </c>
      <c r="EE173" s="19" t="n">
        <f aca="false">MAX(1,EE$170)</f>
        <v>1</v>
      </c>
      <c r="EF173" s="19" t="n">
        <f aca="false">MAX(1,EF$170)</f>
        <v>1</v>
      </c>
      <c r="EG173" s="19" t="n">
        <f aca="false">MAX(1,EG$170)</f>
        <v>1</v>
      </c>
      <c r="EH173" s="19" t="n">
        <f aca="false">MAX(1,EH$170)</f>
        <v>1</v>
      </c>
      <c r="EI173" s="19" t="n">
        <f aca="false">MAX(1,EI$170)</f>
        <v>1</v>
      </c>
      <c r="EJ173" s="19" t="n">
        <f aca="false">MAX(1,EJ$170)</f>
        <v>1</v>
      </c>
      <c r="EK173" s="19" t="n">
        <f aca="false">MAX(1,EK$170)</f>
        <v>1</v>
      </c>
      <c r="EL173" s="19" t="n">
        <f aca="false">MAX(1,EL$170)</f>
        <v>1</v>
      </c>
      <c r="EM173" s="19" t="n">
        <f aca="false">MAX(1,EM$170)</f>
        <v>1</v>
      </c>
      <c r="EN173" s="19" t="n">
        <f aca="false">MAX(1,EN$170)</f>
        <v>1</v>
      </c>
      <c r="EO173" s="19" t="n">
        <f aca="false">MAX(1,EO$170)</f>
        <v>1</v>
      </c>
      <c r="EP173" s="19" t="n">
        <f aca="false">MAX(1,EP$170)</f>
        <v>1</v>
      </c>
      <c r="EQ173" s="19" t="n">
        <f aca="false">MAX(1,EQ$170)</f>
        <v>1</v>
      </c>
      <c r="ER173" s="19" t="n">
        <f aca="false">MAX(1,ER$170)</f>
        <v>1</v>
      </c>
      <c r="ES173" s="19" t="n">
        <f aca="false">MAX(1,ES$170)</f>
        <v>1</v>
      </c>
    </row>
    <row r="174" customFormat="false" ht="15" hidden="false" customHeight="false" outlineLevel="0" collapsed="false">
      <c r="A174" s="2" t="s">
        <v>817</v>
      </c>
      <c r="B174" s="6" t="s">
        <v>581</v>
      </c>
      <c r="C174" s="6" t="s">
        <v>208</v>
      </c>
      <c r="F174" s="34" t="n">
        <f aca="false">INDEX(TC_V,1,MIN(10,F$6))*(1+V_dTC)</f>
        <v>7300</v>
      </c>
      <c r="G174" s="34" t="n">
        <f aca="false">INDEX(TC_V,1,MIN(10,G$6))*(1+V_dTC)</f>
        <v>7300</v>
      </c>
      <c r="H174" s="34" t="n">
        <f aca="false">INDEX(TC_V,1,MIN(10,H$6))*(1+V_dTC)</f>
        <v>7300</v>
      </c>
      <c r="I174" s="34" t="n">
        <f aca="false">INDEX(TC_V,1,MIN(10,I$6))*(1+V_dTC)</f>
        <v>7300</v>
      </c>
      <c r="J174" s="34" t="n">
        <f aca="false">INDEX(TC_V,1,MIN(10,J$6))*(1+V_dTC)</f>
        <v>7300</v>
      </c>
      <c r="K174" s="34" t="n">
        <f aca="false">INDEX(TC_V,1,MIN(10,K$6))*(1+V_dTC)</f>
        <v>7300</v>
      </c>
      <c r="L174" s="34" t="n">
        <f aca="false">INDEX(TC_V,1,MIN(10,L$6))*(1+V_dTC)</f>
        <v>7300</v>
      </c>
      <c r="M174" s="34" t="n">
        <f aca="false">INDEX(TC_V,1,MIN(10,M$6))*(1+V_dTC)</f>
        <v>7300</v>
      </c>
      <c r="N174" s="34" t="n">
        <f aca="false">INDEX(TC_V,1,MIN(10,N$6))*(1+V_dTC)</f>
        <v>7300</v>
      </c>
      <c r="O174" s="34" t="n">
        <f aca="false">INDEX(TC_V,1,MIN(10,O$6))*(1+V_dTC)</f>
        <v>7300</v>
      </c>
      <c r="P174" s="34" t="n">
        <f aca="false">INDEX(TC_V,1,MIN(10,P$6))*(1+V_dTC)</f>
        <v>7300</v>
      </c>
      <c r="Q174" s="34" t="n">
        <f aca="false">INDEX(TC_V,1,MIN(10,Q$6))*(1+V_dTC)</f>
        <v>7300</v>
      </c>
      <c r="R174" s="34" t="n">
        <f aca="false">INDEX(TC_V,1,MIN(10,R$6))*(1+V_dTC)</f>
        <v>7300</v>
      </c>
      <c r="S174" s="34" t="n">
        <f aca="false">INDEX(TC_V,1,MIN(10,S$6))*(1+V_dTC)</f>
        <v>7300</v>
      </c>
      <c r="T174" s="34" t="n">
        <f aca="false">INDEX(TC_V,1,MIN(10,T$6))*(1+V_dTC)</f>
        <v>7300</v>
      </c>
      <c r="U174" s="34" t="n">
        <f aca="false">INDEX(TC_V,1,MIN(10,U$6))*(1+V_dTC)</f>
        <v>7300</v>
      </c>
      <c r="V174" s="34" t="n">
        <f aca="false">INDEX(TC_V,1,MIN(10,V$6))*(1+V_dTC)</f>
        <v>7300</v>
      </c>
      <c r="W174" s="34" t="n">
        <f aca="false">INDEX(TC_V,1,MIN(10,W$6))*(1+V_dTC)</f>
        <v>7300</v>
      </c>
      <c r="X174" s="34" t="n">
        <f aca="false">INDEX(TC_V,1,MIN(10,X$6))*(1+V_dTC)</f>
        <v>7300</v>
      </c>
      <c r="Y174" s="34" t="n">
        <f aca="false">INDEX(TC_V,1,MIN(10,Y$6))*(1+V_dTC)</f>
        <v>7300</v>
      </c>
      <c r="Z174" s="34" t="n">
        <f aca="false">INDEX(TC_V,1,MIN(10,Z$6))*(1+V_dTC)</f>
        <v>7300</v>
      </c>
      <c r="AA174" s="34" t="n">
        <f aca="false">INDEX(TC_V,1,MIN(10,AA$6))*(1+V_dTC)</f>
        <v>7300</v>
      </c>
      <c r="AB174" s="34" t="n">
        <f aca="false">INDEX(TC_V,1,MIN(10,AB$6))*(1+V_dTC)</f>
        <v>7300</v>
      </c>
      <c r="AC174" s="34" t="n">
        <f aca="false">INDEX(TC_V,1,MIN(10,AC$6))*(1+V_dTC)</f>
        <v>7300</v>
      </c>
      <c r="AD174" s="34" t="n">
        <f aca="false">INDEX(TC_V,1,MIN(10,AD$6))*(1+V_dTC)</f>
        <v>7300</v>
      </c>
      <c r="AE174" s="34" t="n">
        <f aca="false">INDEX(TC_V,1,MIN(10,AE$6))*(1+V_dTC)</f>
        <v>7300</v>
      </c>
      <c r="AF174" s="34" t="n">
        <f aca="false">INDEX(TC_V,1,MIN(10,AF$6))*(1+V_dTC)</f>
        <v>7300</v>
      </c>
      <c r="AG174" s="34" t="n">
        <f aca="false">INDEX(TC_V,1,MIN(10,AG$6))*(1+V_dTC)</f>
        <v>7300</v>
      </c>
      <c r="AH174" s="34" t="n">
        <f aca="false">INDEX(TC_V,1,MIN(10,AH$6))*(1+V_dTC)</f>
        <v>7300</v>
      </c>
      <c r="AI174" s="34" t="n">
        <f aca="false">INDEX(TC_V,1,MIN(10,AI$6))*(1+V_dTC)</f>
        <v>7300</v>
      </c>
      <c r="AJ174" s="34" t="n">
        <f aca="false">INDEX(TC_V,1,MIN(10,AJ$6))*(1+V_dTC)</f>
        <v>7300</v>
      </c>
      <c r="AK174" s="34" t="n">
        <f aca="false">INDEX(TC_V,1,MIN(10,AK$6))*(1+V_dTC)</f>
        <v>7300</v>
      </c>
      <c r="AL174" s="34" t="n">
        <f aca="false">INDEX(TC_V,1,MIN(10,AL$6))*(1+V_dTC)</f>
        <v>7300</v>
      </c>
      <c r="AM174" s="34" t="n">
        <f aca="false">INDEX(TC_V,1,MIN(10,AM$6))*(1+V_dTC)</f>
        <v>7300</v>
      </c>
      <c r="AN174" s="34" t="n">
        <f aca="false">INDEX(TC_V,1,MIN(10,AN$6))*(1+V_dTC)</f>
        <v>7300</v>
      </c>
      <c r="AO174" s="34" t="n">
        <f aca="false">INDEX(TC_V,1,MIN(10,AO$6))*(1+V_dTC)</f>
        <v>7300</v>
      </c>
      <c r="AP174" s="34" t="n">
        <f aca="false">INDEX(TC_V,1,MIN(10,AP$6))*(1+V_dTC)</f>
        <v>7300</v>
      </c>
      <c r="AQ174" s="34" t="n">
        <f aca="false">INDEX(TC_V,1,MIN(10,AQ$6))*(1+V_dTC)</f>
        <v>7300</v>
      </c>
      <c r="AR174" s="34" t="n">
        <f aca="false">INDEX(TC_V,1,MIN(10,AR$6))*(1+V_dTC)</f>
        <v>7300</v>
      </c>
      <c r="AS174" s="34" t="n">
        <f aca="false">INDEX(TC_V,1,MIN(10,AS$6))*(1+V_dTC)</f>
        <v>7300</v>
      </c>
      <c r="AT174" s="34" t="n">
        <f aca="false">INDEX(TC_V,1,MIN(10,AT$6))*(1+V_dTC)</f>
        <v>7300</v>
      </c>
      <c r="AU174" s="34" t="n">
        <f aca="false">INDEX(TC_V,1,MIN(10,AU$6))*(1+V_dTC)</f>
        <v>7300</v>
      </c>
      <c r="AV174" s="34" t="n">
        <f aca="false">INDEX(TC_V,1,MIN(10,AV$6))*(1+V_dTC)</f>
        <v>7300</v>
      </c>
      <c r="AW174" s="34" t="n">
        <f aca="false">INDEX(TC_V,1,MIN(10,AW$6))*(1+V_dTC)</f>
        <v>7300</v>
      </c>
      <c r="AX174" s="34" t="n">
        <f aca="false">INDEX(TC_V,1,MIN(10,AX$6))*(1+V_dTC)</f>
        <v>7300</v>
      </c>
      <c r="AY174" s="34" t="n">
        <f aca="false">INDEX(TC_V,1,MIN(10,AY$6))*(1+V_dTC)</f>
        <v>7300</v>
      </c>
      <c r="AZ174" s="34" t="n">
        <f aca="false">INDEX(TC_V,1,MIN(10,AZ$6))*(1+V_dTC)</f>
        <v>7300</v>
      </c>
      <c r="BA174" s="34" t="n">
        <f aca="false">INDEX(TC_V,1,MIN(10,BA$6))*(1+V_dTC)</f>
        <v>7300</v>
      </c>
      <c r="BB174" s="34" t="n">
        <f aca="false">INDEX(TC_V,1,MIN(10,BB$6))*(1+V_dTC)</f>
        <v>7300</v>
      </c>
      <c r="BC174" s="34" t="n">
        <f aca="false">INDEX(TC_V,1,MIN(10,BC$6))*(1+V_dTC)</f>
        <v>7300</v>
      </c>
      <c r="BD174" s="34" t="n">
        <f aca="false">INDEX(TC_V,1,MIN(10,BD$6))*(1+V_dTC)</f>
        <v>7300</v>
      </c>
      <c r="BE174" s="34" t="n">
        <f aca="false">INDEX(TC_V,1,MIN(10,BE$6))*(1+V_dTC)</f>
        <v>7300</v>
      </c>
      <c r="BF174" s="34" t="n">
        <f aca="false">INDEX(TC_V,1,MIN(10,BF$6))*(1+V_dTC)</f>
        <v>7300</v>
      </c>
      <c r="BG174" s="34" t="n">
        <f aca="false">INDEX(TC_V,1,MIN(10,BG$6))*(1+V_dTC)</f>
        <v>7300</v>
      </c>
      <c r="BH174" s="34" t="n">
        <f aca="false">INDEX(TC_V,1,MIN(10,BH$6))*(1+V_dTC)</f>
        <v>7300</v>
      </c>
      <c r="BI174" s="34" t="n">
        <f aca="false">INDEX(TC_V,1,MIN(10,BI$6))*(1+V_dTC)</f>
        <v>7300</v>
      </c>
      <c r="BJ174" s="34" t="n">
        <f aca="false">INDEX(TC_V,1,MIN(10,BJ$6))*(1+V_dTC)</f>
        <v>7300</v>
      </c>
      <c r="BK174" s="34" t="n">
        <f aca="false">INDEX(TC_V,1,MIN(10,BK$6))*(1+V_dTC)</f>
        <v>7300</v>
      </c>
      <c r="BL174" s="34" t="n">
        <f aca="false">INDEX(TC_V,1,MIN(10,BL$6))*(1+V_dTC)</f>
        <v>7300</v>
      </c>
      <c r="BM174" s="34" t="n">
        <f aca="false">INDEX(TC_V,1,MIN(10,BM$6))*(1+V_dTC)</f>
        <v>7300</v>
      </c>
      <c r="BN174" s="34" t="n">
        <f aca="false">INDEX(TC_V,1,MIN(10,BN$6))*(1+V_dTC)</f>
        <v>7300</v>
      </c>
      <c r="BO174" s="34" t="n">
        <f aca="false">INDEX(TC_V,1,MIN(10,BO$6))*(1+V_dTC)</f>
        <v>7300</v>
      </c>
      <c r="BP174" s="34" t="n">
        <f aca="false">INDEX(TC_V,1,MIN(10,BP$6))*(1+V_dTC)</f>
        <v>7300</v>
      </c>
      <c r="BQ174" s="34" t="n">
        <f aca="false">INDEX(TC_V,1,MIN(10,BQ$6))*(1+V_dTC)</f>
        <v>7300</v>
      </c>
      <c r="BR174" s="34" t="n">
        <f aca="false">INDEX(TC_V,1,MIN(10,BR$6))*(1+V_dTC)</f>
        <v>7300</v>
      </c>
      <c r="BS174" s="34" t="n">
        <f aca="false">INDEX(TC_V,1,MIN(10,BS$6))*(1+V_dTC)</f>
        <v>7300</v>
      </c>
      <c r="BT174" s="34" t="n">
        <f aca="false">INDEX(TC_V,1,MIN(10,BT$6))*(1+V_dTC)</f>
        <v>7300</v>
      </c>
      <c r="BU174" s="34" t="n">
        <f aca="false">INDEX(TC_V,1,MIN(10,BU$6))*(1+V_dTC)</f>
        <v>7300</v>
      </c>
      <c r="BV174" s="34" t="n">
        <f aca="false">INDEX(TC_V,1,MIN(10,BV$6))*(1+V_dTC)</f>
        <v>7300</v>
      </c>
      <c r="BW174" s="34" t="n">
        <f aca="false">INDEX(TC_V,1,MIN(10,BW$6))*(1+V_dTC)</f>
        <v>7300</v>
      </c>
      <c r="BX174" s="34" t="n">
        <f aca="false">INDEX(TC_V,1,MIN(10,BX$6))*(1+V_dTC)</f>
        <v>7300</v>
      </c>
      <c r="BY174" s="34" t="n">
        <f aca="false">INDEX(TC_V,1,MIN(10,BY$6))*(1+V_dTC)</f>
        <v>7300</v>
      </c>
      <c r="BZ174" s="34" t="n">
        <f aca="false">INDEX(TC_V,1,MIN(10,BZ$6))*(1+V_dTC)</f>
        <v>7300</v>
      </c>
      <c r="CA174" s="34" t="n">
        <f aca="false">INDEX(TC_V,1,MIN(10,CA$6))*(1+V_dTC)</f>
        <v>7300</v>
      </c>
      <c r="CB174" s="34" t="n">
        <f aca="false">INDEX(TC_V,1,MIN(10,CB$6))*(1+V_dTC)</f>
        <v>7300</v>
      </c>
      <c r="CC174" s="34" t="n">
        <f aca="false">INDEX(TC_V,1,MIN(10,CC$6))*(1+V_dTC)</f>
        <v>7300</v>
      </c>
      <c r="CD174" s="34" t="n">
        <f aca="false">INDEX(TC_V,1,MIN(10,CD$6))*(1+V_dTC)</f>
        <v>7300</v>
      </c>
      <c r="CE174" s="34" t="n">
        <f aca="false">INDEX(TC_V,1,MIN(10,CE$6))*(1+V_dTC)</f>
        <v>7300</v>
      </c>
      <c r="CF174" s="34" t="n">
        <f aca="false">INDEX(TC_V,1,MIN(10,CF$6))*(1+V_dTC)</f>
        <v>7300</v>
      </c>
      <c r="CG174" s="34" t="n">
        <f aca="false">INDEX(TC_V,1,MIN(10,CG$6))*(1+V_dTC)</f>
        <v>7300</v>
      </c>
      <c r="CH174" s="34" t="n">
        <f aca="false">INDEX(TC_V,1,MIN(10,CH$6))*(1+V_dTC)</f>
        <v>7300</v>
      </c>
      <c r="CI174" s="34" t="n">
        <f aca="false">INDEX(TC_V,1,MIN(10,CI$6))*(1+V_dTC)</f>
        <v>7300</v>
      </c>
      <c r="CJ174" s="34" t="n">
        <f aca="false">INDEX(TC_V,1,MIN(10,CJ$6))*(1+V_dTC)</f>
        <v>7300</v>
      </c>
      <c r="CK174" s="34" t="n">
        <f aca="false">INDEX(TC_V,1,MIN(10,CK$6))*(1+V_dTC)</f>
        <v>7300</v>
      </c>
      <c r="CL174" s="34" t="n">
        <f aca="false">INDEX(TC_V,1,MIN(10,CL$6))*(1+V_dTC)</f>
        <v>7300</v>
      </c>
      <c r="CM174" s="34" t="n">
        <f aca="false">INDEX(TC_V,1,MIN(10,CM$6))*(1+V_dTC)</f>
        <v>7300</v>
      </c>
      <c r="CN174" s="34" t="n">
        <f aca="false">INDEX(TC_V,1,MIN(10,CN$6))*(1+V_dTC)</f>
        <v>7300</v>
      </c>
      <c r="CO174" s="34" t="n">
        <f aca="false">INDEX(TC_V,1,MIN(10,CO$6))*(1+V_dTC)</f>
        <v>7300</v>
      </c>
      <c r="CP174" s="34" t="n">
        <f aca="false">INDEX(TC_V,1,MIN(10,CP$6))*(1+V_dTC)</f>
        <v>7300</v>
      </c>
      <c r="CQ174" s="34" t="n">
        <f aca="false">INDEX(TC_V,1,MIN(10,CQ$6))*(1+V_dTC)</f>
        <v>7300</v>
      </c>
      <c r="CR174" s="34" t="n">
        <f aca="false">INDEX(TC_V,1,MIN(10,CR$6))*(1+V_dTC)</f>
        <v>7300</v>
      </c>
      <c r="CS174" s="34" t="n">
        <f aca="false">INDEX(TC_V,1,MIN(10,CS$6))*(1+V_dTC)</f>
        <v>7300</v>
      </c>
      <c r="CT174" s="34" t="n">
        <f aca="false">INDEX(TC_V,1,MIN(10,CT$6))*(1+V_dTC)</f>
        <v>7300</v>
      </c>
      <c r="CU174" s="34" t="n">
        <f aca="false">INDEX(TC_V,1,MIN(10,CU$6))*(1+V_dTC)</f>
        <v>7300</v>
      </c>
      <c r="CV174" s="34" t="n">
        <f aca="false">INDEX(TC_V,1,MIN(10,CV$6))*(1+V_dTC)</f>
        <v>7300</v>
      </c>
      <c r="CW174" s="34" t="n">
        <f aca="false">INDEX(TC_V,1,MIN(10,CW$6))*(1+V_dTC)</f>
        <v>7300</v>
      </c>
      <c r="CX174" s="34" t="n">
        <f aca="false">INDEX(TC_V,1,MIN(10,CX$6))*(1+V_dTC)</f>
        <v>7300</v>
      </c>
      <c r="CY174" s="34" t="n">
        <f aca="false">INDEX(TC_V,1,MIN(10,CY$6))*(1+V_dTC)</f>
        <v>7300</v>
      </c>
      <c r="CZ174" s="34" t="n">
        <f aca="false">INDEX(TC_V,1,MIN(10,CZ$6))*(1+V_dTC)</f>
        <v>7300</v>
      </c>
      <c r="DA174" s="34" t="n">
        <f aca="false">INDEX(TC_V,1,MIN(10,DA$6))*(1+V_dTC)</f>
        <v>7300</v>
      </c>
      <c r="DB174" s="34" t="n">
        <f aca="false">INDEX(TC_V,1,MIN(10,DB$6))*(1+V_dTC)</f>
        <v>7300</v>
      </c>
      <c r="DC174" s="34" t="n">
        <f aca="false">INDEX(TC_V,1,MIN(10,DC$6))*(1+V_dTC)</f>
        <v>7300</v>
      </c>
      <c r="DD174" s="34" t="n">
        <f aca="false">INDEX(TC_V,1,MIN(10,DD$6))*(1+V_dTC)</f>
        <v>7300</v>
      </c>
      <c r="DE174" s="34" t="n">
        <f aca="false">INDEX(TC_V,1,MIN(10,DE$6))*(1+V_dTC)</f>
        <v>7300</v>
      </c>
      <c r="DF174" s="34" t="n">
        <f aca="false">INDEX(TC_V,1,MIN(10,DF$6))*(1+V_dTC)</f>
        <v>7300</v>
      </c>
      <c r="DG174" s="34" t="n">
        <f aca="false">INDEX(TC_V,1,MIN(10,DG$6))*(1+V_dTC)</f>
        <v>7300</v>
      </c>
      <c r="DH174" s="34" t="n">
        <f aca="false">INDEX(TC_V,1,MIN(10,DH$6))*(1+V_dTC)</f>
        <v>7300</v>
      </c>
      <c r="DI174" s="34" t="n">
        <f aca="false">INDEX(TC_V,1,MIN(10,DI$6))*(1+V_dTC)</f>
        <v>7300</v>
      </c>
      <c r="DJ174" s="34" t="n">
        <f aca="false">INDEX(TC_V,1,MIN(10,DJ$6))*(1+V_dTC)</f>
        <v>7300</v>
      </c>
      <c r="DK174" s="34" t="n">
        <f aca="false">INDEX(TC_V,1,MIN(10,DK$6))*(1+V_dTC)</f>
        <v>7300</v>
      </c>
      <c r="DL174" s="34" t="n">
        <f aca="false">INDEX(TC_V,1,MIN(10,DL$6))*(1+V_dTC)</f>
        <v>7300</v>
      </c>
      <c r="DM174" s="34" t="n">
        <f aca="false">INDEX(TC_V,1,MIN(10,DM$6))*(1+V_dTC)</f>
        <v>7300</v>
      </c>
      <c r="DN174" s="34" t="n">
        <f aca="false">INDEX(TC_V,1,MIN(10,DN$6))*(1+V_dTC)</f>
        <v>7300</v>
      </c>
      <c r="DO174" s="34" t="n">
        <f aca="false">INDEX(TC_V,1,MIN(10,DO$6))*(1+V_dTC)</f>
        <v>7300</v>
      </c>
      <c r="DP174" s="34" t="n">
        <f aca="false">INDEX(TC_V,1,MIN(10,DP$6))*(1+V_dTC)</f>
        <v>7300</v>
      </c>
      <c r="DQ174" s="34" t="n">
        <f aca="false">INDEX(TC_V,1,MIN(10,DQ$6))*(1+V_dTC)</f>
        <v>7300</v>
      </c>
      <c r="DR174" s="34" t="n">
        <f aca="false">INDEX(TC_V,1,MIN(10,DR$6))*(1+V_dTC)</f>
        <v>7300</v>
      </c>
      <c r="DS174" s="34" t="n">
        <f aca="false">INDEX(TC_V,1,MIN(10,DS$6))*(1+V_dTC)</f>
        <v>7300</v>
      </c>
      <c r="DT174" s="34" t="n">
        <f aca="false">INDEX(TC_V,1,MIN(10,DT$6))*(1+V_dTC)</f>
        <v>7300</v>
      </c>
      <c r="DU174" s="34" t="n">
        <f aca="false">INDEX(TC_V,1,MIN(10,DU$6))*(1+V_dTC)</f>
        <v>7300</v>
      </c>
      <c r="DV174" s="34" t="n">
        <f aca="false">INDEX(TC_V,1,MIN(10,DV$6))*(1+V_dTC)</f>
        <v>7300</v>
      </c>
      <c r="DW174" s="34" t="n">
        <f aca="false">INDEX(TC_V,1,MIN(10,DW$6))*(1+V_dTC)</f>
        <v>7300</v>
      </c>
      <c r="DX174" s="34" t="n">
        <f aca="false">INDEX(TC_V,1,MIN(10,DX$6))*(1+V_dTC)</f>
        <v>7300</v>
      </c>
      <c r="DY174" s="34" t="n">
        <f aca="false">INDEX(TC_V,1,MIN(10,DY$6))*(1+V_dTC)</f>
        <v>7300</v>
      </c>
      <c r="DZ174" s="34" t="n">
        <f aca="false">INDEX(TC_V,1,MIN(10,DZ$6))*(1+V_dTC)</f>
        <v>7300</v>
      </c>
      <c r="EA174" s="34" t="n">
        <f aca="false">INDEX(TC_V,1,MIN(10,EA$6))*(1+V_dTC)</f>
        <v>7300</v>
      </c>
      <c r="EB174" s="34" t="n">
        <f aca="false">INDEX(TC_V,1,MIN(10,EB$6))*(1+V_dTC)</f>
        <v>7300</v>
      </c>
      <c r="EC174" s="34" t="n">
        <f aca="false">INDEX(TC_V,1,MIN(10,EC$6))*(1+V_dTC)</f>
        <v>7300</v>
      </c>
      <c r="ED174" s="34" t="n">
        <f aca="false">INDEX(TC_V,1,MIN(10,ED$6))*(1+V_dTC)</f>
        <v>7300</v>
      </c>
      <c r="EE174" s="34" t="n">
        <f aca="false">INDEX(TC_V,1,MIN(10,EE$6))*(1+V_dTC)</f>
        <v>7300</v>
      </c>
      <c r="EF174" s="34" t="n">
        <f aca="false">INDEX(TC_V,1,MIN(10,EF$6))*(1+V_dTC)</f>
        <v>7300</v>
      </c>
      <c r="EG174" s="34" t="n">
        <f aca="false">INDEX(TC_V,1,MIN(10,EG$6))*(1+V_dTC)</f>
        <v>7300</v>
      </c>
      <c r="EH174" s="34" t="n">
        <f aca="false">INDEX(TC_V,1,MIN(10,EH$6))*(1+V_dTC)</f>
        <v>7300</v>
      </c>
      <c r="EI174" s="34" t="n">
        <f aca="false">INDEX(TC_V,1,MIN(10,EI$6))*(1+V_dTC)</f>
        <v>7300</v>
      </c>
      <c r="EJ174" s="34" t="n">
        <f aca="false">INDEX(TC_V,1,MIN(10,EJ$6))*(1+V_dTC)</f>
        <v>7300</v>
      </c>
      <c r="EK174" s="34" t="n">
        <f aca="false">INDEX(TC_V,1,MIN(10,EK$6))*(1+V_dTC)</f>
        <v>7300</v>
      </c>
      <c r="EL174" s="34" t="n">
        <f aca="false">INDEX(TC_V,1,MIN(10,EL$6))*(1+V_dTC)</f>
        <v>7300</v>
      </c>
      <c r="EM174" s="34" t="n">
        <f aca="false">INDEX(TC_V,1,MIN(10,EM$6))*(1+V_dTC)</f>
        <v>7300</v>
      </c>
      <c r="EN174" s="34" t="n">
        <f aca="false">INDEX(TC_V,1,MIN(10,EN$6))*(1+V_dTC)</f>
        <v>7300</v>
      </c>
      <c r="EO174" s="34" t="n">
        <f aca="false">INDEX(TC_V,1,MIN(10,EO$6))*(1+V_dTC)</f>
        <v>7300</v>
      </c>
      <c r="EP174" s="34" t="n">
        <f aca="false">INDEX(TC_V,1,MIN(10,EP$6))*(1+V_dTC)</f>
        <v>7300</v>
      </c>
      <c r="EQ174" s="34" t="n">
        <f aca="false">INDEX(TC_V,1,MIN(10,EQ$6))*(1+V_dTC)</f>
        <v>7300</v>
      </c>
      <c r="ER174" s="34" t="n">
        <f aca="false">INDEX(TC_V,1,MIN(10,ER$6))*(1+V_dTC)</f>
        <v>7300</v>
      </c>
      <c r="ES174" s="34" t="n">
        <f aca="false">INDEX(TC_V,1,MIN(10,ES$6))*(1+V_dTC)</f>
        <v>7300</v>
      </c>
    </row>
    <row r="175" customFormat="false" ht="15" hidden="false" customHeight="false" outlineLevel="0" collapsed="false">
      <c r="A175" s="2" t="s">
        <v>818</v>
      </c>
      <c r="B175" s="6" t="s">
        <v>583</v>
      </c>
      <c r="C175" s="6"/>
      <c r="F175" s="27" t="n">
        <f aca="false">IF(F$174&gt;0,1/F$174,0)</f>
        <v>0.000136986301369863</v>
      </c>
      <c r="G175" s="27" t="n">
        <f aca="false">IF(G$174&gt;0,1/G$174,0)</f>
        <v>0.000136986301369863</v>
      </c>
      <c r="H175" s="27" t="n">
        <f aca="false">IF(H$174&gt;0,1/H$174,0)</f>
        <v>0.000136986301369863</v>
      </c>
      <c r="I175" s="27" t="n">
        <f aca="false">IF(I$174&gt;0,1/I$174,0)</f>
        <v>0.000136986301369863</v>
      </c>
      <c r="J175" s="27" t="n">
        <f aca="false">IF(J$174&gt;0,1/J$174,0)</f>
        <v>0.000136986301369863</v>
      </c>
      <c r="K175" s="27" t="n">
        <f aca="false">IF(K$174&gt;0,1/K$174,0)</f>
        <v>0.000136986301369863</v>
      </c>
      <c r="L175" s="27" t="n">
        <f aca="false">IF(L$174&gt;0,1/L$174,0)</f>
        <v>0.000136986301369863</v>
      </c>
      <c r="M175" s="27" t="n">
        <f aca="false">IF(M$174&gt;0,1/M$174,0)</f>
        <v>0.000136986301369863</v>
      </c>
      <c r="N175" s="27" t="n">
        <f aca="false">IF(N$174&gt;0,1/N$174,0)</f>
        <v>0.000136986301369863</v>
      </c>
      <c r="O175" s="27" t="n">
        <f aca="false">IF(O$174&gt;0,1/O$174,0)</f>
        <v>0.000136986301369863</v>
      </c>
      <c r="P175" s="27" t="n">
        <f aca="false">IF(P$174&gt;0,1/P$174,0)</f>
        <v>0.000136986301369863</v>
      </c>
      <c r="Q175" s="27" t="n">
        <f aca="false">IF(Q$174&gt;0,1/Q$174,0)</f>
        <v>0.000136986301369863</v>
      </c>
      <c r="R175" s="27" t="n">
        <f aca="false">IF(R$174&gt;0,1/R$174,0)</f>
        <v>0.000136986301369863</v>
      </c>
      <c r="S175" s="27" t="n">
        <f aca="false">IF(S$174&gt;0,1/S$174,0)</f>
        <v>0.000136986301369863</v>
      </c>
      <c r="T175" s="27" t="n">
        <f aca="false">IF(T$174&gt;0,1/T$174,0)</f>
        <v>0.000136986301369863</v>
      </c>
      <c r="U175" s="27" t="n">
        <f aca="false">IF(U$174&gt;0,1/U$174,0)</f>
        <v>0.000136986301369863</v>
      </c>
      <c r="V175" s="27" t="n">
        <f aca="false">IF(V$174&gt;0,1/V$174,0)</f>
        <v>0.000136986301369863</v>
      </c>
      <c r="W175" s="27" t="n">
        <f aca="false">IF(W$174&gt;0,1/W$174,0)</f>
        <v>0.000136986301369863</v>
      </c>
      <c r="X175" s="27" t="n">
        <f aca="false">IF(X$174&gt;0,1/X$174,0)</f>
        <v>0.000136986301369863</v>
      </c>
      <c r="Y175" s="27" t="n">
        <f aca="false">IF(Y$174&gt;0,1/Y$174,0)</f>
        <v>0.000136986301369863</v>
      </c>
      <c r="Z175" s="27" t="n">
        <f aca="false">IF(Z$174&gt;0,1/Z$174,0)</f>
        <v>0.000136986301369863</v>
      </c>
      <c r="AA175" s="27" t="n">
        <f aca="false">IF(AA$174&gt;0,1/AA$174,0)</f>
        <v>0.000136986301369863</v>
      </c>
      <c r="AB175" s="27" t="n">
        <f aca="false">IF(AB$174&gt;0,1/AB$174,0)</f>
        <v>0.000136986301369863</v>
      </c>
      <c r="AC175" s="27" t="n">
        <f aca="false">IF(AC$174&gt;0,1/AC$174,0)</f>
        <v>0.000136986301369863</v>
      </c>
      <c r="AD175" s="27" t="n">
        <f aca="false">IF(AD$174&gt;0,1/AD$174,0)</f>
        <v>0.000136986301369863</v>
      </c>
      <c r="AE175" s="27" t="n">
        <f aca="false">IF(AE$174&gt;0,1/AE$174,0)</f>
        <v>0.000136986301369863</v>
      </c>
      <c r="AF175" s="27" t="n">
        <f aca="false">IF(AF$174&gt;0,1/AF$174,0)</f>
        <v>0.000136986301369863</v>
      </c>
      <c r="AG175" s="27" t="n">
        <f aca="false">IF(AG$174&gt;0,1/AG$174,0)</f>
        <v>0.000136986301369863</v>
      </c>
      <c r="AH175" s="27" t="n">
        <f aca="false">IF(AH$174&gt;0,1/AH$174,0)</f>
        <v>0.000136986301369863</v>
      </c>
      <c r="AI175" s="27" t="n">
        <f aca="false">IF(AI$174&gt;0,1/AI$174,0)</f>
        <v>0.000136986301369863</v>
      </c>
      <c r="AJ175" s="27" t="n">
        <f aca="false">IF(AJ$174&gt;0,1/AJ$174,0)</f>
        <v>0.000136986301369863</v>
      </c>
      <c r="AK175" s="27" t="n">
        <f aca="false">IF(AK$174&gt;0,1/AK$174,0)</f>
        <v>0.000136986301369863</v>
      </c>
      <c r="AL175" s="27" t="n">
        <f aca="false">IF(AL$174&gt;0,1/AL$174,0)</f>
        <v>0.000136986301369863</v>
      </c>
      <c r="AM175" s="27" t="n">
        <f aca="false">IF(AM$174&gt;0,1/AM$174,0)</f>
        <v>0.000136986301369863</v>
      </c>
      <c r="AN175" s="27" t="n">
        <f aca="false">IF(AN$174&gt;0,1/AN$174,0)</f>
        <v>0.000136986301369863</v>
      </c>
      <c r="AO175" s="27" t="n">
        <f aca="false">IF(AO$174&gt;0,1/AO$174,0)</f>
        <v>0.000136986301369863</v>
      </c>
      <c r="AP175" s="27" t="n">
        <f aca="false">IF(AP$174&gt;0,1/AP$174,0)</f>
        <v>0.000136986301369863</v>
      </c>
      <c r="AQ175" s="27" t="n">
        <f aca="false">IF(AQ$174&gt;0,1/AQ$174,0)</f>
        <v>0.000136986301369863</v>
      </c>
      <c r="AR175" s="27" t="n">
        <f aca="false">IF(AR$174&gt;0,1/AR$174,0)</f>
        <v>0.000136986301369863</v>
      </c>
      <c r="AS175" s="27" t="n">
        <f aca="false">IF(AS$174&gt;0,1/AS$174,0)</f>
        <v>0.000136986301369863</v>
      </c>
      <c r="AT175" s="27" t="n">
        <f aca="false">IF(AT$174&gt;0,1/AT$174,0)</f>
        <v>0.000136986301369863</v>
      </c>
      <c r="AU175" s="27" t="n">
        <f aca="false">IF(AU$174&gt;0,1/AU$174,0)</f>
        <v>0.000136986301369863</v>
      </c>
      <c r="AV175" s="27" t="n">
        <f aca="false">IF(AV$174&gt;0,1/AV$174,0)</f>
        <v>0.000136986301369863</v>
      </c>
      <c r="AW175" s="27" t="n">
        <f aca="false">IF(AW$174&gt;0,1/AW$174,0)</f>
        <v>0.000136986301369863</v>
      </c>
      <c r="AX175" s="27" t="n">
        <f aca="false">IF(AX$174&gt;0,1/AX$174,0)</f>
        <v>0.000136986301369863</v>
      </c>
      <c r="AY175" s="27" t="n">
        <f aca="false">IF(AY$174&gt;0,1/AY$174,0)</f>
        <v>0.000136986301369863</v>
      </c>
      <c r="AZ175" s="27" t="n">
        <f aca="false">IF(AZ$174&gt;0,1/AZ$174,0)</f>
        <v>0.000136986301369863</v>
      </c>
      <c r="BA175" s="27" t="n">
        <f aca="false">IF(BA$174&gt;0,1/BA$174,0)</f>
        <v>0.000136986301369863</v>
      </c>
      <c r="BB175" s="27" t="n">
        <f aca="false">IF(BB$174&gt;0,1/BB$174,0)</f>
        <v>0.000136986301369863</v>
      </c>
      <c r="BC175" s="27" t="n">
        <f aca="false">IF(BC$174&gt;0,1/BC$174,0)</f>
        <v>0.000136986301369863</v>
      </c>
      <c r="BD175" s="27" t="n">
        <f aca="false">IF(BD$174&gt;0,1/BD$174,0)</f>
        <v>0.000136986301369863</v>
      </c>
      <c r="BE175" s="27" t="n">
        <f aca="false">IF(BE$174&gt;0,1/BE$174,0)</f>
        <v>0.000136986301369863</v>
      </c>
      <c r="BF175" s="27" t="n">
        <f aca="false">IF(BF$174&gt;0,1/BF$174,0)</f>
        <v>0.000136986301369863</v>
      </c>
      <c r="BG175" s="27" t="n">
        <f aca="false">IF(BG$174&gt;0,1/BG$174,0)</f>
        <v>0.000136986301369863</v>
      </c>
      <c r="BH175" s="27" t="n">
        <f aca="false">IF(BH$174&gt;0,1/BH$174,0)</f>
        <v>0.000136986301369863</v>
      </c>
      <c r="BI175" s="27" t="n">
        <f aca="false">IF(BI$174&gt;0,1/BI$174,0)</f>
        <v>0.000136986301369863</v>
      </c>
      <c r="BJ175" s="27" t="n">
        <f aca="false">IF(BJ$174&gt;0,1/BJ$174,0)</f>
        <v>0.000136986301369863</v>
      </c>
      <c r="BK175" s="27" t="n">
        <f aca="false">IF(BK$174&gt;0,1/BK$174,0)</f>
        <v>0.000136986301369863</v>
      </c>
      <c r="BL175" s="27" t="n">
        <f aca="false">IF(BL$174&gt;0,1/BL$174,0)</f>
        <v>0.000136986301369863</v>
      </c>
      <c r="BM175" s="27" t="n">
        <f aca="false">IF(BM$174&gt;0,1/BM$174,0)</f>
        <v>0.000136986301369863</v>
      </c>
      <c r="BN175" s="27" t="n">
        <f aca="false">IF(BN$174&gt;0,1/BN$174,0)</f>
        <v>0.000136986301369863</v>
      </c>
      <c r="BO175" s="27" t="n">
        <f aca="false">IF(BO$174&gt;0,1/BO$174,0)</f>
        <v>0.000136986301369863</v>
      </c>
      <c r="BP175" s="27" t="n">
        <f aca="false">IF(BP$174&gt;0,1/BP$174,0)</f>
        <v>0.000136986301369863</v>
      </c>
      <c r="BQ175" s="27" t="n">
        <f aca="false">IF(BQ$174&gt;0,1/BQ$174,0)</f>
        <v>0.000136986301369863</v>
      </c>
      <c r="BR175" s="27" t="n">
        <f aca="false">IF(BR$174&gt;0,1/BR$174,0)</f>
        <v>0.000136986301369863</v>
      </c>
      <c r="BS175" s="27" t="n">
        <f aca="false">IF(BS$174&gt;0,1/BS$174,0)</f>
        <v>0.000136986301369863</v>
      </c>
      <c r="BT175" s="27" t="n">
        <f aca="false">IF(BT$174&gt;0,1/BT$174,0)</f>
        <v>0.000136986301369863</v>
      </c>
      <c r="BU175" s="27" t="n">
        <f aca="false">IF(BU$174&gt;0,1/BU$174,0)</f>
        <v>0.000136986301369863</v>
      </c>
      <c r="BV175" s="27" t="n">
        <f aca="false">IF(BV$174&gt;0,1/BV$174,0)</f>
        <v>0.000136986301369863</v>
      </c>
      <c r="BW175" s="27" t="n">
        <f aca="false">IF(BW$174&gt;0,1/BW$174,0)</f>
        <v>0.000136986301369863</v>
      </c>
      <c r="BX175" s="27" t="n">
        <f aca="false">IF(BX$174&gt;0,1/BX$174,0)</f>
        <v>0.000136986301369863</v>
      </c>
      <c r="BY175" s="27" t="n">
        <f aca="false">IF(BY$174&gt;0,1/BY$174,0)</f>
        <v>0.000136986301369863</v>
      </c>
      <c r="BZ175" s="27" t="n">
        <f aca="false">IF(BZ$174&gt;0,1/BZ$174,0)</f>
        <v>0.000136986301369863</v>
      </c>
      <c r="CA175" s="27" t="n">
        <f aca="false">IF(CA$174&gt;0,1/CA$174,0)</f>
        <v>0.000136986301369863</v>
      </c>
      <c r="CB175" s="27" t="n">
        <f aca="false">IF(CB$174&gt;0,1/CB$174,0)</f>
        <v>0.000136986301369863</v>
      </c>
      <c r="CC175" s="27" t="n">
        <f aca="false">IF(CC$174&gt;0,1/CC$174,0)</f>
        <v>0.000136986301369863</v>
      </c>
      <c r="CD175" s="27" t="n">
        <f aca="false">IF(CD$174&gt;0,1/CD$174,0)</f>
        <v>0.000136986301369863</v>
      </c>
      <c r="CE175" s="27" t="n">
        <f aca="false">IF(CE$174&gt;0,1/CE$174,0)</f>
        <v>0.000136986301369863</v>
      </c>
      <c r="CF175" s="27" t="n">
        <f aca="false">IF(CF$174&gt;0,1/CF$174,0)</f>
        <v>0.000136986301369863</v>
      </c>
      <c r="CG175" s="27" t="n">
        <f aca="false">IF(CG$174&gt;0,1/CG$174,0)</f>
        <v>0.000136986301369863</v>
      </c>
      <c r="CH175" s="27" t="n">
        <f aca="false">IF(CH$174&gt;0,1/CH$174,0)</f>
        <v>0.000136986301369863</v>
      </c>
      <c r="CI175" s="27" t="n">
        <f aca="false">IF(CI$174&gt;0,1/CI$174,0)</f>
        <v>0.000136986301369863</v>
      </c>
      <c r="CJ175" s="27" t="n">
        <f aca="false">IF(CJ$174&gt;0,1/CJ$174,0)</f>
        <v>0.000136986301369863</v>
      </c>
      <c r="CK175" s="27" t="n">
        <f aca="false">IF(CK$174&gt;0,1/CK$174,0)</f>
        <v>0.000136986301369863</v>
      </c>
      <c r="CL175" s="27" t="n">
        <f aca="false">IF(CL$174&gt;0,1/CL$174,0)</f>
        <v>0.000136986301369863</v>
      </c>
      <c r="CM175" s="27" t="n">
        <f aca="false">IF(CM$174&gt;0,1/CM$174,0)</f>
        <v>0.000136986301369863</v>
      </c>
      <c r="CN175" s="27" t="n">
        <f aca="false">IF(CN$174&gt;0,1/CN$174,0)</f>
        <v>0.000136986301369863</v>
      </c>
      <c r="CO175" s="27" t="n">
        <f aca="false">IF(CO$174&gt;0,1/CO$174,0)</f>
        <v>0.000136986301369863</v>
      </c>
      <c r="CP175" s="27" t="n">
        <f aca="false">IF(CP$174&gt;0,1/CP$174,0)</f>
        <v>0.000136986301369863</v>
      </c>
      <c r="CQ175" s="27" t="n">
        <f aca="false">IF(CQ$174&gt;0,1/CQ$174,0)</f>
        <v>0.000136986301369863</v>
      </c>
      <c r="CR175" s="27" t="n">
        <f aca="false">IF(CR$174&gt;0,1/CR$174,0)</f>
        <v>0.000136986301369863</v>
      </c>
      <c r="CS175" s="27" t="n">
        <f aca="false">IF(CS$174&gt;0,1/CS$174,0)</f>
        <v>0.000136986301369863</v>
      </c>
      <c r="CT175" s="27" t="n">
        <f aca="false">IF(CT$174&gt;0,1/CT$174,0)</f>
        <v>0.000136986301369863</v>
      </c>
      <c r="CU175" s="27" t="n">
        <f aca="false">IF(CU$174&gt;0,1/CU$174,0)</f>
        <v>0.000136986301369863</v>
      </c>
      <c r="CV175" s="27" t="n">
        <f aca="false">IF(CV$174&gt;0,1/CV$174,0)</f>
        <v>0.000136986301369863</v>
      </c>
      <c r="CW175" s="27" t="n">
        <f aca="false">IF(CW$174&gt;0,1/CW$174,0)</f>
        <v>0.000136986301369863</v>
      </c>
      <c r="CX175" s="27" t="n">
        <f aca="false">IF(CX$174&gt;0,1/CX$174,0)</f>
        <v>0.000136986301369863</v>
      </c>
      <c r="CY175" s="27" t="n">
        <f aca="false">IF(CY$174&gt;0,1/CY$174,0)</f>
        <v>0.000136986301369863</v>
      </c>
      <c r="CZ175" s="27" t="n">
        <f aca="false">IF(CZ$174&gt;0,1/CZ$174,0)</f>
        <v>0.000136986301369863</v>
      </c>
      <c r="DA175" s="27" t="n">
        <f aca="false">IF(DA$174&gt;0,1/DA$174,0)</f>
        <v>0.000136986301369863</v>
      </c>
      <c r="DB175" s="27" t="n">
        <f aca="false">IF(DB$174&gt;0,1/DB$174,0)</f>
        <v>0.000136986301369863</v>
      </c>
      <c r="DC175" s="27" t="n">
        <f aca="false">IF(DC$174&gt;0,1/DC$174,0)</f>
        <v>0.000136986301369863</v>
      </c>
      <c r="DD175" s="27" t="n">
        <f aca="false">IF(DD$174&gt;0,1/DD$174,0)</f>
        <v>0.000136986301369863</v>
      </c>
      <c r="DE175" s="27" t="n">
        <f aca="false">IF(DE$174&gt;0,1/DE$174,0)</f>
        <v>0.000136986301369863</v>
      </c>
      <c r="DF175" s="27" t="n">
        <f aca="false">IF(DF$174&gt;0,1/DF$174,0)</f>
        <v>0.000136986301369863</v>
      </c>
      <c r="DG175" s="27" t="n">
        <f aca="false">IF(DG$174&gt;0,1/DG$174,0)</f>
        <v>0.000136986301369863</v>
      </c>
      <c r="DH175" s="27" t="n">
        <f aca="false">IF(DH$174&gt;0,1/DH$174,0)</f>
        <v>0.000136986301369863</v>
      </c>
      <c r="DI175" s="27" t="n">
        <f aca="false">IF(DI$174&gt;0,1/DI$174,0)</f>
        <v>0.000136986301369863</v>
      </c>
      <c r="DJ175" s="27" t="n">
        <f aca="false">IF(DJ$174&gt;0,1/DJ$174,0)</f>
        <v>0.000136986301369863</v>
      </c>
      <c r="DK175" s="27" t="n">
        <f aca="false">IF(DK$174&gt;0,1/DK$174,0)</f>
        <v>0.000136986301369863</v>
      </c>
      <c r="DL175" s="27" t="n">
        <f aca="false">IF(DL$174&gt;0,1/DL$174,0)</f>
        <v>0.000136986301369863</v>
      </c>
      <c r="DM175" s="27" t="n">
        <f aca="false">IF(DM$174&gt;0,1/DM$174,0)</f>
        <v>0.000136986301369863</v>
      </c>
      <c r="DN175" s="27" t="n">
        <f aca="false">IF(DN$174&gt;0,1/DN$174,0)</f>
        <v>0.000136986301369863</v>
      </c>
      <c r="DO175" s="27" t="n">
        <f aca="false">IF(DO$174&gt;0,1/DO$174,0)</f>
        <v>0.000136986301369863</v>
      </c>
      <c r="DP175" s="27" t="n">
        <f aca="false">IF(DP$174&gt;0,1/DP$174,0)</f>
        <v>0.000136986301369863</v>
      </c>
      <c r="DQ175" s="27" t="n">
        <f aca="false">IF(DQ$174&gt;0,1/DQ$174,0)</f>
        <v>0.000136986301369863</v>
      </c>
      <c r="DR175" s="27" t="n">
        <f aca="false">IF(DR$174&gt;0,1/DR$174,0)</f>
        <v>0.000136986301369863</v>
      </c>
      <c r="DS175" s="27" t="n">
        <f aca="false">IF(DS$174&gt;0,1/DS$174,0)</f>
        <v>0.000136986301369863</v>
      </c>
      <c r="DT175" s="27" t="n">
        <f aca="false">IF(DT$174&gt;0,1/DT$174,0)</f>
        <v>0.000136986301369863</v>
      </c>
      <c r="DU175" s="27" t="n">
        <f aca="false">IF(DU$174&gt;0,1/DU$174,0)</f>
        <v>0.000136986301369863</v>
      </c>
      <c r="DV175" s="27" t="n">
        <f aca="false">IF(DV$174&gt;0,1/DV$174,0)</f>
        <v>0.000136986301369863</v>
      </c>
      <c r="DW175" s="27" t="n">
        <f aca="false">IF(DW$174&gt;0,1/DW$174,0)</f>
        <v>0.000136986301369863</v>
      </c>
      <c r="DX175" s="27" t="n">
        <f aca="false">IF(DX$174&gt;0,1/DX$174,0)</f>
        <v>0.000136986301369863</v>
      </c>
      <c r="DY175" s="27" t="n">
        <f aca="false">IF(DY$174&gt;0,1/DY$174,0)</f>
        <v>0.000136986301369863</v>
      </c>
      <c r="DZ175" s="27" t="n">
        <f aca="false">IF(DZ$174&gt;0,1/DZ$174,0)</f>
        <v>0.000136986301369863</v>
      </c>
      <c r="EA175" s="27" t="n">
        <f aca="false">IF(EA$174&gt;0,1/EA$174,0)</f>
        <v>0.000136986301369863</v>
      </c>
      <c r="EB175" s="27" t="n">
        <f aca="false">IF(EB$174&gt;0,1/EB$174,0)</f>
        <v>0.000136986301369863</v>
      </c>
      <c r="EC175" s="27" t="n">
        <f aca="false">IF(EC$174&gt;0,1/EC$174,0)</f>
        <v>0.000136986301369863</v>
      </c>
      <c r="ED175" s="27" t="n">
        <f aca="false">IF(ED$174&gt;0,1/ED$174,0)</f>
        <v>0.000136986301369863</v>
      </c>
      <c r="EE175" s="27" t="n">
        <f aca="false">IF(EE$174&gt;0,1/EE$174,0)</f>
        <v>0.000136986301369863</v>
      </c>
      <c r="EF175" s="27" t="n">
        <f aca="false">IF(EF$174&gt;0,1/EF$174,0)</f>
        <v>0.000136986301369863</v>
      </c>
      <c r="EG175" s="27" t="n">
        <f aca="false">IF(EG$174&gt;0,1/EG$174,0)</f>
        <v>0.000136986301369863</v>
      </c>
      <c r="EH175" s="27" t="n">
        <f aca="false">IF(EH$174&gt;0,1/EH$174,0)</f>
        <v>0.000136986301369863</v>
      </c>
      <c r="EI175" s="27" t="n">
        <f aca="false">IF(EI$174&gt;0,1/EI$174,0)</f>
        <v>0.000136986301369863</v>
      </c>
      <c r="EJ175" s="27" t="n">
        <f aca="false">IF(EJ$174&gt;0,1/EJ$174,0)</f>
        <v>0.000136986301369863</v>
      </c>
      <c r="EK175" s="27" t="n">
        <f aca="false">IF(EK$174&gt;0,1/EK$174,0)</f>
        <v>0.000136986301369863</v>
      </c>
      <c r="EL175" s="27" t="n">
        <f aca="false">IF(EL$174&gt;0,1/EL$174,0)</f>
        <v>0.000136986301369863</v>
      </c>
      <c r="EM175" s="27" t="n">
        <f aca="false">IF(EM$174&gt;0,1/EM$174,0)</f>
        <v>0.000136986301369863</v>
      </c>
      <c r="EN175" s="27" t="n">
        <f aca="false">IF(EN$174&gt;0,1/EN$174,0)</f>
        <v>0.000136986301369863</v>
      </c>
      <c r="EO175" s="27" t="n">
        <f aca="false">IF(EO$174&gt;0,1/EO$174,0)</f>
        <v>0.000136986301369863</v>
      </c>
      <c r="EP175" s="27" t="n">
        <f aca="false">IF(EP$174&gt;0,1/EP$174,0)</f>
        <v>0.000136986301369863</v>
      </c>
      <c r="EQ175" s="27" t="n">
        <f aca="false">IF(EQ$174&gt;0,1/EQ$174,0)</f>
        <v>0.000136986301369863</v>
      </c>
      <c r="ER175" s="27" t="n">
        <f aca="false">IF(ER$174&gt;0,1/ER$174,0)</f>
        <v>0.000136986301369863</v>
      </c>
      <c r="ES175" s="27" t="n">
        <f aca="false">IF(ES$174&gt;0,1/ES$174,0)</f>
        <v>0.000136986301369863</v>
      </c>
    </row>
    <row r="176" customFormat="false" ht="15" hidden="false" customHeight="false" outlineLevel="0" collapsed="false">
      <c r="A176" s="4"/>
      <c r="B176" s="3" t="s">
        <v>248</v>
      </c>
      <c r="C176" s="4"/>
      <c r="D176" s="4"/>
      <c r="E176" s="4"/>
    </row>
    <row r="177" customFormat="false" ht="15" hidden="false" customHeight="false" outlineLevel="0" collapsed="false">
      <c r="A177" s="2" t="s">
        <v>819</v>
      </c>
      <c r="B177" s="39" t="str">
        <f aca="false">IF(INDEX(Prod_Nombre,1)="","Producto 1",INDEX(Prod_Nombre,1))&amp;" — unidades"</f>
        <v>Gabinetes metálicos 153 kg — unidades</v>
      </c>
      <c r="C177" s="6" t="s">
        <v>286</v>
      </c>
      <c r="E177" s="40" t="n">
        <f aca="false">SUM(F177:ES177)</f>
        <v>192000</v>
      </c>
      <c r="F177" s="34" t="n">
        <f aca="false">IF(F$8=1,N(Reales!F12),IF(F$171=1,INDEX(Vol_V,1,F$170)/12*(1+V_dVol),0))</f>
        <v>1000</v>
      </c>
      <c r="G177" s="34" t="n">
        <f aca="false">IF(G$8=1,N(Reales!G12),IF(G$171=1,INDEX(Vol_V,1,G$170)/12*(1+V_dVol),0))</f>
        <v>1000</v>
      </c>
      <c r="H177" s="34" t="n">
        <f aca="false">IF(H$8=1,N(Reales!H12),IF(H$171=1,INDEX(Vol_V,1,H$170)/12*(1+V_dVol),0))</f>
        <v>1000</v>
      </c>
      <c r="I177" s="34" t="n">
        <f aca="false">IF(I$8=1,N(Reales!I12),IF(I$171=1,INDEX(Vol_V,1,I$170)/12*(1+V_dVol),0))</f>
        <v>1000</v>
      </c>
      <c r="J177" s="34" t="n">
        <f aca="false">IF(J$8=1,N(Reales!J12),IF(J$171=1,INDEX(Vol_V,1,J$170)/12*(1+V_dVol),0))</f>
        <v>1000</v>
      </c>
      <c r="K177" s="34" t="n">
        <f aca="false">IF(K$8=1,N(Reales!K12),IF(K$171=1,INDEX(Vol_V,1,K$170)/12*(1+V_dVol),0))</f>
        <v>1000</v>
      </c>
      <c r="L177" s="34" t="n">
        <f aca="false">IF(L$8=1,N(Reales!L12),IF(L$171=1,INDEX(Vol_V,1,L$170)/12*(1+V_dVol),0))</f>
        <v>1000</v>
      </c>
      <c r="M177" s="34" t="n">
        <f aca="false">IF(M$8=1,N(Reales!M12),IF(M$171=1,INDEX(Vol_V,1,M$170)/12*(1+V_dVol),0))</f>
        <v>1000</v>
      </c>
      <c r="N177" s="34" t="n">
        <f aca="false">IF(N$8=1,N(Reales!N12),IF(N$171=1,INDEX(Vol_V,1,N$170)/12*(1+V_dVol),0))</f>
        <v>1000</v>
      </c>
      <c r="O177" s="34" t="n">
        <f aca="false">IF(O$8=1,N(Reales!O12),IF(O$171=1,INDEX(Vol_V,1,O$170)/12*(1+V_dVol),0))</f>
        <v>1000</v>
      </c>
      <c r="P177" s="34" t="n">
        <f aca="false">IF(P$8=1,N(Reales!P12),IF(P$171=1,INDEX(Vol_V,1,P$170)/12*(1+V_dVol),0))</f>
        <v>1000</v>
      </c>
      <c r="Q177" s="34" t="n">
        <f aca="false">IF(Q$8=1,N(Reales!Q12),IF(Q$171=1,INDEX(Vol_V,1,Q$170)/12*(1+V_dVol),0))</f>
        <v>1000</v>
      </c>
      <c r="R177" s="34" t="n">
        <f aca="false">IF(R$8=1,N(Reales!R12),IF(R$171=1,INDEX(Vol_V,1,R$170)/12*(1+V_dVol),0))</f>
        <v>1250</v>
      </c>
      <c r="S177" s="34" t="n">
        <f aca="false">IF(S$8=1,N(Reales!S12),IF(S$171=1,INDEX(Vol_V,1,S$170)/12*(1+V_dVol),0))</f>
        <v>1250</v>
      </c>
      <c r="T177" s="34" t="n">
        <f aca="false">IF(T$8=1,N(Reales!T12),IF(T$171=1,INDEX(Vol_V,1,T$170)/12*(1+V_dVol),0))</f>
        <v>1250</v>
      </c>
      <c r="U177" s="34" t="n">
        <f aca="false">IF(U$8=1,N(Reales!U12),IF(U$171=1,INDEX(Vol_V,1,U$170)/12*(1+V_dVol),0))</f>
        <v>1250</v>
      </c>
      <c r="V177" s="34" t="n">
        <f aca="false">IF(V$8=1,N(Reales!V12),IF(V$171=1,INDEX(Vol_V,1,V$170)/12*(1+V_dVol),0))</f>
        <v>1250</v>
      </c>
      <c r="W177" s="34" t="n">
        <f aca="false">IF(W$8=1,N(Reales!W12),IF(W$171=1,INDEX(Vol_V,1,W$170)/12*(1+V_dVol),0))</f>
        <v>1250</v>
      </c>
      <c r="X177" s="34" t="n">
        <f aca="false">IF(X$8=1,N(Reales!X12),IF(X$171=1,INDEX(Vol_V,1,X$170)/12*(1+V_dVol),0))</f>
        <v>1250</v>
      </c>
      <c r="Y177" s="34" t="n">
        <f aca="false">IF(Y$8=1,N(Reales!Y12),IF(Y$171=1,INDEX(Vol_V,1,Y$170)/12*(1+V_dVol),0))</f>
        <v>1250</v>
      </c>
      <c r="Z177" s="34" t="n">
        <f aca="false">IF(Z$8=1,N(Reales!Z12),IF(Z$171=1,INDEX(Vol_V,1,Z$170)/12*(1+V_dVol),0))</f>
        <v>1250</v>
      </c>
      <c r="AA177" s="34" t="n">
        <f aca="false">IF(AA$8=1,N(Reales!AA12),IF(AA$171=1,INDEX(Vol_V,1,AA$170)/12*(1+V_dVol),0))</f>
        <v>1250</v>
      </c>
      <c r="AB177" s="34" t="n">
        <f aca="false">IF(AB$8=1,N(Reales!AB12),IF(AB$171=1,INDEX(Vol_V,1,AB$170)/12*(1+V_dVol),0))</f>
        <v>1250</v>
      </c>
      <c r="AC177" s="34" t="n">
        <f aca="false">IF(AC$8=1,N(Reales!AC12),IF(AC$171=1,INDEX(Vol_V,1,AC$170)/12*(1+V_dVol),0))</f>
        <v>1250</v>
      </c>
      <c r="AD177" s="34" t="n">
        <f aca="false">IF(AD$8=1,N(Reales!AD12),IF(AD$171=1,INDEX(Vol_V,1,AD$170)/12*(1+V_dVol),0))</f>
        <v>1500</v>
      </c>
      <c r="AE177" s="34" t="n">
        <f aca="false">IF(AE$8=1,N(Reales!AE12),IF(AE$171=1,INDEX(Vol_V,1,AE$170)/12*(1+V_dVol),0))</f>
        <v>1500</v>
      </c>
      <c r="AF177" s="34" t="n">
        <f aca="false">IF(AF$8=1,N(Reales!AF12),IF(AF$171=1,INDEX(Vol_V,1,AF$170)/12*(1+V_dVol),0))</f>
        <v>1500</v>
      </c>
      <c r="AG177" s="34" t="n">
        <f aca="false">IF(AG$8=1,N(Reales!AG12),IF(AG$171=1,INDEX(Vol_V,1,AG$170)/12*(1+V_dVol),0))</f>
        <v>1500</v>
      </c>
      <c r="AH177" s="34" t="n">
        <f aca="false">IF(AH$8=1,N(Reales!AH12),IF(AH$171=1,INDEX(Vol_V,1,AH$170)/12*(1+V_dVol),0))</f>
        <v>1500</v>
      </c>
      <c r="AI177" s="34" t="n">
        <f aca="false">IF(AI$8=1,N(Reales!AI12),IF(AI$171=1,INDEX(Vol_V,1,AI$170)/12*(1+V_dVol),0))</f>
        <v>1500</v>
      </c>
      <c r="AJ177" s="34" t="n">
        <f aca="false">IF(AJ$8=1,N(Reales!AJ12),IF(AJ$171=1,INDEX(Vol_V,1,AJ$170)/12*(1+V_dVol),0))</f>
        <v>1500</v>
      </c>
      <c r="AK177" s="34" t="n">
        <f aca="false">IF(AK$8=1,N(Reales!AK12),IF(AK$171=1,INDEX(Vol_V,1,AK$170)/12*(1+V_dVol),0))</f>
        <v>1500</v>
      </c>
      <c r="AL177" s="34" t="n">
        <f aca="false">IF(AL$8=1,N(Reales!AL12),IF(AL$171=1,INDEX(Vol_V,1,AL$170)/12*(1+V_dVol),0))</f>
        <v>1500</v>
      </c>
      <c r="AM177" s="34" t="n">
        <f aca="false">IF(AM$8=1,N(Reales!AM12),IF(AM$171=1,INDEX(Vol_V,1,AM$170)/12*(1+V_dVol),0))</f>
        <v>1500</v>
      </c>
      <c r="AN177" s="34" t="n">
        <f aca="false">IF(AN$8=1,N(Reales!AN12),IF(AN$171=1,INDEX(Vol_V,1,AN$170)/12*(1+V_dVol),0))</f>
        <v>1500</v>
      </c>
      <c r="AO177" s="34" t="n">
        <f aca="false">IF(AO$8=1,N(Reales!AO12),IF(AO$171=1,INDEX(Vol_V,1,AO$170)/12*(1+V_dVol),0))</f>
        <v>1500</v>
      </c>
      <c r="AP177" s="34" t="n">
        <f aca="false">IF(AP$8=1,N(Reales!AP12),IF(AP$171=1,INDEX(Vol_V,1,AP$170)/12*(1+V_dVol),0))</f>
        <v>1750</v>
      </c>
      <c r="AQ177" s="34" t="n">
        <f aca="false">IF(AQ$8=1,N(Reales!AQ12),IF(AQ$171=1,INDEX(Vol_V,1,AQ$170)/12*(1+V_dVol),0))</f>
        <v>1750</v>
      </c>
      <c r="AR177" s="34" t="n">
        <f aca="false">IF(AR$8=1,N(Reales!AR12),IF(AR$171=1,INDEX(Vol_V,1,AR$170)/12*(1+V_dVol),0))</f>
        <v>1750</v>
      </c>
      <c r="AS177" s="34" t="n">
        <f aca="false">IF(AS$8=1,N(Reales!AS12),IF(AS$171=1,INDEX(Vol_V,1,AS$170)/12*(1+V_dVol),0))</f>
        <v>1750</v>
      </c>
      <c r="AT177" s="34" t="n">
        <f aca="false">IF(AT$8=1,N(Reales!AT12),IF(AT$171=1,INDEX(Vol_V,1,AT$170)/12*(1+V_dVol),0))</f>
        <v>1750</v>
      </c>
      <c r="AU177" s="34" t="n">
        <f aca="false">IF(AU$8=1,N(Reales!AU12),IF(AU$171=1,INDEX(Vol_V,1,AU$170)/12*(1+V_dVol),0))</f>
        <v>1750</v>
      </c>
      <c r="AV177" s="34" t="n">
        <f aca="false">IF(AV$8=1,N(Reales!AV12),IF(AV$171=1,INDEX(Vol_V,1,AV$170)/12*(1+V_dVol),0))</f>
        <v>1750</v>
      </c>
      <c r="AW177" s="34" t="n">
        <f aca="false">IF(AW$8=1,N(Reales!AW12),IF(AW$171=1,INDEX(Vol_V,1,AW$170)/12*(1+V_dVol),0))</f>
        <v>1750</v>
      </c>
      <c r="AX177" s="34" t="n">
        <f aca="false">IF(AX$8=1,N(Reales!AX12),IF(AX$171=1,INDEX(Vol_V,1,AX$170)/12*(1+V_dVol),0))</f>
        <v>1750</v>
      </c>
      <c r="AY177" s="34" t="n">
        <f aca="false">IF(AY$8=1,N(Reales!AY12),IF(AY$171=1,INDEX(Vol_V,1,AY$170)/12*(1+V_dVol),0))</f>
        <v>1750</v>
      </c>
      <c r="AZ177" s="34" t="n">
        <f aca="false">IF(AZ$8=1,N(Reales!AZ12),IF(AZ$171=1,INDEX(Vol_V,1,AZ$170)/12*(1+V_dVol),0))</f>
        <v>1750</v>
      </c>
      <c r="BA177" s="34" t="n">
        <f aca="false">IF(BA$8=1,N(Reales!BA12),IF(BA$171=1,INDEX(Vol_V,1,BA$170)/12*(1+V_dVol),0))</f>
        <v>1750</v>
      </c>
      <c r="BB177" s="34" t="n">
        <f aca="false">IF(BB$8=1,N(Reales!BB12),IF(BB$171=1,INDEX(Vol_V,1,BB$170)/12*(1+V_dVol),0))</f>
        <v>1750</v>
      </c>
      <c r="BC177" s="34" t="n">
        <f aca="false">IF(BC$8=1,N(Reales!BC12),IF(BC$171=1,INDEX(Vol_V,1,BC$170)/12*(1+V_dVol),0))</f>
        <v>1750</v>
      </c>
      <c r="BD177" s="34" t="n">
        <f aca="false">IF(BD$8=1,N(Reales!BD12),IF(BD$171=1,INDEX(Vol_V,1,BD$170)/12*(1+V_dVol),0))</f>
        <v>1750</v>
      </c>
      <c r="BE177" s="34" t="n">
        <f aca="false">IF(BE$8=1,N(Reales!BE12),IF(BE$171=1,INDEX(Vol_V,1,BE$170)/12*(1+V_dVol),0))</f>
        <v>1750</v>
      </c>
      <c r="BF177" s="34" t="n">
        <f aca="false">IF(BF$8=1,N(Reales!BF12),IF(BF$171=1,INDEX(Vol_V,1,BF$170)/12*(1+V_dVol),0))</f>
        <v>1750</v>
      </c>
      <c r="BG177" s="34" t="n">
        <f aca="false">IF(BG$8=1,N(Reales!BG12),IF(BG$171=1,INDEX(Vol_V,1,BG$170)/12*(1+V_dVol),0))</f>
        <v>1750</v>
      </c>
      <c r="BH177" s="34" t="n">
        <f aca="false">IF(BH$8=1,N(Reales!BH12),IF(BH$171=1,INDEX(Vol_V,1,BH$170)/12*(1+V_dVol),0))</f>
        <v>1750</v>
      </c>
      <c r="BI177" s="34" t="n">
        <f aca="false">IF(BI$8=1,N(Reales!BI12),IF(BI$171=1,INDEX(Vol_V,1,BI$170)/12*(1+V_dVol),0))</f>
        <v>1750</v>
      </c>
      <c r="BJ177" s="34" t="n">
        <f aca="false">IF(BJ$8=1,N(Reales!BJ12),IF(BJ$171=1,INDEX(Vol_V,1,BJ$170)/12*(1+V_dVol),0))</f>
        <v>1750</v>
      </c>
      <c r="BK177" s="34" t="n">
        <f aca="false">IF(BK$8=1,N(Reales!BK12),IF(BK$171=1,INDEX(Vol_V,1,BK$170)/12*(1+V_dVol),0))</f>
        <v>1750</v>
      </c>
      <c r="BL177" s="34" t="n">
        <f aca="false">IF(BL$8=1,N(Reales!BL12),IF(BL$171=1,INDEX(Vol_V,1,BL$170)/12*(1+V_dVol),0))</f>
        <v>1750</v>
      </c>
      <c r="BM177" s="34" t="n">
        <f aca="false">IF(BM$8=1,N(Reales!BM12),IF(BM$171=1,INDEX(Vol_V,1,BM$170)/12*(1+V_dVol),0))</f>
        <v>1750</v>
      </c>
      <c r="BN177" s="34" t="n">
        <f aca="false">IF(BN$8=1,N(Reales!BN12),IF(BN$171=1,INDEX(Vol_V,1,BN$170)/12*(1+V_dVol),0))</f>
        <v>1750</v>
      </c>
      <c r="BO177" s="34" t="n">
        <f aca="false">IF(BO$8=1,N(Reales!BO12),IF(BO$171=1,INDEX(Vol_V,1,BO$170)/12*(1+V_dVol),0))</f>
        <v>1750</v>
      </c>
      <c r="BP177" s="34" t="n">
        <f aca="false">IF(BP$8=1,N(Reales!BP12),IF(BP$171=1,INDEX(Vol_V,1,BP$170)/12*(1+V_dVol),0))</f>
        <v>1750</v>
      </c>
      <c r="BQ177" s="34" t="n">
        <f aca="false">IF(BQ$8=1,N(Reales!BQ12),IF(BQ$171=1,INDEX(Vol_V,1,BQ$170)/12*(1+V_dVol),0))</f>
        <v>1750</v>
      </c>
      <c r="BR177" s="34" t="n">
        <f aca="false">IF(BR$8=1,N(Reales!BR12),IF(BR$171=1,INDEX(Vol_V,1,BR$170)/12*(1+V_dVol),0))</f>
        <v>1750</v>
      </c>
      <c r="BS177" s="34" t="n">
        <f aca="false">IF(BS$8=1,N(Reales!BS12),IF(BS$171=1,INDEX(Vol_V,1,BS$170)/12*(1+V_dVol),0))</f>
        <v>1750</v>
      </c>
      <c r="BT177" s="34" t="n">
        <f aca="false">IF(BT$8=1,N(Reales!BT12),IF(BT$171=1,INDEX(Vol_V,1,BT$170)/12*(1+V_dVol),0))</f>
        <v>1750</v>
      </c>
      <c r="BU177" s="34" t="n">
        <f aca="false">IF(BU$8=1,N(Reales!BU12),IF(BU$171=1,INDEX(Vol_V,1,BU$170)/12*(1+V_dVol),0))</f>
        <v>1750</v>
      </c>
      <c r="BV177" s="34" t="n">
        <f aca="false">IF(BV$8=1,N(Reales!BV12),IF(BV$171=1,INDEX(Vol_V,1,BV$170)/12*(1+V_dVol),0))</f>
        <v>1750</v>
      </c>
      <c r="BW177" s="34" t="n">
        <f aca="false">IF(BW$8=1,N(Reales!BW12),IF(BW$171=1,INDEX(Vol_V,1,BW$170)/12*(1+V_dVol),0))</f>
        <v>1750</v>
      </c>
      <c r="BX177" s="34" t="n">
        <f aca="false">IF(BX$8=1,N(Reales!BX12),IF(BX$171=1,INDEX(Vol_V,1,BX$170)/12*(1+V_dVol),0))</f>
        <v>1750</v>
      </c>
      <c r="BY177" s="34" t="n">
        <f aca="false">IF(BY$8=1,N(Reales!BY12),IF(BY$171=1,INDEX(Vol_V,1,BY$170)/12*(1+V_dVol),0))</f>
        <v>1750</v>
      </c>
      <c r="BZ177" s="34" t="n">
        <f aca="false">IF(BZ$8=1,N(Reales!BZ12),IF(BZ$171=1,INDEX(Vol_V,1,BZ$170)/12*(1+V_dVol),0))</f>
        <v>1750</v>
      </c>
      <c r="CA177" s="34" t="n">
        <f aca="false">IF(CA$8=1,N(Reales!CA12),IF(CA$171=1,INDEX(Vol_V,1,CA$170)/12*(1+V_dVol),0))</f>
        <v>1750</v>
      </c>
      <c r="CB177" s="34" t="n">
        <f aca="false">IF(CB$8=1,N(Reales!CB12),IF(CB$171=1,INDEX(Vol_V,1,CB$170)/12*(1+V_dVol),0))</f>
        <v>1750</v>
      </c>
      <c r="CC177" s="34" t="n">
        <f aca="false">IF(CC$8=1,N(Reales!CC12),IF(CC$171=1,INDEX(Vol_V,1,CC$170)/12*(1+V_dVol),0))</f>
        <v>1750</v>
      </c>
      <c r="CD177" s="34" t="n">
        <f aca="false">IF(CD$8=1,N(Reales!CD12),IF(CD$171=1,INDEX(Vol_V,1,CD$170)/12*(1+V_dVol),0))</f>
        <v>1750</v>
      </c>
      <c r="CE177" s="34" t="n">
        <f aca="false">IF(CE$8=1,N(Reales!CE12),IF(CE$171=1,INDEX(Vol_V,1,CE$170)/12*(1+V_dVol),0))</f>
        <v>1750</v>
      </c>
      <c r="CF177" s="34" t="n">
        <f aca="false">IF(CF$8=1,N(Reales!CF12),IF(CF$171=1,INDEX(Vol_V,1,CF$170)/12*(1+V_dVol),0))</f>
        <v>1750</v>
      </c>
      <c r="CG177" s="34" t="n">
        <f aca="false">IF(CG$8=1,N(Reales!CG12),IF(CG$171=1,INDEX(Vol_V,1,CG$170)/12*(1+V_dVol),0))</f>
        <v>1750</v>
      </c>
      <c r="CH177" s="34" t="n">
        <f aca="false">IF(CH$8=1,N(Reales!CH12),IF(CH$171=1,INDEX(Vol_V,1,CH$170)/12*(1+V_dVol),0))</f>
        <v>1750</v>
      </c>
      <c r="CI177" s="34" t="n">
        <f aca="false">IF(CI$8=1,N(Reales!CI12),IF(CI$171=1,INDEX(Vol_V,1,CI$170)/12*(1+V_dVol),0))</f>
        <v>1750</v>
      </c>
      <c r="CJ177" s="34" t="n">
        <f aca="false">IF(CJ$8=1,N(Reales!CJ12),IF(CJ$171=1,INDEX(Vol_V,1,CJ$170)/12*(1+V_dVol),0))</f>
        <v>1750</v>
      </c>
      <c r="CK177" s="34" t="n">
        <f aca="false">IF(CK$8=1,N(Reales!CK12),IF(CK$171=1,INDEX(Vol_V,1,CK$170)/12*(1+V_dVol),0))</f>
        <v>1750</v>
      </c>
      <c r="CL177" s="34" t="n">
        <f aca="false">IF(CL$8=1,N(Reales!CL12),IF(CL$171=1,INDEX(Vol_V,1,CL$170)/12*(1+V_dVol),0))</f>
        <v>1750</v>
      </c>
      <c r="CM177" s="34" t="n">
        <f aca="false">IF(CM$8=1,N(Reales!CM12),IF(CM$171=1,INDEX(Vol_V,1,CM$170)/12*(1+V_dVol),0))</f>
        <v>1750</v>
      </c>
      <c r="CN177" s="34" t="n">
        <f aca="false">IF(CN$8=1,N(Reales!CN12),IF(CN$171=1,INDEX(Vol_V,1,CN$170)/12*(1+V_dVol),0))</f>
        <v>1750</v>
      </c>
      <c r="CO177" s="34" t="n">
        <f aca="false">IF(CO$8=1,N(Reales!CO12),IF(CO$171=1,INDEX(Vol_V,1,CO$170)/12*(1+V_dVol),0))</f>
        <v>1750</v>
      </c>
      <c r="CP177" s="34" t="n">
        <f aca="false">IF(CP$8=1,N(Reales!CP12),IF(CP$171=1,INDEX(Vol_V,1,CP$170)/12*(1+V_dVol),0))</f>
        <v>1750</v>
      </c>
      <c r="CQ177" s="34" t="n">
        <f aca="false">IF(CQ$8=1,N(Reales!CQ12),IF(CQ$171=1,INDEX(Vol_V,1,CQ$170)/12*(1+V_dVol),0))</f>
        <v>1750</v>
      </c>
      <c r="CR177" s="34" t="n">
        <f aca="false">IF(CR$8=1,N(Reales!CR12),IF(CR$171=1,INDEX(Vol_V,1,CR$170)/12*(1+V_dVol),0))</f>
        <v>1750</v>
      </c>
      <c r="CS177" s="34" t="n">
        <f aca="false">IF(CS$8=1,N(Reales!CS12),IF(CS$171=1,INDEX(Vol_V,1,CS$170)/12*(1+V_dVol),0))</f>
        <v>1750</v>
      </c>
      <c r="CT177" s="34" t="n">
        <f aca="false">IF(CT$8=1,N(Reales!CT12),IF(CT$171=1,INDEX(Vol_V,1,CT$170)/12*(1+V_dVol),0))</f>
        <v>1750</v>
      </c>
      <c r="CU177" s="34" t="n">
        <f aca="false">IF(CU$8=1,N(Reales!CU12),IF(CU$171=1,INDEX(Vol_V,1,CU$170)/12*(1+V_dVol),0))</f>
        <v>1750</v>
      </c>
      <c r="CV177" s="34" t="n">
        <f aca="false">IF(CV$8=1,N(Reales!CV12),IF(CV$171=1,INDEX(Vol_V,1,CV$170)/12*(1+V_dVol),0))</f>
        <v>1750</v>
      </c>
      <c r="CW177" s="34" t="n">
        <f aca="false">IF(CW$8=1,N(Reales!CW12),IF(CW$171=1,INDEX(Vol_V,1,CW$170)/12*(1+V_dVol),0))</f>
        <v>1750</v>
      </c>
      <c r="CX177" s="34" t="n">
        <f aca="false">IF(CX$8=1,N(Reales!CX12),IF(CX$171=1,INDEX(Vol_V,1,CX$170)/12*(1+V_dVol),0))</f>
        <v>1750</v>
      </c>
      <c r="CY177" s="34" t="n">
        <f aca="false">IF(CY$8=1,N(Reales!CY12),IF(CY$171=1,INDEX(Vol_V,1,CY$170)/12*(1+V_dVol),0))</f>
        <v>1750</v>
      </c>
      <c r="CZ177" s="34" t="n">
        <f aca="false">IF(CZ$8=1,N(Reales!CZ12),IF(CZ$171=1,INDEX(Vol_V,1,CZ$170)/12*(1+V_dVol),0))</f>
        <v>1750</v>
      </c>
      <c r="DA177" s="34" t="n">
        <f aca="false">IF(DA$8=1,N(Reales!DA12),IF(DA$171=1,INDEX(Vol_V,1,DA$170)/12*(1+V_dVol),0))</f>
        <v>1750</v>
      </c>
      <c r="DB177" s="34" t="n">
        <f aca="false">IF(DB$8=1,N(Reales!DB12),IF(DB$171=1,INDEX(Vol_V,1,DB$170)/12*(1+V_dVol),0))</f>
        <v>1750</v>
      </c>
      <c r="DC177" s="34" t="n">
        <f aca="false">IF(DC$8=1,N(Reales!DC12),IF(DC$171=1,INDEX(Vol_V,1,DC$170)/12*(1+V_dVol),0))</f>
        <v>1750</v>
      </c>
      <c r="DD177" s="34" t="n">
        <f aca="false">IF(DD$8=1,N(Reales!DD12),IF(DD$171=1,INDEX(Vol_V,1,DD$170)/12*(1+V_dVol),0))</f>
        <v>1750</v>
      </c>
      <c r="DE177" s="34" t="n">
        <f aca="false">IF(DE$8=1,N(Reales!DE12),IF(DE$171=1,INDEX(Vol_V,1,DE$170)/12*(1+V_dVol),0))</f>
        <v>1750</v>
      </c>
      <c r="DF177" s="34" t="n">
        <f aca="false">IF(DF$8=1,N(Reales!DF12),IF(DF$171=1,INDEX(Vol_V,1,DF$170)/12*(1+V_dVol),0))</f>
        <v>1750</v>
      </c>
      <c r="DG177" s="34" t="n">
        <f aca="false">IF(DG$8=1,N(Reales!DG12),IF(DG$171=1,INDEX(Vol_V,1,DG$170)/12*(1+V_dVol),0))</f>
        <v>1750</v>
      </c>
      <c r="DH177" s="34" t="n">
        <f aca="false">IF(DH$8=1,N(Reales!DH12),IF(DH$171=1,INDEX(Vol_V,1,DH$170)/12*(1+V_dVol),0))</f>
        <v>1750</v>
      </c>
      <c r="DI177" s="34" t="n">
        <f aca="false">IF(DI$8=1,N(Reales!DI12),IF(DI$171=1,INDEX(Vol_V,1,DI$170)/12*(1+V_dVol),0))</f>
        <v>1750</v>
      </c>
      <c r="DJ177" s="34" t="n">
        <f aca="false">IF(DJ$8=1,N(Reales!DJ12),IF(DJ$171=1,INDEX(Vol_V,1,DJ$170)/12*(1+V_dVol),0))</f>
        <v>1750</v>
      </c>
      <c r="DK177" s="34" t="n">
        <f aca="false">IF(DK$8=1,N(Reales!DK12),IF(DK$171=1,INDEX(Vol_V,1,DK$170)/12*(1+V_dVol),0))</f>
        <v>1750</v>
      </c>
      <c r="DL177" s="34" t="n">
        <f aca="false">IF(DL$8=1,N(Reales!DL12),IF(DL$171=1,INDEX(Vol_V,1,DL$170)/12*(1+V_dVol),0))</f>
        <v>1750</v>
      </c>
      <c r="DM177" s="34" t="n">
        <f aca="false">IF(DM$8=1,N(Reales!DM12),IF(DM$171=1,INDEX(Vol_V,1,DM$170)/12*(1+V_dVol),0))</f>
        <v>1750</v>
      </c>
      <c r="DN177" s="34" t="n">
        <f aca="false">IF(DN$8=1,N(Reales!DN12),IF(DN$171=1,INDEX(Vol_V,1,DN$170)/12*(1+V_dVol),0))</f>
        <v>1750</v>
      </c>
      <c r="DO177" s="34" t="n">
        <f aca="false">IF(DO$8=1,N(Reales!DO12),IF(DO$171=1,INDEX(Vol_V,1,DO$170)/12*(1+V_dVol),0))</f>
        <v>1750</v>
      </c>
      <c r="DP177" s="34" t="n">
        <f aca="false">IF(DP$8=1,N(Reales!DP12),IF(DP$171=1,INDEX(Vol_V,1,DP$170)/12*(1+V_dVol),0))</f>
        <v>1750</v>
      </c>
      <c r="DQ177" s="34" t="n">
        <f aca="false">IF(DQ$8=1,N(Reales!DQ12),IF(DQ$171=1,INDEX(Vol_V,1,DQ$170)/12*(1+V_dVol),0))</f>
        <v>1750</v>
      </c>
      <c r="DR177" s="34" t="n">
        <f aca="false">IF(DR$8=1,N(Reales!DR12),IF(DR$171=1,INDEX(Vol_V,1,DR$170)/12*(1+V_dVol),0))</f>
        <v>1750</v>
      </c>
      <c r="DS177" s="34" t="n">
        <f aca="false">IF(DS$8=1,N(Reales!DS12),IF(DS$171=1,INDEX(Vol_V,1,DS$170)/12*(1+V_dVol),0))</f>
        <v>1750</v>
      </c>
      <c r="DT177" s="34" t="n">
        <f aca="false">IF(DT$8=1,N(Reales!DT12),IF(DT$171=1,INDEX(Vol_V,1,DT$170)/12*(1+V_dVol),0))</f>
        <v>1750</v>
      </c>
      <c r="DU177" s="34" t="n">
        <f aca="false">IF(DU$8=1,N(Reales!DU12),IF(DU$171=1,INDEX(Vol_V,1,DU$170)/12*(1+V_dVol),0))</f>
        <v>1750</v>
      </c>
      <c r="DV177" s="34" t="n">
        <f aca="false">IF(DV$8=1,N(Reales!DV12),IF(DV$171=1,INDEX(Vol_V,1,DV$170)/12*(1+V_dVol),0))</f>
        <v>0</v>
      </c>
      <c r="DW177" s="34" t="n">
        <f aca="false">IF(DW$8=1,N(Reales!DW12),IF(DW$171=1,INDEX(Vol_V,1,DW$170)/12*(1+V_dVol),0))</f>
        <v>0</v>
      </c>
      <c r="DX177" s="34" t="n">
        <f aca="false">IF(DX$8=1,N(Reales!DX12),IF(DX$171=1,INDEX(Vol_V,1,DX$170)/12*(1+V_dVol),0))</f>
        <v>0</v>
      </c>
      <c r="DY177" s="34" t="n">
        <f aca="false">IF(DY$8=1,N(Reales!DY12),IF(DY$171=1,INDEX(Vol_V,1,DY$170)/12*(1+V_dVol),0))</f>
        <v>0</v>
      </c>
      <c r="DZ177" s="34" t="n">
        <f aca="false">IF(DZ$8=1,N(Reales!DZ12),IF(DZ$171=1,INDEX(Vol_V,1,DZ$170)/12*(1+V_dVol),0))</f>
        <v>0</v>
      </c>
      <c r="EA177" s="34" t="n">
        <f aca="false">IF(EA$8=1,N(Reales!EA12),IF(EA$171=1,INDEX(Vol_V,1,EA$170)/12*(1+V_dVol),0))</f>
        <v>0</v>
      </c>
      <c r="EB177" s="34" t="n">
        <f aca="false">IF(EB$8=1,N(Reales!EB12),IF(EB$171=1,INDEX(Vol_V,1,EB$170)/12*(1+V_dVol),0))</f>
        <v>0</v>
      </c>
      <c r="EC177" s="34" t="n">
        <f aca="false">IF(EC$8=1,N(Reales!EC12),IF(EC$171=1,INDEX(Vol_V,1,EC$170)/12*(1+V_dVol),0))</f>
        <v>0</v>
      </c>
      <c r="ED177" s="34" t="n">
        <f aca="false">IF(ED$8=1,N(Reales!ED12),IF(ED$171=1,INDEX(Vol_V,1,ED$170)/12*(1+V_dVol),0))</f>
        <v>0</v>
      </c>
      <c r="EE177" s="34" t="n">
        <f aca="false">IF(EE$8=1,N(Reales!EE12),IF(EE$171=1,INDEX(Vol_V,1,EE$170)/12*(1+V_dVol),0))</f>
        <v>0</v>
      </c>
      <c r="EF177" s="34" t="n">
        <f aca="false">IF(EF$8=1,N(Reales!EF12),IF(EF$171=1,INDEX(Vol_V,1,EF$170)/12*(1+V_dVol),0))</f>
        <v>0</v>
      </c>
      <c r="EG177" s="34" t="n">
        <f aca="false">IF(EG$8=1,N(Reales!EG12),IF(EG$171=1,INDEX(Vol_V,1,EG$170)/12*(1+V_dVol),0))</f>
        <v>0</v>
      </c>
      <c r="EH177" s="34" t="n">
        <f aca="false">IF(EH$8=1,N(Reales!EH12),IF(EH$171=1,INDEX(Vol_V,1,EH$170)/12*(1+V_dVol),0))</f>
        <v>0</v>
      </c>
      <c r="EI177" s="34" t="n">
        <f aca="false">IF(EI$8=1,N(Reales!EI12),IF(EI$171=1,INDEX(Vol_V,1,EI$170)/12*(1+V_dVol),0))</f>
        <v>0</v>
      </c>
      <c r="EJ177" s="34" t="n">
        <f aca="false">IF(EJ$8=1,N(Reales!EJ12),IF(EJ$171=1,INDEX(Vol_V,1,EJ$170)/12*(1+V_dVol),0))</f>
        <v>0</v>
      </c>
      <c r="EK177" s="34" t="n">
        <f aca="false">IF(EK$8=1,N(Reales!EK12),IF(EK$171=1,INDEX(Vol_V,1,EK$170)/12*(1+V_dVol),0))</f>
        <v>0</v>
      </c>
      <c r="EL177" s="34" t="n">
        <f aca="false">IF(EL$8=1,N(Reales!EL12),IF(EL$171=1,INDEX(Vol_V,1,EL$170)/12*(1+V_dVol),0))</f>
        <v>0</v>
      </c>
      <c r="EM177" s="34" t="n">
        <f aca="false">IF(EM$8=1,N(Reales!EM12),IF(EM$171=1,INDEX(Vol_V,1,EM$170)/12*(1+V_dVol),0))</f>
        <v>0</v>
      </c>
      <c r="EN177" s="34" t="n">
        <f aca="false">IF(EN$8=1,N(Reales!EN12),IF(EN$171=1,INDEX(Vol_V,1,EN$170)/12*(1+V_dVol),0))</f>
        <v>0</v>
      </c>
      <c r="EO177" s="34" t="n">
        <f aca="false">IF(EO$8=1,N(Reales!EO12),IF(EO$171=1,INDEX(Vol_V,1,EO$170)/12*(1+V_dVol),0))</f>
        <v>0</v>
      </c>
      <c r="EP177" s="34" t="n">
        <f aca="false">IF(EP$8=1,N(Reales!EP12),IF(EP$171=1,INDEX(Vol_V,1,EP$170)/12*(1+V_dVol),0))</f>
        <v>0</v>
      </c>
      <c r="EQ177" s="34" t="n">
        <f aca="false">IF(EQ$8=1,N(Reales!EQ12),IF(EQ$171=1,INDEX(Vol_V,1,EQ$170)/12*(1+V_dVol),0))</f>
        <v>0</v>
      </c>
      <c r="ER177" s="34" t="n">
        <f aca="false">IF(ER$8=1,N(Reales!ER12),IF(ER$171=1,INDEX(Vol_V,1,ER$170)/12*(1+V_dVol),0))</f>
        <v>0</v>
      </c>
      <c r="ES177" s="34" t="n">
        <f aca="false">IF(ES$8=1,N(Reales!ES12),IF(ES$171=1,INDEX(Vol_V,1,ES$170)/12*(1+V_dVol),0))</f>
        <v>0</v>
      </c>
    </row>
    <row r="178" customFormat="false" ht="15" hidden="false" customHeight="false" outlineLevel="0" collapsed="false">
      <c r="A178" s="2" t="s">
        <v>820</v>
      </c>
      <c r="B178" s="39" t="str">
        <f aca="false">IF(INDEX(Prod_Nombre,2)="","Producto 2",INDEX(Prod_Nombre,2))&amp;" — unidades"</f>
        <v>Cajas metálicas 13 kg — unidades</v>
      </c>
      <c r="C178" s="6" t="s">
        <v>286</v>
      </c>
      <c r="E178" s="40" t="n">
        <f aca="false">SUM(F178:ES178)</f>
        <v>1110000</v>
      </c>
      <c r="F178" s="34" t="n">
        <f aca="false">IF(F$8=1,N(Reales!F13),IF(F$171=1,INDEX(Vol_V,2,F$170)/12*(1+V_dVol),0))</f>
        <v>5833.33333333333</v>
      </c>
      <c r="G178" s="34" t="n">
        <f aca="false">IF(G$8=1,N(Reales!G13),IF(G$171=1,INDEX(Vol_V,2,G$170)/12*(1+V_dVol),0))</f>
        <v>5833.33333333333</v>
      </c>
      <c r="H178" s="34" t="n">
        <f aca="false">IF(H$8=1,N(Reales!H13),IF(H$171=1,INDEX(Vol_V,2,H$170)/12*(1+V_dVol),0))</f>
        <v>5833.33333333333</v>
      </c>
      <c r="I178" s="34" t="n">
        <f aca="false">IF(I$8=1,N(Reales!I13),IF(I$171=1,INDEX(Vol_V,2,I$170)/12*(1+V_dVol),0))</f>
        <v>5833.33333333333</v>
      </c>
      <c r="J178" s="34" t="n">
        <f aca="false">IF(J$8=1,N(Reales!J13),IF(J$171=1,INDEX(Vol_V,2,J$170)/12*(1+V_dVol),0))</f>
        <v>5833.33333333333</v>
      </c>
      <c r="K178" s="34" t="n">
        <f aca="false">IF(K$8=1,N(Reales!K13),IF(K$171=1,INDEX(Vol_V,2,K$170)/12*(1+V_dVol),0))</f>
        <v>5833.33333333333</v>
      </c>
      <c r="L178" s="34" t="n">
        <f aca="false">IF(L$8=1,N(Reales!L13),IF(L$171=1,INDEX(Vol_V,2,L$170)/12*(1+V_dVol),0))</f>
        <v>5833.33333333333</v>
      </c>
      <c r="M178" s="34" t="n">
        <f aca="false">IF(M$8=1,N(Reales!M13),IF(M$171=1,INDEX(Vol_V,2,M$170)/12*(1+V_dVol),0))</f>
        <v>5833.33333333333</v>
      </c>
      <c r="N178" s="34" t="n">
        <f aca="false">IF(N$8=1,N(Reales!N13),IF(N$171=1,INDEX(Vol_V,2,N$170)/12*(1+V_dVol),0))</f>
        <v>5833.33333333333</v>
      </c>
      <c r="O178" s="34" t="n">
        <f aca="false">IF(O$8=1,N(Reales!O13),IF(O$171=1,INDEX(Vol_V,2,O$170)/12*(1+V_dVol),0))</f>
        <v>5833.33333333333</v>
      </c>
      <c r="P178" s="34" t="n">
        <f aca="false">IF(P$8=1,N(Reales!P13),IF(P$171=1,INDEX(Vol_V,2,P$170)/12*(1+V_dVol),0))</f>
        <v>5833.33333333333</v>
      </c>
      <c r="Q178" s="34" t="n">
        <f aca="false">IF(Q$8=1,N(Reales!Q13),IF(Q$171=1,INDEX(Vol_V,2,Q$170)/12*(1+V_dVol),0))</f>
        <v>5833.33333333333</v>
      </c>
      <c r="R178" s="34" t="n">
        <f aca="false">IF(R$8=1,N(Reales!R13),IF(R$171=1,INDEX(Vol_V,2,R$170)/12*(1+V_dVol),0))</f>
        <v>7500</v>
      </c>
      <c r="S178" s="34" t="n">
        <f aca="false">IF(S$8=1,N(Reales!S13),IF(S$171=1,INDEX(Vol_V,2,S$170)/12*(1+V_dVol),0))</f>
        <v>7500</v>
      </c>
      <c r="T178" s="34" t="n">
        <f aca="false">IF(T$8=1,N(Reales!T13),IF(T$171=1,INDEX(Vol_V,2,T$170)/12*(1+V_dVol),0))</f>
        <v>7500</v>
      </c>
      <c r="U178" s="34" t="n">
        <f aca="false">IF(U$8=1,N(Reales!U13),IF(U$171=1,INDEX(Vol_V,2,U$170)/12*(1+V_dVol),0))</f>
        <v>7500</v>
      </c>
      <c r="V178" s="34" t="n">
        <f aca="false">IF(V$8=1,N(Reales!V13),IF(V$171=1,INDEX(Vol_V,2,V$170)/12*(1+V_dVol),0))</f>
        <v>7500</v>
      </c>
      <c r="W178" s="34" t="n">
        <f aca="false">IF(W$8=1,N(Reales!W13),IF(W$171=1,INDEX(Vol_V,2,W$170)/12*(1+V_dVol),0))</f>
        <v>7500</v>
      </c>
      <c r="X178" s="34" t="n">
        <f aca="false">IF(X$8=1,N(Reales!X13),IF(X$171=1,INDEX(Vol_V,2,X$170)/12*(1+V_dVol),0))</f>
        <v>7500</v>
      </c>
      <c r="Y178" s="34" t="n">
        <f aca="false">IF(Y$8=1,N(Reales!Y13),IF(Y$171=1,INDEX(Vol_V,2,Y$170)/12*(1+V_dVol),0))</f>
        <v>7500</v>
      </c>
      <c r="Z178" s="34" t="n">
        <f aca="false">IF(Z$8=1,N(Reales!Z13),IF(Z$171=1,INDEX(Vol_V,2,Z$170)/12*(1+V_dVol),0))</f>
        <v>7500</v>
      </c>
      <c r="AA178" s="34" t="n">
        <f aca="false">IF(AA$8=1,N(Reales!AA13),IF(AA$171=1,INDEX(Vol_V,2,AA$170)/12*(1+V_dVol),0))</f>
        <v>7500</v>
      </c>
      <c r="AB178" s="34" t="n">
        <f aca="false">IF(AB$8=1,N(Reales!AB13),IF(AB$171=1,INDEX(Vol_V,2,AB$170)/12*(1+V_dVol),0))</f>
        <v>7500</v>
      </c>
      <c r="AC178" s="34" t="n">
        <f aca="false">IF(AC$8=1,N(Reales!AC13),IF(AC$171=1,INDEX(Vol_V,2,AC$170)/12*(1+V_dVol),0))</f>
        <v>7500</v>
      </c>
      <c r="AD178" s="34" t="n">
        <f aca="false">IF(AD$8=1,N(Reales!AD13),IF(AD$171=1,INDEX(Vol_V,2,AD$170)/12*(1+V_dVol),0))</f>
        <v>9166.66666666667</v>
      </c>
      <c r="AE178" s="34" t="n">
        <f aca="false">IF(AE$8=1,N(Reales!AE13),IF(AE$171=1,INDEX(Vol_V,2,AE$170)/12*(1+V_dVol),0))</f>
        <v>9166.66666666667</v>
      </c>
      <c r="AF178" s="34" t="n">
        <f aca="false">IF(AF$8=1,N(Reales!AF13),IF(AF$171=1,INDEX(Vol_V,2,AF$170)/12*(1+V_dVol),0))</f>
        <v>9166.66666666667</v>
      </c>
      <c r="AG178" s="34" t="n">
        <f aca="false">IF(AG$8=1,N(Reales!AG13),IF(AG$171=1,INDEX(Vol_V,2,AG$170)/12*(1+V_dVol),0))</f>
        <v>9166.66666666667</v>
      </c>
      <c r="AH178" s="34" t="n">
        <f aca="false">IF(AH$8=1,N(Reales!AH13),IF(AH$171=1,INDEX(Vol_V,2,AH$170)/12*(1+V_dVol),0))</f>
        <v>9166.66666666667</v>
      </c>
      <c r="AI178" s="34" t="n">
        <f aca="false">IF(AI$8=1,N(Reales!AI13),IF(AI$171=1,INDEX(Vol_V,2,AI$170)/12*(1+V_dVol),0))</f>
        <v>9166.66666666667</v>
      </c>
      <c r="AJ178" s="34" t="n">
        <f aca="false">IF(AJ$8=1,N(Reales!AJ13),IF(AJ$171=1,INDEX(Vol_V,2,AJ$170)/12*(1+V_dVol),0))</f>
        <v>9166.66666666667</v>
      </c>
      <c r="AK178" s="34" t="n">
        <f aca="false">IF(AK$8=1,N(Reales!AK13),IF(AK$171=1,INDEX(Vol_V,2,AK$170)/12*(1+V_dVol),0))</f>
        <v>9166.66666666667</v>
      </c>
      <c r="AL178" s="34" t="n">
        <f aca="false">IF(AL$8=1,N(Reales!AL13),IF(AL$171=1,INDEX(Vol_V,2,AL$170)/12*(1+V_dVol),0))</f>
        <v>9166.66666666667</v>
      </c>
      <c r="AM178" s="34" t="n">
        <f aca="false">IF(AM$8=1,N(Reales!AM13),IF(AM$171=1,INDEX(Vol_V,2,AM$170)/12*(1+V_dVol),0))</f>
        <v>9166.66666666667</v>
      </c>
      <c r="AN178" s="34" t="n">
        <f aca="false">IF(AN$8=1,N(Reales!AN13),IF(AN$171=1,INDEX(Vol_V,2,AN$170)/12*(1+V_dVol),0))</f>
        <v>9166.66666666667</v>
      </c>
      <c r="AO178" s="34" t="n">
        <f aca="false">IF(AO$8=1,N(Reales!AO13),IF(AO$171=1,INDEX(Vol_V,2,AO$170)/12*(1+V_dVol),0))</f>
        <v>9166.66666666667</v>
      </c>
      <c r="AP178" s="34" t="n">
        <f aca="false">IF(AP$8=1,N(Reales!AP13),IF(AP$171=1,INDEX(Vol_V,2,AP$170)/12*(1+V_dVol),0))</f>
        <v>10000</v>
      </c>
      <c r="AQ178" s="34" t="n">
        <f aca="false">IF(AQ$8=1,N(Reales!AQ13),IF(AQ$171=1,INDEX(Vol_V,2,AQ$170)/12*(1+V_dVol),0))</f>
        <v>10000</v>
      </c>
      <c r="AR178" s="34" t="n">
        <f aca="false">IF(AR$8=1,N(Reales!AR13),IF(AR$171=1,INDEX(Vol_V,2,AR$170)/12*(1+V_dVol),0))</f>
        <v>10000</v>
      </c>
      <c r="AS178" s="34" t="n">
        <f aca="false">IF(AS$8=1,N(Reales!AS13),IF(AS$171=1,INDEX(Vol_V,2,AS$170)/12*(1+V_dVol),0))</f>
        <v>10000</v>
      </c>
      <c r="AT178" s="34" t="n">
        <f aca="false">IF(AT$8=1,N(Reales!AT13),IF(AT$171=1,INDEX(Vol_V,2,AT$170)/12*(1+V_dVol),0))</f>
        <v>10000</v>
      </c>
      <c r="AU178" s="34" t="n">
        <f aca="false">IF(AU$8=1,N(Reales!AU13),IF(AU$171=1,INDEX(Vol_V,2,AU$170)/12*(1+V_dVol),0))</f>
        <v>10000</v>
      </c>
      <c r="AV178" s="34" t="n">
        <f aca="false">IF(AV$8=1,N(Reales!AV13),IF(AV$171=1,INDEX(Vol_V,2,AV$170)/12*(1+V_dVol),0))</f>
        <v>10000</v>
      </c>
      <c r="AW178" s="34" t="n">
        <f aca="false">IF(AW$8=1,N(Reales!AW13),IF(AW$171=1,INDEX(Vol_V,2,AW$170)/12*(1+V_dVol),0))</f>
        <v>10000</v>
      </c>
      <c r="AX178" s="34" t="n">
        <f aca="false">IF(AX$8=1,N(Reales!AX13),IF(AX$171=1,INDEX(Vol_V,2,AX$170)/12*(1+V_dVol),0))</f>
        <v>10000</v>
      </c>
      <c r="AY178" s="34" t="n">
        <f aca="false">IF(AY$8=1,N(Reales!AY13),IF(AY$171=1,INDEX(Vol_V,2,AY$170)/12*(1+V_dVol),0))</f>
        <v>10000</v>
      </c>
      <c r="AZ178" s="34" t="n">
        <f aca="false">IF(AZ$8=1,N(Reales!AZ13),IF(AZ$171=1,INDEX(Vol_V,2,AZ$170)/12*(1+V_dVol),0))</f>
        <v>10000</v>
      </c>
      <c r="BA178" s="34" t="n">
        <f aca="false">IF(BA$8=1,N(Reales!BA13),IF(BA$171=1,INDEX(Vol_V,2,BA$170)/12*(1+V_dVol),0))</f>
        <v>10000</v>
      </c>
      <c r="BB178" s="34" t="n">
        <f aca="false">IF(BB$8=1,N(Reales!BB13),IF(BB$171=1,INDEX(Vol_V,2,BB$170)/12*(1+V_dVol),0))</f>
        <v>10000</v>
      </c>
      <c r="BC178" s="34" t="n">
        <f aca="false">IF(BC$8=1,N(Reales!BC13),IF(BC$171=1,INDEX(Vol_V,2,BC$170)/12*(1+V_dVol),0))</f>
        <v>10000</v>
      </c>
      <c r="BD178" s="34" t="n">
        <f aca="false">IF(BD$8=1,N(Reales!BD13),IF(BD$171=1,INDEX(Vol_V,2,BD$170)/12*(1+V_dVol),0))</f>
        <v>10000</v>
      </c>
      <c r="BE178" s="34" t="n">
        <f aca="false">IF(BE$8=1,N(Reales!BE13),IF(BE$171=1,INDEX(Vol_V,2,BE$170)/12*(1+V_dVol),0))</f>
        <v>10000</v>
      </c>
      <c r="BF178" s="34" t="n">
        <f aca="false">IF(BF$8=1,N(Reales!BF13),IF(BF$171=1,INDEX(Vol_V,2,BF$170)/12*(1+V_dVol),0))</f>
        <v>10000</v>
      </c>
      <c r="BG178" s="34" t="n">
        <f aca="false">IF(BG$8=1,N(Reales!BG13),IF(BG$171=1,INDEX(Vol_V,2,BG$170)/12*(1+V_dVol),0))</f>
        <v>10000</v>
      </c>
      <c r="BH178" s="34" t="n">
        <f aca="false">IF(BH$8=1,N(Reales!BH13),IF(BH$171=1,INDEX(Vol_V,2,BH$170)/12*(1+V_dVol),0))</f>
        <v>10000</v>
      </c>
      <c r="BI178" s="34" t="n">
        <f aca="false">IF(BI$8=1,N(Reales!BI13),IF(BI$171=1,INDEX(Vol_V,2,BI$170)/12*(1+V_dVol),0))</f>
        <v>10000</v>
      </c>
      <c r="BJ178" s="34" t="n">
        <f aca="false">IF(BJ$8=1,N(Reales!BJ13),IF(BJ$171=1,INDEX(Vol_V,2,BJ$170)/12*(1+V_dVol),0))</f>
        <v>10000</v>
      </c>
      <c r="BK178" s="34" t="n">
        <f aca="false">IF(BK$8=1,N(Reales!BK13),IF(BK$171=1,INDEX(Vol_V,2,BK$170)/12*(1+V_dVol),0))</f>
        <v>10000</v>
      </c>
      <c r="BL178" s="34" t="n">
        <f aca="false">IF(BL$8=1,N(Reales!BL13),IF(BL$171=1,INDEX(Vol_V,2,BL$170)/12*(1+V_dVol),0))</f>
        <v>10000</v>
      </c>
      <c r="BM178" s="34" t="n">
        <f aca="false">IF(BM$8=1,N(Reales!BM13),IF(BM$171=1,INDEX(Vol_V,2,BM$170)/12*(1+V_dVol),0))</f>
        <v>10000</v>
      </c>
      <c r="BN178" s="34" t="n">
        <f aca="false">IF(BN$8=1,N(Reales!BN13),IF(BN$171=1,INDEX(Vol_V,2,BN$170)/12*(1+V_dVol),0))</f>
        <v>10000</v>
      </c>
      <c r="BO178" s="34" t="n">
        <f aca="false">IF(BO$8=1,N(Reales!BO13),IF(BO$171=1,INDEX(Vol_V,2,BO$170)/12*(1+V_dVol),0))</f>
        <v>10000</v>
      </c>
      <c r="BP178" s="34" t="n">
        <f aca="false">IF(BP$8=1,N(Reales!BP13),IF(BP$171=1,INDEX(Vol_V,2,BP$170)/12*(1+V_dVol),0))</f>
        <v>10000</v>
      </c>
      <c r="BQ178" s="34" t="n">
        <f aca="false">IF(BQ$8=1,N(Reales!BQ13),IF(BQ$171=1,INDEX(Vol_V,2,BQ$170)/12*(1+V_dVol),0))</f>
        <v>10000</v>
      </c>
      <c r="BR178" s="34" t="n">
        <f aca="false">IF(BR$8=1,N(Reales!BR13),IF(BR$171=1,INDEX(Vol_V,2,BR$170)/12*(1+V_dVol),0))</f>
        <v>10000</v>
      </c>
      <c r="BS178" s="34" t="n">
        <f aca="false">IF(BS$8=1,N(Reales!BS13),IF(BS$171=1,INDEX(Vol_V,2,BS$170)/12*(1+V_dVol),0))</f>
        <v>10000</v>
      </c>
      <c r="BT178" s="34" t="n">
        <f aca="false">IF(BT$8=1,N(Reales!BT13),IF(BT$171=1,INDEX(Vol_V,2,BT$170)/12*(1+V_dVol),0))</f>
        <v>10000</v>
      </c>
      <c r="BU178" s="34" t="n">
        <f aca="false">IF(BU$8=1,N(Reales!BU13),IF(BU$171=1,INDEX(Vol_V,2,BU$170)/12*(1+V_dVol),0))</f>
        <v>10000</v>
      </c>
      <c r="BV178" s="34" t="n">
        <f aca="false">IF(BV$8=1,N(Reales!BV13),IF(BV$171=1,INDEX(Vol_V,2,BV$170)/12*(1+V_dVol),0))</f>
        <v>10000</v>
      </c>
      <c r="BW178" s="34" t="n">
        <f aca="false">IF(BW$8=1,N(Reales!BW13),IF(BW$171=1,INDEX(Vol_V,2,BW$170)/12*(1+V_dVol),0))</f>
        <v>10000</v>
      </c>
      <c r="BX178" s="34" t="n">
        <f aca="false">IF(BX$8=1,N(Reales!BX13),IF(BX$171=1,INDEX(Vol_V,2,BX$170)/12*(1+V_dVol),0))</f>
        <v>10000</v>
      </c>
      <c r="BY178" s="34" t="n">
        <f aca="false">IF(BY$8=1,N(Reales!BY13),IF(BY$171=1,INDEX(Vol_V,2,BY$170)/12*(1+V_dVol),0))</f>
        <v>10000</v>
      </c>
      <c r="BZ178" s="34" t="n">
        <f aca="false">IF(BZ$8=1,N(Reales!BZ13),IF(BZ$171=1,INDEX(Vol_V,2,BZ$170)/12*(1+V_dVol),0))</f>
        <v>10000</v>
      </c>
      <c r="CA178" s="34" t="n">
        <f aca="false">IF(CA$8=1,N(Reales!CA13),IF(CA$171=1,INDEX(Vol_V,2,CA$170)/12*(1+V_dVol),0))</f>
        <v>10000</v>
      </c>
      <c r="CB178" s="34" t="n">
        <f aca="false">IF(CB$8=1,N(Reales!CB13),IF(CB$171=1,INDEX(Vol_V,2,CB$170)/12*(1+V_dVol),0))</f>
        <v>10000</v>
      </c>
      <c r="CC178" s="34" t="n">
        <f aca="false">IF(CC$8=1,N(Reales!CC13),IF(CC$171=1,INDEX(Vol_V,2,CC$170)/12*(1+V_dVol),0))</f>
        <v>10000</v>
      </c>
      <c r="CD178" s="34" t="n">
        <f aca="false">IF(CD$8=1,N(Reales!CD13),IF(CD$171=1,INDEX(Vol_V,2,CD$170)/12*(1+V_dVol),0))</f>
        <v>10000</v>
      </c>
      <c r="CE178" s="34" t="n">
        <f aca="false">IF(CE$8=1,N(Reales!CE13),IF(CE$171=1,INDEX(Vol_V,2,CE$170)/12*(1+V_dVol),0))</f>
        <v>10000</v>
      </c>
      <c r="CF178" s="34" t="n">
        <f aca="false">IF(CF$8=1,N(Reales!CF13),IF(CF$171=1,INDEX(Vol_V,2,CF$170)/12*(1+V_dVol),0))</f>
        <v>10000</v>
      </c>
      <c r="CG178" s="34" t="n">
        <f aca="false">IF(CG$8=1,N(Reales!CG13),IF(CG$171=1,INDEX(Vol_V,2,CG$170)/12*(1+V_dVol),0))</f>
        <v>10000</v>
      </c>
      <c r="CH178" s="34" t="n">
        <f aca="false">IF(CH$8=1,N(Reales!CH13),IF(CH$171=1,INDEX(Vol_V,2,CH$170)/12*(1+V_dVol),0))</f>
        <v>10000</v>
      </c>
      <c r="CI178" s="34" t="n">
        <f aca="false">IF(CI$8=1,N(Reales!CI13),IF(CI$171=1,INDEX(Vol_V,2,CI$170)/12*(1+V_dVol),0))</f>
        <v>10000</v>
      </c>
      <c r="CJ178" s="34" t="n">
        <f aca="false">IF(CJ$8=1,N(Reales!CJ13),IF(CJ$171=1,INDEX(Vol_V,2,CJ$170)/12*(1+V_dVol),0))</f>
        <v>10000</v>
      </c>
      <c r="CK178" s="34" t="n">
        <f aca="false">IF(CK$8=1,N(Reales!CK13),IF(CK$171=1,INDEX(Vol_V,2,CK$170)/12*(1+V_dVol),0))</f>
        <v>10000</v>
      </c>
      <c r="CL178" s="34" t="n">
        <f aca="false">IF(CL$8=1,N(Reales!CL13),IF(CL$171=1,INDEX(Vol_V,2,CL$170)/12*(1+V_dVol),0))</f>
        <v>10000</v>
      </c>
      <c r="CM178" s="34" t="n">
        <f aca="false">IF(CM$8=1,N(Reales!CM13),IF(CM$171=1,INDEX(Vol_V,2,CM$170)/12*(1+V_dVol),0))</f>
        <v>10000</v>
      </c>
      <c r="CN178" s="34" t="n">
        <f aca="false">IF(CN$8=1,N(Reales!CN13),IF(CN$171=1,INDEX(Vol_V,2,CN$170)/12*(1+V_dVol),0))</f>
        <v>10000</v>
      </c>
      <c r="CO178" s="34" t="n">
        <f aca="false">IF(CO$8=1,N(Reales!CO13),IF(CO$171=1,INDEX(Vol_V,2,CO$170)/12*(1+V_dVol),0))</f>
        <v>10000</v>
      </c>
      <c r="CP178" s="34" t="n">
        <f aca="false">IF(CP$8=1,N(Reales!CP13),IF(CP$171=1,INDEX(Vol_V,2,CP$170)/12*(1+V_dVol),0))</f>
        <v>10000</v>
      </c>
      <c r="CQ178" s="34" t="n">
        <f aca="false">IF(CQ$8=1,N(Reales!CQ13),IF(CQ$171=1,INDEX(Vol_V,2,CQ$170)/12*(1+V_dVol),0))</f>
        <v>10000</v>
      </c>
      <c r="CR178" s="34" t="n">
        <f aca="false">IF(CR$8=1,N(Reales!CR13),IF(CR$171=1,INDEX(Vol_V,2,CR$170)/12*(1+V_dVol),0))</f>
        <v>10000</v>
      </c>
      <c r="CS178" s="34" t="n">
        <f aca="false">IF(CS$8=1,N(Reales!CS13),IF(CS$171=1,INDEX(Vol_V,2,CS$170)/12*(1+V_dVol),0))</f>
        <v>10000</v>
      </c>
      <c r="CT178" s="34" t="n">
        <f aca="false">IF(CT$8=1,N(Reales!CT13),IF(CT$171=1,INDEX(Vol_V,2,CT$170)/12*(1+V_dVol),0))</f>
        <v>10000</v>
      </c>
      <c r="CU178" s="34" t="n">
        <f aca="false">IF(CU$8=1,N(Reales!CU13),IF(CU$171=1,INDEX(Vol_V,2,CU$170)/12*(1+V_dVol),0))</f>
        <v>10000</v>
      </c>
      <c r="CV178" s="34" t="n">
        <f aca="false">IF(CV$8=1,N(Reales!CV13),IF(CV$171=1,INDEX(Vol_V,2,CV$170)/12*(1+V_dVol),0))</f>
        <v>10000</v>
      </c>
      <c r="CW178" s="34" t="n">
        <f aca="false">IF(CW$8=1,N(Reales!CW13),IF(CW$171=1,INDEX(Vol_V,2,CW$170)/12*(1+V_dVol),0))</f>
        <v>10000</v>
      </c>
      <c r="CX178" s="34" t="n">
        <f aca="false">IF(CX$8=1,N(Reales!CX13),IF(CX$171=1,INDEX(Vol_V,2,CX$170)/12*(1+V_dVol),0))</f>
        <v>10000</v>
      </c>
      <c r="CY178" s="34" t="n">
        <f aca="false">IF(CY$8=1,N(Reales!CY13),IF(CY$171=1,INDEX(Vol_V,2,CY$170)/12*(1+V_dVol),0))</f>
        <v>10000</v>
      </c>
      <c r="CZ178" s="34" t="n">
        <f aca="false">IF(CZ$8=1,N(Reales!CZ13),IF(CZ$171=1,INDEX(Vol_V,2,CZ$170)/12*(1+V_dVol),0))</f>
        <v>10000</v>
      </c>
      <c r="DA178" s="34" t="n">
        <f aca="false">IF(DA$8=1,N(Reales!DA13),IF(DA$171=1,INDEX(Vol_V,2,DA$170)/12*(1+V_dVol),0))</f>
        <v>10000</v>
      </c>
      <c r="DB178" s="34" t="n">
        <f aca="false">IF(DB$8=1,N(Reales!DB13),IF(DB$171=1,INDEX(Vol_V,2,DB$170)/12*(1+V_dVol),0))</f>
        <v>10000</v>
      </c>
      <c r="DC178" s="34" t="n">
        <f aca="false">IF(DC$8=1,N(Reales!DC13),IF(DC$171=1,INDEX(Vol_V,2,DC$170)/12*(1+V_dVol),0))</f>
        <v>10000</v>
      </c>
      <c r="DD178" s="34" t="n">
        <f aca="false">IF(DD$8=1,N(Reales!DD13),IF(DD$171=1,INDEX(Vol_V,2,DD$170)/12*(1+V_dVol),0))</f>
        <v>10000</v>
      </c>
      <c r="DE178" s="34" t="n">
        <f aca="false">IF(DE$8=1,N(Reales!DE13),IF(DE$171=1,INDEX(Vol_V,2,DE$170)/12*(1+V_dVol),0))</f>
        <v>10000</v>
      </c>
      <c r="DF178" s="34" t="n">
        <f aca="false">IF(DF$8=1,N(Reales!DF13),IF(DF$171=1,INDEX(Vol_V,2,DF$170)/12*(1+V_dVol),0))</f>
        <v>10000</v>
      </c>
      <c r="DG178" s="34" t="n">
        <f aca="false">IF(DG$8=1,N(Reales!DG13),IF(DG$171=1,INDEX(Vol_V,2,DG$170)/12*(1+V_dVol),0))</f>
        <v>10000</v>
      </c>
      <c r="DH178" s="34" t="n">
        <f aca="false">IF(DH$8=1,N(Reales!DH13),IF(DH$171=1,INDEX(Vol_V,2,DH$170)/12*(1+V_dVol),0))</f>
        <v>10000</v>
      </c>
      <c r="DI178" s="34" t="n">
        <f aca="false">IF(DI$8=1,N(Reales!DI13),IF(DI$171=1,INDEX(Vol_V,2,DI$170)/12*(1+V_dVol),0))</f>
        <v>10000</v>
      </c>
      <c r="DJ178" s="34" t="n">
        <f aca="false">IF(DJ$8=1,N(Reales!DJ13),IF(DJ$171=1,INDEX(Vol_V,2,DJ$170)/12*(1+V_dVol),0))</f>
        <v>10000</v>
      </c>
      <c r="DK178" s="34" t="n">
        <f aca="false">IF(DK$8=1,N(Reales!DK13),IF(DK$171=1,INDEX(Vol_V,2,DK$170)/12*(1+V_dVol),0))</f>
        <v>10000</v>
      </c>
      <c r="DL178" s="34" t="n">
        <f aca="false">IF(DL$8=1,N(Reales!DL13),IF(DL$171=1,INDEX(Vol_V,2,DL$170)/12*(1+V_dVol),0))</f>
        <v>10000</v>
      </c>
      <c r="DM178" s="34" t="n">
        <f aca="false">IF(DM$8=1,N(Reales!DM13),IF(DM$171=1,INDEX(Vol_V,2,DM$170)/12*(1+V_dVol),0))</f>
        <v>10000</v>
      </c>
      <c r="DN178" s="34" t="n">
        <f aca="false">IF(DN$8=1,N(Reales!DN13),IF(DN$171=1,INDEX(Vol_V,2,DN$170)/12*(1+V_dVol),0))</f>
        <v>10000</v>
      </c>
      <c r="DO178" s="34" t="n">
        <f aca="false">IF(DO$8=1,N(Reales!DO13),IF(DO$171=1,INDEX(Vol_V,2,DO$170)/12*(1+V_dVol),0))</f>
        <v>10000</v>
      </c>
      <c r="DP178" s="34" t="n">
        <f aca="false">IF(DP$8=1,N(Reales!DP13),IF(DP$171=1,INDEX(Vol_V,2,DP$170)/12*(1+V_dVol),0))</f>
        <v>10000</v>
      </c>
      <c r="DQ178" s="34" t="n">
        <f aca="false">IF(DQ$8=1,N(Reales!DQ13),IF(DQ$171=1,INDEX(Vol_V,2,DQ$170)/12*(1+V_dVol),0))</f>
        <v>10000</v>
      </c>
      <c r="DR178" s="34" t="n">
        <f aca="false">IF(DR$8=1,N(Reales!DR13),IF(DR$171=1,INDEX(Vol_V,2,DR$170)/12*(1+V_dVol),0))</f>
        <v>10000</v>
      </c>
      <c r="DS178" s="34" t="n">
        <f aca="false">IF(DS$8=1,N(Reales!DS13),IF(DS$171=1,INDEX(Vol_V,2,DS$170)/12*(1+V_dVol),0))</f>
        <v>10000</v>
      </c>
      <c r="DT178" s="34" t="n">
        <f aca="false">IF(DT$8=1,N(Reales!DT13),IF(DT$171=1,INDEX(Vol_V,2,DT$170)/12*(1+V_dVol),0))</f>
        <v>10000</v>
      </c>
      <c r="DU178" s="34" t="n">
        <f aca="false">IF(DU$8=1,N(Reales!DU13),IF(DU$171=1,INDEX(Vol_V,2,DU$170)/12*(1+V_dVol),0))</f>
        <v>10000</v>
      </c>
      <c r="DV178" s="34" t="n">
        <f aca="false">IF(DV$8=1,N(Reales!DV13),IF(DV$171=1,INDEX(Vol_V,2,DV$170)/12*(1+V_dVol),0))</f>
        <v>0</v>
      </c>
      <c r="DW178" s="34" t="n">
        <f aca="false">IF(DW$8=1,N(Reales!DW13),IF(DW$171=1,INDEX(Vol_V,2,DW$170)/12*(1+V_dVol),0))</f>
        <v>0</v>
      </c>
      <c r="DX178" s="34" t="n">
        <f aca="false">IF(DX$8=1,N(Reales!DX13),IF(DX$171=1,INDEX(Vol_V,2,DX$170)/12*(1+V_dVol),0))</f>
        <v>0</v>
      </c>
      <c r="DY178" s="34" t="n">
        <f aca="false">IF(DY$8=1,N(Reales!DY13),IF(DY$171=1,INDEX(Vol_V,2,DY$170)/12*(1+V_dVol),0))</f>
        <v>0</v>
      </c>
      <c r="DZ178" s="34" t="n">
        <f aca="false">IF(DZ$8=1,N(Reales!DZ13),IF(DZ$171=1,INDEX(Vol_V,2,DZ$170)/12*(1+V_dVol),0))</f>
        <v>0</v>
      </c>
      <c r="EA178" s="34" t="n">
        <f aca="false">IF(EA$8=1,N(Reales!EA13),IF(EA$171=1,INDEX(Vol_V,2,EA$170)/12*(1+V_dVol),0))</f>
        <v>0</v>
      </c>
      <c r="EB178" s="34" t="n">
        <f aca="false">IF(EB$8=1,N(Reales!EB13),IF(EB$171=1,INDEX(Vol_V,2,EB$170)/12*(1+V_dVol),0))</f>
        <v>0</v>
      </c>
      <c r="EC178" s="34" t="n">
        <f aca="false">IF(EC$8=1,N(Reales!EC13),IF(EC$171=1,INDEX(Vol_V,2,EC$170)/12*(1+V_dVol),0))</f>
        <v>0</v>
      </c>
      <c r="ED178" s="34" t="n">
        <f aca="false">IF(ED$8=1,N(Reales!ED13),IF(ED$171=1,INDEX(Vol_V,2,ED$170)/12*(1+V_dVol),0))</f>
        <v>0</v>
      </c>
      <c r="EE178" s="34" t="n">
        <f aca="false">IF(EE$8=1,N(Reales!EE13),IF(EE$171=1,INDEX(Vol_V,2,EE$170)/12*(1+V_dVol),0))</f>
        <v>0</v>
      </c>
      <c r="EF178" s="34" t="n">
        <f aca="false">IF(EF$8=1,N(Reales!EF13),IF(EF$171=1,INDEX(Vol_V,2,EF$170)/12*(1+V_dVol),0))</f>
        <v>0</v>
      </c>
      <c r="EG178" s="34" t="n">
        <f aca="false">IF(EG$8=1,N(Reales!EG13),IF(EG$171=1,INDEX(Vol_V,2,EG$170)/12*(1+V_dVol),0))</f>
        <v>0</v>
      </c>
      <c r="EH178" s="34" t="n">
        <f aca="false">IF(EH$8=1,N(Reales!EH13),IF(EH$171=1,INDEX(Vol_V,2,EH$170)/12*(1+V_dVol),0))</f>
        <v>0</v>
      </c>
      <c r="EI178" s="34" t="n">
        <f aca="false">IF(EI$8=1,N(Reales!EI13),IF(EI$171=1,INDEX(Vol_V,2,EI$170)/12*(1+V_dVol),0))</f>
        <v>0</v>
      </c>
      <c r="EJ178" s="34" t="n">
        <f aca="false">IF(EJ$8=1,N(Reales!EJ13),IF(EJ$171=1,INDEX(Vol_V,2,EJ$170)/12*(1+V_dVol),0))</f>
        <v>0</v>
      </c>
      <c r="EK178" s="34" t="n">
        <f aca="false">IF(EK$8=1,N(Reales!EK13),IF(EK$171=1,INDEX(Vol_V,2,EK$170)/12*(1+V_dVol),0))</f>
        <v>0</v>
      </c>
      <c r="EL178" s="34" t="n">
        <f aca="false">IF(EL$8=1,N(Reales!EL13),IF(EL$171=1,INDEX(Vol_V,2,EL$170)/12*(1+V_dVol),0))</f>
        <v>0</v>
      </c>
      <c r="EM178" s="34" t="n">
        <f aca="false">IF(EM$8=1,N(Reales!EM13),IF(EM$171=1,INDEX(Vol_V,2,EM$170)/12*(1+V_dVol),0))</f>
        <v>0</v>
      </c>
      <c r="EN178" s="34" t="n">
        <f aca="false">IF(EN$8=1,N(Reales!EN13),IF(EN$171=1,INDEX(Vol_V,2,EN$170)/12*(1+V_dVol),0))</f>
        <v>0</v>
      </c>
      <c r="EO178" s="34" t="n">
        <f aca="false">IF(EO$8=1,N(Reales!EO13),IF(EO$171=1,INDEX(Vol_V,2,EO$170)/12*(1+V_dVol),0))</f>
        <v>0</v>
      </c>
      <c r="EP178" s="34" t="n">
        <f aca="false">IF(EP$8=1,N(Reales!EP13),IF(EP$171=1,INDEX(Vol_V,2,EP$170)/12*(1+V_dVol),0))</f>
        <v>0</v>
      </c>
      <c r="EQ178" s="34" t="n">
        <f aca="false">IF(EQ$8=1,N(Reales!EQ13),IF(EQ$171=1,INDEX(Vol_V,2,EQ$170)/12*(1+V_dVol),0))</f>
        <v>0</v>
      </c>
      <c r="ER178" s="34" t="n">
        <f aca="false">IF(ER$8=1,N(Reales!ER13),IF(ER$171=1,INDEX(Vol_V,2,ER$170)/12*(1+V_dVol),0))</f>
        <v>0</v>
      </c>
      <c r="ES178" s="34" t="n">
        <f aca="false">IF(ES$8=1,N(Reales!ES13),IF(ES$171=1,INDEX(Vol_V,2,ES$170)/12*(1+V_dVol),0))</f>
        <v>0</v>
      </c>
    </row>
    <row r="179" customFormat="false" ht="15" hidden="false" customHeight="false" outlineLevel="0" collapsed="false">
      <c r="A179" s="2" t="s">
        <v>821</v>
      </c>
      <c r="B179" s="39" t="str">
        <f aca="false">IF(INDEX(Prod_Nombre,3)="","Producto 3",INDEX(Prod_Nombre,3))&amp;" — unidades"</f>
        <v>Producto 3 — unidades</v>
      </c>
      <c r="C179" s="6" t="s">
        <v>286</v>
      </c>
      <c r="E179" s="40" t="n">
        <f aca="false">SUM(F179:ES179)</f>
        <v>0</v>
      </c>
      <c r="F179" s="34" t="n">
        <f aca="false">IF(F$8=1,N(Reales!F14),IF(F$171=1,INDEX(Vol_V,3,F$170)/12*(1+V_dVol),0))</f>
        <v>0</v>
      </c>
      <c r="G179" s="34" t="n">
        <f aca="false">IF(G$8=1,N(Reales!G14),IF(G$171=1,INDEX(Vol_V,3,G$170)/12*(1+V_dVol),0))</f>
        <v>0</v>
      </c>
      <c r="H179" s="34" t="n">
        <f aca="false">IF(H$8=1,N(Reales!H14),IF(H$171=1,INDEX(Vol_V,3,H$170)/12*(1+V_dVol),0))</f>
        <v>0</v>
      </c>
      <c r="I179" s="34" t="n">
        <f aca="false">IF(I$8=1,N(Reales!I14),IF(I$171=1,INDEX(Vol_V,3,I$170)/12*(1+V_dVol),0))</f>
        <v>0</v>
      </c>
      <c r="J179" s="34" t="n">
        <f aca="false">IF(J$8=1,N(Reales!J14),IF(J$171=1,INDEX(Vol_V,3,J$170)/12*(1+V_dVol),0))</f>
        <v>0</v>
      </c>
      <c r="K179" s="34" t="n">
        <f aca="false">IF(K$8=1,N(Reales!K14),IF(K$171=1,INDEX(Vol_V,3,K$170)/12*(1+V_dVol),0))</f>
        <v>0</v>
      </c>
      <c r="L179" s="34" t="n">
        <f aca="false">IF(L$8=1,N(Reales!L14),IF(L$171=1,INDEX(Vol_V,3,L$170)/12*(1+V_dVol),0))</f>
        <v>0</v>
      </c>
      <c r="M179" s="34" t="n">
        <f aca="false">IF(M$8=1,N(Reales!M14),IF(M$171=1,INDEX(Vol_V,3,M$170)/12*(1+V_dVol),0))</f>
        <v>0</v>
      </c>
      <c r="N179" s="34" t="n">
        <f aca="false">IF(N$8=1,N(Reales!N14),IF(N$171=1,INDEX(Vol_V,3,N$170)/12*(1+V_dVol),0))</f>
        <v>0</v>
      </c>
      <c r="O179" s="34" t="n">
        <f aca="false">IF(O$8=1,N(Reales!O14),IF(O$171=1,INDEX(Vol_V,3,O$170)/12*(1+V_dVol),0))</f>
        <v>0</v>
      </c>
      <c r="P179" s="34" t="n">
        <f aca="false">IF(P$8=1,N(Reales!P14),IF(P$171=1,INDEX(Vol_V,3,P$170)/12*(1+V_dVol),0))</f>
        <v>0</v>
      </c>
      <c r="Q179" s="34" t="n">
        <f aca="false">IF(Q$8=1,N(Reales!Q14),IF(Q$171=1,INDEX(Vol_V,3,Q$170)/12*(1+V_dVol),0))</f>
        <v>0</v>
      </c>
      <c r="R179" s="34" t="n">
        <f aca="false">IF(R$8=1,N(Reales!R14),IF(R$171=1,INDEX(Vol_V,3,R$170)/12*(1+V_dVol),0))</f>
        <v>0</v>
      </c>
      <c r="S179" s="34" t="n">
        <f aca="false">IF(S$8=1,N(Reales!S14),IF(S$171=1,INDEX(Vol_V,3,S$170)/12*(1+V_dVol),0))</f>
        <v>0</v>
      </c>
      <c r="T179" s="34" t="n">
        <f aca="false">IF(T$8=1,N(Reales!T14),IF(T$171=1,INDEX(Vol_V,3,T$170)/12*(1+V_dVol),0))</f>
        <v>0</v>
      </c>
      <c r="U179" s="34" t="n">
        <f aca="false">IF(U$8=1,N(Reales!U14),IF(U$171=1,INDEX(Vol_V,3,U$170)/12*(1+V_dVol),0))</f>
        <v>0</v>
      </c>
      <c r="V179" s="34" t="n">
        <f aca="false">IF(V$8=1,N(Reales!V14),IF(V$171=1,INDEX(Vol_V,3,V$170)/12*(1+V_dVol),0))</f>
        <v>0</v>
      </c>
      <c r="W179" s="34" t="n">
        <f aca="false">IF(W$8=1,N(Reales!W14),IF(W$171=1,INDEX(Vol_V,3,W$170)/12*(1+V_dVol),0))</f>
        <v>0</v>
      </c>
      <c r="X179" s="34" t="n">
        <f aca="false">IF(X$8=1,N(Reales!X14),IF(X$171=1,INDEX(Vol_V,3,X$170)/12*(1+V_dVol),0))</f>
        <v>0</v>
      </c>
      <c r="Y179" s="34" t="n">
        <f aca="false">IF(Y$8=1,N(Reales!Y14),IF(Y$171=1,INDEX(Vol_V,3,Y$170)/12*(1+V_dVol),0))</f>
        <v>0</v>
      </c>
      <c r="Z179" s="34" t="n">
        <f aca="false">IF(Z$8=1,N(Reales!Z14),IF(Z$171=1,INDEX(Vol_V,3,Z$170)/12*(1+V_dVol),0))</f>
        <v>0</v>
      </c>
      <c r="AA179" s="34" t="n">
        <f aca="false">IF(AA$8=1,N(Reales!AA14),IF(AA$171=1,INDEX(Vol_V,3,AA$170)/12*(1+V_dVol),0))</f>
        <v>0</v>
      </c>
      <c r="AB179" s="34" t="n">
        <f aca="false">IF(AB$8=1,N(Reales!AB14),IF(AB$171=1,INDEX(Vol_V,3,AB$170)/12*(1+V_dVol),0))</f>
        <v>0</v>
      </c>
      <c r="AC179" s="34" t="n">
        <f aca="false">IF(AC$8=1,N(Reales!AC14),IF(AC$171=1,INDEX(Vol_V,3,AC$170)/12*(1+V_dVol),0))</f>
        <v>0</v>
      </c>
      <c r="AD179" s="34" t="n">
        <f aca="false">IF(AD$8=1,N(Reales!AD14),IF(AD$171=1,INDEX(Vol_V,3,AD$170)/12*(1+V_dVol),0))</f>
        <v>0</v>
      </c>
      <c r="AE179" s="34" t="n">
        <f aca="false">IF(AE$8=1,N(Reales!AE14),IF(AE$171=1,INDEX(Vol_V,3,AE$170)/12*(1+V_dVol),0))</f>
        <v>0</v>
      </c>
      <c r="AF179" s="34" t="n">
        <f aca="false">IF(AF$8=1,N(Reales!AF14),IF(AF$171=1,INDEX(Vol_V,3,AF$170)/12*(1+V_dVol),0))</f>
        <v>0</v>
      </c>
      <c r="AG179" s="34" t="n">
        <f aca="false">IF(AG$8=1,N(Reales!AG14),IF(AG$171=1,INDEX(Vol_V,3,AG$170)/12*(1+V_dVol),0))</f>
        <v>0</v>
      </c>
      <c r="AH179" s="34" t="n">
        <f aca="false">IF(AH$8=1,N(Reales!AH14),IF(AH$171=1,INDEX(Vol_V,3,AH$170)/12*(1+V_dVol),0))</f>
        <v>0</v>
      </c>
      <c r="AI179" s="34" t="n">
        <f aca="false">IF(AI$8=1,N(Reales!AI14),IF(AI$171=1,INDEX(Vol_V,3,AI$170)/12*(1+V_dVol),0))</f>
        <v>0</v>
      </c>
      <c r="AJ179" s="34" t="n">
        <f aca="false">IF(AJ$8=1,N(Reales!AJ14),IF(AJ$171=1,INDEX(Vol_V,3,AJ$170)/12*(1+V_dVol),0))</f>
        <v>0</v>
      </c>
      <c r="AK179" s="34" t="n">
        <f aca="false">IF(AK$8=1,N(Reales!AK14),IF(AK$171=1,INDEX(Vol_V,3,AK$170)/12*(1+V_dVol),0))</f>
        <v>0</v>
      </c>
      <c r="AL179" s="34" t="n">
        <f aca="false">IF(AL$8=1,N(Reales!AL14),IF(AL$171=1,INDEX(Vol_V,3,AL$170)/12*(1+V_dVol),0))</f>
        <v>0</v>
      </c>
      <c r="AM179" s="34" t="n">
        <f aca="false">IF(AM$8=1,N(Reales!AM14),IF(AM$171=1,INDEX(Vol_V,3,AM$170)/12*(1+V_dVol),0))</f>
        <v>0</v>
      </c>
      <c r="AN179" s="34" t="n">
        <f aca="false">IF(AN$8=1,N(Reales!AN14),IF(AN$171=1,INDEX(Vol_V,3,AN$170)/12*(1+V_dVol),0))</f>
        <v>0</v>
      </c>
      <c r="AO179" s="34" t="n">
        <f aca="false">IF(AO$8=1,N(Reales!AO14),IF(AO$171=1,INDEX(Vol_V,3,AO$170)/12*(1+V_dVol),0))</f>
        <v>0</v>
      </c>
      <c r="AP179" s="34" t="n">
        <f aca="false">IF(AP$8=1,N(Reales!AP14),IF(AP$171=1,INDEX(Vol_V,3,AP$170)/12*(1+V_dVol),0))</f>
        <v>0</v>
      </c>
      <c r="AQ179" s="34" t="n">
        <f aca="false">IF(AQ$8=1,N(Reales!AQ14),IF(AQ$171=1,INDEX(Vol_V,3,AQ$170)/12*(1+V_dVol),0))</f>
        <v>0</v>
      </c>
      <c r="AR179" s="34" t="n">
        <f aca="false">IF(AR$8=1,N(Reales!AR14),IF(AR$171=1,INDEX(Vol_V,3,AR$170)/12*(1+V_dVol),0))</f>
        <v>0</v>
      </c>
      <c r="AS179" s="34" t="n">
        <f aca="false">IF(AS$8=1,N(Reales!AS14),IF(AS$171=1,INDEX(Vol_V,3,AS$170)/12*(1+V_dVol),0))</f>
        <v>0</v>
      </c>
      <c r="AT179" s="34" t="n">
        <f aca="false">IF(AT$8=1,N(Reales!AT14),IF(AT$171=1,INDEX(Vol_V,3,AT$170)/12*(1+V_dVol),0))</f>
        <v>0</v>
      </c>
      <c r="AU179" s="34" t="n">
        <f aca="false">IF(AU$8=1,N(Reales!AU14),IF(AU$171=1,INDEX(Vol_V,3,AU$170)/12*(1+V_dVol),0))</f>
        <v>0</v>
      </c>
      <c r="AV179" s="34" t="n">
        <f aca="false">IF(AV$8=1,N(Reales!AV14),IF(AV$171=1,INDEX(Vol_V,3,AV$170)/12*(1+V_dVol),0))</f>
        <v>0</v>
      </c>
      <c r="AW179" s="34" t="n">
        <f aca="false">IF(AW$8=1,N(Reales!AW14),IF(AW$171=1,INDEX(Vol_V,3,AW$170)/12*(1+V_dVol),0))</f>
        <v>0</v>
      </c>
      <c r="AX179" s="34" t="n">
        <f aca="false">IF(AX$8=1,N(Reales!AX14),IF(AX$171=1,INDEX(Vol_V,3,AX$170)/12*(1+V_dVol),0))</f>
        <v>0</v>
      </c>
      <c r="AY179" s="34" t="n">
        <f aca="false">IF(AY$8=1,N(Reales!AY14),IF(AY$171=1,INDEX(Vol_V,3,AY$170)/12*(1+V_dVol),0))</f>
        <v>0</v>
      </c>
      <c r="AZ179" s="34" t="n">
        <f aca="false">IF(AZ$8=1,N(Reales!AZ14),IF(AZ$171=1,INDEX(Vol_V,3,AZ$170)/12*(1+V_dVol),0))</f>
        <v>0</v>
      </c>
      <c r="BA179" s="34" t="n">
        <f aca="false">IF(BA$8=1,N(Reales!BA14),IF(BA$171=1,INDEX(Vol_V,3,BA$170)/12*(1+V_dVol),0))</f>
        <v>0</v>
      </c>
      <c r="BB179" s="34" t="n">
        <f aca="false">IF(BB$8=1,N(Reales!BB14),IF(BB$171=1,INDEX(Vol_V,3,BB$170)/12*(1+V_dVol),0))</f>
        <v>0</v>
      </c>
      <c r="BC179" s="34" t="n">
        <f aca="false">IF(BC$8=1,N(Reales!BC14),IF(BC$171=1,INDEX(Vol_V,3,BC$170)/12*(1+V_dVol),0))</f>
        <v>0</v>
      </c>
      <c r="BD179" s="34" t="n">
        <f aca="false">IF(BD$8=1,N(Reales!BD14),IF(BD$171=1,INDEX(Vol_V,3,BD$170)/12*(1+V_dVol),0))</f>
        <v>0</v>
      </c>
      <c r="BE179" s="34" t="n">
        <f aca="false">IF(BE$8=1,N(Reales!BE14),IF(BE$171=1,INDEX(Vol_V,3,BE$170)/12*(1+V_dVol),0))</f>
        <v>0</v>
      </c>
      <c r="BF179" s="34" t="n">
        <f aca="false">IF(BF$8=1,N(Reales!BF14),IF(BF$171=1,INDEX(Vol_V,3,BF$170)/12*(1+V_dVol),0))</f>
        <v>0</v>
      </c>
      <c r="BG179" s="34" t="n">
        <f aca="false">IF(BG$8=1,N(Reales!BG14),IF(BG$171=1,INDEX(Vol_V,3,BG$170)/12*(1+V_dVol),0))</f>
        <v>0</v>
      </c>
      <c r="BH179" s="34" t="n">
        <f aca="false">IF(BH$8=1,N(Reales!BH14),IF(BH$171=1,INDEX(Vol_V,3,BH$170)/12*(1+V_dVol),0))</f>
        <v>0</v>
      </c>
      <c r="BI179" s="34" t="n">
        <f aca="false">IF(BI$8=1,N(Reales!BI14),IF(BI$171=1,INDEX(Vol_V,3,BI$170)/12*(1+V_dVol),0))</f>
        <v>0</v>
      </c>
      <c r="BJ179" s="34" t="n">
        <f aca="false">IF(BJ$8=1,N(Reales!BJ14),IF(BJ$171=1,INDEX(Vol_V,3,BJ$170)/12*(1+V_dVol),0))</f>
        <v>0</v>
      </c>
      <c r="BK179" s="34" t="n">
        <f aca="false">IF(BK$8=1,N(Reales!BK14),IF(BK$171=1,INDEX(Vol_V,3,BK$170)/12*(1+V_dVol),0))</f>
        <v>0</v>
      </c>
      <c r="BL179" s="34" t="n">
        <f aca="false">IF(BL$8=1,N(Reales!BL14),IF(BL$171=1,INDEX(Vol_V,3,BL$170)/12*(1+V_dVol),0))</f>
        <v>0</v>
      </c>
      <c r="BM179" s="34" t="n">
        <f aca="false">IF(BM$8=1,N(Reales!BM14),IF(BM$171=1,INDEX(Vol_V,3,BM$170)/12*(1+V_dVol),0))</f>
        <v>0</v>
      </c>
      <c r="BN179" s="34" t="n">
        <f aca="false">IF(BN$8=1,N(Reales!BN14),IF(BN$171=1,INDEX(Vol_V,3,BN$170)/12*(1+V_dVol),0))</f>
        <v>0</v>
      </c>
      <c r="BO179" s="34" t="n">
        <f aca="false">IF(BO$8=1,N(Reales!BO14),IF(BO$171=1,INDEX(Vol_V,3,BO$170)/12*(1+V_dVol),0))</f>
        <v>0</v>
      </c>
      <c r="BP179" s="34" t="n">
        <f aca="false">IF(BP$8=1,N(Reales!BP14),IF(BP$171=1,INDEX(Vol_V,3,BP$170)/12*(1+V_dVol),0))</f>
        <v>0</v>
      </c>
      <c r="BQ179" s="34" t="n">
        <f aca="false">IF(BQ$8=1,N(Reales!BQ14),IF(BQ$171=1,INDEX(Vol_V,3,BQ$170)/12*(1+V_dVol),0))</f>
        <v>0</v>
      </c>
      <c r="BR179" s="34" t="n">
        <f aca="false">IF(BR$8=1,N(Reales!BR14),IF(BR$171=1,INDEX(Vol_V,3,BR$170)/12*(1+V_dVol),0))</f>
        <v>0</v>
      </c>
      <c r="BS179" s="34" t="n">
        <f aca="false">IF(BS$8=1,N(Reales!BS14),IF(BS$171=1,INDEX(Vol_V,3,BS$170)/12*(1+V_dVol),0))</f>
        <v>0</v>
      </c>
      <c r="BT179" s="34" t="n">
        <f aca="false">IF(BT$8=1,N(Reales!BT14),IF(BT$171=1,INDEX(Vol_V,3,BT$170)/12*(1+V_dVol),0))</f>
        <v>0</v>
      </c>
      <c r="BU179" s="34" t="n">
        <f aca="false">IF(BU$8=1,N(Reales!BU14),IF(BU$171=1,INDEX(Vol_V,3,BU$170)/12*(1+V_dVol),0))</f>
        <v>0</v>
      </c>
      <c r="BV179" s="34" t="n">
        <f aca="false">IF(BV$8=1,N(Reales!BV14),IF(BV$171=1,INDEX(Vol_V,3,BV$170)/12*(1+V_dVol),0))</f>
        <v>0</v>
      </c>
      <c r="BW179" s="34" t="n">
        <f aca="false">IF(BW$8=1,N(Reales!BW14),IF(BW$171=1,INDEX(Vol_V,3,BW$170)/12*(1+V_dVol),0))</f>
        <v>0</v>
      </c>
      <c r="BX179" s="34" t="n">
        <f aca="false">IF(BX$8=1,N(Reales!BX14),IF(BX$171=1,INDEX(Vol_V,3,BX$170)/12*(1+V_dVol),0))</f>
        <v>0</v>
      </c>
      <c r="BY179" s="34" t="n">
        <f aca="false">IF(BY$8=1,N(Reales!BY14),IF(BY$171=1,INDEX(Vol_V,3,BY$170)/12*(1+V_dVol),0))</f>
        <v>0</v>
      </c>
      <c r="BZ179" s="34" t="n">
        <f aca="false">IF(BZ$8=1,N(Reales!BZ14),IF(BZ$171=1,INDEX(Vol_V,3,BZ$170)/12*(1+V_dVol),0))</f>
        <v>0</v>
      </c>
      <c r="CA179" s="34" t="n">
        <f aca="false">IF(CA$8=1,N(Reales!CA14),IF(CA$171=1,INDEX(Vol_V,3,CA$170)/12*(1+V_dVol),0))</f>
        <v>0</v>
      </c>
      <c r="CB179" s="34" t="n">
        <f aca="false">IF(CB$8=1,N(Reales!CB14),IF(CB$171=1,INDEX(Vol_V,3,CB$170)/12*(1+V_dVol),0))</f>
        <v>0</v>
      </c>
      <c r="CC179" s="34" t="n">
        <f aca="false">IF(CC$8=1,N(Reales!CC14),IF(CC$171=1,INDEX(Vol_V,3,CC$170)/12*(1+V_dVol),0))</f>
        <v>0</v>
      </c>
      <c r="CD179" s="34" t="n">
        <f aca="false">IF(CD$8=1,N(Reales!CD14),IF(CD$171=1,INDEX(Vol_V,3,CD$170)/12*(1+V_dVol),0))</f>
        <v>0</v>
      </c>
      <c r="CE179" s="34" t="n">
        <f aca="false">IF(CE$8=1,N(Reales!CE14),IF(CE$171=1,INDEX(Vol_V,3,CE$170)/12*(1+V_dVol),0))</f>
        <v>0</v>
      </c>
      <c r="CF179" s="34" t="n">
        <f aca="false">IF(CF$8=1,N(Reales!CF14),IF(CF$171=1,INDEX(Vol_V,3,CF$170)/12*(1+V_dVol),0))</f>
        <v>0</v>
      </c>
      <c r="CG179" s="34" t="n">
        <f aca="false">IF(CG$8=1,N(Reales!CG14),IF(CG$171=1,INDEX(Vol_V,3,CG$170)/12*(1+V_dVol),0))</f>
        <v>0</v>
      </c>
      <c r="CH179" s="34" t="n">
        <f aca="false">IF(CH$8=1,N(Reales!CH14),IF(CH$171=1,INDEX(Vol_V,3,CH$170)/12*(1+V_dVol),0))</f>
        <v>0</v>
      </c>
      <c r="CI179" s="34" t="n">
        <f aca="false">IF(CI$8=1,N(Reales!CI14),IF(CI$171=1,INDEX(Vol_V,3,CI$170)/12*(1+V_dVol),0))</f>
        <v>0</v>
      </c>
      <c r="CJ179" s="34" t="n">
        <f aca="false">IF(CJ$8=1,N(Reales!CJ14),IF(CJ$171=1,INDEX(Vol_V,3,CJ$170)/12*(1+V_dVol),0))</f>
        <v>0</v>
      </c>
      <c r="CK179" s="34" t="n">
        <f aca="false">IF(CK$8=1,N(Reales!CK14),IF(CK$171=1,INDEX(Vol_V,3,CK$170)/12*(1+V_dVol),0))</f>
        <v>0</v>
      </c>
      <c r="CL179" s="34" t="n">
        <f aca="false">IF(CL$8=1,N(Reales!CL14),IF(CL$171=1,INDEX(Vol_V,3,CL$170)/12*(1+V_dVol),0))</f>
        <v>0</v>
      </c>
      <c r="CM179" s="34" t="n">
        <f aca="false">IF(CM$8=1,N(Reales!CM14),IF(CM$171=1,INDEX(Vol_V,3,CM$170)/12*(1+V_dVol),0))</f>
        <v>0</v>
      </c>
      <c r="CN179" s="34" t="n">
        <f aca="false">IF(CN$8=1,N(Reales!CN14),IF(CN$171=1,INDEX(Vol_V,3,CN$170)/12*(1+V_dVol),0))</f>
        <v>0</v>
      </c>
      <c r="CO179" s="34" t="n">
        <f aca="false">IF(CO$8=1,N(Reales!CO14),IF(CO$171=1,INDEX(Vol_V,3,CO$170)/12*(1+V_dVol),0))</f>
        <v>0</v>
      </c>
      <c r="CP179" s="34" t="n">
        <f aca="false">IF(CP$8=1,N(Reales!CP14),IF(CP$171=1,INDEX(Vol_V,3,CP$170)/12*(1+V_dVol),0))</f>
        <v>0</v>
      </c>
      <c r="CQ179" s="34" t="n">
        <f aca="false">IF(CQ$8=1,N(Reales!CQ14),IF(CQ$171=1,INDEX(Vol_V,3,CQ$170)/12*(1+V_dVol),0))</f>
        <v>0</v>
      </c>
      <c r="CR179" s="34" t="n">
        <f aca="false">IF(CR$8=1,N(Reales!CR14),IF(CR$171=1,INDEX(Vol_V,3,CR$170)/12*(1+V_dVol),0))</f>
        <v>0</v>
      </c>
      <c r="CS179" s="34" t="n">
        <f aca="false">IF(CS$8=1,N(Reales!CS14),IF(CS$171=1,INDEX(Vol_V,3,CS$170)/12*(1+V_dVol),0))</f>
        <v>0</v>
      </c>
      <c r="CT179" s="34" t="n">
        <f aca="false">IF(CT$8=1,N(Reales!CT14),IF(CT$171=1,INDEX(Vol_V,3,CT$170)/12*(1+V_dVol),0))</f>
        <v>0</v>
      </c>
      <c r="CU179" s="34" t="n">
        <f aca="false">IF(CU$8=1,N(Reales!CU14),IF(CU$171=1,INDEX(Vol_V,3,CU$170)/12*(1+V_dVol),0))</f>
        <v>0</v>
      </c>
      <c r="CV179" s="34" t="n">
        <f aca="false">IF(CV$8=1,N(Reales!CV14),IF(CV$171=1,INDEX(Vol_V,3,CV$170)/12*(1+V_dVol),0))</f>
        <v>0</v>
      </c>
      <c r="CW179" s="34" t="n">
        <f aca="false">IF(CW$8=1,N(Reales!CW14),IF(CW$171=1,INDEX(Vol_V,3,CW$170)/12*(1+V_dVol),0))</f>
        <v>0</v>
      </c>
      <c r="CX179" s="34" t="n">
        <f aca="false">IF(CX$8=1,N(Reales!CX14),IF(CX$171=1,INDEX(Vol_V,3,CX$170)/12*(1+V_dVol),0))</f>
        <v>0</v>
      </c>
      <c r="CY179" s="34" t="n">
        <f aca="false">IF(CY$8=1,N(Reales!CY14),IF(CY$171=1,INDEX(Vol_V,3,CY$170)/12*(1+V_dVol),0))</f>
        <v>0</v>
      </c>
      <c r="CZ179" s="34" t="n">
        <f aca="false">IF(CZ$8=1,N(Reales!CZ14),IF(CZ$171=1,INDEX(Vol_V,3,CZ$170)/12*(1+V_dVol),0))</f>
        <v>0</v>
      </c>
      <c r="DA179" s="34" t="n">
        <f aca="false">IF(DA$8=1,N(Reales!DA14),IF(DA$171=1,INDEX(Vol_V,3,DA$170)/12*(1+V_dVol),0))</f>
        <v>0</v>
      </c>
      <c r="DB179" s="34" t="n">
        <f aca="false">IF(DB$8=1,N(Reales!DB14),IF(DB$171=1,INDEX(Vol_V,3,DB$170)/12*(1+V_dVol),0))</f>
        <v>0</v>
      </c>
      <c r="DC179" s="34" t="n">
        <f aca="false">IF(DC$8=1,N(Reales!DC14),IF(DC$171=1,INDEX(Vol_V,3,DC$170)/12*(1+V_dVol),0))</f>
        <v>0</v>
      </c>
      <c r="DD179" s="34" t="n">
        <f aca="false">IF(DD$8=1,N(Reales!DD14),IF(DD$171=1,INDEX(Vol_V,3,DD$170)/12*(1+V_dVol),0))</f>
        <v>0</v>
      </c>
      <c r="DE179" s="34" t="n">
        <f aca="false">IF(DE$8=1,N(Reales!DE14),IF(DE$171=1,INDEX(Vol_V,3,DE$170)/12*(1+V_dVol),0))</f>
        <v>0</v>
      </c>
      <c r="DF179" s="34" t="n">
        <f aca="false">IF(DF$8=1,N(Reales!DF14),IF(DF$171=1,INDEX(Vol_V,3,DF$170)/12*(1+V_dVol),0))</f>
        <v>0</v>
      </c>
      <c r="DG179" s="34" t="n">
        <f aca="false">IF(DG$8=1,N(Reales!DG14),IF(DG$171=1,INDEX(Vol_V,3,DG$170)/12*(1+V_dVol),0))</f>
        <v>0</v>
      </c>
      <c r="DH179" s="34" t="n">
        <f aca="false">IF(DH$8=1,N(Reales!DH14),IF(DH$171=1,INDEX(Vol_V,3,DH$170)/12*(1+V_dVol),0))</f>
        <v>0</v>
      </c>
      <c r="DI179" s="34" t="n">
        <f aca="false">IF(DI$8=1,N(Reales!DI14),IF(DI$171=1,INDEX(Vol_V,3,DI$170)/12*(1+V_dVol),0))</f>
        <v>0</v>
      </c>
      <c r="DJ179" s="34" t="n">
        <f aca="false">IF(DJ$8=1,N(Reales!DJ14),IF(DJ$171=1,INDEX(Vol_V,3,DJ$170)/12*(1+V_dVol),0))</f>
        <v>0</v>
      </c>
      <c r="DK179" s="34" t="n">
        <f aca="false">IF(DK$8=1,N(Reales!DK14),IF(DK$171=1,INDEX(Vol_V,3,DK$170)/12*(1+V_dVol),0))</f>
        <v>0</v>
      </c>
      <c r="DL179" s="34" t="n">
        <f aca="false">IF(DL$8=1,N(Reales!DL14),IF(DL$171=1,INDEX(Vol_V,3,DL$170)/12*(1+V_dVol),0))</f>
        <v>0</v>
      </c>
      <c r="DM179" s="34" t="n">
        <f aca="false">IF(DM$8=1,N(Reales!DM14),IF(DM$171=1,INDEX(Vol_V,3,DM$170)/12*(1+V_dVol),0))</f>
        <v>0</v>
      </c>
      <c r="DN179" s="34" t="n">
        <f aca="false">IF(DN$8=1,N(Reales!DN14),IF(DN$171=1,INDEX(Vol_V,3,DN$170)/12*(1+V_dVol),0))</f>
        <v>0</v>
      </c>
      <c r="DO179" s="34" t="n">
        <f aca="false">IF(DO$8=1,N(Reales!DO14),IF(DO$171=1,INDEX(Vol_V,3,DO$170)/12*(1+V_dVol),0))</f>
        <v>0</v>
      </c>
      <c r="DP179" s="34" t="n">
        <f aca="false">IF(DP$8=1,N(Reales!DP14),IF(DP$171=1,INDEX(Vol_V,3,DP$170)/12*(1+V_dVol),0))</f>
        <v>0</v>
      </c>
      <c r="DQ179" s="34" t="n">
        <f aca="false">IF(DQ$8=1,N(Reales!DQ14),IF(DQ$171=1,INDEX(Vol_V,3,DQ$170)/12*(1+V_dVol),0))</f>
        <v>0</v>
      </c>
      <c r="DR179" s="34" t="n">
        <f aca="false">IF(DR$8=1,N(Reales!DR14),IF(DR$171=1,INDEX(Vol_V,3,DR$170)/12*(1+V_dVol),0))</f>
        <v>0</v>
      </c>
      <c r="DS179" s="34" t="n">
        <f aca="false">IF(DS$8=1,N(Reales!DS14),IF(DS$171=1,INDEX(Vol_V,3,DS$170)/12*(1+V_dVol),0))</f>
        <v>0</v>
      </c>
      <c r="DT179" s="34" t="n">
        <f aca="false">IF(DT$8=1,N(Reales!DT14),IF(DT$171=1,INDEX(Vol_V,3,DT$170)/12*(1+V_dVol),0))</f>
        <v>0</v>
      </c>
      <c r="DU179" s="34" t="n">
        <f aca="false">IF(DU$8=1,N(Reales!DU14),IF(DU$171=1,INDEX(Vol_V,3,DU$170)/12*(1+V_dVol),0))</f>
        <v>0</v>
      </c>
      <c r="DV179" s="34" t="n">
        <f aca="false">IF(DV$8=1,N(Reales!DV14),IF(DV$171=1,INDEX(Vol_V,3,DV$170)/12*(1+V_dVol),0))</f>
        <v>0</v>
      </c>
      <c r="DW179" s="34" t="n">
        <f aca="false">IF(DW$8=1,N(Reales!DW14),IF(DW$171=1,INDEX(Vol_V,3,DW$170)/12*(1+V_dVol),0))</f>
        <v>0</v>
      </c>
      <c r="DX179" s="34" t="n">
        <f aca="false">IF(DX$8=1,N(Reales!DX14),IF(DX$171=1,INDEX(Vol_V,3,DX$170)/12*(1+V_dVol),0))</f>
        <v>0</v>
      </c>
      <c r="DY179" s="34" t="n">
        <f aca="false">IF(DY$8=1,N(Reales!DY14),IF(DY$171=1,INDEX(Vol_V,3,DY$170)/12*(1+V_dVol),0))</f>
        <v>0</v>
      </c>
      <c r="DZ179" s="34" t="n">
        <f aca="false">IF(DZ$8=1,N(Reales!DZ14),IF(DZ$171=1,INDEX(Vol_V,3,DZ$170)/12*(1+V_dVol),0))</f>
        <v>0</v>
      </c>
      <c r="EA179" s="34" t="n">
        <f aca="false">IF(EA$8=1,N(Reales!EA14),IF(EA$171=1,INDEX(Vol_V,3,EA$170)/12*(1+V_dVol),0))</f>
        <v>0</v>
      </c>
      <c r="EB179" s="34" t="n">
        <f aca="false">IF(EB$8=1,N(Reales!EB14),IF(EB$171=1,INDEX(Vol_V,3,EB$170)/12*(1+V_dVol),0))</f>
        <v>0</v>
      </c>
      <c r="EC179" s="34" t="n">
        <f aca="false">IF(EC$8=1,N(Reales!EC14),IF(EC$171=1,INDEX(Vol_V,3,EC$170)/12*(1+V_dVol),0))</f>
        <v>0</v>
      </c>
      <c r="ED179" s="34" t="n">
        <f aca="false">IF(ED$8=1,N(Reales!ED14),IF(ED$171=1,INDEX(Vol_V,3,ED$170)/12*(1+V_dVol),0))</f>
        <v>0</v>
      </c>
      <c r="EE179" s="34" t="n">
        <f aca="false">IF(EE$8=1,N(Reales!EE14),IF(EE$171=1,INDEX(Vol_V,3,EE$170)/12*(1+V_dVol),0))</f>
        <v>0</v>
      </c>
      <c r="EF179" s="34" t="n">
        <f aca="false">IF(EF$8=1,N(Reales!EF14),IF(EF$171=1,INDEX(Vol_V,3,EF$170)/12*(1+V_dVol),0))</f>
        <v>0</v>
      </c>
      <c r="EG179" s="34" t="n">
        <f aca="false">IF(EG$8=1,N(Reales!EG14),IF(EG$171=1,INDEX(Vol_V,3,EG$170)/12*(1+V_dVol),0))</f>
        <v>0</v>
      </c>
      <c r="EH179" s="34" t="n">
        <f aca="false">IF(EH$8=1,N(Reales!EH14),IF(EH$171=1,INDEX(Vol_V,3,EH$170)/12*(1+V_dVol),0))</f>
        <v>0</v>
      </c>
      <c r="EI179" s="34" t="n">
        <f aca="false">IF(EI$8=1,N(Reales!EI14),IF(EI$171=1,INDEX(Vol_V,3,EI$170)/12*(1+V_dVol),0))</f>
        <v>0</v>
      </c>
      <c r="EJ179" s="34" t="n">
        <f aca="false">IF(EJ$8=1,N(Reales!EJ14),IF(EJ$171=1,INDEX(Vol_V,3,EJ$170)/12*(1+V_dVol),0))</f>
        <v>0</v>
      </c>
      <c r="EK179" s="34" t="n">
        <f aca="false">IF(EK$8=1,N(Reales!EK14),IF(EK$171=1,INDEX(Vol_V,3,EK$170)/12*(1+V_dVol),0))</f>
        <v>0</v>
      </c>
      <c r="EL179" s="34" t="n">
        <f aca="false">IF(EL$8=1,N(Reales!EL14),IF(EL$171=1,INDEX(Vol_V,3,EL$170)/12*(1+V_dVol),0))</f>
        <v>0</v>
      </c>
      <c r="EM179" s="34" t="n">
        <f aca="false">IF(EM$8=1,N(Reales!EM14),IF(EM$171=1,INDEX(Vol_V,3,EM$170)/12*(1+V_dVol),0))</f>
        <v>0</v>
      </c>
      <c r="EN179" s="34" t="n">
        <f aca="false">IF(EN$8=1,N(Reales!EN14),IF(EN$171=1,INDEX(Vol_V,3,EN$170)/12*(1+V_dVol),0))</f>
        <v>0</v>
      </c>
      <c r="EO179" s="34" t="n">
        <f aca="false">IF(EO$8=1,N(Reales!EO14),IF(EO$171=1,INDEX(Vol_V,3,EO$170)/12*(1+V_dVol),0))</f>
        <v>0</v>
      </c>
      <c r="EP179" s="34" t="n">
        <f aca="false">IF(EP$8=1,N(Reales!EP14),IF(EP$171=1,INDEX(Vol_V,3,EP$170)/12*(1+V_dVol),0))</f>
        <v>0</v>
      </c>
      <c r="EQ179" s="34" t="n">
        <f aca="false">IF(EQ$8=1,N(Reales!EQ14),IF(EQ$171=1,INDEX(Vol_V,3,EQ$170)/12*(1+V_dVol),0))</f>
        <v>0</v>
      </c>
      <c r="ER179" s="34" t="n">
        <f aca="false">IF(ER$8=1,N(Reales!ER14),IF(ER$171=1,INDEX(Vol_V,3,ER$170)/12*(1+V_dVol),0))</f>
        <v>0</v>
      </c>
      <c r="ES179" s="34" t="n">
        <f aca="false">IF(ES$8=1,N(Reales!ES14),IF(ES$171=1,INDEX(Vol_V,3,ES$170)/12*(1+V_dVol),0))</f>
        <v>0</v>
      </c>
    </row>
    <row r="180" customFormat="false" ht="15" hidden="false" customHeight="false" outlineLevel="0" collapsed="false">
      <c r="A180" s="2" t="s">
        <v>822</v>
      </c>
      <c r="B180" s="39" t="str">
        <f aca="false">IF(INDEX(Prod_Nombre,4)="","Producto 4",INDEX(Prod_Nombre,4))&amp;" — unidades"</f>
        <v>Producto 4 — unidades</v>
      </c>
      <c r="C180" s="6" t="s">
        <v>286</v>
      </c>
      <c r="E180" s="40" t="n">
        <f aca="false">SUM(F180:ES180)</f>
        <v>0</v>
      </c>
      <c r="F180" s="34" t="n">
        <f aca="false">IF(F$8=1,N(Reales!F15),IF(F$171=1,INDEX(Vol_V,4,F$170)/12*(1+V_dVol),0))</f>
        <v>0</v>
      </c>
      <c r="G180" s="34" t="n">
        <f aca="false">IF(G$8=1,N(Reales!G15),IF(G$171=1,INDEX(Vol_V,4,G$170)/12*(1+V_dVol),0))</f>
        <v>0</v>
      </c>
      <c r="H180" s="34" t="n">
        <f aca="false">IF(H$8=1,N(Reales!H15),IF(H$171=1,INDEX(Vol_V,4,H$170)/12*(1+V_dVol),0))</f>
        <v>0</v>
      </c>
      <c r="I180" s="34" t="n">
        <f aca="false">IF(I$8=1,N(Reales!I15),IF(I$171=1,INDEX(Vol_V,4,I$170)/12*(1+V_dVol),0))</f>
        <v>0</v>
      </c>
      <c r="J180" s="34" t="n">
        <f aca="false">IF(J$8=1,N(Reales!J15),IF(J$171=1,INDEX(Vol_V,4,J$170)/12*(1+V_dVol),0))</f>
        <v>0</v>
      </c>
      <c r="K180" s="34" t="n">
        <f aca="false">IF(K$8=1,N(Reales!K15),IF(K$171=1,INDEX(Vol_V,4,K$170)/12*(1+V_dVol),0))</f>
        <v>0</v>
      </c>
      <c r="L180" s="34" t="n">
        <f aca="false">IF(L$8=1,N(Reales!L15),IF(L$171=1,INDEX(Vol_V,4,L$170)/12*(1+V_dVol),0))</f>
        <v>0</v>
      </c>
      <c r="M180" s="34" t="n">
        <f aca="false">IF(M$8=1,N(Reales!M15),IF(M$171=1,INDEX(Vol_V,4,M$170)/12*(1+V_dVol),0))</f>
        <v>0</v>
      </c>
      <c r="N180" s="34" t="n">
        <f aca="false">IF(N$8=1,N(Reales!N15),IF(N$171=1,INDEX(Vol_V,4,N$170)/12*(1+V_dVol),0))</f>
        <v>0</v>
      </c>
      <c r="O180" s="34" t="n">
        <f aca="false">IF(O$8=1,N(Reales!O15),IF(O$171=1,INDEX(Vol_V,4,O$170)/12*(1+V_dVol),0))</f>
        <v>0</v>
      </c>
      <c r="P180" s="34" t="n">
        <f aca="false">IF(P$8=1,N(Reales!P15),IF(P$171=1,INDEX(Vol_V,4,P$170)/12*(1+V_dVol),0))</f>
        <v>0</v>
      </c>
      <c r="Q180" s="34" t="n">
        <f aca="false">IF(Q$8=1,N(Reales!Q15),IF(Q$171=1,INDEX(Vol_V,4,Q$170)/12*(1+V_dVol),0))</f>
        <v>0</v>
      </c>
      <c r="R180" s="34" t="n">
        <f aca="false">IF(R$8=1,N(Reales!R15),IF(R$171=1,INDEX(Vol_V,4,R$170)/12*(1+V_dVol),0))</f>
        <v>0</v>
      </c>
      <c r="S180" s="34" t="n">
        <f aca="false">IF(S$8=1,N(Reales!S15),IF(S$171=1,INDEX(Vol_V,4,S$170)/12*(1+V_dVol),0))</f>
        <v>0</v>
      </c>
      <c r="T180" s="34" t="n">
        <f aca="false">IF(T$8=1,N(Reales!T15),IF(T$171=1,INDEX(Vol_V,4,T$170)/12*(1+V_dVol),0))</f>
        <v>0</v>
      </c>
      <c r="U180" s="34" t="n">
        <f aca="false">IF(U$8=1,N(Reales!U15),IF(U$171=1,INDEX(Vol_V,4,U$170)/12*(1+V_dVol),0))</f>
        <v>0</v>
      </c>
      <c r="V180" s="34" t="n">
        <f aca="false">IF(V$8=1,N(Reales!V15),IF(V$171=1,INDEX(Vol_V,4,V$170)/12*(1+V_dVol),0))</f>
        <v>0</v>
      </c>
      <c r="W180" s="34" t="n">
        <f aca="false">IF(W$8=1,N(Reales!W15),IF(W$171=1,INDEX(Vol_V,4,W$170)/12*(1+V_dVol),0))</f>
        <v>0</v>
      </c>
      <c r="X180" s="34" t="n">
        <f aca="false">IF(X$8=1,N(Reales!X15),IF(X$171=1,INDEX(Vol_V,4,X$170)/12*(1+V_dVol),0))</f>
        <v>0</v>
      </c>
      <c r="Y180" s="34" t="n">
        <f aca="false">IF(Y$8=1,N(Reales!Y15),IF(Y$171=1,INDEX(Vol_V,4,Y$170)/12*(1+V_dVol),0))</f>
        <v>0</v>
      </c>
      <c r="Z180" s="34" t="n">
        <f aca="false">IF(Z$8=1,N(Reales!Z15),IF(Z$171=1,INDEX(Vol_V,4,Z$170)/12*(1+V_dVol),0))</f>
        <v>0</v>
      </c>
      <c r="AA180" s="34" t="n">
        <f aca="false">IF(AA$8=1,N(Reales!AA15),IF(AA$171=1,INDEX(Vol_V,4,AA$170)/12*(1+V_dVol),0))</f>
        <v>0</v>
      </c>
      <c r="AB180" s="34" t="n">
        <f aca="false">IF(AB$8=1,N(Reales!AB15),IF(AB$171=1,INDEX(Vol_V,4,AB$170)/12*(1+V_dVol),0))</f>
        <v>0</v>
      </c>
      <c r="AC180" s="34" t="n">
        <f aca="false">IF(AC$8=1,N(Reales!AC15),IF(AC$171=1,INDEX(Vol_V,4,AC$170)/12*(1+V_dVol),0))</f>
        <v>0</v>
      </c>
      <c r="AD180" s="34" t="n">
        <f aca="false">IF(AD$8=1,N(Reales!AD15),IF(AD$171=1,INDEX(Vol_V,4,AD$170)/12*(1+V_dVol),0))</f>
        <v>0</v>
      </c>
      <c r="AE180" s="34" t="n">
        <f aca="false">IF(AE$8=1,N(Reales!AE15),IF(AE$171=1,INDEX(Vol_V,4,AE$170)/12*(1+V_dVol),0))</f>
        <v>0</v>
      </c>
      <c r="AF180" s="34" t="n">
        <f aca="false">IF(AF$8=1,N(Reales!AF15),IF(AF$171=1,INDEX(Vol_V,4,AF$170)/12*(1+V_dVol),0))</f>
        <v>0</v>
      </c>
      <c r="AG180" s="34" t="n">
        <f aca="false">IF(AG$8=1,N(Reales!AG15),IF(AG$171=1,INDEX(Vol_V,4,AG$170)/12*(1+V_dVol),0))</f>
        <v>0</v>
      </c>
      <c r="AH180" s="34" t="n">
        <f aca="false">IF(AH$8=1,N(Reales!AH15),IF(AH$171=1,INDEX(Vol_V,4,AH$170)/12*(1+V_dVol),0))</f>
        <v>0</v>
      </c>
      <c r="AI180" s="34" t="n">
        <f aca="false">IF(AI$8=1,N(Reales!AI15),IF(AI$171=1,INDEX(Vol_V,4,AI$170)/12*(1+V_dVol),0))</f>
        <v>0</v>
      </c>
      <c r="AJ180" s="34" t="n">
        <f aca="false">IF(AJ$8=1,N(Reales!AJ15),IF(AJ$171=1,INDEX(Vol_V,4,AJ$170)/12*(1+V_dVol),0))</f>
        <v>0</v>
      </c>
      <c r="AK180" s="34" t="n">
        <f aca="false">IF(AK$8=1,N(Reales!AK15),IF(AK$171=1,INDEX(Vol_V,4,AK$170)/12*(1+V_dVol),0))</f>
        <v>0</v>
      </c>
      <c r="AL180" s="34" t="n">
        <f aca="false">IF(AL$8=1,N(Reales!AL15),IF(AL$171=1,INDEX(Vol_V,4,AL$170)/12*(1+V_dVol),0))</f>
        <v>0</v>
      </c>
      <c r="AM180" s="34" t="n">
        <f aca="false">IF(AM$8=1,N(Reales!AM15),IF(AM$171=1,INDEX(Vol_V,4,AM$170)/12*(1+V_dVol),0))</f>
        <v>0</v>
      </c>
      <c r="AN180" s="34" t="n">
        <f aca="false">IF(AN$8=1,N(Reales!AN15),IF(AN$171=1,INDEX(Vol_V,4,AN$170)/12*(1+V_dVol),0))</f>
        <v>0</v>
      </c>
      <c r="AO180" s="34" t="n">
        <f aca="false">IF(AO$8=1,N(Reales!AO15),IF(AO$171=1,INDEX(Vol_V,4,AO$170)/12*(1+V_dVol),0))</f>
        <v>0</v>
      </c>
      <c r="AP180" s="34" t="n">
        <f aca="false">IF(AP$8=1,N(Reales!AP15),IF(AP$171=1,INDEX(Vol_V,4,AP$170)/12*(1+V_dVol),0))</f>
        <v>0</v>
      </c>
      <c r="AQ180" s="34" t="n">
        <f aca="false">IF(AQ$8=1,N(Reales!AQ15),IF(AQ$171=1,INDEX(Vol_V,4,AQ$170)/12*(1+V_dVol),0))</f>
        <v>0</v>
      </c>
      <c r="AR180" s="34" t="n">
        <f aca="false">IF(AR$8=1,N(Reales!AR15),IF(AR$171=1,INDEX(Vol_V,4,AR$170)/12*(1+V_dVol),0))</f>
        <v>0</v>
      </c>
      <c r="AS180" s="34" t="n">
        <f aca="false">IF(AS$8=1,N(Reales!AS15),IF(AS$171=1,INDEX(Vol_V,4,AS$170)/12*(1+V_dVol),0))</f>
        <v>0</v>
      </c>
      <c r="AT180" s="34" t="n">
        <f aca="false">IF(AT$8=1,N(Reales!AT15),IF(AT$171=1,INDEX(Vol_V,4,AT$170)/12*(1+V_dVol),0))</f>
        <v>0</v>
      </c>
      <c r="AU180" s="34" t="n">
        <f aca="false">IF(AU$8=1,N(Reales!AU15),IF(AU$171=1,INDEX(Vol_V,4,AU$170)/12*(1+V_dVol),0))</f>
        <v>0</v>
      </c>
      <c r="AV180" s="34" t="n">
        <f aca="false">IF(AV$8=1,N(Reales!AV15),IF(AV$171=1,INDEX(Vol_V,4,AV$170)/12*(1+V_dVol),0))</f>
        <v>0</v>
      </c>
      <c r="AW180" s="34" t="n">
        <f aca="false">IF(AW$8=1,N(Reales!AW15),IF(AW$171=1,INDEX(Vol_V,4,AW$170)/12*(1+V_dVol),0))</f>
        <v>0</v>
      </c>
      <c r="AX180" s="34" t="n">
        <f aca="false">IF(AX$8=1,N(Reales!AX15),IF(AX$171=1,INDEX(Vol_V,4,AX$170)/12*(1+V_dVol),0))</f>
        <v>0</v>
      </c>
      <c r="AY180" s="34" t="n">
        <f aca="false">IF(AY$8=1,N(Reales!AY15),IF(AY$171=1,INDEX(Vol_V,4,AY$170)/12*(1+V_dVol),0))</f>
        <v>0</v>
      </c>
      <c r="AZ180" s="34" t="n">
        <f aca="false">IF(AZ$8=1,N(Reales!AZ15),IF(AZ$171=1,INDEX(Vol_V,4,AZ$170)/12*(1+V_dVol),0))</f>
        <v>0</v>
      </c>
      <c r="BA180" s="34" t="n">
        <f aca="false">IF(BA$8=1,N(Reales!BA15),IF(BA$171=1,INDEX(Vol_V,4,BA$170)/12*(1+V_dVol),0))</f>
        <v>0</v>
      </c>
      <c r="BB180" s="34" t="n">
        <f aca="false">IF(BB$8=1,N(Reales!BB15),IF(BB$171=1,INDEX(Vol_V,4,BB$170)/12*(1+V_dVol),0))</f>
        <v>0</v>
      </c>
      <c r="BC180" s="34" t="n">
        <f aca="false">IF(BC$8=1,N(Reales!BC15),IF(BC$171=1,INDEX(Vol_V,4,BC$170)/12*(1+V_dVol),0))</f>
        <v>0</v>
      </c>
      <c r="BD180" s="34" t="n">
        <f aca="false">IF(BD$8=1,N(Reales!BD15),IF(BD$171=1,INDEX(Vol_V,4,BD$170)/12*(1+V_dVol),0))</f>
        <v>0</v>
      </c>
      <c r="BE180" s="34" t="n">
        <f aca="false">IF(BE$8=1,N(Reales!BE15),IF(BE$171=1,INDEX(Vol_V,4,BE$170)/12*(1+V_dVol),0))</f>
        <v>0</v>
      </c>
      <c r="BF180" s="34" t="n">
        <f aca="false">IF(BF$8=1,N(Reales!BF15),IF(BF$171=1,INDEX(Vol_V,4,BF$170)/12*(1+V_dVol),0))</f>
        <v>0</v>
      </c>
      <c r="BG180" s="34" t="n">
        <f aca="false">IF(BG$8=1,N(Reales!BG15),IF(BG$171=1,INDEX(Vol_V,4,BG$170)/12*(1+V_dVol),0))</f>
        <v>0</v>
      </c>
      <c r="BH180" s="34" t="n">
        <f aca="false">IF(BH$8=1,N(Reales!BH15),IF(BH$171=1,INDEX(Vol_V,4,BH$170)/12*(1+V_dVol),0))</f>
        <v>0</v>
      </c>
      <c r="BI180" s="34" t="n">
        <f aca="false">IF(BI$8=1,N(Reales!BI15),IF(BI$171=1,INDEX(Vol_V,4,BI$170)/12*(1+V_dVol),0))</f>
        <v>0</v>
      </c>
      <c r="BJ180" s="34" t="n">
        <f aca="false">IF(BJ$8=1,N(Reales!BJ15),IF(BJ$171=1,INDEX(Vol_V,4,BJ$170)/12*(1+V_dVol),0))</f>
        <v>0</v>
      </c>
      <c r="BK180" s="34" t="n">
        <f aca="false">IF(BK$8=1,N(Reales!BK15),IF(BK$171=1,INDEX(Vol_V,4,BK$170)/12*(1+V_dVol),0))</f>
        <v>0</v>
      </c>
      <c r="BL180" s="34" t="n">
        <f aca="false">IF(BL$8=1,N(Reales!BL15),IF(BL$171=1,INDEX(Vol_V,4,BL$170)/12*(1+V_dVol),0))</f>
        <v>0</v>
      </c>
      <c r="BM180" s="34" t="n">
        <f aca="false">IF(BM$8=1,N(Reales!BM15),IF(BM$171=1,INDEX(Vol_V,4,BM$170)/12*(1+V_dVol),0))</f>
        <v>0</v>
      </c>
      <c r="BN180" s="34" t="n">
        <f aca="false">IF(BN$8=1,N(Reales!BN15),IF(BN$171=1,INDEX(Vol_V,4,BN$170)/12*(1+V_dVol),0))</f>
        <v>0</v>
      </c>
      <c r="BO180" s="34" t="n">
        <f aca="false">IF(BO$8=1,N(Reales!BO15),IF(BO$171=1,INDEX(Vol_V,4,BO$170)/12*(1+V_dVol),0))</f>
        <v>0</v>
      </c>
      <c r="BP180" s="34" t="n">
        <f aca="false">IF(BP$8=1,N(Reales!BP15),IF(BP$171=1,INDEX(Vol_V,4,BP$170)/12*(1+V_dVol),0))</f>
        <v>0</v>
      </c>
      <c r="BQ180" s="34" t="n">
        <f aca="false">IF(BQ$8=1,N(Reales!BQ15),IF(BQ$171=1,INDEX(Vol_V,4,BQ$170)/12*(1+V_dVol),0))</f>
        <v>0</v>
      </c>
      <c r="BR180" s="34" t="n">
        <f aca="false">IF(BR$8=1,N(Reales!BR15),IF(BR$171=1,INDEX(Vol_V,4,BR$170)/12*(1+V_dVol),0))</f>
        <v>0</v>
      </c>
      <c r="BS180" s="34" t="n">
        <f aca="false">IF(BS$8=1,N(Reales!BS15),IF(BS$171=1,INDEX(Vol_V,4,BS$170)/12*(1+V_dVol),0))</f>
        <v>0</v>
      </c>
      <c r="BT180" s="34" t="n">
        <f aca="false">IF(BT$8=1,N(Reales!BT15),IF(BT$171=1,INDEX(Vol_V,4,BT$170)/12*(1+V_dVol),0))</f>
        <v>0</v>
      </c>
      <c r="BU180" s="34" t="n">
        <f aca="false">IF(BU$8=1,N(Reales!BU15),IF(BU$171=1,INDEX(Vol_V,4,BU$170)/12*(1+V_dVol),0))</f>
        <v>0</v>
      </c>
      <c r="BV180" s="34" t="n">
        <f aca="false">IF(BV$8=1,N(Reales!BV15),IF(BV$171=1,INDEX(Vol_V,4,BV$170)/12*(1+V_dVol),0))</f>
        <v>0</v>
      </c>
      <c r="BW180" s="34" t="n">
        <f aca="false">IF(BW$8=1,N(Reales!BW15),IF(BW$171=1,INDEX(Vol_V,4,BW$170)/12*(1+V_dVol),0))</f>
        <v>0</v>
      </c>
      <c r="BX180" s="34" t="n">
        <f aca="false">IF(BX$8=1,N(Reales!BX15),IF(BX$171=1,INDEX(Vol_V,4,BX$170)/12*(1+V_dVol),0))</f>
        <v>0</v>
      </c>
      <c r="BY180" s="34" t="n">
        <f aca="false">IF(BY$8=1,N(Reales!BY15),IF(BY$171=1,INDEX(Vol_V,4,BY$170)/12*(1+V_dVol),0))</f>
        <v>0</v>
      </c>
      <c r="BZ180" s="34" t="n">
        <f aca="false">IF(BZ$8=1,N(Reales!BZ15),IF(BZ$171=1,INDEX(Vol_V,4,BZ$170)/12*(1+V_dVol),0))</f>
        <v>0</v>
      </c>
      <c r="CA180" s="34" t="n">
        <f aca="false">IF(CA$8=1,N(Reales!CA15),IF(CA$171=1,INDEX(Vol_V,4,CA$170)/12*(1+V_dVol),0))</f>
        <v>0</v>
      </c>
      <c r="CB180" s="34" t="n">
        <f aca="false">IF(CB$8=1,N(Reales!CB15),IF(CB$171=1,INDEX(Vol_V,4,CB$170)/12*(1+V_dVol),0))</f>
        <v>0</v>
      </c>
      <c r="CC180" s="34" t="n">
        <f aca="false">IF(CC$8=1,N(Reales!CC15),IF(CC$171=1,INDEX(Vol_V,4,CC$170)/12*(1+V_dVol),0))</f>
        <v>0</v>
      </c>
      <c r="CD180" s="34" t="n">
        <f aca="false">IF(CD$8=1,N(Reales!CD15),IF(CD$171=1,INDEX(Vol_V,4,CD$170)/12*(1+V_dVol),0))</f>
        <v>0</v>
      </c>
      <c r="CE180" s="34" t="n">
        <f aca="false">IF(CE$8=1,N(Reales!CE15),IF(CE$171=1,INDEX(Vol_V,4,CE$170)/12*(1+V_dVol),0))</f>
        <v>0</v>
      </c>
      <c r="CF180" s="34" t="n">
        <f aca="false">IF(CF$8=1,N(Reales!CF15),IF(CF$171=1,INDEX(Vol_V,4,CF$170)/12*(1+V_dVol),0))</f>
        <v>0</v>
      </c>
      <c r="CG180" s="34" t="n">
        <f aca="false">IF(CG$8=1,N(Reales!CG15),IF(CG$171=1,INDEX(Vol_V,4,CG$170)/12*(1+V_dVol),0))</f>
        <v>0</v>
      </c>
      <c r="CH180" s="34" t="n">
        <f aca="false">IF(CH$8=1,N(Reales!CH15),IF(CH$171=1,INDEX(Vol_V,4,CH$170)/12*(1+V_dVol),0))</f>
        <v>0</v>
      </c>
      <c r="CI180" s="34" t="n">
        <f aca="false">IF(CI$8=1,N(Reales!CI15),IF(CI$171=1,INDEX(Vol_V,4,CI$170)/12*(1+V_dVol),0))</f>
        <v>0</v>
      </c>
      <c r="CJ180" s="34" t="n">
        <f aca="false">IF(CJ$8=1,N(Reales!CJ15),IF(CJ$171=1,INDEX(Vol_V,4,CJ$170)/12*(1+V_dVol),0))</f>
        <v>0</v>
      </c>
      <c r="CK180" s="34" t="n">
        <f aca="false">IF(CK$8=1,N(Reales!CK15),IF(CK$171=1,INDEX(Vol_V,4,CK$170)/12*(1+V_dVol),0))</f>
        <v>0</v>
      </c>
      <c r="CL180" s="34" t="n">
        <f aca="false">IF(CL$8=1,N(Reales!CL15),IF(CL$171=1,INDEX(Vol_V,4,CL$170)/12*(1+V_dVol),0))</f>
        <v>0</v>
      </c>
      <c r="CM180" s="34" t="n">
        <f aca="false">IF(CM$8=1,N(Reales!CM15),IF(CM$171=1,INDEX(Vol_V,4,CM$170)/12*(1+V_dVol),0))</f>
        <v>0</v>
      </c>
      <c r="CN180" s="34" t="n">
        <f aca="false">IF(CN$8=1,N(Reales!CN15),IF(CN$171=1,INDEX(Vol_V,4,CN$170)/12*(1+V_dVol),0))</f>
        <v>0</v>
      </c>
      <c r="CO180" s="34" t="n">
        <f aca="false">IF(CO$8=1,N(Reales!CO15),IF(CO$171=1,INDEX(Vol_V,4,CO$170)/12*(1+V_dVol),0))</f>
        <v>0</v>
      </c>
      <c r="CP180" s="34" t="n">
        <f aca="false">IF(CP$8=1,N(Reales!CP15),IF(CP$171=1,INDEX(Vol_V,4,CP$170)/12*(1+V_dVol),0))</f>
        <v>0</v>
      </c>
      <c r="CQ180" s="34" t="n">
        <f aca="false">IF(CQ$8=1,N(Reales!CQ15),IF(CQ$171=1,INDEX(Vol_V,4,CQ$170)/12*(1+V_dVol),0))</f>
        <v>0</v>
      </c>
      <c r="CR180" s="34" t="n">
        <f aca="false">IF(CR$8=1,N(Reales!CR15),IF(CR$171=1,INDEX(Vol_V,4,CR$170)/12*(1+V_dVol),0))</f>
        <v>0</v>
      </c>
      <c r="CS180" s="34" t="n">
        <f aca="false">IF(CS$8=1,N(Reales!CS15),IF(CS$171=1,INDEX(Vol_V,4,CS$170)/12*(1+V_dVol),0))</f>
        <v>0</v>
      </c>
      <c r="CT180" s="34" t="n">
        <f aca="false">IF(CT$8=1,N(Reales!CT15),IF(CT$171=1,INDEX(Vol_V,4,CT$170)/12*(1+V_dVol),0))</f>
        <v>0</v>
      </c>
      <c r="CU180" s="34" t="n">
        <f aca="false">IF(CU$8=1,N(Reales!CU15),IF(CU$171=1,INDEX(Vol_V,4,CU$170)/12*(1+V_dVol),0))</f>
        <v>0</v>
      </c>
      <c r="CV180" s="34" t="n">
        <f aca="false">IF(CV$8=1,N(Reales!CV15),IF(CV$171=1,INDEX(Vol_V,4,CV$170)/12*(1+V_dVol),0))</f>
        <v>0</v>
      </c>
      <c r="CW180" s="34" t="n">
        <f aca="false">IF(CW$8=1,N(Reales!CW15),IF(CW$171=1,INDEX(Vol_V,4,CW$170)/12*(1+V_dVol),0))</f>
        <v>0</v>
      </c>
      <c r="CX180" s="34" t="n">
        <f aca="false">IF(CX$8=1,N(Reales!CX15),IF(CX$171=1,INDEX(Vol_V,4,CX$170)/12*(1+V_dVol),0))</f>
        <v>0</v>
      </c>
      <c r="CY180" s="34" t="n">
        <f aca="false">IF(CY$8=1,N(Reales!CY15),IF(CY$171=1,INDEX(Vol_V,4,CY$170)/12*(1+V_dVol),0))</f>
        <v>0</v>
      </c>
      <c r="CZ180" s="34" t="n">
        <f aca="false">IF(CZ$8=1,N(Reales!CZ15),IF(CZ$171=1,INDEX(Vol_V,4,CZ$170)/12*(1+V_dVol),0))</f>
        <v>0</v>
      </c>
      <c r="DA180" s="34" t="n">
        <f aca="false">IF(DA$8=1,N(Reales!DA15),IF(DA$171=1,INDEX(Vol_V,4,DA$170)/12*(1+V_dVol),0))</f>
        <v>0</v>
      </c>
      <c r="DB180" s="34" t="n">
        <f aca="false">IF(DB$8=1,N(Reales!DB15),IF(DB$171=1,INDEX(Vol_V,4,DB$170)/12*(1+V_dVol),0))</f>
        <v>0</v>
      </c>
      <c r="DC180" s="34" t="n">
        <f aca="false">IF(DC$8=1,N(Reales!DC15),IF(DC$171=1,INDEX(Vol_V,4,DC$170)/12*(1+V_dVol),0))</f>
        <v>0</v>
      </c>
      <c r="DD180" s="34" t="n">
        <f aca="false">IF(DD$8=1,N(Reales!DD15),IF(DD$171=1,INDEX(Vol_V,4,DD$170)/12*(1+V_dVol),0))</f>
        <v>0</v>
      </c>
      <c r="DE180" s="34" t="n">
        <f aca="false">IF(DE$8=1,N(Reales!DE15),IF(DE$171=1,INDEX(Vol_V,4,DE$170)/12*(1+V_dVol),0))</f>
        <v>0</v>
      </c>
      <c r="DF180" s="34" t="n">
        <f aca="false">IF(DF$8=1,N(Reales!DF15),IF(DF$171=1,INDEX(Vol_V,4,DF$170)/12*(1+V_dVol),0))</f>
        <v>0</v>
      </c>
      <c r="DG180" s="34" t="n">
        <f aca="false">IF(DG$8=1,N(Reales!DG15),IF(DG$171=1,INDEX(Vol_V,4,DG$170)/12*(1+V_dVol),0))</f>
        <v>0</v>
      </c>
      <c r="DH180" s="34" t="n">
        <f aca="false">IF(DH$8=1,N(Reales!DH15),IF(DH$171=1,INDEX(Vol_V,4,DH$170)/12*(1+V_dVol),0))</f>
        <v>0</v>
      </c>
      <c r="DI180" s="34" t="n">
        <f aca="false">IF(DI$8=1,N(Reales!DI15),IF(DI$171=1,INDEX(Vol_V,4,DI$170)/12*(1+V_dVol),0))</f>
        <v>0</v>
      </c>
      <c r="DJ180" s="34" t="n">
        <f aca="false">IF(DJ$8=1,N(Reales!DJ15),IF(DJ$171=1,INDEX(Vol_V,4,DJ$170)/12*(1+V_dVol),0))</f>
        <v>0</v>
      </c>
      <c r="DK180" s="34" t="n">
        <f aca="false">IF(DK$8=1,N(Reales!DK15),IF(DK$171=1,INDEX(Vol_V,4,DK$170)/12*(1+V_dVol),0))</f>
        <v>0</v>
      </c>
      <c r="DL180" s="34" t="n">
        <f aca="false">IF(DL$8=1,N(Reales!DL15),IF(DL$171=1,INDEX(Vol_V,4,DL$170)/12*(1+V_dVol),0))</f>
        <v>0</v>
      </c>
      <c r="DM180" s="34" t="n">
        <f aca="false">IF(DM$8=1,N(Reales!DM15),IF(DM$171=1,INDEX(Vol_V,4,DM$170)/12*(1+V_dVol),0))</f>
        <v>0</v>
      </c>
      <c r="DN180" s="34" t="n">
        <f aca="false">IF(DN$8=1,N(Reales!DN15),IF(DN$171=1,INDEX(Vol_V,4,DN$170)/12*(1+V_dVol),0))</f>
        <v>0</v>
      </c>
      <c r="DO180" s="34" t="n">
        <f aca="false">IF(DO$8=1,N(Reales!DO15),IF(DO$171=1,INDEX(Vol_V,4,DO$170)/12*(1+V_dVol),0))</f>
        <v>0</v>
      </c>
      <c r="DP180" s="34" t="n">
        <f aca="false">IF(DP$8=1,N(Reales!DP15),IF(DP$171=1,INDEX(Vol_V,4,DP$170)/12*(1+V_dVol),0))</f>
        <v>0</v>
      </c>
      <c r="DQ180" s="34" t="n">
        <f aca="false">IF(DQ$8=1,N(Reales!DQ15),IF(DQ$171=1,INDEX(Vol_V,4,DQ$170)/12*(1+V_dVol),0))</f>
        <v>0</v>
      </c>
      <c r="DR180" s="34" t="n">
        <f aca="false">IF(DR$8=1,N(Reales!DR15),IF(DR$171=1,INDEX(Vol_V,4,DR$170)/12*(1+V_dVol),0))</f>
        <v>0</v>
      </c>
      <c r="DS180" s="34" t="n">
        <f aca="false">IF(DS$8=1,N(Reales!DS15),IF(DS$171=1,INDEX(Vol_V,4,DS$170)/12*(1+V_dVol),0))</f>
        <v>0</v>
      </c>
      <c r="DT180" s="34" t="n">
        <f aca="false">IF(DT$8=1,N(Reales!DT15),IF(DT$171=1,INDEX(Vol_V,4,DT$170)/12*(1+V_dVol),0))</f>
        <v>0</v>
      </c>
      <c r="DU180" s="34" t="n">
        <f aca="false">IF(DU$8=1,N(Reales!DU15),IF(DU$171=1,INDEX(Vol_V,4,DU$170)/12*(1+V_dVol),0))</f>
        <v>0</v>
      </c>
      <c r="DV180" s="34" t="n">
        <f aca="false">IF(DV$8=1,N(Reales!DV15),IF(DV$171=1,INDEX(Vol_V,4,DV$170)/12*(1+V_dVol),0))</f>
        <v>0</v>
      </c>
      <c r="DW180" s="34" t="n">
        <f aca="false">IF(DW$8=1,N(Reales!DW15),IF(DW$171=1,INDEX(Vol_V,4,DW$170)/12*(1+V_dVol),0))</f>
        <v>0</v>
      </c>
      <c r="DX180" s="34" t="n">
        <f aca="false">IF(DX$8=1,N(Reales!DX15),IF(DX$171=1,INDEX(Vol_V,4,DX$170)/12*(1+V_dVol),0))</f>
        <v>0</v>
      </c>
      <c r="DY180" s="34" t="n">
        <f aca="false">IF(DY$8=1,N(Reales!DY15),IF(DY$171=1,INDEX(Vol_V,4,DY$170)/12*(1+V_dVol),0))</f>
        <v>0</v>
      </c>
      <c r="DZ180" s="34" t="n">
        <f aca="false">IF(DZ$8=1,N(Reales!DZ15),IF(DZ$171=1,INDEX(Vol_V,4,DZ$170)/12*(1+V_dVol),0))</f>
        <v>0</v>
      </c>
      <c r="EA180" s="34" t="n">
        <f aca="false">IF(EA$8=1,N(Reales!EA15),IF(EA$171=1,INDEX(Vol_V,4,EA$170)/12*(1+V_dVol),0))</f>
        <v>0</v>
      </c>
      <c r="EB180" s="34" t="n">
        <f aca="false">IF(EB$8=1,N(Reales!EB15),IF(EB$171=1,INDEX(Vol_V,4,EB$170)/12*(1+V_dVol),0))</f>
        <v>0</v>
      </c>
      <c r="EC180" s="34" t="n">
        <f aca="false">IF(EC$8=1,N(Reales!EC15),IF(EC$171=1,INDEX(Vol_V,4,EC$170)/12*(1+V_dVol),0))</f>
        <v>0</v>
      </c>
      <c r="ED180" s="34" t="n">
        <f aca="false">IF(ED$8=1,N(Reales!ED15),IF(ED$171=1,INDEX(Vol_V,4,ED$170)/12*(1+V_dVol),0))</f>
        <v>0</v>
      </c>
      <c r="EE180" s="34" t="n">
        <f aca="false">IF(EE$8=1,N(Reales!EE15),IF(EE$171=1,INDEX(Vol_V,4,EE$170)/12*(1+V_dVol),0))</f>
        <v>0</v>
      </c>
      <c r="EF180" s="34" t="n">
        <f aca="false">IF(EF$8=1,N(Reales!EF15),IF(EF$171=1,INDEX(Vol_V,4,EF$170)/12*(1+V_dVol),0))</f>
        <v>0</v>
      </c>
      <c r="EG180" s="34" t="n">
        <f aca="false">IF(EG$8=1,N(Reales!EG15),IF(EG$171=1,INDEX(Vol_V,4,EG$170)/12*(1+V_dVol),0))</f>
        <v>0</v>
      </c>
      <c r="EH180" s="34" t="n">
        <f aca="false">IF(EH$8=1,N(Reales!EH15),IF(EH$171=1,INDEX(Vol_V,4,EH$170)/12*(1+V_dVol),0))</f>
        <v>0</v>
      </c>
      <c r="EI180" s="34" t="n">
        <f aca="false">IF(EI$8=1,N(Reales!EI15),IF(EI$171=1,INDEX(Vol_V,4,EI$170)/12*(1+V_dVol),0))</f>
        <v>0</v>
      </c>
      <c r="EJ180" s="34" t="n">
        <f aca="false">IF(EJ$8=1,N(Reales!EJ15),IF(EJ$171=1,INDEX(Vol_V,4,EJ$170)/12*(1+V_dVol),0))</f>
        <v>0</v>
      </c>
      <c r="EK180" s="34" t="n">
        <f aca="false">IF(EK$8=1,N(Reales!EK15),IF(EK$171=1,INDEX(Vol_V,4,EK$170)/12*(1+V_dVol),0))</f>
        <v>0</v>
      </c>
      <c r="EL180" s="34" t="n">
        <f aca="false">IF(EL$8=1,N(Reales!EL15),IF(EL$171=1,INDEX(Vol_V,4,EL$170)/12*(1+V_dVol),0))</f>
        <v>0</v>
      </c>
      <c r="EM180" s="34" t="n">
        <f aca="false">IF(EM$8=1,N(Reales!EM15),IF(EM$171=1,INDEX(Vol_V,4,EM$170)/12*(1+V_dVol),0))</f>
        <v>0</v>
      </c>
      <c r="EN180" s="34" t="n">
        <f aca="false">IF(EN$8=1,N(Reales!EN15),IF(EN$171=1,INDEX(Vol_V,4,EN$170)/12*(1+V_dVol),0))</f>
        <v>0</v>
      </c>
      <c r="EO180" s="34" t="n">
        <f aca="false">IF(EO$8=1,N(Reales!EO15),IF(EO$171=1,INDEX(Vol_V,4,EO$170)/12*(1+V_dVol),0))</f>
        <v>0</v>
      </c>
      <c r="EP180" s="34" t="n">
        <f aca="false">IF(EP$8=1,N(Reales!EP15),IF(EP$171=1,INDEX(Vol_V,4,EP$170)/12*(1+V_dVol),0))</f>
        <v>0</v>
      </c>
      <c r="EQ180" s="34" t="n">
        <f aca="false">IF(EQ$8=1,N(Reales!EQ15),IF(EQ$171=1,INDEX(Vol_V,4,EQ$170)/12*(1+V_dVol),0))</f>
        <v>0</v>
      </c>
      <c r="ER180" s="34" t="n">
        <f aca="false">IF(ER$8=1,N(Reales!ER15),IF(ER$171=1,INDEX(Vol_V,4,ER$170)/12*(1+V_dVol),0))</f>
        <v>0</v>
      </c>
      <c r="ES180" s="34" t="n">
        <f aca="false">IF(ES$8=1,N(Reales!ES15),IF(ES$171=1,INDEX(Vol_V,4,ES$170)/12*(1+V_dVol),0))</f>
        <v>0</v>
      </c>
    </row>
    <row r="181" customFormat="false" ht="15" hidden="false" customHeight="false" outlineLevel="0" collapsed="false">
      <c r="A181" s="2" t="s">
        <v>823</v>
      </c>
      <c r="B181" s="39" t="str">
        <f aca="false">IF(INDEX(Prod_Nombre,5)="","Producto 5",INDEX(Prod_Nombre,5))&amp;" — unidades"</f>
        <v>Producto 5 — unidades</v>
      </c>
      <c r="C181" s="6" t="s">
        <v>286</v>
      </c>
      <c r="E181" s="40" t="n">
        <f aca="false">SUM(F181:ES181)</f>
        <v>0</v>
      </c>
      <c r="F181" s="34" t="n">
        <f aca="false">IF(F$8=1,N(Reales!F16),IF(F$171=1,INDEX(Vol_V,5,F$170)/12*(1+V_dVol),0))</f>
        <v>0</v>
      </c>
      <c r="G181" s="34" t="n">
        <f aca="false">IF(G$8=1,N(Reales!G16),IF(G$171=1,INDEX(Vol_V,5,G$170)/12*(1+V_dVol),0))</f>
        <v>0</v>
      </c>
      <c r="H181" s="34" t="n">
        <f aca="false">IF(H$8=1,N(Reales!H16),IF(H$171=1,INDEX(Vol_V,5,H$170)/12*(1+V_dVol),0))</f>
        <v>0</v>
      </c>
      <c r="I181" s="34" t="n">
        <f aca="false">IF(I$8=1,N(Reales!I16),IF(I$171=1,INDEX(Vol_V,5,I$170)/12*(1+V_dVol),0))</f>
        <v>0</v>
      </c>
      <c r="J181" s="34" t="n">
        <f aca="false">IF(J$8=1,N(Reales!J16),IF(J$171=1,INDEX(Vol_V,5,J$170)/12*(1+V_dVol),0))</f>
        <v>0</v>
      </c>
      <c r="K181" s="34" t="n">
        <f aca="false">IF(K$8=1,N(Reales!K16),IF(K$171=1,INDEX(Vol_V,5,K$170)/12*(1+V_dVol),0))</f>
        <v>0</v>
      </c>
      <c r="L181" s="34" t="n">
        <f aca="false">IF(L$8=1,N(Reales!L16),IF(L$171=1,INDEX(Vol_V,5,L$170)/12*(1+V_dVol),0))</f>
        <v>0</v>
      </c>
      <c r="M181" s="34" t="n">
        <f aca="false">IF(M$8=1,N(Reales!M16),IF(M$171=1,INDEX(Vol_V,5,M$170)/12*(1+V_dVol),0))</f>
        <v>0</v>
      </c>
      <c r="N181" s="34" t="n">
        <f aca="false">IF(N$8=1,N(Reales!N16),IF(N$171=1,INDEX(Vol_V,5,N$170)/12*(1+V_dVol),0))</f>
        <v>0</v>
      </c>
      <c r="O181" s="34" t="n">
        <f aca="false">IF(O$8=1,N(Reales!O16),IF(O$171=1,INDEX(Vol_V,5,O$170)/12*(1+V_dVol),0))</f>
        <v>0</v>
      </c>
      <c r="P181" s="34" t="n">
        <f aca="false">IF(P$8=1,N(Reales!P16),IF(P$171=1,INDEX(Vol_V,5,P$170)/12*(1+V_dVol),0))</f>
        <v>0</v>
      </c>
      <c r="Q181" s="34" t="n">
        <f aca="false">IF(Q$8=1,N(Reales!Q16),IF(Q$171=1,INDEX(Vol_V,5,Q$170)/12*(1+V_dVol),0))</f>
        <v>0</v>
      </c>
      <c r="R181" s="34" t="n">
        <f aca="false">IF(R$8=1,N(Reales!R16),IF(R$171=1,INDEX(Vol_V,5,R$170)/12*(1+V_dVol),0))</f>
        <v>0</v>
      </c>
      <c r="S181" s="34" t="n">
        <f aca="false">IF(S$8=1,N(Reales!S16),IF(S$171=1,INDEX(Vol_V,5,S$170)/12*(1+V_dVol),0))</f>
        <v>0</v>
      </c>
      <c r="T181" s="34" t="n">
        <f aca="false">IF(T$8=1,N(Reales!T16),IF(T$171=1,INDEX(Vol_V,5,T$170)/12*(1+V_dVol),0))</f>
        <v>0</v>
      </c>
      <c r="U181" s="34" t="n">
        <f aca="false">IF(U$8=1,N(Reales!U16),IF(U$171=1,INDEX(Vol_V,5,U$170)/12*(1+V_dVol),0))</f>
        <v>0</v>
      </c>
      <c r="V181" s="34" t="n">
        <f aca="false">IF(V$8=1,N(Reales!V16),IF(V$171=1,INDEX(Vol_V,5,V$170)/12*(1+V_dVol),0))</f>
        <v>0</v>
      </c>
      <c r="W181" s="34" t="n">
        <f aca="false">IF(W$8=1,N(Reales!W16),IF(W$171=1,INDEX(Vol_V,5,W$170)/12*(1+V_dVol),0))</f>
        <v>0</v>
      </c>
      <c r="X181" s="34" t="n">
        <f aca="false">IF(X$8=1,N(Reales!X16),IF(X$171=1,INDEX(Vol_V,5,X$170)/12*(1+V_dVol),0))</f>
        <v>0</v>
      </c>
      <c r="Y181" s="34" t="n">
        <f aca="false">IF(Y$8=1,N(Reales!Y16),IF(Y$171=1,INDEX(Vol_V,5,Y$170)/12*(1+V_dVol),0))</f>
        <v>0</v>
      </c>
      <c r="Z181" s="34" t="n">
        <f aca="false">IF(Z$8=1,N(Reales!Z16),IF(Z$171=1,INDEX(Vol_V,5,Z$170)/12*(1+V_dVol),0))</f>
        <v>0</v>
      </c>
      <c r="AA181" s="34" t="n">
        <f aca="false">IF(AA$8=1,N(Reales!AA16),IF(AA$171=1,INDEX(Vol_V,5,AA$170)/12*(1+V_dVol),0))</f>
        <v>0</v>
      </c>
      <c r="AB181" s="34" t="n">
        <f aca="false">IF(AB$8=1,N(Reales!AB16),IF(AB$171=1,INDEX(Vol_V,5,AB$170)/12*(1+V_dVol),0))</f>
        <v>0</v>
      </c>
      <c r="AC181" s="34" t="n">
        <f aca="false">IF(AC$8=1,N(Reales!AC16),IF(AC$171=1,INDEX(Vol_V,5,AC$170)/12*(1+V_dVol),0))</f>
        <v>0</v>
      </c>
      <c r="AD181" s="34" t="n">
        <f aca="false">IF(AD$8=1,N(Reales!AD16),IF(AD$171=1,INDEX(Vol_V,5,AD$170)/12*(1+V_dVol),0))</f>
        <v>0</v>
      </c>
      <c r="AE181" s="34" t="n">
        <f aca="false">IF(AE$8=1,N(Reales!AE16),IF(AE$171=1,INDEX(Vol_V,5,AE$170)/12*(1+V_dVol),0))</f>
        <v>0</v>
      </c>
      <c r="AF181" s="34" t="n">
        <f aca="false">IF(AF$8=1,N(Reales!AF16),IF(AF$171=1,INDEX(Vol_V,5,AF$170)/12*(1+V_dVol),0))</f>
        <v>0</v>
      </c>
      <c r="AG181" s="34" t="n">
        <f aca="false">IF(AG$8=1,N(Reales!AG16),IF(AG$171=1,INDEX(Vol_V,5,AG$170)/12*(1+V_dVol),0))</f>
        <v>0</v>
      </c>
      <c r="AH181" s="34" t="n">
        <f aca="false">IF(AH$8=1,N(Reales!AH16),IF(AH$171=1,INDEX(Vol_V,5,AH$170)/12*(1+V_dVol),0))</f>
        <v>0</v>
      </c>
      <c r="AI181" s="34" t="n">
        <f aca="false">IF(AI$8=1,N(Reales!AI16),IF(AI$171=1,INDEX(Vol_V,5,AI$170)/12*(1+V_dVol),0))</f>
        <v>0</v>
      </c>
      <c r="AJ181" s="34" t="n">
        <f aca="false">IF(AJ$8=1,N(Reales!AJ16),IF(AJ$171=1,INDEX(Vol_V,5,AJ$170)/12*(1+V_dVol),0))</f>
        <v>0</v>
      </c>
      <c r="AK181" s="34" t="n">
        <f aca="false">IF(AK$8=1,N(Reales!AK16),IF(AK$171=1,INDEX(Vol_V,5,AK$170)/12*(1+V_dVol),0))</f>
        <v>0</v>
      </c>
      <c r="AL181" s="34" t="n">
        <f aca="false">IF(AL$8=1,N(Reales!AL16),IF(AL$171=1,INDEX(Vol_V,5,AL$170)/12*(1+V_dVol),0))</f>
        <v>0</v>
      </c>
      <c r="AM181" s="34" t="n">
        <f aca="false">IF(AM$8=1,N(Reales!AM16),IF(AM$171=1,INDEX(Vol_V,5,AM$170)/12*(1+V_dVol),0))</f>
        <v>0</v>
      </c>
      <c r="AN181" s="34" t="n">
        <f aca="false">IF(AN$8=1,N(Reales!AN16),IF(AN$171=1,INDEX(Vol_V,5,AN$170)/12*(1+V_dVol),0))</f>
        <v>0</v>
      </c>
      <c r="AO181" s="34" t="n">
        <f aca="false">IF(AO$8=1,N(Reales!AO16),IF(AO$171=1,INDEX(Vol_V,5,AO$170)/12*(1+V_dVol),0))</f>
        <v>0</v>
      </c>
      <c r="AP181" s="34" t="n">
        <f aca="false">IF(AP$8=1,N(Reales!AP16),IF(AP$171=1,INDEX(Vol_V,5,AP$170)/12*(1+V_dVol),0))</f>
        <v>0</v>
      </c>
      <c r="AQ181" s="34" t="n">
        <f aca="false">IF(AQ$8=1,N(Reales!AQ16),IF(AQ$171=1,INDEX(Vol_V,5,AQ$170)/12*(1+V_dVol),0))</f>
        <v>0</v>
      </c>
      <c r="AR181" s="34" t="n">
        <f aca="false">IF(AR$8=1,N(Reales!AR16),IF(AR$171=1,INDEX(Vol_V,5,AR$170)/12*(1+V_dVol),0))</f>
        <v>0</v>
      </c>
      <c r="AS181" s="34" t="n">
        <f aca="false">IF(AS$8=1,N(Reales!AS16),IF(AS$171=1,INDEX(Vol_V,5,AS$170)/12*(1+V_dVol),0))</f>
        <v>0</v>
      </c>
      <c r="AT181" s="34" t="n">
        <f aca="false">IF(AT$8=1,N(Reales!AT16),IF(AT$171=1,INDEX(Vol_V,5,AT$170)/12*(1+V_dVol),0))</f>
        <v>0</v>
      </c>
      <c r="AU181" s="34" t="n">
        <f aca="false">IF(AU$8=1,N(Reales!AU16),IF(AU$171=1,INDEX(Vol_V,5,AU$170)/12*(1+V_dVol),0))</f>
        <v>0</v>
      </c>
      <c r="AV181" s="34" t="n">
        <f aca="false">IF(AV$8=1,N(Reales!AV16),IF(AV$171=1,INDEX(Vol_V,5,AV$170)/12*(1+V_dVol),0))</f>
        <v>0</v>
      </c>
      <c r="AW181" s="34" t="n">
        <f aca="false">IF(AW$8=1,N(Reales!AW16),IF(AW$171=1,INDEX(Vol_V,5,AW$170)/12*(1+V_dVol),0))</f>
        <v>0</v>
      </c>
      <c r="AX181" s="34" t="n">
        <f aca="false">IF(AX$8=1,N(Reales!AX16),IF(AX$171=1,INDEX(Vol_V,5,AX$170)/12*(1+V_dVol),0))</f>
        <v>0</v>
      </c>
      <c r="AY181" s="34" t="n">
        <f aca="false">IF(AY$8=1,N(Reales!AY16),IF(AY$171=1,INDEX(Vol_V,5,AY$170)/12*(1+V_dVol),0))</f>
        <v>0</v>
      </c>
      <c r="AZ181" s="34" t="n">
        <f aca="false">IF(AZ$8=1,N(Reales!AZ16),IF(AZ$171=1,INDEX(Vol_V,5,AZ$170)/12*(1+V_dVol),0))</f>
        <v>0</v>
      </c>
      <c r="BA181" s="34" t="n">
        <f aca="false">IF(BA$8=1,N(Reales!BA16),IF(BA$171=1,INDEX(Vol_V,5,BA$170)/12*(1+V_dVol),0))</f>
        <v>0</v>
      </c>
      <c r="BB181" s="34" t="n">
        <f aca="false">IF(BB$8=1,N(Reales!BB16),IF(BB$171=1,INDEX(Vol_V,5,BB$170)/12*(1+V_dVol),0))</f>
        <v>0</v>
      </c>
      <c r="BC181" s="34" t="n">
        <f aca="false">IF(BC$8=1,N(Reales!BC16),IF(BC$171=1,INDEX(Vol_V,5,BC$170)/12*(1+V_dVol),0))</f>
        <v>0</v>
      </c>
      <c r="BD181" s="34" t="n">
        <f aca="false">IF(BD$8=1,N(Reales!BD16),IF(BD$171=1,INDEX(Vol_V,5,BD$170)/12*(1+V_dVol),0))</f>
        <v>0</v>
      </c>
      <c r="BE181" s="34" t="n">
        <f aca="false">IF(BE$8=1,N(Reales!BE16),IF(BE$171=1,INDEX(Vol_V,5,BE$170)/12*(1+V_dVol),0))</f>
        <v>0</v>
      </c>
      <c r="BF181" s="34" t="n">
        <f aca="false">IF(BF$8=1,N(Reales!BF16),IF(BF$171=1,INDEX(Vol_V,5,BF$170)/12*(1+V_dVol),0))</f>
        <v>0</v>
      </c>
      <c r="BG181" s="34" t="n">
        <f aca="false">IF(BG$8=1,N(Reales!BG16),IF(BG$171=1,INDEX(Vol_V,5,BG$170)/12*(1+V_dVol),0))</f>
        <v>0</v>
      </c>
      <c r="BH181" s="34" t="n">
        <f aca="false">IF(BH$8=1,N(Reales!BH16),IF(BH$171=1,INDEX(Vol_V,5,BH$170)/12*(1+V_dVol),0))</f>
        <v>0</v>
      </c>
      <c r="BI181" s="34" t="n">
        <f aca="false">IF(BI$8=1,N(Reales!BI16),IF(BI$171=1,INDEX(Vol_V,5,BI$170)/12*(1+V_dVol),0))</f>
        <v>0</v>
      </c>
      <c r="BJ181" s="34" t="n">
        <f aca="false">IF(BJ$8=1,N(Reales!BJ16),IF(BJ$171=1,INDEX(Vol_V,5,BJ$170)/12*(1+V_dVol),0))</f>
        <v>0</v>
      </c>
      <c r="BK181" s="34" t="n">
        <f aca="false">IF(BK$8=1,N(Reales!BK16),IF(BK$171=1,INDEX(Vol_V,5,BK$170)/12*(1+V_dVol),0))</f>
        <v>0</v>
      </c>
      <c r="BL181" s="34" t="n">
        <f aca="false">IF(BL$8=1,N(Reales!BL16),IF(BL$171=1,INDEX(Vol_V,5,BL$170)/12*(1+V_dVol),0))</f>
        <v>0</v>
      </c>
      <c r="BM181" s="34" t="n">
        <f aca="false">IF(BM$8=1,N(Reales!BM16),IF(BM$171=1,INDEX(Vol_V,5,BM$170)/12*(1+V_dVol),0))</f>
        <v>0</v>
      </c>
      <c r="BN181" s="34" t="n">
        <f aca="false">IF(BN$8=1,N(Reales!BN16),IF(BN$171=1,INDEX(Vol_V,5,BN$170)/12*(1+V_dVol),0))</f>
        <v>0</v>
      </c>
      <c r="BO181" s="34" t="n">
        <f aca="false">IF(BO$8=1,N(Reales!BO16),IF(BO$171=1,INDEX(Vol_V,5,BO$170)/12*(1+V_dVol),0))</f>
        <v>0</v>
      </c>
      <c r="BP181" s="34" t="n">
        <f aca="false">IF(BP$8=1,N(Reales!BP16),IF(BP$171=1,INDEX(Vol_V,5,BP$170)/12*(1+V_dVol),0))</f>
        <v>0</v>
      </c>
      <c r="BQ181" s="34" t="n">
        <f aca="false">IF(BQ$8=1,N(Reales!BQ16),IF(BQ$171=1,INDEX(Vol_V,5,BQ$170)/12*(1+V_dVol),0))</f>
        <v>0</v>
      </c>
      <c r="BR181" s="34" t="n">
        <f aca="false">IF(BR$8=1,N(Reales!BR16),IF(BR$171=1,INDEX(Vol_V,5,BR$170)/12*(1+V_dVol),0))</f>
        <v>0</v>
      </c>
      <c r="BS181" s="34" t="n">
        <f aca="false">IF(BS$8=1,N(Reales!BS16),IF(BS$171=1,INDEX(Vol_V,5,BS$170)/12*(1+V_dVol),0))</f>
        <v>0</v>
      </c>
      <c r="BT181" s="34" t="n">
        <f aca="false">IF(BT$8=1,N(Reales!BT16),IF(BT$171=1,INDEX(Vol_V,5,BT$170)/12*(1+V_dVol),0))</f>
        <v>0</v>
      </c>
      <c r="BU181" s="34" t="n">
        <f aca="false">IF(BU$8=1,N(Reales!BU16),IF(BU$171=1,INDEX(Vol_V,5,BU$170)/12*(1+V_dVol),0))</f>
        <v>0</v>
      </c>
      <c r="BV181" s="34" t="n">
        <f aca="false">IF(BV$8=1,N(Reales!BV16),IF(BV$171=1,INDEX(Vol_V,5,BV$170)/12*(1+V_dVol),0))</f>
        <v>0</v>
      </c>
      <c r="BW181" s="34" t="n">
        <f aca="false">IF(BW$8=1,N(Reales!BW16),IF(BW$171=1,INDEX(Vol_V,5,BW$170)/12*(1+V_dVol),0))</f>
        <v>0</v>
      </c>
      <c r="BX181" s="34" t="n">
        <f aca="false">IF(BX$8=1,N(Reales!BX16),IF(BX$171=1,INDEX(Vol_V,5,BX$170)/12*(1+V_dVol),0))</f>
        <v>0</v>
      </c>
      <c r="BY181" s="34" t="n">
        <f aca="false">IF(BY$8=1,N(Reales!BY16),IF(BY$171=1,INDEX(Vol_V,5,BY$170)/12*(1+V_dVol),0))</f>
        <v>0</v>
      </c>
      <c r="BZ181" s="34" t="n">
        <f aca="false">IF(BZ$8=1,N(Reales!BZ16),IF(BZ$171=1,INDEX(Vol_V,5,BZ$170)/12*(1+V_dVol),0))</f>
        <v>0</v>
      </c>
      <c r="CA181" s="34" t="n">
        <f aca="false">IF(CA$8=1,N(Reales!CA16),IF(CA$171=1,INDEX(Vol_V,5,CA$170)/12*(1+V_dVol),0))</f>
        <v>0</v>
      </c>
      <c r="CB181" s="34" t="n">
        <f aca="false">IF(CB$8=1,N(Reales!CB16),IF(CB$171=1,INDEX(Vol_V,5,CB$170)/12*(1+V_dVol),0))</f>
        <v>0</v>
      </c>
      <c r="CC181" s="34" t="n">
        <f aca="false">IF(CC$8=1,N(Reales!CC16),IF(CC$171=1,INDEX(Vol_V,5,CC$170)/12*(1+V_dVol),0))</f>
        <v>0</v>
      </c>
      <c r="CD181" s="34" t="n">
        <f aca="false">IF(CD$8=1,N(Reales!CD16),IF(CD$171=1,INDEX(Vol_V,5,CD$170)/12*(1+V_dVol),0))</f>
        <v>0</v>
      </c>
      <c r="CE181" s="34" t="n">
        <f aca="false">IF(CE$8=1,N(Reales!CE16),IF(CE$171=1,INDEX(Vol_V,5,CE$170)/12*(1+V_dVol),0))</f>
        <v>0</v>
      </c>
      <c r="CF181" s="34" t="n">
        <f aca="false">IF(CF$8=1,N(Reales!CF16),IF(CF$171=1,INDEX(Vol_V,5,CF$170)/12*(1+V_dVol),0))</f>
        <v>0</v>
      </c>
      <c r="CG181" s="34" t="n">
        <f aca="false">IF(CG$8=1,N(Reales!CG16),IF(CG$171=1,INDEX(Vol_V,5,CG$170)/12*(1+V_dVol),0))</f>
        <v>0</v>
      </c>
      <c r="CH181" s="34" t="n">
        <f aca="false">IF(CH$8=1,N(Reales!CH16),IF(CH$171=1,INDEX(Vol_V,5,CH$170)/12*(1+V_dVol),0))</f>
        <v>0</v>
      </c>
      <c r="CI181" s="34" t="n">
        <f aca="false">IF(CI$8=1,N(Reales!CI16),IF(CI$171=1,INDEX(Vol_V,5,CI$170)/12*(1+V_dVol),0))</f>
        <v>0</v>
      </c>
      <c r="CJ181" s="34" t="n">
        <f aca="false">IF(CJ$8=1,N(Reales!CJ16),IF(CJ$171=1,INDEX(Vol_V,5,CJ$170)/12*(1+V_dVol),0))</f>
        <v>0</v>
      </c>
      <c r="CK181" s="34" t="n">
        <f aca="false">IF(CK$8=1,N(Reales!CK16),IF(CK$171=1,INDEX(Vol_V,5,CK$170)/12*(1+V_dVol),0))</f>
        <v>0</v>
      </c>
      <c r="CL181" s="34" t="n">
        <f aca="false">IF(CL$8=1,N(Reales!CL16),IF(CL$171=1,INDEX(Vol_V,5,CL$170)/12*(1+V_dVol),0))</f>
        <v>0</v>
      </c>
      <c r="CM181" s="34" t="n">
        <f aca="false">IF(CM$8=1,N(Reales!CM16),IF(CM$171=1,INDEX(Vol_V,5,CM$170)/12*(1+V_dVol),0))</f>
        <v>0</v>
      </c>
      <c r="CN181" s="34" t="n">
        <f aca="false">IF(CN$8=1,N(Reales!CN16),IF(CN$171=1,INDEX(Vol_V,5,CN$170)/12*(1+V_dVol),0))</f>
        <v>0</v>
      </c>
      <c r="CO181" s="34" t="n">
        <f aca="false">IF(CO$8=1,N(Reales!CO16),IF(CO$171=1,INDEX(Vol_V,5,CO$170)/12*(1+V_dVol),0))</f>
        <v>0</v>
      </c>
      <c r="CP181" s="34" t="n">
        <f aca="false">IF(CP$8=1,N(Reales!CP16),IF(CP$171=1,INDEX(Vol_V,5,CP$170)/12*(1+V_dVol),0))</f>
        <v>0</v>
      </c>
      <c r="CQ181" s="34" t="n">
        <f aca="false">IF(CQ$8=1,N(Reales!CQ16),IF(CQ$171=1,INDEX(Vol_V,5,CQ$170)/12*(1+V_dVol),0))</f>
        <v>0</v>
      </c>
      <c r="CR181" s="34" t="n">
        <f aca="false">IF(CR$8=1,N(Reales!CR16),IF(CR$171=1,INDEX(Vol_V,5,CR$170)/12*(1+V_dVol),0))</f>
        <v>0</v>
      </c>
      <c r="CS181" s="34" t="n">
        <f aca="false">IF(CS$8=1,N(Reales!CS16),IF(CS$171=1,INDEX(Vol_V,5,CS$170)/12*(1+V_dVol),0))</f>
        <v>0</v>
      </c>
      <c r="CT181" s="34" t="n">
        <f aca="false">IF(CT$8=1,N(Reales!CT16),IF(CT$171=1,INDEX(Vol_V,5,CT$170)/12*(1+V_dVol),0))</f>
        <v>0</v>
      </c>
      <c r="CU181" s="34" t="n">
        <f aca="false">IF(CU$8=1,N(Reales!CU16),IF(CU$171=1,INDEX(Vol_V,5,CU$170)/12*(1+V_dVol),0))</f>
        <v>0</v>
      </c>
      <c r="CV181" s="34" t="n">
        <f aca="false">IF(CV$8=1,N(Reales!CV16),IF(CV$171=1,INDEX(Vol_V,5,CV$170)/12*(1+V_dVol),0))</f>
        <v>0</v>
      </c>
      <c r="CW181" s="34" t="n">
        <f aca="false">IF(CW$8=1,N(Reales!CW16),IF(CW$171=1,INDEX(Vol_V,5,CW$170)/12*(1+V_dVol),0))</f>
        <v>0</v>
      </c>
      <c r="CX181" s="34" t="n">
        <f aca="false">IF(CX$8=1,N(Reales!CX16),IF(CX$171=1,INDEX(Vol_V,5,CX$170)/12*(1+V_dVol),0))</f>
        <v>0</v>
      </c>
      <c r="CY181" s="34" t="n">
        <f aca="false">IF(CY$8=1,N(Reales!CY16),IF(CY$171=1,INDEX(Vol_V,5,CY$170)/12*(1+V_dVol),0))</f>
        <v>0</v>
      </c>
      <c r="CZ181" s="34" t="n">
        <f aca="false">IF(CZ$8=1,N(Reales!CZ16),IF(CZ$171=1,INDEX(Vol_V,5,CZ$170)/12*(1+V_dVol),0))</f>
        <v>0</v>
      </c>
      <c r="DA181" s="34" t="n">
        <f aca="false">IF(DA$8=1,N(Reales!DA16),IF(DA$171=1,INDEX(Vol_V,5,DA$170)/12*(1+V_dVol),0))</f>
        <v>0</v>
      </c>
      <c r="DB181" s="34" t="n">
        <f aca="false">IF(DB$8=1,N(Reales!DB16),IF(DB$171=1,INDEX(Vol_V,5,DB$170)/12*(1+V_dVol),0))</f>
        <v>0</v>
      </c>
      <c r="DC181" s="34" t="n">
        <f aca="false">IF(DC$8=1,N(Reales!DC16),IF(DC$171=1,INDEX(Vol_V,5,DC$170)/12*(1+V_dVol),0))</f>
        <v>0</v>
      </c>
      <c r="DD181" s="34" t="n">
        <f aca="false">IF(DD$8=1,N(Reales!DD16),IF(DD$171=1,INDEX(Vol_V,5,DD$170)/12*(1+V_dVol),0))</f>
        <v>0</v>
      </c>
      <c r="DE181" s="34" t="n">
        <f aca="false">IF(DE$8=1,N(Reales!DE16),IF(DE$171=1,INDEX(Vol_V,5,DE$170)/12*(1+V_dVol),0))</f>
        <v>0</v>
      </c>
      <c r="DF181" s="34" t="n">
        <f aca="false">IF(DF$8=1,N(Reales!DF16),IF(DF$171=1,INDEX(Vol_V,5,DF$170)/12*(1+V_dVol),0))</f>
        <v>0</v>
      </c>
      <c r="DG181" s="34" t="n">
        <f aca="false">IF(DG$8=1,N(Reales!DG16),IF(DG$171=1,INDEX(Vol_V,5,DG$170)/12*(1+V_dVol),0))</f>
        <v>0</v>
      </c>
      <c r="DH181" s="34" t="n">
        <f aca="false">IF(DH$8=1,N(Reales!DH16),IF(DH$171=1,INDEX(Vol_V,5,DH$170)/12*(1+V_dVol),0))</f>
        <v>0</v>
      </c>
      <c r="DI181" s="34" t="n">
        <f aca="false">IF(DI$8=1,N(Reales!DI16),IF(DI$171=1,INDEX(Vol_V,5,DI$170)/12*(1+V_dVol),0))</f>
        <v>0</v>
      </c>
      <c r="DJ181" s="34" t="n">
        <f aca="false">IF(DJ$8=1,N(Reales!DJ16),IF(DJ$171=1,INDEX(Vol_V,5,DJ$170)/12*(1+V_dVol),0))</f>
        <v>0</v>
      </c>
      <c r="DK181" s="34" t="n">
        <f aca="false">IF(DK$8=1,N(Reales!DK16),IF(DK$171=1,INDEX(Vol_V,5,DK$170)/12*(1+V_dVol),0))</f>
        <v>0</v>
      </c>
      <c r="DL181" s="34" t="n">
        <f aca="false">IF(DL$8=1,N(Reales!DL16),IF(DL$171=1,INDEX(Vol_V,5,DL$170)/12*(1+V_dVol),0))</f>
        <v>0</v>
      </c>
      <c r="DM181" s="34" t="n">
        <f aca="false">IF(DM$8=1,N(Reales!DM16),IF(DM$171=1,INDEX(Vol_V,5,DM$170)/12*(1+V_dVol),0))</f>
        <v>0</v>
      </c>
      <c r="DN181" s="34" t="n">
        <f aca="false">IF(DN$8=1,N(Reales!DN16),IF(DN$171=1,INDEX(Vol_V,5,DN$170)/12*(1+V_dVol),0))</f>
        <v>0</v>
      </c>
      <c r="DO181" s="34" t="n">
        <f aca="false">IF(DO$8=1,N(Reales!DO16),IF(DO$171=1,INDEX(Vol_V,5,DO$170)/12*(1+V_dVol),0))</f>
        <v>0</v>
      </c>
      <c r="DP181" s="34" t="n">
        <f aca="false">IF(DP$8=1,N(Reales!DP16),IF(DP$171=1,INDEX(Vol_V,5,DP$170)/12*(1+V_dVol),0))</f>
        <v>0</v>
      </c>
      <c r="DQ181" s="34" t="n">
        <f aca="false">IF(DQ$8=1,N(Reales!DQ16),IF(DQ$171=1,INDEX(Vol_V,5,DQ$170)/12*(1+V_dVol),0))</f>
        <v>0</v>
      </c>
      <c r="DR181" s="34" t="n">
        <f aca="false">IF(DR$8=1,N(Reales!DR16),IF(DR$171=1,INDEX(Vol_V,5,DR$170)/12*(1+V_dVol),0))</f>
        <v>0</v>
      </c>
      <c r="DS181" s="34" t="n">
        <f aca="false">IF(DS$8=1,N(Reales!DS16),IF(DS$171=1,INDEX(Vol_V,5,DS$170)/12*(1+V_dVol),0))</f>
        <v>0</v>
      </c>
      <c r="DT181" s="34" t="n">
        <f aca="false">IF(DT$8=1,N(Reales!DT16),IF(DT$171=1,INDEX(Vol_V,5,DT$170)/12*(1+V_dVol),0))</f>
        <v>0</v>
      </c>
      <c r="DU181" s="34" t="n">
        <f aca="false">IF(DU$8=1,N(Reales!DU16),IF(DU$171=1,INDEX(Vol_V,5,DU$170)/12*(1+V_dVol),0))</f>
        <v>0</v>
      </c>
      <c r="DV181" s="34" t="n">
        <f aca="false">IF(DV$8=1,N(Reales!DV16),IF(DV$171=1,INDEX(Vol_V,5,DV$170)/12*(1+V_dVol),0))</f>
        <v>0</v>
      </c>
      <c r="DW181" s="34" t="n">
        <f aca="false">IF(DW$8=1,N(Reales!DW16),IF(DW$171=1,INDEX(Vol_V,5,DW$170)/12*(1+V_dVol),0))</f>
        <v>0</v>
      </c>
      <c r="DX181" s="34" t="n">
        <f aca="false">IF(DX$8=1,N(Reales!DX16),IF(DX$171=1,INDEX(Vol_V,5,DX$170)/12*(1+V_dVol),0))</f>
        <v>0</v>
      </c>
      <c r="DY181" s="34" t="n">
        <f aca="false">IF(DY$8=1,N(Reales!DY16),IF(DY$171=1,INDEX(Vol_V,5,DY$170)/12*(1+V_dVol),0))</f>
        <v>0</v>
      </c>
      <c r="DZ181" s="34" t="n">
        <f aca="false">IF(DZ$8=1,N(Reales!DZ16),IF(DZ$171=1,INDEX(Vol_V,5,DZ$170)/12*(1+V_dVol),0))</f>
        <v>0</v>
      </c>
      <c r="EA181" s="34" t="n">
        <f aca="false">IF(EA$8=1,N(Reales!EA16),IF(EA$171=1,INDEX(Vol_V,5,EA$170)/12*(1+V_dVol),0))</f>
        <v>0</v>
      </c>
      <c r="EB181" s="34" t="n">
        <f aca="false">IF(EB$8=1,N(Reales!EB16),IF(EB$171=1,INDEX(Vol_V,5,EB$170)/12*(1+V_dVol),0))</f>
        <v>0</v>
      </c>
      <c r="EC181" s="34" t="n">
        <f aca="false">IF(EC$8=1,N(Reales!EC16),IF(EC$171=1,INDEX(Vol_V,5,EC$170)/12*(1+V_dVol),0))</f>
        <v>0</v>
      </c>
      <c r="ED181" s="34" t="n">
        <f aca="false">IF(ED$8=1,N(Reales!ED16),IF(ED$171=1,INDEX(Vol_V,5,ED$170)/12*(1+V_dVol),0))</f>
        <v>0</v>
      </c>
      <c r="EE181" s="34" t="n">
        <f aca="false">IF(EE$8=1,N(Reales!EE16),IF(EE$171=1,INDEX(Vol_V,5,EE$170)/12*(1+V_dVol),0))</f>
        <v>0</v>
      </c>
      <c r="EF181" s="34" t="n">
        <f aca="false">IF(EF$8=1,N(Reales!EF16),IF(EF$171=1,INDEX(Vol_V,5,EF$170)/12*(1+V_dVol),0))</f>
        <v>0</v>
      </c>
      <c r="EG181" s="34" t="n">
        <f aca="false">IF(EG$8=1,N(Reales!EG16),IF(EG$171=1,INDEX(Vol_V,5,EG$170)/12*(1+V_dVol),0))</f>
        <v>0</v>
      </c>
      <c r="EH181" s="34" t="n">
        <f aca="false">IF(EH$8=1,N(Reales!EH16),IF(EH$171=1,INDEX(Vol_V,5,EH$170)/12*(1+V_dVol),0))</f>
        <v>0</v>
      </c>
      <c r="EI181" s="34" t="n">
        <f aca="false">IF(EI$8=1,N(Reales!EI16),IF(EI$171=1,INDEX(Vol_V,5,EI$170)/12*(1+V_dVol),0))</f>
        <v>0</v>
      </c>
      <c r="EJ181" s="34" t="n">
        <f aca="false">IF(EJ$8=1,N(Reales!EJ16),IF(EJ$171=1,INDEX(Vol_V,5,EJ$170)/12*(1+V_dVol),0))</f>
        <v>0</v>
      </c>
      <c r="EK181" s="34" t="n">
        <f aca="false">IF(EK$8=1,N(Reales!EK16),IF(EK$171=1,INDEX(Vol_V,5,EK$170)/12*(1+V_dVol),0))</f>
        <v>0</v>
      </c>
      <c r="EL181" s="34" t="n">
        <f aca="false">IF(EL$8=1,N(Reales!EL16),IF(EL$171=1,INDEX(Vol_V,5,EL$170)/12*(1+V_dVol),0))</f>
        <v>0</v>
      </c>
      <c r="EM181" s="34" t="n">
        <f aca="false">IF(EM$8=1,N(Reales!EM16),IF(EM$171=1,INDEX(Vol_V,5,EM$170)/12*(1+V_dVol),0))</f>
        <v>0</v>
      </c>
      <c r="EN181" s="34" t="n">
        <f aca="false">IF(EN$8=1,N(Reales!EN16),IF(EN$171=1,INDEX(Vol_V,5,EN$170)/12*(1+V_dVol),0))</f>
        <v>0</v>
      </c>
      <c r="EO181" s="34" t="n">
        <f aca="false">IF(EO$8=1,N(Reales!EO16),IF(EO$171=1,INDEX(Vol_V,5,EO$170)/12*(1+V_dVol),0))</f>
        <v>0</v>
      </c>
      <c r="EP181" s="34" t="n">
        <f aca="false">IF(EP$8=1,N(Reales!EP16),IF(EP$171=1,INDEX(Vol_V,5,EP$170)/12*(1+V_dVol),0))</f>
        <v>0</v>
      </c>
      <c r="EQ181" s="34" t="n">
        <f aca="false">IF(EQ$8=1,N(Reales!EQ16),IF(EQ$171=1,INDEX(Vol_V,5,EQ$170)/12*(1+V_dVol),0))</f>
        <v>0</v>
      </c>
      <c r="ER181" s="34" t="n">
        <f aca="false">IF(ER$8=1,N(Reales!ER16),IF(ER$171=1,INDEX(Vol_V,5,ER$170)/12*(1+V_dVol),0))</f>
        <v>0</v>
      </c>
      <c r="ES181" s="34" t="n">
        <f aca="false">IF(ES$8=1,N(Reales!ES16),IF(ES$171=1,INDEX(Vol_V,5,ES$170)/12*(1+V_dVol),0))</f>
        <v>0</v>
      </c>
    </row>
    <row r="182" customFormat="false" ht="15" hidden="false" customHeight="false" outlineLevel="0" collapsed="false">
      <c r="A182" s="2" t="s">
        <v>824</v>
      </c>
      <c r="B182" s="39" t="str">
        <f aca="false">IF(INDEX(Prod_Nombre,6)="","Producto 6",INDEX(Prod_Nombre,6))&amp;" — unidades"</f>
        <v>Producto 6 — unidades</v>
      </c>
      <c r="C182" s="6" t="s">
        <v>286</v>
      </c>
      <c r="E182" s="40" t="n">
        <f aca="false">SUM(F182:ES182)</f>
        <v>0</v>
      </c>
      <c r="F182" s="34" t="n">
        <f aca="false">IF(F$8=1,N(Reales!F17),IF(F$171=1,INDEX(Vol_V,6,F$170)/12*(1+V_dVol),0))</f>
        <v>0</v>
      </c>
      <c r="G182" s="34" t="n">
        <f aca="false">IF(G$8=1,N(Reales!G17),IF(G$171=1,INDEX(Vol_V,6,G$170)/12*(1+V_dVol),0))</f>
        <v>0</v>
      </c>
      <c r="H182" s="34" t="n">
        <f aca="false">IF(H$8=1,N(Reales!H17),IF(H$171=1,INDEX(Vol_V,6,H$170)/12*(1+V_dVol),0))</f>
        <v>0</v>
      </c>
      <c r="I182" s="34" t="n">
        <f aca="false">IF(I$8=1,N(Reales!I17),IF(I$171=1,INDEX(Vol_V,6,I$170)/12*(1+V_dVol),0))</f>
        <v>0</v>
      </c>
      <c r="J182" s="34" t="n">
        <f aca="false">IF(J$8=1,N(Reales!J17),IF(J$171=1,INDEX(Vol_V,6,J$170)/12*(1+V_dVol),0))</f>
        <v>0</v>
      </c>
      <c r="K182" s="34" t="n">
        <f aca="false">IF(K$8=1,N(Reales!K17),IF(K$171=1,INDEX(Vol_V,6,K$170)/12*(1+V_dVol),0))</f>
        <v>0</v>
      </c>
      <c r="L182" s="34" t="n">
        <f aca="false">IF(L$8=1,N(Reales!L17),IF(L$171=1,INDEX(Vol_V,6,L$170)/12*(1+V_dVol),0))</f>
        <v>0</v>
      </c>
      <c r="M182" s="34" t="n">
        <f aca="false">IF(M$8=1,N(Reales!M17),IF(M$171=1,INDEX(Vol_V,6,M$170)/12*(1+V_dVol),0))</f>
        <v>0</v>
      </c>
      <c r="N182" s="34" t="n">
        <f aca="false">IF(N$8=1,N(Reales!N17),IF(N$171=1,INDEX(Vol_V,6,N$170)/12*(1+V_dVol),0))</f>
        <v>0</v>
      </c>
      <c r="O182" s="34" t="n">
        <f aca="false">IF(O$8=1,N(Reales!O17),IF(O$171=1,INDEX(Vol_V,6,O$170)/12*(1+V_dVol),0))</f>
        <v>0</v>
      </c>
      <c r="P182" s="34" t="n">
        <f aca="false">IF(P$8=1,N(Reales!P17),IF(P$171=1,INDEX(Vol_V,6,P$170)/12*(1+V_dVol),0))</f>
        <v>0</v>
      </c>
      <c r="Q182" s="34" t="n">
        <f aca="false">IF(Q$8=1,N(Reales!Q17),IF(Q$171=1,INDEX(Vol_V,6,Q$170)/12*(1+V_dVol),0))</f>
        <v>0</v>
      </c>
      <c r="R182" s="34" t="n">
        <f aca="false">IF(R$8=1,N(Reales!R17),IF(R$171=1,INDEX(Vol_V,6,R$170)/12*(1+V_dVol),0))</f>
        <v>0</v>
      </c>
      <c r="S182" s="34" t="n">
        <f aca="false">IF(S$8=1,N(Reales!S17),IF(S$171=1,INDEX(Vol_V,6,S$170)/12*(1+V_dVol),0))</f>
        <v>0</v>
      </c>
      <c r="T182" s="34" t="n">
        <f aca="false">IF(T$8=1,N(Reales!T17),IF(T$171=1,INDEX(Vol_V,6,T$170)/12*(1+V_dVol),0))</f>
        <v>0</v>
      </c>
      <c r="U182" s="34" t="n">
        <f aca="false">IF(U$8=1,N(Reales!U17),IF(U$171=1,INDEX(Vol_V,6,U$170)/12*(1+V_dVol),0))</f>
        <v>0</v>
      </c>
      <c r="V182" s="34" t="n">
        <f aca="false">IF(V$8=1,N(Reales!V17),IF(V$171=1,INDEX(Vol_V,6,V$170)/12*(1+V_dVol),0))</f>
        <v>0</v>
      </c>
      <c r="W182" s="34" t="n">
        <f aca="false">IF(W$8=1,N(Reales!W17),IF(W$171=1,INDEX(Vol_V,6,W$170)/12*(1+V_dVol),0))</f>
        <v>0</v>
      </c>
      <c r="X182" s="34" t="n">
        <f aca="false">IF(X$8=1,N(Reales!X17),IF(X$171=1,INDEX(Vol_V,6,X$170)/12*(1+V_dVol),0))</f>
        <v>0</v>
      </c>
      <c r="Y182" s="34" t="n">
        <f aca="false">IF(Y$8=1,N(Reales!Y17),IF(Y$171=1,INDEX(Vol_V,6,Y$170)/12*(1+V_dVol),0))</f>
        <v>0</v>
      </c>
      <c r="Z182" s="34" t="n">
        <f aca="false">IF(Z$8=1,N(Reales!Z17),IF(Z$171=1,INDEX(Vol_V,6,Z$170)/12*(1+V_dVol),0))</f>
        <v>0</v>
      </c>
      <c r="AA182" s="34" t="n">
        <f aca="false">IF(AA$8=1,N(Reales!AA17),IF(AA$171=1,INDEX(Vol_V,6,AA$170)/12*(1+V_dVol),0))</f>
        <v>0</v>
      </c>
      <c r="AB182" s="34" t="n">
        <f aca="false">IF(AB$8=1,N(Reales!AB17),IF(AB$171=1,INDEX(Vol_V,6,AB$170)/12*(1+V_dVol),0))</f>
        <v>0</v>
      </c>
      <c r="AC182" s="34" t="n">
        <f aca="false">IF(AC$8=1,N(Reales!AC17),IF(AC$171=1,INDEX(Vol_V,6,AC$170)/12*(1+V_dVol),0))</f>
        <v>0</v>
      </c>
      <c r="AD182" s="34" t="n">
        <f aca="false">IF(AD$8=1,N(Reales!AD17),IF(AD$171=1,INDEX(Vol_V,6,AD$170)/12*(1+V_dVol),0))</f>
        <v>0</v>
      </c>
      <c r="AE182" s="34" t="n">
        <f aca="false">IF(AE$8=1,N(Reales!AE17),IF(AE$171=1,INDEX(Vol_V,6,AE$170)/12*(1+V_dVol),0))</f>
        <v>0</v>
      </c>
      <c r="AF182" s="34" t="n">
        <f aca="false">IF(AF$8=1,N(Reales!AF17),IF(AF$171=1,INDEX(Vol_V,6,AF$170)/12*(1+V_dVol),0))</f>
        <v>0</v>
      </c>
      <c r="AG182" s="34" t="n">
        <f aca="false">IF(AG$8=1,N(Reales!AG17),IF(AG$171=1,INDEX(Vol_V,6,AG$170)/12*(1+V_dVol),0))</f>
        <v>0</v>
      </c>
      <c r="AH182" s="34" t="n">
        <f aca="false">IF(AH$8=1,N(Reales!AH17),IF(AH$171=1,INDEX(Vol_V,6,AH$170)/12*(1+V_dVol),0))</f>
        <v>0</v>
      </c>
      <c r="AI182" s="34" t="n">
        <f aca="false">IF(AI$8=1,N(Reales!AI17),IF(AI$171=1,INDEX(Vol_V,6,AI$170)/12*(1+V_dVol),0))</f>
        <v>0</v>
      </c>
      <c r="AJ182" s="34" t="n">
        <f aca="false">IF(AJ$8=1,N(Reales!AJ17),IF(AJ$171=1,INDEX(Vol_V,6,AJ$170)/12*(1+V_dVol),0))</f>
        <v>0</v>
      </c>
      <c r="AK182" s="34" t="n">
        <f aca="false">IF(AK$8=1,N(Reales!AK17),IF(AK$171=1,INDEX(Vol_V,6,AK$170)/12*(1+V_dVol),0))</f>
        <v>0</v>
      </c>
      <c r="AL182" s="34" t="n">
        <f aca="false">IF(AL$8=1,N(Reales!AL17),IF(AL$171=1,INDEX(Vol_V,6,AL$170)/12*(1+V_dVol),0))</f>
        <v>0</v>
      </c>
      <c r="AM182" s="34" t="n">
        <f aca="false">IF(AM$8=1,N(Reales!AM17),IF(AM$171=1,INDEX(Vol_V,6,AM$170)/12*(1+V_dVol),0))</f>
        <v>0</v>
      </c>
      <c r="AN182" s="34" t="n">
        <f aca="false">IF(AN$8=1,N(Reales!AN17),IF(AN$171=1,INDEX(Vol_V,6,AN$170)/12*(1+V_dVol),0))</f>
        <v>0</v>
      </c>
      <c r="AO182" s="34" t="n">
        <f aca="false">IF(AO$8=1,N(Reales!AO17),IF(AO$171=1,INDEX(Vol_V,6,AO$170)/12*(1+V_dVol),0))</f>
        <v>0</v>
      </c>
      <c r="AP182" s="34" t="n">
        <f aca="false">IF(AP$8=1,N(Reales!AP17),IF(AP$171=1,INDEX(Vol_V,6,AP$170)/12*(1+V_dVol),0))</f>
        <v>0</v>
      </c>
      <c r="AQ182" s="34" t="n">
        <f aca="false">IF(AQ$8=1,N(Reales!AQ17),IF(AQ$171=1,INDEX(Vol_V,6,AQ$170)/12*(1+V_dVol),0))</f>
        <v>0</v>
      </c>
      <c r="AR182" s="34" t="n">
        <f aca="false">IF(AR$8=1,N(Reales!AR17),IF(AR$171=1,INDEX(Vol_V,6,AR$170)/12*(1+V_dVol),0))</f>
        <v>0</v>
      </c>
      <c r="AS182" s="34" t="n">
        <f aca="false">IF(AS$8=1,N(Reales!AS17),IF(AS$171=1,INDEX(Vol_V,6,AS$170)/12*(1+V_dVol),0))</f>
        <v>0</v>
      </c>
      <c r="AT182" s="34" t="n">
        <f aca="false">IF(AT$8=1,N(Reales!AT17),IF(AT$171=1,INDEX(Vol_V,6,AT$170)/12*(1+V_dVol),0))</f>
        <v>0</v>
      </c>
      <c r="AU182" s="34" t="n">
        <f aca="false">IF(AU$8=1,N(Reales!AU17),IF(AU$171=1,INDEX(Vol_V,6,AU$170)/12*(1+V_dVol),0))</f>
        <v>0</v>
      </c>
      <c r="AV182" s="34" t="n">
        <f aca="false">IF(AV$8=1,N(Reales!AV17),IF(AV$171=1,INDEX(Vol_V,6,AV$170)/12*(1+V_dVol),0))</f>
        <v>0</v>
      </c>
      <c r="AW182" s="34" t="n">
        <f aca="false">IF(AW$8=1,N(Reales!AW17),IF(AW$171=1,INDEX(Vol_V,6,AW$170)/12*(1+V_dVol),0))</f>
        <v>0</v>
      </c>
      <c r="AX182" s="34" t="n">
        <f aca="false">IF(AX$8=1,N(Reales!AX17),IF(AX$171=1,INDEX(Vol_V,6,AX$170)/12*(1+V_dVol),0))</f>
        <v>0</v>
      </c>
      <c r="AY182" s="34" t="n">
        <f aca="false">IF(AY$8=1,N(Reales!AY17),IF(AY$171=1,INDEX(Vol_V,6,AY$170)/12*(1+V_dVol),0))</f>
        <v>0</v>
      </c>
      <c r="AZ182" s="34" t="n">
        <f aca="false">IF(AZ$8=1,N(Reales!AZ17),IF(AZ$171=1,INDEX(Vol_V,6,AZ$170)/12*(1+V_dVol),0))</f>
        <v>0</v>
      </c>
      <c r="BA182" s="34" t="n">
        <f aca="false">IF(BA$8=1,N(Reales!BA17),IF(BA$171=1,INDEX(Vol_V,6,BA$170)/12*(1+V_dVol),0))</f>
        <v>0</v>
      </c>
      <c r="BB182" s="34" t="n">
        <f aca="false">IF(BB$8=1,N(Reales!BB17),IF(BB$171=1,INDEX(Vol_V,6,BB$170)/12*(1+V_dVol),0))</f>
        <v>0</v>
      </c>
      <c r="BC182" s="34" t="n">
        <f aca="false">IF(BC$8=1,N(Reales!BC17),IF(BC$171=1,INDEX(Vol_V,6,BC$170)/12*(1+V_dVol),0))</f>
        <v>0</v>
      </c>
      <c r="BD182" s="34" t="n">
        <f aca="false">IF(BD$8=1,N(Reales!BD17),IF(BD$171=1,INDEX(Vol_V,6,BD$170)/12*(1+V_dVol),0))</f>
        <v>0</v>
      </c>
      <c r="BE182" s="34" t="n">
        <f aca="false">IF(BE$8=1,N(Reales!BE17),IF(BE$171=1,INDEX(Vol_V,6,BE$170)/12*(1+V_dVol),0))</f>
        <v>0</v>
      </c>
      <c r="BF182" s="34" t="n">
        <f aca="false">IF(BF$8=1,N(Reales!BF17),IF(BF$171=1,INDEX(Vol_V,6,BF$170)/12*(1+V_dVol),0))</f>
        <v>0</v>
      </c>
      <c r="BG182" s="34" t="n">
        <f aca="false">IF(BG$8=1,N(Reales!BG17),IF(BG$171=1,INDEX(Vol_V,6,BG$170)/12*(1+V_dVol),0))</f>
        <v>0</v>
      </c>
      <c r="BH182" s="34" t="n">
        <f aca="false">IF(BH$8=1,N(Reales!BH17),IF(BH$171=1,INDEX(Vol_V,6,BH$170)/12*(1+V_dVol),0))</f>
        <v>0</v>
      </c>
      <c r="BI182" s="34" t="n">
        <f aca="false">IF(BI$8=1,N(Reales!BI17),IF(BI$171=1,INDEX(Vol_V,6,BI$170)/12*(1+V_dVol),0))</f>
        <v>0</v>
      </c>
      <c r="BJ182" s="34" t="n">
        <f aca="false">IF(BJ$8=1,N(Reales!BJ17),IF(BJ$171=1,INDEX(Vol_V,6,BJ$170)/12*(1+V_dVol),0))</f>
        <v>0</v>
      </c>
      <c r="BK182" s="34" t="n">
        <f aca="false">IF(BK$8=1,N(Reales!BK17),IF(BK$171=1,INDEX(Vol_V,6,BK$170)/12*(1+V_dVol),0))</f>
        <v>0</v>
      </c>
      <c r="BL182" s="34" t="n">
        <f aca="false">IF(BL$8=1,N(Reales!BL17),IF(BL$171=1,INDEX(Vol_V,6,BL$170)/12*(1+V_dVol),0))</f>
        <v>0</v>
      </c>
      <c r="BM182" s="34" t="n">
        <f aca="false">IF(BM$8=1,N(Reales!BM17),IF(BM$171=1,INDEX(Vol_V,6,BM$170)/12*(1+V_dVol),0))</f>
        <v>0</v>
      </c>
      <c r="BN182" s="34" t="n">
        <f aca="false">IF(BN$8=1,N(Reales!BN17),IF(BN$171=1,INDEX(Vol_V,6,BN$170)/12*(1+V_dVol),0))</f>
        <v>0</v>
      </c>
      <c r="BO182" s="34" t="n">
        <f aca="false">IF(BO$8=1,N(Reales!BO17),IF(BO$171=1,INDEX(Vol_V,6,BO$170)/12*(1+V_dVol),0))</f>
        <v>0</v>
      </c>
      <c r="BP182" s="34" t="n">
        <f aca="false">IF(BP$8=1,N(Reales!BP17),IF(BP$171=1,INDEX(Vol_V,6,BP$170)/12*(1+V_dVol),0))</f>
        <v>0</v>
      </c>
      <c r="BQ182" s="34" t="n">
        <f aca="false">IF(BQ$8=1,N(Reales!BQ17),IF(BQ$171=1,INDEX(Vol_V,6,BQ$170)/12*(1+V_dVol),0))</f>
        <v>0</v>
      </c>
      <c r="BR182" s="34" t="n">
        <f aca="false">IF(BR$8=1,N(Reales!BR17),IF(BR$171=1,INDEX(Vol_V,6,BR$170)/12*(1+V_dVol),0))</f>
        <v>0</v>
      </c>
      <c r="BS182" s="34" t="n">
        <f aca="false">IF(BS$8=1,N(Reales!BS17),IF(BS$171=1,INDEX(Vol_V,6,BS$170)/12*(1+V_dVol),0))</f>
        <v>0</v>
      </c>
      <c r="BT182" s="34" t="n">
        <f aca="false">IF(BT$8=1,N(Reales!BT17),IF(BT$171=1,INDEX(Vol_V,6,BT$170)/12*(1+V_dVol),0))</f>
        <v>0</v>
      </c>
      <c r="BU182" s="34" t="n">
        <f aca="false">IF(BU$8=1,N(Reales!BU17),IF(BU$171=1,INDEX(Vol_V,6,BU$170)/12*(1+V_dVol),0))</f>
        <v>0</v>
      </c>
      <c r="BV182" s="34" t="n">
        <f aca="false">IF(BV$8=1,N(Reales!BV17),IF(BV$171=1,INDEX(Vol_V,6,BV$170)/12*(1+V_dVol),0))</f>
        <v>0</v>
      </c>
      <c r="BW182" s="34" t="n">
        <f aca="false">IF(BW$8=1,N(Reales!BW17),IF(BW$171=1,INDEX(Vol_V,6,BW$170)/12*(1+V_dVol),0))</f>
        <v>0</v>
      </c>
      <c r="BX182" s="34" t="n">
        <f aca="false">IF(BX$8=1,N(Reales!BX17),IF(BX$171=1,INDEX(Vol_V,6,BX$170)/12*(1+V_dVol),0))</f>
        <v>0</v>
      </c>
      <c r="BY182" s="34" t="n">
        <f aca="false">IF(BY$8=1,N(Reales!BY17),IF(BY$171=1,INDEX(Vol_V,6,BY$170)/12*(1+V_dVol),0))</f>
        <v>0</v>
      </c>
      <c r="BZ182" s="34" t="n">
        <f aca="false">IF(BZ$8=1,N(Reales!BZ17),IF(BZ$171=1,INDEX(Vol_V,6,BZ$170)/12*(1+V_dVol),0))</f>
        <v>0</v>
      </c>
      <c r="CA182" s="34" t="n">
        <f aca="false">IF(CA$8=1,N(Reales!CA17),IF(CA$171=1,INDEX(Vol_V,6,CA$170)/12*(1+V_dVol),0))</f>
        <v>0</v>
      </c>
      <c r="CB182" s="34" t="n">
        <f aca="false">IF(CB$8=1,N(Reales!CB17),IF(CB$171=1,INDEX(Vol_V,6,CB$170)/12*(1+V_dVol),0))</f>
        <v>0</v>
      </c>
      <c r="CC182" s="34" t="n">
        <f aca="false">IF(CC$8=1,N(Reales!CC17),IF(CC$171=1,INDEX(Vol_V,6,CC$170)/12*(1+V_dVol),0))</f>
        <v>0</v>
      </c>
      <c r="CD182" s="34" t="n">
        <f aca="false">IF(CD$8=1,N(Reales!CD17),IF(CD$171=1,INDEX(Vol_V,6,CD$170)/12*(1+V_dVol),0))</f>
        <v>0</v>
      </c>
      <c r="CE182" s="34" t="n">
        <f aca="false">IF(CE$8=1,N(Reales!CE17),IF(CE$171=1,INDEX(Vol_V,6,CE$170)/12*(1+V_dVol),0))</f>
        <v>0</v>
      </c>
      <c r="CF182" s="34" t="n">
        <f aca="false">IF(CF$8=1,N(Reales!CF17),IF(CF$171=1,INDEX(Vol_V,6,CF$170)/12*(1+V_dVol),0))</f>
        <v>0</v>
      </c>
      <c r="CG182" s="34" t="n">
        <f aca="false">IF(CG$8=1,N(Reales!CG17),IF(CG$171=1,INDEX(Vol_V,6,CG$170)/12*(1+V_dVol),0))</f>
        <v>0</v>
      </c>
      <c r="CH182" s="34" t="n">
        <f aca="false">IF(CH$8=1,N(Reales!CH17),IF(CH$171=1,INDEX(Vol_V,6,CH$170)/12*(1+V_dVol),0))</f>
        <v>0</v>
      </c>
      <c r="CI182" s="34" t="n">
        <f aca="false">IF(CI$8=1,N(Reales!CI17),IF(CI$171=1,INDEX(Vol_V,6,CI$170)/12*(1+V_dVol),0))</f>
        <v>0</v>
      </c>
      <c r="CJ182" s="34" t="n">
        <f aca="false">IF(CJ$8=1,N(Reales!CJ17),IF(CJ$171=1,INDEX(Vol_V,6,CJ$170)/12*(1+V_dVol),0))</f>
        <v>0</v>
      </c>
      <c r="CK182" s="34" t="n">
        <f aca="false">IF(CK$8=1,N(Reales!CK17),IF(CK$171=1,INDEX(Vol_V,6,CK$170)/12*(1+V_dVol),0))</f>
        <v>0</v>
      </c>
      <c r="CL182" s="34" t="n">
        <f aca="false">IF(CL$8=1,N(Reales!CL17),IF(CL$171=1,INDEX(Vol_V,6,CL$170)/12*(1+V_dVol),0))</f>
        <v>0</v>
      </c>
      <c r="CM182" s="34" t="n">
        <f aca="false">IF(CM$8=1,N(Reales!CM17),IF(CM$171=1,INDEX(Vol_V,6,CM$170)/12*(1+V_dVol),0))</f>
        <v>0</v>
      </c>
      <c r="CN182" s="34" t="n">
        <f aca="false">IF(CN$8=1,N(Reales!CN17),IF(CN$171=1,INDEX(Vol_V,6,CN$170)/12*(1+V_dVol),0))</f>
        <v>0</v>
      </c>
      <c r="CO182" s="34" t="n">
        <f aca="false">IF(CO$8=1,N(Reales!CO17),IF(CO$171=1,INDEX(Vol_V,6,CO$170)/12*(1+V_dVol),0))</f>
        <v>0</v>
      </c>
      <c r="CP182" s="34" t="n">
        <f aca="false">IF(CP$8=1,N(Reales!CP17),IF(CP$171=1,INDEX(Vol_V,6,CP$170)/12*(1+V_dVol),0))</f>
        <v>0</v>
      </c>
      <c r="CQ182" s="34" t="n">
        <f aca="false">IF(CQ$8=1,N(Reales!CQ17),IF(CQ$171=1,INDEX(Vol_V,6,CQ$170)/12*(1+V_dVol),0))</f>
        <v>0</v>
      </c>
      <c r="CR182" s="34" t="n">
        <f aca="false">IF(CR$8=1,N(Reales!CR17),IF(CR$171=1,INDEX(Vol_V,6,CR$170)/12*(1+V_dVol),0))</f>
        <v>0</v>
      </c>
      <c r="CS182" s="34" t="n">
        <f aca="false">IF(CS$8=1,N(Reales!CS17),IF(CS$171=1,INDEX(Vol_V,6,CS$170)/12*(1+V_dVol),0))</f>
        <v>0</v>
      </c>
      <c r="CT182" s="34" t="n">
        <f aca="false">IF(CT$8=1,N(Reales!CT17),IF(CT$171=1,INDEX(Vol_V,6,CT$170)/12*(1+V_dVol),0))</f>
        <v>0</v>
      </c>
      <c r="CU182" s="34" t="n">
        <f aca="false">IF(CU$8=1,N(Reales!CU17),IF(CU$171=1,INDEX(Vol_V,6,CU$170)/12*(1+V_dVol),0))</f>
        <v>0</v>
      </c>
      <c r="CV182" s="34" t="n">
        <f aca="false">IF(CV$8=1,N(Reales!CV17),IF(CV$171=1,INDEX(Vol_V,6,CV$170)/12*(1+V_dVol),0))</f>
        <v>0</v>
      </c>
      <c r="CW182" s="34" t="n">
        <f aca="false">IF(CW$8=1,N(Reales!CW17),IF(CW$171=1,INDEX(Vol_V,6,CW$170)/12*(1+V_dVol),0))</f>
        <v>0</v>
      </c>
      <c r="CX182" s="34" t="n">
        <f aca="false">IF(CX$8=1,N(Reales!CX17),IF(CX$171=1,INDEX(Vol_V,6,CX$170)/12*(1+V_dVol),0))</f>
        <v>0</v>
      </c>
      <c r="CY182" s="34" t="n">
        <f aca="false">IF(CY$8=1,N(Reales!CY17),IF(CY$171=1,INDEX(Vol_V,6,CY$170)/12*(1+V_dVol),0))</f>
        <v>0</v>
      </c>
      <c r="CZ182" s="34" t="n">
        <f aca="false">IF(CZ$8=1,N(Reales!CZ17),IF(CZ$171=1,INDEX(Vol_V,6,CZ$170)/12*(1+V_dVol),0))</f>
        <v>0</v>
      </c>
      <c r="DA182" s="34" t="n">
        <f aca="false">IF(DA$8=1,N(Reales!DA17),IF(DA$171=1,INDEX(Vol_V,6,DA$170)/12*(1+V_dVol),0))</f>
        <v>0</v>
      </c>
      <c r="DB182" s="34" t="n">
        <f aca="false">IF(DB$8=1,N(Reales!DB17),IF(DB$171=1,INDEX(Vol_V,6,DB$170)/12*(1+V_dVol),0))</f>
        <v>0</v>
      </c>
      <c r="DC182" s="34" t="n">
        <f aca="false">IF(DC$8=1,N(Reales!DC17),IF(DC$171=1,INDEX(Vol_V,6,DC$170)/12*(1+V_dVol),0))</f>
        <v>0</v>
      </c>
      <c r="DD182" s="34" t="n">
        <f aca="false">IF(DD$8=1,N(Reales!DD17),IF(DD$171=1,INDEX(Vol_V,6,DD$170)/12*(1+V_dVol),0))</f>
        <v>0</v>
      </c>
      <c r="DE182" s="34" t="n">
        <f aca="false">IF(DE$8=1,N(Reales!DE17),IF(DE$171=1,INDEX(Vol_V,6,DE$170)/12*(1+V_dVol),0))</f>
        <v>0</v>
      </c>
      <c r="DF182" s="34" t="n">
        <f aca="false">IF(DF$8=1,N(Reales!DF17),IF(DF$171=1,INDEX(Vol_V,6,DF$170)/12*(1+V_dVol),0))</f>
        <v>0</v>
      </c>
      <c r="DG182" s="34" t="n">
        <f aca="false">IF(DG$8=1,N(Reales!DG17),IF(DG$171=1,INDEX(Vol_V,6,DG$170)/12*(1+V_dVol),0))</f>
        <v>0</v>
      </c>
      <c r="DH182" s="34" t="n">
        <f aca="false">IF(DH$8=1,N(Reales!DH17),IF(DH$171=1,INDEX(Vol_V,6,DH$170)/12*(1+V_dVol),0))</f>
        <v>0</v>
      </c>
      <c r="DI182" s="34" t="n">
        <f aca="false">IF(DI$8=1,N(Reales!DI17),IF(DI$171=1,INDEX(Vol_V,6,DI$170)/12*(1+V_dVol),0))</f>
        <v>0</v>
      </c>
      <c r="DJ182" s="34" t="n">
        <f aca="false">IF(DJ$8=1,N(Reales!DJ17),IF(DJ$171=1,INDEX(Vol_V,6,DJ$170)/12*(1+V_dVol),0))</f>
        <v>0</v>
      </c>
      <c r="DK182" s="34" t="n">
        <f aca="false">IF(DK$8=1,N(Reales!DK17),IF(DK$171=1,INDEX(Vol_V,6,DK$170)/12*(1+V_dVol),0))</f>
        <v>0</v>
      </c>
      <c r="DL182" s="34" t="n">
        <f aca="false">IF(DL$8=1,N(Reales!DL17),IF(DL$171=1,INDEX(Vol_V,6,DL$170)/12*(1+V_dVol),0))</f>
        <v>0</v>
      </c>
      <c r="DM182" s="34" t="n">
        <f aca="false">IF(DM$8=1,N(Reales!DM17),IF(DM$171=1,INDEX(Vol_V,6,DM$170)/12*(1+V_dVol),0))</f>
        <v>0</v>
      </c>
      <c r="DN182" s="34" t="n">
        <f aca="false">IF(DN$8=1,N(Reales!DN17),IF(DN$171=1,INDEX(Vol_V,6,DN$170)/12*(1+V_dVol),0))</f>
        <v>0</v>
      </c>
      <c r="DO182" s="34" t="n">
        <f aca="false">IF(DO$8=1,N(Reales!DO17),IF(DO$171=1,INDEX(Vol_V,6,DO$170)/12*(1+V_dVol),0))</f>
        <v>0</v>
      </c>
      <c r="DP182" s="34" t="n">
        <f aca="false">IF(DP$8=1,N(Reales!DP17),IF(DP$171=1,INDEX(Vol_V,6,DP$170)/12*(1+V_dVol),0))</f>
        <v>0</v>
      </c>
      <c r="DQ182" s="34" t="n">
        <f aca="false">IF(DQ$8=1,N(Reales!DQ17),IF(DQ$171=1,INDEX(Vol_V,6,DQ$170)/12*(1+V_dVol),0))</f>
        <v>0</v>
      </c>
      <c r="DR182" s="34" t="n">
        <f aca="false">IF(DR$8=1,N(Reales!DR17),IF(DR$171=1,INDEX(Vol_V,6,DR$170)/12*(1+V_dVol),0))</f>
        <v>0</v>
      </c>
      <c r="DS182" s="34" t="n">
        <f aca="false">IF(DS$8=1,N(Reales!DS17),IF(DS$171=1,INDEX(Vol_V,6,DS$170)/12*(1+V_dVol),0))</f>
        <v>0</v>
      </c>
      <c r="DT182" s="34" t="n">
        <f aca="false">IF(DT$8=1,N(Reales!DT17),IF(DT$171=1,INDEX(Vol_V,6,DT$170)/12*(1+V_dVol),0))</f>
        <v>0</v>
      </c>
      <c r="DU182" s="34" t="n">
        <f aca="false">IF(DU$8=1,N(Reales!DU17),IF(DU$171=1,INDEX(Vol_V,6,DU$170)/12*(1+V_dVol),0))</f>
        <v>0</v>
      </c>
      <c r="DV182" s="34" t="n">
        <f aca="false">IF(DV$8=1,N(Reales!DV17),IF(DV$171=1,INDEX(Vol_V,6,DV$170)/12*(1+V_dVol),0))</f>
        <v>0</v>
      </c>
      <c r="DW182" s="34" t="n">
        <f aca="false">IF(DW$8=1,N(Reales!DW17),IF(DW$171=1,INDEX(Vol_V,6,DW$170)/12*(1+V_dVol),0))</f>
        <v>0</v>
      </c>
      <c r="DX182" s="34" t="n">
        <f aca="false">IF(DX$8=1,N(Reales!DX17),IF(DX$171=1,INDEX(Vol_V,6,DX$170)/12*(1+V_dVol),0))</f>
        <v>0</v>
      </c>
      <c r="DY182" s="34" t="n">
        <f aca="false">IF(DY$8=1,N(Reales!DY17),IF(DY$171=1,INDEX(Vol_V,6,DY$170)/12*(1+V_dVol),0))</f>
        <v>0</v>
      </c>
      <c r="DZ182" s="34" t="n">
        <f aca="false">IF(DZ$8=1,N(Reales!DZ17),IF(DZ$171=1,INDEX(Vol_V,6,DZ$170)/12*(1+V_dVol),0))</f>
        <v>0</v>
      </c>
      <c r="EA182" s="34" t="n">
        <f aca="false">IF(EA$8=1,N(Reales!EA17),IF(EA$171=1,INDEX(Vol_V,6,EA$170)/12*(1+V_dVol),0))</f>
        <v>0</v>
      </c>
      <c r="EB182" s="34" t="n">
        <f aca="false">IF(EB$8=1,N(Reales!EB17),IF(EB$171=1,INDEX(Vol_V,6,EB$170)/12*(1+V_dVol),0))</f>
        <v>0</v>
      </c>
      <c r="EC182" s="34" t="n">
        <f aca="false">IF(EC$8=1,N(Reales!EC17),IF(EC$171=1,INDEX(Vol_V,6,EC$170)/12*(1+V_dVol),0))</f>
        <v>0</v>
      </c>
      <c r="ED182" s="34" t="n">
        <f aca="false">IF(ED$8=1,N(Reales!ED17),IF(ED$171=1,INDEX(Vol_V,6,ED$170)/12*(1+V_dVol),0))</f>
        <v>0</v>
      </c>
      <c r="EE182" s="34" t="n">
        <f aca="false">IF(EE$8=1,N(Reales!EE17),IF(EE$171=1,INDEX(Vol_V,6,EE$170)/12*(1+V_dVol),0))</f>
        <v>0</v>
      </c>
      <c r="EF182" s="34" t="n">
        <f aca="false">IF(EF$8=1,N(Reales!EF17),IF(EF$171=1,INDEX(Vol_V,6,EF$170)/12*(1+V_dVol),0))</f>
        <v>0</v>
      </c>
      <c r="EG182" s="34" t="n">
        <f aca="false">IF(EG$8=1,N(Reales!EG17),IF(EG$171=1,INDEX(Vol_V,6,EG$170)/12*(1+V_dVol),0))</f>
        <v>0</v>
      </c>
      <c r="EH182" s="34" t="n">
        <f aca="false">IF(EH$8=1,N(Reales!EH17),IF(EH$171=1,INDEX(Vol_V,6,EH$170)/12*(1+V_dVol),0))</f>
        <v>0</v>
      </c>
      <c r="EI182" s="34" t="n">
        <f aca="false">IF(EI$8=1,N(Reales!EI17),IF(EI$171=1,INDEX(Vol_V,6,EI$170)/12*(1+V_dVol),0))</f>
        <v>0</v>
      </c>
      <c r="EJ182" s="34" t="n">
        <f aca="false">IF(EJ$8=1,N(Reales!EJ17),IF(EJ$171=1,INDEX(Vol_V,6,EJ$170)/12*(1+V_dVol),0))</f>
        <v>0</v>
      </c>
      <c r="EK182" s="34" t="n">
        <f aca="false">IF(EK$8=1,N(Reales!EK17),IF(EK$171=1,INDEX(Vol_V,6,EK$170)/12*(1+V_dVol),0))</f>
        <v>0</v>
      </c>
      <c r="EL182" s="34" t="n">
        <f aca="false">IF(EL$8=1,N(Reales!EL17),IF(EL$171=1,INDEX(Vol_V,6,EL$170)/12*(1+V_dVol),0))</f>
        <v>0</v>
      </c>
      <c r="EM182" s="34" t="n">
        <f aca="false">IF(EM$8=1,N(Reales!EM17),IF(EM$171=1,INDEX(Vol_V,6,EM$170)/12*(1+V_dVol),0))</f>
        <v>0</v>
      </c>
      <c r="EN182" s="34" t="n">
        <f aca="false">IF(EN$8=1,N(Reales!EN17),IF(EN$171=1,INDEX(Vol_V,6,EN$170)/12*(1+V_dVol),0))</f>
        <v>0</v>
      </c>
      <c r="EO182" s="34" t="n">
        <f aca="false">IF(EO$8=1,N(Reales!EO17),IF(EO$171=1,INDEX(Vol_V,6,EO$170)/12*(1+V_dVol),0))</f>
        <v>0</v>
      </c>
      <c r="EP182" s="34" t="n">
        <f aca="false">IF(EP$8=1,N(Reales!EP17),IF(EP$171=1,INDEX(Vol_V,6,EP$170)/12*(1+V_dVol),0))</f>
        <v>0</v>
      </c>
      <c r="EQ182" s="34" t="n">
        <f aca="false">IF(EQ$8=1,N(Reales!EQ17),IF(EQ$171=1,INDEX(Vol_V,6,EQ$170)/12*(1+V_dVol),0))</f>
        <v>0</v>
      </c>
      <c r="ER182" s="34" t="n">
        <f aca="false">IF(ER$8=1,N(Reales!ER17),IF(ER$171=1,INDEX(Vol_V,6,ER$170)/12*(1+V_dVol),0))</f>
        <v>0</v>
      </c>
      <c r="ES182" s="34" t="n">
        <f aca="false">IF(ES$8=1,N(Reales!ES17),IF(ES$171=1,INDEX(Vol_V,6,ES$170)/12*(1+V_dVol),0))</f>
        <v>0</v>
      </c>
    </row>
    <row r="183" customFormat="false" ht="15" hidden="false" customHeight="false" outlineLevel="0" collapsed="false">
      <c r="A183" s="2" t="s">
        <v>825</v>
      </c>
      <c r="B183" s="39" t="str">
        <f aca="false">IF(INDEX(Prod_Nombre,7)="","Producto 7",INDEX(Prod_Nombre,7))&amp;" — unidades"</f>
        <v>Producto 7 — unidades</v>
      </c>
      <c r="C183" s="6" t="s">
        <v>286</v>
      </c>
      <c r="E183" s="40" t="n">
        <f aca="false">SUM(F183:ES183)</f>
        <v>0</v>
      </c>
      <c r="F183" s="34" t="n">
        <f aca="false">IF(F$8=1,N(Reales!F18),IF(F$171=1,INDEX(Vol_V,7,F$170)/12*(1+V_dVol),0))</f>
        <v>0</v>
      </c>
      <c r="G183" s="34" t="n">
        <f aca="false">IF(G$8=1,N(Reales!G18),IF(G$171=1,INDEX(Vol_V,7,G$170)/12*(1+V_dVol),0))</f>
        <v>0</v>
      </c>
      <c r="H183" s="34" t="n">
        <f aca="false">IF(H$8=1,N(Reales!H18),IF(H$171=1,INDEX(Vol_V,7,H$170)/12*(1+V_dVol),0))</f>
        <v>0</v>
      </c>
      <c r="I183" s="34" t="n">
        <f aca="false">IF(I$8=1,N(Reales!I18),IF(I$171=1,INDEX(Vol_V,7,I$170)/12*(1+V_dVol),0))</f>
        <v>0</v>
      </c>
      <c r="J183" s="34" t="n">
        <f aca="false">IF(J$8=1,N(Reales!J18),IF(J$171=1,INDEX(Vol_V,7,J$170)/12*(1+V_dVol),0))</f>
        <v>0</v>
      </c>
      <c r="K183" s="34" t="n">
        <f aca="false">IF(K$8=1,N(Reales!K18),IF(K$171=1,INDEX(Vol_V,7,K$170)/12*(1+V_dVol),0))</f>
        <v>0</v>
      </c>
      <c r="L183" s="34" t="n">
        <f aca="false">IF(L$8=1,N(Reales!L18),IF(L$171=1,INDEX(Vol_V,7,L$170)/12*(1+V_dVol),0))</f>
        <v>0</v>
      </c>
      <c r="M183" s="34" t="n">
        <f aca="false">IF(M$8=1,N(Reales!M18),IF(M$171=1,INDEX(Vol_V,7,M$170)/12*(1+V_dVol),0))</f>
        <v>0</v>
      </c>
      <c r="N183" s="34" t="n">
        <f aca="false">IF(N$8=1,N(Reales!N18),IF(N$171=1,INDEX(Vol_V,7,N$170)/12*(1+V_dVol),0))</f>
        <v>0</v>
      </c>
      <c r="O183" s="34" t="n">
        <f aca="false">IF(O$8=1,N(Reales!O18),IF(O$171=1,INDEX(Vol_V,7,O$170)/12*(1+V_dVol),0))</f>
        <v>0</v>
      </c>
      <c r="P183" s="34" t="n">
        <f aca="false">IF(P$8=1,N(Reales!P18),IF(P$171=1,INDEX(Vol_V,7,P$170)/12*(1+V_dVol),0))</f>
        <v>0</v>
      </c>
      <c r="Q183" s="34" t="n">
        <f aca="false">IF(Q$8=1,N(Reales!Q18),IF(Q$171=1,INDEX(Vol_V,7,Q$170)/12*(1+V_dVol),0))</f>
        <v>0</v>
      </c>
      <c r="R183" s="34" t="n">
        <f aca="false">IF(R$8=1,N(Reales!R18),IF(R$171=1,INDEX(Vol_V,7,R$170)/12*(1+V_dVol),0))</f>
        <v>0</v>
      </c>
      <c r="S183" s="34" t="n">
        <f aca="false">IF(S$8=1,N(Reales!S18),IF(S$171=1,INDEX(Vol_V,7,S$170)/12*(1+V_dVol),0))</f>
        <v>0</v>
      </c>
      <c r="T183" s="34" t="n">
        <f aca="false">IF(T$8=1,N(Reales!T18),IF(T$171=1,INDEX(Vol_V,7,T$170)/12*(1+V_dVol),0))</f>
        <v>0</v>
      </c>
      <c r="U183" s="34" t="n">
        <f aca="false">IF(U$8=1,N(Reales!U18),IF(U$171=1,INDEX(Vol_V,7,U$170)/12*(1+V_dVol),0))</f>
        <v>0</v>
      </c>
      <c r="V183" s="34" t="n">
        <f aca="false">IF(V$8=1,N(Reales!V18),IF(V$171=1,INDEX(Vol_V,7,V$170)/12*(1+V_dVol),0))</f>
        <v>0</v>
      </c>
      <c r="W183" s="34" t="n">
        <f aca="false">IF(W$8=1,N(Reales!W18),IF(W$171=1,INDEX(Vol_V,7,W$170)/12*(1+V_dVol),0))</f>
        <v>0</v>
      </c>
      <c r="X183" s="34" t="n">
        <f aca="false">IF(X$8=1,N(Reales!X18),IF(X$171=1,INDEX(Vol_V,7,X$170)/12*(1+V_dVol),0))</f>
        <v>0</v>
      </c>
      <c r="Y183" s="34" t="n">
        <f aca="false">IF(Y$8=1,N(Reales!Y18),IF(Y$171=1,INDEX(Vol_V,7,Y$170)/12*(1+V_dVol),0))</f>
        <v>0</v>
      </c>
      <c r="Z183" s="34" t="n">
        <f aca="false">IF(Z$8=1,N(Reales!Z18),IF(Z$171=1,INDEX(Vol_V,7,Z$170)/12*(1+V_dVol),0))</f>
        <v>0</v>
      </c>
      <c r="AA183" s="34" t="n">
        <f aca="false">IF(AA$8=1,N(Reales!AA18),IF(AA$171=1,INDEX(Vol_V,7,AA$170)/12*(1+V_dVol),0))</f>
        <v>0</v>
      </c>
      <c r="AB183" s="34" t="n">
        <f aca="false">IF(AB$8=1,N(Reales!AB18),IF(AB$171=1,INDEX(Vol_V,7,AB$170)/12*(1+V_dVol),0))</f>
        <v>0</v>
      </c>
      <c r="AC183" s="34" t="n">
        <f aca="false">IF(AC$8=1,N(Reales!AC18),IF(AC$171=1,INDEX(Vol_V,7,AC$170)/12*(1+V_dVol),0))</f>
        <v>0</v>
      </c>
      <c r="AD183" s="34" t="n">
        <f aca="false">IF(AD$8=1,N(Reales!AD18),IF(AD$171=1,INDEX(Vol_V,7,AD$170)/12*(1+V_dVol),0))</f>
        <v>0</v>
      </c>
      <c r="AE183" s="34" t="n">
        <f aca="false">IF(AE$8=1,N(Reales!AE18),IF(AE$171=1,INDEX(Vol_V,7,AE$170)/12*(1+V_dVol),0))</f>
        <v>0</v>
      </c>
      <c r="AF183" s="34" t="n">
        <f aca="false">IF(AF$8=1,N(Reales!AF18),IF(AF$171=1,INDEX(Vol_V,7,AF$170)/12*(1+V_dVol),0))</f>
        <v>0</v>
      </c>
      <c r="AG183" s="34" t="n">
        <f aca="false">IF(AG$8=1,N(Reales!AG18),IF(AG$171=1,INDEX(Vol_V,7,AG$170)/12*(1+V_dVol),0))</f>
        <v>0</v>
      </c>
      <c r="AH183" s="34" t="n">
        <f aca="false">IF(AH$8=1,N(Reales!AH18),IF(AH$171=1,INDEX(Vol_V,7,AH$170)/12*(1+V_dVol),0))</f>
        <v>0</v>
      </c>
      <c r="AI183" s="34" t="n">
        <f aca="false">IF(AI$8=1,N(Reales!AI18),IF(AI$171=1,INDEX(Vol_V,7,AI$170)/12*(1+V_dVol),0))</f>
        <v>0</v>
      </c>
      <c r="AJ183" s="34" t="n">
        <f aca="false">IF(AJ$8=1,N(Reales!AJ18),IF(AJ$171=1,INDEX(Vol_V,7,AJ$170)/12*(1+V_dVol),0))</f>
        <v>0</v>
      </c>
      <c r="AK183" s="34" t="n">
        <f aca="false">IF(AK$8=1,N(Reales!AK18),IF(AK$171=1,INDEX(Vol_V,7,AK$170)/12*(1+V_dVol),0))</f>
        <v>0</v>
      </c>
      <c r="AL183" s="34" t="n">
        <f aca="false">IF(AL$8=1,N(Reales!AL18),IF(AL$171=1,INDEX(Vol_V,7,AL$170)/12*(1+V_dVol),0))</f>
        <v>0</v>
      </c>
      <c r="AM183" s="34" t="n">
        <f aca="false">IF(AM$8=1,N(Reales!AM18),IF(AM$171=1,INDEX(Vol_V,7,AM$170)/12*(1+V_dVol),0))</f>
        <v>0</v>
      </c>
      <c r="AN183" s="34" t="n">
        <f aca="false">IF(AN$8=1,N(Reales!AN18),IF(AN$171=1,INDEX(Vol_V,7,AN$170)/12*(1+V_dVol),0))</f>
        <v>0</v>
      </c>
      <c r="AO183" s="34" t="n">
        <f aca="false">IF(AO$8=1,N(Reales!AO18),IF(AO$171=1,INDEX(Vol_V,7,AO$170)/12*(1+V_dVol),0))</f>
        <v>0</v>
      </c>
      <c r="AP183" s="34" t="n">
        <f aca="false">IF(AP$8=1,N(Reales!AP18),IF(AP$171=1,INDEX(Vol_V,7,AP$170)/12*(1+V_dVol),0))</f>
        <v>0</v>
      </c>
      <c r="AQ183" s="34" t="n">
        <f aca="false">IF(AQ$8=1,N(Reales!AQ18),IF(AQ$171=1,INDEX(Vol_V,7,AQ$170)/12*(1+V_dVol),0))</f>
        <v>0</v>
      </c>
      <c r="AR183" s="34" t="n">
        <f aca="false">IF(AR$8=1,N(Reales!AR18),IF(AR$171=1,INDEX(Vol_V,7,AR$170)/12*(1+V_dVol),0))</f>
        <v>0</v>
      </c>
      <c r="AS183" s="34" t="n">
        <f aca="false">IF(AS$8=1,N(Reales!AS18),IF(AS$171=1,INDEX(Vol_V,7,AS$170)/12*(1+V_dVol),0))</f>
        <v>0</v>
      </c>
      <c r="AT183" s="34" t="n">
        <f aca="false">IF(AT$8=1,N(Reales!AT18),IF(AT$171=1,INDEX(Vol_V,7,AT$170)/12*(1+V_dVol),0))</f>
        <v>0</v>
      </c>
      <c r="AU183" s="34" t="n">
        <f aca="false">IF(AU$8=1,N(Reales!AU18),IF(AU$171=1,INDEX(Vol_V,7,AU$170)/12*(1+V_dVol),0))</f>
        <v>0</v>
      </c>
      <c r="AV183" s="34" t="n">
        <f aca="false">IF(AV$8=1,N(Reales!AV18),IF(AV$171=1,INDEX(Vol_V,7,AV$170)/12*(1+V_dVol),0))</f>
        <v>0</v>
      </c>
      <c r="AW183" s="34" t="n">
        <f aca="false">IF(AW$8=1,N(Reales!AW18),IF(AW$171=1,INDEX(Vol_V,7,AW$170)/12*(1+V_dVol),0))</f>
        <v>0</v>
      </c>
      <c r="AX183" s="34" t="n">
        <f aca="false">IF(AX$8=1,N(Reales!AX18),IF(AX$171=1,INDEX(Vol_V,7,AX$170)/12*(1+V_dVol),0))</f>
        <v>0</v>
      </c>
      <c r="AY183" s="34" t="n">
        <f aca="false">IF(AY$8=1,N(Reales!AY18),IF(AY$171=1,INDEX(Vol_V,7,AY$170)/12*(1+V_dVol),0))</f>
        <v>0</v>
      </c>
      <c r="AZ183" s="34" t="n">
        <f aca="false">IF(AZ$8=1,N(Reales!AZ18),IF(AZ$171=1,INDEX(Vol_V,7,AZ$170)/12*(1+V_dVol),0))</f>
        <v>0</v>
      </c>
      <c r="BA183" s="34" t="n">
        <f aca="false">IF(BA$8=1,N(Reales!BA18),IF(BA$171=1,INDEX(Vol_V,7,BA$170)/12*(1+V_dVol),0))</f>
        <v>0</v>
      </c>
      <c r="BB183" s="34" t="n">
        <f aca="false">IF(BB$8=1,N(Reales!BB18),IF(BB$171=1,INDEX(Vol_V,7,BB$170)/12*(1+V_dVol),0))</f>
        <v>0</v>
      </c>
      <c r="BC183" s="34" t="n">
        <f aca="false">IF(BC$8=1,N(Reales!BC18),IF(BC$171=1,INDEX(Vol_V,7,BC$170)/12*(1+V_dVol),0))</f>
        <v>0</v>
      </c>
      <c r="BD183" s="34" t="n">
        <f aca="false">IF(BD$8=1,N(Reales!BD18),IF(BD$171=1,INDEX(Vol_V,7,BD$170)/12*(1+V_dVol),0))</f>
        <v>0</v>
      </c>
      <c r="BE183" s="34" t="n">
        <f aca="false">IF(BE$8=1,N(Reales!BE18),IF(BE$171=1,INDEX(Vol_V,7,BE$170)/12*(1+V_dVol),0))</f>
        <v>0</v>
      </c>
      <c r="BF183" s="34" t="n">
        <f aca="false">IF(BF$8=1,N(Reales!BF18),IF(BF$171=1,INDEX(Vol_V,7,BF$170)/12*(1+V_dVol),0))</f>
        <v>0</v>
      </c>
      <c r="BG183" s="34" t="n">
        <f aca="false">IF(BG$8=1,N(Reales!BG18),IF(BG$171=1,INDEX(Vol_V,7,BG$170)/12*(1+V_dVol),0))</f>
        <v>0</v>
      </c>
      <c r="BH183" s="34" t="n">
        <f aca="false">IF(BH$8=1,N(Reales!BH18),IF(BH$171=1,INDEX(Vol_V,7,BH$170)/12*(1+V_dVol),0))</f>
        <v>0</v>
      </c>
      <c r="BI183" s="34" t="n">
        <f aca="false">IF(BI$8=1,N(Reales!BI18),IF(BI$171=1,INDEX(Vol_V,7,BI$170)/12*(1+V_dVol),0))</f>
        <v>0</v>
      </c>
      <c r="BJ183" s="34" t="n">
        <f aca="false">IF(BJ$8=1,N(Reales!BJ18),IF(BJ$171=1,INDEX(Vol_V,7,BJ$170)/12*(1+V_dVol),0))</f>
        <v>0</v>
      </c>
      <c r="BK183" s="34" t="n">
        <f aca="false">IF(BK$8=1,N(Reales!BK18),IF(BK$171=1,INDEX(Vol_V,7,BK$170)/12*(1+V_dVol),0))</f>
        <v>0</v>
      </c>
      <c r="BL183" s="34" t="n">
        <f aca="false">IF(BL$8=1,N(Reales!BL18),IF(BL$171=1,INDEX(Vol_V,7,BL$170)/12*(1+V_dVol),0))</f>
        <v>0</v>
      </c>
      <c r="BM183" s="34" t="n">
        <f aca="false">IF(BM$8=1,N(Reales!BM18),IF(BM$171=1,INDEX(Vol_V,7,BM$170)/12*(1+V_dVol),0))</f>
        <v>0</v>
      </c>
      <c r="BN183" s="34" t="n">
        <f aca="false">IF(BN$8=1,N(Reales!BN18),IF(BN$171=1,INDEX(Vol_V,7,BN$170)/12*(1+V_dVol),0))</f>
        <v>0</v>
      </c>
      <c r="BO183" s="34" t="n">
        <f aca="false">IF(BO$8=1,N(Reales!BO18),IF(BO$171=1,INDEX(Vol_V,7,BO$170)/12*(1+V_dVol),0))</f>
        <v>0</v>
      </c>
      <c r="BP183" s="34" t="n">
        <f aca="false">IF(BP$8=1,N(Reales!BP18),IF(BP$171=1,INDEX(Vol_V,7,BP$170)/12*(1+V_dVol),0))</f>
        <v>0</v>
      </c>
      <c r="BQ183" s="34" t="n">
        <f aca="false">IF(BQ$8=1,N(Reales!BQ18),IF(BQ$171=1,INDEX(Vol_V,7,BQ$170)/12*(1+V_dVol),0))</f>
        <v>0</v>
      </c>
      <c r="BR183" s="34" t="n">
        <f aca="false">IF(BR$8=1,N(Reales!BR18),IF(BR$171=1,INDEX(Vol_V,7,BR$170)/12*(1+V_dVol),0))</f>
        <v>0</v>
      </c>
      <c r="BS183" s="34" t="n">
        <f aca="false">IF(BS$8=1,N(Reales!BS18),IF(BS$171=1,INDEX(Vol_V,7,BS$170)/12*(1+V_dVol),0))</f>
        <v>0</v>
      </c>
      <c r="BT183" s="34" t="n">
        <f aca="false">IF(BT$8=1,N(Reales!BT18),IF(BT$171=1,INDEX(Vol_V,7,BT$170)/12*(1+V_dVol),0))</f>
        <v>0</v>
      </c>
      <c r="BU183" s="34" t="n">
        <f aca="false">IF(BU$8=1,N(Reales!BU18),IF(BU$171=1,INDEX(Vol_V,7,BU$170)/12*(1+V_dVol),0))</f>
        <v>0</v>
      </c>
      <c r="BV183" s="34" t="n">
        <f aca="false">IF(BV$8=1,N(Reales!BV18),IF(BV$171=1,INDEX(Vol_V,7,BV$170)/12*(1+V_dVol),0))</f>
        <v>0</v>
      </c>
      <c r="BW183" s="34" t="n">
        <f aca="false">IF(BW$8=1,N(Reales!BW18),IF(BW$171=1,INDEX(Vol_V,7,BW$170)/12*(1+V_dVol),0))</f>
        <v>0</v>
      </c>
      <c r="BX183" s="34" t="n">
        <f aca="false">IF(BX$8=1,N(Reales!BX18),IF(BX$171=1,INDEX(Vol_V,7,BX$170)/12*(1+V_dVol),0))</f>
        <v>0</v>
      </c>
      <c r="BY183" s="34" t="n">
        <f aca="false">IF(BY$8=1,N(Reales!BY18),IF(BY$171=1,INDEX(Vol_V,7,BY$170)/12*(1+V_dVol),0))</f>
        <v>0</v>
      </c>
      <c r="BZ183" s="34" t="n">
        <f aca="false">IF(BZ$8=1,N(Reales!BZ18),IF(BZ$171=1,INDEX(Vol_V,7,BZ$170)/12*(1+V_dVol),0))</f>
        <v>0</v>
      </c>
      <c r="CA183" s="34" t="n">
        <f aca="false">IF(CA$8=1,N(Reales!CA18),IF(CA$171=1,INDEX(Vol_V,7,CA$170)/12*(1+V_dVol),0))</f>
        <v>0</v>
      </c>
      <c r="CB183" s="34" t="n">
        <f aca="false">IF(CB$8=1,N(Reales!CB18),IF(CB$171=1,INDEX(Vol_V,7,CB$170)/12*(1+V_dVol),0))</f>
        <v>0</v>
      </c>
      <c r="CC183" s="34" t="n">
        <f aca="false">IF(CC$8=1,N(Reales!CC18),IF(CC$171=1,INDEX(Vol_V,7,CC$170)/12*(1+V_dVol),0))</f>
        <v>0</v>
      </c>
      <c r="CD183" s="34" t="n">
        <f aca="false">IF(CD$8=1,N(Reales!CD18),IF(CD$171=1,INDEX(Vol_V,7,CD$170)/12*(1+V_dVol),0))</f>
        <v>0</v>
      </c>
      <c r="CE183" s="34" t="n">
        <f aca="false">IF(CE$8=1,N(Reales!CE18),IF(CE$171=1,INDEX(Vol_V,7,CE$170)/12*(1+V_dVol),0))</f>
        <v>0</v>
      </c>
      <c r="CF183" s="34" t="n">
        <f aca="false">IF(CF$8=1,N(Reales!CF18),IF(CF$171=1,INDEX(Vol_V,7,CF$170)/12*(1+V_dVol),0))</f>
        <v>0</v>
      </c>
      <c r="CG183" s="34" t="n">
        <f aca="false">IF(CG$8=1,N(Reales!CG18),IF(CG$171=1,INDEX(Vol_V,7,CG$170)/12*(1+V_dVol),0))</f>
        <v>0</v>
      </c>
      <c r="CH183" s="34" t="n">
        <f aca="false">IF(CH$8=1,N(Reales!CH18),IF(CH$171=1,INDEX(Vol_V,7,CH$170)/12*(1+V_dVol),0))</f>
        <v>0</v>
      </c>
      <c r="CI183" s="34" t="n">
        <f aca="false">IF(CI$8=1,N(Reales!CI18),IF(CI$171=1,INDEX(Vol_V,7,CI$170)/12*(1+V_dVol),0))</f>
        <v>0</v>
      </c>
      <c r="CJ183" s="34" t="n">
        <f aca="false">IF(CJ$8=1,N(Reales!CJ18),IF(CJ$171=1,INDEX(Vol_V,7,CJ$170)/12*(1+V_dVol),0))</f>
        <v>0</v>
      </c>
      <c r="CK183" s="34" t="n">
        <f aca="false">IF(CK$8=1,N(Reales!CK18),IF(CK$171=1,INDEX(Vol_V,7,CK$170)/12*(1+V_dVol),0))</f>
        <v>0</v>
      </c>
      <c r="CL183" s="34" t="n">
        <f aca="false">IF(CL$8=1,N(Reales!CL18),IF(CL$171=1,INDEX(Vol_V,7,CL$170)/12*(1+V_dVol),0))</f>
        <v>0</v>
      </c>
      <c r="CM183" s="34" t="n">
        <f aca="false">IF(CM$8=1,N(Reales!CM18),IF(CM$171=1,INDEX(Vol_V,7,CM$170)/12*(1+V_dVol),0))</f>
        <v>0</v>
      </c>
      <c r="CN183" s="34" t="n">
        <f aca="false">IF(CN$8=1,N(Reales!CN18),IF(CN$171=1,INDEX(Vol_V,7,CN$170)/12*(1+V_dVol),0))</f>
        <v>0</v>
      </c>
      <c r="CO183" s="34" t="n">
        <f aca="false">IF(CO$8=1,N(Reales!CO18),IF(CO$171=1,INDEX(Vol_V,7,CO$170)/12*(1+V_dVol),0))</f>
        <v>0</v>
      </c>
      <c r="CP183" s="34" t="n">
        <f aca="false">IF(CP$8=1,N(Reales!CP18),IF(CP$171=1,INDEX(Vol_V,7,CP$170)/12*(1+V_dVol),0))</f>
        <v>0</v>
      </c>
      <c r="CQ183" s="34" t="n">
        <f aca="false">IF(CQ$8=1,N(Reales!CQ18),IF(CQ$171=1,INDEX(Vol_V,7,CQ$170)/12*(1+V_dVol),0))</f>
        <v>0</v>
      </c>
      <c r="CR183" s="34" t="n">
        <f aca="false">IF(CR$8=1,N(Reales!CR18),IF(CR$171=1,INDEX(Vol_V,7,CR$170)/12*(1+V_dVol),0))</f>
        <v>0</v>
      </c>
      <c r="CS183" s="34" t="n">
        <f aca="false">IF(CS$8=1,N(Reales!CS18),IF(CS$171=1,INDEX(Vol_V,7,CS$170)/12*(1+V_dVol),0))</f>
        <v>0</v>
      </c>
      <c r="CT183" s="34" t="n">
        <f aca="false">IF(CT$8=1,N(Reales!CT18),IF(CT$171=1,INDEX(Vol_V,7,CT$170)/12*(1+V_dVol),0))</f>
        <v>0</v>
      </c>
      <c r="CU183" s="34" t="n">
        <f aca="false">IF(CU$8=1,N(Reales!CU18),IF(CU$171=1,INDEX(Vol_V,7,CU$170)/12*(1+V_dVol),0))</f>
        <v>0</v>
      </c>
      <c r="CV183" s="34" t="n">
        <f aca="false">IF(CV$8=1,N(Reales!CV18),IF(CV$171=1,INDEX(Vol_V,7,CV$170)/12*(1+V_dVol),0))</f>
        <v>0</v>
      </c>
      <c r="CW183" s="34" t="n">
        <f aca="false">IF(CW$8=1,N(Reales!CW18),IF(CW$171=1,INDEX(Vol_V,7,CW$170)/12*(1+V_dVol),0))</f>
        <v>0</v>
      </c>
      <c r="CX183" s="34" t="n">
        <f aca="false">IF(CX$8=1,N(Reales!CX18),IF(CX$171=1,INDEX(Vol_V,7,CX$170)/12*(1+V_dVol),0))</f>
        <v>0</v>
      </c>
      <c r="CY183" s="34" t="n">
        <f aca="false">IF(CY$8=1,N(Reales!CY18),IF(CY$171=1,INDEX(Vol_V,7,CY$170)/12*(1+V_dVol),0))</f>
        <v>0</v>
      </c>
      <c r="CZ183" s="34" t="n">
        <f aca="false">IF(CZ$8=1,N(Reales!CZ18),IF(CZ$171=1,INDEX(Vol_V,7,CZ$170)/12*(1+V_dVol),0))</f>
        <v>0</v>
      </c>
      <c r="DA183" s="34" t="n">
        <f aca="false">IF(DA$8=1,N(Reales!DA18),IF(DA$171=1,INDEX(Vol_V,7,DA$170)/12*(1+V_dVol),0))</f>
        <v>0</v>
      </c>
      <c r="DB183" s="34" t="n">
        <f aca="false">IF(DB$8=1,N(Reales!DB18),IF(DB$171=1,INDEX(Vol_V,7,DB$170)/12*(1+V_dVol),0))</f>
        <v>0</v>
      </c>
      <c r="DC183" s="34" t="n">
        <f aca="false">IF(DC$8=1,N(Reales!DC18),IF(DC$171=1,INDEX(Vol_V,7,DC$170)/12*(1+V_dVol),0))</f>
        <v>0</v>
      </c>
      <c r="DD183" s="34" t="n">
        <f aca="false">IF(DD$8=1,N(Reales!DD18),IF(DD$171=1,INDEX(Vol_V,7,DD$170)/12*(1+V_dVol),0))</f>
        <v>0</v>
      </c>
      <c r="DE183" s="34" t="n">
        <f aca="false">IF(DE$8=1,N(Reales!DE18),IF(DE$171=1,INDEX(Vol_V,7,DE$170)/12*(1+V_dVol),0))</f>
        <v>0</v>
      </c>
      <c r="DF183" s="34" t="n">
        <f aca="false">IF(DF$8=1,N(Reales!DF18),IF(DF$171=1,INDEX(Vol_V,7,DF$170)/12*(1+V_dVol),0))</f>
        <v>0</v>
      </c>
      <c r="DG183" s="34" t="n">
        <f aca="false">IF(DG$8=1,N(Reales!DG18),IF(DG$171=1,INDEX(Vol_V,7,DG$170)/12*(1+V_dVol),0))</f>
        <v>0</v>
      </c>
      <c r="DH183" s="34" t="n">
        <f aca="false">IF(DH$8=1,N(Reales!DH18),IF(DH$171=1,INDEX(Vol_V,7,DH$170)/12*(1+V_dVol),0))</f>
        <v>0</v>
      </c>
      <c r="DI183" s="34" t="n">
        <f aca="false">IF(DI$8=1,N(Reales!DI18),IF(DI$171=1,INDEX(Vol_V,7,DI$170)/12*(1+V_dVol),0))</f>
        <v>0</v>
      </c>
      <c r="DJ183" s="34" t="n">
        <f aca="false">IF(DJ$8=1,N(Reales!DJ18),IF(DJ$171=1,INDEX(Vol_V,7,DJ$170)/12*(1+V_dVol),0))</f>
        <v>0</v>
      </c>
      <c r="DK183" s="34" t="n">
        <f aca="false">IF(DK$8=1,N(Reales!DK18),IF(DK$171=1,INDEX(Vol_V,7,DK$170)/12*(1+V_dVol),0))</f>
        <v>0</v>
      </c>
      <c r="DL183" s="34" t="n">
        <f aca="false">IF(DL$8=1,N(Reales!DL18),IF(DL$171=1,INDEX(Vol_V,7,DL$170)/12*(1+V_dVol),0))</f>
        <v>0</v>
      </c>
      <c r="DM183" s="34" t="n">
        <f aca="false">IF(DM$8=1,N(Reales!DM18),IF(DM$171=1,INDEX(Vol_V,7,DM$170)/12*(1+V_dVol),0))</f>
        <v>0</v>
      </c>
      <c r="DN183" s="34" t="n">
        <f aca="false">IF(DN$8=1,N(Reales!DN18),IF(DN$171=1,INDEX(Vol_V,7,DN$170)/12*(1+V_dVol),0))</f>
        <v>0</v>
      </c>
      <c r="DO183" s="34" t="n">
        <f aca="false">IF(DO$8=1,N(Reales!DO18),IF(DO$171=1,INDEX(Vol_V,7,DO$170)/12*(1+V_dVol),0))</f>
        <v>0</v>
      </c>
      <c r="DP183" s="34" t="n">
        <f aca="false">IF(DP$8=1,N(Reales!DP18),IF(DP$171=1,INDEX(Vol_V,7,DP$170)/12*(1+V_dVol),0))</f>
        <v>0</v>
      </c>
      <c r="DQ183" s="34" t="n">
        <f aca="false">IF(DQ$8=1,N(Reales!DQ18),IF(DQ$171=1,INDEX(Vol_V,7,DQ$170)/12*(1+V_dVol),0))</f>
        <v>0</v>
      </c>
      <c r="DR183" s="34" t="n">
        <f aca="false">IF(DR$8=1,N(Reales!DR18),IF(DR$171=1,INDEX(Vol_V,7,DR$170)/12*(1+V_dVol),0))</f>
        <v>0</v>
      </c>
      <c r="DS183" s="34" t="n">
        <f aca="false">IF(DS$8=1,N(Reales!DS18),IF(DS$171=1,INDEX(Vol_V,7,DS$170)/12*(1+V_dVol),0))</f>
        <v>0</v>
      </c>
      <c r="DT183" s="34" t="n">
        <f aca="false">IF(DT$8=1,N(Reales!DT18),IF(DT$171=1,INDEX(Vol_V,7,DT$170)/12*(1+V_dVol),0))</f>
        <v>0</v>
      </c>
      <c r="DU183" s="34" t="n">
        <f aca="false">IF(DU$8=1,N(Reales!DU18),IF(DU$171=1,INDEX(Vol_V,7,DU$170)/12*(1+V_dVol),0))</f>
        <v>0</v>
      </c>
      <c r="DV183" s="34" t="n">
        <f aca="false">IF(DV$8=1,N(Reales!DV18),IF(DV$171=1,INDEX(Vol_V,7,DV$170)/12*(1+V_dVol),0))</f>
        <v>0</v>
      </c>
      <c r="DW183" s="34" t="n">
        <f aca="false">IF(DW$8=1,N(Reales!DW18),IF(DW$171=1,INDEX(Vol_V,7,DW$170)/12*(1+V_dVol),0))</f>
        <v>0</v>
      </c>
      <c r="DX183" s="34" t="n">
        <f aca="false">IF(DX$8=1,N(Reales!DX18),IF(DX$171=1,INDEX(Vol_V,7,DX$170)/12*(1+V_dVol),0))</f>
        <v>0</v>
      </c>
      <c r="DY183" s="34" t="n">
        <f aca="false">IF(DY$8=1,N(Reales!DY18),IF(DY$171=1,INDEX(Vol_V,7,DY$170)/12*(1+V_dVol),0))</f>
        <v>0</v>
      </c>
      <c r="DZ183" s="34" t="n">
        <f aca="false">IF(DZ$8=1,N(Reales!DZ18),IF(DZ$171=1,INDEX(Vol_V,7,DZ$170)/12*(1+V_dVol),0))</f>
        <v>0</v>
      </c>
      <c r="EA183" s="34" t="n">
        <f aca="false">IF(EA$8=1,N(Reales!EA18),IF(EA$171=1,INDEX(Vol_V,7,EA$170)/12*(1+V_dVol),0))</f>
        <v>0</v>
      </c>
      <c r="EB183" s="34" t="n">
        <f aca="false">IF(EB$8=1,N(Reales!EB18),IF(EB$171=1,INDEX(Vol_V,7,EB$170)/12*(1+V_dVol),0))</f>
        <v>0</v>
      </c>
      <c r="EC183" s="34" t="n">
        <f aca="false">IF(EC$8=1,N(Reales!EC18),IF(EC$171=1,INDEX(Vol_V,7,EC$170)/12*(1+V_dVol),0))</f>
        <v>0</v>
      </c>
      <c r="ED183" s="34" t="n">
        <f aca="false">IF(ED$8=1,N(Reales!ED18),IF(ED$171=1,INDEX(Vol_V,7,ED$170)/12*(1+V_dVol),0))</f>
        <v>0</v>
      </c>
      <c r="EE183" s="34" t="n">
        <f aca="false">IF(EE$8=1,N(Reales!EE18),IF(EE$171=1,INDEX(Vol_V,7,EE$170)/12*(1+V_dVol),0))</f>
        <v>0</v>
      </c>
      <c r="EF183" s="34" t="n">
        <f aca="false">IF(EF$8=1,N(Reales!EF18),IF(EF$171=1,INDEX(Vol_V,7,EF$170)/12*(1+V_dVol),0))</f>
        <v>0</v>
      </c>
      <c r="EG183" s="34" t="n">
        <f aca="false">IF(EG$8=1,N(Reales!EG18),IF(EG$171=1,INDEX(Vol_V,7,EG$170)/12*(1+V_dVol),0))</f>
        <v>0</v>
      </c>
      <c r="EH183" s="34" t="n">
        <f aca="false">IF(EH$8=1,N(Reales!EH18),IF(EH$171=1,INDEX(Vol_V,7,EH$170)/12*(1+V_dVol),0))</f>
        <v>0</v>
      </c>
      <c r="EI183" s="34" t="n">
        <f aca="false">IF(EI$8=1,N(Reales!EI18),IF(EI$171=1,INDEX(Vol_V,7,EI$170)/12*(1+V_dVol),0))</f>
        <v>0</v>
      </c>
      <c r="EJ183" s="34" t="n">
        <f aca="false">IF(EJ$8=1,N(Reales!EJ18),IF(EJ$171=1,INDEX(Vol_V,7,EJ$170)/12*(1+V_dVol),0))</f>
        <v>0</v>
      </c>
      <c r="EK183" s="34" t="n">
        <f aca="false">IF(EK$8=1,N(Reales!EK18),IF(EK$171=1,INDEX(Vol_V,7,EK$170)/12*(1+V_dVol),0))</f>
        <v>0</v>
      </c>
      <c r="EL183" s="34" t="n">
        <f aca="false">IF(EL$8=1,N(Reales!EL18),IF(EL$171=1,INDEX(Vol_V,7,EL$170)/12*(1+V_dVol),0))</f>
        <v>0</v>
      </c>
      <c r="EM183" s="34" t="n">
        <f aca="false">IF(EM$8=1,N(Reales!EM18),IF(EM$171=1,INDEX(Vol_V,7,EM$170)/12*(1+V_dVol),0))</f>
        <v>0</v>
      </c>
      <c r="EN183" s="34" t="n">
        <f aca="false">IF(EN$8=1,N(Reales!EN18),IF(EN$171=1,INDEX(Vol_V,7,EN$170)/12*(1+V_dVol),0))</f>
        <v>0</v>
      </c>
      <c r="EO183" s="34" t="n">
        <f aca="false">IF(EO$8=1,N(Reales!EO18),IF(EO$171=1,INDEX(Vol_V,7,EO$170)/12*(1+V_dVol),0))</f>
        <v>0</v>
      </c>
      <c r="EP183" s="34" t="n">
        <f aca="false">IF(EP$8=1,N(Reales!EP18),IF(EP$171=1,INDEX(Vol_V,7,EP$170)/12*(1+V_dVol),0))</f>
        <v>0</v>
      </c>
      <c r="EQ183" s="34" t="n">
        <f aca="false">IF(EQ$8=1,N(Reales!EQ18),IF(EQ$171=1,INDEX(Vol_V,7,EQ$170)/12*(1+V_dVol),0))</f>
        <v>0</v>
      </c>
      <c r="ER183" s="34" t="n">
        <f aca="false">IF(ER$8=1,N(Reales!ER18),IF(ER$171=1,INDEX(Vol_V,7,ER$170)/12*(1+V_dVol),0))</f>
        <v>0</v>
      </c>
      <c r="ES183" s="34" t="n">
        <f aca="false">IF(ES$8=1,N(Reales!ES18),IF(ES$171=1,INDEX(Vol_V,7,ES$170)/12*(1+V_dVol),0))</f>
        <v>0</v>
      </c>
    </row>
    <row r="184" customFormat="false" ht="15" hidden="false" customHeight="false" outlineLevel="0" collapsed="false">
      <c r="A184" s="2" t="s">
        <v>826</v>
      </c>
      <c r="B184" s="39" t="str">
        <f aca="false">IF(INDEX(Prod_Nombre,8)="","Producto 8",INDEX(Prod_Nombre,8))&amp;" — unidades"</f>
        <v>Producto 8 — unidades</v>
      </c>
      <c r="C184" s="6" t="s">
        <v>286</v>
      </c>
      <c r="E184" s="40" t="n">
        <f aca="false">SUM(F184:ES184)</f>
        <v>0</v>
      </c>
      <c r="F184" s="34" t="n">
        <f aca="false">IF(F$8=1,N(Reales!F19),IF(F$171=1,INDEX(Vol_V,8,F$170)/12*(1+V_dVol),0))</f>
        <v>0</v>
      </c>
      <c r="G184" s="34" t="n">
        <f aca="false">IF(G$8=1,N(Reales!G19),IF(G$171=1,INDEX(Vol_V,8,G$170)/12*(1+V_dVol),0))</f>
        <v>0</v>
      </c>
      <c r="H184" s="34" t="n">
        <f aca="false">IF(H$8=1,N(Reales!H19),IF(H$171=1,INDEX(Vol_V,8,H$170)/12*(1+V_dVol),0))</f>
        <v>0</v>
      </c>
      <c r="I184" s="34" t="n">
        <f aca="false">IF(I$8=1,N(Reales!I19),IF(I$171=1,INDEX(Vol_V,8,I$170)/12*(1+V_dVol),0))</f>
        <v>0</v>
      </c>
      <c r="J184" s="34" t="n">
        <f aca="false">IF(J$8=1,N(Reales!J19),IF(J$171=1,INDEX(Vol_V,8,J$170)/12*(1+V_dVol),0))</f>
        <v>0</v>
      </c>
      <c r="K184" s="34" t="n">
        <f aca="false">IF(K$8=1,N(Reales!K19),IF(K$171=1,INDEX(Vol_V,8,K$170)/12*(1+V_dVol),0))</f>
        <v>0</v>
      </c>
      <c r="L184" s="34" t="n">
        <f aca="false">IF(L$8=1,N(Reales!L19),IF(L$171=1,INDEX(Vol_V,8,L$170)/12*(1+V_dVol),0))</f>
        <v>0</v>
      </c>
      <c r="M184" s="34" t="n">
        <f aca="false">IF(M$8=1,N(Reales!M19),IF(M$171=1,INDEX(Vol_V,8,M$170)/12*(1+V_dVol),0))</f>
        <v>0</v>
      </c>
      <c r="N184" s="34" t="n">
        <f aca="false">IF(N$8=1,N(Reales!N19),IF(N$171=1,INDEX(Vol_V,8,N$170)/12*(1+V_dVol),0))</f>
        <v>0</v>
      </c>
      <c r="O184" s="34" t="n">
        <f aca="false">IF(O$8=1,N(Reales!O19),IF(O$171=1,INDEX(Vol_V,8,O$170)/12*(1+V_dVol),0))</f>
        <v>0</v>
      </c>
      <c r="P184" s="34" t="n">
        <f aca="false">IF(P$8=1,N(Reales!P19),IF(P$171=1,INDEX(Vol_V,8,P$170)/12*(1+V_dVol),0))</f>
        <v>0</v>
      </c>
      <c r="Q184" s="34" t="n">
        <f aca="false">IF(Q$8=1,N(Reales!Q19),IF(Q$171=1,INDEX(Vol_V,8,Q$170)/12*(1+V_dVol),0))</f>
        <v>0</v>
      </c>
      <c r="R184" s="34" t="n">
        <f aca="false">IF(R$8=1,N(Reales!R19),IF(R$171=1,INDEX(Vol_V,8,R$170)/12*(1+V_dVol),0))</f>
        <v>0</v>
      </c>
      <c r="S184" s="34" t="n">
        <f aca="false">IF(S$8=1,N(Reales!S19),IF(S$171=1,INDEX(Vol_V,8,S$170)/12*(1+V_dVol),0))</f>
        <v>0</v>
      </c>
      <c r="T184" s="34" t="n">
        <f aca="false">IF(T$8=1,N(Reales!T19),IF(T$171=1,INDEX(Vol_V,8,T$170)/12*(1+V_dVol),0))</f>
        <v>0</v>
      </c>
      <c r="U184" s="34" t="n">
        <f aca="false">IF(U$8=1,N(Reales!U19),IF(U$171=1,INDEX(Vol_V,8,U$170)/12*(1+V_dVol),0))</f>
        <v>0</v>
      </c>
      <c r="V184" s="34" t="n">
        <f aca="false">IF(V$8=1,N(Reales!V19),IF(V$171=1,INDEX(Vol_V,8,V$170)/12*(1+V_dVol),0))</f>
        <v>0</v>
      </c>
      <c r="W184" s="34" t="n">
        <f aca="false">IF(W$8=1,N(Reales!W19),IF(W$171=1,INDEX(Vol_V,8,W$170)/12*(1+V_dVol),0))</f>
        <v>0</v>
      </c>
      <c r="X184" s="34" t="n">
        <f aca="false">IF(X$8=1,N(Reales!X19),IF(X$171=1,INDEX(Vol_V,8,X$170)/12*(1+V_dVol),0))</f>
        <v>0</v>
      </c>
      <c r="Y184" s="34" t="n">
        <f aca="false">IF(Y$8=1,N(Reales!Y19),IF(Y$171=1,INDEX(Vol_V,8,Y$170)/12*(1+V_dVol),0))</f>
        <v>0</v>
      </c>
      <c r="Z184" s="34" t="n">
        <f aca="false">IF(Z$8=1,N(Reales!Z19),IF(Z$171=1,INDEX(Vol_V,8,Z$170)/12*(1+V_dVol),0))</f>
        <v>0</v>
      </c>
      <c r="AA184" s="34" t="n">
        <f aca="false">IF(AA$8=1,N(Reales!AA19),IF(AA$171=1,INDEX(Vol_V,8,AA$170)/12*(1+V_dVol),0))</f>
        <v>0</v>
      </c>
      <c r="AB184" s="34" t="n">
        <f aca="false">IF(AB$8=1,N(Reales!AB19),IF(AB$171=1,INDEX(Vol_V,8,AB$170)/12*(1+V_dVol),0))</f>
        <v>0</v>
      </c>
      <c r="AC184" s="34" t="n">
        <f aca="false">IF(AC$8=1,N(Reales!AC19),IF(AC$171=1,INDEX(Vol_V,8,AC$170)/12*(1+V_dVol),0))</f>
        <v>0</v>
      </c>
      <c r="AD184" s="34" t="n">
        <f aca="false">IF(AD$8=1,N(Reales!AD19),IF(AD$171=1,INDEX(Vol_V,8,AD$170)/12*(1+V_dVol),0))</f>
        <v>0</v>
      </c>
      <c r="AE184" s="34" t="n">
        <f aca="false">IF(AE$8=1,N(Reales!AE19),IF(AE$171=1,INDEX(Vol_V,8,AE$170)/12*(1+V_dVol),0))</f>
        <v>0</v>
      </c>
      <c r="AF184" s="34" t="n">
        <f aca="false">IF(AF$8=1,N(Reales!AF19),IF(AF$171=1,INDEX(Vol_V,8,AF$170)/12*(1+V_dVol),0))</f>
        <v>0</v>
      </c>
      <c r="AG184" s="34" t="n">
        <f aca="false">IF(AG$8=1,N(Reales!AG19),IF(AG$171=1,INDEX(Vol_V,8,AG$170)/12*(1+V_dVol),0))</f>
        <v>0</v>
      </c>
      <c r="AH184" s="34" t="n">
        <f aca="false">IF(AH$8=1,N(Reales!AH19),IF(AH$171=1,INDEX(Vol_V,8,AH$170)/12*(1+V_dVol),0))</f>
        <v>0</v>
      </c>
      <c r="AI184" s="34" t="n">
        <f aca="false">IF(AI$8=1,N(Reales!AI19),IF(AI$171=1,INDEX(Vol_V,8,AI$170)/12*(1+V_dVol),0))</f>
        <v>0</v>
      </c>
      <c r="AJ184" s="34" t="n">
        <f aca="false">IF(AJ$8=1,N(Reales!AJ19),IF(AJ$171=1,INDEX(Vol_V,8,AJ$170)/12*(1+V_dVol),0))</f>
        <v>0</v>
      </c>
      <c r="AK184" s="34" t="n">
        <f aca="false">IF(AK$8=1,N(Reales!AK19),IF(AK$171=1,INDEX(Vol_V,8,AK$170)/12*(1+V_dVol),0))</f>
        <v>0</v>
      </c>
      <c r="AL184" s="34" t="n">
        <f aca="false">IF(AL$8=1,N(Reales!AL19),IF(AL$171=1,INDEX(Vol_V,8,AL$170)/12*(1+V_dVol),0))</f>
        <v>0</v>
      </c>
      <c r="AM184" s="34" t="n">
        <f aca="false">IF(AM$8=1,N(Reales!AM19),IF(AM$171=1,INDEX(Vol_V,8,AM$170)/12*(1+V_dVol),0))</f>
        <v>0</v>
      </c>
      <c r="AN184" s="34" t="n">
        <f aca="false">IF(AN$8=1,N(Reales!AN19),IF(AN$171=1,INDEX(Vol_V,8,AN$170)/12*(1+V_dVol),0))</f>
        <v>0</v>
      </c>
      <c r="AO184" s="34" t="n">
        <f aca="false">IF(AO$8=1,N(Reales!AO19),IF(AO$171=1,INDEX(Vol_V,8,AO$170)/12*(1+V_dVol),0))</f>
        <v>0</v>
      </c>
      <c r="AP184" s="34" t="n">
        <f aca="false">IF(AP$8=1,N(Reales!AP19),IF(AP$171=1,INDEX(Vol_V,8,AP$170)/12*(1+V_dVol),0))</f>
        <v>0</v>
      </c>
      <c r="AQ184" s="34" t="n">
        <f aca="false">IF(AQ$8=1,N(Reales!AQ19),IF(AQ$171=1,INDEX(Vol_V,8,AQ$170)/12*(1+V_dVol),0))</f>
        <v>0</v>
      </c>
      <c r="AR184" s="34" t="n">
        <f aca="false">IF(AR$8=1,N(Reales!AR19),IF(AR$171=1,INDEX(Vol_V,8,AR$170)/12*(1+V_dVol),0))</f>
        <v>0</v>
      </c>
      <c r="AS184" s="34" t="n">
        <f aca="false">IF(AS$8=1,N(Reales!AS19),IF(AS$171=1,INDEX(Vol_V,8,AS$170)/12*(1+V_dVol),0))</f>
        <v>0</v>
      </c>
      <c r="AT184" s="34" t="n">
        <f aca="false">IF(AT$8=1,N(Reales!AT19),IF(AT$171=1,INDEX(Vol_V,8,AT$170)/12*(1+V_dVol),0))</f>
        <v>0</v>
      </c>
      <c r="AU184" s="34" t="n">
        <f aca="false">IF(AU$8=1,N(Reales!AU19),IF(AU$171=1,INDEX(Vol_V,8,AU$170)/12*(1+V_dVol),0))</f>
        <v>0</v>
      </c>
      <c r="AV184" s="34" t="n">
        <f aca="false">IF(AV$8=1,N(Reales!AV19),IF(AV$171=1,INDEX(Vol_V,8,AV$170)/12*(1+V_dVol),0))</f>
        <v>0</v>
      </c>
      <c r="AW184" s="34" t="n">
        <f aca="false">IF(AW$8=1,N(Reales!AW19),IF(AW$171=1,INDEX(Vol_V,8,AW$170)/12*(1+V_dVol),0))</f>
        <v>0</v>
      </c>
      <c r="AX184" s="34" t="n">
        <f aca="false">IF(AX$8=1,N(Reales!AX19),IF(AX$171=1,INDEX(Vol_V,8,AX$170)/12*(1+V_dVol),0))</f>
        <v>0</v>
      </c>
      <c r="AY184" s="34" t="n">
        <f aca="false">IF(AY$8=1,N(Reales!AY19),IF(AY$171=1,INDEX(Vol_V,8,AY$170)/12*(1+V_dVol),0))</f>
        <v>0</v>
      </c>
      <c r="AZ184" s="34" t="n">
        <f aca="false">IF(AZ$8=1,N(Reales!AZ19),IF(AZ$171=1,INDEX(Vol_V,8,AZ$170)/12*(1+V_dVol),0))</f>
        <v>0</v>
      </c>
      <c r="BA184" s="34" t="n">
        <f aca="false">IF(BA$8=1,N(Reales!BA19),IF(BA$171=1,INDEX(Vol_V,8,BA$170)/12*(1+V_dVol),0))</f>
        <v>0</v>
      </c>
      <c r="BB184" s="34" t="n">
        <f aca="false">IF(BB$8=1,N(Reales!BB19),IF(BB$171=1,INDEX(Vol_V,8,BB$170)/12*(1+V_dVol),0))</f>
        <v>0</v>
      </c>
      <c r="BC184" s="34" t="n">
        <f aca="false">IF(BC$8=1,N(Reales!BC19),IF(BC$171=1,INDEX(Vol_V,8,BC$170)/12*(1+V_dVol),0))</f>
        <v>0</v>
      </c>
      <c r="BD184" s="34" t="n">
        <f aca="false">IF(BD$8=1,N(Reales!BD19),IF(BD$171=1,INDEX(Vol_V,8,BD$170)/12*(1+V_dVol),0))</f>
        <v>0</v>
      </c>
      <c r="BE184" s="34" t="n">
        <f aca="false">IF(BE$8=1,N(Reales!BE19),IF(BE$171=1,INDEX(Vol_V,8,BE$170)/12*(1+V_dVol),0))</f>
        <v>0</v>
      </c>
      <c r="BF184" s="34" t="n">
        <f aca="false">IF(BF$8=1,N(Reales!BF19),IF(BF$171=1,INDEX(Vol_V,8,BF$170)/12*(1+V_dVol),0))</f>
        <v>0</v>
      </c>
      <c r="BG184" s="34" t="n">
        <f aca="false">IF(BG$8=1,N(Reales!BG19),IF(BG$171=1,INDEX(Vol_V,8,BG$170)/12*(1+V_dVol),0))</f>
        <v>0</v>
      </c>
      <c r="BH184" s="34" t="n">
        <f aca="false">IF(BH$8=1,N(Reales!BH19),IF(BH$171=1,INDEX(Vol_V,8,BH$170)/12*(1+V_dVol),0))</f>
        <v>0</v>
      </c>
      <c r="BI184" s="34" t="n">
        <f aca="false">IF(BI$8=1,N(Reales!BI19),IF(BI$171=1,INDEX(Vol_V,8,BI$170)/12*(1+V_dVol),0))</f>
        <v>0</v>
      </c>
      <c r="BJ184" s="34" t="n">
        <f aca="false">IF(BJ$8=1,N(Reales!BJ19),IF(BJ$171=1,INDEX(Vol_V,8,BJ$170)/12*(1+V_dVol),0))</f>
        <v>0</v>
      </c>
      <c r="BK184" s="34" t="n">
        <f aca="false">IF(BK$8=1,N(Reales!BK19),IF(BK$171=1,INDEX(Vol_V,8,BK$170)/12*(1+V_dVol),0))</f>
        <v>0</v>
      </c>
      <c r="BL184" s="34" t="n">
        <f aca="false">IF(BL$8=1,N(Reales!BL19),IF(BL$171=1,INDEX(Vol_V,8,BL$170)/12*(1+V_dVol),0))</f>
        <v>0</v>
      </c>
      <c r="BM184" s="34" t="n">
        <f aca="false">IF(BM$8=1,N(Reales!BM19),IF(BM$171=1,INDEX(Vol_V,8,BM$170)/12*(1+V_dVol),0))</f>
        <v>0</v>
      </c>
      <c r="BN184" s="34" t="n">
        <f aca="false">IF(BN$8=1,N(Reales!BN19),IF(BN$171=1,INDEX(Vol_V,8,BN$170)/12*(1+V_dVol),0))</f>
        <v>0</v>
      </c>
      <c r="BO184" s="34" t="n">
        <f aca="false">IF(BO$8=1,N(Reales!BO19),IF(BO$171=1,INDEX(Vol_V,8,BO$170)/12*(1+V_dVol),0))</f>
        <v>0</v>
      </c>
      <c r="BP184" s="34" t="n">
        <f aca="false">IF(BP$8=1,N(Reales!BP19),IF(BP$171=1,INDEX(Vol_V,8,BP$170)/12*(1+V_dVol),0))</f>
        <v>0</v>
      </c>
      <c r="BQ184" s="34" t="n">
        <f aca="false">IF(BQ$8=1,N(Reales!BQ19),IF(BQ$171=1,INDEX(Vol_V,8,BQ$170)/12*(1+V_dVol),0))</f>
        <v>0</v>
      </c>
      <c r="BR184" s="34" t="n">
        <f aca="false">IF(BR$8=1,N(Reales!BR19),IF(BR$171=1,INDEX(Vol_V,8,BR$170)/12*(1+V_dVol),0))</f>
        <v>0</v>
      </c>
      <c r="BS184" s="34" t="n">
        <f aca="false">IF(BS$8=1,N(Reales!BS19),IF(BS$171=1,INDEX(Vol_V,8,BS$170)/12*(1+V_dVol),0))</f>
        <v>0</v>
      </c>
      <c r="BT184" s="34" t="n">
        <f aca="false">IF(BT$8=1,N(Reales!BT19),IF(BT$171=1,INDEX(Vol_V,8,BT$170)/12*(1+V_dVol),0))</f>
        <v>0</v>
      </c>
      <c r="BU184" s="34" t="n">
        <f aca="false">IF(BU$8=1,N(Reales!BU19),IF(BU$171=1,INDEX(Vol_V,8,BU$170)/12*(1+V_dVol),0))</f>
        <v>0</v>
      </c>
      <c r="BV184" s="34" t="n">
        <f aca="false">IF(BV$8=1,N(Reales!BV19),IF(BV$171=1,INDEX(Vol_V,8,BV$170)/12*(1+V_dVol),0))</f>
        <v>0</v>
      </c>
      <c r="BW184" s="34" t="n">
        <f aca="false">IF(BW$8=1,N(Reales!BW19),IF(BW$171=1,INDEX(Vol_V,8,BW$170)/12*(1+V_dVol),0))</f>
        <v>0</v>
      </c>
      <c r="BX184" s="34" t="n">
        <f aca="false">IF(BX$8=1,N(Reales!BX19),IF(BX$171=1,INDEX(Vol_V,8,BX$170)/12*(1+V_dVol),0))</f>
        <v>0</v>
      </c>
      <c r="BY184" s="34" t="n">
        <f aca="false">IF(BY$8=1,N(Reales!BY19),IF(BY$171=1,INDEX(Vol_V,8,BY$170)/12*(1+V_dVol),0))</f>
        <v>0</v>
      </c>
      <c r="BZ184" s="34" t="n">
        <f aca="false">IF(BZ$8=1,N(Reales!BZ19),IF(BZ$171=1,INDEX(Vol_V,8,BZ$170)/12*(1+V_dVol),0))</f>
        <v>0</v>
      </c>
      <c r="CA184" s="34" t="n">
        <f aca="false">IF(CA$8=1,N(Reales!CA19),IF(CA$171=1,INDEX(Vol_V,8,CA$170)/12*(1+V_dVol),0))</f>
        <v>0</v>
      </c>
      <c r="CB184" s="34" t="n">
        <f aca="false">IF(CB$8=1,N(Reales!CB19),IF(CB$171=1,INDEX(Vol_V,8,CB$170)/12*(1+V_dVol),0))</f>
        <v>0</v>
      </c>
      <c r="CC184" s="34" t="n">
        <f aca="false">IF(CC$8=1,N(Reales!CC19),IF(CC$171=1,INDEX(Vol_V,8,CC$170)/12*(1+V_dVol),0))</f>
        <v>0</v>
      </c>
      <c r="CD184" s="34" t="n">
        <f aca="false">IF(CD$8=1,N(Reales!CD19),IF(CD$171=1,INDEX(Vol_V,8,CD$170)/12*(1+V_dVol),0))</f>
        <v>0</v>
      </c>
      <c r="CE184" s="34" t="n">
        <f aca="false">IF(CE$8=1,N(Reales!CE19),IF(CE$171=1,INDEX(Vol_V,8,CE$170)/12*(1+V_dVol),0))</f>
        <v>0</v>
      </c>
      <c r="CF184" s="34" t="n">
        <f aca="false">IF(CF$8=1,N(Reales!CF19),IF(CF$171=1,INDEX(Vol_V,8,CF$170)/12*(1+V_dVol),0))</f>
        <v>0</v>
      </c>
      <c r="CG184" s="34" t="n">
        <f aca="false">IF(CG$8=1,N(Reales!CG19),IF(CG$171=1,INDEX(Vol_V,8,CG$170)/12*(1+V_dVol),0))</f>
        <v>0</v>
      </c>
      <c r="CH184" s="34" t="n">
        <f aca="false">IF(CH$8=1,N(Reales!CH19),IF(CH$171=1,INDEX(Vol_V,8,CH$170)/12*(1+V_dVol),0))</f>
        <v>0</v>
      </c>
      <c r="CI184" s="34" t="n">
        <f aca="false">IF(CI$8=1,N(Reales!CI19),IF(CI$171=1,INDEX(Vol_V,8,CI$170)/12*(1+V_dVol),0))</f>
        <v>0</v>
      </c>
      <c r="CJ184" s="34" t="n">
        <f aca="false">IF(CJ$8=1,N(Reales!CJ19),IF(CJ$171=1,INDEX(Vol_V,8,CJ$170)/12*(1+V_dVol),0))</f>
        <v>0</v>
      </c>
      <c r="CK184" s="34" t="n">
        <f aca="false">IF(CK$8=1,N(Reales!CK19),IF(CK$171=1,INDEX(Vol_V,8,CK$170)/12*(1+V_dVol),0))</f>
        <v>0</v>
      </c>
      <c r="CL184" s="34" t="n">
        <f aca="false">IF(CL$8=1,N(Reales!CL19),IF(CL$171=1,INDEX(Vol_V,8,CL$170)/12*(1+V_dVol),0))</f>
        <v>0</v>
      </c>
      <c r="CM184" s="34" t="n">
        <f aca="false">IF(CM$8=1,N(Reales!CM19),IF(CM$171=1,INDEX(Vol_V,8,CM$170)/12*(1+V_dVol),0))</f>
        <v>0</v>
      </c>
      <c r="CN184" s="34" t="n">
        <f aca="false">IF(CN$8=1,N(Reales!CN19),IF(CN$171=1,INDEX(Vol_V,8,CN$170)/12*(1+V_dVol),0))</f>
        <v>0</v>
      </c>
      <c r="CO184" s="34" t="n">
        <f aca="false">IF(CO$8=1,N(Reales!CO19),IF(CO$171=1,INDEX(Vol_V,8,CO$170)/12*(1+V_dVol),0))</f>
        <v>0</v>
      </c>
      <c r="CP184" s="34" t="n">
        <f aca="false">IF(CP$8=1,N(Reales!CP19),IF(CP$171=1,INDEX(Vol_V,8,CP$170)/12*(1+V_dVol),0))</f>
        <v>0</v>
      </c>
      <c r="CQ184" s="34" t="n">
        <f aca="false">IF(CQ$8=1,N(Reales!CQ19),IF(CQ$171=1,INDEX(Vol_V,8,CQ$170)/12*(1+V_dVol),0))</f>
        <v>0</v>
      </c>
      <c r="CR184" s="34" t="n">
        <f aca="false">IF(CR$8=1,N(Reales!CR19),IF(CR$171=1,INDEX(Vol_V,8,CR$170)/12*(1+V_dVol),0))</f>
        <v>0</v>
      </c>
      <c r="CS184" s="34" t="n">
        <f aca="false">IF(CS$8=1,N(Reales!CS19),IF(CS$171=1,INDEX(Vol_V,8,CS$170)/12*(1+V_dVol),0))</f>
        <v>0</v>
      </c>
      <c r="CT184" s="34" t="n">
        <f aca="false">IF(CT$8=1,N(Reales!CT19),IF(CT$171=1,INDEX(Vol_V,8,CT$170)/12*(1+V_dVol),0))</f>
        <v>0</v>
      </c>
      <c r="CU184" s="34" t="n">
        <f aca="false">IF(CU$8=1,N(Reales!CU19),IF(CU$171=1,INDEX(Vol_V,8,CU$170)/12*(1+V_dVol),0))</f>
        <v>0</v>
      </c>
      <c r="CV184" s="34" t="n">
        <f aca="false">IF(CV$8=1,N(Reales!CV19),IF(CV$171=1,INDEX(Vol_V,8,CV$170)/12*(1+V_dVol),0))</f>
        <v>0</v>
      </c>
      <c r="CW184" s="34" t="n">
        <f aca="false">IF(CW$8=1,N(Reales!CW19),IF(CW$171=1,INDEX(Vol_V,8,CW$170)/12*(1+V_dVol),0))</f>
        <v>0</v>
      </c>
      <c r="CX184" s="34" t="n">
        <f aca="false">IF(CX$8=1,N(Reales!CX19),IF(CX$171=1,INDEX(Vol_V,8,CX$170)/12*(1+V_dVol),0))</f>
        <v>0</v>
      </c>
      <c r="CY184" s="34" t="n">
        <f aca="false">IF(CY$8=1,N(Reales!CY19),IF(CY$171=1,INDEX(Vol_V,8,CY$170)/12*(1+V_dVol),0))</f>
        <v>0</v>
      </c>
      <c r="CZ184" s="34" t="n">
        <f aca="false">IF(CZ$8=1,N(Reales!CZ19),IF(CZ$171=1,INDEX(Vol_V,8,CZ$170)/12*(1+V_dVol),0))</f>
        <v>0</v>
      </c>
      <c r="DA184" s="34" t="n">
        <f aca="false">IF(DA$8=1,N(Reales!DA19),IF(DA$171=1,INDEX(Vol_V,8,DA$170)/12*(1+V_dVol),0))</f>
        <v>0</v>
      </c>
      <c r="DB184" s="34" t="n">
        <f aca="false">IF(DB$8=1,N(Reales!DB19),IF(DB$171=1,INDEX(Vol_V,8,DB$170)/12*(1+V_dVol),0))</f>
        <v>0</v>
      </c>
      <c r="DC184" s="34" t="n">
        <f aca="false">IF(DC$8=1,N(Reales!DC19),IF(DC$171=1,INDEX(Vol_V,8,DC$170)/12*(1+V_dVol),0))</f>
        <v>0</v>
      </c>
      <c r="DD184" s="34" t="n">
        <f aca="false">IF(DD$8=1,N(Reales!DD19),IF(DD$171=1,INDEX(Vol_V,8,DD$170)/12*(1+V_dVol),0))</f>
        <v>0</v>
      </c>
      <c r="DE184" s="34" t="n">
        <f aca="false">IF(DE$8=1,N(Reales!DE19),IF(DE$171=1,INDEX(Vol_V,8,DE$170)/12*(1+V_dVol),0))</f>
        <v>0</v>
      </c>
      <c r="DF184" s="34" t="n">
        <f aca="false">IF(DF$8=1,N(Reales!DF19),IF(DF$171=1,INDEX(Vol_V,8,DF$170)/12*(1+V_dVol),0))</f>
        <v>0</v>
      </c>
      <c r="DG184" s="34" t="n">
        <f aca="false">IF(DG$8=1,N(Reales!DG19),IF(DG$171=1,INDEX(Vol_V,8,DG$170)/12*(1+V_dVol),0))</f>
        <v>0</v>
      </c>
      <c r="DH184" s="34" t="n">
        <f aca="false">IF(DH$8=1,N(Reales!DH19),IF(DH$171=1,INDEX(Vol_V,8,DH$170)/12*(1+V_dVol),0))</f>
        <v>0</v>
      </c>
      <c r="DI184" s="34" t="n">
        <f aca="false">IF(DI$8=1,N(Reales!DI19),IF(DI$171=1,INDEX(Vol_V,8,DI$170)/12*(1+V_dVol),0))</f>
        <v>0</v>
      </c>
      <c r="DJ184" s="34" t="n">
        <f aca="false">IF(DJ$8=1,N(Reales!DJ19),IF(DJ$171=1,INDEX(Vol_V,8,DJ$170)/12*(1+V_dVol),0))</f>
        <v>0</v>
      </c>
      <c r="DK184" s="34" t="n">
        <f aca="false">IF(DK$8=1,N(Reales!DK19),IF(DK$171=1,INDEX(Vol_V,8,DK$170)/12*(1+V_dVol),0))</f>
        <v>0</v>
      </c>
      <c r="DL184" s="34" t="n">
        <f aca="false">IF(DL$8=1,N(Reales!DL19),IF(DL$171=1,INDEX(Vol_V,8,DL$170)/12*(1+V_dVol),0))</f>
        <v>0</v>
      </c>
      <c r="DM184" s="34" t="n">
        <f aca="false">IF(DM$8=1,N(Reales!DM19),IF(DM$171=1,INDEX(Vol_V,8,DM$170)/12*(1+V_dVol),0))</f>
        <v>0</v>
      </c>
      <c r="DN184" s="34" t="n">
        <f aca="false">IF(DN$8=1,N(Reales!DN19),IF(DN$171=1,INDEX(Vol_V,8,DN$170)/12*(1+V_dVol),0))</f>
        <v>0</v>
      </c>
      <c r="DO184" s="34" t="n">
        <f aca="false">IF(DO$8=1,N(Reales!DO19),IF(DO$171=1,INDEX(Vol_V,8,DO$170)/12*(1+V_dVol),0))</f>
        <v>0</v>
      </c>
      <c r="DP184" s="34" t="n">
        <f aca="false">IF(DP$8=1,N(Reales!DP19),IF(DP$171=1,INDEX(Vol_V,8,DP$170)/12*(1+V_dVol),0))</f>
        <v>0</v>
      </c>
      <c r="DQ184" s="34" t="n">
        <f aca="false">IF(DQ$8=1,N(Reales!DQ19),IF(DQ$171=1,INDEX(Vol_V,8,DQ$170)/12*(1+V_dVol),0))</f>
        <v>0</v>
      </c>
      <c r="DR184" s="34" t="n">
        <f aca="false">IF(DR$8=1,N(Reales!DR19),IF(DR$171=1,INDEX(Vol_V,8,DR$170)/12*(1+V_dVol),0))</f>
        <v>0</v>
      </c>
      <c r="DS184" s="34" t="n">
        <f aca="false">IF(DS$8=1,N(Reales!DS19),IF(DS$171=1,INDEX(Vol_V,8,DS$170)/12*(1+V_dVol),0))</f>
        <v>0</v>
      </c>
      <c r="DT184" s="34" t="n">
        <f aca="false">IF(DT$8=1,N(Reales!DT19),IF(DT$171=1,INDEX(Vol_V,8,DT$170)/12*(1+V_dVol),0))</f>
        <v>0</v>
      </c>
      <c r="DU184" s="34" t="n">
        <f aca="false">IF(DU$8=1,N(Reales!DU19),IF(DU$171=1,INDEX(Vol_V,8,DU$170)/12*(1+V_dVol),0))</f>
        <v>0</v>
      </c>
      <c r="DV184" s="34" t="n">
        <f aca="false">IF(DV$8=1,N(Reales!DV19),IF(DV$171=1,INDEX(Vol_V,8,DV$170)/12*(1+V_dVol),0))</f>
        <v>0</v>
      </c>
      <c r="DW184" s="34" t="n">
        <f aca="false">IF(DW$8=1,N(Reales!DW19),IF(DW$171=1,INDEX(Vol_V,8,DW$170)/12*(1+V_dVol),0))</f>
        <v>0</v>
      </c>
      <c r="DX184" s="34" t="n">
        <f aca="false">IF(DX$8=1,N(Reales!DX19),IF(DX$171=1,INDEX(Vol_V,8,DX$170)/12*(1+V_dVol),0))</f>
        <v>0</v>
      </c>
      <c r="DY184" s="34" t="n">
        <f aca="false">IF(DY$8=1,N(Reales!DY19),IF(DY$171=1,INDEX(Vol_V,8,DY$170)/12*(1+V_dVol),0))</f>
        <v>0</v>
      </c>
      <c r="DZ184" s="34" t="n">
        <f aca="false">IF(DZ$8=1,N(Reales!DZ19),IF(DZ$171=1,INDEX(Vol_V,8,DZ$170)/12*(1+V_dVol),0))</f>
        <v>0</v>
      </c>
      <c r="EA184" s="34" t="n">
        <f aca="false">IF(EA$8=1,N(Reales!EA19),IF(EA$171=1,INDEX(Vol_V,8,EA$170)/12*(1+V_dVol),0))</f>
        <v>0</v>
      </c>
      <c r="EB184" s="34" t="n">
        <f aca="false">IF(EB$8=1,N(Reales!EB19),IF(EB$171=1,INDEX(Vol_V,8,EB$170)/12*(1+V_dVol),0))</f>
        <v>0</v>
      </c>
      <c r="EC184" s="34" t="n">
        <f aca="false">IF(EC$8=1,N(Reales!EC19),IF(EC$171=1,INDEX(Vol_V,8,EC$170)/12*(1+V_dVol),0))</f>
        <v>0</v>
      </c>
      <c r="ED184" s="34" t="n">
        <f aca="false">IF(ED$8=1,N(Reales!ED19),IF(ED$171=1,INDEX(Vol_V,8,ED$170)/12*(1+V_dVol),0))</f>
        <v>0</v>
      </c>
      <c r="EE184" s="34" t="n">
        <f aca="false">IF(EE$8=1,N(Reales!EE19),IF(EE$171=1,INDEX(Vol_V,8,EE$170)/12*(1+V_dVol),0))</f>
        <v>0</v>
      </c>
      <c r="EF184" s="34" t="n">
        <f aca="false">IF(EF$8=1,N(Reales!EF19),IF(EF$171=1,INDEX(Vol_V,8,EF$170)/12*(1+V_dVol),0))</f>
        <v>0</v>
      </c>
      <c r="EG184" s="34" t="n">
        <f aca="false">IF(EG$8=1,N(Reales!EG19),IF(EG$171=1,INDEX(Vol_V,8,EG$170)/12*(1+V_dVol),0))</f>
        <v>0</v>
      </c>
      <c r="EH184" s="34" t="n">
        <f aca="false">IF(EH$8=1,N(Reales!EH19),IF(EH$171=1,INDEX(Vol_V,8,EH$170)/12*(1+V_dVol),0))</f>
        <v>0</v>
      </c>
      <c r="EI184" s="34" t="n">
        <f aca="false">IF(EI$8=1,N(Reales!EI19),IF(EI$171=1,INDEX(Vol_V,8,EI$170)/12*(1+V_dVol),0))</f>
        <v>0</v>
      </c>
      <c r="EJ184" s="34" t="n">
        <f aca="false">IF(EJ$8=1,N(Reales!EJ19),IF(EJ$171=1,INDEX(Vol_V,8,EJ$170)/12*(1+V_dVol),0))</f>
        <v>0</v>
      </c>
      <c r="EK184" s="34" t="n">
        <f aca="false">IF(EK$8=1,N(Reales!EK19),IF(EK$171=1,INDEX(Vol_V,8,EK$170)/12*(1+V_dVol),0))</f>
        <v>0</v>
      </c>
      <c r="EL184" s="34" t="n">
        <f aca="false">IF(EL$8=1,N(Reales!EL19),IF(EL$171=1,INDEX(Vol_V,8,EL$170)/12*(1+V_dVol),0))</f>
        <v>0</v>
      </c>
      <c r="EM184" s="34" t="n">
        <f aca="false">IF(EM$8=1,N(Reales!EM19),IF(EM$171=1,INDEX(Vol_V,8,EM$170)/12*(1+V_dVol),0))</f>
        <v>0</v>
      </c>
      <c r="EN184" s="34" t="n">
        <f aca="false">IF(EN$8=1,N(Reales!EN19),IF(EN$171=1,INDEX(Vol_V,8,EN$170)/12*(1+V_dVol),0))</f>
        <v>0</v>
      </c>
      <c r="EO184" s="34" t="n">
        <f aca="false">IF(EO$8=1,N(Reales!EO19),IF(EO$171=1,INDEX(Vol_V,8,EO$170)/12*(1+V_dVol),0))</f>
        <v>0</v>
      </c>
      <c r="EP184" s="34" t="n">
        <f aca="false">IF(EP$8=1,N(Reales!EP19),IF(EP$171=1,INDEX(Vol_V,8,EP$170)/12*(1+V_dVol),0))</f>
        <v>0</v>
      </c>
      <c r="EQ184" s="34" t="n">
        <f aca="false">IF(EQ$8=1,N(Reales!EQ19),IF(EQ$171=1,INDEX(Vol_V,8,EQ$170)/12*(1+V_dVol),0))</f>
        <v>0</v>
      </c>
      <c r="ER184" s="34" t="n">
        <f aca="false">IF(ER$8=1,N(Reales!ER19),IF(ER$171=1,INDEX(Vol_V,8,ER$170)/12*(1+V_dVol),0))</f>
        <v>0</v>
      </c>
      <c r="ES184" s="34" t="n">
        <f aca="false">IF(ES$8=1,N(Reales!ES19),IF(ES$171=1,INDEX(Vol_V,8,ES$170)/12*(1+V_dVol),0))</f>
        <v>0</v>
      </c>
    </row>
    <row r="185" customFormat="false" ht="15" hidden="false" customHeight="false" outlineLevel="0" collapsed="false">
      <c r="A185" s="2" t="s">
        <v>827</v>
      </c>
      <c r="B185" s="39" t="str">
        <f aca="false">IF(INDEX(Prod_Nombre,9)="","Producto 9",INDEX(Prod_Nombre,9))&amp;" — unidades"</f>
        <v>Producto 9 — unidades</v>
      </c>
      <c r="C185" s="6" t="s">
        <v>286</v>
      </c>
      <c r="E185" s="40" t="n">
        <f aca="false">SUM(F185:ES185)</f>
        <v>0</v>
      </c>
      <c r="F185" s="34" t="n">
        <f aca="false">IF(F$8=1,N(Reales!F20),IF(F$171=1,INDEX(Vol_V,9,F$170)/12*(1+V_dVol),0))</f>
        <v>0</v>
      </c>
      <c r="G185" s="34" t="n">
        <f aca="false">IF(G$8=1,N(Reales!G20),IF(G$171=1,INDEX(Vol_V,9,G$170)/12*(1+V_dVol),0))</f>
        <v>0</v>
      </c>
      <c r="H185" s="34" t="n">
        <f aca="false">IF(H$8=1,N(Reales!H20),IF(H$171=1,INDEX(Vol_V,9,H$170)/12*(1+V_dVol),0))</f>
        <v>0</v>
      </c>
      <c r="I185" s="34" t="n">
        <f aca="false">IF(I$8=1,N(Reales!I20),IF(I$171=1,INDEX(Vol_V,9,I$170)/12*(1+V_dVol),0))</f>
        <v>0</v>
      </c>
      <c r="J185" s="34" t="n">
        <f aca="false">IF(J$8=1,N(Reales!J20),IF(J$171=1,INDEX(Vol_V,9,J$170)/12*(1+V_dVol),0))</f>
        <v>0</v>
      </c>
      <c r="K185" s="34" t="n">
        <f aca="false">IF(K$8=1,N(Reales!K20),IF(K$171=1,INDEX(Vol_V,9,K$170)/12*(1+V_dVol),0))</f>
        <v>0</v>
      </c>
      <c r="L185" s="34" t="n">
        <f aca="false">IF(L$8=1,N(Reales!L20),IF(L$171=1,INDEX(Vol_V,9,L$170)/12*(1+V_dVol),0))</f>
        <v>0</v>
      </c>
      <c r="M185" s="34" t="n">
        <f aca="false">IF(M$8=1,N(Reales!M20),IF(M$171=1,INDEX(Vol_V,9,M$170)/12*(1+V_dVol),0))</f>
        <v>0</v>
      </c>
      <c r="N185" s="34" t="n">
        <f aca="false">IF(N$8=1,N(Reales!N20),IF(N$171=1,INDEX(Vol_V,9,N$170)/12*(1+V_dVol),0))</f>
        <v>0</v>
      </c>
      <c r="O185" s="34" t="n">
        <f aca="false">IF(O$8=1,N(Reales!O20),IF(O$171=1,INDEX(Vol_V,9,O$170)/12*(1+V_dVol),0))</f>
        <v>0</v>
      </c>
      <c r="P185" s="34" t="n">
        <f aca="false">IF(P$8=1,N(Reales!P20),IF(P$171=1,INDEX(Vol_V,9,P$170)/12*(1+V_dVol),0))</f>
        <v>0</v>
      </c>
      <c r="Q185" s="34" t="n">
        <f aca="false">IF(Q$8=1,N(Reales!Q20),IF(Q$171=1,INDEX(Vol_V,9,Q$170)/12*(1+V_dVol),0))</f>
        <v>0</v>
      </c>
      <c r="R185" s="34" t="n">
        <f aca="false">IF(R$8=1,N(Reales!R20),IF(R$171=1,INDEX(Vol_V,9,R$170)/12*(1+V_dVol),0))</f>
        <v>0</v>
      </c>
      <c r="S185" s="34" t="n">
        <f aca="false">IF(S$8=1,N(Reales!S20),IF(S$171=1,INDEX(Vol_V,9,S$170)/12*(1+V_dVol),0))</f>
        <v>0</v>
      </c>
      <c r="T185" s="34" t="n">
        <f aca="false">IF(T$8=1,N(Reales!T20),IF(T$171=1,INDEX(Vol_V,9,T$170)/12*(1+V_dVol),0))</f>
        <v>0</v>
      </c>
      <c r="U185" s="34" t="n">
        <f aca="false">IF(U$8=1,N(Reales!U20),IF(U$171=1,INDEX(Vol_V,9,U$170)/12*(1+V_dVol),0))</f>
        <v>0</v>
      </c>
      <c r="V185" s="34" t="n">
        <f aca="false">IF(V$8=1,N(Reales!V20),IF(V$171=1,INDEX(Vol_V,9,V$170)/12*(1+V_dVol),0))</f>
        <v>0</v>
      </c>
      <c r="W185" s="34" t="n">
        <f aca="false">IF(W$8=1,N(Reales!W20),IF(W$171=1,INDEX(Vol_V,9,W$170)/12*(1+V_dVol),0))</f>
        <v>0</v>
      </c>
      <c r="X185" s="34" t="n">
        <f aca="false">IF(X$8=1,N(Reales!X20),IF(X$171=1,INDEX(Vol_V,9,X$170)/12*(1+V_dVol),0))</f>
        <v>0</v>
      </c>
      <c r="Y185" s="34" t="n">
        <f aca="false">IF(Y$8=1,N(Reales!Y20),IF(Y$171=1,INDEX(Vol_V,9,Y$170)/12*(1+V_dVol),0))</f>
        <v>0</v>
      </c>
      <c r="Z185" s="34" t="n">
        <f aca="false">IF(Z$8=1,N(Reales!Z20),IF(Z$171=1,INDEX(Vol_V,9,Z$170)/12*(1+V_dVol),0))</f>
        <v>0</v>
      </c>
      <c r="AA185" s="34" t="n">
        <f aca="false">IF(AA$8=1,N(Reales!AA20),IF(AA$171=1,INDEX(Vol_V,9,AA$170)/12*(1+V_dVol),0))</f>
        <v>0</v>
      </c>
      <c r="AB185" s="34" t="n">
        <f aca="false">IF(AB$8=1,N(Reales!AB20),IF(AB$171=1,INDEX(Vol_V,9,AB$170)/12*(1+V_dVol),0))</f>
        <v>0</v>
      </c>
      <c r="AC185" s="34" t="n">
        <f aca="false">IF(AC$8=1,N(Reales!AC20),IF(AC$171=1,INDEX(Vol_V,9,AC$170)/12*(1+V_dVol),0))</f>
        <v>0</v>
      </c>
      <c r="AD185" s="34" t="n">
        <f aca="false">IF(AD$8=1,N(Reales!AD20),IF(AD$171=1,INDEX(Vol_V,9,AD$170)/12*(1+V_dVol),0))</f>
        <v>0</v>
      </c>
      <c r="AE185" s="34" t="n">
        <f aca="false">IF(AE$8=1,N(Reales!AE20),IF(AE$171=1,INDEX(Vol_V,9,AE$170)/12*(1+V_dVol),0))</f>
        <v>0</v>
      </c>
      <c r="AF185" s="34" t="n">
        <f aca="false">IF(AF$8=1,N(Reales!AF20),IF(AF$171=1,INDEX(Vol_V,9,AF$170)/12*(1+V_dVol),0))</f>
        <v>0</v>
      </c>
      <c r="AG185" s="34" t="n">
        <f aca="false">IF(AG$8=1,N(Reales!AG20),IF(AG$171=1,INDEX(Vol_V,9,AG$170)/12*(1+V_dVol),0))</f>
        <v>0</v>
      </c>
      <c r="AH185" s="34" t="n">
        <f aca="false">IF(AH$8=1,N(Reales!AH20),IF(AH$171=1,INDEX(Vol_V,9,AH$170)/12*(1+V_dVol),0))</f>
        <v>0</v>
      </c>
      <c r="AI185" s="34" t="n">
        <f aca="false">IF(AI$8=1,N(Reales!AI20),IF(AI$171=1,INDEX(Vol_V,9,AI$170)/12*(1+V_dVol),0))</f>
        <v>0</v>
      </c>
      <c r="AJ185" s="34" t="n">
        <f aca="false">IF(AJ$8=1,N(Reales!AJ20),IF(AJ$171=1,INDEX(Vol_V,9,AJ$170)/12*(1+V_dVol),0))</f>
        <v>0</v>
      </c>
      <c r="AK185" s="34" t="n">
        <f aca="false">IF(AK$8=1,N(Reales!AK20),IF(AK$171=1,INDEX(Vol_V,9,AK$170)/12*(1+V_dVol),0))</f>
        <v>0</v>
      </c>
      <c r="AL185" s="34" t="n">
        <f aca="false">IF(AL$8=1,N(Reales!AL20),IF(AL$171=1,INDEX(Vol_V,9,AL$170)/12*(1+V_dVol),0))</f>
        <v>0</v>
      </c>
      <c r="AM185" s="34" t="n">
        <f aca="false">IF(AM$8=1,N(Reales!AM20),IF(AM$171=1,INDEX(Vol_V,9,AM$170)/12*(1+V_dVol),0))</f>
        <v>0</v>
      </c>
      <c r="AN185" s="34" t="n">
        <f aca="false">IF(AN$8=1,N(Reales!AN20),IF(AN$171=1,INDEX(Vol_V,9,AN$170)/12*(1+V_dVol),0))</f>
        <v>0</v>
      </c>
      <c r="AO185" s="34" t="n">
        <f aca="false">IF(AO$8=1,N(Reales!AO20),IF(AO$171=1,INDEX(Vol_V,9,AO$170)/12*(1+V_dVol),0))</f>
        <v>0</v>
      </c>
      <c r="AP185" s="34" t="n">
        <f aca="false">IF(AP$8=1,N(Reales!AP20),IF(AP$171=1,INDEX(Vol_V,9,AP$170)/12*(1+V_dVol),0))</f>
        <v>0</v>
      </c>
      <c r="AQ185" s="34" t="n">
        <f aca="false">IF(AQ$8=1,N(Reales!AQ20),IF(AQ$171=1,INDEX(Vol_V,9,AQ$170)/12*(1+V_dVol),0))</f>
        <v>0</v>
      </c>
      <c r="AR185" s="34" t="n">
        <f aca="false">IF(AR$8=1,N(Reales!AR20),IF(AR$171=1,INDEX(Vol_V,9,AR$170)/12*(1+V_dVol),0))</f>
        <v>0</v>
      </c>
      <c r="AS185" s="34" t="n">
        <f aca="false">IF(AS$8=1,N(Reales!AS20),IF(AS$171=1,INDEX(Vol_V,9,AS$170)/12*(1+V_dVol),0))</f>
        <v>0</v>
      </c>
      <c r="AT185" s="34" t="n">
        <f aca="false">IF(AT$8=1,N(Reales!AT20),IF(AT$171=1,INDEX(Vol_V,9,AT$170)/12*(1+V_dVol),0))</f>
        <v>0</v>
      </c>
      <c r="AU185" s="34" t="n">
        <f aca="false">IF(AU$8=1,N(Reales!AU20),IF(AU$171=1,INDEX(Vol_V,9,AU$170)/12*(1+V_dVol),0))</f>
        <v>0</v>
      </c>
      <c r="AV185" s="34" t="n">
        <f aca="false">IF(AV$8=1,N(Reales!AV20),IF(AV$171=1,INDEX(Vol_V,9,AV$170)/12*(1+V_dVol),0))</f>
        <v>0</v>
      </c>
      <c r="AW185" s="34" t="n">
        <f aca="false">IF(AW$8=1,N(Reales!AW20),IF(AW$171=1,INDEX(Vol_V,9,AW$170)/12*(1+V_dVol),0))</f>
        <v>0</v>
      </c>
      <c r="AX185" s="34" t="n">
        <f aca="false">IF(AX$8=1,N(Reales!AX20),IF(AX$171=1,INDEX(Vol_V,9,AX$170)/12*(1+V_dVol),0))</f>
        <v>0</v>
      </c>
      <c r="AY185" s="34" t="n">
        <f aca="false">IF(AY$8=1,N(Reales!AY20),IF(AY$171=1,INDEX(Vol_V,9,AY$170)/12*(1+V_dVol),0))</f>
        <v>0</v>
      </c>
      <c r="AZ185" s="34" t="n">
        <f aca="false">IF(AZ$8=1,N(Reales!AZ20),IF(AZ$171=1,INDEX(Vol_V,9,AZ$170)/12*(1+V_dVol),0))</f>
        <v>0</v>
      </c>
      <c r="BA185" s="34" t="n">
        <f aca="false">IF(BA$8=1,N(Reales!BA20),IF(BA$171=1,INDEX(Vol_V,9,BA$170)/12*(1+V_dVol),0))</f>
        <v>0</v>
      </c>
      <c r="BB185" s="34" t="n">
        <f aca="false">IF(BB$8=1,N(Reales!BB20),IF(BB$171=1,INDEX(Vol_V,9,BB$170)/12*(1+V_dVol),0))</f>
        <v>0</v>
      </c>
      <c r="BC185" s="34" t="n">
        <f aca="false">IF(BC$8=1,N(Reales!BC20),IF(BC$171=1,INDEX(Vol_V,9,BC$170)/12*(1+V_dVol),0))</f>
        <v>0</v>
      </c>
      <c r="BD185" s="34" t="n">
        <f aca="false">IF(BD$8=1,N(Reales!BD20),IF(BD$171=1,INDEX(Vol_V,9,BD$170)/12*(1+V_dVol),0))</f>
        <v>0</v>
      </c>
      <c r="BE185" s="34" t="n">
        <f aca="false">IF(BE$8=1,N(Reales!BE20),IF(BE$171=1,INDEX(Vol_V,9,BE$170)/12*(1+V_dVol),0))</f>
        <v>0</v>
      </c>
      <c r="BF185" s="34" t="n">
        <f aca="false">IF(BF$8=1,N(Reales!BF20),IF(BF$171=1,INDEX(Vol_V,9,BF$170)/12*(1+V_dVol),0))</f>
        <v>0</v>
      </c>
      <c r="BG185" s="34" t="n">
        <f aca="false">IF(BG$8=1,N(Reales!BG20),IF(BG$171=1,INDEX(Vol_V,9,BG$170)/12*(1+V_dVol),0))</f>
        <v>0</v>
      </c>
      <c r="BH185" s="34" t="n">
        <f aca="false">IF(BH$8=1,N(Reales!BH20),IF(BH$171=1,INDEX(Vol_V,9,BH$170)/12*(1+V_dVol),0))</f>
        <v>0</v>
      </c>
      <c r="BI185" s="34" t="n">
        <f aca="false">IF(BI$8=1,N(Reales!BI20),IF(BI$171=1,INDEX(Vol_V,9,BI$170)/12*(1+V_dVol),0))</f>
        <v>0</v>
      </c>
      <c r="BJ185" s="34" t="n">
        <f aca="false">IF(BJ$8=1,N(Reales!BJ20),IF(BJ$171=1,INDEX(Vol_V,9,BJ$170)/12*(1+V_dVol),0))</f>
        <v>0</v>
      </c>
      <c r="BK185" s="34" t="n">
        <f aca="false">IF(BK$8=1,N(Reales!BK20),IF(BK$171=1,INDEX(Vol_V,9,BK$170)/12*(1+V_dVol),0))</f>
        <v>0</v>
      </c>
      <c r="BL185" s="34" t="n">
        <f aca="false">IF(BL$8=1,N(Reales!BL20),IF(BL$171=1,INDEX(Vol_V,9,BL$170)/12*(1+V_dVol),0))</f>
        <v>0</v>
      </c>
      <c r="BM185" s="34" t="n">
        <f aca="false">IF(BM$8=1,N(Reales!BM20),IF(BM$171=1,INDEX(Vol_V,9,BM$170)/12*(1+V_dVol),0))</f>
        <v>0</v>
      </c>
      <c r="BN185" s="34" t="n">
        <f aca="false">IF(BN$8=1,N(Reales!BN20),IF(BN$171=1,INDEX(Vol_V,9,BN$170)/12*(1+V_dVol),0))</f>
        <v>0</v>
      </c>
      <c r="BO185" s="34" t="n">
        <f aca="false">IF(BO$8=1,N(Reales!BO20),IF(BO$171=1,INDEX(Vol_V,9,BO$170)/12*(1+V_dVol),0))</f>
        <v>0</v>
      </c>
      <c r="BP185" s="34" t="n">
        <f aca="false">IF(BP$8=1,N(Reales!BP20),IF(BP$171=1,INDEX(Vol_V,9,BP$170)/12*(1+V_dVol),0))</f>
        <v>0</v>
      </c>
      <c r="BQ185" s="34" t="n">
        <f aca="false">IF(BQ$8=1,N(Reales!BQ20),IF(BQ$171=1,INDEX(Vol_V,9,BQ$170)/12*(1+V_dVol),0))</f>
        <v>0</v>
      </c>
      <c r="BR185" s="34" t="n">
        <f aca="false">IF(BR$8=1,N(Reales!BR20),IF(BR$171=1,INDEX(Vol_V,9,BR$170)/12*(1+V_dVol),0))</f>
        <v>0</v>
      </c>
      <c r="BS185" s="34" t="n">
        <f aca="false">IF(BS$8=1,N(Reales!BS20),IF(BS$171=1,INDEX(Vol_V,9,BS$170)/12*(1+V_dVol),0))</f>
        <v>0</v>
      </c>
      <c r="BT185" s="34" t="n">
        <f aca="false">IF(BT$8=1,N(Reales!BT20),IF(BT$171=1,INDEX(Vol_V,9,BT$170)/12*(1+V_dVol),0))</f>
        <v>0</v>
      </c>
      <c r="BU185" s="34" t="n">
        <f aca="false">IF(BU$8=1,N(Reales!BU20),IF(BU$171=1,INDEX(Vol_V,9,BU$170)/12*(1+V_dVol),0))</f>
        <v>0</v>
      </c>
      <c r="BV185" s="34" t="n">
        <f aca="false">IF(BV$8=1,N(Reales!BV20),IF(BV$171=1,INDEX(Vol_V,9,BV$170)/12*(1+V_dVol),0))</f>
        <v>0</v>
      </c>
      <c r="BW185" s="34" t="n">
        <f aca="false">IF(BW$8=1,N(Reales!BW20),IF(BW$171=1,INDEX(Vol_V,9,BW$170)/12*(1+V_dVol),0))</f>
        <v>0</v>
      </c>
      <c r="BX185" s="34" t="n">
        <f aca="false">IF(BX$8=1,N(Reales!BX20),IF(BX$171=1,INDEX(Vol_V,9,BX$170)/12*(1+V_dVol),0))</f>
        <v>0</v>
      </c>
      <c r="BY185" s="34" t="n">
        <f aca="false">IF(BY$8=1,N(Reales!BY20),IF(BY$171=1,INDEX(Vol_V,9,BY$170)/12*(1+V_dVol),0))</f>
        <v>0</v>
      </c>
      <c r="BZ185" s="34" t="n">
        <f aca="false">IF(BZ$8=1,N(Reales!BZ20),IF(BZ$171=1,INDEX(Vol_V,9,BZ$170)/12*(1+V_dVol),0))</f>
        <v>0</v>
      </c>
      <c r="CA185" s="34" t="n">
        <f aca="false">IF(CA$8=1,N(Reales!CA20),IF(CA$171=1,INDEX(Vol_V,9,CA$170)/12*(1+V_dVol),0))</f>
        <v>0</v>
      </c>
      <c r="CB185" s="34" t="n">
        <f aca="false">IF(CB$8=1,N(Reales!CB20),IF(CB$171=1,INDEX(Vol_V,9,CB$170)/12*(1+V_dVol),0))</f>
        <v>0</v>
      </c>
      <c r="CC185" s="34" t="n">
        <f aca="false">IF(CC$8=1,N(Reales!CC20),IF(CC$171=1,INDEX(Vol_V,9,CC$170)/12*(1+V_dVol),0))</f>
        <v>0</v>
      </c>
      <c r="CD185" s="34" t="n">
        <f aca="false">IF(CD$8=1,N(Reales!CD20),IF(CD$171=1,INDEX(Vol_V,9,CD$170)/12*(1+V_dVol),0))</f>
        <v>0</v>
      </c>
      <c r="CE185" s="34" t="n">
        <f aca="false">IF(CE$8=1,N(Reales!CE20),IF(CE$171=1,INDEX(Vol_V,9,CE$170)/12*(1+V_dVol),0))</f>
        <v>0</v>
      </c>
      <c r="CF185" s="34" t="n">
        <f aca="false">IF(CF$8=1,N(Reales!CF20),IF(CF$171=1,INDEX(Vol_V,9,CF$170)/12*(1+V_dVol),0))</f>
        <v>0</v>
      </c>
      <c r="CG185" s="34" t="n">
        <f aca="false">IF(CG$8=1,N(Reales!CG20),IF(CG$171=1,INDEX(Vol_V,9,CG$170)/12*(1+V_dVol),0))</f>
        <v>0</v>
      </c>
      <c r="CH185" s="34" t="n">
        <f aca="false">IF(CH$8=1,N(Reales!CH20),IF(CH$171=1,INDEX(Vol_V,9,CH$170)/12*(1+V_dVol),0))</f>
        <v>0</v>
      </c>
      <c r="CI185" s="34" t="n">
        <f aca="false">IF(CI$8=1,N(Reales!CI20),IF(CI$171=1,INDEX(Vol_V,9,CI$170)/12*(1+V_dVol),0))</f>
        <v>0</v>
      </c>
      <c r="CJ185" s="34" t="n">
        <f aca="false">IF(CJ$8=1,N(Reales!CJ20),IF(CJ$171=1,INDEX(Vol_V,9,CJ$170)/12*(1+V_dVol),0))</f>
        <v>0</v>
      </c>
      <c r="CK185" s="34" t="n">
        <f aca="false">IF(CK$8=1,N(Reales!CK20),IF(CK$171=1,INDEX(Vol_V,9,CK$170)/12*(1+V_dVol),0))</f>
        <v>0</v>
      </c>
      <c r="CL185" s="34" t="n">
        <f aca="false">IF(CL$8=1,N(Reales!CL20),IF(CL$171=1,INDEX(Vol_V,9,CL$170)/12*(1+V_dVol),0))</f>
        <v>0</v>
      </c>
      <c r="CM185" s="34" t="n">
        <f aca="false">IF(CM$8=1,N(Reales!CM20),IF(CM$171=1,INDEX(Vol_V,9,CM$170)/12*(1+V_dVol),0))</f>
        <v>0</v>
      </c>
      <c r="CN185" s="34" t="n">
        <f aca="false">IF(CN$8=1,N(Reales!CN20),IF(CN$171=1,INDEX(Vol_V,9,CN$170)/12*(1+V_dVol),0))</f>
        <v>0</v>
      </c>
      <c r="CO185" s="34" t="n">
        <f aca="false">IF(CO$8=1,N(Reales!CO20),IF(CO$171=1,INDEX(Vol_V,9,CO$170)/12*(1+V_dVol),0))</f>
        <v>0</v>
      </c>
      <c r="CP185" s="34" t="n">
        <f aca="false">IF(CP$8=1,N(Reales!CP20),IF(CP$171=1,INDEX(Vol_V,9,CP$170)/12*(1+V_dVol),0))</f>
        <v>0</v>
      </c>
      <c r="CQ185" s="34" t="n">
        <f aca="false">IF(CQ$8=1,N(Reales!CQ20),IF(CQ$171=1,INDEX(Vol_V,9,CQ$170)/12*(1+V_dVol),0))</f>
        <v>0</v>
      </c>
      <c r="CR185" s="34" t="n">
        <f aca="false">IF(CR$8=1,N(Reales!CR20),IF(CR$171=1,INDEX(Vol_V,9,CR$170)/12*(1+V_dVol),0))</f>
        <v>0</v>
      </c>
      <c r="CS185" s="34" t="n">
        <f aca="false">IF(CS$8=1,N(Reales!CS20),IF(CS$171=1,INDEX(Vol_V,9,CS$170)/12*(1+V_dVol),0))</f>
        <v>0</v>
      </c>
      <c r="CT185" s="34" t="n">
        <f aca="false">IF(CT$8=1,N(Reales!CT20),IF(CT$171=1,INDEX(Vol_V,9,CT$170)/12*(1+V_dVol),0))</f>
        <v>0</v>
      </c>
      <c r="CU185" s="34" t="n">
        <f aca="false">IF(CU$8=1,N(Reales!CU20),IF(CU$171=1,INDEX(Vol_V,9,CU$170)/12*(1+V_dVol),0))</f>
        <v>0</v>
      </c>
      <c r="CV185" s="34" t="n">
        <f aca="false">IF(CV$8=1,N(Reales!CV20),IF(CV$171=1,INDEX(Vol_V,9,CV$170)/12*(1+V_dVol),0))</f>
        <v>0</v>
      </c>
      <c r="CW185" s="34" t="n">
        <f aca="false">IF(CW$8=1,N(Reales!CW20),IF(CW$171=1,INDEX(Vol_V,9,CW$170)/12*(1+V_dVol),0))</f>
        <v>0</v>
      </c>
      <c r="CX185" s="34" t="n">
        <f aca="false">IF(CX$8=1,N(Reales!CX20),IF(CX$171=1,INDEX(Vol_V,9,CX$170)/12*(1+V_dVol),0))</f>
        <v>0</v>
      </c>
      <c r="CY185" s="34" t="n">
        <f aca="false">IF(CY$8=1,N(Reales!CY20),IF(CY$171=1,INDEX(Vol_V,9,CY$170)/12*(1+V_dVol),0))</f>
        <v>0</v>
      </c>
      <c r="CZ185" s="34" t="n">
        <f aca="false">IF(CZ$8=1,N(Reales!CZ20),IF(CZ$171=1,INDEX(Vol_V,9,CZ$170)/12*(1+V_dVol),0))</f>
        <v>0</v>
      </c>
      <c r="DA185" s="34" t="n">
        <f aca="false">IF(DA$8=1,N(Reales!DA20),IF(DA$171=1,INDEX(Vol_V,9,DA$170)/12*(1+V_dVol),0))</f>
        <v>0</v>
      </c>
      <c r="DB185" s="34" t="n">
        <f aca="false">IF(DB$8=1,N(Reales!DB20),IF(DB$171=1,INDEX(Vol_V,9,DB$170)/12*(1+V_dVol),0))</f>
        <v>0</v>
      </c>
      <c r="DC185" s="34" t="n">
        <f aca="false">IF(DC$8=1,N(Reales!DC20),IF(DC$171=1,INDEX(Vol_V,9,DC$170)/12*(1+V_dVol),0))</f>
        <v>0</v>
      </c>
      <c r="DD185" s="34" t="n">
        <f aca="false">IF(DD$8=1,N(Reales!DD20),IF(DD$171=1,INDEX(Vol_V,9,DD$170)/12*(1+V_dVol),0))</f>
        <v>0</v>
      </c>
      <c r="DE185" s="34" t="n">
        <f aca="false">IF(DE$8=1,N(Reales!DE20),IF(DE$171=1,INDEX(Vol_V,9,DE$170)/12*(1+V_dVol),0))</f>
        <v>0</v>
      </c>
      <c r="DF185" s="34" t="n">
        <f aca="false">IF(DF$8=1,N(Reales!DF20),IF(DF$171=1,INDEX(Vol_V,9,DF$170)/12*(1+V_dVol),0))</f>
        <v>0</v>
      </c>
      <c r="DG185" s="34" t="n">
        <f aca="false">IF(DG$8=1,N(Reales!DG20),IF(DG$171=1,INDEX(Vol_V,9,DG$170)/12*(1+V_dVol),0))</f>
        <v>0</v>
      </c>
      <c r="DH185" s="34" t="n">
        <f aca="false">IF(DH$8=1,N(Reales!DH20),IF(DH$171=1,INDEX(Vol_V,9,DH$170)/12*(1+V_dVol),0))</f>
        <v>0</v>
      </c>
      <c r="DI185" s="34" t="n">
        <f aca="false">IF(DI$8=1,N(Reales!DI20),IF(DI$171=1,INDEX(Vol_V,9,DI$170)/12*(1+V_dVol),0))</f>
        <v>0</v>
      </c>
      <c r="DJ185" s="34" t="n">
        <f aca="false">IF(DJ$8=1,N(Reales!DJ20),IF(DJ$171=1,INDEX(Vol_V,9,DJ$170)/12*(1+V_dVol),0))</f>
        <v>0</v>
      </c>
      <c r="DK185" s="34" t="n">
        <f aca="false">IF(DK$8=1,N(Reales!DK20),IF(DK$171=1,INDEX(Vol_V,9,DK$170)/12*(1+V_dVol),0))</f>
        <v>0</v>
      </c>
      <c r="DL185" s="34" t="n">
        <f aca="false">IF(DL$8=1,N(Reales!DL20),IF(DL$171=1,INDEX(Vol_V,9,DL$170)/12*(1+V_dVol),0))</f>
        <v>0</v>
      </c>
      <c r="DM185" s="34" t="n">
        <f aca="false">IF(DM$8=1,N(Reales!DM20),IF(DM$171=1,INDEX(Vol_V,9,DM$170)/12*(1+V_dVol),0))</f>
        <v>0</v>
      </c>
      <c r="DN185" s="34" t="n">
        <f aca="false">IF(DN$8=1,N(Reales!DN20),IF(DN$171=1,INDEX(Vol_V,9,DN$170)/12*(1+V_dVol),0))</f>
        <v>0</v>
      </c>
      <c r="DO185" s="34" t="n">
        <f aca="false">IF(DO$8=1,N(Reales!DO20),IF(DO$171=1,INDEX(Vol_V,9,DO$170)/12*(1+V_dVol),0))</f>
        <v>0</v>
      </c>
      <c r="DP185" s="34" t="n">
        <f aca="false">IF(DP$8=1,N(Reales!DP20),IF(DP$171=1,INDEX(Vol_V,9,DP$170)/12*(1+V_dVol),0))</f>
        <v>0</v>
      </c>
      <c r="DQ185" s="34" t="n">
        <f aca="false">IF(DQ$8=1,N(Reales!DQ20),IF(DQ$171=1,INDEX(Vol_V,9,DQ$170)/12*(1+V_dVol),0))</f>
        <v>0</v>
      </c>
      <c r="DR185" s="34" t="n">
        <f aca="false">IF(DR$8=1,N(Reales!DR20),IF(DR$171=1,INDEX(Vol_V,9,DR$170)/12*(1+V_dVol),0))</f>
        <v>0</v>
      </c>
      <c r="DS185" s="34" t="n">
        <f aca="false">IF(DS$8=1,N(Reales!DS20),IF(DS$171=1,INDEX(Vol_V,9,DS$170)/12*(1+V_dVol),0))</f>
        <v>0</v>
      </c>
      <c r="DT185" s="34" t="n">
        <f aca="false">IF(DT$8=1,N(Reales!DT20),IF(DT$171=1,INDEX(Vol_V,9,DT$170)/12*(1+V_dVol),0))</f>
        <v>0</v>
      </c>
      <c r="DU185" s="34" t="n">
        <f aca="false">IF(DU$8=1,N(Reales!DU20),IF(DU$171=1,INDEX(Vol_V,9,DU$170)/12*(1+V_dVol),0))</f>
        <v>0</v>
      </c>
      <c r="DV185" s="34" t="n">
        <f aca="false">IF(DV$8=1,N(Reales!DV20),IF(DV$171=1,INDEX(Vol_V,9,DV$170)/12*(1+V_dVol),0))</f>
        <v>0</v>
      </c>
      <c r="DW185" s="34" t="n">
        <f aca="false">IF(DW$8=1,N(Reales!DW20),IF(DW$171=1,INDEX(Vol_V,9,DW$170)/12*(1+V_dVol),0))</f>
        <v>0</v>
      </c>
      <c r="DX185" s="34" t="n">
        <f aca="false">IF(DX$8=1,N(Reales!DX20),IF(DX$171=1,INDEX(Vol_V,9,DX$170)/12*(1+V_dVol),0))</f>
        <v>0</v>
      </c>
      <c r="DY185" s="34" t="n">
        <f aca="false">IF(DY$8=1,N(Reales!DY20),IF(DY$171=1,INDEX(Vol_V,9,DY$170)/12*(1+V_dVol),0))</f>
        <v>0</v>
      </c>
      <c r="DZ185" s="34" t="n">
        <f aca="false">IF(DZ$8=1,N(Reales!DZ20),IF(DZ$171=1,INDEX(Vol_V,9,DZ$170)/12*(1+V_dVol),0))</f>
        <v>0</v>
      </c>
      <c r="EA185" s="34" t="n">
        <f aca="false">IF(EA$8=1,N(Reales!EA20),IF(EA$171=1,INDEX(Vol_V,9,EA$170)/12*(1+V_dVol),0))</f>
        <v>0</v>
      </c>
      <c r="EB185" s="34" t="n">
        <f aca="false">IF(EB$8=1,N(Reales!EB20),IF(EB$171=1,INDEX(Vol_V,9,EB$170)/12*(1+V_dVol),0))</f>
        <v>0</v>
      </c>
      <c r="EC185" s="34" t="n">
        <f aca="false">IF(EC$8=1,N(Reales!EC20),IF(EC$171=1,INDEX(Vol_V,9,EC$170)/12*(1+V_dVol),0))</f>
        <v>0</v>
      </c>
      <c r="ED185" s="34" t="n">
        <f aca="false">IF(ED$8=1,N(Reales!ED20),IF(ED$171=1,INDEX(Vol_V,9,ED$170)/12*(1+V_dVol),0))</f>
        <v>0</v>
      </c>
      <c r="EE185" s="34" t="n">
        <f aca="false">IF(EE$8=1,N(Reales!EE20),IF(EE$171=1,INDEX(Vol_V,9,EE$170)/12*(1+V_dVol),0))</f>
        <v>0</v>
      </c>
      <c r="EF185" s="34" t="n">
        <f aca="false">IF(EF$8=1,N(Reales!EF20),IF(EF$171=1,INDEX(Vol_V,9,EF$170)/12*(1+V_dVol),0))</f>
        <v>0</v>
      </c>
      <c r="EG185" s="34" t="n">
        <f aca="false">IF(EG$8=1,N(Reales!EG20),IF(EG$171=1,INDEX(Vol_V,9,EG$170)/12*(1+V_dVol),0))</f>
        <v>0</v>
      </c>
      <c r="EH185" s="34" t="n">
        <f aca="false">IF(EH$8=1,N(Reales!EH20),IF(EH$171=1,INDEX(Vol_V,9,EH$170)/12*(1+V_dVol),0))</f>
        <v>0</v>
      </c>
      <c r="EI185" s="34" t="n">
        <f aca="false">IF(EI$8=1,N(Reales!EI20),IF(EI$171=1,INDEX(Vol_V,9,EI$170)/12*(1+V_dVol),0))</f>
        <v>0</v>
      </c>
      <c r="EJ185" s="34" t="n">
        <f aca="false">IF(EJ$8=1,N(Reales!EJ20),IF(EJ$171=1,INDEX(Vol_V,9,EJ$170)/12*(1+V_dVol),0))</f>
        <v>0</v>
      </c>
      <c r="EK185" s="34" t="n">
        <f aca="false">IF(EK$8=1,N(Reales!EK20),IF(EK$171=1,INDEX(Vol_V,9,EK$170)/12*(1+V_dVol),0))</f>
        <v>0</v>
      </c>
      <c r="EL185" s="34" t="n">
        <f aca="false">IF(EL$8=1,N(Reales!EL20),IF(EL$171=1,INDEX(Vol_V,9,EL$170)/12*(1+V_dVol),0))</f>
        <v>0</v>
      </c>
      <c r="EM185" s="34" t="n">
        <f aca="false">IF(EM$8=1,N(Reales!EM20),IF(EM$171=1,INDEX(Vol_V,9,EM$170)/12*(1+V_dVol),0))</f>
        <v>0</v>
      </c>
      <c r="EN185" s="34" t="n">
        <f aca="false">IF(EN$8=1,N(Reales!EN20),IF(EN$171=1,INDEX(Vol_V,9,EN$170)/12*(1+V_dVol),0))</f>
        <v>0</v>
      </c>
      <c r="EO185" s="34" t="n">
        <f aca="false">IF(EO$8=1,N(Reales!EO20),IF(EO$171=1,INDEX(Vol_V,9,EO$170)/12*(1+V_dVol),0))</f>
        <v>0</v>
      </c>
      <c r="EP185" s="34" t="n">
        <f aca="false">IF(EP$8=1,N(Reales!EP20),IF(EP$171=1,INDEX(Vol_V,9,EP$170)/12*(1+V_dVol),0))</f>
        <v>0</v>
      </c>
      <c r="EQ185" s="34" t="n">
        <f aca="false">IF(EQ$8=1,N(Reales!EQ20),IF(EQ$171=1,INDEX(Vol_V,9,EQ$170)/12*(1+V_dVol),0))</f>
        <v>0</v>
      </c>
      <c r="ER185" s="34" t="n">
        <f aca="false">IF(ER$8=1,N(Reales!ER20),IF(ER$171=1,INDEX(Vol_V,9,ER$170)/12*(1+V_dVol),0))</f>
        <v>0</v>
      </c>
      <c r="ES185" s="34" t="n">
        <f aca="false">IF(ES$8=1,N(Reales!ES20),IF(ES$171=1,INDEX(Vol_V,9,ES$170)/12*(1+V_dVol),0))</f>
        <v>0</v>
      </c>
    </row>
    <row r="186" customFormat="false" ht="15" hidden="false" customHeight="false" outlineLevel="0" collapsed="false">
      <c r="A186" s="2" t="s">
        <v>828</v>
      </c>
      <c r="B186" s="39" t="str">
        <f aca="false">IF(INDEX(Prod_Nombre,10)="","Producto 10",INDEX(Prod_Nombre,10))&amp;" — unidades"</f>
        <v>Producto 10 — unidades</v>
      </c>
      <c r="C186" s="6" t="s">
        <v>286</v>
      </c>
      <c r="E186" s="40" t="n">
        <f aca="false">SUM(F186:ES186)</f>
        <v>0</v>
      </c>
      <c r="F186" s="34" t="n">
        <f aca="false">IF(F$8=1,N(Reales!F21),IF(F$171=1,INDEX(Vol_V,10,F$170)/12*(1+V_dVol),0))</f>
        <v>0</v>
      </c>
      <c r="G186" s="34" t="n">
        <f aca="false">IF(G$8=1,N(Reales!G21),IF(G$171=1,INDEX(Vol_V,10,G$170)/12*(1+V_dVol),0))</f>
        <v>0</v>
      </c>
      <c r="H186" s="34" t="n">
        <f aca="false">IF(H$8=1,N(Reales!H21),IF(H$171=1,INDEX(Vol_V,10,H$170)/12*(1+V_dVol),0))</f>
        <v>0</v>
      </c>
      <c r="I186" s="34" t="n">
        <f aca="false">IF(I$8=1,N(Reales!I21),IF(I$171=1,INDEX(Vol_V,10,I$170)/12*(1+V_dVol),0))</f>
        <v>0</v>
      </c>
      <c r="J186" s="34" t="n">
        <f aca="false">IF(J$8=1,N(Reales!J21),IF(J$171=1,INDEX(Vol_V,10,J$170)/12*(1+V_dVol),0))</f>
        <v>0</v>
      </c>
      <c r="K186" s="34" t="n">
        <f aca="false">IF(K$8=1,N(Reales!K21),IF(K$171=1,INDEX(Vol_V,10,K$170)/12*(1+V_dVol),0))</f>
        <v>0</v>
      </c>
      <c r="L186" s="34" t="n">
        <f aca="false">IF(L$8=1,N(Reales!L21),IF(L$171=1,INDEX(Vol_V,10,L$170)/12*(1+V_dVol),0))</f>
        <v>0</v>
      </c>
      <c r="M186" s="34" t="n">
        <f aca="false">IF(M$8=1,N(Reales!M21),IF(M$171=1,INDEX(Vol_V,10,M$170)/12*(1+V_dVol),0))</f>
        <v>0</v>
      </c>
      <c r="N186" s="34" t="n">
        <f aca="false">IF(N$8=1,N(Reales!N21),IF(N$171=1,INDEX(Vol_V,10,N$170)/12*(1+V_dVol),0))</f>
        <v>0</v>
      </c>
      <c r="O186" s="34" t="n">
        <f aca="false">IF(O$8=1,N(Reales!O21),IF(O$171=1,INDEX(Vol_V,10,O$170)/12*(1+V_dVol),0))</f>
        <v>0</v>
      </c>
      <c r="P186" s="34" t="n">
        <f aca="false">IF(P$8=1,N(Reales!P21),IF(P$171=1,INDEX(Vol_V,10,P$170)/12*(1+V_dVol),0))</f>
        <v>0</v>
      </c>
      <c r="Q186" s="34" t="n">
        <f aca="false">IF(Q$8=1,N(Reales!Q21),IF(Q$171=1,INDEX(Vol_V,10,Q$170)/12*(1+V_dVol),0))</f>
        <v>0</v>
      </c>
      <c r="R186" s="34" t="n">
        <f aca="false">IF(R$8=1,N(Reales!R21),IF(R$171=1,INDEX(Vol_V,10,R$170)/12*(1+V_dVol),0))</f>
        <v>0</v>
      </c>
      <c r="S186" s="34" t="n">
        <f aca="false">IF(S$8=1,N(Reales!S21),IF(S$171=1,INDEX(Vol_V,10,S$170)/12*(1+V_dVol),0))</f>
        <v>0</v>
      </c>
      <c r="T186" s="34" t="n">
        <f aca="false">IF(T$8=1,N(Reales!T21),IF(T$171=1,INDEX(Vol_V,10,T$170)/12*(1+V_dVol),0))</f>
        <v>0</v>
      </c>
      <c r="U186" s="34" t="n">
        <f aca="false">IF(U$8=1,N(Reales!U21),IF(U$171=1,INDEX(Vol_V,10,U$170)/12*(1+V_dVol),0))</f>
        <v>0</v>
      </c>
      <c r="V186" s="34" t="n">
        <f aca="false">IF(V$8=1,N(Reales!V21),IF(V$171=1,INDEX(Vol_V,10,V$170)/12*(1+V_dVol),0))</f>
        <v>0</v>
      </c>
      <c r="W186" s="34" t="n">
        <f aca="false">IF(W$8=1,N(Reales!W21),IF(W$171=1,INDEX(Vol_V,10,W$170)/12*(1+V_dVol),0))</f>
        <v>0</v>
      </c>
      <c r="X186" s="34" t="n">
        <f aca="false">IF(X$8=1,N(Reales!X21),IF(X$171=1,INDEX(Vol_V,10,X$170)/12*(1+V_dVol),0))</f>
        <v>0</v>
      </c>
      <c r="Y186" s="34" t="n">
        <f aca="false">IF(Y$8=1,N(Reales!Y21),IF(Y$171=1,INDEX(Vol_V,10,Y$170)/12*(1+V_dVol),0))</f>
        <v>0</v>
      </c>
      <c r="Z186" s="34" t="n">
        <f aca="false">IF(Z$8=1,N(Reales!Z21),IF(Z$171=1,INDEX(Vol_V,10,Z$170)/12*(1+V_dVol),0))</f>
        <v>0</v>
      </c>
      <c r="AA186" s="34" t="n">
        <f aca="false">IF(AA$8=1,N(Reales!AA21),IF(AA$171=1,INDEX(Vol_V,10,AA$170)/12*(1+V_dVol),0))</f>
        <v>0</v>
      </c>
      <c r="AB186" s="34" t="n">
        <f aca="false">IF(AB$8=1,N(Reales!AB21),IF(AB$171=1,INDEX(Vol_V,10,AB$170)/12*(1+V_dVol),0))</f>
        <v>0</v>
      </c>
      <c r="AC186" s="34" t="n">
        <f aca="false">IF(AC$8=1,N(Reales!AC21),IF(AC$171=1,INDEX(Vol_V,10,AC$170)/12*(1+V_dVol),0))</f>
        <v>0</v>
      </c>
      <c r="AD186" s="34" t="n">
        <f aca="false">IF(AD$8=1,N(Reales!AD21),IF(AD$171=1,INDEX(Vol_V,10,AD$170)/12*(1+V_dVol),0))</f>
        <v>0</v>
      </c>
      <c r="AE186" s="34" t="n">
        <f aca="false">IF(AE$8=1,N(Reales!AE21),IF(AE$171=1,INDEX(Vol_V,10,AE$170)/12*(1+V_dVol),0))</f>
        <v>0</v>
      </c>
      <c r="AF186" s="34" t="n">
        <f aca="false">IF(AF$8=1,N(Reales!AF21),IF(AF$171=1,INDEX(Vol_V,10,AF$170)/12*(1+V_dVol),0))</f>
        <v>0</v>
      </c>
      <c r="AG186" s="34" t="n">
        <f aca="false">IF(AG$8=1,N(Reales!AG21),IF(AG$171=1,INDEX(Vol_V,10,AG$170)/12*(1+V_dVol),0))</f>
        <v>0</v>
      </c>
      <c r="AH186" s="34" t="n">
        <f aca="false">IF(AH$8=1,N(Reales!AH21),IF(AH$171=1,INDEX(Vol_V,10,AH$170)/12*(1+V_dVol),0))</f>
        <v>0</v>
      </c>
      <c r="AI186" s="34" t="n">
        <f aca="false">IF(AI$8=1,N(Reales!AI21),IF(AI$171=1,INDEX(Vol_V,10,AI$170)/12*(1+V_dVol),0))</f>
        <v>0</v>
      </c>
      <c r="AJ186" s="34" t="n">
        <f aca="false">IF(AJ$8=1,N(Reales!AJ21),IF(AJ$171=1,INDEX(Vol_V,10,AJ$170)/12*(1+V_dVol),0))</f>
        <v>0</v>
      </c>
      <c r="AK186" s="34" t="n">
        <f aca="false">IF(AK$8=1,N(Reales!AK21),IF(AK$171=1,INDEX(Vol_V,10,AK$170)/12*(1+V_dVol),0))</f>
        <v>0</v>
      </c>
      <c r="AL186" s="34" t="n">
        <f aca="false">IF(AL$8=1,N(Reales!AL21),IF(AL$171=1,INDEX(Vol_V,10,AL$170)/12*(1+V_dVol),0))</f>
        <v>0</v>
      </c>
      <c r="AM186" s="34" t="n">
        <f aca="false">IF(AM$8=1,N(Reales!AM21),IF(AM$171=1,INDEX(Vol_V,10,AM$170)/12*(1+V_dVol),0))</f>
        <v>0</v>
      </c>
      <c r="AN186" s="34" t="n">
        <f aca="false">IF(AN$8=1,N(Reales!AN21),IF(AN$171=1,INDEX(Vol_V,10,AN$170)/12*(1+V_dVol),0))</f>
        <v>0</v>
      </c>
      <c r="AO186" s="34" t="n">
        <f aca="false">IF(AO$8=1,N(Reales!AO21),IF(AO$171=1,INDEX(Vol_V,10,AO$170)/12*(1+V_dVol),0))</f>
        <v>0</v>
      </c>
      <c r="AP186" s="34" t="n">
        <f aca="false">IF(AP$8=1,N(Reales!AP21),IF(AP$171=1,INDEX(Vol_V,10,AP$170)/12*(1+V_dVol),0))</f>
        <v>0</v>
      </c>
      <c r="AQ186" s="34" t="n">
        <f aca="false">IF(AQ$8=1,N(Reales!AQ21),IF(AQ$171=1,INDEX(Vol_V,10,AQ$170)/12*(1+V_dVol),0))</f>
        <v>0</v>
      </c>
      <c r="AR186" s="34" t="n">
        <f aca="false">IF(AR$8=1,N(Reales!AR21),IF(AR$171=1,INDEX(Vol_V,10,AR$170)/12*(1+V_dVol),0))</f>
        <v>0</v>
      </c>
      <c r="AS186" s="34" t="n">
        <f aca="false">IF(AS$8=1,N(Reales!AS21),IF(AS$171=1,INDEX(Vol_V,10,AS$170)/12*(1+V_dVol),0))</f>
        <v>0</v>
      </c>
      <c r="AT186" s="34" t="n">
        <f aca="false">IF(AT$8=1,N(Reales!AT21),IF(AT$171=1,INDEX(Vol_V,10,AT$170)/12*(1+V_dVol),0))</f>
        <v>0</v>
      </c>
      <c r="AU186" s="34" t="n">
        <f aca="false">IF(AU$8=1,N(Reales!AU21),IF(AU$171=1,INDEX(Vol_V,10,AU$170)/12*(1+V_dVol),0))</f>
        <v>0</v>
      </c>
      <c r="AV186" s="34" t="n">
        <f aca="false">IF(AV$8=1,N(Reales!AV21),IF(AV$171=1,INDEX(Vol_V,10,AV$170)/12*(1+V_dVol),0))</f>
        <v>0</v>
      </c>
      <c r="AW186" s="34" t="n">
        <f aca="false">IF(AW$8=1,N(Reales!AW21),IF(AW$171=1,INDEX(Vol_V,10,AW$170)/12*(1+V_dVol),0))</f>
        <v>0</v>
      </c>
      <c r="AX186" s="34" t="n">
        <f aca="false">IF(AX$8=1,N(Reales!AX21),IF(AX$171=1,INDEX(Vol_V,10,AX$170)/12*(1+V_dVol),0))</f>
        <v>0</v>
      </c>
      <c r="AY186" s="34" t="n">
        <f aca="false">IF(AY$8=1,N(Reales!AY21),IF(AY$171=1,INDEX(Vol_V,10,AY$170)/12*(1+V_dVol),0))</f>
        <v>0</v>
      </c>
      <c r="AZ186" s="34" t="n">
        <f aca="false">IF(AZ$8=1,N(Reales!AZ21),IF(AZ$171=1,INDEX(Vol_V,10,AZ$170)/12*(1+V_dVol),0))</f>
        <v>0</v>
      </c>
      <c r="BA186" s="34" t="n">
        <f aca="false">IF(BA$8=1,N(Reales!BA21),IF(BA$171=1,INDEX(Vol_V,10,BA$170)/12*(1+V_dVol),0))</f>
        <v>0</v>
      </c>
      <c r="BB186" s="34" t="n">
        <f aca="false">IF(BB$8=1,N(Reales!BB21),IF(BB$171=1,INDEX(Vol_V,10,BB$170)/12*(1+V_dVol),0))</f>
        <v>0</v>
      </c>
      <c r="BC186" s="34" t="n">
        <f aca="false">IF(BC$8=1,N(Reales!BC21),IF(BC$171=1,INDEX(Vol_V,10,BC$170)/12*(1+V_dVol),0))</f>
        <v>0</v>
      </c>
      <c r="BD186" s="34" t="n">
        <f aca="false">IF(BD$8=1,N(Reales!BD21),IF(BD$171=1,INDEX(Vol_V,10,BD$170)/12*(1+V_dVol),0))</f>
        <v>0</v>
      </c>
      <c r="BE186" s="34" t="n">
        <f aca="false">IF(BE$8=1,N(Reales!BE21),IF(BE$171=1,INDEX(Vol_V,10,BE$170)/12*(1+V_dVol),0))</f>
        <v>0</v>
      </c>
      <c r="BF186" s="34" t="n">
        <f aca="false">IF(BF$8=1,N(Reales!BF21),IF(BF$171=1,INDEX(Vol_V,10,BF$170)/12*(1+V_dVol),0))</f>
        <v>0</v>
      </c>
      <c r="BG186" s="34" t="n">
        <f aca="false">IF(BG$8=1,N(Reales!BG21),IF(BG$171=1,INDEX(Vol_V,10,BG$170)/12*(1+V_dVol),0))</f>
        <v>0</v>
      </c>
      <c r="BH186" s="34" t="n">
        <f aca="false">IF(BH$8=1,N(Reales!BH21),IF(BH$171=1,INDEX(Vol_V,10,BH$170)/12*(1+V_dVol),0))</f>
        <v>0</v>
      </c>
      <c r="BI186" s="34" t="n">
        <f aca="false">IF(BI$8=1,N(Reales!BI21),IF(BI$171=1,INDEX(Vol_V,10,BI$170)/12*(1+V_dVol),0))</f>
        <v>0</v>
      </c>
      <c r="BJ186" s="34" t="n">
        <f aca="false">IF(BJ$8=1,N(Reales!BJ21),IF(BJ$171=1,INDEX(Vol_V,10,BJ$170)/12*(1+V_dVol),0))</f>
        <v>0</v>
      </c>
      <c r="BK186" s="34" t="n">
        <f aca="false">IF(BK$8=1,N(Reales!BK21),IF(BK$171=1,INDEX(Vol_V,10,BK$170)/12*(1+V_dVol),0))</f>
        <v>0</v>
      </c>
      <c r="BL186" s="34" t="n">
        <f aca="false">IF(BL$8=1,N(Reales!BL21),IF(BL$171=1,INDEX(Vol_V,10,BL$170)/12*(1+V_dVol),0))</f>
        <v>0</v>
      </c>
      <c r="BM186" s="34" t="n">
        <f aca="false">IF(BM$8=1,N(Reales!BM21),IF(BM$171=1,INDEX(Vol_V,10,BM$170)/12*(1+V_dVol),0))</f>
        <v>0</v>
      </c>
      <c r="BN186" s="34" t="n">
        <f aca="false">IF(BN$8=1,N(Reales!BN21),IF(BN$171=1,INDEX(Vol_V,10,BN$170)/12*(1+V_dVol),0))</f>
        <v>0</v>
      </c>
      <c r="BO186" s="34" t="n">
        <f aca="false">IF(BO$8=1,N(Reales!BO21),IF(BO$171=1,INDEX(Vol_V,10,BO$170)/12*(1+V_dVol),0))</f>
        <v>0</v>
      </c>
      <c r="BP186" s="34" t="n">
        <f aca="false">IF(BP$8=1,N(Reales!BP21),IF(BP$171=1,INDEX(Vol_V,10,BP$170)/12*(1+V_dVol),0))</f>
        <v>0</v>
      </c>
      <c r="BQ186" s="34" t="n">
        <f aca="false">IF(BQ$8=1,N(Reales!BQ21),IF(BQ$171=1,INDEX(Vol_V,10,BQ$170)/12*(1+V_dVol),0))</f>
        <v>0</v>
      </c>
      <c r="BR186" s="34" t="n">
        <f aca="false">IF(BR$8=1,N(Reales!BR21),IF(BR$171=1,INDEX(Vol_V,10,BR$170)/12*(1+V_dVol),0))</f>
        <v>0</v>
      </c>
      <c r="BS186" s="34" t="n">
        <f aca="false">IF(BS$8=1,N(Reales!BS21),IF(BS$171=1,INDEX(Vol_V,10,BS$170)/12*(1+V_dVol),0))</f>
        <v>0</v>
      </c>
      <c r="BT186" s="34" t="n">
        <f aca="false">IF(BT$8=1,N(Reales!BT21),IF(BT$171=1,INDEX(Vol_V,10,BT$170)/12*(1+V_dVol),0))</f>
        <v>0</v>
      </c>
      <c r="BU186" s="34" t="n">
        <f aca="false">IF(BU$8=1,N(Reales!BU21),IF(BU$171=1,INDEX(Vol_V,10,BU$170)/12*(1+V_dVol),0))</f>
        <v>0</v>
      </c>
      <c r="BV186" s="34" t="n">
        <f aca="false">IF(BV$8=1,N(Reales!BV21),IF(BV$171=1,INDEX(Vol_V,10,BV$170)/12*(1+V_dVol),0))</f>
        <v>0</v>
      </c>
      <c r="BW186" s="34" t="n">
        <f aca="false">IF(BW$8=1,N(Reales!BW21),IF(BW$171=1,INDEX(Vol_V,10,BW$170)/12*(1+V_dVol),0))</f>
        <v>0</v>
      </c>
      <c r="BX186" s="34" t="n">
        <f aca="false">IF(BX$8=1,N(Reales!BX21),IF(BX$171=1,INDEX(Vol_V,10,BX$170)/12*(1+V_dVol),0))</f>
        <v>0</v>
      </c>
      <c r="BY186" s="34" t="n">
        <f aca="false">IF(BY$8=1,N(Reales!BY21),IF(BY$171=1,INDEX(Vol_V,10,BY$170)/12*(1+V_dVol),0))</f>
        <v>0</v>
      </c>
      <c r="BZ186" s="34" t="n">
        <f aca="false">IF(BZ$8=1,N(Reales!BZ21),IF(BZ$171=1,INDEX(Vol_V,10,BZ$170)/12*(1+V_dVol),0))</f>
        <v>0</v>
      </c>
      <c r="CA186" s="34" t="n">
        <f aca="false">IF(CA$8=1,N(Reales!CA21),IF(CA$171=1,INDEX(Vol_V,10,CA$170)/12*(1+V_dVol),0))</f>
        <v>0</v>
      </c>
      <c r="CB186" s="34" t="n">
        <f aca="false">IF(CB$8=1,N(Reales!CB21),IF(CB$171=1,INDEX(Vol_V,10,CB$170)/12*(1+V_dVol),0))</f>
        <v>0</v>
      </c>
      <c r="CC186" s="34" t="n">
        <f aca="false">IF(CC$8=1,N(Reales!CC21),IF(CC$171=1,INDEX(Vol_V,10,CC$170)/12*(1+V_dVol),0))</f>
        <v>0</v>
      </c>
      <c r="CD186" s="34" t="n">
        <f aca="false">IF(CD$8=1,N(Reales!CD21),IF(CD$171=1,INDEX(Vol_V,10,CD$170)/12*(1+V_dVol),0))</f>
        <v>0</v>
      </c>
      <c r="CE186" s="34" t="n">
        <f aca="false">IF(CE$8=1,N(Reales!CE21),IF(CE$171=1,INDEX(Vol_V,10,CE$170)/12*(1+V_dVol),0))</f>
        <v>0</v>
      </c>
      <c r="CF186" s="34" t="n">
        <f aca="false">IF(CF$8=1,N(Reales!CF21),IF(CF$171=1,INDEX(Vol_V,10,CF$170)/12*(1+V_dVol),0))</f>
        <v>0</v>
      </c>
      <c r="CG186" s="34" t="n">
        <f aca="false">IF(CG$8=1,N(Reales!CG21),IF(CG$171=1,INDEX(Vol_V,10,CG$170)/12*(1+V_dVol),0))</f>
        <v>0</v>
      </c>
      <c r="CH186" s="34" t="n">
        <f aca="false">IF(CH$8=1,N(Reales!CH21),IF(CH$171=1,INDEX(Vol_V,10,CH$170)/12*(1+V_dVol),0))</f>
        <v>0</v>
      </c>
      <c r="CI186" s="34" t="n">
        <f aca="false">IF(CI$8=1,N(Reales!CI21),IF(CI$171=1,INDEX(Vol_V,10,CI$170)/12*(1+V_dVol),0))</f>
        <v>0</v>
      </c>
      <c r="CJ186" s="34" t="n">
        <f aca="false">IF(CJ$8=1,N(Reales!CJ21),IF(CJ$171=1,INDEX(Vol_V,10,CJ$170)/12*(1+V_dVol),0))</f>
        <v>0</v>
      </c>
      <c r="CK186" s="34" t="n">
        <f aca="false">IF(CK$8=1,N(Reales!CK21),IF(CK$171=1,INDEX(Vol_V,10,CK$170)/12*(1+V_dVol),0))</f>
        <v>0</v>
      </c>
      <c r="CL186" s="34" t="n">
        <f aca="false">IF(CL$8=1,N(Reales!CL21),IF(CL$171=1,INDEX(Vol_V,10,CL$170)/12*(1+V_dVol),0))</f>
        <v>0</v>
      </c>
      <c r="CM186" s="34" t="n">
        <f aca="false">IF(CM$8=1,N(Reales!CM21),IF(CM$171=1,INDEX(Vol_V,10,CM$170)/12*(1+V_dVol),0))</f>
        <v>0</v>
      </c>
      <c r="CN186" s="34" t="n">
        <f aca="false">IF(CN$8=1,N(Reales!CN21),IF(CN$171=1,INDEX(Vol_V,10,CN$170)/12*(1+V_dVol),0))</f>
        <v>0</v>
      </c>
      <c r="CO186" s="34" t="n">
        <f aca="false">IF(CO$8=1,N(Reales!CO21),IF(CO$171=1,INDEX(Vol_V,10,CO$170)/12*(1+V_dVol),0))</f>
        <v>0</v>
      </c>
      <c r="CP186" s="34" t="n">
        <f aca="false">IF(CP$8=1,N(Reales!CP21),IF(CP$171=1,INDEX(Vol_V,10,CP$170)/12*(1+V_dVol),0))</f>
        <v>0</v>
      </c>
      <c r="CQ186" s="34" t="n">
        <f aca="false">IF(CQ$8=1,N(Reales!CQ21),IF(CQ$171=1,INDEX(Vol_V,10,CQ$170)/12*(1+V_dVol),0))</f>
        <v>0</v>
      </c>
      <c r="CR186" s="34" t="n">
        <f aca="false">IF(CR$8=1,N(Reales!CR21),IF(CR$171=1,INDEX(Vol_V,10,CR$170)/12*(1+V_dVol),0))</f>
        <v>0</v>
      </c>
      <c r="CS186" s="34" t="n">
        <f aca="false">IF(CS$8=1,N(Reales!CS21),IF(CS$171=1,INDEX(Vol_V,10,CS$170)/12*(1+V_dVol),0))</f>
        <v>0</v>
      </c>
      <c r="CT186" s="34" t="n">
        <f aca="false">IF(CT$8=1,N(Reales!CT21),IF(CT$171=1,INDEX(Vol_V,10,CT$170)/12*(1+V_dVol),0))</f>
        <v>0</v>
      </c>
      <c r="CU186" s="34" t="n">
        <f aca="false">IF(CU$8=1,N(Reales!CU21),IF(CU$171=1,INDEX(Vol_V,10,CU$170)/12*(1+V_dVol),0))</f>
        <v>0</v>
      </c>
      <c r="CV186" s="34" t="n">
        <f aca="false">IF(CV$8=1,N(Reales!CV21),IF(CV$171=1,INDEX(Vol_V,10,CV$170)/12*(1+V_dVol),0))</f>
        <v>0</v>
      </c>
      <c r="CW186" s="34" t="n">
        <f aca="false">IF(CW$8=1,N(Reales!CW21),IF(CW$171=1,INDEX(Vol_V,10,CW$170)/12*(1+V_dVol),0))</f>
        <v>0</v>
      </c>
      <c r="CX186" s="34" t="n">
        <f aca="false">IF(CX$8=1,N(Reales!CX21),IF(CX$171=1,INDEX(Vol_V,10,CX$170)/12*(1+V_dVol),0))</f>
        <v>0</v>
      </c>
      <c r="CY186" s="34" t="n">
        <f aca="false">IF(CY$8=1,N(Reales!CY21),IF(CY$171=1,INDEX(Vol_V,10,CY$170)/12*(1+V_dVol),0))</f>
        <v>0</v>
      </c>
      <c r="CZ186" s="34" t="n">
        <f aca="false">IF(CZ$8=1,N(Reales!CZ21),IF(CZ$171=1,INDEX(Vol_V,10,CZ$170)/12*(1+V_dVol),0))</f>
        <v>0</v>
      </c>
      <c r="DA186" s="34" t="n">
        <f aca="false">IF(DA$8=1,N(Reales!DA21),IF(DA$171=1,INDEX(Vol_V,10,DA$170)/12*(1+V_dVol),0))</f>
        <v>0</v>
      </c>
      <c r="DB186" s="34" t="n">
        <f aca="false">IF(DB$8=1,N(Reales!DB21),IF(DB$171=1,INDEX(Vol_V,10,DB$170)/12*(1+V_dVol),0))</f>
        <v>0</v>
      </c>
      <c r="DC186" s="34" t="n">
        <f aca="false">IF(DC$8=1,N(Reales!DC21),IF(DC$171=1,INDEX(Vol_V,10,DC$170)/12*(1+V_dVol),0))</f>
        <v>0</v>
      </c>
      <c r="DD186" s="34" t="n">
        <f aca="false">IF(DD$8=1,N(Reales!DD21),IF(DD$171=1,INDEX(Vol_V,10,DD$170)/12*(1+V_dVol),0))</f>
        <v>0</v>
      </c>
      <c r="DE186" s="34" t="n">
        <f aca="false">IF(DE$8=1,N(Reales!DE21),IF(DE$171=1,INDEX(Vol_V,10,DE$170)/12*(1+V_dVol),0))</f>
        <v>0</v>
      </c>
      <c r="DF186" s="34" t="n">
        <f aca="false">IF(DF$8=1,N(Reales!DF21),IF(DF$171=1,INDEX(Vol_V,10,DF$170)/12*(1+V_dVol),0))</f>
        <v>0</v>
      </c>
      <c r="DG186" s="34" t="n">
        <f aca="false">IF(DG$8=1,N(Reales!DG21),IF(DG$171=1,INDEX(Vol_V,10,DG$170)/12*(1+V_dVol),0))</f>
        <v>0</v>
      </c>
      <c r="DH186" s="34" t="n">
        <f aca="false">IF(DH$8=1,N(Reales!DH21),IF(DH$171=1,INDEX(Vol_V,10,DH$170)/12*(1+V_dVol),0))</f>
        <v>0</v>
      </c>
      <c r="DI186" s="34" t="n">
        <f aca="false">IF(DI$8=1,N(Reales!DI21),IF(DI$171=1,INDEX(Vol_V,10,DI$170)/12*(1+V_dVol),0))</f>
        <v>0</v>
      </c>
      <c r="DJ186" s="34" t="n">
        <f aca="false">IF(DJ$8=1,N(Reales!DJ21),IF(DJ$171=1,INDEX(Vol_V,10,DJ$170)/12*(1+V_dVol),0))</f>
        <v>0</v>
      </c>
      <c r="DK186" s="34" t="n">
        <f aca="false">IF(DK$8=1,N(Reales!DK21),IF(DK$171=1,INDEX(Vol_V,10,DK$170)/12*(1+V_dVol),0))</f>
        <v>0</v>
      </c>
      <c r="DL186" s="34" t="n">
        <f aca="false">IF(DL$8=1,N(Reales!DL21),IF(DL$171=1,INDEX(Vol_V,10,DL$170)/12*(1+V_dVol),0))</f>
        <v>0</v>
      </c>
      <c r="DM186" s="34" t="n">
        <f aca="false">IF(DM$8=1,N(Reales!DM21),IF(DM$171=1,INDEX(Vol_V,10,DM$170)/12*(1+V_dVol),0))</f>
        <v>0</v>
      </c>
      <c r="DN186" s="34" t="n">
        <f aca="false">IF(DN$8=1,N(Reales!DN21),IF(DN$171=1,INDEX(Vol_V,10,DN$170)/12*(1+V_dVol),0))</f>
        <v>0</v>
      </c>
      <c r="DO186" s="34" t="n">
        <f aca="false">IF(DO$8=1,N(Reales!DO21),IF(DO$171=1,INDEX(Vol_V,10,DO$170)/12*(1+V_dVol),0))</f>
        <v>0</v>
      </c>
      <c r="DP186" s="34" t="n">
        <f aca="false">IF(DP$8=1,N(Reales!DP21),IF(DP$171=1,INDEX(Vol_V,10,DP$170)/12*(1+V_dVol),0))</f>
        <v>0</v>
      </c>
      <c r="DQ186" s="34" t="n">
        <f aca="false">IF(DQ$8=1,N(Reales!DQ21),IF(DQ$171=1,INDEX(Vol_V,10,DQ$170)/12*(1+V_dVol),0))</f>
        <v>0</v>
      </c>
      <c r="DR186" s="34" t="n">
        <f aca="false">IF(DR$8=1,N(Reales!DR21),IF(DR$171=1,INDEX(Vol_V,10,DR$170)/12*(1+V_dVol),0))</f>
        <v>0</v>
      </c>
      <c r="DS186" s="34" t="n">
        <f aca="false">IF(DS$8=1,N(Reales!DS21),IF(DS$171=1,INDEX(Vol_V,10,DS$170)/12*(1+V_dVol),0))</f>
        <v>0</v>
      </c>
      <c r="DT186" s="34" t="n">
        <f aca="false">IF(DT$8=1,N(Reales!DT21),IF(DT$171=1,INDEX(Vol_V,10,DT$170)/12*(1+V_dVol),0))</f>
        <v>0</v>
      </c>
      <c r="DU186" s="34" t="n">
        <f aca="false">IF(DU$8=1,N(Reales!DU21),IF(DU$171=1,INDEX(Vol_V,10,DU$170)/12*(1+V_dVol),0))</f>
        <v>0</v>
      </c>
      <c r="DV186" s="34" t="n">
        <f aca="false">IF(DV$8=1,N(Reales!DV21),IF(DV$171=1,INDEX(Vol_V,10,DV$170)/12*(1+V_dVol),0))</f>
        <v>0</v>
      </c>
      <c r="DW186" s="34" t="n">
        <f aca="false">IF(DW$8=1,N(Reales!DW21),IF(DW$171=1,INDEX(Vol_V,10,DW$170)/12*(1+V_dVol),0))</f>
        <v>0</v>
      </c>
      <c r="DX186" s="34" t="n">
        <f aca="false">IF(DX$8=1,N(Reales!DX21),IF(DX$171=1,INDEX(Vol_V,10,DX$170)/12*(1+V_dVol),0))</f>
        <v>0</v>
      </c>
      <c r="DY186" s="34" t="n">
        <f aca="false">IF(DY$8=1,N(Reales!DY21),IF(DY$171=1,INDEX(Vol_V,10,DY$170)/12*(1+V_dVol),0))</f>
        <v>0</v>
      </c>
      <c r="DZ186" s="34" t="n">
        <f aca="false">IF(DZ$8=1,N(Reales!DZ21),IF(DZ$171=1,INDEX(Vol_V,10,DZ$170)/12*(1+V_dVol),0))</f>
        <v>0</v>
      </c>
      <c r="EA186" s="34" t="n">
        <f aca="false">IF(EA$8=1,N(Reales!EA21),IF(EA$171=1,INDEX(Vol_V,10,EA$170)/12*(1+V_dVol),0))</f>
        <v>0</v>
      </c>
      <c r="EB186" s="34" t="n">
        <f aca="false">IF(EB$8=1,N(Reales!EB21),IF(EB$171=1,INDEX(Vol_V,10,EB$170)/12*(1+V_dVol),0))</f>
        <v>0</v>
      </c>
      <c r="EC186" s="34" t="n">
        <f aca="false">IF(EC$8=1,N(Reales!EC21),IF(EC$171=1,INDEX(Vol_V,10,EC$170)/12*(1+V_dVol),0))</f>
        <v>0</v>
      </c>
      <c r="ED186" s="34" t="n">
        <f aca="false">IF(ED$8=1,N(Reales!ED21),IF(ED$171=1,INDEX(Vol_V,10,ED$170)/12*(1+V_dVol),0))</f>
        <v>0</v>
      </c>
      <c r="EE186" s="34" t="n">
        <f aca="false">IF(EE$8=1,N(Reales!EE21),IF(EE$171=1,INDEX(Vol_V,10,EE$170)/12*(1+V_dVol),0))</f>
        <v>0</v>
      </c>
      <c r="EF186" s="34" t="n">
        <f aca="false">IF(EF$8=1,N(Reales!EF21),IF(EF$171=1,INDEX(Vol_V,10,EF$170)/12*(1+V_dVol),0))</f>
        <v>0</v>
      </c>
      <c r="EG186" s="34" t="n">
        <f aca="false">IF(EG$8=1,N(Reales!EG21),IF(EG$171=1,INDEX(Vol_V,10,EG$170)/12*(1+V_dVol),0))</f>
        <v>0</v>
      </c>
      <c r="EH186" s="34" t="n">
        <f aca="false">IF(EH$8=1,N(Reales!EH21),IF(EH$171=1,INDEX(Vol_V,10,EH$170)/12*(1+V_dVol),0))</f>
        <v>0</v>
      </c>
      <c r="EI186" s="34" t="n">
        <f aca="false">IF(EI$8=1,N(Reales!EI21),IF(EI$171=1,INDEX(Vol_V,10,EI$170)/12*(1+V_dVol),0))</f>
        <v>0</v>
      </c>
      <c r="EJ186" s="34" t="n">
        <f aca="false">IF(EJ$8=1,N(Reales!EJ21),IF(EJ$171=1,INDEX(Vol_V,10,EJ$170)/12*(1+V_dVol),0))</f>
        <v>0</v>
      </c>
      <c r="EK186" s="34" t="n">
        <f aca="false">IF(EK$8=1,N(Reales!EK21),IF(EK$171=1,INDEX(Vol_V,10,EK$170)/12*(1+V_dVol),0))</f>
        <v>0</v>
      </c>
      <c r="EL186" s="34" t="n">
        <f aca="false">IF(EL$8=1,N(Reales!EL21),IF(EL$171=1,INDEX(Vol_V,10,EL$170)/12*(1+V_dVol),0))</f>
        <v>0</v>
      </c>
      <c r="EM186" s="34" t="n">
        <f aca="false">IF(EM$8=1,N(Reales!EM21),IF(EM$171=1,INDEX(Vol_V,10,EM$170)/12*(1+V_dVol),0))</f>
        <v>0</v>
      </c>
      <c r="EN186" s="34" t="n">
        <f aca="false">IF(EN$8=1,N(Reales!EN21),IF(EN$171=1,INDEX(Vol_V,10,EN$170)/12*(1+V_dVol),0))</f>
        <v>0</v>
      </c>
      <c r="EO186" s="34" t="n">
        <f aca="false">IF(EO$8=1,N(Reales!EO21),IF(EO$171=1,INDEX(Vol_V,10,EO$170)/12*(1+V_dVol),0))</f>
        <v>0</v>
      </c>
      <c r="EP186" s="34" t="n">
        <f aca="false">IF(EP$8=1,N(Reales!EP21),IF(EP$171=1,INDEX(Vol_V,10,EP$170)/12*(1+V_dVol),0))</f>
        <v>0</v>
      </c>
      <c r="EQ186" s="34" t="n">
        <f aca="false">IF(EQ$8=1,N(Reales!EQ21),IF(EQ$171=1,INDEX(Vol_V,10,EQ$170)/12*(1+V_dVol),0))</f>
        <v>0</v>
      </c>
      <c r="ER186" s="34" t="n">
        <f aca="false">IF(ER$8=1,N(Reales!ER21),IF(ER$171=1,INDEX(Vol_V,10,ER$170)/12*(1+V_dVol),0))</f>
        <v>0</v>
      </c>
      <c r="ES186" s="34" t="n">
        <f aca="false">IF(ES$8=1,N(Reales!ES21),IF(ES$171=1,INDEX(Vol_V,10,ES$170)/12*(1+V_dVol),0))</f>
        <v>0</v>
      </c>
    </row>
    <row r="187" customFormat="false" ht="15" hidden="false" customHeight="false" outlineLevel="0" collapsed="false">
      <c r="A187" s="2" t="s">
        <v>829</v>
      </c>
      <c r="B187" s="39" t="str">
        <f aca="false">IF(INDEX(Prod_Nombre,11)="","Producto 11",INDEX(Prod_Nombre,11))&amp;" — unidades"</f>
        <v>Producto 11 — unidades</v>
      </c>
      <c r="C187" s="6" t="s">
        <v>286</v>
      </c>
      <c r="E187" s="40" t="n">
        <f aca="false">SUM(F187:ES187)</f>
        <v>0</v>
      </c>
      <c r="F187" s="34" t="n">
        <f aca="false">IF(F$8=1,N(Reales!F22),IF(F$171=1,INDEX(Vol_V,11,F$170)/12*(1+V_dVol),0))</f>
        <v>0</v>
      </c>
      <c r="G187" s="34" t="n">
        <f aca="false">IF(G$8=1,N(Reales!G22),IF(G$171=1,INDEX(Vol_V,11,G$170)/12*(1+V_dVol),0))</f>
        <v>0</v>
      </c>
      <c r="H187" s="34" t="n">
        <f aca="false">IF(H$8=1,N(Reales!H22),IF(H$171=1,INDEX(Vol_V,11,H$170)/12*(1+V_dVol),0))</f>
        <v>0</v>
      </c>
      <c r="I187" s="34" t="n">
        <f aca="false">IF(I$8=1,N(Reales!I22),IF(I$171=1,INDEX(Vol_V,11,I$170)/12*(1+V_dVol),0))</f>
        <v>0</v>
      </c>
      <c r="J187" s="34" t="n">
        <f aca="false">IF(J$8=1,N(Reales!J22),IF(J$171=1,INDEX(Vol_V,11,J$170)/12*(1+V_dVol),0))</f>
        <v>0</v>
      </c>
      <c r="K187" s="34" t="n">
        <f aca="false">IF(K$8=1,N(Reales!K22),IF(K$171=1,INDEX(Vol_V,11,K$170)/12*(1+V_dVol),0))</f>
        <v>0</v>
      </c>
      <c r="L187" s="34" t="n">
        <f aca="false">IF(L$8=1,N(Reales!L22),IF(L$171=1,INDEX(Vol_V,11,L$170)/12*(1+V_dVol),0))</f>
        <v>0</v>
      </c>
      <c r="M187" s="34" t="n">
        <f aca="false">IF(M$8=1,N(Reales!M22),IF(M$171=1,INDEX(Vol_V,11,M$170)/12*(1+V_dVol),0))</f>
        <v>0</v>
      </c>
      <c r="N187" s="34" t="n">
        <f aca="false">IF(N$8=1,N(Reales!N22),IF(N$171=1,INDEX(Vol_V,11,N$170)/12*(1+V_dVol),0))</f>
        <v>0</v>
      </c>
      <c r="O187" s="34" t="n">
        <f aca="false">IF(O$8=1,N(Reales!O22),IF(O$171=1,INDEX(Vol_V,11,O$170)/12*(1+V_dVol),0))</f>
        <v>0</v>
      </c>
      <c r="P187" s="34" t="n">
        <f aca="false">IF(P$8=1,N(Reales!P22),IF(P$171=1,INDEX(Vol_V,11,P$170)/12*(1+V_dVol),0))</f>
        <v>0</v>
      </c>
      <c r="Q187" s="34" t="n">
        <f aca="false">IF(Q$8=1,N(Reales!Q22),IF(Q$171=1,INDEX(Vol_V,11,Q$170)/12*(1+V_dVol),0))</f>
        <v>0</v>
      </c>
      <c r="R187" s="34" t="n">
        <f aca="false">IF(R$8=1,N(Reales!R22),IF(R$171=1,INDEX(Vol_V,11,R$170)/12*(1+V_dVol),0))</f>
        <v>0</v>
      </c>
      <c r="S187" s="34" t="n">
        <f aca="false">IF(S$8=1,N(Reales!S22),IF(S$171=1,INDEX(Vol_V,11,S$170)/12*(1+V_dVol),0))</f>
        <v>0</v>
      </c>
      <c r="T187" s="34" t="n">
        <f aca="false">IF(T$8=1,N(Reales!T22),IF(T$171=1,INDEX(Vol_V,11,T$170)/12*(1+V_dVol),0))</f>
        <v>0</v>
      </c>
      <c r="U187" s="34" t="n">
        <f aca="false">IF(U$8=1,N(Reales!U22),IF(U$171=1,INDEX(Vol_V,11,U$170)/12*(1+V_dVol),0))</f>
        <v>0</v>
      </c>
      <c r="V187" s="34" t="n">
        <f aca="false">IF(V$8=1,N(Reales!V22),IF(V$171=1,INDEX(Vol_V,11,V$170)/12*(1+V_dVol),0))</f>
        <v>0</v>
      </c>
      <c r="W187" s="34" t="n">
        <f aca="false">IF(W$8=1,N(Reales!W22),IF(W$171=1,INDEX(Vol_V,11,W$170)/12*(1+V_dVol),0))</f>
        <v>0</v>
      </c>
      <c r="X187" s="34" t="n">
        <f aca="false">IF(X$8=1,N(Reales!X22),IF(X$171=1,INDEX(Vol_V,11,X$170)/12*(1+V_dVol),0))</f>
        <v>0</v>
      </c>
      <c r="Y187" s="34" t="n">
        <f aca="false">IF(Y$8=1,N(Reales!Y22),IF(Y$171=1,INDEX(Vol_V,11,Y$170)/12*(1+V_dVol),0))</f>
        <v>0</v>
      </c>
      <c r="Z187" s="34" t="n">
        <f aca="false">IF(Z$8=1,N(Reales!Z22),IF(Z$171=1,INDEX(Vol_V,11,Z$170)/12*(1+V_dVol),0))</f>
        <v>0</v>
      </c>
      <c r="AA187" s="34" t="n">
        <f aca="false">IF(AA$8=1,N(Reales!AA22),IF(AA$171=1,INDEX(Vol_V,11,AA$170)/12*(1+V_dVol),0))</f>
        <v>0</v>
      </c>
      <c r="AB187" s="34" t="n">
        <f aca="false">IF(AB$8=1,N(Reales!AB22),IF(AB$171=1,INDEX(Vol_V,11,AB$170)/12*(1+V_dVol),0))</f>
        <v>0</v>
      </c>
      <c r="AC187" s="34" t="n">
        <f aca="false">IF(AC$8=1,N(Reales!AC22),IF(AC$171=1,INDEX(Vol_V,11,AC$170)/12*(1+V_dVol),0))</f>
        <v>0</v>
      </c>
      <c r="AD187" s="34" t="n">
        <f aca="false">IF(AD$8=1,N(Reales!AD22),IF(AD$171=1,INDEX(Vol_V,11,AD$170)/12*(1+V_dVol),0))</f>
        <v>0</v>
      </c>
      <c r="AE187" s="34" t="n">
        <f aca="false">IF(AE$8=1,N(Reales!AE22),IF(AE$171=1,INDEX(Vol_V,11,AE$170)/12*(1+V_dVol),0))</f>
        <v>0</v>
      </c>
      <c r="AF187" s="34" t="n">
        <f aca="false">IF(AF$8=1,N(Reales!AF22),IF(AF$171=1,INDEX(Vol_V,11,AF$170)/12*(1+V_dVol),0))</f>
        <v>0</v>
      </c>
      <c r="AG187" s="34" t="n">
        <f aca="false">IF(AG$8=1,N(Reales!AG22),IF(AG$171=1,INDEX(Vol_V,11,AG$170)/12*(1+V_dVol),0))</f>
        <v>0</v>
      </c>
      <c r="AH187" s="34" t="n">
        <f aca="false">IF(AH$8=1,N(Reales!AH22),IF(AH$171=1,INDEX(Vol_V,11,AH$170)/12*(1+V_dVol),0))</f>
        <v>0</v>
      </c>
      <c r="AI187" s="34" t="n">
        <f aca="false">IF(AI$8=1,N(Reales!AI22),IF(AI$171=1,INDEX(Vol_V,11,AI$170)/12*(1+V_dVol),0))</f>
        <v>0</v>
      </c>
      <c r="AJ187" s="34" t="n">
        <f aca="false">IF(AJ$8=1,N(Reales!AJ22),IF(AJ$171=1,INDEX(Vol_V,11,AJ$170)/12*(1+V_dVol),0))</f>
        <v>0</v>
      </c>
      <c r="AK187" s="34" t="n">
        <f aca="false">IF(AK$8=1,N(Reales!AK22),IF(AK$171=1,INDEX(Vol_V,11,AK$170)/12*(1+V_dVol),0))</f>
        <v>0</v>
      </c>
      <c r="AL187" s="34" t="n">
        <f aca="false">IF(AL$8=1,N(Reales!AL22),IF(AL$171=1,INDEX(Vol_V,11,AL$170)/12*(1+V_dVol),0))</f>
        <v>0</v>
      </c>
      <c r="AM187" s="34" t="n">
        <f aca="false">IF(AM$8=1,N(Reales!AM22),IF(AM$171=1,INDEX(Vol_V,11,AM$170)/12*(1+V_dVol),0))</f>
        <v>0</v>
      </c>
      <c r="AN187" s="34" t="n">
        <f aca="false">IF(AN$8=1,N(Reales!AN22),IF(AN$171=1,INDEX(Vol_V,11,AN$170)/12*(1+V_dVol),0))</f>
        <v>0</v>
      </c>
      <c r="AO187" s="34" t="n">
        <f aca="false">IF(AO$8=1,N(Reales!AO22),IF(AO$171=1,INDEX(Vol_V,11,AO$170)/12*(1+V_dVol),0))</f>
        <v>0</v>
      </c>
      <c r="AP187" s="34" t="n">
        <f aca="false">IF(AP$8=1,N(Reales!AP22),IF(AP$171=1,INDEX(Vol_V,11,AP$170)/12*(1+V_dVol),0))</f>
        <v>0</v>
      </c>
      <c r="AQ187" s="34" t="n">
        <f aca="false">IF(AQ$8=1,N(Reales!AQ22),IF(AQ$171=1,INDEX(Vol_V,11,AQ$170)/12*(1+V_dVol),0))</f>
        <v>0</v>
      </c>
      <c r="AR187" s="34" t="n">
        <f aca="false">IF(AR$8=1,N(Reales!AR22),IF(AR$171=1,INDEX(Vol_V,11,AR$170)/12*(1+V_dVol),0))</f>
        <v>0</v>
      </c>
      <c r="AS187" s="34" t="n">
        <f aca="false">IF(AS$8=1,N(Reales!AS22),IF(AS$171=1,INDEX(Vol_V,11,AS$170)/12*(1+V_dVol),0))</f>
        <v>0</v>
      </c>
      <c r="AT187" s="34" t="n">
        <f aca="false">IF(AT$8=1,N(Reales!AT22),IF(AT$171=1,INDEX(Vol_V,11,AT$170)/12*(1+V_dVol),0))</f>
        <v>0</v>
      </c>
      <c r="AU187" s="34" t="n">
        <f aca="false">IF(AU$8=1,N(Reales!AU22),IF(AU$171=1,INDEX(Vol_V,11,AU$170)/12*(1+V_dVol),0))</f>
        <v>0</v>
      </c>
      <c r="AV187" s="34" t="n">
        <f aca="false">IF(AV$8=1,N(Reales!AV22),IF(AV$171=1,INDEX(Vol_V,11,AV$170)/12*(1+V_dVol),0))</f>
        <v>0</v>
      </c>
      <c r="AW187" s="34" t="n">
        <f aca="false">IF(AW$8=1,N(Reales!AW22),IF(AW$171=1,INDEX(Vol_V,11,AW$170)/12*(1+V_dVol),0))</f>
        <v>0</v>
      </c>
      <c r="AX187" s="34" t="n">
        <f aca="false">IF(AX$8=1,N(Reales!AX22),IF(AX$171=1,INDEX(Vol_V,11,AX$170)/12*(1+V_dVol),0))</f>
        <v>0</v>
      </c>
      <c r="AY187" s="34" t="n">
        <f aca="false">IF(AY$8=1,N(Reales!AY22),IF(AY$171=1,INDEX(Vol_V,11,AY$170)/12*(1+V_dVol),0))</f>
        <v>0</v>
      </c>
      <c r="AZ187" s="34" t="n">
        <f aca="false">IF(AZ$8=1,N(Reales!AZ22),IF(AZ$171=1,INDEX(Vol_V,11,AZ$170)/12*(1+V_dVol),0))</f>
        <v>0</v>
      </c>
      <c r="BA187" s="34" t="n">
        <f aca="false">IF(BA$8=1,N(Reales!BA22),IF(BA$171=1,INDEX(Vol_V,11,BA$170)/12*(1+V_dVol),0))</f>
        <v>0</v>
      </c>
      <c r="BB187" s="34" t="n">
        <f aca="false">IF(BB$8=1,N(Reales!BB22),IF(BB$171=1,INDEX(Vol_V,11,BB$170)/12*(1+V_dVol),0))</f>
        <v>0</v>
      </c>
      <c r="BC187" s="34" t="n">
        <f aca="false">IF(BC$8=1,N(Reales!BC22),IF(BC$171=1,INDEX(Vol_V,11,BC$170)/12*(1+V_dVol),0))</f>
        <v>0</v>
      </c>
      <c r="BD187" s="34" t="n">
        <f aca="false">IF(BD$8=1,N(Reales!BD22),IF(BD$171=1,INDEX(Vol_V,11,BD$170)/12*(1+V_dVol),0))</f>
        <v>0</v>
      </c>
      <c r="BE187" s="34" t="n">
        <f aca="false">IF(BE$8=1,N(Reales!BE22),IF(BE$171=1,INDEX(Vol_V,11,BE$170)/12*(1+V_dVol),0))</f>
        <v>0</v>
      </c>
      <c r="BF187" s="34" t="n">
        <f aca="false">IF(BF$8=1,N(Reales!BF22),IF(BF$171=1,INDEX(Vol_V,11,BF$170)/12*(1+V_dVol),0))</f>
        <v>0</v>
      </c>
      <c r="BG187" s="34" t="n">
        <f aca="false">IF(BG$8=1,N(Reales!BG22),IF(BG$171=1,INDEX(Vol_V,11,BG$170)/12*(1+V_dVol),0))</f>
        <v>0</v>
      </c>
      <c r="BH187" s="34" t="n">
        <f aca="false">IF(BH$8=1,N(Reales!BH22),IF(BH$171=1,INDEX(Vol_V,11,BH$170)/12*(1+V_dVol),0))</f>
        <v>0</v>
      </c>
      <c r="BI187" s="34" t="n">
        <f aca="false">IF(BI$8=1,N(Reales!BI22),IF(BI$171=1,INDEX(Vol_V,11,BI$170)/12*(1+V_dVol),0))</f>
        <v>0</v>
      </c>
      <c r="BJ187" s="34" t="n">
        <f aca="false">IF(BJ$8=1,N(Reales!BJ22),IF(BJ$171=1,INDEX(Vol_V,11,BJ$170)/12*(1+V_dVol),0))</f>
        <v>0</v>
      </c>
      <c r="BK187" s="34" t="n">
        <f aca="false">IF(BK$8=1,N(Reales!BK22),IF(BK$171=1,INDEX(Vol_V,11,BK$170)/12*(1+V_dVol),0))</f>
        <v>0</v>
      </c>
      <c r="BL187" s="34" t="n">
        <f aca="false">IF(BL$8=1,N(Reales!BL22),IF(BL$171=1,INDEX(Vol_V,11,BL$170)/12*(1+V_dVol),0))</f>
        <v>0</v>
      </c>
      <c r="BM187" s="34" t="n">
        <f aca="false">IF(BM$8=1,N(Reales!BM22),IF(BM$171=1,INDEX(Vol_V,11,BM$170)/12*(1+V_dVol),0))</f>
        <v>0</v>
      </c>
      <c r="BN187" s="34" t="n">
        <f aca="false">IF(BN$8=1,N(Reales!BN22),IF(BN$171=1,INDEX(Vol_V,11,BN$170)/12*(1+V_dVol),0))</f>
        <v>0</v>
      </c>
      <c r="BO187" s="34" t="n">
        <f aca="false">IF(BO$8=1,N(Reales!BO22),IF(BO$171=1,INDEX(Vol_V,11,BO$170)/12*(1+V_dVol),0))</f>
        <v>0</v>
      </c>
      <c r="BP187" s="34" t="n">
        <f aca="false">IF(BP$8=1,N(Reales!BP22),IF(BP$171=1,INDEX(Vol_V,11,BP$170)/12*(1+V_dVol),0))</f>
        <v>0</v>
      </c>
      <c r="BQ187" s="34" t="n">
        <f aca="false">IF(BQ$8=1,N(Reales!BQ22),IF(BQ$171=1,INDEX(Vol_V,11,BQ$170)/12*(1+V_dVol),0))</f>
        <v>0</v>
      </c>
      <c r="BR187" s="34" t="n">
        <f aca="false">IF(BR$8=1,N(Reales!BR22),IF(BR$171=1,INDEX(Vol_V,11,BR$170)/12*(1+V_dVol),0))</f>
        <v>0</v>
      </c>
      <c r="BS187" s="34" t="n">
        <f aca="false">IF(BS$8=1,N(Reales!BS22),IF(BS$171=1,INDEX(Vol_V,11,BS$170)/12*(1+V_dVol),0))</f>
        <v>0</v>
      </c>
      <c r="BT187" s="34" t="n">
        <f aca="false">IF(BT$8=1,N(Reales!BT22),IF(BT$171=1,INDEX(Vol_V,11,BT$170)/12*(1+V_dVol),0))</f>
        <v>0</v>
      </c>
      <c r="BU187" s="34" t="n">
        <f aca="false">IF(BU$8=1,N(Reales!BU22),IF(BU$171=1,INDEX(Vol_V,11,BU$170)/12*(1+V_dVol),0))</f>
        <v>0</v>
      </c>
      <c r="BV187" s="34" t="n">
        <f aca="false">IF(BV$8=1,N(Reales!BV22),IF(BV$171=1,INDEX(Vol_V,11,BV$170)/12*(1+V_dVol),0))</f>
        <v>0</v>
      </c>
      <c r="BW187" s="34" t="n">
        <f aca="false">IF(BW$8=1,N(Reales!BW22),IF(BW$171=1,INDEX(Vol_V,11,BW$170)/12*(1+V_dVol),0))</f>
        <v>0</v>
      </c>
      <c r="BX187" s="34" t="n">
        <f aca="false">IF(BX$8=1,N(Reales!BX22),IF(BX$171=1,INDEX(Vol_V,11,BX$170)/12*(1+V_dVol),0))</f>
        <v>0</v>
      </c>
      <c r="BY187" s="34" t="n">
        <f aca="false">IF(BY$8=1,N(Reales!BY22),IF(BY$171=1,INDEX(Vol_V,11,BY$170)/12*(1+V_dVol),0))</f>
        <v>0</v>
      </c>
      <c r="BZ187" s="34" t="n">
        <f aca="false">IF(BZ$8=1,N(Reales!BZ22),IF(BZ$171=1,INDEX(Vol_V,11,BZ$170)/12*(1+V_dVol),0))</f>
        <v>0</v>
      </c>
      <c r="CA187" s="34" t="n">
        <f aca="false">IF(CA$8=1,N(Reales!CA22),IF(CA$171=1,INDEX(Vol_V,11,CA$170)/12*(1+V_dVol),0))</f>
        <v>0</v>
      </c>
      <c r="CB187" s="34" t="n">
        <f aca="false">IF(CB$8=1,N(Reales!CB22),IF(CB$171=1,INDEX(Vol_V,11,CB$170)/12*(1+V_dVol),0))</f>
        <v>0</v>
      </c>
      <c r="CC187" s="34" t="n">
        <f aca="false">IF(CC$8=1,N(Reales!CC22),IF(CC$171=1,INDEX(Vol_V,11,CC$170)/12*(1+V_dVol),0))</f>
        <v>0</v>
      </c>
      <c r="CD187" s="34" t="n">
        <f aca="false">IF(CD$8=1,N(Reales!CD22),IF(CD$171=1,INDEX(Vol_V,11,CD$170)/12*(1+V_dVol),0))</f>
        <v>0</v>
      </c>
      <c r="CE187" s="34" t="n">
        <f aca="false">IF(CE$8=1,N(Reales!CE22),IF(CE$171=1,INDEX(Vol_V,11,CE$170)/12*(1+V_dVol),0))</f>
        <v>0</v>
      </c>
      <c r="CF187" s="34" t="n">
        <f aca="false">IF(CF$8=1,N(Reales!CF22),IF(CF$171=1,INDEX(Vol_V,11,CF$170)/12*(1+V_dVol),0))</f>
        <v>0</v>
      </c>
      <c r="CG187" s="34" t="n">
        <f aca="false">IF(CG$8=1,N(Reales!CG22),IF(CG$171=1,INDEX(Vol_V,11,CG$170)/12*(1+V_dVol),0))</f>
        <v>0</v>
      </c>
      <c r="CH187" s="34" t="n">
        <f aca="false">IF(CH$8=1,N(Reales!CH22),IF(CH$171=1,INDEX(Vol_V,11,CH$170)/12*(1+V_dVol),0))</f>
        <v>0</v>
      </c>
      <c r="CI187" s="34" t="n">
        <f aca="false">IF(CI$8=1,N(Reales!CI22),IF(CI$171=1,INDEX(Vol_V,11,CI$170)/12*(1+V_dVol),0))</f>
        <v>0</v>
      </c>
      <c r="CJ187" s="34" t="n">
        <f aca="false">IF(CJ$8=1,N(Reales!CJ22),IF(CJ$171=1,INDEX(Vol_V,11,CJ$170)/12*(1+V_dVol),0))</f>
        <v>0</v>
      </c>
      <c r="CK187" s="34" t="n">
        <f aca="false">IF(CK$8=1,N(Reales!CK22),IF(CK$171=1,INDEX(Vol_V,11,CK$170)/12*(1+V_dVol),0))</f>
        <v>0</v>
      </c>
      <c r="CL187" s="34" t="n">
        <f aca="false">IF(CL$8=1,N(Reales!CL22),IF(CL$171=1,INDEX(Vol_V,11,CL$170)/12*(1+V_dVol),0))</f>
        <v>0</v>
      </c>
      <c r="CM187" s="34" t="n">
        <f aca="false">IF(CM$8=1,N(Reales!CM22),IF(CM$171=1,INDEX(Vol_V,11,CM$170)/12*(1+V_dVol),0))</f>
        <v>0</v>
      </c>
      <c r="CN187" s="34" t="n">
        <f aca="false">IF(CN$8=1,N(Reales!CN22),IF(CN$171=1,INDEX(Vol_V,11,CN$170)/12*(1+V_dVol),0))</f>
        <v>0</v>
      </c>
      <c r="CO187" s="34" t="n">
        <f aca="false">IF(CO$8=1,N(Reales!CO22),IF(CO$171=1,INDEX(Vol_V,11,CO$170)/12*(1+V_dVol),0))</f>
        <v>0</v>
      </c>
      <c r="CP187" s="34" t="n">
        <f aca="false">IF(CP$8=1,N(Reales!CP22),IF(CP$171=1,INDEX(Vol_V,11,CP$170)/12*(1+V_dVol),0))</f>
        <v>0</v>
      </c>
      <c r="CQ187" s="34" t="n">
        <f aca="false">IF(CQ$8=1,N(Reales!CQ22),IF(CQ$171=1,INDEX(Vol_V,11,CQ$170)/12*(1+V_dVol),0))</f>
        <v>0</v>
      </c>
      <c r="CR187" s="34" t="n">
        <f aca="false">IF(CR$8=1,N(Reales!CR22),IF(CR$171=1,INDEX(Vol_V,11,CR$170)/12*(1+V_dVol),0))</f>
        <v>0</v>
      </c>
      <c r="CS187" s="34" t="n">
        <f aca="false">IF(CS$8=1,N(Reales!CS22),IF(CS$171=1,INDEX(Vol_V,11,CS$170)/12*(1+V_dVol),0))</f>
        <v>0</v>
      </c>
      <c r="CT187" s="34" t="n">
        <f aca="false">IF(CT$8=1,N(Reales!CT22),IF(CT$171=1,INDEX(Vol_V,11,CT$170)/12*(1+V_dVol),0))</f>
        <v>0</v>
      </c>
      <c r="CU187" s="34" t="n">
        <f aca="false">IF(CU$8=1,N(Reales!CU22),IF(CU$171=1,INDEX(Vol_V,11,CU$170)/12*(1+V_dVol),0))</f>
        <v>0</v>
      </c>
      <c r="CV187" s="34" t="n">
        <f aca="false">IF(CV$8=1,N(Reales!CV22),IF(CV$171=1,INDEX(Vol_V,11,CV$170)/12*(1+V_dVol),0))</f>
        <v>0</v>
      </c>
      <c r="CW187" s="34" t="n">
        <f aca="false">IF(CW$8=1,N(Reales!CW22),IF(CW$171=1,INDEX(Vol_V,11,CW$170)/12*(1+V_dVol),0))</f>
        <v>0</v>
      </c>
      <c r="CX187" s="34" t="n">
        <f aca="false">IF(CX$8=1,N(Reales!CX22),IF(CX$171=1,INDEX(Vol_V,11,CX$170)/12*(1+V_dVol),0))</f>
        <v>0</v>
      </c>
      <c r="CY187" s="34" t="n">
        <f aca="false">IF(CY$8=1,N(Reales!CY22),IF(CY$171=1,INDEX(Vol_V,11,CY$170)/12*(1+V_dVol),0))</f>
        <v>0</v>
      </c>
      <c r="CZ187" s="34" t="n">
        <f aca="false">IF(CZ$8=1,N(Reales!CZ22),IF(CZ$171=1,INDEX(Vol_V,11,CZ$170)/12*(1+V_dVol),0))</f>
        <v>0</v>
      </c>
      <c r="DA187" s="34" t="n">
        <f aca="false">IF(DA$8=1,N(Reales!DA22),IF(DA$171=1,INDEX(Vol_V,11,DA$170)/12*(1+V_dVol),0))</f>
        <v>0</v>
      </c>
      <c r="DB187" s="34" t="n">
        <f aca="false">IF(DB$8=1,N(Reales!DB22),IF(DB$171=1,INDEX(Vol_V,11,DB$170)/12*(1+V_dVol),0))</f>
        <v>0</v>
      </c>
      <c r="DC187" s="34" t="n">
        <f aca="false">IF(DC$8=1,N(Reales!DC22),IF(DC$171=1,INDEX(Vol_V,11,DC$170)/12*(1+V_dVol),0))</f>
        <v>0</v>
      </c>
      <c r="DD187" s="34" t="n">
        <f aca="false">IF(DD$8=1,N(Reales!DD22),IF(DD$171=1,INDEX(Vol_V,11,DD$170)/12*(1+V_dVol),0))</f>
        <v>0</v>
      </c>
      <c r="DE187" s="34" t="n">
        <f aca="false">IF(DE$8=1,N(Reales!DE22),IF(DE$171=1,INDEX(Vol_V,11,DE$170)/12*(1+V_dVol),0))</f>
        <v>0</v>
      </c>
      <c r="DF187" s="34" t="n">
        <f aca="false">IF(DF$8=1,N(Reales!DF22),IF(DF$171=1,INDEX(Vol_V,11,DF$170)/12*(1+V_dVol),0))</f>
        <v>0</v>
      </c>
      <c r="DG187" s="34" t="n">
        <f aca="false">IF(DG$8=1,N(Reales!DG22),IF(DG$171=1,INDEX(Vol_V,11,DG$170)/12*(1+V_dVol),0))</f>
        <v>0</v>
      </c>
      <c r="DH187" s="34" t="n">
        <f aca="false">IF(DH$8=1,N(Reales!DH22),IF(DH$171=1,INDEX(Vol_V,11,DH$170)/12*(1+V_dVol),0))</f>
        <v>0</v>
      </c>
      <c r="DI187" s="34" t="n">
        <f aca="false">IF(DI$8=1,N(Reales!DI22),IF(DI$171=1,INDEX(Vol_V,11,DI$170)/12*(1+V_dVol),0))</f>
        <v>0</v>
      </c>
      <c r="DJ187" s="34" t="n">
        <f aca="false">IF(DJ$8=1,N(Reales!DJ22),IF(DJ$171=1,INDEX(Vol_V,11,DJ$170)/12*(1+V_dVol),0))</f>
        <v>0</v>
      </c>
      <c r="DK187" s="34" t="n">
        <f aca="false">IF(DK$8=1,N(Reales!DK22),IF(DK$171=1,INDEX(Vol_V,11,DK$170)/12*(1+V_dVol),0))</f>
        <v>0</v>
      </c>
      <c r="DL187" s="34" t="n">
        <f aca="false">IF(DL$8=1,N(Reales!DL22),IF(DL$171=1,INDEX(Vol_V,11,DL$170)/12*(1+V_dVol),0))</f>
        <v>0</v>
      </c>
      <c r="DM187" s="34" t="n">
        <f aca="false">IF(DM$8=1,N(Reales!DM22),IF(DM$171=1,INDEX(Vol_V,11,DM$170)/12*(1+V_dVol),0))</f>
        <v>0</v>
      </c>
      <c r="DN187" s="34" t="n">
        <f aca="false">IF(DN$8=1,N(Reales!DN22),IF(DN$171=1,INDEX(Vol_V,11,DN$170)/12*(1+V_dVol),0))</f>
        <v>0</v>
      </c>
      <c r="DO187" s="34" t="n">
        <f aca="false">IF(DO$8=1,N(Reales!DO22),IF(DO$171=1,INDEX(Vol_V,11,DO$170)/12*(1+V_dVol),0))</f>
        <v>0</v>
      </c>
      <c r="DP187" s="34" t="n">
        <f aca="false">IF(DP$8=1,N(Reales!DP22),IF(DP$171=1,INDEX(Vol_V,11,DP$170)/12*(1+V_dVol),0))</f>
        <v>0</v>
      </c>
      <c r="DQ187" s="34" t="n">
        <f aca="false">IF(DQ$8=1,N(Reales!DQ22),IF(DQ$171=1,INDEX(Vol_V,11,DQ$170)/12*(1+V_dVol),0))</f>
        <v>0</v>
      </c>
      <c r="DR187" s="34" t="n">
        <f aca="false">IF(DR$8=1,N(Reales!DR22),IF(DR$171=1,INDEX(Vol_V,11,DR$170)/12*(1+V_dVol),0))</f>
        <v>0</v>
      </c>
      <c r="DS187" s="34" t="n">
        <f aca="false">IF(DS$8=1,N(Reales!DS22),IF(DS$171=1,INDEX(Vol_V,11,DS$170)/12*(1+V_dVol),0))</f>
        <v>0</v>
      </c>
      <c r="DT187" s="34" t="n">
        <f aca="false">IF(DT$8=1,N(Reales!DT22),IF(DT$171=1,INDEX(Vol_V,11,DT$170)/12*(1+V_dVol),0))</f>
        <v>0</v>
      </c>
      <c r="DU187" s="34" t="n">
        <f aca="false">IF(DU$8=1,N(Reales!DU22),IF(DU$171=1,INDEX(Vol_V,11,DU$170)/12*(1+V_dVol),0))</f>
        <v>0</v>
      </c>
      <c r="DV187" s="34" t="n">
        <f aca="false">IF(DV$8=1,N(Reales!DV22),IF(DV$171=1,INDEX(Vol_V,11,DV$170)/12*(1+V_dVol),0))</f>
        <v>0</v>
      </c>
      <c r="DW187" s="34" t="n">
        <f aca="false">IF(DW$8=1,N(Reales!DW22),IF(DW$171=1,INDEX(Vol_V,11,DW$170)/12*(1+V_dVol),0))</f>
        <v>0</v>
      </c>
      <c r="DX187" s="34" t="n">
        <f aca="false">IF(DX$8=1,N(Reales!DX22),IF(DX$171=1,INDEX(Vol_V,11,DX$170)/12*(1+V_dVol),0))</f>
        <v>0</v>
      </c>
      <c r="DY187" s="34" t="n">
        <f aca="false">IF(DY$8=1,N(Reales!DY22),IF(DY$171=1,INDEX(Vol_V,11,DY$170)/12*(1+V_dVol),0))</f>
        <v>0</v>
      </c>
      <c r="DZ187" s="34" t="n">
        <f aca="false">IF(DZ$8=1,N(Reales!DZ22),IF(DZ$171=1,INDEX(Vol_V,11,DZ$170)/12*(1+V_dVol),0))</f>
        <v>0</v>
      </c>
      <c r="EA187" s="34" t="n">
        <f aca="false">IF(EA$8=1,N(Reales!EA22),IF(EA$171=1,INDEX(Vol_V,11,EA$170)/12*(1+V_dVol),0))</f>
        <v>0</v>
      </c>
      <c r="EB187" s="34" t="n">
        <f aca="false">IF(EB$8=1,N(Reales!EB22),IF(EB$171=1,INDEX(Vol_V,11,EB$170)/12*(1+V_dVol),0))</f>
        <v>0</v>
      </c>
      <c r="EC187" s="34" t="n">
        <f aca="false">IF(EC$8=1,N(Reales!EC22),IF(EC$171=1,INDEX(Vol_V,11,EC$170)/12*(1+V_dVol),0))</f>
        <v>0</v>
      </c>
      <c r="ED187" s="34" t="n">
        <f aca="false">IF(ED$8=1,N(Reales!ED22),IF(ED$171=1,INDEX(Vol_V,11,ED$170)/12*(1+V_dVol),0))</f>
        <v>0</v>
      </c>
      <c r="EE187" s="34" t="n">
        <f aca="false">IF(EE$8=1,N(Reales!EE22),IF(EE$171=1,INDEX(Vol_V,11,EE$170)/12*(1+V_dVol),0))</f>
        <v>0</v>
      </c>
      <c r="EF187" s="34" t="n">
        <f aca="false">IF(EF$8=1,N(Reales!EF22),IF(EF$171=1,INDEX(Vol_V,11,EF$170)/12*(1+V_dVol),0))</f>
        <v>0</v>
      </c>
      <c r="EG187" s="34" t="n">
        <f aca="false">IF(EG$8=1,N(Reales!EG22),IF(EG$171=1,INDEX(Vol_V,11,EG$170)/12*(1+V_dVol),0))</f>
        <v>0</v>
      </c>
      <c r="EH187" s="34" t="n">
        <f aca="false">IF(EH$8=1,N(Reales!EH22),IF(EH$171=1,INDEX(Vol_V,11,EH$170)/12*(1+V_dVol),0))</f>
        <v>0</v>
      </c>
      <c r="EI187" s="34" t="n">
        <f aca="false">IF(EI$8=1,N(Reales!EI22),IF(EI$171=1,INDEX(Vol_V,11,EI$170)/12*(1+V_dVol),0))</f>
        <v>0</v>
      </c>
      <c r="EJ187" s="34" t="n">
        <f aca="false">IF(EJ$8=1,N(Reales!EJ22),IF(EJ$171=1,INDEX(Vol_V,11,EJ$170)/12*(1+V_dVol),0))</f>
        <v>0</v>
      </c>
      <c r="EK187" s="34" t="n">
        <f aca="false">IF(EK$8=1,N(Reales!EK22),IF(EK$171=1,INDEX(Vol_V,11,EK$170)/12*(1+V_dVol),0))</f>
        <v>0</v>
      </c>
      <c r="EL187" s="34" t="n">
        <f aca="false">IF(EL$8=1,N(Reales!EL22),IF(EL$171=1,INDEX(Vol_V,11,EL$170)/12*(1+V_dVol),0))</f>
        <v>0</v>
      </c>
      <c r="EM187" s="34" t="n">
        <f aca="false">IF(EM$8=1,N(Reales!EM22),IF(EM$171=1,INDEX(Vol_V,11,EM$170)/12*(1+V_dVol),0))</f>
        <v>0</v>
      </c>
      <c r="EN187" s="34" t="n">
        <f aca="false">IF(EN$8=1,N(Reales!EN22),IF(EN$171=1,INDEX(Vol_V,11,EN$170)/12*(1+V_dVol),0))</f>
        <v>0</v>
      </c>
      <c r="EO187" s="34" t="n">
        <f aca="false">IF(EO$8=1,N(Reales!EO22),IF(EO$171=1,INDEX(Vol_V,11,EO$170)/12*(1+V_dVol),0))</f>
        <v>0</v>
      </c>
      <c r="EP187" s="34" t="n">
        <f aca="false">IF(EP$8=1,N(Reales!EP22),IF(EP$171=1,INDEX(Vol_V,11,EP$170)/12*(1+V_dVol),0))</f>
        <v>0</v>
      </c>
      <c r="EQ187" s="34" t="n">
        <f aca="false">IF(EQ$8=1,N(Reales!EQ22),IF(EQ$171=1,INDEX(Vol_V,11,EQ$170)/12*(1+V_dVol),0))</f>
        <v>0</v>
      </c>
      <c r="ER187" s="34" t="n">
        <f aca="false">IF(ER$8=1,N(Reales!ER22),IF(ER$171=1,INDEX(Vol_V,11,ER$170)/12*(1+V_dVol),0))</f>
        <v>0</v>
      </c>
      <c r="ES187" s="34" t="n">
        <f aca="false">IF(ES$8=1,N(Reales!ES22),IF(ES$171=1,INDEX(Vol_V,11,ES$170)/12*(1+V_dVol),0))</f>
        <v>0</v>
      </c>
    </row>
    <row r="188" customFormat="false" ht="15" hidden="false" customHeight="false" outlineLevel="0" collapsed="false">
      <c r="A188" s="2" t="s">
        <v>830</v>
      </c>
      <c r="B188" s="39" t="str">
        <f aca="false">IF(INDEX(Prod_Nombre,12)="","Producto 12",INDEX(Prod_Nombre,12))&amp;" — unidades"</f>
        <v>Producto 12 — unidades</v>
      </c>
      <c r="C188" s="6" t="s">
        <v>286</v>
      </c>
      <c r="E188" s="40" t="n">
        <f aca="false">SUM(F188:ES188)</f>
        <v>0</v>
      </c>
      <c r="F188" s="34" t="n">
        <f aca="false">IF(F$8=1,N(Reales!F23),IF(F$171=1,INDEX(Vol_V,12,F$170)/12*(1+V_dVol),0))</f>
        <v>0</v>
      </c>
      <c r="G188" s="34" t="n">
        <f aca="false">IF(G$8=1,N(Reales!G23),IF(G$171=1,INDEX(Vol_V,12,G$170)/12*(1+V_dVol),0))</f>
        <v>0</v>
      </c>
      <c r="H188" s="34" t="n">
        <f aca="false">IF(H$8=1,N(Reales!H23),IF(H$171=1,INDEX(Vol_V,12,H$170)/12*(1+V_dVol),0))</f>
        <v>0</v>
      </c>
      <c r="I188" s="34" t="n">
        <f aca="false">IF(I$8=1,N(Reales!I23),IF(I$171=1,INDEX(Vol_V,12,I$170)/12*(1+V_dVol),0))</f>
        <v>0</v>
      </c>
      <c r="J188" s="34" t="n">
        <f aca="false">IF(J$8=1,N(Reales!J23),IF(J$171=1,INDEX(Vol_V,12,J$170)/12*(1+V_dVol),0))</f>
        <v>0</v>
      </c>
      <c r="K188" s="34" t="n">
        <f aca="false">IF(K$8=1,N(Reales!K23),IF(K$171=1,INDEX(Vol_V,12,K$170)/12*(1+V_dVol),0))</f>
        <v>0</v>
      </c>
      <c r="L188" s="34" t="n">
        <f aca="false">IF(L$8=1,N(Reales!L23),IF(L$171=1,INDEX(Vol_V,12,L$170)/12*(1+V_dVol),0))</f>
        <v>0</v>
      </c>
      <c r="M188" s="34" t="n">
        <f aca="false">IF(M$8=1,N(Reales!M23),IF(M$171=1,INDEX(Vol_V,12,M$170)/12*(1+V_dVol),0))</f>
        <v>0</v>
      </c>
      <c r="N188" s="34" t="n">
        <f aca="false">IF(N$8=1,N(Reales!N23),IF(N$171=1,INDEX(Vol_V,12,N$170)/12*(1+V_dVol),0))</f>
        <v>0</v>
      </c>
      <c r="O188" s="34" t="n">
        <f aca="false">IF(O$8=1,N(Reales!O23),IF(O$171=1,INDEX(Vol_V,12,O$170)/12*(1+V_dVol),0))</f>
        <v>0</v>
      </c>
      <c r="P188" s="34" t="n">
        <f aca="false">IF(P$8=1,N(Reales!P23),IF(P$171=1,INDEX(Vol_V,12,P$170)/12*(1+V_dVol),0))</f>
        <v>0</v>
      </c>
      <c r="Q188" s="34" t="n">
        <f aca="false">IF(Q$8=1,N(Reales!Q23),IF(Q$171=1,INDEX(Vol_V,12,Q$170)/12*(1+V_dVol),0))</f>
        <v>0</v>
      </c>
      <c r="R188" s="34" t="n">
        <f aca="false">IF(R$8=1,N(Reales!R23),IF(R$171=1,INDEX(Vol_V,12,R$170)/12*(1+V_dVol),0))</f>
        <v>0</v>
      </c>
      <c r="S188" s="34" t="n">
        <f aca="false">IF(S$8=1,N(Reales!S23),IF(S$171=1,INDEX(Vol_V,12,S$170)/12*(1+V_dVol),0))</f>
        <v>0</v>
      </c>
      <c r="T188" s="34" t="n">
        <f aca="false">IF(T$8=1,N(Reales!T23),IF(T$171=1,INDEX(Vol_V,12,T$170)/12*(1+V_dVol),0))</f>
        <v>0</v>
      </c>
      <c r="U188" s="34" t="n">
        <f aca="false">IF(U$8=1,N(Reales!U23),IF(U$171=1,INDEX(Vol_V,12,U$170)/12*(1+V_dVol),0))</f>
        <v>0</v>
      </c>
      <c r="V188" s="34" t="n">
        <f aca="false">IF(V$8=1,N(Reales!V23),IF(V$171=1,INDEX(Vol_V,12,V$170)/12*(1+V_dVol),0))</f>
        <v>0</v>
      </c>
      <c r="W188" s="34" t="n">
        <f aca="false">IF(W$8=1,N(Reales!W23),IF(W$171=1,INDEX(Vol_V,12,W$170)/12*(1+V_dVol),0))</f>
        <v>0</v>
      </c>
      <c r="X188" s="34" t="n">
        <f aca="false">IF(X$8=1,N(Reales!X23),IF(X$171=1,INDEX(Vol_V,12,X$170)/12*(1+V_dVol),0))</f>
        <v>0</v>
      </c>
      <c r="Y188" s="34" t="n">
        <f aca="false">IF(Y$8=1,N(Reales!Y23),IF(Y$171=1,INDEX(Vol_V,12,Y$170)/12*(1+V_dVol),0))</f>
        <v>0</v>
      </c>
      <c r="Z188" s="34" t="n">
        <f aca="false">IF(Z$8=1,N(Reales!Z23),IF(Z$171=1,INDEX(Vol_V,12,Z$170)/12*(1+V_dVol),0))</f>
        <v>0</v>
      </c>
      <c r="AA188" s="34" t="n">
        <f aca="false">IF(AA$8=1,N(Reales!AA23),IF(AA$171=1,INDEX(Vol_V,12,AA$170)/12*(1+V_dVol),0))</f>
        <v>0</v>
      </c>
      <c r="AB188" s="34" t="n">
        <f aca="false">IF(AB$8=1,N(Reales!AB23),IF(AB$171=1,INDEX(Vol_V,12,AB$170)/12*(1+V_dVol),0))</f>
        <v>0</v>
      </c>
      <c r="AC188" s="34" t="n">
        <f aca="false">IF(AC$8=1,N(Reales!AC23),IF(AC$171=1,INDEX(Vol_V,12,AC$170)/12*(1+V_dVol),0))</f>
        <v>0</v>
      </c>
      <c r="AD188" s="34" t="n">
        <f aca="false">IF(AD$8=1,N(Reales!AD23),IF(AD$171=1,INDEX(Vol_V,12,AD$170)/12*(1+V_dVol),0))</f>
        <v>0</v>
      </c>
      <c r="AE188" s="34" t="n">
        <f aca="false">IF(AE$8=1,N(Reales!AE23),IF(AE$171=1,INDEX(Vol_V,12,AE$170)/12*(1+V_dVol),0))</f>
        <v>0</v>
      </c>
      <c r="AF188" s="34" t="n">
        <f aca="false">IF(AF$8=1,N(Reales!AF23),IF(AF$171=1,INDEX(Vol_V,12,AF$170)/12*(1+V_dVol),0))</f>
        <v>0</v>
      </c>
      <c r="AG188" s="34" t="n">
        <f aca="false">IF(AG$8=1,N(Reales!AG23),IF(AG$171=1,INDEX(Vol_V,12,AG$170)/12*(1+V_dVol),0))</f>
        <v>0</v>
      </c>
      <c r="AH188" s="34" t="n">
        <f aca="false">IF(AH$8=1,N(Reales!AH23),IF(AH$171=1,INDEX(Vol_V,12,AH$170)/12*(1+V_dVol),0))</f>
        <v>0</v>
      </c>
      <c r="AI188" s="34" t="n">
        <f aca="false">IF(AI$8=1,N(Reales!AI23),IF(AI$171=1,INDEX(Vol_V,12,AI$170)/12*(1+V_dVol),0))</f>
        <v>0</v>
      </c>
      <c r="AJ188" s="34" t="n">
        <f aca="false">IF(AJ$8=1,N(Reales!AJ23),IF(AJ$171=1,INDEX(Vol_V,12,AJ$170)/12*(1+V_dVol),0))</f>
        <v>0</v>
      </c>
      <c r="AK188" s="34" t="n">
        <f aca="false">IF(AK$8=1,N(Reales!AK23),IF(AK$171=1,INDEX(Vol_V,12,AK$170)/12*(1+V_dVol),0))</f>
        <v>0</v>
      </c>
      <c r="AL188" s="34" t="n">
        <f aca="false">IF(AL$8=1,N(Reales!AL23),IF(AL$171=1,INDEX(Vol_V,12,AL$170)/12*(1+V_dVol),0))</f>
        <v>0</v>
      </c>
      <c r="AM188" s="34" t="n">
        <f aca="false">IF(AM$8=1,N(Reales!AM23),IF(AM$171=1,INDEX(Vol_V,12,AM$170)/12*(1+V_dVol),0))</f>
        <v>0</v>
      </c>
      <c r="AN188" s="34" t="n">
        <f aca="false">IF(AN$8=1,N(Reales!AN23),IF(AN$171=1,INDEX(Vol_V,12,AN$170)/12*(1+V_dVol),0))</f>
        <v>0</v>
      </c>
      <c r="AO188" s="34" t="n">
        <f aca="false">IF(AO$8=1,N(Reales!AO23),IF(AO$171=1,INDEX(Vol_V,12,AO$170)/12*(1+V_dVol),0))</f>
        <v>0</v>
      </c>
      <c r="AP188" s="34" t="n">
        <f aca="false">IF(AP$8=1,N(Reales!AP23),IF(AP$171=1,INDEX(Vol_V,12,AP$170)/12*(1+V_dVol),0))</f>
        <v>0</v>
      </c>
      <c r="AQ188" s="34" t="n">
        <f aca="false">IF(AQ$8=1,N(Reales!AQ23),IF(AQ$171=1,INDEX(Vol_V,12,AQ$170)/12*(1+V_dVol),0))</f>
        <v>0</v>
      </c>
      <c r="AR188" s="34" t="n">
        <f aca="false">IF(AR$8=1,N(Reales!AR23),IF(AR$171=1,INDEX(Vol_V,12,AR$170)/12*(1+V_dVol),0))</f>
        <v>0</v>
      </c>
      <c r="AS188" s="34" t="n">
        <f aca="false">IF(AS$8=1,N(Reales!AS23),IF(AS$171=1,INDEX(Vol_V,12,AS$170)/12*(1+V_dVol),0))</f>
        <v>0</v>
      </c>
      <c r="AT188" s="34" t="n">
        <f aca="false">IF(AT$8=1,N(Reales!AT23),IF(AT$171=1,INDEX(Vol_V,12,AT$170)/12*(1+V_dVol),0))</f>
        <v>0</v>
      </c>
      <c r="AU188" s="34" t="n">
        <f aca="false">IF(AU$8=1,N(Reales!AU23),IF(AU$171=1,INDEX(Vol_V,12,AU$170)/12*(1+V_dVol),0))</f>
        <v>0</v>
      </c>
      <c r="AV188" s="34" t="n">
        <f aca="false">IF(AV$8=1,N(Reales!AV23),IF(AV$171=1,INDEX(Vol_V,12,AV$170)/12*(1+V_dVol),0))</f>
        <v>0</v>
      </c>
      <c r="AW188" s="34" t="n">
        <f aca="false">IF(AW$8=1,N(Reales!AW23),IF(AW$171=1,INDEX(Vol_V,12,AW$170)/12*(1+V_dVol),0))</f>
        <v>0</v>
      </c>
      <c r="AX188" s="34" t="n">
        <f aca="false">IF(AX$8=1,N(Reales!AX23),IF(AX$171=1,INDEX(Vol_V,12,AX$170)/12*(1+V_dVol),0))</f>
        <v>0</v>
      </c>
      <c r="AY188" s="34" t="n">
        <f aca="false">IF(AY$8=1,N(Reales!AY23),IF(AY$171=1,INDEX(Vol_V,12,AY$170)/12*(1+V_dVol),0))</f>
        <v>0</v>
      </c>
      <c r="AZ188" s="34" t="n">
        <f aca="false">IF(AZ$8=1,N(Reales!AZ23),IF(AZ$171=1,INDEX(Vol_V,12,AZ$170)/12*(1+V_dVol),0))</f>
        <v>0</v>
      </c>
      <c r="BA188" s="34" t="n">
        <f aca="false">IF(BA$8=1,N(Reales!BA23),IF(BA$171=1,INDEX(Vol_V,12,BA$170)/12*(1+V_dVol),0))</f>
        <v>0</v>
      </c>
      <c r="BB188" s="34" t="n">
        <f aca="false">IF(BB$8=1,N(Reales!BB23),IF(BB$171=1,INDEX(Vol_V,12,BB$170)/12*(1+V_dVol),0))</f>
        <v>0</v>
      </c>
      <c r="BC188" s="34" t="n">
        <f aca="false">IF(BC$8=1,N(Reales!BC23),IF(BC$171=1,INDEX(Vol_V,12,BC$170)/12*(1+V_dVol),0))</f>
        <v>0</v>
      </c>
      <c r="BD188" s="34" t="n">
        <f aca="false">IF(BD$8=1,N(Reales!BD23),IF(BD$171=1,INDEX(Vol_V,12,BD$170)/12*(1+V_dVol),0))</f>
        <v>0</v>
      </c>
      <c r="BE188" s="34" t="n">
        <f aca="false">IF(BE$8=1,N(Reales!BE23),IF(BE$171=1,INDEX(Vol_V,12,BE$170)/12*(1+V_dVol),0))</f>
        <v>0</v>
      </c>
      <c r="BF188" s="34" t="n">
        <f aca="false">IF(BF$8=1,N(Reales!BF23),IF(BF$171=1,INDEX(Vol_V,12,BF$170)/12*(1+V_dVol),0))</f>
        <v>0</v>
      </c>
      <c r="BG188" s="34" t="n">
        <f aca="false">IF(BG$8=1,N(Reales!BG23),IF(BG$171=1,INDEX(Vol_V,12,BG$170)/12*(1+V_dVol),0))</f>
        <v>0</v>
      </c>
      <c r="BH188" s="34" t="n">
        <f aca="false">IF(BH$8=1,N(Reales!BH23),IF(BH$171=1,INDEX(Vol_V,12,BH$170)/12*(1+V_dVol),0))</f>
        <v>0</v>
      </c>
      <c r="BI188" s="34" t="n">
        <f aca="false">IF(BI$8=1,N(Reales!BI23),IF(BI$171=1,INDEX(Vol_V,12,BI$170)/12*(1+V_dVol),0))</f>
        <v>0</v>
      </c>
      <c r="BJ188" s="34" t="n">
        <f aca="false">IF(BJ$8=1,N(Reales!BJ23),IF(BJ$171=1,INDEX(Vol_V,12,BJ$170)/12*(1+V_dVol),0))</f>
        <v>0</v>
      </c>
      <c r="BK188" s="34" t="n">
        <f aca="false">IF(BK$8=1,N(Reales!BK23),IF(BK$171=1,INDEX(Vol_V,12,BK$170)/12*(1+V_dVol),0))</f>
        <v>0</v>
      </c>
      <c r="BL188" s="34" t="n">
        <f aca="false">IF(BL$8=1,N(Reales!BL23),IF(BL$171=1,INDEX(Vol_V,12,BL$170)/12*(1+V_dVol),0))</f>
        <v>0</v>
      </c>
      <c r="BM188" s="34" t="n">
        <f aca="false">IF(BM$8=1,N(Reales!BM23),IF(BM$171=1,INDEX(Vol_V,12,BM$170)/12*(1+V_dVol),0))</f>
        <v>0</v>
      </c>
      <c r="BN188" s="34" t="n">
        <f aca="false">IF(BN$8=1,N(Reales!BN23),IF(BN$171=1,INDEX(Vol_V,12,BN$170)/12*(1+V_dVol),0))</f>
        <v>0</v>
      </c>
      <c r="BO188" s="34" t="n">
        <f aca="false">IF(BO$8=1,N(Reales!BO23),IF(BO$171=1,INDEX(Vol_V,12,BO$170)/12*(1+V_dVol),0))</f>
        <v>0</v>
      </c>
      <c r="BP188" s="34" t="n">
        <f aca="false">IF(BP$8=1,N(Reales!BP23),IF(BP$171=1,INDEX(Vol_V,12,BP$170)/12*(1+V_dVol),0))</f>
        <v>0</v>
      </c>
      <c r="BQ188" s="34" t="n">
        <f aca="false">IF(BQ$8=1,N(Reales!BQ23),IF(BQ$171=1,INDEX(Vol_V,12,BQ$170)/12*(1+V_dVol),0))</f>
        <v>0</v>
      </c>
      <c r="BR188" s="34" t="n">
        <f aca="false">IF(BR$8=1,N(Reales!BR23),IF(BR$171=1,INDEX(Vol_V,12,BR$170)/12*(1+V_dVol),0))</f>
        <v>0</v>
      </c>
      <c r="BS188" s="34" t="n">
        <f aca="false">IF(BS$8=1,N(Reales!BS23),IF(BS$171=1,INDEX(Vol_V,12,BS$170)/12*(1+V_dVol),0))</f>
        <v>0</v>
      </c>
      <c r="BT188" s="34" t="n">
        <f aca="false">IF(BT$8=1,N(Reales!BT23),IF(BT$171=1,INDEX(Vol_V,12,BT$170)/12*(1+V_dVol),0))</f>
        <v>0</v>
      </c>
      <c r="BU188" s="34" t="n">
        <f aca="false">IF(BU$8=1,N(Reales!BU23),IF(BU$171=1,INDEX(Vol_V,12,BU$170)/12*(1+V_dVol),0))</f>
        <v>0</v>
      </c>
      <c r="BV188" s="34" t="n">
        <f aca="false">IF(BV$8=1,N(Reales!BV23),IF(BV$171=1,INDEX(Vol_V,12,BV$170)/12*(1+V_dVol),0))</f>
        <v>0</v>
      </c>
      <c r="BW188" s="34" t="n">
        <f aca="false">IF(BW$8=1,N(Reales!BW23),IF(BW$171=1,INDEX(Vol_V,12,BW$170)/12*(1+V_dVol),0))</f>
        <v>0</v>
      </c>
      <c r="BX188" s="34" t="n">
        <f aca="false">IF(BX$8=1,N(Reales!BX23),IF(BX$171=1,INDEX(Vol_V,12,BX$170)/12*(1+V_dVol),0))</f>
        <v>0</v>
      </c>
      <c r="BY188" s="34" t="n">
        <f aca="false">IF(BY$8=1,N(Reales!BY23),IF(BY$171=1,INDEX(Vol_V,12,BY$170)/12*(1+V_dVol),0))</f>
        <v>0</v>
      </c>
      <c r="BZ188" s="34" t="n">
        <f aca="false">IF(BZ$8=1,N(Reales!BZ23),IF(BZ$171=1,INDEX(Vol_V,12,BZ$170)/12*(1+V_dVol),0))</f>
        <v>0</v>
      </c>
      <c r="CA188" s="34" t="n">
        <f aca="false">IF(CA$8=1,N(Reales!CA23),IF(CA$171=1,INDEX(Vol_V,12,CA$170)/12*(1+V_dVol),0))</f>
        <v>0</v>
      </c>
      <c r="CB188" s="34" t="n">
        <f aca="false">IF(CB$8=1,N(Reales!CB23),IF(CB$171=1,INDEX(Vol_V,12,CB$170)/12*(1+V_dVol),0))</f>
        <v>0</v>
      </c>
      <c r="CC188" s="34" t="n">
        <f aca="false">IF(CC$8=1,N(Reales!CC23),IF(CC$171=1,INDEX(Vol_V,12,CC$170)/12*(1+V_dVol),0))</f>
        <v>0</v>
      </c>
      <c r="CD188" s="34" t="n">
        <f aca="false">IF(CD$8=1,N(Reales!CD23),IF(CD$171=1,INDEX(Vol_V,12,CD$170)/12*(1+V_dVol),0))</f>
        <v>0</v>
      </c>
      <c r="CE188" s="34" t="n">
        <f aca="false">IF(CE$8=1,N(Reales!CE23),IF(CE$171=1,INDEX(Vol_V,12,CE$170)/12*(1+V_dVol),0))</f>
        <v>0</v>
      </c>
      <c r="CF188" s="34" t="n">
        <f aca="false">IF(CF$8=1,N(Reales!CF23),IF(CF$171=1,INDEX(Vol_V,12,CF$170)/12*(1+V_dVol),0))</f>
        <v>0</v>
      </c>
      <c r="CG188" s="34" t="n">
        <f aca="false">IF(CG$8=1,N(Reales!CG23),IF(CG$171=1,INDEX(Vol_V,12,CG$170)/12*(1+V_dVol),0))</f>
        <v>0</v>
      </c>
      <c r="CH188" s="34" t="n">
        <f aca="false">IF(CH$8=1,N(Reales!CH23),IF(CH$171=1,INDEX(Vol_V,12,CH$170)/12*(1+V_dVol),0))</f>
        <v>0</v>
      </c>
      <c r="CI188" s="34" t="n">
        <f aca="false">IF(CI$8=1,N(Reales!CI23),IF(CI$171=1,INDEX(Vol_V,12,CI$170)/12*(1+V_dVol),0))</f>
        <v>0</v>
      </c>
      <c r="CJ188" s="34" t="n">
        <f aca="false">IF(CJ$8=1,N(Reales!CJ23),IF(CJ$171=1,INDEX(Vol_V,12,CJ$170)/12*(1+V_dVol),0))</f>
        <v>0</v>
      </c>
      <c r="CK188" s="34" t="n">
        <f aca="false">IF(CK$8=1,N(Reales!CK23),IF(CK$171=1,INDEX(Vol_V,12,CK$170)/12*(1+V_dVol),0))</f>
        <v>0</v>
      </c>
      <c r="CL188" s="34" t="n">
        <f aca="false">IF(CL$8=1,N(Reales!CL23),IF(CL$171=1,INDEX(Vol_V,12,CL$170)/12*(1+V_dVol),0))</f>
        <v>0</v>
      </c>
      <c r="CM188" s="34" t="n">
        <f aca="false">IF(CM$8=1,N(Reales!CM23),IF(CM$171=1,INDEX(Vol_V,12,CM$170)/12*(1+V_dVol),0))</f>
        <v>0</v>
      </c>
      <c r="CN188" s="34" t="n">
        <f aca="false">IF(CN$8=1,N(Reales!CN23),IF(CN$171=1,INDEX(Vol_V,12,CN$170)/12*(1+V_dVol),0))</f>
        <v>0</v>
      </c>
      <c r="CO188" s="34" t="n">
        <f aca="false">IF(CO$8=1,N(Reales!CO23),IF(CO$171=1,INDEX(Vol_V,12,CO$170)/12*(1+V_dVol),0))</f>
        <v>0</v>
      </c>
      <c r="CP188" s="34" t="n">
        <f aca="false">IF(CP$8=1,N(Reales!CP23),IF(CP$171=1,INDEX(Vol_V,12,CP$170)/12*(1+V_dVol),0))</f>
        <v>0</v>
      </c>
      <c r="CQ188" s="34" t="n">
        <f aca="false">IF(CQ$8=1,N(Reales!CQ23),IF(CQ$171=1,INDEX(Vol_V,12,CQ$170)/12*(1+V_dVol),0))</f>
        <v>0</v>
      </c>
      <c r="CR188" s="34" t="n">
        <f aca="false">IF(CR$8=1,N(Reales!CR23),IF(CR$171=1,INDEX(Vol_V,12,CR$170)/12*(1+V_dVol),0))</f>
        <v>0</v>
      </c>
      <c r="CS188" s="34" t="n">
        <f aca="false">IF(CS$8=1,N(Reales!CS23),IF(CS$171=1,INDEX(Vol_V,12,CS$170)/12*(1+V_dVol),0))</f>
        <v>0</v>
      </c>
      <c r="CT188" s="34" t="n">
        <f aca="false">IF(CT$8=1,N(Reales!CT23),IF(CT$171=1,INDEX(Vol_V,12,CT$170)/12*(1+V_dVol),0))</f>
        <v>0</v>
      </c>
      <c r="CU188" s="34" t="n">
        <f aca="false">IF(CU$8=1,N(Reales!CU23),IF(CU$171=1,INDEX(Vol_V,12,CU$170)/12*(1+V_dVol),0))</f>
        <v>0</v>
      </c>
      <c r="CV188" s="34" t="n">
        <f aca="false">IF(CV$8=1,N(Reales!CV23),IF(CV$171=1,INDEX(Vol_V,12,CV$170)/12*(1+V_dVol),0))</f>
        <v>0</v>
      </c>
      <c r="CW188" s="34" t="n">
        <f aca="false">IF(CW$8=1,N(Reales!CW23),IF(CW$171=1,INDEX(Vol_V,12,CW$170)/12*(1+V_dVol),0))</f>
        <v>0</v>
      </c>
      <c r="CX188" s="34" t="n">
        <f aca="false">IF(CX$8=1,N(Reales!CX23),IF(CX$171=1,INDEX(Vol_V,12,CX$170)/12*(1+V_dVol),0))</f>
        <v>0</v>
      </c>
      <c r="CY188" s="34" t="n">
        <f aca="false">IF(CY$8=1,N(Reales!CY23),IF(CY$171=1,INDEX(Vol_V,12,CY$170)/12*(1+V_dVol),0))</f>
        <v>0</v>
      </c>
      <c r="CZ188" s="34" t="n">
        <f aca="false">IF(CZ$8=1,N(Reales!CZ23),IF(CZ$171=1,INDEX(Vol_V,12,CZ$170)/12*(1+V_dVol),0))</f>
        <v>0</v>
      </c>
      <c r="DA188" s="34" t="n">
        <f aca="false">IF(DA$8=1,N(Reales!DA23),IF(DA$171=1,INDEX(Vol_V,12,DA$170)/12*(1+V_dVol),0))</f>
        <v>0</v>
      </c>
      <c r="DB188" s="34" t="n">
        <f aca="false">IF(DB$8=1,N(Reales!DB23),IF(DB$171=1,INDEX(Vol_V,12,DB$170)/12*(1+V_dVol),0))</f>
        <v>0</v>
      </c>
      <c r="DC188" s="34" t="n">
        <f aca="false">IF(DC$8=1,N(Reales!DC23),IF(DC$171=1,INDEX(Vol_V,12,DC$170)/12*(1+V_dVol),0))</f>
        <v>0</v>
      </c>
      <c r="DD188" s="34" t="n">
        <f aca="false">IF(DD$8=1,N(Reales!DD23),IF(DD$171=1,INDEX(Vol_V,12,DD$170)/12*(1+V_dVol),0))</f>
        <v>0</v>
      </c>
      <c r="DE188" s="34" t="n">
        <f aca="false">IF(DE$8=1,N(Reales!DE23),IF(DE$171=1,INDEX(Vol_V,12,DE$170)/12*(1+V_dVol),0))</f>
        <v>0</v>
      </c>
      <c r="DF188" s="34" t="n">
        <f aca="false">IF(DF$8=1,N(Reales!DF23),IF(DF$171=1,INDEX(Vol_V,12,DF$170)/12*(1+V_dVol),0))</f>
        <v>0</v>
      </c>
      <c r="DG188" s="34" t="n">
        <f aca="false">IF(DG$8=1,N(Reales!DG23),IF(DG$171=1,INDEX(Vol_V,12,DG$170)/12*(1+V_dVol),0))</f>
        <v>0</v>
      </c>
      <c r="DH188" s="34" t="n">
        <f aca="false">IF(DH$8=1,N(Reales!DH23),IF(DH$171=1,INDEX(Vol_V,12,DH$170)/12*(1+V_dVol),0))</f>
        <v>0</v>
      </c>
      <c r="DI188" s="34" t="n">
        <f aca="false">IF(DI$8=1,N(Reales!DI23),IF(DI$171=1,INDEX(Vol_V,12,DI$170)/12*(1+V_dVol),0))</f>
        <v>0</v>
      </c>
      <c r="DJ188" s="34" t="n">
        <f aca="false">IF(DJ$8=1,N(Reales!DJ23),IF(DJ$171=1,INDEX(Vol_V,12,DJ$170)/12*(1+V_dVol),0))</f>
        <v>0</v>
      </c>
      <c r="DK188" s="34" t="n">
        <f aca="false">IF(DK$8=1,N(Reales!DK23),IF(DK$171=1,INDEX(Vol_V,12,DK$170)/12*(1+V_dVol),0))</f>
        <v>0</v>
      </c>
      <c r="DL188" s="34" t="n">
        <f aca="false">IF(DL$8=1,N(Reales!DL23),IF(DL$171=1,INDEX(Vol_V,12,DL$170)/12*(1+V_dVol),0))</f>
        <v>0</v>
      </c>
      <c r="DM188" s="34" t="n">
        <f aca="false">IF(DM$8=1,N(Reales!DM23),IF(DM$171=1,INDEX(Vol_V,12,DM$170)/12*(1+V_dVol),0))</f>
        <v>0</v>
      </c>
      <c r="DN188" s="34" t="n">
        <f aca="false">IF(DN$8=1,N(Reales!DN23),IF(DN$171=1,INDEX(Vol_V,12,DN$170)/12*(1+V_dVol),0))</f>
        <v>0</v>
      </c>
      <c r="DO188" s="34" t="n">
        <f aca="false">IF(DO$8=1,N(Reales!DO23),IF(DO$171=1,INDEX(Vol_V,12,DO$170)/12*(1+V_dVol),0))</f>
        <v>0</v>
      </c>
      <c r="DP188" s="34" t="n">
        <f aca="false">IF(DP$8=1,N(Reales!DP23),IF(DP$171=1,INDEX(Vol_V,12,DP$170)/12*(1+V_dVol),0))</f>
        <v>0</v>
      </c>
      <c r="DQ188" s="34" t="n">
        <f aca="false">IF(DQ$8=1,N(Reales!DQ23),IF(DQ$171=1,INDEX(Vol_V,12,DQ$170)/12*(1+V_dVol),0))</f>
        <v>0</v>
      </c>
      <c r="DR188" s="34" t="n">
        <f aca="false">IF(DR$8=1,N(Reales!DR23),IF(DR$171=1,INDEX(Vol_V,12,DR$170)/12*(1+V_dVol),0))</f>
        <v>0</v>
      </c>
      <c r="DS188" s="34" t="n">
        <f aca="false">IF(DS$8=1,N(Reales!DS23),IF(DS$171=1,INDEX(Vol_V,12,DS$170)/12*(1+V_dVol),0))</f>
        <v>0</v>
      </c>
      <c r="DT188" s="34" t="n">
        <f aca="false">IF(DT$8=1,N(Reales!DT23),IF(DT$171=1,INDEX(Vol_V,12,DT$170)/12*(1+V_dVol),0))</f>
        <v>0</v>
      </c>
      <c r="DU188" s="34" t="n">
        <f aca="false">IF(DU$8=1,N(Reales!DU23),IF(DU$171=1,INDEX(Vol_V,12,DU$170)/12*(1+V_dVol),0))</f>
        <v>0</v>
      </c>
      <c r="DV188" s="34" t="n">
        <f aca="false">IF(DV$8=1,N(Reales!DV23),IF(DV$171=1,INDEX(Vol_V,12,DV$170)/12*(1+V_dVol),0))</f>
        <v>0</v>
      </c>
      <c r="DW188" s="34" t="n">
        <f aca="false">IF(DW$8=1,N(Reales!DW23),IF(DW$171=1,INDEX(Vol_V,12,DW$170)/12*(1+V_dVol),0))</f>
        <v>0</v>
      </c>
      <c r="DX188" s="34" t="n">
        <f aca="false">IF(DX$8=1,N(Reales!DX23),IF(DX$171=1,INDEX(Vol_V,12,DX$170)/12*(1+V_dVol),0))</f>
        <v>0</v>
      </c>
      <c r="DY188" s="34" t="n">
        <f aca="false">IF(DY$8=1,N(Reales!DY23),IF(DY$171=1,INDEX(Vol_V,12,DY$170)/12*(1+V_dVol),0))</f>
        <v>0</v>
      </c>
      <c r="DZ188" s="34" t="n">
        <f aca="false">IF(DZ$8=1,N(Reales!DZ23),IF(DZ$171=1,INDEX(Vol_V,12,DZ$170)/12*(1+V_dVol),0))</f>
        <v>0</v>
      </c>
      <c r="EA188" s="34" t="n">
        <f aca="false">IF(EA$8=1,N(Reales!EA23),IF(EA$171=1,INDEX(Vol_V,12,EA$170)/12*(1+V_dVol),0))</f>
        <v>0</v>
      </c>
      <c r="EB188" s="34" t="n">
        <f aca="false">IF(EB$8=1,N(Reales!EB23),IF(EB$171=1,INDEX(Vol_V,12,EB$170)/12*(1+V_dVol),0))</f>
        <v>0</v>
      </c>
      <c r="EC188" s="34" t="n">
        <f aca="false">IF(EC$8=1,N(Reales!EC23),IF(EC$171=1,INDEX(Vol_V,12,EC$170)/12*(1+V_dVol),0))</f>
        <v>0</v>
      </c>
      <c r="ED188" s="34" t="n">
        <f aca="false">IF(ED$8=1,N(Reales!ED23),IF(ED$171=1,INDEX(Vol_V,12,ED$170)/12*(1+V_dVol),0))</f>
        <v>0</v>
      </c>
      <c r="EE188" s="34" t="n">
        <f aca="false">IF(EE$8=1,N(Reales!EE23),IF(EE$171=1,INDEX(Vol_V,12,EE$170)/12*(1+V_dVol),0))</f>
        <v>0</v>
      </c>
      <c r="EF188" s="34" t="n">
        <f aca="false">IF(EF$8=1,N(Reales!EF23),IF(EF$171=1,INDEX(Vol_V,12,EF$170)/12*(1+V_dVol),0))</f>
        <v>0</v>
      </c>
      <c r="EG188" s="34" t="n">
        <f aca="false">IF(EG$8=1,N(Reales!EG23),IF(EG$171=1,INDEX(Vol_V,12,EG$170)/12*(1+V_dVol),0))</f>
        <v>0</v>
      </c>
      <c r="EH188" s="34" t="n">
        <f aca="false">IF(EH$8=1,N(Reales!EH23),IF(EH$171=1,INDEX(Vol_V,12,EH$170)/12*(1+V_dVol),0))</f>
        <v>0</v>
      </c>
      <c r="EI188" s="34" t="n">
        <f aca="false">IF(EI$8=1,N(Reales!EI23),IF(EI$171=1,INDEX(Vol_V,12,EI$170)/12*(1+V_dVol),0))</f>
        <v>0</v>
      </c>
      <c r="EJ188" s="34" t="n">
        <f aca="false">IF(EJ$8=1,N(Reales!EJ23),IF(EJ$171=1,INDEX(Vol_V,12,EJ$170)/12*(1+V_dVol),0))</f>
        <v>0</v>
      </c>
      <c r="EK188" s="34" t="n">
        <f aca="false">IF(EK$8=1,N(Reales!EK23),IF(EK$171=1,INDEX(Vol_V,12,EK$170)/12*(1+V_dVol),0))</f>
        <v>0</v>
      </c>
      <c r="EL188" s="34" t="n">
        <f aca="false">IF(EL$8=1,N(Reales!EL23),IF(EL$171=1,INDEX(Vol_V,12,EL$170)/12*(1+V_dVol),0))</f>
        <v>0</v>
      </c>
      <c r="EM188" s="34" t="n">
        <f aca="false">IF(EM$8=1,N(Reales!EM23),IF(EM$171=1,INDEX(Vol_V,12,EM$170)/12*(1+V_dVol),0))</f>
        <v>0</v>
      </c>
      <c r="EN188" s="34" t="n">
        <f aca="false">IF(EN$8=1,N(Reales!EN23),IF(EN$171=1,INDEX(Vol_V,12,EN$170)/12*(1+V_dVol),0))</f>
        <v>0</v>
      </c>
      <c r="EO188" s="34" t="n">
        <f aca="false">IF(EO$8=1,N(Reales!EO23),IF(EO$171=1,INDEX(Vol_V,12,EO$170)/12*(1+V_dVol),0))</f>
        <v>0</v>
      </c>
      <c r="EP188" s="34" t="n">
        <f aca="false">IF(EP$8=1,N(Reales!EP23),IF(EP$171=1,INDEX(Vol_V,12,EP$170)/12*(1+V_dVol),0))</f>
        <v>0</v>
      </c>
      <c r="EQ188" s="34" t="n">
        <f aca="false">IF(EQ$8=1,N(Reales!EQ23),IF(EQ$171=1,INDEX(Vol_V,12,EQ$170)/12*(1+V_dVol),0))</f>
        <v>0</v>
      </c>
      <c r="ER188" s="34" t="n">
        <f aca="false">IF(ER$8=1,N(Reales!ER23),IF(ER$171=1,INDEX(Vol_V,12,ER$170)/12*(1+V_dVol),0))</f>
        <v>0</v>
      </c>
      <c r="ES188" s="34" t="n">
        <f aca="false">IF(ES$8=1,N(Reales!ES23),IF(ES$171=1,INDEX(Vol_V,12,ES$170)/12*(1+V_dVol),0))</f>
        <v>0</v>
      </c>
    </row>
    <row r="189" customFormat="false" ht="15" hidden="false" customHeight="false" outlineLevel="0" collapsed="false">
      <c r="A189" s="2" t="s">
        <v>831</v>
      </c>
      <c r="B189" s="39" t="str">
        <f aca="false">IF(INDEX(Prod_Nombre,13)="","Producto 13",INDEX(Prod_Nombre,13))&amp;" — unidades"</f>
        <v>Producto 13 — unidades</v>
      </c>
      <c r="C189" s="6" t="s">
        <v>286</v>
      </c>
      <c r="E189" s="40" t="n">
        <f aca="false">SUM(F189:ES189)</f>
        <v>0</v>
      </c>
      <c r="F189" s="34" t="n">
        <f aca="false">IF(F$8=1,N(Reales!F24),IF(F$171=1,INDEX(Vol_V,13,F$170)/12*(1+V_dVol),0))</f>
        <v>0</v>
      </c>
      <c r="G189" s="34" t="n">
        <f aca="false">IF(G$8=1,N(Reales!G24),IF(G$171=1,INDEX(Vol_V,13,G$170)/12*(1+V_dVol),0))</f>
        <v>0</v>
      </c>
      <c r="H189" s="34" t="n">
        <f aca="false">IF(H$8=1,N(Reales!H24),IF(H$171=1,INDEX(Vol_V,13,H$170)/12*(1+V_dVol),0))</f>
        <v>0</v>
      </c>
      <c r="I189" s="34" t="n">
        <f aca="false">IF(I$8=1,N(Reales!I24),IF(I$171=1,INDEX(Vol_V,13,I$170)/12*(1+V_dVol),0))</f>
        <v>0</v>
      </c>
      <c r="J189" s="34" t="n">
        <f aca="false">IF(J$8=1,N(Reales!J24),IF(J$171=1,INDEX(Vol_V,13,J$170)/12*(1+V_dVol),0))</f>
        <v>0</v>
      </c>
      <c r="K189" s="34" t="n">
        <f aca="false">IF(K$8=1,N(Reales!K24),IF(K$171=1,INDEX(Vol_V,13,K$170)/12*(1+V_dVol),0))</f>
        <v>0</v>
      </c>
      <c r="L189" s="34" t="n">
        <f aca="false">IF(L$8=1,N(Reales!L24),IF(L$171=1,INDEX(Vol_V,13,L$170)/12*(1+V_dVol),0))</f>
        <v>0</v>
      </c>
      <c r="M189" s="34" t="n">
        <f aca="false">IF(M$8=1,N(Reales!M24),IF(M$171=1,INDEX(Vol_V,13,M$170)/12*(1+V_dVol),0))</f>
        <v>0</v>
      </c>
      <c r="N189" s="34" t="n">
        <f aca="false">IF(N$8=1,N(Reales!N24),IF(N$171=1,INDEX(Vol_V,13,N$170)/12*(1+V_dVol),0))</f>
        <v>0</v>
      </c>
      <c r="O189" s="34" t="n">
        <f aca="false">IF(O$8=1,N(Reales!O24),IF(O$171=1,INDEX(Vol_V,13,O$170)/12*(1+V_dVol),0))</f>
        <v>0</v>
      </c>
      <c r="P189" s="34" t="n">
        <f aca="false">IF(P$8=1,N(Reales!P24),IF(P$171=1,INDEX(Vol_V,13,P$170)/12*(1+V_dVol),0))</f>
        <v>0</v>
      </c>
      <c r="Q189" s="34" t="n">
        <f aca="false">IF(Q$8=1,N(Reales!Q24),IF(Q$171=1,INDEX(Vol_V,13,Q$170)/12*(1+V_dVol),0))</f>
        <v>0</v>
      </c>
      <c r="R189" s="34" t="n">
        <f aca="false">IF(R$8=1,N(Reales!R24),IF(R$171=1,INDEX(Vol_V,13,R$170)/12*(1+V_dVol),0))</f>
        <v>0</v>
      </c>
      <c r="S189" s="34" t="n">
        <f aca="false">IF(S$8=1,N(Reales!S24),IF(S$171=1,INDEX(Vol_V,13,S$170)/12*(1+V_dVol),0))</f>
        <v>0</v>
      </c>
      <c r="T189" s="34" t="n">
        <f aca="false">IF(T$8=1,N(Reales!T24),IF(T$171=1,INDEX(Vol_V,13,T$170)/12*(1+V_dVol),0))</f>
        <v>0</v>
      </c>
      <c r="U189" s="34" t="n">
        <f aca="false">IF(U$8=1,N(Reales!U24),IF(U$171=1,INDEX(Vol_V,13,U$170)/12*(1+V_dVol),0))</f>
        <v>0</v>
      </c>
      <c r="V189" s="34" t="n">
        <f aca="false">IF(V$8=1,N(Reales!V24),IF(V$171=1,INDEX(Vol_V,13,V$170)/12*(1+V_dVol),0))</f>
        <v>0</v>
      </c>
      <c r="W189" s="34" t="n">
        <f aca="false">IF(W$8=1,N(Reales!W24),IF(W$171=1,INDEX(Vol_V,13,W$170)/12*(1+V_dVol),0))</f>
        <v>0</v>
      </c>
      <c r="X189" s="34" t="n">
        <f aca="false">IF(X$8=1,N(Reales!X24),IF(X$171=1,INDEX(Vol_V,13,X$170)/12*(1+V_dVol),0))</f>
        <v>0</v>
      </c>
      <c r="Y189" s="34" t="n">
        <f aca="false">IF(Y$8=1,N(Reales!Y24),IF(Y$171=1,INDEX(Vol_V,13,Y$170)/12*(1+V_dVol),0))</f>
        <v>0</v>
      </c>
      <c r="Z189" s="34" t="n">
        <f aca="false">IF(Z$8=1,N(Reales!Z24),IF(Z$171=1,INDEX(Vol_V,13,Z$170)/12*(1+V_dVol),0))</f>
        <v>0</v>
      </c>
      <c r="AA189" s="34" t="n">
        <f aca="false">IF(AA$8=1,N(Reales!AA24),IF(AA$171=1,INDEX(Vol_V,13,AA$170)/12*(1+V_dVol),0))</f>
        <v>0</v>
      </c>
      <c r="AB189" s="34" t="n">
        <f aca="false">IF(AB$8=1,N(Reales!AB24),IF(AB$171=1,INDEX(Vol_V,13,AB$170)/12*(1+V_dVol),0))</f>
        <v>0</v>
      </c>
      <c r="AC189" s="34" t="n">
        <f aca="false">IF(AC$8=1,N(Reales!AC24),IF(AC$171=1,INDEX(Vol_V,13,AC$170)/12*(1+V_dVol),0))</f>
        <v>0</v>
      </c>
      <c r="AD189" s="34" t="n">
        <f aca="false">IF(AD$8=1,N(Reales!AD24),IF(AD$171=1,INDEX(Vol_V,13,AD$170)/12*(1+V_dVol),0))</f>
        <v>0</v>
      </c>
      <c r="AE189" s="34" t="n">
        <f aca="false">IF(AE$8=1,N(Reales!AE24),IF(AE$171=1,INDEX(Vol_V,13,AE$170)/12*(1+V_dVol),0))</f>
        <v>0</v>
      </c>
      <c r="AF189" s="34" t="n">
        <f aca="false">IF(AF$8=1,N(Reales!AF24),IF(AF$171=1,INDEX(Vol_V,13,AF$170)/12*(1+V_dVol),0))</f>
        <v>0</v>
      </c>
      <c r="AG189" s="34" t="n">
        <f aca="false">IF(AG$8=1,N(Reales!AG24),IF(AG$171=1,INDEX(Vol_V,13,AG$170)/12*(1+V_dVol),0))</f>
        <v>0</v>
      </c>
      <c r="AH189" s="34" t="n">
        <f aca="false">IF(AH$8=1,N(Reales!AH24),IF(AH$171=1,INDEX(Vol_V,13,AH$170)/12*(1+V_dVol),0))</f>
        <v>0</v>
      </c>
      <c r="AI189" s="34" t="n">
        <f aca="false">IF(AI$8=1,N(Reales!AI24),IF(AI$171=1,INDEX(Vol_V,13,AI$170)/12*(1+V_dVol),0))</f>
        <v>0</v>
      </c>
      <c r="AJ189" s="34" t="n">
        <f aca="false">IF(AJ$8=1,N(Reales!AJ24),IF(AJ$171=1,INDEX(Vol_V,13,AJ$170)/12*(1+V_dVol),0))</f>
        <v>0</v>
      </c>
      <c r="AK189" s="34" t="n">
        <f aca="false">IF(AK$8=1,N(Reales!AK24),IF(AK$171=1,INDEX(Vol_V,13,AK$170)/12*(1+V_dVol),0))</f>
        <v>0</v>
      </c>
      <c r="AL189" s="34" t="n">
        <f aca="false">IF(AL$8=1,N(Reales!AL24),IF(AL$171=1,INDEX(Vol_V,13,AL$170)/12*(1+V_dVol),0))</f>
        <v>0</v>
      </c>
      <c r="AM189" s="34" t="n">
        <f aca="false">IF(AM$8=1,N(Reales!AM24),IF(AM$171=1,INDEX(Vol_V,13,AM$170)/12*(1+V_dVol),0))</f>
        <v>0</v>
      </c>
      <c r="AN189" s="34" t="n">
        <f aca="false">IF(AN$8=1,N(Reales!AN24),IF(AN$171=1,INDEX(Vol_V,13,AN$170)/12*(1+V_dVol),0))</f>
        <v>0</v>
      </c>
      <c r="AO189" s="34" t="n">
        <f aca="false">IF(AO$8=1,N(Reales!AO24),IF(AO$171=1,INDEX(Vol_V,13,AO$170)/12*(1+V_dVol),0))</f>
        <v>0</v>
      </c>
      <c r="AP189" s="34" t="n">
        <f aca="false">IF(AP$8=1,N(Reales!AP24),IF(AP$171=1,INDEX(Vol_V,13,AP$170)/12*(1+V_dVol),0))</f>
        <v>0</v>
      </c>
      <c r="AQ189" s="34" t="n">
        <f aca="false">IF(AQ$8=1,N(Reales!AQ24),IF(AQ$171=1,INDEX(Vol_V,13,AQ$170)/12*(1+V_dVol),0))</f>
        <v>0</v>
      </c>
      <c r="AR189" s="34" t="n">
        <f aca="false">IF(AR$8=1,N(Reales!AR24),IF(AR$171=1,INDEX(Vol_V,13,AR$170)/12*(1+V_dVol),0))</f>
        <v>0</v>
      </c>
      <c r="AS189" s="34" t="n">
        <f aca="false">IF(AS$8=1,N(Reales!AS24),IF(AS$171=1,INDEX(Vol_V,13,AS$170)/12*(1+V_dVol),0))</f>
        <v>0</v>
      </c>
      <c r="AT189" s="34" t="n">
        <f aca="false">IF(AT$8=1,N(Reales!AT24),IF(AT$171=1,INDEX(Vol_V,13,AT$170)/12*(1+V_dVol),0))</f>
        <v>0</v>
      </c>
      <c r="AU189" s="34" t="n">
        <f aca="false">IF(AU$8=1,N(Reales!AU24),IF(AU$171=1,INDEX(Vol_V,13,AU$170)/12*(1+V_dVol),0))</f>
        <v>0</v>
      </c>
      <c r="AV189" s="34" t="n">
        <f aca="false">IF(AV$8=1,N(Reales!AV24),IF(AV$171=1,INDEX(Vol_V,13,AV$170)/12*(1+V_dVol),0))</f>
        <v>0</v>
      </c>
      <c r="AW189" s="34" t="n">
        <f aca="false">IF(AW$8=1,N(Reales!AW24),IF(AW$171=1,INDEX(Vol_V,13,AW$170)/12*(1+V_dVol),0))</f>
        <v>0</v>
      </c>
      <c r="AX189" s="34" t="n">
        <f aca="false">IF(AX$8=1,N(Reales!AX24),IF(AX$171=1,INDEX(Vol_V,13,AX$170)/12*(1+V_dVol),0))</f>
        <v>0</v>
      </c>
      <c r="AY189" s="34" t="n">
        <f aca="false">IF(AY$8=1,N(Reales!AY24),IF(AY$171=1,INDEX(Vol_V,13,AY$170)/12*(1+V_dVol),0))</f>
        <v>0</v>
      </c>
      <c r="AZ189" s="34" t="n">
        <f aca="false">IF(AZ$8=1,N(Reales!AZ24),IF(AZ$171=1,INDEX(Vol_V,13,AZ$170)/12*(1+V_dVol),0))</f>
        <v>0</v>
      </c>
      <c r="BA189" s="34" t="n">
        <f aca="false">IF(BA$8=1,N(Reales!BA24),IF(BA$171=1,INDEX(Vol_V,13,BA$170)/12*(1+V_dVol),0))</f>
        <v>0</v>
      </c>
      <c r="BB189" s="34" t="n">
        <f aca="false">IF(BB$8=1,N(Reales!BB24),IF(BB$171=1,INDEX(Vol_V,13,BB$170)/12*(1+V_dVol),0))</f>
        <v>0</v>
      </c>
      <c r="BC189" s="34" t="n">
        <f aca="false">IF(BC$8=1,N(Reales!BC24),IF(BC$171=1,INDEX(Vol_V,13,BC$170)/12*(1+V_dVol),0))</f>
        <v>0</v>
      </c>
      <c r="BD189" s="34" t="n">
        <f aca="false">IF(BD$8=1,N(Reales!BD24),IF(BD$171=1,INDEX(Vol_V,13,BD$170)/12*(1+V_dVol),0))</f>
        <v>0</v>
      </c>
      <c r="BE189" s="34" t="n">
        <f aca="false">IF(BE$8=1,N(Reales!BE24),IF(BE$171=1,INDEX(Vol_V,13,BE$170)/12*(1+V_dVol),0))</f>
        <v>0</v>
      </c>
      <c r="BF189" s="34" t="n">
        <f aca="false">IF(BF$8=1,N(Reales!BF24),IF(BF$171=1,INDEX(Vol_V,13,BF$170)/12*(1+V_dVol),0))</f>
        <v>0</v>
      </c>
      <c r="BG189" s="34" t="n">
        <f aca="false">IF(BG$8=1,N(Reales!BG24),IF(BG$171=1,INDEX(Vol_V,13,BG$170)/12*(1+V_dVol),0))</f>
        <v>0</v>
      </c>
      <c r="BH189" s="34" t="n">
        <f aca="false">IF(BH$8=1,N(Reales!BH24),IF(BH$171=1,INDEX(Vol_V,13,BH$170)/12*(1+V_dVol),0))</f>
        <v>0</v>
      </c>
      <c r="BI189" s="34" t="n">
        <f aca="false">IF(BI$8=1,N(Reales!BI24),IF(BI$171=1,INDEX(Vol_V,13,BI$170)/12*(1+V_dVol),0))</f>
        <v>0</v>
      </c>
      <c r="BJ189" s="34" t="n">
        <f aca="false">IF(BJ$8=1,N(Reales!BJ24),IF(BJ$171=1,INDEX(Vol_V,13,BJ$170)/12*(1+V_dVol),0))</f>
        <v>0</v>
      </c>
      <c r="BK189" s="34" t="n">
        <f aca="false">IF(BK$8=1,N(Reales!BK24),IF(BK$171=1,INDEX(Vol_V,13,BK$170)/12*(1+V_dVol),0))</f>
        <v>0</v>
      </c>
      <c r="BL189" s="34" t="n">
        <f aca="false">IF(BL$8=1,N(Reales!BL24),IF(BL$171=1,INDEX(Vol_V,13,BL$170)/12*(1+V_dVol),0))</f>
        <v>0</v>
      </c>
      <c r="BM189" s="34" t="n">
        <f aca="false">IF(BM$8=1,N(Reales!BM24),IF(BM$171=1,INDEX(Vol_V,13,BM$170)/12*(1+V_dVol),0))</f>
        <v>0</v>
      </c>
      <c r="BN189" s="34" t="n">
        <f aca="false">IF(BN$8=1,N(Reales!BN24),IF(BN$171=1,INDEX(Vol_V,13,BN$170)/12*(1+V_dVol),0))</f>
        <v>0</v>
      </c>
      <c r="BO189" s="34" t="n">
        <f aca="false">IF(BO$8=1,N(Reales!BO24),IF(BO$171=1,INDEX(Vol_V,13,BO$170)/12*(1+V_dVol),0))</f>
        <v>0</v>
      </c>
      <c r="BP189" s="34" t="n">
        <f aca="false">IF(BP$8=1,N(Reales!BP24),IF(BP$171=1,INDEX(Vol_V,13,BP$170)/12*(1+V_dVol),0))</f>
        <v>0</v>
      </c>
      <c r="BQ189" s="34" t="n">
        <f aca="false">IF(BQ$8=1,N(Reales!BQ24),IF(BQ$171=1,INDEX(Vol_V,13,BQ$170)/12*(1+V_dVol),0))</f>
        <v>0</v>
      </c>
      <c r="BR189" s="34" t="n">
        <f aca="false">IF(BR$8=1,N(Reales!BR24),IF(BR$171=1,INDEX(Vol_V,13,BR$170)/12*(1+V_dVol),0))</f>
        <v>0</v>
      </c>
      <c r="BS189" s="34" t="n">
        <f aca="false">IF(BS$8=1,N(Reales!BS24),IF(BS$171=1,INDEX(Vol_V,13,BS$170)/12*(1+V_dVol),0))</f>
        <v>0</v>
      </c>
      <c r="BT189" s="34" t="n">
        <f aca="false">IF(BT$8=1,N(Reales!BT24),IF(BT$171=1,INDEX(Vol_V,13,BT$170)/12*(1+V_dVol),0))</f>
        <v>0</v>
      </c>
      <c r="BU189" s="34" t="n">
        <f aca="false">IF(BU$8=1,N(Reales!BU24),IF(BU$171=1,INDEX(Vol_V,13,BU$170)/12*(1+V_dVol),0))</f>
        <v>0</v>
      </c>
      <c r="BV189" s="34" t="n">
        <f aca="false">IF(BV$8=1,N(Reales!BV24),IF(BV$171=1,INDEX(Vol_V,13,BV$170)/12*(1+V_dVol),0))</f>
        <v>0</v>
      </c>
      <c r="BW189" s="34" t="n">
        <f aca="false">IF(BW$8=1,N(Reales!BW24),IF(BW$171=1,INDEX(Vol_V,13,BW$170)/12*(1+V_dVol),0))</f>
        <v>0</v>
      </c>
      <c r="BX189" s="34" t="n">
        <f aca="false">IF(BX$8=1,N(Reales!BX24),IF(BX$171=1,INDEX(Vol_V,13,BX$170)/12*(1+V_dVol),0))</f>
        <v>0</v>
      </c>
      <c r="BY189" s="34" t="n">
        <f aca="false">IF(BY$8=1,N(Reales!BY24),IF(BY$171=1,INDEX(Vol_V,13,BY$170)/12*(1+V_dVol),0))</f>
        <v>0</v>
      </c>
      <c r="BZ189" s="34" t="n">
        <f aca="false">IF(BZ$8=1,N(Reales!BZ24),IF(BZ$171=1,INDEX(Vol_V,13,BZ$170)/12*(1+V_dVol),0))</f>
        <v>0</v>
      </c>
      <c r="CA189" s="34" t="n">
        <f aca="false">IF(CA$8=1,N(Reales!CA24),IF(CA$171=1,INDEX(Vol_V,13,CA$170)/12*(1+V_dVol),0))</f>
        <v>0</v>
      </c>
      <c r="CB189" s="34" t="n">
        <f aca="false">IF(CB$8=1,N(Reales!CB24),IF(CB$171=1,INDEX(Vol_V,13,CB$170)/12*(1+V_dVol),0))</f>
        <v>0</v>
      </c>
      <c r="CC189" s="34" t="n">
        <f aca="false">IF(CC$8=1,N(Reales!CC24),IF(CC$171=1,INDEX(Vol_V,13,CC$170)/12*(1+V_dVol),0))</f>
        <v>0</v>
      </c>
      <c r="CD189" s="34" t="n">
        <f aca="false">IF(CD$8=1,N(Reales!CD24),IF(CD$171=1,INDEX(Vol_V,13,CD$170)/12*(1+V_dVol),0))</f>
        <v>0</v>
      </c>
      <c r="CE189" s="34" t="n">
        <f aca="false">IF(CE$8=1,N(Reales!CE24),IF(CE$171=1,INDEX(Vol_V,13,CE$170)/12*(1+V_dVol),0))</f>
        <v>0</v>
      </c>
      <c r="CF189" s="34" t="n">
        <f aca="false">IF(CF$8=1,N(Reales!CF24),IF(CF$171=1,INDEX(Vol_V,13,CF$170)/12*(1+V_dVol),0))</f>
        <v>0</v>
      </c>
      <c r="CG189" s="34" t="n">
        <f aca="false">IF(CG$8=1,N(Reales!CG24),IF(CG$171=1,INDEX(Vol_V,13,CG$170)/12*(1+V_dVol),0))</f>
        <v>0</v>
      </c>
      <c r="CH189" s="34" t="n">
        <f aca="false">IF(CH$8=1,N(Reales!CH24),IF(CH$171=1,INDEX(Vol_V,13,CH$170)/12*(1+V_dVol),0))</f>
        <v>0</v>
      </c>
      <c r="CI189" s="34" t="n">
        <f aca="false">IF(CI$8=1,N(Reales!CI24),IF(CI$171=1,INDEX(Vol_V,13,CI$170)/12*(1+V_dVol),0))</f>
        <v>0</v>
      </c>
      <c r="CJ189" s="34" t="n">
        <f aca="false">IF(CJ$8=1,N(Reales!CJ24),IF(CJ$171=1,INDEX(Vol_V,13,CJ$170)/12*(1+V_dVol),0))</f>
        <v>0</v>
      </c>
      <c r="CK189" s="34" t="n">
        <f aca="false">IF(CK$8=1,N(Reales!CK24),IF(CK$171=1,INDEX(Vol_V,13,CK$170)/12*(1+V_dVol),0))</f>
        <v>0</v>
      </c>
      <c r="CL189" s="34" t="n">
        <f aca="false">IF(CL$8=1,N(Reales!CL24),IF(CL$171=1,INDEX(Vol_V,13,CL$170)/12*(1+V_dVol),0))</f>
        <v>0</v>
      </c>
      <c r="CM189" s="34" t="n">
        <f aca="false">IF(CM$8=1,N(Reales!CM24),IF(CM$171=1,INDEX(Vol_V,13,CM$170)/12*(1+V_dVol),0))</f>
        <v>0</v>
      </c>
      <c r="CN189" s="34" t="n">
        <f aca="false">IF(CN$8=1,N(Reales!CN24),IF(CN$171=1,INDEX(Vol_V,13,CN$170)/12*(1+V_dVol),0))</f>
        <v>0</v>
      </c>
      <c r="CO189" s="34" t="n">
        <f aca="false">IF(CO$8=1,N(Reales!CO24),IF(CO$171=1,INDEX(Vol_V,13,CO$170)/12*(1+V_dVol),0))</f>
        <v>0</v>
      </c>
      <c r="CP189" s="34" t="n">
        <f aca="false">IF(CP$8=1,N(Reales!CP24),IF(CP$171=1,INDEX(Vol_V,13,CP$170)/12*(1+V_dVol),0))</f>
        <v>0</v>
      </c>
      <c r="CQ189" s="34" t="n">
        <f aca="false">IF(CQ$8=1,N(Reales!CQ24),IF(CQ$171=1,INDEX(Vol_V,13,CQ$170)/12*(1+V_dVol),0))</f>
        <v>0</v>
      </c>
      <c r="CR189" s="34" t="n">
        <f aca="false">IF(CR$8=1,N(Reales!CR24),IF(CR$171=1,INDEX(Vol_V,13,CR$170)/12*(1+V_dVol),0))</f>
        <v>0</v>
      </c>
      <c r="CS189" s="34" t="n">
        <f aca="false">IF(CS$8=1,N(Reales!CS24),IF(CS$171=1,INDEX(Vol_V,13,CS$170)/12*(1+V_dVol),0))</f>
        <v>0</v>
      </c>
      <c r="CT189" s="34" t="n">
        <f aca="false">IF(CT$8=1,N(Reales!CT24),IF(CT$171=1,INDEX(Vol_V,13,CT$170)/12*(1+V_dVol),0))</f>
        <v>0</v>
      </c>
      <c r="CU189" s="34" t="n">
        <f aca="false">IF(CU$8=1,N(Reales!CU24),IF(CU$171=1,INDEX(Vol_V,13,CU$170)/12*(1+V_dVol),0))</f>
        <v>0</v>
      </c>
      <c r="CV189" s="34" t="n">
        <f aca="false">IF(CV$8=1,N(Reales!CV24),IF(CV$171=1,INDEX(Vol_V,13,CV$170)/12*(1+V_dVol),0))</f>
        <v>0</v>
      </c>
      <c r="CW189" s="34" t="n">
        <f aca="false">IF(CW$8=1,N(Reales!CW24),IF(CW$171=1,INDEX(Vol_V,13,CW$170)/12*(1+V_dVol),0))</f>
        <v>0</v>
      </c>
      <c r="CX189" s="34" t="n">
        <f aca="false">IF(CX$8=1,N(Reales!CX24),IF(CX$171=1,INDEX(Vol_V,13,CX$170)/12*(1+V_dVol),0))</f>
        <v>0</v>
      </c>
      <c r="CY189" s="34" t="n">
        <f aca="false">IF(CY$8=1,N(Reales!CY24),IF(CY$171=1,INDEX(Vol_V,13,CY$170)/12*(1+V_dVol),0))</f>
        <v>0</v>
      </c>
      <c r="CZ189" s="34" t="n">
        <f aca="false">IF(CZ$8=1,N(Reales!CZ24),IF(CZ$171=1,INDEX(Vol_V,13,CZ$170)/12*(1+V_dVol),0))</f>
        <v>0</v>
      </c>
      <c r="DA189" s="34" t="n">
        <f aca="false">IF(DA$8=1,N(Reales!DA24),IF(DA$171=1,INDEX(Vol_V,13,DA$170)/12*(1+V_dVol),0))</f>
        <v>0</v>
      </c>
      <c r="DB189" s="34" t="n">
        <f aca="false">IF(DB$8=1,N(Reales!DB24),IF(DB$171=1,INDEX(Vol_V,13,DB$170)/12*(1+V_dVol),0))</f>
        <v>0</v>
      </c>
      <c r="DC189" s="34" t="n">
        <f aca="false">IF(DC$8=1,N(Reales!DC24),IF(DC$171=1,INDEX(Vol_V,13,DC$170)/12*(1+V_dVol),0))</f>
        <v>0</v>
      </c>
      <c r="DD189" s="34" t="n">
        <f aca="false">IF(DD$8=1,N(Reales!DD24),IF(DD$171=1,INDEX(Vol_V,13,DD$170)/12*(1+V_dVol),0))</f>
        <v>0</v>
      </c>
      <c r="DE189" s="34" t="n">
        <f aca="false">IF(DE$8=1,N(Reales!DE24),IF(DE$171=1,INDEX(Vol_V,13,DE$170)/12*(1+V_dVol),0))</f>
        <v>0</v>
      </c>
      <c r="DF189" s="34" t="n">
        <f aca="false">IF(DF$8=1,N(Reales!DF24),IF(DF$171=1,INDEX(Vol_V,13,DF$170)/12*(1+V_dVol),0))</f>
        <v>0</v>
      </c>
      <c r="DG189" s="34" t="n">
        <f aca="false">IF(DG$8=1,N(Reales!DG24),IF(DG$171=1,INDEX(Vol_V,13,DG$170)/12*(1+V_dVol),0))</f>
        <v>0</v>
      </c>
      <c r="DH189" s="34" t="n">
        <f aca="false">IF(DH$8=1,N(Reales!DH24),IF(DH$171=1,INDEX(Vol_V,13,DH$170)/12*(1+V_dVol),0))</f>
        <v>0</v>
      </c>
      <c r="DI189" s="34" t="n">
        <f aca="false">IF(DI$8=1,N(Reales!DI24),IF(DI$171=1,INDEX(Vol_V,13,DI$170)/12*(1+V_dVol),0))</f>
        <v>0</v>
      </c>
      <c r="DJ189" s="34" t="n">
        <f aca="false">IF(DJ$8=1,N(Reales!DJ24),IF(DJ$171=1,INDEX(Vol_V,13,DJ$170)/12*(1+V_dVol),0))</f>
        <v>0</v>
      </c>
      <c r="DK189" s="34" t="n">
        <f aca="false">IF(DK$8=1,N(Reales!DK24),IF(DK$171=1,INDEX(Vol_V,13,DK$170)/12*(1+V_dVol),0))</f>
        <v>0</v>
      </c>
      <c r="DL189" s="34" t="n">
        <f aca="false">IF(DL$8=1,N(Reales!DL24),IF(DL$171=1,INDEX(Vol_V,13,DL$170)/12*(1+V_dVol),0))</f>
        <v>0</v>
      </c>
      <c r="DM189" s="34" t="n">
        <f aca="false">IF(DM$8=1,N(Reales!DM24),IF(DM$171=1,INDEX(Vol_V,13,DM$170)/12*(1+V_dVol),0))</f>
        <v>0</v>
      </c>
      <c r="DN189" s="34" t="n">
        <f aca="false">IF(DN$8=1,N(Reales!DN24),IF(DN$171=1,INDEX(Vol_V,13,DN$170)/12*(1+V_dVol),0))</f>
        <v>0</v>
      </c>
      <c r="DO189" s="34" t="n">
        <f aca="false">IF(DO$8=1,N(Reales!DO24),IF(DO$171=1,INDEX(Vol_V,13,DO$170)/12*(1+V_dVol),0))</f>
        <v>0</v>
      </c>
      <c r="DP189" s="34" t="n">
        <f aca="false">IF(DP$8=1,N(Reales!DP24),IF(DP$171=1,INDEX(Vol_V,13,DP$170)/12*(1+V_dVol),0))</f>
        <v>0</v>
      </c>
      <c r="DQ189" s="34" t="n">
        <f aca="false">IF(DQ$8=1,N(Reales!DQ24),IF(DQ$171=1,INDEX(Vol_V,13,DQ$170)/12*(1+V_dVol),0))</f>
        <v>0</v>
      </c>
      <c r="DR189" s="34" t="n">
        <f aca="false">IF(DR$8=1,N(Reales!DR24),IF(DR$171=1,INDEX(Vol_V,13,DR$170)/12*(1+V_dVol),0))</f>
        <v>0</v>
      </c>
      <c r="DS189" s="34" t="n">
        <f aca="false">IF(DS$8=1,N(Reales!DS24),IF(DS$171=1,INDEX(Vol_V,13,DS$170)/12*(1+V_dVol),0))</f>
        <v>0</v>
      </c>
      <c r="DT189" s="34" t="n">
        <f aca="false">IF(DT$8=1,N(Reales!DT24),IF(DT$171=1,INDEX(Vol_V,13,DT$170)/12*(1+V_dVol),0))</f>
        <v>0</v>
      </c>
      <c r="DU189" s="34" t="n">
        <f aca="false">IF(DU$8=1,N(Reales!DU24),IF(DU$171=1,INDEX(Vol_V,13,DU$170)/12*(1+V_dVol),0))</f>
        <v>0</v>
      </c>
      <c r="DV189" s="34" t="n">
        <f aca="false">IF(DV$8=1,N(Reales!DV24),IF(DV$171=1,INDEX(Vol_V,13,DV$170)/12*(1+V_dVol),0))</f>
        <v>0</v>
      </c>
      <c r="DW189" s="34" t="n">
        <f aca="false">IF(DW$8=1,N(Reales!DW24),IF(DW$171=1,INDEX(Vol_V,13,DW$170)/12*(1+V_dVol),0))</f>
        <v>0</v>
      </c>
      <c r="DX189" s="34" t="n">
        <f aca="false">IF(DX$8=1,N(Reales!DX24),IF(DX$171=1,INDEX(Vol_V,13,DX$170)/12*(1+V_dVol),0))</f>
        <v>0</v>
      </c>
      <c r="DY189" s="34" t="n">
        <f aca="false">IF(DY$8=1,N(Reales!DY24),IF(DY$171=1,INDEX(Vol_V,13,DY$170)/12*(1+V_dVol),0))</f>
        <v>0</v>
      </c>
      <c r="DZ189" s="34" t="n">
        <f aca="false">IF(DZ$8=1,N(Reales!DZ24),IF(DZ$171=1,INDEX(Vol_V,13,DZ$170)/12*(1+V_dVol),0))</f>
        <v>0</v>
      </c>
      <c r="EA189" s="34" t="n">
        <f aca="false">IF(EA$8=1,N(Reales!EA24),IF(EA$171=1,INDEX(Vol_V,13,EA$170)/12*(1+V_dVol),0))</f>
        <v>0</v>
      </c>
      <c r="EB189" s="34" t="n">
        <f aca="false">IF(EB$8=1,N(Reales!EB24),IF(EB$171=1,INDEX(Vol_V,13,EB$170)/12*(1+V_dVol),0))</f>
        <v>0</v>
      </c>
      <c r="EC189" s="34" t="n">
        <f aca="false">IF(EC$8=1,N(Reales!EC24),IF(EC$171=1,INDEX(Vol_V,13,EC$170)/12*(1+V_dVol),0))</f>
        <v>0</v>
      </c>
      <c r="ED189" s="34" t="n">
        <f aca="false">IF(ED$8=1,N(Reales!ED24),IF(ED$171=1,INDEX(Vol_V,13,ED$170)/12*(1+V_dVol),0))</f>
        <v>0</v>
      </c>
      <c r="EE189" s="34" t="n">
        <f aca="false">IF(EE$8=1,N(Reales!EE24),IF(EE$171=1,INDEX(Vol_V,13,EE$170)/12*(1+V_dVol),0))</f>
        <v>0</v>
      </c>
      <c r="EF189" s="34" t="n">
        <f aca="false">IF(EF$8=1,N(Reales!EF24),IF(EF$171=1,INDEX(Vol_V,13,EF$170)/12*(1+V_dVol),0))</f>
        <v>0</v>
      </c>
      <c r="EG189" s="34" t="n">
        <f aca="false">IF(EG$8=1,N(Reales!EG24),IF(EG$171=1,INDEX(Vol_V,13,EG$170)/12*(1+V_dVol),0))</f>
        <v>0</v>
      </c>
      <c r="EH189" s="34" t="n">
        <f aca="false">IF(EH$8=1,N(Reales!EH24),IF(EH$171=1,INDEX(Vol_V,13,EH$170)/12*(1+V_dVol),0))</f>
        <v>0</v>
      </c>
      <c r="EI189" s="34" t="n">
        <f aca="false">IF(EI$8=1,N(Reales!EI24),IF(EI$171=1,INDEX(Vol_V,13,EI$170)/12*(1+V_dVol),0))</f>
        <v>0</v>
      </c>
      <c r="EJ189" s="34" t="n">
        <f aca="false">IF(EJ$8=1,N(Reales!EJ24),IF(EJ$171=1,INDEX(Vol_V,13,EJ$170)/12*(1+V_dVol),0))</f>
        <v>0</v>
      </c>
      <c r="EK189" s="34" t="n">
        <f aca="false">IF(EK$8=1,N(Reales!EK24),IF(EK$171=1,INDEX(Vol_V,13,EK$170)/12*(1+V_dVol),0))</f>
        <v>0</v>
      </c>
      <c r="EL189" s="34" t="n">
        <f aca="false">IF(EL$8=1,N(Reales!EL24),IF(EL$171=1,INDEX(Vol_V,13,EL$170)/12*(1+V_dVol),0))</f>
        <v>0</v>
      </c>
      <c r="EM189" s="34" t="n">
        <f aca="false">IF(EM$8=1,N(Reales!EM24),IF(EM$171=1,INDEX(Vol_V,13,EM$170)/12*(1+V_dVol),0))</f>
        <v>0</v>
      </c>
      <c r="EN189" s="34" t="n">
        <f aca="false">IF(EN$8=1,N(Reales!EN24),IF(EN$171=1,INDEX(Vol_V,13,EN$170)/12*(1+V_dVol),0))</f>
        <v>0</v>
      </c>
      <c r="EO189" s="34" t="n">
        <f aca="false">IF(EO$8=1,N(Reales!EO24),IF(EO$171=1,INDEX(Vol_V,13,EO$170)/12*(1+V_dVol),0))</f>
        <v>0</v>
      </c>
      <c r="EP189" s="34" t="n">
        <f aca="false">IF(EP$8=1,N(Reales!EP24),IF(EP$171=1,INDEX(Vol_V,13,EP$170)/12*(1+V_dVol),0))</f>
        <v>0</v>
      </c>
      <c r="EQ189" s="34" t="n">
        <f aca="false">IF(EQ$8=1,N(Reales!EQ24),IF(EQ$171=1,INDEX(Vol_V,13,EQ$170)/12*(1+V_dVol),0))</f>
        <v>0</v>
      </c>
      <c r="ER189" s="34" t="n">
        <f aca="false">IF(ER$8=1,N(Reales!ER24),IF(ER$171=1,INDEX(Vol_V,13,ER$170)/12*(1+V_dVol),0))</f>
        <v>0</v>
      </c>
      <c r="ES189" s="34" t="n">
        <f aca="false">IF(ES$8=1,N(Reales!ES24),IF(ES$171=1,INDEX(Vol_V,13,ES$170)/12*(1+V_dVol),0))</f>
        <v>0</v>
      </c>
    </row>
    <row r="190" customFormat="false" ht="15" hidden="false" customHeight="false" outlineLevel="0" collapsed="false">
      <c r="A190" s="2" t="s">
        <v>832</v>
      </c>
      <c r="B190" s="39" t="str">
        <f aca="false">IF(INDEX(Prod_Nombre,14)="","Producto 14",INDEX(Prod_Nombre,14))&amp;" — unidades"</f>
        <v>Producto 14 — unidades</v>
      </c>
      <c r="C190" s="6" t="s">
        <v>286</v>
      </c>
      <c r="E190" s="40" t="n">
        <f aca="false">SUM(F190:ES190)</f>
        <v>0</v>
      </c>
      <c r="F190" s="34" t="n">
        <f aca="false">IF(F$8=1,N(Reales!F25),IF(F$171=1,INDEX(Vol_V,14,F$170)/12*(1+V_dVol),0))</f>
        <v>0</v>
      </c>
      <c r="G190" s="34" t="n">
        <f aca="false">IF(G$8=1,N(Reales!G25),IF(G$171=1,INDEX(Vol_V,14,G$170)/12*(1+V_dVol),0))</f>
        <v>0</v>
      </c>
      <c r="H190" s="34" t="n">
        <f aca="false">IF(H$8=1,N(Reales!H25),IF(H$171=1,INDEX(Vol_V,14,H$170)/12*(1+V_dVol),0))</f>
        <v>0</v>
      </c>
      <c r="I190" s="34" t="n">
        <f aca="false">IF(I$8=1,N(Reales!I25),IF(I$171=1,INDEX(Vol_V,14,I$170)/12*(1+V_dVol),0))</f>
        <v>0</v>
      </c>
      <c r="J190" s="34" t="n">
        <f aca="false">IF(J$8=1,N(Reales!J25),IF(J$171=1,INDEX(Vol_V,14,J$170)/12*(1+V_dVol),0))</f>
        <v>0</v>
      </c>
      <c r="K190" s="34" t="n">
        <f aca="false">IF(K$8=1,N(Reales!K25),IF(K$171=1,INDEX(Vol_V,14,K$170)/12*(1+V_dVol),0))</f>
        <v>0</v>
      </c>
      <c r="L190" s="34" t="n">
        <f aca="false">IF(L$8=1,N(Reales!L25),IF(L$171=1,INDEX(Vol_V,14,L$170)/12*(1+V_dVol),0))</f>
        <v>0</v>
      </c>
      <c r="M190" s="34" t="n">
        <f aca="false">IF(M$8=1,N(Reales!M25),IF(M$171=1,INDEX(Vol_V,14,M$170)/12*(1+V_dVol),0))</f>
        <v>0</v>
      </c>
      <c r="N190" s="34" t="n">
        <f aca="false">IF(N$8=1,N(Reales!N25),IF(N$171=1,INDEX(Vol_V,14,N$170)/12*(1+V_dVol),0))</f>
        <v>0</v>
      </c>
      <c r="O190" s="34" t="n">
        <f aca="false">IF(O$8=1,N(Reales!O25),IF(O$171=1,INDEX(Vol_V,14,O$170)/12*(1+V_dVol),0))</f>
        <v>0</v>
      </c>
      <c r="P190" s="34" t="n">
        <f aca="false">IF(P$8=1,N(Reales!P25),IF(P$171=1,INDEX(Vol_V,14,P$170)/12*(1+V_dVol),0))</f>
        <v>0</v>
      </c>
      <c r="Q190" s="34" t="n">
        <f aca="false">IF(Q$8=1,N(Reales!Q25),IF(Q$171=1,INDEX(Vol_V,14,Q$170)/12*(1+V_dVol),0))</f>
        <v>0</v>
      </c>
      <c r="R190" s="34" t="n">
        <f aca="false">IF(R$8=1,N(Reales!R25),IF(R$171=1,INDEX(Vol_V,14,R$170)/12*(1+V_dVol),0))</f>
        <v>0</v>
      </c>
      <c r="S190" s="34" t="n">
        <f aca="false">IF(S$8=1,N(Reales!S25),IF(S$171=1,INDEX(Vol_V,14,S$170)/12*(1+V_dVol),0))</f>
        <v>0</v>
      </c>
      <c r="T190" s="34" t="n">
        <f aca="false">IF(T$8=1,N(Reales!T25),IF(T$171=1,INDEX(Vol_V,14,T$170)/12*(1+V_dVol),0))</f>
        <v>0</v>
      </c>
      <c r="U190" s="34" t="n">
        <f aca="false">IF(U$8=1,N(Reales!U25),IF(U$171=1,INDEX(Vol_V,14,U$170)/12*(1+V_dVol),0))</f>
        <v>0</v>
      </c>
      <c r="V190" s="34" t="n">
        <f aca="false">IF(V$8=1,N(Reales!V25),IF(V$171=1,INDEX(Vol_V,14,V$170)/12*(1+V_dVol),0))</f>
        <v>0</v>
      </c>
      <c r="W190" s="34" t="n">
        <f aca="false">IF(W$8=1,N(Reales!W25),IF(W$171=1,INDEX(Vol_V,14,W$170)/12*(1+V_dVol),0))</f>
        <v>0</v>
      </c>
      <c r="X190" s="34" t="n">
        <f aca="false">IF(X$8=1,N(Reales!X25),IF(X$171=1,INDEX(Vol_V,14,X$170)/12*(1+V_dVol),0))</f>
        <v>0</v>
      </c>
      <c r="Y190" s="34" t="n">
        <f aca="false">IF(Y$8=1,N(Reales!Y25),IF(Y$171=1,INDEX(Vol_V,14,Y$170)/12*(1+V_dVol),0))</f>
        <v>0</v>
      </c>
      <c r="Z190" s="34" t="n">
        <f aca="false">IF(Z$8=1,N(Reales!Z25),IF(Z$171=1,INDEX(Vol_V,14,Z$170)/12*(1+V_dVol),0))</f>
        <v>0</v>
      </c>
      <c r="AA190" s="34" t="n">
        <f aca="false">IF(AA$8=1,N(Reales!AA25),IF(AA$171=1,INDEX(Vol_V,14,AA$170)/12*(1+V_dVol),0))</f>
        <v>0</v>
      </c>
      <c r="AB190" s="34" t="n">
        <f aca="false">IF(AB$8=1,N(Reales!AB25),IF(AB$171=1,INDEX(Vol_V,14,AB$170)/12*(1+V_dVol),0))</f>
        <v>0</v>
      </c>
      <c r="AC190" s="34" t="n">
        <f aca="false">IF(AC$8=1,N(Reales!AC25),IF(AC$171=1,INDEX(Vol_V,14,AC$170)/12*(1+V_dVol),0))</f>
        <v>0</v>
      </c>
      <c r="AD190" s="34" t="n">
        <f aca="false">IF(AD$8=1,N(Reales!AD25),IF(AD$171=1,INDEX(Vol_V,14,AD$170)/12*(1+V_dVol),0))</f>
        <v>0</v>
      </c>
      <c r="AE190" s="34" t="n">
        <f aca="false">IF(AE$8=1,N(Reales!AE25),IF(AE$171=1,INDEX(Vol_V,14,AE$170)/12*(1+V_dVol),0))</f>
        <v>0</v>
      </c>
      <c r="AF190" s="34" t="n">
        <f aca="false">IF(AF$8=1,N(Reales!AF25),IF(AF$171=1,INDEX(Vol_V,14,AF$170)/12*(1+V_dVol),0))</f>
        <v>0</v>
      </c>
      <c r="AG190" s="34" t="n">
        <f aca="false">IF(AG$8=1,N(Reales!AG25),IF(AG$171=1,INDEX(Vol_V,14,AG$170)/12*(1+V_dVol),0))</f>
        <v>0</v>
      </c>
      <c r="AH190" s="34" t="n">
        <f aca="false">IF(AH$8=1,N(Reales!AH25),IF(AH$171=1,INDEX(Vol_V,14,AH$170)/12*(1+V_dVol),0))</f>
        <v>0</v>
      </c>
      <c r="AI190" s="34" t="n">
        <f aca="false">IF(AI$8=1,N(Reales!AI25),IF(AI$171=1,INDEX(Vol_V,14,AI$170)/12*(1+V_dVol),0))</f>
        <v>0</v>
      </c>
      <c r="AJ190" s="34" t="n">
        <f aca="false">IF(AJ$8=1,N(Reales!AJ25),IF(AJ$171=1,INDEX(Vol_V,14,AJ$170)/12*(1+V_dVol),0))</f>
        <v>0</v>
      </c>
      <c r="AK190" s="34" t="n">
        <f aca="false">IF(AK$8=1,N(Reales!AK25),IF(AK$171=1,INDEX(Vol_V,14,AK$170)/12*(1+V_dVol),0))</f>
        <v>0</v>
      </c>
      <c r="AL190" s="34" t="n">
        <f aca="false">IF(AL$8=1,N(Reales!AL25),IF(AL$171=1,INDEX(Vol_V,14,AL$170)/12*(1+V_dVol),0))</f>
        <v>0</v>
      </c>
      <c r="AM190" s="34" t="n">
        <f aca="false">IF(AM$8=1,N(Reales!AM25),IF(AM$171=1,INDEX(Vol_V,14,AM$170)/12*(1+V_dVol),0))</f>
        <v>0</v>
      </c>
      <c r="AN190" s="34" t="n">
        <f aca="false">IF(AN$8=1,N(Reales!AN25),IF(AN$171=1,INDEX(Vol_V,14,AN$170)/12*(1+V_dVol),0))</f>
        <v>0</v>
      </c>
      <c r="AO190" s="34" t="n">
        <f aca="false">IF(AO$8=1,N(Reales!AO25),IF(AO$171=1,INDEX(Vol_V,14,AO$170)/12*(1+V_dVol),0))</f>
        <v>0</v>
      </c>
      <c r="AP190" s="34" t="n">
        <f aca="false">IF(AP$8=1,N(Reales!AP25),IF(AP$171=1,INDEX(Vol_V,14,AP$170)/12*(1+V_dVol),0))</f>
        <v>0</v>
      </c>
      <c r="AQ190" s="34" t="n">
        <f aca="false">IF(AQ$8=1,N(Reales!AQ25),IF(AQ$171=1,INDEX(Vol_V,14,AQ$170)/12*(1+V_dVol),0))</f>
        <v>0</v>
      </c>
      <c r="AR190" s="34" t="n">
        <f aca="false">IF(AR$8=1,N(Reales!AR25),IF(AR$171=1,INDEX(Vol_V,14,AR$170)/12*(1+V_dVol),0))</f>
        <v>0</v>
      </c>
      <c r="AS190" s="34" t="n">
        <f aca="false">IF(AS$8=1,N(Reales!AS25),IF(AS$171=1,INDEX(Vol_V,14,AS$170)/12*(1+V_dVol),0))</f>
        <v>0</v>
      </c>
      <c r="AT190" s="34" t="n">
        <f aca="false">IF(AT$8=1,N(Reales!AT25),IF(AT$171=1,INDEX(Vol_V,14,AT$170)/12*(1+V_dVol),0))</f>
        <v>0</v>
      </c>
      <c r="AU190" s="34" t="n">
        <f aca="false">IF(AU$8=1,N(Reales!AU25),IF(AU$171=1,INDEX(Vol_V,14,AU$170)/12*(1+V_dVol),0))</f>
        <v>0</v>
      </c>
      <c r="AV190" s="34" t="n">
        <f aca="false">IF(AV$8=1,N(Reales!AV25),IF(AV$171=1,INDEX(Vol_V,14,AV$170)/12*(1+V_dVol),0))</f>
        <v>0</v>
      </c>
      <c r="AW190" s="34" t="n">
        <f aca="false">IF(AW$8=1,N(Reales!AW25),IF(AW$171=1,INDEX(Vol_V,14,AW$170)/12*(1+V_dVol),0))</f>
        <v>0</v>
      </c>
      <c r="AX190" s="34" t="n">
        <f aca="false">IF(AX$8=1,N(Reales!AX25),IF(AX$171=1,INDEX(Vol_V,14,AX$170)/12*(1+V_dVol),0))</f>
        <v>0</v>
      </c>
      <c r="AY190" s="34" t="n">
        <f aca="false">IF(AY$8=1,N(Reales!AY25),IF(AY$171=1,INDEX(Vol_V,14,AY$170)/12*(1+V_dVol),0))</f>
        <v>0</v>
      </c>
      <c r="AZ190" s="34" t="n">
        <f aca="false">IF(AZ$8=1,N(Reales!AZ25),IF(AZ$171=1,INDEX(Vol_V,14,AZ$170)/12*(1+V_dVol),0))</f>
        <v>0</v>
      </c>
      <c r="BA190" s="34" t="n">
        <f aca="false">IF(BA$8=1,N(Reales!BA25),IF(BA$171=1,INDEX(Vol_V,14,BA$170)/12*(1+V_dVol),0))</f>
        <v>0</v>
      </c>
      <c r="BB190" s="34" t="n">
        <f aca="false">IF(BB$8=1,N(Reales!BB25),IF(BB$171=1,INDEX(Vol_V,14,BB$170)/12*(1+V_dVol),0))</f>
        <v>0</v>
      </c>
      <c r="BC190" s="34" t="n">
        <f aca="false">IF(BC$8=1,N(Reales!BC25),IF(BC$171=1,INDEX(Vol_V,14,BC$170)/12*(1+V_dVol),0))</f>
        <v>0</v>
      </c>
      <c r="BD190" s="34" t="n">
        <f aca="false">IF(BD$8=1,N(Reales!BD25),IF(BD$171=1,INDEX(Vol_V,14,BD$170)/12*(1+V_dVol),0))</f>
        <v>0</v>
      </c>
      <c r="BE190" s="34" t="n">
        <f aca="false">IF(BE$8=1,N(Reales!BE25),IF(BE$171=1,INDEX(Vol_V,14,BE$170)/12*(1+V_dVol),0))</f>
        <v>0</v>
      </c>
      <c r="BF190" s="34" t="n">
        <f aca="false">IF(BF$8=1,N(Reales!BF25),IF(BF$171=1,INDEX(Vol_V,14,BF$170)/12*(1+V_dVol),0))</f>
        <v>0</v>
      </c>
      <c r="BG190" s="34" t="n">
        <f aca="false">IF(BG$8=1,N(Reales!BG25),IF(BG$171=1,INDEX(Vol_V,14,BG$170)/12*(1+V_dVol),0))</f>
        <v>0</v>
      </c>
      <c r="BH190" s="34" t="n">
        <f aca="false">IF(BH$8=1,N(Reales!BH25),IF(BH$171=1,INDEX(Vol_V,14,BH$170)/12*(1+V_dVol),0))</f>
        <v>0</v>
      </c>
      <c r="BI190" s="34" t="n">
        <f aca="false">IF(BI$8=1,N(Reales!BI25),IF(BI$171=1,INDEX(Vol_V,14,BI$170)/12*(1+V_dVol),0))</f>
        <v>0</v>
      </c>
      <c r="BJ190" s="34" t="n">
        <f aca="false">IF(BJ$8=1,N(Reales!BJ25),IF(BJ$171=1,INDEX(Vol_V,14,BJ$170)/12*(1+V_dVol),0))</f>
        <v>0</v>
      </c>
      <c r="BK190" s="34" t="n">
        <f aca="false">IF(BK$8=1,N(Reales!BK25),IF(BK$171=1,INDEX(Vol_V,14,BK$170)/12*(1+V_dVol),0))</f>
        <v>0</v>
      </c>
      <c r="BL190" s="34" t="n">
        <f aca="false">IF(BL$8=1,N(Reales!BL25),IF(BL$171=1,INDEX(Vol_V,14,BL$170)/12*(1+V_dVol),0))</f>
        <v>0</v>
      </c>
      <c r="BM190" s="34" t="n">
        <f aca="false">IF(BM$8=1,N(Reales!BM25),IF(BM$171=1,INDEX(Vol_V,14,BM$170)/12*(1+V_dVol),0))</f>
        <v>0</v>
      </c>
      <c r="BN190" s="34" t="n">
        <f aca="false">IF(BN$8=1,N(Reales!BN25),IF(BN$171=1,INDEX(Vol_V,14,BN$170)/12*(1+V_dVol),0))</f>
        <v>0</v>
      </c>
      <c r="BO190" s="34" t="n">
        <f aca="false">IF(BO$8=1,N(Reales!BO25),IF(BO$171=1,INDEX(Vol_V,14,BO$170)/12*(1+V_dVol),0))</f>
        <v>0</v>
      </c>
      <c r="BP190" s="34" t="n">
        <f aca="false">IF(BP$8=1,N(Reales!BP25),IF(BP$171=1,INDEX(Vol_V,14,BP$170)/12*(1+V_dVol),0))</f>
        <v>0</v>
      </c>
      <c r="BQ190" s="34" t="n">
        <f aca="false">IF(BQ$8=1,N(Reales!BQ25),IF(BQ$171=1,INDEX(Vol_V,14,BQ$170)/12*(1+V_dVol),0))</f>
        <v>0</v>
      </c>
      <c r="BR190" s="34" t="n">
        <f aca="false">IF(BR$8=1,N(Reales!BR25),IF(BR$171=1,INDEX(Vol_V,14,BR$170)/12*(1+V_dVol),0))</f>
        <v>0</v>
      </c>
      <c r="BS190" s="34" t="n">
        <f aca="false">IF(BS$8=1,N(Reales!BS25),IF(BS$171=1,INDEX(Vol_V,14,BS$170)/12*(1+V_dVol),0))</f>
        <v>0</v>
      </c>
      <c r="BT190" s="34" t="n">
        <f aca="false">IF(BT$8=1,N(Reales!BT25),IF(BT$171=1,INDEX(Vol_V,14,BT$170)/12*(1+V_dVol),0))</f>
        <v>0</v>
      </c>
      <c r="BU190" s="34" t="n">
        <f aca="false">IF(BU$8=1,N(Reales!BU25),IF(BU$171=1,INDEX(Vol_V,14,BU$170)/12*(1+V_dVol),0))</f>
        <v>0</v>
      </c>
      <c r="BV190" s="34" t="n">
        <f aca="false">IF(BV$8=1,N(Reales!BV25),IF(BV$171=1,INDEX(Vol_V,14,BV$170)/12*(1+V_dVol),0))</f>
        <v>0</v>
      </c>
      <c r="BW190" s="34" t="n">
        <f aca="false">IF(BW$8=1,N(Reales!BW25),IF(BW$171=1,INDEX(Vol_V,14,BW$170)/12*(1+V_dVol),0))</f>
        <v>0</v>
      </c>
      <c r="BX190" s="34" t="n">
        <f aca="false">IF(BX$8=1,N(Reales!BX25),IF(BX$171=1,INDEX(Vol_V,14,BX$170)/12*(1+V_dVol),0))</f>
        <v>0</v>
      </c>
      <c r="BY190" s="34" t="n">
        <f aca="false">IF(BY$8=1,N(Reales!BY25),IF(BY$171=1,INDEX(Vol_V,14,BY$170)/12*(1+V_dVol),0))</f>
        <v>0</v>
      </c>
      <c r="BZ190" s="34" t="n">
        <f aca="false">IF(BZ$8=1,N(Reales!BZ25),IF(BZ$171=1,INDEX(Vol_V,14,BZ$170)/12*(1+V_dVol),0))</f>
        <v>0</v>
      </c>
      <c r="CA190" s="34" t="n">
        <f aca="false">IF(CA$8=1,N(Reales!CA25),IF(CA$171=1,INDEX(Vol_V,14,CA$170)/12*(1+V_dVol),0))</f>
        <v>0</v>
      </c>
      <c r="CB190" s="34" t="n">
        <f aca="false">IF(CB$8=1,N(Reales!CB25),IF(CB$171=1,INDEX(Vol_V,14,CB$170)/12*(1+V_dVol),0))</f>
        <v>0</v>
      </c>
      <c r="CC190" s="34" t="n">
        <f aca="false">IF(CC$8=1,N(Reales!CC25),IF(CC$171=1,INDEX(Vol_V,14,CC$170)/12*(1+V_dVol),0))</f>
        <v>0</v>
      </c>
      <c r="CD190" s="34" t="n">
        <f aca="false">IF(CD$8=1,N(Reales!CD25),IF(CD$171=1,INDEX(Vol_V,14,CD$170)/12*(1+V_dVol),0))</f>
        <v>0</v>
      </c>
      <c r="CE190" s="34" t="n">
        <f aca="false">IF(CE$8=1,N(Reales!CE25),IF(CE$171=1,INDEX(Vol_V,14,CE$170)/12*(1+V_dVol),0))</f>
        <v>0</v>
      </c>
      <c r="CF190" s="34" t="n">
        <f aca="false">IF(CF$8=1,N(Reales!CF25),IF(CF$171=1,INDEX(Vol_V,14,CF$170)/12*(1+V_dVol),0))</f>
        <v>0</v>
      </c>
      <c r="CG190" s="34" t="n">
        <f aca="false">IF(CG$8=1,N(Reales!CG25),IF(CG$171=1,INDEX(Vol_V,14,CG$170)/12*(1+V_dVol),0))</f>
        <v>0</v>
      </c>
      <c r="CH190" s="34" t="n">
        <f aca="false">IF(CH$8=1,N(Reales!CH25),IF(CH$171=1,INDEX(Vol_V,14,CH$170)/12*(1+V_dVol),0))</f>
        <v>0</v>
      </c>
      <c r="CI190" s="34" t="n">
        <f aca="false">IF(CI$8=1,N(Reales!CI25),IF(CI$171=1,INDEX(Vol_V,14,CI$170)/12*(1+V_dVol),0))</f>
        <v>0</v>
      </c>
      <c r="CJ190" s="34" t="n">
        <f aca="false">IF(CJ$8=1,N(Reales!CJ25),IF(CJ$171=1,INDEX(Vol_V,14,CJ$170)/12*(1+V_dVol),0))</f>
        <v>0</v>
      </c>
      <c r="CK190" s="34" t="n">
        <f aca="false">IF(CK$8=1,N(Reales!CK25),IF(CK$171=1,INDEX(Vol_V,14,CK$170)/12*(1+V_dVol),0))</f>
        <v>0</v>
      </c>
      <c r="CL190" s="34" t="n">
        <f aca="false">IF(CL$8=1,N(Reales!CL25),IF(CL$171=1,INDEX(Vol_V,14,CL$170)/12*(1+V_dVol),0))</f>
        <v>0</v>
      </c>
      <c r="CM190" s="34" t="n">
        <f aca="false">IF(CM$8=1,N(Reales!CM25),IF(CM$171=1,INDEX(Vol_V,14,CM$170)/12*(1+V_dVol),0))</f>
        <v>0</v>
      </c>
      <c r="CN190" s="34" t="n">
        <f aca="false">IF(CN$8=1,N(Reales!CN25),IF(CN$171=1,INDEX(Vol_V,14,CN$170)/12*(1+V_dVol),0))</f>
        <v>0</v>
      </c>
      <c r="CO190" s="34" t="n">
        <f aca="false">IF(CO$8=1,N(Reales!CO25),IF(CO$171=1,INDEX(Vol_V,14,CO$170)/12*(1+V_dVol),0))</f>
        <v>0</v>
      </c>
      <c r="CP190" s="34" t="n">
        <f aca="false">IF(CP$8=1,N(Reales!CP25),IF(CP$171=1,INDEX(Vol_V,14,CP$170)/12*(1+V_dVol),0))</f>
        <v>0</v>
      </c>
      <c r="CQ190" s="34" t="n">
        <f aca="false">IF(CQ$8=1,N(Reales!CQ25),IF(CQ$171=1,INDEX(Vol_V,14,CQ$170)/12*(1+V_dVol),0))</f>
        <v>0</v>
      </c>
      <c r="CR190" s="34" t="n">
        <f aca="false">IF(CR$8=1,N(Reales!CR25),IF(CR$171=1,INDEX(Vol_V,14,CR$170)/12*(1+V_dVol),0))</f>
        <v>0</v>
      </c>
      <c r="CS190" s="34" t="n">
        <f aca="false">IF(CS$8=1,N(Reales!CS25),IF(CS$171=1,INDEX(Vol_V,14,CS$170)/12*(1+V_dVol),0))</f>
        <v>0</v>
      </c>
      <c r="CT190" s="34" t="n">
        <f aca="false">IF(CT$8=1,N(Reales!CT25),IF(CT$171=1,INDEX(Vol_V,14,CT$170)/12*(1+V_dVol),0))</f>
        <v>0</v>
      </c>
      <c r="CU190" s="34" t="n">
        <f aca="false">IF(CU$8=1,N(Reales!CU25),IF(CU$171=1,INDEX(Vol_V,14,CU$170)/12*(1+V_dVol),0))</f>
        <v>0</v>
      </c>
      <c r="CV190" s="34" t="n">
        <f aca="false">IF(CV$8=1,N(Reales!CV25),IF(CV$171=1,INDEX(Vol_V,14,CV$170)/12*(1+V_dVol),0))</f>
        <v>0</v>
      </c>
      <c r="CW190" s="34" t="n">
        <f aca="false">IF(CW$8=1,N(Reales!CW25),IF(CW$171=1,INDEX(Vol_V,14,CW$170)/12*(1+V_dVol),0))</f>
        <v>0</v>
      </c>
      <c r="CX190" s="34" t="n">
        <f aca="false">IF(CX$8=1,N(Reales!CX25),IF(CX$171=1,INDEX(Vol_V,14,CX$170)/12*(1+V_dVol),0))</f>
        <v>0</v>
      </c>
      <c r="CY190" s="34" t="n">
        <f aca="false">IF(CY$8=1,N(Reales!CY25),IF(CY$171=1,INDEX(Vol_V,14,CY$170)/12*(1+V_dVol),0))</f>
        <v>0</v>
      </c>
      <c r="CZ190" s="34" t="n">
        <f aca="false">IF(CZ$8=1,N(Reales!CZ25),IF(CZ$171=1,INDEX(Vol_V,14,CZ$170)/12*(1+V_dVol),0))</f>
        <v>0</v>
      </c>
      <c r="DA190" s="34" t="n">
        <f aca="false">IF(DA$8=1,N(Reales!DA25),IF(DA$171=1,INDEX(Vol_V,14,DA$170)/12*(1+V_dVol),0))</f>
        <v>0</v>
      </c>
      <c r="DB190" s="34" t="n">
        <f aca="false">IF(DB$8=1,N(Reales!DB25),IF(DB$171=1,INDEX(Vol_V,14,DB$170)/12*(1+V_dVol),0))</f>
        <v>0</v>
      </c>
      <c r="DC190" s="34" t="n">
        <f aca="false">IF(DC$8=1,N(Reales!DC25),IF(DC$171=1,INDEX(Vol_V,14,DC$170)/12*(1+V_dVol),0))</f>
        <v>0</v>
      </c>
      <c r="DD190" s="34" t="n">
        <f aca="false">IF(DD$8=1,N(Reales!DD25),IF(DD$171=1,INDEX(Vol_V,14,DD$170)/12*(1+V_dVol),0))</f>
        <v>0</v>
      </c>
      <c r="DE190" s="34" t="n">
        <f aca="false">IF(DE$8=1,N(Reales!DE25),IF(DE$171=1,INDEX(Vol_V,14,DE$170)/12*(1+V_dVol),0))</f>
        <v>0</v>
      </c>
      <c r="DF190" s="34" t="n">
        <f aca="false">IF(DF$8=1,N(Reales!DF25),IF(DF$171=1,INDEX(Vol_V,14,DF$170)/12*(1+V_dVol),0))</f>
        <v>0</v>
      </c>
      <c r="DG190" s="34" t="n">
        <f aca="false">IF(DG$8=1,N(Reales!DG25),IF(DG$171=1,INDEX(Vol_V,14,DG$170)/12*(1+V_dVol),0))</f>
        <v>0</v>
      </c>
      <c r="DH190" s="34" t="n">
        <f aca="false">IF(DH$8=1,N(Reales!DH25),IF(DH$171=1,INDEX(Vol_V,14,DH$170)/12*(1+V_dVol),0))</f>
        <v>0</v>
      </c>
      <c r="DI190" s="34" t="n">
        <f aca="false">IF(DI$8=1,N(Reales!DI25),IF(DI$171=1,INDEX(Vol_V,14,DI$170)/12*(1+V_dVol),0))</f>
        <v>0</v>
      </c>
      <c r="DJ190" s="34" t="n">
        <f aca="false">IF(DJ$8=1,N(Reales!DJ25),IF(DJ$171=1,INDEX(Vol_V,14,DJ$170)/12*(1+V_dVol),0))</f>
        <v>0</v>
      </c>
      <c r="DK190" s="34" t="n">
        <f aca="false">IF(DK$8=1,N(Reales!DK25),IF(DK$171=1,INDEX(Vol_V,14,DK$170)/12*(1+V_dVol),0))</f>
        <v>0</v>
      </c>
      <c r="DL190" s="34" t="n">
        <f aca="false">IF(DL$8=1,N(Reales!DL25),IF(DL$171=1,INDEX(Vol_V,14,DL$170)/12*(1+V_dVol),0))</f>
        <v>0</v>
      </c>
      <c r="DM190" s="34" t="n">
        <f aca="false">IF(DM$8=1,N(Reales!DM25),IF(DM$171=1,INDEX(Vol_V,14,DM$170)/12*(1+V_dVol),0))</f>
        <v>0</v>
      </c>
      <c r="DN190" s="34" t="n">
        <f aca="false">IF(DN$8=1,N(Reales!DN25),IF(DN$171=1,INDEX(Vol_V,14,DN$170)/12*(1+V_dVol),0))</f>
        <v>0</v>
      </c>
      <c r="DO190" s="34" t="n">
        <f aca="false">IF(DO$8=1,N(Reales!DO25),IF(DO$171=1,INDEX(Vol_V,14,DO$170)/12*(1+V_dVol),0))</f>
        <v>0</v>
      </c>
      <c r="DP190" s="34" t="n">
        <f aca="false">IF(DP$8=1,N(Reales!DP25),IF(DP$171=1,INDEX(Vol_V,14,DP$170)/12*(1+V_dVol),0))</f>
        <v>0</v>
      </c>
      <c r="DQ190" s="34" t="n">
        <f aca="false">IF(DQ$8=1,N(Reales!DQ25),IF(DQ$171=1,INDEX(Vol_V,14,DQ$170)/12*(1+V_dVol),0))</f>
        <v>0</v>
      </c>
      <c r="DR190" s="34" t="n">
        <f aca="false">IF(DR$8=1,N(Reales!DR25),IF(DR$171=1,INDEX(Vol_V,14,DR$170)/12*(1+V_dVol),0))</f>
        <v>0</v>
      </c>
      <c r="DS190" s="34" t="n">
        <f aca="false">IF(DS$8=1,N(Reales!DS25),IF(DS$171=1,INDEX(Vol_V,14,DS$170)/12*(1+V_dVol),0))</f>
        <v>0</v>
      </c>
      <c r="DT190" s="34" t="n">
        <f aca="false">IF(DT$8=1,N(Reales!DT25),IF(DT$171=1,INDEX(Vol_V,14,DT$170)/12*(1+V_dVol),0))</f>
        <v>0</v>
      </c>
      <c r="DU190" s="34" t="n">
        <f aca="false">IF(DU$8=1,N(Reales!DU25),IF(DU$171=1,INDEX(Vol_V,14,DU$170)/12*(1+V_dVol),0))</f>
        <v>0</v>
      </c>
      <c r="DV190" s="34" t="n">
        <f aca="false">IF(DV$8=1,N(Reales!DV25),IF(DV$171=1,INDEX(Vol_V,14,DV$170)/12*(1+V_dVol),0))</f>
        <v>0</v>
      </c>
      <c r="DW190" s="34" t="n">
        <f aca="false">IF(DW$8=1,N(Reales!DW25),IF(DW$171=1,INDEX(Vol_V,14,DW$170)/12*(1+V_dVol),0))</f>
        <v>0</v>
      </c>
      <c r="DX190" s="34" t="n">
        <f aca="false">IF(DX$8=1,N(Reales!DX25),IF(DX$171=1,INDEX(Vol_V,14,DX$170)/12*(1+V_dVol),0))</f>
        <v>0</v>
      </c>
      <c r="DY190" s="34" t="n">
        <f aca="false">IF(DY$8=1,N(Reales!DY25),IF(DY$171=1,INDEX(Vol_V,14,DY$170)/12*(1+V_dVol),0))</f>
        <v>0</v>
      </c>
      <c r="DZ190" s="34" t="n">
        <f aca="false">IF(DZ$8=1,N(Reales!DZ25),IF(DZ$171=1,INDEX(Vol_V,14,DZ$170)/12*(1+V_dVol),0))</f>
        <v>0</v>
      </c>
      <c r="EA190" s="34" t="n">
        <f aca="false">IF(EA$8=1,N(Reales!EA25),IF(EA$171=1,INDEX(Vol_V,14,EA$170)/12*(1+V_dVol),0))</f>
        <v>0</v>
      </c>
      <c r="EB190" s="34" t="n">
        <f aca="false">IF(EB$8=1,N(Reales!EB25),IF(EB$171=1,INDEX(Vol_V,14,EB$170)/12*(1+V_dVol),0))</f>
        <v>0</v>
      </c>
      <c r="EC190" s="34" t="n">
        <f aca="false">IF(EC$8=1,N(Reales!EC25),IF(EC$171=1,INDEX(Vol_V,14,EC$170)/12*(1+V_dVol),0))</f>
        <v>0</v>
      </c>
      <c r="ED190" s="34" t="n">
        <f aca="false">IF(ED$8=1,N(Reales!ED25),IF(ED$171=1,INDEX(Vol_V,14,ED$170)/12*(1+V_dVol),0))</f>
        <v>0</v>
      </c>
      <c r="EE190" s="34" t="n">
        <f aca="false">IF(EE$8=1,N(Reales!EE25),IF(EE$171=1,INDEX(Vol_V,14,EE$170)/12*(1+V_dVol),0))</f>
        <v>0</v>
      </c>
      <c r="EF190" s="34" t="n">
        <f aca="false">IF(EF$8=1,N(Reales!EF25),IF(EF$171=1,INDEX(Vol_V,14,EF$170)/12*(1+V_dVol),0))</f>
        <v>0</v>
      </c>
      <c r="EG190" s="34" t="n">
        <f aca="false">IF(EG$8=1,N(Reales!EG25),IF(EG$171=1,INDEX(Vol_V,14,EG$170)/12*(1+V_dVol),0))</f>
        <v>0</v>
      </c>
      <c r="EH190" s="34" t="n">
        <f aca="false">IF(EH$8=1,N(Reales!EH25),IF(EH$171=1,INDEX(Vol_V,14,EH$170)/12*(1+V_dVol),0))</f>
        <v>0</v>
      </c>
      <c r="EI190" s="34" t="n">
        <f aca="false">IF(EI$8=1,N(Reales!EI25),IF(EI$171=1,INDEX(Vol_V,14,EI$170)/12*(1+V_dVol),0))</f>
        <v>0</v>
      </c>
      <c r="EJ190" s="34" t="n">
        <f aca="false">IF(EJ$8=1,N(Reales!EJ25),IF(EJ$171=1,INDEX(Vol_V,14,EJ$170)/12*(1+V_dVol),0))</f>
        <v>0</v>
      </c>
      <c r="EK190" s="34" t="n">
        <f aca="false">IF(EK$8=1,N(Reales!EK25),IF(EK$171=1,INDEX(Vol_V,14,EK$170)/12*(1+V_dVol),0))</f>
        <v>0</v>
      </c>
      <c r="EL190" s="34" t="n">
        <f aca="false">IF(EL$8=1,N(Reales!EL25),IF(EL$171=1,INDEX(Vol_V,14,EL$170)/12*(1+V_dVol),0))</f>
        <v>0</v>
      </c>
      <c r="EM190" s="34" t="n">
        <f aca="false">IF(EM$8=1,N(Reales!EM25),IF(EM$171=1,INDEX(Vol_V,14,EM$170)/12*(1+V_dVol),0))</f>
        <v>0</v>
      </c>
      <c r="EN190" s="34" t="n">
        <f aca="false">IF(EN$8=1,N(Reales!EN25),IF(EN$171=1,INDEX(Vol_V,14,EN$170)/12*(1+V_dVol),0))</f>
        <v>0</v>
      </c>
      <c r="EO190" s="34" t="n">
        <f aca="false">IF(EO$8=1,N(Reales!EO25),IF(EO$171=1,INDEX(Vol_V,14,EO$170)/12*(1+V_dVol),0))</f>
        <v>0</v>
      </c>
      <c r="EP190" s="34" t="n">
        <f aca="false">IF(EP$8=1,N(Reales!EP25),IF(EP$171=1,INDEX(Vol_V,14,EP$170)/12*(1+V_dVol),0))</f>
        <v>0</v>
      </c>
      <c r="EQ190" s="34" t="n">
        <f aca="false">IF(EQ$8=1,N(Reales!EQ25),IF(EQ$171=1,INDEX(Vol_V,14,EQ$170)/12*(1+V_dVol),0))</f>
        <v>0</v>
      </c>
      <c r="ER190" s="34" t="n">
        <f aca="false">IF(ER$8=1,N(Reales!ER25),IF(ER$171=1,INDEX(Vol_V,14,ER$170)/12*(1+V_dVol),0))</f>
        <v>0</v>
      </c>
      <c r="ES190" s="34" t="n">
        <f aca="false">IF(ES$8=1,N(Reales!ES25),IF(ES$171=1,INDEX(Vol_V,14,ES$170)/12*(1+V_dVol),0))</f>
        <v>0</v>
      </c>
    </row>
    <row r="191" customFormat="false" ht="15" hidden="false" customHeight="false" outlineLevel="0" collapsed="false">
      <c r="A191" s="2" t="s">
        <v>833</v>
      </c>
      <c r="B191" s="39" t="str">
        <f aca="false">IF(INDEX(Prod_Nombre,15)="","Producto 15",INDEX(Prod_Nombre,15))&amp;" — unidades"</f>
        <v>Producto 15 — unidades</v>
      </c>
      <c r="C191" s="6" t="s">
        <v>286</v>
      </c>
      <c r="E191" s="40" t="n">
        <f aca="false">SUM(F191:ES191)</f>
        <v>0</v>
      </c>
      <c r="F191" s="34" t="n">
        <f aca="false">IF(F$8=1,N(Reales!F26),IF(F$171=1,INDEX(Vol_V,15,F$170)/12*(1+V_dVol),0))</f>
        <v>0</v>
      </c>
      <c r="G191" s="34" t="n">
        <f aca="false">IF(G$8=1,N(Reales!G26),IF(G$171=1,INDEX(Vol_V,15,G$170)/12*(1+V_dVol),0))</f>
        <v>0</v>
      </c>
      <c r="H191" s="34" t="n">
        <f aca="false">IF(H$8=1,N(Reales!H26),IF(H$171=1,INDEX(Vol_V,15,H$170)/12*(1+V_dVol),0))</f>
        <v>0</v>
      </c>
      <c r="I191" s="34" t="n">
        <f aca="false">IF(I$8=1,N(Reales!I26),IF(I$171=1,INDEX(Vol_V,15,I$170)/12*(1+V_dVol),0))</f>
        <v>0</v>
      </c>
      <c r="J191" s="34" t="n">
        <f aca="false">IF(J$8=1,N(Reales!J26),IF(J$171=1,INDEX(Vol_V,15,J$170)/12*(1+V_dVol),0))</f>
        <v>0</v>
      </c>
      <c r="K191" s="34" t="n">
        <f aca="false">IF(K$8=1,N(Reales!K26),IF(K$171=1,INDEX(Vol_V,15,K$170)/12*(1+V_dVol),0))</f>
        <v>0</v>
      </c>
      <c r="L191" s="34" t="n">
        <f aca="false">IF(L$8=1,N(Reales!L26),IF(L$171=1,INDEX(Vol_V,15,L$170)/12*(1+V_dVol),0))</f>
        <v>0</v>
      </c>
      <c r="M191" s="34" t="n">
        <f aca="false">IF(M$8=1,N(Reales!M26),IF(M$171=1,INDEX(Vol_V,15,M$170)/12*(1+V_dVol),0))</f>
        <v>0</v>
      </c>
      <c r="N191" s="34" t="n">
        <f aca="false">IF(N$8=1,N(Reales!N26),IF(N$171=1,INDEX(Vol_V,15,N$170)/12*(1+V_dVol),0))</f>
        <v>0</v>
      </c>
      <c r="O191" s="34" t="n">
        <f aca="false">IF(O$8=1,N(Reales!O26),IF(O$171=1,INDEX(Vol_V,15,O$170)/12*(1+V_dVol),0))</f>
        <v>0</v>
      </c>
      <c r="P191" s="34" t="n">
        <f aca="false">IF(P$8=1,N(Reales!P26),IF(P$171=1,INDEX(Vol_V,15,P$170)/12*(1+V_dVol),0))</f>
        <v>0</v>
      </c>
      <c r="Q191" s="34" t="n">
        <f aca="false">IF(Q$8=1,N(Reales!Q26),IF(Q$171=1,INDEX(Vol_V,15,Q$170)/12*(1+V_dVol),0))</f>
        <v>0</v>
      </c>
      <c r="R191" s="34" t="n">
        <f aca="false">IF(R$8=1,N(Reales!R26),IF(R$171=1,INDEX(Vol_V,15,R$170)/12*(1+V_dVol),0))</f>
        <v>0</v>
      </c>
      <c r="S191" s="34" t="n">
        <f aca="false">IF(S$8=1,N(Reales!S26),IF(S$171=1,INDEX(Vol_V,15,S$170)/12*(1+V_dVol),0))</f>
        <v>0</v>
      </c>
      <c r="T191" s="34" t="n">
        <f aca="false">IF(T$8=1,N(Reales!T26),IF(T$171=1,INDEX(Vol_V,15,T$170)/12*(1+V_dVol),0))</f>
        <v>0</v>
      </c>
      <c r="U191" s="34" t="n">
        <f aca="false">IF(U$8=1,N(Reales!U26),IF(U$171=1,INDEX(Vol_V,15,U$170)/12*(1+V_dVol),0))</f>
        <v>0</v>
      </c>
      <c r="V191" s="34" t="n">
        <f aca="false">IF(V$8=1,N(Reales!V26),IF(V$171=1,INDEX(Vol_V,15,V$170)/12*(1+V_dVol),0))</f>
        <v>0</v>
      </c>
      <c r="W191" s="34" t="n">
        <f aca="false">IF(W$8=1,N(Reales!W26),IF(W$171=1,INDEX(Vol_V,15,W$170)/12*(1+V_dVol),0))</f>
        <v>0</v>
      </c>
      <c r="X191" s="34" t="n">
        <f aca="false">IF(X$8=1,N(Reales!X26),IF(X$171=1,INDEX(Vol_V,15,X$170)/12*(1+V_dVol),0))</f>
        <v>0</v>
      </c>
      <c r="Y191" s="34" t="n">
        <f aca="false">IF(Y$8=1,N(Reales!Y26),IF(Y$171=1,INDEX(Vol_V,15,Y$170)/12*(1+V_dVol),0))</f>
        <v>0</v>
      </c>
      <c r="Z191" s="34" t="n">
        <f aca="false">IF(Z$8=1,N(Reales!Z26),IF(Z$171=1,INDEX(Vol_V,15,Z$170)/12*(1+V_dVol),0))</f>
        <v>0</v>
      </c>
      <c r="AA191" s="34" t="n">
        <f aca="false">IF(AA$8=1,N(Reales!AA26),IF(AA$171=1,INDEX(Vol_V,15,AA$170)/12*(1+V_dVol),0))</f>
        <v>0</v>
      </c>
      <c r="AB191" s="34" t="n">
        <f aca="false">IF(AB$8=1,N(Reales!AB26),IF(AB$171=1,INDEX(Vol_V,15,AB$170)/12*(1+V_dVol),0))</f>
        <v>0</v>
      </c>
      <c r="AC191" s="34" t="n">
        <f aca="false">IF(AC$8=1,N(Reales!AC26),IF(AC$171=1,INDEX(Vol_V,15,AC$170)/12*(1+V_dVol),0))</f>
        <v>0</v>
      </c>
      <c r="AD191" s="34" t="n">
        <f aca="false">IF(AD$8=1,N(Reales!AD26),IF(AD$171=1,INDEX(Vol_V,15,AD$170)/12*(1+V_dVol),0))</f>
        <v>0</v>
      </c>
      <c r="AE191" s="34" t="n">
        <f aca="false">IF(AE$8=1,N(Reales!AE26),IF(AE$171=1,INDEX(Vol_V,15,AE$170)/12*(1+V_dVol),0))</f>
        <v>0</v>
      </c>
      <c r="AF191" s="34" t="n">
        <f aca="false">IF(AF$8=1,N(Reales!AF26),IF(AF$171=1,INDEX(Vol_V,15,AF$170)/12*(1+V_dVol),0))</f>
        <v>0</v>
      </c>
      <c r="AG191" s="34" t="n">
        <f aca="false">IF(AG$8=1,N(Reales!AG26),IF(AG$171=1,INDEX(Vol_V,15,AG$170)/12*(1+V_dVol),0))</f>
        <v>0</v>
      </c>
      <c r="AH191" s="34" t="n">
        <f aca="false">IF(AH$8=1,N(Reales!AH26),IF(AH$171=1,INDEX(Vol_V,15,AH$170)/12*(1+V_dVol),0))</f>
        <v>0</v>
      </c>
      <c r="AI191" s="34" t="n">
        <f aca="false">IF(AI$8=1,N(Reales!AI26),IF(AI$171=1,INDEX(Vol_V,15,AI$170)/12*(1+V_dVol),0))</f>
        <v>0</v>
      </c>
      <c r="AJ191" s="34" t="n">
        <f aca="false">IF(AJ$8=1,N(Reales!AJ26),IF(AJ$171=1,INDEX(Vol_V,15,AJ$170)/12*(1+V_dVol),0))</f>
        <v>0</v>
      </c>
      <c r="AK191" s="34" t="n">
        <f aca="false">IF(AK$8=1,N(Reales!AK26),IF(AK$171=1,INDEX(Vol_V,15,AK$170)/12*(1+V_dVol),0))</f>
        <v>0</v>
      </c>
      <c r="AL191" s="34" t="n">
        <f aca="false">IF(AL$8=1,N(Reales!AL26),IF(AL$171=1,INDEX(Vol_V,15,AL$170)/12*(1+V_dVol),0))</f>
        <v>0</v>
      </c>
      <c r="AM191" s="34" t="n">
        <f aca="false">IF(AM$8=1,N(Reales!AM26),IF(AM$171=1,INDEX(Vol_V,15,AM$170)/12*(1+V_dVol),0))</f>
        <v>0</v>
      </c>
      <c r="AN191" s="34" t="n">
        <f aca="false">IF(AN$8=1,N(Reales!AN26),IF(AN$171=1,INDEX(Vol_V,15,AN$170)/12*(1+V_dVol),0))</f>
        <v>0</v>
      </c>
      <c r="AO191" s="34" t="n">
        <f aca="false">IF(AO$8=1,N(Reales!AO26),IF(AO$171=1,INDEX(Vol_V,15,AO$170)/12*(1+V_dVol),0))</f>
        <v>0</v>
      </c>
      <c r="AP191" s="34" t="n">
        <f aca="false">IF(AP$8=1,N(Reales!AP26),IF(AP$171=1,INDEX(Vol_V,15,AP$170)/12*(1+V_dVol),0))</f>
        <v>0</v>
      </c>
      <c r="AQ191" s="34" t="n">
        <f aca="false">IF(AQ$8=1,N(Reales!AQ26),IF(AQ$171=1,INDEX(Vol_V,15,AQ$170)/12*(1+V_dVol),0))</f>
        <v>0</v>
      </c>
      <c r="AR191" s="34" t="n">
        <f aca="false">IF(AR$8=1,N(Reales!AR26),IF(AR$171=1,INDEX(Vol_V,15,AR$170)/12*(1+V_dVol),0))</f>
        <v>0</v>
      </c>
      <c r="AS191" s="34" t="n">
        <f aca="false">IF(AS$8=1,N(Reales!AS26),IF(AS$171=1,INDEX(Vol_V,15,AS$170)/12*(1+V_dVol),0))</f>
        <v>0</v>
      </c>
      <c r="AT191" s="34" t="n">
        <f aca="false">IF(AT$8=1,N(Reales!AT26),IF(AT$171=1,INDEX(Vol_V,15,AT$170)/12*(1+V_dVol),0))</f>
        <v>0</v>
      </c>
      <c r="AU191" s="34" t="n">
        <f aca="false">IF(AU$8=1,N(Reales!AU26),IF(AU$171=1,INDEX(Vol_V,15,AU$170)/12*(1+V_dVol),0))</f>
        <v>0</v>
      </c>
      <c r="AV191" s="34" t="n">
        <f aca="false">IF(AV$8=1,N(Reales!AV26),IF(AV$171=1,INDEX(Vol_V,15,AV$170)/12*(1+V_dVol),0))</f>
        <v>0</v>
      </c>
      <c r="AW191" s="34" t="n">
        <f aca="false">IF(AW$8=1,N(Reales!AW26),IF(AW$171=1,INDEX(Vol_V,15,AW$170)/12*(1+V_dVol),0))</f>
        <v>0</v>
      </c>
      <c r="AX191" s="34" t="n">
        <f aca="false">IF(AX$8=1,N(Reales!AX26),IF(AX$171=1,INDEX(Vol_V,15,AX$170)/12*(1+V_dVol),0))</f>
        <v>0</v>
      </c>
      <c r="AY191" s="34" t="n">
        <f aca="false">IF(AY$8=1,N(Reales!AY26),IF(AY$171=1,INDEX(Vol_V,15,AY$170)/12*(1+V_dVol),0))</f>
        <v>0</v>
      </c>
      <c r="AZ191" s="34" t="n">
        <f aca="false">IF(AZ$8=1,N(Reales!AZ26),IF(AZ$171=1,INDEX(Vol_V,15,AZ$170)/12*(1+V_dVol),0))</f>
        <v>0</v>
      </c>
      <c r="BA191" s="34" t="n">
        <f aca="false">IF(BA$8=1,N(Reales!BA26),IF(BA$171=1,INDEX(Vol_V,15,BA$170)/12*(1+V_dVol),0))</f>
        <v>0</v>
      </c>
      <c r="BB191" s="34" t="n">
        <f aca="false">IF(BB$8=1,N(Reales!BB26),IF(BB$171=1,INDEX(Vol_V,15,BB$170)/12*(1+V_dVol),0))</f>
        <v>0</v>
      </c>
      <c r="BC191" s="34" t="n">
        <f aca="false">IF(BC$8=1,N(Reales!BC26),IF(BC$171=1,INDEX(Vol_V,15,BC$170)/12*(1+V_dVol),0))</f>
        <v>0</v>
      </c>
      <c r="BD191" s="34" t="n">
        <f aca="false">IF(BD$8=1,N(Reales!BD26),IF(BD$171=1,INDEX(Vol_V,15,BD$170)/12*(1+V_dVol),0))</f>
        <v>0</v>
      </c>
      <c r="BE191" s="34" t="n">
        <f aca="false">IF(BE$8=1,N(Reales!BE26),IF(BE$171=1,INDEX(Vol_V,15,BE$170)/12*(1+V_dVol),0))</f>
        <v>0</v>
      </c>
      <c r="BF191" s="34" t="n">
        <f aca="false">IF(BF$8=1,N(Reales!BF26),IF(BF$171=1,INDEX(Vol_V,15,BF$170)/12*(1+V_dVol),0))</f>
        <v>0</v>
      </c>
      <c r="BG191" s="34" t="n">
        <f aca="false">IF(BG$8=1,N(Reales!BG26),IF(BG$171=1,INDEX(Vol_V,15,BG$170)/12*(1+V_dVol),0))</f>
        <v>0</v>
      </c>
      <c r="BH191" s="34" t="n">
        <f aca="false">IF(BH$8=1,N(Reales!BH26),IF(BH$171=1,INDEX(Vol_V,15,BH$170)/12*(1+V_dVol),0))</f>
        <v>0</v>
      </c>
      <c r="BI191" s="34" t="n">
        <f aca="false">IF(BI$8=1,N(Reales!BI26),IF(BI$171=1,INDEX(Vol_V,15,BI$170)/12*(1+V_dVol),0))</f>
        <v>0</v>
      </c>
      <c r="BJ191" s="34" t="n">
        <f aca="false">IF(BJ$8=1,N(Reales!BJ26),IF(BJ$171=1,INDEX(Vol_V,15,BJ$170)/12*(1+V_dVol),0))</f>
        <v>0</v>
      </c>
      <c r="BK191" s="34" t="n">
        <f aca="false">IF(BK$8=1,N(Reales!BK26),IF(BK$171=1,INDEX(Vol_V,15,BK$170)/12*(1+V_dVol),0))</f>
        <v>0</v>
      </c>
      <c r="BL191" s="34" t="n">
        <f aca="false">IF(BL$8=1,N(Reales!BL26),IF(BL$171=1,INDEX(Vol_V,15,BL$170)/12*(1+V_dVol),0))</f>
        <v>0</v>
      </c>
      <c r="BM191" s="34" t="n">
        <f aca="false">IF(BM$8=1,N(Reales!BM26),IF(BM$171=1,INDEX(Vol_V,15,BM$170)/12*(1+V_dVol),0))</f>
        <v>0</v>
      </c>
      <c r="BN191" s="34" t="n">
        <f aca="false">IF(BN$8=1,N(Reales!BN26),IF(BN$171=1,INDEX(Vol_V,15,BN$170)/12*(1+V_dVol),0))</f>
        <v>0</v>
      </c>
      <c r="BO191" s="34" t="n">
        <f aca="false">IF(BO$8=1,N(Reales!BO26),IF(BO$171=1,INDEX(Vol_V,15,BO$170)/12*(1+V_dVol),0))</f>
        <v>0</v>
      </c>
      <c r="BP191" s="34" t="n">
        <f aca="false">IF(BP$8=1,N(Reales!BP26),IF(BP$171=1,INDEX(Vol_V,15,BP$170)/12*(1+V_dVol),0))</f>
        <v>0</v>
      </c>
      <c r="BQ191" s="34" t="n">
        <f aca="false">IF(BQ$8=1,N(Reales!BQ26),IF(BQ$171=1,INDEX(Vol_V,15,BQ$170)/12*(1+V_dVol),0))</f>
        <v>0</v>
      </c>
      <c r="BR191" s="34" t="n">
        <f aca="false">IF(BR$8=1,N(Reales!BR26),IF(BR$171=1,INDEX(Vol_V,15,BR$170)/12*(1+V_dVol),0))</f>
        <v>0</v>
      </c>
      <c r="BS191" s="34" t="n">
        <f aca="false">IF(BS$8=1,N(Reales!BS26),IF(BS$171=1,INDEX(Vol_V,15,BS$170)/12*(1+V_dVol),0))</f>
        <v>0</v>
      </c>
      <c r="BT191" s="34" t="n">
        <f aca="false">IF(BT$8=1,N(Reales!BT26),IF(BT$171=1,INDEX(Vol_V,15,BT$170)/12*(1+V_dVol),0))</f>
        <v>0</v>
      </c>
      <c r="BU191" s="34" t="n">
        <f aca="false">IF(BU$8=1,N(Reales!BU26),IF(BU$171=1,INDEX(Vol_V,15,BU$170)/12*(1+V_dVol),0))</f>
        <v>0</v>
      </c>
      <c r="BV191" s="34" t="n">
        <f aca="false">IF(BV$8=1,N(Reales!BV26),IF(BV$171=1,INDEX(Vol_V,15,BV$170)/12*(1+V_dVol),0))</f>
        <v>0</v>
      </c>
      <c r="BW191" s="34" t="n">
        <f aca="false">IF(BW$8=1,N(Reales!BW26),IF(BW$171=1,INDEX(Vol_V,15,BW$170)/12*(1+V_dVol),0))</f>
        <v>0</v>
      </c>
      <c r="BX191" s="34" t="n">
        <f aca="false">IF(BX$8=1,N(Reales!BX26),IF(BX$171=1,INDEX(Vol_V,15,BX$170)/12*(1+V_dVol),0))</f>
        <v>0</v>
      </c>
      <c r="BY191" s="34" t="n">
        <f aca="false">IF(BY$8=1,N(Reales!BY26),IF(BY$171=1,INDEX(Vol_V,15,BY$170)/12*(1+V_dVol),0))</f>
        <v>0</v>
      </c>
      <c r="BZ191" s="34" t="n">
        <f aca="false">IF(BZ$8=1,N(Reales!BZ26),IF(BZ$171=1,INDEX(Vol_V,15,BZ$170)/12*(1+V_dVol),0))</f>
        <v>0</v>
      </c>
      <c r="CA191" s="34" t="n">
        <f aca="false">IF(CA$8=1,N(Reales!CA26),IF(CA$171=1,INDEX(Vol_V,15,CA$170)/12*(1+V_dVol),0))</f>
        <v>0</v>
      </c>
      <c r="CB191" s="34" t="n">
        <f aca="false">IF(CB$8=1,N(Reales!CB26),IF(CB$171=1,INDEX(Vol_V,15,CB$170)/12*(1+V_dVol),0))</f>
        <v>0</v>
      </c>
      <c r="CC191" s="34" t="n">
        <f aca="false">IF(CC$8=1,N(Reales!CC26),IF(CC$171=1,INDEX(Vol_V,15,CC$170)/12*(1+V_dVol),0))</f>
        <v>0</v>
      </c>
      <c r="CD191" s="34" t="n">
        <f aca="false">IF(CD$8=1,N(Reales!CD26),IF(CD$171=1,INDEX(Vol_V,15,CD$170)/12*(1+V_dVol),0))</f>
        <v>0</v>
      </c>
      <c r="CE191" s="34" t="n">
        <f aca="false">IF(CE$8=1,N(Reales!CE26),IF(CE$171=1,INDEX(Vol_V,15,CE$170)/12*(1+V_dVol),0))</f>
        <v>0</v>
      </c>
      <c r="CF191" s="34" t="n">
        <f aca="false">IF(CF$8=1,N(Reales!CF26),IF(CF$171=1,INDEX(Vol_V,15,CF$170)/12*(1+V_dVol),0))</f>
        <v>0</v>
      </c>
      <c r="CG191" s="34" t="n">
        <f aca="false">IF(CG$8=1,N(Reales!CG26),IF(CG$171=1,INDEX(Vol_V,15,CG$170)/12*(1+V_dVol),0))</f>
        <v>0</v>
      </c>
      <c r="CH191" s="34" t="n">
        <f aca="false">IF(CH$8=1,N(Reales!CH26),IF(CH$171=1,INDEX(Vol_V,15,CH$170)/12*(1+V_dVol),0))</f>
        <v>0</v>
      </c>
      <c r="CI191" s="34" t="n">
        <f aca="false">IF(CI$8=1,N(Reales!CI26),IF(CI$171=1,INDEX(Vol_V,15,CI$170)/12*(1+V_dVol),0))</f>
        <v>0</v>
      </c>
      <c r="CJ191" s="34" t="n">
        <f aca="false">IF(CJ$8=1,N(Reales!CJ26),IF(CJ$171=1,INDEX(Vol_V,15,CJ$170)/12*(1+V_dVol),0))</f>
        <v>0</v>
      </c>
      <c r="CK191" s="34" t="n">
        <f aca="false">IF(CK$8=1,N(Reales!CK26),IF(CK$171=1,INDEX(Vol_V,15,CK$170)/12*(1+V_dVol),0))</f>
        <v>0</v>
      </c>
      <c r="CL191" s="34" t="n">
        <f aca="false">IF(CL$8=1,N(Reales!CL26),IF(CL$171=1,INDEX(Vol_V,15,CL$170)/12*(1+V_dVol),0))</f>
        <v>0</v>
      </c>
      <c r="CM191" s="34" t="n">
        <f aca="false">IF(CM$8=1,N(Reales!CM26),IF(CM$171=1,INDEX(Vol_V,15,CM$170)/12*(1+V_dVol),0))</f>
        <v>0</v>
      </c>
      <c r="CN191" s="34" t="n">
        <f aca="false">IF(CN$8=1,N(Reales!CN26),IF(CN$171=1,INDEX(Vol_V,15,CN$170)/12*(1+V_dVol),0))</f>
        <v>0</v>
      </c>
      <c r="CO191" s="34" t="n">
        <f aca="false">IF(CO$8=1,N(Reales!CO26),IF(CO$171=1,INDEX(Vol_V,15,CO$170)/12*(1+V_dVol),0))</f>
        <v>0</v>
      </c>
      <c r="CP191" s="34" t="n">
        <f aca="false">IF(CP$8=1,N(Reales!CP26),IF(CP$171=1,INDEX(Vol_V,15,CP$170)/12*(1+V_dVol),0))</f>
        <v>0</v>
      </c>
      <c r="CQ191" s="34" t="n">
        <f aca="false">IF(CQ$8=1,N(Reales!CQ26),IF(CQ$171=1,INDEX(Vol_V,15,CQ$170)/12*(1+V_dVol),0))</f>
        <v>0</v>
      </c>
      <c r="CR191" s="34" t="n">
        <f aca="false">IF(CR$8=1,N(Reales!CR26),IF(CR$171=1,INDEX(Vol_V,15,CR$170)/12*(1+V_dVol),0))</f>
        <v>0</v>
      </c>
      <c r="CS191" s="34" t="n">
        <f aca="false">IF(CS$8=1,N(Reales!CS26),IF(CS$171=1,INDEX(Vol_V,15,CS$170)/12*(1+V_dVol),0))</f>
        <v>0</v>
      </c>
      <c r="CT191" s="34" t="n">
        <f aca="false">IF(CT$8=1,N(Reales!CT26),IF(CT$171=1,INDEX(Vol_V,15,CT$170)/12*(1+V_dVol),0))</f>
        <v>0</v>
      </c>
      <c r="CU191" s="34" t="n">
        <f aca="false">IF(CU$8=1,N(Reales!CU26),IF(CU$171=1,INDEX(Vol_V,15,CU$170)/12*(1+V_dVol),0))</f>
        <v>0</v>
      </c>
      <c r="CV191" s="34" t="n">
        <f aca="false">IF(CV$8=1,N(Reales!CV26),IF(CV$171=1,INDEX(Vol_V,15,CV$170)/12*(1+V_dVol),0))</f>
        <v>0</v>
      </c>
      <c r="CW191" s="34" t="n">
        <f aca="false">IF(CW$8=1,N(Reales!CW26),IF(CW$171=1,INDEX(Vol_V,15,CW$170)/12*(1+V_dVol),0))</f>
        <v>0</v>
      </c>
      <c r="CX191" s="34" t="n">
        <f aca="false">IF(CX$8=1,N(Reales!CX26),IF(CX$171=1,INDEX(Vol_V,15,CX$170)/12*(1+V_dVol),0))</f>
        <v>0</v>
      </c>
      <c r="CY191" s="34" t="n">
        <f aca="false">IF(CY$8=1,N(Reales!CY26),IF(CY$171=1,INDEX(Vol_V,15,CY$170)/12*(1+V_dVol),0))</f>
        <v>0</v>
      </c>
      <c r="CZ191" s="34" t="n">
        <f aca="false">IF(CZ$8=1,N(Reales!CZ26),IF(CZ$171=1,INDEX(Vol_V,15,CZ$170)/12*(1+V_dVol),0))</f>
        <v>0</v>
      </c>
      <c r="DA191" s="34" t="n">
        <f aca="false">IF(DA$8=1,N(Reales!DA26),IF(DA$171=1,INDEX(Vol_V,15,DA$170)/12*(1+V_dVol),0))</f>
        <v>0</v>
      </c>
      <c r="DB191" s="34" t="n">
        <f aca="false">IF(DB$8=1,N(Reales!DB26),IF(DB$171=1,INDEX(Vol_V,15,DB$170)/12*(1+V_dVol),0))</f>
        <v>0</v>
      </c>
      <c r="DC191" s="34" t="n">
        <f aca="false">IF(DC$8=1,N(Reales!DC26),IF(DC$171=1,INDEX(Vol_V,15,DC$170)/12*(1+V_dVol),0))</f>
        <v>0</v>
      </c>
      <c r="DD191" s="34" t="n">
        <f aca="false">IF(DD$8=1,N(Reales!DD26),IF(DD$171=1,INDEX(Vol_V,15,DD$170)/12*(1+V_dVol),0))</f>
        <v>0</v>
      </c>
      <c r="DE191" s="34" t="n">
        <f aca="false">IF(DE$8=1,N(Reales!DE26),IF(DE$171=1,INDEX(Vol_V,15,DE$170)/12*(1+V_dVol),0))</f>
        <v>0</v>
      </c>
      <c r="DF191" s="34" t="n">
        <f aca="false">IF(DF$8=1,N(Reales!DF26),IF(DF$171=1,INDEX(Vol_V,15,DF$170)/12*(1+V_dVol),0))</f>
        <v>0</v>
      </c>
      <c r="DG191" s="34" t="n">
        <f aca="false">IF(DG$8=1,N(Reales!DG26),IF(DG$171=1,INDEX(Vol_V,15,DG$170)/12*(1+V_dVol),0))</f>
        <v>0</v>
      </c>
      <c r="DH191" s="34" t="n">
        <f aca="false">IF(DH$8=1,N(Reales!DH26),IF(DH$171=1,INDEX(Vol_V,15,DH$170)/12*(1+V_dVol),0))</f>
        <v>0</v>
      </c>
      <c r="DI191" s="34" t="n">
        <f aca="false">IF(DI$8=1,N(Reales!DI26),IF(DI$171=1,INDEX(Vol_V,15,DI$170)/12*(1+V_dVol),0))</f>
        <v>0</v>
      </c>
      <c r="DJ191" s="34" t="n">
        <f aca="false">IF(DJ$8=1,N(Reales!DJ26),IF(DJ$171=1,INDEX(Vol_V,15,DJ$170)/12*(1+V_dVol),0))</f>
        <v>0</v>
      </c>
      <c r="DK191" s="34" t="n">
        <f aca="false">IF(DK$8=1,N(Reales!DK26),IF(DK$171=1,INDEX(Vol_V,15,DK$170)/12*(1+V_dVol),0))</f>
        <v>0</v>
      </c>
      <c r="DL191" s="34" t="n">
        <f aca="false">IF(DL$8=1,N(Reales!DL26),IF(DL$171=1,INDEX(Vol_V,15,DL$170)/12*(1+V_dVol),0))</f>
        <v>0</v>
      </c>
      <c r="DM191" s="34" t="n">
        <f aca="false">IF(DM$8=1,N(Reales!DM26),IF(DM$171=1,INDEX(Vol_V,15,DM$170)/12*(1+V_dVol),0))</f>
        <v>0</v>
      </c>
      <c r="DN191" s="34" t="n">
        <f aca="false">IF(DN$8=1,N(Reales!DN26),IF(DN$171=1,INDEX(Vol_V,15,DN$170)/12*(1+V_dVol),0))</f>
        <v>0</v>
      </c>
      <c r="DO191" s="34" t="n">
        <f aca="false">IF(DO$8=1,N(Reales!DO26),IF(DO$171=1,INDEX(Vol_V,15,DO$170)/12*(1+V_dVol),0))</f>
        <v>0</v>
      </c>
      <c r="DP191" s="34" t="n">
        <f aca="false">IF(DP$8=1,N(Reales!DP26),IF(DP$171=1,INDEX(Vol_V,15,DP$170)/12*(1+V_dVol),0))</f>
        <v>0</v>
      </c>
      <c r="DQ191" s="34" t="n">
        <f aca="false">IF(DQ$8=1,N(Reales!DQ26),IF(DQ$171=1,INDEX(Vol_V,15,DQ$170)/12*(1+V_dVol),0))</f>
        <v>0</v>
      </c>
      <c r="DR191" s="34" t="n">
        <f aca="false">IF(DR$8=1,N(Reales!DR26),IF(DR$171=1,INDEX(Vol_V,15,DR$170)/12*(1+V_dVol),0))</f>
        <v>0</v>
      </c>
      <c r="DS191" s="34" t="n">
        <f aca="false">IF(DS$8=1,N(Reales!DS26),IF(DS$171=1,INDEX(Vol_V,15,DS$170)/12*(1+V_dVol),0))</f>
        <v>0</v>
      </c>
      <c r="DT191" s="34" t="n">
        <f aca="false">IF(DT$8=1,N(Reales!DT26),IF(DT$171=1,INDEX(Vol_V,15,DT$170)/12*(1+V_dVol),0))</f>
        <v>0</v>
      </c>
      <c r="DU191" s="34" t="n">
        <f aca="false">IF(DU$8=1,N(Reales!DU26),IF(DU$171=1,INDEX(Vol_V,15,DU$170)/12*(1+V_dVol),0))</f>
        <v>0</v>
      </c>
      <c r="DV191" s="34" t="n">
        <f aca="false">IF(DV$8=1,N(Reales!DV26),IF(DV$171=1,INDEX(Vol_V,15,DV$170)/12*(1+V_dVol),0))</f>
        <v>0</v>
      </c>
      <c r="DW191" s="34" t="n">
        <f aca="false">IF(DW$8=1,N(Reales!DW26),IF(DW$171=1,INDEX(Vol_V,15,DW$170)/12*(1+V_dVol),0))</f>
        <v>0</v>
      </c>
      <c r="DX191" s="34" t="n">
        <f aca="false">IF(DX$8=1,N(Reales!DX26),IF(DX$171=1,INDEX(Vol_V,15,DX$170)/12*(1+V_dVol),0))</f>
        <v>0</v>
      </c>
      <c r="DY191" s="34" t="n">
        <f aca="false">IF(DY$8=1,N(Reales!DY26),IF(DY$171=1,INDEX(Vol_V,15,DY$170)/12*(1+V_dVol),0))</f>
        <v>0</v>
      </c>
      <c r="DZ191" s="34" t="n">
        <f aca="false">IF(DZ$8=1,N(Reales!DZ26),IF(DZ$171=1,INDEX(Vol_V,15,DZ$170)/12*(1+V_dVol),0))</f>
        <v>0</v>
      </c>
      <c r="EA191" s="34" t="n">
        <f aca="false">IF(EA$8=1,N(Reales!EA26),IF(EA$171=1,INDEX(Vol_V,15,EA$170)/12*(1+V_dVol),0))</f>
        <v>0</v>
      </c>
      <c r="EB191" s="34" t="n">
        <f aca="false">IF(EB$8=1,N(Reales!EB26),IF(EB$171=1,INDEX(Vol_V,15,EB$170)/12*(1+V_dVol),0))</f>
        <v>0</v>
      </c>
      <c r="EC191" s="34" t="n">
        <f aca="false">IF(EC$8=1,N(Reales!EC26),IF(EC$171=1,INDEX(Vol_V,15,EC$170)/12*(1+V_dVol),0))</f>
        <v>0</v>
      </c>
      <c r="ED191" s="34" t="n">
        <f aca="false">IF(ED$8=1,N(Reales!ED26),IF(ED$171=1,INDEX(Vol_V,15,ED$170)/12*(1+V_dVol),0))</f>
        <v>0</v>
      </c>
      <c r="EE191" s="34" t="n">
        <f aca="false">IF(EE$8=1,N(Reales!EE26),IF(EE$171=1,INDEX(Vol_V,15,EE$170)/12*(1+V_dVol),0))</f>
        <v>0</v>
      </c>
      <c r="EF191" s="34" t="n">
        <f aca="false">IF(EF$8=1,N(Reales!EF26),IF(EF$171=1,INDEX(Vol_V,15,EF$170)/12*(1+V_dVol),0))</f>
        <v>0</v>
      </c>
      <c r="EG191" s="34" t="n">
        <f aca="false">IF(EG$8=1,N(Reales!EG26),IF(EG$171=1,INDEX(Vol_V,15,EG$170)/12*(1+V_dVol),0))</f>
        <v>0</v>
      </c>
      <c r="EH191" s="34" t="n">
        <f aca="false">IF(EH$8=1,N(Reales!EH26),IF(EH$171=1,INDEX(Vol_V,15,EH$170)/12*(1+V_dVol),0))</f>
        <v>0</v>
      </c>
      <c r="EI191" s="34" t="n">
        <f aca="false">IF(EI$8=1,N(Reales!EI26),IF(EI$171=1,INDEX(Vol_V,15,EI$170)/12*(1+V_dVol),0))</f>
        <v>0</v>
      </c>
      <c r="EJ191" s="34" t="n">
        <f aca="false">IF(EJ$8=1,N(Reales!EJ26),IF(EJ$171=1,INDEX(Vol_V,15,EJ$170)/12*(1+V_dVol),0))</f>
        <v>0</v>
      </c>
      <c r="EK191" s="34" t="n">
        <f aca="false">IF(EK$8=1,N(Reales!EK26),IF(EK$171=1,INDEX(Vol_V,15,EK$170)/12*(1+V_dVol),0))</f>
        <v>0</v>
      </c>
      <c r="EL191" s="34" t="n">
        <f aca="false">IF(EL$8=1,N(Reales!EL26),IF(EL$171=1,INDEX(Vol_V,15,EL$170)/12*(1+V_dVol),0))</f>
        <v>0</v>
      </c>
      <c r="EM191" s="34" t="n">
        <f aca="false">IF(EM$8=1,N(Reales!EM26),IF(EM$171=1,INDEX(Vol_V,15,EM$170)/12*(1+V_dVol),0))</f>
        <v>0</v>
      </c>
      <c r="EN191" s="34" t="n">
        <f aca="false">IF(EN$8=1,N(Reales!EN26),IF(EN$171=1,INDEX(Vol_V,15,EN$170)/12*(1+V_dVol),0))</f>
        <v>0</v>
      </c>
      <c r="EO191" s="34" t="n">
        <f aca="false">IF(EO$8=1,N(Reales!EO26),IF(EO$171=1,INDEX(Vol_V,15,EO$170)/12*(1+V_dVol),0))</f>
        <v>0</v>
      </c>
      <c r="EP191" s="34" t="n">
        <f aca="false">IF(EP$8=1,N(Reales!EP26),IF(EP$171=1,INDEX(Vol_V,15,EP$170)/12*(1+V_dVol),0))</f>
        <v>0</v>
      </c>
      <c r="EQ191" s="34" t="n">
        <f aca="false">IF(EQ$8=1,N(Reales!EQ26),IF(EQ$171=1,INDEX(Vol_V,15,EQ$170)/12*(1+V_dVol),0))</f>
        <v>0</v>
      </c>
      <c r="ER191" s="34" t="n">
        <f aca="false">IF(ER$8=1,N(Reales!ER26),IF(ER$171=1,INDEX(Vol_V,15,ER$170)/12*(1+V_dVol),0))</f>
        <v>0</v>
      </c>
      <c r="ES191" s="34" t="n">
        <f aca="false">IF(ES$8=1,N(Reales!ES26),IF(ES$171=1,INDEX(Vol_V,15,ES$170)/12*(1+V_dVol),0))</f>
        <v>0</v>
      </c>
    </row>
    <row r="192" customFormat="false" ht="15" hidden="false" customHeight="false" outlineLevel="0" collapsed="false">
      <c r="A192" s="2" t="s">
        <v>834</v>
      </c>
      <c r="B192" s="39" t="str">
        <f aca="false">IF(INDEX(Prod_Nombre,16)="","Producto 16",INDEX(Prod_Nombre,16))&amp;" — unidades"</f>
        <v>Producto 16 — unidades</v>
      </c>
      <c r="C192" s="6" t="s">
        <v>286</v>
      </c>
      <c r="E192" s="40" t="n">
        <f aca="false">SUM(F192:ES192)</f>
        <v>0</v>
      </c>
      <c r="F192" s="34" t="n">
        <f aca="false">IF(F$8=1,N(Reales!F27),IF(F$171=1,INDEX(Vol_V,16,F$170)/12*(1+V_dVol),0))</f>
        <v>0</v>
      </c>
      <c r="G192" s="34" t="n">
        <f aca="false">IF(G$8=1,N(Reales!G27),IF(G$171=1,INDEX(Vol_V,16,G$170)/12*(1+V_dVol),0))</f>
        <v>0</v>
      </c>
      <c r="H192" s="34" t="n">
        <f aca="false">IF(H$8=1,N(Reales!H27),IF(H$171=1,INDEX(Vol_V,16,H$170)/12*(1+V_dVol),0))</f>
        <v>0</v>
      </c>
      <c r="I192" s="34" t="n">
        <f aca="false">IF(I$8=1,N(Reales!I27),IF(I$171=1,INDEX(Vol_V,16,I$170)/12*(1+V_dVol),0))</f>
        <v>0</v>
      </c>
      <c r="J192" s="34" t="n">
        <f aca="false">IF(J$8=1,N(Reales!J27),IF(J$171=1,INDEX(Vol_V,16,J$170)/12*(1+V_dVol),0))</f>
        <v>0</v>
      </c>
      <c r="K192" s="34" t="n">
        <f aca="false">IF(K$8=1,N(Reales!K27),IF(K$171=1,INDEX(Vol_V,16,K$170)/12*(1+V_dVol),0))</f>
        <v>0</v>
      </c>
      <c r="L192" s="34" t="n">
        <f aca="false">IF(L$8=1,N(Reales!L27),IF(L$171=1,INDEX(Vol_V,16,L$170)/12*(1+V_dVol),0))</f>
        <v>0</v>
      </c>
      <c r="M192" s="34" t="n">
        <f aca="false">IF(M$8=1,N(Reales!M27),IF(M$171=1,INDEX(Vol_V,16,M$170)/12*(1+V_dVol),0))</f>
        <v>0</v>
      </c>
      <c r="N192" s="34" t="n">
        <f aca="false">IF(N$8=1,N(Reales!N27),IF(N$171=1,INDEX(Vol_V,16,N$170)/12*(1+V_dVol),0))</f>
        <v>0</v>
      </c>
      <c r="O192" s="34" t="n">
        <f aca="false">IF(O$8=1,N(Reales!O27),IF(O$171=1,INDEX(Vol_V,16,O$170)/12*(1+V_dVol),0))</f>
        <v>0</v>
      </c>
      <c r="P192" s="34" t="n">
        <f aca="false">IF(P$8=1,N(Reales!P27),IF(P$171=1,INDEX(Vol_V,16,P$170)/12*(1+V_dVol),0))</f>
        <v>0</v>
      </c>
      <c r="Q192" s="34" t="n">
        <f aca="false">IF(Q$8=1,N(Reales!Q27),IF(Q$171=1,INDEX(Vol_V,16,Q$170)/12*(1+V_dVol),0))</f>
        <v>0</v>
      </c>
      <c r="R192" s="34" t="n">
        <f aca="false">IF(R$8=1,N(Reales!R27),IF(R$171=1,INDEX(Vol_V,16,R$170)/12*(1+V_dVol),0))</f>
        <v>0</v>
      </c>
      <c r="S192" s="34" t="n">
        <f aca="false">IF(S$8=1,N(Reales!S27),IF(S$171=1,INDEX(Vol_V,16,S$170)/12*(1+V_dVol),0))</f>
        <v>0</v>
      </c>
      <c r="T192" s="34" t="n">
        <f aca="false">IF(T$8=1,N(Reales!T27),IF(T$171=1,INDEX(Vol_V,16,T$170)/12*(1+V_dVol),0))</f>
        <v>0</v>
      </c>
      <c r="U192" s="34" t="n">
        <f aca="false">IF(U$8=1,N(Reales!U27),IF(U$171=1,INDEX(Vol_V,16,U$170)/12*(1+V_dVol),0))</f>
        <v>0</v>
      </c>
      <c r="V192" s="34" t="n">
        <f aca="false">IF(V$8=1,N(Reales!V27),IF(V$171=1,INDEX(Vol_V,16,V$170)/12*(1+V_dVol),0))</f>
        <v>0</v>
      </c>
      <c r="W192" s="34" t="n">
        <f aca="false">IF(W$8=1,N(Reales!W27),IF(W$171=1,INDEX(Vol_V,16,W$170)/12*(1+V_dVol),0))</f>
        <v>0</v>
      </c>
      <c r="X192" s="34" t="n">
        <f aca="false">IF(X$8=1,N(Reales!X27),IF(X$171=1,INDEX(Vol_V,16,X$170)/12*(1+V_dVol),0))</f>
        <v>0</v>
      </c>
      <c r="Y192" s="34" t="n">
        <f aca="false">IF(Y$8=1,N(Reales!Y27),IF(Y$171=1,INDEX(Vol_V,16,Y$170)/12*(1+V_dVol),0))</f>
        <v>0</v>
      </c>
      <c r="Z192" s="34" t="n">
        <f aca="false">IF(Z$8=1,N(Reales!Z27),IF(Z$171=1,INDEX(Vol_V,16,Z$170)/12*(1+V_dVol),0))</f>
        <v>0</v>
      </c>
      <c r="AA192" s="34" t="n">
        <f aca="false">IF(AA$8=1,N(Reales!AA27),IF(AA$171=1,INDEX(Vol_V,16,AA$170)/12*(1+V_dVol),0))</f>
        <v>0</v>
      </c>
      <c r="AB192" s="34" t="n">
        <f aca="false">IF(AB$8=1,N(Reales!AB27),IF(AB$171=1,INDEX(Vol_V,16,AB$170)/12*(1+V_dVol),0))</f>
        <v>0</v>
      </c>
      <c r="AC192" s="34" t="n">
        <f aca="false">IF(AC$8=1,N(Reales!AC27),IF(AC$171=1,INDEX(Vol_V,16,AC$170)/12*(1+V_dVol),0))</f>
        <v>0</v>
      </c>
      <c r="AD192" s="34" t="n">
        <f aca="false">IF(AD$8=1,N(Reales!AD27),IF(AD$171=1,INDEX(Vol_V,16,AD$170)/12*(1+V_dVol),0))</f>
        <v>0</v>
      </c>
      <c r="AE192" s="34" t="n">
        <f aca="false">IF(AE$8=1,N(Reales!AE27),IF(AE$171=1,INDEX(Vol_V,16,AE$170)/12*(1+V_dVol),0))</f>
        <v>0</v>
      </c>
      <c r="AF192" s="34" t="n">
        <f aca="false">IF(AF$8=1,N(Reales!AF27),IF(AF$171=1,INDEX(Vol_V,16,AF$170)/12*(1+V_dVol),0))</f>
        <v>0</v>
      </c>
      <c r="AG192" s="34" t="n">
        <f aca="false">IF(AG$8=1,N(Reales!AG27),IF(AG$171=1,INDEX(Vol_V,16,AG$170)/12*(1+V_dVol),0))</f>
        <v>0</v>
      </c>
      <c r="AH192" s="34" t="n">
        <f aca="false">IF(AH$8=1,N(Reales!AH27),IF(AH$171=1,INDEX(Vol_V,16,AH$170)/12*(1+V_dVol),0))</f>
        <v>0</v>
      </c>
      <c r="AI192" s="34" t="n">
        <f aca="false">IF(AI$8=1,N(Reales!AI27),IF(AI$171=1,INDEX(Vol_V,16,AI$170)/12*(1+V_dVol),0))</f>
        <v>0</v>
      </c>
      <c r="AJ192" s="34" t="n">
        <f aca="false">IF(AJ$8=1,N(Reales!AJ27),IF(AJ$171=1,INDEX(Vol_V,16,AJ$170)/12*(1+V_dVol),0))</f>
        <v>0</v>
      </c>
      <c r="AK192" s="34" t="n">
        <f aca="false">IF(AK$8=1,N(Reales!AK27),IF(AK$171=1,INDEX(Vol_V,16,AK$170)/12*(1+V_dVol),0))</f>
        <v>0</v>
      </c>
      <c r="AL192" s="34" t="n">
        <f aca="false">IF(AL$8=1,N(Reales!AL27),IF(AL$171=1,INDEX(Vol_V,16,AL$170)/12*(1+V_dVol),0))</f>
        <v>0</v>
      </c>
      <c r="AM192" s="34" t="n">
        <f aca="false">IF(AM$8=1,N(Reales!AM27),IF(AM$171=1,INDEX(Vol_V,16,AM$170)/12*(1+V_dVol),0))</f>
        <v>0</v>
      </c>
      <c r="AN192" s="34" t="n">
        <f aca="false">IF(AN$8=1,N(Reales!AN27),IF(AN$171=1,INDEX(Vol_V,16,AN$170)/12*(1+V_dVol),0))</f>
        <v>0</v>
      </c>
      <c r="AO192" s="34" t="n">
        <f aca="false">IF(AO$8=1,N(Reales!AO27),IF(AO$171=1,INDEX(Vol_V,16,AO$170)/12*(1+V_dVol),0))</f>
        <v>0</v>
      </c>
      <c r="AP192" s="34" t="n">
        <f aca="false">IF(AP$8=1,N(Reales!AP27),IF(AP$171=1,INDEX(Vol_V,16,AP$170)/12*(1+V_dVol),0))</f>
        <v>0</v>
      </c>
      <c r="AQ192" s="34" t="n">
        <f aca="false">IF(AQ$8=1,N(Reales!AQ27),IF(AQ$171=1,INDEX(Vol_V,16,AQ$170)/12*(1+V_dVol),0))</f>
        <v>0</v>
      </c>
      <c r="AR192" s="34" t="n">
        <f aca="false">IF(AR$8=1,N(Reales!AR27),IF(AR$171=1,INDEX(Vol_V,16,AR$170)/12*(1+V_dVol),0))</f>
        <v>0</v>
      </c>
      <c r="AS192" s="34" t="n">
        <f aca="false">IF(AS$8=1,N(Reales!AS27),IF(AS$171=1,INDEX(Vol_V,16,AS$170)/12*(1+V_dVol),0))</f>
        <v>0</v>
      </c>
      <c r="AT192" s="34" t="n">
        <f aca="false">IF(AT$8=1,N(Reales!AT27),IF(AT$171=1,INDEX(Vol_V,16,AT$170)/12*(1+V_dVol),0))</f>
        <v>0</v>
      </c>
      <c r="AU192" s="34" t="n">
        <f aca="false">IF(AU$8=1,N(Reales!AU27),IF(AU$171=1,INDEX(Vol_V,16,AU$170)/12*(1+V_dVol),0))</f>
        <v>0</v>
      </c>
      <c r="AV192" s="34" t="n">
        <f aca="false">IF(AV$8=1,N(Reales!AV27),IF(AV$171=1,INDEX(Vol_V,16,AV$170)/12*(1+V_dVol),0))</f>
        <v>0</v>
      </c>
      <c r="AW192" s="34" t="n">
        <f aca="false">IF(AW$8=1,N(Reales!AW27),IF(AW$171=1,INDEX(Vol_V,16,AW$170)/12*(1+V_dVol),0))</f>
        <v>0</v>
      </c>
      <c r="AX192" s="34" t="n">
        <f aca="false">IF(AX$8=1,N(Reales!AX27),IF(AX$171=1,INDEX(Vol_V,16,AX$170)/12*(1+V_dVol),0))</f>
        <v>0</v>
      </c>
      <c r="AY192" s="34" t="n">
        <f aca="false">IF(AY$8=1,N(Reales!AY27),IF(AY$171=1,INDEX(Vol_V,16,AY$170)/12*(1+V_dVol),0))</f>
        <v>0</v>
      </c>
      <c r="AZ192" s="34" t="n">
        <f aca="false">IF(AZ$8=1,N(Reales!AZ27),IF(AZ$171=1,INDEX(Vol_V,16,AZ$170)/12*(1+V_dVol),0))</f>
        <v>0</v>
      </c>
      <c r="BA192" s="34" t="n">
        <f aca="false">IF(BA$8=1,N(Reales!BA27),IF(BA$171=1,INDEX(Vol_V,16,BA$170)/12*(1+V_dVol),0))</f>
        <v>0</v>
      </c>
      <c r="BB192" s="34" t="n">
        <f aca="false">IF(BB$8=1,N(Reales!BB27),IF(BB$171=1,INDEX(Vol_V,16,BB$170)/12*(1+V_dVol),0))</f>
        <v>0</v>
      </c>
      <c r="BC192" s="34" t="n">
        <f aca="false">IF(BC$8=1,N(Reales!BC27),IF(BC$171=1,INDEX(Vol_V,16,BC$170)/12*(1+V_dVol),0))</f>
        <v>0</v>
      </c>
      <c r="BD192" s="34" t="n">
        <f aca="false">IF(BD$8=1,N(Reales!BD27),IF(BD$171=1,INDEX(Vol_V,16,BD$170)/12*(1+V_dVol),0))</f>
        <v>0</v>
      </c>
      <c r="BE192" s="34" t="n">
        <f aca="false">IF(BE$8=1,N(Reales!BE27),IF(BE$171=1,INDEX(Vol_V,16,BE$170)/12*(1+V_dVol),0))</f>
        <v>0</v>
      </c>
      <c r="BF192" s="34" t="n">
        <f aca="false">IF(BF$8=1,N(Reales!BF27),IF(BF$171=1,INDEX(Vol_V,16,BF$170)/12*(1+V_dVol),0))</f>
        <v>0</v>
      </c>
      <c r="BG192" s="34" t="n">
        <f aca="false">IF(BG$8=1,N(Reales!BG27),IF(BG$171=1,INDEX(Vol_V,16,BG$170)/12*(1+V_dVol),0))</f>
        <v>0</v>
      </c>
      <c r="BH192" s="34" t="n">
        <f aca="false">IF(BH$8=1,N(Reales!BH27),IF(BH$171=1,INDEX(Vol_V,16,BH$170)/12*(1+V_dVol),0))</f>
        <v>0</v>
      </c>
      <c r="BI192" s="34" t="n">
        <f aca="false">IF(BI$8=1,N(Reales!BI27),IF(BI$171=1,INDEX(Vol_V,16,BI$170)/12*(1+V_dVol),0))</f>
        <v>0</v>
      </c>
      <c r="BJ192" s="34" t="n">
        <f aca="false">IF(BJ$8=1,N(Reales!BJ27),IF(BJ$171=1,INDEX(Vol_V,16,BJ$170)/12*(1+V_dVol),0))</f>
        <v>0</v>
      </c>
      <c r="BK192" s="34" t="n">
        <f aca="false">IF(BK$8=1,N(Reales!BK27),IF(BK$171=1,INDEX(Vol_V,16,BK$170)/12*(1+V_dVol),0))</f>
        <v>0</v>
      </c>
      <c r="BL192" s="34" t="n">
        <f aca="false">IF(BL$8=1,N(Reales!BL27),IF(BL$171=1,INDEX(Vol_V,16,BL$170)/12*(1+V_dVol),0))</f>
        <v>0</v>
      </c>
      <c r="BM192" s="34" t="n">
        <f aca="false">IF(BM$8=1,N(Reales!BM27),IF(BM$171=1,INDEX(Vol_V,16,BM$170)/12*(1+V_dVol),0))</f>
        <v>0</v>
      </c>
      <c r="BN192" s="34" t="n">
        <f aca="false">IF(BN$8=1,N(Reales!BN27),IF(BN$171=1,INDEX(Vol_V,16,BN$170)/12*(1+V_dVol),0))</f>
        <v>0</v>
      </c>
      <c r="BO192" s="34" t="n">
        <f aca="false">IF(BO$8=1,N(Reales!BO27),IF(BO$171=1,INDEX(Vol_V,16,BO$170)/12*(1+V_dVol),0))</f>
        <v>0</v>
      </c>
      <c r="BP192" s="34" t="n">
        <f aca="false">IF(BP$8=1,N(Reales!BP27),IF(BP$171=1,INDEX(Vol_V,16,BP$170)/12*(1+V_dVol),0))</f>
        <v>0</v>
      </c>
      <c r="BQ192" s="34" t="n">
        <f aca="false">IF(BQ$8=1,N(Reales!BQ27),IF(BQ$171=1,INDEX(Vol_V,16,BQ$170)/12*(1+V_dVol),0))</f>
        <v>0</v>
      </c>
      <c r="BR192" s="34" t="n">
        <f aca="false">IF(BR$8=1,N(Reales!BR27),IF(BR$171=1,INDEX(Vol_V,16,BR$170)/12*(1+V_dVol),0))</f>
        <v>0</v>
      </c>
      <c r="BS192" s="34" t="n">
        <f aca="false">IF(BS$8=1,N(Reales!BS27),IF(BS$171=1,INDEX(Vol_V,16,BS$170)/12*(1+V_dVol),0))</f>
        <v>0</v>
      </c>
      <c r="BT192" s="34" t="n">
        <f aca="false">IF(BT$8=1,N(Reales!BT27),IF(BT$171=1,INDEX(Vol_V,16,BT$170)/12*(1+V_dVol),0))</f>
        <v>0</v>
      </c>
      <c r="BU192" s="34" t="n">
        <f aca="false">IF(BU$8=1,N(Reales!BU27),IF(BU$171=1,INDEX(Vol_V,16,BU$170)/12*(1+V_dVol),0))</f>
        <v>0</v>
      </c>
      <c r="BV192" s="34" t="n">
        <f aca="false">IF(BV$8=1,N(Reales!BV27),IF(BV$171=1,INDEX(Vol_V,16,BV$170)/12*(1+V_dVol),0))</f>
        <v>0</v>
      </c>
      <c r="BW192" s="34" t="n">
        <f aca="false">IF(BW$8=1,N(Reales!BW27),IF(BW$171=1,INDEX(Vol_V,16,BW$170)/12*(1+V_dVol),0))</f>
        <v>0</v>
      </c>
      <c r="BX192" s="34" t="n">
        <f aca="false">IF(BX$8=1,N(Reales!BX27),IF(BX$171=1,INDEX(Vol_V,16,BX$170)/12*(1+V_dVol),0))</f>
        <v>0</v>
      </c>
      <c r="BY192" s="34" t="n">
        <f aca="false">IF(BY$8=1,N(Reales!BY27),IF(BY$171=1,INDEX(Vol_V,16,BY$170)/12*(1+V_dVol),0))</f>
        <v>0</v>
      </c>
      <c r="BZ192" s="34" t="n">
        <f aca="false">IF(BZ$8=1,N(Reales!BZ27),IF(BZ$171=1,INDEX(Vol_V,16,BZ$170)/12*(1+V_dVol),0))</f>
        <v>0</v>
      </c>
      <c r="CA192" s="34" t="n">
        <f aca="false">IF(CA$8=1,N(Reales!CA27),IF(CA$171=1,INDEX(Vol_V,16,CA$170)/12*(1+V_dVol),0))</f>
        <v>0</v>
      </c>
      <c r="CB192" s="34" t="n">
        <f aca="false">IF(CB$8=1,N(Reales!CB27),IF(CB$171=1,INDEX(Vol_V,16,CB$170)/12*(1+V_dVol),0))</f>
        <v>0</v>
      </c>
      <c r="CC192" s="34" t="n">
        <f aca="false">IF(CC$8=1,N(Reales!CC27),IF(CC$171=1,INDEX(Vol_V,16,CC$170)/12*(1+V_dVol),0))</f>
        <v>0</v>
      </c>
      <c r="CD192" s="34" t="n">
        <f aca="false">IF(CD$8=1,N(Reales!CD27),IF(CD$171=1,INDEX(Vol_V,16,CD$170)/12*(1+V_dVol),0))</f>
        <v>0</v>
      </c>
      <c r="CE192" s="34" t="n">
        <f aca="false">IF(CE$8=1,N(Reales!CE27),IF(CE$171=1,INDEX(Vol_V,16,CE$170)/12*(1+V_dVol),0))</f>
        <v>0</v>
      </c>
      <c r="CF192" s="34" t="n">
        <f aca="false">IF(CF$8=1,N(Reales!CF27),IF(CF$171=1,INDEX(Vol_V,16,CF$170)/12*(1+V_dVol),0))</f>
        <v>0</v>
      </c>
      <c r="CG192" s="34" t="n">
        <f aca="false">IF(CG$8=1,N(Reales!CG27),IF(CG$171=1,INDEX(Vol_V,16,CG$170)/12*(1+V_dVol),0))</f>
        <v>0</v>
      </c>
      <c r="CH192" s="34" t="n">
        <f aca="false">IF(CH$8=1,N(Reales!CH27),IF(CH$171=1,INDEX(Vol_V,16,CH$170)/12*(1+V_dVol),0))</f>
        <v>0</v>
      </c>
      <c r="CI192" s="34" t="n">
        <f aca="false">IF(CI$8=1,N(Reales!CI27),IF(CI$171=1,INDEX(Vol_V,16,CI$170)/12*(1+V_dVol),0))</f>
        <v>0</v>
      </c>
      <c r="CJ192" s="34" t="n">
        <f aca="false">IF(CJ$8=1,N(Reales!CJ27),IF(CJ$171=1,INDEX(Vol_V,16,CJ$170)/12*(1+V_dVol),0))</f>
        <v>0</v>
      </c>
      <c r="CK192" s="34" t="n">
        <f aca="false">IF(CK$8=1,N(Reales!CK27),IF(CK$171=1,INDEX(Vol_V,16,CK$170)/12*(1+V_dVol),0))</f>
        <v>0</v>
      </c>
      <c r="CL192" s="34" t="n">
        <f aca="false">IF(CL$8=1,N(Reales!CL27),IF(CL$171=1,INDEX(Vol_V,16,CL$170)/12*(1+V_dVol),0))</f>
        <v>0</v>
      </c>
      <c r="CM192" s="34" t="n">
        <f aca="false">IF(CM$8=1,N(Reales!CM27),IF(CM$171=1,INDEX(Vol_V,16,CM$170)/12*(1+V_dVol),0))</f>
        <v>0</v>
      </c>
      <c r="CN192" s="34" t="n">
        <f aca="false">IF(CN$8=1,N(Reales!CN27),IF(CN$171=1,INDEX(Vol_V,16,CN$170)/12*(1+V_dVol),0))</f>
        <v>0</v>
      </c>
      <c r="CO192" s="34" t="n">
        <f aca="false">IF(CO$8=1,N(Reales!CO27),IF(CO$171=1,INDEX(Vol_V,16,CO$170)/12*(1+V_dVol),0))</f>
        <v>0</v>
      </c>
      <c r="CP192" s="34" t="n">
        <f aca="false">IF(CP$8=1,N(Reales!CP27),IF(CP$171=1,INDEX(Vol_V,16,CP$170)/12*(1+V_dVol),0))</f>
        <v>0</v>
      </c>
      <c r="CQ192" s="34" t="n">
        <f aca="false">IF(CQ$8=1,N(Reales!CQ27),IF(CQ$171=1,INDEX(Vol_V,16,CQ$170)/12*(1+V_dVol),0))</f>
        <v>0</v>
      </c>
      <c r="CR192" s="34" t="n">
        <f aca="false">IF(CR$8=1,N(Reales!CR27),IF(CR$171=1,INDEX(Vol_V,16,CR$170)/12*(1+V_dVol),0))</f>
        <v>0</v>
      </c>
      <c r="CS192" s="34" t="n">
        <f aca="false">IF(CS$8=1,N(Reales!CS27),IF(CS$171=1,INDEX(Vol_V,16,CS$170)/12*(1+V_dVol),0))</f>
        <v>0</v>
      </c>
      <c r="CT192" s="34" t="n">
        <f aca="false">IF(CT$8=1,N(Reales!CT27),IF(CT$171=1,INDEX(Vol_V,16,CT$170)/12*(1+V_dVol),0))</f>
        <v>0</v>
      </c>
      <c r="CU192" s="34" t="n">
        <f aca="false">IF(CU$8=1,N(Reales!CU27),IF(CU$171=1,INDEX(Vol_V,16,CU$170)/12*(1+V_dVol),0))</f>
        <v>0</v>
      </c>
      <c r="CV192" s="34" t="n">
        <f aca="false">IF(CV$8=1,N(Reales!CV27),IF(CV$171=1,INDEX(Vol_V,16,CV$170)/12*(1+V_dVol),0))</f>
        <v>0</v>
      </c>
      <c r="CW192" s="34" t="n">
        <f aca="false">IF(CW$8=1,N(Reales!CW27),IF(CW$171=1,INDEX(Vol_V,16,CW$170)/12*(1+V_dVol),0))</f>
        <v>0</v>
      </c>
      <c r="CX192" s="34" t="n">
        <f aca="false">IF(CX$8=1,N(Reales!CX27),IF(CX$171=1,INDEX(Vol_V,16,CX$170)/12*(1+V_dVol),0))</f>
        <v>0</v>
      </c>
      <c r="CY192" s="34" t="n">
        <f aca="false">IF(CY$8=1,N(Reales!CY27),IF(CY$171=1,INDEX(Vol_V,16,CY$170)/12*(1+V_dVol),0))</f>
        <v>0</v>
      </c>
      <c r="CZ192" s="34" t="n">
        <f aca="false">IF(CZ$8=1,N(Reales!CZ27),IF(CZ$171=1,INDEX(Vol_V,16,CZ$170)/12*(1+V_dVol),0))</f>
        <v>0</v>
      </c>
      <c r="DA192" s="34" t="n">
        <f aca="false">IF(DA$8=1,N(Reales!DA27),IF(DA$171=1,INDEX(Vol_V,16,DA$170)/12*(1+V_dVol),0))</f>
        <v>0</v>
      </c>
      <c r="DB192" s="34" t="n">
        <f aca="false">IF(DB$8=1,N(Reales!DB27),IF(DB$171=1,INDEX(Vol_V,16,DB$170)/12*(1+V_dVol),0))</f>
        <v>0</v>
      </c>
      <c r="DC192" s="34" t="n">
        <f aca="false">IF(DC$8=1,N(Reales!DC27),IF(DC$171=1,INDEX(Vol_V,16,DC$170)/12*(1+V_dVol),0))</f>
        <v>0</v>
      </c>
      <c r="DD192" s="34" t="n">
        <f aca="false">IF(DD$8=1,N(Reales!DD27),IF(DD$171=1,INDEX(Vol_V,16,DD$170)/12*(1+V_dVol),0))</f>
        <v>0</v>
      </c>
      <c r="DE192" s="34" t="n">
        <f aca="false">IF(DE$8=1,N(Reales!DE27),IF(DE$171=1,INDEX(Vol_V,16,DE$170)/12*(1+V_dVol),0))</f>
        <v>0</v>
      </c>
      <c r="DF192" s="34" t="n">
        <f aca="false">IF(DF$8=1,N(Reales!DF27),IF(DF$171=1,INDEX(Vol_V,16,DF$170)/12*(1+V_dVol),0))</f>
        <v>0</v>
      </c>
      <c r="DG192" s="34" t="n">
        <f aca="false">IF(DG$8=1,N(Reales!DG27),IF(DG$171=1,INDEX(Vol_V,16,DG$170)/12*(1+V_dVol),0))</f>
        <v>0</v>
      </c>
      <c r="DH192" s="34" t="n">
        <f aca="false">IF(DH$8=1,N(Reales!DH27),IF(DH$171=1,INDEX(Vol_V,16,DH$170)/12*(1+V_dVol),0))</f>
        <v>0</v>
      </c>
      <c r="DI192" s="34" t="n">
        <f aca="false">IF(DI$8=1,N(Reales!DI27),IF(DI$171=1,INDEX(Vol_V,16,DI$170)/12*(1+V_dVol),0))</f>
        <v>0</v>
      </c>
      <c r="DJ192" s="34" t="n">
        <f aca="false">IF(DJ$8=1,N(Reales!DJ27),IF(DJ$171=1,INDEX(Vol_V,16,DJ$170)/12*(1+V_dVol),0))</f>
        <v>0</v>
      </c>
      <c r="DK192" s="34" t="n">
        <f aca="false">IF(DK$8=1,N(Reales!DK27),IF(DK$171=1,INDEX(Vol_V,16,DK$170)/12*(1+V_dVol),0))</f>
        <v>0</v>
      </c>
      <c r="DL192" s="34" t="n">
        <f aca="false">IF(DL$8=1,N(Reales!DL27),IF(DL$171=1,INDEX(Vol_V,16,DL$170)/12*(1+V_dVol),0))</f>
        <v>0</v>
      </c>
      <c r="DM192" s="34" t="n">
        <f aca="false">IF(DM$8=1,N(Reales!DM27),IF(DM$171=1,INDEX(Vol_V,16,DM$170)/12*(1+V_dVol),0))</f>
        <v>0</v>
      </c>
      <c r="DN192" s="34" t="n">
        <f aca="false">IF(DN$8=1,N(Reales!DN27),IF(DN$171=1,INDEX(Vol_V,16,DN$170)/12*(1+V_dVol),0))</f>
        <v>0</v>
      </c>
      <c r="DO192" s="34" t="n">
        <f aca="false">IF(DO$8=1,N(Reales!DO27),IF(DO$171=1,INDEX(Vol_V,16,DO$170)/12*(1+V_dVol),0))</f>
        <v>0</v>
      </c>
      <c r="DP192" s="34" t="n">
        <f aca="false">IF(DP$8=1,N(Reales!DP27),IF(DP$171=1,INDEX(Vol_V,16,DP$170)/12*(1+V_dVol),0))</f>
        <v>0</v>
      </c>
      <c r="DQ192" s="34" t="n">
        <f aca="false">IF(DQ$8=1,N(Reales!DQ27),IF(DQ$171=1,INDEX(Vol_V,16,DQ$170)/12*(1+V_dVol),0))</f>
        <v>0</v>
      </c>
      <c r="DR192" s="34" t="n">
        <f aca="false">IF(DR$8=1,N(Reales!DR27),IF(DR$171=1,INDEX(Vol_V,16,DR$170)/12*(1+V_dVol),0))</f>
        <v>0</v>
      </c>
      <c r="DS192" s="34" t="n">
        <f aca="false">IF(DS$8=1,N(Reales!DS27),IF(DS$171=1,INDEX(Vol_V,16,DS$170)/12*(1+V_dVol),0))</f>
        <v>0</v>
      </c>
      <c r="DT192" s="34" t="n">
        <f aca="false">IF(DT$8=1,N(Reales!DT27),IF(DT$171=1,INDEX(Vol_V,16,DT$170)/12*(1+V_dVol),0))</f>
        <v>0</v>
      </c>
      <c r="DU192" s="34" t="n">
        <f aca="false">IF(DU$8=1,N(Reales!DU27),IF(DU$171=1,INDEX(Vol_V,16,DU$170)/12*(1+V_dVol),0))</f>
        <v>0</v>
      </c>
      <c r="DV192" s="34" t="n">
        <f aca="false">IF(DV$8=1,N(Reales!DV27),IF(DV$171=1,INDEX(Vol_V,16,DV$170)/12*(1+V_dVol),0))</f>
        <v>0</v>
      </c>
      <c r="DW192" s="34" t="n">
        <f aca="false">IF(DW$8=1,N(Reales!DW27),IF(DW$171=1,INDEX(Vol_V,16,DW$170)/12*(1+V_dVol),0))</f>
        <v>0</v>
      </c>
      <c r="DX192" s="34" t="n">
        <f aca="false">IF(DX$8=1,N(Reales!DX27),IF(DX$171=1,INDEX(Vol_V,16,DX$170)/12*(1+V_dVol),0))</f>
        <v>0</v>
      </c>
      <c r="DY192" s="34" t="n">
        <f aca="false">IF(DY$8=1,N(Reales!DY27),IF(DY$171=1,INDEX(Vol_V,16,DY$170)/12*(1+V_dVol),0))</f>
        <v>0</v>
      </c>
      <c r="DZ192" s="34" t="n">
        <f aca="false">IF(DZ$8=1,N(Reales!DZ27),IF(DZ$171=1,INDEX(Vol_V,16,DZ$170)/12*(1+V_dVol),0))</f>
        <v>0</v>
      </c>
      <c r="EA192" s="34" t="n">
        <f aca="false">IF(EA$8=1,N(Reales!EA27),IF(EA$171=1,INDEX(Vol_V,16,EA$170)/12*(1+V_dVol),0))</f>
        <v>0</v>
      </c>
      <c r="EB192" s="34" t="n">
        <f aca="false">IF(EB$8=1,N(Reales!EB27),IF(EB$171=1,INDEX(Vol_V,16,EB$170)/12*(1+V_dVol),0))</f>
        <v>0</v>
      </c>
      <c r="EC192" s="34" t="n">
        <f aca="false">IF(EC$8=1,N(Reales!EC27),IF(EC$171=1,INDEX(Vol_V,16,EC$170)/12*(1+V_dVol),0))</f>
        <v>0</v>
      </c>
      <c r="ED192" s="34" t="n">
        <f aca="false">IF(ED$8=1,N(Reales!ED27),IF(ED$171=1,INDEX(Vol_V,16,ED$170)/12*(1+V_dVol),0))</f>
        <v>0</v>
      </c>
      <c r="EE192" s="34" t="n">
        <f aca="false">IF(EE$8=1,N(Reales!EE27),IF(EE$171=1,INDEX(Vol_V,16,EE$170)/12*(1+V_dVol),0))</f>
        <v>0</v>
      </c>
      <c r="EF192" s="34" t="n">
        <f aca="false">IF(EF$8=1,N(Reales!EF27),IF(EF$171=1,INDEX(Vol_V,16,EF$170)/12*(1+V_dVol),0))</f>
        <v>0</v>
      </c>
      <c r="EG192" s="34" t="n">
        <f aca="false">IF(EG$8=1,N(Reales!EG27),IF(EG$171=1,INDEX(Vol_V,16,EG$170)/12*(1+V_dVol),0))</f>
        <v>0</v>
      </c>
      <c r="EH192" s="34" t="n">
        <f aca="false">IF(EH$8=1,N(Reales!EH27),IF(EH$171=1,INDEX(Vol_V,16,EH$170)/12*(1+V_dVol),0))</f>
        <v>0</v>
      </c>
      <c r="EI192" s="34" t="n">
        <f aca="false">IF(EI$8=1,N(Reales!EI27),IF(EI$171=1,INDEX(Vol_V,16,EI$170)/12*(1+V_dVol),0))</f>
        <v>0</v>
      </c>
      <c r="EJ192" s="34" t="n">
        <f aca="false">IF(EJ$8=1,N(Reales!EJ27),IF(EJ$171=1,INDEX(Vol_V,16,EJ$170)/12*(1+V_dVol),0))</f>
        <v>0</v>
      </c>
      <c r="EK192" s="34" t="n">
        <f aca="false">IF(EK$8=1,N(Reales!EK27),IF(EK$171=1,INDEX(Vol_V,16,EK$170)/12*(1+V_dVol),0))</f>
        <v>0</v>
      </c>
      <c r="EL192" s="34" t="n">
        <f aca="false">IF(EL$8=1,N(Reales!EL27),IF(EL$171=1,INDEX(Vol_V,16,EL$170)/12*(1+V_dVol),0))</f>
        <v>0</v>
      </c>
      <c r="EM192" s="34" t="n">
        <f aca="false">IF(EM$8=1,N(Reales!EM27),IF(EM$171=1,INDEX(Vol_V,16,EM$170)/12*(1+V_dVol),0))</f>
        <v>0</v>
      </c>
      <c r="EN192" s="34" t="n">
        <f aca="false">IF(EN$8=1,N(Reales!EN27),IF(EN$171=1,INDEX(Vol_V,16,EN$170)/12*(1+V_dVol),0))</f>
        <v>0</v>
      </c>
      <c r="EO192" s="34" t="n">
        <f aca="false">IF(EO$8=1,N(Reales!EO27),IF(EO$171=1,INDEX(Vol_V,16,EO$170)/12*(1+V_dVol),0))</f>
        <v>0</v>
      </c>
      <c r="EP192" s="34" t="n">
        <f aca="false">IF(EP$8=1,N(Reales!EP27),IF(EP$171=1,INDEX(Vol_V,16,EP$170)/12*(1+V_dVol),0))</f>
        <v>0</v>
      </c>
      <c r="EQ192" s="34" t="n">
        <f aca="false">IF(EQ$8=1,N(Reales!EQ27),IF(EQ$171=1,INDEX(Vol_V,16,EQ$170)/12*(1+V_dVol),0))</f>
        <v>0</v>
      </c>
      <c r="ER192" s="34" t="n">
        <f aca="false">IF(ER$8=1,N(Reales!ER27),IF(ER$171=1,INDEX(Vol_V,16,ER$170)/12*(1+V_dVol),0))</f>
        <v>0</v>
      </c>
      <c r="ES192" s="34" t="n">
        <f aca="false">IF(ES$8=1,N(Reales!ES27),IF(ES$171=1,INDEX(Vol_V,16,ES$170)/12*(1+V_dVol),0))</f>
        <v>0</v>
      </c>
    </row>
    <row r="193" customFormat="false" ht="15" hidden="false" customHeight="false" outlineLevel="0" collapsed="false">
      <c r="A193" s="2" t="s">
        <v>835</v>
      </c>
      <c r="B193" s="39" t="str">
        <f aca="false">IF(INDEX(Prod_Nombre,17)="","Producto 17",INDEX(Prod_Nombre,17))&amp;" — unidades"</f>
        <v>Producto 17 — unidades</v>
      </c>
      <c r="C193" s="6" t="s">
        <v>286</v>
      </c>
      <c r="E193" s="40" t="n">
        <f aca="false">SUM(F193:ES193)</f>
        <v>0</v>
      </c>
      <c r="F193" s="34" t="n">
        <f aca="false">IF(F$8=1,N(Reales!F28),IF(F$171=1,INDEX(Vol_V,17,F$170)/12*(1+V_dVol),0))</f>
        <v>0</v>
      </c>
      <c r="G193" s="34" t="n">
        <f aca="false">IF(G$8=1,N(Reales!G28),IF(G$171=1,INDEX(Vol_V,17,G$170)/12*(1+V_dVol),0))</f>
        <v>0</v>
      </c>
      <c r="H193" s="34" t="n">
        <f aca="false">IF(H$8=1,N(Reales!H28),IF(H$171=1,INDEX(Vol_V,17,H$170)/12*(1+V_dVol),0))</f>
        <v>0</v>
      </c>
      <c r="I193" s="34" t="n">
        <f aca="false">IF(I$8=1,N(Reales!I28),IF(I$171=1,INDEX(Vol_V,17,I$170)/12*(1+V_dVol),0))</f>
        <v>0</v>
      </c>
      <c r="J193" s="34" t="n">
        <f aca="false">IF(J$8=1,N(Reales!J28),IF(J$171=1,INDEX(Vol_V,17,J$170)/12*(1+V_dVol),0))</f>
        <v>0</v>
      </c>
      <c r="K193" s="34" t="n">
        <f aca="false">IF(K$8=1,N(Reales!K28),IF(K$171=1,INDEX(Vol_V,17,K$170)/12*(1+V_dVol),0))</f>
        <v>0</v>
      </c>
      <c r="L193" s="34" t="n">
        <f aca="false">IF(L$8=1,N(Reales!L28),IF(L$171=1,INDEX(Vol_V,17,L$170)/12*(1+V_dVol),0))</f>
        <v>0</v>
      </c>
      <c r="M193" s="34" t="n">
        <f aca="false">IF(M$8=1,N(Reales!M28),IF(M$171=1,INDEX(Vol_V,17,M$170)/12*(1+V_dVol),0))</f>
        <v>0</v>
      </c>
      <c r="N193" s="34" t="n">
        <f aca="false">IF(N$8=1,N(Reales!N28),IF(N$171=1,INDEX(Vol_V,17,N$170)/12*(1+V_dVol),0))</f>
        <v>0</v>
      </c>
      <c r="O193" s="34" t="n">
        <f aca="false">IF(O$8=1,N(Reales!O28),IF(O$171=1,INDEX(Vol_V,17,O$170)/12*(1+V_dVol),0))</f>
        <v>0</v>
      </c>
      <c r="P193" s="34" t="n">
        <f aca="false">IF(P$8=1,N(Reales!P28),IF(P$171=1,INDEX(Vol_V,17,P$170)/12*(1+V_dVol),0))</f>
        <v>0</v>
      </c>
      <c r="Q193" s="34" t="n">
        <f aca="false">IF(Q$8=1,N(Reales!Q28),IF(Q$171=1,INDEX(Vol_V,17,Q$170)/12*(1+V_dVol),0))</f>
        <v>0</v>
      </c>
      <c r="R193" s="34" t="n">
        <f aca="false">IF(R$8=1,N(Reales!R28),IF(R$171=1,INDEX(Vol_V,17,R$170)/12*(1+V_dVol),0))</f>
        <v>0</v>
      </c>
      <c r="S193" s="34" t="n">
        <f aca="false">IF(S$8=1,N(Reales!S28),IF(S$171=1,INDEX(Vol_V,17,S$170)/12*(1+V_dVol),0))</f>
        <v>0</v>
      </c>
      <c r="T193" s="34" t="n">
        <f aca="false">IF(T$8=1,N(Reales!T28),IF(T$171=1,INDEX(Vol_V,17,T$170)/12*(1+V_dVol),0))</f>
        <v>0</v>
      </c>
      <c r="U193" s="34" t="n">
        <f aca="false">IF(U$8=1,N(Reales!U28),IF(U$171=1,INDEX(Vol_V,17,U$170)/12*(1+V_dVol),0))</f>
        <v>0</v>
      </c>
      <c r="V193" s="34" t="n">
        <f aca="false">IF(V$8=1,N(Reales!V28),IF(V$171=1,INDEX(Vol_V,17,V$170)/12*(1+V_dVol),0))</f>
        <v>0</v>
      </c>
      <c r="W193" s="34" t="n">
        <f aca="false">IF(W$8=1,N(Reales!W28),IF(W$171=1,INDEX(Vol_V,17,W$170)/12*(1+V_dVol),0))</f>
        <v>0</v>
      </c>
      <c r="X193" s="34" t="n">
        <f aca="false">IF(X$8=1,N(Reales!X28),IF(X$171=1,INDEX(Vol_V,17,X$170)/12*(1+V_dVol),0))</f>
        <v>0</v>
      </c>
      <c r="Y193" s="34" t="n">
        <f aca="false">IF(Y$8=1,N(Reales!Y28),IF(Y$171=1,INDEX(Vol_V,17,Y$170)/12*(1+V_dVol),0))</f>
        <v>0</v>
      </c>
      <c r="Z193" s="34" t="n">
        <f aca="false">IF(Z$8=1,N(Reales!Z28),IF(Z$171=1,INDEX(Vol_V,17,Z$170)/12*(1+V_dVol),0))</f>
        <v>0</v>
      </c>
      <c r="AA193" s="34" t="n">
        <f aca="false">IF(AA$8=1,N(Reales!AA28),IF(AA$171=1,INDEX(Vol_V,17,AA$170)/12*(1+V_dVol),0))</f>
        <v>0</v>
      </c>
      <c r="AB193" s="34" t="n">
        <f aca="false">IF(AB$8=1,N(Reales!AB28),IF(AB$171=1,INDEX(Vol_V,17,AB$170)/12*(1+V_dVol),0))</f>
        <v>0</v>
      </c>
      <c r="AC193" s="34" t="n">
        <f aca="false">IF(AC$8=1,N(Reales!AC28),IF(AC$171=1,INDEX(Vol_V,17,AC$170)/12*(1+V_dVol),0))</f>
        <v>0</v>
      </c>
      <c r="AD193" s="34" t="n">
        <f aca="false">IF(AD$8=1,N(Reales!AD28),IF(AD$171=1,INDEX(Vol_V,17,AD$170)/12*(1+V_dVol),0))</f>
        <v>0</v>
      </c>
      <c r="AE193" s="34" t="n">
        <f aca="false">IF(AE$8=1,N(Reales!AE28),IF(AE$171=1,INDEX(Vol_V,17,AE$170)/12*(1+V_dVol),0))</f>
        <v>0</v>
      </c>
      <c r="AF193" s="34" t="n">
        <f aca="false">IF(AF$8=1,N(Reales!AF28),IF(AF$171=1,INDEX(Vol_V,17,AF$170)/12*(1+V_dVol),0))</f>
        <v>0</v>
      </c>
      <c r="AG193" s="34" t="n">
        <f aca="false">IF(AG$8=1,N(Reales!AG28),IF(AG$171=1,INDEX(Vol_V,17,AG$170)/12*(1+V_dVol),0))</f>
        <v>0</v>
      </c>
      <c r="AH193" s="34" t="n">
        <f aca="false">IF(AH$8=1,N(Reales!AH28),IF(AH$171=1,INDEX(Vol_V,17,AH$170)/12*(1+V_dVol),0))</f>
        <v>0</v>
      </c>
      <c r="AI193" s="34" t="n">
        <f aca="false">IF(AI$8=1,N(Reales!AI28),IF(AI$171=1,INDEX(Vol_V,17,AI$170)/12*(1+V_dVol),0))</f>
        <v>0</v>
      </c>
      <c r="AJ193" s="34" t="n">
        <f aca="false">IF(AJ$8=1,N(Reales!AJ28),IF(AJ$171=1,INDEX(Vol_V,17,AJ$170)/12*(1+V_dVol),0))</f>
        <v>0</v>
      </c>
      <c r="AK193" s="34" t="n">
        <f aca="false">IF(AK$8=1,N(Reales!AK28),IF(AK$171=1,INDEX(Vol_V,17,AK$170)/12*(1+V_dVol),0))</f>
        <v>0</v>
      </c>
      <c r="AL193" s="34" t="n">
        <f aca="false">IF(AL$8=1,N(Reales!AL28),IF(AL$171=1,INDEX(Vol_V,17,AL$170)/12*(1+V_dVol),0))</f>
        <v>0</v>
      </c>
      <c r="AM193" s="34" t="n">
        <f aca="false">IF(AM$8=1,N(Reales!AM28),IF(AM$171=1,INDEX(Vol_V,17,AM$170)/12*(1+V_dVol),0))</f>
        <v>0</v>
      </c>
      <c r="AN193" s="34" t="n">
        <f aca="false">IF(AN$8=1,N(Reales!AN28),IF(AN$171=1,INDEX(Vol_V,17,AN$170)/12*(1+V_dVol),0))</f>
        <v>0</v>
      </c>
      <c r="AO193" s="34" t="n">
        <f aca="false">IF(AO$8=1,N(Reales!AO28),IF(AO$171=1,INDEX(Vol_V,17,AO$170)/12*(1+V_dVol),0))</f>
        <v>0</v>
      </c>
      <c r="AP193" s="34" t="n">
        <f aca="false">IF(AP$8=1,N(Reales!AP28),IF(AP$171=1,INDEX(Vol_V,17,AP$170)/12*(1+V_dVol),0))</f>
        <v>0</v>
      </c>
      <c r="AQ193" s="34" t="n">
        <f aca="false">IF(AQ$8=1,N(Reales!AQ28),IF(AQ$171=1,INDEX(Vol_V,17,AQ$170)/12*(1+V_dVol),0))</f>
        <v>0</v>
      </c>
      <c r="AR193" s="34" t="n">
        <f aca="false">IF(AR$8=1,N(Reales!AR28),IF(AR$171=1,INDEX(Vol_V,17,AR$170)/12*(1+V_dVol),0))</f>
        <v>0</v>
      </c>
      <c r="AS193" s="34" t="n">
        <f aca="false">IF(AS$8=1,N(Reales!AS28),IF(AS$171=1,INDEX(Vol_V,17,AS$170)/12*(1+V_dVol),0))</f>
        <v>0</v>
      </c>
      <c r="AT193" s="34" t="n">
        <f aca="false">IF(AT$8=1,N(Reales!AT28),IF(AT$171=1,INDEX(Vol_V,17,AT$170)/12*(1+V_dVol),0))</f>
        <v>0</v>
      </c>
      <c r="AU193" s="34" t="n">
        <f aca="false">IF(AU$8=1,N(Reales!AU28),IF(AU$171=1,INDEX(Vol_V,17,AU$170)/12*(1+V_dVol),0))</f>
        <v>0</v>
      </c>
      <c r="AV193" s="34" t="n">
        <f aca="false">IF(AV$8=1,N(Reales!AV28),IF(AV$171=1,INDEX(Vol_V,17,AV$170)/12*(1+V_dVol),0))</f>
        <v>0</v>
      </c>
      <c r="AW193" s="34" t="n">
        <f aca="false">IF(AW$8=1,N(Reales!AW28),IF(AW$171=1,INDEX(Vol_V,17,AW$170)/12*(1+V_dVol),0))</f>
        <v>0</v>
      </c>
      <c r="AX193" s="34" t="n">
        <f aca="false">IF(AX$8=1,N(Reales!AX28),IF(AX$171=1,INDEX(Vol_V,17,AX$170)/12*(1+V_dVol),0))</f>
        <v>0</v>
      </c>
      <c r="AY193" s="34" t="n">
        <f aca="false">IF(AY$8=1,N(Reales!AY28),IF(AY$171=1,INDEX(Vol_V,17,AY$170)/12*(1+V_dVol),0))</f>
        <v>0</v>
      </c>
      <c r="AZ193" s="34" t="n">
        <f aca="false">IF(AZ$8=1,N(Reales!AZ28),IF(AZ$171=1,INDEX(Vol_V,17,AZ$170)/12*(1+V_dVol),0))</f>
        <v>0</v>
      </c>
      <c r="BA193" s="34" t="n">
        <f aca="false">IF(BA$8=1,N(Reales!BA28),IF(BA$171=1,INDEX(Vol_V,17,BA$170)/12*(1+V_dVol),0))</f>
        <v>0</v>
      </c>
      <c r="BB193" s="34" t="n">
        <f aca="false">IF(BB$8=1,N(Reales!BB28),IF(BB$171=1,INDEX(Vol_V,17,BB$170)/12*(1+V_dVol),0))</f>
        <v>0</v>
      </c>
      <c r="BC193" s="34" t="n">
        <f aca="false">IF(BC$8=1,N(Reales!BC28),IF(BC$171=1,INDEX(Vol_V,17,BC$170)/12*(1+V_dVol),0))</f>
        <v>0</v>
      </c>
      <c r="BD193" s="34" t="n">
        <f aca="false">IF(BD$8=1,N(Reales!BD28),IF(BD$171=1,INDEX(Vol_V,17,BD$170)/12*(1+V_dVol),0))</f>
        <v>0</v>
      </c>
      <c r="BE193" s="34" t="n">
        <f aca="false">IF(BE$8=1,N(Reales!BE28),IF(BE$171=1,INDEX(Vol_V,17,BE$170)/12*(1+V_dVol),0))</f>
        <v>0</v>
      </c>
      <c r="BF193" s="34" t="n">
        <f aca="false">IF(BF$8=1,N(Reales!BF28),IF(BF$171=1,INDEX(Vol_V,17,BF$170)/12*(1+V_dVol),0))</f>
        <v>0</v>
      </c>
      <c r="BG193" s="34" t="n">
        <f aca="false">IF(BG$8=1,N(Reales!BG28),IF(BG$171=1,INDEX(Vol_V,17,BG$170)/12*(1+V_dVol),0))</f>
        <v>0</v>
      </c>
      <c r="BH193" s="34" t="n">
        <f aca="false">IF(BH$8=1,N(Reales!BH28),IF(BH$171=1,INDEX(Vol_V,17,BH$170)/12*(1+V_dVol),0))</f>
        <v>0</v>
      </c>
      <c r="BI193" s="34" t="n">
        <f aca="false">IF(BI$8=1,N(Reales!BI28),IF(BI$171=1,INDEX(Vol_V,17,BI$170)/12*(1+V_dVol),0))</f>
        <v>0</v>
      </c>
      <c r="BJ193" s="34" t="n">
        <f aca="false">IF(BJ$8=1,N(Reales!BJ28),IF(BJ$171=1,INDEX(Vol_V,17,BJ$170)/12*(1+V_dVol),0))</f>
        <v>0</v>
      </c>
      <c r="BK193" s="34" t="n">
        <f aca="false">IF(BK$8=1,N(Reales!BK28),IF(BK$171=1,INDEX(Vol_V,17,BK$170)/12*(1+V_dVol),0))</f>
        <v>0</v>
      </c>
      <c r="BL193" s="34" t="n">
        <f aca="false">IF(BL$8=1,N(Reales!BL28),IF(BL$171=1,INDEX(Vol_V,17,BL$170)/12*(1+V_dVol),0))</f>
        <v>0</v>
      </c>
      <c r="BM193" s="34" t="n">
        <f aca="false">IF(BM$8=1,N(Reales!BM28),IF(BM$171=1,INDEX(Vol_V,17,BM$170)/12*(1+V_dVol),0))</f>
        <v>0</v>
      </c>
      <c r="BN193" s="34" t="n">
        <f aca="false">IF(BN$8=1,N(Reales!BN28),IF(BN$171=1,INDEX(Vol_V,17,BN$170)/12*(1+V_dVol),0))</f>
        <v>0</v>
      </c>
      <c r="BO193" s="34" t="n">
        <f aca="false">IF(BO$8=1,N(Reales!BO28),IF(BO$171=1,INDEX(Vol_V,17,BO$170)/12*(1+V_dVol),0))</f>
        <v>0</v>
      </c>
      <c r="BP193" s="34" t="n">
        <f aca="false">IF(BP$8=1,N(Reales!BP28),IF(BP$171=1,INDEX(Vol_V,17,BP$170)/12*(1+V_dVol),0))</f>
        <v>0</v>
      </c>
      <c r="BQ193" s="34" t="n">
        <f aca="false">IF(BQ$8=1,N(Reales!BQ28),IF(BQ$171=1,INDEX(Vol_V,17,BQ$170)/12*(1+V_dVol),0))</f>
        <v>0</v>
      </c>
      <c r="BR193" s="34" t="n">
        <f aca="false">IF(BR$8=1,N(Reales!BR28),IF(BR$171=1,INDEX(Vol_V,17,BR$170)/12*(1+V_dVol),0))</f>
        <v>0</v>
      </c>
      <c r="BS193" s="34" t="n">
        <f aca="false">IF(BS$8=1,N(Reales!BS28),IF(BS$171=1,INDEX(Vol_V,17,BS$170)/12*(1+V_dVol),0))</f>
        <v>0</v>
      </c>
      <c r="BT193" s="34" t="n">
        <f aca="false">IF(BT$8=1,N(Reales!BT28),IF(BT$171=1,INDEX(Vol_V,17,BT$170)/12*(1+V_dVol),0))</f>
        <v>0</v>
      </c>
      <c r="BU193" s="34" t="n">
        <f aca="false">IF(BU$8=1,N(Reales!BU28),IF(BU$171=1,INDEX(Vol_V,17,BU$170)/12*(1+V_dVol),0))</f>
        <v>0</v>
      </c>
      <c r="BV193" s="34" t="n">
        <f aca="false">IF(BV$8=1,N(Reales!BV28),IF(BV$171=1,INDEX(Vol_V,17,BV$170)/12*(1+V_dVol),0))</f>
        <v>0</v>
      </c>
      <c r="BW193" s="34" t="n">
        <f aca="false">IF(BW$8=1,N(Reales!BW28),IF(BW$171=1,INDEX(Vol_V,17,BW$170)/12*(1+V_dVol),0))</f>
        <v>0</v>
      </c>
      <c r="BX193" s="34" t="n">
        <f aca="false">IF(BX$8=1,N(Reales!BX28),IF(BX$171=1,INDEX(Vol_V,17,BX$170)/12*(1+V_dVol),0))</f>
        <v>0</v>
      </c>
      <c r="BY193" s="34" t="n">
        <f aca="false">IF(BY$8=1,N(Reales!BY28),IF(BY$171=1,INDEX(Vol_V,17,BY$170)/12*(1+V_dVol),0))</f>
        <v>0</v>
      </c>
      <c r="BZ193" s="34" t="n">
        <f aca="false">IF(BZ$8=1,N(Reales!BZ28),IF(BZ$171=1,INDEX(Vol_V,17,BZ$170)/12*(1+V_dVol),0))</f>
        <v>0</v>
      </c>
      <c r="CA193" s="34" t="n">
        <f aca="false">IF(CA$8=1,N(Reales!CA28),IF(CA$171=1,INDEX(Vol_V,17,CA$170)/12*(1+V_dVol),0))</f>
        <v>0</v>
      </c>
      <c r="CB193" s="34" t="n">
        <f aca="false">IF(CB$8=1,N(Reales!CB28),IF(CB$171=1,INDEX(Vol_V,17,CB$170)/12*(1+V_dVol),0))</f>
        <v>0</v>
      </c>
      <c r="CC193" s="34" t="n">
        <f aca="false">IF(CC$8=1,N(Reales!CC28),IF(CC$171=1,INDEX(Vol_V,17,CC$170)/12*(1+V_dVol),0))</f>
        <v>0</v>
      </c>
      <c r="CD193" s="34" t="n">
        <f aca="false">IF(CD$8=1,N(Reales!CD28),IF(CD$171=1,INDEX(Vol_V,17,CD$170)/12*(1+V_dVol),0))</f>
        <v>0</v>
      </c>
      <c r="CE193" s="34" t="n">
        <f aca="false">IF(CE$8=1,N(Reales!CE28),IF(CE$171=1,INDEX(Vol_V,17,CE$170)/12*(1+V_dVol),0))</f>
        <v>0</v>
      </c>
      <c r="CF193" s="34" t="n">
        <f aca="false">IF(CF$8=1,N(Reales!CF28),IF(CF$171=1,INDEX(Vol_V,17,CF$170)/12*(1+V_dVol),0))</f>
        <v>0</v>
      </c>
      <c r="CG193" s="34" t="n">
        <f aca="false">IF(CG$8=1,N(Reales!CG28),IF(CG$171=1,INDEX(Vol_V,17,CG$170)/12*(1+V_dVol),0))</f>
        <v>0</v>
      </c>
      <c r="CH193" s="34" t="n">
        <f aca="false">IF(CH$8=1,N(Reales!CH28),IF(CH$171=1,INDEX(Vol_V,17,CH$170)/12*(1+V_dVol),0))</f>
        <v>0</v>
      </c>
      <c r="CI193" s="34" t="n">
        <f aca="false">IF(CI$8=1,N(Reales!CI28),IF(CI$171=1,INDEX(Vol_V,17,CI$170)/12*(1+V_dVol),0))</f>
        <v>0</v>
      </c>
      <c r="CJ193" s="34" t="n">
        <f aca="false">IF(CJ$8=1,N(Reales!CJ28),IF(CJ$171=1,INDEX(Vol_V,17,CJ$170)/12*(1+V_dVol),0))</f>
        <v>0</v>
      </c>
      <c r="CK193" s="34" t="n">
        <f aca="false">IF(CK$8=1,N(Reales!CK28),IF(CK$171=1,INDEX(Vol_V,17,CK$170)/12*(1+V_dVol),0))</f>
        <v>0</v>
      </c>
      <c r="CL193" s="34" t="n">
        <f aca="false">IF(CL$8=1,N(Reales!CL28),IF(CL$171=1,INDEX(Vol_V,17,CL$170)/12*(1+V_dVol),0))</f>
        <v>0</v>
      </c>
      <c r="CM193" s="34" t="n">
        <f aca="false">IF(CM$8=1,N(Reales!CM28),IF(CM$171=1,INDEX(Vol_V,17,CM$170)/12*(1+V_dVol),0))</f>
        <v>0</v>
      </c>
      <c r="CN193" s="34" t="n">
        <f aca="false">IF(CN$8=1,N(Reales!CN28),IF(CN$171=1,INDEX(Vol_V,17,CN$170)/12*(1+V_dVol),0))</f>
        <v>0</v>
      </c>
      <c r="CO193" s="34" t="n">
        <f aca="false">IF(CO$8=1,N(Reales!CO28),IF(CO$171=1,INDEX(Vol_V,17,CO$170)/12*(1+V_dVol),0))</f>
        <v>0</v>
      </c>
      <c r="CP193" s="34" t="n">
        <f aca="false">IF(CP$8=1,N(Reales!CP28),IF(CP$171=1,INDEX(Vol_V,17,CP$170)/12*(1+V_dVol),0))</f>
        <v>0</v>
      </c>
      <c r="CQ193" s="34" t="n">
        <f aca="false">IF(CQ$8=1,N(Reales!CQ28),IF(CQ$171=1,INDEX(Vol_V,17,CQ$170)/12*(1+V_dVol),0))</f>
        <v>0</v>
      </c>
      <c r="CR193" s="34" t="n">
        <f aca="false">IF(CR$8=1,N(Reales!CR28),IF(CR$171=1,INDEX(Vol_V,17,CR$170)/12*(1+V_dVol),0))</f>
        <v>0</v>
      </c>
      <c r="CS193" s="34" t="n">
        <f aca="false">IF(CS$8=1,N(Reales!CS28),IF(CS$171=1,INDEX(Vol_V,17,CS$170)/12*(1+V_dVol),0))</f>
        <v>0</v>
      </c>
      <c r="CT193" s="34" t="n">
        <f aca="false">IF(CT$8=1,N(Reales!CT28),IF(CT$171=1,INDEX(Vol_V,17,CT$170)/12*(1+V_dVol),0))</f>
        <v>0</v>
      </c>
      <c r="CU193" s="34" t="n">
        <f aca="false">IF(CU$8=1,N(Reales!CU28),IF(CU$171=1,INDEX(Vol_V,17,CU$170)/12*(1+V_dVol),0))</f>
        <v>0</v>
      </c>
      <c r="CV193" s="34" t="n">
        <f aca="false">IF(CV$8=1,N(Reales!CV28),IF(CV$171=1,INDEX(Vol_V,17,CV$170)/12*(1+V_dVol),0))</f>
        <v>0</v>
      </c>
      <c r="CW193" s="34" t="n">
        <f aca="false">IF(CW$8=1,N(Reales!CW28),IF(CW$171=1,INDEX(Vol_V,17,CW$170)/12*(1+V_dVol),0))</f>
        <v>0</v>
      </c>
      <c r="CX193" s="34" t="n">
        <f aca="false">IF(CX$8=1,N(Reales!CX28),IF(CX$171=1,INDEX(Vol_V,17,CX$170)/12*(1+V_dVol),0))</f>
        <v>0</v>
      </c>
      <c r="CY193" s="34" t="n">
        <f aca="false">IF(CY$8=1,N(Reales!CY28),IF(CY$171=1,INDEX(Vol_V,17,CY$170)/12*(1+V_dVol),0))</f>
        <v>0</v>
      </c>
      <c r="CZ193" s="34" t="n">
        <f aca="false">IF(CZ$8=1,N(Reales!CZ28),IF(CZ$171=1,INDEX(Vol_V,17,CZ$170)/12*(1+V_dVol),0))</f>
        <v>0</v>
      </c>
      <c r="DA193" s="34" t="n">
        <f aca="false">IF(DA$8=1,N(Reales!DA28),IF(DA$171=1,INDEX(Vol_V,17,DA$170)/12*(1+V_dVol),0))</f>
        <v>0</v>
      </c>
      <c r="DB193" s="34" t="n">
        <f aca="false">IF(DB$8=1,N(Reales!DB28),IF(DB$171=1,INDEX(Vol_V,17,DB$170)/12*(1+V_dVol),0))</f>
        <v>0</v>
      </c>
      <c r="DC193" s="34" t="n">
        <f aca="false">IF(DC$8=1,N(Reales!DC28),IF(DC$171=1,INDEX(Vol_V,17,DC$170)/12*(1+V_dVol),0))</f>
        <v>0</v>
      </c>
      <c r="DD193" s="34" t="n">
        <f aca="false">IF(DD$8=1,N(Reales!DD28),IF(DD$171=1,INDEX(Vol_V,17,DD$170)/12*(1+V_dVol),0))</f>
        <v>0</v>
      </c>
      <c r="DE193" s="34" t="n">
        <f aca="false">IF(DE$8=1,N(Reales!DE28),IF(DE$171=1,INDEX(Vol_V,17,DE$170)/12*(1+V_dVol),0))</f>
        <v>0</v>
      </c>
      <c r="DF193" s="34" t="n">
        <f aca="false">IF(DF$8=1,N(Reales!DF28),IF(DF$171=1,INDEX(Vol_V,17,DF$170)/12*(1+V_dVol),0))</f>
        <v>0</v>
      </c>
      <c r="DG193" s="34" t="n">
        <f aca="false">IF(DG$8=1,N(Reales!DG28),IF(DG$171=1,INDEX(Vol_V,17,DG$170)/12*(1+V_dVol),0))</f>
        <v>0</v>
      </c>
      <c r="DH193" s="34" t="n">
        <f aca="false">IF(DH$8=1,N(Reales!DH28),IF(DH$171=1,INDEX(Vol_V,17,DH$170)/12*(1+V_dVol),0))</f>
        <v>0</v>
      </c>
      <c r="DI193" s="34" t="n">
        <f aca="false">IF(DI$8=1,N(Reales!DI28),IF(DI$171=1,INDEX(Vol_V,17,DI$170)/12*(1+V_dVol),0))</f>
        <v>0</v>
      </c>
      <c r="DJ193" s="34" t="n">
        <f aca="false">IF(DJ$8=1,N(Reales!DJ28),IF(DJ$171=1,INDEX(Vol_V,17,DJ$170)/12*(1+V_dVol),0))</f>
        <v>0</v>
      </c>
      <c r="DK193" s="34" t="n">
        <f aca="false">IF(DK$8=1,N(Reales!DK28),IF(DK$171=1,INDEX(Vol_V,17,DK$170)/12*(1+V_dVol),0))</f>
        <v>0</v>
      </c>
      <c r="DL193" s="34" t="n">
        <f aca="false">IF(DL$8=1,N(Reales!DL28),IF(DL$171=1,INDEX(Vol_V,17,DL$170)/12*(1+V_dVol),0))</f>
        <v>0</v>
      </c>
      <c r="DM193" s="34" t="n">
        <f aca="false">IF(DM$8=1,N(Reales!DM28),IF(DM$171=1,INDEX(Vol_V,17,DM$170)/12*(1+V_dVol),0))</f>
        <v>0</v>
      </c>
      <c r="DN193" s="34" t="n">
        <f aca="false">IF(DN$8=1,N(Reales!DN28),IF(DN$171=1,INDEX(Vol_V,17,DN$170)/12*(1+V_dVol),0))</f>
        <v>0</v>
      </c>
      <c r="DO193" s="34" t="n">
        <f aca="false">IF(DO$8=1,N(Reales!DO28),IF(DO$171=1,INDEX(Vol_V,17,DO$170)/12*(1+V_dVol),0))</f>
        <v>0</v>
      </c>
      <c r="DP193" s="34" t="n">
        <f aca="false">IF(DP$8=1,N(Reales!DP28),IF(DP$171=1,INDEX(Vol_V,17,DP$170)/12*(1+V_dVol),0))</f>
        <v>0</v>
      </c>
      <c r="DQ193" s="34" t="n">
        <f aca="false">IF(DQ$8=1,N(Reales!DQ28),IF(DQ$171=1,INDEX(Vol_V,17,DQ$170)/12*(1+V_dVol),0))</f>
        <v>0</v>
      </c>
      <c r="DR193" s="34" t="n">
        <f aca="false">IF(DR$8=1,N(Reales!DR28),IF(DR$171=1,INDEX(Vol_V,17,DR$170)/12*(1+V_dVol),0))</f>
        <v>0</v>
      </c>
      <c r="DS193" s="34" t="n">
        <f aca="false">IF(DS$8=1,N(Reales!DS28),IF(DS$171=1,INDEX(Vol_V,17,DS$170)/12*(1+V_dVol),0))</f>
        <v>0</v>
      </c>
      <c r="DT193" s="34" t="n">
        <f aca="false">IF(DT$8=1,N(Reales!DT28),IF(DT$171=1,INDEX(Vol_V,17,DT$170)/12*(1+V_dVol),0))</f>
        <v>0</v>
      </c>
      <c r="DU193" s="34" t="n">
        <f aca="false">IF(DU$8=1,N(Reales!DU28),IF(DU$171=1,INDEX(Vol_V,17,DU$170)/12*(1+V_dVol),0))</f>
        <v>0</v>
      </c>
      <c r="DV193" s="34" t="n">
        <f aca="false">IF(DV$8=1,N(Reales!DV28),IF(DV$171=1,INDEX(Vol_V,17,DV$170)/12*(1+V_dVol),0))</f>
        <v>0</v>
      </c>
      <c r="DW193" s="34" t="n">
        <f aca="false">IF(DW$8=1,N(Reales!DW28),IF(DW$171=1,INDEX(Vol_V,17,DW$170)/12*(1+V_dVol),0))</f>
        <v>0</v>
      </c>
      <c r="DX193" s="34" t="n">
        <f aca="false">IF(DX$8=1,N(Reales!DX28),IF(DX$171=1,INDEX(Vol_V,17,DX$170)/12*(1+V_dVol),0))</f>
        <v>0</v>
      </c>
      <c r="DY193" s="34" t="n">
        <f aca="false">IF(DY$8=1,N(Reales!DY28),IF(DY$171=1,INDEX(Vol_V,17,DY$170)/12*(1+V_dVol),0))</f>
        <v>0</v>
      </c>
      <c r="DZ193" s="34" t="n">
        <f aca="false">IF(DZ$8=1,N(Reales!DZ28),IF(DZ$171=1,INDEX(Vol_V,17,DZ$170)/12*(1+V_dVol),0))</f>
        <v>0</v>
      </c>
      <c r="EA193" s="34" t="n">
        <f aca="false">IF(EA$8=1,N(Reales!EA28),IF(EA$171=1,INDEX(Vol_V,17,EA$170)/12*(1+V_dVol),0))</f>
        <v>0</v>
      </c>
      <c r="EB193" s="34" t="n">
        <f aca="false">IF(EB$8=1,N(Reales!EB28),IF(EB$171=1,INDEX(Vol_V,17,EB$170)/12*(1+V_dVol),0))</f>
        <v>0</v>
      </c>
      <c r="EC193" s="34" t="n">
        <f aca="false">IF(EC$8=1,N(Reales!EC28),IF(EC$171=1,INDEX(Vol_V,17,EC$170)/12*(1+V_dVol),0))</f>
        <v>0</v>
      </c>
      <c r="ED193" s="34" t="n">
        <f aca="false">IF(ED$8=1,N(Reales!ED28),IF(ED$171=1,INDEX(Vol_V,17,ED$170)/12*(1+V_dVol),0))</f>
        <v>0</v>
      </c>
      <c r="EE193" s="34" t="n">
        <f aca="false">IF(EE$8=1,N(Reales!EE28),IF(EE$171=1,INDEX(Vol_V,17,EE$170)/12*(1+V_dVol),0))</f>
        <v>0</v>
      </c>
      <c r="EF193" s="34" t="n">
        <f aca="false">IF(EF$8=1,N(Reales!EF28),IF(EF$171=1,INDEX(Vol_V,17,EF$170)/12*(1+V_dVol),0))</f>
        <v>0</v>
      </c>
      <c r="EG193" s="34" t="n">
        <f aca="false">IF(EG$8=1,N(Reales!EG28),IF(EG$171=1,INDEX(Vol_V,17,EG$170)/12*(1+V_dVol),0))</f>
        <v>0</v>
      </c>
      <c r="EH193" s="34" t="n">
        <f aca="false">IF(EH$8=1,N(Reales!EH28),IF(EH$171=1,INDEX(Vol_V,17,EH$170)/12*(1+V_dVol),0))</f>
        <v>0</v>
      </c>
      <c r="EI193" s="34" t="n">
        <f aca="false">IF(EI$8=1,N(Reales!EI28),IF(EI$171=1,INDEX(Vol_V,17,EI$170)/12*(1+V_dVol),0))</f>
        <v>0</v>
      </c>
      <c r="EJ193" s="34" t="n">
        <f aca="false">IF(EJ$8=1,N(Reales!EJ28),IF(EJ$171=1,INDEX(Vol_V,17,EJ$170)/12*(1+V_dVol),0))</f>
        <v>0</v>
      </c>
      <c r="EK193" s="34" t="n">
        <f aca="false">IF(EK$8=1,N(Reales!EK28),IF(EK$171=1,INDEX(Vol_V,17,EK$170)/12*(1+V_dVol),0))</f>
        <v>0</v>
      </c>
      <c r="EL193" s="34" t="n">
        <f aca="false">IF(EL$8=1,N(Reales!EL28),IF(EL$171=1,INDEX(Vol_V,17,EL$170)/12*(1+V_dVol),0))</f>
        <v>0</v>
      </c>
      <c r="EM193" s="34" t="n">
        <f aca="false">IF(EM$8=1,N(Reales!EM28),IF(EM$171=1,INDEX(Vol_V,17,EM$170)/12*(1+V_dVol),0))</f>
        <v>0</v>
      </c>
      <c r="EN193" s="34" t="n">
        <f aca="false">IF(EN$8=1,N(Reales!EN28),IF(EN$171=1,INDEX(Vol_V,17,EN$170)/12*(1+V_dVol),0))</f>
        <v>0</v>
      </c>
      <c r="EO193" s="34" t="n">
        <f aca="false">IF(EO$8=1,N(Reales!EO28),IF(EO$171=1,INDEX(Vol_V,17,EO$170)/12*(1+V_dVol),0))</f>
        <v>0</v>
      </c>
      <c r="EP193" s="34" t="n">
        <f aca="false">IF(EP$8=1,N(Reales!EP28),IF(EP$171=1,INDEX(Vol_V,17,EP$170)/12*(1+V_dVol),0))</f>
        <v>0</v>
      </c>
      <c r="EQ193" s="34" t="n">
        <f aca="false">IF(EQ$8=1,N(Reales!EQ28),IF(EQ$171=1,INDEX(Vol_V,17,EQ$170)/12*(1+V_dVol),0))</f>
        <v>0</v>
      </c>
      <c r="ER193" s="34" t="n">
        <f aca="false">IF(ER$8=1,N(Reales!ER28),IF(ER$171=1,INDEX(Vol_V,17,ER$170)/12*(1+V_dVol),0))</f>
        <v>0</v>
      </c>
      <c r="ES193" s="34" t="n">
        <f aca="false">IF(ES$8=1,N(Reales!ES28),IF(ES$171=1,INDEX(Vol_V,17,ES$170)/12*(1+V_dVol),0))</f>
        <v>0</v>
      </c>
    </row>
    <row r="194" customFormat="false" ht="15" hidden="false" customHeight="false" outlineLevel="0" collapsed="false">
      <c r="A194" s="2" t="s">
        <v>836</v>
      </c>
      <c r="B194" s="39" t="str">
        <f aca="false">IF(INDEX(Prod_Nombre,18)="","Producto 18",INDEX(Prod_Nombre,18))&amp;" — unidades"</f>
        <v>Producto 18 — unidades</v>
      </c>
      <c r="C194" s="6" t="s">
        <v>286</v>
      </c>
      <c r="E194" s="40" t="n">
        <f aca="false">SUM(F194:ES194)</f>
        <v>0</v>
      </c>
      <c r="F194" s="34" t="n">
        <f aca="false">IF(F$8=1,N(Reales!F29),IF(F$171=1,INDEX(Vol_V,18,F$170)/12*(1+V_dVol),0))</f>
        <v>0</v>
      </c>
      <c r="G194" s="34" t="n">
        <f aca="false">IF(G$8=1,N(Reales!G29),IF(G$171=1,INDEX(Vol_V,18,G$170)/12*(1+V_dVol),0))</f>
        <v>0</v>
      </c>
      <c r="H194" s="34" t="n">
        <f aca="false">IF(H$8=1,N(Reales!H29),IF(H$171=1,INDEX(Vol_V,18,H$170)/12*(1+V_dVol),0))</f>
        <v>0</v>
      </c>
      <c r="I194" s="34" t="n">
        <f aca="false">IF(I$8=1,N(Reales!I29),IF(I$171=1,INDEX(Vol_V,18,I$170)/12*(1+V_dVol),0))</f>
        <v>0</v>
      </c>
      <c r="J194" s="34" t="n">
        <f aca="false">IF(J$8=1,N(Reales!J29),IF(J$171=1,INDEX(Vol_V,18,J$170)/12*(1+V_dVol),0))</f>
        <v>0</v>
      </c>
      <c r="K194" s="34" t="n">
        <f aca="false">IF(K$8=1,N(Reales!K29),IF(K$171=1,INDEX(Vol_V,18,K$170)/12*(1+V_dVol),0))</f>
        <v>0</v>
      </c>
      <c r="L194" s="34" t="n">
        <f aca="false">IF(L$8=1,N(Reales!L29),IF(L$171=1,INDEX(Vol_V,18,L$170)/12*(1+V_dVol),0))</f>
        <v>0</v>
      </c>
      <c r="M194" s="34" t="n">
        <f aca="false">IF(M$8=1,N(Reales!M29),IF(M$171=1,INDEX(Vol_V,18,M$170)/12*(1+V_dVol),0))</f>
        <v>0</v>
      </c>
      <c r="N194" s="34" t="n">
        <f aca="false">IF(N$8=1,N(Reales!N29),IF(N$171=1,INDEX(Vol_V,18,N$170)/12*(1+V_dVol),0))</f>
        <v>0</v>
      </c>
      <c r="O194" s="34" t="n">
        <f aca="false">IF(O$8=1,N(Reales!O29),IF(O$171=1,INDEX(Vol_V,18,O$170)/12*(1+V_dVol),0))</f>
        <v>0</v>
      </c>
      <c r="P194" s="34" t="n">
        <f aca="false">IF(P$8=1,N(Reales!P29),IF(P$171=1,INDEX(Vol_V,18,P$170)/12*(1+V_dVol),0))</f>
        <v>0</v>
      </c>
      <c r="Q194" s="34" t="n">
        <f aca="false">IF(Q$8=1,N(Reales!Q29),IF(Q$171=1,INDEX(Vol_V,18,Q$170)/12*(1+V_dVol),0))</f>
        <v>0</v>
      </c>
      <c r="R194" s="34" t="n">
        <f aca="false">IF(R$8=1,N(Reales!R29),IF(R$171=1,INDEX(Vol_V,18,R$170)/12*(1+V_dVol),0))</f>
        <v>0</v>
      </c>
      <c r="S194" s="34" t="n">
        <f aca="false">IF(S$8=1,N(Reales!S29),IF(S$171=1,INDEX(Vol_V,18,S$170)/12*(1+V_dVol),0))</f>
        <v>0</v>
      </c>
      <c r="T194" s="34" t="n">
        <f aca="false">IF(T$8=1,N(Reales!T29),IF(T$171=1,INDEX(Vol_V,18,T$170)/12*(1+V_dVol),0))</f>
        <v>0</v>
      </c>
      <c r="U194" s="34" t="n">
        <f aca="false">IF(U$8=1,N(Reales!U29),IF(U$171=1,INDEX(Vol_V,18,U$170)/12*(1+V_dVol),0))</f>
        <v>0</v>
      </c>
      <c r="V194" s="34" t="n">
        <f aca="false">IF(V$8=1,N(Reales!V29),IF(V$171=1,INDEX(Vol_V,18,V$170)/12*(1+V_dVol),0))</f>
        <v>0</v>
      </c>
      <c r="W194" s="34" t="n">
        <f aca="false">IF(W$8=1,N(Reales!W29),IF(W$171=1,INDEX(Vol_V,18,W$170)/12*(1+V_dVol),0))</f>
        <v>0</v>
      </c>
      <c r="X194" s="34" t="n">
        <f aca="false">IF(X$8=1,N(Reales!X29),IF(X$171=1,INDEX(Vol_V,18,X$170)/12*(1+V_dVol),0))</f>
        <v>0</v>
      </c>
      <c r="Y194" s="34" t="n">
        <f aca="false">IF(Y$8=1,N(Reales!Y29),IF(Y$171=1,INDEX(Vol_V,18,Y$170)/12*(1+V_dVol),0))</f>
        <v>0</v>
      </c>
      <c r="Z194" s="34" t="n">
        <f aca="false">IF(Z$8=1,N(Reales!Z29),IF(Z$171=1,INDEX(Vol_V,18,Z$170)/12*(1+V_dVol),0))</f>
        <v>0</v>
      </c>
      <c r="AA194" s="34" t="n">
        <f aca="false">IF(AA$8=1,N(Reales!AA29),IF(AA$171=1,INDEX(Vol_V,18,AA$170)/12*(1+V_dVol),0))</f>
        <v>0</v>
      </c>
      <c r="AB194" s="34" t="n">
        <f aca="false">IF(AB$8=1,N(Reales!AB29),IF(AB$171=1,INDEX(Vol_V,18,AB$170)/12*(1+V_dVol),0))</f>
        <v>0</v>
      </c>
      <c r="AC194" s="34" t="n">
        <f aca="false">IF(AC$8=1,N(Reales!AC29),IF(AC$171=1,INDEX(Vol_V,18,AC$170)/12*(1+V_dVol),0))</f>
        <v>0</v>
      </c>
      <c r="AD194" s="34" t="n">
        <f aca="false">IF(AD$8=1,N(Reales!AD29),IF(AD$171=1,INDEX(Vol_V,18,AD$170)/12*(1+V_dVol),0))</f>
        <v>0</v>
      </c>
      <c r="AE194" s="34" t="n">
        <f aca="false">IF(AE$8=1,N(Reales!AE29),IF(AE$171=1,INDEX(Vol_V,18,AE$170)/12*(1+V_dVol),0))</f>
        <v>0</v>
      </c>
      <c r="AF194" s="34" t="n">
        <f aca="false">IF(AF$8=1,N(Reales!AF29),IF(AF$171=1,INDEX(Vol_V,18,AF$170)/12*(1+V_dVol),0))</f>
        <v>0</v>
      </c>
      <c r="AG194" s="34" t="n">
        <f aca="false">IF(AG$8=1,N(Reales!AG29),IF(AG$171=1,INDEX(Vol_V,18,AG$170)/12*(1+V_dVol),0))</f>
        <v>0</v>
      </c>
      <c r="AH194" s="34" t="n">
        <f aca="false">IF(AH$8=1,N(Reales!AH29),IF(AH$171=1,INDEX(Vol_V,18,AH$170)/12*(1+V_dVol),0))</f>
        <v>0</v>
      </c>
      <c r="AI194" s="34" t="n">
        <f aca="false">IF(AI$8=1,N(Reales!AI29),IF(AI$171=1,INDEX(Vol_V,18,AI$170)/12*(1+V_dVol),0))</f>
        <v>0</v>
      </c>
      <c r="AJ194" s="34" t="n">
        <f aca="false">IF(AJ$8=1,N(Reales!AJ29),IF(AJ$171=1,INDEX(Vol_V,18,AJ$170)/12*(1+V_dVol),0))</f>
        <v>0</v>
      </c>
      <c r="AK194" s="34" t="n">
        <f aca="false">IF(AK$8=1,N(Reales!AK29),IF(AK$171=1,INDEX(Vol_V,18,AK$170)/12*(1+V_dVol),0))</f>
        <v>0</v>
      </c>
      <c r="AL194" s="34" t="n">
        <f aca="false">IF(AL$8=1,N(Reales!AL29),IF(AL$171=1,INDEX(Vol_V,18,AL$170)/12*(1+V_dVol),0))</f>
        <v>0</v>
      </c>
      <c r="AM194" s="34" t="n">
        <f aca="false">IF(AM$8=1,N(Reales!AM29),IF(AM$171=1,INDEX(Vol_V,18,AM$170)/12*(1+V_dVol),0))</f>
        <v>0</v>
      </c>
      <c r="AN194" s="34" t="n">
        <f aca="false">IF(AN$8=1,N(Reales!AN29),IF(AN$171=1,INDEX(Vol_V,18,AN$170)/12*(1+V_dVol),0))</f>
        <v>0</v>
      </c>
      <c r="AO194" s="34" t="n">
        <f aca="false">IF(AO$8=1,N(Reales!AO29),IF(AO$171=1,INDEX(Vol_V,18,AO$170)/12*(1+V_dVol),0))</f>
        <v>0</v>
      </c>
      <c r="AP194" s="34" t="n">
        <f aca="false">IF(AP$8=1,N(Reales!AP29),IF(AP$171=1,INDEX(Vol_V,18,AP$170)/12*(1+V_dVol),0))</f>
        <v>0</v>
      </c>
      <c r="AQ194" s="34" t="n">
        <f aca="false">IF(AQ$8=1,N(Reales!AQ29),IF(AQ$171=1,INDEX(Vol_V,18,AQ$170)/12*(1+V_dVol),0))</f>
        <v>0</v>
      </c>
      <c r="AR194" s="34" t="n">
        <f aca="false">IF(AR$8=1,N(Reales!AR29),IF(AR$171=1,INDEX(Vol_V,18,AR$170)/12*(1+V_dVol),0))</f>
        <v>0</v>
      </c>
      <c r="AS194" s="34" t="n">
        <f aca="false">IF(AS$8=1,N(Reales!AS29),IF(AS$171=1,INDEX(Vol_V,18,AS$170)/12*(1+V_dVol),0))</f>
        <v>0</v>
      </c>
      <c r="AT194" s="34" t="n">
        <f aca="false">IF(AT$8=1,N(Reales!AT29),IF(AT$171=1,INDEX(Vol_V,18,AT$170)/12*(1+V_dVol),0))</f>
        <v>0</v>
      </c>
      <c r="AU194" s="34" t="n">
        <f aca="false">IF(AU$8=1,N(Reales!AU29),IF(AU$171=1,INDEX(Vol_V,18,AU$170)/12*(1+V_dVol),0))</f>
        <v>0</v>
      </c>
      <c r="AV194" s="34" t="n">
        <f aca="false">IF(AV$8=1,N(Reales!AV29),IF(AV$171=1,INDEX(Vol_V,18,AV$170)/12*(1+V_dVol),0))</f>
        <v>0</v>
      </c>
      <c r="AW194" s="34" t="n">
        <f aca="false">IF(AW$8=1,N(Reales!AW29),IF(AW$171=1,INDEX(Vol_V,18,AW$170)/12*(1+V_dVol),0))</f>
        <v>0</v>
      </c>
      <c r="AX194" s="34" t="n">
        <f aca="false">IF(AX$8=1,N(Reales!AX29),IF(AX$171=1,INDEX(Vol_V,18,AX$170)/12*(1+V_dVol),0))</f>
        <v>0</v>
      </c>
      <c r="AY194" s="34" t="n">
        <f aca="false">IF(AY$8=1,N(Reales!AY29),IF(AY$171=1,INDEX(Vol_V,18,AY$170)/12*(1+V_dVol),0))</f>
        <v>0</v>
      </c>
      <c r="AZ194" s="34" t="n">
        <f aca="false">IF(AZ$8=1,N(Reales!AZ29),IF(AZ$171=1,INDEX(Vol_V,18,AZ$170)/12*(1+V_dVol),0))</f>
        <v>0</v>
      </c>
      <c r="BA194" s="34" t="n">
        <f aca="false">IF(BA$8=1,N(Reales!BA29),IF(BA$171=1,INDEX(Vol_V,18,BA$170)/12*(1+V_dVol),0))</f>
        <v>0</v>
      </c>
      <c r="BB194" s="34" t="n">
        <f aca="false">IF(BB$8=1,N(Reales!BB29),IF(BB$171=1,INDEX(Vol_V,18,BB$170)/12*(1+V_dVol),0))</f>
        <v>0</v>
      </c>
      <c r="BC194" s="34" t="n">
        <f aca="false">IF(BC$8=1,N(Reales!BC29),IF(BC$171=1,INDEX(Vol_V,18,BC$170)/12*(1+V_dVol),0))</f>
        <v>0</v>
      </c>
      <c r="BD194" s="34" t="n">
        <f aca="false">IF(BD$8=1,N(Reales!BD29),IF(BD$171=1,INDEX(Vol_V,18,BD$170)/12*(1+V_dVol),0))</f>
        <v>0</v>
      </c>
      <c r="BE194" s="34" t="n">
        <f aca="false">IF(BE$8=1,N(Reales!BE29),IF(BE$171=1,INDEX(Vol_V,18,BE$170)/12*(1+V_dVol),0))</f>
        <v>0</v>
      </c>
      <c r="BF194" s="34" t="n">
        <f aca="false">IF(BF$8=1,N(Reales!BF29),IF(BF$171=1,INDEX(Vol_V,18,BF$170)/12*(1+V_dVol),0))</f>
        <v>0</v>
      </c>
      <c r="BG194" s="34" t="n">
        <f aca="false">IF(BG$8=1,N(Reales!BG29),IF(BG$171=1,INDEX(Vol_V,18,BG$170)/12*(1+V_dVol),0))</f>
        <v>0</v>
      </c>
      <c r="BH194" s="34" t="n">
        <f aca="false">IF(BH$8=1,N(Reales!BH29),IF(BH$171=1,INDEX(Vol_V,18,BH$170)/12*(1+V_dVol),0))</f>
        <v>0</v>
      </c>
      <c r="BI194" s="34" t="n">
        <f aca="false">IF(BI$8=1,N(Reales!BI29),IF(BI$171=1,INDEX(Vol_V,18,BI$170)/12*(1+V_dVol),0))</f>
        <v>0</v>
      </c>
      <c r="BJ194" s="34" t="n">
        <f aca="false">IF(BJ$8=1,N(Reales!BJ29),IF(BJ$171=1,INDEX(Vol_V,18,BJ$170)/12*(1+V_dVol),0))</f>
        <v>0</v>
      </c>
      <c r="BK194" s="34" t="n">
        <f aca="false">IF(BK$8=1,N(Reales!BK29),IF(BK$171=1,INDEX(Vol_V,18,BK$170)/12*(1+V_dVol),0))</f>
        <v>0</v>
      </c>
      <c r="BL194" s="34" t="n">
        <f aca="false">IF(BL$8=1,N(Reales!BL29),IF(BL$171=1,INDEX(Vol_V,18,BL$170)/12*(1+V_dVol),0))</f>
        <v>0</v>
      </c>
      <c r="BM194" s="34" t="n">
        <f aca="false">IF(BM$8=1,N(Reales!BM29),IF(BM$171=1,INDEX(Vol_V,18,BM$170)/12*(1+V_dVol),0))</f>
        <v>0</v>
      </c>
      <c r="BN194" s="34" t="n">
        <f aca="false">IF(BN$8=1,N(Reales!BN29),IF(BN$171=1,INDEX(Vol_V,18,BN$170)/12*(1+V_dVol),0))</f>
        <v>0</v>
      </c>
      <c r="BO194" s="34" t="n">
        <f aca="false">IF(BO$8=1,N(Reales!BO29),IF(BO$171=1,INDEX(Vol_V,18,BO$170)/12*(1+V_dVol),0))</f>
        <v>0</v>
      </c>
      <c r="BP194" s="34" t="n">
        <f aca="false">IF(BP$8=1,N(Reales!BP29),IF(BP$171=1,INDEX(Vol_V,18,BP$170)/12*(1+V_dVol),0))</f>
        <v>0</v>
      </c>
      <c r="BQ194" s="34" t="n">
        <f aca="false">IF(BQ$8=1,N(Reales!BQ29),IF(BQ$171=1,INDEX(Vol_V,18,BQ$170)/12*(1+V_dVol),0))</f>
        <v>0</v>
      </c>
      <c r="BR194" s="34" t="n">
        <f aca="false">IF(BR$8=1,N(Reales!BR29),IF(BR$171=1,INDEX(Vol_V,18,BR$170)/12*(1+V_dVol),0))</f>
        <v>0</v>
      </c>
      <c r="BS194" s="34" t="n">
        <f aca="false">IF(BS$8=1,N(Reales!BS29),IF(BS$171=1,INDEX(Vol_V,18,BS$170)/12*(1+V_dVol),0))</f>
        <v>0</v>
      </c>
      <c r="BT194" s="34" t="n">
        <f aca="false">IF(BT$8=1,N(Reales!BT29),IF(BT$171=1,INDEX(Vol_V,18,BT$170)/12*(1+V_dVol),0))</f>
        <v>0</v>
      </c>
      <c r="BU194" s="34" t="n">
        <f aca="false">IF(BU$8=1,N(Reales!BU29),IF(BU$171=1,INDEX(Vol_V,18,BU$170)/12*(1+V_dVol),0))</f>
        <v>0</v>
      </c>
      <c r="BV194" s="34" t="n">
        <f aca="false">IF(BV$8=1,N(Reales!BV29),IF(BV$171=1,INDEX(Vol_V,18,BV$170)/12*(1+V_dVol),0))</f>
        <v>0</v>
      </c>
      <c r="BW194" s="34" t="n">
        <f aca="false">IF(BW$8=1,N(Reales!BW29),IF(BW$171=1,INDEX(Vol_V,18,BW$170)/12*(1+V_dVol),0))</f>
        <v>0</v>
      </c>
      <c r="BX194" s="34" t="n">
        <f aca="false">IF(BX$8=1,N(Reales!BX29),IF(BX$171=1,INDEX(Vol_V,18,BX$170)/12*(1+V_dVol),0))</f>
        <v>0</v>
      </c>
      <c r="BY194" s="34" t="n">
        <f aca="false">IF(BY$8=1,N(Reales!BY29),IF(BY$171=1,INDEX(Vol_V,18,BY$170)/12*(1+V_dVol),0))</f>
        <v>0</v>
      </c>
      <c r="BZ194" s="34" t="n">
        <f aca="false">IF(BZ$8=1,N(Reales!BZ29),IF(BZ$171=1,INDEX(Vol_V,18,BZ$170)/12*(1+V_dVol),0))</f>
        <v>0</v>
      </c>
      <c r="CA194" s="34" t="n">
        <f aca="false">IF(CA$8=1,N(Reales!CA29),IF(CA$171=1,INDEX(Vol_V,18,CA$170)/12*(1+V_dVol),0))</f>
        <v>0</v>
      </c>
      <c r="CB194" s="34" t="n">
        <f aca="false">IF(CB$8=1,N(Reales!CB29),IF(CB$171=1,INDEX(Vol_V,18,CB$170)/12*(1+V_dVol),0))</f>
        <v>0</v>
      </c>
      <c r="CC194" s="34" t="n">
        <f aca="false">IF(CC$8=1,N(Reales!CC29),IF(CC$171=1,INDEX(Vol_V,18,CC$170)/12*(1+V_dVol),0))</f>
        <v>0</v>
      </c>
      <c r="CD194" s="34" t="n">
        <f aca="false">IF(CD$8=1,N(Reales!CD29),IF(CD$171=1,INDEX(Vol_V,18,CD$170)/12*(1+V_dVol),0))</f>
        <v>0</v>
      </c>
      <c r="CE194" s="34" t="n">
        <f aca="false">IF(CE$8=1,N(Reales!CE29),IF(CE$171=1,INDEX(Vol_V,18,CE$170)/12*(1+V_dVol),0))</f>
        <v>0</v>
      </c>
      <c r="CF194" s="34" t="n">
        <f aca="false">IF(CF$8=1,N(Reales!CF29),IF(CF$171=1,INDEX(Vol_V,18,CF$170)/12*(1+V_dVol),0))</f>
        <v>0</v>
      </c>
      <c r="CG194" s="34" t="n">
        <f aca="false">IF(CG$8=1,N(Reales!CG29),IF(CG$171=1,INDEX(Vol_V,18,CG$170)/12*(1+V_dVol),0))</f>
        <v>0</v>
      </c>
      <c r="CH194" s="34" t="n">
        <f aca="false">IF(CH$8=1,N(Reales!CH29),IF(CH$171=1,INDEX(Vol_V,18,CH$170)/12*(1+V_dVol),0))</f>
        <v>0</v>
      </c>
      <c r="CI194" s="34" t="n">
        <f aca="false">IF(CI$8=1,N(Reales!CI29),IF(CI$171=1,INDEX(Vol_V,18,CI$170)/12*(1+V_dVol),0))</f>
        <v>0</v>
      </c>
      <c r="CJ194" s="34" t="n">
        <f aca="false">IF(CJ$8=1,N(Reales!CJ29),IF(CJ$171=1,INDEX(Vol_V,18,CJ$170)/12*(1+V_dVol),0))</f>
        <v>0</v>
      </c>
      <c r="CK194" s="34" t="n">
        <f aca="false">IF(CK$8=1,N(Reales!CK29),IF(CK$171=1,INDEX(Vol_V,18,CK$170)/12*(1+V_dVol),0))</f>
        <v>0</v>
      </c>
      <c r="CL194" s="34" t="n">
        <f aca="false">IF(CL$8=1,N(Reales!CL29),IF(CL$171=1,INDEX(Vol_V,18,CL$170)/12*(1+V_dVol),0))</f>
        <v>0</v>
      </c>
      <c r="CM194" s="34" t="n">
        <f aca="false">IF(CM$8=1,N(Reales!CM29),IF(CM$171=1,INDEX(Vol_V,18,CM$170)/12*(1+V_dVol),0))</f>
        <v>0</v>
      </c>
      <c r="CN194" s="34" t="n">
        <f aca="false">IF(CN$8=1,N(Reales!CN29),IF(CN$171=1,INDEX(Vol_V,18,CN$170)/12*(1+V_dVol),0))</f>
        <v>0</v>
      </c>
      <c r="CO194" s="34" t="n">
        <f aca="false">IF(CO$8=1,N(Reales!CO29),IF(CO$171=1,INDEX(Vol_V,18,CO$170)/12*(1+V_dVol),0))</f>
        <v>0</v>
      </c>
      <c r="CP194" s="34" t="n">
        <f aca="false">IF(CP$8=1,N(Reales!CP29),IF(CP$171=1,INDEX(Vol_V,18,CP$170)/12*(1+V_dVol),0))</f>
        <v>0</v>
      </c>
      <c r="CQ194" s="34" t="n">
        <f aca="false">IF(CQ$8=1,N(Reales!CQ29),IF(CQ$171=1,INDEX(Vol_V,18,CQ$170)/12*(1+V_dVol),0))</f>
        <v>0</v>
      </c>
      <c r="CR194" s="34" t="n">
        <f aca="false">IF(CR$8=1,N(Reales!CR29),IF(CR$171=1,INDEX(Vol_V,18,CR$170)/12*(1+V_dVol),0))</f>
        <v>0</v>
      </c>
      <c r="CS194" s="34" t="n">
        <f aca="false">IF(CS$8=1,N(Reales!CS29),IF(CS$171=1,INDEX(Vol_V,18,CS$170)/12*(1+V_dVol),0))</f>
        <v>0</v>
      </c>
      <c r="CT194" s="34" t="n">
        <f aca="false">IF(CT$8=1,N(Reales!CT29),IF(CT$171=1,INDEX(Vol_V,18,CT$170)/12*(1+V_dVol),0))</f>
        <v>0</v>
      </c>
      <c r="CU194" s="34" t="n">
        <f aca="false">IF(CU$8=1,N(Reales!CU29),IF(CU$171=1,INDEX(Vol_V,18,CU$170)/12*(1+V_dVol),0))</f>
        <v>0</v>
      </c>
      <c r="CV194" s="34" t="n">
        <f aca="false">IF(CV$8=1,N(Reales!CV29),IF(CV$171=1,INDEX(Vol_V,18,CV$170)/12*(1+V_dVol),0))</f>
        <v>0</v>
      </c>
      <c r="CW194" s="34" t="n">
        <f aca="false">IF(CW$8=1,N(Reales!CW29),IF(CW$171=1,INDEX(Vol_V,18,CW$170)/12*(1+V_dVol),0))</f>
        <v>0</v>
      </c>
      <c r="CX194" s="34" t="n">
        <f aca="false">IF(CX$8=1,N(Reales!CX29),IF(CX$171=1,INDEX(Vol_V,18,CX$170)/12*(1+V_dVol),0))</f>
        <v>0</v>
      </c>
      <c r="CY194" s="34" t="n">
        <f aca="false">IF(CY$8=1,N(Reales!CY29),IF(CY$171=1,INDEX(Vol_V,18,CY$170)/12*(1+V_dVol),0))</f>
        <v>0</v>
      </c>
      <c r="CZ194" s="34" t="n">
        <f aca="false">IF(CZ$8=1,N(Reales!CZ29),IF(CZ$171=1,INDEX(Vol_V,18,CZ$170)/12*(1+V_dVol),0))</f>
        <v>0</v>
      </c>
      <c r="DA194" s="34" t="n">
        <f aca="false">IF(DA$8=1,N(Reales!DA29),IF(DA$171=1,INDEX(Vol_V,18,DA$170)/12*(1+V_dVol),0))</f>
        <v>0</v>
      </c>
      <c r="DB194" s="34" t="n">
        <f aca="false">IF(DB$8=1,N(Reales!DB29),IF(DB$171=1,INDEX(Vol_V,18,DB$170)/12*(1+V_dVol),0))</f>
        <v>0</v>
      </c>
      <c r="DC194" s="34" t="n">
        <f aca="false">IF(DC$8=1,N(Reales!DC29),IF(DC$171=1,INDEX(Vol_V,18,DC$170)/12*(1+V_dVol),0))</f>
        <v>0</v>
      </c>
      <c r="DD194" s="34" t="n">
        <f aca="false">IF(DD$8=1,N(Reales!DD29),IF(DD$171=1,INDEX(Vol_V,18,DD$170)/12*(1+V_dVol),0))</f>
        <v>0</v>
      </c>
      <c r="DE194" s="34" t="n">
        <f aca="false">IF(DE$8=1,N(Reales!DE29),IF(DE$171=1,INDEX(Vol_V,18,DE$170)/12*(1+V_dVol),0))</f>
        <v>0</v>
      </c>
      <c r="DF194" s="34" t="n">
        <f aca="false">IF(DF$8=1,N(Reales!DF29),IF(DF$171=1,INDEX(Vol_V,18,DF$170)/12*(1+V_dVol),0))</f>
        <v>0</v>
      </c>
      <c r="DG194" s="34" t="n">
        <f aca="false">IF(DG$8=1,N(Reales!DG29),IF(DG$171=1,INDEX(Vol_V,18,DG$170)/12*(1+V_dVol),0))</f>
        <v>0</v>
      </c>
      <c r="DH194" s="34" t="n">
        <f aca="false">IF(DH$8=1,N(Reales!DH29),IF(DH$171=1,INDEX(Vol_V,18,DH$170)/12*(1+V_dVol),0))</f>
        <v>0</v>
      </c>
      <c r="DI194" s="34" t="n">
        <f aca="false">IF(DI$8=1,N(Reales!DI29),IF(DI$171=1,INDEX(Vol_V,18,DI$170)/12*(1+V_dVol),0))</f>
        <v>0</v>
      </c>
      <c r="DJ194" s="34" t="n">
        <f aca="false">IF(DJ$8=1,N(Reales!DJ29),IF(DJ$171=1,INDEX(Vol_V,18,DJ$170)/12*(1+V_dVol),0))</f>
        <v>0</v>
      </c>
      <c r="DK194" s="34" t="n">
        <f aca="false">IF(DK$8=1,N(Reales!DK29),IF(DK$171=1,INDEX(Vol_V,18,DK$170)/12*(1+V_dVol),0))</f>
        <v>0</v>
      </c>
      <c r="DL194" s="34" t="n">
        <f aca="false">IF(DL$8=1,N(Reales!DL29),IF(DL$171=1,INDEX(Vol_V,18,DL$170)/12*(1+V_dVol),0))</f>
        <v>0</v>
      </c>
      <c r="DM194" s="34" t="n">
        <f aca="false">IF(DM$8=1,N(Reales!DM29),IF(DM$171=1,INDEX(Vol_V,18,DM$170)/12*(1+V_dVol),0))</f>
        <v>0</v>
      </c>
      <c r="DN194" s="34" t="n">
        <f aca="false">IF(DN$8=1,N(Reales!DN29),IF(DN$171=1,INDEX(Vol_V,18,DN$170)/12*(1+V_dVol),0))</f>
        <v>0</v>
      </c>
      <c r="DO194" s="34" t="n">
        <f aca="false">IF(DO$8=1,N(Reales!DO29),IF(DO$171=1,INDEX(Vol_V,18,DO$170)/12*(1+V_dVol),0))</f>
        <v>0</v>
      </c>
      <c r="DP194" s="34" t="n">
        <f aca="false">IF(DP$8=1,N(Reales!DP29),IF(DP$171=1,INDEX(Vol_V,18,DP$170)/12*(1+V_dVol),0))</f>
        <v>0</v>
      </c>
      <c r="DQ194" s="34" t="n">
        <f aca="false">IF(DQ$8=1,N(Reales!DQ29),IF(DQ$171=1,INDEX(Vol_V,18,DQ$170)/12*(1+V_dVol),0))</f>
        <v>0</v>
      </c>
      <c r="DR194" s="34" t="n">
        <f aca="false">IF(DR$8=1,N(Reales!DR29),IF(DR$171=1,INDEX(Vol_V,18,DR$170)/12*(1+V_dVol),0))</f>
        <v>0</v>
      </c>
      <c r="DS194" s="34" t="n">
        <f aca="false">IF(DS$8=1,N(Reales!DS29),IF(DS$171=1,INDEX(Vol_V,18,DS$170)/12*(1+V_dVol),0))</f>
        <v>0</v>
      </c>
      <c r="DT194" s="34" t="n">
        <f aca="false">IF(DT$8=1,N(Reales!DT29),IF(DT$171=1,INDEX(Vol_V,18,DT$170)/12*(1+V_dVol),0))</f>
        <v>0</v>
      </c>
      <c r="DU194" s="34" t="n">
        <f aca="false">IF(DU$8=1,N(Reales!DU29),IF(DU$171=1,INDEX(Vol_V,18,DU$170)/12*(1+V_dVol),0))</f>
        <v>0</v>
      </c>
      <c r="DV194" s="34" t="n">
        <f aca="false">IF(DV$8=1,N(Reales!DV29),IF(DV$171=1,INDEX(Vol_V,18,DV$170)/12*(1+V_dVol),0))</f>
        <v>0</v>
      </c>
      <c r="DW194" s="34" t="n">
        <f aca="false">IF(DW$8=1,N(Reales!DW29),IF(DW$171=1,INDEX(Vol_V,18,DW$170)/12*(1+V_dVol),0))</f>
        <v>0</v>
      </c>
      <c r="DX194" s="34" t="n">
        <f aca="false">IF(DX$8=1,N(Reales!DX29),IF(DX$171=1,INDEX(Vol_V,18,DX$170)/12*(1+V_dVol),0))</f>
        <v>0</v>
      </c>
      <c r="DY194" s="34" t="n">
        <f aca="false">IF(DY$8=1,N(Reales!DY29),IF(DY$171=1,INDEX(Vol_V,18,DY$170)/12*(1+V_dVol),0))</f>
        <v>0</v>
      </c>
      <c r="DZ194" s="34" t="n">
        <f aca="false">IF(DZ$8=1,N(Reales!DZ29),IF(DZ$171=1,INDEX(Vol_V,18,DZ$170)/12*(1+V_dVol),0))</f>
        <v>0</v>
      </c>
      <c r="EA194" s="34" t="n">
        <f aca="false">IF(EA$8=1,N(Reales!EA29),IF(EA$171=1,INDEX(Vol_V,18,EA$170)/12*(1+V_dVol),0))</f>
        <v>0</v>
      </c>
      <c r="EB194" s="34" t="n">
        <f aca="false">IF(EB$8=1,N(Reales!EB29),IF(EB$171=1,INDEX(Vol_V,18,EB$170)/12*(1+V_dVol),0))</f>
        <v>0</v>
      </c>
      <c r="EC194" s="34" t="n">
        <f aca="false">IF(EC$8=1,N(Reales!EC29),IF(EC$171=1,INDEX(Vol_V,18,EC$170)/12*(1+V_dVol),0))</f>
        <v>0</v>
      </c>
      <c r="ED194" s="34" t="n">
        <f aca="false">IF(ED$8=1,N(Reales!ED29),IF(ED$171=1,INDEX(Vol_V,18,ED$170)/12*(1+V_dVol),0))</f>
        <v>0</v>
      </c>
      <c r="EE194" s="34" t="n">
        <f aca="false">IF(EE$8=1,N(Reales!EE29),IF(EE$171=1,INDEX(Vol_V,18,EE$170)/12*(1+V_dVol),0))</f>
        <v>0</v>
      </c>
      <c r="EF194" s="34" t="n">
        <f aca="false">IF(EF$8=1,N(Reales!EF29),IF(EF$171=1,INDEX(Vol_V,18,EF$170)/12*(1+V_dVol),0))</f>
        <v>0</v>
      </c>
      <c r="EG194" s="34" t="n">
        <f aca="false">IF(EG$8=1,N(Reales!EG29),IF(EG$171=1,INDEX(Vol_V,18,EG$170)/12*(1+V_dVol),0))</f>
        <v>0</v>
      </c>
      <c r="EH194" s="34" t="n">
        <f aca="false">IF(EH$8=1,N(Reales!EH29),IF(EH$171=1,INDEX(Vol_V,18,EH$170)/12*(1+V_dVol),0))</f>
        <v>0</v>
      </c>
      <c r="EI194" s="34" t="n">
        <f aca="false">IF(EI$8=1,N(Reales!EI29),IF(EI$171=1,INDEX(Vol_V,18,EI$170)/12*(1+V_dVol),0))</f>
        <v>0</v>
      </c>
      <c r="EJ194" s="34" t="n">
        <f aca="false">IF(EJ$8=1,N(Reales!EJ29),IF(EJ$171=1,INDEX(Vol_V,18,EJ$170)/12*(1+V_dVol),0))</f>
        <v>0</v>
      </c>
      <c r="EK194" s="34" t="n">
        <f aca="false">IF(EK$8=1,N(Reales!EK29),IF(EK$171=1,INDEX(Vol_V,18,EK$170)/12*(1+V_dVol),0))</f>
        <v>0</v>
      </c>
      <c r="EL194" s="34" t="n">
        <f aca="false">IF(EL$8=1,N(Reales!EL29),IF(EL$171=1,INDEX(Vol_V,18,EL$170)/12*(1+V_dVol),0))</f>
        <v>0</v>
      </c>
      <c r="EM194" s="34" t="n">
        <f aca="false">IF(EM$8=1,N(Reales!EM29),IF(EM$171=1,INDEX(Vol_V,18,EM$170)/12*(1+V_dVol),0))</f>
        <v>0</v>
      </c>
      <c r="EN194" s="34" t="n">
        <f aca="false">IF(EN$8=1,N(Reales!EN29),IF(EN$171=1,INDEX(Vol_V,18,EN$170)/12*(1+V_dVol),0))</f>
        <v>0</v>
      </c>
      <c r="EO194" s="34" t="n">
        <f aca="false">IF(EO$8=1,N(Reales!EO29),IF(EO$171=1,INDEX(Vol_V,18,EO$170)/12*(1+V_dVol),0))</f>
        <v>0</v>
      </c>
      <c r="EP194" s="34" t="n">
        <f aca="false">IF(EP$8=1,N(Reales!EP29),IF(EP$171=1,INDEX(Vol_V,18,EP$170)/12*(1+V_dVol),0))</f>
        <v>0</v>
      </c>
      <c r="EQ194" s="34" t="n">
        <f aca="false">IF(EQ$8=1,N(Reales!EQ29),IF(EQ$171=1,INDEX(Vol_V,18,EQ$170)/12*(1+V_dVol),0))</f>
        <v>0</v>
      </c>
      <c r="ER194" s="34" t="n">
        <f aca="false">IF(ER$8=1,N(Reales!ER29),IF(ER$171=1,INDEX(Vol_V,18,ER$170)/12*(1+V_dVol),0))</f>
        <v>0</v>
      </c>
      <c r="ES194" s="34" t="n">
        <f aca="false">IF(ES$8=1,N(Reales!ES29),IF(ES$171=1,INDEX(Vol_V,18,ES$170)/12*(1+V_dVol),0))</f>
        <v>0</v>
      </c>
    </row>
    <row r="195" customFormat="false" ht="15" hidden="false" customHeight="false" outlineLevel="0" collapsed="false">
      <c r="A195" s="2" t="s">
        <v>837</v>
      </c>
      <c r="B195" s="39" t="str">
        <f aca="false">IF(INDEX(Prod_Nombre,19)="","Producto 19",INDEX(Prod_Nombre,19))&amp;" — unidades"</f>
        <v>Producto 19 — unidades</v>
      </c>
      <c r="C195" s="6" t="s">
        <v>286</v>
      </c>
      <c r="E195" s="40" t="n">
        <f aca="false">SUM(F195:ES195)</f>
        <v>0</v>
      </c>
      <c r="F195" s="34" t="n">
        <f aca="false">IF(F$8=1,N(Reales!F30),IF(F$171=1,INDEX(Vol_V,19,F$170)/12*(1+V_dVol),0))</f>
        <v>0</v>
      </c>
      <c r="G195" s="34" t="n">
        <f aca="false">IF(G$8=1,N(Reales!G30),IF(G$171=1,INDEX(Vol_V,19,G$170)/12*(1+V_dVol),0))</f>
        <v>0</v>
      </c>
      <c r="H195" s="34" t="n">
        <f aca="false">IF(H$8=1,N(Reales!H30),IF(H$171=1,INDEX(Vol_V,19,H$170)/12*(1+V_dVol),0))</f>
        <v>0</v>
      </c>
      <c r="I195" s="34" t="n">
        <f aca="false">IF(I$8=1,N(Reales!I30),IF(I$171=1,INDEX(Vol_V,19,I$170)/12*(1+V_dVol),0))</f>
        <v>0</v>
      </c>
      <c r="J195" s="34" t="n">
        <f aca="false">IF(J$8=1,N(Reales!J30),IF(J$171=1,INDEX(Vol_V,19,J$170)/12*(1+V_dVol),0))</f>
        <v>0</v>
      </c>
      <c r="K195" s="34" t="n">
        <f aca="false">IF(K$8=1,N(Reales!K30),IF(K$171=1,INDEX(Vol_V,19,K$170)/12*(1+V_dVol),0))</f>
        <v>0</v>
      </c>
      <c r="L195" s="34" t="n">
        <f aca="false">IF(L$8=1,N(Reales!L30),IF(L$171=1,INDEX(Vol_V,19,L$170)/12*(1+V_dVol),0))</f>
        <v>0</v>
      </c>
      <c r="M195" s="34" t="n">
        <f aca="false">IF(M$8=1,N(Reales!M30),IF(M$171=1,INDEX(Vol_V,19,M$170)/12*(1+V_dVol),0))</f>
        <v>0</v>
      </c>
      <c r="N195" s="34" t="n">
        <f aca="false">IF(N$8=1,N(Reales!N30),IF(N$171=1,INDEX(Vol_V,19,N$170)/12*(1+V_dVol),0))</f>
        <v>0</v>
      </c>
      <c r="O195" s="34" t="n">
        <f aca="false">IF(O$8=1,N(Reales!O30),IF(O$171=1,INDEX(Vol_V,19,O$170)/12*(1+V_dVol),0))</f>
        <v>0</v>
      </c>
      <c r="P195" s="34" t="n">
        <f aca="false">IF(P$8=1,N(Reales!P30),IF(P$171=1,INDEX(Vol_V,19,P$170)/12*(1+V_dVol),0))</f>
        <v>0</v>
      </c>
      <c r="Q195" s="34" t="n">
        <f aca="false">IF(Q$8=1,N(Reales!Q30),IF(Q$171=1,INDEX(Vol_V,19,Q$170)/12*(1+V_dVol),0))</f>
        <v>0</v>
      </c>
      <c r="R195" s="34" t="n">
        <f aca="false">IF(R$8=1,N(Reales!R30),IF(R$171=1,INDEX(Vol_V,19,R$170)/12*(1+V_dVol),0))</f>
        <v>0</v>
      </c>
      <c r="S195" s="34" t="n">
        <f aca="false">IF(S$8=1,N(Reales!S30),IF(S$171=1,INDEX(Vol_V,19,S$170)/12*(1+V_dVol),0))</f>
        <v>0</v>
      </c>
      <c r="T195" s="34" t="n">
        <f aca="false">IF(T$8=1,N(Reales!T30),IF(T$171=1,INDEX(Vol_V,19,T$170)/12*(1+V_dVol),0))</f>
        <v>0</v>
      </c>
      <c r="U195" s="34" t="n">
        <f aca="false">IF(U$8=1,N(Reales!U30),IF(U$171=1,INDEX(Vol_V,19,U$170)/12*(1+V_dVol),0))</f>
        <v>0</v>
      </c>
      <c r="V195" s="34" t="n">
        <f aca="false">IF(V$8=1,N(Reales!V30),IF(V$171=1,INDEX(Vol_V,19,V$170)/12*(1+V_dVol),0))</f>
        <v>0</v>
      </c>
      <c r="W195" s="34" t="n">
        <f aca="false">IF(W$8=1,N(Reales!W30),IF(W$171=1,INDEX(Vol_V,19,W$170)/12*(1+V_dVol),0))</f>
        <v>0</v>
      </c>
      <c r="X195" s="34" t="n">
        <f aca="false">IF(X$8=1,N(Reales!X30),IF(X$171=1,INDEX(Vol_V,19,X$170)/12*(1+V_dVol),0))</f>
        <v>0</v>
      </c>
      <c r="Y195" s="34" t="n">
        <f aca="false">IF(Y$8=1,N(Reales!Y30),IF(Y$171=1,INDEX(Vol_V,19,Y$170)/12*(1+V_dVol),0))</f>
        <v>0</v>
      </c>
      <c r="Z195" s="34" t="n">
        <f aca="false">IF(Z$8=1,N(Reales!Z30),IF(Z$171=1,INDEX(Vol_V,19,Z$170)/12*(1+V_dVol),0))</f>
        <v>0</v>
      </c>
      <c r="AA195" s="34" t="n">
        <f aca="false">IF(AA$8=1,N(Reales!AA30),IF(AA$171=1,INDEX(Vol_V,19,AA$170)/12*(1+V_dVol),0))</f>
        <v>0</v>
      </c>
      <c r="AB195" s="34" t="n">
        <f aca="false">IF(AB$8=1,N(Reales!AB30),IF(AB$171=1,INDEX(Vol_V,19,AB$170)/12*(1+V_dVol),0))</f>
        <v>0</v>
      </c>
      <c r="AC195" s="34" t="n">
        <f aca="false">IF(AC$8=1,N(Reales!AC30),IF(AC$171=1,INDEX(Vol_V,19,AC$170)/12*(1+V_dVol),0))</f>
        <v>0</v>
      </c>
      <c r="AD195" s="34" t="n">
        <f aca="false">IF(AD$8=1,N(Reales!AD30),IF(AD$171=1,INDEX(Vol_V,19,AD$170)/12*(1+V_dVol),0))</f>
        <v>0</v>
      </c>
      <c r="AE195" s="34" t="n">
        <f aca="false">IF(AE$8=1,N(Reales!AE30),IF(AE$171=1,INDEX(Vol_V,19,AE$170)/12*(1+V_dVol),0))</f>
        <v>0</v>
      </c>
      <c r="AF195" s="34" t="n">
        <f aca="false">IF(AF$8=1,N(Reales!AF30),IF(AF$171=1,INDEX(Vol_V,19,AF$170)/12*(1+V_dVol),0))</f>
        <v>0</v>
      </c>
      <c r="AG195" s="34" t="n">
        <f aca="false">IF(AG$8=1,N(Reales!AG30),IF(AG$171=1,INDEX(Vol_V,19,AG$170)/12*(1+V_dVol),0))</f>
        <v>0</v>
      </c>
      <c r="AH195" s="34" t="n">
        <f aca="false">IF(AH$8=1,N(Reales!AH30),IF(AH$171=1,INDEX(Vol_V,19,AH$170)/12*(1+V_dVol),0))</f>
        <v>0</v>
      </c>
      <c r="AI195" s="34" t="n">
        <f aca="false">IF(AI$8=1,N(Reales!AI30),IF(AI$171=1,INDEX(Vol_V,19,AI$170)/12*(1+V_dVol),0))</f>
        <v>0</v>
      </c>
      <c r="AJ195" s="34" t="n">
        <f aca="false">IF(AJ$8=1,N(Reales!AJ30),IF(AJ$171=1,INDEX(Vol_V,19,AJ$170)/12*(1+V_dVol),0))</f>
        <v>0</v>
      </c>
      <c r="AK195" s="34" t="n">
        <f aca="false">IF(AK$8=1,N(Reales!AK30),IF(AK$171=1,INDEX(Vol_V,19,AK$170)/12*(1+V_dVol),0))</f>
        <v>0</v>
      </c>
      <c r="AL195" s="34" t="n">
        <f aca="false">IF(AL$8=1,N(Reales!AL30),IF(AL$171=1,INDEX(Vol_V,19,AL$170)/12*(1+V_dVol),0))</f>
        <v>0</v>
      </c>
      <c r="AM195" s="34" t="n">
        <f aca="false">IF(AM$8=1,N(Reales!AM30),IF(AM$171=1,INDEX(Vol_V,19,AM$170)/12*(1+V_dVol),0))</f>
        <v>0</v>
      </c>
      <c r="AN195" s="34" t="n">
        <f aca="false">IF(AN$8=1,N(Reales!AN30),IF(AN$171=1,INDEX(Vol_V,19,AN$170)/12*(1+V_dVol),0))</f>
        <v>0</v>
      </c>
      <c r="AO195" s="34" t="n">
        <f aca="false">IF(AO$8=1,N(Reales!AO30),IF(AO$171=1,INDEX(Vol_V,19,AO$170)/12*(1+V_dVol),0))</f>
        <v>0</v>
      </c>
      <c r="AP195" s="34" t="n">
        <f aca="false">IF(AP$8=1,N(Reales!AP30),IF(AP$171=1,INDEX(Vol_V,19,AP$170)/12*(1+V_dVol),0))</f>
        <v>0</v>
      </c>
      <c r="AQ195" s="34" t="n">
        <f aca="false">IF(AQ$8=1,N(Reales!AQ30),IF(AQ$171=1,INDEX(Vol_V,19,AQ$170)/12*(1+V_dVol),0))</f>
        <v>0</v>
      </c>
      <c r="AR195" s="34" t="n">
        <f aca="false">IF(AR$8=1,N(Reales!AR30),IF(AR$171=1,INDEX(Vol_V,19,AR$170)/12*(1+V_dVol),0))</f>
        <v>0</v>
      </c>
      <c r="AS195" s="34" t="n">
        <f aca="false">IF(AS$8=1,N(Reales!AS30),IF(AS$171=1,INDEX(Vol_V,19,AS$170)/12*(1+V_dVol),0))</f>
        <v>0</v>
      </c>
      <c r="AT195" s="34" t="n">
        <f aca="false">IF(AT$8=1,N(Reales!AT30),IF(AT$171=1,INDEX(Vol_V,19,AT$170)/12*(1+V_dVol),0))</f>
        <v>0</v>
      </c>
      <c r="AU195" s="34" t="n">
        <f aca="false">IF(AU$8=1,N(Reales!AU30),IF(AU$171=1,INDEX(Vol_V,19,AU$170)/12*(1+V_dVol),0))</f>
        <v>0</v>
      </c>
      <c r="AV195" s="34" t="n">
        <f aca="false">IF(AV$8=1,N(Reales!AV30),IF(AV$171=1,INDEX(Vol_V,19,AV$170)/12*(1+V_dVol),0))</f>
        <v>0</v>
      </c>
      <c r="AW195" s="34" t="n">
        <f aca="false">IF(AW$8=1,N(Reales!AW30),IF(AW$171=1,INDEX(Vol_V,19,AW$170)/12*(1+V_dVol),0))</f>
        <v>0</v>
      </c>
      <c r="AX195" s="34" t="n">
        <f aca="false">IF(AX$8=1,N(Reales!AX30),IF(AX$171=1,INDEX(Vol_V,19,AX$170)/12*(1+V_dVol),0))</f>
        <v>0</v>
      </c>
      <c r="AY195" s="34" t="n">
        <f aca="false">IF(AY$8=1,N(Reales!AY30),IF(AY$171=1,INDEX(Vol_V,19,AY$170)/12*(1+V_dVol),0))</f>
        <v>0</v>
      </c>
      <c r="AZ195" s="34" t="n">
        <f aca="false">IF(AZ$8=1,N(Reales!AZ30),IF(AZ$171=1,INDEX(Vol_V,19,AZ$170)/12*(1+V_dVol),0))</f>
        <v>0</v>
      </c>
      <c r="BA195" s="34" t="n">
        <f aca="false">IF(BA$8=1,N(Reales!BA30),IF(BA$171=1,INDEX(Vol_V,19,BA$170)/12*(1+V_dVol),0))</f>
        <v>0</v>
      </c>
      <c r="BB195" s="34" t="n">
        <f aca="false">IF(BB$8=1,N(Reales!BB30),IF(BB$171=1,INDEX(Vol_V,19,BB$170)/12*(1+V_dVol),0))</f>
        <v>0</v>
      </c>
      <c r="BC195" s="34" t="n">
        <f aca="false">IF(BC$8=1,N(Reales!BC30),IF(BC$171=1,INDEX(Vol_V,19,BC$170)/12*(1+V_dVol),0))</f>
        <v>0</v>
      </c>
      <c r="BD195" s="34" t="n">
        <f aca="false">IF(BD$8=1,N(Reales!BD30),IF(BD$171=1,INDEX(Vol_V,19,BD$170)/12*(1+V_dVol),0))</f>
        <v>0</v>
      </c>
      <c r="BE195" s="34" t="n">
        <f aca="false">IF(BE$8=1,N(Reales!BE30),IF(BE$171=1,INDEX(Vol_V,19,BE$170)/12*(1+V_dVol),0))</f>
        <v>0</v>
      </c>
      <c r="BF195" s="34" t="n">
        <f aca="false">IF(BF$8=1,N(Reales!BF30),IF(BF$171=1,INDEX(Vol_V,19,BF$170)/12*(1+V_dVol),0))</f>
        <v>0</v>
      </c>
      <c r="BG195" s="34" t="n">
        <f aca="false">IF(BG$8=1,N(Reales!BG30),IF(BG$171=1,INDEX(Vol_V,19,BG$170)/12*(1+V_dVol),0))</f>
        <v>0</v>
      </c>
      <c r="BH195" s="34" t="n">
        <f aca="false">IF(BH$8=1,N(Reales!BH30),IF(BH$171=1,INDEX(Vol_V,19,BH$170)/12*(1+V_dVol),0))</f>
        <v>0</v>
      </c>
      <c r="BI195" s="34" t="n">
        <f aca="false">IF(BI$8=1,N(Reales!BI30),IF(BI$171=1,INDEX(Vol_V,19,BI$170)/12*(1+V_dVol),0))</f>
        <v>0</v>
      </c>
      <c r="BJ195" s="34" t="n">
        <f aca="false">IF(BJ$8=1,N(Reales!BJ30),IF(BJ$171=1,INDEX(Vol_V,19,BJ$170)/12*(1+V_dVol),0))</f>
        <v>0</v>
      </c>
      <c r="BK195" s="34" t="n">
        <f aca="false">IF(BK$8=1,N(Reales!BK30),IF(BK$171=1,INDEX(Vol_V,19,BK$170)/12*(1+V_dVol),0))</f>
        <v>0</v>
      </c>
      <c r="BL195" s="34" t="n">
        <f aca="false">IF(BL$8=1,N(Reales!BL30),IF(BL$171=1,INDEX(Vol_V,19,BL$170)/12*(1+V_dVol),0))</f>
        <v>0</v>
      </c>
      <c r="BM195" s="34" t="n">
        <f aca="false">IF(BM$8=1,N(Reales!BM30),IF(BM$171=1,INDEX(Vol_V,19,BM$170)/12*(1+V_dVol),0))</f>
        <v>0</v>
      </c>
      <c r="BN195" s="34" t="n">
        <f aca="false">IF(BN$8=1,N(Reales!BN30),IF(BN$171=1,INDEX(Vol_V,19,BN$170)/12*(1+V_dVol),0))</f>
        <v>0</v>
      </c>
      <c r="BO195" s="34" t="n">
        <f aca="false">IF(BO$8=1,N(Reales!BO30),IF(BO$171=1,INDEX(Vol_V,19,BO$170)/12*(1+V_dVol),0))</f>
        <v>0</v>
      </c>
      <c r="BP195" s="34" t="n">
        <f aca="false">IF(BP$8=1,N(Reales!BP30),IF(BP$171=1,INDEX(Vol_V,19,BP$170)/12*(1+V_dVol),0))</f>
        <v>0</v>
      </c>
      <c r="BQ195" s="34" t="n">
        <f aca="false">IF(BQ$8=1,N(Reales!BQ30),IF(BQ$171=1,INDEX(Vol_V,19,BQ$170)/12*(1+V_dVol),0))</f>
        <v>0</v>
      </c>
      <c r="BR195" s="34" t="n">
        <f aca="false">IF(BR$8=1,N(Reales!BR30),IF(BR$171=1,INDEX(Vol_V,19,BR$170)/12*(1+V_dVol),0))</f>
        <v>0</v>
      </c>
      <c r="BS195" s="34" t="n">
        <f aca="false">IF(BS$8=1,N(Reales!BS30),IF(BS$171=1,INDEX(Vol_V,19,BS$170)/12*(1+V_dVol),0))</f>
        <v>0</v>
      </c>
      <c r="BT195" s="34" t="n">
        <f aca="false">IF(BT$8=1,N(Reales!BT30),IF(BT$171=1,INDEX(Vol_V,19,BT$170)/12*(1+V_dVol),0))</f>
        <v>0</v>
      </c>
      <c r="BU195" s="34" t="n">
        <f aca="false">IF(BU$8=1,N(Reales!BU30),IF(BU$171=1,INDEX(Vol_V,19,BU$170)/12*(1+V_dVol),0))</f>
        <v>0</v>
      </c>
      <c r="BV195" s="34" t="n">
        <f aca="false">IF(BV$8=1,N(Reales!BV30),IF(BV$171=1,INDEX(Vol_V,19,BV$170)/12*(1+V_dVol),0))</f>
        <v>0</v>
      </c>
      <c r="BW195" s="34" t="n">
        <f aca="false">IF(BW$8=1,N(Reales!BW30),IF(BW$171=1,INDEX(Vol_V,19,BW$170)/12*(1+V_dVol),0))</f>
        <v>0</v>
      </c>
      <c r="BX195" s="34" t="n">
        <f aca="false">IF(BX$8=1,N(Reales!BX30),IF(BX$171=1,INDEX(Vol_V,19,BX$170)/12*(1+V_dVol),0))</f>
        <v>0</v>
      </c>
      <c r="BY195" s="34" t="n">
        <f aca="false">IF(BY$8=1,N(Reales!BY30),IF(BY$171=1,INDEX(Vol_V,19,BY$170)/12*(1+V_dVol),0))</f>
        <v>0</v>
      </c>
      <c r="BZ195" s="34" t="n">
        <f aca="false">IF(BZ$8=1,N(Reales!BZ30),IF(BZ$171=1,INDEX(Vol_V,19,BZ$170)/12*(1+V_dVol),0))</f>
        <v>0</v>
      </c>
      <c r="CA195" s="34" t="n">
        <f aca="false">IF(CA$8=1,N(Reales!CA30),IF(CA$171=1,INDEX(Vol_V,19,CA$170)/12*(1+V_dVol),0))</f>
        <v>0</v>
      </c>
      <c r="CB195" s="34" t="n">
        <f aca="false">IF(CB$8=1,N(Reales!CB30),IF(CB$171=1,INDEX(Vol_V,19,CB$170)/12*(1+V_dVol),0))</f>
        <v>0</v>
      </c>
      <c r="CC195" s="34" t="n">
        <f aca="false">IF(CC$8=1,N(Reales!CC30),IF(CC$171=1,INDEX(Vol_V,19,CC$170)/12*(1+V_dVol),0))</f>
        <v>0</v>
      </c>
      <c r="CD195" s="34" t="n">
        <f aca="false">IF(CD$8=1,N(Reales!CD30),IF(CD$171=1,INDEX(Vol_V,19,CD$170)/12*(1+V_dVol),0))</f>
        <v>0</v>
      </c>
      <c r="CE195" s="34" t="n">
        <f aca="false">IF(CE$8=1,N(Reales!CE30),IF(CE$171=1,INDEX(Vol_V,19,CE$170)/12*(1+V_dVol),0))</f>
        <v>0</v>
      </c>
      <c r="CF195" s="34" t="n">
        <f aca="false">IF(CF$8=1,N(Reales!CF30),IF(CF$171=1,INDEX(Vol_V,19,CF$170)/12*(1+V_dVol),0))</f>
        <v>0</v>
      </c>
      <c r="CG195" s="34" t="n">
        <f aca="false">IF(CG$8=1,N(Reales!CG30),IF(CG$171=1,INDEX(Vol_V,19,CG$170)/12*(1+V_dVol),0))</f>
        <v>0</v>
      </c>
      <c r="CH195" s="34" t="n">
        <f aca="false">IF(CH$8=1,N(Reales!CH30),IF(CH$171=1,INDEX(Vol_V,19,CH$170)/12*(1+V_dVol),0))</f>
        <v>0</v>
      </c>
      <c r="CI195" s="34" t="n">
        <f aca="false">IF(CI$8=1,N(Reales!CI30),IF(CI$171=1,INDEX(Vol_V,19,CI$170)/12*(1+V_dVol),0))</f>
        <v>0</v>
      </c>
      <c r="CJ195" s="34" t="n">
        <f aca="false">IF(CJ$8=1,N(Reales!CJ30),IF(CJ$171=1,INDEX(Vol_V,19,CJ$170)/12*(1+V_dVol),0))</f>
        <v>0</v>
      </c>
      <c r="CK195" s="34" t="n">
        <f aca="false">IF(CK$8=1,N(Reales!CK30),IF(CK$171=1,INDEX(Vol_V,19,CK$170)/12*(1+V_dVol),0))</f>
        <v>0</v>
      </c>
      <c r="CL195" s="34" t="n">
        <f aca="false">IF(CL$8=1,N(Reales!CL30),IF(CL$171=1,INDEX(Vol_V,19,CL$170)/12*(1+V_dVol),0))</f>
        <v>0</v>
      </c>
      <c r="CM195" s="34" t="n">
        <f aca="false">IF(CM$8=1,N(Reales!CM30),IF(CM$171=1,INDEX(Vol_V,19,CM$170)/12*(1+V_dVol),0))</f>
        <v>0</v>
      </c>
      <c r="CN195" s="34" t="n">
        <f aca="false">IF(CN$8=1,N(Reales!CN30),IF(CN$171=1,INDEX(Vol_V,19,CN$170)/12*(1+V_dVol),0))</f>
        <v>0</v>
      </c>
      <c r="CO195" s="34" t="n">
        <f aca="false">IF(CO$8=1,N(Reales!CO30),IF(CO$171=1,INDEX(Vol_V,19,CO$170)/12*(1+V_dVol),0))</f>
        <v>0</v>
      </c>
      <c r="CP195" s="34" t="n">
        <f aca="false">IF(CP$8=1,N(Reales!CP30),IF(CP$171=1,INDEX(Vol_V,19,CP$170)/12*(1+V_dVol),0))</f>
        <v>0</v>
      </c>
      <c r="CQ195" s="34" t="n">
        <f aca="false">IF(CQ$8=1,N(Reales!CQ30),IF(CQ$171=1,INDEX(Vol_V,19,CQ$170)/12*(1+V_dVol),0))</f>
        <v>0</v>
      </c>
      <c r="CR195" s="34" t="n">
        <f aca="false">IF(CR$8=1,N(Reales!CR30),IF(CR$171=1,INDEX(Vol_V,19,CR$170)/12*(1+V_dVol),0))</f>
        <v>0</v>
      </c>
      <c r="CS195" s="34" t="n">
        <f aca="false">IF(CS$8=1,N(Reales!CS30),IF(CS$171=1,INDEX(Vol_V,19,CS$170)/12*(1+V_dVol),0))</f>
        <v>0</v>
      </c>
      <c r="CT195" s="34" t="n">
        <f aca="false">IF(CT$8=1,N(Reales!CT30),IF(CT$171=1,INDEX(Vol_V,19,CT$170)/12*(1+V_dVol),0))</f>
        <v>0</v>
      </c>
      <c r="CU195" s="34" t="n">
        <f aca="false">IF(CU$8=1,N(Reales!CU30),IF(CU$171=1,INDEX(Vol_V,19,CU$170)/12*(1+V_dVol),0))</f>
        <v>0</v>
      </c>
      <c r="CV195" s="34" t="n">
        <f aca="false">IF(CV$8=1,N(Reales!CV30),IF(CV$171=1,INDEX(Vol_V,19,CV$170)/12*(1+V_dVol),0))</f>
        <v>0</v>
      </c>
      <c r="CW195" s="34" t="n">
        <f aca="false">IF(CW$8=1,N(Reales!CW30),IF(CW$171=1,INDEX(Vol_V,19,CW$170)/12*(1+V_dVol),0))</f>
        <v>0</v>
      </c>
      <c r="CX195" s="34" t="n">
        <f aca="false">IF(CX$8=1,N(Reales!CX30),IF(CX$171=1,INDEX(Vol_V,19,CX$170)/12*(1+V_dVol),0))</f>
        <v>0</v>
      </c>
      <c r="CY195" s="34" t="n">
        <f aca="false">IF(CY$8=1,N(Reales!CY30),IF(CY$171=1,INDEX(Vol_V,19,CY$170)/12*(1+V_dVol),0))</f>
        <v>0</v>
      </c>
      <c r="CZ195" s="34" t="n">
        <f aca="false">IF(CZ$8=1,N(Reales!CZ30),IF(CZ$171=1,INDEX(Vol_V,19,CZ$170)/12*(1+V_dVol),0))</f>
        <v>0</v>
      </c>
      <c r="DA195" s="34" t="n">
        <f aca="false">IF(DA$8=1,N(Reales!DA30),IF(DA$171=1,INDEX(Vol_V,19,DA$170)/12*(1+V_dVol),0))</f>
        <v>0</v>
      </c>
      <c r="DB195" s="34" t="n">
        <f aca="false">IF(DB$8=1,N(Reales!DB30),IF(DB$171=1,INDEX(Vol_V,19,DB$170)/12*(1+V_dVol),0))</f>
        <v>0</v>
      </c>
      <c r="DC195" s="34" t="n">
        <f aca="false">IF(DC$8=1,N(Reales!DC30),IF(DC$171=1,INDEX(Vol_V,19,DC$170)/12*(1+V_dVol),0))</f>
        <v>0</v>
      </c>
      <c r="DD195" s="34" t="n">
        <f aca="false">IF(DD$8=1,N(Reales!DD30),IF(DD$171=1,INDEX(Vol_V,19,DD$170)/12*(1+V_dVol),0))</f>
        <v>0</v>
      </c>
      <c r="DE195" s="34" t="n">
        <f aca="false">IF(DE$8=1,N(Reales!DE30),IF(DE$171=1,INDEX(Vol_V,19,DE$170)/12*(1+V_dVol),0))</f>
        <v>0</v>
      </c>
      <c r="DF195" s="34" t="n">
        <f aca="false">IF(DF$8=1,N(Reales!DF30),IF(DF$171=1,INDEX(Vol_V,19,DF$170)/12*(1+V_dVol),0))</f>
        <v>0</v>
      </c>
      <c r="DG195" s="34" t="n">
        <f aca="false">IF(DG$8=1,N(Reales!DG30),IF(DG$171=1,INDEX(Vol_V,19,DG$170)/12*(1+V_dVol),0))</f>
        <v>0</v>
      </c>
      <c r="DH195" s="34" t="n">
        <f aca="false">IF(DH$8=1,N(Reales!DH30),IF(DH$171=1,INDEX(Vol_V,19,DH$170)/12*(1+V_dVol),0))</f>
        <v>0</v>
      </c>
      <c r="DI195" s="34" t="n">
        <f aca="false">IF(DI$8=1,N(Reales!DI30),IF(DI$171=1,INDEX(Vol_V,19,DI$170)/12*(1+V_dVol),0))</f>
        <v>0</v>
      </c>
      <c r="DJ195" s="34" t="n">
        <f aca="false">IF(DJ$8=1,N(Reales!DJ30),IF(DJ$171=1,INDEX(Vol_V,19,DJ$170)/12*(1+V_dVol),0))</f>
        <v>0</v>
      </c>
      <c r="DK195" s="34" t="n">
        <f aca="false">IF(DK$8=1,N(Reales!DK30),IF(DK$171=1,INDEX(Vol_V,19,DK$170)/12*(1+V_dVol),0))</f>
        <v>0</v>
      </c>
      <c r="DL195" s="34" t="n">
        <f aca="false">IF(DL$8=1,N(Reales!DL30),IF(DL$171=1,INDEX(Vol_V,19,DL$170)/12*(1+V_dVol),0))</f>
        <v>0</v>
      </c>
      <c r="DM195" s="34" t="n">
        <f aca="false">IF(DM$8=1,N(Reales!DM30),IF(DM$171=1,INDEX(Vol_V,19,DM$170)/12*(1+V_dVol),0))</f>
        <v>0</v>
      </c>
      <c r="DN195" s="34" t="n">
        <f aca="false">IF(DN$8=1,N(Reales!DN30),IF(DN$171=1,INDEX(Vol_V,19,DN$170)/12*(1+V_dVol),0))</f>
        <v>0</v>
      </c>
      <c r="DO195" s="34" t="n">
        <f aca="false">IF(DO$8=1,N(Reales!DO30),IF(DO$171=1,INDEX(Vol_V,19,DO$170)/12*(1+V_dVol),0))</f>
        <v>0</v>
      </c>
      <c r="DP195" s="34" t="n">
        <f aca="false">IF(DP$8=1,N(Reales!DP30),IF(DP$171=1,INDEX(Vol_V,19,DP$170)/12*(1+V_dVol),0))</f>
        <v>0</v>
      </c>
      <c r="DQ195" s="34" t="n">
        <f aca="false">IF(DQ$8=1,N(Reales!DQ30),IF(DQ$171=1,INDEX(Vol_V,19,DQ$170)/12*(1+V_dVol),0))</f>
        <v>0</v>
      </c>
      <c r="DR195" s="34" t="n">
        <f aca="false">IF(DR$8=1,N(Reales!DR30),IF(DR$171=1,INDEX(Vol_V,19,DR$170)/12*(1+V_dVol),0))</f>
        <v>0</v>
      </c>
      <c r="DS195" s="34" t="n">
        <f aca="false">IF(DS$8=1,N(Reales!DS30),IF(DS$171=1,INDEX(Vol_V,19,DS$170)/12*(1+V_dVol),0))</f>
        <v>0</v>
      </c>
      <c r="DT195" s="34" t="n">
        <f aca="false">IF(DT$8=1,N(Reales!DT30),IF(DT$171=1,INDEX(Vol_V,19,DT$170)/12*(1+V_dVol),0))</f>
        <v>0</v>
      </c>
      <c r="DU195" s="34" t="n">
        <f aca="false">IF(DU$8=1,N(Reales!DU30),IF(DU$171=1,INDEX(Vol_V,19,DU$170)/12*(1+V_dVol),0))</f>
        <v>0</v>
      </c>
      <c r="DV195" s="34" t="n">
        <f aca="false">IF(DV$8=1,N(Reales!DV30),IF(DV$171=1,INDEX(Vol_V,19,DV$170)/12*(1+V_dVol),0))</f>
        <v>0</v>
      </c>
      <c r="DW195" s="34" t="n">
        <f aca="false">IF(DW$8=1,N(Reales!DW30),IF(DW$171=1,INDEX(Vol_V,19,DW$170)/12*(1+V_dVol),0))</f>
        <v>0</v>
      </c>
      <c r="DX195" s="34" t="n">
        <f aca="false">IF(DX$8=1,N(Reales!DX30),IF(DX$171=1,INDEX(Vol_V,19,DX$170)/12*(1+V_dVol),0))</f>
        <v>0</v>
      </c>
      <c r="DY195" s="34" t="n">
        <f aca="false">IF(DY$8=1,N(Reales!DY30),IF(DY$171=1,INDEX(Vol_V,19,DY$170)/12*(1+V_dVol),0))</f>
        <v>0</v>
      </c>
      <c r="DZ195" s="34" t="n">
        <f aca="false">IF(DZ$8=1,N(Reales!DZ30),IF(DZ$171=1,INDEX(Vol_V,19,DZ$170)/12*(1+V_dVol),0))</f>
        <v>0</v>
      </c>
      <c r="EA195" s="34" t="n">
        <f aca="false">IF(EA$8=1,N(Reales!EA30),IF(EA$171=1,INDEX(Vol_V,19,EA$170)/12*(1+V_dVol),0))</f>
        <v>0</v>
      </c>
      <c r="EB195" s="34" t="n">
        <f aca="false">IF(EB$8=1,N(Reales!EB30),IF(EB$171=1,INDEX(Vol_V,19,EB$170)/12*(1+V_dVol),0))</f>
        <v>0</v>
      </c>
      <c r="EC195" s="34" t="n">
        <f aca="false">IF(EC$8=1,N(Reales!EC30),IF(EC$171=1,INDEX(Vol_V,19,EC$170)/12*(1+V_dVol),0))</f>
        <v>0</v>
      </c>
      <c r="ED195" s="34" t="n">
        <f aca="false">IF(ED$8=1,N(Reales!ED30),IF(ED$171=1,INDEX(Vol_V,19,ED$170)/12*(1+V_dVol),0))</f>
        <v>0</v>
      </c>
      <c r="EE195" s="34" t="n">
        <f aca="false">IF(EE$8=1,N(Reales!EE30),IF(EE$171=1,INDEX(Vol_V,19,EE$170)/12*(1+V_dVol),0))</f>
        <v>0</v>
      </c>
      <c r="EF195" s="34" t="n">
        <f aca="false">IF(EF$8=1,N(Reales!EF30),IF(EF$171=1,INDEX(Vol_V,19,EF$170)/12*(1+V_dVol),0))</f>
        <v>0</v>
      </c>
      <c r="EG195" s="34" t="n">
        <f aca="false">IF(EG$8=1,N(Reales!EG30),IF(EG$171=1,INDEX(Vol_V,19,EG$170)/12*(1+V_dVol),0))</f>
        <v>0</v>
      </c>
      <c r="EH195" s="34" t="n">
        <f aca="false">IF(EH$8=1,N(Reales!EH30),IF(EH$171=1,INDEX(Vol_V,19,EH$170)/12*(1+V_dVol),0))</f>
        <v>0</v>
      </c>
      <c r="EI195" s="34" t="n">
        <f aca="false">IF(EI$8=1,N(Reales!EI30),IF(EI$171=1,INDEX(Vol_V,19,EI$170)/12*(1+V_dVol),0))</f>
        <v>0</v>
      </c>
      <c r="EJ195" s="34" t="n">
        <f aca="false">IF(EJ$8=1,N(Reales!EJ30),IF(EJ$171=1,INDEX(Vol_V,19,EJ$170)/12*(1+V_dVol),0))</f>
        <v>0</v>
      </c>
      <c r="EK195" s="34" t="n">
        <f aca="false">IF(EK$8=1,N(Reales!EK30),IF(EK$171=1,INDEX(Vol_V,19,EK$170)/12*(1+V_dVol),0))</f>
        <v>0</v>
      </c>
      <c r="EL195" s="34" t="n">
        <f aca="false">IF(EL$8=1,N(Reales!EL30),IF(EL$171=1,INDEX(Vol_V,19,EL$170)/12*(1+V_dVol),0))</f>
        <v>0</v>
      </c>
      <c r="EM195" s="34" t="n">
        <f aca="false">IF(EM$8=1,N(Reales!EM30),IF(EM$171=1,INDEX(Vol_V,19,EM$170)/12*(1+V_dVol),0))</f>
        <v>0</v>
      </c>
      <c r="EN195" s="34" t="n">
        <f aca="false">IF(EN$8=1,N(Reales!EN30),IF(EN$171=1,INDEX(Vol_V,19,EN$170)/12*(1+V_dVol),0))</f>
        <v>0</v>
      </c>
      <c r="EO195" s="34" t="n">
        <f aca="false">IF(EO$8=1,N(Reales!EO30),IF(EO$171=1,INDEX(Vol_V,19,EO$170)/12*(1+V_dVol),0))</f>
        <v>0</v>
      </c>
      <c r="EP195" s="34" t="n">
        <f aca="false">IF(EP$8=1,N(Reales!EP30),IF(EP$171=1,INDEX(Vol_V,19,EP$170)/12*(1+V_dVol),0))</f>
        <v>0</v>
      </c>
      <c r="EQ195" s="34" t="n">
        <f aca="false">IF(EQ$8=1,N(Reales!EQ30),IF(EQ$171=1,INDEX(Vol_V,19,EQ$170)/12*(1+V_dVol),0))</f>
        <v>0</v>
      </c>
      <c r="ER195" s="34" t="n">
        <f aca="false">IF(ER$8=1,N(Reales!ER30),IF(ER$171=1,INDEX(Vol_V,19,ER$170)/12*(1+V_dVol),0))</f>
        <v>0</v>
      </c>
      <c r="ES195" s="34" t="n">
        <f aca="false">IF(ES$8=1,N(Reales!ES30),IF(ES$171=1,INDEX(Vol_V,19,ES$170)/12*(1+V_dVol),0))</f>
        <v>0</v>
      </c>
    </row>
    <row r="196" customFormat="false" ht="15" hidden="false" customHeight="false" outlineLevel="0" collapsed="false">
      <c r="A196" s="2" t="s">
        <v>838</v>
      </c>
      <c r="B196" s="39" t="str">
        <f aca="false">IF(INDEX(Prod_Nombre,20)="","Producto 20",INDEX(Prod_Nombre,20))&amp;" — unidades"</f>
        <v>Producto 20 — unidades</v>
      </c>
      <c r="C196" s="6" t="s">
        <v>286</v>
      </c>
      <c r="E196" s="40" t="n">
        <f aca="false">SUM(F196:ES196)</f>
        <v>0</v>
      </c>
      <c r="F196" s="34" t="n">
        <f aca="false">IF(F$8=1,N(Reales!F31),IF(F$171=1,INDEX(Vol_V,20,F$170)/12*(1+V_dVol),0))</f>
        <v>0</v>
      </c>
      <c r="G196" s="34" t="n">
        <f aca="false">IF(G$8=1,N(Reales!G31),IF(G$171=1,INDEX(Vol_V,20,G$170)/12*(1+V_dVol),0))</f>
        <v>0</v>
      </c>
      <c r="H196" s="34" t="n">
        <f aca="false">IF(H$8=1,N(Reales!H31),IF(H$171=1,INDEX(Vol_V,20,H$170)/12*(1+V_dVol),0))</f>
        <v>0</v>
      </c>
      <c r="I196" s="34" t="n">
        <f aca="false">IF(I$8=1,N(Reales!I31),IF(I$171=1,INDEX(Vol_V,20,I$170)/12*(1+V_dVol),0))</f>
        <v>0</v>
      </c>
      <c r="J196" s="34" t="n">
        <f aca="false">IF(J$8=1,N(Reales!J31),IF(J$171=1,INDEX(Vol_V,20,J$170)/12*(1+V_dVol),0))</f>
        <v>0</v>
      </c>
      <c r="K196" s="34" t="n">
        <f aca="false">IF(K$8=1,N(Reales!K31),IF(K$171=1,INDEX(Vol_V,20,K$170)/12*(1+V_dVol),0))</f>
        <v>0</v>
      </c>
      <c r="L196" s="34" t="n">
        <f aca="false">IF(L$8=1,N(Reales!L31),IF(L$171=1,INDEX(Vol_V,20,L$170)/12*(1+V_dVol),0))</f>
        <v>0</v>
      </c>
      <c r="M196" s="34" t="n">
        <f aca="false">IF(M$8=1,N(Reales!M31),IF(M$171=1,INDEX(Vol_V,20,M$170)/12*(1+V_dVol),0))</f>
        <v>0</v>
      </c>
      <c r="N196" s="34" t="n">
        <f aca="false">IF(N$8=1,N(Reales!N31),IF(N$171=1,INDEX(Vol_V,20,N$170)/12*(1+V_dVol),0))</f>
        <v>0</v>
      </c>
      <c r="O196" s="34" t="n">
        <f aca="false">IF(O$8=1,N(Reales!O31),IF(O$171=1,INDEX(Vol_V,20,O$170)/12*(1+V_dVol),0))</f>
        <v>0</v>
      </c>
      <c r="P196" s="34" t="n">
        <f aca="false">IF(P$8=1,N(Reales!P31),IF(P$171=1,INDEX(Vol_V,20,P$170)/12*(1+V_dVol),0))</f>
        <v>0</v>
      </c>
      <c r="Q196" s="34" t="n">
        <f aca="false">IF(Q$8=1,N(Reales!Q31),IF(Q$171=1,INDEX(Vol_V,20,Q$170)/12*(1+V_dVol),0))</f>
        <v>0</v>
      </c>
      <c r="R196" s="34" t="n">
        <f aca="false">IF(R$8=1,N(Reales!R31),IF(R$171=1,INDEX(Vol_V,20,R$170)/12*(1+V_dVol),0))</f>
        <v>0</v>
      </c>
      <c r="S196" s="34" t="n">
        <f aca="false">IF(S$8=1,N(Reales!S31),IF(S$171=1,INDEX(Vol_V,20,S$170)/12*(1+V_dVol),0))</f>
        <v>0</v>
      </c>
      <c r="T196" s="34" t="n">
        <f aca="false">IF(T$8=1,N(Reales!T31),IF(T$171=1,INDEX(Vol_V,20,T$170)/12*(1+V_dVol),0))</f>
        <v>0</v>
      </c>
      <c r="U196" s="34" t="n">
        <f aca="false">IF(U$8=1,N(Reales!U31),IF(U$171=1,INDEX(Vol_V,20,U$170)/12*(1+V_dVol),0))</f>
        <v>0</v>
      </c>
      <c r="V196" s="34" t="n">
        <f aca="false">IF(V$8=1,N(Reales!V31),IF(V$171=1,INDEX(Vol_V,20,V$170)/12*(1+V_dVol),0))</f>
        <v>0</v>
      </c>
      <c r="W196" s="34" t="n">
        <f aca="false">IF(W$8=1,N(Reales!W31),IF(W$171=1,INDEX(Vol_V,20,W$170)/12*(1+V_dVol),0))</f>
        <v>0</v>
      </c>
      <c r="X196" s="34" t="n">
        <f aca="false">IF(X$8=1,N(Reales!X31),IF(X$171=1,INDEX(Vol_V,20,X$170)/12*(1+V_dVol),0))</f>
        <v>0</v>
      </c>
      <c r="Y196" s="34" t="n">
        <f aca="false">IF(Y$8=1,N(Reales!Y31),IF(Y$171=1,INDEX(Vol_V,20,Y$170)/12*(1+V_dVol),0))</f>
        <v>0</v>
      </c>
      <c r="Z196" s="34" t="n">
        <f aca="false">IF(Z$8=1,N(Reales!Z31),IF(Z$171=1,INDEX(Vol_V,20,Z$170)/12*(1+V_dVol),0))</f>
        <v>0</v>
      </c>
      <c r="AA196" s="34" t="n">
        <f aca="false">IF(AA$8=1,N(Reales!AA31),IF(AA$171=1,INDEX(Vol_V,20,AA$170)/12*(1+V_dVol),0))</f>
        <v>0</v>
      </c>
      <c r="AB196" s="34" t="n">
        <f aca="false">IF(AB$8=1,N(Reales!AB31),IF(AB$171=1,INDEX(Vol_V,20,AB$170)/12*(1+V_dVol),0))</f>
        <v>0</v>
      </c>
      <c r="AC196" s="34" t="n">
        <f aca="false">IF(AC$8=1,N(Reales!AC31),IF(AC$171=1,INDEX(Vol_V,20,AC$170)/12*(1+V_dVol),0))</f>
        <v>0</v>
      </c>
      <c r="AD196" s="34" t="n">
        <f aca="false">IF(AD$8=1,N(Reales!AD31),IF(AD$171=1,INDEX(Vol_V,20,AD$170)/12*(1+V_dVol),0))</f>
        <v>0</v>
      </c>
      <c r="AE196" s="34" t="n">
        <f aca="false">IF(AE$8=1,N(Reales!AE31),IF(AE$171=1,INDEX(Vol_V,20,AE$170)/12*(1+V_dVol),0))</f>
        <v>0</v>
      </c>
      <c r="AF196" s="34" t="n">
        <f aca="false">IF(AF$8=1,N(Reales!AF31),IF(AF$171=1,INDEX(Vol_V,20,AF$170)/12*(1+V_dVol),0))</f>
        <v>0</v>
      </c>
      <c r="AG196" s="34" t="n">
        <f aca="false">IF(AG$8=1,N(Reales!AG31),IF(AG$171=1,INDEX(Vol_V,20,AG$170)/12*(1+V_dVol),0))</f>
        <v>0</v>
      </c>
      <c r="AH196" s="34" t="n">
        <f aca="false">IF(AH$8=1,N(Reales!AH31),IF(AH$171=1,INDEX(Vol_V,20,AH$170)/12*(1+V_dVol),0))</f>
        <v>0</v>
      </c>
      <c r="AI196" s="34" t="n">
        <f aca="false">IF(AI$8=1,N(Reales!AI31),IF(AI$171=1,INDEX(Vol_V,20,AI$170)/12*(1+V_dVol),0))</f>
        <v>0</v>
      </c>
      <c r="AJ196" s="34" t="n">
        <f aca="false">IF(AJ$8=1,N(Reales!AJ31),IF(AJ$171=1,INDEX(Vol_V,20,AJ$170)/12*(1+V_dVol),0))</f>
        <v>0</v>
      </c>
      <c r="AK196" s="34" t="n">
        <f aca="false">IF(AK$8=1,N(Reales!AK31),IF(AK$171=1,INDEX(Vol_V,20,AK$170)/12*(1+V_dVol),0))</f>
        <v>0</v>
      </c>
      <c r="AL196" s="34" t="n">
        <f aca="false">IF(AL$8=1,N(Reales!AL31),IF(AL$171=1,INDEX(Vol_V,20,AL$170)/12*(1+V_dVol),0))</f>
        <v>0</v>
      </c>
      <c r="AM196" s="34" t="n">
        <f aca="false">IF(AM$8=1,N(Reales!AM31),IF(AM$171=1,INDEX(Vol_V,20,AM$170)/12*(1+V_dVol),0))</f>
        <v>0</v>
      </c>
      <c r="AN196" s="34" t="n">
        <f aca="false">IF(AN$8=1,N(Reales!AN31),IF(AN$171=1,INDEX(Vol_V,20,AN$170)/12*(1+V_dVol),0))</f>
        <v>0</v>
      </c>
      <c r="AO196" s="34" t="n">
        <f aca="false">IF(AO$8=1,N(Reales!AO31),IF(AO$171=1,INDEX(Vol_V,20,AO$170)/12*(1+V_dVol),0))</f>
        <v>0</v>
      </c>
      <c r="AP196" s="34" t="n">
        <f aca="false">IF(AP$8=1,N(Reales!AP31),IF(AP$171=1,INDEX(Vol_V,20,AP$170)/12*(1+V_dVol),0))</f>
        <v>0</v>
      </c>
      <c r="AQ196" s="34" t="n">
        <f aca="false">IF(AQ$8=1,N(Reales!AQ31),IF(AQ$171=1,INDEX(Vol_V,20,AQ$170)/12*(1+V_dVol),0))</f>
        <v>0</v>
      </c>
      <c r="AR196" s="34" t="n">
        <f aca="false">IF(AR$8=1,N(Reales!AR31),IF(AR$171=1,INDEX(Vol_V,20,AR$170)/12*(1+V_dVol),0))</f>
        <v>0</v>
      </c>
      <c r="AS196" s="34" t="n">
        <f aca="false">IF(AS$8=1,N(Reales!AS31),IF(AS$171=1,INDEX(Vol_V,20,AS$170)/12*(1+V_dVol),0))</f>
        <v>0</v>
      </c>
      <c r="AT196" s="34" t="n">
        <f aca="false">IF(AT$8=1,N(Reales!AT31),IF(AT$171=1,INDEX(Vol_V,20,AT$170)/12*(1+V_dVol),0))</f>
        <v>0</v>
      </c>
      <c r="AU196" s="34" t="n">
        <f aca="false">IF(AU$8=1,N(Reales!AU31),IF(AU$171=1,INDEX(Vol_V,20,AU$170)/12*(1+V_dVol),0))</f>
        <v>0</v>
      </c>
      <c r="AV196" s="34" t="n">
        <f aca="false">IF(AV$8=1,N(Reales!AV31),IF(AV$171=1,INDEX(Vol_V,20,AV$170)/12*(1+V_dVol),0))</f>
        <v>0</v>
      </c>
      <c r="AW196" s="34" t="n">
        <f aca="false">IF(AW$8=1,N(Reales!AW31),IF(AW$171=1,INDEX(Vol_V,20,AW$170)/12*(1+V_dVol),0))</f>
        <v>0</v>
      </c>
      <c r="AX196" s="34" t="n">
        <f aca="false">IF(AX$8=1,N(Reales!AX31),IF(AX$171=1,INDEX(Vol_V,20,AX$170)/12*(1+V_dVol),0))</f>
        <v>0</v>
      </c>
      <c r="AY196" s="34" t="n">
        <f aca="false">IF(AY$8=1,N(Reales!AY31),IF(AY$171=1,INDEX(Vol_V,20,AY$170)/12*(1+V_dVol),0))</f>
        <v>0</v>
      </c>
      <c r="AZ196" s="34" t="n">
        <f aca="false">IF(AZ$8=1,N(Reales!AZ31),IF(AZ$171=1,INDEX(Vol_V,20,AZ$170)/12*(1+V_dVol),0))</f>
        <v>0</v>
      </c>
      <c r="BA196" s="34" t="n">
        <f aca="false">IF(BA$8=1,N(Reales!BA31),IF(BA$171=1,INDEX(Vol_V,20,BA$170)/12*(1+V_dVol),0))</f>
        <v>0</v>
      </c>
      <c r="BB196" s="34" t="n">
        <f aca="false">IF(BB$8=1,N(Reales!BB31),IF(BB$171=1,INDEX(Vol_V,20,BB$170)/12*(1+V_dVol),0))</f>
        <v>0</v>
      </c>
      <c r="BC196" s="34" t="n">
        <f aca="false">IF(BC$8=1,N(Reales!BC31),IF(BC$171=1,INDEX(Vol_V,20,BC$170)/12*(1+V_dVol),0))</f>
        <v>0</v>
      </c>
      <c r="BD196" s="34" t="n">
        <f aca="false">IF(BD$8=1,N(Reales!BD31),IF(BD$171=1,INDEX(Vol_V,20,BD$170)/12*(1+V_dVol),0))</f>
        <v>0</v>
      </c>
      <c r="BE196" s="34" t="n">
        <f aca="false">IF(BE$8=1,N(Reales!BE31),IF(BE$171=1,INDEX(Vol_V,20,BE$170)/12*(1+V_dVol),0))</f>
        <v>0</v>
      </c>
      <c r="BF196" s="34" t="n">
        <f aca="false">IF(BF$8=1,N(Reales!BF31),IF(BF$171=1,INDEX(Vol_V,20,BF$170)/12*(1+V_dVol),0))</f>
        <v>0</v>
      </c>
      <c r="BG196" s="34" t="n">
        <f aca="false">IF(BG$8=1,N(Reales!BG31),IF(BG$171=1,INDEX(Vol_V,20,BG$170)/12*(1+V_dVol),0))</f>
        <v>0</v>
      </c>
      <c r="BH196" s="34" t="n">
        <f aca="false">IF(BH$8=1,N(Reales!BH31),IF(BH$171=1,INDEX(Vol_V,20,BH$170)/12*(1+V_dVol),0))</f>
        <v>0</v>
      </c>
      <c r="BI196" s="34" t="n">
        <f aca="false">IF(BI$8=1,N(Reales!BI31),IF(BI$171=1,INDEX(Vol_V,20,BI$170)/12*(1+V_dVol),0))</f>
        <v>0</v>
      </c>
      <c r="BJ196" s="34" t="n">
        <f aca="false">IF(BJ$8=1,N(Reales!BJ31),IF(BJ$171=1,INDEX(Vol_V,20,BJ$170)/12*(1+V_dVol),0))</f>
        <v>0</v>
      </c>
      <c r="BK196" s="34" t="n">
        <f aca="false">IF(BK$8=1,N(Reales!BK31),IF(BK$171=1,INDEX(Vol_V,20,BK$170)/12*(1+V_dVol),0))</f>
        <v>0</v>
      </c>
      <c r="BL196" s="34" t="n">
        <f aca="false">IF(BL$8=1,N(Reales!BL31),IF(BL$171=1,INDEX(Vol_V,20,BL$170)/12*(1+V_dVol),0))</f>
        <v>0</v>
      </c>
      <c r="BM196" s="34" t="n">
        <f aca="false">IF(BM$8=1,N(Reales!BM31),IF(BM$171=1,INDEX(Vol_V,20,BM$170)/12*(1+V_dVol),0))</f>
        <v>0</v>
      </c>
      <c r="BN196" s="34" t="n">
        <f aca="false">IF(BN$8=1,N(Reales!BN31),IF(BN$171=1,INDEX(Vol_V,20,BN$170)/12*(1+V_dVol),0))</f>
        <v>0</v>
      </c>
      <c r="BO196" s="34" t="n">
        <f aca="false">IF(BO$8=1,N(Reales!BO31),IF(BO$171=1,INDEX(Vol_V,20,BO$170)/12*(1+V_dVol),0))</f>
        <v>0</v>
      </c>
      <c r="BP196" s="34" t="n">
        <f aca="false">IF(BP$8=1,N(Reales!BP31),IF(BP$171=1,INDEX(Vol_V,20,BP$170)/12*(1+V_dVol),0))</f>
        <v>0</v>
      </c>
      <c r="BQ196" s="34" t="n">
        <f aca="false">IF(BQ$8=1,N(Reales!BQ31),IF(BQ$171=1,INDEX(Vol_V,20,BQ$170)/12*(1+V_dVol),0))</f>
        <v>0</v>
      </c>
      <c r="BR196" s="34" t="n">
        <f aca="false">IF(BR$8=1,N(Reales!BR31),IF(BR$171=1,INDEX(Vol_V,20,BR$170)/12*(1+V_dVol),0))</f>
        <v>0</v>
      </c>
      <c r="BS196" s="34" t="n">
        <f aca="false">IF(BS$8=1,N(Reales!BS31),IF(BS$171=1,INDEX(Vol_V,20,BS$170)/12*(1+V_dVol),0))</f>
        <v>0</v>
      </c>
      <c r="BT196" s="34" t="n">
        <f aca="false">IF(BT$8=1,N(Reales!BT31),IF(BT$171=1,INDEX(Vol_V,20,BT$170)/12*(1+V_dVol),0))</f>
        <v>0</v>
      </c>
      <c r="BU196" s="34" t="n">
        <f aca="false">IF(BU$8=1,N(Reales!BU31),IF(BU$171=1,INDEX(Vol_V,20,BU$170)/12*(1+V_dVol),0))</f>
        <v>0</v>
      </c>
      <c r="BV196" s="34" t="n">
        <f aca="false">IF(BV$8=1,N(Reales!BV31),IF(BV$171=1,INDEX(Vol_V,20,BV$170)/12*(1+V_dVol),0))</f>
        <v>0</v>
      </c>
      <c r="BW196" s="34" t="n">
        <f aca="false">IF(BW$8=1,N(Reales!BW31),IF(BW$171=1,INDEX(Vol_V,20,BW$170)/12*(1+V_dVol),0))</f>
        <v>0</v>
      </c>
      <c r="BX196" s="34" t="n">
        <f aca="false">IF(BX$8=1,N(Reales!BX31),IF(BX$171=1,INDEX(Vol_V,20,BX$170)/12*(1+V_dVol),0))</f>
        <v>0</v>
      </c>
      <c r="BY196" s="34" t="n">
        <f aca="false">IF(BY$8=1,N(Reales!BY31),IF(BY$171=1,INDEX(Vol_V,20,BY$170)/12*(1+V_dVol),0))</f>
        <v>0</v>
      </c>
      <c r="BZ196" s="34" t="n">
        <f aca="false">IF(BZ$8=1,N(Reales!BZ31),IF(BZ$171=1,INDEX(Vol_V,20,BZ$170)/12*(1+V_dVol),0))</f>
        <v>0</v>
      </c>
      <c r="CA196" s="34" t="n">
        <f aca="false">IF(CA$8=1,N(Reales!CA31),IF(CA$171=1,INDEX(Vol_V,20,CA$170)/12*(1+V_dVol),0))</f>
        <v>0</v>
      </c>
      <c r="CB196" s="34" t="n">
        <f aca="false">IF(CB$8=1,N(Reales!CB31),IF(CB$171=1,INDEX(Vol_V,20,CB$170)/12*(1+V_dVol),0))</f>
        <v>0</v>
      </c>
      <c r="CC196" s="34" t="n">
        <f aca="false">IF(CC$8=1,N(Reales!CC31),IF(CC$171=1,INDEX(Vol_V,20,CC$170)/12*(1+V_dVol),0))</f>
        <v>0</v>
      </c>
      <c r="CD196" s="34" t="n">
        <f aca="false">IF(CD$8=1,N(Reales!CD31),IF(CD$171=1,INDEX(Vol_V,20,CD$170)/12*(1+V_dVol),0))</f>
        <v>0</v>
      </c>
      <c r="CE196" s="34" t="n">
        <f aca="false">IF(CE$8=1,N(Reales!CE31),IF(CE$171=1,INDEX(Vol_V,20,CE$170)/12*(1+V_dVol),0))</f>
        <v>0</v>
      </c>
      <c r="CF196" s="34" t="n">
        <f aca="false">IF(CF$8=1,N(Reales!CF31),IF(CF$171=1,INDEX(Vol_V,20,CF$170)/12*(1+V_dVol),0))</f>
        <v>0</v>
      </c>
      <c r="CG196" s="34" t="n">
        <f aca="false">IF(CG$8=1,N(Reales!CG31),IF(CG$171=1,INDEX(Vol_V,20,CG$170)/12*(1+V_dVol),0))</f>
        <v>0</v>
      </c>
      <c r="CH196" s="34" t="n">
        <f aca="false">IF(CH$8=1,N(Reales!CH31),IF(CH$171=1,INDEX(Vol_V,20,CH$170)/12*(1+V_dVol),0))</f>
        <v>0</v>
      </c>
      <c r="CI196" s="34" t="n">
        <f aca="false">IF(CI$8=1,N(Reales!CI31),IF(CI$171=1,INDEX(Vol_V,20,CI$170)/12*(1+V_dVol),0))</f>
        <v>0</v>
      </c>
      <c r="CJ196" s="34" t="n">
        <f aca="false">IF(CJ$8=1,N(Reales!CJ31),IF(CJ$171=1,INDEX(Vol_V,20,CJ$170)/12*(1+V_dVol),0))</f>
        <v>0</v>
      </c>
      <c r="CK196" s="34" t="n">
        <f aca="false">IF(CK$8=1,N(Reales!CK31),IF(CK$171=1,INDEX(Vol_V,20,CK$170)/12*(1+V_dVol),0))</f>
        <v>0</v>
      </c>
      <c r="CL196" s="34" t="n">
        <f aca="false">IF(CL$8=1,N(Reales!CL31),IF(CL$171=1,INDEX(Vol_V,20,CL$170)/12*(1+V_dVol),0))</f>
        <v>0</v>
      </c>
      <c r="CM196" s="34" t="n">
        <f aca="false">IF(CM$8=1,N(Reales!CM31),IF(CM$171=1,INDEX(Vol_V,20,CM$170)/12*(1+V_dVol),0))</f>
        <v>0</v>
      </c>
      <c r="CN196" s="34" t="n">
        <f aca="false">IF(CN$8=1,N(Reales!CN31),IF(CN$171=1,INDEX(Vol_V,20,CN$170)/12*(1+V_dVol),0))</f>
        <v>0</v>
      </c>
      <c r="CO196" s="34" t="n">
        <f aca="false">IF(CO$8=1,N(Reales!CO31),IF(CO$171=1,INDEX(Vol_V,20,CO$170)/12*(1+V_dVol),0))</f>
        <v>0</v>
      </c>
      <c r="CP196" s="34" t="n">
        <f aca="false">IF(CP$8=1,N(Reales!CP31),IF(CP$171=1,INDEX(Vol_V,20,CP$170)/12*(1+V_dVol),0))</f>
        <v>0</v>
      </c>
      <c r="CQ196" s="34" t="n">
        <f aca="false">IF(CQ$8=1,N(Reales!CQ31),IF(CQ$171=1,INDEX(Vol_V,20,CQ$170)/12*(1+V_dVol),0))</f>
        <v>0</v>
      </c>
      <c r="CR196" s="34" t="n">
        <f aca="false">IF(CR$8=1,N(Reales!CR31),IF(CR$171=1,INDEX(Vol_V,20,CR$170)/12*(1+V_dVol),0))</f>
        <v>0</v>
      </c>
      <c r="CS196" s="34" t="n">
        <f aca="false">IF(CS$8=1,N(Reales!CS31),IF(CS$171=1,INDEX(Vol_V,20,CS$170)/12*(1+V_dVol),0))</f>
        <v>0</v>
      </c>
      <c r="CT196" s="34" t="n">
        <f aca="false">IF(CT$8=1,N(Reales!CT31),IF(CT$171=1,INDEX(Vol_V,20,CT$170)/12*(1+V_dVol),0))</f>
        <v>0</v>
      </c>
      <c r="CU196" s="34" t="n">
        <f aca="false">IF(CU$8=1,N(Reales!CU31),IF(CU$171=1,INDEX(Vol_V,20,CU$170)/12*(1+V_dVol),0))</f>
        <v>0</v>
      </c>
      <c r="CV196" s="34" t="n">
        <f aca="false">IF(CV$8=1,N(Reales!CV31),IF(CV$171=1,INDEX(Vol_V,20,CV$170)/12*(1+V_dVol),0))</f>
        <v>0</v>
      </c>
      <c r="CW196" s="34" t="n">
        <f aca="false">IF(CW$8=1,N(Reales!CW31),IF(CW$171=1,INDEX(Vol_V,20,CW$170)/12*(1+V_dVol),0))</f>
        <v>0</v>
      </c>
      <c r="CX196" s="34" t="n">
        <f aca="false">IF(CX$8=1,N(Reales!CX31),IF(CX$171=1,INDEX(Vol_V,20,CX$170)/12*(1+V_dVol),0))</f>
        <v>0</v>
      </c>
      <c r="CY196" s="34" t="n">
        <f aca="false">IF(CY$8=1,N(Reales!CY31),IF(CY$171=1,INDEX(Vol_V,20,CY$170)/12*(1+V_dVol),0))</f>
        <v>0</v>
      </c>
      <c r="CZ196" s="34" t="n">
        <f aca="false">IF(CZ$8=1,N(Reales!CZ31),IF(CZ$171=1,INDEX(Vol_V,20,CZ$170)/12*(1+V_dVol),0))</f>
        <v>0</v>
      </c>
      <c r="DA196" s="34" t="n">
        <f aca="false">IF(DA$8=1,N(Reales!DA31),IF(DA$171=1,INDEX(Vol_V,20,DA$170)/12*(1+V_dVol),0))</f>
        <v>0</v>
      </c>
      <c r="DB196" s="34" t="n">
        <f aca="false">IF(DB$8=1,N(Reales!DB31),IF(DB$171=1,INDEX(Vol_V,20,DB$170)/12*(1+V_dVol),0))</f>
        <v>0</v>
      </c>
      <c r="DC196" s="34" t="n">
        <f aca="false">IF(DC$8=1,N(Reales!DC31),IF(DC$171=1,INDEX(Vol_V,20,DC$170)/12*(1+V_dVol),0))</f>
        <v>0</v>
      </c>
      <c r="DD196" s="34" t="n">
        <f aca="false">IF(DD$8=1,N(Reales!DD31),IF(DD$171=1,INDEX(Vol_V,20,DD$170)/12*(1+V_dVol),0))</f>
        <v>0</v>
      </c>
      <c r="DE196" s="34" t="n">
        <f aca="false">IF(DE$8=1,N(Reales!DE31),IF(DE$171=1,INDEX(Vol_V,20,DE$170)/12*(1+V_dVol),0))</f>
        <v>0</v>
      </c>
      <c r="DF196" s="34" t="n">
        <f aca="false">IF(DF$8=1,N(Reales!DF31),IF(DF$171=1,INDEX(Vol_V,20,DF$170)/12*(1+V_dVol),0))</f>
        <v>0</v>
      </c>
      <c r="DG196" s="34" t="n">
        <f aca="false">IF(DG$8=1,N(Reales!DG31),IF(DG$171=1,INDEX(Vol_V,20,DG$170)/12*(1+V_dVol),0))</f>
        <v>0</v>
      </c>
      <c r="DH196" s="34" t="n">
        <f aca="false">IF(DH$8=1,N(Reales!DH31),IF(DH$171=1,INDEX(Vol_V,20,DH$170)/12*(1+V_dVol),0))</f>
        <v>0</v>
      </c>
      <c r="DI196" s="34" t="n">
        <f aca="false">IF(DI$8=1,N(Reales!DI31),IF(DI$171=1,INDEX(Vol_V,20,DI$170)/12*(1+V_dVol),0))</f>
        <v>0</v>
      </c>
      <c r="DJ196" s="34" t="n">
        <f aca="false">IF(DJ$8=1,N(Reales!DJ31),IF(DJ$171=1,INDEX(Vol_V,20,DJ$170)/12*(1+V_dVol),0))</f>
        <v>0</v>
      </c>
      <c r="DK196" s="34" t="n">
        <f aca="false">IF(DK$8=1,N(Reales!DK31),IF(DK$171=1,INDEX(Vol_V,20,DK$170)/12*(1+V_dVol),0))</f>
        <v>0</v>
      </c>
      <c r="DL196" s="34" t="n">
        <f aca="false">IF(DL$8=1,N(Reales!DL31),IF(DL$171=1,INDEX(Vol_V,20,DL$170)/12*(1+V_dVol),0))</f>
        <v>0</v>
      </c>
      <c r="DM196" s="34" t="n">
        <f aca="false">IF(DM$8=1,N(Reales!DM31),IF(DM$171=1,INDEX(Vol_V,20,DM$170)/12*(1+V_dVol),0))</f>
        <v>0</v>
      </c>
      <c r="DN196" s="34" t="n">
        <f aca="false">IF(DN$8=1,N(Reales!DN31),IF(DN$171=1,INDEX(Vol_V,20,DN$170)/12*(1+V_dVol),0))</f>
        <v>0</v>
      </c>
      <c r="DO196" s="34" t="n">
        <f aca="false">IF(DO$8=1,N(Reales!DO31),IF(DO$171=1,INDEX(Vol_V,20,DO$170)/12*(1+V_dVol),0))</f>
        <v>0</v>
      </c>
      <c r="DP196" s="34" t="n">
        <f aca="false">IF(DP$8=1,N(Reales!DP31),IF(DP$171=1,INDEX(Vol_V,20,DP$170)/12*(1+V_dVol),0))</f>
        <v>0</v>
      </c>
      <c r="DQ196" s="34" t="n">
        <f aca="false">IF(DQ$8=1,N(Reales!DQ31),IF(DQ$171=1,INDEX(Vol_V,20,DQ$170)/12*(1+V_dVol),0))</f>
        <v>0</v>
      </c>
      <c r="DR196" s="34" t="n">
        <f aca="false">IF(DR$8=1,N(Reales!DR31),IF(DR$171=1,INDEX(Vol_V,20,DR$170)/12*(1+V_dVol),0))</f>
        <v>0</v>
      </c>
      <c r="DS196" s="34" t="n">
        <f aca="false">IF(DS$8=1,N(Reales!DS31),IF(DS$171=1,INDEX(Vol_V,20,DS$170)/12*(1+V_dVol),0))</f>
        <v>0</v>
      </c>
      <c r="DT196" s="34" t="n">
        <f aca="false">IF(DT$8=1,N(Reales!DT31),IF(DT$171=1,INDEX(Vol_V,20,DT$170)/12*(1+V_dVol),0))</f>
        <v>0</v>
      </c>
      <c r="DU196" s="34" t="n">
        <f aca="false">IF(DU$8=1,N(Reales!DU31),IF(DU$171=1,INDEX(Vol_V,20,DU$170)/12*(1+V_dVol),0))</f>
        <v>0</v>
      </c>
      <c r="DV196" s="34" t="n">
        <f aca="false">IF(DV$8=1,N(Reales!DV31),IF(DV$171=1,INDEX(Vol_V,20,DV$170)/12*(1+V_dVol),0))</f>
        <v>0</v>
      </c>
      <c r="DW196" s="34" t="n">
        <f aca="false">IF(DW$8=1,N(Reales!DW31),IF(DW$171=1,INDEX(Vol_V,20,DW$170)/12*(1+V_dVol),0))</f>
        <v>0</v>
      </c>
      <c r="DX196" s="34" t="n">
        <f aca="false">IF(DX$8=1,N(Reales!DX31),IF(DX$171=1,INDEX(Vol_V,20,DX$170)/12*(1+V_dVol),0))</f>
        <v>0</v>
      </c>
      <c r="DY196" s="34" t="n">
        <f aca="false">IF(DY$8=1,N(Reales!DY31),IF(DY$171=1,INDEX(Vol_V,20,DY$170)/12*(1+V_dVol),0))</f>
        <v>0</v>
      </c>
      <c r="DZ196" s="34" t="n">
        <f aca="false">IF(DZ$8=1,N(Reales!DZ31),IF(DZ$171=1,INDEX(Vol_V,20,DZ$170)/12*(1+V_dVol),0))</f>
        <v>0</v>
      </c>
      <c r="EA196" s="34" t="n">
        <f aca="false">IF(EA$8=1,N(Reales!EA31),IF(EA$171=1,INDEX(Vol_V,20,EA$170)/12*(1+V_dVol),0))</f>
        <v>0</v>
      </c>
      <c r="EB196" s="34" t="n">
        <f aca="false">IF(EB$8=1,N(Reales!EB31),IF(EB$171=1,INDEX(Vol_V,20,EB$170)/12*(1+V_dVol),0))</f>
        <v>0</v>
      </c>
      <c r="EC196" s="34" t="n">
        <f aca="false">IF(EC$8=1,N(Reales!EC31),IF(EC$171=1,INDEX(Vol_V,20,EC$170)/12*(1+V_dVol),0))</f>
        <v>0</v>
      </c>
      <c r="ED196" s="34" t="n">
        <f aca="false">IF(ED$8=1,N(Reales!ED31),IF(ED$171=1,INDEX(Vol_V,20,ED$170)/12*(1+V_dVol),0))</f>
        <v>0</v>
      </c>
      <c r="EE196" s="34" t="n">
        <f aca="false">IF(EE$8=1,N(Reales!EE31),IF(EE$171=1,INDEX(Vol_V,20,EE$170)/12*(1+V_dVol),0))</f>
        <v>0</v>
      </c>
      <c r="EF196" s="34" t="n">
        <f aca="false">IF(EF$8=1,N(Reales!EF31),IF(EF$171=1,INDEX(Vol_V,20,EF$170)/12*(1+V_dVol),0))</f>
        <v>0</v>
      </c>
      <c r="EG196" s="34" t="n">
        <f aca="false">IF(EG$8=1,N(Reales!EG31),IF(EG$171=1,INDEX(Vol_V,20,EG$170)/12*(1+V_dVol),0))</f>
        <v>0</v>
      </c>
      <c r="EH196" s="34" t="n">
        <f aca="false">IF(EH$8=1,N(Reales!EH31),IF(EH$171=1,INDEX(Vol_V,20,EH$170)/12*(1+V_dVol),0))</f>
        <v>0</v>
      </c>
      <c r="EI196" s="34" t="n">
        <f aca="false">IF(EI$8=1,N(Reales!EI31),IF(EI$171=1,INDEX(Vol_V,20,EI$170)/12*(1+V_dVol),0))</f>
        <v>0</v>
      </c>
      <c r="EJ196" s="34" t="n">
        <f aca="false">IF(EJ$8=1,N(Reales!EJ31),IF(EJ$171=1,INDEX(Vol_V,20,EJ$170)/12*(1+V_dVol),0))</f>
        <v>0</v>
      </c>
      <c r="EK196" s="34" t="n">
        <f aca="false">IF(EK$8=1,N(Reales!EK31),IF(EK$171=1,INDEX(Vol_V,20,EK$170)/12*(1+V_dVol),0))</f>
        <v>0</v>
      </c>
      <c r="EL196" s="34" t="n">
        <f aca="false">IF(EL$8=1,N(Reales!EL31),IF(EL$171=1,INDEX(Vol_V,20,EL$170)/12*(1+V_dVol),0))</f>
        <v>0</v>
      </c>
      <c r="EM196" s="34" t="n">
        <f aca="false">IF(EM$8=1,N(Reales!EM31),IF(EM$171=1,INDEX(Vol_V,20,EM$170)/12*(1+V_dVol),0))</f>
        <v>0</v>
      </c>
      <c r="EN196" s="34" t="n">
        <f aca="false">IF(EN$8=1,N(Reales!EN31),IF(EN$171=1,INDEX(Vol_V,20,EN$170)/12*(1+V_dVol),0))</f>
        <v>0</v>
      </c>
      <c r="EO196" s="34" t="n">
        <f aca="false">IF(EO$8=1,N(Reales!EO31),IF(EO$171=1,INDEX(Vol_V,20,EO$170)/12*(1+V_dVol),0))</f>
        <v>0</v>
      </c>
      <c r="EP196" s="34" t="n">
        <f aca="false">IF(EP$8=1,N(Reales!EP31),IF(EP$171=1,INDEX(Vol_V,20,EP$170)/12*(1+V_dVol),0))</f>
        <v>0</v>
      </c>
      <c r="EQ196" s="34" t="n">
        <f aca="false">IF(EQ$8=1,N(Reales!EQ31),IF(EQ$171=1,INDEX(Vol_V,20,EQ$170)/12*(1+V_dVol),0))</f>
        <v>0</v>
      </c>
      <c r="ER196" s="34" t="n">
        <f aca="false">IF(ER$8=1,N(Reales!ER31),IF(ER$171=1,INDEX(Vol_V,20,ER$170)/12*(1+V_dVol),0))</f>
        <v>0</v>
      </c>
      <c r="ES196" s="34" t="n">
        <f aca="false">IF(ES$8=1,N(Reales!ES31),IF(ES$171=1,INDEX(Vol_V,20,ES$170)/12*(1+V_dVol),0))</f>
        <v>0</v>
      </c>
    </row>
    <row r="197" customFormat="false" ht="15" hidden="false" customHeight="false" outlineLevel="0" collapsed="false">
      <c r="A197" s="2" t="s">
        <v>839</v>
      </c>
      <c r="B197" s="39" t="str">
        <f aca="false">IF(INDEX(Prod_Nombre,21)="","Producto 21",INDEX(Prod_Nombre,21))&amp;" — unidades"</f>
        <v>Producto 21 — unidades</v>
      </c>
      <c r="C197" s="6" t="s">
        <v>286</v>
      </c>
      <c r="E197" s="40" t="n">
        <f aca="false">SUM(F197:ES197)</f>
        <v>0</v>
      </c>
      <c r="F197" s="34" t="n">
        <f aca="false">IF(F$8=1,N(Reales!F32),IF(F$171=1,INDEX(Vol_V,21,F$170)/12*(1+V_dVol),0))</f>
        <v>0</v>
      </c>
      <c r="G197" s="34" t="n">
        <f aca="false">IF(G$8=1,N(Reales!G32),IF(G$171=1,INDEX(Vol_V,21,G$170)/12*(1+V_dVol),0))</f>
        <v>0</v>
      </c>
      <c r="H197" s="34" t="n">
        <f aca="false">IF(H$8=1,N(Reales!H32),IF(H$171=1,INDEX(Vol_V,21,H$170)/12*(1+V_dVol),0))</f>
        <v>0</v>
      </c>
      <c r="I197" s="34" t="n">
        <f aca="false">IF(I$8=1,N(Reales!I32),IF(I$171=1,INDEX(Vol_V,21,I$170)/12*(1+V_dVol),0))</f>
        <v>0</v>
      </c>
      <c r="J197" s="34" t="n">
        <f aca="false">IF(J$8=1,N(Reales!J32),IF(J$171=1,INDEX(Vol_V,21,J$170)/12*(1+V_dVol),0))</f>
        <v>0</v>
      </c>
      <c r="K197" s="34" t="n">
        <f aca="false">IF(K$8=1,N(Reales!K32),IF(K$171=1,INDEX(Vol_V,21,K$170)/12*(1+V_dVol),0))</f>
        <v>0</v>
      </c>
      <c r="L197" s="34" t="n">
        <f aca="false">IF(L$8=1,N(Reales!L32),IF(L$171=1,INDEX(Vol_V,21,L$170)/12*(1+V_dVol),0))</f>
        <v>0</v>
      </c>
      <c r="M197" s="34" t="n">
        <f aca="false">IF(M$8=1,N(Reales!M32),IF(M$171=1,INDEX(Vol_V,21,M$170)/12*(1+V_dVol),0))</f>
        <v>0</v>
      </c>
      <c r="N197" s="34" t="n">
        <f aca="false">IF(N$8=1,N(Reales!N32),IF(N$171=1,INDEX(Vol_V,21,N$170)/12*(1+V_dVol),0))</f>
        <v>0</v>
      </c>
      <c r="O197" s="34" t="n">
        <f aca="false">IF(O$8=1,N(Reales!O32),IF(O$171=1,INDEX(Vol_V,21,O$170)/12*(1+V_dVol),0))</f>
        <v>0</v>
      </c>
      <c r="P197" s="34" t="n">
        <f aca="false">IF(P$8=1,N(Reales!P32),IF(P$171=1,INDEX(Vol_V,21,P$170)/12*(1+V_dVol),0))</f>
        <v>0</v>
      </c>
      <c r="Q197" s="34" t="n">
        <f aca="false">IF(Q$8=1,N(Reales!Q32),IF(Q$171=1,INDEX(Vol_V,21,Q$170)/12*(1+V_dVol),0))</f>
        <v>0</v>
      </c>
      <c r="R197" s="34" t="n">
        <f aca="false">IF(R$8=1,N(Reales!R32),IF(R$171=1,INDEX(Vol_V,21,R$170)/12*(1+V_dVol),0))</f>
        <v>0</v>
      </c>
      <c r="S197" s="34" t="n">
        <f aca="false">IF(S$8=1,N(Reales!S32),IF(S$171=1,INDEX(Vol_V,21,S$170)/12*(1+V_dVol),0))</f>
        <v>0</v>
      </c>
      <c r="T197" s="34" t="n">
        <f aca="false">IF(T$8=1,N(Reales!T32),IF(T$171=1,INDEX(Vol_V,21,T$170)/12*(1+V_dVol),0))</f>
        <v>0</v>
      </c>
      <c r="U197" s="34" t="n">
        <f aca="false">IF(U$8=1,N(Reales!U32),IF(U$171=1,INDEX(Vol_V,21,U$170)/12*(1+V_dVol),0))</f>
        <v>0</v>
      </c>
      <c r="V197" s="34" t="n">
        <f aca="false">IF(V$8=1,N(Reales!V32),IF(V$171=1,INDEX(Vol_V,21,V$170)/12*(1+V_dVol),0))</f>
        <v>0</v>
      </c>
      <c r="W197" s="34" t="n">
        <f aca="false">IF(W$8=1,N(Reales!W32),IF(W$171=1,INDEX(Vol_V,21,W$170)/12*(1+V_dVol),0))</f>
        <v>0</v>
      </c>
      <c r="X197" s="34" t="n">
        <f aca="false">IF(X$8=1,N(Reales!X32),IF(X$171=1,INDEX(Vol_V,21,X$170)/12*(1+V_dVol),0))</f>
        <v>0</v>
      </c>
      <c r="Y197" s="34" t="n">
        <f aca="false">IF(Y$8=1,N(Reales!Y32),IF(Y$171=1,INDEX(Vol_V,21,Y$170)/12*(1+V_dVol),0))</f>
        <v>0</v>
      </c>
      <c r="Z197" s="34" t="n">
        <f aca="false">IF(Z$8=1,N(Reales!Z32),IF(Z$171=1,INDEX(Vol_V,21,Z$170)/12*(1+V_dVol),0))</f>
        <v>0</v>
      </c>
      <c r="AA197" s="34" t="n">
        <f aca="false">IF(AA$8=1,N(Reales!AA32),IF(AA$171=1,INDEX(Vol_V,21,AA$170)/12*(1+V_dVol),0))</f>
        <v>0</v>
      </c>
      <c r="AB197" s="34" t="n">
        <f aca="false">IF(AB$8=1,N(Reales!AB32),IF(AB$171=1,INDEX(Vol_V,21,AB$170)/12*(1+V_dVol),0))</f>
        <v>0</v>
      </c>
      <c r="AC197" s="34" t="n">
        <f aca="false">IF(AC$8=1,N(Reales!AC32),IF(AC$171=1,INDEX(Vol_V,21,AC$170)/12*(1+V_dVol),0))</f>
        <v>0</v>
      </c>
      <c r="AD197" s="34" t="n">
        <f aca="false">IF(AD$8=1,N(Reales!AD32),IF(AD$171=1,INDEX(Vol_V,21,AD$170)/12*(1+V_dVol),0))</f>
        <v>0</v>
      </c>
      <c r="AE197" s="34" t="n">
        <f aca="false">IF(AE$8=1,N(Reales!AE32),IF(AE$171=1,INDEX(Vol_V,21,AE$170)/12*(1+V_dVol),0))</f>
        <v>0</v>
      </c>
      <c r="AF197" s="34" t="n">
        <f aca="false">IF(AF$8=1,N(Reales!AF32),IF(AF$171=1,INDEX(Vol_V,21,AF$170)/12*(1+V_dVol),0))</f>
        <v>0</v>
      </c>
      <c r="AG197" s="34" t="n">
        <f aca="false">IF(AG$8=1,N(Reales!AG32),IF(AG$171=1,INDEX(Vol_V,21,AG$170)/12*(1+V_dVol),0))</f>
        <v>0</v>
      </c>
      <c r="AH197" s="34" t="n">
        <f aca="false">IF(AH$8=1,N(Reales!AH32),IF(AH$171=1,INDEX(Vol_V,21,AH$170)/12*(1+V_dVol),0))</f>
        <v>0</v>
      </c>
      <c r="AI197" s="34" t="n">
        <f aca="false">IF(AI$8=1,N(Reales!AI32),IF(AI$171=1,INDEX(Vol_V,21,AI$170)/12*(1+V_dVol),0))</f>
        <v>0</v>
      </c>
      <c r="AJ197" s="34" t="n">
        <f aca="false">IF(AJ$8=1,N(Reales!AJ32),IF(AJ$171=1,INDEX(Vol_V,21,AJ$170)/12*(1+V_dVol),0))</f>
        <v>0</v>
      </c>
      <c r="AK197" s="34" t="n">
        <f aca="false">IF(AK$8=1,N(Reales!AK32),IF(AK$171=1,INDEX(Vol_V,21,AK$170)/12*(1+V_dVol),0))</f>
        <v>0</v>
      </c>
      <c r="AL197" s="34" t="n">
        <f aca="false">IF(AL$8=1,N(Reales!AL32),IF(AL$171=1,INDEX(Vol_V,21,AL$170)/12*(1+V_dVol),0))</f>
        <v>0</v>
      </c>
      <c r="AM197" s="34" t="n">
        <f aca="false">IF(AM$8=1,N(Reales!AM32),IF(AM$171=1,INDEX(Vol_V,21,AM$170)/12*(1+V_dVol),0))</f>
        <v>0</v>
      </c>
      <c r="AN197" s="34" t="n">
        <f aca="false">IF(AN$8=1,N(Reales!AN32),IF(AN$171=1,INDEX(Vol_V,21,AN$170)/12*(1+V_dVol),0))</f>
        <v>0</v>
      </c>
      <c r="AO197" s="34" t="n">
        <f aca="false">IF(AO$8=1,N(Reales!AO32),IF(AO$171=1,INDEX(Vol_V,21,AO$170)/12*(1+V_dVol),0))</f>
        <v>0</v>
      </c>
      <c r="AP197" s="34" t="n">
        <f aca="false">IF(AP$8=1,N(Reales!AP32),IF(AP$171=1,INDEX(Vol_V,21,AP$170)/12*(1+V_dVol),0))</f>
        <v>0</v>
      </c>
      <c r="AQ197" s="34" t="n">
        <f aca="false">IF(AQ$8=1,N(Reales!AQ32),IF(AQ$171=1,INDEX(Vol_V,21,AQ$170)/12*(1+V_dVol),0))</f>
        <v>0</v>
      </c>
      <c r="AR197" s="34" t="n">
        <f aca="false">IF(AR$8=1,N(Reales!AR32),IF(AR$171=1,INDEX(Vol_V,21,AR$170)/12*(1+V_dVol),0))</f>
        <v>0</v>
      </c>
      <c r="AS197" s="34" t="n">
        <f aca="false">IF(AS$8=1,N(Reales!AS32),IF(AS$171=1,INDEX(Vol_V,21,AS$170)/12*(1+V_dVol),0))</f>
        <v>0</v>
      </c>
      <c r="AT197" s="34" t="n">
        <f aca="false">IF(AT$8=1,N(Reales!AT32),IF(AT$171=1,INDEX(Vol_V,21,AT$170)/12*(1+V_dVol),0))</f>
        <v>0</v>
      </c>
      <c r="AU197" s="34" t="n">
        <f aca="false">IF(AU$8=1,N(Reales!AU32),IF(AU$171=1,INDEX(Vol_V,21,AU$170)/12*(1+V_dVol),0))</f>
        <v>0</v>
      </c>
      <c r="AV197" s="34" t="n">
        <f aca="false">IF(AV$8=1,N(Reales!AV32),IF(AV$171=1,INDEX(Vol_V,21,AV$170)/12*(1+V_dVol),0))</f>
        <v>0</v>
      </c>
      <c r="AW197" s="34" t="n">
        <f aca="false">IF(AW$8=1,N(Reales!AW32),IF(AW$171=1,INDEX(Vol_V,21,AW$170)/12*(1+V_dVol),0))</f>
        <v>0</v>
      </c>
      <c r="AX197" s="34" t="n">
        <f aca="false">IF(AX$8=1,N(Reales!AX32),IF(AX$171=1,INDEX(Vol_V,21,AX$170)/12*(1+V_dVol),0))</f>
        <v>0</v>
      </c>
      <c r="AY197" s="34" t="n">
        <f aca="false">IF(AY$8=1,N(Reales!AY32),IF(AY$171=1,INDEX(Vol_V,21,AY$170)/12*(1+V_dVol),0))</f>
        <v>0</v>
      </c>
      <c r="AZ197" s="34" t="n">
        <f aca="false">IF(AZ$8=1,N(Reales!AZ32),IF(AZ$171=1,INDEX(Vol_V,21,AZ$170)/12*(1+V_dVol),0))</f>
        <v>0</v>
      </c>
      <c r="BA197" s="34" t="n">
        <f aca="false">IF(BA$8=1,N(Reales!BA32),IF(BA$171=1,INDEX(Vol_V,21,BA$170)/12*(1+V_dVol),0))</f>
        <v>0</v>
      </c>
      <c r="BB197" s="34" t="n">
        <f aca="false">IF(BB$8=1,N(Reales!BB32),IF(BB$171=1,INDEX(Vol_V,21,BB$170)/12*(1+V_dVol),0))</f>
        <v>0</v>
      </c>
      <c r="BC197" s="34" t="n">
        <f aca="false">IF(BC$8=1,N(Reales!BC32),IF(BC$171=1,INDEX(Vol_V,21,BC$170)/12*(1+V_dVol),0))</f>
        <v>0</v>
      </c>
      <c r="BD197" s="34" t="n">
        <f aca="false">IF(BD$8=1,N(Reales!BD32),IF(BD$171=1,INDEX(Vol_V,21,BD$170)/12*(1+V_dVol),0))</f>
        <v>0</v>
      </c>
      <c r="BE197" s="34" t="n">
        <f aca="false">IF(BE$8=1,N(Reales!BE32),IF(BE$171=1,INDEX(Vol_V,21,BE$170)/12*(1+V_dVol),0))</f>
        <v>0</v>
      </c>
      <c r="BF197" s="34" t="n">
        <f aca="false">IF(BF$8=1,N(Reales!BF32),IF(BF$171=1,INDEX(Vol_V,21,BF$170)/12*(1+V_dVol),0))</f>
        <v>0</v>
      </c>
      <c r="BG197" s="34" t="n">
        <f aca="false">IF(BG$8=1,N(Reales!BG32),IF(BG$171=1,INDEX(Vol_V,21,BG$170)/12*(1+V_dVol),0))</f>
        <v>0</v>
      </c>
      <c r="BH197" s="34" t="n">
        <f aca="false">IF(BH$8=1,N(Reales!BH32),IF(BH$171=1,INDEX(Vol_V,21,BH$170)/12*(1+V_dVol),0))</f>
        <v>0</v>
      </c>
      <c r="BI197" s="34" t="n">
        <f aca="false">IF(BI$8=1,N(Reales!BI32),IF(BI$171=1,INDEX(Vol_V,21,BI$170)/12*(1+V_dVol),0))</f>
        <v>0</v>
      </c>
      <c r="BJ197" s="34" t="n">
        <f aca="false">IF(BJ$8=1,N(Reales!BJ32),IF(BJ$171=1,INDEX(Vol_V,21,BJ$170)/12*(1+V_dVol),0))</f>
        <v>0</v>
      </c>
      <c r="BK197" s="34" t="n">
        <f aca="false">IF(BK$8=1,N(Reales!BK32),IF(BK$171=1,INDEX(Vol_V,21,BK$170)/12*(1+V_dVol),0))</f>
        <v>0</v>
      </c>
      <c r="BL197" s="34" t="n">
        <f aca="false">IF(BL$8=1,N(Reales!BL32),IF(BL$171=1,INDEX(Vol_V,21,BL$170)/12*(1+V_dVol),0))</f>
        <v>0</v>
      </c>
      <c r="BM197" s="34" t="n">
        <f aca="false">IF(BM$8=1,N(Reales!BM32),IF(BM$171=1,INDEX(Vol_V,21,BM$170)/12*(1+V_dVol),0))</f>
        <v>0</v>
      </c>
      <c r="BN197" s="34" t="n">
        <f aca="false">IF(BN$8=1,N(Reales!BN32),IF(BN$171=1,INDEX(Vol_V,21,BN$170)/12*(1+V_dVol),0))</f>
        <v>0</v>
      </c>
      <c r="BO197" s="34" t="n">
        <f aca="false">IF(BO$8=1,N(Reales!BO32),IF(BO$171=1,INDEX(Vol_V,21,BO$170)/12*(1+V_dVol),0))</f>
        <v>0</v>
      </c>
      <c r="BP197" s="34" t="n">
        <f aca="false">IF(BP$8=1,N(Reales!BP32),IF(BP$171=1,INDEX(Vol_V,21,BP$170)/12*(1+V_dVol),0))</f>
        <v>0</v>
      </c>
      <c r="BQ197" s="34" t="n">
        <f aca="false">IF(BQ$8=1,N(Reales!BQ32),IF(BQ$171=1,INDEX(Vol_V,21,BQ$170)/12*(1+V_dVol),0))</f>
        <v>0</v>
      </c>
      <c r="BR197" s="34" t="n">
        <f aca="false">IF(BR$8=1,N(Reales!BR32),IF(BR$171=1,INDEX(Vol_V,21,BR$170)/12*(1+V_dVol),0))</f>
        <v>0</v>
      </c>
      <c r="BS197" s="34" t="n">
        <f aca="false">IF(BS$8=1,N(Reales!BS32),IF(BS$171=1,INDEX(Vol_V,21,BS$170)/12*(1+V_dVol),0))</f>
        <v>0</v>
      </c>
      <c r="BT197" s="34" t="n">
        <f aca="false">IF(BT$8=1,N(Reales!BT32),IF(BT$171=1,INDEX(Vol_V,21,BT$170)/12*(1+V_dVol),0))</f>
        <v>0</v>
      </c>
      <c r="BU197" s="34" t="n">
        <f aca="false">IF(BU$8=1,N(Reales!BU32),IF(BU$171=1,INDEX(Vol_V,21,BU$170)/12*(1+V_dVol),0))</f>
        <v>0</v>
      </c>
      <c r="BV197" s="34" t="n">
        <f aca="false">IF(BV$8=1,N(Reales!BV32),IF(BV$171=1,INDEX(Vol_V,21,BV$170)/12*(1+V_dVol),0))</f>
        <v>0</v>
      </c>
      <c r="BW197" s="34" t="n">
        <f aca="false">IF(BW$8=1,N(Reales!BW32),IF(BW$171=1,INDEX(Vol_V,21,BW$170)/12*(1+V_dVol),0))</f>
        <v>0</v>
      </c>
      <c r="BX197" s="34" t="n">
        <f aca="false">IF(BX$8=1,N(Reales!BX32),IF(BX$171=1,INDEX(Vol_V,21,BX$170)/12*(1+V_dVol),0))</f>
        <v>0</v>
      </c>
      <c r="BY197" s="34" t="n">
        <f aca="false">IF(BY$8=1,N(Reales!BY32),IF(BY$171=1,INDEX(Vol_V,21,BY$170)/12*(1+V_dVol),0))</f>
        <v>0</v>
      </c>
      <c r="BZ197" s="34" t="n">
        <f aca="false">IF(BZ$8=1,N(Reales!BZ32),IF(BZ$171=1,INDEX(Vol_V,21,BZ$170)/12*(1+V_dVol),0))</f>
        <v>0</v>
      </c>
      <c r="CA197" s="34" t="n">
        <f aca="false">IF(CA$8=1,N(Reales!CA32),IF(CA$171=1,INDEX(Vol_V,21,CA$170)/12*(1+V_dVol),0))</f>
        <v>0</v>
      </c>
      <c r="CB197" s="34" t="n">
        <f aca="false">IF(CB$8=1,N(Reales!CB32),IF(CB$171=1,INDEX(Vol_V,21,CB$170)/12*(1+V_dVol),0))</f>
        <v>0</v>
      </c>
      <c r="CC197" s="34" t="n">
        <f aca="false">IF(CC$8=1,N(Reales!CC32),IF(CC$171=1,INDEX(Vol_V,21,CC$170)/12*(1+V_dVol),0))</f>
        <v>0</v>
      </c>
      <c r="CD197" s="34" t="n">
        <f aca="false">IF(CD$8=1,N(Reales!CD32),IF(CD$171=1,INDEX(Vol_V,21,CD$170)/12*(1+V_dVol),0))</f>
        <v>0</v>
      </c>
      <c r="CE197" s="34" t="n">
        <f aca="false">IF(CE$8=1,N(Reales!CE32),IF(CE$171=1,INDEX(Vol_V,21,CE$170)/12*(1+V_dVol),0))</f>
        <v>0</v>
      </c>
      <c r="CF197" s="34" t="n">
        <f aca="false">IF(CF$8=1,N(Reales!CF32),IF(CF$171=1,INDEX(Vol_V,21,CF$170)/12*(1+V_dVol),0))</f>
        <v>0</v>
      </c>
      <c r="CG197" s="34" t="n">
        <f aca="false">IF(CG$8=1,N(Reales!CG32),IF(CG$171=1,INDEX(Vol_V,21,CG$170)/12*(1+V_dVol),0))</f>
        <v>0</v>
      </c>
      <c r="CH197" s="34" t="n">
        <f aca="false">IF(CH$8=1,N(Reales!CH32),IF(CH$171=1,INDEX(Vol_V,21,CH$170)/12*(1+V_dVol),0))</f>
        <v>0</v>
      </c>
      <c r="CI197" s="34" t="n">
        <f aca="false">IF(CI$8=1,N(Reales!CI32),IF(CI$171=1,INDEX(Vol_V,21,CI$170)/12*(1+V_dVol),0))</f>
        <v>0</v>
      </c>
      <c r="CJ197" s="34" t="n">
        <f aca="false">IF(CJ$8=1,N(Reales!CJ32),IF(CJ$171=1,INDEX(Vol_V,21,CJ$170)/12*(1+V_dVol),0))</f>
        <v>0</v>
      </c>
      <c r="CK197" s="34" t="n">
        <f aca="false">IF(CK$8=1,N(Reales!CK32),IF(CK$171=1,INDEX(Vol_V,21,CK$170)/12*(1+V_dVol),0))</f>
        <v>0</v>
      </c>
      <c r="CL197" s="34" t="n">
        <f aca="false">IF(CL$8=1,N(Reales!CL32),IF(CL$171=1,INDEX(Vol_V,21,CL$170)/12*(1+V_dVol),0))</f>
        <v>0</v>
      </c>
      <c r="CM197" s="34" t="n">
        <f aca="false">IF(CM$8=1,N(Reales!CM32),IF(CM$171=1,INDEX(Vol_V,21,CM$170)/12*(1+V_dVol),0))</f>
        <v>0</v>
      </c>
      <c r="CN197" s="34" t="n">
        <f aca="false">IF(CN$8=1,N(Reales!CN32),IF(CN$171=1,INDEX(Vol_V,21,CN$170)/12*(1+V_dVol),0))</f>
        <v>0</v>
      </c>
      <c r="CO197" s="34" t="n">
        <f aca="false">IF(CO$8=1,N(Reales!CO32),IF(CO$171=1,INDEX(Vol_V,21,CO$170)/12*(1+V_dVol),0))</f>
        <v>0</v>
      </c>
      <c r="CP197" s="34" t="n">
        <f aca="false">IF(CP$8=1,N(Reales!CP32),IF(CP$171=1,INDEX(Vol_V,21,CP$170)/12*(1+V_dVol),0))</f>
        <v>0</v>
      </c>
      <c r="CQ197" s="34" t="n">
        <f aca="false">IF(CQ$8=1,N(Reales!CQ32),IF(CQ$171=1,INDEX(Vol_V,21,CQ$170)/12*(1+V_dVol),0))</f>
        <v>0</v>
      </c>
      <c r="CR197" s="34" t="n">
        <f aca="false">IF(CR$8=1,N(Reales!CR32),IF(CR$171=1,INDEX(Vol_V,21,CR$170)/12*(1+V_dVol),0))</f>
        <v>0</v>
      </c>
      <c r="CS197" s="34" t="n">
        <f aca="false">IF(CS$8=1,N(Reales!CS32),IF(CS$171=1,INDEX(Vol_V,21,CS$170)/12*(1+V_dVol),0))</f>
        <v>0</v>
      </c>
      <c r="CT197" s="34" t="n">
        <f aca="false">IF(CT$8=1,N(Reales!CT32),IF(CT$171=1,INDEX(Vol_V,21,CT$170)/12*(1+V_dVol),0))</f>
        <v>0</v>
      </c>
      <c r="CU197" s="34" t="n">
        <f aca="false">IF(CU$8=1,N(Reales!CU32),IF(CU$171=1,INDEX(Vol_V,21,CU$170)/12*(1+V_dVol),0))</f>
        <v>0</v>
      </c>
      <c r="CV197" s="34" t="n">
        <f aca="false">IF(CV$8=1,N(Reales!CV32),IF(CV$171=1,INDEX(Vol_V,21,CV$170)/12*(1+V_dVol),0))</f>
        <v>0</v>
      </c>
      <c r="CW197" s="34" t="n">
        <f aca="false">IF(CW$8=1,N(Reales!CW32),IF(CW$171=1,INDEX(Vol_V,21,CW$170)/12*(1+V_dVol),0))</f>
        <v>0</v>
      </c>
      <c r="CX197" s="34" t="n">
        <f aca="false">IF(CX$8=1,N(Reales!CX32),IF(CX$171=1,INDEX(Vol_V,21,CX$170)/12*(1+V_dVol),0))</f>
        <v>0</v>
      </c>
      <c r="CY197" s="34" t="n">
        <f aca="false">IF(CY$8=1,N(Reales!CY32),IF(CY$171=1,INDEX(Vol_V,21,CY$170)/12*(1+V_dVol),0))</f>
        <v>0</v>
      </c>
      <c r="CZ197" s="34" t="n">
        <f aca="false">IF(CZ$8=1,N(Reales!CZ32),IF(CZ$171=1,INDEX(Vol_V,21,CZ$170)/12*(1+V_dVol),0))</f>
        <v>0</v>
      </c>
      <c r="DA197" s="34" t="n">
        <f aca="false">IF(DA$8=1,N(Reales!DA32),IF(DA$171=1,INDEX(Vol_V,21,DA$170)/12*(1+V_dVol),0))</f>
        <v>0</v>
      </c>
      <c r="DB197" s="34" t="n">
        <f aca="false">IF(DB$8=1,N(Reales!DB32),IF(DB$171=1,INDEX(Vol_V,21,DB$170)/12*(1+V_dVol),0))</f>
        <v>0</v>
      </c>
      <c r="DC197" s="34" t="n">
        <f aca="false">IF(DC$8=1,N(Reales!DC32),IF(DC$171=1,INDEX(Vol_V,21,DC$170)/12*(1+V_dVol),0))</f>
        <v>0</v>
      </c>
      <c r="DD197" s="34" t="n">
        <f aca="false">IF(DD$8=1,N(Reales!DD32),IF(DD$171=1,INDEX(Vol_V,21,DD$170)/12*(1+V_dVol),0))</f>
        <v>0</v>
      </c>
      <c r="DE197" s="34" t="n">
        <f aca="false">IF(DE$8=1,N(Reales!DE32),IF(DE$171=1,INDEX(Vol_V,21,DE$170)/12*(1+V_dVol),0))</f>
        <v>0</v>
      </c>
      <c r="DF197" s="34" t="n">
        <f aca="false">IF(DF$8=1,N(Reales!DF32),IF(DF$171=1,INDEX(Vol_V,21,DF$170)/12*(1+V_dVol),0))</f>
        <v>0</v>
      </c>
      <c r="DG197" s="34" t="n">
        <f aca="false">IF(DG$8=1,N(Reales!DG32),IF(DG$171=1,INDEX(Vol_V,21,DG$170)/12*(1+V_dVol),0))</f>
        <v>0</v>
      </c>
      <c r="DH197" s="34" t="n">
        <f aca="false">IF(DH$8=1,N(Reales!DH32),IF(DH$171=1,INDEX(Vol_V,21,DH$170)/12*(1+V_dVol),0))</f>
        <v>0</v>
      </c>
      <c r="DI197" s="34" t="n">
        <f aca="false">IF(DI$8=1,N(Reales!DI32),IF(DI$171=1,INDEX(Vol_V,21,DI$170)/12*(1+V_dVol),0))</f>
        <v>0</v>
      </c>
      <c r="DJ197" s="34" t="n">
        <f aca="false">IF(DJ$8=1,N(Reales!DJ32),IF(DJ$171=1,INDEX(Vol_V,21,DJ$170)/12*(1+V_dVol),0))</f>
        <v>0</v>
      </c>
      <c r="DK197" s="34" t="n">
        <f aca="false">IF(DK$8=1,N(Reales!DK32),IF(DK$171=1,INDEX(Vol_V,21,DK$170)/12*(1+V_dVol),0))</f>
        <v>0</v>
      </c>
      <c r="DL197" s="34" t="n">
        <f aca="false">IF(DL$8=1,N(Reales!DL32),IF(DL$171=1,INDEX(Vol_V,21,DL$170)/12*(1+V_dVol),0))</f>
        <v>0</v>
      </c>
      <c r="DM197" s="34" t="n">
        <f aca="false">IF(DM$8=1,N(Reales!DM32),IF(DM$171=1,INDEX(Vol_V,21,DM$170)/12*(1+V_dVol),0))</f>
        <v>0</v>
      </c>
      <c r="DN197" s="34" t="n">
        <f aca="false">IF(DN$8=1,N(Reales!DN32),IF(DN$171=1,INDEX(Vol_V,21,DN$170)/12*(1+V_dVol),0))</f>
        <v>0</v>
      </c>
      <c r="DO197" s="34" t="n">
        <f aca="false">IF(DO$8=1,N(Reales!DO32),IF(DO$171=1,INDEX(Vol_V,21,DO$170)/12*(1+V_dVol),0))</f>
        <v>0</v>
      </c>
      <c r="DP197" s="34" t="n">
        <f aca="false">IF(DP$8=1,N(Reales!DP32),IF(DP$171=1,INDEX(Vol_V,21,DP$170)/12*(1+V_dVol),0))</f>
        <v>0</v>
      </c>
      <c r="DQ197" s="34" t="n">
        <f aca="false">IF(DQ$8=1,N(Reales!DQ32),IF(DQ$171=1,INDEX(Vol_V,21,DQ$170)/12*(1+V_dVol),0))</f>
        <v>0</v>
      </c>
      <c r="DR197" s="34" t="n">
        <f aca="false">IF(DR$8=1,N(Reales!DR32),IF(DR$171=1,INDEX(Vol_V,21,DR$170)/12*(1+V_dVol),0))</f>
        <v>0</v>
      </c>
      <c r="DS197" s="34" t="n">
        <f aca="false">IF(DS$8=1,N(Reales!DS32),IF(DS$171=1,INDEX(Vol_V,21,DS$170)/12*(1+V_dVol),0))</f>
        <v>0</v>
      </c>
      <c r="DT197" s="34" t="n">
        <f aca="false">IF(DT$8=1,N(Reales!DT32),IF(DT$171=1,INDEX(Vol_V,21,DT$170)/12*(1+V_dVol),0))</f>
        <v>0</v>
      </c>
      <c r="DU197" s="34" t="n">
        <f aca="false">IF(DU$8=1,N(Reales!DU32),IF(DU$171=1,INDEX(Vol_V,21,DU$170)/12*(1+V_dVol),0))</f>
        <v>0</v>
      </c>
      <c r="DV197" s="34" t="n">
        <f aca="false">IF(DV$8=1,N(Reales!DV32),IF(DV$171=1,INDEX(Vol_V,21,DV$170)/12*(1+V_dVol),0))</f>
        <v>0</v>
      </c>
      <c r="DW197" s="34" t="n">
        <f aca="false">IF(DW$8=1,N(Reales!DW32),IF(DW$171=1,INDEX(Vol_V,21,DW$170)/12*(1+V_dVol),0))</f>
        <v>0</v>
      </c>
      <c r="DX197" s="34" t="n">
        <f aca="false">IF(DX$8=1,N(Reales!DX32),IF(DX$171=1,INDEX(Vol_V,21,DX$170)/12*(1+V_dVol),0))</f>
        <v>0</v>
      </c>
      <c r="DY197" s="34" t="n">
        <f aca="false">IF(DY$8=1,N(Reales!DY32),IF(DY$171=1,INDEX(Vol_V,21,DY$170)/12*(1+V_dVol),0))</f>
        <v>0</v>
      </c>
      <c r="DZ197" s="34" t="n">
        <f aca="false">IF(DZ$8=1,N(Reales!DZ32),IF(DZ$171=1,INDEX(Vol_V,21,DZ$170)/12*(1+V_dVol),0))</f>
        <v>0</v>
      </c>
      <c r="EA197" s="34" t="n">
        <f aca="false">IF(EA$8=1,N(Reales!EA32),IF(EA$171=1,INDEX(Vol_V,21,EA$170)/12*(1+V_dVol),0))</f>
        <v>0</v>
      </c>
      <c r="EB197" s="34" t="n">
        <f aca="false">IF(EB$8=1,N(Reales!EB32),IF(EB$171=1,INDEX(Vol_V,21,EB$170)/12*(1+V_dVol),0))</f>
        <v>0</v>
      </c>
      <c r="EC197" s="34" t="n">
        <f aca="false">IF(EC$8=1,N(Reales!EC32),IF(EC$171=1,INDEX(Vol_V,21,EC$170)/12*(1+V_dVol),0))</f>
        <v>0</v>
      </c>
      <c r="ED197" s="34" t="n">
        <f aca="false">IF(ED$8=1,N(Reales!ED32),IF(ED$171=1,INDEX(Vol_V,21,ED$170)/12*(1+V_dVol),0))</f>
        <v>0</v>
      </c>
      <c r="EE197" s="34" t="n">
        <f aca="false">IF(EE$8=1,N(Reales!EE32),IF(EE$171=1,INDEX(Vol_V,21,EE$170)/12*(1+V_dVol),0))</f>
        <v>0</v>
      </c>
      <c r="EF197" s="34" t="n">
        <f aca="false">IF(EF$8=1,N(Reales!EF32),IF(EF$171=1,INDEX(Vol_V,21,EF$170)/12*(1+V_dVol),0))</f>
        <v>0</v>
      </c>
      <c r="EG197" s="34" t="n">
        <f aca="false">IF(EG$8=1,N(Reales!EG32),IF(EG$171=1,INDEX(Vol_V,21,EG$170)/12*(1+V_dVol),0))</f>
        <v>0</v>
      </c>
      <c r="EH197" s="34" t="n">
        <f aca="false">IF(EH$8=1,N(Reales!EH32),IF(EH$171=1,INDEX(Vol_V,21,EH$170)/12*(1+V_dVol),0))</f>
        <v>0</v>
      </c>
      <c r="EI197" s="34" t="n">
        <f aca="false">IF(EI$8=1,N(Reales!EI32),IF(EI$171=1,INDEX(Vol_V,21,EI$170)/12*(1+V_dVol),0))</f>
        <v>0</v>
      </c>
      <c r="EJ197" s="34" t="n">
        <f aca="false">IF(EJ$8=1,N(Reales!EJ32),IF(EJ$171=1,INDEX(Vol_V,21,EJ$170)/12*(1+V_dVol),0))</f>
        <v>0</v>
      </c>
      <c r="EK197" s="34" t="n">
        <f aca="false">IF(EK$8=1,N(Reales!EK32),IF(EK$171=1,INDEX(Vol_V,21,EK$170)/12*(1+V_dVol),0))</f>
        <v>0</v>
      </c>
      <c r="EL197" s="34" t="n">
        <f aca="false">IF(EL$8=1,N(Reales!EL32),IF(EL$171=1,INDEX(Vol_V,21,EL$170)/12*(1+V_dVol),0))</f>
        <v>0</v>
      </c>
      <c r="EM197" s="34" t="n">
        <f aca="false">IF(EM$8=1,N(Reales!EM32),IF(EM$171=1,INDEX(Vol_V,21,EM$170)/12*(1+V_dVol),0))</f>
        <v>0</v>
      </c>
      <c r="EN197" s="34" t="n">
        <f aca="false">IF(EN$8=1,N(Reales!EN32),IF(EN$171=1,INDEX(Vol_V,21,EN$170)/12*(1+V_dVol),0))</f>
        <v>0</v>
      </c>
      <c r="EO197" s="34" t="n">
        <f aca="false">IF(EO$8=1,N(Reales!EO32),IF(EO$171=1,INDEX(Vol_V,21,EO$170)/12*(1+V_dVol),0))</f>
        <v>0</v>
      </c>
      <c r="EP197" s="34" t="n">
        <f aca="false">IF(EP$8=1,N(Reales!EP32),IF(EP$171=1,INDEX(Vol_V,21,EP$170)/12*(1+V_dVol),0))</f>
        <v>0</v>
      </c>
      <c r="EQ197" s="34" t="n">
        <f aca="false">IF(EQ$8=1,N(Reales!EQ32),IF(EQ$171=1,INDEX(Vol_V,21,EQ$170)/12*(1+V_dVol),0))</f>
        <v>0</v>
      </c>
      <c r="ER197" s="34" t="n">
        <f aca="false">IF(ER$8=1,N(Reales!ER32),IF(ER$171=1,INDEX(Vol_V,21,ER$170)/12*(1+V_dVol),0))</f>
        <v>0</v>
      </c>
      <c r="ES197" s="34" t="n">
        <f aca="false">IF(ES$8=1,N(Reales!ES32),IF(ES$171=1,INDEX(Vol_V,21,ES$170)/12*(1+V_dVol),0))</f>
        <v>0</v>
      </c>
    </row>
    <row r="198" customFormat="false" ht="15" hidden="false" customHeight="false" outlineLevel="0" collapsed="false">
      <c r="A198" s="2" t="s">
        <v>840</v>
      </c>
      <c r="B198" s="39" t="str">
        <f aca="false">IF(INDEX(Prod_Nombre,22)="","Producto 22",INDEX(Prod_Nombre,22))&amp;" — unidades"</f>
        <v>Producto 22 — unidades</v>
      </c>
      <c r="C198" s="6" t="s">
        <v>286</v>
      </c>
      <c r="E198" s="40" t="n">
        <f aca="false">SUM(F198:ES198)</f>
        <v>0</v>
      </c>
      <c r="F198" s="34" t="n">
        <f aca="false">IF(F$8=1,N(Reales!F33),IF(F$171=1,INDEX(Vol_V,22,F$170)/12*(1+V_dVol),0))</f>
        <v>0</v>
      </c>
      <c r="G198" s="34" t="n">
        <f aca="false">IF(G$8=1,N(Reales!G33),IF(G$171=1,INDEX(Vol_V,22,G$170)/12*(1+V_dVol),0))</f>
        <v>0</v>
      </c>
      <c r="H198" s="34" t="n">
        <f aca="false">IF(H$8=1,N(Reales!H33),IF(H$171=1,INDEX(Vol_V,22,H$170)/12*(1+V_dVol),0))</f>
        <v>0</v>
      </c>
      <c r="I198" s="34" t="n">
        <f aca="false">IF(I$8=1,N(Reales!I33),IF(I$171=1,INDEX(Vol_V,22,I$170)/12*(1+V_dVol),0))</f>
        <v>0</v>
      </c>
      <c r="J198" s="34" t="n">
        <f aca="false">IF(J$8=1,N(Reales!J33),IF(J$171=1,INDEX(Vol_V,22,J$170)/12*(1+V_dVol),0))</f>
        <v>0</v>
      </c>
      <c r="K198" s="34" t="n">
        <f aca="false">IF(K$8=1,N(Reales!K33),IF(K$171=1,INDEX(Vol_V,22,K$170)/12*(1+V_dVol),0))</f>
        <v>0</v>
      </c>
      <c r="L198" s="34" t="n">
        <f aca="false">IF(L$8=1,N(Reales!L33),IF(L$171=1,INDEX(Vol_V,22,L$170)/12*(1+V_dVol),0))</f>
        <v>0</v>
      </c>
      <c r="M198" s="34" t="n">
        <f aca="false">IF(M$8=1,N(Reales!M33),IF(M$171=1,INDEX(Vol_V,22,M$170)/12*(1+V_dVol),0))</f>
        <v>0</v>
      </c>
      <c r="N198" s="34" t="n">
        <f aca="false">IF(N$8=1,N(Reales!N33),IF(N$171=1,INDEX(Vol_V,22,N$170)/12*(1+V_dVol),0))</f>
        <v>0</v>
      </c>
      <c r="O198" s="34" t="n">
        <f aca="false">IF(O$8=1,N(Reales!O33),IF(O$171=1,INDEX(Vol_V,22,O$170)/12*(1+V_dVol),0))</f>
        <v>0</v>
      </c>
      <c r="P198" s="34" t="n">
        <f aca="false">IF(P$8=1,N(Reales!P33),IF(P$171=1,INDEX(Vol_V,22,P$170)/12*(1+V_dVol),0))</f>
        <v>0</v>
      </c>
      <c r="Q198" s="34" t="n">
        <f aca="false">IF(Q$8=1,N(Reales!Q33),IF(Q$171=1,INDEX(Vol_V,22,Q$170)/12*(1+V_dVol),0))</f>
        <v>0</v>
      </c>
      <c r="R198" s="34" t="n">
        <f aca="false">IF(R$8=1,N(Reales!R33),IF(R$171=1,INDEX(Vol_V,22,R$170)/12*(1+V_dVol),0))</f>
        <v>0</v>
      </c>
      <c r="S198" s="34" t="n">
        <f aca="false">IF(S$8=1,N(Reales!S33),IF(S$171=1,INDEX(Vol_V,22,S$170)/12*(1+V_dVol),0))</f>
        <v>0</v>
      </c>
      <c r="T198" s="34" t="n">
        <f aca="false">IF(T$8=1,N(Reales!T33),IF(T$171=1,INDEX(Vol_V,22,T$170)/12*(1+V_dVol),0))</f>
        <v>0</v>
      </c>
      <c r="U198" s="34" t="n">
        <f aca="false">IF(U$8=1,N(Reales!U33),IF(U$171=1,INDEX(Vol_V,22,U$170)/12*(1+V_dVol),0))</f>
        <v>0</v>
      </c>
      <c r="V198" s="34" t="n">
        <f aca="false">IF(V$8=1,N(Reales!V33),IF(V$171=1,INDEX(Vol_V,22,V$170)/12*(1+V_dVol),0))</f>
        <v>0</v>
      </c>
      <c r="W198" s="34" t="n">
        <f aca="false">IF(W$8=1,N(Reales!W33),IF(W$171=1,INDEX(Vol_V,22,W$170)/12*(1+V_dVol),0))</f>
        <v>0</v>
      </c>
      <c r="X198" s="34" t="n">
        <f aca="false">IF(X$8=1,N(Reales!X33),IF(X$171=1,INDEX(Vol_V,22,X$170)/12*(1+V_dVol),0))</f>
        <v>0</v>
      </c>
      <c r="Y198" s="34" t="n">
        <f aca="false">IF(Y$8=1,N(Reales!Y33),IF(Y$171=1,INDEX(Vol_V,22,Y$170)/12*(1+V_dVol),0))</f>
        <v>0</v>
      </c>
      <c r="Z198" s="34" t="n">
        <f aca="false">IF(Z$8=1,N(Reales!Z33),IF(Z$171=1,INDEX(Vol_V,22,Z$170)/12*(1+V_dVol),0))</f>
        <v>0</v>
      </c>
      <c r="AA198" s="34" t="n">
        <f aca="false">IF(AA$8=1,N(Reales!AA33),IF(AA$171=1,INDEX(Vol_V,22,AA$170)/12*(1+V_dVol),0))</f>
        <v>0</v>
      </c>
      <c r="AB198" s="34" t="n">
        <f aca="false">IF(AB$8=1,N(Reales!AB33),IF(AB$171=1,INDEX(Vol_V,22,AB$170)/12*(1+V_dVol),0))</f>
        <v>0</v>
      </c>
      <c r="AC198" s="34" t="n">
        <f aca="false">IF(AC$8=1,N(Reales!AC33),IF(AC$171=1,INDEX(Vol_V,22,AC$170)/12*(1+V_dVol),0))</f>
        <v>0</v>
      </c>
      <c r="AD198" s="34" t="n">
        <f aca="false">IF(AD$8=1,N(Reales!AD33),IF(AD$171=1,INDEX(Vol_V,22,AD$170)/12*(1+V_dVol),0))</f>
        <v>0</v>
      </c>
      <c r="AE198" s="34" t="n">
        <f aca="false">IF(AE$8=1,N(Reales!AE33),IF(AE$171=1,INDEX(Vol_V,22,AE$170)/12*(1+V_dVol),0))</f>
        <v>0</v>
      </c>
      <c r="AF198" s="34" t="n">
        <f aca="false">IF(AF$8=1,N(Reales!AF33),IF(AF$171=1,INDEX(Vol_V,22,AF$170)/12*(1+V_dVol),0))</f>
        <v>0</v>
      </c>
      <c r="AG198" s="34" t="n">
        <f aca="false">IF(AG$8=1,N(Reales!AG33),IF(AG$171=1,INDEX(Vol_V,22,AG$170)/12*(1+V_dVol),0))</f>
        <v>0</v>
      </c>
      <c r="AH198" s="34" t="n">
        <f aca="false">IF(AH$8=1,N(Reales!AH33),IF(AH$171=1,INDEX(Vol_V,22,AH$170)/12*(1+V_dVol),0))</f>
        <v>0</v>
      </c>
      <c r="AI198" s="34" t="n">
        <f aca="false">IF(AI$8=1,N(Reales!AI33),IF(AI$171=1,INDEX(Vol_V,22,AI$170)/12*(1+V_dVol),0))</f>
        <v>0</v>
      </c>
      <c r="AJ198" s="34" t="n">
        <f aca="false">IF(AJ$8=1,N(Reales!AJ33),IF(AJ$171=1,INDEX(Vol_V,22,AJ$170)/12*(1+V_dVol),0))</f>
        <v>0</v>
      </c>
      <c r="AK198" s="34" t="n">
        <f aca="false">IF(AK$8=1,N(Reales!AK33),IF(AK$171=1,INDEX(Vol_V,22,AK$170)/12*(1+V_dVol),0))</f>
        <v>0</v>
      </c>
      <c r="AL198" s="34" t="n">
        <f aca="false">IF(AL$8=1,N(Reales!AL33),IF(AL$171=1,INDEX(Vol_V,22,AL$170)/12*(1+V_dVol),0))</f>
        <v>0</v>
      </c>
      <c r="AM198" s="34" t="n">
        <f aca="false">IF(AM$8=1,N(Reales!AM33),IF(AM$171=1,INDEX(Vol_V,22,AM$170)/12*(1+V_dVol),0))</f>
        <v>0</v>
      </c>
      <c r="AN198" s="34" t="n">
        <f aca="false">IF(AN$8=1,N(Reales!AN33),IF(AN$171=1,INDEX(Vol_V,22,AN$170)/12*(1+V_dVol),0))</f>
        <v>0</v>
      </c>
      <c r="AO198" s="34" t="n">
        <f aca="false">IF(AO$8=1,N(Reales!AO33),IF(AO$171=1,INDEX(Vol_V,22,AO$170)/12*(1+V_dVol),0))</f>
        <v>0</v>
      </c>
      <c r="AP198" s="34" t="n">
        <f aca="false">IF(AP$8=1,N(Reales!AP33),IF(AP$171=1,INDEX(Vol_V,22,AP$170)/12*(1+V_dVol),0))</f>
        <v>0</v>
      </c>
      <c r="AQ198" s="34" t="n">
        <f aca="false">IF(AQ$8=1,N(Reales!AQ33),IF(AQ$171=1,INDEX(Vol_V,22,AQ$170)/12*(1+V_dVol),0))</f>
        <v>0</v>
      </c>
      <c r="AR198" s="34" t="n">
        <f aca="false">IF(AR$8=1,N(Reales!AR33),IF(AR$171=1,INDEX(Vol_V,22,AR$170)/12*(1+V_dVol),0))</f>
        <v>0</v>
      </c>
      <c r="AS198" s="34" t="n">
        <f aca="false">IF(AS$8=1,N(Reales!AS33),IF(AS$171=1,INDEX(Vol_V,22,AS$170)/12*(1+V_dVol),0))</f>
        <v>0</v>
      </c>
      <c r="AT198" s="34" t="n">
        <f aca="false">IF(AT$8=1,N(Reales!AT33),IF(AT$171=1,INDEX(Vol_V,22,AT$170)/12*(1+V_dVol),0))</f>
        <v>0</v>
      </c>
      <c r="AU198" s="34" t="n">
        <f aca="false">IF(AU$8=1,N(Reales!AU33),IF(AU$171=1,INDEX(Vol_V,22,AU$170)/12*(1+V_dVol),0))</f>
        <v>0</v>
      </c>
      <c r="AV198" s="34" t="n">
        <f aca="false">IF(AV$8=1,N(Reales!AV33),IF(AV$171=1,INDEX(Vol_V,22,AV$170)/12*(1+V_dVol),0))</f>
        <v>0</v>
      </c>
      <c r="AW198" s="34" t="n">
        <f aca="false">IF(AW$8=1,N(Reales!AW33),IF(AW$171=1,INDEX(Vol_V,22,AW$170)/12*(1+V_dVol),0))</f>
        <v>0</v>
      </c>
      <c r="AX198" s="34" t="n">
        <f aca="false">IF(AX$8=1,N(Reales!AX33),IF(AX$171=1,INDEX(Vol_V,22,AX$170)/12*(1+V_dVol),0))</f>
        <v>0</v>
      </c>
      <c r="AY198" s="34" t="n">
        <f aca="false">IF(AY$8=1,N(Reales!AY33),IF(AY$171=1,INDEX(Vol_V,22,AY$170)/12*(1+V_dVol),0))</f>
        <v>0</v>
      </c>
      <c r="AZ198" s="34" t="n">
        <f aca="false">IF(AZ$8=1,N(Reales!AZ33),IF(AZ$171=1,INDEX(Vol_V,22,AZ$170)/12*(1+V_dVol),0))</f>
        <v>0</v>
      </c>
      <c r="BA198" s="34" t="n">
        <f aca="false">IF(BA$8=1,N(Reales!BA33),IF(BA$171=1,INDEX(Vol_V,22,BA$170)/12*(1+V_dVol),0))</f>
        <v>0</v>
      </c>
      <c r="BB198" s="34" t="n">
        <f aca="false">IF(BB$8=1,N(Reales!BB33),IF(BB$171=1,INDEX(Vol_V,22,BB$170)/12*(1+V_dVol),0))</f>
        <v>0</v>
      </c>
      <c r="BC198" s="34" t="n">
        <f aca="false">IF(BC$8=1,N(Reales!BC33),IF(BC$171=1,INDEX(Vol_V,22,BC$170)/12*(1+V_dVol),0))</f>
        <v>0</v>
      </c>
      <c r="BD198" s="34" t="n">
        <f aca="false">IF(BD$8=1,N(Reales!BD33),IF(BD$171=1,INDEX(Vol_V,22,BD$170)/12*(1+V_dVol),0))</f>
        <v>0</v>
      </c>
      <c r="BE198" s="34" t="n">
        <f aca="false">IF(BE$8=1,N(Reales!BE33),IF(BE$171=1,INDEX(Vol_V,22,BE$170)/12*(1+V_dVol),0))</f>
        <v>0</v>
      </c>
      <c r="BF198" s="34" t="n">
        <f aca="false">IF(BF$8=1,N(Reales!BF33),IF(BF$171=1,INDEX(Vol_V,22,BF$170)/12*(1+V_dVol),0))</f>
        <v>0</v>
      </c>
      <c r="BG198" s="34" t="n">
        <f aca="false">IF(BG$8=1,N(Reales!BG33),IF(BG$171=1,INDEX(Vol_V,22,BG$170)/12*(1+V_dVol),0))</f>
        <v>0</v>
      </c>
      <c r="BH198" s="34" t="n">
        <f aca="false">IF(BH$8=1,N(Reales!BH33),IF(BH$171=1,INDEX(Vol_V,22,BH$170)/12*(1+V_dVol),0))</f>
        <v>0</v>
      </c>
      <c r="BI198" s="34" t="n">
        <f aca="false">IF(BI$8=1,N(Reales!BI33),IF(BI$171=1,INDEX(Vol_V,22,BI$170)/12*(1+V_dVol),0))</f>
        <v>0</v>
      </c>
      <c r="BJ198" s="34" t="n">
        <f aca="false">IF(BJ$8=1,N(Reales!BJ33),IF(BJ$171=1,INDEX(Vol_V,22,BJ$170)/12*(1+V_dVol),0))</f>
        <v>0</v>
      </c>
      <c r="BK198" s="34" t="n">
        <f aca="false">IF(BK$8=1,N(Reales!BK33),IF(BK$171=1,INDEX(Vol_V,22,BK$170)/12*(1+V_dVol),0))</f>
        <v>0</v>
      </c>
      <c r="BL198" s="34" t="n">
        <f aca="false">IF(BL$8=1,N(Reales!BL33),IF(BL$171=1,INDEX(Vol_V,22,BL$170)/12*(1+V_dVol),0))</f>
        <v>0</v>
      </c>
      <c r="BM198" s="34" t="n">
        <f aca="false">IF(BM$8=1,N(Reales!BM33),IF(BM$171=1,INDEX(Vol_V,22,BM$170)/12*(1+V_dVol),0))</f>
        <v>0</v>
      </c>
      <c r="BN198" s="34" t="n">
        <f aca="false">IF(BN$8=1,N(Reales!BN33),IF(BN$171=1,INDEX(Vol_V,22,BN$170)/12*(1+V_dVol),0))</f>
        <v>0</v>
      </c>
      <c r="BO198" s="34" t="n">
        <f aca="false">IF(BO$8=1,N(Reales!BO33),IF(BO$171=1,INDEX(Vol_V,22,BO$170)/12*(1+V_dVol),0))</f>
        <v>0</v>
      </c>
      <c r="BP198" s="34" t="n">
        <f aca="false">IF(BP$8=1,N(Reales!BP33),IF(BP$171=1,INDEX(Vol_V,22,BP$170)/12*(1+V_dVol),0))</f>
        <v>0</v>
      </c>
      <c r="BQ198" s="34" t="n">
        <f aca="false">IF(BQ$8=1,N(Reales!BQ33),IF(BQ$171=1,INDEX(Vol_V,22,BQ$170)/12*(1+V_dVol),0))</f>
        <v>0</v>
      </c>
      <c r="BR198" s="34" t="n">
        <f aca="false">IF(BR$8=1,N(Reales!BR33),IF(BR$171=1,INDEX(Vol_V,22,BR$170)/12*(1+V_dVol),0))</f>
        <v>0</v>
      </c>
      <c r="BS198" s="34" t="n">
        <f aca="false">IF(BS$8=1,N(Reales!BS33),IF(BS$171=1,INDEX(Vol_V,22,BS$170)/12*(1+V_dVol),0))</f>
        <v>0</v>
      </c>
      <c r="BT198" s="34" t="n">
        <f aca="false">IF(BT$8=1,N(Reales!BT33),IF(BT$171=1,INDEX(Vol_V,22,BT$170)/12*(1+V_dVol),0))</f>
        <v>0</v>
      </c>
      <c r="BU198" s="34" t="n">
        <f aca="false">IF(BU$8=1,N(Reales!BU33),IF(BU$171=1,INDEX(Vol_V,22,BU$170)/12*(1+V_dVol),0))</f>
        <v>0</v>
      </c>
      <c r="BV198" s="34" t="n">
        <f aca="false">IF(BV$8=1,N(Reales!BV33),IF(BV$171=1,INDEX(Vol_V,22,BV$170)/12*(1+V_dVol),0))</f>
        <v>0</v>
      </c>
      <c r="BW198" s="34" t="n">
        <f aca="false">IF(BW$8=1,N(Reales!BW33),IF(BW$171=1,INDEX(Vol_V,22,BW$170)/12*(1+V_dVol),0))</f>
        <v>0</v>
      </c>
      <c r="BX198" s="34" t="n">
        <f aca="false">IF(BX$8=1,N(Reales!BX33),IF(BX$171=1,INDEX(Vol_V,22,BX$170)/12*(1+V_dVol),0))</f>
        <v>0</v>
      </c>
      <c r="BY198" s="34" t="n">
        <f aca="false">IF(BY$8=1,N(Reales!BY33),IF(BY$171=1,INDEX(Vol_V,22,BY$170)/12*(1+V_dVol),0))</f>
        <v>0</v>
      </c>
      <c r="BZ198" s="34" t="n">
        <f aca="false">IF(BZ$8=1,N(Reales!BZ33),IF(BZ$171=1,INDEX(Vol_V,22,BZ$170)/12*(1+V_dVol),0))</f>
        <v>0</v>
      </c>
      <c r="CA198" s="34" t="n">
        <f aca="false">IF(CA$8=1,N(Reales!CA33),IF(CA$171=1,INDEX(Vol_V,22,CA$170)/12*(1+V_dVol),0))</f>
        <v>0</v>
      </c>
      <c r="CB198" s="34" t="n">
        <f aca="false">IF(CB$8=1,N(Reales!CB33),IF(CB$171=1,INDEX(Vol_V,22,CB$170)/12*(1+V_dVol),0))</f>
        <v>0</v>
      </c>
      <c r="CC198" s="34" t="n">
        <f aca="false">IF(CC$8=1,N(Reales!CC33),IF(CC$171=1,INDEX(Vol_V,22,CC$170)/12*(1+V_dVol),0))</f>
        <v>0</v>
      </c>
      <c r="CD198" s="34" t="n">
        <f aca="false">IF(CD$8=1,N(Reales!CD33),IF(CD$171=1,INDEX(Vol_V,22,CD$170)/12*(1+V_dVol),0))</f>
        <v>0</v>
      </c>
      <c r="CE198" s="34" t="n">
        <f aca="false">IF(CE$8=1,N(Reales!CE33),IF(CE$171=1,INDEX(Vol_V,22,CE$170)/12*(1+V_dVol),0))</f>
        <v>0</v>
      </c>
      <c r="CF198" s="34" t="n">
        <f aca="false">IF(CF$8=1,N(Reales!CF33),IF(CF$171=1,INDEX(Vol_V,22,CF$170)/12*(1+V_dVol),0))</f>
        <v>0</v>
      </c>
      <c r="CG198" s="34" t="n">
        <f aca="false">IF(CG$8=1,N(Reales!CG33),IF(CG$171=1,INDEX(Vol_V,22,CG$170)/12*(1+V_dVol),0))</f>
        <v>0</v>
      </c>
      <c r="CH198" s="34" t="n">
        <f aca="false">IF(CH$8=1,N(Reales!CH33),IF(CH$171=1,INDEX(Vol_V,22,CH$170)/12*(1+V_dVol),0))</f>
        <v>0</v>
      </c>
      <c r="CI198" s="34" t="n">
        <f aca="false">IF(CI$8=1,N(Reales!CI33),IF(CI$171=1,INDEX(Vol_V,22,CI$170)/12*(1+V_dVol),0))</f>
        <v>0</v>
      </c>
      <c r="CJ198" s="34" t="n">
        <f aca="false">IF(CJ$8=1,N(Reales!CJ33),IF(CJ$171=1,INDEX(Vol_V,22,CJ$170)/12*(1+V_dVol),0))</f>
        <v>0</v>
      </c>
      <c r="CK198" s="34" t="n">
        <f aca="false">IF(CK$8=1,N(Reales!CK33),IF(CK$171=1,INDEX(Vol_V,22,CK$170)/12*(1+V_dVol),0))</f>
        <v>0</v>
      </c>
      <c r="CL198" s="34" t="n">
        <f aca="false">IF(CL$8=1,N(Reales!CL33),IF(CL$171=1,INDEX(Vol_V,22,CL$170)/12*(1+V_dVol),0))</f>
        <v>0</v>
      </c>
      <c r="CM198" s="34" t="n">
        <f aca="false">IF(CM$8=1,N(Reales!CM33),IF(CM$171=1,INDEX(Vol_V,22,CM$170)/12*(1+V_dVol),0))</f>
        <v>0</v>
      </c>
      <c r="CN198" s="34" t="n">
        <f aca="false">IF(CN$8=1,N(Reales!CN33),IF(CN$171=1,INDEX(Vol_V,22,CN$170)/12*(1+V_dVol),0))</f>
        <v>0</v>
      </c>
      <c r="CO198" s="34" t="n">
        <f aca="false">IF(CO$8=1,N(Reales!CO33),IF(CO$171=1,INDEX(Vol_V,22,CO$170)/12*(1+V_dVol),0))</f>
        <v>0</v>
      </c>
      <c r="CP198" s="34" t="n">
        <f aca="false">IF(CP$8=1,N(Reales!CP33),IF(CP$171=1,INDEX(Vol_V,22,CP$170)/12*(1+V_dVol),0))</f>
        <v>0</v>
      </c>
      <c r="CQ198" s="34" t="n">
        <f aca="false">IF(CQ$8=1,N(Reales!CQ33),IF(CQ$171=1,INDEX(Vol_V,22,CQ$170)/12*(1+V_dVol),0))</f>
        <v>0</v>
      </c>
      <c r="CR198" s="34" t="n">
        <f aca="false">IF(CR$8=1,N(Reales!CR33),IF(CR$171=1,INDEX(Vol_V,22,CR$170)/12*(1+V_dVol),0))</f>
        <v>0</v>
      </c>
      <c r="CS198" s="34" t="n">
        <f aca="false">IF(CS$8=1,N(Reales!CS33),IF(CS$171=1,INDEX(Vol_V,22,CS$170)/12*(1+V_dVol),0))</f>
        <v>0</v>
      </c>
      <c r="CT198" s="34" t="n">
        <f aca="false">IF(CT$8=1,N(Reales!CT33),IF(CT$171=1,INDEX(Vol_V,22,CT$170)/12*(1+V_dVol),0))</f>
        <v>0</v>
      </c>
      <c r="CU198" s="34" t="n">
        <f aca="false">IF(CU$8=1,N(Reales!CU33),IF(CU$171=1,INDEX(Vol_V,22,CU$170)/12*(1+V_dVol),0))</f>
        <v>0</v>
      </c>
      <c r="CV198" s="34" t="n">
        <f aca="false">IF(CV$8=1,N(Reales!CV33),IF(CV$171=1,INDEX(Vol_V,22,CV$170)/12*(1+V_dVol),0))</f>
        <v>0</v>
      </c>
      <c r="CW198" s="34" t="n">
        <f aca="false">IF(CW$8=1,N(Reales!CW33),IF(CW$171=1,INDEX(Vol_V,22,CW$170)/12*(1+V_dVol),0))</f>
        <v>0</v>
      </c>
      <c r="CX198" s="34" t="n">
        <f aca="false">IF(CX$8=1,N(Reales!CX33),IF(CX$171=1,INDEX(Vol_V,22,CX$170)/12*(1+V_dVol),0))</f>
        <v>0</v>
      </c>
      <c r="CY198" s="34" t="n">
        <f aca="false">IF(CY$8=1,N(Reales!CY33),IF(CY$171=1,INDEX(Vol_V,22,CY$170)/12*(1+V_dVol),0))</f>
        <v>0</v>
      </c>
      <c r="CZ198" s="34" t="n">
        <f aca="false">IF(CZ$8=1,N(Reales!CZ33),IF(CZ$171=1,INDEX(Vol_V,22,CZ$170)/12*(1+V_dVol),0))</f>
        <v>0</v>
      </c>
      <c r="DA198" s="34" t="n">
        <f aca="false">IF(DA$8=1,N(Reales!DA33),IF(DA$171=1,INDEX(Vol_V,22,DA$170)/12*(1+V_dVol),0))</f>
        <v>0</v>
      </c>
      <c r="DB198" s="34" t="n">
        <f aca="false">IF(DB$8=1,N(Reales!DB33),IF(DB$171=1,INDEX(Vol_V,22,DB$170)/12*(1+V_dVol),0))</f>
        <v>0</v>
      </c>
      <c r="DC198" s="34" t="n">
        <f aca="false">IF(DC$8=1,N(Reales!DC33),IF(DC$171=1,INDEX(Vol_V,22,DC$170)/12*(1+V_dVol),0))</f>
        <v>0</v>
      </c>
      <c r="DD198" s="34" t="n">
        <f aca="false">IF(DD$8=1,N(Reales!DD33),IF(DD$171=1,INDEX(Vol_V,22,DD$170)/12*(1+V_dVol),0))</f>
        <v>0</v>
      </c>
      <c r="DE198" s="34" t="n">
        <f aca="false">IF(DE$8=1,N(Reales!DE33),IF(DE$171=1,INDEX(Vol_V,22,DE$170)/12*(1+V_dVol),0))</f>
        <v>0</v>
      </c>
      <c r="DF198" s="34" t="n">
        <f aca="false">IF(DF$8=1,N(Reales!DF33),IF(DF$171=1,INDEX(Vol_V,22,DF$170)/12*(1+V_dVol),0))</f>
        <v>0</v>
      </c>
      <c r="DG198" s="34" t="n">
        <f aca="false">IF(DG$8=1,N(Reales!DG33),IF(DG$171=1,INDEX(Vol_V,22,DG$170)/12*(1+V_dVol),0))</f>
        <v>0</v>
      </c>
      <c r="DH198" s="34" t="n">
        <f aca="false">IF(DH$8=1,N(Reales!DH33),IF(DH$171=1,INDEX(Vol_V,22,DH$170)/12*(1+V_dVol),0))</f>
        <v>0</v>
      </c>
      <c r="DI198" s="34" t="n">
        <f aca="false">IF(DI$8=1,N(Reales!DI33),IF(DI$171=1,INDEX(Vol_V,22,DI$170)/12*(1+V_dVol),0))</f>
        <v>0</v>
      </c>
      <c r="DJ198" s="34" t="n">
        <f aca="false">IF(DJ$8=1,N(Reales!DJ33),IF(DJ$171=1,INDEX(Vol_V,22,DJ$170)/12*(1+V_dVol),0))</f>
        <v>0</v>
      </c>
      <c r="DK198" s="34" t="n">
        <f aca="false">IF(DK$8=1,N(Reales!DK33),IF(DK$171=1,INDEX(Vol_V,22,DK$170)/12*(1+V_dVol),0))</f>
        <v>0</v>
      </c>
      <c r="DL198" s="34" t="n">
        <f aca="false">IF(DL$8=1,N(Reales!DL33),IF(DL$171=1,INDEX(Vol_V,22,DL$170)/12*(1+V_dVol),0))</f>
        <v>0</v>
      </c>
      <c r="DM198" s="34" t="n">
        <f aca="false">IF(DM$8=1,N(Reales!DM33),IF(DM$171=1,INDEX(Vol_V,22,DM$170)/12*(1+V_dVol),0))</f>
        <v>0</v>
      </c>
      <c r="DN198" s="34" t="n">
        <f aca="false">IF(DN$8=1,N(Reales!DN33),IF(DN$171=1,INDEX(Vol_V,22,DN$170)/12*(1+V_dVol),0))</f>
        <v>0</v>
      </c>
      <c r="DO198" s="34" t="n">
        <f aca="false">IF(DO$8=1,N(Reales!DO33),IF(DO$171=1,INDEX(Vol_V,22,DO$170)/12*(1+V_dVol),0))</f>
        <v>0</v>
      </c>
      <c r="DP198" s="34" t="n">
        <f aca="false">IF(DP$8=1,N(Reales!DP33),IF(DP$171=1,INDEX(Vol_V,22,DP$170)/12*(1+V_dVol),0))</f>
        <v>0</v>
      </c>
      <c r="DQ198" s="34" t="n">
        <f aca="false">IF(DQ$8=1,N(Reales!DQ33),IF(DQ$171=1,INDEX(Vol_V,22,DQ$170)/12*(1+V_dVol),0))</f>
        <v>0</v>
      </c>
      <c r="DR198" s="34" t="n">
        <f aca="false">IF(DR$8=1,N(Reales!DR33),IF(DR$171=1,INDEX(Vol_V,22,DR$170)/12*(1+V_dVol),0))</f>
        <v>0</v>
      </c>
      <c r="DS198" s="34" t="n">
        <f aca="false">IF(DS$8=1,N(Reales!DS33),IF(DS$171=1,INDEX(Vol_V,22,DS$170)/12*(1+V_dVol),0))</f>
        <v>0</v>
      </c>
      <c r="DT198" s="34" t="n">
        <f aca="false">IF(DT$8=1,N(Reales!DT33),IF(DT$171=1,INDEX(Vol_V,22,DT$170)/12*(1+V_dVol),0))</f>
        <v>0</v>
      </c>
      <c r="DU198" s="34" t="n">
        <f aca="false">IF(DU$8=1,N(Reales!DU33),IF(DU$171=1,INDEX(Vol_V,22,DU$170)/12*(1+V_dVol),0))</f>
        <v>0</v>
      </c>
      <c r="DV198" s="34" t="n">
        <f aca="false">IF(DV$8=1,N(Reales!DV33),IF(DV$171=1,INDEX(Vol_V,22,DV$170)/12*(1+V_dVol),0))</f>
        <v>0</v>
      </c>
      <c r="DW198" s="34" t="n">
        <f aca="false">IF(DW$8=1,N(Reales!DW33),IF(DW$171=1,INDEX(Vol_V,22,DW$170)/12*(1+V_dVol),0))</f>
        <v>0</v>
      </c>
      <c r="DX198" s="34" t="n">
        <f aca="false">IF(DX$8=1,N(Reales!DX33),IF(DX$171=1,INDEX(Vol_V,22,DX$170)/12*(1+V_dVol),0))</f>
        <v>0</v>
      </c>
      <c r="DY198" s="34" t="n">
        <f aca="false">IF(DY$8=1,N(Reales!DY33),IF(DY$171=1,INDEX(Vol_V,22,DY$170)/12*(1+V_dVol),0))</f>
        <v>0</v>
      </c>
      <c r="DZ198" s="34" t="n">
        <f aca="false">IF(DZ$8=1,N(Reales!DZ33),IF(DZ$171=1,INDEX(Vol_V,22,DZ$170)/12*(1+V_dVol),0))</f>
        <v>0</v>
      </c>
      <c r="EA198" s="34" t="n">
        <f aca="false">IF(EA$8=1,N(Reales!EA33),IF(EA$171=1,INDEX(Vol_V,22,EA$170)/12*(1+V_dVol),0))</f>
        <v>0</v>
      </c>
      <c r="EB198" s="34" t="n">
        <f aca="false">IF(EB$8=1,N(Reales!EB33),IF(EB$171=1,INDEX(Vol_V,22,EB$170)/12*(1+V_dVol),0))</f>
        <v>0</v>
      </c>
      <c r="EC198" s="34" t="n">
        <f aca="false">IF(EC$8=1,N(Reales!EC33),IF(EC$171=1,INDEX(Vol_V,22,EC$170)/12*(1+V_dVol),0))</f>
        <v>0</v>
      </c>
      <c r="ED198" s="34" t="n">
        <f aca="false">IF(ED$8=1,N(Reales!ED33),IF(ED$171=1,INDEX(Vol_V,22,ED$170)/12*(1+V_dVol),0))</f>
        <v>0</v>
      </c>
      <c r="EE198" s="34" t="n">
        <f aca="false">IF(EE$8=1,N(Reales!EE33),IF(EE$171=1,INDEX(Vol_V,22,EE$170)/12*(1+V_dVol),0))</f>
        <v>0</v>
      </c>
      <c r="EF198" s="34" t="n">
        <f aca="false">IF(EF$8=1,N(Reales!EF33),IF(EF$171=1,INDEX(Vol_V,22,EF$170)/12*(1+V_dVol),0))</f>
        <v>0</v>
      </c>
      <c r="EG198" s="34" t="n">
        <f aca="false">IF(EG$8=1,N(Reales!EG33),IF(EG$171=1,INDEX(Vol_V,22,EG$170)/12*(1+V_dVol),0))</f>
        <v>0</v>
      </c>
      <c r="EH198" s="34" t="n">
        <f aca="false">IF(EH$8=1,N(Reales!EH33),IF(EH$171=1,INDEX(Vol_V,22,EH$170)/12*(1+V_dVol),0))</f>
        <v>0</v>
      </c>
      <c r="EI198" s="34" t="n">
        <f aca="false">IF(EI$8=1,N(Reales!EI33),IF(EI$171=1,INDEX(Vol_V,22,EI$170)/12*(1+V_dVol),0))</f>
        <v>0</v>
      </c>
      <c r="EJ198" s="34" t="n">
        <f aca="false">IF(EJ$8=1,N(Reales!EJ33),IF(EJ$171=1,INDEX(Vol_V,22,EJ$170)/12*(1+V_dVol),0))</f>
        <v>0</v>
      </c>
      <c r="EK198" s="34" t="n">
        <f aca="false">IF(EK$8=1,N(Reales!EK33),IF(EK$171=1,INDEX(Vol_V,22,EK$170)/12*(1+V_dVol),0))</f>
        <v>0</v>
      </c>
      <c r="EL198" s="34" t="n">
        <f aca="false">IF(EL$8=1,N(Reales!EL33),IF(EL$171=1,INDEX(Vol_V,22,EL$170)/12*(1+V_dVol),0))</f>
        <v>0</v>
      </c>
      <c r="EM198" s="34" t="n">
        <f aca="false">IF(EM$8=1,N(Reales!EM33),IF(EM$171=1,INDEX(Vol_V,22,EM$170)/12*(1+V_dVol),0))</f>
        <v>0</v>
      </c>
      <c r="EN198" s="34" t="n">
        <f aca="false">IF(EN$8=1,N(Reales!EN33),IF(EN$171=1,INDEX(Vol_V,22,EN$170)/12*(1+V_dVol),0))</f>
        <v>0</v>
      </c>
      <c r="EO198" s="34" t="n">
        <f aca="false">IF(EO$8=1,N(Reales!EO33),IF(EO$171=1,INDEX(Vol_V,22,EO$170)/12*(1+V_dVol),0))</f>
        <v>0</v>
      </c>
      <c r="EP198" s="34" t="n">
        <f aca="false">IF(EP$8=1,N(Reales!EP33),IF(EP$171=1,INDEX(Vol_V,22,EP$170)/12*(1+V_dVol),0))</f>
        <v>0</v>
      </c>
      <c r="EQ198" s="34" t="n">
        <f aca="false">IF(EQ$8=1,N(Reales!EQ33),IF(EQ$171=1,INDEX(Vol_V,22,EQ$170)/12*(1+V_dVol),0))</f>
        <v>0</v>
      </c>
      <c r="ER198" s="34" t="n">
        <f aca="false">IF(ER$8=1,N(Reales!ER33),IF(ER$171=1,INDEX(Vol_V,22,ER$170)/12*(1+V_dVol),0))</f>
        <v>0</v>
      </c>
      <c r="ES198" s="34" t="n">
        <f aca="false">IF(ES$8=1,N(Reales!ES33),IF(ES$171=1,INDEX(Vol_V,22,ES$170)/12*(1+V_dVol),0))</f>
        <v>0</v>
      </c>
    </row>
    <row r="199" customFormat="false" ht="15" hidden="false" customHeight="false" outlineLevel="0" collapsed="false">
      <c r="A199" s="2" t="s">
        <v>841</v>
      </c>
      <c r="B199" s="39" t="str">
        <f aca="false">IF(INDEX(Prod_Nombre,23)="","Producto 23",INDEX(Prod_Nombre,23))&amp;" — unidades"</f>
        <v>Producto 23 — unidades</v>
      </c>
      <c r="C199" s="6" t="s">
        <v>286</v>
      </c>
      <c r="E199" s="40" t="n">
        <f aca="false">SUM(F199:ES199)</f>
        <v>0</v>
      </c>
      <c r="F199" s="34" t="n">
        <f aca="false">IF(F$8=1,N(Reales!F34),IF(F$171=1,INDEX(Vol_V,23,F$170)/12*(1+V_dVol),0))</f>
        <v>0</v>
      </c>
      <c r="G199" s="34" t="n">
        <f aca="false">IF(G$8=1,N(Reales!G34),IF(G$171=1,INDEX(Vol_V,23,G$170)/12*(1+V_dVol),0))</f>
        <v>0</v>
      </c>
      <c r="H199" s="34" t="n">
        <f aca="false">IF(H$8=1,N(Reales!H34),IF(H$171=1,INDEX(Vol_V,23,H$170)/12*(1+V_dVol),0))</f>
        <v>0</v>
      </c>
      <c r="I199" s="34" t="n">
        <f aca="false">IF(I$8=1,N(Reales!I34),IF(I$171=1,INDEX(Vol_V,23,I$170)/12*(1+V_dVol),0))</f>
        <v>0</v>
      </c>
      <c r="J199" s="34" t="n">
        <f aca="false">IF(J$8=1,N(Reales!J34),IF(J$171=1,INDEX(Vol_V,23,J$170)/12*(1+V_dVol),0))</f>
        <v>0</v>
      </c>
      <c r="K199" s="34" t="n">
        <f aca="false">IF(K$8=1,N(Reales!K34),IF(K$171=1,INDEX(Vol_V,23,K$170)/12*(1+V_dVol),0))</f>
        <v>0</v>
      </c>
      <c r="L199" s="34" t="n">
        <f aca="false">IF(L$8=1,N(Reales!L34),IF(L$171=1,INDEX(Vol_V,23,L$170)/12*(1+V_dVol),0))</f>
        <v>0</v>
      </c>
      <c r="M199" s="34" t="n">
        <f aca="false">IF(M$8=1,N(Reales!M34),IF(M$171=1,INDEX(Vol_V,23,M$170)/12*(1+V_dVol),0))</f>
        <v>0</v>
      </c>
      <c r="N199" s="34" t="n">
        <f aca="false">IF(N$8=1,N(Reales!N34),IF(N$171=1,INDEX(Vol_V,23,N$170)/12*(1+V_dVol),0))</f>
        <v>0</v>
      </c>
      <c r="O199" s="34" t="n">
        <f aca="false">IF(O$8=1,N(Reales!O34),IF(O$171=1,INDEX(Vol_V,23,O$170)/12*(1+V_dVol),0))</f>
        <v>0</v>
      </c>
      <c r="P199" s="34" t="n">
        <f aca="false">IF(P$8=1,N(Reales!P34),IF(P$171=1,INDEX(Vol_V,23,P$170)/12*(1+V_dVol),0))</f>
        <v>0</v>
      </c>
      <c r="Q199" s="34" t="n">
        <f aca="false">IF(Q$8=1,N(Reales!Q34),IF(Q$171=1,INDEX(Vol_V,23,Q$170)/12*(1+V_dVol),0))</f>
        <v>0</v>
      </c>
      <c r="R199" s="34" t="n">
        <f aca="false">IF(R$8=1,N(Reales!R34),IF(R$171=1,INDEX(Vol_V,23,R$170)/12*(1+V_dVol),0))</f>
        <v>0</v>
      </c>
      <c r="S199" s="34" t="n">
        <f aca="false">IF(S$8=1,N(Reales!S34),IF(S$171=1,INDEX(Vol_V,23,S$170)/12*(1+V_dVol),0))</f>
        <v>0</v>
      </c>
      <c r="T199" s="34" t="n">
        <f aca="false">IF(T$8=1,N(Reales!T34),IF(T$171=1,INDEX(Vol_V,23,T$170)/12*(1+V_dVol),0))</f>
        <v>0</v>
      </c>
      <c r="U199" s="34" t="n">
        <f aca="false">IF(U$8=1,N(Reales!U34),IF(U$171=1,INDEX(Vol_V,23,U$170)/12*(1+V_dVol),0))</f>
        <v>0</v>
      </c>
      <c r="V199" s="34" t="n">
        <f aca="false">IF(V$8=1,N(Reales!V34),IF(V$171=1,INDEX(Vol_V,23,V$170)/12*(1+V_dVol),0))</f>
        <v>0</v>
      </c>
      <c r="W199" s="34" t="n">
        <f aca="false">IF(W$8=1,N(Reales!W34),IF(W$171=1,INDEX(Vol_V,23,W$170)/12*(1+V_dVol),0))</f>
        <v>0</v>
      </c>
      <c r="X199" s="34" t="n">
        <f aca="false">IF(X$8=1,N(Reales!X34),IF(X$171=1,INDEX(Vol_V,23,X$170)/12*(1+V_dVol),0))</f>
        <v>0</v>
      </c>
      <c r="Y199" s="34" t="n">
        <f aca="false">IF(Y$8=1,N(Reales!Y34),IF(Y$171=1,INDEX(Vol_V,23,Y$170)/12*(1+V_dVol),0))</f>
        <v>0</v>
      </c>
      <c r="Z199" s="34" t="n">
        <f aca="false">IF(Z$8=1,N(Reales!Z34),IF(Z$171=1,INDEX(Vol_V,23,Z$170)/12*(1+V_dVol),0))</f>
        <v>0</v>
      </c>
      <c r="AA199" s="34" t="n">
        <f aca="false">IF(AA$8=1,N(Reales!AA34),IF(AA$171=1,INDEX(Vol_V,23,AA$170)/12*(1+V_dVol),0))</f>
        <v>0</v>
      </c>
      <c r="AB199" s="34" t="n">
        <f aca="false">IF(AB$8=1,N(Reales!AB34),IF(AB$171=1,INDEX(Vol_V,23,AB$170)/12*(1+V_dVol),0))</f>
        <v>0</v>
      </c>
      <c r="AC199" s="34" t="n">
        <f aca="false">IF(AC$8=1,N(Reales!AC34),IF(AC$171=1,INDEX(Vol_V,23,AC$170)/12*(1+V_dVol),0))</f>
        <v>0</v>
      </c>
      <c r="AD199" s="34" t="n">
        <f aca="false">IF(AD$8=1,N(Reales!AD34),IF(AD$171=1,INDEX(Vol_V,23,AD$170)/12*(1+V_dVol),0))</f>
        <v>0</v>
      </c>
      <c r="AE199" s="34" t="n">
        <f aca="false">IF(AE$8=1,N(Reales!AE34),IF(AE$171=1,INDEX(Vol_V,23,AE$170)/12*(1+V_dVol),0))</f>
        <v>0</v>
      </c>
      <c r="AF199" s="34" t="n">
        <f aca="false">IF(AF$8=1,N(Reales!AF34),IF(AF$171=1,INDEX(Vol_V,23,AF$170)/12*(1+V_dVol),0))</f>
        <v>0</v>
      </c>
      <c r="AG199" s="34" t="n">
        <f aca="false">IF(AG$8=1,N(Reales!AG34),IF(AG$171=1,INDEX(Vol_V,23,AG$170)/12*(1+V_dVol),0))</f>
        <v>0</v>
      </c>
      <c r="AH199" s="34" t="n">
        <f aca="false">IF(AH$8=1,N(Reales!AH34),IF(AH$171=1,INDEX(Vol_V,23,AH$170)/12*(1+V_dVol),0))</f>
        <v>0</v>
      </c>
      <c r="AI199" s="34" t="n">
        <f aca="false">IF(AI$8=1,N(Reales!AI34),IF(AI$171=1,INDEX(Vol_V,23,AI$170)/12*(1+V_dVol),0))</f>
        <v>0</v>
      </c>
      <c r="AJ199" s="34" t="n">
        <f aca="false">IF(AJ$8=1,N(Reales!AJ34),IF(AJ$171=1,INDEX(Vol_V,23,AJ$170)/12*(1+V_dVol),0))</f>
        <v>0</v>
      </c>
      <c r="AK199" s="34" t="n">
        <f aca="false">IF(AK$8=1,N(Reales!AK34),IF(AK$171=1,INDEX(Vol_V,23,AK$170)/12*(1+V_dVol),0))</f>
        <v>0</v>
      </c>
      <c r="AL199" s="34" t="n">
        <f aca="false">IF(AL$8=1,N(Reales!AL34),IF(AL$171=1,INDEX(Vol_V,23,AL$170)/12*(1+V_dVol),0))</f>
        <v>0</v>
      </c>
      <c r="AM199" s="34" t="n">
        <f aca="false">IF(AM$8=1,N(Reales!AM34),IF(AM$171=1,INDEX(Vol_V,23,AM$170)/12*(1+V_dVol),0))</f>
        <v>0</v>
      </c>
      <c r="AN199" s="34" t="n">
        <f aca="false">IF(AN$8=1,N(Reales!AN34),IF(AN$171=1,INDEX(Vol_V,23,AN$170)/12*(1+V_dVol),0))</f>
        <v>0</v>
      </c>
      <c r="AO199" s="34" t="n">
        <f aca="false">IF(AO$8=1,N(Reales!AO34),IF(AO$171=1,INDEX(Vol_V,23,AO$170)/12*(1+V_dVol),0))</f>
        <v>0</v>
      </c>
      <c r="AP199" s="34" t="n">
        <f aca="false">IF(AP$8=1,N(Reales!AP34),IF(AP$171=1,INDEX(Vol_V,23,AP$170)/12*(1+V_dVol),0))</f>
        <v>0</v>
      </c>
      <c r="AQ199" s="34" t="n">
        <f aca="false">IF(AQ$8=1,N(Reales!AQ34),IF(AQ$171=1,INDEX(Vol_V,23,AQ$170)/12*(1+V_dVol),0))</f>
        <v>0</v>
      </c>
      <c r="AR199" s="34" t="n">
        <f aca="false">IF(AR$8=1,N(Reales!AR34),IF(AR$171=1,INDEX(Vol_V,23,AR$170)/12*(1+V_dVol),0))</f>
        <v>0</v>
      </c>
      <c r="AS199" s="34" t="n">
        <f aca="false">IF(AS$8=1,N(Reales!AS34),IF(AS$171=1,INDEX(Vol_V,23,AS$170)/12*(1+V_dVol),0))</f>
        <v>0</v>
      </c>
      <c r="AT199" s="34" t="n">
        <f aca="false">IF(AT$8=1,N(Reales!AT34),IF(AT$171=1,INDEX(Vol_V,23,AT$170)/12*(1+V_dVol),0))</f>
        <v>0</v>
      </c>
      <c r="AU199" s="34" t="n">
        <f aca="false">IF(AU$8=1,N(Reales!AU34),IF(AU$171=1,INDEX(Vol_V,23,AU$170)/12*(1+V_dVol),0))</f>
        <v>0</v>
      </c>
      <c r="AV199" s="34" t="n">
        <f aca="false">IF(AV$8=1,N(Reales!AV34),IF(AV$171=1,INDEX(Vol_V,23,AV$170)/12*(1+V_dVol),0))</f>
        <v>0</v>
      </c>
      <c r="AW199" s="34" t="n">
        <f aca="false">IF(AW$8=1,N(Reales!AW34),IF(AW$171=1,INDEX(Vol_V,23,AW$170)/12*(1+V_dVol),0))</f>
        <v>0</v>
      </c>
      <c r="AX199" s="34" t="n">
        <f aca="false">IF(AX$8=1,N(Reales!AX34),IF(AX$171=1,INDEX(Vol_V,23,AX$170)/12*(1+V_dVol),0))</f>
        <v>0</v>
      </c>
      <c r="AY199" s="34" t="n">
        <f aca="false">IF(AY$8=1,N(Reales!AY34),IF(AY$171=1,INDEX(Vol_V,23,AY$170)/12*(1+V_dVol),0))</f>
        <v>0</v>
      </c>
      <c r="AZ199" s="34" t="n">
        <f aca="false">IF(AZ$8=1,N(Reales!AZ34),IF(AZ$171=1,INDEX(Vol_V,23,AZ$170)/12*(1+V_dVol),0))</f>
        <v>0</v>
      </c>
      <c r="BA199" s="34" t="n">
        <f aca="false">IF(BA$8=1,N(Reales!BA34),IF(BA$171=1,INDEX(Vol_V,23,BA$170)/12*(1+V_dVol),0))</f>
        <v>0</v>
      </c>
      <c r="BB199" s="34" t="n">
        <f aca="false">IF(BB$8=1,N(Reales!BB34),IF(BB$171=1,INDEX(Vol_V,23,BB$170)/12*(1+V_dVol),0))</f>
        <v>0</v>
      </c>
      <c r="BC199" s="34" t="n">
        <f aca="false">IF(BC$8=1,N(Reales!BC34),IF(BC$171=1,INDEX(Vol_V,23,BC$170)/12*(1+V_dVol),0))</f>
        <v>0</v>
      </c>
      <c r="BD199" s="34" t="n">
        <f aca="false">IF(BD$8=1,N(Reales!BD34),IF(BD$171=1,INDEX(Vol_V,23,BD$170)/12*(1+V_dVol),0))</f>
        <v>0</v>
      </c>
      <c r="BE199" s="34" t="n">
        <f aca="false">IF(BE$8=1,N(Reales!BE34),IF(BE$171=1,INDEX(Vol_V,23,BE$170)/12*(1+V_dVol),0))</f>
        <v>0</v>
      </c>
      <c r="BF199" s="34" t="n">
        <f aca="false">IF(BF$8=1,N(Reales!BF34),IF(BF$171=1,INDEX(Vol_V,23,BF$170)/12*(1+V_dVol),0))</f>
        <v>0</v>
      </c>
      <c r="BG199" s="34" t="n">
        <f aca="false">IF(BG$8=1,N(Reales!BG34),IF(BG$171=1,INDEX(Vol_V,23,BG$170)/12*(1+V_dVol),0))</f>
        <v>0</v>
      </c>
      <c r="BH199" s="34" t="n">
        <f aca="false">IF(BH$8=1,N(Reales!BH34),IF(BH$171=1,INDEX(Vol_V,23,BH$170)/12*(1+V_dVol),0))</f>
        <v>0</v>
      </c>
      <c r="BI199" s="34" t="n">
        <f aca="false">IF(BI$8=1,N(Reales!BI34),IF(BI$171=1,INDEX(Vol_V,23,BI$170)/12*(1+V_dVol),0))</f>
        <v>0</v>
      </c>
      <c r="BJ199" s="34" t="n">
        <f aca="false">IF(BJ$8=1,N(Reales!BJ34),IF(BJ$171=1,INDEX(Vol_V,23,BJ$170)/12*(1+V_dVol),0))</f>
        <v>0</v>
      </c>
      <c r="BK199" s="34" t="n">
        <f aca="false">IF(BK$8=1,N(Reales!BK34),IF(BK$171=1,INDEX(Vol_V,23,BK$170)/12*(1+V_dVol),0))</f>
        <v>0</v>
      </c>
      <c r="BL199" s="34" t="n">
        <f aca="false">IF(BL$8=1,N(Reales!BL34),IF(BL$171=1,INDEX(Vol_V,23,BL$170)/12*(1+V_dVol),0))</f>
        <v>0</v>
      </c>
      <c r="BM199" s="34" t="n">
        <f aca="false">IF(BM$8=1,N(Reales!BM34),IF(BM$171=1,INDEX(Vol_V,23,BM$170)/12*(1+V_dVol),0))</f>
        <v>0</v>
      </c>
      <c r="BN199" s="34" t="n">
        <f aca="false">IF(BN$8=1,N(Reales!BN34),IF(BN$171=1,INDEX(Vol_V,23,BN$170)/12*(1+V_dVol),0))</f>
        <v>0</v>
      </c>
      <c r="BO199" s="34" t="n">
        <f aca="false">IF(BO$8=1,N(Reales!BO34),IF(BO$171=1,INDEX(Vol_V,23,BO$170)/12*(1+V_dVol),0))</f>
        <v>0</v>
      </c>
      <c r="BP199" s="34" t="n">
        <f aca="false">IF(BP$8=1,N(Reales!BP34),IF(BP$171=1,INDEX(Vol_V,23,BP$170)/12*(1+V_dVol),0))</f>
        <v>0</v>
      </c>
      <c r="BQ199" s="34" t="n">
        <f aca="false">IF(BQ$8=1,N(Reales!BQ34),IF(BQ$171=1,INDEX(Vol_V,23,BQ$170)/12*(1+V_dVol),0))</f>
        <v>0</v>
      </c>
      <c r="BR199" s="34" t="n">
        <f aca="false">IF(BR$8=1,N(Reales!BR34),IF(BR$171=1,INDEX(Vol_V,23,BR$170)/12*(1+V_dVol),0))</f>
        <v>0</v>
      </c>
      <c r="BS199" s="34" t="n">
        <f aca="false">IF(BS$8=1,N(Reales!BS34),IF(BS$171=1,INDEX(Vol_V,23,BS$170)/12*(1+V_dVol),0))</f>
        <v>0</v>
      </c>
      <c r="BT199" s="34" t="n">
        <f aca="false">IF(BT$8=1,N(Reales!BT34),IF(BT$171=1,INDEX(Vol_V,23,BT$170)/12*(1+V_dVol),0))</f>
        <v>0</v>
      </c>
      <c r="BU199" s="34" t="n">
        <f aca="false">IF(BU$8=1,N(Reales!BU34),IF(BU$171=1,INDEX(Vol_V,23,BU$170)/12*(1+V_dVol),0))</f>
        <v>0</v>
      </c>
      <c r="BV199" s="34" t="n">
        <f aca="false">IF(BV$8=1,N(Reales!BV34),IF(BV$171=1,INDEX(Vol_V,23,BV$170)/12*(1+V_dVol),0))</f>
        <v>0</v>
      </c>
      <c r="BW199" s="34" t="n">
        <f aca="false">IF(BW$8=1,N(Reales!BW34),IF(BW$171=1,INDEX(Vol_V,23,BW$170)/12*(1+V_dVol),0))</f>
        <v>0</v>
      </c>
      <c r="BX199" s="34" t="n">
        <f aca="false">IF(BX$8=1,N(Reales!BX34),IF(BX$171=1,INDEX(Vol_V,23,BX$170)/12*(1+V_dVol),0))</f>
        <v>0</v>
      </c>
      <c r="BY199" s="34" t="n">
        <f aca="false">IF(BY$8=1,N(Reales!BY34),IF(BY$171=1,INDEX(Vol_V,23,BY$170)/12*(1+V_dVol),0))</f>
        <v>0</v>
      </c>
      <c r="BZ199" s="34" t="n">
        <f aca="false">IF(BZ$8=1,N(Reales!BZ34),IF(BZ$171=1,INDEX(Vol_V,23,BZ$170)/12*(1+V_dVol),0))</f>
        <v>0</v>
      </c>
      <c r="CA199" s="34" t="n">
        <f aca="false">IF(CA$8=1,N(Reales!CA34),IF(CA$171=1,INDEX(Vol_V,23,CA$170)/12*(1+V_dVol),0))</f>
        <v>0</v>
      </c>
      <c r="CB199" s="34" t="n">
        <f aca="false">IF(CB$8=1,N(Reales!CB34),IF(CB$171=1,INDEX(Vol_V,23,CB$170)/12*(1+V_dVol),0))</f>
        <v>0</v>
      </c>
      <c r="CC199" s="34" t="n">
        <f aca="false">IF(CC$8=1,N(Reales!CC34),IF(CC$171=1,INDEX(Vol_V,23,CC$170)/12*(1+V_dVol),0))</f>
        <v>0</v>
      </c>
      <c r="CD199" s="34" t="n">
        <f aca="false">IF(CD$8=1,N(Reales!CD34),IF(CD$171=1,INDEX(Vol_V,23,CD$170)/12*(1+V_dVol),0))</f>
        <v>0</v>
      </c>
      <c r="CE199" s="34" t="n">
        <f aca="false">IF(CE$8=1,N(Reales!CE34),IF(CE$171=1,INDEX(Vol_V,23,CE$170)/12*(1+V_dVol),0))</f>
        <v>0</v>
      </c>
      <c r="CF199" s="34" t="n">
        <f aca="false">IF(CF$8=1,N(Reales!CF34),IF(CF$171=1,INDEX(Vol_V,23,CF$170)/12*(1+V_dVol),0))</f>
        <v>0</v>
      </c>
      <c r="CG199" s="34" t="n">
        <f aca="false">IF(CG$8=1,N(Reales!CG34),IF(CG$171=1,INDEX(Vol_V,23,CG$170)/12*(1+V_dVol),0))</f>
        <v>0</v>
      </c>
      <c r="CH199" s="34" t="n">
        <f aca="false">IF(CH$8=1,N(Reales!CH34),IF(CH$171=1,INDEX(Vol_V,23,CH$170)/12*(1+V_dVol),0))</f>
        <v>0</v>
      </c>
      <c r="CI199" s="34" t="n">
        <f aca="false">IF(CI$8=1,N(Reales!CI34),IF(CI$171=1,INDEX(Vol_V,23,CI$170)/12*(1+V_dVol),0))</f>
        <v>0</v>
      </c>
      <c r="CJ199" s="34" t="n">
        <f aca="false">IF(CJ$8=1,N(Reales!CJ34),IF(CJ$171=1,INDEX(Vol_V,23,CJ$170)/12*(1+V_dVol),0))</f>
        <v>0</v>
      </c>
      <c r="CK199" s="34" t="n">
        <f aca="false">IF(CK$8=1,N(Reales!CK34),IF(CK$171=1,INDEX(Vol_V,23,CK$170)/12*(1+V_dVol),0))</f>
        <v>0</v>
      </c>
      <c r="CL199" s="34" t="n">
        <f aca="false">IF(CL$8=1,N(Reales!CL34),IF(CL$171=1,INDEX(Vol_V,23,CL$170)/12*(1+V_dVol),0))</f>
        <v>0</v>
      </c>
      <c r="CM199" s="34" t="n">
        <f aca="false">IF(CM$8=1,N(Reales!CM34),IF(CM$171=1,INDEX(Vol_V,23,CM$170)/12*(1+V_dVol),0))</f>
        <v>0</v>
      </c>
      <c r="CN199" s="34" t="n">
        <f aca="false">IF(CN$8=1,N(Reales!CN34),IF(CN$171=1,INDEX(Vol_V,23,CN$170)/12*(1+V_dVol),0))</f>
        <v>0</v>
      </c>
      <c r="CO199" s="34" t="n">
        <f aca="false">IF(CO$8=1,N(Reales!CO34),IF(CO$171=1,INDEX(Vol_V,23,CO$170)/12*(1+V_dVol),0))</f>
        <v>0</v>
      </c>
      <c r="CP199" s="34" t="n">
        <f aca="false">IF(CP$8=1,N(Reales!CP34),IF(CP$171=1,INDEX(Vol_V,23,CP$170)/12*(1+V_dVol),0))</f>
        <v>0</v>
      </c>
      <c r="CQ199" s="34" t="n">
        <f aca="false">IF(CQ$8=1,N(Reales!CQ34),IF(CQ$171=1,INDEX(Vol_V,23,CQ$170)/12*(1+V_dVol),0))</f>
        <v>0</v>
      </c>
      <c r="CR199" s="34" t="n">
        <f aca="false">IF(CR$8=1,N(Reales!CR34),IF(CR$171=1,INDEX(Vol_V,23,CR$170)/12*(1+V_dVol),0))</f>
        <v>0</v>
      </c>
      <c r="CS199" s="34" t="n">
        <f aca="false">IF(CS$8=1,N(Reales!CS34),IF(CS$171=1,INDEX(Vol_V,23,CS$170)/12*(1+V_dVol),0))</f>
        <v>0</v>
      </c>
      <c r="CT199" s="34" t="n">
        <f aca="false">IF(CT$8=1,N(Reales!CT34),IF(CT$171=1,INDEX(Vol_V,23,CT$170)/12*(1+V_dVol),0))</f>
        <v>0</v>
      </c>
      <c r="CU199" s="34" t="n">
        <f aca="false">IF(CU$8=1,N(Reales!CU34),IF(CU$171=1,INDEX(Vol_V,23,CU$170)/12*(1+V_dVol),0))</f>
        <v>0</v>
      </c>
      <c r="CV199" s="34" t="n">
        <f aca="false">IF(CV$8=1,N(Reales!CV34),IF(CV$171=1,INDEX(Vol_V,23,CV$170)/12*(1+V_dVol),0))</f>
        <v>0</v>
      </c>
      <c r="CW199" s="34" t="n">
        <f aca="false">IF(CW$8=1,N(Reales!CW34),IF(CW$171=1,INDEX(Vol_V,23,CW$170)/12*(1+V_dVol),0))</f>
        <v>0</v>
      </c>
      <c r="CX199" s="34" t="n">
        <f aca="false">IF(CX$8=1,N(Reales!CX34),IF(CX$171=1,INDEX(Vol_V,23,CX$170)/12*(1+V_dVol),0))</f>
        <v>0</v>
      </c>
      <c r="CY199" s="34" t="n">
        <f aca="false">IF(CY$8=1,N(Reales!CY34),IF(CY$171=1,INDEX(Vol_V,23,CY$170)/12*(1+V_dVol),0))</f>
        <v>0</v>
      </c>
      <c r="CZ199" s="34" t="n">
        <f aca="false">IF(CZ$8=1,N(Reales!CZ34),IF(CZ$171=1,INDEX(Vol_V,23,CZ$170)/12*(1+V_dVol),0))</f>
        <v>0</v>
      </c>
      <c r="DA199" s="34" t="n">
        <f aca="false">IF(DA$8=1,N(Reales!DA34),IF(DA$171=1,INDEX(Vol_V,23,DA$170)/12*(1+V_dVol),0))</f>
        <v>0</v>
      </c>
      <c r="DB199" s="34" t="n">
        <f aca="false">IF(DB$8=1,N(Reales!DB34),IF(DB$171=1,INDEX(Vol_V,23,DB$170)/12*(1+V_dVol),0))</f>
        <v>0</v>
      </c>
      <c r="DC199" s="34" t="n">
        <f aca="false">IF(DC$8=1,N(Reales!DC34),IF(DC$171=1,INDEX(Vol_V,23,DC$170)/12*(1+V_dVol),0))</f>
        <v>0</v>
      </c>
      <c r="DD199" s="34" t="n">
        <f aca="false">IF(DD$8=1,N(Reales!DD34),IF(DD$171=1,INDEX(Vol_V,23,DD$170)/12*(1+V_dVol),0))</f>
        <v>0</v>
      </c>
      <c r="DE199" s="34" t="n">
        <f aca="false">IF(DE$8=1,N(Reales!DE34),IF(DE$171=1,INDEX(Vol_V,23,DE$170)/12*(1+V_dVol),0))</f>
        <v>0</v>
      </c>
      <c r="DF199" s="34" t="n">
        <f aca="false">IF(DF$8=1,N(Reales!DF34),IF(DF$171=1,INDEX(Vol_V,23,DF$170)/12*(1+V_dVol),0))</f>
        <v>0</v>
      </c>
      <c r="DG199" s="34" t="n">
        <f aca="false">IF(DG$8=1,N(Reales!DG34),IF(DG$171=1,INDEX(Vol_V,23,DG$170)/12*(1+V_dVol),0))</f>
        <v>0</v>
      </c>
      <c r="DH199" s="34" t="n">
        <f aca="false">IF(DH$8=1,N(Reales!DH34),IF(DH$171=1,INDEX(Vol_V,23,DH$170)/12*(1+V_dVol),0))</f>
        <v>0</v>
      </c>
      <c r="DI199" s="34" t="n">
        <f aca="false">IF(DI$8=1,N(Reales!DI34),IF(DI$171=1,INDEX(Vol_V,23,DI$170)/12*(1+V_dVol),0))</f>
        <v>0</v>
      </c>
      <c r="DJ199" s="34" t="n">
        <f aca="false">IF(DJ$8=1,N(Reales!DJ34),IF(DJ$171=1,INDEX(Vol_V,23,DJ$170)/12*(1+V_dVol),0))</f>
        <v>0</v>
      </c>
      <c r="DK199" s="34" t="n">
        <f aca="false">IF(DK$8=1,N(Reales!DK34),IF(DK$171=1,INDEX(Vol_V,23,DK$170)/12*(1+V_dVol),0))</f>
        <v>0</v>
      </c>
      <c r="DL199" s="34" t="n">
        <f aca="false">IF(DL$8=1,N(Reales!DL34),IF(DL$171=1,INDEX(Vol_V,23,DL$170)/12*(1+V_dVol),0))</f>
        <v>0</v>
      </c>
      <c r="DM199" s="34" t="n">
        <f aca="false">IF(DM$8=1,N(Reales!DM34),IF(DM$171=1,INDEX(Vol_V,23,DM$170)/12*(1+V_dVol),0))</f>
        <v>0</v>
      </c>
      <c r="DN199" s="34" t="n">
        <f aca="false">IF(DN$8=1,N(Reales!DN34),IF(DN$171=1,INDEX(Vol_V,23,DN$170)/12*(1+V_dVol),0))</f>
        <v>0</v>
      </c>
      <c r="DO199" s="34" t="n">
        <f aca="false">IF(DO$8=1,N(Reales!DO34),IF(DO$171=1,INDEX(Vol_V,23,DO$170)/12*(1+V_dVol),0))</f>
        <v>0</v>
      </c>
      <c r="DP199" s="34" t="n">
        <f aca="false">IF(DP$8=1,N(Reales!DP34),IF(DP$171=1,INDEX(Vol_V,23,DP$170)/12*(1+V_dVol),0))</f>
        <v>0</v>
      </c>
      <c r="DQ199" s="34" t="n">
        <f aca="false">IF(DQ$8=1,N(Reales!DQ34),IF(DQ$171=1,INDEX(Vol_V,23,DQ$170)/12*(1+V_dVol),0))</f>
        <v>0</v>
      </c>
      <c r="DR199" s="34" t="n">
        <f aca="false">IF(DR$8=1,N(Reales!DR34),IF(DR$171=1,INDEX(Vol_V,23,DR$170)/12*(1+V_dVol),0))</f>
        <v>0</v>
      </c>
      <c r="DS199" s="34" t="n">
        <f aca="false">IF(DS$8=1,N(Reales!DS34),IF(DS$171=1,INDEX(Vol_V,23,DS$170)/12*(1+V_dVol),0))</f>
        <v>0</v>
      </c>
      <c r="DT199" s="34" t="n">
        <f aca="false">IF(DT$8=1,N(Reales!DT34),IF(DT$171=1,INDEX(Vol_V,23,DT$170)/12*(1+V_dVol),0))</f>
        <v>0</v>
      </c>
      <c r="DU199" s="34" t="n">
        <f aca="false">IF(DU$8=1,N(Reales!DU34),IF(DU$171=1,INDEX(Vol_V,23,DU$170)/12*(1+V_dVol),0))</f>
        <v>0</v>
      </c>
      <c r="DV199" s="34" t="n">
        <f aca="false">IF(DV$8=1,N(Reales!DV34),IF(DV$171=1,INDEX(Vol_V,23,DV$170)/12*(1+V_dVol),0))</f>
        <v>0</v>
      </c>
      <c r="DW199" s="34" t="n">
        <f aca="false">IF(DW$8=1,N(Reales!DW34),IF(DW$171=1,INDEX(Vol_V,23,DW$170)/12*(1+V_dVol),0))</f>
        <v>0</v>
      </c>
      <c r="DX199" s="34" t="n">
        <f aca="false">IF(DX$8=1,N(Reales!DX34),IF(DX$171=1,INDEX(Vol_V,23,DX$170)/12*(1+V_dVol),0))</f>
        <v>0</v>
      </c>
      <c r="DY199" s="34" t="n">
        <f aca="false">IF(DY$8=1,N(Reales!DY34),IF(DY$171=1,INDEX(Vol_V,23,DY$170)/12*(1+V_dVol),0))</f>
        <v>0</v>
      </c>
      <c r="DZ199" s="34" t="n">
        <f aca="false">IF(DZ$8=1,N(Reales!DZ34),IF(DZ$171=1,INDEX(Vol_V,23,DZ$170)/12*(1+V_dVol),0))</f>
        <v>0</v>
      </c>
      <c r="EA199" s="34" t="n">
        <f aca="false">IF(EA$8=1,N(Reales!EA34),IF(EA$171=1,INDEX(Vol_V,23,EA$170)/12*(1+V_dVol),0))</f>
        <v>0</v>
      </c>
      <c r="EB199" s="34" t="n">
        <f aca="false">IF(EB$8=1,N(Reales!EB34),IF(EB$171=1,INDEX(Vol_V,23,EB$170)/12*(1+V_dVol),0))</f>
        <v>0</v>
      </c>
      <c r="EC199" s="34" t="n">
        <f aca="false">IF(EC$8=1,N(Reales!EC34),IF(EC$171=1,INDEX(Vol_V,23,EC$170)/12*(1+V_dVol),0))</f>
        <v>0</v>
      </c>
      <c r="ED199" s="34" t="n">
        <f aca="false">IF(ED$8=1,N(Reales!ED34),IF(ED$171=1,INDEX(Vol_V,23,ED$170)/12*(1+V_dVol),0))</f>
        <v>0</v>
      </c>
      <c r="EE199" s="34" t="n">
        <f aca="false">IF(EE$8=1,N(Reales!EE34),IF(EE$171=1,INDEX(Vol_V,23,EE$170)/12*(1+V_dVol),0))</f>
        <v>0</v>
      </c>
      <c r="EF199" s="34" t="n">
        <f aca="false">IF(EF$8=1,N(Reales!EF34),IF(EF$171=1,INDEX(Vol_V,23,EF$170)/12*(1+V_dVol),0))</f>
        <v>0</v>
      </c>
      <c r="EG199" s="34" t="n">
        <f aca="false">IF(EG$8=1,N(Reales!EG34),IF(EG$171=1,INDEX(Vol_V,23,EG$170)/12*(1+V_dVol),0))</f>
        <v>0</v>
      </c>
      <c r="EH199" s="34" t="n">
        <f aca="false">IF(EH$8=1,N(Reales!EH34),IF(EH$171=1,INDEX(Vol_V,23,EH$170)/12*(1+V_dVol),0))</f>
        <v>0</v>
      </c>
      <c r="EI199" s="34" t="n">
        <f aca="false">IF(EI$8=1,N(Reales!EI34),IF(EI$171=1,INDEX(Vol_V,23,EI$170)/12*(1+V_dVol),0))</f>
        <v>0</v>
      </c>
      <c r="EJ199" s="34" t="n">
        <f aca="false">IF(EJ$8=1,N(Reales!EJ34),IF(EJ$171=1,INDEX(Vol_V,23,EJ$170)/12*(1+V_dVol),0))</f>
        <v>0</v>
      </c>
      <c r="EK199" s="34" t="n">
        <f aca="false">IF(EK$8=1,N(Reales!EK34),IF(EK$171=1,INDEX(Vol_V,23,EK$170)/12*(1+V_dVol),0))</f>
        <v>0</v>
      </c>
      <c r="EL199" s="34" t="n">
        <f aca="false">IF(EL$8=1,N(Reales!EL34),IF(EL$171=1,INDEX(Vol_V,23,EL$170)/12*(1+V_dVol),0))</f>
        <v>0</v>
      </c>
      <c r="EM199" s="34" t="n">
        <f aca="false">IF(EM$8=1,N(Reales!EM34),IF(EM$171=1,INDEX(Vol_V,23,EM$170)/12*(1+V_dVol),0))</f>
        <v>0</v>
      </c>
      <c r="EN199" s="34" t="n">
        <f aca="false">IF(EN$8=1,N(Reales!EN34),IF(EN$171=1,INDEX(Vol_V,23,EN$170)/12*(1+V_dVol),0))</f>
        <v>0</v>
      </c>
      <c r="EO199" s="34" t="n">
        <f aca="false">IF(EO$8=1,N(Reales!EO34),IF(EO$171=1,INDEX(Vol_V,23,EO$170)/12*(1+V_dVol),0))</f>
        <v>0</v>
      </c>
      <c r="EP199" s="34" t="n">
        <f aca="false">IF(EP$8=1,N(Reales!EP34),IF(EP$171=1,INDEX(Vol_V,23,EP$170)/12*(1+V_dVol),0))</f>
        <v>0</v>
      </c>
      <c r="EQ199" s="34" t="n">
        <f aca="false">IF(EQ$8=1,N(Reales!EQ34),IF(EQ$171=1,INDEX(Vol_V,23,EQ$170)/12*(1+V_dVol),0))</f>
        <v>0</v>
      </c>
      <c r="ER199" s="34" t="n">
        <f aca="false">IF(ER$8=1,N(Reales!ER34),IF(ER$171=1,INDEX(Vol_V,23,ER$170)/12*(1+V_dVol),0))</f>
        <v>0</v>
      </c>
      <c r="ES199" s="34" t="n">
        <f aca="false">IF(ES$8=1,N(Reales!ES34),IF(ES$171=1,INDEX(Vol_V,23,ES$170)/12*(1+V_dVol),0))</f>
        <v>0</v>
      </c>
    </row>
    <row r="200" customFormat="false" ht="15" hidden="false" customHeight="false" outlineLevel="0" collapsed="false">
      <c r="A200" s="2" t="s">
        <v>842</v>
      </c>
      <c r="B200" s="39" t="str">
        <f aca="false">IF(INDEX(Prod_Nombre,24)="","Producto 24",INDEX(Prod_Nombre,24))&amp;" — unidades"</f>
        <v>Producto 24 — unidades</v>
      </c>
      <c r="C200" s="6" t="s">
        <v>286</v>
      </c>
      <c r="E200" s="40" t="n">
        <f aca="false">SUM(F200:ES200)</f>
        <v>0</v>
      </c>
      <c r="F200" s="34" t="n">
        <f aca="false">IF(F$8=1,N(Reales!F35),IF(F$171=1,INDEX(Vol_V,24,F$170)/12*(1+V_dVol),0))</f>
        <v>0</v>
      </c>
      <c r="G200" s="34" t="n">
        <f aca="false">IF(G$8=1,N(Reales!G35),IF(G$171=1,INDEX(Vol_V,24,G$170)/12*(1+V_dVol),0))</f>
        <v>0</v>
      </c>
      <c r="H200" s="34" t="n">
        <f aca="false">IF(H$8=1,N(Reales!H35),IF(H$171=1,INDEX(Vol_V,24,H$170)/12*(1+V_dVol),0))</f>
        <v>0</v>
      </c>
      <c r="I200" s="34" t="n">
        <f aca="false">IF(I$8=1,N(Reales!I35),IF(I$171=1,INDEX(Vol_V,24,I$170)/12*(1+V_dVol),0))</f>
        <v>0</v>
      </c>
      <c r="J200" s="34" t="n">
        <f aca="false">IF(J$8=1,N(Reales!J35),IF(J$171=1,INDEX(Vol_V,24,J$170)/12*(1+V_dVol),0))</f>
        <v>0</v>
      </c>
      <c r="K200" s="34" t="n">
        <f aca="false">IF(K$8=1,N(Reales!K35),IF(K$171=1,INDEX(Vol_V,24,K$170)/12*(1+V_dVol),0))</f>
        <v>0</v>
      </c>
      <c r="L200" s="34" t="n">
        <f aca="false">IF(L$8=1,N(Reales!L35),IF(L$171=1,INDEX(Vol_V,24,L$170)/12*(1+V_dVol),0))</f>
        <v>0</v>
      </c>
      <c r="M200" s="34" t="n">
        <f aca="false">IF(M$8=1,N(Reales!M35),IF(M$171=1,INDEX(Vol_V,24,M$170)/12*(1+V_dVol),0))</f>
        <v>0</v>
      </c>
      <c r="N200" s="34" t="n">
        <f aca="false">IF(N$8=1,N(Reales!N35),IF(N$171=1,INDEX(Vol_V,24,N$170)/12*(1+V_dVol),0))</f>
        <v>0</v>
      </c>
      <c r="O200" s="34" t="n">
        <f aca="false">IF(O$8=1,N(Reales!O35),IF(O$171=1,INDEX(Vol_V,24,O$170)/12*(1+V_dVol),0))</f>
        <v>0</v>
      </c>
      <c r="P200" s="34" t="n">
        <f aca="false">IF(P$8=1,N(Reales!P35),IF(P$171=1,INDEX(Vol_V,24,P$170)/12*(1+V_dVol),0))</f>
        <v>0</v>
      </c>
      <c r="Q200" s="34" t="n">
        <f aca="false">IF(Q$8=1,N(Reales!Q35),IF(Q$171=1,INDEX(Vol_V,24,Q$170)/12*(1+V_dVol),0))</f>
        <v>0</v>
      </c>
      <c r="R200" s="34" t="n">
        <f aca="false">IF(R$8=1,N(Reales!R35),IF(R$171=1,INDEX(Vol_V,24,R$170)/12*(1+V_dVol),0))</f>
        <v>0</v>
      </c>
      <c r="S200" s="34" t="n">
        <f aca="false">IF(S$8=1,N(Reales!S35),IF(S$171=1,INDEX(Vol_V,24,S$170)/12*(1+V_dVol),0))</f>
        <v>0</v>
      </c>
      <c r="T200" s="34" t="n">
        <f aca="false">IF(T$8=1,N(Reales!T35),IF(T$171=1,INDEX(Vol_V,24,T$170)/12*(1+V_dVol),0))</f>
        <v>0</v>
      </c>
      <c r="U200" s="34" t="n">
        <f aca="false">IF(U$8=1,N(Reales!U35),IF(U$171=1,INDEX(Vol_V,24,U$170)/12*(1+V_dVol),0))</f>
        <v>0</v>
      </c>
      <c r="V200" s="34" t="n">
        <f aca="false">IF(V$8=1,N(Reales!V35),IF(V$171=1,INDEX(Vol_V,24,V$170)/12*(1+V_dVol),0))</f>
        <v>0</v>
      </c>
      <c r="W200" s="34" t="n">
        <f aca="false">IF(W$8=1,N(Reales!W35),IF(W$171=1,INDEX(Vol_V,24,W$170)/12*(1+V_dVol),0))</f>
        <v>0</v>
      </c>
      <c r="X200" s="34" t="n">
        <f aca="false">IF(X$8=1,N(Reales!X35),IF(X$171=1,INDEX(Vol_V,24,X$170)/12*(1+V_dVol),0))</f>
        <v>0</v>
      </c>
      <c r="Y200" s="34" t="n">
        <f aca="false">IF(Y$8=1,N(Reales!Y35),IF(Y$171=1,INDEX(Vol_V,24,Y$170)/12*(1+V_dVol),0))</f>
        <v>0</v>
      </c>
      <c r="Z200" s="34" t="n">
        <f aca="false">IF(Z$8=1,N(Reales!Z35),IF(Z$171=1,INDEX(Vol_V,24,Z$170)/12*(1+V_dVol),0))</f>
        <v>0</v>
      </c>
      <c r="AA200" s="34" t="n">
        <f aca="false">IF(AA$8=1,N(Reales!AA35),IF(AA$171=1,INDEX(Vol_V,24,AA$170)/12*(1+V_dVol),0))</f>
        <v>0</v>
      </c>
      <c r="AB200" s="34" t="n">
        <f aca="false">IF(AB$8=1,N(Reales!AB35),IF(AB$171=1,INDEX(Vol_V,24,AB$170)/12*(1+V_dVol),0))</f>
        <v>0</v>
      </c>
      <c r="AC200" s="34" t="n">
        <f aca="false">IF(AC$8=1,N(Reales!AC35),IF(AC$171=1,INDEX(Vol_V,24,AC$170)/12*(1+V_dVol),0))</f>
        <v>0</v>
      </c>
      <c r="AD200" s="34" t="n">
        <f aca="false">IF(AD$8=1,N(Reales!AD35),IF(AD$171=1,INDEX(Vol_V,24,AD$170)/12*(1+V_dVol),0))</f>
        <v>0</v>
      </c>
      <c r="AE200" s="34" t="n">
        <f aca="false">IF(AE$8=1,N(Reales!AE35),IF(AE$171=1,INDEX(Vol_V,24,AE$170)/12*(1+V_dVol),0))</f>
        <v>0</v>
      </c>
      <c r="AF200" s="34" t="n">
        <f aca="false">IF(AF$8=1,N(Reales!AF35),IF(AF$171=1,INDEX(Vol_V,24,AF$170)/12*(1+V_dVol),0))</f>
        <v>0</v>
      </c>
      <c r="AG200" s="34" t="n">
        <f aca="false">IF(AG$8=1,N(Reales!AG35),IF(AG$171=1,INDEX(Vol_V,24,AG$170)/12*(1+V_dVol),0))</f>
        <v>0</v>
      </c>
      <c r="AH200" s="34" t="n">
        <f aca="false">IF(AH$8=1,N(Reales!AH35),IF(AH$171=1,INDEX(Vol_V,24,AH$170)/12*(1+V_dVol),0))</f>
        <v>0</v>
      </c>
      <c r="AI200" s="34" t="n">
        <f aca="false">IF(AI$8=1,N(Reales!AI35),IF(AI$171=1,INDEX(Vol_V,24,AI$170)/12*(1+V_dVol),0))</f>
        <v>0</v>
      </c>
      <c r="AJ200" s="34" t="n">
        <f aca="false">IF(AJ$8=1,N(Reales!AJ35),IF(AJ$171=1,INDEX(Vol_V,24,AJ$170)/12*(1+V_dVol),0))</f>
        <v>0</v>
      </c>
      <c r="AK200" s="34" t="n">
        <f aca="false">IF(AK$8=1,N(Reales!AK35),IF(AK$171=1,INDEX(Vol_V,24,AK$170)/12*(1+V_dVol),0))</f>
        <v>0</v>
      </c>
      <c r="AL200" s="34" t="n">
        <f aca="false">IF(AL$8=1,N(Reales!AL35),IF(AL$171=1,INDEX(Vol_V,24,AL$170)/12*(1+V_dVol),0))</f>
        <v>0</v>
      </c>
      <c r="AM200" s="34" t="n">
        <f aca="false">IF(AM$8=1,N(Reales!AM35),IF(AM$171=1,INDEX(Vol_V,24,AM$170)/12*(1+V_dVol),0))</f>
        <v>0</v>
      </c>
      <c r="AN200" s="34" t="n">
        <f aca="false">IF(AN$8=1,N(Reales!AN35),IF(AN$171=1,INDEX(Vol_V,24,AN$170)/12*(1+V_dVol),0))</f>
        <v>0</v>
      </c>
      <c r="AO200" s="34" t="n">
        <f aca="false">IF(AO$8=1,N(Reales!AO35),IF(AO$171=1,INDEX(Vol_V,24,AO$170)/12*(1+V_dVol),0))</f>
        <v>0</v>
      </c>
      <c r="AP200" s="34" t="n">
        <f aca="false">IF(AP$8=1,N(Reales!AP35),IF(AP$171=1,INDEX(Vol_V,24,AP$170)/12*(1+V_dVol),0))</f>
        <v>0</v>
      </c>
      <c r="AQ200" s="34" t="n">
        <f aca="false">IF(AQ$8=1,N(Reales!AQ35),IF(AQ$171=1,INDEX(Vol_V,24,AQ$170)/12*(1+V_dVol),0))</f>
        <v>0</v>
      </c>
      <c r="AR200" s="34" t="n">
        <f aca="false">IF(AR$8=1,N(Reales!AR35),IF(AR$171=1,INDEX(Vol_V,24,AR$170)/12*(1+V_dVol),0))</f>
        <v>0</v>
      </c>
      <c r="AS200" s="34" t="n">
        <f aca="false">IF(AS$8=1,N(Reales!AS35),IF(AS$171=1,INDEX(Vol_V,24,AS$170)/12*(1+V_dVol),0))</f>
        <v>0</v>
      </c>
      <c r="AT200" s="34" t="n">
        <f aca="false">IF(AT$8=1,N(Reales!AT35),IF(AT$171=1,INDEX(Vol_V,24,AT$170)/12*(1+V_dVol),0))</f>
        <v>0</v>
      </c>
      <c r="AU200" s="34" t="n">
        <f aca="false">IF(AU$8=1,N(Reales!AU35),IF(AU$171=1,INDEX(Vol_V,24,AU$170)/12*(1+V_dVol),0))</f>
        <v>0</v>
      </c>
      <c r="AV200" s="34" t="n">
        <f aca="false">IF(AV$8=1,N(Reales!AV35),IF(AV$171=1,INDEX(Vol_V,24,AV$170)/12*(1+V_dVol),0))</f>
        <v>0</v>
      </c>
      <c r="AW200" s="34" t="n">
        <f aca="false">IF(AW$8=1,N(Reales!AW35),IF(AW$171=1,INDEX(Vol_V,24,AW$170)/12*(1+V_dVol),0))</f>
        <v>0</v>
      </c>
      <c r="AX200" s="34" t="n">
        <f aca="false">IF(AX$8=1,N(Reales!AX35),IF(AX$171=1,INDEX(Vol_V,24,AX$170)/12*(1+V_dVol),0))</f>
        <v>0</v>
      </c>
      <c r="AY200" s="34" t="n">
        <f aca="false">IF(AY$8=1,N(Reales!AY35),IF(AY$171=1,INDEX(Vol_V,24,AY$170)/12*(1+V_dVol),0))</f>
        <v>0</v>
      </c>
      <c r="AZ200" s="34" t="n">
        <f aca="false">IF(AZ$8=1,N(Reales!AZ35),IF(AZ$171=1,INDEX(Vol_V,24,AZ$170)/12*(1+V_dVol),0))</f>
        <v>0</v>
      </c>
      <c r="BA200" s="34" t="n">
        <f aca="false">IF(BA$8=1,N(Reales!BA35),IF(BA$171=1,INDEX(Vol_V,24,BA$170)/12*(1+V_dVol),0))</f>
        <v>0</v>
      </c>
      <c r="BB200" s="34" t="n">
        <f aca="false">IF(BB$8=1,N(Reales!BB35),IF(BB$171=1,INDEX(Vol_V,24,BB$170)/12*(1+V_dVol),0))</f>
        <v>0</v>
      </c>
      <c r="BC200" s="34" t="n">
        <f aca="false">IF(BC$8=1,N(Reales!BC35),IF(BC$171=1,INDEX(Vol_V,24,BC$170)/12*(1+V_dVol),0))</f>
        <v>0</v>
      </c>
      <c r="BD200" s="34" t="n">
        <f aca="false">IF(BD$8=1,N(Reales!BD35),IF(BD$171=1,INDEX(Vol_V,24,BD$170)/12*(1+V_dVol),0))</f>
        <v>0</v>
      </c>
      <c r="BE200" s="34" t="n">
        <f aca="false">IF(BE$8=1,N(Reales!BE35),IF(BE$171=1,INDEX(Vol_V,24,BE$170)/12*(1+V_dVol),0))</f>
        <v>0</v>
      </c>
      <c r="BF200" s="34" t="n">
        <f aca="false">IF(BF$8=1,N(Reales!BF35),IF(BF$171=1,INDEX(Vol_V,24,BF$170)/12*(1+V_dVol),0))</f>
        <v>0</v>
      </c>
      <c r="BG200" s="34" t="n">
        <f aca="false">IF(BG$8=1,N(Reales!BG35),IF(BG$171=1,INDEX(Vol_V,24,BG$170)/12*(1+V_dVol),0))</f>
        <v>0</v>
      </c>
      <c r="BH200" s="34" t="n">
        <f aca="false">IF(BH$8=1,N(Reales!BH35),IF(BH$171=1,INDEX(Vol_V,24,BH$170)/12*(1+V_dVol),0))</f>
        <v>0</v>
      </c>
      <c r="BI200" s="34" t="n">
        <f aca="false">IF(BI$8=1,N(Reales!BI35),IF(BI$171=1,INDEX(Vol_V,24,BI$170)/12*(1+V_dVol),0))</f>
        <v>0</v>
      </c>
      <c r="BJ200" s="34" t="n">
        <f aca="false">IF(BJ$8=1,N(Reales!BJ35),IF(BJ$171=1,INDEX(Vol_V,24,BJ$170)/12*(1+V_dVol),0))</f>
        <v>0</v>
      </c>
      <c r="BK200" s="34" t="n">
        <f aca="false">IF(BK$8=1,N(Reales!BK35),IF(BK$171=1,INDEX(Vol_V,24,BK$170)/12*(1+V_dVol),0))</f>
        <v>0</v>
      </c>
      <c r="BL200" s="34" t="n">
        <f aca="false">IF(BL$8=1,N(Reales!BL35),IF(BL$171=1,INDEX(Vol_V,24,BL$170)/12*(1+V_dVol),0))</f>
        <v>0</v>
      </c>
      <c r="BM200" s="34" t="n">
        <f aca="false">IF(BM$8=1,N(Reales!BM35),IF(BM$171=1,INDEX(Vol_V,24,BM$170)/12*(1+V_dVol),0))</f>
        <v>0</v>
      </c>
      <c r="BN200" s="34" t="n">
        <f aca="false">IF(BN$8=1,N(Reales!BN35),IF(BN$171=1,INDEX(Vol_V,24,BN$170)/12*(1+V_dVol),0))</f>
        <v>0</v>
      </c>
      <c r="BO200" s="34" t="n">
        <f aca="false">IF(BO$8=1,N(Reales!BO35),IF(BO$171=1,INDEX(Vol_V,24,BO$170)/12*(1+V_dVol),0))</f>
        <v>0</v>
      </c>
      <c r="BP200" s="34" t="n">
        <f aca="false">IF(BP$8=1,N(Reales!BP35),IF(BP$171=1,INDEX(Vol_V,24,BP$170)/12*(1+V_dVol),0))</f>
        <v>0</v>
      </c>
      <c r="BQ200" s="34" t="n">
        <f aca="false">IF(BQ$8=1,N(Reales!BQ35),IF(BQ$171=1,INDEX(Vol_V,24,BQ$170)/12*(1+V_dVol),0))</f>
        <v>0</v>
      </c>
      <c r="BR200" s="34" t="n">
        <f aca="false">IF(BR$8=1,N(Reales!BR35),IF(BR$171=1,INDEX(Vol_V,24,BR$170)/12*(1+V_dVol),0))</f>
        <v>0</v>
      </c>
      <c r="BS200" s="34" t="n">
        <f aca="false">IF(BS$8=1,N(Reales!BS35),IF(BS$171=1,INDEX(Vol_V,24,BS$170)/12*(1+V_dVol),0))</f>
        <v>0</v>
      </c>
      <c r="BT200" s="34" t="n">
        <f aca="false">IF(BT$8=1,N(Reales!BT35),IF(BT$171=1,INDEX(Vol_V,24,BT$170)/12*(1+V_dVol),0))</f>
        <v>0</v>
      </c>
      <c r="BU200" s="34" t="n">
        <f aca="false">IF(BU$8=1,N(Reales!BU35),IF(BU$171=1,INDEX(Vol_V,24,BU$170)/12*(1+V_dVol),0))</f>
        <v>0</v>
      </c>
      <c r="BV200" s="34" t="n">
        <f aca="false">IF(BV$8=1,N(Reales!BV35),IF(BV$171=1,INDEX(Vol_V,24,BV$170)/12*(1+V_dVol),0))</f>
        <v>0</v>
      </c>
      <c r="BW200" s="34" t="n">
        <f aca="false">IF(BW$8=1,N(Reales!BW35),IF(BW$171=1,INDEX(Vol_V,24,BW$170)/12*(1+V_dVol),0))</f>
        <v>0</v>
      </c>
      <c r="BX200" s="34" t="n">
        <f aca="false">IF(BX$8=1,N(Reales!BX35),IF(BX$171=1,INDEX(Vol_V,24,BX$170)/12*(1+V_dVol),0))</f>
        <v>0</v>
      </c>
      <c r="BY200" s="34" t="n">
        <f aca="false">IF(BY$8=1,N(Reales!BY35),IF(BY$171=1,INDEX(Vol_V,24,BY$170)/12*(1+V_dVol),0))</f>
        <v>0</v>
      </c>
      <c r="BZ200" s="34" t="n">
        <f aca="false">IF(BZ$8=1,N(Reales!BZ35),IF(BZ$171=1,INDEX(Vol_V,24,BZ$170)/12*(1+V_dVol),0))</f>
        <v>0</v>
      </c>
      <c r="CA200" s="34" t="n">
        <f aca="false">IF(CA$8=1,N(Reales!CA35),IF(CA$171=1,INDEX(Vol_V,24,CA$170)/12*(1+V_dVol),0))</f>
        <v>0</v>
      </c>
      <c r="CB200" s="34" t="n">
        <f aca="false">IF(CB$8=1,N(Reales!CB35),IF(CB$171=1,INDEX(Vol_V,24,CB$170)/12*(1+V_dVol),0))</f>
        <v>0</v>
      </c>
      <c r="CC200" s="34" t="n">
        <f aca="false">IF(CC$8=1,N(Reales!CC35),IF(CC$171=1,INDEX(Vol_V,24,CC$170)/12*(1+V_dVol),0))</f>
        <v>0</v>
      </c>
      <c r="CD200" s="34" t="n">
        <f aca="false">IF(CD$8=1,N(Reales!CD35),IF(CD$171=1,INDEX(Vol_V,24,CD$170)/12*(1+V_dVol),0))</f>
        <v>0</v>
      </c>
      <c r="CE200" s="34" t="n">
        <f aca="false">IF(CE$8=1,N(Reales!CE35),IF(CE$171=1,INDEX(Vol_V,24,CE$170)/12*(1+V_dVol),0))</f>
        <v>0</v>
      </c>
      <c r="CF200" s="34" t="n">
        <f aca="false">IF(CF$8=1,N(Reales!CF35),IF(CF$171=1,INDEX(Vol_V,24,CF$170)/12*(1+V_dVol),0))</f>
        <v>0</v>
      </c>
      <c r="CG200" s="34" t="n">
        <f aca="false">IF(CG$8=1,N(Reales!CG35),IF(CG$171=1,INDEX(Vol_V,24,CG$170)/12*(1+V_dVol),0))</f>
        <v>0</v>
      </c>
      <c r="CH200" s="34" t="n">
        <f aca="false">IF(CH$8=1,N(Reales!CH35),IF(CH$171=1,INDEX(Vol_V,24,CH$170)/12*(1+V_dVol),0))</f>
        <v>0</v>
      </c>
      <c r="CI200" s="34" t="n">
        <f aca="false">IF(CI$8=1,N(Reales!CI35),IF(CI$171=1,INDEX(Vol_V,24,CI$170)/12*(1+V_dVol),0))</f>
        <v>0</v>
      </c>
      <c r="CJ200" s="34" t="n">
        <f aca="false">IF(CJ$8=1,N(Reales!CJ35),IF(CJ$171=1,INDEX(Vol_V,24,CJ$170)/12*(1+V_dVol),0))</f>
        <v>0</v>
      </c>
      <c r="CK200" s="34" t="n">
        <f aca="false">IF(CK$8=1,N(Reales!CK35),IF(CK$171=1,INDEX(Vol_V,24,CK$170)/12*(1+V_dVol),0))</f>
        <v>0</v>
      </c>
      <c r="CL200" s="34" t="n">
        <f aca="false">IF(CL$8=1,N(Reales!CL35),IF(CL$171=1,INDEX(Vol_V,24,CL$170)/12*(1+V_dVol),0))</f>
        <v>0</v>
      </c>
      <c r="CM200" s="34" t="n">
        <f aca="false">IF(CM$8=1,N(Reales!CM35),IF(CM$171=1,INDEX(Vol_V,24,CM$170)/12*(1+V_dVol),0))</f>
        <v>0</v>
      </c>
      <c r="CN200" s="34" t="n">
        <f aca="false">IF(CN$8=1,N(Reales!CN35),IF(CN$171=1,INDEX(Vol_V,24,CN$170)/12*(1+V_dVol),0))</f>
        <v>0</v>
      </c>
      <c r="CO200" s="34" t="n">
        <f aca="false">IF(CO$8=1,N(Reales!CO35),IF(CO$171=1,INDEX(Vol_V,24,CO$170)/12*(1+V_dVol),0))</f>
        <v>0</v>
      </c>
      <c r="CP200" s="34" t="n">
        <f aca="false">IF(CP$8=1,N(Reales!CP35),IF(CP$171=1,INDEX(Vol_V,24,CP$170)/12*(1+V_dVol),0))</f>
        <v>0</v>
      </c>
      <c r="CQ200" s="34" t="n">
        <f aca="false">IF(CQ$8=1,N(Reales!CQ35),IF(CQ$171=1,INDEX(Vol_V,24,CQ$170)/12*(1+V_dVol),0))</f>
        <v>0</v>
      </c>
      <c r="CR200" s="34" t="n">
        <f aca="false">IF(CR$8=1,N(Reales!CR35),IF(CR$171=1,INDEX(Vol_V,24,CR$170)/12*(1+V_dVol),0))</f>
        <v>0</v>
      </c>
      <c r="CS200" s="34" t="n">
        <f aca="false">IF(CS$8=1,N(Reales!CS35),IF(CS$171=1,INDEX(Vol_V,24,CS$170)/12*(1+V_dVol),0))</f>
        <v>0</v>
      </c>
      <c r="CT200" s="34" t="n">
        <f aca="false">IF(CT$8=1,N(Reales!CT35),IF(CT$171=1,INDEX(Vol_V,24,CT$170)/12*(1+V_dVol),0))</f>
        <v>0</v>
      </c>
      <c r="CU200" s="34" t="n">
        <f aca="false">IF(CU$8=1,N(Reales!CU35),IF(CU$171=1,INDEX(Vol_V,24,CU$170)/12*(1+V_dVol),0))</f>
        <v>0</v>
      </c>
      <c r="CV200" s="34" t="n">
        <f aca="false">IF(CV$8=1,N(Reales!CV35),IF(CV$171=1,INDEX(Vol_V,24,CV$170)/12*(1+V_dVol),0))</f>
        <v>0</v>
      </c>
      <c r="CW200" s="34" t="n">
        <f aca="false">IF(CW$8=1,N(Reales!CW35),IF(CW$171=1,INDEX(Vol_V,24,CW$170)/12*(1+V_dVol),0))</f>
        <v>0</v>
      </c>
      <c r="CX200" s="34" t="n">
        <f aca="false">IF(CX$8=1,N(Reales!CX35),IF(CX$171=1,INDEX(Vol_V,24,CX$170)/12*(1+V_dVol),0))</f>
        <v>0</v>
      </c>
      <c r="CY200" s="34" t="n">
        <f aca="false">IF(CY$8=1,N(Reales!CY35),IF(CY$171=1,INDEX(Vol_V,24,CY$170)/12*(1+V_dVol),0))</f>
        <v>0</v>
      </c>
      <c r="CZ200" s="34" t="n">
        <f aca="false">IF(CZ$8=1,N(Reales!CZ35),IF(CZ$171=1,INDEX(Vol_V,24,CZ$170)/12*(1+V_dVol),0))</f>
        <v>0</v>
      </c>
      <c r="DA200" s="34" t="n">
        <f aca="false">IF(DA$8=1,N(Reales!DA35),IF(DA$171=1,INDEX(Vol_V,24,DA$170)/12*(1+V_dVol),0))</f>
        <v>0</v>
      </c>
      <c r="DB200" s="34" t="n">
        <f aca="false">IF(DB$8=1,N(Reales!DB35),IF(DB$171=1,INDEX(Vol_V,24,DB$170)/12*(1+V_dVol),0))</f>
        <v>0</v>
      </c>
      <c r="DC200" s="34" t="n">
        <f aca="false">IF(DC$8=1,N(Reales!DC35),IF(DC$171=1,INDEX(Vol_V,24,DC$170)/12*(1+V_dVol),0))</f>
        <v>0</v>
      </c>
      <c r="DD200" s="34" t="n">
        <f aca="false">IF(DD$8=1,N(Reales!DD35),IF(DD$171=1,INDEX(Vol_V,24,DD$170)/12*(1+V_dVol),0))</f>
        <v>0</v>
      </c>
      <c r="DE200" s="34" t="n">
        <f aca="false">IF(DE$8=1,N(Reales!DE35),IF(DE$171=1,INDEX(Vol_V,24,DE$170)/12*(1+V_dVol),0))</f>
        <v>0</v>
      </c>
      <c r="DF200" s="34" t="n">
        <f aca="false">IF(DF$8=1,N(Reales!DF35),IF(DF$171=1,INDEX(Vol_V,24,DF$170)/12*(1+V_dVol),0))</f>
        <v>0</v>
      </c>
      <c r="DG200" s="34" t="n">
        <f aca="false">IF(DG$8=1,N(Reales!DG35),IF(DG$171=1,INDEX(Vol_V,24,DG$170)/12*(1+V_dVol),0))</f>
        <v>0</v>
      </c>
      <c r="DH200" s="34" t="n">
        <f aca="false">IF(DH$8=1,N(Reales!DH35),IF(DH$171=1,INDEX(Vol_V,24,DH$170)/12*(1+V_dVol),0))</f>
        <v>0</v>
      </c>
      <c r="DI200" s="34" t="n">
        <f aca="false">IF(DI$8=1,N(Reales!DI35),IF(DI$171=1,INDEX(Vol_V,24,DI$170)/12*(1+V_dVol),0))</f>
        <v>0</v>
      </c>
      <c r="DJ200" s="34" t="n">
        <f aca="false">IF(DJ$8=1,N(Reales!DJ35),IF(DJ$171=1,INDEX(Vol_V,24,DJ$170)/12*(1+V_dVol),0))</f>
        <v>0</v>
      </c>
      <c r="DK200" s="34" t="n">
        <f aca="false">IF(DK$8=1,N(Reales!DK35),IF(DK$171=1,INDEX(Vol_V,24,DK$170)/12*(1+V_dVol),0))</f>
        <v>0</v>
      </c>
      <c r="DL200" s="34" t="n">
        <f aca="false">IF(DL$8=1,N(Reales!DL35),IF(DL$171=1,INDEX(Vol_V,24,DL$170)/12*(1+V_dVol),0))</f>
        <v>0</v>
      </c>
      <c r="DM200" s="34" t="n">
        <f aca="false">IF(DM$8=1,N(Reales!DM35),IF(DM$171=1,INDEX(Vol_V,24,DM$170)/12*(1+V_dVol),0))</f>
        <v>0</v>
      </c>
      <c r="DN200" s="34" t="n">
        <f aca="false">IF(DN$8=1,N(Reales!DN35),IF(DN$171=1,INDEX(Vol_V,24,DN$170)/12*(1+V_dVol),0))</f>
        <v>0</v>
      </c>
      <c r="DO200" s="34" t="n">
        <f aca="false">IF(DO$8=1,N(Reales!DO35),IF(DO$171=1,INDEX(Vol_V,24,DO$170)/12*(1+V_dVol),0))</f>
        <v>0</v>
      </c>
      <c r="DP200" s="34" t="n">
        <f aca="false">IF(DP$8=1,N(Reales!DP35),IF(DP$171=1,INDEX(Vol_V,24,DP$170)/12*(1+V_dVol),0))</f>
        <v>0</v>
      </c>
      <c r="DQ200" s="34" t="n">
        <f aca="false">IF(DQ$8=1,N(Reales!DQ35),IF(DQ$171=1,INDEX(Vol_V,24,DQ$170)/12*(1+V_dVol),0))</f>
        <v>0</v>
      </c>
      <c r="DR200" s="34" t="n">
        <f aca="false">IF(DR$8=1,N(Reales!DR35),IF(DR$171=1,INDEX(Vol_V,24,DR$170)/12*(1+V_dVol),0))</f>
        <v>0</v>
      </c>
      <c r="DS200" s="34" t="n">
        <f aca="false">IF(DS$8=1,N(Reales!DS35),IF(DS$171=1,INDEX(Vol_V,24,DS$170)/12*(1+V_dVol),0))</f>
        <v>0</v>
      </c>
      <c r="DT200" s="34" t="n">
        <f aca="false">IF(DT$8=1,N(Reales!DT35),IF(DT$171=1,INDEX(Vol_V,24,DT$170)/12*(1+V_dVol),0))</f>
        <v>0</v>
      </c>
      <c r="DU200" s="34" t="n">
        <f aca="false">IF(DU$8=1,N(Reales!DU35),IF(DU$171=1,INDEX(Vol_V,24,DU$170)/12*(1+V_dVol),0))</f>
        <v>0</v>
      </c>
      <c r="DV200" s="34" t="n">
        <f aca="false">IF(DV$8=1,N(Reales!DV35),IF(DV$171=1,INDEX(Vol_V,24,DV$170)/12*(1+V_dVol),0))</f>
        <v>0</v>
      </c>
      <c r="DW200" s="34" t="n">
        <f aca="false">IF(DW$8=1,N(Reales!DW35),IF(DW$171=1,INDEX(Vol_V,24,DW$170)/12*(1+V_dVol),0))</f>
        <v>0</v>
      </c>
      <c r="DX200" s="34" t="n">
        <f aca="false">IF(DX$8=1,N(Reales!DX35),IF(DX$171=1,INDEX(Vol_V,24,DX$170)/12*(1+V_dVol),0))</f>
        <v>0</v>
      </c>
      <c r="DY200" s="34" t="n">
        <f aca="false">IF(DY$8=1,N(Reales!DY35),IF(DY$171=1,INDEX(Vol_V,24,DY$170)/12*(1+V_dVol),0))</f>
        <v>0</v>
      </c>
      <c r="DZ200" s="34" t="n">
        <f aca="false">IF(DZ$8=1,N(Reales!DZ35),IF(DZ$171=1,INDEX(Vol_V,24,DZ$170)/12*(1+V_dVol),0))</f>
        <v>0</v>
      </c>
      <c r="EA200" s="34" t="n">
        <f aca="false">IF(EA$8=1,N(Reales!EA35),IF(EA$171=1,INDEX(Vol_V,24,EA$170)/12*(1+V_dVol),0))</f>
        <v>0</v>
      </c>
      <c r="EB200" s="34" t="n">
        <f aca="false">IF(EB$8=1,N(Reales!EB35),IF(EB$171=1,INDEX(Vol_V,24,EB$170)/12*(1+V_dVol),0))</f>
        <v>0</v>
      </c>
      <c r="EC200" s="34" t="n">
        <f aca="false">IF(EC$8=1,N(Reales!EC35),IF(EC$171=1,INDEX(Vol_V,24,EC$170)/12*(1+V_dVol),0))</f>
        <v>0</v>
      </c>
      <c r="ED200" s="34" t="n">
        <f aca="false">IF(ED$8=1,N(Reales!ED35),IF(ED$171=1,INDEX(Vol_V,24,ED$170)/12*(1+V_dVol),0))</f>
        <v>0</v>
      </c>
      <c r="EE200" s="34" t="n">
        <f aca="false">IF(EE$8=1,N(Reales!EE35),IF(EE$171=1,INDEX(Vol_V,24,EE$170)/12*(1+V_dVol),0))</f>
        <v>0</v>
      </c>
      <c r="EF200" s="34" t="n">
        <f aca="false">IF(EF$8=1,N(Reales!EF35),IF(EF$171=1,INDEX(Vol_V,24,EF$170)/12*(1+V_dVol),0))</f>
        <v>0</v>
      </c>
      <c r="EG200" s="34" t="n">
        <f aca="false">IF(EG$8=1,N(Reales!EG35),IF(EG$171=1,INDEX(Vol_V,24,EG$170)/12*(1+V_dVol),0))</f>
        <v>0</v>
      </c>
      <c r="EH200" s="34" t="n">
        <f aca="false">IF(EH$8=1,N(Reales!EH35),IF(EH$171=1,INDEX(Vol_V,24,EH$170)/12*(1+V_dVol),0))</f>
        <v>0</v>
      </c>
      <c r="EI200" s="34" t="n">
        <f aca="false">IF(EI$8=1,N(Reales!EI35),IF(EI$171=1,INDEX(Vol_V,24,EI$170)/12*(1+V_dVol),0))</f>
        <v>0</v>
      </c>
      <c r="EJ200" s="34" t="n">
        <f aca="false">IF(EJ$8=1,N(Reales!EJ35),IF(EJ$171=1,INDEX(Vol_V,24,EJ$170)/12*(1+V_dVol),0))</f>
        <v>0</v>
      </c>
      <c r="EK200" s="34" t="n">
        <f aca="false">IF(EK$8=1,N(Reales!EK35),IF(EK$171=1,INDEX(Vol_V,24,EK$170)/12*(1+V_dVol),0))</f>
        <v>0</v>
      </c>
      <c r="EL200" s="34" t="n">
        <f aca="false">IF(EL$8=1,N(Reales!EL35),IF(EL$171=1,INDEX(Vol_V,24,EL$170)/12*(1+V_dVol),0))</f>
        <v>0</v>
      </c>
      <c r="EM200" s="34" t="n">
        <f aca="false">IF(EM$8=1,N(Reales!EM35),IF(EM$171=1,INDEX(Vol_V,24,EM$170)/12*(1+V_dVol),0))</f>
        <v>0</v>
      </c>
      <c r="EN200" s="34" t="n">
        <f aca="false">IF(EN$8=1,N(Reales!EN35),IF(EN$171=1,INDEX(Vol_V,24,EN$170)/12*(1+V_dVol),0))</f>
        <v>0</v>
      </c>
      <c r="EO200" s="34" t="n">
        <f aca="false">IF(EO$8=1,N(Reales!EO35),IF(EO$171=1,INDEX(Vol_V,24,EO$170)/12*(1+V_dVol),0))</f>
        <v>0</v>
      </c>
      <c r="EP200" s="34" t="n">
        <f aca="false">IF(EP$8=1,N(Reales!EP35),IF(EP$171=1,INDEX(Vol_V,24,EP$170)/12*(1+V_dVol),0))</f>
        <v>0</v>
      </c>
      <c r="EQ200" s="34" t="n">
        <f aca="false">IF(EQ$8=1,N(Reales!EQ35),IF(EQ$171=1,INDEX(Vol_V,24,EQ$170)/12*(1+V_dVol),0))</f>
        <v>0</v>
      </c>
      <c r="ER200" s="34" t="n">
        <f aca="false">IF(ER$8=1,N(Reales!ER35),IF(ER$171=1,INDEX(Vol_V,24,ER$170)/12*(1+V_dVol),0))</f>
        <v>0</v>
      </c>
      <c r="ES200" s="34" t="n">
        <f aca="false">IF(ES$8=1,N(Reales!ES35),IF(ES$171=1,INDEX(Vol_V,24,ES$170)/12*(1+V_dVol),0))</f>
        <v>0</v>
      </c>
    </row>
    <row r="201" customFormat="false" ht="15" hidden="false" customHeight="false" outlineLevel="0" collapsed="false">
      <c r="A201" s="2" t="s">
        <v>843</v>
      </c>
      <c r="B201" s="39" t="str">
        <f aca="false">IF(INDEX(Prod_Nombre,25)="","Producto 25",INDEX(Prod_Nombre,25))&amp;" — unidades"</f>
        <v>Producto 25 — unidades</v>
      </c>
      <c r="C201" s="6" t="s">
        <v>286</v>
      </c>
      <c r="E201" s="40" t="n">
        <f aca="false">SUM(F201:ES201)</f>
        <v>0</v>
      </c>
      <c r="F201" s="34" t="n">
        <f aca="false">IF(F$8=1,N(Reales!F36),IF(F$171=1,INDEX(Vol_V,25,F$170)/12*(1+V_dVol),0))</f>
        <v>0</v>
      </c>
      <c r="G201" s="34" t="n">
        <f aca="false">IF(G$8=1,N(Reales!G36),IF(G$171=1,INDEX(Vol_V,25,G$170)/12*(1+V_dVol),0))</f>
        <v>0</v>
      </c>
      <c r="H201" s="34" t="n">
        <f aca="false">IF(H$8=1,N(Reales!H36),IF(H$171=1,INDEX(Vol_V,25,H$170)/12*(1+V_dVol),0))</f>
        <v>0</v>
      </c>
      <c r="I201" s="34" t="n">
        <f aca="false">IF(I$8=1,N(Reales!I36),IF(I$171=1,INDEX(Vol_V,25,I$170)/12*(1+V_dVol),0))</f>
        <v>0</v>
      </c>
      <c r="J201" s="34" t="n">
        <f aca="false">IF(J$8=1,N(Reales!J36),IF(J$171=1,INDEX(Vol_V,25,J$170)/12*(1+V_dVol),0))</f>
        <v>0</v>
      </c>
      <c r="K201" s="34" t="n">
        <f aca="false">IF(K$8=1,N(Reales!K36),IF(K$171=1,INDEX(Vol_V,25,K$170)/12*(1+V_dVol),0))</f>
        <v>0</v>
      </c>
      <c r="L201" s="34" t="n">
        <f aca="false">IF(L$8=1,N(Reales!L36),IF(L$171=1,INDEX(Vol_V,25,L$170)/12*(1+V_dVol),0))</f>
        <v>0</v>
      </c>
      <c r="M201" s="34" t="n">
        <f aca="false">IF(M$8=1,N(Reales!M36),IF(M$171=1,INDEX(Vol_V,25,M$170)/12*(1+V_dVol),0))</f>
        <v>0</v>
      </c>
      <c r="N201" s="34" t="n">
        <f aca="false">IF(N$8=1,N(Reales!N36),IF(N$171=1,INDEX(Vol_V,25,N$170)/12*(1+V_dVol),0))</f>
        <v>0</v>
      </c>
      <c r="O201" s="34" t="n">
        <f aca="false">IF(O$8=1,N(Reales!O36),IF(O$171=1,INDEX(Vol_V,25,O$170)/12*(1+V_dVol),0))</f>
        <v>0</v>
      </c>
      <c r="P201" s="34" t="n">
        <f aca="false">IF(P$8=1,N(Reales!P36),IF(P$171=1,INDEX(Vol_V,25,P$170)/12*(1+V_dVol),0))</f>
        <v>0</v>
      </c>
      <c r="Q201" s="34" t="n">
        <f aca="false">IF(Q$8=1,N(Reales!Q36),IF(Q$171=1,INDEX(Vol_V,25,Q$170)/12*(1+V_dVol),0))</f>
        <v>0</v>
      </c>
      <c r="R201" s="34" t="n">
        <f aca="false">IF(R$8=1,N(Reales!R36),IF(R$171=1,INDEX(Vol_V,25,R$170)/12*(1+V_dVol),0))</f>
        <v>0</v>
      </c>
      <c r="S201" s="34" t="n">
        <f aca="false">IF(S$8=1,N(Reales!S36),IF(S$171=1,INDEX(Vol_V,25,S$170)/12*(1+V_dVol),0))</f>
        <v>0</v>
      </c>
      <c r="T201" s="34" t="n">
        <f aca="false">IF(T$8=1,N(Reales!T36),IF(T$171=1,INDEX(Vol_V,25,T$170)/12*(1+V_dVol),0))</f>
        <v>0</v>
      </c>
      <c r="U201" s="34" t="n">
        <f aca="false">IF(U$8=1,N(Reales!U36),IF(U$171=1,INDEX(Vol_V,25,U$170)/12*(1+V_dVol),0))</f>
        <v>0</v>
      </c>
      <c r="V201" s="34" t="n">
        <f aca="false">IF(V$8=1,N(Reales!V36),IF(V$171=1,INDEX(Vol_V,25,V$170)/12*(1+V_dVol),0))</f>
        <v>0</v>
      </c>
      <c r="W201" s="34" t="n">
        <f aca="false">IF(W$8=1,N(Reales!W36),IF(W$171=1,INDEX(Vol_V,25,W$170)/12*(1+V_dVol),0))</f>
        <v>0</v>
      </c>
      <c r="X201" s="34" t="n">
        <f aca="false">IF(X$8=1,N(Reales!X36),IF(X$171=1,INDEX(Vol_V,25,X$170)/12*(1+V_dVol),0))</f>
        <v>0</v>
      </c>
      <c r="Y201" s="34" t="n">
        <f aca="false">IF(Y$8=1,N(Reales!Y36),IF(Y$171=1,INDEX(Vol_V,25,Y$170)/12*(1+V_dVol),0))</f>
        <v>0</v>
      </c>
      <c r="Z201" s="34" t="n">
        <f aca="false">IF(Z$8=1,N(Reales!Z36),IF(Z$171=1,INDEX(Vol_V,25,Z$170)/12*(1+V_dVol),0))</f>
        <v>0</v>
      </c>
      <c r="AA201" s="34" t="n">
        <f aca="false">IF(AA$8=1,N(Reales!AA36),IF(AA$171=1,INDEX(Vol_V,25,AA$170)/12*(1+V_dVol),0))</f>
        <v>0</v>
      </c>
      <c r="AB201" s="34" t="n">
        <f aca="false">IF(AB$8=1,N(Reales!AB36),IF(AB$171=1,INDEX(Vol_V,25,AB$170)/12*(1+V_dVol),0))</f>
        <v>0</v>
      </c>
      <c r="AC201" s="34" t="n">
        <f aca="false">IF(AC$8=1,N(Reales!AC36),IF(AC$171=1,INDEX(Vol_V,25,AC$170)/12*(1+V_dVol),0))</f>
        <v>0</v>
      </c>
      <c r="AD201" s="34" t="n">
        <f aca="false">IF(AD$8=1,N(Reales!AD36),IF(AD$171=1,INDEX(Vol_V,25,AD$170)/12*(1+V_dVol),0))</f>
        <v>0</v>
      </c>
      <c r="AE201" s="34" t="n">
        <f aca="false">IF(AE$8=1,N(Reales!AE36),IF(AE$171=1,INDEX(Vol_V,25,AE$170)/12*(1+V_dVol),0))</f>
        <v>0</v>
      </c>
      <c r="AF201" s="34" t="n">
        <f aca="false">IF(AF$8=1,N(Reales!AF36),IF(AF$171=1,INDEX(Vol_V,25,AF$170)/12*(1+V_dVol),0))</f>
        <v>0</v>
      </c>
      <c r="AG201" s="34" t="n">
        <f aca="false">IF(AG$8=1,N(Reales!AG36),IF(AG$171=1,INDEX(Vol_V,25,AG$170)/12*(1+V_dVol),0))</f>
        <v>0</v>
      </c>
      <c r="AH201" s="34" t="n">
        <f aca="false">IF(AH$8=1,N(Reales!AH36),IF(AH$171=1,INDEX(Vol_V,25,AH$170)/12*(1+V_dVol),0))</f>
        <v>0</v>
      </c>
      <c r="AI201" s="34" t="n">
        <f aca="false">IF(AI$8=1,N(Reales!AI36),IF(AI$171=1,INDEX(Vol_V,25,AI$170)/12*(1+V_dVol),0))</f>
        <v>0</v>
      </c>
      <c r="AJ201" s="34" t="n">
        <f aca="false">IF(AJ$8=1,N(Reales!AJ36),IF(AJ$171=1,INDEX(Vol_V,25,AJ$170)/12*(1+V_dVol),0))</f>
        <v>0</v>
      </c>
      <c r="AK201" s="34" t="n">
        <f aca="false">IF(AK$8=1,N(Reales!AK36),IF(AK$171=1,INDEX(Vol_V,25,AK$170)/12*(1+V_dVol),0))</f>
        <v>0</v>
      </c>
      <c r="AL201" s="34" t="n">
        <f aca="false">IF(AL$8=1,N(Reales!AL36),IF(AL$171=1,INDEX(Vol_V,25,AL$170)/12*(1+V_dVol),0))</f>
        <v>0</v>
      </c>
      <c r="AM201" s="34" t="n">
        <f aca="false">IF(AM$8=1,N(Reales!AM36),IF(AM$171=1,INDEX(Vol_V,25,AM$170)/12*(1+V_dVol),0))</f>
        <v>0</v>
      </c>
      <c r="AN201" s="34" t="n">
        <f aca="false">IF(AN$8=1,N(Reales!AN36),IF(AN$171=1,INDEX(Vol_V,25,AN$170)/12*(1+V_dVol),0))</f>
        <v>0</v>
      </c>
      <c r="AO201" s="34" t="n">
        <f aca="false">IF(AO$8=1,N(Reales!AO36),IF(AO$171=1,INDEX(Vol_V,25,AO$170)/12*(1+V_dVol),0))</f>
        <v>0</v>
      </c>
      <c r="AP201" s="34" t="n">
        <f aca="false">IF(AP$8=1,N(Reales!AP36),IF(AP$171=1,INDEX(Vol_V,25,AP$170)/12*(1+V_dVol),0))</f>
        <v>0</v>
      </c>
      <c r="AQ201" s="34" t="n">
        <f aca="false">IF(AQ$8=1,N(Reales!AQ36),IF(AQ$171=1,INDEX(Vol_V,25,AQ$170)/12*(1+V_dVol),0))</f>
        <v>0</v>
      </c>
      <c r="AR201" s="34" t="n">
        <f aca="false">IF(AR$8=1,N(Reales!AR36),IF(AR$171=1,INDEX(Vol_V,25,AR$170)/12*(1+V_dVol),0))</f>
        <v>0</v>
      </c>
      <c r="AS201" s="34" t="n">
        <f aca="false">IF(AS$8=1,N(Reales!AS36),IF(AS$171=1,INDEX(Vol_V,25,AS$170)/12*(1+V_dVol),0))</f>
        <v>0</v>
      </c>
      <c r="AT201" s="34" t="n">
        <f aca="false">IF(AT$8=1,N(Reales!AT36),IF(AT$171=1,INDEX(Vol_V,25,AT$170)/12*(1+V_dVol),0))</f>
        <v>0</v>
      </c>
      <c r="AU201" s="34" t="n">
        <f aca="false">IF(AU$8=1,N(Reales!AU36),IF(AU$171=1,INDEX(Vol_V,25,AU$170)/12*(1+V_dVol),0))</f>
        <v>0</v>
      </c>
      <c r="AV201" s="34" t="n">
        <f aca="false">IF(AV$8=1,N(Reales!AV36),IF(AV$171=1,INDEX(Vol_V,25,AV$170)/12*(1+V_dVol),0))</f>
        <v>0</v>
      </c>
      <c r="AW201" s="34" t="n">
        <f aca="false">IF(AW$8=1,N(Reales!AW36),IF(AW$171=1,INDEX(Vol_V,25,AW$170)/12*(1+V_dVol),0))</f>
        <v>0</v>
      </c>
      <c r="AX201" s="34" t="n">
        <f aca="false">IF(AX$8=1,N(Reales!AX36),IF(AX$171=1,INDEX(Vol_V,25,AX$170)/12*(1+V_dVol),0))</f>
        <v>0</v>
      </c>
      <c r="AY201" s="34" t="n">
        <f aca="false">IF(AY$8=1,N(Reales!AY36),IF(AY$171=1,INDEX(Vol_V,25,AY$170)/12*(1+V_dVol),0))</f>
        <v>0</v>
      </c>
      <c r="AZ201" s="34" t="n">
        <f aca="false">IF(AZ$8=1,N(Reales!AZ36),IF(AZ$171=1,INDEX(Vol_V,25,AZ$170)/12*(1+V_dVol),0))</f>
        <v>0</v>
      </c>
      <c r="BA201" s="34" t="n">
        <f aca="false">IF(BA$8=1,N(Reales!BA36),IF(BA$171=1,INDEX(Vol_V,25,BA$170)/12*(1+V_dVol),0))</f>
        <v>0</v>
      </c>
      <c r="BB201" s="34" t="n">
        <f aca="false">IF(BB$8=1,N(Reales!BB36),IF(BB$171=1,INDEX(Vol_V,25,BB$170)/12*(1+V_dVol),0))</f>
        <v>0</v>
      </c>
      <c r="BC201" s="34" t="n">
        <f aca="false">IF(BC$8=1,N(Reales!BC36),IF(BC$171=1,INDEX(Vol_V,25,BC$170)/12*(1+V_dVol),0))</f>
        <v>0</v>
      </c>
      <c r="BD201" s="34" t="n">
        <f aca="false">IF(BD$8=1,N(Reales!BD36),IF(BD$171=1,INDEX(Vol_V,25,BD$170)/12*(1+V_dVol),0))</f>
        <v>0</v>
      </c>
      <c r="BE201" s="34" t="n">
        <f aca="false">IF(BE$8=1,N(Reales!BE36),IF(BE$171=1,INDEX(Vol_V,25,BE$170)/12*(1+V_dVol),0))</f>
        <v>0</v>
      </c>
      <c r="BF201" s="34" t="n">
        <f aca="false">IF(BF$8=1,N(Reales!BF36),IF(BF$171=1,INDEX(Vol_V,25,BF$170)/12*(1+V_dVol),0))</f>
        <v>0</v>
      </c>
      <c r="BG201" s="34" t="n">
        <f aca="false">IF(BG$8=1,N(Reales!BG36),IF(BG$171=1,INDEX(Vol_V,25,BG$170)/12*(1+V_dVol),0))</f>
        <v>0</v>
      </c>
      <c r="BH201" s="34" t="n">
        <f aca="false">IF(BH$8=1,N(Reales!BH36),IF(BH$171=1,INDEX(Vol_V,25,BH$170)/12*(1+V_dVol),0))</f>
        <v>0</v>
      </c>
      <c r="BI201" s="34" t="n">
        <f aca="false">IF(BI$8=1,N(Reales!BI36),IF(BI$171=1,INDEX(Vol_V,25,BI$170)/12*(1+V_dVol),0))</f>
        <v>0</v>
      </c>
      <c r="BJ201" s="34" t="n">
        <f aca="false">IF(BJ$8=1,N(Reales!BJ36),IF(BJ$171=1,INDEX(Vol_V,25,BJ$170)/12*(1+V_dVol),0))</f>
        <v>0</v>
      </c>
      <c r="BK201" s="34" t="n">
        <f aca="false">IF(BK$8=1,N(Reales!BK36),IF(BK$171=1,INDEX(Vol_V,25,BK$170)/12*(1+V_dVol),0))</f>
        <v>0</v>
      </c>
      <c r="BL201" s="34" t="n">
        <f aca="false">IF(BL$8=1,N(Reales!BL36),IF(BL$171=1,INDEX(Vol_V,25,BL$170)/12*(1+V_dVol),0))</f>
        <v>0</v>
      </c>
      <c r="BM201" s="34" t="n">
        <f aca="false">IF(BM$8=1,N(Reales!BM36),IF(BM$171=1,INDEX(Vol_V,25,BM$170)/12*(1+V_dVol),0))</f>
        <v>0</v>
      </c>
      <c r="BN201" s="34" t="n">
        <f aca="false">IF(BN$8=1,N(Reales!BN36),IF(BN$171=1,INDEX(Vol_V,25,BN$170)/12*(1+V_dVol),0))</f>
        <v>0</v>
      </c>
      <c r="BO201" s="34" t="n">
        <f aca="false">IF(BO$8=1,N(Reales!BO36),IF(BO$171=1,INDEX(Vol_V,25,BO$170)/12*(1+V_dVol),0))</f>
        <v>0</v>
      </c>
      <c r="BP201" s="34" t="n">
        <f aca="false">IF(BP$8=1,N(Reales!BP36),IF(BP$171=1,INDEX(Vol_V,25,BP$170)/12*(1+V_dVol),0))</f>
        <v>0</v>
      </c>
      <c r="BQ201" s="34" t="n">
        <f aca="false">IF(BQ$8=1,N(Reales!BQ36),IF(BQ$171=1,INDEX(Vol_V,25,BQ$170)/12*(1+V_dVol),0))</f>
        <v>0</v>
      </c>
      <c r="BR201" s="34" t="n">
        <f aca="false">IF(BR$8=1,N(Reales!BR36),IF(BR$171=1,INDEX(Vol_V,25,BR$170)/12*(1+V_dVol),0))</f>
        <v>0</v>
      </c>
      <c r="BS201" s="34" t="n">
        <f aca="false">IF(BS$8=1,N(Reales!BS36),IF(BS$171=1,INDEX(Vol_V,25,BS$170)/12*(1+V_dVol),0))</f>
        <v>0</v>
      </c>
      <c r="BT201" s="34" t="n">
        <f aca="false">IF(BT$8=1,N(Reales!BT36),IF(BT$171=1,INDEX(Vol_V,25,BT$170)/12*(1+V_dVol),0))</f>
        <v>0</v>
      </c>
      <c r="BU201" s="34" t="n">
        <f aca="false">IF(BU$8=1,N(Reales!BU36),IF(BU$171=1,INDEX(Vol_V,25,BU$170)/12*(1+V_dVol),0))</f>
        <v>0</v>
      </c>
      <c r="BV201" s="34" t="n">
        <f aca="false">IF(BV$8=1,N(Reales!BV36),IF(BV$171=1,INDEX(Vol_V,25,BV$170)/12*(1+V_dVol),0))</f>
        <v>0</v>
      </c>
      <c r="BW201" s="34" t="n">
        <f aca="false">IF(BW$8=1,N(Reales!BW36),IF(BW$171=1,INDEX(Vol_V,25,BW$170)/12*(1+V_dVol),0))</f>
        <v>0</v>
      </c>
      <c r="BX201" s="34" t="n">
        <f aca="false">IF(BX$8=1,N(Reales!BX36),IF(BX$171=1,INDEX(Vol_V,25,BX$170)/12*(1+V_dVol),0))</f>
        <v>0</v>
      </c>
      <c r="BY201" s="34" t="n">
        <f aca="false">IF(BY$8=1,N(Reales!BY36),IF(BY$171=1,INDEX(Vol_V,25,BY$170)/12*(1+V_dVol),0))</f>
        <v>0</v>
      </c>
      <c r="BZ201" s="34" t="n">
        <f aca="false">IF(BZ$8=1,N(Reales!BZ36),IF(BZ$171=1,INDEX(Vol_V,25,BZ$170)/12*(1+V_dVol),0))</f>
        <v>0</v>
      </c>
      <c r="CA201" s="34" t="n">
        <f aca="false">IF(CA$8=1,N(Reales!CA36),IF(CA$171=1,INDEX(Vol_V,25,CA$170)/12*(1+V_dVol),0))</f>
        <v>0</v>
      </c>
      <c r="CB201" s="34" t="n">
        <f aca="false">IF(CB$8=1,N(Reales!CB36),IF(CB$171=1,INDEX(Vol_V,25,CB$170)/12*(1+V_dVol),0))</f>
        <v>0</v>
      </c>
      <c r="CC201" s="34" t="n">
        <f aca="false">IF(CC$8=1,N(Reales!CC36),IF(CC$171=1,INDEX(Vol_V,25,CC$170)/12*(1+V_dVol),0))</f>
        <v>0</v>
      </c>
      <c r="CD201" s="34" t="n">
        <f aca="false">IF(CD$8=1,N(Reales!CD36),IF(CD$171=1,INDEX(Vol_V,25,CD$170)/12*(1+V_dVol),0))</f>
        <v>0</v>
      </c>
      <c r="CE201" s="34" t="n">
        <f aca="false">IF(CE$8=1,N(Reales!CE36),IF(CE$171=1,INDEX(Vol_V,25,CE$170)/12*(1+V_dVol),0))</f>
        <v>0</v>
      </c>
      <c r="CF201" s="34" t="n">
        <f aca="false">IF(CF$8=1,N(Reales!CF36),IF(CF$171=1,INDEX(Vol_V,25,CF$170)/12*(1+V_dVol),0))</f>
        <v>0</v>
      </c>
      <c r="CG201" s="34" t="n">
        <f aca="false">IF(CG$8=1,N(Reales!CG36),IF(CG$171=1,INDEX(Vol_V,25,CG$170)/12*(1+V_dVol),0))</f>
        <v>0</v>
      </c>
      <c r="CH201" s="34" t="n">
        <f aca="false">IF(CH$8=1,N(Reales!CH36),IF(CH$171=1,INDEX(Vol_V,25,CH$170)/12*(1+V_dVol),0))</f>
        <v>0</v>
      </c>
      <c r="CI201" s="34" t="n">
        <f aca="false">IF(CI$8=1,N(Reales!CI36),IF(CI$171=1,INDEX(Vol_V,25,CI$170)/12*(1+V_dVol),0))</f>
        <v>0</v>
      </c>
      <c r="CJ201" s="34" t="n">
        <f aca="false">IF(CJ$8=1,N(Reales!CJ36),IF(CJ$171=1,INDEX(Vol_V,25,CJ$170)/12*(1+V_dVol),0))</f>
        <v>0</v>
      </c>
      <c r="CK201" s="34" t="n">
        <f aca="false">IF(CK$8=1,N(Reales!CK36),IF(CK$171=1,INDEX(Vol_V,25,CK$170)/12*(1+V_dVol),0))</f>
        <v>0</v>
      </c>
      <c r="CL201" s="34" t="n">
        <f aca="false">IF(CL$8=1,N(Reales!CL36),IF(CL$171=1,INDEX(Vol_V,25,CL$170)/12*(1+V_dVol),0))</f>
        <v>0</v>
      </c>
      <c r="CM201" s="34" t="n">
        <f aca="false">IF(CM$8=1,N(Reales!CM36),IF(CM$171=1,INDEX(Vol_V,25,CM$170)/12*(1+V_dVol),0))</f>
        <v>0</v>
      </c>
      <c r="CN201" s="34" t="n">
        <f aca="false">IF(CN$8=1,N(Reales!CN36),IF(CN$171=1,INDEX(Vol_V,25,CN$170)/12*(1+V_dVol),0))</f>
        <v>0</v>
      </c>
      <c r="CO201" s="34" t="n">
        <f aca="false">IF(CO$8=1,N(Reales!CO36),IF(CO$171=1,INDEX(Vol_V,25,CO$170)/12*(1+V_dVol),0))</f>
        <v>0</v>
      </c>
      <c r="CP201" s="34" t="n">
        <f aca="false">IF(CP$8=1,N(Reales!CP36),IF(CP$171=1,INDEX(Vol_V,25,CP$170)/12*(1+V_dVol),0))</f>
        <v>0</v>
      </c>
      <c r="CQ201" s="34" t="n">
        <f aca="false">IF(CQ$8=1,N(Reales!CQ36),IF(CQ$171=1,INDEX(Vol_V,25,CQ$170)/12*(1+V_dVol),0))</f>
        <v>0</v>
      </c>
      <c r="CR201" s="34" t="n">
        <f aca="false">IF(CR$8=1,N(Reales!CR36),IF(CR$171=1,INDEX(Vol_V,25,CR$170)/12*(1+V_dVol),0))</f>
        <v>0</v>
      </c>
      <c r="CS201" s="34" t="n">
        <f aca="false">IF(CS$8=1,N(Reales!CS36),IF(CS$171=1,INDEX(Vol_V,25,CS$170)/12*(1+V_dVol),0))</f>
        <v>0</v>
      </c>
      <c r="CT201" s="34" t="n">
        <f aca="false">IF(CT$8=1,N(Reales!CT36),IF(CT$171=1,INDEX(Vol_V,25,CT$170)/12*(1+V_dVol),0))</f>
        <v>0</v>
      </c>
      <c r="CU201" s="34" t="n">
        <f aca="false">IF(CU$8=1,N(Reales!CU36),IF(CU$171=1,INDEX(Vol_V,25,CU$170)/12*(1+V_dVol),0))</f>
        <v>0</v>
      </c>
      <c r="CV201" s="34" t="n">
        <f aca="false">IF(CV$8=1,N(Reales!CV36),IF(CV$171=1,INDEX(Vol_V,25,CV$170)/12*(1+V_dVol),0))</f>
        <v>0</v>
      </c>
      <c r="CW201" s="34" t="n">
        <f aca="false">IF(CW$8=1,N(Reales!CW36),IF(CW$171=1,INDEX(Vol_V,25,CW$170)/12*(1+V_dVol),0))</f>
        <v>0</v>
      </c>
      <c r="CX201" s="34" t="n">
        <f aca="false">IF(CX$8=1,N(Reales!CX36),IF(CX$171=1,INDEX(Vol_V,25,CX$170)/12*(1+V_dVol),0))</f>
        <v>0</v>
      </c>
      <c r="CY201" s="34" t="n">
        <f aca="false">IF(CY$8=1,N(Reales!CY36),IF(CY$171=1,INDEX(Vol_V,25,CY$170)/12*(1+V_dVol),0))</f>
        <v>0</v>
      </c>
      <c r="CZ201" s="34" t="n">
        <f aca="false">IF(CZ$8=1,N(Reales!CZ36),IF(CZ$171=1,INDEX(Vol_V,25,CZ$170)/12*(1+V_dVol),0))</f>
        <v>0</v>
      </c>
      <c r="DA201" s="34" t="n">
        <f aca="false">IF(DA$8=1,N(Reales!DA36),IF(DA$171=1,INDEX(Vol_V,25,DA$170)/12*(1+V_dVol),0))</f>
        <v>0</v>
      </c>
      <c r="DB201" s="34" t="n">
        <f aca="false">IF(DB$8=1,N(Reales!DB36),IF(DB$171=1,INDEX(Vol_V,25,DB$170)/12*(1+V_dVol),0))</f>
        <v>0</v>
      </c>
      <c r="DC201" s="34" t="n">
        <f aca="false">IF(DC$8=1,N(Reales!DC36),IF(DC$171=1,INDEX(Vol_V,25,DC$170)/12*(1+V_dVol),0))</f>
        <v>0</v>
      </c>
      <c r="DD201" s="34" t="n">
        <f aca="false">IF(DD$8=1,N(Reales!DD36),IF(DD$171=1,INDEX(Vol_V,25,DD$170)/12*(1+V_dVol),0))</f>
        <v>0</v>
      </c>
      <c r="DE201" s="34" t="n">
        <f aca="false">IF(DE$8=1,N(Reales!DE36),IF(DE$171=1,INDEX(Vol_V,25,DE$170)/12*(1+V_dVol),0))</f>
        <v>0</v>
      </c>
      <c r="DF201" s="34" t="n">
        <f aca="false">IF(DF$8=1,N(Reales!DF36),IF(DF$171=1,INDEX(Vol_V,25,DF$170)/12*(1+V_dVol),0))</f>
        <v>0</v>
      </c>
      <c r="DG201" s="34" t="n">
        <f aca="false">IF(DG$8=1,N(Reales!DG36),IF(DG$171=1,INDEX(Vol_V,25,DG$170)/12*(1+V_dVol),0))</f>
        <v>0</v>
      </c>
      <c r="DH201" s="34" t="n">
        <f aca="false">IF(DH$8=1,N(Reales!DH36),IF(DH$171=1,INDEX(Vol_V,25,DH$170)/12*(1+V_dVol),0))</f>
        <v>0</v>
      </c>
      <c r="DI201" s="34" t="n">
        <f aca="false">IF(DI$8=1,N(Reales!DI36),IF(DI$171=1,INDEX(Vol_V,25,DI$170)/12*(1+V_dVol),0))</f>
        <v>0</v>
      </c>
      <c r="DJ201" s="34" t="n">
        <f aca="false">IF(DJ$8=1,N(Reales!DJ36),IF(DJ$171=1,INDEX(Vol_V,25,DJ$170)/12*(1+V_dVol),0))</f>
        <v>0</v>
      </c>
      <c r="DK201" s="34" t="n">
        <f aca="false">IF(DK$8=1,N(Reales!DK36),IF(DK$171=1,INDEX(Vol_V,25,DK$170)/12*(1+V_dVol),0))</f>
        <v>0</v>
      </c>
      <c r="DL201" s="34" t="n">
        <f aca="false">IF(DL$8=1,N(Reales!DL36),IF(DL$171=1,INDEX(Vol_V,25,DL$170)/12*(1+V_dVol),0))</f>
        <v>0</v>
      </c>
      <c r="DM201" s="34" t="n">
        <f aca="false">IF(DM$8=1,N(Reales!DM36),IF(DM$171=1,INDEX(Vol_V,25,DM$170)/12*(1+V_dVol),0))</f>
        <v>0</v>
      </c>
      <c r="DN201" s="34" t="n">
        <f aca="false">IF(DN$8=1,N(Reales!DN36),IF(DN$171=1,INDEX(Vol_V,25,DN$170)/12*(1+V_dVol),0))</f>
        <v>0</v>
      </c>
      <c r="DO201" s="34" t="n">
        <f aca="false">IF(DO$8=1,N(Reales!DO36),IF(DO$171=1,INDEX(Vol_V,25,DO$170)/12*(1+V_dVol),0))</f>
        <v>0</v>
      </c>
      <c r="DP201" s="34" t="n">
        <f aca="false">IF(DP$8=1,N(Reales!DP36),IF(DP$171=1,INDEX(Vol_V,25,DP$170)/12*(1+V_dVol),0))</f>
        <v>0</v>
      </c>
      <c r="DQ201" s="34" t="n">
        <f aca="false">IF(DQ$8=1,N(Reales!DQ36),IF(DQ$171=1,INDEX(Vol_V,25,DQ$170)/12*(1+V_dVol),0))</f>
        <v>0</v>
      </c>
      <c r="DR201" s="34" t="n">
        <f aca="false">IF(DR$8=1,N(Reales!DR36),IF(DR$171=1,INDEX(Vol_V,25,DR$170)/12*(1+V_dVol),0))</f>
        <v>0</v>
      </c>
      <c r="DS201" s="34" t="n">
        <f aca="false">IF(DS$8=1,N(Reales!DS36),IF(DS$171=1,INDEX(Vol_V,25,DS$170)/12*(1+V_dVol),0))</f>
        <v>0</v>
      </c>
      <c r="DT201" s="34" t="n">
        <f aca="false">IF(DT$8=1,N(Reales!DT36),IF(DT$171=1,INDEX(Vol_V,25,DT$170)/12*(1+V_dVol),0))</f>
        <v>0</v>
      </c>
      <c r="DU201" s="34" t="n">
        <f aca="false">IF(DU$8=1,N(Reales!DU36),IF(DU$171=1,INDEX(Vol_V,25,DU$170)/12*(1+V_dVol),0))</f>
        <v>0</v>
      </c>
      <c r="DV201" s="34" t="n">
        <f aca="false">IF(DV$8=1,N(Reales!DV36),IF(DV$171=1,INDEX(Vol_V,25,DV$170)/12*(1+V_dVol),0))</f>
        <v>0</v>
      </c>
      <c r="DW201" s="34" t="n">
        <f aca="false">IF(DW$8=1,N(Reales!DW36),IF(DW$171=1,INDEX(Vol_V,25,DW$170)/12*(1+V_dVol),0))</f>
        <v>0</v>
      </c>
      <c r="DX201" s="34" t="n">
        <f aca="false">IF(DX$8=1,N(Reales!DX36),IF(DX$171=1,INDEX(Vol_V,25,DX$170)/12*(1+V_dVol),0))</f>
        <v>0</v>
      </c>
      <c r="DY201" s="34" t="n">
        <f aca="false">IF(DY$8=1,N(Reales!DY36),IF(DY$171=1,INDEX(Vol_V,25,DY$170)/12*(1+V_dVol),0))</f>
        <v>0</v>
      </c>
      <c r="DZ201" s="34" t="n">
        <f aca="false">IF(DZ$8=1,N(Reales!DZ36),IF(DZ$171=1,INDEX(Vol_V,25,DZ$170)/12*(1+V_dVol),0))</f>
        <v>0</v>
      </c>
      <c r="EA201" s="34" t="n">
        <f aca="false">IF(EA$8=1,N(Reales!EA36),IF(EA$171=1,INDEX(Vol_V,25,EA$170)/12*(1+V_dVol),0))</f>
        <v>0</v>
      </c>
      <c r="EB201" s="34" t="n">
        <f aca="false">IF(EB$8=1,N(Reales!EB36),IF(EB$171=1,INDEX(Vol_V,25,EB$170)/12*(1+V_dVol),0))</f>
        <v>0</v>
      </c>
      <c r="EC201" s="34" t="n">
        <f aca="false">IF(EC$8=1,N(Reales!EC36),IF(EC$171=1,INDEX(Vol_V,25,EC$170)/12*(1+V_dVol),0))</f>
        <v>0</v>
      </c>
      <c r="ED201" s="34" t="n">
        <f aca="false">IF(ED$8=1,N(Reales!ED36),IF(ED$171=1,INDEX(Vol_V,25,ED$170)/12*(1+V_dVol),0))</f>
        <v>0</v>
      </c>
      <c r="EE201" s="34" t="n">
        <f aca="false">IF(EE$8=1,N(Reales!EE36),IF(EE$171=1,INDEX(Vol_V,25,EE$170)/12*(1+V_dVol),0))</f>
        <v>0</v>
      </c>
      <c r="EF201" s="34" t="n">
        <f aca="false">IF(EF$8=1,N(Reales!EF36),IF(EF$171=1,INDEX(Vol_V,25,EF$170)/12*(1+V_dVol),0))</f>
        <v>0</v>
      </c>
      <c r="EG201" s="34" t="n">
        <f aca="false">IF(EG$8=1,N(Reales!EG36),IF(EG$171=1,INDEX(Vol_V,25,EG$170)/12*(1+V_dVol),0))</f>
        <v>0</v>
      </c>
      <c r="EH201" s="34" t="n">
        <f aca="false">IF(EH$8=1,N(Reales!EH36),IF(EH$171=1,INDEX(Vol_V,25,EH$170)/12*(1+V_dVol),0))</f>
        <v>0</v>
      </c>
      <c r="EI201" s="34" t="n">
        <f aca="false">IF(EI$8=1,N(Reales!EI36),IF(EI$171=1,INDEX(Vol_V,25,EI$170)/12*(1+V_dVol),0))</f>
        <v>0</v>
      </c>
      <c r="EJ201" s="34" t="n">
        <f aca="false">IF(EJ$8=1,N(Reales!EJ36),IF(EJ$171=1,INDEX(Vol_V,25,EJ$170)/12*(1+V_dVol),0))</f>
        <v>0</v>
      </c>
      <c r="EK201" s="34" t="n">
        <f aca="false">IF(EK$8=1,N(Reales!EK36),IF(EK$171=1,INDEX(Vol_V,25,EK$170)/12*(1+V_dVol),0))</f>
        <v>0</v>
      </c>
      <c r="EL201" s="34" t="n">
        <f aca="false">IF(EL$8=1,N(Reales!EL36),IF(EL$171=1,INDEX(Vol_V,25,EL$170)/12*(1+V_dVol),0))</f>
        <v>0</v>
      </c>
      <c r="EM201" s="34" t="n">
        <f aca="false">IF(EM$8=1,N(Reales!EM36),IF(EM$171=1,INDEX(Vol_V,25,EM$170)/12*(1+V_dVol),0))</f>
        <v>0</v>
      </c>
      <c r="EN201" s="34" t="n">
        <f aca="false">IF(EN$8=1,N(Reales!EN36),IF(EN$171=1,INDEX(Vol_V,25,EN$170)/12*(1+V_dVol),0))</f>
        <v>0</v>
      </c>
      <c r="EO201" s="34" t="n">
        <f aca="false">IF(EO$8=1,N(Reales!EO36),IF(EO$171=1,INDEX(Vol_V,25,EO$170)/12*(1+V_dVol),0))</f>
        <v>0</v>
      </c>
      <c r="EP201" s="34" t="n">
        <f aca="false">IF(EP$8=1,N(Reales!EP36),IF(EP$171=1,INDEX(Vol_V,25,EP$170)/12*(1+V_dVol),0))</f>
        <v>0</v>
      </c>
      <c r="EQ201" s="34" t="n">
        <f aca="false">IF(EQ$8=1,N(Reales!EQ36),IF(EQ$171=1,INDEX(Vol_V,25,EQ$170)/12*(1+V_dVol),0))</f>
        <v>0</v>
      </c>
      <c r="ER201" s="34" t="n">
        <f aca="false">IF(ER$8=1,N(Reales!ER36),IF(ER$171=1,INDEX(Vol_V,25,ER$170)/12*(1+V_dVol),0))</f>
        <v>0</v>
      </c>
      <c r="ES201" s="34" t="n">
        <f aca="false">IF(ES$8=1,N(Reales!ES36),IF(ES$171=1,INDEX(Vol_V,25,ES$170)/12*(1+V_dVol),0))</f>
        <v>0</v>
      </c>
    </row>
    <row r="202" customFormat="false" ht="15" hidden="false" customHeight="false" outlineLevel="0" collapsed="false">
      <c r="A202" s="2" t="s">
        <v>844</v>
      </c>
      <c r="B202" s="39" t="str">
        <f aca="false">IF(INDEX(Prod_Nombre,1)="","Producto 1",INDEX(Prod_Nombre,1))&amp;" — ventas USD"</f>
        <v>Gabinetes metálicos 153 kg — ventas USD</v>
      </c>
      <c r="C202" s="6" t="s">
        <v>250</v>
      </c>
      <c r="E202" s="40" t="n">
        <f aca="false">SUM(F202:ES202)</f>
        <v>54428264.108153</v>
      </c>
      <c r="F202" s="34" t="n">
        <f aca="false">IF(F$8=1,IF(Reales!$C$38="PYG",IF(F$10&gt;0,N(Reales!F38)/F$10,0),N(Reales!F38)),F$177*INDEX(Precio_V,1)*INDEX(IdxPrecio_V,1,MIN(10,F$173))*(1+V_dPrecio))</f>
        <v>270000</v>
      </c>
      <c r="G202" s="34" t="n">
        <f aca="false">IF(G$8=1,IF(Reales!$C$38="PYG",IF(G$10&gt;0,N(Reales!G38)/G$10,0),N(Reales!G38)),G$177*INDEX(Precio_V,1)*INDEX(IdxPrecio_V,1,MIN(10,G$173))*(1+V_dPrecio))</f>
        <v>270000</v>
      </c>
      <c r="H202" s="34" t="n">
        <f aca="false">IF(H$8=1,IF(Reales!$C$38="PYG",IF(H$10&gt;0,N(Reales!H38)/H$10,0),N(Reales!H38)),H$177*INDEX(Precio_V,1)*INDEX(IdxPrecio_V,1,MIN(10,H$173))*(1+V_dPrecio))</f>
        <v>270000</v>
      </c>
      <c r="I202" s="34" t="n">
        <f aca="false">IF(I$8=1,IF(Reales!$C$38="PYG",IF(I$10&gt;0,N(Reales!I38)/I$10,0),N(Reales!I38)),I$177*INDEX(Precio_V,1)*INDEX(IdxPrecio_V,1,MIN(10,I$173))*(1+V_dPrecio))</f>
        <v>270000</v>
      </c>
      <c r="J202" s="34" t="n">
        <f aca="false">IF(J$8=1,IF(Reales!$C$38="PYG",IF(J$10&gt;0,N(Reales!J38)/J$10,0),N(Reales!J38)),J$177*INDEX(Precio_V,1)*INDEX(IdxPrecio_V,1,MIN(10,J$173))*(1+V_dPrecio))</f>
        <v>270000</v>
      </c>
      <c r="K202" s="34" t="n">
        <f aca="false">IF(K$8=1,IF(Reales!$C$38="PYG",IF(K$10&gt;0,N(Reales!K38)/K$10,0),N(Reales!K38)),K$177*INDEX(Precio_V,1)*INDEX(IdxPrecio_V,1,MIN(10,K$173))*(1+V_dPrecio))</f>
        <v>270000</v>
      </c>
      <c r="L202" s="34" t="n">
        <f aca="false">IF(L$8=1,IF(Reales!$C$38="PYG",IF(L$10&gt;0,N(Reales!L38)/L$10,0),N(Reales!L38)),L$177*INDEX(Precio_V,1)*INDEX(IdxPrecio_V,1,MIN(10,L$173))*(1+V_dPrecio))</f>
        <v>270000</v>
      </c>
      <c r="M202" s="34" t="n">
        <f aca="false">IF(M$8=1,IF(Reales!$C$38="PYG",IF(M$10&gt;0,N(Reales!M38)/M$10,0),N(Reales!M38)),M$177*INDEX(Precio_V,1)*INDEX(IdxPrecio_V,1,MIN(10,M$173))*(1+V_dPrecio))</f>
        <v>270000</v>
      </c>
      <c r="N202" s="34" t="n">
        <f aca="false">IF(N$8=1,IF(Reales!$C$38="PYG",IF(N$10&gt;0,N(Reales!N38)/N$10,0),N(Reales!N38)),N$177*INDEX(Precio_V,1)*INDEX(IdxPrecio_V,1,MIN(10,N$173))*(1+V_dPrecio))</f>
        <v>270000</v>
      </c>
      <c r="O202" s="34" t="n">
        <f aca="false">IF(O$8=1,IF(Reales!$C$38="PYG",IF(O$10&gt;0,N(Reales!O38)/O$10,0),N(Reales!O38)),O$177*INDEX(Precio_V,1)*INDEX(IdxPrecio_V,1,MIN(10,O$173))*(1+V_dPrecio))</f>
        <v>270000</v>
      </c>
      <c r="P202" s="34" t="n">
        <f aca="false">IF(P$8=1,IF(Reales!$C$38="PYG",IF(P$10&gt;0,N(Reales!P38)/P$10,0),N(Reales!P38)),P$177*INDEX(Precio_V,1)*INDEX(IdxPrecio_V,1,MIN(10,P$173))*(1+V_dPrecio))</f>
        <v>270000</v>
      </c>
      <c r="Q202" s="34" t="n">
        <f aca="false">IF(Q$8=1,IF(Reales!$C$38="PYG",IF(Q$10&gt;0,N(Reales!Q38)/Q$10,0),N(Reales!Q38)),Q$177*INDEX(Precio_V,1)*INDEX(IdxPrecio_V,1,MIN(10,Q$173))*(1+V_dPrecio))</f>
        <v>270000</v>
      </c>
      <c r="R202" s="34" t="n">
        <f aca="false">IF(R$8=1,IF(Reales!$C$38="PYG",IF(R$10&gt;0,N(Reales!R38)/R$10,0),N(Reales!R38)),R$177*INDEX(Precio_V,1)*INDEX(IdxPrecio_V,1,MIN(10,R$173))*(1+V_dPrecio))</f>
        <v>340875</v>
      </c>
      <c r="S202" s="34" t="n">
        <f aca="false">IF(S$8=1,IF(Reales!$C$38="PYG",IF(S$10&gt;0,N(Reales!S38)/S$10,0),N(Reales!S38)),S$177*INDEX(Precio_V,1)*INDEX(IdxPrecio_V,1,MIN(10,S$173))*(1+V_dPrecio))</f>
        <v>340875</v>
      </c>
      <c r="T202" s="34" t="n">
        <f aca="false">IF(T$8=1,IF(Reales!$C$38="PYG",IF(T$10&gt;0,N(Reales!T38)/T$10,0),N(Reales!T38)),T$177*INDEX(Precio_V,1)*INDEX(IdxPrecio_V,1,MIN(10,T$173))*(1+V_dPrecio))</f>
        <v>340875</v>
      </c>
      <c r="U202" s="34" t="n">
        <f aca="false">IF(U$8=1,IF(Reales!$C$38="PYG",IF(U$10&gt;0,N(Reales!U38)/U$10,0),N(Reales!U38)),U$177*INDEX(Precio_V,1)*INDEX(IdxPrecio_V,1,MIN(10,U$173))*(1+V_dPrecio))</f>
        <v>340875</v>
      </c>
      <c r="V202" s="34" t="n">
        <f aca="false">IF(V$8=1,IF(Reales!$C$38="PYG",IF(V$10&gt;0,N(Reales!V38)/V$10,0),N(Reales!V38)),V$177*INDEX(Precio_V,1)*INDEX(IdxPrecio_V,1,MIN(10,V$173))*(1+V_dPrecio))</f>
        <v>340875</v>
      </c>
      <c r="W202" s="34" t="n">
        <f aca="false">IF(W$8=1,IF(Reales!$C$38="PYG",IF(W$10&gt;0,N(Reales!W38)/W$10,0),N(Reales!W38)),W$177*INDEX(Precio_V,1)*INDEX(IdxPrecio_V,1,MIN(10,W$173))*(1+V_dPrecio))</f>
        <v>340875</v>
      </c>
      <c r="X202" s="34" t="n">
        <f aca="false">IF(X$8=1,IF(Reales!$C$38="PYG",IF(X$10&gt;0,N(Reales!X38)/X$10,0),N(Reales!X38)),X$177*INDEX(Precio_V,1)*INDEX(IdxPrecio_V,1,MIN(10,X$173))*(1+V_dPrecio))</f>
        <v>340875</v>
      </c>
      <c r="Y202" s="34" t="n">
        <f aca="false">IF(Y$8=1,IF(Reales!$C$38="PYG",IF(Y$10&gt;0,N(Reales!Y38)/Y$10,0),N(Reales!Y38)),Y$177*INDEX(Precio_V,1)*INDEX(IdxPrecio_V,1,MIN(10,Y$173))*(1+V_dPrecio))</f>
        <v>340875</v>
      </c>
      <c r="Z202" s="34" t="n">
        <f aca="false">IF(Z$8=1,IF(Reales!$C$38="PYG",IF(Z$10&gt;0,N(Reales!Z38)/Z$10,0),N(Reales!Z38)),Z$177*INDEX(Precio_V,1)*INDEX(IdxPrecio_V,1,MIN(10,Z$173))*(1+V_dPrecio))</f>
        <v>340875</v>
      </c>
      <c r="AA202" s="34" t="n">
        <f aca="false">IF(AA$8=1,IF(Reales!$C$38="PYG",IF(AA$10&gt;0,N(Reales!AA38)/AA$10,0),N(Reales!AA38)),AA$177*INDEX(Precio_V,1)*INDEX(IdxPrecio_V,1,MIN(10,AA$173))*(1+V_dPrecio))</f>
        <v>340875</v>
      </c>
      <c r="AB202" s="34" t="n">
        <f aca="false">IF(AB$8=1,IF(Reales!$C$38="PYG",IF(AB$10&gt;0,N(Reales!AB38)/AB$10,0),N(Reales!AB38)),AB$177*INDEX(Precio_V,1)*INDEX(IdxPrecio_V,1,MIN(10,AB$173))*(1+V_dPrecio))</f>
        <v>340875</v>
      </c>
      <c r="AC202" s="34" t="n">
        <f aca="false">IF(AC$8=1,IF(Reales!$C$38="PYG",IF(AC$10&gt;0,N(Reales!AC38)/AC$10,0),N(Reales!AC38)),AC$177*INDEX(Precio_V,1)*INDEX(IdxPrecio_V,1,MIN(10,AC$173))*(1+V_dPrecio))</f>
        <v>340875</v>
      </c>
      <c r="AD202" s="34" t="n">
        <f aca="false">IF(AD$8=1,IF(Reales!$C$38="PYG",IF(AD$10&gt;0,N(Reales!AD38)/AD$10,0),N(Reales!AD38)),AD$177*INDEX(Precio_V,1)*INDEX(IdxPrecio_V,1,MIN(10,AD$173))*(1+V_dPrecio))</f>
        <v>413140.5</v>
      </c>
      <c r="AE202" s="34" t="n">
        <f aca="false">IF(AE$8=1,IF(Reales!$C$38="PYG",IF(AE$10&gt;0,N(Reales!AE38)/AE$10,0),N(Reales!AE38)),AE$177*INDEX(Precio_V,1)*INDEX(IdxPrecio_V,1,MIN(10,AE$173))*(1+V_dPrecio))</f>
        <v>413140.5</v>
      </c>
      <c r="AF202" s="34" t="n">
        <f aca="false">IF(AF$8=1,IF(Reales!$C$38="PYG",IF(AF$10&gt;0,N(Reales!AF38)/AF$10,0),N(Reales!AF38)),AF$177*INDEX(Precio_V,1)*INDEX(IdxPrecio_V,1,MIN(10,AF$173))*(1+V_dPrecio))</f>
        <v>413140.5</v>
      </c>
      <c r="AG202" s="34" t="n">
        <f aca="false">IF(AG$8=1,IF(Reales!$C$38="PYG",IF(AG$10&gt;0,N(Reales!AG38)/AG$10,0),N(Reales!AG38)),AG$177*INDEX(Precio_V,1)*INDEX(IdxPrecio_V,1,MIN(10,AG$173))*(1+V_dPrecio))</f>
        <v>413140.5</v>
      </c>
      <c r="AH202" s="34" t="n">
        <f aca="false">IF(AH$8=1,IF(Reales!$C$38="PYG",IF(AH$10&gt;0,N(Reales!AH38)/AH$10,0),N(Reales!AH38)),AH$177*INDEX(Precio_V,1)*INDEX(IdxPrecio_V,1,MIN(10,AH$173))*(1+V_dPrecio))</f>
        <v>413140.5</v>
      </c>
      <c r="AI202" s="34" t="n">
        <f aca="false">IF(AI$8=1,IF(Reales!$C$38="PYG",IF(AI$10&gt;0,N(Reales!AI38)/AI$10,0),N(Reales!AI38)),AI$177*INDEX(Precio_V,1)*INDEX(IdxPrecio_V,1,MIN(10,AI$173))*(1+V_dPrecio))</f>
        <v>413140.5</v>
      </c>
      <c r="AJ202" s="34" t="n">
        <f aca="false">IF(AJ$8=1,IF(Reales!$C$38="PYG",IF(AJ$10&gt;0,N(Reales!AJ38)/AJ$10,0),N(Reales!AJ38)),AJ$177*INDEX(Precio_V,1)*INDEX(IdxPrecio_V,1,MIN(10,AJ$173))*(1+V_dPrecio))</f>
        <v>413140.5</v>
      </c>
      <c r="AK202" s="34" t="n">
        <f aca="false">IF(AK$8=1,IF(Reales!$C$38="PYG",IF(AK$10&gt;0,N(Reales!AK38)/AK$10,0),N(Reales!AK38)),AK$177*INDEX(Precio_V,1)*INDEX(IdxPrecio_V,1,MIN(10,AK$173))*(1+V_dPrecio))</f>
        <v>413140.5</v>
      </c>
      <c r="AL202" s="34" t="n">
        <f aca="false">IF(AL$8=1,IF(Reales!$C$38="PYG",IF(AL$10&gt;0,N(Reales!AL38)/AL$10,0),N(Reales!AL38)),AL$177*INDEX(Precio_V,1)*INDEX(IdxPrecio_V,1,MIN(10,AL$173))*(1+V_dPrecio))</f>
        <v>413140.5</v>
      </c>
      <c r="AM202" s="34" t="n">
        <f aca="false">IF(AM$8=1,IF(Reales!$C$38="PYG",IF(AM$10&gt;0,N(Reales!AM38)/AM$10,0),N(Reales!AM38)),AM$177*INDEX(Precio_V,1)*INDEX(IdxPrecio_V,1,MIN(10,AM$173))*(1+V_dPrecio))</f>
        <v>413140.5</v>
      </c>
      <c r="AN202" s="34" t="n">
        <f aca="false">IF(AN$8=1,IF(Reales!$C$38="PYG",IF(AN$10&gt;0,N(Reales!AN38)/AN$10,0),N(Reales!AN38)),AN$177*INDEX(Precio_V,1)*INDEX(IdxPrecio_V,1,MIN(10,AN$173))*(1+V_dPrecio))</f>
        <v>413140.5</v>
      </c>
      <c r="AO202" s="34" t="n">
        <f aca="false">IF(AO$8=1,IF(Reales!$C$38="PYG",IF(AO$10&gt;0,N(Reales!AO38)/AO$10,0),N(Reales!AO38)),AO$177*INDEX(Precio_V,1)*INDEX(IdxPrecio_V,1,MIN(10,AO$173))*(1+V_dPrecio))</f>
        <v>413140.5</v>
      </c>
      <c r="AP202" s="34" t="n">
        <f aca="false">IF(AP$8=1,IF(Reales!$C$38="PYG",IF(AP$10&gt;0,N(Reales!AP38)/AP$10,0),N(Reales!AP38)),AP$177*INDEX(Precio_V,1)*INDEX(IdxPrecio_V,1,MIN(10,AP$173))*(1+V_dPrecio))</f>
        <v>486817.2225</v>
      </c>
      <c r="AQ202" s="34" t="n">
        <f aca="false">IF(AQ$8=1,IF(Reales!$C$38="PYG",IF(AQ$10&gt;0,N(Reales!AQ38)/AQ$10,0),N(Reales!AQ38)),AQ$177*INDEX(Precio_V,1)*INDEX(IdxPrecio_V,1,MIN(10,AQ$173))*(1+V_dPrecio))</f>
        <v>486817.2225</v>
      </c>
      <c r="AR202" s="34" t="n">
        <f aca="false">IF(AR$8=1,IF(Reales!$C$38="PYG",IF(AR$10&gt;0,N(Reales!AR38)/AR$10,0),N(Reales!AR38)),AR$177*INDEX(Precio_V,1)*INDEX(IdxPrecio_V,1,MIN(10,AR$173))*(1+V_dPrecio))</f>
        <v>486817.2225</v>
      </c>
      <c r="AS202" s="34" t="n">
        <f aca="false">IF(AS$8=1,IF(Reales!$C$38="PYG",IF(AS$10&gt;0,N(Reales!AS38)/AS$10,0),N(Reales!AS38)),AS$177*INDEX(Precio_V,1)*INDEX(IdxPrecio_V,1,MIN(10,AS$173))*(1+V_dPrecio))</f>
        <v>486817.2225</v>
      </c>
      <c r="AT202" s="34" t="n">
        <f aca="false">IF(AT$8=1,IF(Reales!$C$38="PYG",IF(AT$10&gt;0,N(Reales!AT38)/AT$10,0),N(Reales!AT38)),AT$177*INDEX(Precio_V,1)*INDEX(IdxPrecio_V,1,MIN(10,AT$173))*(1+V_dPrecio))</f>
        <v>486817.2225</v>
      </c>
      <c r="AU202" s="34" t="n">
        <f aca="false">IF(AU$8=1,IF(Reales!$C$38="PYG",IF(AU$10&gt;0,N(Reales!AU38)/AU$10,0),N(Reales!AU38)),AU$177*INDEX(Precio_V,1)*INDEX(IdxPrecio_V,1,MIN(10,AU$173))*(1+V_dPrecio))</f>
        <v>486817.2225</v>
      </c>
      <c r="AV202" s="34" t="n">
        <f aca="false">IF(AV$8=1,IF(Reales!$C$38="PYG",IF(AV$10&gt;0,N(Reales!AV38)/AV$10,0),N(Reales!AV38)),AV$177*INDEX(Precio_V,1)*INDEX(IdxPrecio_V,1,MIN(10,AV$173))*(1+V_dPrecio))</f>
        <v>486817.2225</v>
      </c>
      <c r="AW202" s="34" t="n">
        <f aca="false">IF(AW$8=1,IF(Reales!$C$38="PYG",IF(AW$10&gt;0,N(Reales!AW38)/AW$10,0),N(Reales!AW38)),AW$177*INDEX(Precio_V,1)*INDEX(IdxPrecio_V,1,MIN(10,AW$173))*(1+V_dPrecio))</f>
        <v>486817.2225</v>
      </c>
      <c r="AX202" s="34" t="n">
        <f aca="false">IF(AX$8=1,IF(Reales!$C$38="PYG",IF(AX$10&gt;0,N(Reales!AX38)/AX$10,0),N(Reales!AX38)),AX$177*INDEX(Precio_V,1)*INDEX(IdxPrecio_V,1,MIN(10,AX$173))*(1+V_dPrecio))</f>
        <v>486817.2225</v>
      </c>
      <c r="AY202" s="34" t="n">
        <f aca="false">IF(AY$8=1,IF(Reales!$C$38="PYG",IF(AY$10&gt;0,N(Reales!AY38)/AY$10,0),N(Reales!AY38)),AY$177*INDEX(Precio_V,1)*INDEX(IdxPrecio_V,1,MIN(10,AY$173))*(1+V_dPrecio))</f>
        <v>486817.2225</v>
      </c>
      <c r="AZ202" s="34" t="n">
        <f aca="false">IF(AZ$8=1,IF(Reales!$C$38="PYG",IF(AZ$10&gt;0,N(Reales!AZ38)/AZ$10,0),N(Reales!AZ38)),AZ$177*INDEX(Precio_V,1)*INDEX(IdxPrecio_V,1,MIN(10,AZ$173))*(1+V_dPrecio))</f>
        <v>486817.2225</v>
      </c>
      <c r="BA202" s="34" t="n">
        <f aca="false">IF(BA$8=1,IF(Reales!$C$38="PYG",IF(BA$10&gt;0,N(Reales!BA38)/BA$10,0),N(Reales!BA38)),BA$177*INDEX(Precio_V,1)*INDEX(IdxPrecio_V,1,MIN(10,BA$173))*(1+V_dPrecio))</f>
        <v>486817.2225</v>
      </c>
      <c r="BB202" s="34" t="n">
        <f aca="false">IF(BB$8=1,IF(Reales!$C$38="PYG",IF(BB$10&gt;0,N(Reales!BB38)/BB$10,0),N(Reales!BB38)),BB$177*INDEX(Precio_V,1)*INDEX(IdxPrecio_V,1,MIN(10,BB$173))*(1+V_dPrecio))</f>
        <v>491685.394725</v>
      </c>
      <c r="BC202" s="34" t="n">
        <f aca="false">IF(BC$8=1,IF(Reales!$C$38="PYG",IF(BC$10&gt;0,N(Reales!BC38)/BC$10,0),N(Reales!BC38)),BC$177*INDEX(Precio_V,1)*INDEX(IdxPrecio_V,1,MIN(10,BC$173))*(1+V_dPrecio))</f>
        <v>491685.394725</v>
      </c>
      <c r="BD202" s="34" t="n">
        <f aca="false">IF(BD$8=1,IF(Reales!$C$38="PYG",IF(BD$10&gt;0,N(Reales!BD38)/BD$10,0),N(Reales!BD38)),BD$177*INDEX(Precio_V,1)*INDEX(IdxPrecio_V,1,MIN(10,BD$173))*(1+V_dPrecio))</f>
        <v>491685.394725</v>
      </c>
      <c r="BE202" s="34" t="n">
        <f aca="false">IF(BE$8=1,IF(Reales!$C$38="PYG",IF(BE$10&gt;0,N(Reales!BE38)/BE$10,0),N(Reales!BE38)),BE$177*INDEX(Precio_V,1)*INDEX(IdxPrecio_V,1,MIN(10,BE$173))*(1+V_dPrecio))</f>
        <v>491685.394725</v>
      </c>
      <c r="BF202" s="34" t="n">
        <f aca="false">IF(BF$8=1,IF(Reales!$C$38="PYG",IF(BF$10&gt;0,N(Reales!BF38)/BF$10,0),N(Reales!BF38)),BF$177*INDEX(Precio_V,1)*INDEX(IdxPrecio_V,1,MIN(10,BF$173))*(1+V_dPrecio))</f>
        <v>491685.394725</v>
      </c>
      <c r="BG202" s="34" t="n">
        <f aca="false">IF(BG$8=1,IF(Reales!$C$38="PYG",IF(BG$10&gt;0,N(Reales!BG38)/BG$10,0),N(Reales!BG38)),BG$177*INDEX(Precio_V,1)*INDEX(IdxPrecio_V,1,MIN(10,BG$173))*(1+V_dPrecio))</f>
        <v>491685.394725</v>
      </c>
      <c r="BH202" s="34" t="n">
        <f aca="false">IF(BH$8=1,IF(Reales!$C$38="PYG",IF(BH$10&gt;0,N(Reales!BH38)/BH$10,0),N(Reales!BH38)),BH$177*INDEX(Precio_V,1)*INDEX(IdxPrecio_V,1,MIN(10,BH$173))*(1+V_dPrecio))</f>
        <v>491685.394725</v>
      </c>
      <c r="BI202" s="34" t="n">
        <f aca="false">IF(BI$8=1,IF(Reales!$C$38="PYG",IF(BI$10&gt;0,N(Reales!BI38)/BI$10,0),N(Reales!BI38)),BI$177*INDEX(Precio_V,1)*INDEX(IdxPrecio_V,1,MIN(10,BI$173))*(1+V_dPrecio))</f>
        <v>491685.394725</v>
      </c>
      <c r="BJ202" s="34" t="n">
        <f aca="false">IF(BJ$8=1,IF(Reales!$C$38="PYG",IF(BJ$10&gt;0,N(Reales!BJ38)/BJ$10,0),N(Reales!BJ38)),BJ$177*INDEX(Precio_V,1)*INDEX(IdxPrecio_V,1,MIN(10,BJ$173))*(1+V_dPrecio))</f>
        <v>491685.394725</v>
      </c>
      <c r="BK202" s="34" t="n">
        <f aca="false">IF(BK$8=1,IF(Reales!$C$38="PYG",IF(BK$10&gt;0,N(Reales!BK38)/BK$10,0),N(Reales!BK38)),BK$177*INDEX(Precio_V,1)*INDEX(IdxPrecio_V,1,MIN(10,BK$173))*(1+V_dPrecio))</f>
        <v>491685.394725</v>
      </c>
      <c r="BL202" s="34" t="n">
        <f aca="false">IF(BL$8=1,IF(Reales!$C$38="PYG",IF(BL$10&gt;0,N(Reales!BL38)/BL$10,0),N(Reales!BL38)),BL$177*INDEX(Precio_V,1)*INDEX(IdxPrecio_V,1,MIN(10,BL$173))*(1+V_dPrecio))</f>
        <v>491685.394725</v>
      </c>
      <c r="BM202" s="34" t="n">
        <f aca="false">IF(BM$8=1,IF(Reales!$C$38="PYG",IF(BM$10&gt;0,N(Reales!BM38)/BM$10,0),N(Reales!BM38)),BM$177*INDEX(Precio_V,1)*INDEX(IdxPrecio_V,1,MIN(10,BM$173))*(1+V_dPrecio))</f>
        <v>491685.394725</v>
      </c>
      <c r="BN202" s="34" t="n">
        <f aca="false">IF(BN$8=1,IF(Reales!$C$38="PYG",IF(BN$10&gt;0,N(Reales!BN38)/BN$10,0),N(Reales!BN38)),BN$177*INDEX(Precio_V,1)*INDEX(IdxPrecio_V,1,MIN(10,BN$173))*(1+V_dPrecio))</f>
        <v>496602.24867225</v>
      </c>
      <c r="BO202" s="34" t="n">
        <f aca="false">IF(BO$8=1,IF(Reales!$C$38="PYG",IF(BO$10&gt;0,N(Reales!BO38)/BO$10,0),N(Reales!BO38)),BO$177*INDEX(Precio_V,1)*INDEX(IdxPrecio_V,1,MIN(10,BO$173))*(1+V_dPrecio))</f>
        <v>496602.24867225</v>
      </c>
      <c r="BP202" s="34" t="n">
        <f aca="false">IF(BP$8=1,IF(Reales!$C$38="PYG",IF(BP$10&gt;0,N(Reales!BP38)/BP$10,0),N(Reales!BP38)),BP$177*INDEX(Precio_V,1)*INDEX(IdxPrecio_V,1,MIN(10,BP$173))*(1+V_dPrecio))</f>
        <v>496602.24867225</v>
      </c>
      <c r="BQ202" s="34" t="n">
        <f aca="false">IF(BQ$8=1,IF(Reales!$C$38="PYG",IF(BQ$10&gt;0,N(Reales!BQ38)/BQ$10,0),N(Reales!BQ38)),BQ$177*INDEX(Precio_V,1)*INDEX(IdxPrecio_V,1,MIN(10,BQ$173))*(1+V_dPrecio))</f>
        <v>496602.24867225</v>
      </c>
      <c r="BR202" s="34" t="n">
        <f aca="false">IF(BR$8=1,IF(Reales!$C$38="PYG",IF(BR$10&gt;0,N(Reales!BR38)/BR$10,0),N(Reales!BR38)),BR$177*INDEX(Precio_V,1)*INDEX(IdxPrecio_V,1,MIN(10,BR$173))*(1+V_dPrecio))</f>
        <v>496602.24867225</v>
      </c>
      <c r="BS202" s="34" t="n">
        <f aca="false">IF(BS$8=1,IF(Reales!$C$38="PYG",IF(BS$10&gt;0,N(Reales!BS38)/BS$10,0),N(Reales!BS38)),BS$177*INDEX(Precio_V,1)*INDEX(IdxPrecio_V,1,MIN(10,BS$173))*(1+V_dPrecio))</f>
        <v>496602.24867225</v>
      </c>
      <c r="BT202" s="34" t="n">
        <f aca="false">IF(BT$8=1,IF(Reales!$C$38="PYG",IF(BT$10&gt;0,N(Reales!BT38)/BT$10,0),N(Reales!BT38)),BT$177*INDEX(Precio_V,1)*INDEX(IdxPrecio_V,1,MIN(10,BT$173))*(1+V_dPrecio))</f>
        <v>496602.24867225</v>
      </c>
      <c r="BU202" s="34" t="n">
        <f aca="false">IF(BU$8=1,IF(Reales!$C$38="PYG",IF(BU$10&gt;0,N(Reales!BU38)/BU$10,0),N(Reales!BU38)),BU$177*INDEX(Precio_V,1)*INDEX(IdxPrecio_V,1,MIN(10,BU$173))*(1+V_dPrecio))</f>
        <v>496602.24867225</v>
      </c>
      <c r="BV202" s="34" t="n">
        <f aca="false">IF(BV$8=1,IF(Reales!$C$38="PYG",IF(BV$10&gt;0,N(Reales!BV38)/BV$10,0),N(Reales!BV38)),BV$177*INDEX(Precio_V,1)*INDEX(IdxPrecio_V,1,MIN(10,BV$173))*(1+V_dPrecio))</f>
        <v>496602.24867225</v>
      </c>
      <c r="BW202" s="34" t="n">
        <f aca="false">IF(BW$8=1,IF(Reales!$C$38="PYG",IF(BW$10&gt;0,N(Reales!BW38)/BW$10,0),N(Reales!BW38)),BW$177*INDEX(Precio_V,1)*INDEX(IdxPrecio_V,1,MIN(10,BW$173))*(1+V_dPrecio))</f>
        <v>496602.24867225</v>
      </c>
      <c r="BX202" s="34" t="n">
        <f aca="false">IF(BX$8=1,IF(Reales!$C$38="PYG",IF(BX$10&gt;0,N(Reales!BX38)/BX$10,0),N(Reales!BX38)),BX$177*INDEX(Precio_V,1)*INDEX(IdxPrecio_V,1,MIN(10,BX$173))*(1+V_dPrecio))</f>
        <v>496602.24867225</v>
      </c>
      <c r="BY202" s="34" t="n">
        <f aca="false">IF(BY$8=1,IF(Reales!$C$38="PYG",IF(BY$10&gt;0,N(Reales!BY38)/BY$10,0),N(Reales!BY38)),BY$177*INDEX(Precio_V,1)*INDEX(IdxPrecio_V,1,MIN(10,BY$173))*(1+V_dPrecio))</f>
        <v>496602.24867225</v>
      </c>
      <c r="BZ202" s="34" t="n">
        <f aca="false">IF(BZ$8=1,IF(Reales!$C$38="PYG",IF(BZ$10&gt;0,N(Reales!BZ38)/BZ$10,0),N(Reales!BZ38)),BZ$177*INDEX(Precio_V,1)*INDEX(IdxPrecio_V,1,MIN(10,BZ$173))*(1+V_dPrecio))</f>
        <v>501568.271158972</v>
      </c>
      <c r="CA202" s="34" t="n">
        <f aca="false">IF(CA$8=1,IF(Reales!$C$38="PYG",IF(CA$10&gt;0,N(Reales!CA38)/CA$10,0),N(Reales!CA38)),CA$177*INDEX(Precio_V,1)*INDEX(IdxPrecio_V,1,MIN(10,CA$173))*(1+V_dPrecio))</f>
        <v>501568.271158972</v>
      </c>
      <c r="CB202" s="34" t="n">
        <f aca="false">IF(CB$8=1,IF(Reales!$C$38="PYG",IF(CB$10&gt;0,N(Reales!CB38)/CB$10,0),N(Reales!CB38)),CB$177*INDEX(Precio_V,1)*INDEX(IdxPrecio_V,1,MIN(10,CB$173))*(1+V_dPrecio))</f>
        <v>501568.271158972</v>
      </c>
      <c r="CC202" s="34" t="n">
        <f aca="false">IF(CC$8=1,IF(Reales!$C$38="PYG",IF(CC$10&gt;0,N(Reales!CC38)/CC$10,0),N(Reales!CC38)),CC$177*INDEX(Precio_V,1)*INDEX(IdxPrecio_V,1,MIN(10,CC$173))*(1+V_dPrecio))</f>
        <v>501568.271158972</v>
      </c>
      <c r="CD202" s="34" t="n">
        <f aca="false">IF(CD$8=1,IF(Reales!$C$38="PYG",IF(CD$10&gt;0,N(Reales!CD38)/CD$10,0),N(Reales!CD38)),CD$177*INDEX(Precio_V,1)*INDEX(IdxPrecio_V,1,MIN(10,CD$173))*(1+V_dPrecio))</f>
        <v>501568.271158972</v>
      </c>
      <c r="CE202" s="34" t="n">
        <f aca="false">IF(CE$8=1,IF(Reales!$C$38="PYG",IF(CE$10&gt;0,N(Reales!CE38)/CE$10,0),N(Reales!CE38)),CE$177*INDEX(Precio_V,1)*INDEX(IdxPrecio_V,1,MIN(10,CE$173))*(1+V_dPrecio))</f>
        <v>501568.271158972</v>
      </c>
      <c r="CF202" s="34" t="n">
        <f aca="false">IF(CF$8=1,IF(Reales!$C$38="PYG",IF(CF$10&gt;0,N(Reales!CF38)/CF$10,0),N(Reales!CF38)),CF$177*INDEX(Precio_V,1)*INDEX(IdxPrecio_V,1,MIN(10,CF$173))*(1+V_dPrecio))</f>
        <v>501568.271158972</v>
      </c>
      <c r="CG202" s="34" t="n">
        <f aca="false">IF(CG$8=1,IF(Reales!$C$38="PYG",IF(CG$10&gt;0,N(Reales!CG38)/CG$10,0),N(Reales!CG38)),CG$177*INDEX(Precio_V,1)*INDEX(IdxPrecio_V,1,MIN(10,CG$173))*(1+V_dPrecio))</f>
        <v>501568.271158972</v>
      </c>
      <c r="CH202" s="34" t="n">
        <f aca="false">IF(CH$8=1,IF(Reales!$C$38="PYG",IF(CH$10&gt;0,N(Reales!CH38)/CH$10,0),N(Reales!CH38)),CH$177*INDEX(Precio_V,1)*INDEX(IdxPrecio_V,1,MIN(10,CH$173))*(1+V_dPrecio))</f>
        <v>501568.271158972</v>
      </c>
      <c r="CI202" s="34" t="n">
        <f aca="false">IF(CI$8=1,IF(Reales!$C$38="PYG",IF(CI$10&gt;0,N(Reales!CI38)/CI$10,0),N(Reales!CI38)),CI$177*INDEX(Precio_V,1)*INDEX(IdxPrecio_V,1,MIN(10,CI$173))*(1+V_dPrecio))</f>
        <v>501568.271158972</v>
      </c>
      <c r="CJ202" s="34" t="n">
        <f aca="false">IF(CJ$8=1,IF(Reales!$C$38="PYG",IF(CJ$10&gt;0,N(Reales!CJ38)/CJ$10,0),N(Reales!CJ38)),CJ$177*INDEX(Precio_V,1)*INDEX(IdxPrecio_V,1,MIN(10,CJ$173))*(1+V_dPrecio))</f>
        <v>501568.271158972</v>
      </c>
      <c r="CK202" s="34" t="n">
        <f aca="false">IF(CK$8=1,IF(Reales!$C$38="PYG",IF(CK$10&gt;0,N(Reales!CK38)/CK$10,0),N(Reales!CK38)),CK$177*INDEX(Precio_V,1)*INDEX(IdxPrecio_V,1,MIN(10,CK$173))*(1+V_dPrecio))</f>
        <v>501568.271158972</v>
      </c>
      <c r="CL202" s="34" t="n">
        <f aca="false">IF(CL$8=1,IF(Reales!$C$38="PYG",IF(CL$10&gt;0,N(Reales!CL38)/CL$10,0),N(Reales!CL38)),CL$177*INDEX(Precio_V,1)*INDEX(IdxPrecio_V,1,MIN(10,CL$173))*(1+V_dPrecio))</f>
        <v>506583.953870562</v>
      </c>
      <c r="CM202" s="34" t="n">
        <f aca="false">IF(CM$8=1,IF(Reales!$C$38="PYG",IF(CM$10&gt;0,N(Reales!CM38)/CM$10,0),N(Reales!CM38)),CM$177*INDEX(Precio_V,1)*INDEX(IdxPrecio_V,1,MIN(10,CM$173))*(1+V_dPrecio))</f>
        <v>506583.953870562</v>
      </c>
      <c r="CN202" s="34" t="n">
        <f aca="false">IF(CN$8=1,IF(Reales!$C$38="PYG",IF(CN$10&gt;0,N(Reales!CN38)/CN$10,0),N(Reales!CN38)),CN$177*INDEX(Precio_V,1)*INDEX(IdxPrecio_V,1,MIN(10,CN$173))*(1+V_dPrecio))</f>
        <v>506583.953870562</v>
      </c>
      <c r="CO202" s="34" t="n">
        <f aca="false">IF(CO$8=1,IF(Reales!$C$38="PYG",IF(CO$10&gt;0,N(Reales!CO38)/CO$10,0),N(Reales!CO38)),CO$177*INDEX(Precio_V,1)*INDEX(IdxPrecio_V,1,MIN(10,CO$173))*(1+V_dPrecio))</f>
        <v>506583.953870562</v>
      </c>
      <c r="CP202" s="34" t="n">
        <f aca="false">IF(CP$8=1,IF(Reales!$C$38="PYG",IF(CP$10&gt;0,N(Reales!CP38)/CP$10,0),N(Reales!CP38)),CP$177*INDEX(Precio_V,1)*INDEX(IdxPrecio_V,1,MIN(10,CP$173))*(1+V_dPrecio))</f>
        <v>506583.953870562</v>
      </c>
      <c r="CQ202" s="34" t="n">
        <f aca="false">IF(CQ$8=1,IF(Reales!$C$38="PYG",IF(CQ$10&gt;0,N(Reales!CQ38)/CQ$10,0),N(Reales!CQ38)),CQ$177*INDEX(Precio_V,1)*INDEX(IdxPrecio_V,1,MIN(10,CQ$173))*(1+V_dPrecio))</f>
        <v>506583.953870562</v>
      </c>
      <c r="CR202" s="34" t="n">
        <f aca="false">IF(CR$8=1,IF(Reales!$C$38="PYG",IF(CR$10&gt;0,N(Reales!CR38)/CR$10,0),N(Reales!CR38)),CR$177*INDEX(Precio_V,1)*INDEX(IdxPrecio_V,1,MIN(10,CR$173))*(1+V_dPrecio))</f>
        <v>506583.953870562</v>
      </c>
      <c r="CS202" s="34" t="n">
        <f aca="false">IF(CS$8=1,IF(Reales!$C$38="PYG",IF(CS$10&gt;0,N(Reales!CS38)/CS$10,0),N(Reales!CS38)),CS$177*INDEX(Precio_V,1)*INDEX(IdxPrecio_V,1,MIN(10,CS$173))*(1+V_dPrecio))</f>
        <v>506583.953870562</v>
      </c>
      <c r="CT202" s="34" t="n">
        <f aca="false">IF(CT$8=1,IF(Reales!$C$38="PYG",IF(CT$10&gt;0,N(Reales!CT38)/CT$10,0),N(Reales!CT38)),CT$177*INDEX(Precio_V,1)*INDEX(IdxPrecio_V,1,MIN(10,CT$173))*(1+V_dPrecio))</f>
        <v>506583.953870562</v>
      </c>
      <c r="CU202" s="34" t="n">
        <f aca="false">IF(CU$8=1,IF(Reales!$C$38="PYG",IF(CU$10&gt;0,N(Reales!CU38)/CU$10,0),N(Reales!CU38)),CU$177*INDEX(Precio_V,1)*INDEX(IdxPrecio_V,1,MIN(10,CU$173))*(1+V_dPrecio))</f>
        <v>506583.953870562</v>
      </c>
      <c r="CV202" s="34" t="n">
        <f aca="false">IF(CV$8=1,IF(Reales!$C$38="PYG",IF(CV$10&gt;0,N(Reales!CV38)/CV$10,0),N(Reales!CV38)),CV$177*INDEX(Precio_V,1)*INDEX(IdxPrecio_V,1,MIN(10,CV$173))*(1+V_dPrecio))</f>
        <v>506583.953870562</v>
      </c>
      <c r="CW202" s="34" t="n">
        <f aca="false">IF(CW$8=1,IF(Reales!$C$38="PYG",IF(CW$10&gt;0,N(Reales!CW38)/CW$10,0),N(Reales!CW38)),CW$177*INDEX(Precio_V,1)*INDEX(IdxPrecio_V,1,MIN(10,CW$173))*(1+V_dPrecio))</f>
        <v>506583.953870562</v>
      </c>
      <c r="CX202" s="34" t="n">
        <f aca="false">IF(CX$8=1,IF(Reales!$C$38="PYG",IF(CX$10&gt;0,N(Reales!CX38)/CX$10,0),N(Reales!CX38)),CX$177*INDEX(Precio_V,1)*INDEX(IdxPrecio_V,1,MIN(10,CX$173))*(1+V_dPrecio))</f>
        <v>511649.793409268</v>
      </c>
      <c r="CY202" s="34" t="n">
        <f aca="false">IF(CY$8=1,IF(Reales!$C$38="PYG",IF(CY$10&gt;0,N(Reales!CY38)/CY$10,0),N(Reales!CY38)),CY$177*INDEX(Precio_V,1)*INDEX(IdxPrecio_V,1,MIN(10,CY$173))*(1+V_dPrecio))</f>
        <v>511649.793409268</v>
      </c>
      <c r="CZ202" s="34" t="n">
        <f aca="false">IF(CZ$8=1,IF(Reales!$C$38="PYG",IF(CZ$10&gt;0,N(Reales!CZ38)/CZ$10,0),N(Reales!CZ38)),CZ$177*INDEX(Precio_V,1)*INDEX(IdxPrecio_V,1,MIN(10,CZ$173))*(1+V_dPrecio))</f>
        <v>511649.793409268</v>
      </c>
      <c r="DA202" s="34" t="n">
        <f aca="false">IF(DA$8=1,IF(Reales!$C$38="PYG",IF(DA$10&gt;0,N(Reales!DA38)/DA$10,0),N(Reales!DA38)),DA$177*INDEX(Precio_V,1)*INDEX(IdxPrecio_V,1,MIN(10,DA$173))*(1+V_dPrecio))</f>
        <v>511649.793409268</v>
      </c>
      <c r="DB202" s="34" t="n">
        <f aca="false">IF(DB$8=1,IF(Reales!$C$38="PYG",IF(DB$10&gt;0,N(Reales!DB38)/DB$10,0),N(Reales!DB38)),DB$177*INDEX(Precio_V,1)*INDEX(IdxPrecio_V,1,MIN(10,DB$173))*(1+V_dPrecio))</f>
        <v>511649.793409268</v>
      </c>
      <c r="DC202" s="34" t="n">
        <f aca="false">IF(DC$8=1,IF(Reales!$C$38="PYG",IF(DC$10&gt;0,N(Reales!DC38)/DC$10,0),N(Reales!DC38)),DC$177*INDEX(Precio_V,1)*INDEX(IdxPrecio_V,1,MIN(10,DC$173))*(1+V_dPrecio))</f>
        <v>511649.793409268</v>
      </c>
      <c r="DD202" s="34" t="n">
        <f aca="false">IF(DD$8=1,IF(Reales!$C$38="PYG",IF(DD$10&gt;0,N(Reales!DD38)/DD$10,0),N(Reales!DD38)),DD$177*INDEX(Precio_V,1)*INDEX(IdxPrecio_V,1,MIN(10,DD$173))*(1+V_dPrecio))</f>
        <v>511649.793409268</v>
      </c>
      <c r="DE202" s="34" t="n">
        <f aca="false">IF(DE$8=1,IF(Reales!$C$38="PYG",IF(DE$10&gt;0,N(Reales!DE38)/DE$10,0),N(Reales!DE38)),DE$177*INDEX(Precio_V,1)*INDEX(IdxPrecio_V,1,MIN(10,DE$173))*(1+V_dPrecio))</f>
        <v>511649.793409268</v>
      </c>
      <c r="DF202" s="34" t="n">
        <f aca="false">IF(DF$8=1,IF(Reales!$C$38="PYG",IF(DF$10&gt;0,N(Reales!DF38)/DF$10,0),N(Reales!DF38)),DF$177*INDEX(Precio_V,1)*INDEX(IdxPrecio_V,1,MIN(10,DF$173))*(1+V_dPrecio))</f>
        <v>511649.793409268</v>
      </c>
      <c r="DG202" s="34" t="n">
        <f aca="false">IF(DG$8=1,IF(Reales!$C$38="PYG",IF(DG$10&gt;0,N(Reales!DG38)/DG$10,0),N(Reales!DG38)),DG$177*INDEX(Precio_V,1)*INDEX(IdxPrecio_V,1,MIN(10,DG$173))*(1+V_dPrecio))</f>
        <v>511649.793409268</v>
      </c>
      <c r="DH202" s="34" t="n">
        <f aca="false">IF(DH$8=1,IF(Reales!$C$38="PYG",IF(DH$10&gt;0,N(Reales!DH38)/DH$10,0),N(Reales!DH38)),DH$177*INDEX(Precio_V,1)*INDEX(IdxPrecio_V,1,MIN(10,DH$173))*(1+V_dPrecio))</f>
        <v>511649.793409268</v>
      </c>
      <c r="DI202" s="34" t="n">
        <f aca="false">IF(DI$8=1,IF(Reales!$C$38="PYG",IF(DI$10&gt;0,N(Reales!DI38)/DI$10,0),N(Reales!DI38)),DI$177*INDEX(Precio_V,1)*INDEX(IdxPrecio_V,1,MIN(10,DI$173))*(1+V_dPrecio))</f>
        <v>511649.793409268</v>
      </c>
      <c r="DJ202" s="34" t="n">
        <f aca="false">IF(DJ$8=1,IF(Reales!$C$38="PYG",IF(DJ$10&gt;0,N(Reales!DJ38)/DJ$10,0),N(Reales!DJ38)),DJ$177*INDEX(Precio_V,1)*INDEX(IdxPrecio_V,1,MIN(10,DJ$173))*(1+V_dPrecio))</f>
        <v>516766.291343361</v>
      </c>
      <c r="DK202" s="34" t="n">
        <f aca="false">IF(DK$8=1,IF(Reales!$C$38="PYG",IF(DK$10&gt;0,N(Reales!DK38)/DK$10,0),N(Reales!DK38)),DK$177*INDEX(Precio_V,1)*INDEX(IdxPrecio_V,1,MIN(10,DK$173))*(1+V_dPrecio))</f>
        <v>516766.291343361</v>
      </c>
      <c r="DL202" s="34" t="n">
        <f aca="false">IF(DL$8=1,IF(Reales!$C$38="PYG",IF(DL$10&gt;0,N(Reales!DL38)/DL$10,0),N(Reales!DL38)),DL$177*INDEX(Precio_V,1)*INDEX(IdxPrecio_V,1,MIN(10,DL$173))*(1+V_dPrecio))</f>
        <v>516766.291343361</v>
      </c>
      <c r="DM202" s="34" t="n">
        <f aca="false">IF(DM$8=1,IF(Reales!$C$38="PYG",IF(DM$10&gt;0,N(Reales!DM38)/DM$10,0),N(Reales!DM38)),DM$177*INDEX(Precio_V,1)*INDEX(IdxPrecio_V,1,MIN(10,DM$173))*(1+V_dPrecio))</f>
        <v>516766.291343361</v>
      </c>
      <c r="DN202" s="34" t="n">
        <f aca="false">IF(DN$8=1,IF(Reales!$C$38="PYG",IF(DN$10&gt;0,N(Reales!DN38)/DN$10,0),N(Reales!DN38)),DN$177*INDEX(Precio_V,1)*INDEX(IdxPrecio_V,1,MIN(10,DN$173))*(1+V_dPrecio))</f>
        <v>516766.291343361</v>
      </c>
      <c r="DO202" s="34" t="n">
        <f aca="false">IF(DO$8=1,IF(Reales!$C$38="PYG",IF(DO$10&gt;0,N(Reales!DO38)/DO$10,0),N(Reales!DO38)),DO$177*INDEX(Precio_V,1)*INDEX(IdxPrecio_V,1,MIN(10,DO$173))*(1+V_dPrecio))</f>
        <v>516766.291343361</v>
      </c>
      <c r="DP202" s="34" t="n">
        <f aca="false">IF(DP$8=1,IF(Reales!$C$38="PYG",IF(DP$10&gt;0,N(Reales!DP38)/DP$10,0),N(Reales!DP38)),DP$177*INDEX(Precio_V,1)*INDEX(IdxPrecio_V,1,MIN(10,DP$173))*(1+V_dPrecio))</f>
        <v>516766.291343361</v>
      </c>
      <c r="DQ202" s="34" t="n">
        <f aca="false">IF(DQ$8=1,IF(Reales!$C$38="PYG",IF(DQ$10&gt;0,N(Reales!DQ38)/DQ$10,0),N(Reales!DQ38)),DQ$177*INDEX(Precio_V,1)*INDEX(IdxPrecio_V,1,MIN(10,DQ$173))*(1+V_dPrecio))</f>
        <v>516766.291343361</v>
      </c>
      <c r="DR202" s="34" t="n">
        <f aca="false">IF(DR$8=1,IF(Reales!$C$38="PYG",IF(DR$10&gt;0,N(Reales!DR38)/DR$10,0),N(Reales!DR38)),DR$177*INDEX(Precio_V,1)*INDEX(IdxPrecio_V,1,MIN(10,DR$173))*(1+V_dPrecio))</f>
        <v>516766.291343361</v>
      </c>
      <c r="DS202" s="34" t="n">
        <f aca="false">IF(DS$8=1,IF(Reales!$C$38="PYG",IF(DS$10&gt;0,N(Reales!DS38)/DS$10,0),N(Reales!DS38)),DS$177*INDEX(Precio_V,1)*INDEX(IdxPrecio_V,1,MIN(10,DS$173))*(1+V_dPrecio))</f>
        <v>516766.291343361</v>
      </c>
      <c r="DT202" s="34" t="n">
        <f aca="false">IF(DT$8=1,IF(Reales!$C$38="PYG",IF(DT$10&gt;0,N(Reales!DT38)/DT$10,0),N(Reales!DT38)),DT$177*INDEX(Precio_V,1)*INDEX(IdxPrecio_V,1,MIN(10,DT$173))*(1+V_dPrecio))</f>
        <v>516766.291343361</v>
      </c>
      <c r="DU202" s="34" t="n">
        <f aca="false">IF(DU$8=1,IF(Reales!$C$38="PYG",IF(DU$10&gt;0,N(Reales!DU38)/DU$10,0),N(Reales!DU38)),DU$177*INDEX(Precio_V,1)*INDEX(IdxPrecio_V,1,MIN(10,DU$173))*(1+V_dPrecio))</f>
        <v>516766.291343361</v>
      </c>
      <c r="DV202" s="34" t="n">
        <f aca="false">IF(DV$8=1,IF(Reales!$C$38="PYG",IF(DV$10&gt;0,N(Reales!DV38)/DV$10,0),N(Reales!DV38)),DV$177*INDEX(Precio_V,1)*INDEX(IdxPrecio_V,1,MIN(10,DV$173))*(1+V_dPrecio))</f>
        <v>0</v>
      </c>
      <c r="DW202" s="34" t="n">
        <f aca="false">IF(DW$8=1,IF(Reales!$C$38="PYG",IF(DW$10&gt;0,N(Reales!DW38)/DW$10,0),N(Reales!DW38)),DW$177*INDEX(Precio_V,1)*INDEX(IdxPrecio_V,1,MIN(10,DW$173))*(1+V_dPrecio))</f>
        <v>0</v>
      </c>
      <c r="DX202" s="34" t="n">
        <f aca="false">IF(DX$8=1,IF(Reales!$C$38="PYG",IF(DX$10&gt;0,N(Reales!DX38)/DX$10,0),N(Reales!DX38)),DX$177*INDEX(Precio_V,1)*INDEX(IdxPrecio_V,1,MIN(10,DX$173))*(1+V_dPrecio))</f>
        <v>0</v>
      </c>
      <c r="DY202" s="34" t="n">
        <f aca="false">IF(DY$8=1,IF(Reales!$C$38="PYG",IF(DY$10&gt;0,N(Reales!DY38)/DY$10,0),N(Reales!DY38)),DY$177*INDEX(Precio_V,1)*INDEX(IdxPrecio_V,1,MIN(10,DY$173))*(1+V_dPrecio))</f>
        <v>0</v>
      </c>
      <c r="DZ202" s="34" t="n">
        <f aca="false">IF(DZ$8=1,IF(Reales!$C$38="PYG",IF(DZ$10&gt;0,N(Reales!DZ38)/DZ$10,0),N(Reales!DZ38)),DZ$177*INDEX(Precio_V,1)*INDEX(IdxPrecio_V,1,MIN(10,DZ$173))*(1+V_dPrecio))</f>
        <v>0</v>
      </c>
      <c r="EA202" s="34" t="n">
        <f aca="false">IF(EA$8=1,IF(Reales!$C$38="PYG",IF(EA$10&gt;0,N(Reales!EA38)/EA$10,0),N(Reales!EA38)),EA$177*INDEX(Precio_V,1)*INDEX(IdxPrecio_V,1,MIN(10,EA$173))*(1+V_dPrecio))</f>
        <v>0</v>
      </c>
      <c r="EB202" s="34" t="n">
        <f aca="false">IF(EB$8=1,IF(Reales!$C$38="PYG",IF(EB$10&gt;0,N(Reales!EB38)/EB$10,0),N(Reales!EB38)),EB$177*INDEX(Precio_V,1)*INDEX(IdxPrecio_V,1,MIN(10,EB$173))*(1+V_dPrecio))</f>
        <v>0</v>
      </c>
      <c r="EC202" s="34" t="n">
        <f aca="false">IF(EC$8=1,IF(Reales!$C$38="PYG",IF(EC$10&gt;0,N(Reales!EC38)/EC$10,0),N(Reales!EC38)),EC$177*INDEX(Precio_V,1)*INDEX(IdxPrecio_V,1,MIN(10,EC$173))*(1+V_dPrecio))</f>
        <v>0</v>
      </c>
      <c r="ED202" s="34" t="n">
        <f aca="false">IF(ED$8=1,IF(Reales!$C$38="PYG",IF(ED$10&gt;0,N(Reales!ED38)/ED$10,0),N(Reales!ED38)),ED$177*INDEX(Precio_V,1)*INDEX(IdxPrecio_V,1,MIN(10,ED$173))*(1+V_dPrecio))</f>
        <v>0</v>
      </c>
      <c r="EE202" s="34" t="n">
        <f aca="false">IF(EE$8=1,IF(Reales!$C$38="PYG",IF(EE$10&gt;0,N(Reales!EE38)/EE$10,0),N(Reales!EE38)),EE$177*INDEX(Precio_V,1)*INDEX(IdxPrecio_V,1,MIN(10,EE$173))*(1+V_dPrecio))</f>
        <v>0</v>
      </c>
      <c r="EF202" s="34" t="n">
        <f aca="false">IF(EF$8=1,IF(Reales!$C$38="PYG",IF(EF$10&gt;0,N(Reales!EF38)/EF$10,0),N(Reales!EF38)),EF$177*INDEX(Precio_V,1)*INDEX(IdxPrecio_V,1,MIN(10,EF$173))*(1+V_dPrecio))</f>
        <v>0</v>
      </c>
      <c r="EG202" s="34" t="n">
        <f aca="false">IF(EG$8=1,IF(Reales!$C$38="PYG",IF(EG$10&gt;0,N(Reales!EG38)/EG$10,0),N(Reales!EG38)),EG$177*INDEX(Precio_V,1)*INDEX(IdxPrecio_V,1,MIN(10,EG$173))*(1+V_dPrecio))</f>
        <v>0</v>
      </c>
      <c r="EH202" s="34" t="n">
        <f aca="false">IF(EH$8=1,IF(Reales!$C$38="PYG",IF(EH$10&gt;0,N(Reales!EH38)/EH$10,0),N(Reales!EH38)),EH$177*INDEX(Precio_V,1)*INDEX(IdxPrecio_V,1,MIN(10,EH$173))*(1+V_dPrecio))</f>
        <v>0</v>
      </c>
      <c r="EI202" s="34" t="n">
        <f aca="false">IF(EI$8=1,IF(Reales!$C$38="PYG",IF(EI$10&gt;0,N(Reales!EI38)/EI$10,0),N(Reales!EI38)),EI$177*INDEX(Precio_V,1)*INDEX(IdxPrecio_V,1,MIN(10,EI$173))*(1+V_dPrecio))</f>
        <v>0</v>
      </c>
      <c r="EJ202" s="34" t="n">
        <f aca="false">IF(EJ$8=1,IF(Reales!$C$38="PYG",IF(EJ$10&gt;0,N(Reales!EJ38)/EJ$10,0),N(Reales!EJ38)),EJ$177*INDEX(Precio_V,1)*INDEX(IdxPrecio_V,1,MIN(10,EJ$173))*(1+V_dPrecio))</f>
        <v>0</v>
      </c>
      <c r="EK202" s="34" t="n">
        <f aca="false">IF(EK$8=1,IF(Reales!$C$38="PYG",IF(EK$10&gt;0,N(Reales!EK38)/EK$10,0),N(Reales!EK38)),EK$177*INDEX(Precio_V,1)*INDEX(IdxPrecio_V,1,MIN(10,EK$173))*(1+V_dPrecio))</f>
        <v>0</v>
      </c>
      <c r="EL202" s="34" t="n">
        <f aca="false">IF(EL$8=1,IF(Reales!$C$38="PYG",IF(EL$10&gt;0,N(Reales!EL38)/EL$10,0),N(Reales!EL38)),EL$177*INDEX(Precio_V,1)*INDEX(IdxPrecio_V,1,MIN(10,EL$173))*(1+V_dPrecio))</f>
        <v>0</v>
      </c>
      <c r="EM202" s="34" t="n">
        <f aca="false">IF(EM$8=1,IF(Reales!$C$38="PYG",IF(EM$10&gt;0,N(Reales!EM38)/EM$10,0),N(Reales!EM38)),EM$177*INDEX(Precio_V,1)*INDEX(IdxPrecio_V,1,MIN(10,EM$173))*(1+V_dPrecio))</f>
        <v>0</v>
      </c>
      <c r="EN202" s="34" t="n">
        <f aca="false">IF(EN$8=1,IF(Reales!$C$38="PYG",IF(EN$10&gt;0,N(Reales!EN38)/EN$10,0),N(Reales!EN38)),EN$177*INDEX(Precio_V,1)*INDEX(IdxPrecio_V,1,MIN(10,EN$173))*(1+V_dPrecio))</f>
        <v>0</v>
      </c>
      <c r="EO202" s="34" t="n">
        <f aca="false">IF(EO$8=1,IF(Reales!$C$38="PYG",IF(EO$10&gt;0,N(Reales!EO38)/EO$10,0),N(Reales!EO38)),EO$177*INDEX(Precio_V,1)*INDEX(IdxPrecio_V,1,MIN(10,EO$173))*(1+V_dPrecio))</f>
        <v>0</v>
      </c>
      <c r="EP202" s="34" t="n">
        <f aca="false">IF(EP$8=1,IF(Reales!$C$38="PYG",IF(EP$10&gt;0,N(Reales!EP38)/EP$10,0),N(Reales!EP38)),EP$177*INDEX(Precio_V,1)*INDEX(IdxPrecio_V,1,MIN(10,EP$173))*(1+V_dPrecio))</f>
        <v>0</v>
      </c>
      <c r="EQ202" s="34" t="n">
        <f aca="false">IF(EQ$8=1,IF(Reales!$C$38="PYG",IF(EQ$10&gt;0,N(Reales!EQ38)/EQ$10,0),N(Reales!EQ38)),EQ$177*INDEX(Precio_V,1)*INDEX(IdxPrecio_V,1,MIN(10,EQ$173))*(1+V_dPrecio))</f>
        <v>0</v>
      </c>
      <c r="ER202" s="34" t="n">
        <f aca="false">IF(ER$8=1,IF(Reales!$C$38="PYG",IF(ER$10&gt;0,N(Reales!ER38)/ER$10,0),N(Reales!ER38)),ER$177*INDEX(Precio_V,1)*INDEX(IdxPrecio_V,1,MIN(10,ER$173))*(1+V_dPrecio))</f>
        <v>0</v>
      </c>
      <c r="ES202" s="34" t="n">
        <f aca="false">IF(ES$8=1,IF(Reales!$C$38="PYG",IF(ES$10&gt;0,N(Reales!ES38)/ES$10,0),N(Reales!ES38)),ES$177*INDEX(Precio_V,1)*INDEX(IdxPrecio_V,1,MIN(10,ES$173))*(1+V_dPrecio))</f>
        <v>0</v>
      </c>
    </row>
    <row r="203" customFormat="false" ht="15" hidden="false" customHeight="false" outlineLevel="0" collapsed="false">
      <c r="A203" s="2" t="s">
        <v>845</v>
      </c>
      <c r="B203" s="39" t="str">
        <f aca="false">IF(INDEX(Prod_Nombre,2)="","Producto 2",INDEX(Prod_Nombre,2))&amp;" — ventas USD"</f>
        <v>Cajas metálicas 13 kg — ventas USD</v>
      </c>
      <c r="C203" s="6" t="s">
        <v>250</v>
      </c>
      <c r="E203" s="40" t="n">
        <f aca="false">SUM(F203:ES203)</f>
        <v>26794183.6134924</v>
      </c>
      <c r="F203" s="34" t="n">
        <f aca="false">IF(F$8=1,IF(Reales!$C$39="PYG",IF(F$10&gt;0,N(Reales!F39)/F$10,0),N(Reales!F39)),F$178*INDEX(Precio_V,2)*INDEX(IdxPrecio_V,1,MIN(10,F$173))*(1+V_dPrecio))</f>
        <v>134166.666666667</v>
      </c>
      <c r="G203" s="34" t="n">
        <f aca="false">IF(G$8=1,IF(Reales!$C$39="PYG",IF(G$10&gt;0,N(Reales!G39)/G$10,0),N(Reales!G39)),G$178*INDEX(Precio_V,2)*INDEX(IdxPrecio_V,1,MIN(10,G$173))*(1+V_dPrecio))</f>
        <v>134166.666666667</v>
      </c>
      <c r="H203" s="34" t="n">
        <f aca="false">IF(H$8=1,IF(Reales!$C$39="PYG",IF(H$10&gt;0,N(Reales!H39)/H$10,0),N(Reales!H39)),H$178*INDEX(Precio_V,2)*INDEX(IdxPrecio_V,1,MIN(10,H$173))*(1+V_dPrecio))</f>
        <v>134166.666666667</v>
      </c>
      <c r="I203" s="34" t="n">
        <f aca="false">IF(I$8=1,IF(Reales!$C$39="PYG",IF(I$10&gt;0,N(Reales!I39)/I$10,0),N(Reales!I39)),I$178*INDEX(Precio_V,2)*INDEX(IdxPrecio_V,1,MIN(10,I$173))*(1+V_dPrecio))</f>
        <v>134166.666666667</v>
      </c>
      <c r="J203" s="34" t="n">
        <f aca="false">IF(J$8=1,IF(Reales!$C$39="PYG",IF(J$10&gt;0,N(Reales!J39)/J$10,0),N(Reales!J39)),J$178*INDEX(Precio_V,2)*INDEX(IdxPrecio_V,1,MIN(10,J$173))*(1+V_dPrecio))</f>
        <v>134166.666666667</v>
      </c>
      <c r="K203" s="34" t="n">
        <f aca="false">IF(K$8=1,IF(Reales!$C$39="PYG",IF(K$10&gt;0,N(Reales!K39)/K$10,0),N(Reales!K39)),K$178*INDEX(Precio_V,2)*INDEX(IdxPrecio_V,1,MIN(10,K$173))*(1+V_dPrecio))</f>
        <v>134166.666666667</v>
      </c>
      <c r="L203" s="34" t="n">
        <f aca="false">IF(L$8=1,IF(Reales!$C$39="PYG",IF(L$10&gt;0,N(Reales!L39)/L$10,0),N(Reales!L39)),L$178*INDEX(Precio_V,2)*INDEX(IdxPrecio_V,1,MIN(10,L$173))*(1+V_dPrecio))</f>
        <v>134166.666666667</v>
      </c>
      <c r="M203" s="34" t="n">
        <f aca="false">IF(M$8=1,IF(Reales!$C$39="PYG",IF(M$10&gt;0,N(Reales!M39)/M$10,0),N(Reales!M39)),M$178*INDEX(Precio_V,2)*INDEX(IdxPrecio_V,1,MIN(10,M$173))*(1+V_dPrecio))</f>
        <v>134166.666666667</v>
      </c>
      <c r="N203" s="34" t="n">
        <f aca="false">IF(N$8=1,IF(Reales!$C$39="PYG",IF(N$10&gt;0,N(Reales!N39)/N$10,0),N(Reales!N39)),N$178*INDEX(Precio_V,2)*INDEX(IdxPrecio_V,1,MIN(10,N$173))*(1+V_dPrecio))</f>
        <v>134166.666666667</v>
      </c>
      <c r="O203" s="34" t="n">
        <f aca="false">IF(O$8=1,IF(Reales!$C$39="PYG",IF(O$10&gt;0,N(Reales!O39)/O$10,0),N(Reales!O39)),O$178*INDEX(Precio_V,2)*INDEX(IdxPrecio_V,1,MIN(10,O$173))*(1+V_dPrecio))</f>
        <v>134166.666666667</v>
      </c>
      <c r="P203" s="34" t="n">
        <f aca="false">IF(P$8=1,IF(Reales!$C$39="PYG",IF(P$10&gt;0,N(Reales!P39)/P$10,0),N(Reales!P39)),P$178*INDEX(Precio_V,2)*INDEX(IdxPrecio_V,1,MIN(10,P$173))*(1+V_dPrecio))</f>
        <v>134166.666666667</v>
      </c>
      <c r="Q203" s="34" t="n">
        <f aca="false">IF(Q$8=1,IF(Reales!$C$39="PYG",IF(Q$10&gt;0,N(Reales!Q39)/Q$10,0),N(Reales!Q39)),Q$178*INDEX(Precio_V,2)*INDEX(IdxPrecio_V,1,MIN(10,Q$173))*(1+V_dPrecio))</f>
        <v>134166.666666667</v>
      </c>
      <c r="R203" s="34" t="n">
        <f aca="false">IF(R$8=1,IF(Reales!$C$39="PYG",IF(R$10&gt;0,N(Reales!R39)/R$10,0),N(Reales!R39)),R$178*INDEX(Precio_V,2)*INDEX(IdxPrecio_V,1,MIN(10,R$173))*(1+V_dPrecio))</f>
        <v>174225</v>
      </c>
      <c r="S203" s="34" t="n">
        <f aca="false">IF(S$8=1,IF(Reales!$C$39="PYG",IF(S$10&gt;0,N(Reales!S39)/S$10,0),N(Reales!S39)),S$178*INDEX(Precio_V,2)*INDEX(IdxPrecio_V,1,MIN(10,S$173))*(1+V_dPrecio))</f>
        <v>174225</v>
      </c>
      <c r="T203" s="34" t="n">
        <f aca="false">IF(T$8=1,IF(Reales!$C$39="PYG",IF(T$10&gt;0,N(Reales!T39)/T$10,0),N(Reales!T39)),T$178*INDEX(Precio_V,2)*INDEX(IdxPrecio_V,1,MIN(10,T$173))*(1+V_dPrecio))</f>
        <v>174225</v>
      </c>
      <c r="U203" s="34" t="n">
        <f aca="false">IF(U$8=1,IF(Reales!$C$39="PYG",IF(U$10&gt;0,N(Reales!U39)/U$10,0),N(Reales!U39)),U$178*INDEX(Precio_V,2)*INDEX(IdxPrecio_V,1,MIN(10,U$173))*(1+V_dPrecio))</f>
        <v>174225</v>
      </c>
      <c r="V203" s="34" t="n">
        <f aca="false">IF(V$8=1,IF(Reales!$C$39="PYG",IF(V$10&gt;0,N(Reales!V39)/V$10,0),N(Reales!V39)),V$178*INDEX(Precio_V,2)*INDEX(IdxPrecio_V,1,MIN(10,V$173))*(1+V_dPrecio))</f>
        <v>174225</v>
      </c>
      <c r="W203" s="34" t="n">
        <f aca="false">IF(W$8=1,IF(Reales!$C$39="PYG",IF(W$10&gt;0,N(Reales!W39)/W$10,0),N(Reales!W39)),W$178*INDEX(Precio_V,2)*INDEX(IdxPrecio_V,1,MIN(10,W$173))*(1+V_dPrecio))</f>
        <v>174225</v>
      </c>
      <c r="X203" s="34" t="n">
        <f aca="false">IF(X$8=1,IF(Reales!$C$39="PYG",IF(X$10&gt;0,N(Reales!X39)/X$10,0),N(Reales!X39)),X$178*INDEX(Precio_V,2)*INDEX(IdxPrecio_V,1,MIN(10,X$173))*(1+V_dPrecio))</f>
        <v>174225</v>
      </c>
      <c r="Y203" s="34" t="n">
        <f aca="false">IF(Y$8=1,IF(Reales!$C$39="PYG",IF(Y$10&gt;0,N(Reales!Y39)/Y$10,0),N(Reales!Y39)),Y$178*INDEX(Precio_V,2)*INDEX(IdxPrecio_V,1,MIN(10,Y$173))*(1+V_dPrecio))</f>
        <v>174225</v>
      </c>
      <c r="Z203" s="34" t="n">
        <f aca="false">IF(Z$8=1,IF(Reales!$C$39="PYG",IF(Z$10&gt;0,N(Reales!Z39)/Z$10,0),N(Reales!Z39)),Z$178*INDEX(Precio_V,2)*INDEX(IdxPrecio_V,1,MIN(10,Z$173))*(1+V_dPrecio))</f>
        <v>174225</v>
      </c>
      <c r="AA203" s="34" t="n">
        <f aca="false">IF(AA$8=1,IF(Reales!$C$39="PYG",IF(AA$10&gt;0,N(Reales!AA39)/AA$10,0),N(Reales!AA39)),AA$178*INDEX(Precio_V,2)*INDEX(IdxPrecio_V,1,MIN(10,AA$173))*(1+V_dPrecio))</f>
        <v>174225</v>
      </c>
      <c r="AB203" s="34" t="n">
        <f aca="false">IF(AB$8=1,IF(Reales!$C$39="PYG",IF(AB$10&gt;0,N(Reales!AB39)/AB$10,0),N(Reales!AB39)),AB$178*INDEX(Precio_V,2)*INDEX(IdxPrecio_V,1,MIN(10,AB$173))*(1+V_dPrecio))</f>
        <v>174225</v>
      </c>
      <c r="AC203" s="34" t="n">
        <f aca="false">IF(AC$8=1,IF(Reales!$C$39="PYG",IF(AC$10&gt;0,N(Reales!AC39)/AC$10,0),N(Reales!AC39)),AC$178*INDEX(Precio_V,2)*INDEX(IdxPrecio_V,1,MIN(10,AC$173))*(1+V_dPrecio))</f>
        <v>174225</v>
      </c>
      <c r="AD203" s="34" t="n">
        <f aca="false">IF(AD$8=1,IF(Reales!$C$39="PYG",IF(AD$10&gt;0,N(Reales!AD39)/AD$10,0),N(Reales!AD39)),AD$178*INDEX(Precio_V,2)*INDEX(IdxPrecio_V,1,MIN(10,AD$173))*(1+V_dPrecio))</f>
        <v>215071.083333333</v>
      </c>
      <c r="AE203" s="34" t="n">
        <f aca="false">IF(AE$8=1,IF(Reales!$C$39="PYG",IF(AE$10&gt;0,N(Reales!AE39)/AE$10,0),N(Reales!AE39)),AE$178*INDEX(Precio_V,2)*INDEX(IdxPrecio_V,1,MIN(10,AE$173))*(1+V_dPrecio))</f>
        <v>215071.083333333</v>
      </c>
      <c r="AF203" s="34" t="n">
        <f aca="false">IF(AF$8=1,IF(Reales!$C$39="PYG",IF(AF$10&gt;0,N(Reales!AF39)/AF$10,0),N(Reales!AF39)),AF$178*INDEX(Precio_V,2)*INDEX(IdxPrecio_V,1,MIN(10,AF$173))*(1+V_dPrecio))</f>
        <v>215071.083333333</v>
      </c>
      <c r="AG203" s="34" t="n">
        <f aca="false">IF(AG$8=1,IF(Reales!$C$39="PYG",IF(AG$10&gt;0,N(Reales!AG39)/AG$10,0),N(Reales!AG39)),AG$178*INDEX(Precio_V,2)*INDEX(IdxPrecio_V,1,MIN(10,AG$173))*(1+V_dPrecio))</f>
        <v>215071.083333333</v>
      </c>
      <c r="AH203" s="34" t="n">
        <f aca="false">IF(AH$8=1,IF(Reales!$C$39="PYG",IF(AH$10&gt;0,N(Reales!AH39)/AH$10,0),N(Reales!AH39)),AH$178*INDEX(Precio_V,2)*INDEX(IdxPrecio_V,1,MIN(10,AH$173))*(1+V_dPrecio))</f>
        <v>215071.083333333</v>
      </c>
      <c r="AI203" s="34" t="n">
        <f aca="false">IF(AI$8=1,IF(Reales!$C$39="PYG",IF(AI$10&gt;0,N(Reales!AI39)/AI$10,0),N(Reales!AI39)),AI$178*INDEX(Precio_V,2)*INDEX(IdxPrecio_V,1,MIN(10,AI$173))*(1+V_dPrecio))</f>
        <v>215071.083333333</v>
      </c>
      <c r="AJ203" s="34" t="n">
        <f aca="false">IF(AJ$8=1,IF(Reales!$C$39="PYG",IF(AJ$10&gt;0,N(Reales!AJ39)/AJ$10,0),N(Reales!AJ39)),AJ$178*INDEX(Precio_V,2)*INDEX(IdxPrecio_V,1,MIN(10,AJ$173))*(1+V_dPrecio))</f>
        <v>215071.083333333</v>
      </c>
      <c r="AK203" s="34" t="n">
        <f aca="false">IF(AK$8=1,IF(Reales!$C$39="PYG",IF(AK$10&gt;0,N(Reales!AK39)/AK$10,0),N(Reales!AK39)),AK$178*INDEX(Precio_V,2)*INDEX(IdxPrecio_V,1,MIN(10,AK$173))*(1+V_dPrecio))</f>
        <v>215071.083333333</v>
      </c>
      <c r="AL203" s="34" t="n">
        <f aca="false">IF(AL$8=1,IF(Reales!$C$39="PYG",IF(AL$10&gt;0,N(Reales!AL39)/AL$10,0),N(Reales!AL39)),AL$178*INDEX(Precio_V,2)*INDEX(IdxPrecio_V,1,MIN(10,AL$173))*(1+V_dPrecio))</f>
        <v>215071.083333333</v>
      </c>
      <c r="AM203" s="34" t="n">
        <f aca="false">IF(AM$8=1,IF(Reales!$C$39="PYG",IF(AM$10&gt;0,N(Reales!AM39)/AM$10,0),N(Reales!AM39)),AM$178*INDEX(Precio_V,2)*INDEX(IdxPrecio_V,1,MIN(10,AM$173))*(1+V_dPrecio))</f>
        <v>215071.083333333</v>
      </c>
      <c r="AN203" s="34" t="n">
        <f aca="false">IF(AN$8=1,IF(Reales!$C$39="PYG",IF(AN$10&gt;0,N(Reales!AN39)/AN$10,0),N(Reales!AN39)),AN$178*INDEX(Precio_V,2)*INDEX(IdxPrecio_V,1,MIN(10,AN$173))*(1+V_dPrecio))</f>
        <v>215071.083333333</v>
      </c>
      <c r="AO203" s="34" t="n">
        <f aca="false">IF(AO$8=1,IF(Reales!$C$39="PYG",IF(AO$10&gt;0,N(Reales!AO39)/AO$10,0),N(Reales!AO39)),AO$178*INDEX(Precio_V,2)*INDEX(IdxPrecio_V,1,MIN(10,AO$173))*(1+V_dPrecio))</f>
        <v>215071.083333333</v>
      </c>
      <c r="AP203" s="34" t="n">
        <f aca="false">IF(AP$8=1,IF(Reales!$C$39="PYG",IF(AP$10&gt;0,N(Reales!AP39)/AP$10,0),N(Reales!AP39)),AP$178*INDEX(Precio_V,2)*INDEX(IdxPrecio_V,1,MIN(10,AP$173))*(1+V_dPrecio))</f>
        <v>236969.23</v>
      </c>
      <c r="AQ203" s="34" t="n">
        <f aca="false">IF(AQ$8=1,IF(Reales!$C$39="PYG",IF(AQ$10&gt;0,N(Reales!AQ39)/AQ$10,0),N(Reales!AQ39)),AQ$178*INDEX(Precio_V,2)*INDEX(IdxPrecio_V,1,MIN(10,AQ$173))*(1+V_dPrecio))</f>
        <v>236969.23</v>
      </c>
      <c r="AR203" s="34" t="n">
        <f aca="false">IF(AR$8=1,IF(Reales!$C$39="PYG",IF(AR$10&gt;0,N(Reales!AR39)/AR$10,0),N(Reales!AR39)),AR$178*INDEX(Precio_V,2)*INDEX(IdxPrecio_V,1,MIN(10,AR$173))*(1+V_dPrecio))</f>
        <v>236969.23</v>
      </c>
      <c r="AS203" s="34" t="n">
        <f aca="false">IF(AS$8=1,IF(Reales!$C$39="PYG",IF(AS$10&gt;0,N(Reales!AS39)/AS$10,0),N(Reales!AS39)),AS$178*INDEX(Precio_V,2)*INDEX(IdxPrecio_V,1,MIN(10,AS$173))*(1+V_dPrecio))</f>
        <v>236969.23</v>
      </c>
      <c r="AT203" s="34" t="n">
        <f aca="false">IF(AT$8=1,IF(Reales!$C$39="PYG",IF(AT$10&gt;0,N(Reales!AT39)/AT$10,0),N(Reales!AT39)),AT$178*INDEX(Precio_V,2)*INDEX(IdxPrecio_V,1,MIN(10,AT$173))*(1+V_dPrecio))</f>
        <v>236969.23</v>
      </c>
      <c r="AU203" s="34" t="n">
        <f aca="false">IF(AU$8=1,IF(Reales!$C$39="PYG",IF(AU$10&gt;0,N(Reales!AU39)/AU$10,0),N(Reales!AU39)),AU$178*INDEX(Precio_V,2)*INDEX(IdxPrecio_V,1,MIN(10,AU$173))*(1+V_dPrecio))</f>
        <v>236969.23</v>
      </c>
      <c r="AV203" s="34" t="n">
        <f aca="false">IF(AV$8=1,IF(Reales!$C$39="PYG",IF(AV$10&gt;0,N(Reales!AV39)/AV$10,0),N(Reales!AV39)),AV$178*INDEX(Precio_V,2)*INDEX(IdxPrecio_V,1,MIN(10,AV$173))*(1+V_dPrecio))</f>
        <v>236969.23</v>
      </c>
      <c r="AW203" s="34" t="n">
        <f aca="false">IF(AW$8=1,IF(Reales!$C$39="PYG",IF(AW$10&gt;0,N(Reales!AW39)/AW$10,0),N(Reales!AW39)),AW$178*INDEX(Precio_V,2)*INDEX(IdxPrecio_V,1,MIN(10,AW$173))*(1+V_dPrecio))</f>
        <v>236969.23</v>
      </c>
      <c r="AX203" s="34" t="n">
        <f aca="false">IF(AX$8=1,IF(Reales!$C$39="PYG",IF(AX$10&gt;0,N(Reales!AX39)/AX$10,0),N(Reales!AX39)),AX$178*INDEX(Precio_V,2)*INDEX(IdxPrecio_V,1,MIN(10,AX$173))*(1+V_dPrecio))</f>
        <v>236969.23</v>
      </c>
      <c r="AY203" s="34" t="n">
        <f aca="false">IF(AY$8=1,IF(Reales!$C$39="PYG",IF(AY$10&gt;0,N(Reales!AY39)/AY$10,0),N(Reales!AY39)),AY$178*INDEX(Precio_V,2)*INDEX(IdxPrecio_V,1,MIN(10,AY$173))*(1+V_dPrecio))</f>
        <v>236969.23</v>
      </c>
      <c r="AZ203" s="34" t="n">
        <f aca="false">IF(AZ$8=1,IF(Reales!$C$39="PYG",IF(AZ$10&gt;0,N(Reales!AZ39)/AZ$10,0),N(Reales!AZ39)),AZ$178*INDEX(Precio_V,2)*INDEX(IdxPrecio_V,1,MIN(10,AZ$173))*(1+V_dPrecio))</f>
        <v>236969.23</v>
      </c>
      <c r="BA203" s="34" t="n">
        <f aca="false">IF(BA$8=1,IF(Reales!$C$39="PYG",IF(BA$10&gt;0,N(Reales!BA39)/BA$10,0),N(Reales!BA39)),BA$178*INDEX(Precio_V,2)*INDEX(IdxPrecio_V,1,MIN(10,BA$173))*(1+V_dPrecio))</f>
        <v>236969.23</v>
      </c>
      <c r="BB203" s="34" t="n">
        <f aca="false">IF(BB$8=1,IF(Reales!$C$39="PYG",IF(BB$10&gt;0,N(Reales!BB39)/BB$10,0),N(Reales!BB39)),BB$178*INDEX(Precio_V,2)*INDEX(IdxPrecio_V,1,MIN(10,BB$173))*(1+V_dPrecio))</f>
        <v>239338.9223</v>
      </c>
      <c r="BC203" s="34" t="n">
        <f aca="false">IF(BC$8=1,IF(Reales!$C$39="PYG",IF(BC$10&gt;0,N(Reales!BC39)/BC$10,0),N(Reales!BC39)),BC$178*INDEX(Precio_V,2)*INDEX(IdxPrecio_V,1,MIN(10,BC$173))*(1+V_dPrecio))</f>
        <v>239338.9223</v>
      </c>
      <c r="BD203" s="34" t="n">
        <f aca="false">IF(BD$8=1,IF(Reales!$C$39="PYG",IF(BD$10&gt;0,N(Reales!BD39)/BD$10,0),N(Reales!BD39)),BD$178*INDEX(Precio_V,2)*INDEX(IdxPrecio_V,1,MIN(10,BD$173))*(1+V_dPrecio))</f>
        <v>239338.9223</v>
      </c>
      <c r="BE203" s="34" t="n">
        <f aca="false">IF(BE$8=1,IF(Reales!$C$39="PYG",IF(BE$10&gt;0,N(Reales!BE39)/BE$10,0),N(Reales!BE39)),BE$178*INDEX(Precio_V,2)*INDEX(IdxPrecio_V,1,MIN(10,BE$173))*(1+V_dPrecio))</f>
        <v>239338.9223</v>
      </c>
      <c r="BF203" s="34" t="n">
        <f aca="false">IF(BF$8=1,IF(Reales!$C$39="PYG",IF(BF$10&gt;0,N(Reales!BF39)/BF$10,0),N(Reales!BF39)),BF$178*INDEX(Precio_V,2)*INDEX(IdxPrecio_V,1,MIN(10,BF$173))*(1+V_dPrecio))</f>
        <v>239338.9223</v>
      </c>
      <c r="BG203" s="34" t="n">
        <f aca="false">IF(BG$8=1,IF(Reales!$C$39="PYG",IF(BG$10&gt;0,N(Reales!BG39)/BG$10,0),N(Reales!BG39)),BG$178*INDEX(Precio_V,2)*INDEX(IdxPrecio_V,1,MIN(10,BG$173))*(1+V_dPrecio))</f>
        <v>239338.9223</v>
      </c>
      <c r="BH203" s="34" t="n">
        <f aca="false">IF(BH$8=1,IF(Reales!$C$39="PYG",IF(BH$10&gt;0,N(Reales!BH39)/BH$10,0),N(Reales!BH39)),BH$178*INDEX(Precio_V,2)*INDEX(IdxPrecio_V,1,MIN(10,BH$173))*(1+V_dPrecio))</f>
        <v>239338.9223</v>
      </c>
      <c r="BI203" s="34" t="n">
        <f aca="false">IF(BI$8=1,IF(Reales!$C$39="PYG",IF(BI$10&gt;0,N(Reales!BI39)/BI$10,0),N(Reales!BI39)),BI$178*INDEX(Precio_V,2)*INDEX(IdxPrecio_V,1,MIN(10,BI$173))*(1+V_dPrecio))</f>
        <v>239338.9223</v>
      </c>
      <c r="BJ203" s="34" t="n">
        <f aca="false">IF(BJ$8=1,IF(Reales!$C$39="PYG",IF(BJ$10&gt;0,N(Reales!BJ39)/BJ$10,0),N(Reales!BJ39)),BJ$178*INDEX(Precio_V,2)*INDEX(IdxPrecio_V,1,MIN(10,BJ$173))*(1+V_dPrecio))</f>
        <v>239338.9223</v>
      </c>
      <c r="BK203" s="34" t="n">
        <f aca="false">IF(BK$8=1,IF(Reales!$C$39="PYG",IF(BK$10&gt;0,N(Reales!BK39)/BK$10,0),N(Reales!BK39)),BK$178*INDEX(Precio_V,2)*INDEX(IdxPrecio_V,1,MIN(10,BK$173))*(1+V_dPrecio))</f>
        <v>239338.9223</v>
      </c>
      <c r="BL203" s="34" t="n">
        <f aca="false">IF(BL$8=1,IF(Reales!$C$39="PYG",IF(BL$10&gt;0,N(Reales!BL39)/BL$10,0),N(Reales!BL39)),BL$178*INDEX(Precio_V,2)*INDEX(IdxPrecio_V,1,MIN(10,BL$173))*(1+V_dPrecio))</f>
        <v>239338.9223</v>
      </c>
      <c r="BM203" s="34" t="n">
        <f aca="false">IF(BM$8=1,IF(Reales!$C$39="PYG",IF(BM$10&gt;0,N(Reales!BM39)/BM$10,0),N(Reales!BM39)),BM$178*INDEX(Precio_V,2)*INDEX(IdxPrecio_V,1,MIN(10,BM$173))*(1+V_dPrecio))</f>
        <v>239338.9223</v>
      </c>
      <c r="BN203" s="34" t="n">
        <f aca="false">IF(BN$8=1,IF(Reales!$C$39="PYG",IF(BN$10&gt;0,N(Reales!BN39)/BN$10,0),N(Reales!BN39)),BN$178*INDEX(Precio_V,2)*INDEX(IdxPrecio_V,1,MIN(10,BN$173))*(1+V_dPrecio))</f>
        <v>241732.311523</v>
      </c>
      <c r="BO203" s="34" t="n">
        <f aca="false">IF(BO$8=1,IF(Reales!$C$39="PYG",IF(BO$10&gt;0,N(Reales!BO39)/BO$10,0),N(Reales!BO39)),BO$178*INDEX(Precio_V,2)*INDEX(IdxPrecio_V,1,MIN(10,BO$173))*(1+V_dPrecio))</f>
        <v>241732.311523</v>
      </c>
      <c r="BP203" s="34" t="n">
        <f aca="false">IF(BP$8=1,IF(Reales!$C$39="PYG",IF(BP$10&gt;0,N(Reales!BP39)/BP$10,0),N(Reales!BP39)),BP$178*INDEX(Precio_V,2)*INDEX(IdxPrecio_V,1,MIN(10,BP$173))*(1+V_dPrecio))</f>
        <v>241732.311523</v>
      </c>
      <c r="BQ203" s="34" t="n">
        <f aca="false">IF(BQ$8=1,IF(Reales!$C$39="PYG",IF(BQ$10&gt;0,N(Reales!BQ39)/BQ$10,0),N(Reales!BQ39)),BQ$178*INDEX(Precio_V,2)*INDEX(IdxPrecio_V,1,MIN(10,BQ$173))*(1+V_dPrecio))</f>
        <v>241732.311523</v>
      </c>
      <c r="BR203" s="34" t="n">
        <f aca="false">IF(BR$8=1,IF(Reales!$C$39="PYG",IF(BR$10&gt;0,N(Reales!BR39)/BR$10,0),N(Reales!BR39)),BR$178*INDEX(Precio_V,2)*INDEX(IdxPrecio_V,1,MIN(10,BR$173))*(1+V_dPrecio))</f>
        <v>241732.311523</v>
      </c>
      <c r="BS203" s="34" t="n">
        <f aca="false">IF(BS$8=1,IF(Reales!$C$39="PYG",IF(BS$10&gt;0,N(Reales!BS39)/BS$10,0),N(Reales!BS39)),BS$178*INDEX(Precio_V,2)*INDEX(IdxPrecio_V,1,MIN(10,BS$173))*(1+V_dPrecio))</f>
        <v>241732.311523</v>
      </c>
      <c r="BT203" s="34" t="n">
        <f aca="false">IF(BT$8=1,IF(Reales!$C$39="PYG",IF(BT$10&gt;0,N(Reales!BT39)/BT$10,0),N(Reales!BT39)),BT$178*INDEX(Precio_V,2)*INDEX(IdxPrecio_V,1,MIN(10,BT$173))*(1+V_dPrecio))</f>
        <v>241732.311523</v>
      </c>
      <c r="BU203" s="34" t="n">
        <f aca="false">IF(BU$8=1,IF(Reales!$C$39="PYG",IF(BU$10&gt;0,N(Reales!BU39)/BU$10,0),N(Reales!BU39)),BU$178*INDEX(Precio_V,2)*INDEX(IdxPrecio_V,1,MIN(10,BU$173))*(1+V_dPrecio))</f>
        <v>241732.311523</v>
      </c>
      <c r="BV203" s="34" t="n">
        <f aca="false">IF(BV$8=1,IF(Reales!$C$39="PYG",IF(BV$10&gt;0,N(Reales!BV39)/BV$10,0),N(Reales!BV39)),BV$178*INDEX(Precio_V,2)*INDEX(IdxPrecio_V,1,MIN(10,BV$173))*(1+V_dPrecio))</f>
        <v>241732.311523</v>
      </c>
      <c r="BW203" s="34" t="n">
        <f aca="false">IF(BW$8=1,IF(Reales!$C$39="PYG",IF(BW$10&gt;0,N(Reales!BW39)/BW$10,0),N(Reales!BW39)),BW$178*INDEX(Precio_V,2)*INDEX(IdxPrecio_V,1,MIN(10,BW$173))*(1+V_dPrecio))</f>
        <v>241732.311523</v>
      </c>
      <c r="BX203" s="34" t="n">
        <f aca="false">IF(BX$8=1,IF(Reales!$C$39="PYG",IF(BX$10&gt;0,N(Reales!BX39)/BX$10,0),N(Reales!BX39)),BX$178*INDEX(Precio_V,2)*INDEX(IdxPrecio_V,1,MIN(10,BX$173))*(1+V_dPrecio))</f>
        <v>241732.311523</v>
      </c>
      <c r="BY203" s="34" t="n">
        <f aca="false">IF(BY$8=1,IF(Reales!$C$39="PYG",IF(BY$10&gt;0,N(Reales!BY39)/BY$10,0),N(Reales!BY39)),BY$178*INDEX(Precio_V,2)*INDEX(IdxPrecio_V,1,MIN(10,BY$173))*(1+V_dPrecio))</f>
        <v>241732.311523</v>
      </c>
      <c r="BZ203" s="34" t="n">
        <f aca="false">IF(BZ$8=1,IF(Reales!$C$39="PYG",IF(BZ$10&gt;0,N(Reales!BZ39)/BZ$10,0),N(Reales!BZ39)),BZ$178*INDEX(Precio_V,2)*INDEX(IdxPrecio_V,1,MIN(10,BZ$173))*(1+V_dPrecio))</f>
        <v>244149.63463823</v>
      </c>
      <c r="CA203" s="34" t="n">
        <f aca="false">IF(CA$8=1,IF(Reales!$C$39="PYG",IF(CA$10&gt;0,N(Reales!CA39)/CA$10,0),N(Reales!CA39)),CA$178*INDEX(Precio_V,2)*INDEX(IdxPrecio_V,1,MIN(10,CA$173))*(1+V_dPrecio))</f>
        <v>244149.63463823</v>
      </c>
      <c r="CB203" s="34" t="n">
        <f aca="false">IF(CB$8=1,IF(Reales!$C$39="PYG",IF(CB$10&gt;0,N(Reales!CB39)/CB$10,0),N(Reales!CB39)),CB$178*INDEX(Precio_V,2)*INDEX(IdxPrecio_V,1,MIN(10,CB$173))*(1+V_dPrecio))</f>
        <v>244149.63463823</v>
      </c>
      <c r="CC203" s="34" t="n">
        <f aca="false">IF(CC$8=1,IF(Reales!$C$39="PYG",IF(CC$10&gt;0,N(Reales!CC39)/CC$10,0),N(Reales!CC39)),CC$178*INDEX(Precio_V,2)*INDEX(IdxPrecio_V,1,MIN(10,CC$173))*(1+V_dPrecio))</f>
        <v>244149.63463823</v>
      </c>
      <c r="CD203" s="34" t="n">
        <f aca="false">IF(CD$8=1,IF(Reales!$C$39="PYG",IF(CD$10&gt;0,N(Reales!CD39)/CD$10,0),N(Reales!CD39)),CD$178*INDEX(Precio_V,2)*INDEX(IdxPrecio_V,1,MIN(10,CD$173))*(1+V_dPrecio))</f>
        <v>244149.63463823</v>
      </c>
      <c r="CE203" s="34" t="n">
        <f aca="false">IF(CE$8=1,IF(Reales!$C$39="PYG",IF(CE$10&gt;0,N(Reales!CE39)/CE$10,0),N(Reales!CE39)),CE$178*INDEX(Precio_V,2)*INDEX(IdxPrecio_V,1,MIN(10,CE$173))*(1+V_dPrecio))</f>
        <v>244149.63463823</v>
      </c>
      <c r="CF203" s="34" t="n">
        <f aca="false">IF(CF$8=1,IF(Reales!$C$39="PYG",IF(CF$10&gt;0,N(Reales!CF39)/CF$10,0),N(Reales!CF39)),CF$178*INDEX(Precio_V,2)*INDEX(IdxPrecio_V,1,MIN(10,CF$173))*(1+V_dPrecio))</f>
        <v>244149.63463823</v>
      </c>
      <c r="CG203" s="34" t="n">
        <f aca="false">IF(CG$8=1,IF(Reales!$C$39="PYG",IF(CG$10&gt;0,N(Reales!CG39)/CG$10,0),N(Reales!CG39)),CG$178*INDEX(Precio_V,2)*INDEX(IdxPrecio_V,1,MIN(10,CG$173))*(1+V_dPrecio))</f>
        <v>244149.63463823</v>
      </c>
      <c r="CH203" s="34" t="n">
        <f aca="false">IF(CH$8=1,IF(Reales!$C$39="PYG",IF(CH$10&gt;0,N(Reales!CH39)/CH$10,0),N(Reales!CH39)),CH$178*INDEX(Precio_V,2)*INDEX(IdxPrecio_V,1,MIN(10,CH$173))*(1+V_dPrecio))</f>
        <v>244149.63463823</v>
      </c>
      <c r="CI203" s="34" t="n">
        <f aca="false">IF(CI$8=1,IF(Reales!$C$39="PYG",IF(CI$10&gt;0,N(Reales!CI39)/CI$10,0),N(Reales!CI39)),CI$178*INDEX(Precio_V,2)*INDEX(IdxPrecio_V,1,MIN(10,CI$173))*(1+V_dPrecio))</f>
        <v>244149.63463823</v>
      </c>
      <c r="CJ203" s="34" t="n">
        <f aca="false">IF(CJ$8=1,IF(Reales!$C$39="PYG",IF(CJ$10&gt;0,N(Reales!CJ39)/CJ$10,0),N(Reales!CJ39)),CJ$178*INDEX(Precio_V,2)*INDEX(IdxPrecio_V,1,MIN(10,CJ$173))*(1+V_dPrecio))</f>
        <v>244149.63463823</v>
      </c>
      <c r="CK203" s="34" t="n">
        <f aca="false">IF(CK$8=1,IF(Reales!$C$39="PYG",IF(CK$10&gt;0,N(Reales!CK39)/CK$10,0),N(Reales!CK39)),CK$178*INDEX(Precio_V,2)*INDEX(IdxPrecio_V,1,MIN(10,CK$173))*(1+V_dPrecio))</f>
        <v>244149.63463823</v>
      </c>
      <c r="CL203" s="34" t="n">
        <f aca="false">IF(CL$8=1,IF(Reales!$C$39="PYG",IF(CL$10&gt;0,N(Reales!CL39)/CL$10,0),N(Reales!CL39)),CL$178*INDEX(Precio_V,2)*INDEX(IdxPrecio_V,1,MIN(10,CL$173))*(1+V_dPrecio))</f>
        <v>246591.130984612</v>
      </c>
      <c r="CM203" s="34" t="n">
        <f aca="false">IF(CM$8=1,IF(Reales!$C$39="PYG",IF(CM$10&gt;0,N(Reales!CM39)/CM$10,0),N(Reales!CM39)),CM$178*INDEX(Precio_V,2)*INDEX(IdxPrecio_V,1,MIN(10,CM$173))*(1+V_dPrecio))</f>
        <v>246591.130984612</v>
      </c>
      <c r="CN203" s="34" t="n">
        <f aca="false">IF(CN$8=1,IF(Reales!$C$39="PYG",IF(CN$10&gt;0,N(Reales!CN39)/CN$10,0),N(Reales!CN39)),CN$178*INDEX(Precio_V,2)*INDEX(IdxPrecio_V,1,MIN(10,CN$173))*(1+V_dPrecio))</f>
        <v>246591.130984612</v>
      </c>
      <c r="CO203" s="34" t="n">
        <f aca="false">IF(CO$8=1,IF(Reales!$C$39="PYG",IF(CO$10&gt;0,N(Reales!CO39)/CO$10,0),N(Reales!CO39)),CO$178*INDEX(Precio_V,2)*INDEX(IdxPrecio_V,1,MIN(10,CO$173))*(1+V_dPrecio))</f>
        <v>246591.130984612</v>
      </c>
      <c r="CP203" s="34" t="n">
        <f aca="false">IF(CP$8=1,IF(Reales!$C$39="PYG",IF(CP$10&gt;0,N(Reales!CP39)/CP$10,0),N(Reales!CP39)),CP$178*INDEX(Precio_V,2)*INDEX(IdxPrecio_V,1,MIN(10,CP$173))*(1+V_dPrecio))</f>
        <v>246591.130984612</v>
      </c>
      <c r="CQ203" s="34" t="n">
        <f aca="false">IF(CQ$8=1,IF(Reales!$C$39="PYG",IF(CQ$10&gt;0,N(Reales!CQ39)/CQ$10,0),N(Reales!CQ39)),CQ$178*INDEX(Precio_V,2)*INDEX(IdxPrecio_V,1,MIN(10,CQ$173))*(1+V_dPrecio))</f>
        <v>246591.130984612</v>
      </c>
      <c r="CR203" s="34" t="n">
        <f aca="false">IF(CR$8=1,IF(Reales!$C$39="PYG",IF(CR$10&gt;0,N(Reales!CR39)/CR$10,0),N(Reales!CR39)),CR$178*INDEX(Precio_V,2)*INDEX(IdxPrecio_V,1,MIN(10,CR$173))*(1+V_dPrecio))</f>
        <v>246591.130984612</v>
      </c>
      <c r="CS203" s="34" t="n">
        <f aca="false">IF(CS$8=1,IF(Reales!$C$39="PYG",IF(CS$10&gt;0,N(Reales!CS39)/CS$10,0),N(Reales!CS39)),CS$178*INDEX(Precio_V,2)*INDEX(IdxPrecio_V,1,MIN(10,CS$173))*(1+V_dPrecio))</f>
        <v>246591.130984612</v>
      </c>
      <c r="CT203" s="34" t="n">
        <f aca="false">IF(CT$8=1,IF(Reales!$C$39="PYG",IF(CT$10&gt;0,N(Reales!CT39)/CT$10,0),N(Reales!CT39)),CT$178*INDEX(Precio_V,2)*INDEX(IdxPrecio_V,1,MIN(10,CT$173))*(1+V_dPrecio))</f>
        <v>246591.130984612</v>
      </c>
      <c r="CU203" s="34" t="n">
        <f aca="false">IF(CU$8=1,IF(Reales!$C$39="PYG",IF(CU$10&gt;0,N(Reales!CU39)/CU$10,0),N(Reales!CU39)),CU$178*INDEX(Precio_V,2)*INDEX(IdxPrecio_V,1,MIN(10,CU$173))*(1+V_dPrecio))</f>
        <v>246591.130984612</v>
      </c>
      <c r="CV203" s="34" t="n">
        <f aca="false">IF(CV$8=1,IF(Reales!$C$39="PYG",IF(CV$10&gt;0,N(Reales!CV39)/CV$10,0),N(Reales!CV39)),CV$178*INDEX(Precio_V,2)*INDEX(IdxPrecio_V,1,MIN(10,CV$173))*(1+V_dPrecio))</f>
        <v>246591.130984612</v>
      </c>
      <c r="CW203" s="34" t="n">
        <f aca="false">IF(CW$8=1,IF(Reales!$C$39="PYG",IF(CW$10&gt;0,N(Reales!CW39)/CW$10,0),N(Reales!CW39)),CW$178*INDEX(Precio_V,2)*INDEX(IdxPrecio_V,1,MIN(10,CW$173))*(1+V_dPrecio))</f>
        <v>246591.130984612</v>
      </c>
      <c r="CX203" s="34" t="n">
        <f aca="false">IF(CX$8=1,IF(Reales!$C$39="PYG",IF(CX$10&gt;0,N(Reales!CX39)/CX$10,0),N(Reales!CX39)),CX$178*INDEX(Precio_V,2)*INDEX(IdxPrecio_V,1,MIN(10,CX$173))*(1+V_dPrecio))</f>
        <v>249057.042294458</v>
      </c>
      <c r="CY203" s="34" t="n">
        <f aca="false">IF(CY$8=1,IF(Reales!$C$39="PYG",IF(CY$10&gt;0,N(Reales!CY39)/CY$10,0),N(Reales!CY39)),CY$178*INDEX(Precio_V,2)*INDEX(IdxPrecio_V,1,MIN(10,CY$173))*(1+V_dPrecio))</f>
        <v>249057.042294458</v>
      </c>
      <c r="CZ203" s="34" t="n">
        <f aca="false">IF(CZ$8=1,IF(Reales!$C$39="PYG",IF(CZ$10&gt;0,N(Reales!CZ39)/CZ$10,0),N(Reales!CZ39)),CZ$178*INDEX(Precio_V,2)*INDEX(IdxPrecio_V,1,MIN(10,CZ$173))*(1+V_dPrecio))</f>
        <v>249057.042294458</v>
      </c>
      <c r="DA203" s="34" t="n">
        <f aca="false">IF(DA$8=1,IF(Reales!$C$39="PYG",IF(DA$10&gt;0,N(Reales!DA39)/DA$10,0),N(Reales!DA39)),DA$178*INDEX(Precio_V,2)*INDEX(IdxPrecio_V,1,MIN(10,DA$173))*(1+V_dPrecio))</f>
        <v>249057.042294458</v>
      </c>
      <c r="DB203" s="34" t="n">
        <f aca="false">IF(DB$8=1,IF(Reales!$C$39="PYG",IF(DB$10&gt;0,N(Reales!DB39)/DB$10,0),N(Reales!DB39)),DB$178*INDEX(Precio_V,2)*INDEX(IdxPrecio_V,1,MIN(10,DB$173))*(1+V_dPrecio))</f>
        <v>249057.042294458</v>
      </c>
      <c r="DC203" s="34" t="n">
        <f aca="false">IF(DC$8=1,IF(Reales!$C$39="PYG",IF(DC$10&gt;0,N(Reales!DC39)/DC$10,0),N(Reales!DC39)),DC$178*INDEX(Precio_V,2)*INDEX(IdxPrecio_V,1,MIN(10,DC$173))*(1+V_dPrecio))</f>
        <v>249057.042294458</v>
      </c>
      <c r="DD203" s="34" t="n">
        <f aca="false">IF(DD$8=1,IF(Reales!$C$39="PYG",IF(DD$10&gt;0,N(Reales!DD39)/DD$10,0),N(Reales!DD39)),DD$178*INDEX(Precio_V,2)*INDEX(IdxPrecio_V,1,MIN(10,DD$173))*(1+V_dPrecio))</f>
        <v>249057.042294458</v>
      </c>
      <c r="DE203" s="34" t="n">
        <f aca="false">IF(DE$8=1,IF(Reales!$C$39="PYG",IF(DE$10&gt;0,N(Reales!DE39)/DE$10,0),N(Reales!DE39)),DE$178*INDEX(Precio_V,2)*INDEX(IdxPrecio_V,1,MIN(10,DE$173))*(1+V_dPrecio))</f>
        <v>249057.042294458</v>
      </c>
      <c r="DF203" s="34" t="n">
        <f aca="false">IF(DF$8=1,IF(Reales!$C$39="PYG",IF(DF$10&gt;0,N(Reales!DF39)/DF$10,0),N(Reales!DF39)),DF$178*INDEX(Precio_V,2)*INDEX(IdxPrecio_V,1,MIN(10,DF$173))*(1+V_dPrecio))</f>
        <v>249057.042294458</v>
      </c>
      <c r="DG203" s="34" t="n">
        <f aca="false">IF(DG$8=1,IF(Reales!$C$39="PYG",IF(DG$10&gt;0,N(Reales!DG39)/DG$10,0),N(Reales!DG39)),DG$178*INDEX(Precio_V,2)*INDEX(IdxPrecio_V,1,MIN(10,DG$173))*(1+V_dPrecio))</f>
        <v>249057.042294458</v>
      </c>
      <c r="DH203" s="34" t="n">
        <f aca="false">IF(DH$8=1,IF(Reales!$C$39="PYG",IF(DH$10&gt;0,N(Reales!DH39)/DH$10,0),N(Reales!DH39)),DH$178*INDEX(Precio_V,2)*INDEX(IdxPrecio_V,1,MIN(10,DH$173))*(1+V_dPrecio))</f>
        <v>249057.042294458</v>
      </c>
      <c r="DI203" s="34" t="n">
        <f aca="false">IF(DI$8=1,IF(Reales!$C$39="PYG",IF(DI$10&gt;0,N(Reales!DI39)/DI$10,0),N(Reales!DI39)),DI$178*INDEX(Precio_V,2)*INDEX(IdxPrecio_V,1,MIN(10,DI$173))*(1+V_dPrecio))</f>
        <v>249057.042294458</v>
      </c>
      <c r="DJ203" s="34" t="n">
        <f aca="false">IF(DJ$8=1,IF(Reales!$C$39="PYG",IF(DJ$10&gt;0,N(Reales!DJ39)/DJ$10,0),N(Reales!DJ39)),DJ$178*INDEX(Precio_V,2)*INDEX(IdxPrecio_V,1,MIN(10,DJ$173))*(1+V_dPrecio))</f>
        <v>251547.612717403</v>
      </c>
      <c r="DK203" s="34" t="n">
        <f aca="false">IF(DK$8=1,IF(Reales!$C$39="PYG",IF(DK$10&gt;0,N(Reales!DK39)/DK$10,0),N(Reales!DK39)),DK$178*INDEX(Precio_V,2)*INDEX(IdxPrecio_V,1,MIN(10,DK$173))*(1+V_dPrecio))</f>
        <v>251547.612717403</v>
      </c>
      <c r="DL203" s="34" t="n">
        <f aca="false">IF(DL$8=1,IF(Reales!$C$39="PYG",IF(DL$10&gt;0,N(Reales!DL39)/DL$10,0),N(Reales!DL39)),DL$178*INDEX(Precio_V,2)*INDEX(IdxPrecio_V,1,MIN(10,DL$173))*(1+V_dPrecio))</f>
        <v>251547.612717403</v>
      </c>
      <c r="DM203" s="34" t="n">
        <f aca="false">IF(DM$8=1,IF(Reales!$C$39="PYG",IF(DM$10&gt;0,N(Reales!DM39)/DM$10,0),N(Reales!DM39)),DM$178*INDEX(Precio_V,2)*INDEX(IdxPrecio_V,1,MIN(10,DM$173))*(1+V_dPrecio))</f>
        <v>251547.612717403</v>
      </c>
      <c r="DN203" s="34" t="n">
        <f aca="false">IF(DN$8=1,IF(Reales!$C$39="PYG",IF(DN$10&gt;0,N(Reales!DN39)/DN$10,0),N(Reales!DN39)),DN$178*INDEX(Precio_V,2)*INDEX(IdxPrecio_V,1,MIN(10,DN$173))*(1+V_dPrecio))</f>
        <v>251547.612717403</v>
      </c>
      <c r="DO203" s="34" t="n">
        <f aca="false">IF(DO$8=1,IF(Reales!$C$39="PYG",IF(DO$10&gt;0,N(Reales!DO39)/DO$10,0),N(Reales!DO39)),DO$178*INDEX(Precio_V,2)*INDEX(IdxPrecio_V,1,MIN(10,DO$173))*(1+V_dPrecio))</f>
        <v>251547.612717403</v>
      </c>
      <c r="DP203" s="34" t="n">
        <f aca="false">IF(DP$8=1,IF(Reales!$C$39="PYG",IF(DP$10&gt;0,N(Reales!DP39)/DP$10,0),N(Reales!DP39)),DP$178*INDEX(Precio_V,2)*INDEX(IdxPrecio_V,1,MIN(10,DP$173))*(1+V_dPrecio))</f>
        <v>251547.612717403</v>
      </c>
      <c r="DQ203" s="34" t="n">
        <f aca="false">IF(DQ$8=1,IF(Reales!$C$39="PYG",IF(DQ$10&gt;0,N(Reales!DQ39)/DQ$10,0),N(Reales!DQ39)),DQ$178*INDEX(Precio_V,2)*INDEX(IdxPrecio_V,1,MIN(10,DQ$173))*(1+V_dPrecio))</f>
        <v>251547.612717403</v>
      </c>
      <c r="DR203" s="34" t="n">
        <f aca="false">IF(DR$8=1,IF(Reales!$C$39="PYG",IF(DR$10&gt;0,N(Reales!DR39)/DR$10,0),N(Reales!DR39)),DR$178*INDEX(Precio_V,2)*INDEX(IdxPrecio_V,1,MIN(10,DR$173))*(1+V_dPrecio))</f>
        <v>251547.612717403</v>
      </c>
      <c r="DS203" s="34" t="n">
        <f aca="false">IF(DS$8=1,IF(Reales!$C$39="PYG",IF(DS$10&gt;0,N(Reales!DS39)/DS$10,0),N(Reales!DS39)),DS$178*INDEX(Precio_V,2)*INDEX(IdxPrecio_V,1,MIN(10,DS$173))*(1+V_dPrecio))</f>
        <v>251547.612717403</v>
      </c>
      <c r="DT203" s="34" t="n">
        <f aca="false">IF(DT$8=1,IF(Reales!$C$39="PYG",IF(DT$10&gt;0,N(Reales!DT39)/DT$10,0),N(Reales!DT39)),DT$178*INDEX(Precio_V,2)*INDEX(IdxPrecio_V,1,MIN(10,DT$173))*(1+V_dPrecio))</f>
        <v>251547.612717403</v>
      </c>
      <c r="DU203" s="34" t="n">
        <f aca="false">IF(DU$8=1,IF(Reales!$C$39="PYG",IF(DU$10&gt;0,N(Reales!DU39)/DU$10,0),N(Reales!DU39)),DU$178*INDEX(Precio_V,2)*INDEX(IdxPrecio_V,1,MIN(10,DU$173))*(1+V_dPrecio))</f>
        <v>251547.612717403</v>
      </c>
      <c r="DV203" s="34" t="n">
        <f aca="false">IF(DV$8=1,IF(Reales!$C$39="PYG",IF(DV$10&gt;0,N(Reales!DV39)/DV$10,0),N(Reales!DV39)),DV$178*INDEX(Precio_V,2)*INDEX(IdxPrecio_V,1,MIN(10,DV$173))*(1+V_dPrecio))</f>
        <v>0</v>
      </c>
      <c r="DW203" s="34" t="n">
        <f aca="false">IF(DW$8=1,IF(Reales!$C$39="PYG",IF(DW$10&gt;0,N(Reales!DW39)/DW$10,0),N(Reales!DW39)),DW$178*INDEX(Precio_V,2)*INDEX(IdxPrecio_V,1,MIN(10,DW$173))*(1+V_dPrecio))</f>
        <v>0</v>
      </c>
      <c r="DX203" s="34" t="n">
        <f aca="false">IF(DX$8=1,IF(Reales!$C$39="PYG",IF(DX$10&gt;0,N(Reales!DX39)/DX$10,0),N(Reales!DX39)),DX$178*INDEX(Precio_V,2)*INDEX(IdxPrecio_V,1,MIN(10,DX$173))*(1+V_dPrecio))</f>
        <v>0</v>
      </c>
      <c r="DY203" s="34" t="n">
        <f aca="false">IF(DY$8=1,IF(Reales!$C$39="PYG",IF(DY$10&gt;0,N(Reales!DY39)/DY$10,0),N(Reales!DY39)),DY$178*INDEX(Precio_V,2)*INDEX(IdxPrecio_V,1,MIN(10,DY$173))*(1+V_dPrecio))</f>
        <v>0</v>
      </c>
      <c r="DZ203" s="34" t="n">
        <f aca="false">IF(DZ$8=1,IF(Reales!$C$39="PYG",IF(DZ$10&gt;0,N(Reales!DZ39)/DZ$10,0),N(Reales!DZ39)),DZ$178*INDEX(Precio_V,2)*INDEX(IdxPrecio_V,1,MIN(10,DZ$173))*(1+V_dPrecio))</f>
        <v>0</v>
      </c>
      <c r="EA203" s="34" t="n">
        <f aca="false">IF(EA$8=1,IF(Reales!$C$39="PYG",IF(EA$10&gt;0,N(Reales!EA39)/EA$10,0),N(Reales!EA39)),EA$178*INDEX(Precio_V,2)*INDEX(IdxPrecio_V,1,MIN(10,EA$173))*(1+V_dPrecio))</f>
        <v>0</v>
      </c>
      <c r="EB203" s="34" t="n">
        <f aca="false">IF(EB$8=1,IF(Reales!$C$39="PYG",IF(EB$10&gt;0,N(Reales!EB39)/EB$10,0),N(Reales!EB39)),EB$178*INDEX(Precio_V,2)*INDEX(IdxPrecio_V,1,MIN(10,EB$173))*(1+V_dPrecio))</f>
        <v>0</v>
      </c>
      <c r="EC203" s="34" t="n">
        <f aca="false">IF(EC$8=1,IF(Reales!$C$39="PYG",IF(EC$10&gt;0,N(Reales!EC39)/EC$10,0),N(Reales!EC39)),EC$178*INDEX(Precio_V,2)*INDEX(IdxPrecio_V,1,MIN(10,EC$173))*(1+V_dPrecio))</f>
        <v>0</v>
      </c>
      <c r="ED203" s="34" t="n">
        <f aca="false">IF(ED$8=1,IF(Reales!$C$39="PYG",IF(ED$10&gt;0,N(Reales!ED39)/ED$10,0),N(Reales!ED39)),ED$178*INDEX(Precio_V,2)*INDEX(IdxPrecio_V,1,MIN(10,ED$173))*(1+V_dPrecio))</f>
        <v>0</v>
      </c>
      <c r="EE203" s="34" t="n">
        <f aca="false">IF(EE$8=1,IF(Reales!$C$39="PYG",IF(EE$10&gt;0,N(Reales!EE39)/EE$10,0),N(Reales!EE39)),EE$178*INDEX(Precio_V,2)*INDEX(IdxPrecio_V,1,MIN(10,EE$173))*(1+V_dPrecio))</f>
        <v>0</v>
      </c>
      <c r="EF203" s="34" t="n">
        <f aca="false">IF(EF$8=1,IF(Reales!$C$39="PYG",IF(EF$10&gt;0,N(Reales!EF39)/EF$10,0),N(Reales!EF39)),EF$178*INDEX(Precio_V,2)*INDEX(IdxPrecio_V,1,MIN(10,EF$173))*(1+V_dPrecio))</f>
        <v>0</v>
      </c>
      <c r="EG203" s="34" t="n">
        <f aca="false">IF(EG$8=1,IF(Reales!$C$39="PYG",IF(EG$10&gt;0,N(Reales!EG39)/EG$10,0),N(Reales!EG39)),EG$178*INDEX(Precio_V,2)*INDEX(IdxPrecio_V,1,MIN(10,EG$173))*(1+V_dPrecio))</f>
        <v>0</v>
      </c>
      <c r="EH203" s="34" t="n">
        <f aca="false">IF(EH$8=1,IF(Reales!$C$39="PYG",IF(EH$10&gt;0,N(Reales!EH39)/EH$10,0),N(Reales!EH39)),EH$178*INDEX(Precio_V,2)*INDEX(IdxPrecio_V,1,MIN(10,EH$173))*(1+V_dPrecio))</f>
        <v>0</v>
      </c>
      <c r="EI203" s="34" t="n">
        <f aca="false">IF(EI$8=1,IF(Reales!$C$39="PYG",IF(EI$10&gt;0,N(Reales!EI39)/EI$10,0),N(Reales!EI39)),EI$178*INDEX(Precio_V,2)*INDEX(IdxPrecio_V,1,MIN(10,EI$173))*(1+V_dPrecio))</f>
        <v>0</v>
      </c>
      <c r="EJ203" s="34" t="n">
        <f aca="false">IF(EJ$8=1,IF(Reales!$C$39="PYG",IF(EJ$10&gt;0,N(Reales!EJ39)/EJ$10,0),N(Reales!EJ39)),EJ$178*INDEX(Precio_V,2)*INDEX(IdxPrecio_V,1,MIN(10,EJ$173))*(1+V_dPrecio))</f>
        <v>0</v>
      </c>
      <c r="EK203" s="34" t="n">
        <f aca="false">IF(EK$8=1,IF(Reales!$C$39="PYG",IF(EK$10&gt;0,N(Reales!EK39)/EK$10,0),N(Reales!EK39)),EK$178*INDEX(Precio_V,2)*INDEX(IdxPrecio_V,1,MIN(10,EK$173))*(1+V_dPrecio))</f>
        <v>0</v>
      </c>
      <c r="EL203" s="34" t="n">
        <f aca="false">IF(EL$8=1,IF(Reales!$C$39="PYG",IF(EL$10&gt;0,N(Reales!EL39)/EL$10,0),N(Reales!EL39)),EL$178*INDEX(Precio_V,2)*INDEX(IdxPrecio_V,1,MIN(10,EL$173))*(1+V_dPrecio))</f>
        <v>0</v>
      </c>
      <c r="EM203" s="34" t="n">
        <f aca="false">IF(EM$8=1,IF(Reales!$C$39="PYG",IF(EM$10&gt;0,N(Reales!EM39)/EM$10,0),N(Reales!EM39)),EM$178*INDEX(Precio_V,2)*INDEX(IdxPrecio_V,1,MIN(10,EM$173))*(1+V_dPrecio))</f>
        <v>0</v>
      </c>
      <c r="EN203" s="34" t="n">
        <f aca="false">IF(EN$8=1,IF(Reales!$C$39="PYG",IF(EN$10&gt;0,N(Reales!EN39)/EN$10,0),N(Reales!EN39)),EN$178*INDEX(Precio_V,2)*INDEX(IdxPrecio_V,1,MIN(10,EN$173))*(1+V_dPrecio))</f>
        <v>0</v>
      </c>
      <c r="EO203" s="34" t="n">
        <f aca="false">IF(EO$8=1,IF(Reales!$C$39="PYG",IF(EO$10&gt;0,N(Reales!EO39)/EO$10,0),N(Reales!EO39)),EO$178*INDEX(Precio_V,2)*INDEX(IdxPrecio_V,1,MIN(10,EO$173))*(1+V_dPrecio))</f>
        <v>0</v>
      </c>
      <c r="EP203" s="34" t="n">
        <f aca="false">IF(EP$8=1,IF(Reales!$C$39="PYG",IF(EP$10&gt;0,N(Reales!EP39)/EP$10,0),N(Reales!EP39)),EP$178*INDEX(Precio_V,2)*INDEX(IdxPrecio_V,1,MIN(10,EP$173))*(1+V_dPrecio))</f>
        <v>0</v>
      </c>
      <c r="EQ203" s="34" t="n">
        <f aca="false">IF(EQ$8=1,IF(Reales!$C$39="PYG",IF(EQ$10&gt;0,N(Reales!EQ39)/EQ$10,0),N(Reales!EQ39)),EQ$178*INDEX(Precio_V,2)*INDEX(IdxPrecio_V,1,MIN(10,EQ$173))*(1+V_dPrecio))</f>
        <v>0</v>
      </c>
      <c r="ER203" s="34" t="n">
        <f aca="false">IF(ER$8=1,IF(Reales!$C$39="PYG",IF(ER$10&gt;0,N(Reales!ER39)/ER$10,0),N(Reales!ER39)),ER$178*INDEX(Precio_V,2)*INDEX(IdxPrecio_V,1,MIN(10,ER$173))*(1+V_dPrecio))</f>
        <v>0</v>
      </c>
      <c r="ES203" s="34" t="n">
        <f aca="false">IF(ES$8=1,IF(Reales!$C$39="PYG",IF(ES$10&gt;0,N(Reales!ES39)/ES$10,0),N(Reales!ES39)),ES$178*INDEX(Precio_V,2)*INDEX(IdxPrecio_V,1,MIN(10,ES$173))*(1+V_dPrecio))</f>
        <v>0</v>
      </c>
    </row>
    <row r="204" customFormat="false" ht="15" hidden="false" customHeight="false" outlineLevel="0" collapsed="false">
      <c r="A204" s="2" t="s">
        <v>846</v>
      </c>
      <c r="B204" s="39" t="str">
        <f aca="false">IF(INDEX(Prod_Nombre,3)="","Producto 3",INDEX(Prod_Nombre,3))&amp;" — ventas USD"</f>
        <v>Producto 3 — ventas USD</v>
      </c>
      <c r="C204" s="6" t="s">
        <v>250</v>
      </c>
      <c r="E204" s="40" t="n">
        <f aca="false">SUM(F204:ES204)</f>
        <v>0</v>
      </c>
      <c r="F204" s="34" t="n">
        <f aca="false">IF(F$8=1,IF(Reales!$C$40="PYG",IF(F$10&gt;0,N(Reales!F40)/F$10,0),N(Reales!F40)),F$179*INDEX(Precio_V,3)*INDEX(IdxPrecio_V,1,MIN(10,F$173))*(1+V_dPrecio))</f>
        <v>0</v>
      </c>
      <c r="G204" s="34" t="n">
        <f aca="false">IF(G$8=1,IF(Reales!$C$40="PYG",IF(G$10&gt;0,N(Reales!G40)/G$10,0),N(Reales!G40)),G$179*INDEX(Precio_V,3)*INDEX(IdxPrecio_V,1,MIN(10,G$173))*(1+V_dPrecio))</f>
        <v>0</v>
      </c>
      <c r="H204" s="34" t="n">
        <f aca="false">IF(H$8=1,IF(Reales!$C$40="PYG",IF(H$10&gt;0,N(Reales!H40)/H$10,0),N(Reales!H40)),H$179*INDEX(Precio_V,3)*INDEX(IdxPrecio_V,1,MIN(10,H$173))*(1+V_dPrecio))</f>
        <v>0</v>
      </c>
      <c r="I204" s="34" t="n">
        <f aca="false">IF(I$8=1,IF(Reales!$C$40="PYG",IF(I$10&gt;0,N(Reales!I40)/I$10,0),N(Reales!I40)),I$179*INDEX(Precio_V,3)*INDEX(IdxPrecio_V,1,MIN(10,I$173))*(1+V_dPrecio))</f>
        <v>0</v>
      </c>
      <c r="J204" s="34" t="n">
        <f aca="false">IF(J$8=1,IF(Reales!$C$40="PYG",IF(J$10&gt;0,N(Reales!J40)/J$10,0),N(Reales!J40)),J$179*INDEX(Precio_V,3)*INDEX(IdxPrecio_V,1,MIN(10,J$173))*(1+V_dPrecio))</f>
        <v>0</v>
      </c>
      <c r="K204" s="34" t="n">
        <f aca="false">IF(K$8=1,IF(Reales!$C$40="PYG",IF(K$10&gt;0,N(Reales!K40)/K$10,0),N(Reales!K40)),K$179*INDEX(Precio_V,3)*INDEX(IdxPrecio_V,1,MIN(10,K$173))*(1+V_dPrecio))</f>
        <v>0</v>
      </c>
      <c r="L204" s="34" t="n">
        <f aca="false">IF(L$8=1,IF(Reales!$C$40="PYG",IF(L$10&gt;0,N(Reales!L40)/L$10,0),N(Reales!L40)),L$179*INDEX(Precio_V,3)*INDEX(IdxPrecio_V,1,MIN(10,L$173))*(1+V_dPrecio))</f>
        <v>0</v>
      </c>
      <c r="M204" s="34" t="n">
        <f aca="false">IF(M$8=1,IF(Reales!$C$40="PYG",IF(M$10&gt;0,N(Reales!M40)/M$10,0),N(Reales!M40)),M$179*INDEX(Precio_V,3)*INDEX(IdxPrecio_V,1,MIN(10,M$173))*(1+V_dPrecio))</f>
        <v>0</v>
      </c>
      <c r="N204" s="34" t="n">
        <f aca="false">IF(N$8=1,IF(Reales!$C$40="PYG",IF(N$10&gt;0,N(Reales!N40)/N$10,0),N(Reales!N40)),N$179*INDEX(Precio_V,3)*INDEX(IdxPrecio_V,1,MIN(10,N$173))*(1+V_dPrecio))</f>
        <v>0</v>
      </c>
      <c r="O204" s="34" t="n">
        <f aca="false">IF(O$8=1,IF(Reales!$C$40="PYG",IF(O$10&gt;0,N(Reales!O40)/O$10,0),N(Reales!O40)),O$179*INDEX(Precio_V,3)*INDEX(IdxPrecio_V,1,MIN(10,O$173))*(1+V_dPrecio))</f>
        <v>0</v>
      </c>
      <c r="P204" s="34" t="n">
        <f aca="false">IF(P$8=1,IF(Reales!$C$40="PYG",IF(P$10&gt;0,N(Reales!P40)/P$10,0),N(Reales!P40)),P$179*INDEX(Precio_V,3)*INDEX(IdxPrecio_V,1,MIN(10,P$173))*(1+V_dPrecio))</f>
        <v>0</v>
      </c>
      <c r="Q204" s="34" t="n">
        <f aca="false">IF(Q$8=1,IF(Reales!$C$40="PYG",IF(Q$10&gt;0,N(Reales!Q40)/Q$10,0),N(Reales!Q40)),Q$179*INDEX(Precio_V,3)*INDEX(IdxPrecio_V,1,MIN(10,Q$173))*(1+V_dPrecio))</f>
        <v>0</v>
      </c>
      <c r="R204" s="34" t="n">
        <f aca="false">IF(R$8=1,IF(Reales!$C$40="PYG",IF(R$10&gt;0,N(Reales!R40)/R$10,0),N(Reales!R40)),R$179*INDEX(Precio_V,3)*INDEX(IdxPrecio_V,1,MIN(10,R$173))*(1+V_dPrecio))</f>
        <v>0</v>
      </c>
      <c r="S204" s="34" t="n">
        <f aca="false">IF(S$8=1,IF(Reales!$C$40="PYG",IF(S$10&gt;0,N(Reales!S40)/S$10,0),N(Reales!S40)),S$179*INDEX(Precio_V,3)*INDEX(IdxPrecio_V,1,MIN(10,S$173))*(1+V_dPrecio))</f>
        <v>0</v>
      </c>
      <c r="T204" s="34" t="n">
        <f aca="false">IF(T$8=1,IF(Reales!$C$40="PYG",IF(T$10&gt;0,N(Reales!T40)/T$10,0),N(Reales!T40)),T$179*INDEX(Precio_V,3)*INDEX(IdxPrecio_V,1,MIN(10,T$173))*(1+V_dPrecio))</f>
        <v>0</v>
      </c>
      <c r="U204" s="34" t="n">
        <f aca="false">IF(U$8=1,IF(Reales!$C$40="PYG",IF(U$10&gt;0,N(Reales!U40)/U$10,0),N(Reales!U40)),U$179*INDEX(Precio_V,3)*INDEX(IdxPrecio_V,1,MIN(10,U$173))*(1+V_dPrecio))</f>
        <v>0</v>
      </c>
      <c r="V204" s="34" t="n">
        <f aca="false">IF(V$8=1,IF(Reales!$C$40="PYG",IF(V$10&gt;0,N(Reales!V40)/V$10,0),N(Reales!V40)),V$179*INDEX(Precio_V,3)*INDEX(IdxPrecio_V,1,MIN(10,V$173))*(1+V_dPrecio))</f>
        <v>0</v>
      </c>
      <c r="W204" s="34" t="n">
        <f aca="false">IF(W$8=1,IF(Reales!$C$40="PYG",IF(W$10&gt;0,N(Reales!W40)/W$10,0),N(Reales!W40)),W$179*INDEX(Precio_V,3)*INDEX(IdxPrecio_V,1,MIN(10,W$173))*(1+V_dPrecio))</f>
        <v>0</v>
      </c>
      <c r="X204" s="34" t="n">
        <f aca="false">IF(X$8=1,IF(Reales!$C$40="PYG",IF(X$10&gt;0,N(Reales!X40)/X$10,0),N(Reales!X40)),X$179*INDEX(Precio_V,3)*INDEX(IdxPrecio_V,1,MIN(10,X$173))*(1+V_dPrecio))</f>
        <v>0</v>
      </c>
      <c r="Y204" s="34" t="n">
        <f aca="false">IF(Y$8=1,IF(Reales!$C$40="PYG",IF(Y$10&gt;0,N(Reales!Y40)/Y$10,0),N(Reales!Y40)),Y$179*INDEX(Precio_V,3)*INDEX(IdxPrecio_V,1,MIN(10,Y$173))*(1+V_dPrecio))</f>
        <v>0</v>
      </c>
      <c r="Z204" s="34" t="n">
        <f aca="false">IF(Z$8=1,IF(Reales!$C$40="PYG",IF(Z$10&gt;0,N(Reales!Z40)/Z$10,0),N(Reales!Z40)),Z$179*INDEX(Precio_V,3)*INDEX(IdxPrecio_V,1,MIN(10,Z$173))*(1+V_dPrecio))</f>
        <v>0</v>
      </c>
      <c r="AA204" s="34" t="n">
        <f aca="false">IF(AA$8=1,IF(Reales!$C$40="PYG",IF(AA$10&gt;0,N(Reales!AA40)/AA$10,0),N(Reales!AA40)),AA$179*INDEX(Precio_V,3)*INDEX(IdxPrecio_V,1,MIN(10,AA$173))*(1+V_dPrecio))</f>
        <v>0</v>
      </c>
      <c r="AB204" s="34" t="n">
        <f aca="false">IF(AB$8=1,IF(Reales!$C$40="PYG",IF(AB$10&gt;0,N(Reales!AB40)/AB$10,0),N(Reales!AB40)),AB$179*INDEX(Precio_V,3)*INDEX(IdxPrecio_V,1,MIN(10,AB$173))*(1+V_dPrecio))</f>
        <v>0</v>
      </c>
      <c r="AC204" s="34" t="n">
        <f aca="false">IF(AC$8=1,IF(Reales!$C$40="PYG",IF(AC$10&gt;0,N(Reales!AC40)/AC$10,0),N(Reales!AC40)),AC$179*INDEX(Precio_V,3)*INDEX(IdxPrecio_V,1,MIN(10,AC$173))*(1+V_dPrecio))</f>
        <v>0</v>
      </c>
      <c r="AD204" s="34" t="n">
        <f aca="false">IF(AD$8=1,IF(Reales!$C$40="PYG",IF(AD$10&gt;0,N(Reales!AD40)/AD$10,0),N(Reales!AD40)),AD$179*INDEX(Precio_V,3)*INDEX(IdxPrecio_V,1,MIN(10,AD$173))*(1+V_dPrecio))</f>
        <v>0</v>
      </c>
      <c r="AE204" s="34" t="n">
        <f aca="false">IF(AE$8=1,IF(Reales!$C$40="PYG",IF(AE$10&gt;0,N(Reales!AE40)/AE$10,0),N(Reales!AE40)),AE$179*INDEX(Precio_V,3)*INDEX(IdxPrecio_V,1,MIN(10,AE$173))*(1+V_dPrecio))</f>
        <v>0</v>
      </c>
      <c r="AF204" s="34" t="n">
        <f aca="false">IF(AF$8=1,IF(Reales!$C$40="PYG",IF(AF$10&gt;0,N(Reales!AF40)/AF$10,0),N(Reales!AF40)),AF$179*INDEX(Precio_V,3)*INDEX(IdxPrecio_V,1,MIN(10,AF$173))*(1+V_dPrecio))</f>
        <v>0</v>
      </c>
      <c r="AG204" s="34" t="n">
        <f aca="false">IF(AG$8=1,IF(Reales!$C$40="PYG",IF(AG$10&gt;0,N(Reales!AG40)/AG$10,0),N(Reales!AG40)),AG$179*INDEX(Precio_V,3)*INDEX(IdxPrecio_V,1,MIN(10,AG$173))*(1+V_dPrecio))</f>
        <v>0</v>
      </c>
      <c r="AH204" s="34" t="n">
        <f aca="false">IF(AH$8=1,IF(Reales!$C$40="PYG",IF(AH$10&gt;0,N(Reales!AH40)/AH$10,0),N(Reales!AH40)),AH$179*INDEX(Precio_V,3)*INDEX(IdxPrecio_V,1,MIN(10,AH$173))*(1+V_dPrecio))</f>
        <v>0</v>
      </c>
      <c r="AI204" s="34" t="n">
        <f aca="false">IF(AI$8=1,IF(Reales!$C$40="PYG",IF(AI$10&gt;0,N(Reales!AI40)/AI$10,0),N(Reales!AI40)),AI$179*INDEX(Precio_V,3)*INDEX(IdxPrecio_V,1,MIN(10,AI$173))*(1+V_dPrecio))</f>
        <v>0</v>
      </c>
      <c r="AJ204" s="34" t="n">
        <f aca="false">IF(AJ$8=1,IF(Reales!$C$40="PYG",IF(AJ$10&gt;0,N(Reales!AJ40)/AJ$10,0),N(Reales!AJ40)),AJ$179*INDEX(Precio_V,3)*INDEX(IdxPrecio_V,1,MIN(10,AJ$173))*(1+V_dPrecio))</f>
        <v>0</v>
      </c>
      <c r="AK204" s="34" t="n">
        <f aca="false">IF(AK$8=1,IF(Reales!$C$40="PYG",IF(AK$10&gt;0,N(Reales!AK40)/AK$10,0),N(Reales!AK40)),AK$179*INDEX(Precio_V,3)*INDEX(IdxPrecio_V,1,MIN(10,AK$173))*(1+V_dPrecio))</f>
        <v>0</v>
      </c>
      <c r="AL204" s="34" t="n">
        <f aca="false">IF(AL$8=1,IF(Reales!$C$40="PYG",IF(AL$10&gt;0,N(Reales!AL40)/AL$10,0),N(Reales!AL40)),AL$179*INDEX(Precio_V,3)*INDEX(IdxPrecio_V,1,MIN(10,AL$173))*(1+V_dPrecio))</f>
        <v>0</v>
      </c>
      <c r="AM204" s="34" t="n">
        <f aca="false">IF(AM$8=1,IF(Reales!$C$40="PYG",IF(AM$10&gt;0,N(Reales!AM40)/AM$10,0),N(Reales!AM40)),AM$179*INDEX(Precio_V,3)*INDEX(IdxPrecio_V,1,MIN(10,AM$173))*(1+V_dPrecio))</f>
        <v>0</v>
      </c>
      <c r="AN204" s="34" t="n">
        <f aca="false">IF(AN$8=1,IF(Reales!$C$40="PYG",IF(AN$10&gt;0,N(Reales!AN40)/AN$10,0),N(Reales!AN40)),AN$179*INDEX(Precio_V,3)*INDEX(IdxPrecio_V,1,MIN(10,AN$173))*(1+V_dPrecio))</f>
        <v>0</v>
      </c>
      <c r="AO204" s="34" t="n">
        <f aca="false">IF(AO$8=1,IF(Reales!$C$40="PYG",IF(AO$10&gt;0,N(Reales!AO40)/AO$10,0),N(Reales!AO40)),AO$179*INDEX(Precio_V,3)*INDEX(IdxPrecio_V,1,MIN(10,AO$173))*(1+V_dPrecio))</f>
        <v>0</v>
      </c>
      <c r="AP204" s="34" t="n">
        <f aca="false">IF(AP$8=1,IF(Reales!$C$40="PYG",IF(AP$10&gt;0,N(Reales!AP40)/AP$10,0),N(Reales!AP40)),AP$179*INDEX(Precio_V,3)*INDEX(IdxPrecio_V,1,MIN(10,AP$173))*(1+V_dPrecio))</f>
        <v>0</v>
      </c>
      <c r="AQ204" s="34" t="n">
        <f aca="false">IF(AQ$8=1,IF(Reales!$C$40="PYG",IF(AQ$10&gt;0,N(Reales!AQ40)/AQ$10,0),N(Reales!AQ40)),AQ$179*INDEX(Precio_V,3)*INDEX(IdxPrecio_V,1,MIN(10,AQ$173))*(1+V_dPrecio))</f>
        <v>0</v>
      </c>
      <c r="AR204" s="34" t="n">
        <f aca="false">IF(AR$8=1,IF(Reales!$C$40="PYG",IF(AR$10&gt;0,N(Reales!AR40)/AR$10,0),N(Reales!AR40)),AR$179*INDEX(Precio_V,3)*INDEX(IdxPrecio_V,1,MIN(10,AR$173))*(1+V_dPrecio))</f>
        <v>0</v>
      </c>
      <c r="AS204" s="34" t="n">
        <f aca="false">IF(AS$8=1,IF(Reales!$C$40="PYG",IF(AS$10&gt;0,N(Reales!AS40)/AS$10,0),N(Reales!AS40)),AS$179*INDEX(Precio_V,3)*INDEX(IdxPrecio_V,1,MIN(10,AS$173))*(1+V_dPrecio))</f>
        <v>0</v>
      </c>
      <c r="AT204" s="34" t="n">
        <f aca="false">IF(AT$8=1,IF(Reales!$C$40="PYG",IF(AT$10&gt;0,N(Reales!AT40)/AT$10,0),N(Reales!AT40)),AT$179*INDEX(Precio_V,3)*INDEX(IdxPrecio_V,1,MIN(10,AT$173))*(1+V_dPrecio))</f>
        <v>0</v>
      </c>
      <c r="AU204" s="34" t="n">
        <f aca="false">IF(AU$8=1,IF(Reales!$C$40="PYG",IF(AU$10&gt;0,N(Reales!AU40)/AU$10,0),N(Reales!AU40)),AU$179*INDEX(Precio_V,3)*INDEX(IdxPrecio_V,1,MIN(10,AU$173))*(1+V_dPrecio))</f>
        <v>0</v>
      </c>
      <c r="AV204" s="34" t="n">
        <f aca="false">IF(AV$8=1,IF(Reales!$C$40="PYG",IF(AV$10&gt;0,N(Reales!AV40)/AV$10,0),N(Reales!AV40)),AV$179*INDEX(Precio_V,3)*INDEX(IdxPrecio_V,1,MIN(10,AV$173))*(1+V_dPrecio))</f>
        <v>0</v>
      </c>
      <c r="AW204" s="34" t="n">
        <f aca="false">IF(AW$8=1,IF(Reales!$C$40="PYG",IF(AW$10&gt;0,N(Reales!AW40)/AW$10,0),N(Reales!AW40)),AW$179*INDEX(Precio_V,3)*INDEX(IdxPrecio_V,1,MIN(10,AW$173))*(1+V_dPrecio))</f>
        <v>0</v>
      </c>
      <c r="AX204" s="34" t="n">
        <f aca="false">IF(AX$8=1,IF(Reales!$C$40="PYG",IF(AX$10&gt;0,N(Reales!AX40)/AX$10,0),N(Reales!AX40)),AX$179*INDEX(Precio_V,3)*INDEX(IdxPrecio_V,1,MIN(10,AX$173))*(1+V_dPrecio))</f>
        <v>0</v>
      </c>
      <c r="AY204" s="34" t="n">
        <f aca="false">IF(AY$8=1,IF(Reales!$C$40="PYG",IF(AY$10&gt;0,N(Reales!AY40)/AY$10,0),N(Reales!AY40)),AY$179*INDEX(Precio_V,3)*INDEX(IdxPrecio_V,1,MIN(10,AY$173))*(1+V_dPrecio))</f>
        <v>0</v>
      </c>
      <c r="AZ204" s="34" t="n">
        <f aca="false">IF(AZ$8=1,IF(Reales!$C$40="PYG",IF(AZ$10&gt;0,N(Reales!AZ40)/AZ$10,0),N(Reales!AZ40)),AZ$179*INDEX(Precio_V,3)*INDEX(IdxPrecio_V,1,MIN(10,AZ$173))*(1+V_dPrecio))</f>
        <v>0</v>
      </c>
      <c r="BA204" s="34" t="n">
        <f aca="false">IF(BA$8=1,IF(Reales!$C$40="PYG",IF(BA$10&gt;0,N(Reales!BA40)/BA$10,0),N(Reales!BA40)),BA$179*INDEX(Precio_V,3)*INDEX(IdxPrecio_V,1,MIN(10,BA$173))*(1+V_dPrecio))</f>
        <v>0</v>
      </c>
      <c r="BB204" s="34" t="n">
        <f aca="false">IF(BB$8=1,IF(Reales!$C$40="PYG",IF(BB$10&gt;0,N(Reales!BB40)/BB$10,0),N(Reales!BB40)),BB$179*INDEX(Precio_V,3)*INDEX(IdxPrecio_V,1,MIN(10,BB$173))*(1+V_dPrecio))</f>
        <v>0</v>
      </c>
      <c r="BC204" s="34" t="n">
        <f aca="false">IF(BC$8=1,IF(Reales!$C$40="PYG",IF(BC$10&gt;0,N(Reales!BC40)/BC$10,0),N(Reales!BC40)),BC$179*INDEX(Precio_V,3)*INDEX(IdxPrecio_V,1,MIN(10,BC$173))*(1+V_dPrecio))</f>
        <v>0</v>
      </c>
      <c r="BD204" s="34" t="n">
        <f aca="false">IF(BD$8=1,IF(Reales!$C$40="PYG",IF(BD$10&gt;0,N(Reales!BD40)/BD$10,0),N(Reales!BD40)),BD$179*INDEX(Precio_V,3)*INDEX(IdxPrecio_V,1,MIN(10,BD$173))*(1+V_dPrecio))</f>
        <v>0</v>
      </c>
      <c r="BE204" s="34" t="n">
        <f aca="false">IF(BE$8=1,IF(Reales!$C$40="PYG",IF(BE$10&gt;0,N(Reales!BE40)/BE$10,0),N(Reales!BE40)),BE$179*INDEX(Precio_V,3)*INDEX(IdxPrecio_V,1,MIN(10,BE$173))*(1+V_dPrecio))</f>
        <v>0</v>
      </c>
      <c r="BF204" s="34" t="n">
        <f aca="false">IF(BF$8=1,IF(Reales!$C$40="PYG",IF(BF$10&gt;0,N(Reales!BF40)/BF$10,0),N(Reales!BF40)),BF$179*INDEX(Precio_V,3)*INDEX(IdxPrecio_V,1,MIN(10,BF$173))*(1+V_dPrecio))</f>
        <v>0</v>
      </c>
      <c r="BG204" s="34" t="n">
        <f aca="false">IF(BG$8=1,IF(Reales!$C$40="PYG",IF(BG$10&gt;0,N(Reales!BG40)/BG$10,0),N(Reales!BG40)),BG$179*INDEX(Precio_V,3)*INDEX(IdxPrecio_V,1,MIN(10,BG$173))*(1+V_dPrecio))</f>
        <v>0</v>
      </c>
      <c r="BH204" s="34" t="n">
        <f aca="false">IF(BH$8=1,IF(Reales!$C$40="PYG",IF(BH$10&gt;0,N(Reales!BH40)/BH$10,0),N(Reales!BH40)),BH$179*INDEX(Precio_V,3)*INDEX(IdxPrecio_V,1,MIN(10,BH$173))*(1+V_dPrecio))</f>
        <v>0</v>
      </c>
      <c r="BI204" s="34" t="n">
        <f aca="false">IF(BI$8=1,IF(Reales!$C$40="PYG",IF(BI$10&gt;0,N(Reales!BI40)/BI$10,0),N(Reales!BI40)),BI$179*INDEX(Precio_V,3)*INDEX(IdxPrecio_V,1,MIN(10,BI$173))*(1+V_dPrecio))</f>
        <v>0</v>
      </c>
      <c r="BJ204" s="34" t="n">
        <f aca="false">IF(BJ$8=1,IF(Reales!$C$40="PYG",IF(BJ$10&gt;0,N(Reales!BJ40)/BJ$10,0),N(Reales!BJ40)),BJ$179*INDEX(Precio_V,3)*INDEX(IdxPrecio_V,1,MIN(10,BJ$173))*(1+V_dPrecio))</f>
        <v>0</v>
      </c>
      <c r="BK204" s="34" t="n">
        <f aca="false">IF(BK$8=1,IF(Reales!$C$40="PYG",IF(BK$10&gt;0,N(Reales!BK40)/BK$10,0),N(Reales!BK40)),BK$179*INDEX(Precio_V,3)*INDEX(IdxPrecio_V,1,MIN(10,BK$173))*(1+V_dPrecio))</f>
        <v>0</v>
      </c>
      <c r="BL204" s="34" t="n">
        <f aca="false">IF(BL$8=1,IF(Reales!$C$40="PYG",IF(BL$10&gt;0,N(Reales!BL40)/BL$10,0),N(Reales!BL40)),BL$179*INDEX(Precio_V,3)*INDEX(IdxPrecio_V,1,MIN(10,BL$173))*(1+V_dPrecio))</f>
        <v>0</v>
      </c>
      <c r="BM204" s="34" t="n">
        <f aca="false">IF(BM$8=1,IF(Reales!$C$40="PYG",IF(BM$10&gt;0,N(Reales!BM40)/BM$10,0),N(Reales!BM40)),BM$179*INDEX(Precio_V,3)*INDEX(IdxPrecio_V,1,MIN(10,BM$173))*(1+V_dPrecio))</f>
        <v>0</v>
      </c>
      <c r="BN204" s="34" t="n">
        <f aca="false">IF(BN$8=1,IF(Reales!$C$40="PYG",IF(BN$10&gt;0,N(Reales!BN40)/BN$10,0),N(Reales!BN40)),BN$179*INDEX(Precio_V,3)*INDEX(IdxPrecio_V,1,MIN(10,BN$173))*(1+V_dPrecio))</f>
        <v>0</v>
      </c>
      <c r="BO204" s="34" t="n">
        <f aca="false">IF(BO$8=1,IF(Reales!$C$40="PYG",IF(BO$10&gt;0,N(Reales!BO40)/BO$10,0),N(Reales!BO40)),BO$179*INDEX(Precio_V,3)*INDEX(IdxPrecio_V,1,MIN(10,BO$173))*(1+V_dPrecio))</f>
        <v>0</v>
      </c>
      <c r="BP204" s="34" t="n">
        <f aca="false">IF(BP$8=1,IF(Reales!$C$40="PYG",IF(BP$10&gt;0,N(Reales!BP40)/BP$10,0),N(Reales!BP40)),BP$179*INDEX(Precio_V,3)*INDEX(IdxPrecio_V,1,MIN(10,BP$173))*(1+V_dPrecio))</f>
        <v>0</v>
      </c>
      <c r="BQ204" s="34" t="n">
        <f aca="false">IF(BQ$8=1,IF(Reales!$C$40="PYG",IF(BQ$10&gt;0,N(Reales!BQ40)/BQ$10,0),N(Reales!BQ40)),BQ$179*INDEX(Precio_V,3)*INDEX(IdxPrecio_V,1,MIN(10,BQ$173))*(1+V_dPrecio))</f>
        <v>0</v>
      </c>
      <c r="BR204" s="34" t="n">
        <f aca="false">IF(BR$8=1,IF(Reales!$C$40="PYG",IF(BR$10&gt;0,N(Reales!BR40)/BR$10,0),N(Reales!BR40)),BR$179*INDEX(Precio_V,3)*INDEX(IdxPrecio_V,1,MIN(10,BR$173))*(1+V_dPrecio))</f>
        <v>0</v>
      </c>
      <c r="BS204" s="34" t="n">
        <f aca="false">IF(BS$8=1,IF(Reales!$C$40="PYG",IF(BS$10&gt;0,N(Reales!BS40)/BS$10,0),N(Reales!BS40)),BS$179*INDEX(Precio_V,3)*INDEX(IdxPrecio_V,1,MIN(10,BS$173))*(1+V_dPrecio))</f>
        <v>0</v>
      </c>
      <c r="BT204" s="34" t="n">
        <f aca="false">IF(BT$8=1,IF(Reales!$C$40="PYG",IF(BT$10&gt;0,N(Reales!BT40)/BT$10,0),N(Reales!BT40)),BT$179*INDEX(Precio_V,3)*INDEX(IdxPrecio_V,1,MIN(10,BT$173))*(1+V_dPrecio))</f>
        <v>0</v>
      </c>
      <c r="BU204" s="34" t="n">
        <f aca="false">IF(BU$8=1,IF(Reales!$C$40="PYG",IF(BU$10&gt;0,N(Reales!BU40)/BU$10,0),N(Reales!BU40)),BU$179*INDEX(Precio_V,3)*INDEX(IdxPrecio_V,1,MIN(10,BU$173))*(1+V_dPrecio))</f>
        <v>0</v>
      </c>
      <c r="BV204" s="34" t="n">
        <f aca="false">IF(BV$8=1,IF(Reales!$C$40="PYG",IF(BV$10&gt;0,N(Reales!BV40)/BV$10,0),N(Reales!BV40)),BV$179*INDEX(Precio_V,3)*INDEX(IdxPrecio_V,1,MIN(10,BV$173))*(1+V_dPrecio))</f>
        <v>0</v>
      </c>
      <c r="BW204" s="34" t="n">
        <f aca="false">IF(BW$8=1,IF(Reales!$C$40="PYG",IF(BW$10&gt;0,N(Reales!BW40)/BW$10,0),N(Reales!BW40)),BW$179*INDEX(Precio_V,3)*INDEX(IdxPrecio_V,1,MIN(10,BW$173))*(1+V_dPrecio))</f>
        <v>0</v>
      </c>
      <c r="BX204" s="34" t="n">
        <f aca="false">IF(BX$8=1,IF(Reales!$C$40="PYG",IF(BX$10&gt;0,N(Reales!BX40)/BX$10,0),N(Reales!BX40)),BX$179*INDEX(Precio_V,3)*INDEX(IdxPrecio_V,1,MIN(10,BX$173))*(1+V_dPrecio))</f>
        <v>0</v>
      </c>
      <c r="BY204" s="34" t="n">
        <f aca="false">IF(BY$8=1,IF(Reales!$C$40="PYG",IF(BY$10&gt;0,N(Reales!BY40)/BY$10,0),N(Reales!BY40)),BY$179*INDEX(Precio_V,3)*INDEX(IdxPrecio_V,1,MIN(10,BY$173))*(1+V_dPrecio))</f>
        <v>0</v>
      </c>
      <c r="BZ204" s="34" t="n">
        <f aca="false">IF(BZ$8=1,IF(Reales!$C$40="PYG",IF(BZ$10&gt;0,N(Reales!BZ40)/BZ$10,0),N(Reales!BZ40)),BZ$179*INDEX(Precio_V,3)*INDEX(IdxPrecio_V,1,MIN(10,BZ$173))*(1+V_dPrecio))</f>
        <v>0</v>
      </c>
      <c r="CA204" s="34" t="n">
        <f aca="false">IF(CA$8=1,IF(Reales!$C$40="PYG",IF(CA$10&gt;0,N(Reales!CA40)/CA$10,0),N(Reales!CA40)),CA$179*INDEX(Precio_V,3)*INDEX(IdxPrecio_V,1,MIN(10,CA$173))*(1+V_dPrecio))</f>
        <v>0</v>
      </c>
      <c r="CB204" s="34" t="n">
        <f aca="false">IF(CB$8=1,IF(Reales!$C$40="PYG",IF(CB$10&gt;0,N(Reales!CB40)/CB$10,0),N(Reales!CB40)),CB$179*INDEX(Precio_V,3)*INDEX(IdxPrecio_V,1,MIN(10,CB$173))*(1+V_dPrecio))</f>
        <v>0</v>
      </c>
      <c r="CC204" s="34" t="n">
        <f aca="false">IF(CC$8=1,IF(Reales!$C$40="PYG",IF(CC$10&gt;0,N(Reales!CC40)/CC$10,0),N(Reales!CC40)),CC$179*INDEX(Precio_V,3)*INDEX(IdxPrecio_V,1,MIN(10,CC$173))*(1+V_dPrecio))</f>
        <v>0</v>
      </c>
      <c r="CD204" s="34" t="n">
        <f aca="false">IF(CD$8=1,IF(Reales!$C$40="PYG",IF(CD$10&gt;0,N(Reales!CD40)/CD$10,0),N(Reales!CD40)),CD$179*INDEX(Precio_V,3)*INDEX(IdxPrecio_V,1,MIN(10,CD$173))*(1+V_dPrecio))</f>
        <v>0</v>
      </c>
      <c r="CE204" s="34" t="n">
        <f aca="false">IF(CE$8=1,IF(Reales!$C$40="PYG",IF(CE$10&gt;0,N(Reales!CE40)/CE$10,0),N(Reales!CE40)),CE$179*INDEX(Precio_V,3)*INDEX(IdxPrecio_V,1,MIN(10,CE$173))*(1+V_dPrecio))</f>
        <v>0</v>
      </c>
      <c r="CF204" s="34" t="n">
        <f aca="false">IF(CF$8=1,IF(Reales!$C$40="PYG",IF(CF$10&gt;0,N(Reales!CF40)/CF$10,0),N(Reales!CF40)),CF$179*INDEX(Precio_V,3)*INDEX(IdxPrecio_V,1,MIN(10,CF$173))*(1+V_dPrecio))</f>
        <v>0</v>
      </c>
      <c r="CG204" s="34" t="n">
        <f aca="false">IF(CG$8=1,IF(Reales!$C$40="PYG",IF(CG$10&gt;0,N(Reales!CG40)/CG$10,0),N(Reales!CG40)),CG$179*INDEX(Precio_V,3)*INDEX(IdxPrecio_V,1,MIN(10,CG$173))*(1+V_dPrecio))</f>
        <v>0</v>
      </c>
      <c r="CH204" s="34" t="n">
        <f aca="false">IF(CH$8=1,IF(Reales!$C$40="PYG",IF(CH$10&gt;0,N(Reales!CH40)/CH$10,0),N(Reales!CH40)),CH$179*INDEX(Precio_V,3)*INDEX(IdxPrecio_V,1,MIN(10,CH$173))*(1+V_dPrecio))</f>
        <v>0</v>
      </c>
      <c r="CI204" s="34" t="n">
        <f aca="false">IF(CI$8=1,IF(Reales!$C$40="PYG",IF(CI$10&gt;0,N(Reales!CI40)/CI$10,0),N(Reales!CI40)),CI$179*INDEX(Precio_V,3)*INDEX(IdxPrecio_V,1,MIN(10,CI$173))*(1+V_dPrecio))</f>
        <v>0</v>
      </c>
      <c r="CJ204" s="34" t="n">
        <f aca="false">IF(CJ$8=1,IF(Reales!$C$40="PYG",IF(CJ$10&gt;0,N(Reales!CJ40)/CJ$10,0),N(Reales!CJ40)),CJ$179*INDEX(Precio_V,3)*INDEX(IdxPrecio_V,1,MIN(10,CJ$173))*(1+V_dPrecio))</f>
        <v>0</v>
      </c>
      <c r="CK204" s="34" t="n">
        <f aca="false">IF(CK$8=1,IF(Reales!$C$40="PYG",IF(CK$10&gt;0,N(Reales!CK40)/CK$10,0),N(Reales!CK40)),CK$179*INDEX(Precio_V,3)*INDEX(IdxPrecio_V,1,MIN(10,CK$173))*(1+V_dPrecio))</f>
        <v>0</v>
      </c>
      <c r="CL204" s="34" t="n">
        <f aca="false">IF(CL$8=1,IF(Reales!$C$40="PYG",IF(CL$10&gt;0,N(Reales!CL40)/CL$10,0),N(Reales!CL40)),CL$179*INDEX(Precio_V,3)*INDEX(IdxPrecio_V,1,MIN(10,CL$173))*(1+V_dPrecio))</f>
        <v>0</v>
      </c>
      <c r="CM204" s="34" t="n">
        <f aca="false">IF(CM$8=1,IF(Reales!$C$40="PYG",IF(CM$10&gt;0,N(Reales!CM40)/CM$10,0),N(Reales!CM40)),CM$179*INDEX(Precio_V,3)*INDEX(IdxPrecio_V,1,MIN(10,CM$173))*(1+V_dPrecio))</f>
        <v>0</v>
      </c>
      <c r="CN204" s="34" t="n">
        <f aca="false">IF(CN$8=1,IF(Reales!$C$40="PYG",IF(CN$10&gt;0,N(Reales!CN40)/CN$10,0),N(Reales!CN40)),CN$179*INDEX(Precio_V,3)*INDEX(IdxPrecio_V,1,MIN(10,CN$173))*(1+V_dPrecio))</f>
        <v>0</v>
      </c>
      <c r="CO204" s="34" t="n">
        <f aca="false">IF(CO$8=1,IF(Reales!$C$40="PYG",IF(CO$10&gt;0,N(Reales!CO40)/CO$10,0),N(Reales!CO40)),CO$179*INDEX(Precio_V,3)*INDEX(IdxPrecio_V,1,MIN(10,CO$173))*(1+V_dPrecio))</f>
        <v>0</v>
      </c>
      <c r="CP204" s="34" t="n">
        <f aca="false">IF(CP$8=1,IF(Reales!$C$40="PYG",IF(CP$10&gt;0,N(Reales!CP40)/CP$10,0),N(Reales!CP40)),CP$179*INDEX(Precio_V,3)*INDEX(IdxPrecio_V,1,MIN(10,CP$173))*(1+V_dPrecio))</f>
        <v>0</v>
      </c>
      <c r="CQ204" s="34" t="n">
        <f aca="false">IF(CQ$8=1,IF(Reales!$C$40="PYG",IF(CQ$10&gt;0,N(Reales!CQ40)/CQ$10,0),N(Reales!CQ40)),CQ$179*INDEX(Precio_V,3)*INDEX(IdxPrecio_V,1,MIN(10,CQ$173))*(1+V_dPrecio))</f>
        <v>0</v>
      </c>
      <c r="CR204" s="34" t="n">
        <f aca="false">IF(CR$8=1,IF(Reales!$C$40="PYG",IF(CR$10&gt;0,N(Reales!CR40)/CR$10,0),N(Reales!CR40)),CR$179*INDEX(Precio_V,3)*INDEX(IdxPrecio_V,1,MIN(10,CR$173))*(1+V_dPrecio))</f>
        <v>0</v>
      </c>
      <c r="CS204" s="34" t="n">
        <f aca="false">IF(CS$8=1,IF(Reales!$C$40="PYG",IF(CS$10&gt;0,N(Reales!CS40)/CS$10,0),N(Reales!CS40)),CS$179*INDEX(Precio_V,3)*INDEX(IdxPrecio_V,1,MIN(10,CS$173))*(1+V_dPrecio))</f>
        <v>0</v>
      </c>
      <c r="CT204" s="34" t="n">
        <f aca="false">IF(CT$8=1,IF(Reales!$C$40="PYG",IF(CT$10&gt;0,N(Reales!CT40)/CT$10,0),N(Reales!CT40)),CT$179*INDEX(Precio_V,3)*INDEX(IdxPrecio_V,1,MIN(10,CT$173))*(1+V_dPrecio))</f>
        <v>0</v>
      </c>
      <c r="CU204" s="34" t="n">
        <f aca="false">IF(CU$8=1,IF(Reales!$C$40="PYG",IF(CU$10&gt;0,N(Reales!CU40)/CU$10,0),N(Reales!CU40)),CU$179*INDEX(Precio_V,3)*INDEX(IdxPrecio_V,1,MIN(10,CU$173))*(1+V_dPrecio))</f>
        <v>0</v>
      </c>
      <c r="CV204" s="34" t="n">
        <f aca="false">IF(CV$8=1,IF(Reales!$C$40="PYG",IF(CV$10&gt;0,N(Reales!CV40)/CV$10,0),N(Reales!CV40)),CV$179*INDEX(Precio_V,3)*INDEX(IdxPrecio_V,1,MIN(10,CV$173))*(1+V_dPrecio))</f>
        <v>0</v>
      </c>
      <c r="CW204" s="34" t="n">
        <f aca="false">IF(CW$8=1,IF(Reales!$C$40="PYG",IF(CW$10&gt;0,N(Reales!CW40)/CW$10,0),N(Reales!CW40)),CW$179*INDEX(Precio_V,3)*INDEX(IdxPrecio_V,1,MIN(10,CW$173))*(1+V_dPrecio))</f>
        <v>0</v>
      </c>
      <c r="CX204" s="34" t="n">
        <f aca="false">IF(CX$8=1,IF(Reales!$C$40="PYG",IF(CX$10&gt;0,N(Reales!CX40)/CX$10,0),N(Reales!CX40)),CX$179*INDEX(Precio_V,3)*INDEX(IdxPrecio_V,1,MIN(10,CX$173))*(1+V_dPrecio))</f>
        <v>0</v>
      </c>
      <c r="CY204" s="34" t="n">
        <f aca="false">IF(CY$8=1,IF(Reales!$C$40="PYG",IF(CY$10&gt;0,N(Reales!CY40)/CY$10,0),N(Reales!CY40)),CY$179*INDEX(Precio_V,3)*INDEX(IdxPrecio_V,1,MIN(10,CY$173))*(1+V_dPrecio))</f>
        <v>0</v>
      </c>
      <c r="CZ204" s="34" t="n">
        <f aca="false">IF(CZ$8=1,IF(Reales!$C$40="PYG",IF(CZ$10&gt;0,N(Reales!CZ40)/CZ$10,0),N(Reales!CZ40)),CZ$179*INDEX(Precio_V,3)*INDEX(IdxPrecio_V,1,MIN(10,CZ$173))*(1+V_dPrecio))</f>
        <v>0</v>
      </c>
      <c r="DA204" s="34" t="n">
        <f aca="false">IF(DA$8=1,IF(Reales!$C$40="PYG",IF(DA$10&gt;0,N(Reales!DA40)/DA$10,0),N(Reales!DA40)),DA$179*INDEX(Precio_V,3)*INDEX(IdxPrecio_V,1,MIN(10,DA$173))*(1+V_dPrecio))</f>
        <v>0</v>
      </c>
      <c r="DB204" s="34" t="n">
        <f aca="false">IF(DB$8=1,IF(Reales!$C$40="PYG",IF(DB$10&gt;0,N(Reales!DB40)/DB$10,0),N(Reales!DB40)),DB$179*INDEX(Precio_V,3)*INDEX(IdxPrecio_V,1,MIN(10,DB$173))*(1+V_dPrecio))</f>
        <v>0</v>
      </c>
      <c r="DC204" s="34" t="n">
        <f aca="false">IF(DC$8=1,IF(Reales!$C$40="PYG",IF(DC$10&gt;0,N(Reales!DC40)/DC$10,0),N(Reales!DC40)),DC$179*INDEX(Precio_V,3)*INDEX(IdxPrecio_V,1,MIN(10,DC$173))*(1+V_dPrecio))</f>
        <v>0</v>
      </c>
      <c r="DD204" s="34" t="n">
        <f aca="false">IF(DD$8=1,IF(Reales!$C$40="PYG",IF(DD$10&gt;0,N(Reales!DD40)/DD$10,0),N(Reales!DD40)),DD$179*INDEX(Precio_V,3)*INDEX(IdxPrecio_V,1,MIN(10,DD$173))*(1+V_dPrecio))</f>
        <v>0</v>
      </c>
      <c r="DE204" s="34" t="n">
        <f aca="false">IF(DE$8=1,IF(Reales!$C$40="PYG",IF(DE$10&gt;0,N(Reales!DE40)/DE$10,0),N(Reales!DE40)),DE$179*INDEX(Precio_V,3)*INDEX(IdxPrecio_V,1,MIN(10,DE$173))*(1+V_dPrecio))</f>
        <v>0</v>
      </c>
      <c r="DF204" s="34" t="n">
        <f aca="false">IF(DF$8=1,IF(Reales!$C$40="PYG",IF(DF$10&gt;0,N(Reales!DF40)/DF$10,0),N(Reales!DF40)),DF$179*INDEX(Precio_V,3)*INDEX(IdxPrecio_V,1,MIN(10,DF$173))*(1+V_dPrecio))</f>
        <v>0</v>
      </c>
      <c r="DG204" s="34" t="n">
        <f aca="false">IF(DG$8=1,IF(Reales!$C$40="PYG",IF(DG$10&gt;0,N(Reales!DG40)/DG$10,0),N(Reales!DG40)),DG$179*INDEX(Precio_V,3)*INDEX(IdxPrecio_V,1,MIN(10,DG$173))*(1+V_dPrecio))</f>
        <v>0</v>
      </c>
      <c r="DH204" s="34" t="n">
        <f aca="false">IF(DH$8=1,IF(Reales!$C$40="PYG",IF(DH$10&gt;0,N(Reales!DH40)/DH$10,0),N(Reales!DH40)),DH$179*INDEX(Precio_V,3)*INDEX(IdxPrecio_V,1,MIN(10,DH$173))*(1+V_dPrecio))</f>
        <v>0</v>
      </c>
      <c r="DI204" s="34" t="n">
        <f aca="false">IF(DI$8=1,IF(Reales!$C$40="PYG",IF(DI$10&gt;0,N(Reales!DI40)/DI$10,0),N(Reales!DI40)),DI$179*INDEX(Precio_V,3)*INDEX(IdxPrecio_V,1,MIN(10,DI$173))*(1+V_dPrecio))</f>
        <v>0</v>
      </c>
      <c r="DJ204" s="34" t="n">
        <f aca="false">IF(DJ$8=1,IF(Reales!$C$40="PYG",IF(DJ$10&gt;0,N(Reales!DJ40)/DJ$10,0),N(Reales!DJ40)),DJ$179*INDEX(Precio_V,3)*INDEX(IdxPrecio_V,1,MIN(10,DJ$173))*(1+V_dPrecio))</f>
        <v>0</v>
      </c>
      <c r="DK204" s="34" t="n">
        <f aca="false">IF(DK$8=1,IF(Reales!$C$40="PYG",IF(DK$10&gt;0,N(Reales!DK40)/DK$10,0),N(Reales!DK40)),DK$179*INDEX(Precio_V,3)*INDEX(IdxPrecio_V,1,MIN(10,DK$173))*(1+V_dPrecio))</f>
        <v>0</v>
      </c>
      <c r="DL204" s="34" t="n">
        <f aca="false">IF(DL$8=1,IF(Reales!$C$40="PYG",IF(DL$10&gt;0,N(Reales!DL40)/DL$10,0),N(Reales!DL40)),DL$179*INDEX(Precio_V,3)*INDEX(IdxPrecio_V,1,MIN(10,DL$173))*(1+V_dPrecio))</f>
        <v>0</v>
      </c>
      <c r="DM204" s="34" t="n">
        <f aca="false">IF(DM$8=1,IF(Reales!$C$40="PYG",IF(DM$10&gt;0,N(Reales!DM40)/DM$10,0),N(Reales!DM40)),DM$179*INDEX(Precio_V,3)*INDEX(IdxPrecio_V,1,MIN(10,DM$173))*(1+V_dPrecio))</f>
        <v>0</v>
      </c>
      <c r="DN204" s="34" t="n">
        <f aca="false">IF(DN$8=1,IF(Reales!$C$40="PYG",IF(DN$10&gt;0,N(Reales!DN40)/DN$10,0),N(Reales!DN40)),DN$179*INDEX(Precio_V,3)*INDEX(IdxPrecio_V,1,MIN(10,DN$173))*(1+V_dPrecio))</f>
        <v>0</v>
      </c>
      <c r="DO204" s="34" t="n">
        <f aca="false">IF(DO$8=1,IF(Reales!$C$40="PYG",IF(DO$10&gt;0,N(Reales!DO40)/DO$10,0),N(Reales!DO40)),DO$179*INDEX(Precio_V,3)*INDEX(IdxPrecio_V,1,MIN(10,DO$173))*(1+V_dPrecio))</f>
        <v>0</v>
      </c>
      <c r="DP204" s="34" t="n">
        <f aca="false">IF(DP$8=1,IF(Reales!$C$40="PYG",IF(DP$10&gt;0,N(Reales!DP40)/DP$10,0),N(Reales!DP40)),DP$179*INDEX(Precio_V,3)*INDEX(IdxPrecio_V,1,MIN(10,DP$173))*(1+V_dPrecio))</f>
        <v>0</v>
      </c>
      <c r="DQ204" s="34" t="n">
        <f aca="false">IF(DQ$8=1,IF(Reales!$C$40="PYG",IF(DQ$10&gt;0,N(Reales!DQ40)/DQ$10,0),N(Reales!DQ40)),DQ$179*INDEX(Precio_V,3)*INDEX(IdxPrecio_V,1,MIN(10,DQ$173))*(1+V_dPrecio))</f>
        <v>0</v>
      </c>
      <c r="DR204" s="34" t="n">
        <f aca="false">IF(DR$8=1,IF(Reales!$C$40="PYG",IF(DR$10&gt;0,N(Reales!DR40)/DR$10,0),N(Reales!DR40)),DR$179*INDEX(Precio_V,3)*INDEX(IdxPrecio_V,1,MIN(10,DR$173))*(1+V_dPrecio))</f>
        <v>0</v>
      </c>
      <c r="DS204" s="34" t="n">
        <f aca="false">IF(DS$8=1,IF(Reales!$C$40="PYG",IF(DS$10&gt;0,N(Reales!DS40)/DS$10,0),N(Reales!DS40)),DS$179*INDEX(Precio_V,3)*INDEX(IdxPrecio_V,1,MIN(10,DS$173))*(1+V_dPrecio))</f>
        <v>0</v>
      </c>
      <c r="DT204" s="34" t="n">
        <f aca="false">IF(DT$8=1,IF(Reales!$C$40="PYG",IF(DT$10&gt;0,N(Reales!DT40)/DT$10,0),N(Reales!DT40)),DT$179*INDEX(Precio_V,3)*INDEX(IdxPrecio_V,1,MIN(10,DT$173))*(1+V_dPrecio))</f>
        <v>0</v>
      </c>
      <c r="DU204" s="34" t="n">
        <f aca="false">IF(DU$8=1,IF(Reales!$C$40="PYG",IF(DU$10&gt;0,N(Reales!DU40)/DU$10,0),N(Reales!DU40)),DU$179*INDEX(Precio_V,3)*INDEX(IdxPrecio_V,1,MIN(10,DU$173))*(1+V_dPrecio))</f>
        <v>0</v>
      </c>
      <c r="DV204" s="34" t="n">
        <f aca="false">IF(DV$8=1,IF(Reales!$C$40="PYG",IF(DV$10&gt;0,N(Reales!DV40)/DV$10,0),N(Reales!DV40)),DV$179*INDEX(Precio_V,3)*INDEX(IdxPrecio_V,1,MIN(10,DV$173))*(1+V_dPrecio))</f>
        <v>0</v>
      </c>
      <c r="DW204" s="34" t="n">
        <f aca="false">IF(DW$8=1,IF(Reales!$C$40="PYG",IF(DW$10&gt;0,N(Reales!DW40)/DW$10,0),N(Reales!DW40)),DW$179*INDEX(Precio_V,3)*INDEX(IdxPrecio_V,1,MIN(10,DW$173))*(1+V_dPrecio))</f>
        <v>0</v>
      </c>
      <c r="DX204" s="34" t="n">
        <f aca="false">IF(DX$8=1,IF(Reales!$C$40="PYG",IF(DX$10&gt;0,N(Reales!DX40)/DX$10,0),N(Reales!DX40)),DX$179*INDEX(Precio_V,3)*INDEX(IdxPrecio_V,1,MIN(10,DX$173))*(1+V_dPrecio))</f>
        <v>0</v>
      </c>
      <c r="DY204" s="34" t="n">
        <f aca="false">IF(DY$8=1,IF(Reales!$C$40="PYG",IF(DY$10&gt;0,N(Reales!DY40)/DY$10,0),N(Reales!DY40)),DY$179*INDEX(Precio_V,3)*INDEX(IdxPrecio_V,1,MIN(10,DY$173))*(1+V_dPrecio))</f>
        <v>0</v>
      </c>
      <c r="DZ204" s="34" t="n">
        <f aca="false">IF(DZ$8=1,IF(Reales!$C$40="PYG",IF(DZ$10&gt;0,N(Reales!DZ40)/DZ$10,0),N(Reales!DZ40)),DZ$179*INDEX(Precio_V,3)*INDEX(IdxPrecio_V,1,MIN(10,DZ$173))*(1+V_dPrecio))</f>
        <v>0</v>
      </c>
      <c r="EA204" s="34" t="n">
        <f aca="false">IF(EA$8=1,IF(Reales!$C$40="PYG",IF(EA$10&gt;0,N(Reales!EA40)/EA$10,0),N(Reales!EA40)),EA$179*INDEX(Precio_V,3)*INDEX(IdxPrecio_V,1,MIN(10,EA$173))*(1+V_dPrecio))</f>
        <v>0</v>
      </c>
      <c r="EB204" s="34" t="n">
        <f aca="false">IF(EB$8=1,IF(Reales!$C$40="PYG",IF(EB$10&gt;0,N(Reales!EB40)/EB$10,0),N(Reales!EB40)),EB$179*INDEX(Precio_V,3)*INDEX(IdxPrecio_V,1,MIN(10,EB$173))*(1+V_dPrecio))</f>
        <v>0</v>
      </c>
      <c r="EC204" s="34" t="n">
        <f aca="false">IF(EC$8=1,IF(Reales!$C$40="PYG",IF(EC$10&gt;0,N(Reales!EC40)/EC$10,0),N(Reales!EC40)),EC$179*INDEX(Precio_V,3)*INDEX(IdxPrecio_V,1,MIN(10,EC$173))*(1+V_dPrecio))</f>
        <v>0</v>
      </c>
      <c r="ED204" s="34" t="n">
        <f aca="false">IF(ED$8=1,IF(Reales!$C$40="PYG",IF(ED$10&gt;0,N(Reales!ED40)/ED$10,0),N(Reales!ED40)),ED$179*INDEX(Precio_V,3)*INDEX(IdxPrecio_V,1,MIN(10,ED$173))*(1+V_dPrecio))</f>
        <v>0</v>
      </c>
      <c r="EE204" s="34" t="n">
        <f aca="false">IF(EE$8=1,IF(Reales!$C$40="PYG",IF(EE$10&gt;0,N(Reales!EE40)/EE$10,0),N(Reales!EE40)),EE$179*INDEX(Precio_V,3)*INDEX(IdxPrecio_V,1,MIN(10,EE$173))*(1+V_dPrecio))</f>
        <v>0</v>
      </c>
      <c r="EF204" s="34" t="n">
        <f aca="false">IF(EF$8=1,IF(Reales!$C$40="PYG",IF(EF$10&gt;0,N(Reales!EF40)/EF$10,0),N(Reales!EF40)),EF$179*INDEX(Precio_V,3)*INDEX(IdxPrecio_V,1,MIN(10,EF$173))*(1+V_dPrecio))</f>
        <v>0</v>
      </c>
      <c r="EG204" s="34" t="n">
        <f aca="false">IF(EG$8=1,IF(Reales!$C$40="PYG",IF(EG$10&gt;0,N(Reales!EG40)/EG$10,0),N(Reales!EG40)),EG$179*INDEX(Precio_V,3)*INDEX(IdxPrecio_V,1,MIN(10,EG$173))*(1+V_dPrecio))</f>
        <v>0</v>
      </c>
      <c r="EH204" s="34" t="n">
        <f aca="false">IF(EH$8=1,IF(Reales!$C$40="PYG",IF(EH$10&gt;0,N(Reales!EH40)/EH$10,0),N(Reales!EH40)),EH$179*INDEX(Precio_V,3)*INDEX(IdxPrecio_V,1,MIN(10,EH$173))*(1+V_dPrecio))</f>
        <v>0</v>
      </c>
      <c r="EI204" s="34" t="n">
        <f aca="false">IF(EI$8=1,IF(Reales!$C$40="PYG",IF(EI$10&gt;0,N(Reales!EI40)/EI$10,0),N(Reales!EI40)),EI$179*INDEX(Precio_V,3)*INDEX(IdxPrecio_V,1,MIN(10,EI$173))*(1+V_dPrecio))</f>
        <v>0</v>
      </c>
      <c r="EJ204" s="34" t="n">
        <f aca="false">IF(EJ$8=1,IF(Reales!$C$40="PYG",IF(EJ$10&gt;0,N(Reales!EJ40)/EJ$10,0),N(Reales!EJ40)),EJ$179*INDEX(Precio_V,3)*INDEX(IdxPrecio_V,1,MIN(10,EJ$173))*(1+V_dPrecio))</f>
        <v>0</v>
      </c>
      <c r="EK204" s="34" t="n">
        <f aca="false">IF(EK$8=1,IF(Reales!$C$40="PYG",IF(EK$10&gt;0,N(Reales!EK40)/EK$10,0),N(Reales!EK40)),EK$179*INDEX(Precio_V,3)*INDEX(IdxPrecio_V,1,MIN(10,EK$173))*(1+V_dPrecio))</f>
        <v>0</v>
      </c>
      <c r="EL204" s="34" t="n">
        <f aca="false">IF(EL$8=1,IF(Reales!$C$40="PYG",IF(EL$10&gt;0,N(Reales!EL40)/EL$10,0),N(Reales!EL40)),EL$179*INDEX(Precio_V,3)*INDEX(IdxPrecio_V,1,MIN(10,EL$173))*(1+V_dPrecio))</f>
        <v>0</v>
      </c>
      <c r="EM204" s="34" t="n">
        <f aca="false">IF(EM$8=1,IF(Reales!$C$40="PYG",IF(EM$10&gt;0,N(Reales!EM40)/EM$10,0),N(Reales!EM40)),EM$179*INDEX(Precio_V,3)*INDEX(IdxPrecio_V,1,MIN(10,EM$173))*(1+V_dPrecio))</f>
        <v>0</v>
      </c>
      <c r="EN204" s="34" t="n">
        <f aca="false">IF(EN$8=1,IF(Reales!$C$40="PYG",IF(EN$10&gt;0,N(Reales!EN40)/EN$10,0),N(Reales!EN40)),EN$179*INDEX(Precio_V,3)*INDEX(IdxPrecio_V,1,MIN(10,EN$173))*(1+V_dPrecio))</f>
        <v>0</v>
      </c>
      <c r="EO204" s="34" t="n">
        <f aca="false">IF(EO$8=1,IF(Reales!$C$40="PYG",IF(EO$10&gt;0,N(Reales!EO40)/EO$10,0),N(Reales!EO40)),EO$179*INDEX(Precio_V,3)*INDEX(IdxPrecio_V,1,MIN(10,EO$173))*(1+V_dPrecio))</f>
        <v>0</v>
      </c>
      <c r="EP204" s="34" t="n">
        <f aca="false">IF(EP$8=1,IF(Reales!$C$40="PYG",IF(EP$10&gt;0,N(Reales!EP40)/EP$10,0),N(Reales!EP40)),EP$179*INDEX(Precio_V,3)*INDEX(IdxPrecio_V,1,MIN(10,EP$173))*(1+V_dPrecio))</f>
        <v>0</v>
      </c>
      <c r="EQ204" s="34" t="n">
        <f aca="false">IF(EQ$8=1,IF(Reales!$C$40="PYG",IF(EQ$10&gt;0,N(Reales!EQ40)/EQ$10,0),N(Reales!EQ40)),EQ$179*INDEX(Precio_V,3)*INDEX(IdxPrecio_V,1,MIN(10,EQ$173))*(1+V_dPrecio))</f>
        <v>0</v>
      </c>
      <c r="ER204" s="34" t="n">
        <f aca="false">IF(ER$8=1,IF(Reales!$C$40="PYG",IF(ER$10&gt;0,N(Reales!ER40)/ER$10,0),N(Reales!ER40)),ER$179*INDEX(Precio_V,3)*INDEX(IdxPrecio_V,1,MIN(10,ER$173))*(1+V_dPrecio))</f>
        <v>0</v>
      </c>
      <c r="ES204" s="34" t="n">
        <f aca="false">IF(ES$8=1,IF(Reales!$C$40="PYG",IF(ES$10&gt;0,N(Reales!ES40)/ES$10,0),N(Reales!ES40)),ES$179*INDEX(Precio_V,3)*INDEX(IdxPrecio_V,1,MIN(10,ES$173))*(1+V_dPrecio))</f>
        <v>0</v>
      </c>
    </row>
    <row r="205" customFormat="false" ht="15" hidden="false" customHeight="false" outlineLevel="0" collapsed="false">
      <c r="A205" s="2" t="s">
        <v>847</v>
      </c>
      <c r="B205" s="39" t="str">
        <f aca="false">IF(INDEX(Prod_Nombre,4)="","Producto 4",INDEX(Prod_Nombre,4))&amp;" — ventas USD"</f>
        <v>Producto 4 — ventas USD</v>
      </c>
      <c r="C205" s="6" t="s">
        <v>250</v>
      </c>
      <c r="E205" s="40" t="n">
        <f aca="false">SUM(F205:ES205)</f>
        <v>0</v>
      </c>
      <c r="F205" s="34" t="n">
        <f aca="false">IF(F$8=1,IF(Reales!$C$41="PYG",IF(F$10&gt;0,N(Reales!F41)/F$10,0),N(Reales!F41)),F$180*INDEX(Precio_V,4)*INDEX(IdxPrecio_V,1,MIN(10,F$173))*(1+V_dPrecio))</f>
        <v>0</v>
      </c>
      <c r="G205" s="34" t="n">
        <f aca="false">IF(G$8=1,IF(Reales!$C$41="PYG",IF(G$10&gt;0,N(Reales!G41)/G$10,0),N(Reales!G41)),G$180*INDEX(Precio_V,4)*INDEX(IdxPrecio_V,1,MIN(10,G$173))*(1+V_dPrecio))</f>
        <v>0</v>
      </c>
      <c r="H205" s="34" t="n">
        <f aca="false">IF(H$8=1,IF(Reales!$C$41="PYG",IF(H$10&gt;0,N(Reales!H41)/H$10,0),N(Reales!H41)),H$180*INDEX(Precio_V,4)*INDEX(IdxPrecio_V,1,MIN(10,H$173))*(1+V_dPrecio))</f>
        <v>0</v>
      </c>
      <c r="I205" s="34" t="n">
        <f aca="false">IF(I$8=1,IF(Reales!$C$41="PYG",IF(I$10&gt;0,N(Reales!I41)/I$10,0),N(Reales!I41)),I$180*INDEX(Precio_V,4)*INDEX(IdxPrecio_V,1,MIN(10,I$173))*(1+V_dPrecio))</f>
        <v>0</v>
      </c>
      <c r="J205" s="34" t="n">
        <f aca="false">IF(J$8=1,IF(Reales!$C$41="PYG",IF(J$10&gt;0,N(Reales!J41)/J$10,0),N(Reales!J41)),J$180*INDEX(Precio_V,4)*INDEX(IdxPrecio_V,1,MIN(10,J$173))*(1+V_dPrecio))</f>
        <v>0</v>
      </c>
      <c r="K205" s="34" t="n">
        <f aca="false">IF(K$8=1,IF(Reales!$C$41="PYG",IF(K$10&gt;0,N(Reales!K41)/K$10,0),N(Reales!K41)),K$180*INDEX(Precio_V,4)*INDEX(IdxPrecio_V,1,MIN(10,K$173))*(1+V_dPrecio))</f>
        <v>0</v>
      </c>
      <c r="L205" s="34" t="n">
        <f aca="false">IF(L$8=1,IF(Reales!$C$41="PYG",IF(L$10&gt;0,N(Reales!L41)/L$10,0),N(Reales!L41)),L$180*INDEX(Precio_V,4)*INDEX(IdxPrecio_V,1,MIN(10,L$173))*(1+V_dPrecio))</f>
        <v>0</v>
      </c>
      <c r="M205" s="34" t="n">
        <f aca="false">IF(M$8=1,IF(Reales!$C$41="PYG",IF(M$10&gt;0,N(Reales!M41)/M$10,0),N(Reales!M41)),M$180*INDEX(Precio_V,4)*INDEX(IdxPrecio_V,1,MIN(10,M$173))*(1+V_dPrecio))</f>
        <v>0</v>
      </c>
      <c r="N205" s="34" t="n">
        <f aca="false">IF(N$8=1,IF(Reales!$C$41="PYG",IF(N$10&gt;0,N(Reales!N41)/N$10,0),N(Reales!N41)),N$180*INDEX(Precio_V,4)*INDEX(IdxPrecio_V,1,MIN(10,N$173))*(1+V_dPrecio))</f>
        <v>0</v>
      </c>
      <c r="O205" s="34" t="n">
        <f aca="false">IF(O$8=1,IF(Reales!$C$41="PYG",IF(O$10&gt;0,N(Reales!O41)/O$10,0),N(Reales!O41)),O$180*INDEX(Precio_V,4)*INDEX(IdxPrecio_V,1,MIN(10,O$173))*(1+V_dPrecio))</f>
        <v>0</v>
      </c>
      <c r="P205" s="34" t="n">
        <f aca="false">IF(P$8=1,IF(Reales!$C$41="PYG",IF(P$10&gt;0,N(Reales!P41)/P$10,0),N(Reales!P41)),P$180*INDEX(Precio_V,4)*INDEX(IdxPrecio_V,1,MIN(10,P$173))*(1+V_dPrecio))</f>
        <v>0</v>
      </c>
      <c r="Q205" s="34" t="n">
        <f aca="false">IF(Q$8=1,IF(Reales!$C$41="PYG",IF(Q$10&gt;0,N(Reales!Q41)/Q$10,0),N(Reales!Q41)),Q$180*INDEX(Precio_V,4)*INDEX(IdxPrecio_V,1,MIN(10,Q$173))*(1+V_dPrecio))</f>
        <v>0</v>
      </c>
      <c r="R205" s="34" t="n">
        <f aca="false">IF(R$8=1,IF(Reales!$C$41="PYG",IF(R$10&gt;0,N(Reales!R41)/R$10,0),N(Reales!R41)),R$180*INDEX(Precio_V,4)*INDEX(IdxPrecio_V,1,MIN(10,R$173))*(1+V_dPrecio))</f>
        <v>0</v>
      </c>
      <c r="S205" s="34" t="n">
        <f aca="false">IF(S$8=1,IF(Reales!$C$41="PYG",IF(S$10&gt;0,N(Reales!S41)/S$10,0),N(Reales!S41)),S$180*INDEX(Precio_V,4)*INDEX(IdxPrecio_V,1,MIN(10,S$173))*(1+V_dPrecio))</f>
        <v>0</v>
      </c>
      <c r="T205" s="34" t="n">
        <f aca="false">IF(T$8=1,IF(Reales!$C$41="PYG",IF(T$10&gt;0,N(Reales!T41)/T$10,0),N(Reales!T41)),T$180*INDEX(Precio_V,4)*INDEX(IdxPrecio_V,1,MIN(10,T$173))*(1+V_dPrecio))</f>
        <v>0</v>
      </c>
      <c r="U205" s="34" t="n">
        <f aca="false">IF(U$8=1,IF(Reales!$C$41="PYG",IF(U$10&gt;0,N(Reales!U41)/U$10,0),N(Reales!U41)),U$180*INDEX(Precio_V,4)*INDEX(IdxPrecio_V,1,MIN(10,U$173))*(1+V_dPrecio))</f>
        <v>0</v>
      </c>
      <c r="V205" s="34" t="n">
        <f aca="false">IF(V$8=1,IF(Reales!$C$41="PYG",IF(V$10&gt;0,N(Reales!V41)/V$10,0),N(Reales!V41)),V$180*INDEX(Precio_V,4)*INDEX(IdxPrecio_V,1,MIN(10,V$173))*(1+V_dPrecio))</f>
        <v>0</v>
      </c>
      <c r="W205" s="34" t="n">
        <f aca="false">IF(W$8=1,IF(Reales!$C$41="PYG",IF(W$10&gt;0,N(Reales!W41)/W$10,0),N(Reales!W41)),W$180*INDEX(Precio_V,4)*INDEX(IdxPrecio_V,1,MIN(10,W$173))*(1+V_dPrecio))</f>
        <v>0</v>
      </c>
      <c r="X205" s="34" t="n">
        <f aca="false">IF(X$8=1,IF(Reales!$C$41="PYG",IF(X$10&gt;0,N(Reales!X41)/X$10,0),N(Reales!X41)),X$180*INDEX(Precio_V,4)*INDEX(IdxPrecio_V,1,MIN(10,X$173))*(1+V_dPrecio))</f>
        <v>0</v>
      </c>
      <c r="Y205" s="34" t="n">
        <f aca="false">IF(Y$8=1,IF(Reales!$C$41="PYG",IF(Y$10&gt;0,N(Reales!Y41)/Y$10,0),N(Reales!Y41)),Y$180*INDEX(Precio_V,4)*INDEX(IdxPrecio_V,1,MIN(10,Y$173))*(1+V_dPrecio))</f>
        <v>0</v>
      </c>
      <c r="Z205" s="34" t="n">
        <f aca="false">IF(Z$8=1,IF(Reales!$C$41="PYG",IF(Z$10&gt;0,N(Reales!Z41)/Z$10,0),N(Reales!Z41)),Z$180*INDEX(Precio_V,4)*INDEX(IdxPrecio_V,1,MIN(10,Z$173))*(1+V_dPrecio))</f>
        <v>0</v>
      </c>
      <c r="AA205" s="34" t="n">
        <f aca="false">IF(AA$8=1,IF(Reales!$C$41="PYG",IF(AA$10&gt;0,N(Reales!AA41)/AA$10,0),N(Reales!AA41)),AA$180*INDEX(Precio_V,4)*INDEX(IdxPrecio_V,1,MIN(10,AA$173))*(1+V_dPrecio))</f>
        <v>0</v>
      </c>
      <c r="AB205" s="34" t="n">
        <f aca="false">IF(AB$8=1,IF(Reales!$C$41="PYG",IF(AB$10&gt;0,N(Reales!AB41)/AB$10,0),N(Reales!AB41)),AB$180*INDEX(Precio_V,4)*INDEX(IdxPrecio_V,1,MIN(10,AB$173))*(1+V_dPrecio))</f>
        <v>0</v>
      </c>
      <c r="AC205" s="34" t="n">
        <f aca="false">IF(AC$8=1,IF(Reales!$C$41="PYG",IF(AC$10&gt;0,N(Reales!AC41)/AC$10,0),N(Reales!AC41)),AC$180*INDEX(Precio_V,4)*INDEX(IdxPrecio_V,1,MIN(10,AC$173))*(1+V_dPrecio))</f>
        <v>0</v>
      </c>
      <c r="AD205" s="34" t="n">
        <f aca="false">IF(AD$8=1,IF(Reales!$C$41="PYG",IF(AD$10&gt;0,N(Reales!AD41)/AD$10,0),N(Reales!AD41)),AD$180*INDEX(Precio_V,4)*INDEX(IdxPrecio_V,1,MIN(10,AD$173))*(1+V_dPrecio))</f>
        <v>0</v>
      </c>
      <c r="AE205" s="34" t="n">
        <f aca="false">IF(AE$8=1,IF(Reales!$C$41="PYG",IF(AE$10&gt;0,N(Reales!AE41)/AE$10,0),N(Reales!AE41)),AE$180*INDEX(Precio_V,4)*INDEX(IdxPrecio_V,1,MIN(10,AE$173))*(1+V_dPrecio))</f>
        <v>0</v>
      </c>
      <c r="AF205" s="34" t="n">
        <f aca="false">IF(AF$8=1,IF(Reales!$C$41="PYG",IF(AF$10&gt;0,N(Reales!AF41)/AF$10,0),N(Reales!AF41)),AF$180*INDEX(Precio_V,4)*INDEX(IdxPrecio_V,1,MIN(10,AF$173))*(1+V_dPrecio))</f>
        <v>0</v>
      </c>
      <c r="AG205" s="34" t="n">
        <f aca="false">IF(AG$8=1,IF(Reales!$C$41="PYG",IF(AG$10&gt;0,N(Reales!AG41)/AG$10,0),N(Reales!AG41)),AG$180*INDEX(Precio_V,4)*INDEX(IdxPrecio_V,1,MIN(10,AG$173))*(1+V_dPrecio))</f>
        <v>0</v>
      </c>
      <c r="AH205" s="34" t="n">
        <f aca="false">IF(AH$8=1,IF(Reales!$C$41="PYG",IF(AH$10&gt;0,N(Reales!AH41)/AH$10,0),N(Reales!AH41)),AH$180*INDEX(Precio_V,4)*INDEX(IdxPrecio_V,1,MIN(10,AH$173))*(1+V_dPrecio))</f>
        <v>0</v>
      </c>
      <c r="AI205" s="34" t="n">
        <f aca="false">IF(AI$8=1,IF(Reales!$C$41="PYG",IF(AI$10&gt;0,N(Reales!AI41)/AI$10,0),N(Reales!AI41)),AI$180*INDEX(Precio_V,4)*INDEX(IdxPrecio_V,1,MIN(10,AI$173))*(1+V_dPrecio))</f>
        <v>0</v>
      </c>
      <c r="AJ205" s="34" t="n">
        <f aca="false">IF(AJ$8=1,IF(Reales!$C$41="PYG",IF(AJ$10&gt;0,N(Reales!AJ41)/AJ$10,0),N(Reales!AJ41)),AJ$180*INDEX(Precio_V,4)*INDEX(IdxPrecio_V,1,MIN(10,AJ$173))*(1+V_dPrecio))</f>
        <v>0</v>
      </c>
      <c r="AK205" s="34" t="n">
        <f aca="false">IF(AK$8=1,IF(Reales!$C$41="PYG",IF(AK$10&gt;0,N(Reales!AK41)/AK$10,0),N(Reales!AK41)),AK$180*INDEX(Precio_V,4)*INDEX(IdxPrecio_V,1,MIN(10,AK$173))*(1+V_dPrecio))</f>
        <v>0</v>
      </c>
      <c r="AL205" s="34" t="n">
        <f aca="false">IF(AL$8=1,IF(Reales!$C$41="PYG",IF(AL$10&gt;0,N(Reales!AL41)/AL$10,0),N(Reales!AL41)),AL$180*INDEX(Precio_V,4)*INDEX(IdxPrecio_V,1,MIN(10,AL$173))*(1+V_dPrecio))</f>
        <v>0</v>
      </c>
      <c r="AM205" s="34" t="n">
        <f aca="false">IF(AM$8=1,IF(Reales!$C$41="PYG",IF(AM$10&gt;0,N(Reales!AM41)/AM$10,0),N(Reales!AM41)),AM$180*INDEX(Precio_V,4)*INDEX(IdxPrecio_V,1,MIN(10,AM$173))*(1+V_dPrecio))</f>
        <v>0</v>
      </c>
      <c r="AN205" s="34" t="n">
        <f aca="false">IF(AN$8=1,IF(Reales!$C$41="PYG",IF(AN$10&gt;0,N(Reales!AN41)/AN$10,0),N(Reales!AN41)),AN$180*INDEX(Precio_V,4)*INDEX(IdxPrecio_V,1,MIN(10,AN$173))*(1+V_dPrecio))</f>
        <v>0</v>
      </c>
      <c r="AO205" s="34" t="n">
        <f aca="false">IF(AO$8=1,IF(Reales!$C$41="PYG",IF(AO$10&gt;0,N(Reales!AO41)/AO$10,0),N(Reales!AO41)),AO$180*INDEX(Precio_V,4)*INDEX(IdxPrecio_V,1,MIN(10,AO$173))*(1+V_dPrecio))</f>
        <v>0</v>
      </c>
      <c r="AP205" s="34" t="n">
        <f aca="false">IF(AP$8=1,IF(Reales!$C$41="PYG",IF(AP$10&gt;0,N(Reales!AP41)/AP$10,0),N(Reales!AP41)),AP$180*INDEX(Precio_V,4)*INDEX(IdxPrecio_V,1,MIN(10,AP$173))*(1+V_dPrecio))</f>
        <v>0</v>
      </c>
      <c r="AQ205" s="34" t="n">
        <f aca="false">IF(AQ$8=1,IF(Reales!$C$41="PYG",IF(AQ$10&gt;0,N(Reales!AQ41)/AQ$10,0),N(Reales!AQ41)),AQ$180*INDEX(Precio_V,4)*INDEX(IdxPrecio_V,1,MIN(10,AQ$173))*(1+V_dPrecio))</f>
        <v>0</v>
      </c>
      <c r="AR205" s="34" t="n">
        <f aca="false">IF(AR$8=1,IF(Reales!$C$41="PYG",IF(AR$10&gt;0,N(Reales!AR41)/AR$10,0),N(Reales!AR41)),AR$180*INDEX(Precio_V,4)*INDEX(IdxPrecio_V,1,MIN(10,AR$173))*(1+V_dPrecio))</f>
        <v>0</v>
      </c>
      <c r="AS205" s="34" t="n">
        <f aca="false">IF(AS$8=1,IF(Reales!$C$41="PYG",IF(AS$10&gt;0,N(Reales!AS41)/AS$10,0),N(Reales!AS41)),AS$180*INDEX(Precio_V,4)*INDEX(IdxPrecio_V,1,MIN(10,AS$173))*(1+V_dPrecio))</f>
        <v>0</v>
      </c>
      <c r="AT205" s="34" t="n">
        <f aca="false">IF(AT$8=1,IF(Reales!$C$41="PYG",IF(AT$10&gt;0,N(Reales!AT41)/AT$10,0),N(Reales!AT41)),AT$180*INDEX(Precio_V,4)*INDEX(IdxPrecio_V,1,MIN(10,AT$173))*(1+V_dPrecio))</f>
        <v>0</v>
      </c>
      <c r="AU205" s="34" t="n">
        <f aca="false">IF(AU$8=1,IF(Reales!$C$41="PYG",IF(AU$10&gt;0,N(Reales!AU41)/AU$10,0),N(Reales!AU41)),AU$180*INDEX(Precio_V,4)*INDEX(IdxPrecio_V,1,MIN(10,AU$173))*(1+V_dPrecio))</f>
        <v>0</v>
      </c>
      <c r="AV205" s="34" t="n">
        <f aca="false">IF(AV$8=1,IF(Reales!$C$41="PYG",IF(AV$10&gt;0,N(Reales!AV41)/AV$10,0),N(Reales!AV41)),AV$180*INDEX(Precio_V,4)*INDEX(IdxPrecio_V,1,MIN(10,AV$173))*(1+V_dPrecio))</f>
        <v>0</v>
      </c>
      <c r="AW205" s="34" t="n">
        <f aca="false">IF(AW$8=1,IF(Reales!$C$41="PYG",IF(AW$10&gt;0,N(Reales!AW41)/AW$10,0),N(Reales!AW41)),AW$180*INDEX(Precio_V,4)*INDEX(IdxPrecio_V,1,MIN(10,AW$173))*(1+V_dPrecio))</f>
        <v>0</v>
      </c>
      <c r="AX205" s="34" t="n">
        <f aca="false">IF(AX$8=1,IF(Reales!$C$41="PYG",IF(AX$10&gt;0,N(Reales!AX41)/AX$10,0),N(Reales!AX41)),AX$180*INDEX(Precio_V,4)*INDEX(IdxPrecio_V,1,MIN(10,AX$173))*(1+V_dPrecio))</f>
        <v>0</v>
      </c>
      <c r="AY205" s="34" t="n">
        <f aca="false">IF(AY$8=1,IF(Reales!$C$41="PYG",IF(AY$10&gt;0,N(Reales!AY41)/AY$10,0),N(Reales!AY41)),AY$180*INDEX(Precio_V,4)*INDEX(IdxPrecio_V,1,MIN(10,AY$173))*(1+V_dPrecio))</f>
        <v>0</v>
      </c>
      <c r="AZ205" s="34" t="n">
        <f aca="false">IF(AZ$8=1,IF(Reales!$C$41="PYG",IF(AZ$10&gt;0,N(Reales!AZ41)/AZ$10,0),N(Reales!AZ41)),AZ$180*INDEX(Precio_V,4)*INDEX(IdxPrecio_V,1,MIN(10,AZ$173))*(1+V_dPrecio))</f>
        <v>0</v>
      </c>
      <c r="BA205" s="34" t="n">
        <f aca="false">IF(BA$8=1,IF(Reales!$C$41="PYG",IF(BA$10&gt;0,N(Reales!BA41)/BA$10,0),N(Reales!BA41)),BA$180*INDEX(Precio_V,4)*INDEX(IdxPrecio_V,1,MIN(10,BA$173))*(1+V_dPrecio))</f>
        <v>0</v>
      </c>
      <c r="BB205" s="34" t="n">
        <f aca="false">IF(BB$8=1,IF(Reales!$C$41="PYG",IF(BB$10&gt;0,N(Reales!BB41)/BB$10,0),N(Reales!BB41)),BB$180*INDEX(Precio_V,4)*INDEX(IdxPrecio_V,1,MIN(10,BB$173))*(1+V_dPrecio))</f>
        <v>0</v>
      </c>
      <c r="BC205" s="34" t="n">
        <f aca="false">IF(BC$8=1,IF(Reales!$C$41="PYG",IF(BC$10&gt;0,N(Reales!BC41)/BC$10,0),N(Reales!BC41)),BC$180*INDEX(Precio_V,4)*INDEX(IdxPrecio_V,1,MIN(10,BC$173))*(1+V_dPrecio))</f>
        <v>0</v>
      </c>
      <c r="BD205" s="34" t="n">
        <f aca="false">IF(BD$8=1,IF(Reales!$C$41="PYG",IF(BD$10&gt;0,N(Reales!BD41)/BD$10,0),N(Reales!BD41)),BD$180*INDEX(Precio_V,4)*INDEX(IdxPrecio_V,1,MIN(10,BD$173))*(1+V_dPrecio))</f>
        <v>0</v>
      </c>
      <c r="BE205" s="34" t="n">
        <f aca="false">IF(BE$8=1,IF(Reales!$C$41="PYG",IF(BE$10&gt;0,N(Reales!BE41)/BE$10,0),N(Reales!BE41)),BE$180*INDEX(Precio_V,4)*INDEX(IdxPrecio_V,1,MIN(10,BE$173))*(1+V_dPrecio))</f>
        <v>0</v>
      </c>
      <c r="BF205" s="34" t="n">
        <f aca="false">IF(BF$8=1,IF(Reales!$C$41="PYG",IF(BF$10&gt;0,N(Reales!BF41)/BF$10,0),N(Reales!BF41)),BF$180*INDEX(Precio_V,4)*INDEX(IdxPrecio_V,1,MIN(10,BF$173))*(1+V_dPrecio))</f>
        <v>0</v>
      </c>
      <c r="BG205" s="34" t="n">
        <f aca="false">IF(BG$8=1,IF(Reales!$C$41="PYG",IF(BG$10&gt;0,N(Reales!BG41)/BG$10,0),N(Reales!BG41)),BG$180*INDEX(Precio_V,4)*INDEX(IdxPrecio_V,1,MIN(10,BG$173))*(1+V_dPrecio))</f>
        <v>0</v>
      </c>
      <c r="BH205" s="34" t="n">
        <f aca="false">IF(BH$8=1,IF(Reales!$C$41="PYG",IF(BH$10&gt;0,N(Reales!BH41)/BH$10,0),N(Reales!BH41)),BH$180*INDEX(Precio_V,4)*INDEX(IdxPrecio_V,1,MIN(10,BH$173))*(1+V_dPrecio))</f>
        <v>0</v>
      </c>
      <c r="BI205" s="34" t="n">
        <f aca="false">IF(BI$8=1,IF(Reales!$C$41="PYG",IF(BI$10&gt;0,N(Reales!BI41)/BI$10,0),N(Reales!BI41)),BI$180*INDEX(Precio_V,4)*INDEX(IdxPrecio_V,1,MIN(10,BI$173))*(1+V_dPrecio))</f>
        <v>0</v>
      </c>
      <c r="BJ205" s="34" t="n">
        <f aca="false">IF(BJ$8=1,IF(Reales!$C$41="PYG",IF(BJ$10&gt;0,N(Reales!BJ41)/BJ$10,0),N(Reales!BJ41)),BJ$180*INDEX(Precio_V,4)*INDEX(IdxPrecio_V,1,MIN(10,BJ$173))*(1+V_dPrecio))</f>
        <v>0</v>
      </c>
      <c r="BK205" s="34" t="n">
        <f aca="false">IF(BK$8=1,IF(Reales!$C$41="PYG",IF(BK$10&gt;0,N(Reales!BK41)/BK$10,0),N(Reales!BK41)),BK$180*INDEX(Precio_V,4)*INDEX(IdxPrecio_V,1,MIN(10,BK$173))*(1+V_dPrecio))</f>
        <v>0</v>
      </c>
      <c r="BL205" s="34" t="n">
        <f aca="false">IF(BL$8=1,IF(Reales!$C$41="PYG",IF(BL$10&gt;0,N(Reales!BL41)/BL$10,0),N(Reales!BL41)),BL$180*INDEX(Precio_V,4)*INDEX(IdxPrecio_V,1,MIN(10,BL$173))*(1+V_dPrecio))</f>
        <v>0</v>
      </c>
      <c r="BM205" s="34" t="n">
        <f aca="false">IF(BM$8=1,IF(Reales!$C$41="PYG",IF(BM$10&gt;0,N(Reales!BM41)/BM$10,0),N(Reales!BM41)),BM$180*INDEX(Precio_V,4)*INDEX(IdxPrecio_V,1,MIN(10,BM$173))*(1+V_dPrecio))</f>
        <v>0</v>
      </c>
      <c r="BN205" s="34" t="n">
        <f aca="false">IF(BN$8=1,IF(Reales!$C$41="PYG",IF(BN$10&gt;0,N(Reales!BN41)/BN$10,0),N(Reales!BN41)),BN$180*INDEX(Precio_V,4)*INDEX(IdxPrecio_V,1,MIN(10,BN$173))*(1+V_dPrecio))</f>
        <v>0</v>
      </c>
      <c r="BO205" s="34" t="n">
        <f aca="false">IF(BO$8=1,IF(Reales!$C$41="PYG",IF(BO$10&gt;0,N(Reales!BO41)/BO$10,0),N(Reales!BO41)),BO$180*INDEX(Precio_V,4)*INDEX(IdxPrecio_V,1,MIN(10,BO$173))*(1+V_dPrecio))</f>
        <v>0</v>
      </c>
      <c r="BP205" s="34" t="n">
        <f aca="false">IF(BP$8=1,IF(Reales!$C$41="PYG",IF(BP$10&gt;0,N(Reales!BP41)/BP$10,0),N(Reales!BP41)),BP$180*INDEX(Precio_V,4)*INDEX(IdxPrecio_V,1,MIN(10,BP$173))*(1+V_dPrecio))</f>
        <v>0</v>
      </c>
      <c r="BQ205" s="34" t="n">
        <f aca="false">IF(BQ$8=1,IF(Reales!$C$41="PYG",IF(BQ$10&gt;0,N(Reales!BQ41)/BQ$10,0),N(Reales!BQ41)),BQ$180*INDEX(Precio_V,4)*INDEX(IdxPrecio_V,1,MIN(10,BQ$173))*(1+V_dPrecio))</f>
        <v>0</v>
      </c>
      <c r="BR205" s="34" t="n">
        <f aca="false">IF(BR$8=1,IF(Reales!$C$41="PYG",IF(BR$10&gt;0,N(Reales!BR41)/BR$10,0),N(Reales!BR41)),BR$180*INDEX(Precio_V,4)*INDEX(IdxPrecio_V,1,MIN(10,BR$173))*(1+V_dPrecio))</f>
        <v>0</v>
      </c>
      <c r="BS205" s="34" t="n">
        <f aca="false">IF(BS$8=1,IF(Reales!$C$41="PYG",IF(BS$10&gt;0,N(Reales!BS41)/BS$10,0),N(Reales!BS41)),BS$180*INDEX(Precio_V,4)*INDEX(IdxPrecio_V,1,MIN(10,BS$173))*(1+V_dPrecio))</f>
        <v>0</v>
      </c>
      <c r="BT205" s="34" t="n">
        <f aca="false">IF(BT$8=1,IF(Reales!$C$41="PYG",IF(BT$10&gt;0,N(Reales!BT41)/BT$10,0),N(Reales!BT41)),BT$180*INDEX(Precio_V,4)*INDEX(IdxPrecio_V,1,MIN(10,BT$173))*(1+V_dPrecio))</f>
        <v>0</v>
      </c>
      <c r="BU205" s="34" t="n">
        <f aca="false">IF(BU$8=1,IF(Reales!$C$41="PYG",IF(BU$10&gt;0,N(Reales!BU41)/BU$10,0),N(Reales!BU41)),BU$180*INDEX(Precio_V,4)*INDEX(IdxPrecio_V,1,MIN(10,BU$173))*(1+V_dPrecio))</f>
        <v>0</v>
      </c>
      <c r="BV205" s="34" t="n">
        <f aca="false">IF(BV$8=1,IF(Reales!$C$41="PYG",IF(BV$10&gt;0,N(Reales!BV41)/BV$10,0),N(Reales!BV41)),BV$180*INDEX(Precio_V,4)*INDEX(IdxPrecio_V,1,MIN(10,BV$173))*(1+V_dPrecio))</f>
        <v>0</v>
      </c>
      <c r="BW205" s="34" t="n">
        <f aca="false">IF(BW$8=1,IF(Reales!$C$41="PYG",IF(BW$10&gt;0,N(Reales!BW41)/BW$10,0),N(Reales!BW41)),BW$180*INDEX(Precio_V,4)*INDEX(IdxPrecio_V,1,MIN(10,BW$173))*(1+V_dPrecio))</f>
        <v>0</v>
      </c>
      <c r="BX205" s="34" t="n">
        <f aca="false">IF(BX$8=1,IF(Reales!$C$41="PYG",IF(BX$10&gt;0,N(Reales!BX41)/BX$10,0),N(Reales!BX41)),BX$180*INDEX(Precio_V,4)*INDEX(IdxPrecio_V,1,MIN(10,BX$173))*(1+V_dPrecio))</f>
        <v>0</v>
      </c>
      <c r="BY205" s="34" t="n">
        <f aca="false">IF(BY$8=1,IF(Reales!$C$41="PYG",IF(BY$10&gt;0,N(Reales!BY41)/BY$10,0),N(Reales!BY41)),BY$180*INDEX(Precio_V,4)*INDEX(IdxPrecio_V,1,MIN(10,BY$173))*(1+V_dPrecio))</f>
        <v>0</v>
      </c>
      <c r="BZ205" s="34" t="n">
        <f aca="false">IF(BZ$8=1,IF(Reales!$C$41="PYG",IF(BZ$10&gt;0,N(Reales!BZ41)/BZ$10,0),N(Reales!BZ41)),BZ$180*INDEX(Precio_V,4)*INDEX(IdxPrecio_V,1,MIN(10,BZ$173))*(1+V_dPrecio))</f>
        <v>0</v>
      </c>
      <c r="CA205" s="34" t="n">
        <f aca="false">IF(CA$8=1,IF(Reales!$C$41="PYG",IF(CA$10&gt;0,N(Reales!CA41)/CA$10,0),N(Reales!CA41)),CA$180*INDEX(Precio_V,4)*INDEX(IdxPrecio_V,1,MIN(10,CA$173))*(1+V_dPrecio))</f>
        <v>0</v>
      </c>
      <c r="CB205" s="34" t="n">
        <f aca="false">IF(CB$8=1,IF(Reales!$C$41="PYG",IF(CB$10&gt;0,N(Reales!CB41)/CB$10,0),N(Reales!CB41)),CB$180*INDEX(Precio_V,4)*INDEX(IdxPrecio_V,1,MIN(10,CB$173))*(1+V_dPrecio))</f>
        <v>0</v>
      </c>
      <c r="CC205" s="34" t="n">
        <f aca="false">IF(CC$8=1,IF(Reales!$C$41="PYG",IF(CC$10&gt;0,N(Reales!CC41)/CC$10,0),N(Reales!CC41)),CC$180*INDEX(Precio_V,4)*INDEX(IdxPrecio_V,1,MIN(10,CC$173))*(1+V_dPrecio))</f>
        <v>0</v>
      </c>
      <c r="CD205" s="34" t="n">
        <f aca="false">IF(CD$8=1,IF(Reales!$C$41="PYG",IF(CD$10&gt;0,N(Reales!CD41)/CD$10,0),N(Reales!CD41)),CD$180*INDEX(Precio_V,4)*INDEX(IdxPrecio_V,1,MIN(10,CD$173))*(1+V_dPrecio))</f>
        <v>0</v>
      </c>
      <c r="CE205" s="34" t="n">
        <f aca="false">IF(CE$8=1,IF(Reales!$C$41="PYG",IF(CE$10&gt;0,N(Reales!CE41)/CE$10,0),N(Reales!CE41)),CE$180*INDEX(Precio_V,4)*INDEX(IdxPrecio_V,1,MIN(10,CE$173))*(1+V_dPrecio))</f>
        <v>0</v>
      </c>
      <c r="CF205" s="34" t="n">
        <f aca="false">IF(CF$8=1,IF(Reales!$C$41="PYG",IF(CF$10&gt;0,N(Reales!CF41)/CF$10,0),N(Reales!CF41)),CF$180*INDEX(Precio_V,4)*INDEX(IdxPrecio_V,1,MIN(10,CF$173))*(1+V_dPrecio))</f>
        <v>0</v>
      </c>
      <c r="CG205" s="34" t="n">
        <f aca="false">IF(CG$8=1,IF(Reales!$C$41="PYG",IF(CG$10&gt;0,N(Reales!CG41)/CG$10,0),N(Reales!CG41)),CG$180*INDEX(Precio_V,4)*INDEX(IdxPrecio_V,1,MIN(10,CG$173))*(1+V_dPrecio))</f>
        <v>0</v>
      </c>
      <c r="CH205" s="34" t="n">
        <f aca="false">IF(CH$8=1,IF(Reales!$C$41="PYG",IF(CH$10&gt;0,N(Reales!CH41)/CH$10,0),N(Reales!CH41)),CH$180*INDEX(Precio_V,4)*INDEX(IdxPrecio_V,1,MIN(10,CH$173))*(1+V_dPrecio))</f>
        <v>0</v>
      </c>
      <c r="CI205" s="34" t="n">
        <f aca="false">IF(CI$8=1,IF(Reales!$C$41="PYG",IF(CI$10&gt;0,N(Reales!CI41)/CI$10,0),N(Reales!CI41)),CI$180*INDEX(Precio_V,4)*INDEX(IdxPrecio_V,1,MIN(10,CI$173))*(1+V_dPrecio))</f>
        <v>0</v>
      </c>
      <c r="CJ205" s="34" t="n">
        <f aca="false">IF(CJ$8=1,IF(Reales!$C$41="PYG",IF(CJ$10&gt;0,N(Reales!CJ41)/CJ$10,0),N(Reales!CJ41)),CJ$180*INDEX(Precio_V,4)*INDEX(IdxPrecio_V,1,MIN(10,CJ$173))*(1+V_dPrecio))</f>
        <v>0</v>
      </c>
      <c r="CK205" s="34" t="n">
        <f aca="false">IF(CK$8=1,IF(Reales!$C$41="PYG",IF(CK$10&gt;0,N(Reales!CK41)/CK$10,0),N(Reales!CK41)),CK$180*INDEX(Precio_V,4)*INDEX(IdxPrecio_V,1,MIN(10,CK$173))*(1+V_dPrecio))</f>
        <v>0</v>
      </c>
      <c r="CL205" s="34" t="n">
        <f aca="false">IF(CL$8=1,IF(Reales!$C$41="PYG",IF(CL$10&gt;0,N(Reales!CL41)/CL$10,0),N(Reales!CL41)),CL$180*INDEX(Precio_V,4)*INDEX(IdxPrecio_V,1,MIN(10,CL$173))*(1+V_dPrecio))</f>
        <v>0</v>
      </c>
      <c r="CM205" s="34" t="n">
        <f aca="false">IF(CM$8=1,IF(Reales!$C$41="PYG",IF(CM$10&gt;0,N(Reales!CM41)/CM$10,0),N(Reales!CM41)),CM$180*INDEX(Precio_V,4)*INDEX(IdxPrecio_V,1,MIN(10,CM$173))*(1+V_dPrecio))</f>
        <v>0</v>
      </c>
      <c r="CN205" s="34" t="n">
        <f aca="false">IF(CN$8=1,IF(Reales!$C$41="PYG",IF(CN$10&gt;0,N(Reales!CN41)/CN$10,0),N(Reales!CN41)),CN$180*INDEX(Precio_V,4)*INDEX(IdxPrecio_V,1,MIN(10,CN$173))*(1+V_dPrecio))</f>
        <v>0</v>
      </c>
      <c r="CO205" s="34" t="n">
        <f aca="false">IF(CO$8=1,IF(Reales!$C$41="PYG",IF(CO$10&gt;0,N(Reales!CO41)/CO$10,0),N(Reales!CO41)),CO$180*INDEX(Precio_V,4)*INDEX(IdxPrecio_V,1,MIN(10,CO$173))*(1+V_dPrecio))</f>
        <v>0</v>
      </c>
      <c r="CP205" s="34" t="n">
        <f aca="false">IF(CP$8=1,IF(Reales!$C$41="PYG",IF(CP$10&gt;0,N(Reales!CP41)/CP$10,0),N(Reales!CP41)),CP$180*INDEX(Precio_V,4)*INDEX(IdxPrecio_V,1,MIN(10,CP$173))*(1+V_dPrecio))</f>
        <v>0</v>
      </c>
      <c r="CQ205" s="34" t="n">
        <f aca="false">IF(CQ$8=1,IF(Reales!$C$41="PYG",IF(CQ$10&gt;0,N(Reales!CQ41)/CQ$10,0),N(Reales!CQ41)),CQ$180*INDEX(Precio_V,4)*INDEX(IdxPrecio_V,1,MIN(10,CQ$173))*(1+V_dPrecio))</f>
        <v>0</v>
      </c>
      <c r="CR205" s="34" t="n">
        <f aca="false">IF(CR$8=1,IF(Reales!$C$41="PYG",IF(CR$10&gt;0,N(Reales!CR41)/CR$10,0),N(Reales!CR41)),CR$180*INDEX(Precio_V,4)*INDEX(IdxPrecio_V,1,MIN(10,CR$173))*(1+V_dPrecio))</f>
        <v>0</v>
      </c>
      <c r="CS205" s="34" t="n">
        <f aca="false">IF(CS$8=1,IF(Reales!$C$41="PYG",IF(CS$10&gt;0,N(Reales!CS41)/CS$10,0),N(Reales!CS41)),CS$180*INDEX(Precio_V,4)*INDEX(IdxPrecio_V,1,MIN(10,CS$173))*(1+V_dPrecio))</f>
        <v>0</v>
      </c>
      <c r="CT205" s="34" t="n">
        <f aca="false">IF(CT$8=1,IF(Reales!$C$41="PYG",IF(CT$10&gt;0,N(Reales!CT41)/CT$10,0),N(Reales!CT41)),CT$180*INDEX(Precio_V,4)*INDEX(IdxPrecio_V,1,MIN(10,CT$173))*(1+V_dPrecio))</f>
        <v>0</v>
      </c>
      <c r="CU205" s="34" t="n">
        <f aca="false">IF(CU$8=1,IF(Reales!$C$41="PYG",IF(CU$10&gt;0,N(Reales!CU41)/CU$10,0),N(Reales!CU41)),CU$180*INDEX(Precio_V,4)*INDEX(IdxPrecio_V,1,MIN(10,CU$173))*(1+V_dPrecio))</f>
        <v>0</v>
      </c>
      <c r="CV205" s="34" t="n">
        <f aca="false">IF(CV$8=1,IF(Reales!$C$41="PYG",IF(CV$10&gt;0,N(Reales!CV41)/CV$10,0),N(Reales!CV41)),CV$180*INDEX(Precio_V,4)*INDEX(IdxPrecio_V,1,MIN(10,CV$173))*(1+V_dPrecio))</f>
        <v>0</v>
      </c>
      <c r="CW205" s="34" t="n">
        <f aca="false">IF(CW$8=1,IF(Reales!$C$41="PYG",IF(CW$10&gt;0,N(Reales!CW41)/CW$10,0),N(Reales!CW41)),CW$180*INDEX(Precio_V,4)*INDEX(IdxPrecio_V,1,MIN(10,CW$173))*(1+V_dPrecio))</f>
        <v>0</v>
      </c>
      <c r="CX205" s="34" t="n">
        <f aca="false">IF(CX$8=1,IF(Reales!$C$41="PYG",IF(CX$10&gt;0,N(Reales!CX41)/CX$10,0),N(Reales!CX41)),CX$180*INDEX(Precio_V,4)*INDEX(IdxPrecio_V,1,MIN(10,CX$173))*(1+V_dPrecio))</f>
        <v>0</v>
      </c>
      <c r="CY205" s="34" t="n">
        <f aca="false">IF(CY$8=1,IF(Reales!$C$41="PYG",IF(CY$10&gt;0,N(Reales!CY41)/CY$10,0),N(Reales!CY41)),CY$180*INDEX(Precio_V,4)*INDEX(IdxPrecio_V,1,MIN(10,CY$173))*(1+V_dPrecio))</f>
        <v>0</v>
      </c>
      <c r="CZ205" s="34" t="n">
        <f aca="false">IF(CZ$8=1,IF(Reales!$C$41="PYG",IF(CZ$10&gt;0,N(Reales!CZ41)/CZ$10,0),N(Reales!CZ41)),CZ$180*INDEX(Precio_V,4)*INDEX(IdxPrecio_V,1,MIN(10,CZ$173))*(1+V_dPrecio))</f>
        <v>0</v>
      </c>
      <c r="DA205" s="34" t="n">
        <f aca="false">IF(DA$8=1,IF(Reales!$C$41="PYG",IF(DA$10&gt;0,N(Reales!DA41)/DA$10,0),N(Reales!DA41)),DA$180*INDEX(Precio_V,4)*INDEX(IdxPrecio_V,1,MIN(10,DA$173))*(1+V_dPrecio))</f>
        <v>0</v>
      </c>
      <c r="DB205" s="34" t="n">
        <f aca="false">IF(DB$8=1,IF(Reales!$C$41="PYG",IF(DB$10&gt;0,N(Reales!DB41)/DB$10,0),N(Reales!DB41)),DB$180*INDEX(Precio_V,4)*INDEX(IdxPrecio_V,1,MIN(10,DB$173))*(1+V_dPrecio))</f>
        <v>0</v>
      </c>
      <c r="DC205" s="34" t="n">
        <f aca="false">IF(DC$8=1,IF(Reales!$C$41="PYG",IF(DC$10&gt;0,N(Reales!DC41)/DC$10,0),N(Reales!DC41)),DC$180*INDEX(Precio_V,4)*INDEX(IdxPrecio_V,1,MIN(10,DC$173))*(1+V_dPrecio))</f>
        <v>0</v>
      </c>
      <c r="DD205" s="34" t="n">
        <f aca="false">IF(DD$8=1,IF(Reales!$C$41="PYG",IF(DD$10&gt;0,N(Reales!DD41)/DD$10,0),N(Reales!DD41)),DD$180*INDEX(Precio_V,4)*INDEX(IdxPrecio_V,1,MIN(10,DD$173))*(1+V_dPrecio))</f>
        <v>0</v>
      </c>
      <c r="DE205" s="34" t="n">
        <f aca="false">IF(DE$8=1,IF(Reales!$C$41="PYG",IF(DE$10&gt;0,N(Reales!DE41)/DE$10,0),N(Reales!DE41)),DE$180*INDEX(Precio_V,4)*INDEX(IdxPrecio_V,1,MIN(10,DE$173))*(1+V_dPrecio))</f>
        <v>0</v>
      </c>
      <c r="DF205" s="34" t="n">
        <f aca="false">IF(DF$8=1,IF(Reales!$C$41="PYG",IF(DF$10&gt;0,N(Reales!DF41)/DF$10,0),N(Reales!DF41)),DF$180*INDEX(Precio_V,4)*INDEX(IdxPrecio_V,1,MIN(10,DF$173))*(1+V_dPrecio))</f>
        <v>0</v>
      </c>
      <c r="DG205" s="34" t="n">
        <f aca="false">IF(DG$8=1,IF(Reales!$C$41="PYG",IF(DG$10&gt;0,N(Reales!DG41)/DG$10,0),N(Reales!DG41)),DG$180*INDEX(Precio_V,4)*INDEX(IdxPrecio_V,1,MIN(10,DG$173))*(1+V_dPrecio))</f>
        <v>0</v>
      </c>
      <c r="DH205" s="34" t="n">
        <f aca="false">IF(DH$8=1,IF(Reales!$C$41="PYG",IF(DH$10&gt;0,N(Reales!DH41)/DH$10,0),N(Reales!DH41)),DH$180*INDEX(Precio_V,4)*INDEX(IdxPrecio_V,1,MIN(10,DH$173))*(1+V_dPrecio))</f>
        <v>0</v>
      </c>
      <c r="DI205" s="34" t="n">
        <f aca="false">IF(DI$8=1,IF(Reales!$C$41="PYG",IF(DI$10&gt;0,N(Reales!DI41)/DI$10,0),N(Reales!DI41)),DI$180*INDEX(Precio_V,4)*INDEX(IdxPrecio_V,1,MIN(10,DI$173))*(1+V_dPrecio))</f>
        <v>0</v>
      </c>
      <c r="DJ205" s="34" t="n">
        <f aca="false">IF(DJ$8=1,IF(Reales!$C$41="PYG",IF(DJ$10&gt;0,N(Reales!DJ41)/DJ$10,0),N(Reales!DJ41)),DJ$180*INDEX(Precio_V,4)*INDEX(IdxPrecio_V,1,MIN(10,DJ$173))*(1+V_dPrecio))</f>
        <v>0</v>
      </c>
      <c r="DK205" s="34" t="n">
        <f aca="false">IF(DK$8=1,IF(Reales!$C$41="PYG",IF(DK$10&gt;0,N(Reales!DK41)/DK$10,0),N(Reales!DK41)),DK$180*INDEX(Precio_V,4)*INDEX(IdxPrecio_V,1,MIN(10,DK$173))*(1+V_dPrecio))</f>
        <v>0</v>
      </c>
      <c r="DL205" s="34" t="n">
        <f aca="false">IF(DL$8=1,IF(Reales!$C$41="PYG",IF(DL$10&gt;0,N(Reales!DL41)/DL$10,0),N(Reales!DL41)),DL$180*INDEX(Precio_V,4)*INDEX(IdxPrecio_V,1,MIN(10,DL$173))*(1+V_dPrecio))</f>
        <v>0</v>
      </c>
      <c r="DM205" s="34" t="n">
        <f aca="false">IF(DM$8=1,IF(Reales!$C$41="PYG",IF(DM$10&gt;0,N(Reales!DM41)/DM$10,0),N(Reales!DM41)),DM$180*INDEX(Precio_V,4)*INDEX(IdxPrecio_V,1,MIN(10,DM$173))*(1+V_dPrecio))</f>
        <v>0</v>
      </c>
      <c r="DN205" s="34" t="n">
        <f aca="false">IF(DN$8=1,IF(Reales!$C$41="PYG",IF(DN$10&gt;0,N(Reales!DN41)/DN$10,0),N(Reales!DN41)),DN$180*INDEX(Precio_V,4)*INDEX(IdxPrecio_V,1,MIN(10,DN$173))*(1+V_dPrecio))</f>
        <v>0</v>
      </c>
      <c r="DO205" s="34" t="n">
        <f aca="false">IF(DO$8=1,IF(Reales!$C$41="PYG",IF(DO$10&gt;0,N(Reales!DO41)/DO$10,0),N(Reales!DO41)),DO$180*INDEX(Precio_V,4)*INDEX(IdxPrecio_V,1,MIN(10,DO$173))*(1+V_dPrecio))</f>
        <v>0</v>
      </c>
      <c r="DP205" s="34" t="n">
        <f aca="false">IF(DP$8=1,IF(Reales!$C$41="PYG",IF(DP$10&gt;0,N(Reales!DP41)/DP$10,0),N(Reales!DP41)),DP$180*INDEX(Precio_V,4)*INDEX(IdxPrecio_V,1,MIN(10,DP$173))*(1+V_dPrecio))</f>
        <v>0</v>
      </c>
      <c r="DQ205" s="34" t="n">
        <f aca="false">IF(DQ$8=1,IF(Reales!$C$41="PYG",IF(DQ$10&gt;0,N(Reales!DQ41)/DQ$10,0),N(Reales!DQ41)),DQ$180*INDEX(Precio_V,4)*INDEX(IdxPrecio_V,1,MIN(10,DQ$173))*(1+V_dPrecio))</f>
        <v>0</v>
      </c>
      <c r="DR205" s="34" t="n">
        <f aca="false">IF(DR$8=1,IF(Reales!$C$41="PYG",IF(DR$10&gt;0,N(Reales!DR41)/DR$10,0),N(Reales!DR41)),DR$180*INDEX(Precio_V,4)*INDEX(IdxPrecio_V,1,MIN(10,DR$173))*(1+V_dPrecio))</f>
        <v>0</v>
      </c>
      <c r="DS205" s="34" t="n">
        <f aca="false">IF(DS$8=1,IF(Reales!$C$41="PYG",IF(DS$10&gt;0,N(Reales!DS41)/DS$10,0),N(Reales!DS41)),DS$180*INDEX(Precio_V,4)*INDEX(IdxPrecio_V,1,MIN(10,DS$173))*(1+V_dPrecio))</f>
        <v>0</v>
      </c>
      <c r="DT205" s="34" t="n">
        <f aca="false">IF(DT$8=1,IF(Reales!$C$41="PYG",IF(DT$10&gt;0,N(Reales!DT41)/DT$10,0),N(Reales!DT41)),DT$180*INDEX(Precio_V,4)*INDEX(IdxPrecio_V,1,MIN(10,DT$173))*(1+V_dPrecio))</f>
        <v>0</v>
      </c>
      <c r="DU205" s="34" t="n">
        <f aca="false">IF(DU$8=1,IF(Reales!$C$41="PYG",IF(DU$10&gt;0,N(Reales!DU41)/DU$10,0),N(Reales!DU41)),DU$180*INDEX(Precio_V,4)*INDEX(IdxPrecio_V,1,MIN(10,DU$173))*(1+V_dPrecio))</f>
        <v>0</v>
      </c>
      <c r="DV205" s="34" t="n">
        <f aca="false">IF(DV$8=1,IF(Reales!$C$41="PYG",IF(DV$10&gt;0,N(Reales!DV41)/DV$10,0),N(Reales!DV41)),DV$180*INDEX(Precio_V,4)*INDEX(IdxPrecio_V,1,MIN(10,DV$173))*(1+V_dPrecio))</f>
        <v>0</v>
      </c>
      <c r="DW205" s="34" t="n">
        <f aca="false">IF(DW$8=1,IF(Reales!$C$41="PYG",IF(DW$10&gt;0,N(Reales!DW41)/DW$10,0),N(Reales!DW41)),DW$180*INDEX(Precio_V,4)*INDEX(IdxPrecio_V,1,MIN(10,DW$173))*(1+V_dPrecio))</f>
        <v>0</v>
      </c>
      <c r="DX205" s="34" t="n">
        <f aca="false">IF(DX$8=1,IF(Reales!$C$41="PYG",IF(DX$10&gt;0,N(Reales!DX41)/DX$10,0),N(Reales!DX41)),DX$180*INDEX(Precio_V,4)*INDEX(IdxPrecio_V,1,MIN(10,DX$173))*(1+V_dPrecio))</f>
        <v>0</v>
      </c>
      <c r="DY205" s="34" t="n">
        <f aca="false">IF(DY$8=1,IF(Reales!$C$41="PYG",IF(DY$10&gt;0,N(Reales!DY41)/DY$10,0),N(Reales!DY41)),DY$180*INDEX(Precio_V,4)*INDEX(IdxPrecio_V,1,MIN(10,DY$173))*(1+V_dPrecio))</f>
        <v>0</v>
      </c>
      <c r="DZ205" s="34" t="n">
        <f aca="false">IF(DZ$8=1,IF(Reales!$C$41="PYG",IF(DZ$10&gt;0,N(Reales!DZ41)/DZ$10,0),N(Reales!DZ41)),DZ$180*INDEX(Precio_V,4)*INDEX(IdxPrecio_V,1,MIN(10,DZ$173))*(1+V_dPrecio))</f>
        <v>0</v>
      </c>
      <c r="EA205" s="34" t="n">
        <f aca="false">IF(EA$8=1,IF(Reales!$C$41="PYG",IF(EA$10&gt;0,N(Reales!EA41)/EA$10,0),N(Reales!EA41)),EA$180*INDEX(Precio_V,4)*INDEX(IdxPrecio_V,1,MIN(10,EA$173))*(1+V_dPrecio))</f>
        <v>0</v>
      </c>
      <c r="EB205" s="34" t="n">
        <f aca="false">IF(EB$8=1,IF(Reales!$C$41="PYG",IF(EB$10&gt;0,N(Reales!EB41)/EB$10,0),N(Reales!EB41)),EB$180*INDEX(Precio_V,4)*INDEX(IdxPrecio_V,1,MIN(10,EB$173))*(1+V_dPrecio))</f>
        <v>0</v>
      </c>
      <c r="EC205" s="34" t="n">
        <f aca="false">IF(EC$8=1,IF(Reales!$C$41="PYG",IF(EC$10&gt;0,N(Reales!EC41)/EC$10,0),N(Reales!EC41)),EC$180*INDEX(Precio_V,4)*INDEX(IdxPrecio_V,1,MIN(10,EC$173))*(1+V_dPrecio))</f>
        <v>0</v>
      </c>
      <c r="ED205" s="34" t="n">
        <f aca="false">IF(ED$8=1,IF(Reales!$C$41="PYG",IF(ED$10&gt;0,N(Reales!ED41)/ED$10,0),N(Reales!ED41)),ED$180*INDEX(Precio_V,4)*INDEX(IdxPrecio_V,1,MIN(10,ED$173))*(1+V_dPrecio))</f>
        <v>0</v>
      </c>
      <c r="EE205" s="34" t="n">
        <f aca="false">IF(EE$8=1,IF(Reales!$C$41="PYG",IF(EE$10&gt;0,N(Reales!EE41)/EE$10,0),N(Reales!EE41)),EE$180*INDEX(Precio_V,4)*INDEX(IdxPrecio_V,1,MIN(10,EE$173))*(1+V_dPrecio))</f>
        <v>0</v>
      </c>
      <c r="EF205" s="34" t="n">
        <f aca="false">IF(EF$8=1,IF(Reales!$C$41="PYG",IF(EF$10&gt;0,N(Reales!EF41)/EF$10,0),N(Reales!EF41)),EF$180*INDEX(Precio_V,4)*INDEX(IdxPrecio_V,1,MIN(10,EF$173))*(1+V_dPrecio))</f>
        <v>0</v>
      </c>
      <c r="EG205" s="34" t="n">
        <f aca="false">IF(EG$8=1,IF(Reales!$C$41="PYG",IF(EG$10&gt;0,N(Reales!EG41)/EG$10,0),N(Reales!EG41)),EG$180*INDEX(Precio_V,4)*INDEX(IdxPrecio_V,1,MIN(10,EG$173))*(1+V_dPrecio))</f>
        <v>0</v>
      </c>
      <c r="EH205" s="34" t="n">
        <f aca="false">IF(EH$8=1,IF(Reales!$C$41="PYG",IF(EH$10&gt;0,N(Reales!EH41)/EH$10,0),N(Reales!EH41)),EH$180*INDEX(Precio_V,4)*INDEX(IdxPrecio_V,1,MIN(10,EH$173))*(1+V_dPrecio))</f>
        <v>0</v>
      </c>
      <c r="EI205" s="34" t="n">
        <f aca="false">IF(EI$8=1,IF(Reales!$C$41="PYG",IF(EI$10&gt;0,N(Reales!EI41)/EI$10,0),N(Reales!EI41)),EI$180*INDEX(Precio_V,4)*INDEX(IdxPrecio_V,1,MIN(10,EI$173))*(1+V_dPrecio))</f>
        <v>0</v>
      </c>
      <c r="EJ205" s="34" t="n">
        <f aca="false">IF(EJ$8=1,IF(Reales!$C$41="PYG",IF(EJ$10&gt;0,N(Reales!EJ41)/EJ$10,0),N(Reales!EJ41)),EJ$180*INDEX(Precio_V,4)*INDEX(IdxPrecio_V,1,MIN(10,EJ$173))*(1+V_dPrecio))</f>
        <v>0</v>
      </c>
      <c r="EK205" s="34" t="n">
        <f aca="false">IF(EK$8=1,IF(Reales!$C$41="PYG",IF(EK$10&gt;0,N(Reales!EK41)/EK$10,0),N(Reales!EK41)),EK$180*INDEX(Precio_V,4)*INDEX(IdxPrecio_V,1,MIN(10,EK$173))*(1+V_dPrecio))</f>
        <v>0</v>
      </c>
      <c r="EL205" s="34" t="n">
        <f aca="false">IF(EL$8=1,IF(Reales!$C$41="PYG",IF(EL$10&gt;0,N(Reales!EL41)/EL$10,0),N(Reales!EL41)),EL$180*INDEX(Precio_V,4)*INDEX(IdxPrecio_V,1,MIN(10,EL$173))*(1+V_dPrecio))</f>
        <v>0</v>
      </c>
      <c r="EM205" s="34" t="n">
        <f aca="false">IF(EM$8=1,IF(Reales!$C$41="PYG",IF(EM$10&gt;0,N(Reales!EM41)/EM$10,0),N(Reales!EM41)),EM$180*INDEX(Precio_V,4)*INDEX(IdxPrecio_V,1,MIN(10,EM$173))*(1+V_dPrecio))</f>
        <v>0</v>
      </c>
      <c r="EN205" s="34" t="n">
        <f aca="false">IF(EN$8=1,IF(Reales!$C$41="PYG",IF(EN$10&gt;0,N(Reales!EN41)/EN$10,0),N(Reales!EN41)),EN$180*INDEX(Precio_V,4)*INDEX(IdxPrecio_V,1,MIN(10,EN$173))*(1+V_dPrecio))</f>
        <v>0</v>
      </c>
      <c r="EO205" s="34" t="n">
        <f aca="false">IF(EO$8=1,IF(Reales!$C$41="PYG",IF(EO$10&gt;0,N(Reales!EO41)/EO$10,0),N(Reales!EO41)),EO$180*INDEX(Precio_V,4)*INDEX(IdxPrecio_V,1,MIN(10,EO$173))*(1+V_dPrecio))</f>
        <v>0</v>
      </c>
      <c r="EP205" s="34" t="n">
        <f aca="false">IF(EP$8=1,IF(Reales!$C$41="PYG",IF(EP$10&gt;0,N(Reales!EP41)/EP$10,0),N(Reales!EP41)),EP$180*INDEX(Precio_V,4)*INDEX(IdxPrecio_V,1,MIN(10,EP$173))*(1+V_dPrecio))</f>
        <v>0</v>
      </c>
      <c r="EQ205" s="34" t="n">
        <f aca="false">IF(EQ$8=1,IF(Reales!$C$41="PYG",IF(EQ$10&gt;0,N(Reales!EQ41)/EQ$10,0),N(Reales!EQ41)),EQ$180*INDEX(Precio_V,4)*INDEX(IdxPrecio_V,1,MIN(10,EQ$173))*(1+V_dPrecio))</f>
        <v>0</v>
      </c>
      <c r="ER205" s="34" t="n">
        <f aca="false">IF(ER$8=1,IF(Reales!$C$41="PYG",IF(ER$10&gt;0,N(Reales!ER41)/ER$10,0),N(Reales!ER41)),ER$180*INDEX(Precio_V,4)*INDEX(IdxPrecio_V,1,MIN(10,ER$173))*(1+V_dPrecio))</f>
        <v>0</v>
      </c>
      <c r="ES205" s="34" t="n">
        <f aca="false">IF(ES$8=1,IF(Reales!$C$41="PYG",IF(ES$10&gt;0,N(Reales!ES41)/ES$10,0),N(Reales!ES41)),ES$180*INDEX(Precio_V,4)*INDEX(IdxPrecio_V,1,MIN(10,ES$173))*(1+V_dPrecio))</f>
        <v>0</v>
      </c>
    </row>
    <row r="206" customFormat="false" ht="15" hidden="false" customHeight="false" outlineLevel="0" collapsed="false">
      <c r="A206" s="2" t="s">
        <v>848</v>
      </c>
      <c r="B206" s="39" t="str">
        <f aca="false">IF(INDEX(Prod_Nombre,5)="","Producto 5",INDEX(Prod_Nombre,5))&amp;" — ventas USD"</f>
        <v>Producto 5 — ventas USD</v>
      </c>
      <c r="C206" s="6" t="s">
        <v>250</v>
      </c>
      <c r="E206" s="40" t="n">
        <f aca="false">SUM(F206:ES206)</f>
        <v>0</v>
      </c>
      <c r="F206" s="34" t="n">
        <f aca="false">IF(F$8=1,IF(Reales!$C$42="PYG",IF(F$10&gt;0,N(Reales!F42)/F$10,0),N(Reales!F42)),F$181*INDEX(Precio_V,5)*INDEX(IdxPrecio_V,1,MIN(10,F$173))*(1+V_dPrecio))</f>
        <v>0</v>
      </c>
      <c r="G206" s="34" t="n">
        <f aca="false">IF(G$8=1,IF(Reales!$C$42="PYG",IF(G$10&gt;0,N(Reales!G42)/G$10,0),N(Reales!G42)),G$181*INDEX(Precio_V,5)*INDEX(IdxPrecio_V,1,MIN(10,G$173))*(1+V_dPrecio))</f>
        <v>0</v>
      </c>
      <c r="H206" s="34" t="n">
        <f aca="false">IF(H$8=1,IF(Reales!$C$42="PYG",IF(H$10&gt;0,N(Reales!H42)/H$10,0),N(Reales!H42)),H$181*INDEX(Precio_V,5)*INDEX(IdxPrecio_V,1,MIN(10,H$173))*(1+V_dPrecio))</f>
        <v>0</v>
      </c>
      <c r="I206" s="34" t="n">
        <f aca="false">IF(I$8=1,IF(Reales!$C$42="PYG",IF(I$10&gt;0,N(Reales!I42)/I$10,0),N(Reales!I42)),I$181*INDEX(Precio_V,5)*INDEX(IdxPrecio_V,1,MIN(10,I$173))*(1+V_dPrecio))</f>
        <v>0</v>
      </c>
      <c r="J206" s="34" t="n">
        <f aca="false">IF(J$8=1,IF(Reales!$C$42="PYG",IF(J$10&gt;0,N(Reales!J42)/J$10,0),N(Reales!J42)),J$181*INDEX(Precio_V,5)*INDEX(IdxPrecio_V,1,MIN(10,J$173))*(1+V_dPrecio))</f>
        <v>0</v>
      </c>
      <c r="K206" s="34" t="n">
        <f aca="false">IF(K$8=1,IF(Reales!$C$42="PYG",IF(K$10&gt;0,N(Reales!K42)/K$10,0),N(Reales!K42)),K$181*INDEX(Precio_V,5)*INDEX(IdxPrecio_V,1,MIN(10,K$173))*(1+V_dPrecio))</f>
        <v>0</v>
      </c>
      <c r="L206" s="34" t="n">
        <f aca="false">IF(L$8=1,IF(Reales!$C$42="PYG",IF(L$10&gt;0,N(Reales!L42)/L$10,0),N(Reales!L42)),L$181*INDEX(Precio_V,5)*INDEX(IdxPrecio_V,1,MIN(10,L$173))*(1+V_dPrecio))</f>
        <v>0</v>
      </c>
      <c r="M206" s="34" t="n">
        <f aca="false">IF(M$8=1,IF(Reales!$C$42="PYG",IF(M$10&gt;0,N(Reales!M42)/M$10,0),N(Reales!M42)),M$181*INDEX(Precio_V,5)*INDEX(IdxPrecio_V,1,MIN(10,M$173))*(1+V_dPrecio))</f>
        <v>0</v>
      </c>
      <c r="N206" s="34" t="n">
        <f aca="false">IF(N$8=1,IF(Reales!$C$42="PYG",IF(N$10&gt;0,N(Reales!N42)/N$10,0),N(Reales!N42)),N$181*INDEX(Precio_V,5)*INDEX(IdxPrecio_V,1,MIN(10,N$173))*(1+V_dPrecio))</f>
        <v>0</v>
      </c>
      <c r="O206" s="34" t="n">
        <f aca="false">IF(O$8=1,IF(Reales!$C$42="PYG",IF(O$10&gt;0,N(Reales!O42)/O$10,0),N(Reales!O42)),O$181*INDEX(Precio_V,5)*INDEX(IdxPrecio_V,1,MIN(10,O$173))*(1+V_dPrecio))</f>
        <v>0</v>
      </c>
      <c r="P206" s="34" t="n">
        <f aca="false">IF(P$8=1,IF(Reales!$C$42="PYG",IF(P$10&gt;0,N(Reales!P42)/P$10,0),N(Reales!P42)),P$181*INDEX(Precio_V,5)*INDEX(IdxPrecio_V,1,MIN(10,P$173))*(1+V_dPrecio))</f>
        <v>0</v>
      </c>
      <c r="Q206" s="34" t="n">
        <f aca="false">IF(Q$8=1,IF(Reales!$C$42="PYG",IF(Q$10&gt;0,N(Reales!Q42)/Q$10,0),N(Reales!Q42)),Q$181*INDEX(Precio_V,5)*INDEX(IdxPrecio_V,1,MIN(10,Q$173))*(1+V_dPrecio))</f>
        <v>0</v>
      </c>
      <c r="R206" s="34" t="n">
        <f aca="false">IF(R$8=1,IF(Reales!$C$42="PYG",IF(R$10&gt;0,N(Reales!R42)/R$10,0),N(Reales!R42)),R$181*INDEX(Precio_V,5)*INDEX(IdxPrecio_V,1,MIN(10,R$173))*(1+V_dPrecio))</f>
        <v>0</v>
      </c>
      <c r="S206" s="34" t="n">
        <f aca="false">IF(S$8=1,IF(Reales!$C$42="PYG",IF(S$10&gt;0,N(Reales!S42)/S$10,0),N(Reales!S42)),S$181*INDEX(Precio_V,5)*INDEX(IdxPrecio_V,1,MIN(10,S$173))*(1+V_dPrecio))</f>
        <v>0</v>
      </c>
      <c r="T206" s="34" t="n">
        <f aca="false">IF(T$8=1,IF(Reales!$C$42="PYG",IF(T$10&gt;0,N(Reales!T42)/T$10,0),N(Reales!T42)),T$181*INDEX(Precio_V,5)*INDEX(IdxPrecio_V,1,MIN(10,T$173))*(1+V_dPrecio))</f>
        <v>0</v>
      </c>
      <c r="U206" s="34" t="n">
        <f aca="false">IF(U$8=1,IF(Reales!$C$42="PYG",IF(U$10&gt;0,N(Reales!U42)/U$10,0),N(Reales!U42)),U$181*INDEX(Precio_V,5)*INDEX(IdxPrecio_V,1,MIN(10,U$173))*(1+V_dPrecio))</f>
        <v>0</v>
      </c>
      <c r="V206" s="34" t="n">
        <f aca="false">IF(V$8=1,IF(Reales!$C$42="PYG",IF(V$10&gt;0,N(Reales!V42)/V$10,0),N(Reales!V42)),V$181*INDEX(Precio_V,5)*INDEX(IdxPrecio_V,1,MIN(10,V$173))*(1+V_dPrecio))</f>
        <v>0</v>
      </c>
      <c r="W206" s="34" t="n">
        <f aca="false">IF(W$8=1,IF(Reales!$C$42="PYG",IF(W$10&gt;0,N(Reales!W42)/W$10,0),N(Reales!W42)),W$181*INDEX(Precio_V,5)*INDEX(IdxPrecio_V,1,MIN(10,W$173))*(1+V_dPrecio))</f>
        <v>0</v>
      </c>
      <c r="X206" s="34" t="n">
        <f aca="false">IF(X$8=1,IF(Reales!$C$42="PYG",IF(X$10&gt;0,N(Reales!X42)/X$10,0),N(Reales!X42)),X$181*INDEX(Precio_V,5)*INDEX(IdxPrecio_V,1,MIN(10,X$173))*(1+V_dPrecio))</f>
        <v>0</v>
      </c>
      <c r="Y206" s="34" t="n">
        <f aca="false">IF(Y$8=1,IF(Reales!$C$42="PYG",IF(Y$10&gt;0,N(Reales!Y42)/Y$10,0),N(Reales!Y42)),Y$181*INDEX(Precio_V,5)*INDEX(IdxPrecio_V,1,MIN(10,Y$173))*(1+V_dPrecio))</f>
        <v>0</v>
      </c>
      <c r="Z206" s="34" t="n">
        <f aca="false">IF(Z$8=1,IF(Reales!$C$42="PYG",IF(Z$10&gt;0,N(Reales!Z42)/Z$10,0),N(Reales!Z42)),Z$181*INDEX(Precio_V,5)*INDEX(IdxPrecio_V,1,MIN(10,Z$173))*(1+V_dPrecio))</f>
        <v>0</v>
      </c>
      <c r="AA206" s="34" t="n">
        <f aca="false">IF(AA$8=1,IF(Reales!$C$42="PYG",IF(AA$10&gt;0,N(Reales!AA42)/AA$10,0),N(Reales!AA42)),AA$181*INDEX(Precio_V,5)*INDEX(IdxPrecio_V,1,MIN(10,AA$173))*(1+V_dPrecio))</f>
        <v>0</v>
      </c>
      <c r="AB206" s="34" t="n">
        <f aca="false">IF(AB$8=1,IF(Reales!$C$42="PYG",IF(AB$10&gt;0,N(Reales!AB42)/AB$10,0),N(Reales!AB42)),AB$181*INDEX(Precio_V,5)*INDEX(IdxPrecio_V,1,MIN(10,AB$173))*(1+V_dPrecio))</f>
        <v>0</v>
      </c>
      <c r="AC206" s="34" t="n">
        <f aca="false">IF(AC$8=1,IF(Reales!$C$42="PYG",IF(AC$10&gt;0,N(Reales!AC42)/AC$10,0),N(Reales!AC42)),AC$181*INDEX(Precio_V,5)*INDEX(IdxPrecio_V,1,MIN(10,AC$173))*(1+V_dPrecio))</f>
        <v>0</v>
      </c>
      <c r="AD206" s="34" t="n">
        <f aca="false">IF(AD$8=1,IF(Reales!$C$42="PYG",IF(AD$10&gt;0,N(Reales!AD42)/AD$10,0),N(Reales!AD42)),AD$181*INDEX(Precio_V,5)*INDEX(IdxPrecio_V,1,MIN(10,AD$173))*(1+V_dPrecio))</f>
        <v>0</v>
      </c>
      <c r="AE206" s="34" t="n">
        <f aca="false">IF(AE$8=1,IF(Reales!$C$42="PYG",IF(AE$10&gt;0,N(Reales!AE42)/AE$10,0),N(Reales!AE42)),AE$181*INDEX(Precio_V,5)*INDEX(IdxPrecio_V,1,MIN(10,AE$173))*(1+V_dPrecio))</f>
        <v>0</v>
      </c>
      <c r="AF206" s="34" t="n">
        <f aca="false">IF(AF$8=1,IF(Reales!$C$42="PYG",IF(AF$10&gt;0,N(Reales!AF42)/AF$10,0),N(Reales!AF42)),AF$181*INDEX(Precio_V,5)*INDEX(IdxPrecio_V,1,MIN(10,AF$173))*(1+V_dPrecio))</f>
        <v>0</v>
      </c>
      <c r="AG206" s="34" t="n">
        <f aca="false">IF(AG$8=1,IF(Reales!$C$42="PYG",IF(AG$10&gt;0,N(Reales!AG42)/AG$10,0),N(Reales!AG42)),AG$181*INDEX(Precio_V,5)*INDEX(IdxPrecio_V,1,MIN(10,AG$173))*(1+V_dPrecio))</f>
        <v>0</v>
      </c>
      <c r="AH206" s="34" t="n">
        <f aca="false">IF(AH$8=1,IF(Reales!$C$42="PYG",IF(AH$10&gt;0,N(Reales!AH42)/AH$10,0),N(Reales!AH42)),AH$181*INDEX(Precio_V,5)*INDEX(IdxPrecio_V,1,MIN(10,AH$173))*(1+V_dPrecio))</f>
        <v>0</v>
      </c>
      <c r="AI206" s="34" t="n">
        <f aca="false">IF(AI$8=1,IF(Reales!$C$42="PYG",IF(AI$10&gt;0,N(Reales!AI42)/AI$10,0),N(Reales!AI42)),AI$181*INDEX(Precio_V,5)*INDEX(IdxPrecio_V,1,MIN(10,AI$173))*(1+V_dPrecio))</f>
        <v>0</v>
      </c>
      <c r="AJ206" s="34" t="n">
        <f aca="false">IF(AJ$8=1,IF(Reales!$C$42="PYG",IF(AJ$10&gt;0,N(Reales!AJ42)/AJ$10,0),N(Reales!AJ42)),AJ$181*INDEX(Precio_V,5)*INDEX(IdxPrecio_V,1,MIN(10,AJ$173))*(1+V_dPrecio))</f>
        <v>0</v>
      </c>
      <c r="AK206" s="34" t="n">
        <f aca="false">IF(AK$8=1,IF(Reales!$C$42="PYG",IF(AK$10&gt;0,N(Reales!AK42)/AK$10,0),N(Reales!AK42)),AK$181*INDEX(Precio_V,5)*INDEX(IdxPrecio_V,1,MIN(10,AK$173))*(1+V_dPrecio))</f>
        <v>0</v>
      </c>
      <c r="AL206" s="34" t="n">
        <f aca="false">IF(AL$8=1,IF(Reales!$C$42="PYG",IF(AL$10&gt;0,N(Reales!AL42)/AL$10,0),N(Reales!AL42)),AL$181*INDEX(Precio_V,5)*INDEX(IdxPrecio_V,1,MIN(10,AL$173))*(1+V_dPrecio))</f>
        <v>0</v>
      </c>
      <c r="AM206" s="34" t="n">
        <f aca="false">IF(AM$8=1,IF(Reales!$C$42="PYG",IF(AM$10&gt;0,N(Reales!AM42)/AM$10,0),N(Reales!AM42)),AM$181*INDEX(Precio_V,5)*INDEX(IdxPrecio_V,1,MIN(10,AM$173))*(1+V_dPrecio))</f>
        <v>0</v>
      </c>
      <c r="AN206" s="34" t="n">
        <f aca="false">IF(AN$8=1,IF(Reales!$C$42="PYG",IF(AN$10&gt;0,N(Reales!AN42)/AN$10,0),N(Reales!AN42)),AN$181*INDEX(Precio_V,5)*INDEX(IdxPrecio_V,1,MIN(10,AN$173))*(1+V_dPrecio))</f>
        <v>0</v>
      </c>
      <c r="AO206" s="34" t="n">
        <f aca="false">IF(AO$8=1,IF(Reales!$C$42="PYG",IF(AO$10&gt;0,N(Reales!AO42)/AO$10,0),N(Reales!AO42)),AO$181*INDEX(Precio_V,5)*INDEX(IdxPrecio_V,1,MIN(10,AO$173))*(1+V_dPrecio))</f>
        <v>0</v>
      </c>
      <c r="AP206" s="34" t="n">
        <f aca="false">IF(AP$8=1,IF(Reales!$C$42="PYG",IF(AP$10&gt;0,N(Reales!AP42)/AP$10,0),N(Reales!AP42)),AP$181*INDEX(Precio_V,5)*INDEX(IdxPrecio_V,1,MIN(10,AP$173))*(1+V_dPrecio))</f>
        <v>0</v>
      </c>
      <c r="AQ206" s="34" t="n">
        <f aca="false">IF(AQ$8=1,IF(Reales!$C$42="PYG",IF(AQ$10&gt;0,N(Reales!AQ42)/AQ$10,0),N(Reales!AQ42)),AQ$181*INDEX(Precio_V,5)*INDEX(IdxPrecio_V,1,MIN(10,AQ$173))*(1+V_dPrecio))</f>
        <v>0</v>
      </c>
      <c r="AR206" s="34" t="n">
        <f aca="false">IF(AR$8=1,IF(Reales!$C$42="PYG",IF(AR$10&gt;0,N(Reales!AR42)/AR$10,0),N(Reales!AR42)),AR$181*INDEX(Precio_V,5)*INDEX(IdxPrecio_V,1,MIN(10,AR$173))*(1+V_dPrecio))</f>
        <v>0</v>
      </c>
      <c r="AS206" s="34" t="n">
        <f aca="false">IF(AS$8=1,IF(Reales!$C$42="PYG",IF(AS$10&gt;0,N(Reales!AS42)/AS$10,0),N(Reales!AS42)),AS$181*INDEX(Precio_V,5)*INDEX(IdxPrecio_V,1,MIN(10,AS$173))*(1+V_dPrecio))</f>
        <v>0</v>
      </c>
      <c r="AT206" s="34" t="n">
        <f aca="false">IF(AT$8=1,IF(Reales!$C$42="PYG",IF(AT$10&gt;0,N(Reales!AT42)/AT$10,0),N(Reales!AT42)),AT$181*INDEX(Precio_V,5)*INDEX(IdxPrecio_V,1,MIN(10,AT$173))*(1+V_dPrecio))</f>
        <v>0</v>
      </c>
      <c r="AU206" s="34" t="n">
        <f aca="false">IF(AU$8=1,IF(Reales!$C$42="PYG",IF(AU$10&gt;0,N(Reales!AU42)/AU$10,0),N(Reales!AU42)),AU$181*INDEX(Precio_V,5)*INDEX(IdxPrecio_V,1,MIN(10,AU$173))*(1+V_dPrecio))</f>
        <v>0</v>
      </c>
      <c r="AV206" s="34" t="n">
        <f aca="false">IF(AV$8=1,IF(Reales!$C$42="PYG",IF(AV$10&gt;0,N(Reales!AV42)/AV$10,0),N(Reales!AV42)),AV$181*INDEX(Precio_V,5)*INDEX(IdxPrecio_V,1,MIN(10,AV$173))*(1+V_dPrecio))</f>
        <v>0</v>
      </c>
      <c r="AW206" s="34" t="n">
        <f aca="false">IF(AW$8=1,IF(Reales!$C$42="PYG",IF(AW$10&gt;0,N(Reales!AW42)/AW$10,0),N(Reales!AW42)),AW$181*INDEX(Precio_V,5)*INDEX(IdxPrecio_V,1,MIN(10,AW$173))*(1+V_dPrecio))</f>
        <v>0</v>
      </c>
      <c r="AX206" s="34" t="n">
        <f aca="false">IF(AX$8=1,IF(Reales!$C$42="PYG",IF(AX$10&gt;0,N(Reales!AX42)/AX$10,0),N(Reales!AX42)),AX$181*INDEX(Precio_V,5)*INDEX(IdxPrecio_V,1,MIN(10,AX$173))*(1+V_dPrecio))</f>
        <v>0</v>
      </c>
      <c r="AY206" s="34" t="n">
        <f aca="false">IF(AY$8=1,IF(Reales!$C$42="PYG",IF(AY$10&gt;0,N(Reales!AY42)/AY$10,0),N(Reales!AY42)),AY$181*INDEX(Precio_V,5)*INDEX(IdxPrecio_V,1,MIN(10,AY$173))*(1+V_dPrecio))</f>
        <v>0</v>
      </c>
      <c r="AZ206" s="34" t="n">
        <f aca="false">IF(AZ$8=1,IF(Reales!$C$42="PYG",IF(AZ$10&gt;0,N(Reales!AZ42)/AZ$10,0),N(Reales!AZ42)),AZ$181*INDEX(Precio_V,5)*INDEX(IdxPrecio_V,1,MIN(10,AZ$173))*(1+V_dPrecio))</f>
        <v>0</v>
      </c>
      <c r="BA206" s="34" t="n">
        <f aca="false">IF(BA$8=1,IF(Reales!$C$42="PYG",IF(BA$10&gt;0,N(Reales!BA42)/BA$10,0),N(Reales!BA42)),BA$181*INDEX(Precio_V,5)*INDEX(IdxPrecio_V,1,MIN(10,BA$173))*(1+V_dPrecio))</f>
        <v>0</v>
      </c>
      <c r="BB206" s="34" t="n">
        <f aca="false">IF(BB$8=1,IF(Reales!$C$42="PYG",IF(BB$10&gt;0,N(Reales!BB42)/BB$10,0),N(Reales!BB42)),BB$181*INDEX(Precio_V,5)*INDEX(IdxPrecio_V,1,MIN(10,BB$173))*(1+V_dPrecio))</f>
        <v>0</v>
      </c>
      <c r="BC206" s="34" t="n">
        <f aca="false">IF(BC$8=1,IF(Reales!$C$42="PYG",IF(BC$10&gt;0,N(Reales!BC42)/BC$10,0),N(Reales!BC42)),BC$181*INDEX(Precio_V,5)*INDEX(IdxPrecio_V,1,MIN(10,BC$173))*(1+V_dPrecio))</f>
        <v>0</v>
      </c>
      <c r="BD206" s="34" t="n">
        <f aca="false">IF(BD$8=1,IF(Reales!$C$42="PYG",IF(BD$10&gt;0,N(Reales!BD42)/BD$10,0),N(Reales!BD42)),BD$181*INDEX(Precio_V,5)*INDEX(IdxPrecio_V,1,MIN(10,BD$173))*(1+V_dPrecio))</f>
        <v>0</v>
      </c>
      <c r="BE206" s="34" t="n">
        <f aca="false">IF(BE$8=1,IF(Reales!$C$42="PYG",IF(BE$10&gt;0,N(Reales!BE42)/BE$10,0),N(Reales!BE42)),BE$181*INDEX(Precio_V,5)*INDEX(IdxPrecio_V,1,MIN(10,BE$173))*(1+V_dPrecio))</f>
        <v>0</v>
      </c>
      <c r="BF206" s="34" t="n">
        <f aca="false">IF(BF$8=1,IF(Reales!$C$42="PYG",IF(BF$10&gt;0,N(Reales!BF42)/BF$10,0),N(Reales!BF42)),BF$181*INDEX(Precio_V,5)*INDEX(IdxPrecio_V,1,MIN(10,BF$173))*(1+V_dPrecio))</f>
        <v>0</v>
      </c>
      <c r="BG206" s="34" t="n">
        <f aca="false">IF(BG$8=1,IF(Reales!$C$42="PYG",IF(BG$10&gt;0,N(Reales!BG42)/BG$10,0),N(Reales!BG42)),BG$181*INDEX(Precio_V,5)*INDEX(IdxPrecio_V,1,MIN(10,BG$173))*(1+V_dPrecio))</f>
        <v>0</v>
      </c>
      <c r="BH206" s="34" t="n">
        <f aca="false">IF(BH$8=1,IF(Reales!$C$42="PYG",IF(BH$10&gt;0,N(Reales!BH42)/BH$10,0),N(Reales!BH42)),BH$181*INDEX(Precio_V,5)*INDEX(IdxPrecio_V,1,MIN(10,BH$173))*(1+V_dPrecio))</f>
        <v>0</v>
      </c>
      <c r="BI206" s="34" t="n">
        <f aca="false">IF(BI$8=1,IF(Reales!$C$42="PYG",IF(BI$10&gt;0,N(Reales!BI42)/BI$10,0),N(Reales!BI42)),BI$181*INDEX(Precio_V,5)*INDEX(IdxPrecio_V,1,MIN(10,BI$173))*(1+V_dPrecio))</f>
        <v>0</v>
      </c>
      <c r="BJ206" s="34" t="n">
        <f aca="false">IF(BJ$8=1,IF(Reales!$C$42="PYG",IF(BJ$10&gt;0,N(Reales!BJ42)/BJ$10,0),N(Reales!BJ42)),BJ$181*INDEX(Precio_V,5)*INDEX(IdxPrecio_V,1,MIN(10,BJ$173))*(1+V_dPrecio))</f>
        <v>0</v>
      </c>
      <c r="BK206" s="34" t="n">
        <f aca="false">IF(BK$8=1,IF(Reales!$C$42="PYG",IF(BK$10&gt;0,N(Reales!BK42)/BK$10,0),N(Reales!BK42)),BK$181*INDEX(Precio_V,5)*INDEX(IdxPrecio_V,1,MIN(10,BK$173))*(1+V_dPrecio))</f>
        <v>0</v>
      </c>
      <c r="BL206" s="34" t="n">
        <f aca="false">IF(BL$8=1,IF(Reales!$C$42="PYG",IF(BL$10&gt;0,N(Reales!BL42)/BL$10,0),N(Reales!BL42)),BL$181*INDEX(Precio_V,5)*INDEX(IdxPrecio_V,1,MIN(10,BL$173))*(1+V_dPrecio))</f>
        <v>0</v>
      </c>
      <c r="BM206" s="34" t="n">
        <f aca="false">IF(BM$8=1,IF(Reales!$C$42="PYG",IF(BM$10&gt;0,N(Reales!BM42)/BM$10,0),N(Reales!BM42)),BM$181*INDEX(Precio_V,5)*INDEX(IdxPrecio_V,1,MIN(10,BM$173))*(1+V_dPrecio))</f>
        <v>0</v>
      </c>
      <c r="BN206" s="34" t="n">
        <f aca="false">IF(BN$8=1,IF(Reales!$C$42="PYG",IF(BN$10&gt;0,N(Reales!BN42)/BN$10,0),N(Reales!BN42)),BN$181*INDEX(Precio_V,5)*INDEX(IdxPrecio_V,1,MIN(10,BN$173))*(1+V_dPrecio))</f>
        <v>0</v>
      </c>
      <c r="BO206" s="34" t="n">
        <f aca="false">IF(BO$8=1,IF(Reales!$C$42="PYG",IF(BO$10&gt;0,N(Reales!BO42)/BO$10,0),N(Reales!BO42)),BO$181*INDEX(Precio_V,5)*INDEX(IdxPrecio_V,1,MIN(10,BO$173))*(1+V_dPrecio))</f>
        <v>0</v>
      </c>
      <c r="BP206" s="34" t="n">
        <f aca="false">IF(BP$8=1,IF(Reales!$C$42="PYG",IF(BP$10&gt;0,N(Reales!BP42)/BP$10,0),N(Reales!BP42)),BP$181*INDEX(Precio_V,5)*INDEX(IdxPrecio_V,1,MIN(10,BP$173))*(1+V_dPrecio))</f>
        <v>0</v>
      </c>
      <c r="BQ206" s="34" t="n">
        <f aca="false">IF(BQ$8=1,IF(Reales!$C$42="PYG",IF(BQ$10&gt;0,N(Reales!BQ42)/BQ$10,0),N(Reales!BQ42)),BQ$181*INDEX(Precio_V,5)*INDEX(IdxPrecio_V,1,MIN(10,BQ$173))*(1+V_dPrecio))</f>
        <v>0</v>
      </c>
      <c r="BR206" s="34" t="n">
        <f aca="false">IF(BR$8=1,IF(Reales!$C$42="PYG",IF(BR$10&gt;0,N(Reales!BR42)/BR$10,0),N(Reales!BR42)),BR$181*INDEX(Precio_V,5)*INDEX(IdxPrecio_V,1,MIN(10,BR$173))*(1+V_dPrecio))</f>
        <v>0</v>
      </c>
      <c r="BS206" s="34" t="n">
        <f aca="false">IF(BS$8=1,IF(Reales!$C$42="PYG",IF(BS$10&gt;0,N(Reales!BS42)/BS$10,0),N(Reales!BS42)),BS$181*INDEX(Precio_V,5)*INDEX(IdxPrecio_V,1,MIN(10,BS$173))*(1+V_dPrecio))</f>
        <v>0</v>
      </c>
      <c r="BT206" s="34" t="n">
        <f aca="false">IF(BT$8=1,IF(Reales!$C$42="PYG",IF(BT$10&gt;0,N(Reales!BT42)/BT$10,0),N(Reales!BT42)),BT$181*INDEX(Precio_V,5)*INDEX(IdxPrecio_V,1,MIN(10,BT$173))*(1+V_dPrecio))</f>
        <v>0</v>
      </c>
      <c r="BU206" s="34" t="n">
        <f aca="false">IF(BU$8=1,IF(Reales!$C$42="PYG",IF(BU$10&gt;0,N(Reales!BU42)/BU$10,0),N(Reales!BU42)),BU$181*INDEX(Precio_V,5)*INDEX(IdxPrecio_V,1,MIN(10,BU$173))*(1+V_dPrecio))</f>
        <v>0</v>
      </c>
      <c r="BV206" s="34" t="n">
        <f aca="false">IF(BV$8=1,IF(Reales!$C$42="PYG",IF(BV$10&gt;0,N(Reales!BV42)/BV$10,0),N(Reales!BV42)),BV$181*INDEX(Precio_V,5)*INDEX(IdxPrecio_V,1,MIN(10,BV$173))*(1+V_dPrecio))</f>
        <v>0</v>
      </c>
      <c r="BW206" s="34" t="n">
        <f aca="false">IF(BW$8=1,IF(Reales!$C$42="PYG",IF(BW$10&gt;0,N(Reales!BW42)/BW$10,0),N(Reales!BW42)),BW$181*INDEX(Precio_V,5)*INDEX(IdxPrecio_V,1,MIN(10,BW$173))*(1+V_dPrecio))</f>
        <v>0</v>
      </c>
      <c r="BX206" s="34" t="n">
        <f aca="false">IF(BX$8=1,IF(Reales!$C$42="PYG",IF(BX$10&gt;0,N(Reales!BX42)/BX$10,0),N(Reales!BX42)),BX$181*INDEX(Precio_V,5)*INDEX(IdxPrecio_V,1,MIN(10,BX$173))*(1+V_dPrecio))</f>
        <v>0</v>
      </c>
      <c r="BY206" s="34" t="n">
        <f aca="false">IF(BY$8=1,IF(Reales!$C$42="PYG",IF(BY$10&gt;0,N(Reales!BY42)/BY$10,0),N(Reales!BY42)),BY$181*INDEX(Precio_V,5)*INDEX(IdxPrecio_V,1,MIN(10,BY$173))*(1+V_dPrecio))</f>
        <v>0</v>
      </c>
      <c r="BZ206" s="34" t="n">
        <f aca="false">IF(BZ$8=1,IF(Reales!$C$42="PYG",IF(BZ$10&gt;0,N(Reales!BZ42)/BZ$10,0),N(Reales!BZ42)),BZ$181*INDEX(Precio_V,5)*INDEX(IdxPrecio_V,1,MIN(10,BZ$173))*(1+V_dPrecio))</f>
        <v>0</v>
      </c>
      <c r="CA206" s="34" t="n">
        <f aca="false">IF(CA$8=1,IF(Reales!$C$42="PYG",IF(CA$10&gt;0,N(Reales!CA42)/CA$10,0),N(Reales!CA42)),CA$181*INDEX(Precio_V,5)*INDEX(IdxPrecio_V,1,MIN(10,CA$173))*(1+V_dPrecio))</f>
        <v>0</v>
      </c>
      <c r="CB206" s="34" t="n">
        <f aca="false">IF(CB$8=1,IF(Reales!$C$42="PYG",IF(CB$10&gt;0,N(Reales!CB42)/CB$10,0),N(Reales!CB42)),CB$181*INDEX(Precio_V,5)*INDEX(IdxPrecio_V,1,MIN(10,CB$173))*(1+V_dPrecio))</f>
        <v>0</v>
      </c>
      <c r="CC206" s="34" t="n">
        <f aca="false">IF(CC$8=1,IF(Reales!$C$42="PYG",IF(CC$10&gt;0,N(Reales!CC42)/CC$10,0),N(Reales!CC42)),CC$181*INDEX(Precio_V,5)*INDEX(IdxPrecio_V,1,MIN(10,CC$173))*(1+V_dPrecio))</f>
        <v>0</v>
      </c>
      <c r="CD206" s="34" t="n">
        <f aca="false">IF(CD$8=1,IF(Reales!$C$42="PYG",IF(CD$10&gt;0,N(Reales!CD42)/CD$10,0),N(Reales!CD42)),CD$181*INDEX(Precio_V,5)*INDEX(IdxPrecio_V,1,MIN(10,CD$173))*(1+V_dPrecio))</f>
        <v>0</v>
      </c>
      <c r="CE206" s="34" t="n">
        <f aca="false">IF(CE$8=1,IF(Reales!$C$42="PYG",IF(CE$10&gt;0,N(Reales!CE42)/CE$10,0),N(Reales!CE42)),CE$181*INDEX(Precio_V,5)*INDEX(IdxPrecio_V,1,MIN(10,CE$173))*(1+V_dPrecio))</f>
        <v>0</v>
      </c>
      <c r="CF206" s="34" t="n">
        <f aca="false">IF(CF$8=1,IF(Reales!$C$42="PYG",IF(CF$10&gt;0,N(Reales!CF42)/CF$10,0),N(Reales!CF42)),CF$181*INDEX(Precio_V,5)*INDEX(IdxPrecio_V,1,MIN(10,CF$173))*(1+V_dPrecio))</f>
        <v>0</v>
      </c>
      <c r="CG206" s="34" t="n">
        <f aca="false">IF(CG$8=1,IF(Reales!$C$42="PYG",IF(CG$10&gt;0,N(Reales!CG42)/CG$10,0),N(Reales!CG42)),CG$181*INDEX(Precio_V,5)*INDEX(IdxPrecio_V,1,MIN(10,CG$173))*(1+V_dPrecio))</f>
        <v>0</v>
      </c>
      <c r="CH206" s="34" t="n">
        <f aca="false">IF(CH$8=1,IF(Reales!$C$42="PYG",IF(CH$10&gt;0,N(Reales!CH42)/CH$10,0),N(Reales!CH42)),CH$181*INDEX(Precio_V,5)*INDEX(IdxPrecio_V,1,MIN(10,CH$173))*(1+V_dPrecio))</f>
        <v>0</v>
      </c>
      <c r="CI206" s="34" t="n">
        <f aca="false">IF(CI$8=1,IF(Reales!$C$42="PYG",IF(CI$10&gt;0,N(Reales!CI42)/CI$10,0),N(Reales!CI42)),CI$181*INDEX(Precio_V,5)*INDEX(IdxPrecio_V,1,MIN(10,CI$173))*(1+V_dPrecio))</f>
        <v>0</v>
      </c>
      <c r="CJ206" s="34" t="n">
        <f aca="false">IF(CJ$8=1,IF(Reales!$C$42="PYG",IF(CJ$10&gt;0,N(Reales!CJ42)/CJ$10,0),N(Reales!CJ42)),CJ$181*INDEX(Precio_V,5)*INDEX(IdxPrecio_V,1,MIN(10,CJ$173))*(1+V_dPrecio))</f>
        <v>0</v>
      </c>
      <c r="CK206" s="34" t="n">
        <f aca="false">IF(CK$8=1,IF(Reales!$C$42="PYG",IF(CK$10&gt;0,N(Reales!CK42)/CK$10,0),N(Reales!CK42)),CK$181*INDEX(Precio_V,5)*INDEX(IdxPrecio_V,1,MIN(10,CK$173))*(1+V_dPrecio))</f>
        <v>0</v>
      </c>
      <c r="CL206" s="34" t="n">
        <f aca="false">IF(CL$8=1,IF(Reales!$C$42="PYG",IF(CL$10&gt;0,N(Reales!CL42)/CL$10,0),N(Reales!CL42)),CL$181*INDEX(Precio_V,5)*INDEX(IdxPrecio_V,1,MIN(10,CL$173))*(1+V_dPrecio))</f>
        <v>0</v>
      </c>
      <c r="CM206" s="34" t="n">
        <f aca="false">IF(CM$8=1,IF(Reales!$C$42="PYG",IF(CM$10&gt;0,N(Reales!CM42)/CM$10,0),N(Reales!CM42)),CM$181*INDEX(Precio_V,5)*INDEX(IdxPrecio_V,1,MIN(10,CM$173))*(1+V_dPrecio))</f>
        <v>0</v>
      </c>
      <c r="CN206" s="34" t="n">
        <f aca="false">IF(CN$8=1,IF(Reales!$C$42="PYG",IF(CN$10&gt;0,N(Reales!CN42)/CN$10,0),N(Reales!CN42)),CN$181*INDEX(Precio_V,5)*INDEX(IdxPrecio_V,1,MIN(10,CN$173))*(1+V_dPrecio))</f>
        <v>0</v>
      </c>
      <c r="CO206" s="34" t="n">
        <f aca="false">IF(CO$8=1,IF(Reales!$C$42="PYG",IF(CO$10&gt;0,N(Reales!CO42)/CO$10,0),N(Reales!CO42)),CO$181*INDEX(Precio_V,5)*INDEX(IdxPrecio_V,1,MIN(10,CO$173))*(1+V_dPrecio))</f>
        <v>0</v>
      </c>
      <c r="CP206" s="34" t="n">
        <f aca="false">IF(CP$8=1,IF(Reales!$C$42="PYG",IF(CP$10&gt;0,N(Reales!CP42)/CP$10,0),N(Reales!CP42)),CP$181*INDEX(Precio_V,5)*INDEX(IdxPrecio_V,1,MIN(10,CP$173))*(1+V_dPrecio))</f>
        <v>0</v>
      </c>
      <c r="CQ206" s="34" t="n">
        <f aca="false">IF(CQ$8=1,IF(Reales!$C$42="PYG",IF(CQ$10&gt;0,N(Reales!CQ42)/CQ$10,0),N(Reales!CQ42)),CQ$181*INDEX(Precio_V,5)*INDEX(IdxPrecio_V,1,MIN(10,CQ$173))*(1+V_dPrecio))</f>
        <v>0</v>
      </c>
      <c r="CR206" s="34" t="n">
        <f aca="false">IF(CR$8=1,IF(Reales!$C$42="PYG",IF(CR$10&gt;0,N(Reales!CR42)/CR$10,0),N(Reales!CR42)),CR$181*INDEX(Precio_V,5)*INDEX(IdxPrecio_V,1,MIN(10,CR$173))*(1+V_dPrecio))</f>
        <v>0</v>
      </c>
      <c r="CS206" s="34" t="n">
        <f aca="false">IF(CS$8=1,IF(Reales!$C$42="PYG",IF(CS$10&gt;0,N(Reales!CS42)/CS$10,0),N(Reales!CS42)),CS$181*INDEX(Precio_V,5)*INDEX(IdxPrecio_V,1,MIN(10,CS$173))*(1+V_dPrecio))</f>
        <v>0</v>
      </c>
      <c r="CT206" s="34" t="n">
        <f aca="false">IF(CT$8=1,IF(Reales!$C$42="PYG",IF(CT$10&gt;0,N(Reales!CT42)/CT$10,0),N(Reales!CT42)),CT$181*INDEX(Precio_V,5)*INDEX(IdxPrecio_V,1,MIN(10,CT$173))*(1+V_dPrecio))</f>
        <v>0</v>
      </c>
      <c r="CU206" s="34" t="n">
        <f aca="false">IF(CU$8=1,IF(Reales!$C$42="PYG",IF(CU$10&gt;0,N(Reales!CU42)/CU$10,0),N(Reales!CU42)),CU$181*INDEX(Precio_V,5)*INDEX(IdxPrecio_V,1,MIN(10,CU$173))*(1+V_dPrecio))</f>
        <v>0</v>
      </c>
      <c r="CV206" s="34" t="n">
        <f aca="false">IF(CV$8=1,IF(Reales!$C$42="PYG",IF(CV$10&gt;0,N(Reales!CV42)/CV$10,0),N(Reales!CV42)),CV$181*INDEX(Precio_V,5)*INDEX(IdxPrecio_V,1,MIN(10,CV$173))*(1+V_dPrecio))</f>
        <v>0</v>
      </c>
      <c r="CW206" s="34" t="n">
        <f aca="false">IF(CW$8=1,IF(Reales!$C$42="PYG",IF(CW$10&gt;0,N(Reales!CW42)/CW$10,0),N(Reales!CW42)),CW$181*INDEX(Precio_V,5)*INDEX(IdxPrecio_V,1,MIN(10,CW$173))*(1+V_dPrecio))</f>
        <v>0</v>
      </c>
      <c r="CX206" s="34" t="n">
        <f aca="false">IF(CX$8=1,IF(Reales!$C$42="PYG",IF(CX$10&gt;0,N(Reales!CX42)/CX$10,0),N(Reales!CX42)),CX$181*INDEX(Precio_V,5)*INDEX(IdxPrecio_V,1,MIN(10,CX$173))*(1+V_dPrecio))</f>
        <v>0</v>
      </c>
      <c r="CY206" s="34" t="n">
        <f aca="false">IF(CY$8=1,IF(Reales!$C$42="PYG",IF(CY$10&gt;0,N(Reales!CY42)/CY$10,0),N(Reales!CY42)),CY$181*INDEX(Precio_V,5)*INDEX(IdxPrecio_V,1,MIN(10,CY$173))*(1+V_dPrecio))</f>
        <v>0</v>
      </c>
      <c r="CZ206" s="34" t="n">
        <f aca="false">IF(CZ$8=1,IF(Reales!$C$42="PYG",IF(CZ$10&gt;0,N(Reales!CZ42)/CZ$10,0),N(Reales!CZ42)),CZ$181*INDEX(Precio_V,5)*INDEX(IdxPrecio_V,1,MIN(10,CZ$173))*(1+V_dPrecio))</f>
        <v>0</v>
      </c>
      <c r="DA206" s="34" t="n">
        <f aca="false">IF(DA$8=1,IF(Reales!$C$42="PYG",IF(DA$10&gt;0,N(Reales!DA42)/DA$10,0),N(Reales!DA42)),DA$181*INDEX(Precio_V,5)*INDEX(IdxPrecio_V,1,MIN(10,DA$173))*(1+V_dPrecio))</f>
        <v>0</v>
      </c>
      <c r="DB206" s="34" t="n">
        <f aca="false">IF(DB$8=1,IF(Reales!$C$42="PYG",IF(DB$10&gt;0,N(Reales!DB42)/DB$10,0),N(Reales!DB42)),DB$181*INDEX(Precio_V,5)*INDEX(IdxPrecio_V,1,MIN(10,DB$173))*(1+V_dPrecio))</f>
        <v>0</v>
      </c>
      <c r="DC206" s="34" t="n">
        <f aca="false">IF(DC$8=1,IF(Reales!$C$42="PYG",IF(DC$10&gt;0,N(Reales!DC42)/DC$10,0),N(Reales!DC42)),DC$181*INDEX(Precio_V,5)*INDEX(IdxPrecio_V,1,MIN(10,DC$173))*(1+V_dPrecio))</f>
        <v>0</v>
      </c>
      <c r="DD206" s="34" t="n">
        <f aca="false">IF(DD$8=1,IF(Reales!$C$42="PYG",IF(DD$10&gt;0,N(Reales!DD42)/DD$10,0),N(Reales!DD42)),DD$181*INDEX(Precio_V,5)*INDEX(IdxPrecio_V,1,MIN(10,DD$173))*(1+V_dPrecio))</f>
        <v>0</v>
      </c>
      <c r="DE206" s="34" t="n">
        <f aca="false">IF(DE$8=1,IF(Reales!$C$42="PYG",IF(DE$10&gt;0,N(Reales!DE42)/DE$10,0),N(Reales!DE42)),DE$181*INDEX(Precio_V,5)*INDEX(IdxPrecio_V,1,MIN(10,DE$173))*(1+V_dPrecio))</f>
        <v>0</v>
      </c>
      <c r="DF206" s="34" t="n">
        <f aca="false">IF(DF$8=1,IF(Reales!$C$42="PYG",IF(DF$10&gt;0,N(Reales!DF42)/DF$10,0),N(Reales!DF42)),DF$181*INDEX(Precio_V,5)*INDEX(IdxPrecio_V,1,MIN(10,DF$173))*(1+V_dPrecio))</f>
        <v>0</v>
      </c>
      <c r="DG206" s="34" t="n">
        <f aca="false">IF(DG$8=1,IF(Reales!$C$42="PYG",IF(DG$10&gt;0,N(Reales!DG42)/DG$10,0),N(Reales!DG42)),DG$181*INDEX(Precio_V,5)*INDEX(IdxPrecio_V,1,MIN(10,DG$173))*(1+V_dPrecio))</f>
        <v>0</v>
      </c>
      <c r="DH206" s="34" t="n">
        <f aca="false">IF(DH$8=1,IF(Reales!$C$42="PYG",IF(DH$10&gt;0,N(Reales!DH42)/DH$10,0),N(Reales!DH42)),DH$181*INDEX(Precio_V,5)*INDEX(IdxPrecio_V,1,MIN(10,DH$173))*(1+V_dPrecio))</f>
        <v>0</v>
      </c>
      <c r="DI206" s="34" t="n">
        <f aca="false">IF(DI$8=1,IF(Reales!$C$42="PYG",IF(DI$10&gt;0,N(Reales!DI42)/DI$10,0),N(Reales!DI42)),DI$181*INDEX(Precio_V,5)*INDEX(IdxPrecio_V,1,MIN(10,DI$173))*(1+V_dPrecio))</f>
        <v>0</v>
      </c>
      <c r="DJ206" s="34" t="n">
        <f aca="false">IF(DJ$8=1,IF(Reales!$C$42="PYG",IF(DJ$10&gt;0,N(Reales!DJ42)/DJ$10,0),N(Reales!DJ42)),DJ$181*INDEX(Precio_V,5)*INDEX(IdxPrecio_V,1,MIN(10,DJ$173))*(1+V_dPrecio))</f>
        <v>0</v>
      </c>
      <c r="DK206" s="34" t="n">
        <f aca="false">IF(DK$8=1,IF(Reales!$C$42="PYG",IF(DK$10&gt;0,N(Reales!DK42)/DK$10,0),N(Reales!DK42)),DK$181*INDEX(Precio_V,5)*INDEX(IdxPrecio_V,1,MIN(10,DK$173))*(1+V_dPrecio))</f>
        <v>0</v>
      </c>
      <c r="DL206" s="34" t="n">
        <f aca="false">IF(DL$8=1,IF(Reales!$C$42="PYG",IF(DL$10&gt;0,N(Reales!DL42)/DL$10,0),N(Reales!DL42)),DL$181*INDEX(Precio_V,5)*INDEX(IdxPrecio_V,1,MIN(10,DL$173))*(1+V_dPrecio))</f>
        <v>0</v>
      </c>
      <c r="DM206" s="34" t="n">
        <f aca="false">IF(DM$8=1,IF(Reales!$C$42="PYG",IF(DM$10&gt;0,N(Reales!DM42)/DM$10,0),N(Reales!DM42)),DM$181*INDEX(Precio_V,5)*INDEX(IdxPrecio_V,1,MIN(10,DM$173))*(1+V_dPrecio))</f>
        <v>0</v>
      </c>
      <c r="DN206" s="34" t="n">
        <f aca="false">IF(DN$8=1,IF(Reales!$C$42="PYG",IF(DN$10&gt;0,N(Reales!DN42)/DN$10,0),N(Reales!DN42)),DN$181*INDEX(Precio_V,5)*INDEX(IdxPrecio_V,1,MIN(10,DN$173))*(1+V_dPrecio))</f>
        <v>0</v>
      </c>
      <c r="DO206" s="34" t="n">
        <f aca="false">IF(DO$8=1,IF(Reales!$C$42="PYG",IF(DO$10&gt;0,N(Reales!DO42)/DO$10,0),N(Reales!DO42)),DO$181*INDEX(Precio_V,5)*INDEX(IdxPrecio_V,1,MIN(10,DO$173))*(1+V_dPrecio))</f>
        <v>0</v>
      </c>
      <c r="DP206" s="34" t="n">
        <f aca="false">IF(DP$8=1,IF(Reales!$C$42="PYG",IF(DP$10&gt;0,N(Reales!DP42)/DP$10,0),N(Reales!DP42)),DP$181*INDEX(Precio_V,5)*INDEX(IdxPrecio_V,1,MIN(10,DP$173))*(1+V_dPrecio))</f>
        <v>0</v>
      </c>
      <c r="DQ206" s="34" t="n">
        <f aca="false">IF(DQ$8=1,IF(Reales!$C$42="PYG",IF(DQ$10&gt;0,N(Reales!DQ42)/DQ$10,0),N(Reales!DQ42)),DQ$181*INDEX(Precio_V,5)*INDEX(IdxPrecio_V,1,MIN(10,DQ$173))*(1+V_dPrecio))</f>
        <v>0</v>
      </c>
      <c r="DR206" s="34" t="n">
        <f aca="false">IF(DR$8=1,IF(Reales!$C$42="PYG",IF(DR$10&gt;0,N(Reales!DR42)/DR$10,0),N(Reales!DR42)),DR$181*INDEX(Precio_V,5)*INDEX(IdxPrecio_V,1,MIN(10,DR$173))*(1+V_dPrecio))</f>
        <v>0</v>
      </c>
      <c r="DS206" s="34" t="n">
        <f aca="false">IF(DS$8=1,IF(Reales!$C$42="PYG",IF(DS$10&gt;0,N(Reales!DS42)/DS$10,0),N(Reales!DS42)),DS$181*INDEX(Precio_V,5)*INDEX(IdxPrecio_V,1,MIN(10,DS$173))*(1+V_dPrecio))</f>
        <v>0</v>
      </c>
      <c r="DT206" s="34" t="n">
        <f aca="false">IF(DT$8=1,IF(Reales!$C$42="PYG",IF(DT$10&gt;0,N(Reales!DT42)/DT$10,0),N(Reales!DT42)),DT$181*INDEX(Precio_V,5)*INDEX(IdxPrecio_V,1,MIN(10,DT$173))*(1+V_dPrecio))</f>
        <v>0</v>
      </c>
      <c r="DU206" s="34" t="n">
        <f aca="false">IF(DU$8=1,IF(Reales!$C$42="PYG",IF(DU$10&gt;0,N(Reales!DU42)/DU$10,0),N(Reales!DU42)),DU$181*INDEX(Precio_V,5)*INDEX(IdxPrecio_V,1,MIN(10,DU$173))*(1+V_dPrecio))</f>
        <v>0</v>
      </c>
      <c r="DV206" s="34" t="n">
        <f aca="false">IF(DV$8=1,IF(Reales!$C$42="PYG",IF(DV$10&gt;0,N(Reales!DV42)/DV$10,0),N(Reales!DV42)),DV$181*INDEX(Precio_V,5)*INDEX(IdxPrecio_V,1,MIN(10,DV$173))*(1+V_dPrecio))</f>
        <v>0</v>
      </c>
      <c r="DW206" s="34" t="n">
        <f aca="false">IF(DW$8=1,IF(Reales!$C$42="PYG",IF(DW$10&gt;0,N(Reales!DW42)/DW$10,0),N(Reales!DW42)),DW$181*INDEX(Precio_V,5)*INDEX(IdxPrecio_V,1,MIN(10,DW$173))*(1+V_dPrecio))</f>
        <v>0</v>
      </c>
      <c r="DX206" s="34" t="n">
        <f aca="false">IF(DX$8=1,IF(Reales!$C$42="PYG",IF(DX$10&gt;0,N(Reales!DX42)/DX$10,0),N(Reales!DX42)),DX$181*INDEX(Precio_V,5)*INDEX(IdxPrecio_V,1,MIN(10,DX$173))*(1+V_dPrecio))</f>
        <v>0</v>
      </c>
      <c r="DY206" s="34" t="n">
        <f aca="false">IF(DY$8=1,IF(Reales!$C$42="PYG",IF(DY$10&gt;0,N(Reales!DY42)/DY$10,0),N(Reales!DY42)),DY$181*INDEX(Precio_V,5)*INDEX(IdxPrecio_V,1,MIN(10,DY$173))*(1+V_dPrecio))</f>
        <v>0</v>
      </c>
      <c r="DZ206" s="34" t="n">
        <f aca="false">IF(DZ$8=1,IF(Reales!$C$42="PYG",IF(DZ$10&gt;0,N(Reales!DZ42)/DZ$10,0),N(Reales!DZ42)),DZ$181*INDEX(Precio_V,5)*INDEX(IdxPrecio_V,1,MIN(10,DZ$173))*(1+V_dPrecio))</f>
        <v>0</v>
      </c>
      <c r="EA206" s="34" t="n">
        <f aca="false">IF(EA$8=1,IF(Reales!$C$42="PYG",IF(EA$10&gt;0,N(Reales!EA42)/EA$10,0),N(Reales!EA42)),EA$181*INDEX(Precio_V,5)*INDEX(IdxPrecio_V,1,MIN(10,EA$173))*(1+V_dPrecio))</f>
        <v>0</v>
      </c>
      <c r="EB206" s="34" t="n">
        <f aca="false">IF(EB$8=1,IF(Reales!$C$42="PYG",IF(EB$10&gt;0,N(Reales!EB42)/EB$10,0),N(Reales!EB42)),EB$181*INDEX(Precio_V,5)*INDEX(IdxPrecio_V,1,MIN(10,EB$173))*(1+V_dPrecio))</f>
        <v>0</v>
      </c>
      <c r="EC206" s="34" t="n">
        <f aca="false">IF(EC$8=1,IF(Reales!$C$42="PYG",IF(EC$10&gt;0,N(Reales!EC42)/EC$10,0),N(Reales!EC42)),EC$181*INDEX(Precio_V,5)*INDEX(IdxPrecio_V,1,MIN(10,EC$173))*(1+V_dPrecio))</f>
        <v>0</v>
      </c>
      <c r="ED206" s="34" t="n">
        <f aca="false">IF(ED$8=1,IF(Reales!$C$42="PYG",IF(ED$10&gt;0,N(Reales!ED42)/ED$10,0),N(Reales!ED42)),ED$181*INDEX(Precio_V,5)*INDEX(IdxPrecio_V,1,MIN(10,ED$173))*(1+V_dPrecio))</f>
        <v>0</v>
      </c>
      <c r="EE206" s="34" t="n">
        <f aca="false">IF(EE$8=1,IF(Reales!$C$42="PYG",IF(EE$10&gt;0,N(Reales!EE42)/EE$10,0),N(Reales!EE42)),EE$181*INDEX(Precio_V,5)*INDEX(IdxPrecio_V,1,MIN(10,EE$173))*(1+V_dPrecio))</f>
        <v>0</v>
      </c>
      <c r="EF206" s="34" t="n">
        <f aca="false">IF(EF$8=1,IF(Reales!$C$42="PYG",IF(EF$10&gt;0,N(Reales!EF42)/EF$10,0),N(Reales!EF42)),EF$181*INDEX(Precio_V,5)*INDEX(IdxPrecio_V,1,MIN(10,EF$173))*(1+V_dPrecio))</f>
        <v>0</v>
      </c>
      <c r="EG206" s="34" t="n">
        <f aca="false">IF(EG$8=1,IF(Reales!$C$42="PYG",IF(EG$10&gt;0,N(Reales!EG42)/EG$10,0),N(Reales!EG42)),EG$181*INDEX(Precio_V,5)*INDEX(IdxPrecio_V,1,MIN(10,EG$173))*(1+V_dPrecio))</f>
        <v>0</v>
      </c>
      <c r="EH206" s="34" t="n">
        <f aca="false">IF(EH$8=1,IF(Reales!$C$42="PYG",IF(EH$10&gt;0,N(Reales!EH42)/EH$10,0),N(Reales!EH42)),EH$181*INDEX(Precio_V,5)*INDEX(IdxPrecio_V,1,MIN(10,EH$173))*(1+V_dPrecio))</f>
        <v>0</v>
      </c>
      <c r="EI206" s="34" t="n">
        <f aca="false">IF(EI$8=1,IF(Reales!$C$42="PYG",IF(EI$10&gt;0,N(Reales!EI42)/EI$10,0),N(Reales!EI42)),EI$181*INDEX(Precio_V,5)*INDEX(IdxPrecio_V,1,MIN(10,EI$173))*(1+V_dPrecio))</f>
        <v>0</v>
      </c>
      <c r="EJ206" s="34" t="n">
        <f aca="false">IF(EJ$8=1,IF(Reales!$C$42="PYG",IF(EJ$10&gt;0,N(Reales!EJ42)/EJ$10,0),N(Reales!EJ42)),EJ$181*INDEX(Precio_V,5)*INDEX(IdxPrecio_V,1,MIN(10,EJ$173))*(1+V_dPrecio))</f>
        <v>0</v>
      </c>
      <c r="EK206" s="34" t="n">
        <f aca="false">IF(EK$8=1,IF(Reales!$C$42="PYG",IF(EK$10&gt;0,N(Reales!EK42)/EK$10,0),N(Reales!EK42)),EK$181*INDEX(Precio_V,5)*INDEX(IdxPrecio_V,1,MIN(10,EK$173))*(1+V_dPrecio))</f>
        <v>0</v>
      </c>
      <c r="EL206" s="34" t="n">
        <f aca="false">IF(EL$8=1,IF(Reales!$C$42="PYG",IF(EL$10&gt;0,N(Reales!EL42)/EL$10,0),N(Reales!EL42)),EL$181*INDEX(Precio_V,5)*INDEX(IdxPrecio_V,1,MIN(10,EL$173))*(1+V_dPrecio))</f>
        <v>0</v>
      </c>
      <c r="EM206" s="34" t="n">
        <f aca="false">IF(EM$8=1,IF(Reales!$C$42="PYG",IF(EM$10&gt;0,N(Reales!EM42)/EM$10,0),N(Reales!EM42)),EM$181*INDEX(Precio_V,5)*INDEX(IdxPrecio_V,1,MIN(10,EM$173))*(1+V_dPrecio))</f>
        <v>0</v>
      </c>
      <c r="EN206" s="34" t="n">
        <f aca="false">IF(EN$8=1,IF(Reales!$C$42="PYG",IF(EN$10&gt;0,N(Reales!EN42)/EN$10,0),N(Reales!EN42)),EN$181*INDEX(Precio_V,5)*INDEX(IdxPrecio_V,1,MIN(10,EN$173))*(1+V_dPrecio))</f>
        <v>0</v>
      </c>
      <c r="EO206" s="34" t="n">
        <f aca="false">IF(EO$8=1,IF(Reales!$C$42="PYG",IF(EO$10&gt;0,N(Reales!EO42)/EO$10,0),N(Reales!EO42)),EO$181*INDEX(Precio_V,5)*INDEX(IdxPrecio_V,1,MIN(10,EO$173))*(1+V_dPrecio))</f>
        <v>0</v>
      </c>
      <c r="EP206" s="34" t="n">
        <f aca="false">IF(EP$8=1,IF(Reales!$C$42="PYG",IF(EP$10&gt;0,N(Reales!EP42)/EP$10,0),N(Reales!EP42)),EP$181*INDEX(Precio_V,5)*INDEX(IdxPrecio_V,1,MIN(10,EP$173))*(1+V_dPrecio))</f>
        <v>0</v>
      </c>
      <c r="EQ206" s="34" t="n">
        <f aca="false">IF(EQ$8=1,IF(Reales!$C$42="PYG",IF(EQ$10&gt;0,N(Reales!EQ42)/EQ$10,0),N(Reales!EQ42)),EQ$181*INDEX(Precio_V,5)*INDEX(IdxPrecio_V,1,MIN(10,EQ$173))*(1+V_dPrecio))</f>
        <v>0</v>
      </c>
      <c r="ER206" s="34" t="n">
        <f aca="false">IF(ER$8=1,IF(Reales!$C$42="PYG",IF(ER$10&gt;0,N(Reales!ER42)/ER$10,0),N(Reales!ER42)),ER$181*INDEX(Precio_V,5)*INDEX(IdxPrecio_V,1,MIN(10,ER$173))*(1+V_dPrecio))</f>
        <v>0</v>
      </c>
      <c r="ES206" s="34" t="n">
        <f aca="false">IF(ES$8=1,IF(Reales!$C$42="PYG",IF(ES$10&gt;0,N(Reales!ES42)/ES$10,0),N(Reales!ES42)),ES$181*INDEX(Precio_V,5)*INDEX(IdxPrecio_V,1,MIN(10,ES$173))*(1+V_dPrecio))</f>
        <v>0</v>
      </c>
    </row>
    <row r="207" customFormat="false" ht="15" hidden="false" customHeight="false" outlineLevel="0" collapsed="false">
      <c r="A207" s="2" t="s">
        <v>849</v>
      </c>
      <c r="B207" s="39" t="str">
        <f aca="false">IF(INDEX(Prod_Nombre,6)="","Producto 6",INDEX(Prod_Nombre,6))&amp;" — ventas USD"</f>
        <v>Producto 6 — ventas USD</v>
      </c>
      <c r="C207" s="6" t="s">
        <v>250</v>
      </c>
      <c r="E207" s="40" t="n">
        <f aca="false">SUM(F207:ES207)</f>
        <v>0</v>
      </c>
      <c r="F207" s="34" t="n">
        <f aca="false">IF(F$8=1,IF(Reales!$C$43="PYG",IF(F$10&gt;0,N(Reales!F43)/F$10,0),N(Reales!F43)),F$182*INDEX(Precio_V,6)*INDEX(IdxPrecio_V,1,MIN(10,F$173))*(1+V_dPrecio))</f>
        <v>0</v>
      </c>
      <c r="G207" s="34" t="n">
        <f aca="false">IF(G$8=1,IF(Reales!$C$43="PYG",IF(G$10&gt;0,N(Reales!G43)/G$10,0),N(Reales!G43)),G$182*INDEX(Precio_V,6)*INDEX(IdxPrecio_V,1,MIN(10,G$173))*(1+V_dPrecio))</f>
        <v>0</v>
      </c>
      <c r="H207" s="34" t="n">
        <f aca="false">IF(H$8=1,IF(Reales!$C$43="PYG",IF(H$10&gt;0,N(Reales!H43)/H$10,0),N(Reales!H43)),H$182*INDEX(Precio_V,6)*INDEX(IdxPrecio_V,1,MIN(10,H$173))*(1+V_dPrecio))</f>
        <v>0</v>
      </c>
      <c r="I207" s="34" t="n">
        <f aca="false">IF(I$8=1,IF(Reales!$C$43="PYG",IF(I$10&gt;0,N(Reales!I43)/I$10,0),N(Reales!I43)),I$182*INDEX(Precio_V,6)*INDEX(IdxPrecio_V,1,MIN(10,I$173))*(1+V_dPrecio))</f>
        <v>0</v>
      </c>
      <c r="J207" s="34" t="n">
        <f aca="false">IF(J$8=1,IF(Reales!$C$43="PYG",IF(J$10&gt;0,N(Reales!J43)/J$10,0),N(Reales!J43)),J$182*INDEX(Precio_V,6)*INDEX(IdxPrecio_V,1,MIN(10,J$173))*(1+V_dPrecio))</f>
        <v>0</v>
      </c>
      <c r="K207" s="34" t="n">
        <f aca="false">IF(K$8=1,IF(Reales!$C$43="PYG",IF(K$10&gt;0,N(Reales!K43)/K$10,0),N(Reales!K43)),K$182*INDEX(Precio_V,6)*INDEX(IdxPrecio_V,1,MIN(10,K$173))*(1+V_dPrecio))</f>
        <v>0</v>
      </c>
      <c r="L207" s="34" t="n">
        <f aca="false">IF(L$8=1,IF(Reales!$C$43="PYG",IF(L$10&gt;0,N(Reales!L43)/L$10,0),N(Reales!L43)),L$182*INDEX(Precio_V,6)*INDEX(IdxPrecio_V,1,MIN(10,L$173))*(1+V_dPrecio))</f>
        <v>0</v>
      </c>
      <c r="M207" s="34" t="n">
        <f aca="false">IF(M$8=1,IF(Reales!$C$43="PYG",IF(M$10&gt;0,N(Reales!M43)/M$10,0),N(Reales!M43)),M$182*INDEX(Precio_V,6)*INDEX(IdxPrecio_V,1,MIN(10,M$173))*(1+V_dPrecio))</f>
        <v>0</v>
      </c>
      <c r="N207" s="34" t="n">
        <f aca="false">IF(N$8=1,IF(Reales!$C$43="PYG",IF(N$10&gt;0,N(Reales!N43)/N$10,0),N(Reales!N43)),N$182*INDEX(Precio_V,6)*INDEX(IdxPrecio_V,1,MIN(10,N$173))*(1+V_dPrecio))</f>
        <v>0</v>
      </c>
      <c r="O207" s="34" t="n">
        <f aca="false">IF(O$8=1,IF(Reales!$C$43="PYG",IF(O$10&gt;0,N(Reales!O43)/O$10,0),N(Reales!O43)),O$182*INDEX(Precio_V,6)*INDEX(IdxPrecio_V,1,MIN(10,O$173))*(1+V_dPrecio))</f>
        <v>0</v>
      </c>
      <c r="P207" s="34" t="n">
        <f aca="false">IF(P$8=1,IF(Reales!$C$43="PYG",IF(P$10&gt;0,N(Reales!P43)/P$10,0),N(Reales!P43)),P$182*INDEX(Precio_V,6)*INDEX(IdxPrecio_V,1,MIN(10,P$173))*(1+V_dPrecio))</f>
        <v>0</v>
      </c>
      <c r="Q207" s="34" t="n">
        <f aca="false">IF(Q$8=1,IF(Reales!$C$43="PYG",IF(Q$10&gt;0,N(Reales!Q43)/Q$10,0),N(Reales!Q43)),Q$182*INDEX(Precio_V,6)*INDEX(IdxPrecio_V,1,MIN(10,Q$173))*(1+V_dPrecio))</f>
        <v>0</v>
      </c>
      <c r="R207" s="34" t="n">
        <f aca="false">IF(R$8=1,IF(Reales!$C$43="PYG",IF(R$10&gt;0,N(Reales!R43)/R$10,0),N(Reales!R43)),R$182*INDEX(Precio_V,6)*INDEX(IdxPrecio_V,1,MIN(10,R$173))*(1+V_dPrecio))</f>
        <v>0</v>
      </c>
      <c r="S207" s="34" t="n">
        <f aca="false">IF(S$8=1,IF(Reales!$C$43="PYG",IF(S$10&gt;0,N(Reales!S43)/S$10,0),N(Reales!S43)),S$182*INDEX(Precio_V,6)*INDEX(IdxPrecio_V,1,MIN(10,S$173))*(1+V_dPrecio))</f>
        <v>0</v>
      </c>
      <c r="T207" s="34" t="n">
        <f aca="false">IF(T$8=1,IF(Reales!$C$43="PYG",IF(T$10&gt;0,N(Reales!T43)/T$10,0),N(Reales!T43)),T$182*INDEX(Precio_V,6)*INDEX(IdxPrecio_V,1,MIN(10,T$173))*(1+V_dPrecio))</f>
        <v>0</v>
      </c>
      <c r="U207" s="34" t="n">
        <f aca="false">IF(U$8=1,IF(Reales!$C$43="PYG",IF(U$10&gt;0,N(Reales!U43)/U$10,0),N(Reales!U43)),U$182*INDEX(Precio_V,6)*INDEX(IdxPrecio_V,1,MIN(10,U$173))*(1+V_dPrecio))</f>
        <v>0</v>
      </c>
      <c r="V207" s="34" t="n">
        <f aca="false">IF(V$8=1,IF(Reales!$C$43="PYG",IF(V$10&gt;0,N(Reales!V43)/V$10,0),N(Reales!V43)),V$182*INDEX(Precio_V,6)*INDEX(IdxPrecio_V,1,MIN(10,V$173))*(1+V_dPrecio))</f>
        <v>0</v>
      </c>
      <c r="W207" s="34" t="n">
        <f aca="false">IF(W$8=1,IF(Reales!$C$43="PYG",IF(W$10&gt;0,N(Reales!W43)/W$10,0),N(Reales!W43)),W$182*INDEX(Precio_V,6)*INDEX(IdxPrecio_V,1,MIN(10,W$173))*(1+V_dPrecio))</f>
        <v>0</v>
      </c>
      <c r="X207" s="34" t="n">
        <f aca="false">IF(X$8=1,IF(Reales!$C$43="PYG",IF(X$10&gt;0,N(Reales!X43)/X$10,0),N(Reales!X43)),X$182*INDEX(Precio_V,6)*INDEX(IdxPrecio_V,1,MIN(10,X$173))*(1+V_dPrecio))</f>
        <v>0</v>
      </c>
      <c r="Y207" s="34" t="n">
        <f aca="false">IF(Y$8=1,IF(Reales!$C$43="PYG",IF(Y$10&gt;0,N(Reales!Y43)/Y$10,0),N(Reales!Y43)),Y$182*INDEX(Precio_V,6)*INDEX(IdxPrecio_V,1,MIN(10,Y$173))*(1+V_dPrecio))</f>
        <v>0</v>
      </c>
      <c r="Z207" s="34" t="n">
        <f aca="false">IF(Z$8=1,IF(Reales!$C$43="PYG",IF(Z$10&gt;0,N(Reales!Z43)/Z$10,0),N(Reales!Z43)),Z$182*INDEX(Precio_V,6)*INDEX(IdxPrecio_V,1,MIN(10,Z$173))*(1+V_dPrecio))</f>
        <v>0</v>
      </c>
      <c r="AA207" s="34" t="n">
        <f aca="false">IF(AA$8=1,IF(Reales!$C$43="PYG",IF(AA$10&gt;0,N(Reales!AA43)/AA$10,0),N(Reales!AA43)),AA$182*INDEX(Precio_V,6)*INDEX(IdxPrecio_V,1,MIN(10,AA$173))*(1+V_dPrecio))</f>
        <v>0</v>
      </c>
      <c r="AB207" s="34" t="n">
        <f aca="false">IF(AB$8=1,IF(Reales!$C$43="PYG",IF(AB$10&gt;0,N(Reales!AB43)/AB$10,0),N(Reales!AB43)),AB$182*INDEX(Precio_V,6)*INDEX(IdxPrecio_V,1,MIN(10,AB$173))*(1+V_dPrecio))</f>
        <v>0</v>
      </c>
      <c r="AC207" s="34" t="n">
        <f aca="false">IF(AC$8=1,IF(Reales!$C$43="PYG",IF(AC$10&gt;0,N(Reales!AC43)/AC$10,0),N(Reales!AC43)),AC$182*INDEX(Precio_V,6)*INDEX(IdxPrecio_V,1,MIN(10,AC$173))*(1+V_dPrecio))</f>
        <v>0</v>
      </c>
      <c r="AD207" s="34" t="n">
        <f aca="false">IF(AD$8=1,IF(Reales!$C$43="PYG",IF(AD$10&gt;0,N(Reales!AD43)/AD$10,0),N(Reales!AD43)),AD$182*INDEX(Precio_V,6)*INDEX(IdxPrecio_V,1,MIN(10,AD$173))*(1+V_dPrecio))</f>
        <v>0</v>
      </c>
      <c r="AE207" s="34" t="n">
        <f aca="false">IF(AE$8=1,IF(Reales!$C$43="PYG",IF(AE$10&gt;0,N(Reales!AE43)/AE$10,0),N(Reales!AE43)),AE$182*INDEX(Precio_V,6)*INDEX(IdxPrecio_V,1,MIN(10,AE$173))*(1+V_dPrecio))</f>
        <v>0</v>
      </c>
      <c r="AF207" s="34" t="n">
        <f aca="false">IF(AF$8=1,IF(Reales!$C$43="PYG",IF(AF$10&gt;0,N(Reales!AF43)/AF$10,0),N(Reales!AF43)),AF$182*INDEX(Precio_V,6)*INDEX(IdxPrecio_V,1,MIN(10,AF$173))*(1+V_dPrecio))</f>
        <v>0</v>
      </c>
      <c r="AG207" s="34" t="n">
        <f aca="false">IF(AG$8=1,IF(Reales!$C$43="PYG",IF(AG$10&gt;0,N(Reales!AG43)/AG$10,0),N(Reales!AG43)),AG$182*INDEX(Precio_V,6)*INDEX(IdxPrecio_V,1,MIN(10,AG$173))*(1+V_dPrecio))</f>
        <v>0</v>
      </c>
      <c r="AH207" s="34" t="n">
        <f aca="false">IF(AH$8=1,IF(Reales!$C$43="PYG",IF(AH$10&gt;0,N(Reales!AH43)/AH$10,0),N(Reales!AH43)),AH$182*INDEX(Precio_V,6)*INDEX(IdxPrecio_V,1,MIN(10,AH$173))*(1+V_dPrecio))</f>
        <v>0</v>
      </c>
      <c r="AI207" s="34" t="n">
        <f aca="false">IF(AI$8=1,IF(Reales!$C$43="PYG",IF(AI$10&gt;0,N(Reales!AI43)/AI$10,0),N(Reales!AI43)),AI$182*INDEX(Precio_V,6)*INDEX(IdxPrecio_V,1,MIN(10,AI$173))*(1+V_dPrecio))</f>
        <v>0</v>
      </c>
      <c r="AJ207" s="34" t="n">
        <f aca="false">IF(AJ$8=1,IF(Reales!$C$43="PYG",IF(AJ$10&gt;0,N(Reales!AJ43)/AJ$10,0),N(Reales!AJ43)),AJ$182*INDEX(Precio_V,6)*INDEX(IdxPrecio_V,1,MIN(10,AJ$173))*(1+V_dPrecio))</f>
        <v>0</v>
      </c>
      <c r="AK207" s="34" t="n">
        <f aca="false">IF(AK$8=1,IF(Reales!$C$43="PYG",IF(AK$10&gt;0,N(Reales!AK43)/AK$10,0),N(Reales!AK43)),AK$182*INDEX(Precio_V,6)*INDEX(IdxPrecio_V,1,MIN(10,AK$173))*(1+V_dPrecio))</f>
        <v>0</v>
      </c>
      <c r="AL207" s="34" t="n">
        <f aca="false">IF(AL$8=1,IF(Reales!$C$43="PYG",IF(AL$10&gt;0,N(Reales!AL43)/AL$10,0),N(Reales!AL43)),AL$182*INDEX(Precio_V,6)*INDEX(IdxPrecio_V,1,MIN(10,AL$173))*(1+V_dPrecio))</f>
        <v>0</v>
      </c>
      <c r="AM207" s="34" t="n">
        <f aca="false">IF(AM$8=1,IF(Reales!$C$43="PYG",IF(AM$10&gt;0,N(Reales!AM43)/AM$10,0),N(Reales!AM43)),AM$182*INDEX(Precio_V,6)*INDEX(IdxPrecio_V,1,MIN(10,AM$173))*(1+V_dPrecio))</f>
        <v>0</v>
      </c>
      <c r="AN207" s="34" t="n">
        <f aca="false">IF(AN$8=1,IF(Reales!$C$43="PYG",IF(AN$10&gt;0,N(Reales!AN43)/AN$10,0),N(Reales!AN43)),AN$182*INDEX(Precio_V,6)*INDEX(IdxPrecio_V,1,MIN(10,AN$173))*(1+V_dPrecio))</f>
        <v>0</v>
      </c>
      <c r="AO207" s="34" t="n">
        <f aca="false">IF(AO$8=1,IF(Reales!$C$43="PYG",IF(AO$10&gt;0,N(Reales!AO43)/AO$10,0),N(Reales!AO43)),AO$182*INDEX(Precio_V,6)*INDEX(IdxPrecio_V,1,MIN(10,AO$173))*(1+V_dPrecio))</f>
        <v>0</v>
      </c>
      <c r="AP207" s="34" t="n">
        <f aca="false">IF(AP$8=1,IF(Reales!$C$43="PYG",IF(AP$10&gt;0,N(Reales!AP43)/AP$10,0),N(Reales!AP43)),AP$182*INDEX(Precio_V,6)*INDEX(IdxPrecio_V,1,MIN(10,AP$173))*(1+V_dPrecio))</f>
        <v>0</v>
      </c>
      <c r="AQ207" s="34" t="n">
        <f aca="false">IF(AQ$8=1,IF(Reales!$C$43="PYG",IF(AQ$10&gt;0,N(Reales!AQ43)/AQ$10,0),N(Reales!AQ43)),AQ$182*INDEX(Precio_V,6)*INDEX(IdxPrecio_V,1,MIN(10,AQ$173))*(1+V_dPrecio))</f>
        <v>0</v>
      </c>
      <c r="AR207" s="34" t="n">
        <f aca="false">IF(AR$8=1,IF(Reales!$C$43="PYG",IF(AR$10&gt;0,N(Reales!AR43)/AR$10,0),N(Reales!AR43)),AR$182*INDEX(Precio_V,6)*INDEX(IdxPrecio_V,1,MIN(10,AR$173))*(1+V_dPrecio))</f>
        <v>0</v>
      </c>
      <c r="AS207" s="34" t="n">
        <f aca="false">IF(AS$8=1,IF(Reales!$C$43="PYG",IF(AS$10&gt;0,N(Reales!AS43)/AS$10,0),N(Reales!AS43)),AS$182*INDEX(Precio_V,6)*INDEX(IdxPrecio_V,1,MIN(10,AS$173))*(1+V_dPrecio))</f>
        <v>0</v>
      </c>
      <c r="AT207" s="34" t="n">
        <f aca="false">IF(AT$8=1,IF(Reales!$C$43="PYG",IF(AT$10&gt;0,N(Reales!AT43)/AT$10,0),N(Reales!AT43)),AT$182*INDEX(Precio_V,6)*INDEX(IdxPrecio_V,1,MIN(10,AT$173))*(1+V_dPrecio))</f>
        <v>0</v>
      </c>
      <c r="AU207" s="34" t="n">
        <f aca="false">IF(AU$8=1,IF(Reales!$C$43="PYG",IF(AU$10&gt;0,N(Reales!AU43)/AU$10,0),N(Reales!AU43)),AU$182*INDEX(Precio_V,6)*INDEX(IdxPrecio_V,1,MIN(10,AU$173))*(1+V_dPrecio))</f>
        <v>0</v>
      </c>
      <c r="AV207" s="34" t="n">
        <f aca="false">IF(AV$8=1,IF(Reales!$C$43="PYG",IF(AV$10&gt;0,N(Reales!AV43)/AV$10,0),N(Reales!AV43)),AV$182*INDEX(Precio_V,6)*INDEX(IdxPrecio_V,1,MIN(10,AV$173))*(1+V_dPrecio))</f>
        <v>0</v>
      </c>
      <c r="AW207" s="34" t="n">
        <f aca="false">IF(AW$8=1,IF(Reales!$C$43="PYG",IF(AW$10&gt;0,N(Reales!AW43)/AW$10,0),N(Reales!AW43)),AW$182*INDEX(Precio_V,6)*INDEX(IdxPrecio_V,1,MIN(10,AW$173))*(1+V_dPrecio))</f>
        <v>0</v>
      </c>
      <c r="AX207" s="34" t="n">
        <f aca="false">IF(AX$8=1,IF(Reales!$C$43="PYG",IF(AX$10&gt;0,N(Reales!AX43)/AX$10,0),N(Reales!AX43)),AX$182*INDEX(Precio_V,6)*INDEX(IdxPrecio_V,1,MIN(10,AX$173))*(1+V_dPrecio))</f>
        <v>0</v>
      </c>
      <c r="AY207" s="34" t="n">
        <f aca="false">IF(AY$8=1,IF(Reales!$C$43="PYG",IF(AY$10&gt;0,N(Reales!AY43)/AY$10,0),N(Reales!AY43)),AY$182*INDEX(Precio_V,6)*INDEX(IdxPrecio_V,1,MIN(10,AY$173))*(1+V_dPrecio))</f>
        <v>0</v>
      </c>
      <c r="AZ207" s="34" t="n">
        <f aca="false">IF(AZ$8=1,IF(Reales!$C$43="PYG",IF(AZ$10&gt;0,N(Reales!AZ43)/AZ$10,0),N(Reales!AZ43)),AZ$182*INDEX(Precio_V,6)*INDEX(IdxPrecio_V,1,MIN(10,AZ$173))*(1+V_dPrecio))</f>
        <v>0</v>
      </c>
      <c r="BA207" s="34" t="n">
        <f aca="false">IF(BA$8=1,IF(Reales!$C$43="PYG",IF(BA$10&gt;0,N(Reales!BA43)/BA$10,0),N(Reales!BA43)),BA$182*INDEX(Precio_V,6)*INDEX(IdxPrecio_V,1,MIN(10,BA$173))*(1+V_dPrecio))</f>
        <v>0</v>
      </c>
      <c r="BB207" s="34" t="n">
        <f aca="false">IF(BB$8=1,IF(Reales!$C$43="PYG",IF(BB$10&gt;0,N(Reales!BB43)/BB$10,0),N(Reales!BB43)),BB$182*INDEX(Precio_V,6)*INDEX(IdxPrecio_V,1,MIN(10,BB$173))*(1+V_dPrecio))</f>
        <v>0</v>
      </c>
      <c r="BC207" s="34" t="n">
        <f aca="false">IF(BC$8=1,IF(Reales!$C$43="PYG",IF(BC$10&gt;0,N(Reales!BC43)/BC$10,0),N(Reales!BC43)),BC$182*INDEX(Precio_V,6)*INDEX(IdxPrecio_V,1,MIN(10,BC$173))*(1+V_dPrecio))</f>
        <v>0</v>
      </c>
      <c r="BD207" s="34" t="n">
        <f aca="false">IF(BD$8=1,IF(Reales!$C$43="PYG",IF(BD$10&gt;0,N(Reales!BD43)/BD$10,0),N(Reales!BD43)),BD$182*INDEX(Precio_V,6)*INDEX(IdxPrecio_V,1,MIN(10,BD$173))*(1+V_dPrecio))</f>
        <v>0</v>
      </c>
      <c r="BE207" s="34" t="n">
        <f aca="false">IF(BE$8=1,IF(Reales!$C$43="PYG",IF(BE$10&gt;0,N(Reales!BE43)/BE$10,0),N(Reales!BE43)),BE$182*INDEX(Precio_V,6)*INDEX(IdxPrecio_V,1,MIN(10,BE$173))*(1+V_dPrecio))</f>
        <v>0</v>
      </c>
      <c r="BF207" s="34" t="n">
        <f aca="false">IF(BF$8=1,IF(Reales!$C$43="PYG",IF(BF$10&gt;0,N(Reales!BF43)/BF$10,0),N(Reales!BF43)),BF$182*INDEX(Precio_V,6)*INDEX(IdxPrecio_V,1,MIN(10,BF$173))*(1+V_dPrecio))</f>
        <v>0</v>
      </c>
      <c r="BG207" s="34" t="n">
        <f aca="false">IF(BG$8=1,IF(Reales!$C$43="PYG",IF(BG$10&gt;0,N(Reales!BG43)/BG$10,0),N(Reales!BG43)),BG$182*INDEX(Precio_V,6)*INDEX(IdxPrecio_V,1,MIN(10,BG$173))*(1+V_dPrecio))</f>
        <v>0</v>
      </c>
      <c r="BH207" s="34" t="n">
        <f aca="false">IF(BH$8=1,IF(Reales!$C$43="PYG",IF(BH$10&gt;0,N(Reales!BH43)/BH$10,0),N(Reales!BH43)),BH$182*INDEX(Precio_V,6)*INDEX(IdxPrecio_V,1,MIN(10,BH$173))*(1+V_dPrecio))</f>
        <v>0</v>
      </c>
      <c r="BI207" s="34" t="n">
        <f aca="false">IF(BI$8=1,IF(Reales!$C$43="PYG",IF(BI$10&gt;0,N(Reales!BI43)/BI$10,0),N(Reales!BI43)),BI$182*INDEX(Precio_V,6)*INDEX(IdxPrecio_V,1,MIN(10,BI$173))*(1+V_dPrecio))</f>
        <v>0</v>
      </c>
      <c r="BJ207" s="34" t="n">
        <f aca="false">IF(BJ$8=1,IF(Reales!$C$43="PYG",IF(BJ$10&gt;0,N(Reales!BJ43)/BJ$10,0),N(Reales!BJ43)),BJ$182*INDEX(Precio_V,6)*INDEX(IdxPrecio_V,1,MIN(10,BJ$173))*(1+V_dPrecio))</f>
        <v>0</v>
      </c>
      <c r="BK207" s="34" t="n">
        <f aca="false">IF(BK$8=1,IF(Reales!$C$43="PYG",IF(BK$10&gt;0,N(Reales!BK43)/BK$10,0),N(Reales!BK43)),BK$182*INDEX(Precio_V,6)*INDEX(IdxPrecio_V,1,MIN(10,BK$173))*(1+V_dPrecio))</f>
        <v>0</v>
      </c>
      <c r="BL207" s="34" t="n">
        <f aca="false">IF(BL$8=1,IF(Reales!$C$43="PYG",IF(BL$10&gt;0,N(Reales!BL43)/BL$10,0),N(Reales!BL43)),BL$182*INDEX(Precio_V,6)*INDEX(IdxPrecio_V,1,MIN(10,BL$173))*(1+V_dPrecio))</f>
        <v>0</v>
      </c>
      <c r="BM207" s="34" t="n">
        <f aca="false">IF(BM$8=1,IF(Reales!$C$43="PYG",IF(BM$10&gt;0,N(Reales!BM43)/BM$10,0),N(Reales!BM43)),BM$182*INDEX(Precio_V,6)*INDEX(IdxPrecio_V,1,MIN(10,BM$173))*(1+V_dPrecio))</f>
        <v>0</v>
      </c>
      <c r="BN207" s="34" t="n">
        <f aca="false">IF(BN$8=1,IF(Reales!$C$43="PYG",IF(BN$10&gt;0,N(Reales!BN43)/BN$10,0),N(Reales!BN43)),BN$182*INDEX(Precio_V,6)*INDEX(IdxPrecio_V,1,MIN(10,BN$173))*(1+V_dPrecio))</f>
        <v>0</v>
      </c>
      <c r="BO207" s="34" t="n">
        <f aca="false">IF(BO$8=1,IF(Reales!$C$43="PYG",IF(BO$10&gt;0,N(Reales!BO43)/BO$10,0),N(Reales!BO43)),BO$182*INDEX(Precio_V,6)*INDEX(IdxPrecio_V,1,MIN(10,BO$173))*(1+V_dPrecio))</f>
        <v>0</v>
      </c>
      <c r="BP207" s="34" t="n">
        <f aca="false">IF(BP$8=1,IF(Reales!$C$43="PYG",IF(BP$10&gt;0,N(Reales!BP43)/BP$10,0),N(Reales!BP43)),BP$182*INDEX(Precio_V,6)*INDEX(IdxPrecio_V,1,MIN(10,BP$173))*(1+V_dPrecio))</f>
        <v>0</v>
      </c>
      <c r="BQ207" s="34" t="n">
        <f aca="false">IF(BQ$8=1,IF(Reales!$C$43="PYG",IF(BQ$10&gt;0,N(Reales!BQ43)/BQ$10,0),N(Reales!BQ43)),BQ$182*INDEX(Precio_V,6)*INDEX(IdxPrecio_V,1,MIN(10,BQ$173))*(1+V_dPrecio))</f>
        <v>0</v>
      </c>
      <c r="BR207" s="34" t="n">
        <f aca="false">IF(BR$8=1,IF(Reales!$C$43="PYG",IF(BR$10&gt;0,N(Reales!BR43)/BR$10,0),N(Reales!BR43)),BR$182*INDEX(Precio_V,6)*INDEX(IdxPrecio_V,1,MIN(10,BR$173))*(1+V_dPrecio))</f>
        <v>0</v>
      </c>
      <c r="BS207" s="34" t="n">
        <f aca="false">IF(BS$8=1,IF(Reales!$C$43="PYG",IF(BS$10&gt;0,N(Reales!BS43)/BS$10,0),N(Reales!BS43)),BS$182*INDEX(Precio_V,6)*INDEX(IdxPrecio_V,1,MIN(10,BS$173))*(1+V_dPrecio))</f>
        <v>0</v>
      </c>
      <c r="BT207" s="34" t="n">
        <f aca="false">IF(BT$8=1,IF(Reales!$C$43="PYG",IF(BT$10&gt;0,N(Reales!BT43)/BT$10,0),N(Reales!BT43)),BT$182*INDEX(Precio_V,6)*INDEX(IdxPrecio_V,1,MIN(10,BT$173))*(1+V_dPrecio))</f>
        <v>0</v>
      </c>
      <c r="BU207" s="34" t="n">
        <f aca="false">IF(BU$8=1,IF(Reales!$C$43="PYG",IF(BU$10&gt;0,N(Reales!BU43)/BU$10,0),N(Reales!BU43)),BU$182*INDEX(Precio_V,6)*INDEX(IdxPrecio_V,1,MIN(10,BU$173))*(1+V_dPrecio))</f>
        <v>0</v>
      </c>
      <c r="BV207" s="34" t="n">
        <f aca="false">IF(BV$8=1,IF(Reales!$C$43="PYG",IF(BV$10&gt;0,N(Reales!BV43)/BV$10,0),N(Reales!BV43)),BV$182*INDEX(Precio_V,6)*INDEX(IdxPrecio_V,1,MIN(10,BV$173))*(1+V_dPrecio))</f>
        <v>0</v>
      </c>
      <c r="BW207" s="34" t="n">
        <f aca="false">IF(BW$8=1,IF(Reales!$C$43="PYG",IF(BW$10&gt;0,N(Reales!BW43)/BW$10,0),N(Reales!BW43)),BW$182*INDEX(Precio_V,6)*INDEX(IdxPrecio_V,1,MIN(10,BW$173))*(1+V_dPrecio))</f>
        <v>0</v>
      </c>
      <c r="BX207" s="34" t="n">
        <f aca="false">IF(BX$8=1,IF(Reales!$C$43="PYG",IF(BX$10&gt;0,N(Reales!BX43)/BX$10,0),N(Reales!BX43)),BX$182*INDEX(Precio_V,6)*INDEX(IdxPrecio_V,1,MIN(10,BX$173))*(1+V_dPrecio))</f>
        <v>0</v>
      </c>
      <c r="BY207" s="34" t="n">
        <f aca="false">IF(BY$8=1,IF(Reales!$C$43="PYG",IF(BY$10&gt;0,N(Reales!BY43)/BY$10,0),N(Reales!BY43)),BY$182*INDEX(Precio_V,6)*INDEX(IdxPrecio_V,1,MIN(10,BY$173))*(1+V_dPrecio))</f>
        <v>0</v>
      </c>
      <c r="BZ207" s="34" t="n">
        <f aca="false">IF(BZ$8=1,IF(Reales!$C$43="PYG",IF(BZ$10&gt;0,N(Reales!BZ43)/BZ$10,0),N(Reales!BZ43)),BZ$182*INDEX(Precio_V,6)*INDEX(IdxPrecio_V,1,MIN(10,BZ$173))*(1+V_dPrecio))</f>
        <v>0</v>
      </c>
      <c r="CA207" s="34" t="n">
        <f aca="false">IF(CA$8=1,IF(Reales!$C$43="PYG",IF(CA$10&gt;0,N(Reales!CA43)/CA$10,0),N(Reales!CA43)),CA$182*INDEX(Precio_V,6)*INDEX(IdxPrecio_V,1,MIN(10,CA$173))*(1+V_dPrecio))</f>
        <v>0</v>
      </c>
      <c r="CB207" s="34" t="n">
        <f aca="false">IF(CB$8=1,IF(Reales!$C$43="PYG",IF(CB$10&gt;0,N(Reales!CB43)/CB$10,0),N(Reales!CB43)),CB$182*INDEX(Precio_V,6)*INDEX(IdxPrecio_V,1,MIN(10,CB$173))*(1+V_dPrecio))</f>
        <v>0</v>
      </c>
      <c r="CC207" s="34" t="n">
        <f aca="false">IF(CC$8=1,IF(Reales!$C$43="PYG",IF(CC$10&gt;0,N(Reales!CC43)/CC$10,0),N(Reales!CC43)),CC$182*INDEX(Precio_V,6)*INDEX(IdxPrecio_V,1,MIN(10,CC$173))*(1+V_dPrecio))</f>
        <v>0</v>
      </c>
      <c r="CD207" s="34" t="n">
        <f aca="false">IF(CD$8=1,IF(Reales!$C$43="PYG",IF(CD$10&gt;0,N(Reales!CD43)/CD$10,0),N(Reales!CD43)),CD$182*INDEX(Precio_V,6)*INDEX(IdxPrecio_V,1,MIN(10,CD$173))*(1+V_dPrecio))</f>
        <v>0</v>
      </c>
      <c r="CE207" s="34" t="n">
        <f aca="false">IF(CE$8=1,IF(Reales!$C$43="PYG",IF(CE$10&gt;0,N(Reales!CE43)/CE$10,0),N(Reales!CE43)),CE$182*INDEX(Precio_V,6)*INDEX(IdxPrecio_V,1,MIN(10,CE$173))*(1+V_dPrecio))</f>
        <v>0</v>
      </c>
      <c r="CF207" s="34" t="n">
        <f aca="false">IF(CF$8=1,IF(Reales!$C$43="PYG",IF(CF$10&gt;0,N(Reales!CF43)/CF$10,0),N(Reales!CF43)),CF$182*INDEX(Precio_V,6)*INDEX(IdxPrecio_V,1,MIN(10,CF$173))*(1+V_dPrecio))</f>
        <v>0</v>
      </c>
      <c r="CG207" s="34" t="n">
        <f aca="false">IF(CG$8=1,IF(Reales!$C$43="PYG",IF(CG$10&gt;0,N(Reales!CG43)/CG$10,0),N(Reales!CG43)),CG$182*INDEX(Precio_V,6)*INDEX(IdxPrecio_V,1,MIN(10,CG$173))*(1+V_dPrecio))</f>
        <v>0</v>
      </c>
      <c r="CH207" s="34" t="n">
        <f aca="false">IF(CH$8=1,IF(Reales!$C$43="PYG",IF(CH$10&gt;0,N(Reales!CH43)/CH$10,0),N(Reales!CH43)),CH$182*INDEX(Precio_V,6)*INDEX(IdxPrecio_V,1,MIN(10,CH$173))*(1+V_dPrecio))</f>
        <v>0</v>
      </c>
      <c r="CI207" s="34" t="n">
        <f aca="false">IF(CI$8=1,IF(Reales!$C$43="PYG",IF(CI$10&gt;0,N(Reales!CI43)/CI$10,0),N(Reales!CI43)),CI$182*INDEX(Precio_V,6)*INDEX(IdxPrecio_V,1,MIN(10,CI$173))*(1+V_dPrecio))</f>
        <v>0</v>
      </c>
      <c r="CJ207" s="34" t="n">
        <f aca="false">IF(CJ$8=1,IF(Reales!$C$43="PYG",IF(CJ$10&gt;0,N(Reales!CJ43)/CJ$10,0),N(Reales!CJ43)),CJ$182*INDEX(Precio_V,6)*INDEX(IdxPrecio_V,1,MIN(10,CJ$173))*(1+V_dPrecio))</f>
        <v>0</v>
      </c>
      <c r="CK207" s="34" t="n">
        <f aca="false">IF(CK$8=1,IF(Reales!$C$43="PYG",IF(CK$10&gt;0,N(Reales!CK43)/CK$10,0),N(Reales!CK43)),CK$182*INDEX(Precio_V,6)*INDEX(IdxPrecio_V,1,MIN(10,CK$173))*(1+V_dPrecio))</f>
        <v>0</v>
      </c>
      <c r="CL207" s="34" t="n">
        <f aca="false">IF(CL$8=1,IF(Reales!$C$43="PYG",IF(CL$10&gt;0,N(Reales!CL43)/CL$10,0),N(Reales!CL43)),CL$182*INDEX(Precio_V,6)*INDEX(IdxPrecio_V,1,MIN(10,CL$173))*(1+V_dPrecio))</f>
        <v>0</v>
      </c>
      <c r="CM207" s="34" t="n">
        <f aca="false">IF(CM$8=1,IF(Reales!$C$43="PYG",IF(CM$10&gt;0,N(Reales!CM43)/CM$10,0),N(Reales!CM43)),CM$182*INDEX(Precio_V,6)*INDEX(IdxPrecio_V,1,MIN(10,CM$173))*(1+V_dPrecio))</f>
        <v>0</v>
      </c>
      <c r="CN207" s="34" t="n">
        <f aca="false">IF(CN$8=1,IF(Reales!$C$43="PYG",IF(CN$10&gt;0,N(Reales!CN43)/CN$10,0),N(Reales!CN43)),CN$182*INDEX(Precio_V,6)*INDEX(IdxPrecio_V,1,MIN(10,CN$173))*(1+V_dPrecio))</f>
        <v>0</v>
      </c>
      <c r="CO207" s="34" t="n">
        <f aca="false">IF(CO$8=1,IF(Reales!$C$43="PYG",IF(CO$10&gt;0,N(Reales!CO43)/CO$10,0),N(Reales!CO43)),CO$182*INDEX(Precio_V,6)*INDEX(IdxPrecio_V,1,MIN(10,CO$173))*(1+V_dPrecio))</f>
        <v>0</v>
      </c>
      <c r="CP207" s="34" t="n">
        <f aca="false">IF(CP$8=1,IF(Reales!$C$43="PYG",IF(CP$10&gt;0,N(Reales!CP43)/CP$10,0),N(Reales!CP43)),CP$182*INDEX(Precio_V,6)*INDEX(IdxPrecio_V,1,MIN(10,CP$173))*(1+V_dPrecio))</f>
        <v>0</v>
      </c>
      <c r="CQ207" s="34" t="n">
        <f aca="false">IF(CQ$8=1,IF(Reales!$C$43="PYG",IF(CQ$10&gt;0,N(Reales!CQ43)/CQ$10,0),N(Reales!CQ43)),CQ$182*INDEX(Precio_V,6)*INDEX(IdxPrecio_V,1,MIN(10,CQ$173))*(1+V_dPrecio))</f>
        <v>0</v>
      </c>
      <c r="CR207" s="34" t="n">
        <f aca="false">IF(CR$8=1,IF(Reales!$C$43="PYG",IF(CR$10&gt;0,N(Reales!CR43)/CR$10,0),N(Reales!CR43)),CR$182*INDEX(Precio_V,6)*INDEX(IdxPrecio_V,1,MIN(10,CR$173))*(1+V_dPrecio))</f>
        <v>0</v>
      </c>
      <c r="CS207" s="34" t="n">
        <f aca="false">IF(CS$8=1,IF(Reales!$C$43="PYG",IF(CS$10&gt;0,N(Reales!CS43)/CS$10,0),N(Reales!CS43)),CS$182*INDEX(Precio_V,6)*INDEX(IdxPrecio_V,1,MIN(10,CS$173))*(1+V_dPrecio))</f>
        <v>0</v>
      </c>
      <c r="CT207" s="34" t="n">
        <f aca="false">IF(CT$8=1,IF(Reales!$C$43="PYG",IF(CT$10&gt;0,N(Reales!CT43)/CT$10,0),N(Reales!CT43)),CT$182*INDEX(Precio_V,6)*INDEX(IdxPrecio_V,1,MIN(10,CT$173))*(1+V_dPrecio))</f>
        <v>0</v>
      </c>
      <c r="CU207" s="34" t="n">
        <f aca="false">IF(CU$8=1,IF(Reales!$C$43="PYG",IF(CU$10&gt;0,N(Reales!CU43)/CU$10,0),N(Reales!CU43)),CU$182*INDEX(Precio_V,6)*INDEX(IdxPrecio_V,1,MIN(10,CU$173))*(1+V_dPrecio))</f>
        <v>0</v>
      </c>
      <c r="CV207" s="34" t="n">
        <f aca="false">IF(CV$8=1,IF(Reales!$C$43="PYG",IF(CV$10&gt;0,N(Reales!CV43)/CV$10,0),N(Reales!CV43)),CV$182*INDEX(Precio_V,6)*INDEX(IdxPrecio_V,1,MIN(10,CV$173))*(1+V_dPrecio))</f>
        <v>0</v>
      </c>
      <c r="CW207" s="34" t="n">
        <f aca="false">IF(CW$8=1,IF(Reales!$C$43="PYG",IF(CW$10&gt;0,N(Reales!CW43)/CW$10,0),N(Reales!CW43)),CW$182*INDEX(Precio_V,6)*INDEX(IdxPrecio_V,1,MIN(10,CW$173))*(1+V_dPrecio))</f>
        <v>0</v>
      </c>
      <c r="CX207" s="34" t="n">
        <f aca="false">IF(CX$8=1,IF(Reales!$C$43="PYG",IF(CX$10&gt;0,N(Reales!CX43)/CX$10,0),N(Reales!CX43)),CX$182*INDEX(Precio_V,6)*INDEX(IdxPrecio_V,1,MIN(10,CX$173))*(1+V_dPrecio))</f>
        <v>0</v>
      </c>
      <c r="CY207" s="34" t="n">
        <f aca="false">IF(CY$8=1,IF(Reales!$C$43="PYG",IF(CY$10&gt;0,N(Reales!CY43)/CY$10,0),N(Reales!CY43)),CY$182*INDEX(Precio_V,6)*INDEX(IdxPrecio_V,1,MIN(10,CY$173))*(1+V_dPrecio))</f>
        <v>0</v>
      </c>
      <c r="CZ207" s="34" t="n">
        <f aca="false">IF(CZ$8=1,IF(Reales!$C$43="PYG",IF(CZ$10&gt;0,N(Reales!CZ43)/CZ$10,0),N(Reales!CZ43)),CZ$182*INDEX(Precio_V,6)*INDEX(IdxPrecio_V,1,MIN(10,CZ$173))*(1+V_dPrecio))</f>
        <v>0</v>
      </c>
      <c r="DA207" s="34" t="n">
        <f aca="false">IF(DA$8=1,IF(Reales!$C$43="PYG",IF(DA$10&gt;0,N(Reales!DA43)/DA$10,0),N(Reales!DA43)),DA$182*INDEX(Precio_V,6)*INDEX(IdxPrecio_V,1,MIN(10,DA$173))*(1+V_dPrecio))</f>
        <v>0</v>
      </c>
      <c r="DB207" s="34" t="n">
        <f aca="false">IF(DB$8=1,IF(Reales!$C$43="PYG",IF(DB$10&gt;0,N(Reales!DB43)/DB$10,0),N(Reales!DB43)),DB$182*INDEX(Precio_V,6)*INDEX(IdxPrecio_V,1,MIN(10,DB$173))*(1+V_dPrecio))</f>
        <v>0</v>
      </c>
      <c r="DC207" s="34" t="n">
        <f aca="false">IF(DC$8=1,IF(Reales!$C$43="PYG",IF(DC$10&gt;0,N(Reales!DC43)/DC$10,0),N(Reales!DC43)),DC$182*INDEX(Precio_V,6)*INDEX(IdxPrecio_V,1,MIN(10,DC$173))*(1+V_dPrecio))</f>
        <v>0</v>
      </c>
      <c r="DD207" s="34" t="n">
        <f aca="false">IF(DD$8=1,IF(Reales!$C$43="PYG",IF(DD$10&gt;0,N(Reales!DD43)/DD$10,0),N(Reales!DD43)),DD$182*INDEX(Precio_V,6)*INDEX(IdxPrecio_V,1,MIN(10,DD$173))*(1+V_dPrecio))</f>
        <v>0</v>
      </c>
      <c r="DE207" s="34" t="n">
        <f aca="false">IF(DE$8=1,IF(Reales!$C$43="PYG",IF(DE$10&gt;0,N(Reales!DE43)/DE$10,0),N(Reales!DE43)),DE$182*INDEX(Precio_V,6)*INDEX(IdxPrecio_V,1,MIN(10,DE$173))*(1+V_dPrecio))</f>
        <v>0</v>
      </c>
      <c r="DF207" s="34" t="n">
        <f aca="false">IF(DF$8=1,IF(Reales!$C$43="PYG",IF(DF$10&gt;0,N(Reales!DF43)/DF$10,0),N(Reales!DF43)),DF$182*INDEX(Precio_V,6)*INDEX(IdxPrecio_V,1,MIN(10,DF$173))*(1+V_dPrecio))</f>
        <v>0</v>
      </c>
      <c r="DG207" s="34" t="n">
        <f aca="false">IF(DG$8=1,IF(Reales!$C$43="PYG",IF(DG$10&gt;0,N(Reales!DG43)/DG$10,0),N(Reales!DG43)),DG$182*INDEX(Precio_V,6)*INDEX(IdxPrecio_V,1,MIN(10,DG$173))*(1+V_dPrecio))</f>
        <v>0</v>
      </c>
      <c r="DH207" s="34" t="n">
        <f aca="false">IF(DH$8=1,IF(Reales!$C$43="PYG",IF(DH$10&gt;0,N(Reales!DH43)/DH$10,0),N(Reales!DH43)),DH$182*INDEX(Precio_V,6)*INDEX(IdxPrecio_V,1,MIN(10,DH$173))*(1+V_dPrecio))</f>
        <v>0</v>
      </c>
      <c r="DI207" s="34" t="n">
        <f aca="false">IF(DI$8=1,IF(Reales!$C$43="PYG",IF(DI$10&gt;0,N(Reales!DI43)/DI$10,0),N(Reales!DI43)),DI$182*INDEX(Precio_V,6)*INDEX(IdxPrecio_V,1,MIN(10,DI$173))*(1+V_dPrecio))</f>
        <v>0</v>
      </c>
      <c r="DJ207" s="34" t="n">
        <f aca="false">IF(DJ$8=1,IF(Reales!$C$43="PYG",IF(DJ$10&gt;0,N(Reales!DJ43)/DJ$10,0),N(Reales!DJ43)),DJ$182*INDEX(Precio_V,6)*INDEX(IdxPrecio_V,1,MIN(10,DJ$173))*(1+V_dPrecio))</f>
        <v>0</v>
      </c>
      <c r="DK207" s="34" t="n">
        <f aca="false">IF(DK$8=1,IF(Reales!$C$43="PYG",IF(DK$10&gt;0,N(Reales!DK43)/DK$10,0),N(Reales!DK43)),DK$182*INDEX(Precio_V,6)*INDEX(IdxPrecio_V,1,MIN(10,DK$173))*(1+V_dPrecio))</f>
        <v>0</v>
      </c>
      <c r="DL207" s="34" t="n">
        <f aca="false">IF(DL$8=1,IF(Reales!$C$43="PYG",IF(DL$10&gt;0,N(Reales!DL43)/DL$10,0),N(Reales!DL43)),DL$182*INDEX(Precio_V,6)*INDEX(IdxPrecio_V,1,MIN(10,DL$173))*(1+V_dPrecio))</f>
        <v>0</v>
      </c>
      <c r="DM207" s="34" t="n">
        <f aca="false">IF(DM$8=1,IF(Reales!$C$43="PYG",IF(DM$10&gt;0,N(Reales!DM43)/DM$10,0),N(Reales!DM43)),DM$182*INDEX(Precio_V,6)*INDEX(IdxPrecio_V,1,MIN(10,DM$173))*(1+V_dPrecio))</f>
        <v>0</v>
      </c>
      <c r="DN207" s="34" t="n">
        <f aca="false">IF(DN$8=1,IF(Reales!$C$43="PYG",IF(DN$10&gt;0,N(Reales!DN43)/DN$10,0),N(Reales!DN43)),DN$182*INDEX(Precio_V,6)*INDEX(IdxPrecio_V,1,MIN(10,DN$173))*(1+V_dPrecio))</f>
        <v>0</v>
      </c>
      <c r="DO207" s="34" t="n">
        <f aca="false">IF(DO$8=1,IF(Reales!$C$43="PYG",IF(DO$10&gt;0,N(Reales!DO43)/DO$10,0),N(Reales!DO43)),DO$182*INDEX(Precio_V,6)*INDEX(IdxPrecio_V,1,MIN(10,DO$173))*(1+V_dPrecio))</f>
        <v>0</v>
      </c>
      <c r="DP207" s="34" t="n">
        <f aca="false">IF(DP$8=1,IF(Reales!$C$43="PYG",IF(DP$10&gt;0,N(Reales!DP43)/DP$10,0),N(Reales!DP43)),DP$182*INDEX(Precio_V,6)*INDEX(IdxPrecio_V,1,MIN(10,DP$173))*(1+V_dPrecio))</f>
        <v>0</v>
      </c>
      <c r="DQ207" s="34" t="n">
        <f aca="false">IF(DQ$8=1,IF(Reales!$C$43="PYG",IF(DQ$10&gt;0,N(Reales!DQ43)/DQ$10,0),N(Reales!DQ43)),DQ$182*INDEX(Precio_V,6)*INDEX(IdxPrecio_V,1,MIN(10,DQ$173))*(1+V_dPrecio))</f>
        <v>0</v>
      </c>
      <c r="DR207" s="34" t="n">
        <f aca="false">IF(DR$8=1,IF(Reales!$C$43="PYG",IF(DR$10&gt;0,N(Reales!DR43)/DR$10,0),N(Reales!DR43)),DR$182*INDEX(Precio_V,6)*INDEX(IdxPrecio_V,1,MIN(10,DR$173))*(1+V_dPrecio))</f>
        <v>0</v>
      </c>
      <c r="DS207" s="34" t="n">
        <f aca="false">IF(DS$8=1,IF(Reales!$C$43="PYG",IF(DS$10&gt;0,N(Reales!DS43)/DS$10,0),N(Reales!DS43)),DS$182*INDEX(Precio_V,6)*INDEX(IdxPrecio_V,1,MIN(10,DS$173))*(1+V_dPrecio))</f>
        <v>0</v>
      </c>
      <c r="DT207" s="34" t="n">
        <f aca="false">IF(DT$8=1,IF(Reales!$C$43="PYG",IF(DT$10&gt;0,N(Reales!DT43)/DT$10,0),N(Reales!DT43)),DT$182*INDEX(Precio_V,6)*INDEX(IdxPrecio_V,1,MIN(10,DT$173))*(1+V_dPrecio))</f>
        <v>0</v>
      </c>
      <c r="DU207" s="34" t="n">
        <f aca="false">IF(DU$8=1,IF(Reales!$C$43="PYG",IF(DU$10&gt;0,N(Reales!DU43)/DU$10,0),N(Reales!DU43)),DU$182*INDEX(Precio_V,6)*INDEX(IdxPrecio_V,1,MIN(10,DU$173))*(1+V_dPrecio))</f>
        <v>0</v>
      </c>
      <c r="DV207" s="34" t="n">
        <f aca="false">IF(DV$8=1,IF(Reales!$C$43="PYG",IF(DV$10&gt;0,N(Reales!DV43)/DV$10,0),N(Reales!DV43)),DV$182*INDEX(Precio_V,6)*INDEX(IdxPrecio_V,1,MIN(10,DV$173))*(1+V_dPrecio))</f>
        <v>0</v>
      </c>
      <c r="DW207" s="34" t="n">
        <f aca="false">IF(DW$8=1,IF(Reales!$C$43="PYG",IF(DW$10&gt;0,N(Reales!DW43)/DW$10,0),N(Reales!DW43)),DW$182*INDEX(Precio_V,6)*INDEX(IdxPrecio_V,1,MIN(10,DW$173))*(1+V_dPrecio))</f>
        <v>0</v>
      </c>
      <c r="DX207" s="34" t="n">
        <f aca="false">IF(DX$8=1,IF(Reales!$C$43="PYG",IF(DX$10&gt;0,N(Reales!DX43)/DX$10,0),N(Reales!DX43)),DX$182*INDEX(Precio_V,6)*INDEX(IdxPrecio_V,1,MIN(10,DX$173))*(1+V_dPrecio))</f>
        <v>0</v>
      </c>
      <c r="DY207" s="34" t="n">
        <f aca="false">IF(DY$8=1,IF(Reales!$C$43="PYG",IF(DY$10&gt;0,N(Reales!DY43)/DY$10,0),N(Reales!DY43)),DY$182*INDEX(Precio_V,6)*INDEX(IdxPrecio_V,1,MIN(10,DY$173))*(1+V_dPrecio))</f>
        <v>0</v>
      </c>
      <c r="DZ207" s="34" t="n">
        <f aca="false">IF(DZ$8=1,IF(Reales!$C$43="PYG",IF(DZ$10&gt;0,N(Reales!DZ43)/DZ$10,0),N(Reales!DZ43)),DZ$182*INDEX(Precio_V,6)*INDEX(IdxPrecio_V,1,MIN(10,DZ$173))*(1+V_dPrecio))</f>
        <v>0</v>
      </c>
      <c r="EA207" s="34" t="n">
        <f aca="false">IF(EA$8=1,IF(Reales!$C$43="PYG",IF(EA$10&gt;0,N(Reales!EA43)/EA$10,0),N(Reales!EA43)),EA$182*INDEX(Precio_V,6)*INDEX(IdxPrecio_V,1,MIN(10,EA$173))*(1+V_dPrecio))</f>
        <v>0</v>
      </c>
      <c r="EB207" s="34" t="n">
        <f aca="false">IF(EB$8=1,IF(Reales!$C$43="PYG",IF(EB$10&gt;0,N(Reales!EB43)/EB$10,0),N(Reales!EB43)),EB$182*INDEX(Precio_V,6)*INDEX(IdxPrecio_V,1,MIN(10,EB$173))*(1+V_dPrecio))</f>
        <v>0</v>
      </c>
      <c r="EC207" s="34" t="n">
        <f aca="false">IF(EC$8=1,IF(Reales!$C$43="PYG",IF(EC$10&gt;0,N(Reales!EC43)/EC$10,0),N(Reales!EC43)),EC$182*INDEX(Precio_V,6)*INDEX(IdxPrecio_V,1,MIN(10,EC$173))*(1+V_dPrecio))</f>
        <v>0</v>
      </c>
      <c r="ED207" s="34" t="n">
        <f aca="false">IF(ED$8=1,IF(Reales!$C$43="PYG",IF(ED$10&gt;0,N(Reales!ED43)/ED$10,0),N(Reales!ED43)),ED$182*INDEX(Precio_V,6)*INDEX(IdxPrecio_V,1,MIN(10,ED$173))*(1+V_dPrecio))</f>
        <v>0</v>
      </c>
      <c r="EE207" s="34" t="n">
        <f aca="false">IF(EE$8=1,IF(Reales!$C$43="PYG",IF(EE$10&gt;0,N(Reales!EE43)/EE$10,0),N(Reales!EE43)),EE$182*INDEX(Precio_V,6)*INDEX(IdxPrecio_V,1,MIN(10,EE$173))*(1+V_dPrecio))</f>
        <v>0</v>
      </c>
      <c r="EF207" s="34" t="n">
        <f aca="false">IF(EF$8=1,IF(Reales!$C$43="PYG",IF(EF$10&gt;0,N(Reales!EF43)/EF$10,0),N(Reales!EF43)),EF$182*INDEX(Precio_V,6)*INDEX(IdxPrecio_V,1,MIN(10,EF$173))*(1+V_dPrecio))</f>
        <v>0</v>
      </c>
      <c r="EG207" s="34" t="n">
        <f aca="false">IF(EG$8=1,IF(Reales!$C$43="PYG",IF(EG$10&gt;0,N(Reales!EG43)/EG$10,0),N(Reales!EG43)),EG$182*INDEX(Precio_V,6)*INDEX(IdxPrecio_V,1,MIN(10,EG$173))*(1+V_dPrecio))</f>
        <v>0</v>
      </c>
      <c r="EH207" s="34" t="n">
        <f aca="false">IF(EH$8=1,IF(Reales!$C$43="PYG",IF(EH$10&gt;0,N(Reales!EH43)/EH$10,0),N(Reales!EH43)),EH$182*INDEX(Precio_V,6)*INDEX(IdxPrecio_V,1,MIN(10,EH$173))*(1+V_dPrecio))</f>
        <v>0</v>
      </c>
      <c r="EI207" s="34" t="n">
        <f aca="false">IF(EI$8=1,IF(Reales!$C$43="PYG",IF(EI$10&gt;0,N(Reales!EI43)/EI$10,0),N(Reales!EI43)),EI$182*INDEX(Precio_V,6)*INDEX(IdxPrecio_V,1,MIN(10,EI$173))*(1+V_dPrecio))</f>
        <v>0</v>
      </c>
      <c r="EJ207" s="34" t="n">
        <f aca="false">IF(EJ$8=1,IF(Reales!$C$43="PYG",IF(EJ$10&gt;0,N(Reales!EJ43)/EJ$10,0),N(Reales!EJ43)),EJ$182*INDEX(Precio_V,6)*INDEX(IdxPrecio_V,1,MIN(10,EJ$173))*(1+V_dPrecio))</f>
        <v>0</v>
      </c>
      <c r="EK207" s="34" t="n">
        <f aca="false">IF(EK$8=1,IF(Reales!$C$43="PYG",IF(EK$10&gt;0,N(Reales!EK43)/EK$10,0),N(Reales!EK43)),EK$182*INDEX(Precio_V,6)*INDEX(IdxPrecio_V,1,MIN(10,EK$173))*(1+V_dPrecio))</f>
        <v>0</v>
      </c>
      <c r="EL207" s="34" t="n">
        <f aca="false">IF(EL$8=1,IF(Reales!$C$43="PYG",IF(EL$10&gt;0,N(Reales!EL43)/EL$10,0),N(Reales!EL43)),EL$182*INDEX(Precio_V,6)*INDEX(IdxPrecio_V,1,MIN(10,EL$173))*(1+V_dPrecio))</f>
        <v>0</v>
      </c>
      <c r="EM207" s="34" t="n">
        <f aca="false">IF(EM$8=1,IF(Reales!$C$43="PYG",IF(EM$10&gt;0,N(Reales!EM43)/EM$10,0),N(Reales!EM43)),EM$182*INDEX(Precio_V,6)*INDEX(IdxPrecio_V,1,MIN(10,EM$173))*(1+V_dPrecio))</f>
        <v>0</v>
      </c>
      <c r="EN207" s="34" t="n">
        <f aca="false">IF(EN$8=1,IF(Reales!$C$43="PYG",IF(EN$10&gt;0,N(Reales!EN43)/EN$10,0),N(Reales!EN43)),EN$182*INDEX(Precio_V,6)*INDEX(IdxPrecio_V,1,MIN(10,EN$173))*(1+V_dPrecio))</f>
        <v>0</v>
      </c>
      <c r="EO207" s="34" t="n">
        <f aca="false">IF(EO$8=1,IF(Reales!$C$43="PYG",IF(EO$10&gt;0,N(Reales!EO43)/EO$10,0),N(Reales!EO43)),EO$182*INDEX(Precio_V,6)*INDEX(IdxPrecio_V,1,MIN(10,EO$173))*(1+V_dPrecio))</f>
        <v>0</v>
      </c>
      <c r="EP207" s="34" t="n">
        <f aca="false">IF(EP$8=1,IF(Reales!$C$43="PYG",IF(EP$10&gt;0,N(Reales!EP43)/EP$10,0),N(Reales!EP43)),EP$182*INDEX(Precio_V,6)*INDEX(IdxPrecio_V,1,MIN(10,EP$173))*(1+V_dPrecio))</f>
        <v>0</v>
      </c>
      <c r="EQ207" s="34" t="n">
        <f aca="false">IF(EQ$8=1,IF(Reales!$C$43="PYG",IF(EQ$10&gt;0,N(Reales!EQ43)/EQ$10,0),N(Reales!EQ43)),EQ$182*INDEX(Precio_V,6)*INDEX(IdxPrecio_V,1,MIN(10,EQ$173))*(1+V_dPrecio))</f>
        <v>0</v>
      </c>
      <c r="ER207" s="34" t="n">
        <f aca="false">IF(ER$8=1,IF(Reales!$C$43="PYG",IF(ER$10&gt;0,N(Reales!ER43)/ER$10,0),N(Reales!ER43)),ER$182*INDEX(Precio_V,6)*INDEX(IdxPrecio_V,1,MIN(10,ER$173))*(1+V_dPrecio))</f>
        <v>0</v>
      </c>
      <c r="ES207" s="34" t="n">
        <f aca="false">IF(ES$8=1,IF(Reales!$C$43="PYG",IF(ES$10&gt;0,N(Reales!ES43)/ES$10,0),N(Reales!ES43)),ES$182*INDEX(Precio_V,6)*INDEX(IdxPrecio_V,1,MIN(10,ES$173))*(1+V_dPrecio))</f>
        <v>0</v>
      </c>
    </row>
    <row r="208" customFormat="false" ht="15" hidden="false" customHeight="false" outlineLevel="0" collapsed="false">
      <c r="A208" s="2" t="s">
        <v>850</v>
      </c>
      <c r="B208" s="39" t="str">
        <f aca="false">IF(INDEX(Prod_Nombre,7)="","Producto 7",INDEX(Prod_Nombre,7))&amp;" — ventas USD"</f>
        <v>Producto 7 — ventas USD</v>
      </c>
      <c r="C208" s="6" t="s">
        <v>250</v>
      </c>
      <c r="E208" s="40" t="n">
        <f aca="false">SUM(F208:ES208)</f>
        <v>0</v>
      </c>
      <c r="F208" s="34" t="n">
        <f aca="false">IF(F$8=1,IF(Reales!$C$44="PYG",IF(F$10&gt;0,N(Reales!F44)/F$10,0),N(Reales!F44)),F$183*INDEX(Precio_V,7)*INDEX(IdxPrecio_V,1,MIN(10,F$173))*(1+V_dPrecio))</f>
        <v>0</v>
      </c>
      <c r="G208" s="34" t="n">
        <f aca="false">IF(G$8=1,IF(Reales!$C$44="PYG",IF(G$10&gt;0,N(Reales!G44)/G$10,0),N(Reales!G44)),G$183*INDEX(Precio_V,7)*INDEX(IdxPrecio_V,1,MIN(10,G$173))*(1+V_dPrecio))</f>
        <v>0</v>
      </c>
      <c r="H208" s="34" t="n">
        <f aca="false">IF(H$8=1,IF(Reales!$C$44="PYG",IF(H$10&gt;0,N(Reales!H44)/H$10,0),N(Reales!H44)),H$183*INDEX(Precio_V,7)*INDEX(IdxPrecio_V,1,MIN(10,H$173))*(1+V_dPrecio))</f>
        <v>0</v>
      </c>
      <c r="I208" s="34" t="n">
        <f aca="false">IF(I$8=1,IF(Reales!$C$44="PYG",IF(I$10&gt;0,N(Reales!I44)/I$10,0),N(Reales!I44)),I$183*INDEX(Precio_V,7)*INDEX(IdxPrecio_V,1,MIN(10,I$173))*(1+V_dPrecio))</f>
        <v>0</v>
      </c>
      <c r="J208" s="34" t="n">
        <f aca="false">IF(J$8=1,IF(Reales!$C$44="PYG",IF(J$10&gt;0,N(Reales!J44)/J$10,0),N(Reales!J44)),J$183*INDEX(Precio_V,7)*INDEX(IdxPrecio_V,1,MIN(10,J$173))*(1+V_dPrecio))</f>
        <v>0</v>
      </c>
      <c r="K208" s="34" t="n">
        <f aca="false">IF(K$8=1,IF(Reales!$C$44="PYG",IF(K$10&gt;0,N(Reales!K44)/K$10,0),N(Reales!K44)),K$183*INDEX(Precio_V,7)*INDEX(IdxPrecio_V,1,MIN(10,K$173))*(1+V_dPrecio))</f>
        <v>0</v>
      </c>
      <c r="L208" s="34" t="n">
        <f aca="false">IF(L$8=1,IF(Reales!$C$44="PYG",IF(L$10&gt;0,N(Reales!L44)/L$10,0),N(Reales!L44)),L$183*INDEX(Precio_V,7)*INDEX(IdxPrecio_V,1,MIN(10,L$173))*(1+V_dPrecio))</f>
        <v>0</v>
      </c>
      <c r="M208" s="34" t="n">
        <f aca="false">IF(M$8=1,IF(Reales!$C$44="PYG",IF(M$10&gt;0,N(Reales!M44)/M$10,0),N(Reales!M44)),M$183*INDEX(Precio_V,7)*INDEX(IdxPrecio_V,1,MIN(10,M$173))*(1+V_dPrecio))</f>
        <v>0</v>
      </c>
      <c r="N208" s="34" t="n">
        <f aca="false">IF(N$8=1,IF(Reales!$C$44="PYG",IF(N$10&gt;0,N(Reales!N44)/N$10,0),N(Reales!N44)),N$183*INDEX(Precio_V,7)*INDEX(IdxPrecio_V,1,MIN(10,N$173))*(1+V_dPrecio))</f>
        <v>0</v>
      </c>
      <c r="O208" s="34" t="n">
        <f aca="false">IF(O$8=1,IF(Reales!$C$44="PYG",IF(O$10&gt;0,N(Reales!O44)/O$10,0),N(Reales!O44)),O$183*INDEX(Precio_V,7)*INDEX(IdxPrecio_V,1,MIN(10,O$173))*(1+V_dPrecio))</f>
        <v>0</v>
      </c>
      <c r="P208" s="34" t="n">
        <f aca="false">IF(P$8=1,IF(Reales!$C$44="PYG",IF(P$10&gt;0,N(Reales!P44)/P$10,0),N(Reales!P44)),P$183*INDEX(Precio_V,7)*INDEX(IdxPrecio_V,1,MIN(10,P$173))*(1+V_dPrecio))</f>
        <v>0</v>
      </c>
      <c r="Q208" s="34" t="n">
        <f aca="false">IF(Q$8=1,IF(Reales!$C$44="PYG",IF(Q$10&gt;0,N(Reales!Q44)/Q$10,0),N(Reales!Q44)),Q$183*INDEX(Precio_V,7)*INDEX(IdxPrecio_V,1,MIN(10,Q$173))*(1+V_dPrecio))</f>
        <v>0</v>
      </c>
      <c r="R208" s="34" t="n">
        <f aca="false">IF(R$8=1,IF(Reales!$C$44="PYG",IF(R$10&gt;0,N(Reales!R44)/R$10,0),N(Reales!R44)),R$183*INDEX(Precio_V,7)*INDEX(IdxPrecio_V,1,MIN(10,R$173))*(1+V_dPrecio))</f>
        <v>0</v>
      </c>
      <c r="S208" s="34" t="n">
        <f aca="false">IF(S$8=1,IF(Reales!$C$44="PYG",IF(S$10&gt;0,N(Reales!S44)/S$10,0),N(Reales!S44)),S$183*INDEX(Precio_V,7)*INDEX(IdxPrecio_V,1,MIN(10,S$173))*(1+V_dPrecio))</f>
        <v>0</v>
      </c>
      <c r="T208" s="34" t="n">
        <f aca="false">IF(T$8=1,IF(Reales!$C$44="PYG",IF(T$10&gt;0,N(Reales!T44)/T$10,0),N(Reales!T44)),T$183*INDEX(Precio_V,7)*INDEX(IdxPrecio_V,1,MIN(10,T$173))*(1+V_dPrecio))</f>
        <v>0</v>
      </c>
      <c r="U208" s="34" t="n">
        <f aca="false">IF(U$8=1,IF(Reales!$C$44="PYG",IF(U$10&gt;0,N(Reales!U44)/U$10,0),N(Reales!U44)),U$183*INDEX(Precio_V,7)*INDEX(IdxPrecio_V,1,MIN(10,U$173))*(1+V_dPrecio))</f>
        <v>0</v>
      </c>
      <c r="V208" s="34" t="n">
        <f aca="false">IF(V$8=1,IF(Reales!$C$44="PYG",IF(V$10&gt;0,N(Reales!V44)/V$10,0),N(Reales!V44)),V$183*INDEX(Precio_V,7)*INDEX(IdxPrecio_V,1,MIN(10,V$173))*(1+V_dPrecio))</f>
        <v>0</v>
      </c>
      <c r="W208" s="34" t="n">
        <f aca="false">IF(W$8=1,IF(Reales!$C$44="PYG",IF(W$10&gt;0,N(Reales!W44)/W$10,0),N(Reales!W44)),W$183*INDEX(Precio_V,7)*INDEX(IdxPrecio_V,1,MIN(10,W$173))*(1+V_dPrecio))</f>
        <v>0</v>
      </c>
      <c r="X208" s="34" t="n">
        <f aca="false">IF(X$8=1,IF(Reales!$C$44="PYG",IF(X$10&gt;0,N(Reales!X44)/X$10,0),N(Reales!X44)),X$183*INDEX(Precio_V,7)*INDEX(IdxPrecio_V,1,MIN(10,X$173))*(1+V_dPrecio))</f>
        <v>0</v>
      </c>
      <c r="Y208" s="34" t="n">
        <f aca="false">IF(Y$8=1,IF(Reales!$C$44="PYG",IF(Y$10&gt;0,N(Reales!Y44)/Y$10,0),N(Reales!Y44)),Y$183*INDEX(Precio_V,7)*INDEX(IdxPrecio_V,1,MIN(10,Y$173))*(1+V_dPrecio))</f>
        <v>0</v>
      </c>
      <c r="Z208" s="34" t="n">
        <f aca="false">IF(Z$8=1,IF(Reales!$C$44="PYG",IF(Z$10&gt;0,N(Reales!Z44)/Z$10,0),N(Reales!Z44)),Z$183*INDEX(Precio_V,7)*INDEX(IdxPrecio_V,1,MIN(10,Z$173))*(1+V_dPrecio))</f>
        <v>0</v>
      </c>
      <c r="AA208" s="34" t="n">
        <f aca="false">IF(AA$8=1,IF(Reales!$C$44="PYG",IF(AA$10&gt;0,N(Reales!AA44)/AA$10,0),N(Reales!AA44)),AA$183*INDEX(Precio_V,7)*INDEX(IdxPrecio_V,1,MIN(10,AA$173))*(1+V_dPrecio))</f>
        <v>0</v>
      </c>
      <c r="AB208" s="34" t="n">
        <f aca="false">IF(AB$8=1,IF(Reales!$C$44="PYG",IF(AB$10&gt;0,N(Reales!AB44)/AB$10,0),N(Reales!AB44)),AB$183*INDEX(Precio_V,7)*INDEX(IdxPrecio_V,1,MIN(10,AB$173))*(1+V_dPrecio))</f>
        <v>0</v>
      </c>
      <c r="AC208" s="34" t="n">
        <f aca="false">IF(AC$8=1,IF(Reales!$C$44="PYG",IF(AC$10&gt;0,N(Reales!AC44)/AC$10,0),N(Reales!AC44)),AC$183*INDEX(Precio_V,7)*INDEX(IdxPrecio_V,1,MIN(10,AC$173))*(1+V_dPrecio))</f>
        <v>0</v>
      </c>
      <c r="AD208" s="34" t="n">
        <f aca="false">IF(AD$8=1,IF(Reales!$C$44="PYG",IF(AD$10&gt;0,N(Reales!AD44)/AD$10,0),N(Reales!AD44)),AD$183*INDEX(Precio_V,7)*INDEX(IdxPrecio_V,1,MIN(10,AD$173))*(1+V_dPrecio))</f>
        <v>0</v>
      </c>
      <c r="AE208" s="34" t="n">
        <f aca="false">IF(AE$8=1,IF(Reales!$C$44="PYG",IF(AE$10&gt;0,N(Reales!AE44)/AE$10,0),N(Reales!AE44)),AE$183*INDEX(Precio_V,7)*INDEX(IdxPrecio_V,1,MIN(10,AE$173))*(1+V_dPrecio))</f>
        <v>0</v>
      </c>
      <c r="AF208" s="34" t="n">
        <f aca="false">IF(AF$8=1,IF(Reales!$C$44="PYG",IF(AF$10&gt;0,N(Reales!AF44)/AF$10,0),N(Reales!AF44)),AF$183*INDEX(Precio_V,7)*INDEX(IdxPrecio_V,1,MIN(10,AF$173))*(1+V_dPrecio))</f>
        <v>0</v>
      </c>
      <c r="AG208" s="34" t="n">
        <f aca="false">IF(AG$8=1,IF(Reales!$C$44="PYG",IF(AG$10&gt;0,N(Reales!AG44)/AG$10,0),N(Reales!AG44)),AG$183*INDEX(Precio_V,7)*INDEX(IdxPrecio_V,1,MIN(10,AG$173))*(1+V_dPrecio))</f>
        <v>0</v>
      </c>
      <c r="AH208" s="34" t="n">
        <f aca="false">IF(AH$8=1,IF(Reales!$C$44="PYG",IF(AH$10&gt;0,N(Reales!AH44)/AH$10,0),N(Reales!AH44)),AH$183*INDEX(Precio_V,7)*INDEX(IdxPrecio_V,1,MIN(10,AH$173))*(1+V_dPrecio))</f>
        <v>0</v>
      </c>
      <c r="AI208" s="34" t="n">
        <f aca="false">IF(AI$8=1,IF(Reales!$C$44="PYG",IF(AI$10&gt;0,N(Reales!AI44)/AI$10,0),N(Reales!AI44)),AI$183*INDEX(Precio_V,7)*INDEX(IdxPrecio_V,1,MIN(10,AI$173))*(1+V_dPrecio))</f>
        <v>0</v>
      </c>
      <c r="AJ208" s="34" t="n">
        <f aca="false">IF(AJ$8=1,IF(Reales!$C$44="PYG",IF(AJ$10&gt;0,N(Reales!AJ44)/AJ$10,0),N(Reales!AJ44)),AJ$183*INDEX(Precio_V,7)*INDEX(IdxPrecio_V,1,MIN(10,AJ$173))*(1+V_dPrecio))</f>
        <v>0</v>
      </c>
      <c r="AK208" s="34" t="n">
        <f aca="false">IF(AK$8=1,IF(Reales!$C$44="PYG",IF(AK$10&gt;0,N(Reales!AK44)/AK$10,0),N(Reales!AK44)),AK$183*INDEX(Precio_V,7)*INDEX(IdxPrecio_V,1,MIN(10,AK$173))*(1+V_dPrecio))</f>
        <v>0</v>
      </c>
      <c r="AL208" s="34" t="n">
        <f aca="false">IF(AL$8=1,IF(Reales!$C$44="PYG",IF(AL$10&gt;0,N(Reales!AL44)/AL$10,0),N(Reales!AL44)),AL$183*INDEX(Precio_V,7)*INDEX(IdxPrecio_V,1,MIN(10,AL$173))*(1+V_dPrecio))</f>
        <v>0</v>
      </c>
      <c r="AM208" s="34" t="n">
        <f aca="false">IF(AM$8=1,IF(Reales!$C$44="PYG",IF(AM$10&gt;0,N(Reales!AM44)/AM$10,0),N(Reales!AM44)),AM$183*INDEX(Precio_V,7)*INDEX(IdxPrecio_V,1,MIN(10,AM$173))*(1+V_dPrecio))</f>
        <v>0</v>
      </c>
      <c r="AN208" s="34" t="n">
        <f aca="false">IF(AN$8=1,IF(Reales!$C$44="PYG",IF(AN$10&gt;0,N(Reales!AN44)/AN$10,0),N(Reales!AN44)),AN$183*INDEX(Precio_V,7)*INDEX(IdxPrecio_V,1,MIN(10,AN$173))*(1+V_dPrecio))</f>
        <v>0</v>
      </c>
      <c r="AO208" s="34" t="n">
        <f aca="false">IF(AO$8=1,IF(Reales!$C$44="PYG",IF(AO$10&gt;0,N(Reales!AO44)/AO$10,0),N(Reales!AO44)),AO$183*INDEX(Precio_V,7)*INDEX(IdxPrecio_V,1,MIN(10,AO$173))*(1+V_dPrecio))</f>
        <v>0</v>
      </c>
      <c r="AP208" s="34" t="n">
        <f aca="false">IF(AP$8=1,IF(Reales!$C$44="PYG",IF(AP$10&gt;0,N(Reales!AP44)/AP$10,0),N(Reales!AP44)),AP$183*INDEX(Precio_V,7)*INDEX(IdxPrecio_V,1,MIN(10,AP$173))*(1+V_dPrecio))</f>
        <v>0</v>
      </c>
      <c r="AQ208" s="34" t="n">
        <f aca="false">IF(AQ$8=1,IF(Reales!$C$44="PYG",IF(AQ$10&gt;0,N(Reales!AQ44)/AQ$10,0),N(Reales!AQ44)),AQ$183*INDEX(Precio_V,7)*INDEX(IdxPrecio_V,1,MIN(10,AQ$173))*(1+V_dPrecio))</f>
        <v>0</v>
      </c>
      <c r="AR208" s="34" t="n">
        <f aca="false">IF(AR$8=1,IF(Reales!$C$44="PYG",IF(AR$10&gt;0,N(Reales!AR44)/AR$10,0),N(Reales!AR44)),AR$183*INDEX(Precio_V,7)*INDEX(IdxPrecio_V,1,MIN(10,AR$173))*(1+V_dPrecio))</f>
        <v>0</v>
      </c>
      <c r="AS208" s="34" t="n">
        <f aca="false">IF(AS$8=1,IF(Reales!$C$44="PYG",IF(AS$10&gt;0,N(Reales!AS44)/AS$10,0),N(Reales!AS44)),AS$183*INDEX(Precio_V,7)*INDEX(IdxPrecio_V,1,MIN(10,AS$173))*(1+V_dPrecio))</f>
        <v>0</v>
      </c>
      <c r="AT208" s="34" t="n">
        <f aca="false">IF(AT$8=1,IF(Reales!$C$44="PYG",IF(AT$10&gt;0,N(Reales!AT44)/AT$10,0),N(Reales!AT44)),AT$183*INDEX(Precio_V,7)*INDEX(IdxPrecio_V,1,MIN(10,AT$173))*(1+V_dPrecio))</f>
        <v>0</v>
      </c>
      <c r="AU208" s="34" t="n">
        <f aca="false">IF(AU$8=1,IF(Reales!$C$44="PYG",IF(AU$10&gt;0,N(Reales!AU44)/AU$10,0),N(Reales!AU44)),AU$183*INDEX(Precio_V,7)*INDEX(IdxPrecio_V,1,MIN(10,AU$173))*(1+V_dPrecio))</f>
        <v>0</v>
      </c>
      <c r="AV208" s="34" t="n">
        <f aca="false">IF(AV$8=1,IF(Reales!$C$44="PYG",IF(AV$10&gt;0,N(Reales!AV44)/AV$10,0),N(Reales!AV44)),AV$183*INDEX(Precio_V,7)*INDEX(IdxPrecio_V,1,MIN(10,AV$173))*(1+V_dPrecio))</f>
        <v>0</v>
      </c>
      <c r="AW208" s="34" t="n">
        <f aca="false">IF(AW$8=1,IF(Reales!$C$44="PYG",IF(AW$10&gt;0,N(Reales!AW44)/AW$10,0),N(Reales!AW44)),AW$183*INDEX(Precio_V,7)*INDEX(IdxPrecio_V,1,MIN(10,AW$173))*(1+V_dPrecio))</f>
        <v>0</v>
      </c>
      <c r="AX208" s="34" t="n">
        <f aca="false">IF(AX$8=1,IF(Reales!$C$44="PYG",IF(AX$10&gt;0,N(Reales!AX44)/AX$10,0),N(Reales!AX44)),AX$183*INDEX(Precio_V,7)*INDEX(IdxPrecio_V,1,MIN(10,AX$173))*(1+V_dPrecio))</f>
        <v>0</v>
      </c>
      <c r="AY208" s="34" t="n">
        <f aca="false">IF(AY$8=1,IF(Reales!$C$44="PYG",IF(AY$10&gt;0,N(Reales!AY44)/AY$10,0),N(Reales!AY44)),AY$183*INDEX(Precio_V,7)*INDEX(IdxPrecio_V,1,MIN(10,AY$173))*(1+V_dPrecio))</f>
        <v>0</v>
      </c>
      <c r="AZ208" s="34" t="n">
        <f aca="false">IF(AZ$8=1,IF(Reales!$C$44="PYG",IF(AZ$10&gt;0,N(Reales!AZ44)/AZ$10,0),N(Reales!AZ44)),AZ$183*INDEX(Precio_V,7)*INDEX(IdxPrecio_V,1,MIN(10,AZ$173))*(1+V_dPrecio))</f>
        <v>0</v>
      </c>
      <c r="BA208" s="34" t="n">
        <f aca="false">IF(BA$8=1,IF(Reales!$C$44="PYG",IF(BA$10&gt;0,N(Reales!BA44)/BA$10,0),N(Reales!BA44)),BA$183*INDEX(Precio_V,7)*INDEX(IdxPrecio_V,1,MIN(10,BA$173))*(1+V_dPrecio))</f>
        <v>0</v>
      </c>
      <c r="BB208" s="34" t="n">
        <f aca="false">IF(BB$8=1,IF(Reales!$C$44="PYG",IF(BB$10&gt;0,N(Reales!BB44)/BB$10,0),N(Reales!BB44)),BB$183*INDEX(Precio_V,7)*INDEX(IdxPrecio_V,1,MIN(10,BB$173))*(1+V_dPrecio))</f>
        <v>0</v>
      </c>
      <c r="BC208" s="34" t="n">
        <f aca="false">IF(BC$8=1,IF(Reales!$C$44="PYG",IF(BC$10&gt;0,N(Reales!BC44)/BC$10,0),N(Reales!BC44)),BC$183*INDEX(Precio_V,7)*INDEX(IdxPrecio_V,1,MIN(10,BC$173))*(1+V_dPrecio))</f>
        <v>0</v>
      </c>
      <c r="BD208" s="34" t="n">
        <f aca="false">IF(BD$8=1,IF(Reales!$C$44="PYG",IF(BD$10&gt;0,N(Reales!BD44)/BD$10,0),N(Reales!BD44)),BD$183*INDEX(Precio_V,7)*INDEX(IdxPrecio_V,1,MIN(10,BD$173))*(1+V_dPrecio))</f>
        <v>0</v>
      </c>
      <c r="BE208" s="34" t="n">
        <f aca="false">IF(BE$8=1,IF(Reales!$C$44="PYG",IF(BE$10&gt;0,N(Reales!BE44)/BE$10,0),N(Reales!BE44)),BE$183*INDEX(Precio_V,7)*INDEX(IdxPrecio_V,1,MIN(10,BE$173))*(1+V_dPrecio))</f>
        <v>0</v>
      </c>
      <c r="BF208" s="34" t="n">
        <f aca="false">IF(BF$8=1,IF(Reales!$C$44="PYG",IF(BF$10&gt;0,N(Reales!BF44)/BF$10,0),N(Reales!BF44)),BF$183*INDEX(Precio_V,7)*INDEX(IdxPrecio_V,1,MIN(10,BF$173))*(1+V_dPrecio))</f>
        <v>0</v>
      </c>
      <c r="BG208" s="34" t="n">
        <f aca="false">IF(BG$8=1,IF(Reales!$C$44="PYG",IF(BG$10&gt;0,N(Reales!BG44)/BG$10,0),N(Reales!BG44)),BG$183*INDEX(Precio_V,7)*INDEX(IdxPrecio_V,1,MIN(10,BG$173))*(1+V_dPrecio))</f>
        <v>0</v>
      </c>
      <c r="BH208" s="34" t="n">
        <f aca="false">IF(BH$8=1,IF(Reales!$C$44="PYG",IF(BH$10&gt;0,N(Reales!BH44)/BH$10,0),N(Reales!BH44)),BH$183*INDEX(Precio_V,7)*INDEX(IdxPrecio_V,1,MIN(10,BH$173))*(1+V_dPrecio))</f>
        <v>0</v>
      </c>
      <c r="BI208" s="34" t="n">
        <f aca="false">IF(BI$8=1,IF(Reales!$C$44="PYG",IF(BI$10&gt;0,N(Reales!BI44)/BI$10,0),N(Reales!BI44)),BI$183*INDEX(Precio_V,7)*INDEX(IdxPrecio_V,1,MIN(10,BI$173))*(1+V_dPrecio))</f>
        <v>0</v>
      </c>
      <c r="BJ208" s="34" t="n">
        <f aca="false">IF(BJ$8=1,IF(Reales!$C$44="PYG",IF(BJ$10&gt;0,N(Reales!BJ44)/BJ$10,0),N(Reales!BJ44)),BJ$183*INDEX(Precio_V,7)*INDEX(IdxPrecio_V,1,MIN(10,BJ$173))*(1+V_dPrecio))</f>
        <v>0</v>
      </c>
      <c r="BK208" s="34" t="n">
        <f aca="false">IF(BK$8=1,IF(Reales!$C$44="PYG",IF(BK$10&gt;0,N(Reales!BK44)/BK$10,0),N(Reales!BK44)),BK$183*INDEX(Precio_V,7)*INDEX(IdxPrecio_V,1,MIN(10,BK$173))*(1+V_dPrecio))</f>
        <v>0</v>
      </c>
      <c r="BL208" s="34" t="n">
        <f aca="false">IF(BL$8=1,IF(Reales!$C$44="PYG",IF(BL$10&gt;0,N(Reales!BL44)/BL$10,0),N(Reales!BL44)),BL$183*INDEX(Precio_V,7)*INDEX(IdxPrecio_V,1,MIN(10,BL$173))*(1+V_dPrecio))</f>
        <v>0</v>
      </c>
      <c r="BM208" s="34" t="n">
        <f aca="false">IF(BM$8=1,IF(Reales!$C$44="PYG",IF(BM$10&gt;0,N(Reales!BM44)/BM$10,0),N(Reales!BM44)),BM$183*INDEX(Precio_V,7)*INDEX(IdxPrecio_V,1,MIN(10,BM$173))*(1+V_dPrecio))</f>
        <v>0</v>
      </c>
      <c r="BN208" s="34" t="n">
        <f aca="false">IF(BN$8=1,IF(Reales!$C$44="PYG",IF(BN$10&gt;0,N(Reales!BN44)/BN$10,0),N(Reales!BN44)),BN$183*INDEX(Precio_V,7)*INDEX(IdxPrecio_V,1,MIN(10,BN$173))*(1+V_dPrecio))</f>
        <v>0</v>
      </c>
      <c r="BO208" s="34" t="n">
        <f aca="false">IF(BO$8=1,IF(Reales!$C$44="PYG",IF(BO$10&gt;0,N(Reales!BO44)/BO$10,0),N(Reales!BO44)),BO$183*INDEX(Precio_V,7)*INDEX(IdxPrecio_V,1,MIN(10,BO$173))*(1+V_dPrecio))</f>
        <v>0</v>
      </c>
      <c r="BP208" s="34" t="n">
        <f aca="false">IF(BP$8=1,IF(Reales!$C$44="PYG",IF(BP$10&gt;0,N(Reales!BP44)/BP$10,0),N(Reales!BP44)),BP$183*INDEX(Precio_V,7)*INDEX(IdxPrecio_V,1,MIN(10,BP$173))*(1+V_dPrecio))</f>
        <v>0</v>
      </c>
      <c r="BQ208" s="34" t="n">
        <f aca="false">IF(BQ$8=1,IF(Reales!$C$44="PYG",IF(BQ$10&gt;0,N(Reales!BQ44)/BQ$10,0),N(Reales!BQ44)),BQ$183*INDEX(Precio_V,7)*INDEX(IdxPrecio_V,1,MIN(10,BQ$173))*(1+V_dPrecio))</f>
        <v>0</v>
      </c>
      <c r="BR208" s="34" t="n">
        <f aca="false">IF(BR$8=1,IF(Reales!$C$44="PYG",IF(BR$10&gt;0,N(Reales!BR44)/BR$10,0),N(Reales!BR44)),BR$183*INDEX(Precio_V,7)*INDEX(IdxPrecio_V,1,MIN(10,BR$173))*(1+V_dPrecio))</f>
        <v>0</v>
      </c>
      <c r="BS208" s="34" t="n">
        <f aca="false">IF(BS$8=1,IF(Reales!$C$44="PYG",IF(BS$10&gt;0,N(Reales!BS44)/BS$10,0),N(Reales!BS44)),BS$183*INDEX(Precio_V,7)*INDEX(IdxPrecio_V,1,MIN(10,BS$173))*(1+V_dPrecio))</f>
        <v>0</v>
      </c>
      <c r="BT208" s="34" t="n">
        <f aca="false">IF(BT$8=1,IF(Reales!$C$44="PYG",IF(BT$10&gt;0,N(Reales!BT44)/BT$10,0),N(Reales!BT44)),BT$183*INDEX(Precio_V,7)*INDEX(IdxPrecio_V,1,MIN(10,BT$173))*(1+V_dPrecio))</f>
        <v>0</v>
      </c>
      <c r="BU208" s="34" t="n">
        <f aca="false">IF(BU$8=1,IF(Reales!$C$44="PYG",IF(BU$10&gt;0,N(Reales!BU44)/BU$10,0),N(Reales!BU44)),BU$183*INDEX(Precio_V,7)*INDEX(IdxPrecio_V,1,MIN(10,BU$173))*(1+V_dPrecio))</f>
        <v>0</v>
      </c>
      <c r="BV208" s="34" t="n">
        <f aca="false">IF(BV$8=1,IF(Reales!$C$44="PYG",IF(BV$10&gt;0,N(Reales!BV44)/BV$10,0),N(Reales!BV44)),BV$183*INDEX(Precio_V,7)*INDEX(IdxPrecio_V,1,MIN(10,BV$173))*(1+V_dPrecio))</f>
        <v>0</v>
      </c>
      <c r="BW208" s="34" t="n">
        <f aca="false">IF(BW$8=1,IF(Reales!$C$44="PYG",IF(BW$10&gt;0,N(Reales!BW44)/BW$10,0),N(Reales!BW44)),BW$183*INDEX(Precio_V,7)*INDEX(IdxPrecio_V,1,MIN(10,BW$173))*(1+V_dPrecio))</f>
        <v>0</v>
      </c>
      <c r="BX208" s="34" t="n">
        <f aca="false">IF(BX$8=1,IF(Reales!$C$44="PYG",IF(BX$10&gt;0,N(Reales!BX44)/BX$10,0),N(Reales!BX44)),BX$183*INDEX(Precio_V,7)*INDEX(IdxPrecio_V,1,MIN(10,BX$173))*(1+V_dPrecio))</f>
        <v>0</v>
      </c>
      <c r="BY208" s="34" t="n">
        <f aca="false">IF(BY$8=1,IF(Reales!$C$44="PYG",IF(BY$10&gt;0,N(Reales!BY44)/BY$10,0),N(Reales!BY44)),BY$183*INDEX(Precio_V,7)*INDEX(IdxPrecio_V,1,MIN(10,BY$173))*(1+V_dPrecio))</f>
        <v>0</v>
      </c>
      <c r="BZ208" s="34" t="n">
        <f aca="false">IF(BZ$8=1,IF(Reales!$C$44="PYG",IF(BZ$10&gt;0,N(Reales!BZ44)/BZ$10,0),N(Reales!BZ44)),BZ$183*INDEX(Precio_V,7)*INDEX(IdxPrecio_V,1,MIN(10,BZ$173))*(1+V_dPrecio))</f>
        <v>0</v>
      </c>
      <c r="CA208" s="34" t="n">
        <f aca="false">IF(CA$8=1,IF(Reales!$C$44="PYG",IF(CA$10&gt;0,N(Reales!CA44)/CA$10,0),N(Reales!CA44)),CA$183*INDEX(Precio_V,7)*INDEX(IdxPrecio_V,1,MIN(10,CA$173))*(1+V_dPrecio))</f>
        <v>0</v>
      </c>
      <c r="CB208" s="34" t="n">
        <f aca="false">IF(CB$8=1,IF(Reales!$C$44="PYG",IF(CB$10&gt;0,N(Reales!CB44)/CB$10,0),N(Reales!CB44)),CB$183*INDEX(Precio_V,7)*INDEX(IdxPrecio_V,1,MIN(10,CB$173))*(1+V_dPrecio))</f>
        <v>0</v>
      </c>
      <c r="CC208" s="34" t="n">
        <f aca="false">IF(CC$8=1,IF(Reales!$C$44="PYG",IF(CC$10&gt;0,N(Reales!CC44)/CC$10,0),N(Reales!CC44)),CC$183*INDEX(Precio_V,7)*INDEX(IdxPrecio_V,1,MIN(10,CC$173))*(1+V_dPrecio))</f>
        <v>0</v>
      </c>
      <c r="CD208" s="34" t="n">
        <f aca="false">IF(CD$8=1,IF(Reales!$C$44="PYG",IF(CD$10&gt;0,N(Reales!CD44)/CD$10,0),N(Reales!CD44)),CD$183*INDEX(Precio_V,7)*INDEX(IdxPrecio_V,1,MIN(10,CD$173))*(1+V_dPrecio))</f>
        <v>0</v>
      </c>
      <c r="CE208" s="34" t="n">
        <f aca="false">IF(CE$8=1,IF(Reales!$C$44="PYG",IF(CE$10&gt;0,N(Reales!CE44)/CE$10,0),N(Reales!CE44)),CE$183*INDEX(Precio_V,7)*INDEX(IdxPrecio_V,1,MIN(10,CE$173))*(1+V_dPrecio))</f>
        <v>0</v>
      </c>
      <c r="CF208" s="34" t="n">
        <f aca="false">IF(CF$8=1,IF(Reales!$C$44="PYG",IF(CF$10&gt;0,N(Reales!CF44)/CF$10,0),N(Reales!CF44)),CF$183*INDEX(Precio_V,7)*INDEX(IdxPrecio_V,1,MIN(10,CF$173))*(1+V_dPrecio))</f>
        <v>0</v>
      </c>
      <c r="CG208" s="34" t="n">
        <f aca="false">IF(CG$8=1,IF(Reales!$C$44="PYG",IF(CG$10&gt;0,N(Reales!CG44)/CG$10,0),N(Reales!CG44)),CG$183*INDEX(Precio_V,7)*INDEX(IdxPrecio_V,1,MIN(10,CG$173))*(1+V_dPrecio))</f>
        <v>0</v>
      </c>
      <c r="CH208" s="34" t="n">
        <f aca="false">IF(CH$8=1,IF(Reales!$C$44="PYG",IF(CH$10&gt;0,N(Reales!CH44)/CH$10,0),N(Reales!CH44)),CH$183*INDEX(Precio_V,7)*INDEX(IdxPrecio_V,1,MIN(10,CH$173))*(1+V_dPrecio))</f>
        <v>0</v>
      </c>
      <c r="CI208" s="34" t="n">
        <f aca="false">IF(CI$8=1,IF(Reales!$C$44="PYG",IF(CI$10&gt;0,N(Reales!CI44)/CI$10,0),N(Reales!CI44)),CI$183*INDEX(Precio_V,7)*INDEX(IdxPrecio_V,1,MIN(10,CI$173))*(1+V_dPrecio))</f>
        <v>0</v>
      </c>
      <c r="CJ208" s="34" t="n">
        <f aca="false">IF(CJ$8=1,IF(Reales!$C$44="PYG",IF(CJ$10&gt;0,N(Reales!CJ44)/CJ$10,0),N(Reales!CJ44)),CJ$183*INDEX(Precio_V,7)*INDEX(IdxPrecio_V,1,MIN(10,CJ$173))*(1+V_dPrecio))</f>
        <v>0</v>
      </c>
      <c r="CK208" s="34" t="n">
        <f aca="false">IF(CK$8=1,IF(Reales!$C$44="PYG",IF(CK$10&gt;0,N(Reales!CK44)/CK$10,0),N(Reales!CK44)),CK$183*INDEX(Precio_V,7)*INDEX(IdxPrecio_V,1,MIN(10,CK$173))*(1+V_dPrecio))</f>
        <v>0</v>
      </c>
      <c r="CL208" s="34" t="n">
        <f aca="false">IF(CL$8=1,IF(Reales!$C$44="PYG",IF(CL$10&gt;0,N(Reales!CL44)/CL$10,0),N(Reales!CL44)),CL$183*INDEX(Precio_V,7)*INDEX(IdxPrecio_V,1,MIN(10,CL$173))*(1+V_dPrecio))</f>
        <v>0</v>
      </c>
      <c r="CM208" s="34" t="n">
        <f aca="false">IF(CM$8=1,IF(Reales!$C$44="PYG",IF(CM$10&gt;0,N(Reales!CM44)/CM$10,0),N(Reales!CM44)),CM$183*INDEX(Precio_V,7)*INDEX(IdxPrecio_V,1,MIN(10,CM$173))*(1+V_dPrecio))</f>
        <v>0</v>
      </c>
      <c r="CN208" s="34" t="n">
        <f aca="false">IF(CN$8=1,IF(Reales!$C$44="PYG",IF(CN$10&gt;0,N(Reales!CN44)/CN$10,0),N(Reales!CN44)),CN$183*INDEX(Precio_V,7)*INDEX(IdxPrecio_V,1,MIN(10,CN$173))*(1+V_dPrecio))</f>
        <v>0</v>
      </c>
      <c r="CO208" s="34" t="n">
        <f aca="false">IF(CO$8=1,IF(Reales!$C$44="PYG",IF(CO$10&gt;0,N(Reales!CO44)/CO$10,0),N(Reales!CO44)),CO$183*INDEX(Precio_V,7)*INDEX(IdxPrecio_V,1,MIN(10,CO$173))*(1+V_dPrecio))</f>
        <v>0</v>
      </c>
      <c r="CP208" s="34" t="n">
        <f aca="false">IF(CP$8=1,IF(Reales!$C$44="PYG",IF(CP$10&gt;0,N(Reales!CP44)/CP$10,0),N(Reales!CP44)),CP$183*INDEX(Precio_V,7)*INDEX(IdxPrecio_V,1,MIN(10,CP$173))*(1+V_dPrecio))</f>
        <v>0</v>
      </c>
      <c r="CQ208" s="34" t="n">
        <f aca="false">IF(CQ$8=1,IF(Reales!$C$44="PYG",IF(CQ$10&gt;0,N(Reales!CQ44)/CQ$10,0),N(Reales!CQ44)),CQ$183*INDEX(Precio_V,7)*INDEX(IdxPrecio_V,1,MIN(10,CQ$173))*(1+V_dPrecio))</f>
        <v>0</v>
      </c>
      <c r="CR208" s="34" t="n">
        <f aca="false">IF(CR$8=1,IF(Reales!$C$44="PYG",IF(CR$10&gt;0,N(Reales!CR44)/CR$10,0),N(Reales!CR44)),CR$183*INDEX(Precio_V,7)*INDEX(IdxPrecio_V,1,MIN(10,CR$173))*(1+V_dPrecio))</f>
        <v>0</v>
      </c>
      <c r="CS208" s="34" t="n">
        <f aca="false">IF(CS$8=1,IF(Reales!$C$44="PYG",IF(CS$10&gt;0,N(Reales!CS44)/CS$10,0),N(Reales!CS44)),CS$183*INDEX(Precio_V,7)*INDEX(IdxPrecio_V,1,MIN(10,CS$173))*(1+V_dPrecio))</f>
        <v>0</v>
      </c>
      <c r="CT208" s="34" t="n">
        <f aca="false">IF(CT$8=1,IF(Reales!$C$44="PYG",IF(CT$10&gt;0,N(Reales!CT44)/CT$10,0),N(Reales!CT44)),CT$183*INDEX(Precio_V,7)*INDEX(IdxPrecio_V,1,MIN(10,CT$173))*(1+V_dPrecio))</f>
        <v>0</v>
      </c>
      <c r="CU208" s="34" t="n">
        <f aca="false">IF(CU$8=1,IF(Reales!$C$44="PYG",IF(CU$10&gt;0,N(Reales!CU44)/CU$10,0),N(Reales!CU44)),CU$183*INDEX(Precio_V,7)*INDEX(IdxPrecio_V,1,MIN(10,CU$173))*(1+V_dPrecio))</f>
        <v>0</v>
      </c>
      <c r="CV208" s="34" t="n">
        <f aca="false">IF(CV$8=1,IF(Reales!$C$44="PYG",IF(CV$10&gt;0,N(Reales!CV44)/CV$10,0),N(Reales!CV44)),CV$183*INDEX(Precio_V,7)*INDEX(IdxPrecio_V,1,MIN(10,CV$173))*(1+V_dPrecio))</f>
        <v>0</v>
      </c>
      <c r="CW208" s="34" t="n">
        <f aca="false">IF(CW$8=1,IF(Reales!$C$44="PYG",IF(CW$10&gt;0,N(Reales!CW44)/CW$10,0),N(Reales!CW44)),CW$183*INDEX(Precio_V,7)*INDEX(IdxPrecio_V,1,MIN(10,CW$173))*(1+V_dPrecio))</f>
        <v>0</v>
      </c>
      <c r="CX208" s="34" t="n">
        <f aca="false">IF(CX$8=1,IF(Reales!$C$44="PYG",IF(CX$10&gt;0,N(Reales!CX44)/CX$10,0),N(Reales!CX44)),CX$183*INDEX(Precio_V,7)*INDEX(IdxPrecio_V,1,MIN(10,CX$173))*(1+V_dPrecio))</f>
        <v>0</v>
      </c>
      <c r="CY208" s="34" t="n">
        <f aca="false">IF(CY$8=1,IF(Reales!$C$44="PYG",IF(CY$10&gt;0,N(Reales!CY44)/CY$10,0),N(Reales!CY44)),CY$183*INDEX(Precio_V,7)*INDEX(IdxPrecio_V,1,MIN(10,CY$173))*(1+V_dPrecio))</f>
        <v>0</v>
      </c>
      <c r="CZ208" s="34" t="n">
        <f aca="false">IF(CZ$8=1,IF(Reales!$C$44="PYG",IF(CZ$10&gt;0,N(Reales!CZ44)/CZ$10,0),N(Reales!CZ44)),CZ$183*INDEX(Precio_V,7)*INDEX(IdxPrecio_V,1,MIN(10,CZ$173))*(1+V_dPrecio))</f>
        <v>0</v>
      </c>
      <c r="DA208" s="34" t="n">
        <f aca="false">IF(DA$8=1,IF(Reales!$C$44="PYG",IF(DA$10&gt;0,N(Reales!DA44)/DA$10,0),N(Reales!DA44)),DA$183*INDEX(Precio_V,7)*INDEX(IdxPrecio_V,1,MIN(10,DA$173))*(1+V_dPrecio))</f>
        <v>0</v>
      </c>
      <c r="DB208" s="34" t="n">
        <f aca="false">IF(DB$8=1,IF(Reales!$C$44="PYG",IF(DB$10&gt;0,N(Reales!DB44)/DB$10,0),N(Reales!DB44)),DB$183*INDEX(Precio_V,7)*INDEX(IdxPrecio_V,1,MIN(10,DB$173))*(1+V_dPrecio))</f>
        <v>0</v>
      </c>
      <c r="DC208" s="34" t="n">
        <f aca="false">IF(DC$8=1,IF(Reales!$C$44="PYG",IF(DC$10&gt;0,N(Reales!DC44)/DC$10,0),N(Reales!DC44)),DC$183*INDEX(Precio_V,7)*INDEX(IdxPrecio_V,1,MIN(10,DC$173))*(1+V_dPrecio))</f>
        <v>0</v>
      </c>
      <c r="DD208" s="34" t="n">
        <f aca="false">IF(DD$8=1,IF(Reales!$C$44="PYG",IF(DD$10&gt;0,N(Reales!DD44)/DD$10,0),N(Reales!DD44)),DD$183*INDEX(Precio_V,7)*INDEX(IdxPrecio_V,1,MIN(10,DD$173))*(1+V_dPrecio))</f>
        <v>0</v>
      </c>
      <c r="DE208" s="34" t="n">
        <f aca="false">IF(DE$8=1,IF(Reales!$C$44="PYG",IF(DE$10&gt;0,N(Reales!DE44)/DE$10,0),N(Reales!DE44)),DE$183*INDEX(Precio_V,7)*INDEX(IdxPrecio_V,1,MIN(10,DE$173))*(1+V_dPrecio))</f>
        <v>0</v>
      </c>
      <c r="DF208" s="34" t="n">
        <f aca="false">IF(DF$8=1,IF(Reales!$C$44="PYG",IF(DF$10&gt;0,N(Reales!DF44)/DF$10,0),N(Reales!DF44)),DF$183*INDEX(Precio_V,7)*INDEX(IdxPrecio_V,1,MIN(10,DF$173))*(1+V_dPrecio))</f>
        <v>0</v>
      </c>
      <c r="DG208" s="34" t="n">
        <f aca="false">IF(DG$8=1,IF(Reales!$C$44="PYG",IF(DG$10&gt;0,N(Reales!DG44)/DG$10,0),N(Reales!DG44)),DG$183*INDEX(Precio_V,7)*INDEX(IdxPrecio_V,1,MIN(10,DG$173))*(1+V_dPrecio))</f>
        <v>0</v>
      </c>
      <c r="DH208" s="34" t="n">
        <f aca="false">IF(DH$8=1,IF(Reales!$C$44="PYG",IF(DH$10&gt;0,N(Reales!DH44)/DH$10,0),N(Reales!DH44)),DH$183*INDEX(Precio_V,7)*INDEX(IdxPrecio_V,1,MIN(10,DH$173))*(1+V_dPrecio))</f>
        <v>0</v>
      </c>
      <c r="DI208" s="34" t="n">
        <f aca="false">IF(DI$8=1,IF(Reales!$C$44="PYG",IF(DI$10&gt;0,N(Reales!DI44)/DI$10,0),N(Reales!DI44)),DI$183*INDEX(Precio_V,7)*INDEX(IdxPrecio_V,1,MIN(10,DI$173))*(1+V_dPrecio))</f>
        <v>0</v>
      </c>
      <c r="DJ208" s="34" t="n">
        <f aca="false">IF(DJ$8=1,IF(Reales!$C$44="PYG",IF(DJ$10&gt;0,N(Reales!DJ44)/DJ$10,0),N(Reales!DJ44)),DJ$183*INDEX(Precio_V,7)*INDEX(IdxPrecio_V,1,MIN(10,DJ$173))*(1+V_dPrecio))</f>
        <v>0</v>
      </c>
      <c r="DK208" s="34" t="n">
        <f aca="false">IF(DK$8=1,IF(Reales!$C$44="PYG",IF(DK$10&gt;0,N(Reales!DK44)/DK$10,0),N(Reales!DK44)),DK$183*INDEX(Precio_V,7)*INDEX(IdxPrecio_V,1,MIN(10,DK$173))*(1+V_dPrecio))</f>
        <v>0</v>
      </c>
      <c r="DL208" s="34" t="n">
        <f aca="false">IF(DL$8=1,IF(Reales!$C$44="PYG",IF(DL$10&gt;0,N(Reales!DL44)/DL$10,0),N(Reales!DL44)),DL$183*INDEX(Precio_V,7)*INDEX(IdxPrecio_V,1,MIN(10,DL$173))*(1+V_dPrecio))</f>
        <v>0</v>
      </c>
      <c r="DM208" s="34" t="n">
        <f aca="false">IF(DM$8=1,IF(Reales!$C$44="PYG",IF(DM$10&gt;0,N(Reales!DM44)/DM$10,0),N(Reales!DM44)),DM$183*INDEX(Precio_V,7)*INDEX(IdxPrecio_V,1,MIN(10,DM$173))*(1+V_dPrecio))</f>
        <v>0</v>
      </c>
      <c r="DN208" s="34" t="n">
        <f aca="false">IF(DN$8=1,IF(Reales!$C$44="PYG",IF(DN$10&gt;0,N(Reales!DN44)/DN$10,0),N(Reales!DN44)),DN$183*INDEX(Precio_V,7)*INDEX(IdxPrecio_V,1,MIN(10,DN$173))*(1+V_dPrecio))</f>
        <v>0</v>
      </c>
      <c r="DO208" s="34" t="n">
        <f aca="false">IF(DO$8=1,IF(Reales!$C$44="PYG",IF(DO$10&gt;0,N(Reales!DO44)/DO$10,0),N(Reales!DO44)),DO$183*INDEX(Precio_V,7)*INDEX(IdxPrecio_V,1,MIN(10,DO$173))*(1+V_dPrecio))</f>
        <v>0</v>
      </c>
      <c r="DP208" s="34" t="n">
        <f aca="false">IF(DP$8=1,IF(Reales!$C$44="PYG",IF(DP$10&gt;0,N(Reales!DP44)/DP$10,0),N(Reales!DP44)),DP$183*INDEX(Precio_V,7)*INDEX(IdxPrecio_V,1,MIN(10,DP$173))*(1+V_dPrecio))</f>
        <v>0</v>
      </c>
      <c r="DQ208" s="34" t="n">
        <f aca="false">IF(DQ$8=1,IF(Reales!$C$44="PYG",IF(DQ$10&gt;0,N(Reales!DQ44)/DQ$10,0),N(Reales!DQ44)),DQ$183*INDEX(Precio_V,7)*INDEX(IdxPrecio_V,1,MIN(10,DQ$173))*(1+V_dPrecio))</f>
        <v>0</v>
      </c>
      <c r="DR208" s="34" t="n">
        <f aca="false">IF(DR$8=1,IF(Reales!$C$44="PYG",IF(DR$10&gt;0,N(Reales!DR44)/DR$10,0),N(Reales!DR44)),DR$183*INDEX(Precio_V,7)*INDEX(IdxPrecio_V,1,MIN(10,DR$173))*(1+V_dPrecio))</f>
        <v>0</v>
      </c>
      <c r="DS208" s="34" t="n">
        <f aca="false">IF(DS$8=1,IF(Reales!$C$44="PYG",IF(DS$10&gt;0,N(Reales!DS44)/DS$10,0),N(Reales!DS44)),DS$183*INDEX(Precio_V,7)*INDEX(IdxPrecio_V,1,MIN(10,DS$173))*(1+V_dPrecio))</f>
        <v>0</v>
      </c>
      <c r="DT208" s="34" t="n">
        <f aca="false">IF(DT$8=1,IF(Reales!$C$44="PYG",IF(DT$10&gt;0,N(Reales!DT44)/DT$10,0),N(Reales!DT44)),DT$183*INDEX(Precio_V,7)*INDEX(IdxPrecio_V,1,MIN(10,DT$173))*(1+V_dPrecio))</f>
        <v>0</v>
      </c>
      <c r="DU208" s="34" t="n">
        <f aca="false">IF(DU$8=1,IF(Reales!$C$44="PYG",IF(DU$10&gt;0,N(Reales!DU44)/DU$10,0),N(Reales!DU44)),DU$183*INDEX(Precio_V,7)*INDEX(IdxPrecio_V,1,MIN(10,DU$173))*(1+V_dPrecio))</f>
        <v>0</v>
      </c>
      <c r="DV208" s="34" t="n">
        <f aca="false">IF(DV$8=1,IF(Reales!$C$44="PYG",IF(DV$10&gt;0,N(Reales!DV44)/DV$10,0),N(Reales!DV44)),DV$183*INDEX(Precio_V,7)*INDEX(IdxPrecio_V,1,MIN(10,DV$173))*(1+V_dPrecio))</f>
        <v>0</v>
      </c>
      <c r="DW208" s="34" t="n">
        <f aca="false">IF(DW$8=1,IF(Reales!$C$44="PYG",IF(DW$10&gt;0,N(Reales!DW44)/DW$10,0),N(Reales!DW44)),DW$183*INDEX(Precio_V,7)*INDEX(IdxPrecio_V,1,MIN(10,DW$173))*(1+V_dPrecio))</f>
        <v>0</v>
      </c>
      <c r="DX208" s="34" t="n">
        <f aca="false">IF(DX$8=1,IF(Reales!$C$44="PYG",IF(DX$10&gt;0,N(Reales!DX44)/DX$10,0),N(Reales!DX44)),DX$183*INDEX(Precio_V,7)*INDEX(IdxPrecio_V,1,MIN(10,DX$173))*(1+V_dPrecio))</f>
        <v>0</v>
      </c>
      <c r="DY208" s="34" t="n">
        <f aca="false">IF(DY$8=1,IF(Reales!$C$44="PYG",IF(DY$10&gt;0,N(Reales!DY44)/DY$10,0),N(Reales!DY44)),DY$183*INDEX(Precio_V,7)*INDEX(IdxPrecio_V,1,MIN(10,DY$173))*(1+V_dPrecio))</f>
        <v>0</v>
      </c>
      <c r="DZ208" s="34" t="n">
        <f aca="false">IF(DZ$8=1,IF(Reales!$C$44="PYG",IF(DZ$10&gt;0,N(Reales!DZ44)/DZ$10,0),N(Reales!DZ44)),DZ$183*INDEX(Precio_V,7)*INDEX(IdxPrecio_V,1,MIN(10,DZ$173))*(1+V_dPrecio))</f>
        <v>0</v>
      </c>
      <c r="EA208" s="34" t="n">
        <f aca="false">IF(EA$8=1,IF(Reales!$C$44="PYG",IF(EA$10&gt;0,N(Reales!EA44)/EA$10,0),N(Reales!EA44)),EA$183*INDEX(Precio_V,7)*INDEX(IdxPrecio_V,1,MIN(10,EA$173))*(1+V_dPrecio))</f>
        <v>0</v>
      </c>
      <c r="EB208" s="34" t="n">
        <f aca="false">IF(EB$8=1,IF(Reales!$C$44="PYG",IF(EB$10&gt;0,N(Reales!EB44)/EB$10,0),N(Reales!EB44)),EB$183*INDEX(Precio_V,7)*INDEX(IdxPrecio_V,1,MIN(10,EB$173))*(1+V_dPrecio))</f>
        <v>0</v>
      </c>
      <c r="EC208" s="34" t="n">
        <f aca="false">IF(EC$8=1,IF(Reales!$C$44="PYG",IF(EC$10&gt;0,N(Reales!EC44)/EC$10,0),N(Reales!EC44)),EC$183*INDEX(Precio_V,7)*INDEX(IdxPrecio_V,1,MIN(10,EC$173))*(1+V_dPrecio))</f>
        <v>0</v>
      </c>
      <c r="ED208" s="34" t="n">
        <f aca="false">IF(ED$8=1,IF(Reales!$C$44="PYG",IF(ED$10&gt;0,N(Reales!ED44)/ED$10,0),N(Reales!ED44)),ED$183*INDEX(Precio_V,7)*INDEX(IdxPrecio_V,1,MIN(10,ED$173))*(1+V_dPrecio))</f>
        <v>0</v>
      </c>
      <c r="EE208" s="34" t="n">
        <f aca="false">IF(EE$8=1,IF(Reales!$C$44="PYG",IF(EE$10&gt;0,N(Reales!EE44)/EE$10,0),N(Reales!EE44)),EE$183*INDEX(Precio_V,7)*INDEX(IdxPrecio_V,1,MIN(10,EE$173))*(1+V_dPrecio))</f>
        <v>0</v>
      </c>
      <c r="EF208" s="34" t="n">
        <f aca="false">IF(EF$8=1,IF(Reales!$C$44="PYG",IF(EF$10&gt;0,N(Reales!EF44)/EF$10,0),N(Reales!EF44)),EF$183*INDEX(Precio_V,7)*INDEX(IdxPrecio_V,1,MIN(10,EF$173))*(1+V_dPrecio))</f>
        <v>0</v>
      </c>
      <c r="EG208" s="34" t="n">
        <f aca="false">IF(EG$8=1,IF(Reales!$C$44="PYG",IF(EG$10&gt;0,N(Reales!EG44)/EG$10,0),N(Reales!EG44)),EG$183*INDEX(Precio_V,7)*INDEX(IdxPrecio_V,1,MIN(10,EG$173))*(1+V_dPrecio))</f>
        <v>0</v>
      </c>
      <c r="EH208" s="34" t="n">
        <f aca="false">IF(EH$8=1,IF(Reales!$C$44="PYG",IF(EH$10&gt;0,N(Reales!EH44)/EH$10,0),N(Reales!EH44)),EH$183*INDEX(Precio_V,7)*INDEX(IdxPrecio_V,1,MIN(10,EH$173))*(1+V_dPrecio))</f>
        <v>0</v>
      </c>
      <c r="EI208" s="34" t="n">
        <f aca="false">IF(EI$8=1,IF(Reales!$C$44="PYG",IF(EI$10&gt;0,N(Reales!EI44)/EI$10,0),N(Reales!EI44)),EI$183*INDEX(Precio_V,7)*INDEX(IdxPrecio_V,1,MIN(10,EI$173))*(1+V_dPrecio))</f>
        <v>0</v>
      </c>
      <c r="EJ208" s="34" t="n">
        <f aca="false">IF(EJ$8=1,IF(Reales!$C$44="PYG",IF(EJ$10&gt;0,N(Reales!EJ44)/EJ$10,0),N(Reales!EJ44)),EJ$183*INDEX(Precio_V,7)*INDEX(IdxPrecio_V,1,MIN(10,EJ$173))*(1+V_dPrecio))</f>
        <v>0</v>
      </c>
      <c r="EK208" s="34" t="n">
        <f aca="false">IF(EK$8=1,IF(Reales!$C$44="PYG",IF(EK$10&gt;0,N(Reales!EK44)/EK$10,0),N(Reales!EK44)),EK$183*INDEX(Precio_V,7)*INDEX(IdxPrecio_V,1,MIN(10,EK$173))*(1+V_dPrecio))</f>
        <v>0</v>
      </c>
      <c r="EL208" s="34" t="n">
        <f aca="false">IF(EL$8=1,IF(Reales!$C$44="PYG",IF(EL$10&gt;0,N(Reales!EL44)/EL$10,0),N(Reales!EL44)),EL$183*INDEX(Precio_V,7)*INDEX(IdxPrecio_V,1,MIN(10,EL$173))*(1+V_dPrecio))</f>
        <v>0</v>
      </c>
      <c r="EM208" s="34" t="n">
        <f aca="false">IF(EM$8=1,IF(Reales!$C$44="PYG",IF(EM$10&gt;0,N(Reales!EM44)/EM$10,0),N(Reales!EM44)),EM$183*INDEX(Precio_V,7)*INDEX(IdxPrecio_V,1,MIN(10,EM$173))*(1+V_dPrecio))</f>
        <v>0</v>
      </c>
      <c r="EN208" s="34" t="n">
        <f aca="false">IF(EN$8=1,IF(Reales!$C$44="PYG",IF(EN$10&gt;0,N(Reales!EN44)/EN$10,0),N(Reales!EN44)),EN$183*INDEX(Precio_V,7)*INDEX(IdxPrecio_V,1,MIN(10,EN$173))*(1+V_dPrecio))</f>
        <v>0</v>
      </c>
      <c r="EO208" s="34" t="n">
        <f aca="false">IF(EO$8=1,IF(Reales!$C$44="PYG",IF(EO$10&gt;0,N(Reales!EO44)/EO$10,0),N(Reales!EO44)),EO$183*INDEX(Precio_V,7)*INDEX(IdxPrecio_V,1,MIN(10,EO$173))*(1+V_dPrecio))</f>
        <v>0</v>
      </c>
      <c r="EP208" s="34" t="n">
        <f aca="false">IF(EP$8=1,IF(Reales!$C$44="PYG",IF(EP$10&gt;0,N(Reales!EP44)/EP$10,0),N(Reales!EP44)),EP$183*INDEX(Precio_V,7)*INDEX(IdxPrecio_V,1,MIN(10,EP$173))*(1+V_dPrecio))</f>
        <v>0</v>
      </c>
      <c r="EQ208" s="34" t="n">
        <f aca="false">IF(EQ$8=1,IF(Reales!$C$44="PYG",IF(EQ$10&gt;0,N(Reales!EQ44)/EQ$10,0),N(Reales!EQ44)),EQ$183*INDEX(Precio_V,7)*INDEX(IdxPrecio_V,1,MIN(10,EQ$173))*(1+V_dPrecio))</f>
        <v>0</v>
      </c>
      <c r="ER208" s="34" t="n">
        <f aca="false">IF(ER$8=1,IF(Reales!$C$44="PYG",IF(ER$10&gt;0,N(Reales!ER44)/ER$10,0),N(Reales!ER44)),ER$183*INDEX(Precio_V,7)*INDEX(IdxPrecio_V,1,MIN(10,ER$173))*(1+V_dPrecio))</f>
        <v>0</v>
      </c>
      <c r="ES208" s="34" t="n">
        <f aca="false">IF(ES$8=1,IF(Reales!$C$44="PYG",IF(ES$10&gt;0,N(Reales!ES44)/ES$10,0),N(Reales!ES44)),ES$183*INDEX(Precio_V,7)*INDEX(IdxPrecio_V,1,MIN(10,ES$173))*(1+V_dPrecio))</f>
        <v>0</v>
      </c>
    </row>
    <row r="209" customFormat="false" ht="15" hidden="false" customHeight="false" outlineLevel="0" collapsed="false">
      <c r="A209" s="2" t="s">
        <v>851</v>
      </c>
      <c r="B209" s="39" t="str">
        <f aca="false">IF(INDEX(Prod_Nombre,8)="","Producto 8",INDEX(Prod_Nombre,8))&amp;" — ventas USD"</f>
        <v>Producto 8 — ventas USD</v>
      </c>
      <c r="C209" s="6" t="s">
        <v>250</v>
      </c>
      <c r="E209" s="40" t="n">
        <f aca="false">SUM(F209:ES209)</f>
        <v>0</v>
      </c>
      <c r="F209" s="34" t="n">
        <f aca="false">IF(F$8=1,IF(Reales!$C$45="PYG",IF(F$10&gt;0,N(Reales!F45)/F$10,0),N(Reales!F45)),F$184*INDEX(Precio_V,8)*INDEX(IdxPrecio_V,1,MIN(10,F$173))*(1+V_dPrecio))</f>
        <v>0</v>
      </c>
      <c r="G209" s="34" t="n">
        <f aca="false">IF(G$8=1,IF(Reales!$C$45="PYG",IF(G$10&gt;0,N(Reales!G45)/G$10,0),N(Reales!G45)),G$184*INDEX(Precio_V,8)*INDEX(IdxPrecio_V,1,MIN(10,G$173))*(1+V_dPrecio))</f>
        <v>0</v>
      </c>
      <c r="H209" s="34" t="n">
        <f aca="false">IF(H$8=1,IF(Reales!$C$45="PYG",IF(H$10&gt;0,N(Reales!H45)/H$10,0),N(Reales!H45)),H$184*INDEX(Precio_V,8)*INDEX(IdxPrecio_V,1,MIN(10,H$173))*(1+V_dPrecio))</f>
        <v>0</v>
      </c>
      <c r="I209" s="34" t="n">
        <f aca="false">IF(I$8=1,IF(Reales!$C$45="PYG",IF(I$10&gt;0,N(Reales!I45)/I$10,0),N(Reales!I45)),I$184*INDEX(Precio_V,8)*INDEX(IdxPrecio_V,1,MIN(10,I$173))*(1+V_dPrecio))</f>
        <v>0</v>
      </c>
      <c r="J209" s="34" t="n">
        <f aca="false">IF(J$8=1,IF(Reales!$C$45="PYG",IF(J$10&gt;0,N(Reales!J45)/J$10,0),N(Reales!J45)),J$184*INDEX(Precio_V,8)*INDEX(IdxPrecio_V,1,MIN(10,J$173))*(1+V_dPrecio))</f>
        <v>0</v>
      </c>
      <c r="K209" s="34" t="n">
        <f aca="false">IF(K$8=1,IF(Reales!$C$45="PYG",IF(K$10&gt;0,N(Reales!K45)/K$10,0),N(Reales!K45)),K$184*INDEX(Precio_V,8)*INDEX(IdxPrecio_V,1,MIN(10,K$173))*(1+V_dPrecio))</f>
        <v>0</v>
      </c>
      <c r="L209" s="34" t="n">
        <f aca="false">IF(L$8=1,IF(Reales!$C$45="PYG",IF(L$10&gt;0,N(Reales!L45)/L$10,0),N(Reales!L45)),L$184*INDEX(Precio_V,8)*INDEX(IdxPrecio_V,1,MIN(10,L$173))*(1+V_dPrecio))</f>
        <v>0</v>
      </c>
      <c r="M209" s="34" t="n">
        <f aca="false">IF(M$8=1,IF(Reales!$C$45="PYG",IF(M$10&gt;0,N(Reales!M45)/M$10,0),N(Reales!M45)),M$184*INDEX(Precio_V,8)*INDEX(IdxPrecio_V,1,MIN(10,M$173))*(1+V_dPrecio))</f>
        <v>0</v>
      </c>
      <c r="N209" s="34" t="n">
        <f aca="false">IF(N$8=1,IF(Reales!$C$45="PYG",IF(N$10&gt;0,N(Reales!N45)/N$10,0),N(Reales!N45)),N$184*INDEX(Precio_V,8)*INDEX(IdxPrecio_V,1,MIN(10,N$173))*(1+V_dPrecio))</f>
        <v>0</v>
      </c>
      <c r="O209" s="34" t="n">
        <f aca="false">IF(O$8=1,IF(Reales!$C$45="PYG",IF(O$10&gt;0,N(Reales!O45)/O$10,0),N(Reales!O45)),O$184*INDEX(Precio_V,8)*INDEX(IdxPrecio_V,1,MIN(10,O$173))*(1+V_dPrecio))</f>
        <v>0</v>
      </c>
      <c r="P209" s="34" t="n">
        <f aca="false">IF(P$8=1,IF(Reales!$C$45="PYG",IF(P$10&gt;0,N(Reales!P45)/P$10,0),N(Reales!P45)),P$184*INDEX(Precio_V,8)*INDEX(IdxPrecio_V,1,MIN(10,P$173))*(1+V_dPrecio))</f>
        <v>0</v>
      </c>
      <c r="Q209" s="34" t="n">
        <f aca="false">IF(Q$8=1,IF(Reales!$C$45="PYG",IF(Q$10&gt;0,N(Reales!Q45)/Q$10,0),N(Reales!Q45)),Q$184*INDEX(Precio_V,8)*INDEX(IdxPrecio_V,1,MIN(10,Q$173))*(1+V_dPrecio))</f>
        <v>0</v>
      </c>
      <c r="R209" s="34" t="n">
        <f aca="false">IF(R$8=1,IF(Reales!$C$45="PYG",IF(R$10&gt;0,N(Reales!R45)/R$10,0),N(Reales!R45)),R$184*INDEX(Precio_V,8)*INDEX(IdxPrecio_V,1,MIN(10,R$173))*(1+V_dPrecio))</f>
        <v>0</v>
      </c>
      <c r="S209" s="34" t="n">
        <f aca="false">IF(S$8=1,IF(Reales!$C$45="PYG",IF(S$10&gt;0,N(Reales!S45)/S$10,0),N(Reales!S45)),S$184*INDEX(Precio_V,8)*INDEX(IdxPrecio_V,1,MIN(10,S$173))*(1+V_dPrecio))</f>
        <v>0</v>
      </c>
      <c r="T209" s="34" t="n">
        <f aca="false">IF(T$8=1,IF(Reales!$C$45="PYG",IF(T$10&gt;0,N(Reales!T45)/T$10,0),N(Reales!T45)),T$184*INDEX(Precio_V,8)*INDEX(IdxPrecio_V,1,MIN(10,T$173))*(1+V_dPrecio))</f>
        <v>0</v>
      </c>
      <c r="U209" s="34" t="n">
        <f aca="false">IF(U$8=1,IF(Reales!$C$45="PYG",IF(U$10&gt;0,N(Reales!U45)/U$10,0),N(Reales!U45)),U$184*INDEX(Precio_V,8)*INDEX(IdxPrecio_V,1,MIN(10,U$173))*(1+V_dPrecio))</f>
        <v>0</v>
      </c>
      <c r="V209" s="34" t="n">
        <f aca="false">IF(V$8=1,IF(Reales!$C$45="PYG",IF(V$10&gt;0,N(Reales!V45)/V$10,0),N(Reales!V45)),V$184*INDEX(Precio_V,8)*INDEX(IdxPrecio_V,1,MIN(10,V$173))*(1+V_dPrecio))</f>
        <v>0</v>
      </c>
      <c r="W209" s="34" t="n">
        <f aca="false">IF(W$8=1,IF(Reales!$C$45="PYG",IF(W$10&gt;0,N(Reales!W45)/W$10,0),N(Reales!W45)),W$184*INDEX(Precio_V,8)*INDEX(IdxPrecio_V,1,MIN(10,W$173))*(1+V_dPrecio))</f>
        <v>0</v>
      </c>
      <c r="X209" s="34" t="n">
        <f aca="false">IF(X$8=1,IF(Reales!$C$45="PYG",IF(X$10&gt;0,N(Reales!X45)/X$10,0),N(Reales!X45)),X$184*INDEX(Precio_V,8)*INDEX(IdxPrecio_V,1,MIN(10,X$173))*(1+V_dPrecio))</f>
        <v>0</v>
      </c>
      <c r="Y209" s="34" t="n">
        <f aca="false">IF(Y$8=1,IF(Reales!$C$45="PYG",IF(Y$10&gt;0,N(Reales!Y45)/Y$10,0),N(Reales!Y45)),Y$184*INDEX(Precio_V,8)*INDEX(IdxPrecio_V,1,MIN(10,Y$173))*(1+V_dPrecio))</f>
        <v>0</v>
      </c>
      <c r="Z209" s="34" t="n">
        <f aca="false">IF(Z$8=1,IF(Reales!$C$45="PYG",IF(Z$10&gt;0,N(Reales!Z45)/Z$10,0),N(Reales!Z45)),Z$184*INDEX(Precio_V,8)*INDEX(IdxPrecio_V,1,MIN(10,Z$173))*(1+V_dPrecio))</f>
        <v>0</v>
      </c>
      <c r="AA209" s="34" t="n">
        <f aca="false">IF(AA$8=1,IF(Reales!$C$45="PYG",IF(AA$10&gt;0,N(Reales!AA45)/AA$10,0),N(Reales!AA45)),AA$184*INDEX(Precio_V,8)*INDEX(IdxPrecio_V,1,MIN(10,AA$173))*(1+V_dPrecio))</f>
        <v>0</v>
      </c>
      <c r="AB209" s="34" t="n">
        <f aca="false">IF(AB$8=1,IF(Reales!$C$45="PYG",IF(AB$10&gt;0,N(Reales!AB45)/AB$10,0),N(Reales!AB45)),AB$184*INDEX(Precio_V,8)*INDEX(IdxPrecio_V,1,MIN(10,AB$173))*(1+V_dPrecio))</f>
        <v>0</v>
      </c>
      <c r="AC209" s="34" t="n">
        <f aca="false">IF(AC$8=1,IF(Reales!$C$45="PYG",IF(AC$10&gt;0,N(Reales!AC45)/AC$10,0),N(Reales!AC45)),AC$184*INDEX(Precio_V,8)*INDEX(IdxPrecio_V,1,MIN(10,AC$173))*(1+V_dPrecio))</f>
        <v>0</v>
      </c>
      <c r="AD209" s="34" t="n">
        <f aca="false">IF(AD$8=1,IF(Reales!$C$45="PYG",IF(AD$10&gt;0,N(Reales!AD45)/AD$10,0),N(Reales!AD45)),AD$184*INDEX(Precio_V,8)*INDEX(IdxPrecio_V,1,MIN(10,AD$173))*(1+V_dPrecio))</f>
        <v>0</v>
      </c>
      <c r="AE209" s="34" t="n">
        <f aca="false">IF(AE$8=1,IF(Reales!$C$45="PYG",IF(AE$10&gt;0,N(Reales!AE45)/AE$10,0),N(Reales!AE45)),AE$184*INDEX(Precio_V,8)*INDEX(IdxPrecio_V,1,MIN(10,AE$173))*(1+V_dPrecio))</f>
        <v>0</v>
      </c>
      <c r="AF209" s="34" t="n">
        <f aca="false">IF(AF$8=1,IF(Reales!$C$45="PYG",IF(AF$10&gt;0,N(Reales!AF45)/AF$10,0),N(Reales!AF45)),AF$184*INDEX(Precio_V,8)*INDEX(IdxPrecio_V,1,MIN(10,AF$173))*(1+V_dPrecio))</f>
        <v>0</v>
      </c>
      <c r="AG209" s="34" t="n">
        <f aca="false">IF(AG$8=1,IF(Reales!$C$45="PYG",IF(AG$10&gt;0,N(Reales!AG45)/AG$10,0),N(Reales!AG45)),AG$184*INDEX(Precio_V,8)*INDEX(IdxPrecio_V,1,MIN(10,AG$173))*(1+V_dPrecio))</f>
        <v>0</v>
      </c>
      <c r="AH209" s="34" t="n">
        <f aca="false">IF(AH$8=1,IF(Reales!$C$45="PYG",IF(AH$10&gt;0,N(Reales!AH45)/AH$10,0),N(Reales!AH45)),AH$184*INDEX(Precio_V,8)*INDEX(IdxPrecio_V,1,MIN(10,AH$173))*(1+V_dPrecio))</f>
        <v>0</v>
      </c>
      <c r="AI209" s="34" t="n">
        <f aca="false">IF(AI$8=1,IF(Reales!$C$45="PYG",IF(AI$10&gt;0,N(Reales!AI45)/AI$10,0),N(Reales!AI45)),AI$184*INDEX(Precio_V,8)*INDEX(IdxPrecio_V,1,MIN(10,AI$173))*(1+V_dPrecio))</f>
        <v>0</v>
      </c>
      <c r="AJ209" s="34" t="n">
        <f aca="false">IF(AJ$8=1,IF(Reales!$C$45="PYG",IF(AJ$10&gt;0,N(Reales!AJ45)/AJ$10,0),N(Reales!AJ45)),AJ$184*INDEX(Precio_V,8)*INDEX(IdxPrecio_V,1,MIN(10,AJ$173))*(1+V_dPrecio))</f>
        <v>0</v>
      </c>
      <c r="AK209" s="34" t="n">
        <f aca="false">IF(AK$8=1,IF(Reales!$C$45="PYG",IF(AK$10&gt;0,N(Reales!AK45)/AK$10,0),N(Reales!AK45)),AK$184*INDEX(Precio_V,8)*INDEX(IdxPrecio_V,1,MIN(10,AK$173))*(1+V_dPrecio))</f>
        <v>0</v>
      </c>
      <c r="AL209" s="34" t="n">
        <f aca="false">IF(AL$8=1,IF(Reales!$C$45="PYG",IF(AL$10&gt;0,N(Reales!AL45)/AL$10,0),N(Reales!AL45)),AL$184*INDEX(Precio_V,8)*INDEX(IdxPrecio_V,1,MIN(10,AL$173))*(1+V_dPrecio))</f>
        <v>0</v>
      </c>
      <c r="AM209" s="34" t="n">
        <f aca="false">IF(AM$8=1,IF(Reales!$C$45="PYG",IF(AM$10&gt;0,N(Reales!AM45)/AM$10,0),N(Reales!AM45)),AM$184*INDEX(Precio_V,8)*INDEX(IdxPrecio_V,1,MIN(10,AM$173))*(1+V_dPrecio))</f>
        <v>0</v>
      </c>
      <c r="AN209" s="34" t="n">
        <f aca="false">IF(AN$8=1,IF(Reales!$C$45="PYG",IF(AN$10&gt;0,N(Reales!AN45)/AN$10,0),N(Reales!AN45)),AN$184*INDEX(Precio_V,8)*INDEX(IdxPrecio_V,1,MIN(10,AN$173))*(1+V_dPrecio))</f>
        <v>0</v>
      </c>
      <c r="AO209" s="34" t="n">
        <f aca="false">IF(AO$8=1,IF(Reales!$C$45="PYG",IF(AO$10&gt;0,N(Reales!AO45)/AO$10,0),N(Reales!AO45)),AO$184*INDEX(Precio_V,8)*INDEX(IdxPrecio_V,1,MIN(10,AO$173))*(1+V_dPrecio))</f>
        <v>0</v>
      </c>
      <c r="AP209" s="34" t="n">
        <f aca="false">IF(AP$8=1,IF(Reales!$C$45="PYG",IF(AP$10&gt;0,N(Reales!AP45)/AP$10,0),N(Reales!AP45)),AP$184*INDEX(Precio_V,8)*INDEX(IdxPrecio_V,1,MIN(10,AP$173))*(1+V_dPrecio))</f>
        <v>0</v>
      </c>
      <c r="AQ209" s="34" t="n">
        <f aca="false">IF(AQ$8=1,IF(Reales!$C$45="PYG",IF(AQ$10&gt;0,N(Reales!AQ45)/AQ$10,0),N(Reales!AQ45)),AQ$184*INDEX(Precio_V,8)*INDEX(IdxPrecio_V,1,MIN(10,AQ$173))*(1+V_dPrecio))</f>
        <v>0</v>
      </c>
      <c r="AR209" s="34" t="n">
        <f aca="false">IF(AR$8=1,IF(Reales!$C$45="PYG",IF(AR$10&gt;0,N(Reales!AR45)/AR$10,0),N(Reales!AR45)),AR$184*INDEX(Precio_V,8)*INDEX(IdxPrecio_V,1,MIN(10,AR$173))*(1+V_dPrecio))</f>
        <v>0</v>
      </c>
      <c r="AS209" s="34" t="n">
        <f aca="false">IF(AS$8=1,IF(Reales!$C$45="PYG",IF(AS$10&gt;0,N(Reales!AS45)/AS$10,0),N(Reales!AS45)),AS$184*INDEX(Precio_V,8)*INDEX(IdxPrecio_V,1,MIN(10,AS$173))*(1+V_dPrecio))</f>
        <v>0</v>
      </c>
      <c r="AT209" s="34" t="n">
        <f aca="false">IF(AT$8=1,IF(Reales!$C$45="PYG",IF(AT$10&gt;0,N(Reales!AT45)/AT$10,0),N(Reales!AT45)),AT$184*INDEX(Precio_V,8)*INDEX(IdxPrecio_V,1,MIN(10,AT$173))*(1+V_dPrecio))</f>
        <v>0</v>
      </c>
      <c r="AU209" s="34" t="n">
        <f aca="false">IF(AU$8=1,IF(Reales!$C$45="PYG",IF(AU$10&gt;0,N(Reales!AU45)/AU$10,0),N(Reales!AU45)),AU$184*INDEX(Precio_V,8)*INDEX(IdxPrecio_V,1,MIN(10,AU$173))*(1+V_dPrecio))</f>
        <v>0</v>
      </c>
      <c r="AV209" s="34" t="n">
        <f aca="false">IF(AV$8=1,IF(Reales!$C$45="PYG",IF(AV$10&gt;0,N(Reales!AV45)/AV$10,0),N(Reales!AV45)),AV$184*INDEX(Precio_V,8)*INDEX(IdxPrecio_V,1,MIN(10,AV$173))*(1+V_dPrecio))</f>
        <v>0</v>
      </c>
      <c r="AW209" s="34" t="n">
        <f aca="false">IF(AW$8=1,IF(Reales!$C$45="PYG",IF(AW$10&gt;0,N(Reales!AW45)/AW$10,0),N(Reales!AW45)),AW$184*INDEX(Precio_V,8)*INDEX(IdxPrecio_V,1,MIN(10,AW$173))*(1+V_dPrecio))</f>
        <v>0</v>
      </c>
      <c r="AX209" s="34" t="n">
        <f aca="false">IF(AX$8=1,IF(Reales!$C$45="PYG",IF(AX$10&gt;0,N(Reales!AX45)/AX$10,0),N(Reales!AX45)),AX$184*INDEX(Precio_V,8)*INDEX(IdxPrecio_V,1,MIN(10,AX$173))*(1+V_dPrecio))</f>
        <v>0</v>
      </c>
      <c r="AY209" s="34" t="n">
        <f aca="false">IF(AY$8=1,IF(Reales!$C$45="PYG",IF(AY$10&gt;0,N(Reales!AY45)/AY$10,0),N(Reales!AY45)),AY$184*INDEX(Precio_V,8)*INDEX(IdxPrecio_V,1,MIN(10,AY$173))*(1+V_dPrecio))</f>
        <v>0</v>
      </c>
      <c r="AZ209" s="34" t="n">
        <f aca="false">IF(AZ$8=1,IF(Reales!$C$45="PYG",IF(AZ$10&gt;0,N(Reales!AZ45)/AZ$10,0),N(Reales!AZ45)),AZ$184*INDEX(Precio_V,8)*INDEX(IdxPrecio_V,1,MIN(10,AZ$173))*(1+V_dPrecio))</f>
        <v>0</v>
      </c>
      <c r="BA209" s="34" t="n">
        <f aca="false">IF(BA$8=1,IF(Reales!$C$45="PYG",IF(BA$10&gt;0,N(Reales!BA45)/BA$10,0),N(Reales!BA45)),BA$184*INDEX(Precio_V,8)*INDEX(IdxPrecio_V,1,MIN(10,BA$173))*(1+V_dPrecio))</f>
        <v>0</v>
      </c>
      <c r="BB209" s="34" t="n">
        <f aca="false">IF(BB$8=1,IF(Reales!$C$45="PYG",IF(BB$10&gt;0,N(Reales!BB45)/BB$10,0),N(Reales!BB45)),BB$184*INDEX(Precio_V,8)*INDEX(IdxPrecio_V,1,MIN(10,BB$173))*(1+V_dPrecio))</f>
        <v>0</v>
      </c>
      <c r="BC209" s="34" t="n">
        <f aca="false">IF(BC$8=1,IF(Reales!$C$45="PYG",IF(BC$10&gt;0,N(Reales!BC45)/BC$10,0),N(Reales!BC45)),BC$184*INDEX(Precio_V,8)*INDEX(IdxPrecio_V,1,MIN(10,BC$173))*(1+V_dPrecio))</f>
        <v>0</v>
      </c>
      <c r="BD209" s="34" t="n">
        <f aca="false">IF(BD$8=1,IF(Reales!$C$45="PYG",IF(BD$10&gt;0,N(Reales!BD45)/BD$10,0),N(Reales!BD45)),BD$184*INDEX(Precio_V,8)*INDEX(IdxPrecio_V,1,MIN(10,BD$173))*(1+V_dPrecio))</f>
        <v>0</v>
      </c>
      <c r="BE209" s="34" t="n">
        <f aca="false">IF(BE$8=1,IF(Reales!$C$45="PYG",IF(BE$10&gt;0,N(Reales!BE45)/BE$10,0),N(Reales!BE45)),BE$184*INDEX(Precio_V,8)*INDEX(IdxPrecio_V,1,MIN(10,BE$173))*(1+V_dPrecio))</f>
        <v>0</v>
      </c>
      <c r="BF209" s="34" t="n">
        <f aca="false">IF(BF$8=1,IF(Reales!$C$45="PYG",IF(BF$10&gt;0,N(Reales!BF45)/BF$10,0),N(Reales!BF45)),BF$184*INDEX(Precio_V,8)*INDEX(IdxPrecio_V,1,MIN(10,BF$173))*(1+V_dPrecio))</f>
        <v>0</v>
      </c>
      <c r="BG209" s="34" t="n">
        <f aca="false">IF(BG$8=1,IF(Reales!$C$45="PYG",IF(BG$10&gt;0,N(Reales!BG45)/BG$10,0),N(Reales!BG45)),BG$184*INDEX(Precio_V,8)*INDEX(IdxPrecio_V,1,MIN(10,BG$173))*(1+V_dPrecio))</f>
        <v>0</v>
      </c>
      <c r="BH209" s="34" t="n">
        <f aca="false">IF(BH$8=1,IF(Reales!$C$45="PYG",IF(BH$10&gt;0,N(Reales!BH45)/BH$10,0),N(Reales!BH45)),BH$184*INDEX(Precio_V,8)*INDEX(IdxPrecio_V,1,MIN(10,BH$173))*(1+V_dPrecio))</f>
        <v>0</v>
      </c>
      <c r="BI209" s="34" t="n">
        <f aca="false">IF(BI$8=1,IF(Reales!$C$45="PYG",IF(BI$10&gt;0,N(Reales!BI45)/BI$10,0),N(Reales!BI45)),BI$184*INDEX(Precio_V,8)*INDEX(IdxPrecio_V,1,MIN(10,BI$173))*(1+V_dPrecio))</f>
        <v>0</v>
      </c>
      <c r="BJ209" s="34" t="n">
        <f aca="false">IF(BJ$8=1,IF(Reales!$C$45="PYG",IF(BJ$10&gt;0,N(Reales!BJ45)/BJ$10,0),N(Reales!BJ45)),BJ$184*INDEX(Precio_V,8)*INDEX(IdxPrecio_V,1,MIN(10,BJ$173))*(1+V_dPrecio))</f>
        <v>0</v>
      </c>
      <c r="BK209" s="34" t="n">
        <f aca="false">IF(BK$8=1,IF(Reales!$C$45="PYG",IF(BK$10&gt;0,N(Reales!BK45)/BK$10,0),N(Reales!BK45)),BK$184*INDEX(Precio_V,8)*INDEX(IdxPrecio_V,1,MIN(10,BK$173))*(1+V_dPrecio))</f>
        <v>0</v>
      </c>
      <c r="BL209" s="34" t="n">
        <f aca="false">IF(BL$8=1,IF(Reales!$C$45="PYG",IF(BL$10&gt;0,N(Reales!BL45)/BL$10,0),N(Reales!BL45)),BL$184*INDEX(Precio_V,8)*INDEX(IdxPrecio_V,1,MIN(10,BL$173))*(1+V_dPrecio))</f>
        <v>0</v>
      </c>
      <c r="BM209" s="34" t="n">
        <f aca="false">IF(BM$8=1,IF(Reales!$C$45="PYG",IF(BM$10&gt;0,N(Reales!BM45)/BM$10,0),N(Reales!BM45)),BM$184*INDEX(Precio_V,8)*INDEX(IdxPrecio_V,1,MIN(10,BM$173))*(1+V_dPrecio))</f>
        <v>0</v>
      </c>
      <c r="BN209" s="34" t="n">
        <f aca="false">IF(BN$8=1,IF(Reales!$C$45="PYG",IF(BN$10&gt;0,N(Reales!BN45)/BN$10,0),N(Reales!BN45)),BN$184*INDEX(Precio_V,8)*INDEX(IdxPrecio_V,1,MIN(10,BN$173))*(1+V_dPrecio))</f>
        <v>0</v>
      </c>
      <c r="BO209" s="34" t="n">
        <f aca="false">IF(BO$8=1,IF(Reales!$C$45="PYG",IF(BO$10&gt;0,N(Reales!BO45)/BO$10,0),N(Reales!BO45)),BO$184*INDEX(Precio_V,8)*INDEX(IdxPrecio_V,1,MIN(10,BO$173))*(1+V_dPrecio))</f>
        <v>0</v>
      </c>
      <c r="BP209" s="34" t="n">
        <f aca="false">IF(BP$8=1,IF(Reales!$C$45="PYG",IF(BP$10&gt;0,N(Reales!BP45)/BP$10,0),N(Reales!BP45)),BP$184*INDEX(Precio_V,8)*INDEX(IdxPrecio_V,1,MIN(10,BP$173))*(1+V_dPrecio))</f>
        <v>0</v>
      </c>
      <c r="BQ209" s="34" t="n">
        <f aca="false">IF(BQ$8=1,IF(Reales!$C$45="PYG",IF(BQ$10&gt;0,N(Reales!BQ45)/BQ$10,0),N(Reales!BQ45)),BQ$184*INDEX(Precio_V,8)*INDEX(IdxPrecio_V,1,MIN(10,BQ$173))*(1+V_dPrecio))</f>
        <v>0</v>
      </c>
      <c r="BR209" s="34" t="n">
        <f aca="false">IF(BR$8=1,IF(Reales!$C$45="PYG",IF(BR$10&gt;0,N(Reales!BR45)/BR$10,0),N(Reales!BR45)),BR$184*INDEX(Precio_V,8)*INDEX(IdxPrecio_V,1,MIN(10,BR$173))*(1+V_dPrecio))</f>
        <v>0</v>
      </c>
      <c r="BS209" s="34" t="n">
        <f aca="false">IF(BS$8=1,IF(Reales!$C$45="PYG",IF(BS$10&gt;0,N(Reales!BS45)/BS$10,0),N(Reales!BS45)),BS$184*INDEX(Precio_V,8)*INDEX(IdxPrecio_V,1,MIN(10,BS$173))*(1+V_dPrecio))</f>
        <v>0</v>
      </c>
      <c r="BT209" s="34" t="n">
        <f aca="false">IF(BT$8=1,IF(Reales!$C$45="PYG",IF(BT$10&gt;0,N(Reales!BT45)/BT$10,0),N(Reales!BT45)),BT$184*INDEX(Precio_V,8)*INDEX(IdxPrecio_V,1,MIN(10,BT$173))*(1+V_dPrecio))</f>
        <v>0</v>
      </c>
      <c r="BU209" s="34" t="n">
        <f aca="false">IF(BU$8=1,IF(Reales!$C$45="PYG",IF(BU$10&gt;0,N(Reales!BU45)/BU$10,0),N(Reales!BU45)),BU$184*INDEX(Precio_V,8)*INDEX(IdxPrecio_V,1,MIN(10,BU$173))*(1+V_dPrecio))</f>
        <v>0</v>
      </c>
      <c r="BV209" s="34" t="n">
        <f aca="false">IF(BV$8=1,IF(Reales!$C$45="PYG",IF(BV$10&gt;0,N(Reales!BV45)/BV$10,0),N(Reales!BV45)),BV$184*INDEX(Precio_V,8)*INDEX(IdxPrecio_V,1,MIN(10,BV$173))*(1+V_dPrecio))</f>
        <v>0</v>
      </c>
      <c r="BW209" s="34" t="n">
        <f aca="false">IF(BW$8=1,IF(Reales!$C$45="PYG",IF(BW$10&gt;0,N(Reales!BW45)/BW$10,0),N(Reales!BW45)),BW$184*INDEX(Precio_V,8)*INDEX(IdxPrecio_V,1,MIN(10,BW$173))*(1+V_dPrecio))</f>
        <v>0</v>
      </c>
      <c r="BX209" s="34" t="n">
        <f aca="false">IF(BX$8=1,IF(Reales!$C$45="PYG",IF(BX$10&gt;0,N(Reales!BX45)/BX$10,0),N(Reales!BX45)),BX$184*INDEX(Precio_V,8)*INDEX(IdxPrecio_V,1,MIN(10,BX$173))*(1+V_dPrecio))</f>
        <v>0</v>
      </c>
      <c r="BY209" s="34" t="n">
        <f aca="false">IF(BY$8=1,IF(Reales!$C$45="PYG",IF(BY$10&gt;0,N(Reales!BY45)/BY$10,0),N(Reales!BY45)),BY$184*INDEX(Precio_V,8)*INDEX(IdxPrecio_V,1,MIN(10,BY$173))*(1+V_dPrecio))</f>
        <v>0</v>
      </c>
      <c r="BZ209" s="34" t="n">
        <f aca="false">IF(BZ$8=1,IF(Reales!$C$45="PYG",IF(BZ$10&gt;0,N(Reales!BZ45)/BZ$10,0),N(Reales!BZ45)),BZ$184*INDEX(Precio_V,8)*INDEX(IdxPrecio_V,1,MIN(10,BZ$173))*(1+V_dPrecio))</f>
        <v>0</v>
      </c>
      <c r="CA209" s="34" t="n">
        <f aca="false">IF(CA$8=1,IF(Reales!$C$45="PYG",IF(CA$10&gt;0,N(Reales!CA45)/CA$10,0),N(Reales!CA45)),CA$184*INDEX(Precio_V,8)*INDEX(IdxPrecio_V,1,MIN(10,CA$173))*(1+V_dPrecio))</f>
        <v>0</v>
      </c>
      <c r="CB209" s="34" t="n">
        <f aca="false">IF(CB$8=1,IF(Reales!$C$45="PYG",IF(CB$10&gt;0,N(Reales!CB45)/CB$10,0),N(Reales!CB45)),CB$184*INDEX(Precio_V,8)*INDEX(IdxPrecio_V,1,MIN(10,CB$173))*(1+V_dPrecio))</f>
        <v>0</v>
      </c>
      <c r="CC209" s="34" t="n">
        <f aca="false">IF(CC$8=1,IF(Reales!$C$45="PYG",IF(CC$10&gt;0,N(Reales!CC45)/CC$10,0),N(Reales!CC45)),CC$184*INDEX(Precio_V,8)*INDEX(IdxPrecio_V,1,MIN(10,CC$173))*(1+V_dPrecio))</f>
        <v>0</v>
      </c>
      <c r="CD209" s="34" t="n">
        <f aca="false">IF(CD$8=1,IF(Reales!$C$45="PYG",IF(CD$10&gt;0,N(Reales!CD45)/CD$10,0),N(Reales!CD45)),CD$184*INDEX(Precio_V,8)*INDEX(IdxPrecio_V,1,MIN(10,CD$173))*(1+V_dPrecio))</f>
        <v>0</v>
      </c>
      <c r="CE209" s="34" t="n">
        <f aca="false">IF(CE$8=1,IF(Reales!$C$45="PYG",IF(CE$10&gt;0,N(Reales!CE45)/CE$10,0),N(Reales!CE45)),CE$184*INDEX(Precio_V,8)*INDEX(IdxPrecio_V,1,MIN(10,CE$173))*(1+V_dPrecio))</f>
        <v>0</v>
      </c>
      <c r="CF209" s="34" t="n">
        <f aca="false">IF(CF$8=1,IF(Reales!$C$45="PYG",IF(CF$10&gt;0,N(Reales!CF45)/CF$10,0),N(Reales!CF45)),CF$184*INDEX(Precio_V,8)*INDEX(IdxPrecio_V,1,MIN(10,CF$173))*(1+V_dPrecio))</f>
        <v>0</v>
      </c>
      <c r="CG209" s="34" t="n">
        <f aca="false">IF(CG$8=1,IF(Reales!$C$45="PYG",IF(CG$10&gt;0,N(Reales!CG45)/CG$10,0),N(Reales!CG45)),CG$184*INDEX(Precio_V,8)*INDEX(IdxPrecio_V,1,MIN(10,CG$173))*(1+V_dPrecio))</f>
        <v>0</v>
      </c>
      <c r="CH209" s="34" t="n">
        <f aca="false">IF(CH$8=1,IF(Reales!$C$45="PYG",IF(CH$10&gt;0,N(Reales!CH45)/CH$10,0),N(Reales!CH45)),CH$184*INDEX(Precio_V,8)*INDEX(IdxPrecio_V,1,MIN(10,CH$173))*(1+V_dPrecio))</f>
        <v>0</v>
      </c>
      <c r="CI209" s="34" t="n">
        <f aca="false">IF(CI$8=1,IF(Reales!$C$45="PYG",IF(CI$10&gt;0,N(Reales!CI45)/CI$10,0),N(Reales!CI45)),CI$184*INDEX(Precio_V,8)*INDEX(IdxPrecio_V,1,MIN(10,CI$173))*(1+V_dPrecio))</f>
        <v>0</v>
      </c>
      <c r="CJ209" s="34" t="n">
        <f aca="false">IF(CJ$8=1,IF(Reales!$C$45="PYG",IF(CJ$10&gt;0,N(Reales!CJ45)/CJ$10,0),N(Reales!CJ45)),CJ$184*INDEX(Precio_V,8)*INDEX(IdxPrecio_V,1,MIN(10,CJ$173))*(1+V_dPrecio))</f>
        <v>0</v>
      </c>
      <c r="CK209" s="34" t="n">
        <f aca="false">IF(CK$8=1,IF(Reales!$C$45="PYG",IF(CK$10&gt;0,N(Reales!CK45)/CK$10,0),N(Reales!CK45)),CK$184*INDEX(Precio_V,8)*INDEX(IdxPrecio_V,1,MIN(10,CK$173))*(1+V_dPrecio))</f>
        <v>0</v>
      </c>
      <c r="CL209" s="34" t="n">
        <f aca="false">IF(CL$8=1,IF(Reales!$C$45="PYG",IF(CL$10&gt;0,N(Reales!CL45)/CL$10,0),N(Reales!CL45)),CL$184*INDEX(Precio_V,8)*INDEX(IdxPrecio_V,1,MIN(10,CL$173))*(1+V_dPrecio))</f>
        <v>0</v>
      </c>
      <c r="CM209" s="34" t="n">
        <f aca="false">IF(CM$8=1,IF(Reales!$C$45="PYG",IF(CM$10&gt;0,N(Reales!CM45)/CM$10,0),N(Reales!CM45)),CM$184*INDEX(Precio_V,8)*INDEX(IdxPrecio_V,1,MIN(10,CM$173))*(1+V_dPrecio))</f>
        <v>0</v>
      </c>
      <c r="CN209" s="34" t="n">
        <f aca="false">IF(CN$8=1,IF(Reales!$C$45="PYG",IF(CN$10&gt;0,N(Reales!CN45)/CN$10,0),N(Reales!CN45)),CN$184*INDEX(Precio_V,8)*INDEX(IdxPrecio_V,1,MIN(10,CN$173))*(1+V_dPrecio))</f>
        <v>0</v>
      </c>
      <c r="CO209" s="34" t="n">
        <f aca="false">IF(CO$8=1,IF(Reales!$C$45="PYG",IF(CO$10&gt;0,N(Reales!CO45)/CO$10,0),N(Reales!CO45)),CO$184*INDEX(Precio_V,8)*INDEX(IdxPrecio_V,1,MIN(10,CO$173))*(1+V_dPrecio))</f>
        <v>0</v>
      </c>
      <c r="CP209" s="34" t="n">
        <f aca="false">IF(CP$8=1,IF(Reales!$C$45="PYG",IF(CP$10&gt;0,N(Reales!CP45)/CP$10,0),N(Reales!CP45)),CP$184*INDEX(Precio_V,8)*INDEX(IdxPrecio_V,1,MIN(10,CP$173))*(1+V_dPrecio))</f>
        <v>0</v>
      </c>
      <c r="CQ209" s="34" t="n">
        <f aca="false">IF(CQ$8=1,IF(Reales!$C$45="PYG",IF(CQ$10&gt;0,N(Reales!CQ45)/CQ$10,0),N(Reales!CQ45)),CQ$184*INDEX(Precio_V,8)*INDEX(IdxPrecio_V,1,MIN(10,CQ$173))*(1+V_dPrecio))</f>
        <v>0</v>
      </c>
      <c r="CR209" s="34" t="n">
        <f aca="false">IF(CR$8=1,IF(Reales!$C$45="PYG",IF(CR$10&gt;0,N(Reales!CR45)/CR$10,0),N(Reales!CR45)),CR$184*INDEX(Precio_V,8)*INDEX(IdxPrecio_V,1,MIN(10,CR$173))*(1+V_dPrecio))</f>
        <v>0</v>
      </c>
      <c r="CS209" s="34" t="n">
        <f aca="false">IF(CS$8=1,IF(Reales!$C$45="PYG",IF(CS$10&gt;0,N(Reales!CS45)/CS$10,0),N(Reales!CS45)),CS$184*INDEX(Precio_V,8)*INDEX(IdxPrecio_V,1,MIN(10,CS$173))*(1+V_dPrecio))</f>
        <v>0</v>
      </c>
      <c r="CT209" s="34" t="n">
        <f aca="false">IF(CT$8=1,IF(Reales!$C$45="PYG",IF(CT$10&gt;0,N(Reales!CT45)/CT$10,0),N(Reales!CT45)),CT$184*INDEX(Precio_V,8)*INDEX(IdxPrecio_V,1,MIN(10,CT$173))*(1+V_dPrecio))</f>
        <v>0</v>
      </c>
      <c r="CU209" s="34" t="n">
        <f aca="false">IF(CU$8=1,IF(Reales!$C$45="PYG",IF(CU$10&gt;0,N(Reales!CU45)/CU$10,0),N(Reales!CU45)),CU$184*INDEX(Precio_V,8)*INDEX(IdxPrecio_V,1,MIN(10,CU$173))*(1+V_dPrecio))</f>
        <v>0</v>
      </c>
      <c r="CV209" s="34" t="n">
        <f aca="false">IF(CV$8=1,IF(Reales!$C$45="PYG",IF(CV$10&gt;0,N(Reales!CV45)/CV$10,0),N(Reales!CV45)),CV$184*INDEX(Precio_V,8)*INDEX(IdxPrecio_V,1,MIN(10,CV$173))*(1+V_dPrecio))</f>
        <v>0</v>
      </c>
      <c r="CW209" s="34" t="n">
        <f aca="false">IF(CW$8=1,IF(Reales!$C$45="PYG",IF(CW$10&gt;0,N(Reales!CW45)/CW$10,0),N(Reales!CW45)),CW$184*INDEX(Precio_V,8)*INDEX(IdxPrecio_V,1,MIN(10,CW$173))*(1+V_dPrecio))</f>
        <v>0</v>
      </c>
      <c r="CX209" s="34" t="n">
        <f aca="false">IF(CX$8=1,IF(Reales!$C$45="PYG",IF(CX$10&gt;0,N(Reales!CX45)/CX$10,0),N(Reales!CX45)),CX$184*INDEX(Precio_V,8)*INDEX(IdxPrecio_V,1,MIN(10,CX$173))*(1+V_dPrecio))</f>
        <v>0</v>
      </c>
      <c r="CY209" s="34" t="n">
        <f aca="false">IF(CY$8=1,IF(Reales!$C$45="PYG",IF(CY$10&gt;0,N(Reales!CY45)/CY$10,0),N(Reales!CY45)),CY$184*INDEX(Precio_V,8)*INDEX(IdxPrecio_V,1,MIN(10,CY$173))*(1+V_dPrecio))</f>
        <v>0</v>
      </c>
      <c r="CZ209" s="34" t="n">
        <f aca="false">IF(CZ$8=1,IF(Reales!$C$45="PYG",IF(CZ$10&gt;0,N(Reales!CZ45)/CZ$10,0),N(Reales!CZ45)),CZ$184*INDEX(Precio_V,8)*INDEX(IdxPrecio_V,1,MIN(10,CZ$173))*(1+V_dPrecio))</f>
        <v>0</v>
      </c>
      <c r="DA209" s="34" t="n">
        <f aca="false">IF(DA$8=1,IF(Reales!$C$45="PYG",IF(DA$10&gt;0,N(Reales!DA45)/DA$10,0),N(Reales!DA45)),DA$184*INDEX(Precio_V,8)*INDEX(IdxPrecio_V,1,MIN(10,DA$173))*(1+V_dPrecio))</f>
        <v>0</v>
      </c>
      <c r="DB209" s="34" t="n">
        <f aca="false">IF(DB$8=1,IF(Reales!$C$45="PYG",IF(DB$10&gt;0,N(Reales!DB45)/DB$10,0),N(Reales!DB45)),DB$184*INDEX(Precio_V,8)*INDEX(IdxPrecio_V,1,MIN(10,DB$173))*(1+V_dPrecio))</f>
        <v>0</v>
      </c>
      <c r="DC209" s="34" t="n">
        <f aca="false">IF(DC$8=1,IF(Reales!$C$45="PYG",IF(DC$10&gt;0,N(Reales!DC45)/DC$10,0),N(Reales!DC45)),DC$184*INDEX(Precio_V,8)*INDEX(IdxPrecio_V,1,MIN(10,DC$173))*(1+V_dPrecio))</f>
        <v>0</v>
      </c>
      <c r="DD209" s="34" t="n">
        <f aca="false">IF(DD$8=1,IF(Reales!$C$45="PYG",IF(DD$10&gt;0,N(Reales!DD45)/DD$10,0),N(Reales!DD45)),DD$184*INDEX(Precio_V,8)*INDEX(IdxPrecio_V,1,MIN(10,DD$173))*(1+V_dPrecio))</f>
        <v>0</v>
      </c>
      <c r="DE209" s="34" t="n">
        <f aca="false">IF(DE$8=1,IF(Reales!$C$45="PYG",IF(DE$10&gt;0,N(Reales!DE45)/DE$10,0),N(Reales!DE45)),DE$184*INDEX(Precio_V,8)*INDEX(IdxPrecio_V,1,MIN(10,DE$173))*(1+V_dPrecio))</f>
        <v>0</v>
      </c>
      <c r="DF209" s="34" t="n">
        <f aca="false">IF(DF$8=1,IF(Reales!$C$45="PYG",IF(DF$10&gt;0,N(Reales!DF45)/DF$10,0),N(Reales!DF45)),DF$184*INDEX(Precio_V,8)*INDEX(IdxPrecio_V,1,MIN(10,DF$173))*(1+V_dPrecio))</f>
        <v>0</v>
      </c>
      <c r="DG209" s="34" t="n">
        <f aca="false">IF(DG$8=1,IF(Reales!$C$45="PYG",IF(DG$10&gt;0,N(Reales!DG45)/DG$10,0),N(Reales!DG45)),DG$184*INDEX(Precio_V,8)*INDEX(IdxPrecio_V,1,MIN(10,DG$173))*(1+V_dPrecio))</f>
        <v>0</v>
      </c>
      <c r="DH209" s="34" t="n">
        <f aca="false">IF(DH$8=1,IF(Reales!$C$45="PYG",IF(DH$10&gt;0,N(Reales!DH45)/DH$10,0),N(Reales!DH45)),DH$184*INDEX(Precio_V,8)*INDEX(IdxPrecio_V,1,MIN(10,DH$173))*(1+V_dPrecio))</f>
        <v>0</v>
      </c>
      <c r="DI209" s="34" t="n">
        <f aca="false">IF(DI$8=1,IF(Reales!$C$45="PYG",IF(DI$10&gt;0,N(Reales!DI45)/DI$10,0),N(Reales!DI45)),DI$184*INDEX(Precio_V,8)*INDEX(IdxPrecio_V,1,MIN(10,DI$173))*(1+V_dPrecio))</f>
        <v>0</v>
      </c>
      <c r="DJ209" s="34" t="n">
        <f aca="false">IF(DJ$8=1,IF(Reales!$C$45="PYG",IF(DJ$10&gt;0,N(Reales!DJ45)/DJ$10,0),N(Reales!DJ45)),DJ$184*INDEX(Precio_V,8)*INDEX(IdxPrecio_V,1,MIN(10,DJ$173))*(1+V_dPrecio))</f>
        <v>0</v>
      </c>
      <c r="DK209" s="34" t="n">
        <f aca="false">IF(DK$8=1,IF(Reales!$C$45="PYG",IF(DK$10&gt;0,N(Reales!DK45)/DK$10,0),N(Reales!DK45)),DK$184*INDEX(Precio_V,8)*INDEX(IdxPrecio_V,1,MIN(10,DK$173))*(1+V_dPrecio))</f>
        <v>0</v>
      </c>
      <c r="DL209" s="34" t="n">
        <f aca="false">IF(DL$8=1,IF(Reales!$C$45="PYG",IF(DL$10&gt;0,N(Reales!DL45)/DL$10,0),N(Reales!DL45)),DL$184*INDEX(Precio_V,8)*INDEX(IdxPrecio_V,1,MIN(10,DL$173))*(1+V_dPrecio))</f>
        <v>0</v>
      </c>
      <c r="DM209" s="34" t="n">
        <f aca="false">IF(DM$8=1,IF(Reales!$C$45="PYG",IF(DM$10&gt;0,N(Reales!DM45)/DM$10,0),N(Reales!DM45)),DM$184*INDEX(Precio_V,8)*INDEX(IdxPrecio_V,1,MIN(10,DM$173))*(1+V_dPrecio))</f>
        <v>0</v>
      </c>
      <c r="DN209" s="34" t="n">
        <f aca="false">IF(DN$8=1,IF(Reales!$C$45="PYG",IF(DN$10&gt;0,N(Reales!DN45)/DN$10,0),N(Reales!DN45)),DN$184*INDEX(Precio_V,8)*INDEX(IdxPrecio_V,1,MIN(10,DN$173))*(1+V_dPrecio))</f>
        <v>0</v>
      </c>
      <c r="DO209" s="34" t="n">
        <f aca="false">IF(DO$8=1,IF(Reales!$C$45="PYG",IF(DO$10&gt;0,N(Reales!DO45)/DO$10,0),N(Reales!DO45)),DO$184*INDEX(Precio_V,8)*INDEX(IdxPrecio_V,1,MIN(10,DO$173))*(1+V_dPrecio))</f>
        <v>0</v>
      </c>
      <c r="DP209" s="34" t="n">
        <f aca="false">IF(DP$8=1,IF(Reales!$C$45="PYG",IF(DP$10&gt;0,N(Reales!DP45)/DP$10,0),N(Reales!DP45)),DP$184*INDEX(Precio_V,8)*INDEX(IdxPrecio_V,1,MIN(10,DP$173))*(1+V_dPrecio))</f>
        <v>0</v>
      </c>
      <c r="DQ209" s="34" t="n">
        <f aca="false">IF(DQ$8=1,IF(Reales!$C$45="PYG",IF(DQ$10&gt;0,N(Reales!DQ45)/DQ$10,0),N(Reales!DQ45)),DQ$184*INDEX(Precio_V,8)*INDEX(IdxPrecio_V,1,MIN(10,DQ$173))*(1+V_dPrecio))</f>
        <v>0</v>
      </c>
      <c r="DR209" s="34" t="n">
        <f aca="false">IF(DR$8=1,IF(Reales!$C$45="PYG",IF(DR$10&gt;0,N(Reales!DR45)/DR$10,0),N(Reales!DR45)),DR$184*INDEX(Precio_V,8)*INDEX(IdxPrecio_V,1,MIN(10,DR$173))*(1+V_dPrecio))</f>
        <v>0</v>
      </c>
      <c r="DS209" s="34" t="n">
        <f aca="false">IF(DS$8=1,IF(Reales!$C$45="PYG",IF(DS$10&gt;0,N(Reales!DS45)/DS$10,0),N(Reales!DS45)),DS$184*INDEX(Precio_V,8)*INDEX(IdxPrecio_V,1,MIN(10,DS$173))*(1+V_dPrecio))</f>
        <v>0</v>
      </c>
      <c r="DT209" s="34" t="n">
        <f aca="false">IF(DT$8=1,IF(Reales!$C$45="PYG",IF(DT$10&gt;0,N(Reales!DT45)/DT$10,0),N(Reales!DT45)),DT$184*INDEX(Precio_V,8)*INDEX(IdxPrecio_V,1,MIN(10,DT$173))*(1+V_dPrecio))</f>
        <v>0</v>
      </c>
      <c r="DU209" s="34" t="n">
        <f aca="false">IF(DU$8=1,IF(Reales!$C$45="PYG",IF(DU$10&gt;0,N(Reales!DU45)/DU$10,0),N(Reales!DU45)),DU$184*INDEX(Precio_V,8)*INDEX(IdxPrecio_V,1,MIN(10,DU$173))*(1+V_dPrecio))</f>
        <v>0</v>
      </c>
      <c r="DV209" s="34" t="n">
        <f aca="false">IF(DV$8=1,IF(Reales!$C$45="PYG",IF(DV$10&gt;0,N(Reales!DV45)/DV$10,0),N(Reales!DV45)),DV$184*INDEX(Precio_V,8)*INDEX(IdxPrecio_V,1,MIN(10,DV$173))*(1+V_dPrecio))</f>
        <v>0</v>
      </c>
      <c r="DW209" s="34" t="n">
        <f aca="false">IF(DW$8=1,IF(Reales!$C$45="PYG",IF(DW$10&gt;0,N(Reales!DW45)/DW$10,0),N(Reales!DW45)),DW$184*INDEX(Precio_V,8)*INDEX(IdxPrecio_V,1,MIN(10,DW$173))*(1+V_dPrecio))</f>
        <v>0</v>
      </c>
      <c r="DX209" s="34" t="n">
        <f aca="false">IF(DX$8=1,IF(Reales!$C$45="PYG",IF(DX$10&gt;0,N(Reales!DX45)/DX$10,0),N(Reales!DX45)),DX$184*INDEX(Precio_V,8)*INDEX(IdxPrecio_V,1,MIN(10,DX$173))*(1+V_dPrecio))</f>
        <v>0</v>
      </c>
      <c r="DY209" s="34" t="n">
        <f aca="false">IF(DY$8=1,IF(Reales!$C$45="PYG",IF(DY$10&gt;0,N(Reales!DY45)/DY$10,0),N(Reales!DY45)),DY$184*INDEX(Precio_V,8)*INDEX(IdxPrecio_V,1,MIN(10,DY$173))*(1+V_dPrecio))</f>
        <v>0</v>
      </c>
      <c r="DZ209" s="34" t="n">
        <f aca="false">IF(DZ$8=1,IF(Reales!$C$45="PYG",IF(DZ$10&gt;0,N(Reales!DZ45)/DZ$10,0),N(Reales!DZ45)),DZ$184*INDEX(Precio_V,8)*INDEX(IdxPrecio_V,1,MIN(10,DZ$173))*(1+V_dPrecio))</f>
        <v>0</v>
      </c>
      <c r="EA209" s="34" t="n">
        <f aca="false">IF(EA$8=1,IF(Reales!$C$45="PYG",IF(EA$10&gt;0,N(Reales!EA45)/EA$10,0),N(Reales!EA45)),EA$184*INDEX(Precio_V,8)*INDEX(IdxPrecio_V,1,MIN(10,EA$173))*(1+V_dPrecio))</f>
        <v>0</v>
      </c>
      <c r="EB209" s="34" t="n">
        <f aca="false">IF(EB$8=1,IF(Reales!$C$45="PYG",IF(EB$10&gt;0,N(Reales!EB45)/EB$10,0),N(Reales!EB45)),EB$184*INDEX(Precio_V,8)*INDEX(IdxPrecio_V,1,MIN(10,EB$173))*(1+V_dPrecio))</f>
        <v>0</v>
      </c>
      <c r="EC209" s="34" t="n">
        <f aca="false">IF(EC$8=1,IF(Reales!$C$45="PYG",IF(EC$10&gt;0,N(Reales!EC45)/EC$10,0),N(Reales!EC45)),EC$184*INDEX(Precio_V,8)*INDEX(IdxPrecio_V,1,MIN(10,EC$173))*(1+V_dPrecio))</f>
        <v>0</v>
      </c>
      <c r="ED209" s="34" t="n">
        <f aca="false">IF(ED$8=1,IF(Reales!$C$45="PYG",IF(ED$10&gt;0,N(Reales!ED45)/ED$10,0),N(Reales!ED45)),ED$184*INDEX(Precio_V,8)*INDEX(IdxPrecio_V,1,MIN(10,ED$173))*(1+V_dPrecio))</f>
        <v>0</v>
      </c>
      <c r="EE209" s="34" t="n">
        <f aca="false">IF(EE$8=1,IF(Reales!$C$45="PYG",IF(EE$10&gt;0,N(Reales!EE45)/EE$10,0),N(Reales!EE45)),EE$184*INDEX(Precio_V,8)*INDEX(IdxPrecio_V,1,MIN(10,EE$173))*(1+V_dPrecio))</f>
        <v>0</v>
      </c>
      <c r="EF209" s="34" t="n">
        <f aca="false">IF(EF$8=1,IF(Reales!$C$45="PYG",IF(EF$10&gt;0,N(Reales!EF45)/EF$10,0),N(Reales!EF45)),EF$184*INDEX(Precio_V,8)*INDEX(IdxPrecio_V,1,MIN(10,EF$173))*(1+V_dPrecio))</f>
        <v>0</v>
      </c>
      <c r="EG209" s="34" t="n">
        <f aca="false">IF(EG$8=1,IF(Reales!$C$45="PYG",IF(EG$10&gt;0,N(Reales!EG45)/EG$10,0),N(Reales!EG45)),EG$184*INDEX(Precio_V,8)*INDEX(IdxPrecio_V,1,MIN(10,EG$173))*(1+V_dPrecio))</f>
        <v>0</v>
      </c>
      <c r="EH209" s="34" t="n">
        <f aca="false">IF(EH$8=1,IF(Reales!$C$45="PYG",IF(EH$10&gt;0,N(Reales!EH45)/EH$10,0),N(Reales!EH45)),EH$184*INDEX(Precio_V,8)*INDEX(IdxPrecio_V,1,MIN(10,EH$173))*(1+V_dPrecio))</f>
        <v>0</v>
      </c>
      <c r="EI209" s="34" t="n">
        <f aca="false">IF(EI$8=1,IF(Reales!$C$45="PYG",IF(EI$10&gt;0,N(Reales!EI45)/EI$10,0),N(Reales!EI45)),EI$184*INDEX(Precio_V,8)*INDEX(IdxPrecio_V,1,MIN(10,EI$173))*(1+V_dPrecio))</f>
        <v>0</v>
      </c>
      <c r="EJ209" s="34" t="n">
        <f aca="false">IF(EJ$8=1,IF(Reales!$C$45="PYG",IF(EJ$10&gt;0,N(Reales!EJ45)/EJ$10,0),N(Reales!EJ45)),EJ$184*INDEX(Precio_V,8)*INDEX(IdxPrecio_V,1,MIN(10,EJ$173))*(1+V_dPrecio))</f>
        <v>0</v>
      </c>
      <c r="EK209" s="34" t="n">
        <f aca="false">IF(EK$8=1,IF(Reales!$C$45="PYG",IF(EK$10&gt;0,N(Reales!EK45)/EK$10,0),N(Reales!EK45)),EK$184*INDEX(Precio_V,8)*INDEX(IdxPrecio_V,1,MIN(10,EK$173))*(1+V_dPrecio))</f>
        <v>0</v>
      </c>
      <c r="EL209" s="34" t="n">
        <f aca="false">IF(EL$8=1,IF(Reales!$C$45="PYG",IF(EL$10&gt;0,N(Reales!EL45)/EL$10,0),N(Reales!EL45)),EL$184*INDEX(Precio_V,8)*INDEX(IdxPrecio_V,1,MIN(10,EL$173))*(1+V_dPrecio))</f>
        <v>0</v>
      </c>
      <c r="EM209" s="34" t="n">
        <f aca="false">IF(EM$8=1,IF(Reales!$C$45="PYG",IF(EM$10&gt;0,N(Reales!EM45)/EM$10,0),N(Reales!EM45)),EM$184*INDEX(Precio_V,8)*INDEX(IdxPrecio_V,1,MIN(10,EM$173))*(1+V_dPrecio))</f>
        <v>0</v>
      </c>
      <c r="EN209" s="34" t="n">
        <f aca="false">IF(EN$8=1,IF(Reales!$C$45="PYG",IF(EN$10&gt;0,N(Reales!EN45)/EN$10,0),N(Reales!EN45)),EN$184*INDEX(Precio_V,8)*INDEX(IdxPrecio_V,1,MIN(10,EN$173))*(1+V_dPrecio))</f>
        <v>0</v>
      </c>
      <c r="EO209" s="34" t="n">
        <f aca="false">IF(EO$8=1,IF(Reales!$C$45="PYG",IF(EO$10&gt;0,N(Reales!EO45)/EO$10,0),N(Reales!EO45)),EO$184*INDEX(Precio_V,8)*INDEX(IdxPrecio_V,1,MIN(10,EO$173))*(1+V_dPrecio))</f>
        <v>0</v>
      </c>
      <c r="EP209" s="34" t="n">
        <f aca="false">IF(EP$8=1,IF(Reales!$C$45="PYG",IF(EP$10&gt;0,N(Reales!EP45)/EP$10,0),N(Reales!EP45)),EP$184*INDEX(Precio_V,8)*INDEX(IdxPrecio_V,1,MIN(10,EP$173))*(1+V_dPrecio))</f>
        <v>0</v>
      </c>
      <c r="EQ209" s="34" t="n">
        <f aca="false">IF(EQ$8=1,IF(Reales!$C$45="PYG",IF(EQ$10&gt;0,N(Reales!EQ45)/EQ$10,0),N(Reales!EQ45)),EQ$184*INDEX(Precio_V,8)*INDEX(IdxPrecio_V,1,MIN(10,EQ$173))*(1+V_dPrecio))</f>
        <v>0</v>
      </c>
      <c r="ER209" s="34" t="n">
        <f aca="false">IF(ER$8=1,IF(Reales!$C$45="PYG",IF(ER$10&gt;0,N(Reales!ER45)/ER$10,0),N(Reales!ER45)),ER$184*INDEX(Precio_V,8)*INDEX(IdxPrecio_V,1,MIN(10,ER$173))*(1+V_dPrecio))</f>
        <v>0</v>
      </c>
      <c r="ES209" s="34" t="n">
        <f aca="false">IF(ES$8=1,IF(Reales!$C$45="PYG",IF(ES$10&gt;0,N(Reales!ES45)/ES$10,0),N(Reales!ES45)),ES$184*INDEX(Precio_V,8)*INDEX(IdxPrecio_V,1,MIN(10,ES$173))*(1+V_dPrecio))</f>
        <v>0</v>
      </c>
    </row>
    <row r="210" customFormat="false" ht="15" hidden="false" customHeight="false" outlineLevel="0" collapsed="false">
      <c r="A210" s="2" t="s">
        <v>852</v>
      </c>
      <c r="B210" s="39" t="str">
        <f aca="false">IF(INDEX(Prod_Nombre,9)="","Producto 9",INDEX(Prod_Nombre,9))&amp;" — ventas USD"</f>
        <v>Producto 9 — ventas USD</v>
      </c>
      <c r="C210" s="6" t="s">
        <v>250</v>
      </c>
      <c r="E210" s="40" t="n">
        <f aca="false">SUM(F210:ES210)</f>
        <v>0</v>
      </c>
      <c r="F210" s="34" t="n">
        <f aca="false">IF(F$8=1,IF(Reales!$C$46="PYG",IF(F$10&gt;0,N(Reales!F46)/F$10,0),N(Reales!F46)),F$185*INDEX(Precio_V,9)*INDEX(IdxPrecio_V,1,MIN(10,F$173))*(1+V_dPrecio))</f>
        <v>0</v>
      </c>
      <c r="G210" s="34" t="n">
        <f aca="false">IF(G$8=1,IF(Reales!$C$46="PYG",IF(G$10&gt;0,N(Reales!G46)/G$10,0),N(Reales!G46)),G$185*INDEX(Precio_V,9)*INDEX(IdxPrecio_V,1,MIN(10,G$173))*(1+V_dPrecio))</f>
        <v>0</v>
      </c>
      <c r="H210" s="34" t="n">
        <f aca="false">IF(H$8=1,IF(Reales!$C$46="PYG",IF(H$10&gt;0,N(Reales!H46)/H$10,0),N(Reales!H46)),H$185*INDEX(Precio_V,9)*INDEX(IdxPrecio_V,1,MIN(10,H$173))*(1+V_dPrecio))</f>
        <v>0</v>
      </c>
      <c r="I210" s="34" t="n">
        <f aca="false">IF(I$8=1,IF(Reales!$C$46="PYG",IF(I$10&gt;0,N(Reales!I46)/I$10,0),N(Reales!I46)),I$185*INDEX(Precio_V,9)*INDEX(IdxPrecio_V,1,MIN(10,I$173))*(1+V_dPrecio))</f>
        <v>0</v>
      </c>
      <c r="J210" s="34" t="n">
        <f aca="false">IF(J$8=1,IF(Reales!$C$46="PYG",IF(J$10&gt;0,N(Reales!J46)/J$10,0),N(Reales!J46)),J$185*INDEX(Precio_V,9)*INDEX(IdxPrecio_V,1,MIN(10,J$173))*(1+V_dPrecio))</f>
        <v>0</v>
      </c>
      <c r="K210" s="34" t="n">
        <f aca="false">IF(K$8=1,IF(Reales!$C$46="PYG",IF(K$10&gt;0,N(Reales!K46)/K$10,0),N(Reales!K46)),K$185*INDEX(Precio_V,9)*INDEX(IdxPrecio_V,1,MIN(10,K$173))*(1+V_dPrecio))</f>
        <v>0</v>
      </c>
      <c r="L210" s="34" t="n">
        <f aca="false">IF(L$8=1,IF(Reales!$C$46="PYG",IF(L$10&gt;0,N(Reales!L46)/L$10,0),N(Reales!L46)),L$185*INDEX(Precio_V,9)*INDEX(IdxPrecio_V,1,MIN(10,L$173))*(1+V_dPrecio))</f>
        <v>0</v>
      </c>
      <c r="M210" s="34" t="n">
        <f aca="false">IF(M$8=1,IF(Reales!$C$46="PYG",IF(M$10&gt;0,N(Reales!M46)/M$10,0),N(Reales!M46)),M$185*INDEX(Precio_V,9)*INDEX(IdxPrecio_V,1,MIN(10,M$173))*(1+V_dPrecio))</f>
        <v>0</v>
      </c>
      <c r="N210" s="34" t="n">
        <f aca="false">IF(N$8=1,IF(Reales!$C$46="PYG",IF(N$10&gt;0,N(Reales!N46)/N$10,0),N(Reales!N46)),N$185*INDEX(Precio_V,9)*INDEX(IdxPrecio_V,1,MIN(10,N$173))*(1+V_dPrecio))</f>
        <v>0</v>
      </c>
      <c r="O210" s="34" t="n">
        <f aca="false">IF(O$8=1,IF(Reales!$C$46="PYG",IF(O$10&gt;0,N(Reales!O46)/O$10,0),N(Reales!O46)),O$185*INDEX(Precio_V,9)*INDEX(IdxPrecio_V,1,MIN(10,O$173))*(1+V_dPrecio))</f>
        <v>0</v>
      </c>
      <c r="P210" s="34" t="n">
        <f aca="false">IF(P$8=1,IF(Reales!$C$46="PYG",IF(P$10&gt;0,N(Reales!P46)/P$10,0),N(Reales!P46)),P$185*INDEX(Precio_V,9)*INDEX(IdxPrecio_V,1,MIN(10,P$173))*(1+V_dPrecio))</f>
        <v>0</v>
      </c>
      <c r="Q210" s="34" t="n">
        <f aca="false">IF(Q$8=1,IF(Reales!$C$46="PYG",IF(Q$10&gt;0,N(Reales!Q46)/Q$10,0),N(Reales!Q46)),Q$185*INDEX(Precio_V,9)*INDEX(IdxPrecio_V,1,MIN(10,Q$173))*(1+V_dPrecio))</f>
        <v>0</v>
      </c>
      <c r="R210" s="34" t="n">
        <f aca="false">IF(R$8=1,IF(Reales!$C$46="PYG",IF(R$10&gt;0,N(Reales!R46)/R$10,0),N(Reales!R46)),R$185*INDEX(Precio_V,9)*INDEX(IdxPrecio_V,1,MIN(10,R$173))*(1+V_dPrecio))</f>
        <v>0</v>
      </c>
      <c r="S210" s="34" t="n">
        <f aca="false">IF(S$8=1,IF(Reales!$C$46="PYG",IF(S$10&gt;0,N(Reales!S46)/S$10,0),N(Reales!S46)),S$185*INDEX(Precio_V,9)*INDEX(IdxPrecio_V,1,MIN(10,S$173))*(1+V_dPrecio))</f>
        <v>0</v>
      </c>
      <c r="T210" s="34" t="n">
        <f aca="false">IF(T$8=1,IF(Reales!$C$46="PYG",IF(T$10&gt;0,N(Reales!T46)/T$10,0),N(Reales!T46)),T$185*INDEX(Precio_V,9)*INDEX(IdxPrecio_V,1,MIN(10,T$173))*(1+V_dPrecio))</f>
        <v>0</v>
      </c>
      <c r="U210" s="34" t="n">
        <f aca="false">IF(U$8=1,IF(Reales!$C$46="PYG",IF(U$10&gt;0,N(Reales!U46)/U$10,0),N(Reales!U46)),U$185*INDEX(Precio_V,9)*INDEX(IdxPrecio_V,1,MIN(10,U$173))*(1+V_dPrecio))</f>
        <v>0</v>
      </c>
      <c r="V210" s="34" t="n">
        <f aca="false">IF(V$8=1,IF(Reales!$C$46="PYG",IF(V$10&gt;0,N(Reales!V46)/V$10,0),N(Reales!V46)),V$185*INDEX(Precio_V,9)*INDEX(IdxPrecio_V,1,MIN(10,V$173))*(1+V_dPrecio))</f>
        <v>0</v>
      </c>
      <c r="W210" s="34" t="n">
        <f aca="false">IF(W$8=1,IF(Reales!$C$46="PYG",IF(W$10&gt;0,N(Reales!W46)/W$10,0),N(Reales!W46)),W$185*INDEX(Precio_V,9)*INDEX(IdxPrecio_V,1,MIN(10,W$173))*(1+V_dPrecio))</f>
        <v>0</v>
      </c>
      <c r="X210" s="34" t="n">
        <f aca="false">IF(X$8=1,IF(Reales!$C$46="PYG",IF(X$10&gt;0,N(Reales!X46)/X$10,0),N(Reales!X46)),X$185*INDEX(Precio_V,9)*INDEX(IdxPrecio_V,1,MIN(10,X$173))*(1+V_dPrecio))</f>
        <v>0</v>
      </c>
      <c r="Y210" s="34" t="n">
        <f aca="false">IF(Y$8=1,IF(Reales!$C$46="PYG",IF(Y$10&gt;0,N(Reales!Y46)/Y$10,0),N(Reales!Y46)),Y$185*INDEX(Precio_V,9)*INDEX(IdxPrecio_V,1,MIN(10,Y$173))*(1+V_dPrecio))</f>
        <v>0</v>
      </c>
      <c r="Z210" s="34" t="n">
        <f aca="false">IF(Z$8=1,IF(Reales!$C$46="PYG",IF(Z$10&gt;0,N(Reales!Z46)/Z$10,0),N(Reales!Z46)),Z$185*INDEX(Precio_V,9)*INDEX(IdxPrecio_V,1,MIN(10,Z$173))*(1+V_dPrecio))</f>
        <v>0</v>
      </c>
      <c r="AA210" s="34" t="n">
        <f aca="false">IF(AA$8=1,IF(Reales!$C$46="PYG",IF(AA$10&gt;0,N(Reales!AA46)/AA$10,0),N(Reales!AA46)),AA$185*INDEX(Precio_V,9)*INDEX(IdxPrecio_V,1,MIN(10,AA$173))*(1+V_dPrecio))</f>
        <v>0</v>
      </c>
      <c r="AB210" s="34" t="n">
        <f aca="false">IF(AB$8=1,IF(Reales!$C$46="PYG",IF(AB$10&gt;0,N(Reales!AB46)/AB$10,0),N(Reales!AB46)),AB$185*INDEX(Precio_V,9)*INDEX(IdxPrecio_V,1,MIN(10,AB$173))*(1+V_dPrecio))</f>
        <v>0</v>
      </c>
      <c r="AC210" s="34" t="n">
        <f aca="false">IF(AC$8=1,IF(Reales!$C$46="PYG",IF(AC$10&gt;0,N(Reales!AC46)/AC$10,0),N(Reales!AC46)),AC$185*INDEX(Precio_V,9)*INDEX(IdxPrecio_V,1,MIN(10,AC$173))*(1+V_dPrecio))</f>
        <v>0</v>
      </c>
      <c r="AD210" s="34" t="n">
        <f aca="false">IF(AD$8=1,IF(Reales!$C$46="PYG",IF(AD$10&gt;0,N(Reales!AD46)/AD$10,0),N(Reales!AD46)),AD$185*INDEX(Precio_V,9)*INDEX(IdxPrecio_V,1,MIN(10,AD$173))*(1+V_dPrecio))</f>
        <v>0</v>
      </c>
      <c r="AE210" s="34" t="n">
        <f aca="false">IF(AE$8=1,IF(Reales!$C$46="PYG",IF(AE$10&gt;0,N(Reales!AE46)/AE$10,0),N(Reales!AE46)),AE$185*INDEX(Precio_V,9)*INDEX(IdxPrecio_V,1,MIN(10,AE$173))*(1+V_dPrecio))</f>
        <v>0</v>
      </c>
      <c r="AF210" s="34" t="n">
        <f aca="false">IF(AF$8=1,IF(Reales!$C$46="PYG",IF(AF$10&gt;0,N(Reales!AF46)/AF$10,0),N(Reales!AF46)),AF$185*INDEX(Precio_V,9)*INDEX(IdxPrecio_V,1,MIN(10,AF$173))*(1+V_dPrecio))</f>
        <v>0</v>
      </c>
      <c r="AG210" s="34" t="n">
        <f aca="false">IF(AG$8=1,IF(Reales!$C$46="PYG",IF(AG$10&gt;0,N(Reales!AG46)/AG$10,0),N(Reales!AG46)),AG$185*INDEX(Precio_V,9)*INDEX(IdxPrecio_V,1,MIN(10,AG$173))*(1+V_dPrecio))</f>
        <v>0</v>
      </c>
      <c r="AH210" s="34" t="n">
        <f aca="false">IF(AH$8=1,IF(Reales!$C$46="PYG",IF(AH$10&gt;0,N(Reales!AH46)/AH$10,0),N(Reales!AH46)),AH$185*INDEX(Precio_V,9)*INDEX(IdxPrecio_V,1,MIN(10,AH$173))*(1+V_dPrecio))</f>
        <v>0</v>
      </c>
      <c r="AI210" s="34" t="n">
        <f aca="false">IF(AI$8=1,IF(Reales!$C$46="PYG",IF(AI$10&gt;0,N(Reales!AI46)/AI$10,0),N(Reales!AI46)),AI$185*INDEX(Precio_V,9)*INDEX(IdxPrecio_V,1,MIN(10,AI$173))*(1+V_dPrecio))</f>
        <v>0</v>
      </c>
      <c r="AJ210" s="34" t="n">
        <f aca="false">IF(AJ$8=1,IF(Reales!$C$46="PYG",IF(AJ$10&gt;0,N(Reales!AJ46)/AJ$10,0),N(Reales!AJ46)),AJ$185*INDEX(Precio_V,9)*INDEX(IdxPrecio_V,1,MIN(10,AJ$173))*(1+V_dPrecio))</f>
        <v>0</v>
      </c>
      <c r="AK210" s="34" t="n">
        <f aca="false">IF(AK$8=1,IF(Reales!$C$46="PYG",IF(AK$10&gt;0,N(Reales!AK46)/AK$10,0),N(Reales!AK46)),AK$185*INDEX(Precio_V,9)*INDEX(IdxPrecio_V,1,MIN(10,AK$173))*(1+V_dPrecio))</f>
        <v>0</v>
      </c>
      <c r="AL210" s="34" t="n">
        <f aca="false">IF(AL$8=1,IF(Reales!$C$46="PYG",IF(AL$10&gt;0,N(Reales!AL46)/AL$10,0),N(Reales!AL46)),AL$185*INDEX(Precio_V,9)*INDEX(IdxPrecio_V,1,MIN(10,AL$173))*(1+V_dPrecio))</f>
        <v>0</v>
      </c>
      <c r="AM210" s="34" t="n">
        <f aca="false">IF(AM$8=1,IF(Reales!$C$46="PYG",IF(AM$10&gt;0,N(Reales!AM46)/AM$10,0),N(Reales!AM46)),AM$185*INDEX(Precio_V,9)*INDEX(IdxPrecio_V,1,MIN(10,AM$173))*(1+V_dPrecio))</f>
        <v>0</v>
      </c>
      <c r="AN210" s="34" t="n">
        <f aca="false">IF(AN$8=1,IF(Reales!$C$46="PYG",IF(AN$10&gt;0,N(Reales!AN46)/AN$10,0),N(Reales!AN46)),AN$185*INDEX(Precio_V,9)*INDEX(IdxPrecio_V,1,MIN(10,AN$173))*(1+V_dPrecio))</f>
        <v>0</v>
      </c>
      <c r="AO210" s="34" t="n">
        <f aca="false">IF(AO$8=1,IF(Reales!$C$46="PYG",IF(AO$10&gt;0,N(Reales!AO46)/AO$10,0),N(Reales!AO46)),AO$185*INDEX(Precio_V,9)*INDEX(IdxPrecio_V,1,MIN(10,AO$173))*(1+V_dPrecio))</f>
        <v>0</v>
      </c>
      <c r="AP210" s="34" t="n">
        <f aca="false">IF(AP$8=1,IF(Reales!$C$46="PYG",IF(AP$10&gt;0,N(Reales!AP46)/AP$10,0),N(Reales!AP46)),AP$185*INDEX(Precio_V,9)*INDEX(IdxPrecio_V,1,MIN(10,AP$173))*(1+V_dPrecio))</f>
        <v>0</v>
      </c>
      <c r="AQ210" s="34" t="n">
        <f aca="false">IF(AQ$8=1,IF(Reales!$C$46="PYG",IF(AQ$10&gt;0,N(Reales!AQ46)/AQ$10,0),N(Reales!AQ46)),AQ$185*INDEX(Precio_V,9)*INDEX(IdxPrecio_V,1,MIN(10,AQ$173))*(1+V_dPrecio))</f>
        <v>0</v>
      </c>
      <c r="AR210" s="34" t="n">
        <f aca="false">IF(AR$8=1,IF(Reales!$C$46="PYG",IF(AR$10&gt;0,N(Reales!AR46)/AR$10,0),N(Reales!AR46)),AR$185*INDEX(Precio_V,9)*INDEX(IdxPrecio_V,1,MIN(10,AR$173))*(1+V_dPrecio))</f>
        <v>0</v>
      </c>
      <c r="AS210" s="34" t="n">
        <f aca="false">IF(AS$8=1,IF(Reales!$C$46="PYG",IF(AS$10&gt;0,N(Reales!AS46)/AS$10,0),N(Reales!AS46)),AS$185*INDEX(Precio_V,9)*INDEX(IdxPrecio_V,1,MIN(10,AS$173))*(1+V_dPrecio))</f>
        <v>0</v>
      </c>
      <c r="AT210" s="34" t="n">
        <f aca="false">IF(AT$8=1,IF(Reales!$C$46="PYG",IF(AT$10&gt;0,N(Reales!AT46)/AT$10,0),N(Reales!AT46)),AT$185*INDEX(Precio_V,9)*INDEX(IdxPrecio_V,1,MIN(10,AT$173))*(1+V_dPrecio))</f>
        <v>0</v>
      </c>
      <c r="AU210" s="34" t="n">
        <f aca="false">IF(AU$8=1,IF(Reales!$C$46="PYG",IF(AU$10&gt;0,N(Reales!AU46)/AU$10,0),N(Reales!AU46)),AU$185*INDEX(Precio_V,9)*INDEX(IdxPrecio_V,1,MIN(10,AU$173))*(1+V_dPrecio))</f>
        <v>0</v>
      </c>
      <c r="AV210" s="34" t="n">
        <f aca="false">IF(AV$8=1,IF(Reales!$C$46="PYG",IF(AV$10&gt;0,N(Reales!AV46)/AV$10,0),N(Reales!AV46)),AV$185*INDEX(Precio_V,9)*INDEX(IdxPrecio_V,1,MIN(10,AV$173))*(1+V_dPrecio))</f>
        <v>0</v>
      </c>
      <c r="AW210" s="34" t="n">
        <f aca="false">IF(AW$8=1,IF(Reales!$C$46="PYG",IF(AW$10&gt;0,N(Reales!AW46)/AW$10,0),N(Reales!AW46)),AW$185*INDEX(Precio_V,9)*INDEX(IdxPrecio_V,1,MIN(10,AW$173))*(1+V_dPrecio))</f>
        <v>0</v>
      </c>
      <c r="AX210" s="34" t="n">
        <f aca="false">IF(AX$8=1,IF(Reales!$C$46="PYG",IF(AX$10&gt;0,N(Reales!AX46)/AX$10,0),N(Reales!AX46)),AX$185*INDEX(Precio_V,9)*INDEX(IdxPrecio_V,1,MIN(10,AX$173))*(1+V_dPrecio))</f>
        <v>0</v>
      </c>
      <c r="AY210" s="34" t="n">
        <f aca="false">IF(AY$8=1,IF(Reales!$C$46="PYG",IF(AY$10&gt;0,N(Reales!AY46)/AY$10,0),N(Reales!AY46)),AY$185*INDEX(Precio_V,9)*INDEX(IdxPrecio_V,1,MIN(10,AY$173))*(1+V_dPrecio))</f>
        <v>0</v>
      </c>
      <c r="AZ210" s="34" t="n">
        <f aca="false">IF(AZ$8=1,IF(Reales!$C$46="PYG",IF(AZ$10&gt;0,N(Reales!AZ46)/AZ$10,0),N(Reales!AZ46)),AZ$185*INDEX(Precio_V,9)*INDEX(IdxPrecio_V,1,MIN(10,AZ$173))*(1+V_dPrecio))</f>
        <v>0</v>
      </c>
      <c r="BA210" s="34" t="n">
        <f aca="false">IF(BA$8=1,IF(Reales!$C$46="PYG",IF(BA$10&gt;0,N(Reales!BA46)/BA$10,0),N(Reales!BA46)),BA$185*INDEX(Precio_V,9)*INDEX(IdxPrecio_V,1,MIN(10,BA$173))*(1+V_dPrecio))</f>
        <v>0</v>
      </c>
      <c r="BB210" s="34" t="n">
        <f aca="false">IF(BB$8=1,IF(Reales!$C$46="PYG",IF(BB$10&gt;0,N(Reales!BB46)/BB$10,0),N(Reales!BB46)),BB$185*INDEX(Precio_V,9)*INDEX(IdxPrecio_V,1,MIN(10,BB$173))*(1+V_dPrecio))</f>
        <v>0</v>
      </c>
      <c r="BC210" s="34" t="n">
        <f aca="false">IF(BC$8=1,IF(Reales!$C$46="PYG",IF(BC$10&gt;0,N(Reales!BC46)/BC$10,0),N(Reales!BC46)),BC$185*INDEX(Precio_V,9)*INDEX(IdxPrecio_V,1,MIN(10,BC$173))*(1+V_dPrecio))</f>
        <v>0</v>
      </c>
      <c r="BD210" s="34" t="n">
        <f aca="false">IF(BD$8=1,IF(Reales!$C$46="PYG",IF(BD$10&gt;0,N(Reales!BD46)/BD$10,0),N(Reales!BD46)),BD$185*INDEX(Precio_V,9)*INDEX(IdxPrecio_V,1,MIN(10,BD$173))*(1+V_dPrecio))</f>
        <v>0</v>
      </c>
      <c r="BE210" s="34" t="n">
        <f aca="false">IF(BE$8=1,IF(Reales!$C$46="PYG",IF(BE$10&gt;0,N(Reales!BE46)/BE$10,0),N(Reales!BE46)),BE$185*INDEX(Precio_V,9)*INDEX(IdxPrecio_V,1,MIN(10,BE$173))*(1+V_dPrecio))</f>
        <v>0</v>
      </c>
      <c r="BF210" s="34" t="n">
        <f aca="false">IF(BF$8=1,IF(Reales!$C$46="PYG",IF(BF$10&gt;0,N(Reales!BF46)/BF$10,0),N(Reales!BF46)),BF$185*INDEX(Precio_V,9)*INDEX(IdxPrecio_V,1,MIN(10,BF$173))*(1+V_dPrecio))</f>
        <v>0</v>
      </c>
      <c r="BG210" s="34" t="n">
        <f aca="false">IF(BG$8=1,IF(Reales!$C$46="PYG",IF(BG$10&gt;0,N(Reales!BG46)/BG$10,0),N(Reales!BG46)),BG$185*INDEX(Precio_V,9)*INDEX(IdxPrecio_V,1,MIN(10,BG$173))*(1+V_dPrecio))</f>
        <v>0</v>
      </c>
      <c r="BH210" s="34" t="n">
        <f aca="false">IF(BH$8=1,IF(Reales!$C$46="PYG",IF(BH$10&gt;0,N(Reales!BH46)/BH$10,0),N(Reales!BH46)),BH$185*INDEX(Precio_V,9)*INDEX(IdxPrecio_V,1,MIN(10,BH$173))*(1+V_dPrecio))</f>
        <v>0</v>
      </c>
      <c r="BI210" s="34" t="n">
        <f aca="false">IF(BI$8=1,IF(Reales!$C$46="PYG",IF(BI$10&gt;0,N(Reales!BI46)/BI$10,0),N(Reales!BI46)),BI$185*INDEX(Precio_V,9)*INDEX(IdxPrecio_V,1,MIN(10,BI$173))*(1+V_dPrecio))</f>
        <v>0</v>
      </c>
      <c r="BJ210" s="34" t="n">
        <f aca="false">IF(BJ$8=1,IF(Reales!$C$46="PYG",IF(BJ$10&gt;0,N(Reales!BJ46)/BJ$10,0),N(Reales!BJ46)),BJ$185*INDEX(Precio_V,9)*INDEX(IdxPrecio_V,1,MIN(10,BJ$173))*(1+V_dPrecio))</f>
        <v>0</v>
      </c>
      <c r="BK210" s="34" t="n">
        <f aca="false">IF(BK$8=1,IF(Reales!$C$46="PYG",IF(BK$10&gt;0,N(Reales!BK46)/BK$10,0),N(Reales!BK46)),BK$185*INDEX(Precio_V,9)*INDEX(IdxPrecio_V,1,MIN(10,BK$173))*(1+V_dPrecio))</f>
        <v>0</v>
      </c>
      <c r="BL210" s="34" t="n">
        <f aca="false">IF(BL$8=1,IF(Reales!$C$46="PYG",IF(BL$10&gt;0,N(Reales!BL46)/BL$10,0),N(Reales!BL46)),BL$185*INDEX(Precio_V,9)*INDEX(IdxPrecio_V,1,MIN(10,BL$173))*(1+V_dPrecio))</f>
        <v>0</v>
      </c>
      <c r="BM210" s="34" t="n">
        <f aca="false">IF(BM$8=1,IF(Reales!$C$46="PYG",IF(BM$10&gt;0,N(Reales!BM46)/BM$10,0),N(Reales!BM46)),BM$185*INDEX(Precio_V,9)*INDEX(IdxPrecio_V,1,MIN(10,BM$173))*(1+V_dPrecio))</f>
        <v>0</v>
      </c>
      <c r="BN210" s="34" t="n">
        <f aca="false">IF(BN$8=1,IF(Reales!$C$46="PYG",IF(BN$10&gt;0,N(Reales!BN46)/BN$10,0),N(Reales!BN46)),BN$185*INDEX(Precio_V,9)*INDEX(IdxPrecio_V,1,MIN(10,BN$173))*(1+V_dPrecio))</f>
        <v>0</v>
      </c>
      <c r="BO210" s="34" t="n">
        <f aca="false">IF(BO$8=1,IF(Reales!$C$46="PYG",IF(BO$10&gt;0,N(Reales!BO46)/BO$10,0),N(Reales!BO46)),BO$185*INDEX(Precio_V,9)*INDEX(IdxPrecio_V,1,MIN(10,BO$173))*(1+V_dPrecio))</f>
        <v>0</v>
      </c>
      <c r="BP210" s="34" t="n">
        <f aca="false">IF(BP$8=1,IF(Reales!$C$46="PYG",IF(BP$10&gt;0,N(Reales!BP46)/BP$10,0),N(Reales!BP46)),BP$185*INDEX(Precio_V,9)*INDEX(IdxPrecio_V,1,MIN(10,BP$173))*(1+V_dPrecio))</f>
        <v>0</v>
      </c>
      <c r="BQ210" s="34" t="n">
        <f aca="false">IF(BQ$8=1,IF(Reales!$C$46="PYG",IF(BQ$10&gt;0,N(Reales!BQ46)/BQ$10,0),N(Reales!BQ46)),BQ$185*INDEX(Precio_V,9)*INDEX(IdxPrecio_V,1,MIN(10,BQ$173))*(1+V_dPrecio))</f>
        <v>0</v>
      </c>
      <c r="BR210" s="34" t="n">
        <f aca="false">IF(BR$8=1,IF(Reales!$C$46="PYG",IF(BR$10&gt;0,N(Reales!BR46)/BR$10,0),N(Reales!BR46)),BR$185*INDEX(Precio_V,9)*INDEX(IdxPrecio_V,1,MIN(10,BR$173))*(1+V_dPrecio))</f>
        <v>0</v>
      </c>
      <c r="BS210" s="34" t="n">
        <f aca="false">IF(BS$8=1,IF(Reales!$C$46="PYG",IF(BS$10&gt;0,N(Reales!BS46)/BS$10,0),N(Reales!BS46)),BS$185*INDEX(Precio_V,9)*INDEX(IdxPrecio_V,1,MIN(10,BS$173))*(1+V_dPrecio))</f>
        <v>0</v>
      </c>
      <c r="BT210" s="34" t="n">
        <f aca="false">IF(BT$8=1,IF(Reales!$C$46="PYG",IF(BT$10&gt;0,N(Reales!BT46)/BT$10,0),N(Reales!BT46)),BT$185*INDEX(Precio_V,9)*INDEX(IdxPrecio_V,1,MIN(10,BT$173))*(1+V_dPrecio))</f>
        <v>0</v>
      </c>
      <c r="BU210" s="34" t="n">
        <f aca="false">IF(BU$8=1,IF(Reales!$C$46="PYG",IF(BU$10&gt;0,N(Reales!BU46)/BU$10,0),N(Reales!BU46)),BU$185*INDEX(Precio_V,9)*INDEX(IdxPrecio_V,1,MIN(10,BU$173))*(1+V_dPrecio))</f>
        <v>0</v>
      </c>
      <c r="BV210" s="34" t="n">
        <f aca="false">IF(BV$8=1,IF(Reales!$C$46="PYG",IF(BV$10&gt;0,N(Reales!BV46)/BV$10,0),N(Reales!BV46)),BV$185*INDEX(Precio_V,9)*INDEX(IdxPrecio_V,1,MIN(10,BV$173))*(1+V_dPrecio))</f>
        <v>0</v>
      </c>
      <c r="BW210" s="34" t="n">
        <f aca="false">IF(BW$8=1,IF(Reales!$C$46="PYG",IF(BW$10&gt;0,N(Reales!BW46)/BW$10,0),N(Reales!BW46)),BW$185*INDEX(Precio_V,9)*INDEX(IdxPrecio_V,1,MIN(10,BW$173))*(1+V_dPrecio))</f>
        <v>0</v>
      </c>
      <c r="BX210" s="34" t="n">
        <f aca="false">IF(BX$8=1,IF(Reales!$C$46="PYG",IF(BX$10&gt;0,N(Reales!BX46)/BX$10,0),N(Reales!BX46)),BX$185*INDEX(Precio_V,9)*INDEX(IdxPrecio_V,1,MIN(10,BX$173))*(1+V_dPrecio))</f>
        <v>0</v>
      </c>
      <c r="BY210" s="34" t="n">
        <f aca="false">IF(BY$8=1,IF(Reales!$C$46="PYG",IF(BY$10&gt;0,N(Reales!BY46)/BY$10,0),N(Reales!BY46)),BY$185*INDEX(Precio_V,9)*INDEX(IdxPrecio_V,1,MIN(10,BY$173))*(1+V_dPrecio))</f>
        <v>0</v>
      </c>
      <c r="BZ210" s="34" t="n">
        <f aca="false">IF(BZ$8=1,IF(Reales!$C$46="PYG",IF(BZ$10&gt;0,N(Reales!BZ46)/BZ$10,0),N(Reales!BZ46)),BZ$185*INDEX(Precio_V,9)*INDEX(IdxPrecio_V,1,MIN(10,BZ$173))*(1+V_dPrecio))</f>
        <v>0</v>
      </c>
      <c r="CA210" s="34" t="n">
        <f aca="false">IF(CA$8=1,IF(Reales!$C$46="PYG",IF(CA$10&gt;0,N(Reales!CA46)/CA$10,0),N(Reales!CA46)),CA$185*INDEX(Precio_V,9)*INDEX(IdxPrecio_V,1,MIN(10,CA$173))*(1+V_dPrecio))</f>
        <v>0</v>
      </c>
      <c r="CB210" s="34" t="n">
        <f aca="false">IF(CB$8=1,IF(Reales!$C$46="PYG",IF(CB$10&gt;0,N(Reales!CB46)/CB$10,0),N(Reales!CB46)),CB$185*INDEX(Precio_V,9)*INDEX(IdxPrecio_V,1,MIN(10,CB$173))*(1+V_dPrecio))</f>
        <v>0</v>
      </c>
      <c r="CC210" s="34" t="n">
        <f aca="false">IF(CC$8=1,IF(Reales!$C$46="PYG",IF(CC$10&gt;0,N(Reales!CC46)/CC$10,0),N(Reales!CC46)),CC$185*INDEX(Precio_V,9)*INDEX(IdxPrecio_V,1,MIN(10,CC$173))*(1+V_dPrecio))</f>
        <v>0</v>
      </c>
      <c r="CD210" s="34" t="n">
        <f aca="false">IF(CD$8=1,IF(Reales!$C$46="PYG",IF(CD$10&gt;0,N(Reales!CD46)/CD$10,0),N(Reales!CD46)),CD$185*INDEX(Precio_V,9)*INDEX(IdxPrecio_V,1,MIN(10,CD$173))*(1+V_dPrecio))</f>
        <v>0</v>
      </c>
      <c r="CE210" s="34" t="n">
        <f aca="false">IF(CE$8=1,IF(Reales!$C$46="PYG",IF(CE$10&gt;0,N(Reales!CE46)/CE$10,0),N(Reales!CE46)),CE$185*INDEX(Precio_V,9)*INDEX(IdxPrecio_V,1,MIN(10,CE$173))*(1+V_dPrecio))</f>
        <v>0</v>
      </c>
      <c r="CF210" s="34" t="n">
        <f aca="false">IF(CF$8=1,IF(Reales!$C$46="PYG",IF(CF$10&gt;0,N(Reales!CF46)/CF$10,0),N(Reales!CF46)),CF$185*INDEX(Precio_V,9)*INDEX(IdxPrecio_V,1,MIN(10,CF$173))*(1+V_dPrecio))</f>
        <v>0</v>
      </c>
      <c r="CG210" s="34" t="n">
        <f aca="false">IF(CG$8=1,IF(Reales!$C$46="PYG",IF(CG$10&gt;0,N(Reales!CG46)/CG$10,0),N(Reales!CG46)),CG$185*INDEX(Precio_V,9)*INDEX(IdxPrecio_V,1,MIN(10,CG$173))*(1+V_dPrecio))</f>
        <v>0</v>
      </c>
      <c r="CH210" s="34" t="n">
        <f aca="false">IF(CH$8=1,IF(Reales!$C$46="PYG",IF(CH$10&gt;0,N(Reales!CH46)/CH$10,0),N(Reales!CH46)),CH$185*INDEX(Precio_V,9)*INDEX(IdxPrecio_V,1,MIN(10,CH$173))*(1+V_dPrecio))</f>
        <v>0</v>
      </c>
      <c r="CI210" s="34" t="n">
        <f aca="false">IF(CI$8=1,IF(Reales!$C$46="PYG",IF(CI$10&gt;0,N(Reales!CI46)/CI$10,0),N(Reales!CI46)),CI$185*INDEX(Precio_V,9)*INDEX(IdxPrecio_V,1,MIN(10,CI$173))*(1+V_dPrecio))</f>
        <v>0</v>
      </c>
      <c r="CJ210" s="34" t="n">
        <f aca="false">IF(CJ$8=1,IF(Reales!$C$46="PYG",IF(CJ$10&gt;0,N(Reales!CJ46)/CJ$10,0),N(Reales!CJ46)),CJ$185*INDEX(Precio_V,9)*INDEX(IdxPrecio_V,1,MIN(10,CJ$173))*(1+V_dPrecio))</f>
        <v>0</v>
      </c>
      <c r="CK210" s="34" t="n">
        <f aca="false">IF(CK$8=1,IF(Reales!$C$46="PYG",IF(CK$10&gt;0,N(Reales!CK46)/CK$10,0),N(Reales!CK46)),CK$185*INDEX(Precio_V,9)*INDEX(IdxPrecio_V,1,MIN(10,CK$173))*(1+V_dPrecio))</f>
        <v>0</v>
      </c>
      <c r="CL210" s="34" t="n">
        <f aca="false">IF(CL$8=1,IF(Reales!$C$46="PYG",IF(CL$10&gt;0,N(Reales!CL46)/CL$10,0),N(Reales!CL46)),CL$185*INDEX(Precio_V,9)*INDEX(IdxPrecio_V,1,MIN(10,CL$173))*(1+V_dPrecio))</f>
        <v>0</v>
      </c>
      <c r="CM210" s="34" t="n">
        <f aca="false">IF(CM$8=1,IF(Reales!$C$46="PYG",IF(CM$10&gt;0,N(Reales!CM46)/CM$10,0),N(Reales!CM46)),CM$185*INDEX(Precio_V,9)*INDEX(IdxPrecio_V,1,MIN(10,CM$173))*(1+V_dPrecio))</f>
        <v>0</v>
      </c>
      <c r="CN210" s="34" t="n">
        <f aca="false">IF(CN$8=1,IF(Reales!$C$46="PYG",IF(CN$10&gt;0,N(Reales!CN46)/CN$10,0),N(Reales!CN46)),CN$185*INDEX(Precio_V,9)*INDEX(IdxPrecio_V,1,MIN(10,CN$173))*(1+V_dPrecio))</f>
        <v>0</v>
      </c>
      <c r="CO210" s="34" t="n">
        <f aca="false">IF(CO$8=1,IF(Reales!$C$46="PYG",IF(CO$10&gt;0,N(Reales!CO46)/CO$10,0),N(Reales!CO46)),CO$185*INDEX(Precio_V,9)*INDEX(IdxPrecio_V,1,MIN(10,CO$173))*(1+V_dPrecio))</f>
        <v>0</v>
      </c>
      <c r="CP210" s="34" t="n">
        <f aca="false">IF(CP$8=1,IF(Reales!$C$46="PYG",IF(CP$10&gt;0,N(Reales!CP46)/CP$10,0),N(Reales!CP46)),CP$185*INDEX(Precio_V,9)*INDEX(IdxPrecio_V,1,MIN(10,CP$173))*(1+V_dPrecio))</f>
        <v>0</v>
      </c>
      <c r="CQ210" s="34" t="n">
        <f aca="false">IF(CQ$8=1,IF(Reales!$C$46="PYG",IF(CQ$10&gt;0,N(Reales!CQ46)/CQ$10,0),N(Reales!CQ46)),CQ$185*INDEX(Precio_V,9)*INDEX(IdxPrecio_V,1,MIN(10,CQ$173))*(1+V_dPrecio))</f>
        <v>0</v>
      </c>
      <c r="CR210" s="34" t="n">
        <f aca="false">IF(CR$8=1,IF(Reales!$C$46="PYG",IF(CR$10&gt;0,N(Reales!CR46)/CR$10,0),N(Reales!CR46)),CR$185*INDEX(Precio_V,9)*INDEX(IdxPrecio_V,1,MIN(10,CR$173))*(1+V_dPrecio))</f>
        <v>0</v>
      </c>
      <c r="CS210" s="34" t="n">
        <f aca="false">IF(CS$8=1,IF(Reales!$C$46="PYG",IF(CS$10&gt;0,N(Reales!CS46)/CS$10,0),N(Reales!CS46)),CS$185*INDEX(Precio_V,9)*INDEX(IdxPrecio_V,1,MIN(10,CS$173))*(1+V_dPrecio))</f>
        <v>0</v>
      </c>
      <c r="CT210" s="34" t="n">
        <f aca="false">IF(CT$8=1,IF(Reales!$C$46="PYG",IF(CT$10&gt;0,N(Reales!CT46)/CT$10,0),N(Reales!CT46)),CT$185*INDEX(Precio_V,9)*INDEX(IdxPrecio_V,1,MIN(10,CT$173))*(1+V_dPrecio))</f>
        <v>0</v>
      </c>
      <c r="CU210" s="34" t="n">
        <f aca="false">IF(CU$8=1,IF(Reales!$C$46="PYG",IF(CU$10&gt;0,N(Reales!CU46)/CU$10,0),N(Reales!CU46)),CU$185*INDEX(Precio_V,9)*INDEX(IdxPrecio_V,1,MIN(10,CU$173))*(1+V_dPrecio))</f>
        <v>0</v>
      </c>
      <c r="CV210" s="34" t="n">
        <f aca="false">IF(CV$8=1,IF(Reales!$C$46="PYG",IF(CV$10&gt;0,N(Reales!CV46)/CV$10,0),N(Reales!CV46)),CV$185*INDEX(Precio_V,9)*INDEX(IdxPrecio_V,1,MIN(10,CV$173))*(1+V_dPrecio))</f>
        <v>0</v>
      </c>
      <c r="CW210" s="34" t="n">
        <f aca="false">IF(CW$8=1,IF(Reales!$C$46="PYG",IF(CW$10&gt;0,N(Reales!CW46)/CW$10,0),N(Reales!CW46)),CW$185*INDEX(Precio_V,9)*INDEX(IdxPrecio_V,1,MIN(10,CW$173))*(1+V_dPrecio))</f>
        <v>0</v>
      </c>
      <c r="CX210" s="34" t="n">
        <f aca="false">IF(CX$8=1,IF(Reales!$C$46="PYG",IF(CX$10&gt;0,N(Reales!CX46)/CX$10,0),N(Reales!CX46)),CX$185*INDEX(Precio_V,9)*INDEX(IdxPrecio_V,1,MIN(10,CX$173))*(1+V_dPrecio))</f>
        <v>0</v>
      </c>
      <c r="CY210" s="34" t="n">
        <f aca="false">IF(CY$8=1,IF(Reales!$C$46="PYG",IF(CY$10&gt;0,N(Reales!CY46)/CY$10,0),N(Reales!CY46)),CY$185*INDEX(Precio_V,9)*INDEX(IdxPrecio_V,1,MIN(10,CY$173))*(1+V_dPrecio))</f>
        <v>0</v>
      </c>
      <c r="CZ210" s="34" t="n">
        <f aca="false">IF(CZ$8=1,IF(Reales!$C$46="PYG",IF(CZ$10&gt;0,N(Reales!CZ46)/CZ$10,0),N(Reales!CZ46)),CZ$185*INDEX(Precio_V,9)*INDEX(IdxPrecio_V,1,MIN(10,CZ$173))*(1+V_dPrecio))</f>
        <v>0</v>
      </c>
      <c r="DA210" s="34" t="n">
        <f aca="false">IF(DA$8=1,IF(Reales!$C$46="PYG",IF(DA$10&gt;0,N(Reales!DA46)/DA$10,0),N(Reales!DA46)),DA$185*INDEX(Precio_V,9)*INDEX(IdxPrecio_V,1,MIN(10,DA$173))*(1+V_dPrecio))</f>
        <v>0</v>
      </c>
      <c r="DB210" s="34" t="n">
        <f aca="false">IF(DB$8=1,IF(Reales!$C$46="PYG",IF(DB$10&gt;0,N(Reales!DB46)/DB$10,0),N(Reales!DB46)),DB$185*INDEX(Precio_V,9)*INDEX(IdxPrecio_V,1,MIN(10,DB$173))*(1+V_dPrecio))</f>
        <v>0</v>
      </c>
      <c r="DC210" s="34" t="n">
        <f aca="false">IF(DC$8=1,IF(Reales!$C$46="PYG",IF(DC$10&gt;0,N(Reales!DC46)/DC$10,0),N(Reales!DC46)),DC$185*INDEX(Precio_V,9)*INDEX(IdxPrecio_V,1,MIN(10,DC$173))*(1+V_dPrecio))</f>
        <v>0</v>
      </c>
      <c r="DD210" s="34" t="n">
        <f aca="false">IF(DD$8=1,IF(Reales!$C$46="PYG",IF(DD$10&gt;0,N(Reales!DD46)/DD$10,0),N(Reales!DD46)),DD$185*INDEX(Precio_V,9)*INDEX(IdxPrecio_V,1,MIN(10,DD$173))*(1+V_dPrecio))</f>
        <v>0</v>
      </c>
      <c r="DE210" s="34" t="n">
        <f aca="false">IF(DE$8=1,IF(Reales!$C$46="PYG",IF(DE$10&gt;0,N(Reales!DE46)/DE$10,0),N(Reales!DE46)),DE$185*INDEX(Precio_V,9)*INDEX(IdxPrecio_V,1,MIN(10,DE$173))*(1+V_dPrecio))</f>
        <v>0</v>
      </c>
      <c r="DF210" s="34" t="n">
        <f aca="false">IF(DF$8=1,IF(Reales!$C$46="PYG",IF(DF$10&gt;0,N(Reales!DF46)/DF$10,0),N(Reales!DF46)),DF$185*INDEX(Precio_V,9)*INDEX(IdxPrecio_V,1,MIN(10,DF$173))*(1+V_dPrecio))</f>
        <v>0</v>
      </c>
      <c r="DG210" s="34" t="n">
        <f aca="false">IF(DG$8=1,IF(Reales!$C$46="PYG",IF(DG$10&gt;0,N(Reales!DG46)/DG$10,0),N(Reales!DG46)),DG$185*INDEX(Precio_V,9)*INDEX(IdxPrecio_V,1,MIN(10,DG$173))*(1+V_dPrecio))</f>
        <v>0</v>
      </c>
      <c r="DH210" s="34" t="n">
        <f aca="false">IF(DH$8=1,IF(Reales!$C$46="PYG",IF(DH$10&gt;0,N(Reales!DH46)/DH$10,0),N(Reales!DH46)),DH$185*INDEX(Precio_V,9)*INDEX(IdxPrecio_V,1,MIN(10,DH$173))*(1+V_dPrecio))</f>
        <v>0</v>
      </c>
      <c r="DI210" s="34" t="n">
        <f aca="false">IF(DI$8=1,IF(Reales!$C$46="PYG",IF(DI$10&gt;0,N(Reales!DI46)/DI$10,0),N(Reales!DI46)),DI$185*INDEX(Precio_V,9)*INDEX(IdxPrecio_V,1,MIN(10,DI$173))*(1+V_dPrecio))</f>
        <v>0</v>
      </c>
      <c r="DJ210" s="34" t="n">
        <f aca="false">IF(DJ$8=1,IF(Reales!$C$46="PYG",IF(DJ$10&gt;0,N(Reales!DJ46)/DJ$10,0),N(Reales!DJ46)),DJ$185*INDEX(Precio_V,9)*INDEX(IdxPrecio_V,1,MIN(10,DJ$173))*(1+V_dPrecio))</f>
        <v>0</v>
      </c>
      <c r="DK210" s="34" t="n">
        <f aca="false">IF(DK$8=1,IF(Reales!$C$46="PYG",IF(DK$10&gt;0,N(Reales!DK46)/DK$10,0),N(Reales!DK46)),DK$185*INDEX(Precio_V,9)*INDEX(IdxPrecio_V,1,MIN(10,DK$173))*(1+V_dPrecio))</f>
        <v>0</v>
      </c>
      <c r="DL210" s="34" t="n">
        <f aca="false">IF(DL$8=1,IF(Reales!$C$46="PYG",IF(DL$10&gt;0,N(Reales!DL46)/DL$10,0),N(Reales!DL46)),DL$185*INDEX(Precio_V,9)*INDEX(IdxPrecio_V,1,MIN(10,DL$173))*(1+V_dPrecio))</f>
        <v>0</v>
      </c>
      <c r="DM210" s="34" t="n">
        <f aca="false">IF(DM$8=1,IF(Reales!$C$46="PYG",IF(DM$10&gt;0,N(Reales!DM46)/DM$10,0),N(Reales!DM46)),DM$185*INDEX(Precio_V,9)*INDEX(IdxPrecio_V,1,MIN(10,DM$173))*(1+V_dPrecio))</f>
        <v>0</v>
      </c>
      <c r="DN210" s="34" t="n">
        <f aca="false">IF(DN$8=1,IF(Reales!$C$46="PYG",IF(DN$10&gt;0,N(Reales!DN46)/DN$10,0),N(Reales!DN46)),DN$185*INDEX(Precio_V,9)*INDEX(IdxPrecio_V,1,MIN(10,DN$173))*(1+V_dPrecio))</f>
        <v>0</v>
      </c>
      <c r="DO210" s="34" t="n">
        <f aca="false">IF(DO$8=1,IF(Reales!$C$46="PYG",IF(DO$10&gt;0,N(Reales!DO46)/DO$10,0),N(Reales!DO46)),DO$185*INDEX(Precio_V,9)*INDEX(IdxPrecio_V,1,MIN(10,DO$173))*(1+V_dPrecio))</f>
        <v>0</v>
      </c>
      <c r="DP210" s="34" t="n">
        <f aca="false">IF(DP$8=1,IF(Reales!$C$46="PYG",IF(DP$10&gt;0,N(Reales!DP46)/DP$10,0),N(Reales!DP46)),DP$185*INDEX(Precio_V,9)*INDEX(IdxPrecio_V,1,MIN(10,DP$173))*(1+V_dPrecio))</f>
        <v>0</v>
      </c>
      <c r="DQ210" s="34" t="n">
        <f aca="false">IF(DQ$8=1,IF(Reales!$C$46="PYG",IF(DQ$10&gt;0,N(Reales!DQ46)/DQ$10,0),N(Reales!DQ46)),DQ$185*INDEX(Precio_V,9)*INDEX(IdxPrecio_V,1,MIN(10,DQ$173))*(1+V_dPrecio))</f>
        <v>0</v>
      </c>
      <c r="DR210" s="34" t="n">
        <f aca="false">IF(DR$8=1,IF(Reales!$C$46="PYG",IF(DR$10&gt;0,N(Reales!DR46)/DR$10,0),N(Reales!DR46)),DR$185*INDEX(Precio_V,9)*INDEX(IdxPrecio_V,1,MIN(10,DR$173))*(1+V_dPrecio))</f>
        <v>0</v>
      </c>
      <c r="DS210" s="34" t="n">
        <f aca="false">IF(DS$8=1,IF(Reales!$C$46="PYG",IF(DS$10&gt;0,N(Reales!DS46)/DS$10,0),N(Reales!DS46)),DS$185*INDEX(Precio_V,9)*INDEX(IdxPrecio_V,1,MIN(10,DS$173))*(1+V_dPrecio))</f>
        <v>0</v>
      </c>
      <c r="DT210" s="34" t="n">
        <f aca="false">IF(DT$8=1,IF(Reales!$C$46="PYG",IF(DT$10&gt;0,N(Reales!DT46)/DT$10,0),N(Reales!DT46)),DT$185*INDEX(Precio_V,9)*INDEX(IdxPrecio_V,1,MIN(10,DT$173))*(1+V_dPrecio))</f>
        <v>0</v>
      </c>
      <c r="DU210" s="34" t="n">
        <f aca="false">IF(DU$8=1,IF(Reales!$C$46="PYG",IF(DU$10&gt;0,N(Reales!DU46)/DU$10,0),N(Reales!DU46)),DU$185*INDEX(Precio_V,9)*INDEX(IdxPrecio_V,1,MIN(10,DU$173))*(1+V_dPrecio))</f>
        <v>0</v>
      </c>
      <c r="DV210" s="34" t="n">
        <f aca="false">IF(DV$8=1,IF(Reales!$C$46="PYG",IF(DV$10&gt;0,N(Reales!DV46)/DV$10,0),N(Reales!DV46)),DV$185*INDEX(Precio_V,9)*INDEX(IdxPrecio_V,1,MIN(10,DV$173))*(1+V_dPrecio))</f>
        <v>0</v>
      </c>
      <c r="DW210" s="34" t="n">
        <f aca="false">IF(DW$8=1,IF(Reales!$C$46="PYG",IF(DW$10&gt;0,N(Reales!DW46)/DW$10,0),N(Reales!DW46)),DW$185*INDEX(Precio_V,9)*INDEX(IdxPrecio_V,1,MIN(10,DW$173))*(1+V_dPrecio))</f>
        <v>0</v>
      </c>
      <c r="DX210" s="34" t="n">
        <f aca="false">IF(DX$8=1,IF(Reales!$C$46="PYG",IF(DX$10&gt;0,N(Reales!DX46)/DX$10,0),N(Reales!DX46)),DX$185*INDEX(Precio_V,9)*INDEX(IdxPrecio_V,1,MIN(10,DX$173))*(1+V_dPrecio))</f>
        <v>0</v>
      </c>
      <c r="DY210" s="34" t="n">
        <f aca="false">IF(DY$8=1,IF(Reales!$C$46="PYG",IF(DY$10&gt;0,N(Reales!DY46)/DY$10,0),N(Reales!DY46)),DY$185*INDEX(Precio_V,9)*INDEX(IdxPrecio_V,1,MIN(10,DY$173))*(1+V_dPrecio))</f>
        <v>0</v>
      </c>
      <c r="DZ210" s="34" t="n">
        <f aca="false">IF(DZ$8=1,IF(Reales!$C$46="PYG",IF(DZ$10&gt;0,N(Reales!DZ46)/DZ$10,0),N(Reales!DZ46)),DZ$185*INDEX(Precio_V,9)*INDEX(IdxPrecio_V,1,MIN(10,DZ$173))*(1+V_dPrecio))</f>
        <v>0</v>
      </c>
      <c r="EA210" s="34" t="n">
        <f aca="false">IF(EA$8=1,IF(Reales!$C$46="PYG",IF(EA$10&gt;0,N(Reales!EA46)/EA$10,0),N(Reales!EA46)),EA$185*INDEX(Precio_V,9)*INDEX(IdxPrecio_V,1,MIN(10,EA$173))*(1+V_dPrecio))</f>
        <v>0</v>
      </c>
      <c r="EB210" s="34" t="n">
        <f aca="false">IF(EB$8=1,IF(Reales!$C$46="PYG",IF(EB$10&gt;0,N(Reales!EB46)/EB$10,0),N(Reales!EB46)),EB$185*INDEX(Precio_V,9)*INDEX(IdxPrecio_V,1,MIN(10,EB$173))*(1+V_dPrecio))</f>
        <v>0</v>
      </c>
      <c r="EC210" s="34" t="n">
        <f aca="false">IF(EC$8=1,IF(Reales!$C$46="PYG",IF(EC$10&gt;0,N(Reales!EC46)/EC$10,0),N(Reales!EC46)),EC$185*INDEX(Precio_V,9)*INDEX(IdxPrecio_V,1,MIN(10,EC$173))*(1+V_dPrecio))</f>
        <v>0</v>
      </c>
      <c r="ED210" s="34" t="n">
        <f aca="false">IF(ED$8=1,IF(Reales!$C$46="PYG",IF(ED$10&gt;0,N(Reales!ED46)/ED$10,0),N(Reales!ED46)),ED$185*INDEX(Precio_V,9)*INDEX(IdxPrecio_V,1,MIN(10,ED$173))*(1+V_dPrecio))</f>
        <v>0</v>
      </c>
      <c r="EE210" s="34" t="n">
        <f aca="false">IF(EE$8=1,IF(Reales!$C$46="PYG",IF(EE$10&gt;0,N(Reales!EE46)/EE$10,0),N(Reales!EE46)),EE$185*INDEX(Precio_V,9)*INDEX(IdxPrecio_V,1,MIN(10,EE$173))*(1+V_dPrecio))</f>
        <v>0</v>
      </c>
      <c r="EF210" s="34" t="n">
        <f aca="false">IF(EF$8=1,IF(Reales!$C$46="PYG",IF(EF$10&gt;0,N(Reales!EF46)/EF$10,0),N(Reales!EF46)),EF$185*INDEX(Precio_V,9)*INDEX(IdxPrecio_V,1,MIN(10,EF$173))*(1+V_dPrecio))</f>
        <v>0</v>
      </c>
      <c r="EG210" s="34" t="n">
        <f aca="false">IF(EG$8=1,IF(Reales!$C$46="PYG",IF(EG$10&gt;0,N(Reales!EG46)/EG$10,0),N(Reales!EG46)),EG$185*INDEX(Precio_V,9)*INDEX(IdxPrecio_V,1,MIN(10,EG$173))*(1+V_dPrecio))</f>
        <v>0</v>
      </c>
      <c r="EH210" s="34" t="n">
        <f aca="false">IF(EH$8=1,IF(Reales!$C$46="PYG",IF(EH$10&gt;0,N(Reales!EH46)/EH$10,0),N(Reales!EH46)),EH$185*INDEX(Precio_V,9)*INDEX(IdxPrecio_V,1,MIN(10,EH$173))*(1+V_dPrecio))</f>
        <v>0</v>
      </c>
      <c r="EI210" s="34" t="n">
        <f aca="false">IF(EI$8=1,IF(Reales!$C$46="PYG",IF(EI$10&gt;0,N(Reales!EI46)/EI$10,0),N(Reales!EI46)),EI$185*INDEX(Precio_V,9)*INDEX(IdxPrecio_V,1,MIN(10,EI$173))*(1+V_dPrecio))</f>
        <v>0</v>
      </c>
      <c r="EJ210" s="34" t="n">
        <f aca="false">IF(EJ$8=1,IF(Reales!$C$46="PYG",IF(EJ$10&gt;0,N(Reales!EJ46)/EJ$10,0),N(Reales!EJ46)),EJ$185*INDEX(Precio_V,9)*INDEX(IdxPrecio_V,1,MIN(10,EJ$173))*(1+V_dPrecio))</f>
        <v>0</v>
      </c>
      <c r="EK210" s="34" t="n">
        <f aca="false">IF(EK$8=1,IF(Reales!$C$46="PYG",IF(EK$10&gt;0,N(Reales!EK46)/EK$10,0),N(Reales!EK46)),EK$185*INDEX(Precio_V,9)*INDEX(IdxPrecio_V,1,MIN(10,EK$173))*(1+V_dPrecio))</f>
        <v>0</v>
      </c>
      <c r="EL210" s="34" t="n">
        <f aca="false">IF(EL$8=1,IF(Reales!$C$46="PYG",IF(EL$10&gt;0,N(Reales!EL46)/EL$10,0),N(Reales!EL46)),EL$185*INDEX(Precio_V,9)*INDEX(IdxPrecio_V,1,MIN(10,EL$173))*(1+V_dPrecio))</f>
        <v>0</v>
      </c>
      <c r="EM210" s="34" t="n">
        <f aca="false">IF(EM$8=1,IF(Reales!$C$46="PYG",IF(EM$10&gt;0,N(Reales!EM46)/EM$10,0),N(Reales!EM46)),EM$185*INDEX(Precio_V,9)*INDEX(IdxPrecio_V,1,MIN(10,EM$173))*(1+V_dPrecio))</f>
        <v>0</v>
      </c>
      <c r="EN210" s="34" t="n">
        <f aca="false">IF(EN$8=1,IF(Reales!$C$46="PYG",IF(EN$10&gt;0,N(Reales!EN46)/EN$10,0),N(Reales!EN46)),EN$185*INDEX(Precio_V,9)*INDEX(IdxPrecio_V,1,MIN(10,EN$173))*(1+V_dPrecio))</f>
        <v>0</v>
      </c>
      <c r="EO210" s="34" t="n">
        <f aca="false">IF(EO$8=1,IF(Reales!$C$46="PYG",IF(EO$10&gt;0,N(Reales!EO46)/EO$10,0),N(Reales!EO46)),EO$185*INDEX(Precio_V,9)*INDEX(IdxPrecio_V,1,MIN(10,EO$173))*(1+V_dPrecio))</f>
        <v>0</v>
      </c>
      <c r="EP210" s="34" t="n">
        <f aca="false">IF(EP$8=1,IF(Reales!$C$46="PYG",IF(EP$10&gt;0,N(Reales!EP46)/EP$10,0),N(Reales!EP46)),EP$185*INDEX(Precio_V,9)*INDEX(IdxPrecio_V,1,MIN(10,EP$173))*(1+V_dPrecio))</f>
        <v>0</v>
      </c>
      <c r="EQ210" s="34" t="n">
        <f aca="false">IF(EQ$8=1,IF(Reales!$C$46="PYG",IF(EQ$10&gt;0,N(Reales!EQ46)/EQ$10,0),N(Reales!EQ46)),EQ$185*INDEX(Precio_V,9)*INDEX(IdxPrecio_V,1,MIN(10,EQ$173))*(1+V_dPrecio))</f>
        <v>0</v>
      </c>
      <c r="ER210" s="34" t="n">
        <f aca="false">IF(ER$8=1,IF(Reales!$C$46="PYG",IF(ER$10&gt;0,N(Reales!ER46)/ER$10,0),N(Reales!ER46)),ER$185*INDEX(Precio_V,9)*INDEX(IdxPrecio_V,1,MIN(10,ER$173))*(1+V_dPrecio))</f>
        <v>0</v>
      </c>
      <c r="ES210" s="34" t="n">
        <f aca="false">IF(ES$8=1,IF(Reales!$C$46="PYG",IF(ES$10&gt;0,N(Reales!ES46)/ES$10,0),N(Reales!ES46)),ES$185*INDEX(Precio_V,9)*INDEX(IdxPrecio_V,1,MIN(10,ES$173))*(1+V_dPrecio))</f>
        <v>0</v>
      </c>
    </row>
    <row r="211" customFormat="false" ht="15" hidden="false" customHeight="false" outlineLevel="0" collapsed="false">
      <c r="A211" s="2" t="s">
        <v>853</v>
      </c>
      <c r="B211" s="39" t="str">
        <f aca="false">IF(INDEX(Prod_Nombre,10)="","Producto 10",INDEX(Prod_Nombre,10))&amp;" — ventas USD"</f>
        <v>Producto 10 — ventas USD</v>
      </c>
      <c r="C211" s="6" t="s">
        <v>250</v>
      </c>
      <c r="E211" s="40" t="n">
        <f aca="false">SUM(F211:ES211)</f>
        <v>0</v>
      </c>
      <c r="F211" s="34" t="n">
        <f aca="false">IF(F$8=1,IF(Reales!$C$47="PYG",IF(F$10&gt;0,N(Reales!F47)/F$10,0),N(Reales!F47)),F$186*INDEX(Precio_V,10)*INDEX(IdxPrecio_V,1,MIN(10,F$173))*(1+V_dPrecio))</f>
        <v>0</v>
      </c>
      <c r="G211" s="34" t="n">
        <f aca="false">IF(G$8=1,IF(Reales!$C$47="PYG",IF(G$10&gt;0,N(Reales!G47)/G$10,0),N(Reales!G47)),G$186*INDEX(Precio_V,10)*INDEX(IdxPrecio_V,1,MIN(10,G$173))*(1+V_dPrecio))</f>
        <v>0</v>
      </c>
      <c r="H211" s="34" t="n">
        <f aca="false">IF(H$8=1,IF(Reales!$C$47="PYG",IF(H$10&gt;0,N(Reales!H47)/H$10,0),N(Reales!H47)),H$186*INDEX(Precio_V,10)*INDEX(IdxPrecio_V,1,MIN(10,H$173))*(1+V_dPrecio))</f>
        <v>0</v>
      </c>
      <c r="I211" s="34" t="n">
        <f aca="false">IF(I$8=1,IF(Reales!$C$47="PYG",IF(I$10&gt;0,N(Reales!I47)/I$10,0),N(Reales!I47)),I$186*INDEX(Precio_V,10)*INDEX(IdxPrecio_V,1,MIN(10,I$173))*(1+V_dPrecio))</f>
        <v>0</v>
      </c>
      <c r="J211" s="34" t="n">
        <f aca="false">IF(J$8=1,IF(Reales!$C$47="PYG",IF(J$10&gt;0,N(Reales!J47)/J$10,0),N(Reales!J47)),J$186*INDEX(Precio_V,10)*INDEX(IdxPrecio_V,1,MIN(10,J$173))*(1+V_dPrecio))</f>
        <v>0</v>
      </c>
      <c r="K211" s="34" t="n">
        <f aca="false">IF(K$8=1,IF(Reales!$C$47="PYG",IF(K$10&gt;0,N(Reales!K47)/K$10,0),N(Reales!K47)),K$186*INDEX(Precio_V,10)*INDEX(IdxPrecio_V,1,MIN(10,K$173))*(1+V_dPrecio))</f>
        <v>0</v>
      </c>
      <c r="L211" s="34" t="n">
        <f aca="false">IF(L$8=1,IF(Reales!$C$47="PYG",IF(L$10&gt;0,N(Reales!L47)/L$10,0),N(Reales!L47)),L$186*INDEX(Precio_V,10)*INDEX(IdxPrecio_V,1,MIN(10,L$173))*(1+V_dPrecio))</f>
        <v>0</v>
      </c>
      <c r="M211" s="34" t="n">
        <f aca="false">IF(M$8=1,IF(Reales!$C$47="PYG",IF(M$10&gt;0,N(Reales!M47)/M$10,0),N(Reales!M47)),M$186*INDEX(Precio_V,10)*INDEX(IdxPrecio_V,1,MIN(10,M$173))*(1+V_dPrecio))</f>
        <v>0</v>
      </c>
      <c r="N211" s="34" t="n">
        <f aca="false">IF(N$8=1,IF(Reales!$C$47="PYG",IF(N$10&gt;0,N(Reales!N47)/N$10,0),N(Reales!N47)),N$186*INDEX(Precio_V,10)*INDEX(IdxPrecio_V,1,MIN(10,N$173))*(1+V_dPrecio))</f>
        <v>0</v>
      </c>
      <c r="O211" s="34" t="n">
        <f aca="false">IF(O$8=1,IF(Reales!$C$47="PYG",IF(O$10&gt;0,N(Reales!O47)/O$10,0),N(Reales!O47)),O$186*INDEX(Precio_V,10)*INDEX(IdxPrecio_V,1,MIN(10,O$173))*(1+V_dPrecio))</f>
        <v>0</v>
      </c>
      <c r="P211" s="34" t="n">
        <f aca="false">IF(P$8=1,IF(Reales!$C$47="PYG",IF(P$10&gt;0,N(Reales!P47)/P$10,0),N(Reales!P47)),P$186*INDEX(Precio_V,10)*INDEX(IdxPrecio_V,1,MIN(10,P$173))*(1+V_dPrecio))</f>
        <v>0</v>
      </c>
      <c r="Q211" s="34" t="n">
        <f aca="false">IF(Q$8=1,IF(Reales!$C$47="PYG",IF(Q$10&gt;0,N(Reales!Q47)/Q$10,0),N(Reales!Q47)),Q$186*INDEX(Precio_V,10)*INDEX(IdxPrecio_V,1,MIN(10,Q$173))*(1+V_dPrecio))</f>
        <v>0</v>
      </c>
      <c r="R211" s="34" t="n">
        <f aca="false">IF(R$8=1,IF(Reales!$C$47="PYG",IF(R$10&gt;0,N(Reales!R47)/R$10,0),N(Reales!R47)),R$186*INDEX(Precio_V,10)*INDEX(IdxPrecio_V,1,MIN(10,R$173))*(1+V_dPrecio))</f>
        <v>0</v>
      </c>
      <c r="S211" s="34" t="n">
        <f aca="false">IF(S$8=1,IF(Reales!$C$47="PYG",IF(S$10&gt;0,N(Reales!S47)/S$10,0),N(Reales!S47)),S$186*INDEX(Precio_V,10)*INDEX(IdxPrecio_V,1,MIN(10,S$173))*(1+V_dPrecio))</f>
        <v>0</v>
      </c>
      <c r="T211" s="34" t="n">
        <f aca="false">IF(T$8=1,IF(Reales!$C$47="PYG",IF(T$10&gt;0,N(Reales!T47)/T$10,0),N(Reales!T47)),T$186*INDEX(Precio_V,10)*INDEX(IdxPrecio_V,1,MIN(10,T$173))*(1+V_dPrecio))</f>
        <v>0</v>
      </c>
      <c r="U211" s="34" t="n">
        <f aca="false">IF(U$8=1,IF(Reales!$C$47="PYG",IF(U$10&gt;0,N(Reales!U47)/U$10,0),N(Reales!U47)),U$186*INDEX(Precio_V,10)*INDEX(IdxPrecio_V,1,MIN(10,U$173))*(1+V_dPrecio))</f>
        <v>0</v>
      </c>
      <c r="V211" s="34" t="n">
        <f aca="false">IF(V$8=1,IF(Reales!$C$47="PYG",IF(V$10&gt;0,N(Reales!V47)/V$10,0),N(Reales!V47)),V$186*INDEX(Precio_V,10)*INDEX(IdxPrecio_V,1,MIN(10,V$173))*(1+V_dPrecio))</f>
        <v>0</v>
      </c>
      <c r="W211" s="34" t="n">
        <f aca="false">IF(W$8=1,IF(Reales!$C$47="PYG",IF(W$10&gt;0,N(Reales!W47)/W$10,0),N(Reales!W47)),W$186*INDEX(Precio_V,10)*INDEX(IdxPrecio_V,1,MIN(10,W$173))*(1+V_dPrecio))</f>
        <v>0</v>
      </c>
      <c r="X211" s="34" t="n">
        <f aca="false">IF(X$8=1,IF(Reales!$C$47="PYG",IF(X$10&gt;0,N(Reales!X47)/X$10,0),N(Reales!X47)),X$186*INDEX(Precio_V,10)*INDEX(IdxPrecio_V,1,MIN(10,X$173))*(1+V_dPrecio))</f>
        <v>0</v>
      </c>
      <c r="Y211" s="34" t="n">
        <f aca="false">IF(Y$8=1,IF(Reales!$C$47="PYG",IF(Y$10&gt;0,N(Reales!Y47)/Y$10,0),N(Reales!Y47)),Y$186*INDEX(Precio_V,10)*INDEX(IdxPrecio_V,1,MIN(10,Y$173))*(1+V_dPrecio))</f>
        <v>0</v>
      </c>
      <c r="Z211" s="34" t="n">
        <f aca="false">IF(Z$8=1,IF(Reales!$C$47="PYG",IF(Z$10&gt;0,N(Reales!Z47)/Z$10,0),N(Reales!Z47)),Z$186*INDEX(Precio_V,10)*INDEX(IdxPrecio_V,1,MIN(10,Z$173))*(1+V_dPrecio))</f>
        <v>0</v>
      </c>
      <c r="AA211" s="34" t="n">
        <f aca="false">IF(AA$8=1,IF(Reales!$C$47="PYG",IF(AA$10&gt;0,N(Reales!AA47)/AA$10,0),N(Reales!AA47)),AA$186*INDEX(Precio_V,10)*INDEX(IdxPrecio_V,1,MIN(10,AA$173))*(1+V_dPrecio))</f>
        <v>0</v>
      </c>
      <c r="AB211" s="34" t="n">
        <f aca="false">IF(AB$8=1,IF(Reales!$C$47="PYG",IF(AB$10&gt;0,N(Reales!AB47)/AB$10,0),N(Reales!AB47)),AB$186*INDEX(Precio_V,10)*INDEX(IdxPrecio_V,1,MIN(10,AB$173))*(1+V_dPrecio))</f>
        <v>0</v>
      </c>
      <c r="AC211" s="34" t="n">
        <f aca="false">IF(AC$8=1,IF(Reales!$C$47="PYG",IF(AC$10&gt;0,N(Reales!AC47)/AC$10,0),N(Reales!AC47)),AC$186*INDEX(Precio_V,10)*INDEX(IdxPrecio_V,1,MIN(10,AC$173))*(1+V_dPrecio))</f>
        <v>0</v>
      </c>
      <c r="AD211" s="34" t="n">
        <f aca="false">IF(AD$8=1,IF(Reales!$C$47="PYG",IF(AD$10&gt;0,N(Reales!AD47)/AD$10,0),N(Reales!AD47)),AD$186*INDEX(Precio_V,10)*INDEX(IdxPrecio_V,1,MIN(10,AD$173))*(1+V_dPrecio))</f>
        <v>0</v>
      </c>
      <c r="AE211" s="34" t="n">
        <f aca="false">IF(AE$8=1,IF(Reales!$C$47="PYG",IF(AE$10&gt;0,N(Reales!AE47)/AE$10,0),N(Reales!AE47)),AE$186*INDEX(Precio_V,10)*INDEX(IdxPrecio_V,1,MIN(10,AE$173))*(1+V_dPrecio))</f>
        <v>0</v>
      </c>
      <c r="AF211" s="34" t="n">
        <f aca="false">IF(AF$8=1,IF(Reales!$C$47="PYG",IF(AF$10&gt;0,N(Reales!AF47)/AF$10,0),N(Reales!AF47)),AF$186*INDEX(Precio_V,10)*INDEX(IdxPrecio_V,1,MIN(10,AF$173))*(1+V_dPrecio))</f>
        <v>0</v>
      </c>
      <c r="AG211" s="34" t="n">
        <f aca="false">IF(AG$8=1,IF(Reales!$C$47="PYG",IF(AG$10&gt;0,N(Reales!AG47)/AG$10,0),N(Reales!AG47)),AG$186*INDEX(Precio_V,10)*INDEX(IdxPrecio_V,1,MIN(10,AG$173))*(1+V_dPrecio))</f>
        <v>0</v>
      </c>
      <c r="AH211" s="34" t="n">
        <f aca="false">IF(AH$8=1,IF(Reales!$C$47="PYG",IF(AH$10&gt;0,N(Reales!AH47)/AH$10,0),N(Reales!AH47)),AH$186*INDEX(Precio_V,10)*INDEX(IdxPrecio_V,1,MIN(10,AH$173))*(1+V_dPrecio))</f>
        <v>0</v>
      </c>
      <c r="AI211" s="34" t="n">
        <f aca="false">IF(AI$8=1,IF(Reales!$C$47="PYG",IF(AI$10&gt;0,N(Reales!AI47)/AI$10,0),N(Reales!AI47)),AI$186*INDEX(Precio_V,10)*INDEX(IdxPrecio_V,1,MIN(10,AI$173))*(1+V_dPrecio))</f>
        <v>0</v>
      </c>
      <c r="AJ211" s="34" t="n">
        <f aca="false">IF(AJ$8=1,IF(Reales!$C$47="PYG",IF(AJ$10&gt;0,N(Reales!AJ47)/AJ$10,0),N(Reales!AJ47)),AJ$186*INDEX(Precio_V,10)*INDEX(IdxPrecio_V,1,MIN(10,AJ$173))*(1+V_dPrecio))</f>
        <v>0</v>
      </c>
      <c r="AK211" s="34" t="n">
        <f aca="false">IF(AK$8=1,IF(Reales!$C$47="PYG",IF(AK$10&gt;0,N(Reales!AK47)/AK$10,0),N(Reales!AK47)),AK$186*INDEX(Precio_V,10)*INDEX(IdxPrecio_V,1,MIN(10,AK$173))*(1+V_dPrecio))</f>
        <v>0</v>
      </c>
      <c r="AL211" s="34" t="n">
        <f aca="false">IF(AL$8=1,IF(Reales!$C$47="PYG",IF(AL$10&gt;0,N(Reales!AL47)/AL$10,0),N(Reales!AL47)),AL$186*INDEX(Precio_V,10)*INDEX(IdxPrecio_V,1,MIN(10,AL$173))*(1+V_dPrecio))</f>
        <v>0</v>
      </c>
      <c r="AM211" s="34" t="n">
        <f aca="false">IF(AM$8=1,IF(Reales!$C$47="PYG",IF(AM$10&gt;0,N(Reales!AM47)/AM$10,0),N(Reales!AM47)),AM$186*INDEX(Precio_V,10)*INDEX(IdxPrecio_V,1,MIN(10,AM$173))*(1+V_dPrecio))</f>
        <v>0</v>
      </c>
      <c r="AN211" s="34" t="n">
        <f aca="false">IF(AN$8=1,IF(Reales!$C$47="PYG",IF(AN$10&gt;0,N(Reales!AN47)/AN$10,0),N(Reales!AN47)),AN$186*INDEX(Precio_V,10)*INDEX(IdxPrecio_V,1,MIN(10,AN$173))*(1+V_dPrecio))</f>
        <v>0</v>
      </c>
      <c r="AO211" s="34" t="n">
        <f aca="false">IF(AO$8=1,IF(Reales!$C$47="PYG",IF(AO$10&gt;0,N(Reales!AO47)/AO$10,0),N(Reales!AO47)),AO$186*INDEX(Precio_V,10)*INDEX(IdxPrecio_V,1,MIN(10,AO$173))*(1+V_dPrecio))</f>
        <v>0</v>
      </c>
      <c r="AP211" s="34" t="n">
        <f aca="false">IF(AP$8=1,IF(Reales!$C$47="PYG",IF(AP$10&gt;0,N(Reales!AP47)/AP$10,0),N(Reales!AP47)),AP$186*INDEX(Precio_V,10)*INDEX(IdxPrecio_V,1,MIN(10,AP$173))*(1+V_dPrecio))</f>
        <v>0</v>
      </c>
      <c r="AQ211" s="34" t="n">
        <f aca="false">IF(AQ$8=1,IF(Reales!$C$47="PYG",IF(AQ$10&gt;0,N(Reales!AQ47)/AQ$10,0),N(Reales!AQ47)),AQ$186*INDEX(Precio_V,10)*INDEX(IdxPrecio_V,1,MIN(10,AQ$173))*(1+V_dPrecio))</f>
        <v>0</v>
      </c>
      <c r="AR211" s="34" t="n">
        <f aca="false">IF(AR$8=1,IF(Reales!$C$47="PYG",IF(AR$10&gt;0,N(Reales!AR47)/AR$10,0),N(Reales!AR47)),AR$186*INDEX(Precio_V,10)*INDEX(IdxPrecio_V,1,MIN(10,AR$173))*(1+V_dPrecio))</f>
        <v>0</v>
      </c>
      <c r="AS211" s="34" t="n">
        <f aca="false">IF(AS$8=1,IF(Reales!$C$47="PYG",IF(AS$10&gt;0,N(Reales!AS47)/AS$10,0),N(Reales!AS47)),AS$186*INDEX(Precio_V,10)*INDEX(IdxPrecio_V,1,MIN(10,AS$173))*(1+V_dPrecio))</f>
        <v>0</v>
      </c>
      <c r="AT211" s="34" t="n">
        <f aca="false">IF(AT$8=1,IF(Reales!$C$47="PYG",IF(AT$10&gt;0,N(Reales!AT47)/AT$10,0),N(Reales!AT47)),AT$186*INDEX(Precio_V,10)*INDEX(IdxPrecio_V,1,MIN(10,AT$173))*(1+V_dPrecio))</f>
        <v>0</v>
      </c>
      <c r="AU211" s="34" t="n">
        <f aca="false">IF(AU$8=1,IF(Reales!$C$47="PYG",IF(AU$10&gt;0,N(Reales!AU47)/AU$10,0),N(Reales!AU47)),AU$186*INDEX(Precio_V,10)*INDEX(IdxPrecio_V,1,MIN(10,AU$173))*(1+V_dPrecio))</f>
        <v>0</v>
      </c>
      <c r="AV211" s="34" t="n">
        <f aca="false">IF(AV$8=1,IF(Reales!$C$47="PYG",IF(AV$10&gt;0,N(Reales!AV47)/AV$10,0),N(Reales!AV47)),AV$186*INDEX(Precio_V,10)*INDEX(IdxPrecio_V,1,MIN(10,AV$173))*(1+V_dPrecio))</f>
        <v>0</v>
      </c>
      <c r="AW211" s="34" t="n">
        <f aca="false">IF(AW$8=1,IF(Reales!$C$47="PYG",IF(AW$10&gt;0,N(Reales!AW47)/AW$10,0),N(Reales!AW47)),AW$186*INDEX(Precio_V,10)*INDEX(IdxPrecio_V,1,MIN(10,AW$173))*(1+V_dPrecio))</f>
        <v>0</v>
      </c>
      <c r="AX211" s="34" t="n">
        <f aca="false">IF(AX$8=1,IF(Reales!$C$47="PYG",IF(AX$10&gt;0,N(Reales!AX47)/AX$10,0),N(Reales!AX47)),AX$186*INDEX(Precio_V,10)*INDEX(IdxPrecio_V,1,MIN(10,AX$173))*(1+V_dPrecio))</f>
        <v>0</v>
      </c>
      <c r="AY211" s="34" t="n">
        <f aca="false">IF(AY$8=1,IF(Reales!$C$47="PYG",IF(AY$10&gt;0,N(Reales!AY47)/AY$10,0),N(Reales!AY47)),AY$186*INDEX(Precio_V,10)*INDEX(IdxPrecio_V,1,MIN(10,AY$173))*(1+V_dPrecio))</f>
        <v>0</v>
      </c>
      <c r="AZ211" s="34" t="n">
        <f aca="false">IF(AZ$8=1,IF(Reales!$C$47="PYG",IF(AZ$10&gt;0,N(Reales!AZ47)/AZ$10,0),N(Reales!AZ47)),AZ$186*INDEX(Precio_V,10)*INDEX(IdxPrecio_V,1,MIN(10,AZ$173))*(1+V_dPrecio))</f>
        <v>0</v>
      </c>
      <c r="BA211" s="34" t="n">
        <f aca="false">IF(BA$8=1,IF(Reales!$C$47="PYG",IF(BA$10&gt;0,N(Reales!BA47)/BA$10,0),N(Reales!BA47)),BA$186*INDEX(Precio_V,10)*INDEX(IdxPrecio_V,1,MIN(10,BA$173))*(1+V_dPrecio))</f>
        <v>0</v>
      </c>
      <c r="BB211" s="34" t="n">
        <f aca="false">IF(BB$8=1,IF(Reales!$C$47="PYG",IF(BB$10&gt;0,N(Reales!BB47)/BB$10,0),N(Reales!BB47)),BB$186*INDEX(Precio_V,10)*INDEX(IdxPrecio_V,1,MIN(10,BB$173))*(1+V_dPrecio))</f>
        <v>0</v>
      </c>
      <c r="BC211" s="34" t="n">
        <f aca="false">IF(BC$8=1,IF(Reales!$C$47="PYG",IF(BC$10&gt;0,N(Reales!BC47)/BC$10,0),N(Reales!BC47)),BC$186*INDEX(Precio_V,10)*INDEX(IdxPrecio_V,1,MIN(10,BC$173))*(1+V_dPrecio))</f>
        <v>0</v>
      </c>
      <c r="BD211" s="34" t="n">
        <f aca="false">IF(BD$8=1,IF(Reales!$C$47="PYG",IF(BD$10&gt;0,N(Reales!BD47)/BD$10,0),N(Reales!BD47)),BD$186*INDEX(Precio_V,10)*INDEX(IdxPrecio_V,1,MIN(10,BD$173))*(1+V_dPrecio))</f>
        <v>0</v>
      </c>
      <c r="BE211" s="34" t="n">
        <f aca="false">IF(BE$8=1,IF(Reales!$C$47="PYG",IF(BE$10&gt;0,N(Reales!BE47)/BE$10,0),N(Reales!BE47)),BE$186*INDEX(Precio_V,10)*INDEX(IdxPrecio_V,1,MIN(10,BE$173))*(1+V_dPrecio))</f>
        <v>0</v>
      </c>
      <c r="BF211" s="34" t="n">
        <f aca="false">IF(BF$8=1,IF(Reales!$C$47="PYG",IF(BF$10&gt;0,N(Reales!BF47)/BF$10,0),N(Reales!BF47)),BF$186*INDEX(Precio_V,10)*INDEX(IdxPrecio_V,1,MIN(10,BF$173))*(1+V_dPrecio))</f>
        <v>0</v>
      </c>
      <c r="BG211" s="34" t="n">
        <f aca="false">IF(BG$8=1,IF(Reales!$C$47="PYG",IF(BG$10&gt;0,N(Reales!BG47)/BG$10,0),N(Reales!BG47)),BG$186*INDEX(Precio_V,10)*INDEX(IdxPrecio_V,1,MIN(10,BG$173))*(1+V_dPrecio))</f>
        <v>0</v>
      </c>
      <c r="BH211" s="34" t="n">
        <f aca="false">IF(BH$8=1,IF(Reales!$C$47="PYG",IF(BH$10&gt;0,N(Reales!BH47)/BH$10,0),N(Reales!BH47)),BH$186*INDEX(Precio_V,10)*INDEX(IdxPrecio_V,1,MIN(10,BH$173))*(1+V_dPrecio))</f>
        <v>0</v>
      </c>
      <c r="BI211" s="34" t="n">
        <f aca="false">IF(BI$8=1,IF(Reales!$C$47="PYG",IF(BI$10&gt;0,N(Reales!BI47)/BI$10,0),N(Reales!BI47)),BI$186*INDEX(Precio_V,10)*INDEX(IdxPrecio_V,1,MIN(10,BI$173))*(1+V_dPrecio))</f>
        <v>0</v>
      </c>
      <c r="BJ211" s="34" t="n">
        <f aca="false">IF(BJ$8=1,IF(Reales!$C$47="PYG",IF(BJ$10&gt;0,N(Reales!BJ47)/BJ$10,0),N(Reales!BJ47)),BJ$186*INDEX(Precio_V,10)*INDEX(IdxPrecio_V,1,MIN(10,BJ$173))*(1+V_dPrecio))</f>
        <v>0</v>
      </c>
      <c r="BK211" s="34" t="n">
        <f aca="false">IF(BK$8=1,IF(Reales!$C$47="PYG",IF(BK$10&gt;0,N(Reales!BK47)/BK$10,0),N(Reales!BK47)),BK$186*INDEX(Precio_V,10)*INDEX(IdxPrecio_V,1,MIN(10,BK$173))*(1+V_dPrecio))</f>
        <v>0</v>
      </c>
      <c r="BL211" s="34" t="n">
        <f aca="false">IF(BL$8=1,IF(Reales!$C$47="PYG",IF(BL$10&gt;0,N(Reales!BL47)/BL$10,0),N(Reales!BL47)),BL$186*INDEX(Precio_V,10)*INDEX(IdxPrecio_V,1,MIN(10,BL$173))*(1+V_dPrecio))</f>
        <v>0</v>
      </c>
      <c r="BM211" s="34" t="n">
        <f aca="false">IF(BM$8=1,IF(Reales!$C$47="PYG",IF(BM$10&gt;0,N(Reales!BM47)/BM$10,0),N(Reales!BM47)),BM$186*INDEX(Precio_V,10)*INDEX(IdxPrecio_V,1,MIN(10,BM$173))*(1+V_dPrecio))</f>
        <v>0</v>
      </c>
      <c r="BN211" s="34" t="n">
        <f aca="false">IF(BN$8=1,IF(Reales!$C$47="PYG",IF(BN$10&gt;0,N(Reales!BN47)/BN$10,0),N(Reales!BN47)),BN$186*INDEX(Precio_V,10)*INDEX(IdxPrecio_V,1,MIN(10,BN$173))*(1+V_dPrecio))</f>
        <v>0</v>
      </c>
      <c r="BO211" s="34" t="n">
        <f aca="false">IF(BO$8=1,IF(Reales!$C$47="PYG",IF(BO$10&gt;0,N(Reales!BO47)/BO$10,0),N(Reales!BO47)),BO$186*INDEX(Precio_V,10)*INDEX(IdxPrecio_V,1,MIN(10,BO$173))*(1+V_dPrecio))</f>
        <v>0</v>
      </c>
      <c r="BP211" s="34" t="n">
        <f aca="false">IF(BP$8=1,IF(Reales!$C$47="PYG",IF(BP$10&gt;0,N(Reales!BP47)/BP$10,0),N(Reales!BP47)),BP$186*INDEX(Precio_V,10)*INDEX(IdxPrecio_V,1,MIN(10,BP$173))*(1+V_dPrecio))</f>
        <v>0</v>
      </c>
      <c r="BQ211" s="34" t="n">
        <f aca="false">IF(BQ$8=1,IF(Reales!$C$47="PYG",IF(BQ$10&gt;0,N(Reales!BQ47)/BQ$10,0),N(Reales!BQ47)),BQ$186*INDEX(Precio_V,10)*INDEX(IdxPrecio_V,1,MIN(10,BQ$173))*(1+V_dPrecio))</f>
        <v>0</v>
      </c>
      <c r="BR211" s="34" t="n">
        <f aca="false">IF(BR$8=1,IF(Reales!$C$47="PYG",IF(BR$10&gt;0,N(Reales!BR47)/BR$10,0),N(Reales!BR47)),BR$186*INDEX(Precio_V,10)*INDEX(IdxPrecio_V,1,MIN(10,BR$173))*(1+V_dPrecio))</f>
        <v>0</v>
      </c>
      <c r="BS211" s="34" t="n">
        <f aca="false">IF(BS$8=1,IF(Reales!$C$47="PYG",IF(BS$10&gt;0,N(Reales!BS47)/BS$10,0),N(Reales!BS47)),BS$186*INDEX(Precio_V,10)*INDEX(IdxPrecio_V,1,MIN(10,BS$173))*(1+V_dPrecio))</f>
        <v>0</v>
      </c>
      <c r="BT211" s="34" t="n">
        <f aca="false">IF(BT$8=1,IF(Reales!$C$47="PYG",IF(BT$10&gt;0,N(Reales!BT47)/BT$10,0),N(Reales!BT47)),BT$186*INDEX(Precio_V,10)*INDEX(IdxPrecio_V,1,MIN(10,BT$173))*(1+V_dPrecio))</f>
        <v>0</v>
      </c>
      <c r="BU211" s="34" t="n">
        <f aca="false">IF(BU$8=1,IF(Reales!$C$47="PYG",IF(BU$10&gt;0,N(Reales!BU47)/BU$10,0),N(Reales!BU47)),BU$186*INDEX(Precio_V,10)*INDEX(IdxPrecio_V,1,MIN(10,BU$173))*(1+V_dPrecio))</f>
        <v>0</v>
      </c>
      <c r="BV211" s="34" t="n">
        <f aca="false">IF(BV$8=1,IF(Reales!$C$47="PYG",IF(BV$10&gt;0,N(Reales!BV47)/BV$10,0),N(Reales!BV47)),BV$186*INDEX(Precio_V,10)*INDEX(IdxPrecio_V,1,MIN(10,BV$173))*(1+V_dPrecio))</f>
        <v>0</v>
      </c>
      <c r="BW211" s="34" t="n">
        <f aca="false">IF(BW$8=1,IF(Reales!$C$47="PYG",IF(BW$10&gt;0,N(Reales!BW47)/BW$10,0),N(Reales!BW47)),BW$186*INDEX(Precio_V,10)*INDEX(IdxPrecio_V,1,MIN(10,BW$173))*(1+V_dPrecio))</f>
        <v>0</v>
      </c>
      <c r="BX211" s="34" t="n">
        <f aca="false">IF(BX$8=1,IF(Reales!$C$47="PYG",IF(BX$10&gt;0,N(Reales!BX47)/BX$10,0),N(Reales!BX47)),BX$186*INDEX(Precio_V,10)*INDEX(IdxPrecio_V,1,MIN(10,BX$173))*(1+V_dPrecio))</f>
        <v>0</v>
      </c>
      <c r="BY211" s="34" t="n">
        <f aca="false">IF(BY$8=1,IF(Reales!$C$47="PYG",IF(BY$10&gt;0,N(Reales!BY47)/BY$10,0),N(Reales!BY47)),BY$186*INDEX(Precio_V,10)*INDEX(IdxPrecio_V,1,MIN(10,BY$173))*(1+V_dPrecio))</f>
        <v>0</v>
      </c>
      <c r="BZ211" s="34" t="n">
        <f aca="false">IF(BZ$8=1,IF(Reales!$C$47="PYG",IF(BZ$10&gt;0,N(Reales!BZ47)/BZ$10,0),N(Reales!BZ47)),BZ$186*INDEX(Precio_V,10)*INDEX(IdxPrecio_V,1,MIN(10,BZ$173))*(1+V_dPrecio))</f>
        <v>0</v>
      </c>
      <c r="CA211" s="34" t="n">
        <f aca="false">IF(CA$8=1,IF(Reales!$C$47="PYG",IF(CA$10&gt;0,N(Reales!CA47)/CA$10,0),N(Reales!CA47)),CA$186*INDEX(Precio_V,10)*INDEX(IdxPrecio_V,1,MIN(10,CA$173))*(1+V_dPrecio))</f>
        <v>0</v>
      </c>
      <c r="CB211" s="34" t="n">
        <f aca="false">IF(CB$8=1,IF(Reales!$C$47="PYG",IF(CB$10&gt;0,N(Reales!CB47)/CB$10,0),N(Reales!CB47)),CB$186*INDEX(Precio_V,10)*INDEX(IdxPrecio_V,1,MIN(10,CB$173))*(1+V_dPrecio))</f>
        <v>0</v>
      </c>
      <c r="CC211" s="34" t="n">
        <f aca="false">IF(CC$8=1,IF(Reales!$C$47="PYG",IF(CC$10&gt;0,N(Reales!CC47)/CC$10,0),N(Reales!CC47)),CC$186*INDEX(Precio_V,10)*INDEX(IdxPrecio_V,1,MIN(10,CC$173))*(1+V_dPrecio))</f>
        <v>0</v>
      </c>
      <c r="CD211" s="34" t="n">
        <f aca="false">IF(CD$8=1,IF(Reales!$C$47="PYG",IF(CD$10&gt;0,N(Reales!CD47)/CD$10,0),N(Reales!CD47)),CD$186*INDEX(Precio_V,10)*INDEX(IdxPrecio_V,1,MIN(10,CD$173))*(1+V_dPrecio))</f>
        <v>0</v>
      </c>
      <c r="CE211" s="34" t="n">
        <f aca="false">IF(CE$8=1,IF(Reales!$C$47="PYG",IF(CE$10&gt;0,N(Reales!CE47)/CE$10,0),N(Reales!CE47)),CE$186*INDEX(Precio_V,10)*INDEX(IdxPrecio_V,1,MIN(10,CE$173))*(1+V_dPrecio))</f>
        <v>0</v>
      </c>
      <c r="CF211" s="34" t="n">
        <f aca="false">IF(CF$8=1,IF(Reales!$C$47="PYG",IF(CF$10&gt;0,N(Reales!CF47)/CF$10,0),N(Reales!CF47)),CF$186*INDEX(Precio_V,10)*INDEX(IdxPrecio_V,1,MIN(10,CF$173))*(1+V_dPrecio))</f>
        <v>0</v>
      </c>
      <c r="CG211" s="34" t="n">
        <f aca="false">IF(CG$8=1,IF(Reales!$C$47="PYG",IF(CG$10&gt;0,N(Reales!CG47)/CG$10,0),N(Reales!CG47)),CG$186*INDEX(Precio_V,10)*INDEX(IdxPrecio_V,1,MIN(10,CG$173))*(1+V_dPrecio))</f>
        <v>0</v>
      </c>
      <c r="CH211" s="34" t="n">
        <f aca="false">IF(CH$8=1,IF(Reales!$C$47="PYG",IF(CH$10&gt;0,N(Reales!CH47)/CH$10,0),N(Reales!CH47)),CH$186*INDEX(Precio_V,10)*INDEX(IdxPrecio_V,1,MIN(10,CH$173))*(1+V_dPrecio))</f>
        <v>0</v>
      </c>
      <c r="CI211" s="34" t="n">
        <f aca="false">IF(CI$8=1,IF(Reales!$C$47="PYG",IF(CI$10&gt;0,N(Reales!CI47)/CI$10,0),N(Reales!CI47)),CI$186*INDEX(Precio_V,10)*INDEX(IdxPrecio_V,1,MIN(10,CI$173))*(1+V_dPrecio))</f>
        <v>0</v>
      </c>
      <c r="CJ211" s="34" t="n">
        <f aca="false">IF(CJ$8=1,IF(Reales!$C$47="PYG",IF(CJ$10&gt;0,N(Reales!CJ47)/CJ$10,0),N(Reales!CJ47)),CJ$186*INDEX(Precio_V,10)*INDEX(IdxPrecio_V,1,MIN(10,CJ$173))*(1+V_dPrecio))</f>
        <v>0</v>
      </c>
      <c r="CK211" s="34" t="n">
        <f aca="false">IF(CK$8=1,IF(Reales!$C$47="PYG",IF(CK$10&gt;0,N(Reales!CK47)/CK$10,0),N(Reales!CK47)),CK$186*INDEX(Precio_V,10)*INDEX(IdxPrecio_V,1,MIN(10,CK$173))*(1+V_dPrecio))</f>
        <v>0</v>
      </c>
      <c r="CL211" s="34" t="n">
        <f aca="false">IF(CL$8=1,IF(Reales!$C$47="PYG",IF(CL$10&gt;0,N(Reales!CL47)/CL$10,0),N(Reales!CL47)),CL$186*INDEX(Precio_V,10)*INDEX(IdxPrecio_V,1,MIN(10,CL$173))*(1+V_dPrecio))</f>
        <v>0</v>
      </c>
      <c r="CM211" s="34" t="n">
        <f aca="false">IF(CM$8=1,IF(Reales!$C$47="PYG",IF(CM$10&gt;0,N(Reales!CM47)/CM$10,0),N(Reales!CM47)),CM$186*INDEX(Precio_V,10)*INDEX(IdxPrecio_V,1,MIN(10,CM$173))*(1+V_dPrecio))</f>
        <v>0</v>
      </c>
      <c r="CN211" s="34" t="n">
        <f aca="false">IF(CN$8=1,IF(Reales!$C$47="PYG",IF(CN$10&gt;0,N(Reales!CN47)/CN$10,0),N(Reales!CN47)),CN$186*INDEX(Precio_V,10)*INDEX(IdxPrecio_V,1,MIN(10,CN$173))*(1+V_dPrecio))</f>
        <v>0</v>
      </c>
      <c r="CO211" s="34" t="n">
        <f aca="false">IF(CO$8=1,IF(Reales!$C$47="PYG",IF(CO$10&gt;0,N(Reales!CO47)/CO$10,0),N(Reales!CO47)),CO$186*INDEX(Precio_V,10)*INDEX(IdxPrecio_V,1,MIN(10,CO$173))*(1+V_dPrecio))</f>
        <v>0</v>
      </c>
      <c r="CP211" s="34" t="n">
        <f aca="false">IF(CP$8=1,IF(Reales!$C$47="PYG",IF(CP$10&gt;0,N(Reales!CP47)/CP$10,0),N(Reales!CP47)),CP$186*INDEX(Precio_V,10)*INDEX(IdxPrecio_V,1,MIN(10,CP$173))*(1+V_dPrecio))</f>
        <v>0</v>
      </c>
      <c r="CQ211" s="34" t="n">
        <f aca="false">IF(CQ$8=1,IF(Reales!$C$47="PYG",IF(CQ$10&gt;0,N(Reales!CQ47)/CQ$10,0),N(Reales!CQ47)),CQ$186*INDEX(Precio_V,10)*INDEX(IdxPrecio_V,1,MIN(10,CQ$173))*(1+V_dPrecio))</f>
        <v>0</v>
      </c>
      <c r="CR211" s="34" t="n">
        <f aca="false">IF(CR$8=1,IF(Reales!$C$47="PYG",IF(CR$10&gt;0,N(Reales!CR47)/CR$10,0),N(Reales!CR47)),CR$186*INDEX(Precio_V,10)*INDEX(IdxPrecio_V,1,MIN(10,CR$173))*(1+V_dPrecio))</f>
        <v>0</v>
      </c>
      <c r="CS211" s="34" t="n">
        <f aca="false">IF(CS$8=1,IF(Reales!$C$47="PYG",IF(CS$10&gt;0,N(Reales!CS47)/CS$10,0),N(Reales!CS47)),CS$186*INDEX(Precio_V,10)*INDEX(IdxPrecio_V,1,MIN(10,CS$173))*(1+V_dPrecio))</f>
        <v>0</v>
      </c>
      <c r="CT211" s="34" t="n">
        <f aca="false">IF(CT$8=1,IF(Reales!$C$47="PYG",IF(CT$10&gt;0,N(Reales!CT47)/CT$10,0),N(Reales!CT47)),CT$186*INDEX(Precio_V,10)*INDEX(IdxPrecio_V,1,MIN(10,CT$173))*(1+V_dPrecio))</f>
        <v>0</v>
      </c>
      <c r="CU211" s="34" t="n">
        <f aca="false">IF(CU$8=1,IF(Reales!$C$47="PYG",IF(CU$10&gt;0,N(Reales!CU47)/CU$10,0),N(Reales!CU47)),CU$186*INDEX(Precio_V,10)*INDEX(IdxPrecio_V,1,MIN(10,CU$173))*(1+V_dPrecio))</f>
        <v>0</v>
      </c>
      <c r="CV211" s="34" t="n">
        <f aca="false">IF(CV$8=1,IF(Reales!$C$47="PYG",IF(CV$10&gt;0,N(Reales!CV47)/CV$10,0),N(Reales!CV47)),CV$186*INDEX(Precio_V,10)*INDEX(IdxPrecio_V,1,MIN(10,CV$173))*(1+V_dPrecio))</f>
        <v>0</v>
      </c>
      <c r="CW211" s="34" t="n">
        <f aca="false">IF(CW$8=1,IF(Reales!$C$47="PYG",IF(CW$10&gt;0,N(Reales!CW47)/CW$10,0),N(Reales!CW47)),CW$186*INDEX(Precio_V,10)*INDEX(IdxPrecio_V,1,MIN(10,CW$173))*(1+V_dPrecio))</f>
        <v>0</v>
      </c>
      <c r="CX211" s="34" t="n">
        <f aca="false">IF(CX$8=1,IF(Reales!$C$47="PYG",IF(CX$10&gt;0,N(Reales!CX47)/CX$10,0),N(Reales!CX47)),CX$186*INDEX(Precio_V,10)*INDEX(IdxPrecio_V,1,MIN(10,CX$173))*(1+V_dPrecio))</f>
        <v>0</v>
      </c>
      <c r="CY211" s="34" t="n">
        <f aca="false">IF(CY$8=1,IF(Reales!$C$47="PYG",IF(CY$10&gt;0,N(Reales!CY47)/CY$10,0),N(Reales!CY47)),CY$186*INDEX(Precio_V,10)*INDEX(IdxPrecio_V,1,MIN(10,CY$173))*(1+V_dPrecio))</f>
        <v>0</v>
      </c>
      <c r="CZ211" s="34" t="n">
        <f aca="false">IF(CZ$8=1,IF(Reales!$C$47="PYG",IF(CZ$10&gt;0,N(Reales!CZ47)/CZ$10,0),N(Reales!CZ47)),CZ$186*INDEX(Precio_V,10)*INDEX(IdxPrecio_V,1,MIN(10,CZ$173))*(1+V_dPrecio))</f>
        <v>0</v>
      </c>
      <c r="DA211" s="34" t="n">
        <f aca="false">IF(DA$8=1,IF(Reales!$C$47="PYG",IF(DA$10&gt;0,N(Reales!DA47)/DA$10,0),N(Reales!DA47)),DA$186*INDEX(Precio_V,10)*INDEX(IdxPrecio_V,1,MIN(10,DA$173))*(1+V_dPrecio))</f>
        <v>0</v>
      </c>
      <c r="DB211" s="34" t="n">
        <f aca="false">IF(DB$8=1,IF(Reales!$C$47="PYG",IF(DB$10&gt;0,N(Reales!DB47)/DB$10,0),N(Reales!DB47)),DB$186*INDEX(Precio_V,10)*INDEX(IdxPrecio_V,1,MIN(10,DB$173))*(1+V_dPrecio))</f>
        <v>0</v>
      </c>
      <c r="DC211" s="34" t="n">
        <f aca="false">IF(DC$8=1,IF(Reales!$C$47="PYG",IF(DC$10&gt;0,N(Reales!DC47)/DC$10,0),N(Reales!DC47)),DC$186*INDEX(Precio_V,10)*INDEX(IdxPrecio_V,1,MIN(10,DC$173))*(1+V_dPrecio))</f>
        <v>0</v>
      </c>
      <c r="DD211" s="34" t="n">
        <f aca="false">IF(DD$8=1,IF(Reales!$C$47="PYG",IF(DD$10&gt;0,N(Reales!DD47)/DD$10,0),N(Reales!DD47)),DD$186*INDEX(Precio_V,10)*INDEX(IdxPrecio_V,1,MIN(10,DD$173))*(1+V_dPrecio))</f>
        <v>0</v>
      </c>
      <c r="DE211" s="34" t="n">
        <f aca="false">IF(DE$8=1,IF(Reales!$C$47="PYG",IF(DE$10&gt;0,N(Reales!DE47)/DE$10,0),N(Reales!DE47)),DE$186*INDEX(Precio_V,10)*INDEX(IdxPrecio_V,1,MIN(10,DE$173))*(1+V_dPrecio))</f>
        <v>0</v>
      </c>
      <c r="DF211" s="34" t="n">
        <f aca="false">IF(DF$8=1,IF(Reales!$C$47="PYG",IF(DF$10&gt;0,N(Reales!DF47)/DF$10,0),N(Reales!DF47)),DF$186*INDEX(Precio_V,10)*INDEX(IdxPrecio_V,1,MIN(10,DF$173))*(1+V_dPrecio))</f>
        <v>0</v>
      </c>
      <c r="DG211" s="34" t="n">
        <f aca="false">IF(DG$8=1,IF(Reales!$C$47="PYG",IF(DG$10&gt;0,N(Reales!DG47)/DG$10,0),N(Reales!DG47)),DG$186*INDEX(Precio_V,10)*INDEX(IdxPrecio_V,1,MIN(10,DG$173))*(1+V_dPrecio))</f>
        <v>0</v>
      </c>
      <c r="DH211" s="34" t="n">
        <f aca="false">IF(DH$8=1,IF(Reales!$C$47="PYG",IF(DH$10&gt;0,N(Reales!DH47)/DH$10,0),N(Reales!DH47)),DH$186*INDEX(Precio_V,10)*INDEX(IdxPrecio_V,1,MIN(10,DH$173))*(1+V_dPrecio))</f>
        <v>0</v>
      </c>
      <c r="DI211" s="34" t="n">
        <f aca="false">IF(DI$8=1,IF(Reales!$C$47="PYG",IF(DI$10&gt;0,N(Reales!DI47)/DI$10,0),N(Reales!DI47)),DI$186*INDEX(Precio_V,10)*INDEX(IdxPrecio_V,1,MIN(10,DI$173))*(1+V_dPrecio))</f>
        <v>0</v>
      </c>
      <c r="DJ211" s="34" t="n">
        <f aca="false">IF(DJ$8=1,IF(Reales!$C$47="PYG",IF(DJ$10&gt;0,N(Reales!DJ47)/DJ$10,0),N(Reales!DJ47)),DJ$186*INDEX(Precio_V,10)*INDEX(IdxPrecio_V,1,MIN(10,DJ$173))*(1+V_dPrecio))</f>
        <v>0</v>
      </c>
      <c r="DK211" s="34" t="n">
        <f aca="false">IF(DK$8=1,IF(Reales!$C$47="PYG",IF(DK$10&gt;0,N(Reales!DK47)/DK$10,0),N(Reales!DK47)),DK$186*INDEX(Precio_V,10)*INDEX(IdxPrecio_V,1,MIN(10,DK$173))*(1+V_dPrecio))</f>
        <v>0</v>
      </c>
      <c r="DL211" s="34" t="n">
        <f aca="false">IF(DL$8=1,IF(Reales!$C$47="PYG",IF(DL$10&gt;0,N(Reales!DL47)/DL$10,0),N(Reales!DL47)),DL$186*INDEX(Precio_V,10)*INDEX(IdxPrecio_V,1,MIN(10,DL$173))*(1+V_dPrecio))</f>
        <v>0</v>
      </c>
      <c r="DM211" s="34" t="n">
        <f aca="false">IF(DM$8=1,IF(Reales!$C$47="PYG",IF(DM$10&gt;0,N(Reales!DM47)/DM$10,0),N(Reales!DM47)),DM$186*INDEX(Precio_V,10)*INDEX(IdxPrecio_V,1,MIN(10,DM$173))*(1+V_dPrecio))</f>
        <v>0</v>
      </c>
      <c r="DN211" s="34" t="n">
        <f aca="false">IF(DN$8=1,IF(Reales!$C$47="PYG",IF(DN$10&gt;0,N(Reales!DN47)/DN$10,0),N(Reales!DN47)),DN$186*INDEX(Precio_V,10)*INDEX(IdxPrecio_V,1,MIN(10,DN$173))*(1+V_dPrecio))</f>
        <v>0</v>
      </c>
      <c r="DO211" s="34" t="n">
        <f aca="false">IF(DO$8=1,IF(Reales!$C$47="PYG",IF(DO$10&gt;0,N(Reales!DO47)/DO$10,0),N(Reales!DO47)),DO$186*INDEX(Precio_V,10)*INDEX(IdxPrecio_V,1,MIN(10,DO$173))*(1+V_dPrecio))</f>
        <v>0</v>
      </c>
      <c r="DP211" s="34" t="n">
        <f aca="false">IF(DP$8=1,IF(Reales!$C$47="PYG",IF(DP$10&gt;0,N(Reales!DP47)/DP$10,0),N(Reales!DP47)),DP$186*INDEX(Precio_V,10)*INDEX(IdxPrecio_V,1,MIN(10,DP$173))*(1+V_dPrecio))</f>
        <v>0</v>
      </c>
      <c r="DQ211" s="34" t="n">
        <f aca="false">IF(DQ$8=1,IF(Reales!$C$47="PYG",IF(DQ$10&gt;0,N(Reales!DQ47)/DQ$10,0),N(Reales!DQ47)),DQ$186*INDEX(Precio_V,10)*INDEX(IdxPrecio_V,1,MIN(10,DQ$173))*(1+V_dPrecio))</f>
        <v>0</v>
      </c>
      <c r="DR211" s="34" t="n">
        <f aca="false">IF(DR$8=1,IF(Reales!$C$47="PYG",IF(DR$10&gt;0,N(Reales!DR47)/DR$10,0),N(Reales!DR47)),DR$186*INDEX(Precio_V,10)*INDEX(IdxPrecio_V,1,MIN(10,DR$173))*(1+V_dPrecio))</f>
        <v>0</v>
      </c>
      <c r="DS211" s="34" t="n">
        <f aca="false">IF(DS$8=1,IF(Reales!$C$47="PYG",IF(DS$10&gt;0,N(Reales!DS47)/DS$10,0),N(Reales!DS47)),DS$186*INDEX(Precio_V,10)*INDEX(IdxPrecio_V,1,MIN(10,DS$173))*(1+V_dPrecio))</f>
        <v>0</v>
      </c>
      <c r="DT211" s="34" t="n">
        <f aca="false">IF(DT$8=1,IF(Reales!$C$47="PYG",IF(DT$10&gt;0,N(Reales!DT47)/DT$10,0),N(Reales!DT47)),DT$186*INDEX(Precio_V,10)*INDEX(IdxPrecio_V,1,MIN(10,DT$173))*(1+V_dPrecio))</f>
        <v>0</v>
      </c>
      <c r="DU211" s="34" t="n">
        <f aca="false">IF(DU$8=1,IF(Reales!$C$47="PYG",IF(DU$10&gt;0,N(Reales!DU47)/DU$10,0),N(Reales!DU47)),DU$186*INDEX(Precio_V,10)*INDEX(IdxPrecio_V,1,MIN(10,DU$173))*(1+V_dPrecio))</f>
        <v>0</v>
      </c>
      <c r="DV211" s="34" t="n">
        <f aca="false">IF(DV$8=1,IF(Reales!$C$47="PYG",IF(DV$10&gt;0,N(Reales!DV47)/DV$10,0),N(Reales!DV47)),DV$186*INDEX(Precio_V,10)*INDEX(IdxPrecio_V,1,MIN(10,DV$173))*(1+V_dPrecio))</f>
        <v>0</v>
      </c>
      <c r="DW211" s="34" t="n">
        <f aca="false">IF(DW$8=1,IF(Reales!$C$47="PYG",IF(DW$10&gt;0,N(Reales!DW47)/DW$10,0),N(Reales!DW47)),DW$186*INDEX(Precio_V,10)*INDEX(IdxPrecio_V,1,MIN(10,DW$173))*(1+V_dPrecio))</f>
        <v>0</v>
      </c>
      <c r="DX211" s="34" t="n">
        <f aca="false">IF(DX$8=1,IF(Reales!$C$47="PYG",IF(DX$10&gt;0,N(Reales!DX47)/DX$10,0),N(Reales!DX47)),DX$186*INDEX(Precio_V,10)*INDEX(IdxPrecio_V,1,MIN(10,DX$173))*(1+V_dPrecio))</f>
        <v>0</v>
      </c>
      <c r="DY211" s="34" t="n">
        <f aca="false">IF(DY$8=1,IF(Reales!$C$47="PYG",IF(DY$10&gt;0,N(Reales!DY47)/DY$10,0),N(Reales!DY47)),DY$186*INDEX(Precio_V,10)*INDEX(IdxPrecio_V,1,MIN(10,DY$173))*(1+V_dPrecio))</f>
        <v>0</v>
      </c>
      <c r="DZ211" s="34" t="n">
        <f aca="false">IF(DZ$8=1,IF(Reales!$C$47="PYG",IF(DZ$10&gt;0,N(Reales!DZ47)/DZ$10,0),N(Reales!DZ47)),DZ$186*INDEX(Precio_V,10)*INDEX(IdxPrecio_V,1,MIN(10,DZ$173))*(1+V_dPrecio))</f>
        <v>0</v>
      </c>
      <c r="EA211" s="34" t="n">
        <f aca="false">IF(EA$8=1,IF(Reales!$C$47="PYG",IF(EA$10&gt;0,N(Reales!EA47)/EA$10,0),N(Reales!EA47)),EA$186*INDEX(Precio_V,10)*INDEX(IdxPrecio_V,1,MIN(10,EA$173))*(1+V_dPrecio))</f>
        <v>0</v>
      </c>
      <c r="EB211" s="34" t="n">
        <f aca="false">IF(EB$8=1,IF(Reales!$C$47="PYG",IF(EB$10&gt;0,N(Reales!EB47)/EB$10,0),N(Reales!EB47)),EB$186*INDEX(Precio_V,10)*INDEX(IdxPrecio_V,1,MIN(10,EB$173))*(1+V_dPrecio))</f>
        <v>0</v>
      </c>
      <c r="EC211" s="34" t="n">
        <f aca="false">IF(EC$8=1,IF(Reales!$C$47="PYG",IF(EC$10&gt;0,N(Reales!EC47)/EC$10,0),N(Reales!EC47)),EC$186*INDEX(Precio_V,10)*INDEX(IdxPrecio_V,1,MIN(10,EC$173))*(1+V_dPrecio))</f>
        <v>0</v>
      </c>
      <c r="ED211" s="34" t="n">
        <f aca="false">IF(ED$8=1,IF(Reales!$C$47="PYG",IF(ED$10&gt;0,N(Reales!ED47)/ED$10,0),N(Reales!ED47)),ED$186*INDEX(Precio_V,10)*INDEX(IdxPrecio_V,1,MIN(10,ED$173))*(1+V_dPrecio))</f>
        <v>0</v>
      </c>
      <c r="EE211" s="34" t="n">
        <f aca="false">IF(EE$8=1,IF(Reales!$C$47="PYG",IF(EE$10&gt;0,N(Reales!EE47)/EE$10,0),N(Reales!EE47)),EE$186*INDEX(Precio_V,10)*INDEX(IdxPrecio_V,1,MIN(10,EE$173))*(1+V_dPrecio))</f>
        <v>0</v>
      </c>
      <c r="EF211" s="34" t="n">
        <f aca="false">IF(EF$8=1,IF(Reales!$C$47="PYG",IF(EF$10&gt;0,N(Reales!EF47)/EF$10,0),N(Reales!EF47)),EF$186*INDEX(Precio_V,10)*INDEX(IdxPrecio_V,1,MIN(10,EF$173))*(1+V_dPrecio))</f>
        <v>0</v>
      </c>
      <c r="EG211" s="34" t="n">
        <f aca="false">IF(EG$8=1,IF(Reales!$C$47="PYG",IF(EG$10&gt;0,N(Reales!EG47)/EG$10,0),N(Reales!EG47)),EG$186*INDEX(Precio_V,10)*INDEX(IdxPrecio_V,1,MIN(10,EG$173))*(1+V_dPrecio))</f>
        <v>0</v>
      </c>
      <c r="EH211" s="34" t="n">
        <f aca="false">IF(EH$8=1,IF(Reales!$C$47="PYG",IF(EH$10&gt;0,N(Reales!EH47)/EH$10,0),N(Reales!EH47)),EH$186*INDEX(Precio_V,10)*INDEX(IdxPrecio_V,1,MIN(10,EH$173))*(1+V_dPrecio))</f>
        <v>0</v>
      </c>
      <c r="EI211" s="34" t="n">
        <f aca="false">IF(EI$8=1,IF(Reales!$C$47="PYG",IF(EI$10&gt;0,N(Reales!EI47)/EI$10,0),N(Reales!EI47)),EI$186*INDEX(Precio_V,10)*INDEX(IdxPrecio_V,1,MIN(10,EI$173))*(1+V_dPrecio))</f>
        <v>0</v>
      </c>
      <c r="EJ211" s="34" t="n">
        <f aca="false">IF(EJ$8=1,IF(Reales!$C$47="PYG",IF(EJ$10&gt;0,N(Reales!EJ47)/EJ$10,0),N(Reales!EJ47)),EJ$186*INDEX(Precio_V,10)*INDEX(IdxPrecio_V,1,MIN(10,EJ$173))*(1+V_dPrecio))</f>
        <v>0</v>
      </c>
      <c r="EK211" s="34" t="n">
        <f aca="false">IF(EK$8=1,IF(Reales!$C$47="PYG",IF(EK$10&gt;0,N(Reales!EK47)/EK$10,0),N(Reales!EK47)),EK$186*INDEX(Precio_V,10)*INDEX(IdxPrecio_V,1,MIN(10,EK$173))*(1+V_dPrecio))</f>
        <v>0</v>
      </c>
      <c r="EL211" s="34" t="n">
        <f aca="false">IF(EL$8=1,IF(Reales!$C$47="PYG",IF(EL$10&gt;0,N(Reales!EL47)/EL$10,0),N(Reales!EL47)),EL$186*INDEX(Precio_V,10)*INDEX(IdxPrecio_V,1,MIN(10,EL$173))*(1+V_dPrecio))</f>
        <v>0</v>
      </c>
      <c r="EM211" s="34" t="n">
        <f aca="false">IF(EM$8=1,IF(Reales!$C$47="PYG",IF(EM$10&gt;0,N(Reales!EM47)/EM$10,0),N(Reales!EM47)),EM$186*INDEX(Precio_V,10)*INDEX(IdxPrecio_V,1,MIN(10,EM$173))*(1+V_dPrecio))</f>
        <v>0</v>
      </c>
      <c r="EN211" s="34" t="n">
        <f aca="false">IF(EN$8=1,IF(Reales!$C$47="PYG",IF(EN$10&gt;0,N(Reales!EN47)/EN$10,0),N(Reales!EN47)),EN$186*INDEX(Precio_V,10)*INDEX(IdxPrecio_V,1,MIN(10,EN$173))*(1+V_dPrecio))</f>
        <v>0</v>
      </c>
      <c r="EO211" s="34" t="n">
        <f aca="false">IF(EO$8=1,IF(Reales!$C$47="PYG",IF(EO$10&gt;0,N(Reales!EO47)/EO$10,0),N(Reales!EO47)),EO$186*INDEX(Precio_V,10)*INDEX(IdxPrecio_V,1,MIN(10,EO$173))*(1+V_dPrecio))</f>
        <v>0</v>
      </c>
      <c r="EP211" s="34" t="n">
        <f aca="false">IF(EP$8=1,IF(Reales!$C$47="PYG",IF(EP$10&gt;0,N(Reales!EP47)/EP$10,0),N(Reales!EP47)),EP$186*INDEX(Precio_V,10)*INDEX(IdxPrecio_V,1,MIN(10,EP$173))*(1+V_dPrecio))</f>
        <v>0</v>
      </c>
      <c r="EQ211" s="34" t="n">
        <f aca="false">IF(EQ$8=1,IF(Reales!$C$47="PYG",IF(EQ$10&gt;0,N(Reales!EQ47)/EQ$10,0),N(Reales!EQ47)),EQ$186*INDEX(Precio_V,10)*INDEX(IdxPrecio_V,1,MIN(10,EQ$173))*(1+V_dPrecio))</f>
        <v>0</v>
      </c>
      <c r="ER211" s="34" t="n">
        <f aca="false">IF(ER$8=1,IF(Reales!$C$47="PYG",IF(ER$10&gt;0,N(Reales!ER47)/ER$10,0),N(Reales!ER47)),ER$186*INDEX(Precio_V,10)*INDEX(IdxPrecio_V,1,MIN(10,ER$173))*(1+V_dPrecio))</f>
        <v>0</v>
      </c>
      <c r="ES211" s="34" t="n">
        <f aca="false">IF(ES$8=1,IF(Reales!$C$47="PYG",IF(ES$10&gt;0,N(Reales!ES47)/ES$10,0),N(Reales!ES47)),ES$186*INDEX(Precio_V,10)*INDEX(IdxPrecio_V,1,MIN(10,ES$173))*(1+V_dPrecio))</f>
        <v>0</v>
      </c>
    </row>
    <row r="212" customFormat="false" ht="15" hidden="false" customHeight="false" outlineLevel="0" collapsed="false">
      <c r="A212" s="2" t="s">
        <v>854</v>
      </c>
      <c r="B212" s="39" t="str">
        <f aca="false">IF(INDEX(Prod_Nombre,11)="","Producto 11",INDEX(Prod_Nombre,11))&amp;" — ventas USD"</f>
        <v>Producto 11 — ventas USD</v>
      </c>
      <c r="C212" s="6" t="s">
        <v>250</v>
      </c>
      <c r="E212" s="40" t="n">
        <f aca="false">SUM(F212:ES212)</f>
        <v>0</v>
      </c>
      <c r="F212" s="34" t="n">
        <f aca="false">IF(F$8=1,IF(Reales!$C$48="PYG",IF(F$10&gt;0,N(Reales!F48)/F$10,0),N(Reales!F48)),F$187*INDEX(Precio_V,11)*INDEX(IdxPrecio_V,1,MIN(10,F$173))*(1+V_dPrecio))</f>
        <v>0</v>
      </c>
      <c r="G212" s="34" t="n">
        <f aca="false">IF(G$8=1,IF(Reales!$C$48="PYG",IF(G$10&gt;0,N(Reales!G48)/G$10,0),N(Reales!G48)),G$187*INDEX(Precio_V,11)*INDEX(IdxPrecio_V,1,MIN(10,G$173))*(1+V_dPrecio))</f>
        <v>0</v>
      </c>
      <c r="H212" s="34" t="n">
        <f aca="false">IF(H$8=1,IF(Reales!$C$48="PYG",IF(H$10&gt;0,N(Reales!H48)/H$10,0),N(Reales!H48)),H$187*INDEX(Precio_V,11)*INDEX(IdxPrecio_V,1,MIN(10,H$173))*(1+V_dPrecio))</f>
        <v>0</v>
      </c>
      <c r="I212" s="34" t="n">
        <f aca="false">IF(I$8=1,IF(Reales!$C$48="PYG",IF(I$10&gt;0,N(Reales!I48)/I$10,0),N(Reales!I48)),I$187*INDEX(Precio_V,11)*INDEX(IdxPrecio_V,1,MIN(10,I$173))*(1+V_dPrecio))</f>
        <v>0</v>
      </c>
      <c r="J212" s="34" t="n">
        <f aca="false">IF(J$8=1,IF(Reales!$C$48="PYG",IF(J$10&gt;0,N(Reales!J48)/J$10,0),N(Reales!J48)),J$187*INDEX(Precio_V,11)*INDEX(IdxPrecio_V,1,MIN(10,J$173))*(1+V_dPrecio))</f>
        <v>0</v>
      </c>
      <c r="K212" s="34" t="n">
        <f aca="false">IF(K$8=1,IF(Reales!$C$48="PYG",IF(K$10&gt;0,N(Reales!K48)/K$10,0),N(Reales!K48)),K$187*INDEX(Precio_V,11)*INDEX(IdxPrecio_V,1,MIN(10,K$173))*(1+V_dPrecio))</f>
        <v>0</v>
      </c>
      <c r="L212" s="34" t="n">
        <f aca="false">IF(L$8=1,IF(Reales!$C$48="PYG",IF(L$10&gt;0,N(Reales!L48)/L$10,0),N(Reales!L48)),L$187*INDEX(Precio_V,11)*INDEX(IdxPrecio_V,1,MIN(10,L$173))*(1+V_dPrecio))</f>
        <v>0</v>
      </c>
      <c r="M212" s="34" t="n">
        <f aca="false">IF(M$8=1,IF(Reales!$C$48="PYG",IF(M$10&gt;0,N(Reales!M48)/M$10,0),N(Reales!M48)),M$187*INDEX(Precio_V,11)*INDEX(IdxPrecio_V,1,MIN(10,M$173))*(1+V_dPrecio))</f>
        <v>0</v>
      </c>
      <c r="N212" s="34" t="n">
        <f aca="false">IF(N$8=1,IF(Reales!$C$48="PYG",IF(N$10&gt;0,N(Reales!N48)/N$10,0),N(Reales!N48)),N$187*INDEX(Precio_V,11)*INDEX(IdxPrecio_V,1,MIN(10,N$173))*(1+V_dPrecio))</f>
        <v>0</v>
      </c>
      <c r="O212" s="34" t="n">
        <f aca="false">IF(O$8=1,IF(Reales!$C$48="PYG",IF(O$10&gt;0,N(Reales!O48)/O$10,0),N(Reales!O48)),O$187*INDEX(Precio_V,11)*INDEX(IdxPrecio_V,1,MIN(10,O$173))*(1+V_dPrecio))</f>
        <v>0</v>
      </c>
      <c r="P212" s="34" t="n">
        <f aca="false">IF(P$8=1,IF(Reales!$C$48="PYG",IF(P$10&gt;0,N(Reales!P48)/P$10,0),N(Reales!P48)),P$187*INDEX(Precio_V,11)*INDEX(IdxPrecio_V,1,MIN(10,P$173))*(1+V_dPrecio))</f>
        <v>0</v>
      </c>
      <c r="Q212" s="34" t="n">
        <f aca="false">IF(Q$8=1,IF(Reales!$C$48="PYG",IF(Q$10&gt;0,N(Reales!Q48)/Q$10,0),N(Reales!Q48)),Q$187*INDEX(Precio_V,11)*INDEX(IdxPrecio_V,1,MIN(10,Q$173))*(1+V_dPrecio))</f>
        <v>0</v>
      </c>
      <c r="R212" s="34" t="n">
        <f aca="false">IF(R$8=1,IF(Reales!$C$48="PYG",IF(R$10&gt;0,N(Reales!R48)/R$10,0),N(Reales!R48)),R$187*INDEX(Precio_V,11)*INDEX(IdxPrecio_V,1,MIN(10,R$173))*(1+V_dPrecio))</f>
        <v>0</v>
      </c>
      <c r="S212" s="34" t="n">
        <f aca="false">IF(S$8=1,IF(Reales!$C$48="PYG",IF(S$10&gt;0,N(Reales!S48)/S$10,0),N(Reales!S48)),S$187*INDEX(Precio_V,11)*INDEX(IdxPrecio_V,1,MIN(10,S$173))*(1+V_dPrecio))</f>
        <v>0</v>
      </c>
      <c r="T212" s="34" t="n">
        <f aca="false">IF(T$8=1,IF(Reales!$C$48="PYG",IF(T$10&gt;0,N(Reales!T48)/T$10,0),N(Reales!T48)),T$187*INDEX(Precio_V,11)*INDEX(IdxPrecio_V,1,MIN(10,T$173))*(1+V_dPrecio))</f>
        <v>0</v>
      </c>
      <c r="U212" s="34" t="n">
        <f aca="false">IF(U$8=1,IF(Reales!$C$48="PYG",IF(U$10&gt;0,N(Reales!U48)/U$10,0),N(Reales!U48)),U$187*INDEX(Precio_V,11)*INDEX(IdxPrecio_V,1,MIN(10,U$173))*(1+V_dPrecio))</f>
        <v>0</v>
      </c>
      <c r="V212" s="34" t="n">
        <f aca="false">IF(V$8=1,IF(Reales!$C$48="PYG",IF(V$10&gt;0,N(Reales!V48)/V$10,0),N(Reales!V48)),V$187*INDEX(Precio_V,11)*INDEX(IdxPrecio_V,1,MIN(10,V$173))*(1+V_dPrecio))</f>
        <v>0</v>
      </c>
      <c r="W212" s="34" t="n">
        <f aca="false">IF(W$8=1,IF(Reales!$C$48="PYG",IF(W$10&gt;0,N(Reales!W48)/W$10,0),N(Reales!W48)),W$187*INDEX(Precio_V,11)*INDEX(IdxPrecio_V,1,MIN(10,W$173))*(1+V_dPrecio))</f>
        <v>0</v>
      </c>
      <c r="X212" s="34" t="n">
        <f aca="false">IF(X$8=1,IF(Reales!$C$48="PYG",IF(X$10&gt;0,N(Reales!X48)/X$10,0),N(Reales!X48)),X$187*INDEX(Precio_V,11)*INDEX(IdxPrecio_V,1,MIN(10,X$173))*(1+V_dPrecio))</f>
        <v>0</v>
      </c>
      <c r="Y212" s="34" t="n">
        <f aca="false">IF(Y$8=1,IF(Reales!$C$48="PYG",IF(Y$10&gt;0,N(Reales!Y48)/Y$10,0),N(Reales!Y48)),Y$187*INDEX(Precio_V,11)*INDEX(IdxPrecio_V,1,MIN(10,Y$173))*(1+V_dPrecio))</f>
        <v>0</v>
      </c>
      <c r="Z212" s="34" t="n">
        <f aca="false">IF(Z$8=1,IF(Reales!$C$48="PYG",IF(Z$10&gt;0,N(Reales!Z48)/Z$10,0),N(Reales!Z48)),Z$187*INDEX(Precio_V,11)*INDEX(IdxPrecio_V,1,MIN(10,Z$173))*(1+V_dPrecio))</f>
        <v>0</v>
      </c>
      <c r="AA212" s="34" t="n">
        <f aca="false">IF(AA$8=1,IF(Reales!$C$48="PYG",IF(AA$10&gt;0,N(Reales!AA48)/AA$10,0),N(Reales!AA48)),AA$187*INDEX(Precio_V,11)*INDEX(IdxPrecio_V,1,MIN(10,AA$173))*(1+V_dPrecio))</f>
        <v>0</v>
      </c>
      <c r="AB212" s="34" t="n">
        <f aca="false">IF(AB$8=1,IF(Reales!$C$48="PYG",IF(AB$10&gt;0,N(Reales!AB48)/AB$10,0),N(Reales!AB48)),AB$187*INDEX(Precio_V,11)*INDEX(IdxPrecio_V,1,MIN(10,AB$173))*(1+V_dPrecio))</f>
        <v>0</v>
      </c>
      <c r="AC212" s="34" t="n">
        <f aca="false">IF(AC$8=1,IF(Reales!$C$48="PYG",IF(AC$10&gt;0,N(Reales!AC48)/AC$10,0),N(Reales!AC48)),AC$187*INDEX(Precio_V,11)*INDEX(IdxPrecio_V,1,MIN(10,AC$173))*(1+V_dPrecio))</f>
        <v>0</v>
      </c>
      <c r="AD212" s="34" t="n">
        <f aca="false">IF(AD$8=1,IF(Reales!$C$48="PYG",IF(AD$10&gt;0,N(Reales!AD48)/AD$10,0),N(Reales!AD48)),AD$187*INDEX(Precio_V,11)*INDEX(IdxPrecio_V,1,MIN(10,AD$173))*(1+V_dPrecio))</f>
        <v>0</v>
      </c>
      <c r="AE212" s="34" t="n">
        <f aca="false">IF(AE$8=1,IF(Reales!$C$48="PYG",IF(AE$10&gt;0,N(Reales!AE48)/AE$10,0),N(Reales!AE48)),AE$187*INDEX(Precio_V,11)*INDEX(IdxPrecio_V,1,MIN(10,AE$173))*(1+V_dPrecio))</f>
        <v>0</v>
      </c>
      <c r="AF212" s="34" t="n">
        <f aca="false">IF(AF$8=1,IF(Reales!$C$48="PYG",IF(AF$10&gt;0,N(Reales!AF48)/AF$10,0),N(Reales!AF48)),AF$187*INDEX(Precio_V,11)*INDEX(IdxPrecio_V,1,MIN(10,AF$173))*(1+V_dPrecio))</f>
        <v>0</v>
      </c>
      <c r="AG212" s="34" t="n">
        <f aca="false">IF(AG$8=1,IF(Reales!$C$48="PYG",IF(AG$10&gt;0,N(Reales!AG48)/AG$10,0),N(Reales!AG48)),AG$187*INDEX(Precio_V,11)*INDEX(IdxPrecio_V,1,MIN(10,AG$173))*(1+V_dPrecio))</f>
        <v>0</v>
      </c>
      <c r="AH212" s="34" t="n">
        <f aca="false">IF(AH$8=1,IF(Reales!$C$48="PYG",IF(AH$10&gt;0,N(Reales!AH48)/AH$10,0),N(Reales!AH48)),AH$187*INDEX(Precio_V,11)*INDEX(IdxPrecio_V,1,MIN(10,AH$173))*(1+V_dPrecio))</f>
        <v>0</v>
      </c>
      <c r="AI212" s="34" t="n">
        <f aca="false">IF(AI$8=1,IF(Reales!$C$48="PYG",IF(AI$10&gt;0,N(Reales!AI48)/AI$10,0),N(Reales!AI48)),AI$187*INDEX(Precio_V,11)*INDEX(IdxPrecio_V,1,MIN(10,AI$173))*(1+V_dPrecio))</f>
        <v>0</v>
      </c>
      <c r="AJ212" s="34" t="n">
        <f aca="false">IF(AJ$8=1,IF(Reales!$C$48="PYG",IF(AJ$10&gt;0,N(Reales!AJ48)/AJ$10,0),N(Reales!AJ48)),AJ$187*INDEX(Precio_V,11)*INDEX(IdxPrecio_V,1,MIN(10,AJ$173))*(1+V_dPrecio))</f>
        <v>0</v>
      </c>
      <c r="AK212" s="34" t="n">
        <f aca="false">IF(AK$8=1,IF(Reales!$C$48="PYG",IF(AK$10&gt;0,N(Reales!AK48)/AK$10,0),N(Reales!AK48)),AK$187*INDEX(Precio_V,11)*INDEX(IdxPrecio_V,1,MIN(10,AK$173))*(1+V_dPrecio))</f>
        <v>0</v>
      </c>
      <c r="AL212" s="34" t="n">
        <f aca="false">IF(AL$8=1,IF(Reales!$C$48="PYG",IF(AL$10&gt;0,N(Reales!AL48)/AL$10,0),N(Reales!AL48)),AL$187*INDEX(Precio_V,11)*INDEX(IdxPrecio_V,1,MIN(10,AL$173))*(1+V_dPrecio))</f>
        <v>0</v>
      </c>
      <c r="AM212" s="34" t="n">
        <f aca="false">IF(AM$8=1,IF(Reales!$C$48="PYG",IF(AM$10&gt;0,N(Reales!AM48)/AM$10,0),N(Reales!AM48)),AM$187*INDEX(Precio_V,11)*INDEX(IdxPrecio_V,1,MIN(10,AM$173))*(1+V_dPrecio))</f>
        <v>0</v>
      </c>
      <c r="AN212" s="34" t="n">
        <f aca="false">IF(AN$8=1,IF(Reales!$C$48="PYG",IF(AN$10&gt;0,N(Reales!AN48)/AN$10,0),N(Reales!AN48)),AN$187*INDEX(Precio_V,11)*INDEX(IdxPrecio_V,1,MIN(10,AN$173))*(1+V_dPrecio))</f>
        <v>0</v>
      </c>
      <c r="AO212" s="34" t="n">
        <f aca="false">IF(AO$8=1,IF(Reales!$C$48="PYG",IF(AO$10&gt;0,N(Reales!AO48)/AO$10,0),N(Reales!AO48)),AO$187*INDEX(Precio_V,11)*INDEX(IdxPrecio_V,1,MIN(10,AO$173))*(1+V_dPrecio))</f>
        <v>0</v>
      </c>
      <c r="AP212" s="34" t="n">
        <f aca="false">IF(AP$8=1,IF(Reales!$C$48="PYG",IF(AP$10&gt;0,N(Reales!AP48)/AP$10,0),N(Reales!AP48)),AP$187*INDEX(Precio_V,11)*INDEX(IdxPrecio_V,1,MIN(10,AP$173))*(1+V_dPrecio))</f>
        <v>0</v>
      </c>
      <c r="AQ212" s="34" t="n">
        <f aca="false">IF(AQ$8=1,IF(Reales!$C$48="PYG",IF(AQ$10&gt;0,N(Reales!AQ48)/AQ$10,0),N(Reales!AQ48)),AQ$187*INDEX(Precio_V,11)*INDEX(IdxPrecio_V,1,MIN(10,AQ$173))*(1+V_dPrecio))</f>
        <v>0</v>
      </c>
      <c r="AR212" s="34" t="n">
        <f aca="false">IF(AR$8=1,IF(Reales!$C$48="PYG",IF(AR$10&gt;0,N(Reales!AR48)/AR$10,0),N(Reales!AR48)),AR$187*INDEX(Precio_V,11)*INDEX(IdxPrecio_V,1,MIN(10,AR$173))*(1+V_dPrecio))</f>
        <v>0</v>
      </c>
      <c r="AS212" s="34" t="n">
        <f aca="false">IF(AS$8=1,IF(Reales!$C$48="PYG",IF(AS$10&gt;0,N(Reales!AS48)/AS$10,0),N(Reales!AS48)),AS$187*INDEX(Precio_V,11)*INDEX(IdxPrecio_V,1,MIN(10,AS$173))*(1+V_dPrecio))</f>
        <v>0</v>
      </c>
      <c r="AT212" s="34" t="n">
        <f aca="false">IF(AT$8=1,IF(Reales!$C$48="PYG",IF(AT$10&gt;0,N(Reales!AT48)/AT$10,0),N(Reales!AT48)),AT$187*INDEX(Precio_V,11)*INDEX(IdxPrecio_V,1,MIN(10,AT$173))*(1+V_dPrecio))</f>
        <v>0</v>
      </c>
      <c r="AU212" s="34" t="n">
        <f aca="false">IF(AU$8=1,IF(Reales!$C$48="PYG",IF(AU$10&gt;0,N(Reales!AU48)/AU$10,0),N(Reales!AU48)),AU$187*INDEX(Precio_V,11)*INDEX(IdxPrecio_V,1,MIN(10,AU$173))*(1+V_dPrecio))</f>
        <v>0</v>
      </c>
      <c r="AV212" s="34" t="n">
        <f aca="false">IF(AV$8=1,IF(Reales!$C$48="PYG",IF(AV$10&gt;0,N(Reales!AV48)/AV$10,0),N(Reales!AV48)),AV$187*INDEX(Precio_V,11)*INDEX(IdxPrecio_V,1,MIN(10,AV$173))*(1+V_dPrecio))</f>
        <v>0</v>
      </c>
      <c r="AW212" s="34" t="n">
        <f aca="false">IF(AW$8=1,IF(Reales!$C$48="PYG",IF(AW$10&gt;0,N(Reales!AW48)/AW$10,0),N(Reales!AW48)),AW$187*INDEX(Precio_V,11)*INDEX(IdxPrecio_V,1,MIN(10,AW$173))*(1+V_dPrecio))</f>
        <v>0</v>
      </c>
      <c r="AX212" s="34" t="n">
        <f aca="false">IF(AX$8=1,IF(Reales!$C$48="PYG",IF(AX$10&gt;0,N(Reales!AX48)/AX$10,0),N(Reales!AX48)),AX$187*INDEX(Precio_V,11)*INDEX(IdxPrecio_V,1,MIN(10,AX$173))*(1+V_dPrecio))</f>
        <v>0</v>
      </c>
      <c r="AY212" s="34" t="n">
        <f aca="false">IF(AY$8=1,IF(Reales!$C$48="PYG",IF(AY$10&gt;0,N(Reales!AY48)/AY$10,0),N(Reales!AY48)),AY$187*INDEX(Precio_V,11)*INDEX(IdxPrecio_V,1,MIN(10,AY$173))*(1+V_dPrecio))</f>
        <v>0</v>
      </c>
      <c r="AZ212" s="34" t="n">
        <f aca="false">IF(AZ$8=1,IF(Reales!$C$48="PYG",IF(AZ$10&gt;0,N(Reales!AZ48)/AZ$10,0),N(Reales!AZ48)),AZ$187*INDEX(Precio_V,11)*INDEX(IdxPrecio_V,1,MIN(10,AZ$173))*(1+V_dPrecio))</f>
        <v>0</v>
      </c>
      <c r="BA212" s="34" t="n">
        <f aca="false">IF(BA$8=1,IF(Reales!$C$48="PYG",IF(BA$10&gt;0,N(Reales!BA48)/BA$10,0),N(Reales!BA48)),BA$187*INDEX(Precio_V,11)*INDEX(IdxPrecio_V,1,MIN(10,BA$173))*(1+V_dPrecio))</f>
        <v>0</v>
      </c>
      <c r="BB212" s="34" t="n">
        <f aca="false">IF(BB$8=1,IF(Reales!$C$48="PYG",IF(BB$10&gt;0,N(Reales!BB48)/BB$10,0),N(Reales!BB48)),BB$187*INDEX(Precio_V,11)*INDEX(IdxPrecio_V,1,MIN(10,BB$173))*(1+V_dPrecio))</f>
        <v>0</v>
      </c>
      <c r="BC212" s="34" t="n">
        <f aca="false">IF(BC$8=1,IF(Reales!$C$48="PYG",IF(BC$10&gt;0,N(Reales!BC48)/BC$10,0),N(Reales!BC48)),BC$187*INDEX(Precio_V,11)*INDEX(IdxPrecio_V,1,MIN(10,BC$173))*(1+V_dPrecio))</f>
        <v>0</v>
      </c>
      <c r="BD212" s="34" t="n">
        <f aca="false">IF(BD$8=1,IF(Reales!$C$48="PYG",IF(BD$10&gt;0,N(Reales!BD48)/BD$10,0),N(Reales!BD48)),BD$187*INDEX(Precio_V,11)*INDEX(IdxPrecio_V,1,MIN(10,BD$173))*(1+V_dPrecio))</f>
        <v>0</v>
      </c>
      <c r="BE212" s="34" t="n">
        <f aca="false">IF(BE$8=1,IF(Reales!$C$48="PYG",IF(BE$10&gt;0,N(Reales!BE48)/BE$10,0),N(Reales!BE48)),BE$187*INDEX(Precio_V,11)*INDEX(IdxPrecio_V,1,MIN(10,BE$173))*(1+V_dPrecio))</f>
        <v>0</v>
      </c>
      <c r="BF212" s="34" t="n">
        <f aca="false">IF(BF$8=1,IF(Reales!$C$48="PYG",IF(BF$10&gt;0,N(Reales!BF48)/BF$10,0),N(Reales!BF48)),BF$187*INDEX(Precio_V,11)*INDEX(IdxPrecio_V,1,MIN(10,BF$173))*(1+V_dPrecio))</f>
        <v>0</v>
      </c>
      <c r="BG212" s="34" t="n">
        <f aca="false">IF(BG$8=1,IF(Reales!$C$48="PYG",IF(BG$10&gt;0,N(Reales!BG48)/BG$10,0),N(Reales!BG48)),BG$187*INDEX(Precio_V,11)*INDEX(IdxPrecio_V,1,MIN(10,BG$173))*(1+V_dPrecio))</f>
        <v>0</v>
      </c>
      <c r="BH212" s="34" t="n">
        <f aca="false">IF(BH$8=1,IF(Reales!$C$48="PYG",IF(BH$10&gt;0,N(Reales!BH48)/BH$10,0),N(Reales!BH48)),BH$187*INDEX(Precio_V,11)*INDEX(IdxPrecio_V,1,MIN(10,BH$173))*(1+V_dPrecio))</f>
        <v>0</v>
      </c>
      <c r="BI212" s="34" t="n">
        <f aca="false">IF(BI$8=1,IF(Reales!$C$48="PYG",IF(BI$10&gt;0,N(Reales!BI48)/BI$10,0),N(Reales!BI48)),BI$187*INDEX(Precio_V,11)*INDEX(IdxPrecio_V,1,MIN(10,BI$173))*(1+V_dPrecio))</f>
        <v>0</v>
      </c>
      <c r="BJ212" s="34" t="n">
        <f aca="false">IF(BJ$8=1,IF(Reales!$C$48="PYG",IF(BJ$10&gt;0,N(Reales!BJ48)/BJ$10,0),N(Reales!BJ48)),BJ$187*INDEX(Precio_V,11)*INDEX(IdxPrecio_V,1,MIN(10,BJ$173))*(1+V_dPrecio))</f>
        <v>0</v>
      </c>
      <c r="BK212" s="34" t="n">
        <f aca="false">IF(BK$8=1,IF(Reales!$C$48="PYG",IF(BK$10&gt;0,N(Reales!BK48)/BK$10,0),N(Reales!BK48)),BK$187*INDEX(Precio_V,11)*INDEX(IdxPrecio_V,1,MIN(10,BK$173))*(1+V_dPrecio))</f>
        <v>0</v>
      </c>
      <c r="BL212" s="34" t="n">
        <f aca="false">IF(BL$8=1,IF(Reales!$C$48="PYG",IF(BL$10&gt;0,N(Reales!BL48)/BL$10,0),N(Reales!BL48)),BL$187*INDEX(Precio_V,11)*INDEX(IdxPrecio_V,1,MIN(10,BL$173))*(1+V_dPrecio))</f>
        <v>0</v>
      </c>
      <c r="BM212" s="34" t="n">
        <f aca="false">IF(BM$8=1,IF(Reales!$C$48="PYG",IF(BM$10&gt;0,N(Reales!BM48)/BM$10,0),N(Reales!BM48)),BM$187*INDEX(Precio_V,11)*INDEX(IdxPrecio_V,1,MIN(10,BM$173))*(1+V_dPrecio))</f>
        <v>0</v>
      </c>
      <c r="BN212" s="34" t="n">
        <f aca="false">IF(BN$8=1,IF(Reales!$C$48="PYG",IF(BN$10&gt;0,N(Reales!BN48)/BN$10,0),N(Reales!BN48)),BN$187*INDEX(Precio_V,11)*INDEX(IdxPrecio_V,1,MIN(10,BN$173))*(1+V_dPrecio))</f>
        <v>0</v>
      </c>
      <c r="BO212" s="34" t="n">
        <f aca="false">IF(BO$8=1,IF(Reales!$C$48="PYG",IF(BO$10&gt;0,N(Reales!BO48)/BO$10,0),N(Reales!BO48)),BO$187*INDEX(Precio_V,11)*INDEX(IdxPrecio_V,1,MIN(10,BO$173))*(1+V_dPrecio))</f>
        <v>0</v>
      </c>
      <c r="BP212" s="34" t="n">
        <f aca="false">IF(BP$8=1,IF(Reales!$C$48="PYG",IF(BP$10&gt;0,N(Reales!BP48)/BP$10,0),N(Reales!BP48)),BP$187*INDEX(Precio_V,11)*INDEX(IdxPrecio_V,1,MIN(10,BP$173))*(1+V_dPrecio))</f>
        <v>0</v>
      </c>
      <c r="BQ212" s="34" t="n">
        <f aca="false">IF(BQ$8=1,IF(Reales!$C$48="PYG",IF(BQ$10&gt;0,N(Reales!BQ48)/BQ$10,0),N(Reales!BQ48)),BQ$187*INDEX(Precio_V,11)*INDEX(IdxPrecio_V,1,MIN(10,BQ$173))*(1+V_dPrecio))</f>
        <v>0</v>
      </c>
      <c r="BR212" s="34" t="n">
        <f aca="false">IF(BR$8=1,IF(Reales!$C$48="PYG",IF(BR$10&gt;0,N(Reales!BR48)/BR$10,0),N(Reales!BR48)),BR$187*INDEX(Precio_V,11)*INDEX(IdxPrecio_V,1,MIN(10,BR$173))*(1+V_dPrecio))</f>
        <v>0</v>
      </c>
      <c r="BS212" s="34" t="n">
        <f aca="false">IF(BS$8=1,IF(Reales!$C$48="PYG",IF(BS$10&gt;0,N(Reales!BS48)/BS$10,0),N(Reales!BS48)),BS$187*INDEX(Precio_V,11)*INDEX(IdxPrecio_V,1,MIN(10,BS$173))*(1+V_dPrecio))</f>
        <v>0</v>
      </c>
      <c r="BT212" s="34" t="n">
        <f aca="false">IF(BT$8=1,IF(Reales!$C$48="PYG",IF(BT$10&gt;0,N(Reales!BT48)/BT$10,0),N(Reales!BT48)),BT$187*INDEX(Precio_V,11)*INDEX(IdxPrecio_V,1,MIN(10,BT$173))*(1+V_dPrecio))</f>
        <v>0</v>
      </c>
      <c r="BU212" s="34" t="n">
        <f aca="false">IF(BU$8=1,IF(Reales!$C$48="PYG",IF(BU$10&gt;0,N(Reales!BU48)/BU$10,0),N(Reales!BU48)),BU$187*INDEX(Precio_V,11)*INDEX(IdxPrecio_V,1,MIN(10,BU$173))*(1+V_dPrecio))</f>
        <v>0</v>
      </c>
      <c r="BV212" s="34" t="n">
        <f aca="false">IF(BV$8=1,IF(Reales!$C$48="PYG",IF(BV$10&gt;0,N(Reales!BV48)/BV$10,0),N(Reales!BV48)),BV$187*INDEX(Precio_V,11)*INDEX(IdxPrecio_V,1,MIN(10,BV$173))*(1+V_dPrecio))</f>
        <v>0</v>
      </c>
      <c r="BW212" s="34" t="n">
        <f aca="false">IF(BW$8=1,IF(Reales!$C$48="PYG",IF(BW$10&gt;0,N(Reales!BW48)/BW$10,0),N(Reales!BW48)),BW$187*INDEX(Precio_V,11)*INDEX(IdxPrecio_V,1,MIN(10,BW$173))*(1+V_dPrecio))</f>
        <v>0</v>
      </c>
      <c r="BX212" s="34" t="n">
        <f aca="false">IF(BX$8=1,IF(Reales!$C$48="PYG",IF(BX$10&gt;0,N(Reales!BX48)/BX$10,0),N(Reales!BX48)),BX$187*INDEX(Precio_V,11)*INDEX(IdxPrecio_V,1,MIN(10,BX$173))*(1+V_dPrecio))</f>
        <v>0</v>
      </c>
      <c r="BY212" s="34" t="n">
        <f aca="false">IF(BY$8=1,IF(Reales!$C$48="PYG",IF(BY$10&gt;0,N(Reales!BY48)/BY$10,0),N(Reales!BY48)),BY$187*INDEX(Precio_V,11)*INDEX(IdxPrecio_V,1,MIN(10,BY$173))*(1+V_dPrecio))</f>
        <v>0</v>
      </c>
      <c r="BZ212" s="34" t="n">
        <f aca="false">IF(BZ$8=1,IF(Reales!$C$48="PYG",IF(BZ$10&gt;0,N(Reales!BZ48)/BZ$10,0),N(Reales!BZ48)),BZ$187*INDEX(Precio_V,11)*INDEX(IdxPrecio_V,1,MIN(10,BZ$173))*(1+V_dPrecio))</f>
        <v>0</v>
      </c>
      <c r="CA212" s="34" t="n">
        <f aca="false">IF(CA$8=1,IF(Reales!$C$48="PYG",IF(CA$10&gt;0,N(Reales!CA48)/CA$10,0),N(Reales!CA48)),CA$187*INDEX(Precio_V,11)*INDEX(IdxPrecio_V,1,MIN(10,CA$173))*(1+V_dPrecio))</f>
        <v>0</v>
      </c>
      <c r="CB212" s="34" t="n">
        <f aca="false">IF(CB$8=1,IF(Reales!$C$48="PYG",IF(CB$10&gt;0,N(Reales!CB48)/CB$10,0),N(Reales!CB48)),CB$187*INDEX(Precio_V,11)*INDEX(IdxPrecio_V,1,MIN(10,CB$173))*(1+V_dPrecio))</f>
        <v>0</v>
      </c>
      <c r="CC212" s="34" t="n">
        <f aca="false">IF(CC$8=1,IF(Reales!$C$48="PYG",IF(CC$10&gt;0,N(Reales!CC48)/CC$10,0),N(Reales!CC48)),CC$187*INDEX(Precio_V,11)*INDEX(IdxPrecio_V,1,MIN(10,CC$173))*(1+V_dPrecio))</f>
        <v>0</v>
      </c>
      <c r="CD212" s="34" t="n">
        <f aca="false">IF(CD$8=1,IF(Reales!$C$48="PYG",IF(CD$10&gt;0,N(Reales!CD48)/CD$10,0),N(Reales!CD48)),CD$187*INDEX(Precio_V,11)*INDEX(IdxPrecio_V,1,MIN(10,CD$173))*(1+V_dPrecio))</f>
        <v>0</v>
      </c>
      <c r="CE212" s="34" t="n">
        <f aca="false">IF(CE$8=1,IF(Reales!$C$48="PYG",IF(CE$10&gt;0,N(Reales!CE48)/CE$10,0),N(Reales!CE48)),CE$187*INDEX(Precio_V,11)*INDEX(IdxPrecio_V,1,MIN(10,CE$173))*(1+V_dPrecio))</f>
        <v>0</v>
      </c>
      <c r="CF212" s="34" t="n">
        <f aca="false">IF(CF$8=1,IF(Reales!$C$48="PYG",IF(CF$10&gt;0,N(Reales!CF48)/CF$10,0),N(Reales!CF48)),CF$187*INDEX(Precio_V,11)*INDEX(IdxPrecio_V,1,MIN(10,CF$173))*(1+V_dPrecio))</f>
        <v>0</v>
      </c>
      <c r="CG212" s="34" t="n">
        <f aca="false">IF(CG$8=1,IF(Reales!$C$48="PYG",IF(CG$10&gt;0,N(Reales!CG48)/CG$10,0),N(Reales!CG48)),CG$187*INDEX(Precio_V,11)*INDEX(IdxPrecio_V,1,MIN(10,CG$173))*(1+V_dPrecio))</f>
        <v>0</v>
      </c>
      <c r="CH212" s="34" t="n">
        <f aca="false">IF(CH$8=1,IF(Reales!$C$48="PYG",IF(CH$10&gt;0,N(Reales!CH48)/CH$10,0),N(Reales!CH48)),CH$187*INDEX(Precio_V,11)*INDEX(IdxPrecio_V,1,MIN(10,CH$173))*(1+V_dPrecio))</f>
        <v>0</v>
      </c>
      <c r="CI212" s="34" t="n">
        <f aca="false">IF(CI$8=1,IF(Reales!$C$48="PYG",IF(CI$10&gt;0,N(Reales!CI48)/CI$10,0),N(Reales!CI48)),CI$187*INDEX(Precio_V,11)*INDEX(IdxPrecio_V,1,MIN(10,CI$173))*(1+V_dPrecio))</f>
        <v>0</v>
      </c>
      <c r="CJ212" s="34" t="n">
        <f aca="false">IF(CJ$8=1,IF(Reales!$C$48="PYG",IF(CJ$10&gt;0,N(Reales!CJ48)/CJ$10,0),N(Reales!CJ48)),CJ$187*INDEX(Precio_V,11)*INDEX(IdxPrecio_V,1,MIN(10,CJ$173))*(1+V_dPrecio))</f>
        <v>0</v>
      </c>
      <c r="CK212" s="34" t="n">
        <f aca="false">IF(CK$8=1,IF(Reales!$C$48="PYG",IF(CK$10&gt;0,N(Reales!CK48)/CK$10,0),N(Reales!CK48)),CK$187*INDEX(Precio_V,11)*INDEX(IdxPrecio_V,1,MIN(10,CK$173))*(1+V_dPrecio))</f>
        <v>0</v>
      </c>
      <c r="CL212" s="34" t="n">
        <f aca="false">IF(CL$8=1,IF(Reales!$C$48="PYG",IF(CL$10&gt;0,N(Reales!CL48)/CL$10,0),N(Reales!CL48)),CL$187*INDEX(Precio_V,11)*INDEX(IdxPrecio_V,1,MIN(10,CL$173))*(1+V_dPrecio))</f>
        <v>0</v>
      </c>
      <c r="CM212" s="34" t="n">
        <f aca="false">IF(CM$8=1,IF(Reales!$C$48="PYG",IF(CM$10&gt;0,N(Reales!CM48)/CM$10,0),N(Reales!CM48)),CM$187*INDEX(Precio_V,11)*INDEX(IdxPrecio_V,1,MIN(10,CM$173))*(1+V_dPrecio))</f>
        <v>0</v>
      </c>
      <c r="CN212" s="34" t="n">
        <f aca="false">IF(CN$8=1,IF(Reales!$C$48="PYG",IF(CN$10&gt;0,N(Reales!CN48)/CN$10,0),N(Reales!CN48)),CN$187*INDEX(Precio_V,11)*INDEX(IdxPrecio_V,1,MIN(10,CN$173))*(1+V_dPrecio))</f>
        <v>0</v>
      </c>
      <c r="CO212" s="34" t="n">
        <f aca="false">IF(CO$8=1,IF(Reales!$C$48="PYG",IF(CO$10&gt;0,N(Reales!CO48)/CO$10,0),N(Reales!CO48)),CO$187*INDEX(Precio_V,11)*INDEX(IdxPrecio_V,1,MIN(10,CO$173))*(1+V_dPrecio))</f>
        <v>0</v>
      </c>
      <c r="CP212" s="34" t="n">
        <f aca="false">IF(CP$8=1,IF(Reales!$C$48="PYG",IF(CP$10&gt;0,N(Reales!CP48)/CP$10,0),N(Reales!CP48)),CP$187*INDEX(Precio_V,11)*INDEX(IdxPrecio_V,1,MIN(10,CP$173))*(1+V_dPrecio))</f>
        <v>0</v>
      </c>
      <c r="CQ212" s="34" t="n">
        <f aca="false">IF(CQ$8=1,IF(Reales!$C$48="PYG",IF(CQ$10&gt;0,N(Reales!CQ48)/CQ$10,0),N(Reales!CQ48)),CQ$187*INDEX(Precio_V,11)*INDEX(IdxPrecio_V,1,MIN(10,CQ$173))*(1+V_dPrecio))</f>
        <v>0</v>
      </c>
      <c r="CR212" s="34" t="n">
        <f aca="false">IF(CR$8=1,IF(Reales!$C$48="PYG",IF(CR$10&gt;0,N(Reales!CR48)/CR$10,0),N(Reales!CR48)),CR$187*INDEX(Precio_V,11)*INDEX(IdxPrecio_V,1,MIN(10,CR$173))*(1+V_dPrecio))</f>
        <v>0</v>
      </c>
      <c r="CS212" s="34" t="n">
        <f aca="false">IF(CS$8=1,IF(Reales!$C$48="PYG",IF(CS$10&gt;0,N(Reales!CS48)/CS$10,0),N(Reales!CS48)),CS$187*INDEX(Precio_V,11)*INDEX(IdxPrecio_V,1,MIN(10,CS$173))*(1+V_dPrecio))</f>
        <v>0</v>
      </c>
      <c r="CT212" s="34" t="n">
        <f aca="false">IF(CT$8=1,IF(Reales!$C$48="PYG",IF(CT$10&gt;0,N(Reales!CT48)/CT$10,0),N(Reales!CT48)),CT$187*INDEX(Precio_V,11)*INDEX(IdxPrecio_V,1,MIN(10,CT$173))*(1+V_dPrecio))</f>
        <v>0</v>
      </c>
      <c r="CU212" s="34" t="n">
        <f aca="false">IF(CU$8=1,IF(Reales!$C$48="PYG",IF(CU$10&gt;0,N(Reales!CU48)/CU$10,0),N(Reales!CU48)),CU$187*INDEX(Precio_V,11)*INDEX(IdxPrecio_V,1,MIN(10,CU$173))*(1+V_dPrecio))</f>
        <v>0</v>
      </c>
      <c r="CV212" s="34" t="n">
        <f aca="false">IF(CV$8=1,IF(Reales!$C$48="PYG",IF(CV$10&gt;0,N(Reales!CV48)/CV$10,0),N(Reales!CV48)),CV$187*INDEX(Precio_V,11)*INDEX(IdxPrecio_V,1,MIN(10,CV$173))*(1+V_dPrecio))</f>
        <v>0</v>
      </c>
      <c r="CW212" s="34" t="n">
        <f aca="false">IF(CW$8=1,IF(Reales!$C$48="PYG",IF(CW$10&gt;0,N(Reales!CW48)/CW$10,0),N(Reales!CW48)),CW$187*INDEX(Precio_V,11)*INDEX(IdxPrecio_V,1,MIN(10,CW$173))*(1+V_dPrecio))</f>
        <v>0</v>
      </c>
      <c r="CX212" s="34" t="n">
        <f aca="false">IF(CX$8=1,IF(Reales!$C$48="PYG",IF(CX$10&gt;0,N(Reales!CX48)/CX$10,0),N(Reales!CX48)),CX$187*INDEX(Precio_V,11)*INDEX(IdxPrecio_V,1,MIN(10,CX$173))*(1+V_dPrecio))</f>
        <v>0</v>
      </c>
      <c r="CY212" s="34" t="n">
        <f aca="false">IF(CY$8=1,IF(Reales!$C$48="PYG",IF(CY$10&gt;0,N(Reales!CY48)/CY$10,0),N(Reales!CY48)),CY$187*INDEX(Precio_V,11)*INDEX(IdxPrecio_V,1,MIN(10,CY$173))*(1+V_dPrecio))</f>
        <v>0</v>
      </c>
      <c r="CZ212" s="34" t="n">
        <f aca="false">IF(CZ$8=1,IF(Reales!$C$48="PYG",IF(CZ$10&gt;0,N(Reales!CZ48)/CZ$10,0),N(Reales!CZ48)),CZ$187*INDEX(Precio_V,11)*INDEX(IdxPrecio_V,1,MIN(10,CZ$173))*(1+V_dPrecio))</f>
        <v>0</v>
      </c>
      <c r="DA212" s="34" t="n">
        <f aca="false">IF(DA$8=1,IF(Reales!$C$48="PYG",IF(DA$10&gt;0,N(Reales!DA48)/DA$10,0),N(Reales!DA48)),DA$187*INDEX(Precio_V,11)*INDEX(IdxPrecio_V,1,MIN(10,DA$173))*(1+V_dPrecio))</f>
        <v>0</v>
      </c>
      <c r="DB212" s="34" t="n">
        <f aca="false">IF(DB$8=1,IF(Reales!$C$48="PYG",IF(DB$10&gt;0,N(Reales!DB48)/DB$10,0),N(Reales!DB48)),DB$187*INDEX(Precio_V,11)*INDEX(IdxPrecio_V,1,MIN(10,DB$173))*(1+V_dPrecio))</f>
        <v>0</v>
      </c>
      <c r="DC212" s="34" t="n">
        <f aca="false">IF(DC$8=1,IF(Reales!$C$48="PYG",IF(DC$10&gt;0,N(Reales!DC48)/DC$10,0),N(Reales!DC48)),DC$187*INDEX(Precio_V,11)*INDEX(IdxPrecio_V,1,MIN(10,DC$173))*(1+V_dPrecio))</f>
        <v>0</v>
      </c>
      <c r="DD212" s="34" t="n">
        <f aca="false">IF(DD$8=1,IF(Reales!$C$48="PYG",IF(DD$10&gt;0,N(Reales!DD48)/DD$10,0),N(Reales!DD48)),DD$187*INDEX(Precio_V,11)*INDEX(IdxPrecio_V,1,MIN(10,DD$173))*(1+V_dPrecio))</f>
        <v>0</v>
      </c>
      <c r="DE212" s="34" t="n">
        <f aca="false">IF(DE$8=1,IF(Reales!$C$48="PYG",IF(DE$10&gt;0,N(Reales!DE48)/DE$10,0),N(Reales!DE48)),DE$187*INDEX(Precio_V,11)*INDEX(IdxPrecio_V,1,MIN(10,DE$173))*(1+V_dPrecio))</f>
        <v>0</v>
      </c>
      <c r="DF212" s="34" t="n">
        <f aca="false">IF(DF$8=1,IF(Reales!$C$48="PYG",IF(DF$10&gt;0,N(Reales!DF48)/DF$10,0),N(Reales!DF48)),DF$187*INDEX(Precio_V,11)*INDEX(IdxPrecio_V,1,MIN(10,DF$173))*(1+V_dPrecio))</f>
        <v>0</v>
      </c>
      <c r="DG212" s="34" t="n">
        <f aca="false">IF(DG$8=1,IF(Reales!$C$48="PYG",IF(DG$10&gt;0,N(Reales!DG48)/DG$10,0),N(Reales!DG48)),DG$187*INDEX(Precio_V,11)*INDEX(IdxPrecio_V,1,MIN(10,DG$173))*(1+V_dPrecio))</f>
        <v>0</v>
      </c>
      <c r="DH212" s="34" t="n">
        <f aca="false">IF(DH$8=1,IF(Reales!$C$48="PYG",IF(DH$10&gt;0,N(Reales!DH48)/DH$10,0),N(Reales!DH48)),DH$187*INDEX(Precio_V,11)*INDEX(IdxPrecio_V,1,MIN(10,DH$173))*(1+V_dPrecio))</f>
        <v>0</v>
      </c>
      <c r="DI212" s="34" t="n">
        <f aca="false">IF(DI$8=1,IF(Reales!$C$48="PYG",IF(DI$10&gt;0,N(Reales!DI48)/DI$10,0),N(Reales!DI48)),DI$187*INDEX(Precio_V,11)*INDEX(IdxPrecio_V,1,MIN(10,DI$173))*(1+V_dPrecio))</f>
        <v>0</v>
      </c>
      <c r="DJ212" s="34" t="n">
        <f aca="false">IF(DJ$8=1,IF(Reales!$C$48="PYG",IF(DJ$10&gt;0,N(Reales!DJ48)/DJ$10,0),N(Reales!DJ48)),DJ$187*INDEX(Precio_V,11)*INDEX(IdxPrecio_V,1,MIN(10,DJ$173))*(1+V_dPrecio))</f>
        <v>0</v>
      </c>
      <c r="DK212" s="34" t="n">
        <f aca="false">IF(DK$8=1,IF(Reales!$C$48="PYG",IF(DK$10&gt;0,N(Reales!DK48)/DK$10,0),N(Reales!DK48)),DK$187*INDEX(Precio_V,11)*INDEX(IdxPrecio_V,1,MIN(10,DK$173))*(1+V_dPrecio))</f>
        <v>0</v>
      </c>
      <c r="DL212" s="34" t="n">
        <f aca="false">IF(DL$8=1,IF(Reales!$C$48="PYG",IF(DL$10&gt;0,N(Reales!DL48)/DL$10,0),N(Reales!DL48)),DL$187*INDEX(Precio_V,11)*INDEX(IdxPrecio_V,1,MIN(10,DL$173))*(1+V_dPrecio))</f>
        <v>0</v>
      </c>
      <c r="DM212" s="34" t="n">
        <f aca="false">IF(DM$8=1,IF(Reales!$C$48="PYG",IF(DM$10&gt;0,N(Reales!DM48)/DM$10,0),N(Reales!DM48)),DM$187*INDEX(Precio_V,11)*INDEX(IdxPrecio_V,1,MIN(10,DM$173))*(1+V_dPrecio))</f>
        <v>0</v>
      </c>
      <c r="DN212" s="34" t="n">
        <f aca="false">IF(DN$8=1,IF(Reales!$C$48="PYG",IF(DN$10&gt;0,N(Reales!DN48)/DN$10,0),N(Reales!DN48)),DN$187*INDEX(Precio_V,11)*INDEX(IdxPrecio_V,1,MIN(10,DN$173))*(1+V_dPrecio))</f>
        <v>0</v>
      </c>
      <c r="DO212" s="34" t="n">
        <f aca="false">IF(DO$8=1,IF(Reales!$C$48="PYG",IF(DO$10&gt;0,N(Reales!DO48)/DO$10,0),N(Reales!DO48)),DO$187*INDEX(Precio_V,11)*INDEX(IdxPrecio_V,1,MIN(10,DO$173))*(1+V_dPrecio))</f>
        <v>0</v>
      </c>
      <c r="DP212" s="34" t="n">
        <f aca="false">IF(DP$8=1,IF(Reales!$C$48="PYG",IF(DP$10&gt;0,N(Reales!DP48)/DP$10,0),N(Reales!DP48)),DP$187*INDEX(Precio_V,11)*INDEX(IdxPrecio_V,1,MIN(10,DP$173))*(1+V_dPrecio))</f>
        <v>0</v>
      </c>
      <c r="DQ212" s="34" t="n">
        <f aca="false">IF(DQ$8=1,IF(Reales!$C$48="PYG",IF(DQ$10&gt;0,N(Reales!DQ48)/DQ$10,0),N(Reales!DQ48)),DQ$187*INDEX(Precio_V,11)*INDEX(IdxPrecio_V,1,MIN(10,DQ$173))*(1+V_dPrecio))</f>
        <v>0</v>
      </c>
      <c r="DR212" s="34" t="n">
        <f aca="false">IF(DR$8=1,IF(Reales!$C$48="PYG",IF(DR$10&gt;0,N(Reales!DR48)/DR$10,0),N(Reales!DR48)),DR$187*INDEX(Precio_V,11)*INDEX(IdxPrecio_V,1,MIN(10,DR$173))*(1+V_dPrecio))</f>
        <v>0</v>
      </c>
      <c r="DS212" s="34" t="n">
        <f aca="false">IF(DS$8=1,IF(Reales!$C$48="PYG",IF(DS$10&gt;0,N(Reales!DS48)/DS$10,0),N(Reales!DS48)),DS$187*INDEX(Precio_V,11)*INDEX(IdxPrecio_V,1,MIN(10,DS$173))*(1+V_dPrecio))</f>
        <v>0</v>
      </c>
      <c r="DT212" s="34" t="n">
        <f aca="false">IF(DT$8=1,IF(Reales!$C$48="PYG",IF(DT$10&gt;0,N(Reales!DT48)/DT$10,0),N(Reales!DT48)),DT$187*INDEX(Precio_V,11)*INDEX(IdxPrecio_V,1,MIN(10,DT$173))*(1+V_dPrecio))</f>
        <v>0</v>
      </c>
      <c r="DU212" s="34" t="n">
        <f aca="false">IF(DU$8=1,IF(Reales!$C$48="PYG",IF(DU$10&gt;0,N(Reales!DU48)/DU$10,0),N(Reales!DU48)),DU$187*INDEX(Precio_V,11)*INDEX(IdxPrecio_V,1,MIN(10,DU$173))*(1+V_dPrecio))</f>
        <v>0</v>
      </c>
      <c r="DV212" s="34" t="n">
        <f aca="false">IF(DV$8=1,IF(Reales!$C$48="PYG",IF(DV$10&gt;0,N(Reales!DV48)/DV$10,0),N(Reales!DV48)),DV$187*INDEX(Precio_V,11)*INDEX(IdxPrecio_V,1,MIN(10,DV$173))*(1+V_dPrecio))</f>
        <v>0</v>
      </c>
      <c r="DW212" s="34" t="n">
        <f aca="false">IF(DW$8=1,IF(Reales!$C$48="PYG",IF(DW$10&gt;0,N(Reales!DW48)/DW$10,0),N(Reales!DW48)),DW$187*INDEX(Precio_V,11)*INDEX(IdxPrecio_V,1,MIN(10,DW$173))*(1+V_dPrecio))</f>
        <v>0</v>
      </c>
      <c r="DX212" s="34" t="n">
        <f aca="false">IF(DX$8=1,IF(Reales!$C$48="PYG",IF(DX$10&gt;0,N(Reales!DX48)/DX$10,0),N(Reales!DX48)),DX$187*INDEX(Precio_V,11)*INDEX(IdxPrecio_V,1,MIN(10,DX$173))*(1+V_dPrecio))</f>
        <v>0</v>
      </c>
      <c r="DY212" s="34" t="n">
        <f aca="false">IF(DY$8=1,IF(Reales!$C$48="PYG",IF(DY$10&gt;0,N(Reales!DY48)/DY$10,0),N(Reales!DY48)),DY$187*INDEX(Precio_V,11)*INDEX(IdxPrecio_V,1,MIN(10,DY$173))*(1+V_dPrecio))</f>
        <v>0</v>
      </c>
      <c r="DZ212" s="34" t="n">
        <f aca="false">IF(DZ$8=1,IF(Reales!$C$48="PYG",IF(DZ$10&gt;0,N(Reales!DZ48)/DZ$10,0),N(Reales!DZ48)),DZ$187*INDEX(Precio_V,11)*INDEX(IdxPrecio_V,1,MIN(10,DZ$173))*(1+V_dPrecio))</f>
        <v>0</v>
      </c>
      <c r="EA212" s="34" t="n">
        <f aca="false">IF(EA$8=1,IF(Reales!$C$48="PYG",IF(EA$10&gt;0,N(Reales!EA48)/EA$10,0),N(Reales!EA48)),EA$187*INDEX(Precio_V,11)*INDEX(IdxPrecio_V,1,MIN(10,EA$173))*(1+V_dPrecio))</f>
        <v>0</v>
      </c>
      <c r="EB212" s="34" t="n">
        <f aca="false">IF(EB$8=1,IF(Reales!$C$48="PYG",IF(EB$10&gt;0,N(Reales!EB48)/EB$10,0),N(Reales!EB48)),EB$187*INDEX(Precio_V,11)*INDEX(IdxPrecio_V,1,MIN(10,EB$173))*(1+V_dPrecio))</f>
        <v>0</v>
      </c>
      <c r="EC212" s="34" t="n">
        <f aca="false">IF(EC$8=1,IF(Reales!$C$48="PYG",IF(EC$10&gt;0,N(Reales!EC48)/EC$10,0),N(Reales!EC48)),EC$187*INDEX(Precio_V,11)*INDEX(IdxPrecio_V,1,MIN(10,EC$173))*(1+V_dPrecio))</f>
        <v>0</v>
      </c>
      <c r="ED212" s="34" t="n">
        <f aca="false">IF(ED$8=1,IF(Reales!$C$48="PYG",IF(ED$10&gt;0,N(Reales!ED48)/ED$10,0),N(Reales!ED48)),ED$187*INDEX(Precio_V,11)*INDEX(IdxPrecio_V,1,MIN(10,ED$173))*(1+V_dPrecio))</f>
        <v>0</v>
      </c>
      <c r="EE212" s="34" t="n">
        <f aca="false">IF(EE$8=1,IF(Reales!$C$48="PYG",IF(EE$10&gt;0,N(Reales!EE48)/EE$10,0),N(Reales!EE48)),EE$187*INDEX(Precio_V,11)*INDEX(IdxPrecio_V,1,MIN(10,EE$173))*(1+V_dPrecio))</f>
        <v>0</v>
      </c>
      <c r="EF212" s="34" t="n">
        <f aca="false">IF(EF$8=1,IF(Reales!$C$48="PYG",IF(EF$10&gt;0,N(Reales!EF48)/EF$10,0),N(Reales!EF48)),EF$187*INDEX(Precio_V,11)*INDEX(IdxPrecio_V,1,MIN(10,EF$173))*(1+V_dPrecio))</f>
        <v>0</v>
      </c>
      <c r="EG212" s="34" t="n">
        <f aca="false">IF(EG$8=1,IF(Reales!$C$48="PYG",IF(EG$10&gt;0,N(Reales!EG48)/EG$10,0),N(Reales!EG48)),EG$187*INDEX(Precio_V,11)*INDEX(IdxPrecio_V,1,MIN(10,EG$173))*(1+V_dPrecio))</f>
        <v>0</v>
      </c>
      <c r="EH212" s="34" t="n">
        <f aca="false">IF(EH$8=1,IF(Reales!$C$48="PYG",IF(EH$10&gt;0,N(Reales!EH48)/EH$10,0),N(Reales!EH48)),EH$187*INDEX(Precio_V,11)*INDEX(IdxPrecio_V,1,MIN(10,EH$173))*(1+V_dPrecio))</f>
        <v>0</v>
      </c>
      <c r="EI212" s="34" t="n">
        <f aca="false">IF(EI$8=1,IF(Reales!$C$48="PYG",IF(EI$10&gt;0,N(Reales!EI48)/EI$10,0),N(Reales!EI48)),EI$187*INDEX(Precio_V,11)*INDEX(IdxPrecio_V,1,MIN(10,EI$173))*(1+V_dPrecio))</f>
        <v>0</v>
      </c>
      <c r="EJ212" s="34" t="n">
        <f aca="false">IF(EJ$8=1,IF(Reales!$C$48="PYG",IF(EJ$10&gt;0,N(Reales!EJ48)/EJ$10,0),N(Reales!EJ48)),EJ$187*INDEX(Precio_V,11)*INDEX(IdxPrecio_V,1,MIN(10,EJ$173))*(1+V_dPrecio))</f>
        <v>0</v>
      </c>
      <c r="EK212" s="34" t="n">
        <f aca="false">IF(EK$8=1,IF(Reales!$C$48="PYG",IF(EK$10&gt;0,N(Reales!EK48)/EK$10,0),N(Reales!EK48)),EK$187*INDEX(Precio_V,11)*INDEX(IdxPrecio_V,1,MIN(10,EK$173))*(1+V_dPrecio))</f>
        <v>0</v>
      </c>
      <c r="EL212" s="34" t="n">
        <f aca="false">IF(EL$8=1,IF(Reales!$C$48="PYG",IF(EL$10&gt;0,N(Reales!EL48)/EL$10,0),N(Reales!EL48)),EL$187*INDEX(Precio_V,11)*INDEX(IdxPrecio_V,1,MIN(10,EL$173))*(1+V_dPrecio))</f>
        <v>0</v>
      </c>
      <c r="EM212" s="34" t="n">
        <f aca="false">IF(EM$8=1,IF(Reales!$C$48="PYG",IF(EM$10&gt;0,N(Reales!EM48)/EM$10,0),N(Reales!EM48)),EM$187*INDEX(Precio_V,11)*INDEX(IdxPrecio_V,1,MIN(10,EM$173))*(1+V_dPrecio))</f>
        <v>0</v>
      </c>
      <c r="EN212" s="34" t="n">
        <f aca="false">IF(EN$8=1,IF(Reales!$C$48="PYG",IF(EN$10&gt;0,N(Reales!EN48)/EN$10,0),N(Reales!EN48)),EN$187*INDEX(Precio_V,11)*INDEX(IdxPrecio_V,1,MIN(10,EN$173))*(1+V_dPrecio))</f>
        <v>0</v>
      </c>
      <c r="EO212" s="34" t="n">
        <f aca="false">IF(EO$8=1,IF(Reales!$C$48="PYG",IF(EO$10&gt;0,N(Reales!EO48)/EO$10,0),N(Reales!EO48)),EO$187*INDEX(Precio_V,11)*INDEX(IdxPrecio_V,1,MIN(10,EO$173))*(1+V_dPrecio))</f>
        <v>0</v>
      </c>
      <c r="EP212" s="34" t="n">
        <f aca="false">IF(EP$8=1,IF(Reales!$C$48="PYG",IF(EP$10&gt;0,N(Reales!EP48)/EP$10,0),N(Reales!EP48)),EP$187*INDEX(Precio_V,11)*INDEX(IdxPrecio_V,1,MIN(10,EP$173))*(1+V_dPrecio))</f>
        <v>0</v>
      </c>
      <c r="EQ212" s="34" t="n">
        <f aca="false">IF(EQ$8=1,IF(Reales!$C$48="PYG",IF(EQ$10&gt;0,N(Reales!EQ48)/EQ$10,0),N(Reales!EQ48)),EQ$187*INDEX(Precio_V,11)*INDEX(IdxPrecio_V,1,MIN(10,EQ$173))*(1+V_dPrecio))</f>
        <v>0</v>
      </c>
      <c r="ER212" s="34" t="n">
        <f aca="false">IF(ER$8=1,IF(Reales!$C$48="PYG",IF(ER$10&gt;0,N(Reales!ER48)/ER$10,0),N(Reales!ER48)),ER$187*INDEX(Precio_V,11)*INDEX(IdxPrecio_V,1,MIN(10,ER$173))*(1+V_dPrecio))</f>
        <v>0</v>
      </c>
      <c r="ES212" s="34" t="n">
        <f aca="false">IF(ES$8=1,IF(Reales!$C$48="PYG",IF(ES$10&gt;0,N(Reales!ES48)/ES$10,0),N(Reales!ES48)),ES$187*INDEX(Precio_V,11)*INDEX(IdxPrecio_V,1,MIN(10,ES$173))*(1+V_dPrecio))</f>
        <v>0</v>
      </c>
    </row>
    <row r="213" customFormat="false" ht="15" hidden="false" customHeight="false" outlineLevel="0" collapsed="false">
      <c r="A213" s="2" t="s">
        <v>855</v>
      </c>
      <c r="B213" s="39" t="str">
        <f aca="false">IF(INDEX(Prod_Nombre,12)="","Producto 12",INDEX(Prod_Nombre,12))&amp;" — ventas USD"</f>
        <v>Producto 12 — ventas USD</v>
      </c>
      <c r="C213" s="6" t="s">
        <v>250</v>
      </c>
      <c r="E213" s="40" t="n">
        <f aca="false">SUM(F213:ES213)</f>
        <v>0</v>
      </c>
      <c r="F213" s="34" t="n">
        <f aca="false">IF(F$8=1,IF(Reales!$C$49="PYG",IF(F$10&gt;0,N(Reales!F49)/F$10,0),N(Reales!F49)),F$188*INDEX(Precio_V,12)*INDEX(IdxPrecio_V,1,MIN(10,F$173))*(1+V_dPrecio))</f>
        <v>0</v>
      </c>
      <c r="G213" s="34" t="n">
        <f aca="false">IF(G$8=1,IF(Reales!$C$49="PYG",IF(G$10&gt;0,N(Reales!G49)/G$10,0),N(Reales!G49)),G$188*INDEX(Precio_V,12)*INDEX(IdxPrecio_V,1,MIN(10,G$173))*(1+V_dPrecio))</f>
        <v>0</v>
      </c>
      <c r="H213" s="34" t="n">
        <f aca="false">IF(H$8=1,IF(Reales!$C$49="PYG",IF(H$10&gt;0,N(Reales!H49)/H$10,0),N(Reales!H49)),H$188*INDEX(Precio_V,12)*INDEX(IdxPrecio_V,1,MIN(10,H$173))*(1+V_dPrecio))</f>
        <v>0</v>
      </c>
      <c r="I213" s="34" t="n">
        <f aca="false">IF(I$8=1,IF(Reales!$C$49="PYG",IF(I$10&gt;0,N(Reales!I49)/I$10,0),N(Reales!I49)),I$188*INDEX(Precio_V,12)*INDEX(IdxPrecio_V,1,MIN(10,I$173))*(1+V_dPrecio))</f>
        <v>0</v>
      </c>
      <c r="J213" s="34" t="n">
        <f aca="false">IF(J$8=1,IF(Reales!$C$49="PYG",IF(J$10&gt;0,N(Reales!J49)/J$10,0),N(Reales!J49)),J$188*INDEX(Precio_V,12)*INDEX(IdxPrecio_V,1,MIN(10,J$173))*(1+V_dPrecio))</f>
        <v>0</v>
      </c>
      <c r="K213" s="34" t="n">
        <f aca="false">IF(K$8=1,IF(Reales!$C$49="PYG",IF(K$10&gt;0,N(Reales!K49)/K$10,0),N(Reales!K49)),K$188*INDEX(Precio_V,12)*INDEX(IdxPrecio_V,1,MIN(10,K$173))*(1+V_dPrecio))</f>
        <v>0</v>
      </c>
      <c r="L213" s="34" t="n">
        <f aca="false">IF(L$8=1,IF(Reales!$C$49="PYG",IF(L$10&gt;0,N(Reales!L49)/L$10,0),N(Reales!L49)),L$188*INDEX(Precio_V,12)*INDEX(IdxPrecio_V,1,MIN(10,L$173))*(1+V_dPrecio))</f>
        <v>0</v>
      </c>
      <c r="M213" s="34" t="n">
        <f aca="false">IF(M$8=1,IF(Reales!$C$49="PYG",IF(M$10&gt;0,N(Reales!M49)/M$10,0),N(Reales!M49)),M$188*INDEX(Precio_V,12)*INDEX(IdxPrecio_V,1,MIN(10,M$173))*(1+V_dPrecio))</f>
        <v>0</v>
      </c>
      <c r="N213" s="34" t="n">
        <f aca="false">IF(N$8=1,IF(Reales!$C$49="PYG",IF(N$10&gt;0,N(Reales!N49)/N$10,0),N(Reales!N49)),N$188*INDEX(Precio_V,12)*INDEX(IdxPrecio_V,1,MIN(10,N$173))*(1+V_dPrecio))</f>
        <v>0</v>
      </c>
      <c r="O213" s="34" t="n">
        <f aca="false">IF(O$8=1,IF(Reales!$C$49="PYG",IF(O$10&gt;0,N(Reales!O49)/O$10,0),N(Reales!O49)),O$188*INDEX(Precio_V,12)*INDEX(IdxPrecio_V,1,MIN(10,O$173))*(1+V_dPrecio))</f>
        <v>0</v>
      </c>
      <c r="P213" s="34" t="n">
        <f aca="false">IF(P$8=1,IF(Reales!$C$49="PYG",IF(P$10&gt;0,N(Reales!P49)/P$10,0),N(Reales!P49)),P$188*INDEX(Precio_V,12)*INDEX(IdxPrecio_V,1,MIN(10,P$173))*(1+V_dPrecio))</f>
        <v>0</v>
      </c>
      <c r="Q213" s="34" t="n">
        <f aca="false">IF(Q$8=1,IF(Reales!$C$49="PYG",IF(Q$10&gt;0,N(Reales!Q49)/Q$10,0),N(Reales!Q49)),Q$188*INDEX(Precio_V,12)*INDEX(IdxPrecio_V,1,MIN(10,Q$173))*(1+V_dPrecio))</f>
        <v>0</v>
      </c>
      <c r="R213" s="34" t="n">
        <f aca="false">IF(R$8=1,IF(Reales!$C$49="PYG",IF(R$10&gt;0,N(Reales!R49)/R$10,0),N(Reales!R49)),R$188*INDEX(Precio_V,12)*INDEX(IdxPrecio_V,1,MIN(10,R$173))*(1+V_dPrecio))</f>
        <v>0</v>
      </c>
      <c r="S213" s="34" t="n">
        <f aca="false">IF(S$8=1,IF(Reales!$C$49="PYG",IF(S$10&gt;0,N(Reales!S49)/S$10,0),N(Reales!S49)),S$188*INDEX(Precio_V,12)*INDEX(IdxPrecio_V,1,MIN(10,S$173))*(1+V_dPrecio))</f>
        <v>0</v>
      </c>
      <c r="T213" s="34" t="n">
        <f aca="false">IF(T$8=1,IF(Reales!$C$49="PYG",IF(T$10&gt;0,N(Reales!T49)/T$10,0),N(Reales!T49)),T$188*INDEX(Precio_V,12)*INDEX(IdxPrecio_V,1,MIN(10,T$173))*(1+V_dPrecio))</f>
        <v>0</v>
      </c>
      <c r="U213" s="34" t="n">
        <f aca="false">IF(U$8=1,IF(Reales!$C$49="PYG",IF(U$10&gt;0,N(Reales!U49)/U$10,0),N(Reales!U49)),U$188*INDEX(Precio_V,12)*INDEX(IdxPrecio_V,1,MIN(10,U$173))*(1+V_dPrecio))</f>
        <v>0</v>
      </c>
      <c r="V213" s="34" t="n">
        <f aca="false">IF(V$8=1,IF(Reales!$C$49="PYG",IF(V$10&gt;0,N(Reales!V49)/V$10,0),N(Reales!V49)),V$188*INDEX(Precio_V,12)*INDEX(IdxPrecio_V,1,MIN(10,V$173))*(1+V_dPrecio))</f>
        <v>0</v>
      </c>
      <c r="W213" s="34" t="n">
        <f aca="false">IF(W$8=1,IF(Reales!$C$49="PYG",IF(W$10&gt;0,N(Reales!W49)/W$10,0),N(Reales!W49)),W$188*INDEX(Precio_V,12)*INDEX(IdxPrecio_V,1,MIN(10,W$173))*(1+V_dPrecio))</f>
        <v>0</v>
      </c>
      <c r="X213" s="34" t="n">
        <f aca="false">IF(X$8=1,IF(Reales!$C$49="PYG",IF(X$10&gt;0,N(Reales!X49)/X$10,0),N(Reales!X49)),X$188*INDEX(Precio_V,12)*INDEX(IdxPrecio_V,1,MIN(10,X$173))*(1+V_dPrecio))</f>
        <v>0</v>
      </c>
      <c r="Y213" s="34" t="n">
        <f aca="false">IF(Y$8=1,IF(Reales!$C$49="PYG",IF(Y$10&gt;0,N(Reales!Y49)/Y$10,0),N(Reales!Y49)),Y$188*INDEX(Precio_V,12)*INDEX(IdxPrecio_V,1,MIN(10,Y$173))*(1+V_dPrecio))</f>
        <v>0</v>
      </c>
      <c r="Z213" s="34" t="n">
        <f aca="false">IF(Z$8=1,IF(Reales!$C$49="PYG",IF(Z$10&gt;0,N(Reales!Z49)/Z$10,0),N(Reales!Z49)),Z$188*INDEX(Precio_V,12)*INDEX(IdxPrecio_V,1,MIN(10,Z$173))*(1+V_dPrecio))</f>
        <v>0</v>
      </c>
      <c r="AA213" s="34" t="n">
        <f aca="false">IF(AA$8=1,IF(Reales!$C$49="PYG",IF(AA$10&gt;0,N(Reales!AA49)/AA$10,0),N(Reales!AA49)),AA$188*INDEX(Precio_V,12)*INDEX(IdxPrecio_V,1,MIN(10,AA$173))*(1+V_dPrecio))</f>
        <v>0</v>
      </c>
      <c r="AB213" s="34" t="n">
        <f aca="false">IF(AB$8=1,IF(Reales!$C$49="PYG",IF(AB$10&gt;0,N(Reales!AB49)/AB$10,0),N(Reales!AB49)),AB$188*INDEX(Precio_V,12)*INDEX(IdxPrecio_V,1,MIN(10,AB$173))*(1+V_dPrecio))</f>
        <v>0</v>
      </c>
      <c r="AC213" s="34" t="n">
        <f aca="false">IF(AC$8=1,IF(Reales!$C$49="PYG",IF(AC$10&gt;0,N(Reales!AC49)/AC$10,0),N(Reales!AC49)),AC$188*INDEX(Precio_V,12)*INDEX(IdxPrecio_V,1,MIN(10,AC$173))*(1+V_dPrecio))</f>
        <v>0</v>
      </c>
      <c r="AD213" s="34" t="n">
        <f aca="false">IF(AD$8=1,IF(Reales!$C$49="PYG",IF(AD$10&gt;0,N(Reales!AD49)/AD$10,0),N(Reales!AD49)),AD$188*INDEX(Precio_V,12)*INDEX(IdxPrecio_V,1,MIN(10,AD$173))*(1+V_dPrecio))</f>
        <v>0</v>
      </c>
      <c r="AE213" s="34" t="n">
        <f aca="false">IF(AE$8=1,IF(Reales!$C$49="PYG",IF(AE$10&gt;0,N(Reales!AE49)/AE$10,0),N(Reales!AE49)),AE$188*INDEX(Precio_V,12)*INDEX(IdxPrecio_V,1,MIN(10,AE$173))*(1+V_dPrecio))</f>
        <v>0</v>
      </c>
      <c r="AF213" s="34" t="n">
        <f aca="false">IF(AF$8=1,IF(Reales!$C$49="PYG",IF(AF$10&gt;0,N(Reales!AF49)/AF$10,0),N(Reales!AF49)),AF$188*INDEX(Precio_V,12)*INDEX(IdxPrecio_V,1,MIN(10,AF$173))*(1+V_dPrecio))</f>
        <v>0</v>
      </c>
      <c r="AG213" s="34" t="n">
        <f aca="false">IF(AG$8=1,IF(Reales!$C$49="PYG",IF(AG$10&gt;0,N(Reales!AG49)/AG$10,0),N(Reales!AG49)),AG$188*INDEX(Precio_V,12)*INDEX(IdxPrecio_V,1,MIN(10,AG$173))*(1+V_dPrecio))</f>
        <v>0</v>
      </c>
      <c r="AH213" s="34" t="n">
        <f aca="false">IF(AH$8=1,IF(Reales!$C$49="PYG",IF(AH$10&gt;0,N(Reales!AH49)/AH$10,0),N(Reales!AH49)),AH$188*INDEX(Precio_V,12)*INDEX(IdxPrecio_V,1,MIN(10,AH$173))*(1+V_dPrecio))</f>
        <v>0</v>
      </c>
      <c r="AI213" s="34" t="n">
        <f aca="false">IF(AI$8=1,IF(Reales!$C$49="PYG",IF(AI$10&gt;0,N(Reales!AI49)/AI$10,0),N(Reales!AI49)),AI$188*INDEX(Precio_V,12)*INDEX(IdxPrecio_V,1,MIN(10,AI$173))*(1+V_dPrecio))</f>
        <v>0</v>
      </c>
      <c r="AJ213" s="34" t="n">
        <f aca="false">IF(AJ$8=1,IF(Reales!$C$49="PYG",IF(AJ$10&gt;0,N(Reales!AJ49)/AJ$10,0),N(Reales!AJ49)),AJ$188*INDEX(Precio_V,12)*INDEX(IdxPrecio_V,1,MIN(10,AJ$173))*(1+V_dPrecio))</f>
        <v>0</v>
      </c>
      <c r="AK213" s="34" t="n">
        <f aca="false">IF(AK$8=1,IF(Reales!$C$49="PYG",IF(AK$10&gt;0,N(Reales!AK49)/AK$10,0),N(Reales!AK49)),AK$188*INDEX(Precio_V,12)*INDEX(IdxPrecio_V,1,MIN(10,AK$173))*(1+V_dPrecio))</f>
        <v>0</v>
      </c>
      <c r="AL213" s="34" t="n">
        <f aca="false">IF(AL$8=1,IF(Reales!$C$49="PYG",IF(AL$10&gt;0,N(Reales!AL49)/AL$10,0),N(Reales!AL49)),AL$188*INDEX(Precio_V,12)*INDEX(IdxPrecio_V,1,MIN(10,AL$173))*(1+V_dPrecio))</f>
        <v>0</v>
      </c>
      <c r="AM213" s="34" t="n">
        <f aca="false">IF(AM$8=1,IF(Reales!$C$49="PYG",IF(AM$10&gt;0,N(Reales!AM49)/AM$10,0),N(Reales!AM49)),AM$188*INDEX(Precio_V,12)*INDEX(IdxPrecio_V,1,MIN(10,AM$173))*(1+V_dPrecio))</f>
        <v>0</v>
      </c>
      <c r="AN213" s="34" t="n">
        <f aca="false">IF(AN$8=1,IF(Reales!$C$49="PYG",IF(AN$10&gt;0,N(Reales!AN49)/AN$10,0),N(Reales!AN49)),AN$188*INDEX(Precio_V,12)*INDEX(IdxPrecio_V,1,MIN(10,AN$173))*(1+V_dPrecio))</f>
        <v>0</v>
      </c>
      <c r="AO213" s="34" t="n">
        <f aca="false">IF(AO$8=1,IF(Reales!$C$49="PYG",IF(AO$10&gt;0,N(Reales!AO49)/AO$10,0),N(Reales!AO49)),AO$188*INDEX(Precio_V,12)*INDEX(IdxPrecio_V,1,MIN(10,AO$173))*(1+V_dPrecio))</f>
        <v>0</v>
      </c>
      <c r="AP213" s="34" t="n">
        <f aca="false">IF(AP$8=1,IF(Reales!$C$49="PYG",IF(AP$10&gt;0,N(Reales!AP49)/AP$10,0),N(Reales!AP49)),AP$188*INDEX(Precio_V,12)*INDEX(IdxPrecio_V,1,MIN(10,AP$173))*(1+V_dPrecio))</f>
        <v>0</v>
      </c>
      <c r="AQ213" s="34" t="n">
        <f aca="false">IF(AQ$8=1,IF(Reales!$C$49="PYG",IF(AQ$10&gt;0,N(Reales!AQ49)/AQ$10,0),N(Reales!AQ49)),AQ$188*INDEX(Precio_V,12)*INDEX(IdxPrecio_V,1,MIN(10,AQ$173))*(1+V_dPrecio))</f>
        <v>0</v>
      </c>
      <c r="AR213" s="34" t="n">
        <f aca="false">IF(AR$8=1,IF(Reales!$C$49="PYG",IF(AR$10&gt;0,N(Reales!AR49)/AR$10,0),N(Reales!AR49)),AR$188*INDEX(Precio_V,12)*INDEX(IdxPrecio_V,1,MIN(10,AR$173))*(1+V_dPrecio))</f>
        <v>0</v>
      </c>
      <c r="AS213" s="34" t="n">
        <f aca="false">IF(AS$8=1,IF(Reales!$C$49="PYG",IF(AS$10&gt;0,N(Reales!AS49)/AS$10,0),N(Reales!AS49)),AS$188*INDEX(Precio_V,12)*INDEX(IdxPrecio_V,1,MIN(10,AS$173))*(1+V_dPrecio))</f>
        <v>0</v>
      </c>
      <c r="AT213" s="34" t="n">
        <f aca="false">IF(AT$8=1,IF(Reales!$C$49="PYG",IF(AT$10&gt;0,N(Reales!AT49)/AT$10,0),N(Reales!AT49)),AT$188*INDEX(Precio_V,12)*INDEX(IdxPrecio_V,1,MIN(10,AT$173))*(1+V_dPrecio))</f>
        <v>0</v>
      </c>
      <c r="AU213" s="34" t="n">
        <f aca="false">IF(AU$8=1,IF(Reales!$C$49="PYG",IF(AU$10&gt;0,N(Reales!AU49)/AU$10,0),N(Reales!AU49)),AU$188*INDEX(Precio_V,12)*INDEX(IdxPrecio_V,1,MIN(10,AU$173))*(1+V_dPrecio))</f>
        <v>0</v>
      </c>
      <c r="AV213" s="34" t="n">
        <f aca="false">IF(AV$8=1,IF(Reales!$C$49="PYG",IF(AV$10&gt;0,N(Reales!AV49)/AV$10,0),N(Reales!AV49)),AV$188*INDEX(Precio_V,12)*INDEX(IdxPrecio_V,1,MIN(10,AV$173))*(1+V_dPrecio))</f>
        <v>0</v>
      </c>
      <c r="AW213" s="34" t="n">
        <f aca="false">IF(AW$8=1,IF(Reales!$C$49="PYG",IF(AW$10&gt;0,N(Reales!AW49)/AW$10,0),N(Reales!AW49)),AW$188*INDEX(Precio_V,12)*INDEX(IdxPrecio_V,1,MIN(10,AW$173))*(1+V_dPrecio))</f>
        <v>0</v>
      </c>
      <c r="AX213" s="34" t="n">
        <f aca="false">IF(AX$8=1,IF(Reales!$C$49="PYG",IF(AX$10&gt;0,N(Reales!AX49)/AX$10,0),N(Reales!AX49)),AX$188*INDEX(Precio_V,12)*INDEX(IdxPrecio_V,1,MIN(10,AX$173))*(1+V_dPrecio))</f>
        <v>0</v>
      </c>
      <c r="AY213" s="34" t="n">
        <f aca="false">IF(AY$8=1,IF(Reales!$C$49="PYG",IF(AY$10&gt;0,N(Reales!AY49)/AY$10,0),N(Reales!AY49)),AY$188*INDEX(Precio_V,12)*INDEX(IdxPrecio_V,1,MIN(10,AY$173))*(1+V_dPrecio))</f>
        <v>0</v>
      </c>
      <c r="AZ213" s="34" t="n">
        <f aca="false">IF(AZ$8=1,IF(Reales!$C$49="PYG",IF(AZ$10&gt;0,N(Reales!AZ49)/AZ$10,0),N(Reales!AZ49)),AZ$188*INDEX(Precio_V,12)*INDEX(IdxPrecio_V,1,MIN(10,AZ$173))*(1+V_dPrecio))</f>
        <v>0</v>
      </c>
      <c r="BA213" s="34" t="n">
        <f aca="false">IF(BA$8=1,IF(Reales!$C$49="PYG",IF(BA$10&gt;0,N(Reales!BA49)/BA$10,0),N(Reales!BA49)),BA$188*INDEX(Precio_V,12)*INDEX(IdxPrecio_V,1,MIN(10,BA$173))*(1+V_dPrecio))</f>
        <v>0</v>
      </c>
      <c r="BB213" s="34" t="n">
        <f aca="false">IF(BB$8=1,IF(Reales!$C$49="PYG",IF(BB$10&gt;0,N(Reales!BB49)/BB$10,0),N(Reales!BB49)),BB$188*INDEX(Precio_V,12)*INDEX(IdxPrecio_V,1,MIN(10,BB$173))*(1+V_dPrecio))</f>
        <v>0</v>
      </c>
      <c r="BC213" s="34" t="n">
        <f aca="false">IF(BC$8=1,IF(Reales!$C$49="PYG",IF(BC$10&gt;0,N(Reales!BC49)/BC$10,0),N(Reales!BC49)),BC$188*INDEX(Precio_V,12)*INDEX(IdxPrecio_V,1,MIN(10,BC$173))*(1+V_dPrecio))</f>
        <v>0</v>
      </c>
      <c r="BD213" s="34" t="n">
        <f aca="false">IF(BD$8=1,IF(Reales!$C$49="PYG",IF(BD$10&gt;0,N(Reales!BD49)/BD$10,0),N(Reales!BD49)),BD$188*INDEX(Precio_V,12)*INDEX(IdxPrecio_V,1,MIN(10,BD$173))*(1+V_dPrecio))</f>
        <v>0</v>
      </c>
      <c r="BE213" s="34" t="n">
        <f aca="false">IF(BE$8=1,IF(Reales!$C$49="PYG",IF(BE$10&gt;0,N(Reales!BE49)/BE$10,0),N(Reales!BE49)),BE$188*INDEX(Precio_V,12)*INDEX(IdxPrecio_V,1,MIN(10,BE$173))*(1+V_dPrecio))</f>
        <v>0</v>
      </c>
      <c r="BF213" s="34" t="n">
        <f aca="false">IF(BF$8=1,IF(Reales!$C$49="PYG",IF(BF$10&gt;0,N(Reales!BF49)/BF$10,0),N(Reales!BF49)),BF$188*INDEX(Precio_V,12)*INDEX(IdxPrecio_V,1,MIN(10,BF$173))*(1+V_dPrecio))</f>
        <v>0</v>
      </c>
      <c r="BG213" s="34" t="n">
        <f aca="false">IF(BG$8=1,IF(Reales!$C$49="PYG",IF(BG$10&gt;0,N(Reales!BG49)/BG$10,0),N(Reales!BG49)),BG$188*INDEX(Precio_V,12)*INDEX(IdxPrecio_V,1,MIN(10,BG$173))*(1+V_dPrecio))</f>
        <v>0</v>
      </c>
      <c r="BH213" s="34" t="n">
        <f aca="false">IF(BH$8=1,IF(Reales!$C$49="PYG",IF(BH$10&gt;0,N(Reales!BH49)/BH$10,0),N(Reales!BH49)),BH$188*INDEX(Precio_V,12)*INDEX(IdxPrecio_V,1,MIN(10,BH$173))*(1+V_dPrecio))</f>
        <v>0</v>
      </c>
      <c r="BI213" s="34" t="n">
        <f aca="false">IF(BI$8=1,IF(Reales!$C$49="PYG",IF(BI$10&gt;0,N(Reales!BI49)/BI$10,0),N(Reales!BI49)),BI$188*INDEX(Precio_V,12)*INDEX(IdxPrecio_V,1,MIN(10,BI$173))*(1+V_dPrecio))</f>
        <v>0</v>
      </c>
      <c r="BJ213" s="34" t="n">
        <f aca="false">IF(BJ$8=1,IF(Reales!$C$49="PYG",IF(BJ$10&gt;0,N(Reales!BJ49)/BJ$10,0),N(Reales!BJ49)),BJ$188*INDEX(Precio_V,12)*INDEX(IdxPrecio_V,1,MIN(10,BJ$173))*(1+V_dPrecio))</f>
        <v>0</v>
      </c>
      <c r="BK213" s="34" t="n">
        <f aca="false">IF(BK$8=1,IF(Reales!$C$49="PYG",IF(BK$10&gt;0,N(Reales!BK49)/BK$10,0),N(Reales!BK49)),BK$188*INDEX(Precio_V,12)*INDEX(IdxPrecio_V,1,MIN(10,BK$173))*(1+V_dPrecio))</f>
        <v>0</v>
      </c>
      <c r="BL213" s="34" t="n">
        <f aca="false">IF(BL$8=1,IF(Reales!$C$49="PYG",IF(BL$10&gt;0,N(Reales!BL49)/BL$10,0),N(Reales!BL49)),BL$188*INDEX(Precio_V,12)*INDEX(IdxPrecio_V,1,MIN(10,BL$173))*(1+V_dPrecio))</f>
        <v>0</v>
      </c>
      <c r="BM213" s="34" t="n">
        <f aca="false">IF(BM$8=1,IF(Reales!$C$49="PYG",IF(BM$10&gt;0,N(Reales!BM49)/BM$10,0),N(Reales!BM49)),BM$188*INDEX(Precio_V,12)*INDEX(IdxPrecio_V,1,MIN(10,BM$173))*(1+V_dPrecio))</f>
        <v>0</v>
      </c>
      <c r="BN213" s="34" t="n">
        <f aca="false">IF(BN$8=1,IF(Reales!$C$49="PYG",IF(BN$10&gt;0,N(Reales!BN49)/BN$10,0),N(Reales!BN49)),BN$188*INDEX(Precio_V,12)*INDEX(IdxPrecio_V,1,MIN(10,BN$173))*(1+V_dPrecio))</f>
        <v>0</v>
      </c>
      <c r="BO213" s="34" t="n">
        <f aca="false">IF(BO$8=1,IF(Reales!$C$49="PYG",IF(BO$10&gt;0,N(Reales!BO49)/BO$10,0),N(Reales!BO49)),BO$188*INDEX(Precio_V,12)*INDEX(IdxPrecio_V,1,MIN(10,BO$173))*(1+V_dPrecio))</f>
        <v>0</v>
      </c>
      <c r="BP213" s="34" t="n">
        <f aca="false">IF(BP$8=1,IF(Reales!$C$49="PYG",IF(BP$10&gt;0,N(Reales!BP49)/BP$10,0),N(Reales!BP49)),BP$188*INDEX(Precio_V,12)*INDEX(IdxPrecio_V,1,MIN(10,BP$173))*(1+V_dPrecio))</f>
        <v>0</v>
      </c>
      <c r="BQ213" s="34" t="n">
        <f aca="false">IF(BQ$8=1,IF(Reales!$C$49="PYG",IF(BQ$10&gt;0,N(Reales!BQ49)/BQ$10,0),N(Reales!BQ49)),BQ$188*INDEX(Precio_V,12)*INDEX(IdxPrecio_V,1,MIN(10,BQ$173))*(1+V_dPrecio))</f>
        <v>0</v>
      </c>
      <c r="BR213" s="34" t="n">
        <f aca="false">IF(BR$8=1,IF(Reales!$C$49="PYG",IF(BR$10&gt;0,N(Reales!BR49)/BR$10,0),N(Reales!BR49)),BR$188*INDEX(Precio_V,12)*INDEX(IdxPrecio_V,1,MIN(10,BR$173))*(1+V_dPrecio))</f>
        <v>0</v>
      </c>
      <c r="BS213" s="34" t="n">
        <f aca="false">IF(BS$8=1,IF(Reales!$C$49="PYG",IF(BS$10&gt;0,N(Reales!BS49)/BS$10,0),N(Reales!BS49)),BS$188*INDEX(Precio_V,12)*INDEX(IdxPrecio_V,1,MIN(10,BS$173))*(1+V_dPrecio))</f>
        <v>0</v>
      </c>
      <c r="BT213" s="34" t="n">
        <f aca="false">IF(BT$8=1,IF(Reales!$C$49="PYG",IF(BT$10&gt;0,N(Reales!BT49)/BT$10,0),N(Reales!BT49)),BT$188*INDEX(Precio_V,12)*INDEX(IdxPrecio_V,1,MIN(10,BT$173))*(1+V_dPrecio))</f>
        <v>0</v>
      </c>
      <c r="BU213" s="34" t="n">
        <f aca="false">IF(BU$8=1,IF(Reales!$C$49="PYG",IF(BU$10&gt;0,N(Reales!BU49)/BU$10,0),N(Reales!BU49)),BU$188*INDEX(Precio_V,12)*INDEX(IdxPrecio_V,1,MIN(10,BU$173))*(1+V_dPrecio))</f>
        <v>0</v>
      </c>
      <c r="BV213" s="34" t="n">
        <f aca="false">IF(BV$8=1,IF(Reales!$C$49="PYG",IF(BV$10&gt;0,N(Reales!BV49)/BV$10,0),N(Reales!BV49)),BV$188*INDEX(Precio_V,12)*INDEX(IdxPrecio_V,1,MIN(10,BV$173))*(1+V_dPrecio))</f>
        <v>0</v>
      </c>
      <c r="BW213" s="34" t="n">
        <f aca="false">IF(BW$8=1,IF(Reales!$C$49="PYG",IF(BW$10&gt;0,N(Reales!BW49)/BW$10,0),N(Reales!BW49)),BW$188*INDEX(Precio_V,12)*INDEX(IdxPrecio_V,1,MIN(10,BW$173))*(1+V_dPrecio))</f>
        <v>0</v>
      </c>
      <c r="BX213" s="34" t="n">
        <f aca="false">IF(BX$8=1,IF(Reales!$C$49="PYG",IF(BX$10&gt;0,N(Reales!BX49)/BX$10,0),N(Reales!BX49)),BX$188*INDEX(Precio_V,12)*INDEX(IdxPrecio_V,1,MIN(10,BX$173))*(1+V_dPrecio))</f>
        <v>0</v>
      </c>
      <c r="BY213" s="34" t="n">
        <f aca="false">IF(BY$8=1,IF(Reales!$C$49="PYG",IF(BY$10&gt;0,N(Reales!BY49)/BY$10,0),N(Reales!BY49)),BY$188*INDEX(Precio_V,12)*INDEX(IdxPrecio_V,1,MIN(10,BY$173))*(1+V_dPrecio))</f>
        <v>0</v>
      </c>
      <c r="BZ213" s="34" t="n">
        <f aca="false">IF(BZ$8=1,IF(Reales!$C$49="PYG",IF(BZ$10&gt;0,N(Reales!BZ49)/BZ$10,0),N(Reales!BZ49)),BZ$188*INDEX(Precio_V,12)*INDEX(IdxPrecio_V,1,MIN(10,BZ$173))*(1+V_dPrecio))</f>
        <v>0</v>
      </c>
      <c r="CA213" s="34" t="n">
        <f aca="false">IF(CA$8=1,IF(Reales!$C$49="PYG",IF(CA$10&gt;0,N(Reales!CA49)/CA$10,0),N(Reales!CA49)),CA$188*INDEX(Precio_V,12)*INDEX(IdxPrecio_V,1,MIN(10,CA$173))*(1+V_dPrecio))</f>
        <v>0</v>
      </c>
      <c r="CB213" s="34" t="n">
        <f aca="false">IF(CB$8=1,IF(Reales!$C$49="PYG",IF(CB$10&gt;0,N(Reales!CB49)/CB$10,0),N(Reales!CB49)),CB$188*INDEX(Precio_V,12)*INDEX(IdxPrecio_V,1,MIN(10,CB$173))*(1+V_dPrecio))</f>
        <v>0</v>
      </c>
      <c r="CC213" s="34" t="n">
        <f aca="false">IF(CC$8=1,IF(Reales!$C$49="PYG",IF(CC$10&gt;0,N(Reales!CC49)/CC$10,0),N(Reales!CC49)),CC$188*INDEX(Precio_V,12)*INDEX(IdxPrecio_V,1,MIN(10,CC$173))*(1+V_dPrecio))</f>
        <v>0</v>
      </c>
      <c r="CD213" s="34" t="n">
        <f aca="false">IF(CD$8=1,IF(Reales!$C$49="PYG",IF(CD$10&gt;0,N(Reales!CD49)/CD$10,0),N(Reales!CD49)),CD$188*INDEX(Precio_V,12)*INDEX(IdxPrecio_V,1,MIN(10,CD$173))*(1+V_dPrecio))</f>
        <v>0</v>
      </c>
      <c r="CE213" s="34" t="n">
        <f aca="false">IF(CE$8=1,IF(Reales!$C$49="PYG",IF(CE$10&gt;0,N(Reales!CE49)/CE$10,0),N(Reales!CE49)),CE$188*INDEX(Precio_V,12)*INDEX(IdxPrecio_V,1,MIN(10,CE$173))*(1+V_dPrecio))</f>
        <v>0</v>
      </c>
      <c r="CF213" s="34" t="n">
        <f aca="false">IF(CF$8=1,IF(Reales!$C$49="PYG",IF(CF$10&gt;0,N(Reales!CF49)/CF$10,0),N(Reales!CF49)),CF$188*INDEX(Precio_V,12)*INDEX(IdxPrecio_V,1,MIN(10,CF$173))*(1+V_dPrecio))</f>
        <v>0</v>
      </c>
      <c r="CG213" s="34" t="n">
        <f aca="false">IF(CG$8=1,IF(Reales!$C$49="PYG",IF(CG$10&gt;0,N(Reales!CG49)/CG$10,0),N(Reales!CG49)),CG$188*INDEX(Precio_V,12)*INDEX(IdxPrecio_V,1,MIN(10,CG$173))*(1+V_dPrecio))</f>
        <v>0</v>
      </c>
      <c r="CH213" s="34" t="n">
        <f aca="false">IF(CH$8=1,IF(Reales!$C$49="PYG",IF(CH$10&gt;0,N(Reales!CH49)/CH$10,0),N(Reales!CH49)),CH$188*INDEX(Precio_V,12)*INDEX(IdxPrecio_V,1,MIN(10,CH$173))*(1+V_dPrecio))</f>
        <v>0</v>
      </c>
      <c r="CI213" s="34" t="n">
        <f aca="false">IF(CI$8=1,IF(Reales!$C$49="PYG",IF(CI$10&gt;0,N(Reales!CI49)/CI$10,0),N(Reales!CI49)),CI$188*INDEX(Precio_V,12)*INDEX(IdxPrecio_V,1,MIN(10,CI$173))*(1+V_dPrecio))</f>
        <v>0</v>
      </c>
      <c r="CJ213" s="34" t="n">
        <f aca="false">IF(CJ$8=1,IF(Reales!$C$49="PYG",IF(CJ$10&gt;0,N(Reales!CJ49)/CJ$10,0),N(Reales!CJ49)),CJ$188*INDEX(Precio_V,12)*INDEX(IdxPrecio_V,1,MIN(10,CJ$173))*(1+V_dPrecio))</f>
        <v>0</v>
      </c>
      <c r="CK213" s="34" t="n">
        <f aca="false">IF(CK$8=1,IF(Reales!$C$49="PYG",IF(CK$10&gt;0,N(Reales!CK49)/CK$10,0),N(Reales!CK49)),CK$188*INDEX(Precio_V,12)*INDEX(IdxPrecio_V,1,MIN(10,CK$173))*(1+V_dPrecio))</f>
        <v>0</v>
      </c>
      <c r="CL213" s="34" t="n">
        <f aca="false">IF(CL$8=1,IF(Reales!$C$49="PYG",IF(CL$10&gt;0,N(Reales!CL49)/CL$10,0),N(Reales!CL49)),CL$188*INDEX(Precio_V,12)*INDEX(IdxPrecio_V,1,MIN(10,CL$173))*(1+V_dPrecio))</f>
        <v>0</v>
      </c>
      <c r="CM213" s="34" t="n">
        <f aca="false">IF(CM$8=1,IF(Reales!$C$49="PYG",IF(CM$10&gt;0,N(Reales!CM49)/CM$10,0),N(Reales!CM49)),CM$188*INDEX(Precio_V,12)*INDEX(IdxPrecio_V,1,MIN(10,CM$173))*(1+V_dPrecio))</f>
        <v>0</v>
      </c>
      <c r="CN213" s="34" t="n">
        <f aca="false">IF(CN$8=1,IF(Reales!$C$49="PYG",IF(CN$10&gt;0,N(Reales!CN49)/CN$10,0),N(Reales!CN49)),CN$188*INDEX(Precio_V,12)*INDEX(IdxPrecio_V,1,MIN(10,CN$173))*(1+V_dPrecio))</f>
        <v>0</v>
      </c>
      <c r="CO213" s="34" t="n">
        <f aca="false">IF(CO$8=1,IF(Reales!$C$49="PYG",IF(CO$10&gt;0,N(Reales!CO49)/CO$10,0),N(Reales!CO49)),CO$188*INDEX(Precio_V,12)*INDEX(IdxPrecio_V,1,MIN(10,CO$173))*(1+V_dPrecio))</f>
        <v>0</v>
      </c>
      <c r="CP213" s="34" t="n">
        <f aca="false">IF(CP$8=1,IF(Reales!$C$49="PYG",IF(CP$10&gt;0,N(Reales!CP49)/CP$10,0),N(Reales!CP49)),CP$188*INDEX(Precio_V,12)*INDEX(IdxPrecio_V,1,MIN(10,CP$173))*(1+V_dPrecio))</f>
        <v>0</v>
      </c>
      <c r="CQ213" s="34" t="n">
        <f aca="false">IF(CQ$8=1,IF(Reales!$C$49="PYG",IF(CQ$10&gt;0,N(Reales!CQ49)/CQ$10,0),N(Reales!CQ49)),CQ$188*INDEX(Precio_V,12)*INDEX(IdxPrecio_V,1,MIN(10,CQ$173))*(1+V_dPrecio))</f>
        <v>0</v>
      </c>
      <c r="CR213" s="34" t="n">
        <f aca="false">IF(CR$8=1,IF(Reales!$C$49="PYG",IF(CR$10&gt;0,N(Reales!CR49)/CR$10,0),N(Reales!CR49)),CR$188*INDEX(Precio_V,12)*INDEX(IdxPrecio_V,1,MIN(10,CR$173))*(1+V_dPrecio))</f>
        <v>0</v>
      </c>
      <c r="CS213" s="34" t="n">
        <f aca="false">IF(CS$8=1,IF(Reales!$C$49="PYG",IF(CS$10&gt;0,N(Reales!CS49)/CS$10,0),N(Reales!CS49)),CS$188*INDEX(Precio_V,12)*INDEX(IdxPrecio_V,1,MIN(10,CS$173))*(1+V_dPrecio))</f>
        <v>0</v>
      </c>
      <c r="CT213" s="34" t="n">
        <f aca="false">IF(CT$8=1,IF(Reales!$C$49="PYG",IF(CT$10&gt;0,N(Reales!CT49)/CT$10,0),N(Reales!CT49)),CT$188*INDEX(Precio_V,12)*INDEX(IdxPrecio_V,1,MIN(10,CT$173))*(1+V_dPrecio))</f>
        <v>0</v>
      </c>
      <c r="CU213" s="34" t="n">
        <f aca="false">IF(CU$8=1,IF(Reales!$C$49="PYG",IF(CU$10&gt;0,N(Reales!CU49)/CU$10,0),N(Reales!CU49)),CU$188*INDEX(Precio_V,12)*INDEX(IdxPrecio_V,1,MIN(10,CU$173))*(1+V_dPrecio))</f>
        <v>0</v>
      </c>
      <c r="CV213" s="34" t="n">
        <f aca="false">IF(CV$8=1,IF(Reales!$C$49="PYG",IF(CV$10&gt;0,N(Reales!CV49)/CV$10,0),N(Reales!CV49)),CV$188*INDEX(Precio_V,12)*INDEX(IdxPrecio_V,1,MIN(10,CV$173))*(1+V_dPrecio))</f>
        <v>0</v>
      </c>
      <c r="CW213" s="34" t="n">
        <f aca="false">IF(CW$8=1,IF(Reales!$C$49="PYG",IF(CW$10&gt;0,N(Reales!CW49)/CW$10,0),N(Reales!CW49)),CW$188*INDEX(Precio_V,12)*INDEX(IdxPrecio_V,1,MIN(10,CW$173))*(1+V_dPrecio))</f>
        <v>0</v>
      </c>
      <c r="CX213" s="34" t="n">
        <f aca="false">IF(CX$8=1,IF(Reales!$C$49="PYG",IF(CX$10&gt;0,N(Reales!CX49)/CX$10,0),N(Reales!CX49)),CX$188*INDEX(Precio_V,12)*INDEX(IdxPrecio_V,1,MIN(10,CX$173))*(1+V_dPrecio))</f>
        <v>0</v>
      </c>
      <c r="CY213" s="34" t="n">
        <f aca="false">IF(CY$8=1,IF(Reales!$C$49="PYG",IF(CY$10&gt;0,N(Reales!CY49)/CY$10,0),N(Reales!CY49)),CY$188*INDEX(Precio_V,12)*INDEX(IdxPrecio_V,1,MIN(10,CY$173))*(1+V_dPrecio))</f>
        <v>0</v>
      </c>
      <c r="CZ213" s="34" t="n">
        <f aca="false">IF(CZ$8=1,IF(Reales!$C$49="PYG",IF(CZ$10&gt;0,N(Reales!CZ49)/CZ$10,0),N(Reales!CZ49)),CZ$188*INDEX(Precio_V,12)*INDEX(IdxPrecio_V,1,MIN(10,CZ$173))*(1+V_dPrecio))</f>
        <v>0</v>
      </c>
      <c r="DA213" s="34" t="n">
        <f aca="false">IF(DA$8=1,IF(Reales!$C$49="PYG",IF(DA$10&gt;0,N(Reales!DA49)/DA$10,0),N(Reales!DA49)),DA$188*INDEX(Precio_V,12)*INDEX(IdxPrecio_V,1,MIN(10,DA$173))*(1+V_dPrecio))</f>
        <v>0</v>
      </c>
      <c r="DB213" s="34" t="n">
        <f aca="false">IF(DB$8=1,IF(Reales!$C$49="PYG",IF(DB$10&gt;0,N(Reales!DB49)/DB$10,0),N(Reales!DB49)),DB$188*INDEX(Precio_V,12)*INDEX(IdxPrecio_V,1,MIN(10,DB$173))*(1+V_dPrecio))</f>
        <v>0</v>
      </c>
      <c r="DC213" s="34" t="n">
        <f aca="false">IF(DC$8=1,IF(Reales!$C$49="PYG",IF(DC$10&gt;0,N(Reales!DC49)/DC$10,0),N(Reales!DC49)),DC$188*INDEX(Precio_V,12)*INDEX(IdxPrecio_V,1,MIN(10,DC$173))*(1+V_dPrecio))</f>
        <v>0</v>
      </c>
      <c r="DD213" s="34" t="n">
        <f aca="false">IF(DD$8=1,IF(Reales!$C$49="PYG",IF(DD$10&gt;0,N(Reales!DD49)/DD$10,0),N(Reales!DD49)),DD$188*INDEX(Precio_V,12)*INDEX(IdxPrecio_V,1,MIN(10,DD$173))*(1+V_dPrecio))</f>
        <v>0</v>
      </c>
      <c r="DE213" s="34" t="n">
        <f aca="false">IF(DE$8=1,IF(Reales!$C$49="PYG",IF(DE$10&gt;0,N(Reales!DE49)/DE$10,0),N(Reales!DE49)),DE$188*INDEX(Precio_V,12)*INDEX(IdxPrecio_V,1,MIN(10,DE$173))*(1+V_dPrecio))</f>
        <v>0</v>
      </c>
      <c r="DF213" s="34" t="n">
        <f aca="false">IF(DF$8=1,IF(Reales!$C$49="PYG",IF(DF$10&gt;0,N(Reales!DF49)/DF$10,0),N(Reales!DF49)),DF$188*INDEX(Precio_V,12)*INDEX(IdxPrecio_V,1,MIN(10,DF$173))*(1+V_dPrecio))</f>
        <v>0</v>
      </c>
      <c r="DG213" s="34" t="n">
        <f aca="false">IF(DG$8=1,IF(Reales!$C$49="PYG",IF(DG$10&gt;0,N(Reales!DG49)/DG$10,0),N(Reales!DG49)),DG$188*INDEX(Precio_V,12)*INDEX(IdxPrecio_V,1,MIN(10,DG$173))*(1+V_dPrecio))</f>
        <v>0</v>
      </c>
      <c r="DH213" s="34" t="n">
        <f aca="false">IF(DH$8=1,IF(Reales!$C$49="PYG",IF(DH$10&gt;0,N(Reales!DH49)/DH$10,0),N(Reales!DH49)),DH$188*INDEX(Precio_V,12)*INDEX(IdxPrecio_V,1,MIN(10,DH$173))*(1+V_dPrecio))</f>
        <v>0</v>
      </c>
      <c r="DI213" s="34" t="n">
        <f aca="false">IF(DI$8=1,IF(Reales!$C$49="PYG",IF(DI$10&gt;0,N(Reales!DI49)/DI$10,0),N(Reales!DI49)),DI$188*INDEX(Precio_V,12)*INDEX(IdxPrecio_V,1,MIN(10,DI$173))*(1+V_dPrecio))</f>
        <v>0</v>
      </c>
      <c r="DJ213" s="34" t="n">
        <f aca="false">IF(DJ$8=1,IF(Reales!$C$49="PYG",IF(DJ$10&gt;0,N(Reales!DJ49)/DJ$10,0),N(Reales!DJ49)),DJ$188*INDEX(Precio_V,12)*INDEX(IdxPrecio_V,1,MIN(10,DJ$173))*(1+V_dPrecio))</f>
        <v>0</v>
      </c>
      <c r="DK213" s="34" t="n">
        <f aca="false">IF(DK$8=1,IF(Reales!$C$49="PYG",IF(DK$10&gt;0,N(Reales!DK49)/DK$10,0),N(Reales!DK49)),DK$188*INDEX(Precio_V,12)*INDEX(IdxPrecio_V,1,MIN(10,DK$173))*(1+V_dPrecio))</f>
        <v>0</v>
      </c>
      <c r="DL213" s="34" t="n">
        <f aca="false">IF(DL$8=1,IF(Reales!$C$49="PYG",IF(DL$10&gt;0,N(Reales!DL49)/DL$10,0),N(Reales!DL49)),DL$188*INDEX(Precio_V,12)*INDEX(IdxPrecio_V,1,MIN(10,DL$173))*(1+V_dPrecio))</f>
        <v>0</v>
      </c>
      <c r="DM213" s="34" t="n">
        <f aca="false">IF(DM$8=1,IF(Reales!$C$49="PYG",IF(DM$10&gt;0,N(Reales!DM49)/DM$10,0),N(Reales!DM49)),DM$188*INDEX(Precio_V,12)*INDEX(IdxPrecio_V,1,MIN(10,DM$173))*(1+V_dPrecio))</f>
        <v>0</v>
      </c>
      <c r="DN213" s="34" t="n">
        <f aca="false">IF(DN$8=1,IF(Reales!$C$49="PYG",IF(DN$10&gt;0,N(Reales!DN49)/DN$10,0),N(Reales!DN49)),DN$188*INDEX(Precio_V,12)*INDEX(IdxPrecio_V,1,MIN(10,DN$173))*(1+V_dPrecio))</f>
        <v>0</v>
      </c>
      <c r="DO213" s="34" t="n">
        <f aca="false">IF(DO$8=1,IF(Reales!$C$49="PYG",IF(DO$10&gt;0,N(Reales!DO49)/DO$10,0),N(Reales!DO49)),DO$188*INDEX(Precio_V,12)*INDEX(IdxPrecio_V,1,MIN(10,DO$173))*(1+V_dPrecio))</f>
        <v>0</v>
      </c>
      <c r="DP213" s="34" t="n">
        <f aca="false">IF(DP$8=1,IF(Reales!$C$49="PYG",IF(DP$10&gt;0,N(Reales!DP49)/DP$10,0),N(Reales!DP49)),DP$188*INDEX(Precio_V,12)*INDEX(IdxPrecio_V,1,MIN(10,DP$173))*(1+V_dPrecio))</f>
        <v>0</v>
      </c>
      <c r="DQ213" s="34" t="n">
        <f aca="false">IF(DQ$8=1,IF(Reales!$C$49="PYG",IF(DQ$10&gt;0,N(Reales!DQ49)/DQ$10,0),N(Reales!DQ49)),DQ$188*INDEX(Precio_V,12)*INDEX(IdxPrecio_V,1,MIN(10,DQ$173))*(1+V_dPrecio))</f>
        <v>0</v>
      </c>
      <c r="DR213" s="34" t="n">
        <f aca="false">IF(DR$8=1,IF(Reales!$C$49="PYG",IF(DR$10&gt;0,N(Reales!DR49)/DR$10,0),N(Reales!DR49)),DR$188*INDEX(Precio_V,12)*INDEX(IdxPrecio_V,1,MIN(10,DR$173))*(1+V_dPrecio))</f>
        <v>0</v>
      </c>
      <c r="DS213" s="34" t="n">
        <f aca="false">IF(DS$8=1,IF(Reales!$C$49="PYG",IF(DS$10&gt;0,N(Reales!DS49)/DS$10,0),N(Reales!DS49)),DS$188*INDEX(Precio_V,12)*INDEX(IdxPrecio_V,1,MIN(10,DS$173))*(1+V_dPrecio))</f>
        <v>0</v>
      </c>
      <c r="DT213" s="34" t="n">
        <f aca="false">IF(DT$8=1,IF(Reales!$C$49="PYG",IF(DT$10&gt;0,N(Reales!DT49)/DT$10,0),N(Reales!DT49)),DT$188*INDEX(Precio_V,12)*INDEX(IdxPrecio_V,1,MIN(10,DT$173))*(1+V_dPrecio))</f>
        <v>0</v>
      </c>
      <c r="DU213" s="34" t="n">
        <f aca="false">IF(DU$8=1,IF(Reales!$C$49="PYG",IF(DU$10&gt;0,N(Reales!DU49)/DU$10,0),N(Reales!DU49)),DU$188*INDEX(Precio_V,12)*INDEX(IdxPrecio_V,1,MIN(10,DU$173))*(1+V_dPrecio))</f>
        <v>0</v>
      </c>
      <c r="DV213" s="34" t="n">
        <f aca="false">IF(DV$8=1,IF(Reales!$C$49="PYG",IF(DV$10&gt;0,N(Reales!DV49)/DV$10,0),N(Reales!DV49)),DV$188*INDEX(Precio_V,12)*INDEX(IdxPrecio_V,1,MIN(10,DV$173))*(1+V_dPrecio))</f>
        <v>0</v>
      </c>
      <c r="DW213" s="34" t="n">
        <f aca="false">IF(DW$8=1,IF(Reales!$C$49="PYG",IF(DW$10&gt;0,N(Reales!DW49)/DW$10,0),N(Reales!DW49)),DW$188*INDEX(Precio_V,12)*INDEX(IdxPrecio_V,1,MIN(10,DW$173))*(1+V_dPrecio))</f>
        <v>0</v>
      </c>
      <c r="DX213" s="34" t="n">
        <f aca="false">IF(DX$8=1,IF(Reales!$C$49="PYG",IF(DX$10&gt;0,N(Reales!DX49)/DX$10,0),N(Reales!DX49)),DX$188*INDEX(Precio_V,12)*INDEX(IdxPrecio_V,1,MIN(10,DX$173))*(1+V_dPrecio))</f>
        <v>0</v>
      </c>
      <c r="DY213" s="34" t="n">
        <f aca="false">IF(DY$8=1,IF(Reales!$C$49="PYG",IF(DY$10&gt;0,N(Reales!DY49)/DY$10,0),N(Reales!DY49)),DY$188*INDEX(Precio_V,12)*INDEX(IdxPrecio_V,1,MIN(10,DY$173))*(1+V_dPrecio))</f>
        <v>0</v>
      </c>
      <c r="DZ213" s="34" t="n">
        <f aca="false">IF(DZ$8=1,IF(Reales!$C$49="PYG",IF(DZ$10&gt;0,N(Reales!DZ49)/DZ$10,0),N(Reales!DZ49)),DZ$188*INDEX(Precio_V,12)*INDEX(IdxPrecio_V,1,MIN(10,DZ$173))*(1+V_dPrecio))</f>
        <v>0</v>
      </c>
      <c r="EA213" s="34" t="n">
        <f aca="false">IF(EA$8=1,IF(Reales!$C$49="PYG",IF(EA$10&gt;0,N(Reales!EA49)/EA$10,0),N(Reales!EA49)),EA$188*INDEX(Precio_V,12)*INDEX(IdxPrecio_V,1,MIN(10,EA$173))*(1+V_dPrecio))</f>
        <v>0</v>
      </c>
      <c r="EB213" s="34" t="n">
        <f aca="false">IF(EB$8=1,IF(Reales!$C$49="PYG",IF(EB$10&gt;0,N(Reales!EB49)/EB$10,0),N(Reales!EB49)),EB$188*INDEX(Precio_V,12)*INDEX(IdxPrecio_V,1,MIN(10,EB$173))*(1+V_dPrecio))</f>
        <v>0</v>
      </c>
      <c r="EC213" s="34" t="n">
        <f aca="false">IF(EC$8=1,IF(Reales!$C$49="PYG",IF(EC$10&gt;0,N(Reales!EC49)/EC$10,0),N(Reales!EC49)),EC$188*INDEX(Precio_V,12)*INDEX(IdxPrecio_V,1,MIN(10,EC$173))*(1+V_dPrecio))</f>
        <v>0</v>
      </c>
      <c r="ED213" s="34" t="n">
        <f aca="false">IF(ED$8=1,IF(Reales!$C$49="PYG",IF(ED$10&gt;0,N(Reales!ED49)/ED$10,0),N(Reales!ED49)),ED$188*INDEX(Precio_V,12)*INDEX(IdxPrecio_V,1,MIN(10,ED$173))*(1+V_dPrecio))</f>
        <v>0</v>
      </c>
      <c r="EE213" s="34" t="n">
        <f aca="false">IF(EE$8=1,IF(Reales!$C$49="PYG",IF(EE$10&gt;0,N(Reales!EE49)/EE$10,0),N(Reales!EE49)),EE$188*INDEX(Precio_V,12)*INDEX(IdxPrecio_V,1,MIN(10,EE$173))*(1+V_dPrecio))</f>
        <v>0</v>
      </c>
      <c r="EF213" s="34" t="n">
        <f aca="false">IF(EF$8=1,IF(Reales!$C$49="PYG",IF(EF$10&gt;0,N(Reales!EF49)/EF$10,0),N(Reales!EF49)),EF$188*INDEX(Precio_V,12)*INDEX(IdxPrecio_V,1,MIN(10,EF$173))*(1+V_dPrecio))</f>
        <v>0</v>
      </c>
      <c r="EG213" s="34" t="n">
        <f aca="false">IF(EG$8=1,IF(Reales!$C$49="PYG",IF(EG$10&gt;0,N(Reales!EG49)/EG$10,0),N(Reales!EG49)),EG$188*INDEX(Precio_V,12)*INDEX(IdxPrecio_V,1,MIN(10,EG$173))*(1+V_dPrecio))</f>
        <v>0</v>
      </c>
      <c r="EH213" s="34" t="n">
        <f aca="false">IF(EH$8=1,IF(Reales!$C$49="PYG",IF(EH$10&gt;0,N(Reales!EH49)/EH$10,0),N(Reales!EH49)),EH$188*INDEX(Precio_V,12)*INDEX(IdxPrecio_V,1,MIN(10,EH$173))*(1+V_dPrecio))</f>
        <v>0</v>
      </c>
      <c r="EI213" s="34" t="n">
        <f aca="false">IF(EI$8=1,IF(Reales!$C$49="PYG",IF(EI$10&gt;0,N(Reales!EI49)/EI$10,0),N(Reales!EI49)),EI$188*INDEX(Precio_V,12)*INDEX(IdxPrecio_V,1,MIN(10,EI$173))*(1+V_dPrecio))</f>
        <v>0</v>
      </c>
      <c r="EJ213" s="34" t="n">
        <f aca="false">IF(EJ$8=1,IF(Reales!$C$49="PYG",IF(EJ$10&gt;0,N(Reales!EJ49)/EJ$10,0),N(Reales!EJ49)),EJ$188*INDEX(Precio_V,12)*INDEX(IdxPrecio_V,1,MIN(10,EJ$173))*(1+V_dPrecio))</f>
        <v>0</v>
      </c>
      <c r="EK213" s="34" t="n">
        <f aca="false">IF(EK$8=1,IF(Reales!$C$49="PYG",IF(EK$10&gt;0,N(Reales!EK49)/EK$10,0),N(Reales!EK49)),EK$188*INDEX(Precio_V,12)*INDEX(IdxPrecio_V,1,MIN(10,EK$173))*(1+V_dPrecio))</f>
        <v>0</v>
      </c>
      <c r="EL213" s="34" t="n">
        <f aca="false">IF(EL$8=1,IF(Reales!$C$49="PYG",IF(EL$10&gt;0,N(Reales!EL49)/EL$10,0),N(Reales!EL49)),EL$188*INDEX(Precio_V,12)*INDEX(IdxPrecio_V,1,MIN(10,EL$173))*(1+V_dPrecio))</f>
        <v>0</v>
      </c>
      <c r="EM213" s="34" t="n">
        <f aca="false">IF(EM$8=1,IF(Reales!$C$49="PYG",IF(EM$10&gt;0,N(Reales!EM49)/EM$10,0),N(Reales!EM49)),EM$188*INDEX(Precio_V,12)*INDEX(IdxPrecio_V,1,MIN(10,EM$173))*(1+V_dPrecio))</f>
        <v>0</v>
      </c>
      <c r="EN213" s="34" t="n">
        <f aca="false">IF(EN$8=1,IF(Reales!$C$49="PYG",IF(EN$10&gt;0,N(Reales!EN49)/EN$10,0),N(Reales!EN49)),EN$188*INDEX(Precio_V,12)*INDEX(IdxPrecio_V,1,MIN(10,EN$173))*(1+V_dPrecio))</f>
        <v>0</v>
      </c>
      <c r="EO213" s="34" t="n">
        <f aca="false">IF(EO$8=1,IF(Reales!$C$49="PYG",IF(EO$10&gt;0,N(Reales!EO49)/EO$10,0),N(Reales!EO49)),EO$188*INDEX(Precio_V,12)*INDEX(IdxPrecio_V,1,MIN(10,EO$173))*(1+V_dPrecio))</f>
        <v>0</v>
      </c>
      <c r="EP213" s="34" t="n">
        <f aca="false">IF(EP$8=1,IF(Reales!$C$49="PYG",IF(EP$10&gt;0,N(Reales!EP49)/EP$10,0),N(Reales!EP49)),EP$188*INDEX(Precio_V,12)*INDEX(IdxPrecio_V,1,MIN(10,EP$173))*(1+V_dPrecio))</f>
        <v>0</v>
      </c>
      <c r="EQ213" s="34" t="n">
        <f aca="false">IF(EQ$8=1,IF(Reales!$C$49="PYG",IF(EQ$10&gt;0,N(Reales!EQ49)/EQ$10,0),N(Reales!EQ49)),EQ$188*INDEX(Precio_V,12)*INDEX(IdxPrecio_V,1,MIN(10,EQ$173))*(1+V_dPrecio))</f>
        <v>0</v>
      </c>
      <c r="ER213" s="34" t="n">
        <f aca="false">IF(ER$8=1,IF(Reales!$C$49="PYG",IF(ER$10&gt;0,N(Reales!ER49)/ER$10,0),N(Reales!ER49)),ER$188*INDEX(Precio_V,12)*INDEX(IdxPrecio_V,1,MIN(10,ER$173))*(1+V_dPrecio))</f>
        <v>0</v>
      </c>
      <c r="ES213" s="34" t="n">
        <f aca="false">IF(ES$8=1,IF(Reales!$C$49="PYG",IF(ES$10&gt;0,N(Reales!ES49)/ES$10,0),N(Reales!ES49)),ES$188*INDEX(Precio_V,12)*INDEX(IdxPrecio_V,1,MIN(10,ES$173))*(1+V_dPrecio))</f>
        <v>0</v>
      </c>
    </row>
    <row r="214" customFormat="false" ht="15" hidden="false" customHeight="false" outlineLevel="0" collapsed="false">
      <c r="A214" s="2" t="s">
        <v>856</v>
      </c>
      <c r="B214" s="39" t="str">
        <f aca="false">IF(INDEX(Prod_Nombre,13)="","Producto 13",INDEX(Prod_Nombre,13))&amp;" — ventas USD"</f>
        <v>Producto 13 — ventas USD</v>
      </c>
      <c r="C214" s="6" t="s">
        <v>250</v>
      </c>
      <c r="E214" s="40" t="n">
        <f aca="false">SUM(F214:ES214)</f>
        <v>0</v>
      </c>
      <c r="F214" s="34" t="n">
        <f aca="false">IF(F$8=1,IF(Reales!$C$50="PYG",IF(F$10&gt;0,N(Reales!F50)/F$10,0),N(Reales!F50)),F$189*INDEX(Precio_V,13)*INDEX(IdxPrecio_V,1,MIN(10,F$173))*(1+V_dPrecio))</f>
        <v>0</v>
      </c>
      <c r="G214" s="34" t="n">
        <f aca="false">IF(G$8=1,IF(Reales!$C$50="PYG",IF(G$10&gt;0,N(Reales!G50)/G$10,0),N(Reales!G50)),G$189*INDEX(Precio_V,13)*INDEX(IdxPrecio_V,1,MIN(10,G$173))*(1+V_dPrecio))</f>
        <v>0</v>
      </c>
      <c r="H214" s="34" t="n">
        <f aca="false">IF(H$8=1,IF(Reales!$C$50="PYG",IF(H$10&gt;0,N(Reales!H50)/H$10,0),N(Reales!H50)),H$189*INDEX(Precio_V,13)*INDEX(IdxPrecio_V,1,MIN(10,H$173))*(1+V_dPrecio))</f>
        <v>0</v>
      </c>
      <c r="I214" s="34" t="n">
        <f aca="false">IF(I$8=1,IF(Reales!$C$50="PYG",IF(I$10&gt;0,N(Reales!I50)/I$10,0),N(Reales!I50)),I$189*INDEX(Precio_V,13)*INDEX(IdxPrecio_V,1,MIN(10,I$173))*(1+V_dPrecio))</f>
        <v>0</v>
      </c>
      <c r="J214" s="34" t="n">
        <f aca="false">IF(J$8=1,IF(Reales!$C$50="PYG",IF(J$10&gt;0,N(Reales!J50)/J$10,0),N(Reales!J50)),J$189*INDEX(Precio_V,13)*INDEX(IdxPrecio_V,1,MIN(10,J$173))*(1+V_dPrecio))</f>
        <v>0</v>
      </c>
      <c r="K214" s="34" t="n">
        <f aca="false">IF(K$8=1,IF(Reales!$C$50="PYG",IF(K$10&gt;0,N(Reales!K50)/K$10,0),N(Reales!K50)),K$189*INDEX(Precio_V,13)*INDEX(IdxPrecio_V,1,MIN(10,K$173))*(1+V_dPrecio))</f>
        <v>0</v>
      </c>
      <c r="L214" s="34" t="n">
        <f aca="false">IF(L$8=1,IF(Reales!$C$50="PYG",IF(L$10&gt;0,N(Reales!L50)/L$10,0),N(Reales!L50)),L$189*INDEX(Precio_V,13)*INDEX(IdxPrecio_V,1,MIN(10,L$173))*(1+V_dPrecio))</f>
        <v>0</v>
      </c>
      <c r="M214" s="34" t="n">
        <f aca="false">IF(M$8=1,IF(Reales!$C$50="PYG",IF(M$10&gt;0,N(Reales!M50)/M$10,0),N(Reales!M50)),M$189*INDEX(Precio_V,13)*INDEX(IdxPrecio_V,1,MIN(10,M$173))*(1+V_dPrecio))</f>
        <v>0</v>
      </c>
      <c r="N214" s="34" t="n">
        <f aca="false">IF(N$8=1,IF(Reales!$C$50="PYG",IF(N$10&gt;0,N(Reales!N50)/N$10,0),N(Reales!N50)),N$189*INDEX(Precio_V,13)*INDEX(IdxPrecio_V,1,MIN(10,N$173))*(1+V_dPrecio))</f>
        <v>0</v>
      </c>
      <c r="O214" s="34" t="n">
        <f aca="false">IF(O$8=1,IF(Reales!$C$50="PYG",IF(O$10&gt;0,N(Reales!O50)/O$10,0),N(Reales!O50)),O$189*INDEX(Precio_V,13)*INDEX(IdxPrecio_V,1,MIN(10,O$173))*(1+V_dPrecio))</f>
        <v>0</v>
      </c>
      <c r="P214" s="34" t="n">
        <f aca="false">IF(P$8=1,IF(Reales!$C$50="PYG",IF(P$10&gt;0,N(Reales!P50)/P$10,0),N(Reales!P50)),P$189*INDEX(Precio_V,13)*INDEX(IdxPrecio_V,1,MIN(10,P$173))*(1+V_dPrecio))</f>
        <v>0</v>
      </c>
      <c r="Q214" s="34" t="n">
        <f aca="false">IF(Q$8=1,IF(Reales!$C$50="PYG",IF(Q$10&gt;0,N(Reales!Q50)/Q$10,0),N(Reales!Q50)),Q$189*INDEX(Precio_V,13)*INDEX(IdxPrecio_V,1,MIN(10,Q$173))*(1+V_dPrecio))</f>
        <v>0</v>
      </c>
      <c r="R214" s="34" t="n">
        <f aca="false">IF(R$8=1,IF(Reales!$C$50="PYG",IF(R$10&gt;0,N(Reales!R50)/R$10,0),N(Reales!R50)),R$189*INDEX(Precio_V,13)*INDEX(IdxPrecio_V,1,MIN(10,R$173))*(1+V_dPrecio))</f>
        <v>0</v>
      </c>
      <c r="S214" s="34" t="n">
        <f aca="false">IF(S$8=1,IF(Reales!$C$50="PYG",IF(S$10&gt;0,N(Reales!S50)/S$10,0),N(Reales!S50)),S$189*INDEX(Precio_V,13)*INDEX(IdxPrecio_V,1,MIN(10,S$173))*(1+V_dPrecio))</f>
        <v>0</v>
      </c>
      <c r="T214" s="34" t="n">
        <f aca="false">IF(T$8=1,IF(Reales!$C$50="PYG",IF(T$10&gt;0,N(Reales!T50)/T$10,0),N(Reales!T50)),T$189*INDEX(Precio_V,13)*INDEX(IdxPrecio_V,1,MIN(10,T$173))*(1+V_dPrecio))</f>
        <v>0</v>
      </c>
      <c r="U214" s="34" t="n">
        <f aca="false">IF(U$8=1,IF(Reales!$C$50="PYG",IF(U$10&gt;0,N(Reales!U50)/U$10,0),N(Reales!U50)),U$189*INDEX(Precio_V,13)*INDEX(IdxPrecio_V,1,MIN(10,U$173))*(1+V_dPrecio))</f>
        <v>0</v>
      </c>
      <c r="V214" s="34" t="n">
        <f aca="false">IF(V$8=1,IF(Reales!$C$50="PYG",IF(V$10&gt;0,N(Reales!V50)/V$10,0),N(Reales!V50)),V$189*INDEX(Precio_V,13)*INDEX(IdxPrecio_V,1,MIN(10,V$173))*(1+V_dPrecio))</f>
        <v>0</v>
      </c>
      <c r="W214" s="34" t="n">
        <f aca="false">IF(W$8=1,IF(Reales!$C$50="PYG",IF(W$10&gt;0,N(Reales!W50)/W$10,0),N(Reales!W50)),W$189*INDEX(Precio_V,13)*INDEX(IdxPrecio_V,1,MIN(10,W$173))*(1+V_dPrecio))</f>
        <v>0</v>
      </c>
      <c r="X214" s="34" t="n">
        <f aca="false">IF(X$8=1,IF(Reales!$C$50="PYG",IF(X$10&gt;0,N(Reales!X50)/X$10,0),N(Reales!X50)),X$189*INDEX(Precio_V,13)*INDEX(IdxPrecio_V,1,MIN(10,X$173))*(1+V_dPrecio))</f>
        <v>0</v>
      </c>
      <c r="Y214" s="34" t="n">
        <f aca="false">IF(Y$8=1,IF(Reales!$C$50="PYG",IF(Y$10&gt;0,N(Reales!Y50)/Y$10,0),N(Reales!Y50)),Y$189*INDEX(Precio_V,13)*INDEX(IdxPrecio_V,1,MIN(10,Y$173))*(1+V_dPrecio))</f>
        <v>0</v>
      </c>
      <c r="Z214" s="34" t="n">
        <f aca="false">IF(Z$8=1,IF(Reales!$C$50="PYG",IF(Z$10&gt;0,N(Reales!Z50)/Z$10,0),N(Reales!Z50)),Z$189*INDEX(Precio_V,13)*INDEX(IdxPrecio_V,1,MIN(10,Z$173))*(1+V_dPrecio))</f>
        <v>0</v>
      </c>
      <c r="AA214" s="34" t="n">
        <f aca="false">IF(AA$8=1,IF(Reales!$C$50="PYG",IF(AA$10&gt;0,N(Reales!AA50)/AA$10,0),N(Reales!AA50)),AA$189*INDEX(Precio_V,13)*INDEX(IdxPrecio_V,1,MIN(10,AA$173))*(1+V_dPrecio))</f>
        <v>0</v>
      </c>
      <c r="AB214" s="34" t="n">
        <f aca="false">IF(AB$8=1,IF(Reales!$C$50="PYG",IF(AB$10&gt;0,N(Reales!AB50)/AB$10,0),N(Reales!AB50)),AB$189*INDEX(Precio_V,13)*INDEX(IdxPrecio_V,1,MIN(10,AB$173))*(1+V_dPrecio))</f>
        <v>0</v>
      </c>
      <c r="AC214" s="34" t="n">
        <f aca="false">IF(AC$8=1,IF(Reales!$C$50="PYG",IF(AC$10&gt;0,N(Reales!AC50)/AC$10,0),N(Reales!AC50)),AC$189*INDEX(Precio_V,13)*INDEX(IdxPrecio_V,1,MIN(10,AC$173))*(1+V_dPrecio))</f>
        <v>0</v>
      </c>
      <c r="AD214" s="34" t="n">
        <f aca="false">IF(AD$8=1,IF(Reales!$C$50="PYG",IF(AD$10&gt;0,N(Reales!AD50)/AD$10,0),N(Reales!AD50)),AD$189*INDEX(Precio_V,13)*INDEX(IdxPrecio_V,1,MIN(10,AD$173))*(1+V_dPrecio))</f>
        <v>0</v>
      </c>
      <c r="AE214" s="34" t="n">
        <f aca="false">IF(AE$8=1,IF(Reales!$C$50="PYG",IF(AE$10&gt;0,N(Reales!AE50)/AE$10,0),N(Reales!AE50)),AE$189*INDEX(Precio_V,13)*INDEX(IdxPrecio_V,1,MIN(10,AE$173))*(1+V_dPrecio))</f>
        <v>0</v>
      </c>
      <c r="AF214" s="34" t="n">
        <f aca="false">IF(AF$8=1,IF(Reales!$C$50="PYG",IF(AF$10&gt;0,N(Reales!AF50)/AF$10,0),N(Reales!AF50)),AF$189*INDEX(Precio_V,13)*INDEX(IdxPrecio_V,1,MIN(10,AF$173))*(1+V_dPrecio))</f>
        <v>0</v>
      </c>
      <c r="AG214" s="34" t="n">
        <f aca="false">IF(AG$8=1,IF(Reales!$C$50="PYG",IF(AG$10&gt;0,N(Reales!AG50)/AG$10,0),N(Reales!AG50)),AG$189*INDEX(Precio_V,13)*INDEX(IdxPrecio_V,1,MIN(10,AG$173))*(1+V_dPrecio))</f>
        <v>0</v>
      </c>
      <c r="AH214" s="34" t="n">
        <f aca="false">IF(AH$8=1,IF(Reales!$C$50="PYG",IF(AH$10&gt;0,N(Reales!AH50)/AH$10,0),N(Reales!AH50)),AH$189*INDEX(Precio_V,13)*INDEX(IdxPrecio_V,1,MIN(10,AH$173))*(1+V_dPrecio))</f>
        <v>0</v>
      </c>
      <c r="AI214" s="34" t="n">
        <f aca="false">IF(AI$8=1,IF(Reales!$C$50="PYG",IF(AI$10&gt;0,N(Reales!AI50)/AI$10,0),N(Reales!AI50)),AI$189*INDEX(Precio_V,13)*INDEX(IdxPrecio_V,1,MIN(10,AI$173))*(1+V_dPrecio))</f>
        <v>0</v>
      </c>
      <c r="AJ214" s="34" t="n">
        <f aca="false">IF(AJ$8=1,IF(Reales!$C$50="PYG",IF(AJ$10&gt;0,N(Reales!AJ50)/AJ$10,0),N(Reales!AJ50)),AJ$189*INDEX(Precio_V,13)*INDEX(IdxPrecio_V,1,MIN(10,AJ$173))*(1+V_dPrecio))</f>
        <v>0</v>
      </c>
      <c r="AK214" s="34" t="n">
        <f aca="false">IF(AK$8=1,IF(Reales!$C$50="PYG",IF(AK$10&gt;0,N(Reales!AK50)/AK$10,0),N(Reales!AK50)),AK$189*INDEX(Precio_V,13)*INDEX(IdxPrecio_V,1,MIN(10,AK$173))*(1+V_dPrecio))</f>
        <v>0</v>
      </c>
      <c r="AL214" s="34" t="n">
        <f aca="false">IF(AL$8=1,IF(Reales!$C$50="PYG",IF(AL$10&gt;0,N(Reales!AL50)/AL$10,0),N(Reales!AL50)),AL$189*INDEX(Precio_V,13)*INDEX(IdxPrecio_V,1,MIN(10,AL$173))*(1+V_dPrecio))</f>
        <v>0</v>
      </c>
      <c r="AM214" s="34" t="n">
        <f aca="false">IF(AM$8=1,IF(Reales!$C$50="PYG",IF(AM$10&gt;0,N(Reales!AM50)/AM$10,0),N(Reales!AM50)),AM$189*INDEX(Precio_V,13)*INDEX(IdxPrecio_V,1,MIN(10,AM$173))*(1+V_dPrecio))</f>
        <v>0</v>
      </c>
      <c r="AN214" s="34" t="n">
        <f aca="false">IF(AN$8=1,IF(Reales!$C$50="PYG",IF(AN$10&gt;0,N(Reales!AN50)/AN$10,0),N(Reales!AN50)),AN$189*INDEX(Precio_V,13)*INDEX(IdxPrecio_V,1,MIN(10,AN$173))*(1+V_dPrecio))</f>
        <v>0</v>
      </c>
      <c r="AO214" s="34" t="n">
        <f aca="false">IF(AO$8=1,IF(Reales!$C$50="PYG",IF(AO$10&gt;0,N(Reales!AO50)/AO$10,0),N(Reales!AO50)),AO$189*INDEX(Precio_V,13)*INDEX(IdxPrecio_V,1,MIN(10,AO$173))*(1+V_dPrecio))</f>
        <v>0</v>
      </c>
      <c r="AP214" s="34" t="n">
        <f aca="false">IF(AP$8=1,IF(Reales!$C$50="PYG",IF(AP$10&gt;0,N(Reales!AP50)/AP$10,0),N(Reales!AP50)),AP$189*INDEX(Precio_V,13)*INDEX(IdxPrecio_V,1,MIN(10,AP$173))*(1+V_dPrecio))</f>
        <v>0</v>
      </c>
      <c r="AQ214" s="34" t="n">
        <f aca="false">IF(AQ$8=1,IF(Reales!$C$50="PYG",IF(AQ$10&gt;0,N(Reales!AQ50)/AQ$10,0),N(Reales!AQ50)),AQ$189*INDEX(Precio_V,13)*INDEX(IdxPrecio_V,1,MIN(10,AQ$173))*(1+V_dPrecio))</f>
        <v>0</v>
      </c>
      <c r="AR214" s="34" t="n">
        <f aca="false">IF(AR$8=1,IF(Reales!$C$50="PYG",IF(AR$10&gt;0,N(Reales!AR50)/AR$10,0),N(Reales!AR50)),AR$189*INDEX(Precio_V,13)*INDEX(IdxPrecio_V,1,MIN(10,AR$173))*(1+V_dPrecio))</f>
        <v>0</v>
      </c>
      <c r="AS214" s="34" t="n">
        <f aca="false">IF(AS$8=1,IF(Reales!$C$50="PYG",IF(AS$10&gt;0,N(Reales!AS50)/AS$10,0),N(Reales!AS50)),AS$189*INDEX(Precio_V,13)*INDEX(IdxPrecio_V,1,MIN(10,AS$173))*(1+V_dPrecio))</f>
        <v>0</v>
      </c>
      <c r="AT214" s="34" t="n">
        <f aca="false">IF(AT$8=1,IF(Reales!$C$50="PYG",IF(AT$10&gt;0,N(Reales!AT50)/AT$10,0),N(Reales!AT50)),AT$189*INDEX(Precio_V,13)*INDEX(IdxPrecio_V,1,MIN(10,AT$173))*(1+V_dPrecio))</f>
        <v>0</v>
      </c>
      <c r="AU214" s="34" t="n">
        <f aca="false">IF(AU$8=1,IF(Reales!$C$50="PYG",IF(AU$10&gt;0,N(Reales!AU50)/AU$10,0),N(Reales!AU50)),AU$189*INDEX(Precio_V,13)*INDEX(IdxPrecio_V,1,MIN(10,AU$173))*(1+V_dPrecio))</f>
        <v>0</v>
      </c>
      <c r="AV214" s="34" t="n">
        <f aca="false">IF(AV$8=1,IF(Reales!$C$50="PYG",IF(AV$10&gt;0,N(Reales!AV50)/AV$10,0),N(Reales!AV50)),AV$189*INDEX(Precio_V,13)*INDEX(IdxPrecio_V,1,MIN(10,AV$173))*(1+V_dPrecio))</f>
        <v>0</v>
      </c>
      <c r="AW214" s="34" t="n">
        <f aca="false">IF(AW$8=1,IF(Reales!$C$50="PYG",IF(AW$10&gt;0,N(Reales!AW50)/AW$10,0),N(Reales!AW50)),AW$189*INDEX(Precio_V,13)*INDEX(IdxPrecio_V,1,MIN(10,AW$173))*(1+V_dPrecio))</f>
        <v>0</v>
      </c>
      <c r="AX214" s="34" t="n">
        <f aca="false">IF(AX$8=1,IF(Reales!$C$50="PYG",IF(AX$10&gt;0,N(Reales!AX50)/AX$10,0),N(Reales!AX50)),AX$189*INDEX(Precio_V,13)*INDEX(IdxPrecio_V,1,MIN(10,AX$173))*(1+V_dPrecio))</f>
        <v>0</v>
      </c>
      <c r="AY214" s="34" t="n">
        <f aca="false">IF(AY$8=1,IF(Reales!$C$50="PYG",IF(AY$10&gt;0,N(Reales!AY50)/AY$10,0),N(Reales!AY50)),AY$189*INDEX(Precio_V,13)*INDEX(IdxPrecio_V,1,MIN(10,AY$173))*(1+V_dPrecio))</f>
        <v>0</v>
      </c>
      <c r="AZ214" s="34" t="n">
        <f aca="false">IF(AZ$8=1,IF(Reales!$C$50="PYG",IF(AZ$10&gt;0,N(Reales!AZ50)/AZ$10,0),N(Reales!AZ50)),AZ$189*INDEX(Precio_V,13)*INDEX(IdxPrecio_V,1,MIN(10,AZ$173))*(1+V_dPrecio))</f>
        <v>0</v>
      </c>
      <c r="BA214" s="34" t="n">
        <f aca="false">IF(BA$8=1,IF(Reales!$C$50="PYG",IF(BA$10&gt;0,N(Reales!BA50)/BA$10,0),N(Reales!BA50)),BA$189*INDEX(Precio_V,13)*INDEX(IdxPrecio_V,1,MIN(10,BA$173))*(1+V_dPrecio))</f>
        <v>0</v>
      </c>
      <c r="BB214" s="34" t="n">
        <f aca="false">IF(BB$8=1,IF(Reales!$C$50="PYG",IF(BB$10&gt;0,N(Reales!BB50)/BB$10,0),N(Reales!BB50)),BB$189*INDEX(Precio_V,13)*INDEX(IdxPrecio_V,1,MIN(10,BB$173))*(1+V_dPrecio))</f>
        <v>0</v>
      </c>
      <c r="BC214" s="34" t="n">
        <f aca="false">IF(BC$8=1,IF(Reales!$C$50="PYG",IF(BC$10&gt;0,N(Reales!BC50)/BC$10,0),N(Reales!BC50)),BC$189*INDEX(Precio_V,13)*INDEX(IdxPrecio_V,1,MIN(10,BC$173))*(1+V_dPrecio))</f>
        <v>0</v>
      </c>
      <c r="BD214" s="34" t="n">
        <f aca="false">IF(BD$8=1,IF(Reales!$C$50="PYG",IF(BD$10&gt;0,N(Reales!BD50)/BD$10,0),N(Reales!BD50)),BD$189*INDEX(Precio_V,13)*INDEX(IdxPrecio_V,1,MIN(10,BD$173))*(1+V_dPrecio))</f>
        <v>0</v>
      </c>
      <c r="BE214" s="34" t="n">
        <f aca="false">IF(BE$8=1,IF(Reales!$C$50="PYG",IF(BE$10&gt;0,N(Reales!BE50)/BE$10,0),N(Reales!BE50)),BE$189*INDEX(Precio_V,13)*INDEX(IdxPrecio_V,1,MIN(10,BE$173))*(1+V_dPrecio))</f>
        <v>0</v>
      </c>
      <c r="BF214" s="34" t="n">
        <f aca="false">IF(BF$8=1,IF(Reales!$C$50="PYG",IF(BF$10&gt;0,N(Reales!BF50)/BF$10,0),N(Reales!BF50)),BF$189*INDEX(Precio_V,13)*INDEX(IdxPrecio_V,1,MIN(10,BF$173))*(1+V_dPrecio))</f>
        <v>0</v>
      </c>
      <c r="BG214" s="34" t="n">
        <f aca="false">IF(BG$8=1,IF(Reales!$C$50="PYG",IF(BG$10&gt;0,N(Reales!BG50)/BG$10,0),N(Reales!BG50)),BG$189*INDEX(Precio_V,13)*INDEX(IdxPrecio_V,1,MIN(10,BG$173))*(1+V_dPrecio))</f>
        <v>0</v>
      </c>
      <c r="BH214" s="34" t="n">
        <f aca="false">IF(BH$8=1,IF(Reales!$C$50="PYG",IF(BH$10&gt;0,N(Reales!BH50)/BH$10,0),N(Reales!BH50)),BH$189*INDEX(Precio_V,13)*INDEX(IdxPrecio_V,1,MIN(10,BH$173))*(1+V_dPrecio))</f>
        <v>0</v>
      </c>
      <c r="BI214" s="34" t="n">
        <f aca="false">IF(BI$8=1,IF(Reales!$C$50="PYG",IF(BI$10&gt;0,N(Reales!BI50)/BI$10,0),N(Reales!BI50)),BI$189*INDEX(Precio_V,13)*INDEX(IdxPrecio_V,1,MIN(10,BI$173))*(1+V_dPrecio))</f>
        <v>0</v>
      </c>
      <c r="BJ214" s="34" t="n">
        <f aca="false">IF(BJ$8=1,IF(Reales!$C$50="PYG",IF(BJ$10&gt;0,N(Reales!BJ50)/BJ$10,0),N(Reales!BJ50)),BJ$189*INDEX(Precio_V,13)*INDEX(IdxPrecio_V,1,MIN(10,BJ$173))*(1+V_dPrecio))</f>
        <v>0</v>
      </c>
      <c r="BK214" s="34" t="n">
        <f aca="false">IF(BK$8=1,IF(Reales!$C$50="PYG",IF(BK$10&gt;0,N(Reales!BK50)/BK$10,0),N(Reales!BK50)),BK$189*INDEX(Precio_V,13)*INDEX(IdxPrecio_V,1,MIN(10,BK$173))*(1+V_dPrecio))</f>
        <v>0</v>
      </c>
      <c r="BL214" s="34" t="n">
        <f aca="false">IF(BL$8=1,IF(Reales!$C$50="PYG",IF(BL$10&gt;0,N(Reales!BL50)/BL$10,0),N(Reales!BL50)),BL$189*INDEX(Precio_V,13)*INDEX(IdxPrecio_V,1,MIN(10,BL$173))*(1+V_dPrecio))</f>
        <v>0</v>
      </c>
      <c r="BM214" s="34" t="n">
        <f aca="false">IF(BM$8=1,IF(Reales!$C$50="PYG",IF(BM$10&gt;0,N(Reales!BM50)/BM$10,0),N(Reales!BM50)),BM$189*INDEX(Precio_V,13)*INDEX(IdxPrecio_V,1,MIN(10,BM$173))*(1+V_dPrecio))</f>
        <v>0</v>
      </c>
      <c r="BN214" s="34" t="n">
        <f aca="false">IF(BN$8=1,IF(Reales!$C$50="PYG",IF(BN$10&gt;0,N(Reales!BN50)/BN$10,0),N(Reales!BN50)),BN$189*INDEX(Precio_V,13)*INDEX(IdxPrecio_V,1,MIN(10,BN$173))*(1+V_dPrecio))</f>
        <v>0</v>
      </c>
      <c r="BO214" s="34" t="n">
        <f aca="false">IF(BO$8=1,IF(Reales!$C$50="PYG",IF(BO$10&gt;0,N(Reales!BO50)/BO$10,0),N(Reales!BO50)),BO$189*INDEX(Precio_V,13)*INDEX(IdxPrecio_V,1,MIN(10,BO$173))*(1+V_dPrecio))</f>
        <v>0</v>
      </c>
      <c r="BP214" s="34" t="n">
        <f aca="false">IF(BP$8=1,IF(Reales!$C$50="PYG",IF(BP$10&gt;0,N(Reales!BP50)/BP$10,0),N(Reales!BP50)),BP$189*INDEX(Precio_V,13)*INDEX(IdxPrecio_V,1,MIN(10,BP$173))*(1+V_dPrecio))</f>
        <v>0</v>
      </c>
      <c r="BQ214" s="34" t="n">
        <f aca="false">IF(BQ$8=1,IF(Reales!$C$50="PYG",IF(BQ$10&gt;0,N(Reales!BQ50)/BQ$10,0),N(Reales!BQ50)),BQ$189*INDEX(Precio_V,13)*INDEX(IdxPrecio_V,1,MIN(10,BQ$173))*(1+V_dPrecio))</f>
        <v>0</v>
      </c>
      <c r="BR214" s="34" t="n">
        <f aca="false">IF(BR$8=1,IF(Reales!$C$50="PYG",IF(BR$10&gt;0,N(Reales!BR50)/BR$10,0),N(Reales!BR50)),BR$189*INDEX(Precio_V,13)*INDEX(IdxPrecio_V,1,MIN(10,BR$173))*(1+V_dPrecio))</f>
        <v>0</v>
      </c>
      <c r="BS214" s="34" t="n">
        <f aca="false">IF(BS$8=1,IF(Reales!$C$50="PYG",IF(BS$10&gt;0,N(Reales!BS50)/BS$10,0),N(Reales!BS50)),BS$189*INDEX(Precio_V,13)*INDEX(IdxPrecio_V,1,MIN(10,BS$173))*(1+V_dPrecio))</f>
        <v>0</v>
      </c>
      <c r="BT214" s="34" t="n">
        <f aca="false">IF(BT$8=1,IF(Reales!$C$50="PYG",IF(BT$10&gt;0,N(Reales!BT50)/BT$10,0),N(Reales!BT50)),BT$189*INDEX(Precio_V,13)*INDEX(IdxPrecio_V,1,MIN(10,BT$173))*(1+V_dPrecio))</f>
        <v>0</v>
      </c>
      <c r="BU214" s="34" t="n">
        <f aca="false">IF(BU$8=1,IF(Reales!$C$50="PYG",IF(BU$10&gt;0,N(Reales!BU50)/BU$10,0),N(Reales!BU50)),BU$189*INDEX(Precio_V,13)*INDEX(IdxPrecio_V,1,MIN(10,BU$173))*(1+V_dPrecio))</f>
        <v>0</v>
      </c>
      <c r="BV214" s="34" t="n">
        <f aca="false">IF(BV$8=1,IF(Reales!$C$50="PYG",IF(BV$10&gt;0,N(Reales!BV50)/BV$10,0),N(Reales!BV50)),BV$189*INDEX(Precio_V,13)*INDEX(IdxPrecio_V,1,MIN(10,BV$173))*(1+V_dPrecio))</f>
        <v>0</v>
      </c>
      <c r="BW214" s="34" t="n">
        <f aca="false">IF(BW$8=1,IF(Reales!$C$50="PYG",IF(BW$10&gt;0,N(Reales!BW50)/BW$10,0),N(Reales!BW50)),BW$189*INDEX(Precio_V,13)*INDEX(IdxPrecio_V,1,MIN(10,BW$173))*(1+V_dPrecio))</f>
        <v>0</v>
      </c>
      <c r="BX214" s="34" t="n">
        <f aca="false">IF(BX$8=1,IF(Reales!$C$50="PYG",IF(BX$10&gt;0,N(Reales!BX50)/BX$10,0),N(Reales!BX50)),BX$189*INDEX(Precio_V,13)*INDEX(IdxPrecio_V,1,MIN(10,BX$173))*(1+V_dPrecio))</f>
        <v>0</v>
      </c>
      <c r="BY214" s="34" t="n">
        <f aca="false">IF(BY$8=1,IF(Reales!$C$50="PYG",IF(BY$10&gt;0,N(Reales!BY50)/BY$10,0),N(Reales!BY50)),BY$189*INDEX(Precio_V,13)*INDEX(IdxPrecio_V,1,MIN(10,BY$173))*(1+V_dPrecio))</f>
        <v>0</v>
      </c>
      <c r="BZ214" s="34" t="n">
        <f aca="false">IF(BZ$8=1,IF(Reales!$C$50="PYG",IF(BZ$10&gt;0,N(Reales!BZ50)/BZ$10,0),N(Reales!BZ50)),BZ$189*INDEX(Precio_V,13)*INDEX(IdxPrecio_V,1,MIN(10,BZ$173))*(1+V_dPrecio))</f>
        <v>0</v>
      </c>
      <c r="CA214" s="34" t="n">
        <f aca="false">IF(CA$8=1,IF(Reales!$C$50="PYG",IF(CA$10&gt;0,N(Reales!CA50)/CA$10,0),N(Reales!CA50)),CA$189*INDEX(Precio_V,13)*INDEX(IdxPrecio_V,1,MIN(10,CA$173))*(1+V_dPrecio))</f>
        <v>0</v>
      </c>
      <c r="CB214" s="34" t="n">
        <f aca="false">IF(CB$8=1,IF(Reales!$C$50="PYG",IF(CB$10&gt;0,N(Reales!CB50)/CB$10,0),N(Reales!CB50)),CB$189*INDEX(Precio_V,13)*INDEX(IdxPrecio_V,1,MIN(10,CB$173))*(1+V_dPrecio))</f>
        <v>0</v>
      </c>
      <c r="CC214" s="34" t="n">
        <f aca="false">IF(CC$8=1,IF(Reales!$C$50="PYG",IF(CC$10&gt;0,N(Reales!CC50)/CC$10,0),N(Reales!CC50)),CC$189*INDEX(Precio_V,13)*INDEX(IdxPrecio_V,1,MIN(10,CC$173))*(1+V_dPrecio))</f>
        <v>0</v>
      </c>
      <c r="CD214" s="34" t="n">
        <f aca="false">IF(CD$8=1,IF(Reales!$C$50="PYG",IF(CD$10&gt;0,N(Reales!CD50)/CD$10,0),N(Reales!CD50)),CD$189*INDEX(Precio_V,13)*INDEX(IdxPrecio_V,1,MIN(10,CD$173))*(1+V_dPrecio))</f>
        <v>0</v>
      </c>
      <c r="CE214" s="34" t="n">
        <f aca="false">IF(CE$8=1,IF(Reales!$C$50="PYG",IF(CE$10&gt;0,N(Reales!CE50)/CE$10,0),N(Reales!CE50)),CE$189*INDEX(Precio_V,13)*INDEX(IdxPrecio_V,1,MIN(10,CE$173))*(1+V_dPrecio))</f>
        <v>0</v>
      </c>
      <c r="CF214" s="34" t="n">
        <f aca="false">IF(CF$8=1,IF(Reales!$C$50="PYG",IF(CF$10&gt;0,N(Reales!CF50)/CF$10,0),N(Reales!CF50)),CF$189*INDEX(Precio_V,13)*INDEX(IdxPrecio_V,1,MIN(10,CF$173))*(1+V_dPrecio))</f>
        <v>0</v>
      </c>
      <c r="CG214" s="34" t="n">
        <f aca="false">IF(CG$8=1,IF(Reales!$C$50="PYG",IF(CG$10&gt;0,N(Reales!CG50)/CG$10,0),N(Reales!CG50)),CG$189*INDEX(Precio_V,13)*INDEX(IdxPrecio_V,1,MIN(10,CG$173))*(1+V_dPrecio))</f>
        <v>0</v>
      </c>
      <c r="CH214" s="34" t="n">
        <f aca="false">IF(CH$8=1,IF(Reales!$C$50="PYG",IF(CH$10&gt;0,N(Reales!CH50)/CH$10,0),N(Reales!CH50)),CH$189*INDEX(Precio_V,13)*INDEX(IdxPrecio_V,1,MIN(10,CH$173))*(1+V_dPrecio))</f>
        <v>0</v>
      </c>
      <c r="CI214" s="34" t="n">
        <f aca="false">IF(CI$8=1,IF(Reales!$C$50="PYG",IF(CI$10&gt;0,N(Reales!CI50)/CI$10,0),N(Reales!CI50)),CI$189*INDEX(Precio_V,13)*INDEX(IdxPrecio_V,1,MIN(10,CI$173))*(1+V_dPrecio))</f>
        <v>0</v>
      </c>
      <c r="CJ214" s="34" t="n">
        <f aca="false">IF(CJ$8=1,IF(Reales!$C$50="PYG",IF(CJ$10&gt;0,N(Reales!CJ50)/CJ$10,0),N(Reales!CJ50)),CJ$189*INDEX(Precio_V,13)*INDEX(IdxPrecio_V,1,MIN(10,CJ$173))*(1+V_dPrecio))</f>
        <v>0</v>
      </c>
      <c r="CK214" s="34" t="n">
        <f aca="false">IF(CK$8=1,IF(Reales!$C$50="PYG",IF(CK$10&gt;0,N(Reales!CK50)/CK$10,0),N(Reales!CK50)),CK$189*INDEX(Precio_V,13)*INDEX(IdxPrecio_V,1,MIN(10,CK$173))*(1+V_dPrecio))</f>
        <v>0</v>
      </c>
      <c r="CL214" s="34" t="n">
        <f aca="false">IF(CL$8=1,IF(Reales!$C$50="PYG",IF(CL$10&gt;0,N(Reales!CL50)/CL$10,0),N(Reales!CL50)),CL$189*INDEX(Precio_V,13)*INDEX(IdxPrecio_V,1,MIN(10,CL$173))*(1+V_dPrecio))</f>
        <v>0</v>
      </c>
      <c r="CM214" s="34" t="n">
        <f aca="false">IF(CM$8=1,IF(Reales!$C$50="PYG",IF(CM$10&gt;0,N(Reales!CM50)/CM$10,0),N(Reales!CM50)),CM$189*INDEX(Precio_V,13)*INDEX(IdxPrecio_V,1,MIN(10,CM$173))*(1+V_dPrecio))</f>
        <v>0</v>
      </c>
      <c r="CN214" s="34" t="n">
        <f aca="false">IF(CN$8=1,IF(Reales!$C$50="PYG",IF(CN$10&gt;0,N(Reales!CN50)/CN$10,0),N(Reales!CN50)),CN$189*INDEX(Precio_V,13)*INDEX(IdxPrecio_V,1,MIN(10,CN$173))*(1+V_dPrecio))</f>
        <v>0</v>
      </c>
      <c r="CO214" s="34" t="n">
        <f aca="false">IF(CO$8=1,IF(Reales!$C$50="PYG",IF(CO$10&gt;0,N(Reales!CO50)/CO$10,0),N(Reales!CO50)),CO$189*INDEX(Precio_V,13)*INDEX(IdxPrecio_V,1,MIN(10,CO$173))*(1+V_dPrecio))</f>
        <v>0</v>
      </c>
      <c r="CP214" s="34" t="n">
        <f aca="false">IF(CP$8=1,IF(Reales!$C$50="PYG",IF(CP$10&gt;0,N(Reales!CP50)/CP$10,0),N(Reales!CP50)),CP$189*INDEX(Precio_V,13)*INDEX(IdxPrecio_V,1,MIN(10,CP$173))*(1+V_dPrecio))</f>
        <v>0</v>
      </c>
      <c r="CQ214" s="34" t="n">
        <f aca="false">IF(CQ$8=1,IF(Reales!$C$50="PYG",IF(CQ$10&gt;0,N(Reales!CQ50)/CQ$10,0),N(Reales!CQ50)),CQ$189*INDEX(Precio_V,13)*INDEX(IdxPrecio_V,1,MIN(10,CQ$173))*(1+V_dPrecio))</f>
        <v>0</v>
      </c>
      <c r="CR214" s="34" t="n">
        <f aca="false">IF(CR$8=1,IF(Reales!$C$50="PYG",IF(CR$10&gt;0,N(Reales!CR50)/CR$10,0),N(Reales!CR50)),CR$189*INDEX(Precio_V,13)*INDEX(IdxPrecio_V,1,MIN(10,CR$173))*(1+V_dPrecio))</f>
        <v>0</v>
      </c>
      <c r="CS214" s="34" t="n">
        <f aca="false">IF(CS$8=1,IF(Reales!$C$50="PYG",IF(CS$10&gt;0,N(Reales!CS50)/CS$10,0),N(Reales!CS50)),CS$189*INDEX(Precio_V,13)*INDEX(IdxPrecio_V,1,MIN(10,CS$173))*(1+V_dPrecio))</f>
        <v>0</v>
      </c>
      <c r="CT214" s="34" t="n">
        <f aca="false">IF(CT$8=1,IF(Reales!$C$50="PYG",IF(CT$10&gt;0,N(Reales!CT50)/CT$10,0),N(Reales!CT50)),CT$189*INDEX(Precio_V,13)*INDEX(IdxPrecio_V,1,MIN(10,CT$173))*(1+V_dPrecio))</f>
        <v>0</v>
      </c>
      <c r="CU214" s="34" t="n">
        <f aca="false">IF(CU$8=1,IF(Reales!$C$50="PYG",IF(CU$10&gt;0,N(Reales!CU50)/CU$10,0),N(Reales!CU50)),CU$189*INDEX(Precio_V,13)*INDEX(IdxPrecio_V,1,MIN(10,CU$173))*(1+V_dPrecio))</f>
        <v>0</v>
      </c>
      <c r="CV214" s="34" t="n">
        <f aca="false">IF(CV$8=1,IF(Reales!$C$50="PYG",IF(CV$10&gt;0,N(Reales!CV50)/CV$10,0),N(Reales!CV50)),CV$189*INDEX(Precio_V,13)*INDEX(IdxPrecio_V,1,MIN(10,CV$173))*(1+V_dPrecio))</f>
        <v>0</v>
      </c>
      <c r="CW214" s="34" t="n">
        <f aca="false">IF(CW$8=1,IF(Reales!$C$50="PYG",IF(CW$10&gt;0,N(Reales!CW50)/CW$10,0),N(Reales!CW50)),CW$189*INDEX(Precio_V,13)*INDEX(IdxPrecio_V,1,MIN(10,CW$173))*(1+V_dPrecio))</f>
        <v>0</v>
      </c>
      <c r="CX214" s="34" t="n">
        <f aca="false">IF(CX$8=1,IF(Reales!$C$50="PYG",IF(CX$10&gt;0,N(Reales!CX50)/CX$10,0),N(Reales!CX50)),CX$189*INDEX(Precio_V,13)*INDEX(IdxPrecio_V,1,MIN(10,CX$173))*(1+V_dPrecio))</f>
        <v>0</v>
      </c>
      <c r="CY214" s="34" t="n">
        <f aca="false">IF(CY$8=1,IF(Reales!$C$50="PYG",IF(CY$10&gt;0,N(Reales!CY50)/CY$10,0),N(Reales!CY50)),CY$189*INDEX(Precio_V,13)*INDEX(IdxPrecio_V,1,MIN(10,CY$173))*(1+V_dPrecio))</f>
        <v>0</v>
      </c>
      <c r="CZ214" s="34" t="n">
        <f aca="false">IF(CZ$8=1,IF(Reales!$C$50="PYG",IF(CZ$10&gt;0,N(Reales!CZ50)/CZ$10,0),N(Reales!CZ50)),CZ$189*INDEX(Precio_V,13)*INDEX(IdxPrecio_V,1,MIN(10,CZ$173))*(1+V_dPrecio))</f>
        <v>0</v>
      </c>
      <c r="DA214" s="34" t="n">
        <f aca="false">IF(DA$8=1,IF(Reales!$C$50="PYG",IF(DA$10&gt;0,N(Reales!DA50)/DA$10,0),N(Reales!DA50)),DA$189*INDEX(Precio_V,13)*INDEX(IdxPrecio_V,1,MIN(10,DA$173))*(1+V_dPrecio))</f>
        <v>0</v>
      </c>
      <c r="DB214" s="34" t="n">
        <f aca="false">IF(DB$8=1,IF(Reales!$C$50="PYG",IF(DB$10&gt;0,N(Reales!DB50)/DB$10,0),N(Reales!DB50)),DB$189*INDEX(Precio_V,13)*INDEX(IdxPrecio_V,1,MIN(10,DB$173))*(1+V_dPrecio))</f>
        <v>0</v>
      </c>
      <c r="DC214" s="34" t="n">
        <f aca="false">IF(DC$8=1,IF(Reales!$C$50="PYG",IF(DC$10&gt;0,N(Reales!DC50)/DC$10,0),N(Reales!DC50)),DC$189*INDEX(Precio_V,13)*INDEX(IdxPrecio_V,1,MIN(10,DC$173))*(1+V_dPrecio))</f>
        <v>0</v>
      </c>
      <c r="DD214" s="34" t="n">
        <f aca="false">IF(DD$8=1,IF(Reales!$C$50="PYG",IF(DD$10&gt;0,N(Reales!DD50)/DD$10,0),N(Reales!DD50)),DD$189*INDEX(Precio_V,13)*INDEX(IdxPrecio_V,1,MIN(10,DD$173))*(1+V_dPrecio))</f>
        <v>0</v>
      </c>
      <c r="DE214" s="34" t="n">
        <f aca="false">IF(DE$8=1,IF(Reales!$C$50="PYG",IF(DE$10&gt;0,N(Reales!DE50)/DE$10,0),N(Reales!DE50)),DE$189*INDEX(Precio_V,13)*INDEX(IdxPrecio_V,1,MIN(10,DE$173))*(1+V_dPrecio))</f>
        <v>0</v>
      </c>
      <c r="DF214" s="34" t="n">
        <f aca="false">IF(DF$8=1,IF(Reales!$C$50="PYG",IF(DF$10&gt;0,N(Reales!DF50)/DF$10,0),N(Reales!DF50)),DF$189*INDEX(Precio_V,13)*INDEX(IdxPrecio_V,1,MIN(10,DF$173))*(1+V_dPrecio))</f>
        <v>0</v>
      </c>
      <c r="DG214" s="34" t="n">
        <f aca="false">IF(DG$8=1,IF(Reales!$C$50="PYG",IF(DG$10&gt;0,N(Reales!DG50)/DG$10,0),N(Reales!DG50)),DG$189*INDEX(Precio_V,13)*INDEX(IdxPrecio_V,1,MIN(10,DG$173))*(1+V_dPrecio))</f>
        <v>0</v>
      </c>
      <c r="DH214" s="34" t="n">
        <f aca="false">IF(DH$8=1,IF(Reales!$C$50="PYG",IF(DH$10&gt;0,N(Reales!DH50)/DH$10,0),N(Reales!DH50)),DH$189*INDEX(Precio_V,13)*INDEX(IdxPrecio_V,1,MIN(10,DH$173))*(1+V_dPrecio))</f>
        <v>0</v>
      </c>
      <c r="DI214" s="34" t="n">
        <f aca="false">IF(DI$8=1,IF(Reales!$C$50="PYG",IF(DI$10&gt;0,N(Reales!DI50)/DI$10,0),N(Reales!DI50)),DI$189*INDEX(Precio_V,13)*INDEX(IdxPrecio_V,1,MIN(10,DI$173))*(1+V_dPrecio))</f>
        <v>0</v>
      </c>
      <c r="DJ214" s="34" t="n">
        <f aca="false">IF(DJ$8=1,IF(Reales!$C$50="PYG",IF(DJ$10&gt;0,N(Reales!DJ50)/DJ$10,0),N(Reales!DJ50)),DJ$189*INDEX(Precio_V,13)*INDEX(IdxPrecio_V,1,MIN(10,DJ$173))*(1+V_dPrecio))</f>
        <v>0</v>
      </c>
      <c r="DK214" s="34" t="n">
        <f aca="false">IF(DK$8=1,IF(Reales!$C$50="PYG",IF(DK$10&gt;0,N(Reales!DK50)/DK$10,0),N(Reales!DK50)),DK$189*INDEX(Precio_V,13)*INDEX(IdxPrecio_V,1,MIN(10,DK$173))*(1+V_dPrecio))</f>
        <v>0</v>
      </c>
      <c r="DL214" s="34" t="n">
        <f aca="false">IF(DL$8=1,IF(Reales!$C$50="PYG",IF(DL$10&gt;0,N(Reales!DL50)/DL$10,0),N(Reales!DL50)),DL$189*INDEX(Precio_V,13)*INDEX(IdxPrecio_V,1,MIN(10,DL$173))*(1+V_dPrecio))</f>
        <v>0</v>
      </c>
      <c r="DM214" s="34" t="n">
        <f aca="false">IF(DM$8=1,IF(Reales!$C$50="PYG",IF(DM$10&gt;0,N(Reales!DM50)/DM$10,0),N(Reales!DM50)),DM$189*INDEX(Precio_V,13)*INDEX(IdxPrecio_V,1,MIN(10,DM$173))*(1+V_dPrecio))</f>
        <v>0</v>
      </c>
      <c r="DN214" s="34" t="n">
        <f aca="false">IF(DN$8=1,IF(Reales!$C$50="PYG",IF(DN$10&gt;0,N(Reales!DN50)/DN$10,0),N(Reales!DN50)),DN$189*INDEX(Precio_V,13)*INDEX(IdxPrecio_V,1,MIN(10,DN$173))*(1+V_dPrecio))</f>
        <v>0</v>
      </c>
      <c r="DO214" s="34" t="n">
        <f aca="false">IF(DO$8=1,IF(Reales!$C$50="PYG",IF(DO$10&gt;0,N(Reales!DO50)/DO$10,0),N(Reales!DO50)),DO$189*INDEX(Precio_V,13)*INDEX(IdxPrecio_V,1,MIN(10,DO$173))*(1+V_dPrecio))</f>
        <v>0</v>
      </c>
      <c r="DP214" s="34" t="n">
        <f aca="false">IF(DP$8=1,IF(Reales!$C$50="PYG",IF(DP$10&gt;0,N(Reales!DP50)/DP$10,0),N(Reales!DP50)),DP$189*INDEX(Precio_V,13)*INDEX(IdxPrecio_V,1,MIN(10,DP$173))*(1+V_dPrecio))</f>
        <v>0</v>
      </c>
      <c r="DQ214" s="34" t="n">
        <f aca="false">IF(DQ$8=1,IF(Reales!$C$50="PYG",IF(DQ$10&gt;0,N(Reales!DQ50)/DQ$10,0),N(Reales!DQ50)),DQ$189*INDEX(Precio_V,13)*INDEX(IdxPrecio_V,1,MIN(10,DQ$173))*(1+V_dPrecio))</f>
        <v>0</v>
      </c>
      <c r="DR214" s="34" t="n">
        <f aca="false">IF(DR$8=1,IF(Reales!$C$50="PYG",IF(DR$10&gt;0,N(Reales!DR50)/DR$10,0),N(Reales!DR50)),DR$189*INDEX(Precio_V,13)*INDEX(IdxPrecio_V,1,MIN(10,DR$173))*(1+V_dPrecio))</f>
        <v>0</v>
      </c>
      <c r="DS214" s="34" t="n">
        <f aca="false">IF(DS$8=1,IF(Reales!$C$50="PYG",IF(DS$10&gt;0,N(Reales!DS50)/DS$10,0),N(Reales!DS50)),DS$189*INDEX(Precio_V,13)*INDEX(IdxPrecio_V,1,MIN(10,DS$173))*(1+V_dPrecio))</f>
        <v>0</v>
      </c>
      <c r="DT214" s="34" t="n">
        <f aca="false">IF(DT$8=1,IF(Reales!$C$50="PYG",IF(DT$10&gt;0,N(Reales!DT50)/DT$10,0),N(Reales!DT50)),DT$189*INDEX(Precio_V,13)*INDEX(IdxPrecio_V,1,MIN(10,DT$173))*(1+V_dPrecio))</f>
        <v>0</v>
      </c>
      <c r="DU214" s="34" t="n">
        <f aca="false">IF(DU$8=1,IF(Reales!$C$50="PYG",IF(DU$10&gt;0,N(Reales!DU50)/DU$10,0),N(Reales!DU50)),DU$189*INDEX(Precio_V,13)*INDEX(IdxPrecio_V,1,MIN(10,DU$173))*(1+V_dPrecio))</f>
        <v>0</v>
      </c>
      <c r="DV214" s="34" t="n">
        <f aca="false">IF(DV$8=1,IF(Reales!$C$50="PYG",IF(DV$10&gt;0,N(Reales!DV50)/DV$10,0),N(Reales!DV50)),DV$189*INDEX(Precio_V,13)*INDEX(IdxPrecio_V,1,MIN(10,DV$173))*(1+V_dPrecio))</f>
        <v>0</v>
      </c>
      <c r="DW214" s="34" t="n">
        <f aca="false">IF(DW$8=1,IF(Reales!$C$50="PYG",IF(DW$10&gt;0,N(Reales!DW50)/DW$10,0),N(Reales!DW50)),DW$189*INDEX(Precio_V,13)*INDEX(IdxPrecio_V,1,MIN(10,DW$173))*(1+V_dPrecio))</f>
        <v>0</v>
      </c>
      <c r="DX214" s="34" t="n">
        <f aca="false">IF(DX$8=1,IF(Reales!$C$50="PYG",IF(DX$10&gt;0,N(Reales!DX50)/DX$10,0),N(Reales!DX50)),DX$189*INDEX(Precio_V,13)*INDEX(IdxPrecio_V,1,MIN(10,DX$173))*(1+V_dPrecio))</f>
        <v>0</v>
      </c>
      <c r="DY214" s="34" t="n">
        <f aca="false">IF(DY$8=1,IF(Reales!$C$50="PYG",IF(DY$10&gt;0,N(Reales!DY50)/DY$10,0),N(Reales!DY50)),DY$189*INDEX(Precio_V,13)*INDEX(IdxPrecio_V,1,MIN(10,DY$173))*(1+V_dPrecio))</f>
        <v>0</v>
      </c>
      <c r="DZ214" s="34" t="n">
        <f aca="false">IF(DZ$8=1,IF(Reales!$C$50="PYG",IF(DZ$10&gt;0,N(Reales!DZ50)/DZ$10,0),N(Reales!DZ50)),DZ$189*INDEX(Precio_V,13)*INDEX(IdxPrecio_V,1,MIN(10,DZ$173))*(1+V_dPrecio))</f>
        <v>0</v>
      </c>
      <c r="EA214" s="34" t="n">
        <f aca="false">IF(EA$8=1,IF(Reales!$C$50="PYG",IF(EA$10&gt;0,N(Reales!EA50)/EA$10,0),N(Reales!EA50)),EA$189*INDEX(Precio_V,13)*INDEX(IdxPrecio_V,1,MIN(10,EA$173))*(1+V_dPrecio))</f>
        <v>0</v>
      </c>
      <c r="EB214" s="34" t="n">
        <f aca="false">IF(EB$8=1,IF(Reales!$C$50="PYG",IF(EB$10&gt;0,N(Reales!EB50)/EB$10,0),N(Reales!EB50)),EB$189*INDEX(Precio_V,13)*INDEX(IdxPrecio_V,1,MIN(10,EB$173))*(1+V_dPrecio))</f>
        <v>0</v>
      </c>
      <c r="EC214" s="34" t="n">
        <f aca="false">IF(EC$8=1,IF(Reales!$C$50="PYG",IF(EC$10&gt;0,N(Reales!EC50)/EC$10,0),N(Reales!EC50)),EC$189*INDEX(Precio_V,13)*INDEX(IdxPrecio_V,1,MIN(10,EC$173))*(1+V_dPrecio))</f>
        <v>0</v>
      </c>
      <c r="ED214" s="34" t="n">
        <f aca="false">IF(ED$8=1,IF(Reales!$C$50="PYG",IF(ED$10&gt;0,N(Reales!ED50)/ED$10,0),N(Reales!ED50)),ED$189*INDEX(Precio_V,13)*INDEX(IdxPrecio_V,1,MIN(10,ED$173))*(1+V_dPrecio))</f>
        <v>0</v>
      </c>
      <c r="EE214" s="34" t="n">
        <f aca="false">IF(EE$8=1,IF(Reales!$C$50="PYG",IF(EE$10&gt;0,N(Reales!EE50)/EE$10,0),N(Reales!EE50)),EE$189*INDEX(Precio_V,13)*INDEX(IdxPrecio_V,1,MIN(10,EE$173))*(1+V_dPrecio))</f>
        <v>0</v>
      </c>
      <c r="EF214" s="34" t="n">
        <f aca="false">IF(EF$8=1,IF(Reales!$C$50="PYG",IF(EF$10&gt;0,N(Reales!EF50)/EF$10,0),N(Reales!EF50)),EF$189*INDEX(Precio_V,13)*INDEX(IdxPrecio_V,1,MIN(10,EF$173))*(1+V_dPrecio))</f>
        <v>0</v>
      </c>
      <c r="EG214" s="34" t="n">
        <f aca="false">IF(EG$8=1,IF(Reales!$C$50="PYG",IF(EG$10&gt;0,N(Reales!EG50)/EG$10,0),N(Reales!EG50)),EG$189*INDEX(Precio_V,13)*INDEX(IdxPrecio_V,1,MIN(10,EG$173))*(1+V_dPrecio))</f>
        <v>0</v>
      </c>
      <c r="EH214" s="34" t="n">
        <f aca="false">IF(EH$8=1,IF(Reales!$C$50="PYG",IF(EH$10&gt;0,N(Reales!EH50)/EH$10,0),N(Reales!EH50)),EH$189*INDEX(Precio_V,13)*INDEX(IdxPrecio_V,1,MIN(10,EH$173))*(1+V_dPrecio))</f>
        <v>0</v>
      </c>
      <c r="EI214" s="34" t="n">
        <f aca="false">IF(EI$8=1,IF(Reales!$C$50="PYG",IF(EI$10&gt;0,N(Reales!EI50)/EI$10,0),N(Reales!EI50)),EI$189*INDEX(Precio_V,13)*INDEX(IdxPrecio_V,1,MIN(10,EI$173))*(1+V_dPrecio))</f>
        <v>0</v>
      </c>
      <c r="EJ214" s="34" t="n">
        <f aca="false">IF(EJ$8=1,IF(Reales!$C$50="PYG",IF(EJ$10&gt;0,N(Reales!EJ50)/EJ$10,0),N(Reales!EJ50)),EJ$189*INDEX(Precio_V,13)*INDEX(IdxPrecio_V,1,MIN(10,EJ$173))*(1+V_dPrecio))</f>
        <v>0</v>
      </c>
      <c r="EK214" s="34" t="n">
        <f aca="false">IF(EK$8=1,IF(Reales!$C$50="PYG",IF(EK$10&gt;0,N(Reales!EK50)/EK$10,0),N(Reales!EK50)),EK$189*INDEX(Precio_V,13)*INDEX(IdxPrecio_V,1,MIN(10,EK$173))*(1+V_dPrecio))</f>
        <v>0</v>
      </c>
      <c r="EL214" s="34" t="n">
        <f aca="false">IF(EL$8=1,IF(Reales!$C$50="PYG",IF(EL$10&gt;0,N(Reales!EL50)/EL$10,0),N(Reales!EL50)),EL$189*INDEX(Precio_V,13)*INDEX(IdxPrecio_V,1,MIN(10,EL$173))*(1+V_dPrecio))</f>
        <v>0</v>
      </c>
      <c r="EM214" s="34" t="n">
        <f aca="false">IF(EM$8=1,IF(Reales!$C$50="PYG",IF(EM$10&gt;0,N(Reales!EM50)/EM$10,0),N(Reales!EM50)),EM$189*INDEX(Precio_V,13)*INDEX(IdxPrecio_V,1,MIN(10,EM$173))*(1+V_dPrecio))</f>
        <v>0</v>
      </c>
      <c r="EN214" s="34" t="n">
        <f aca="false">IF(EN$8=1,IF(Reales!$C$50="PYG",IF(EN$10&gt;0,N(Reales!EN50)/EN$10,0),N(Reales!EN50)),EN$189*INDEX(Precio_V,13)*INDEX(IdxPrecio_V,1,MIN(10,EN$173))*(1+V_dPrecio))</f>
        <v>0</v>
      </c>
      <c r="EO214" s="34" t="n">
        <f aca="false">IF(EO$8=1,IF(Reales!$C$50="PYG",IF(EO$10&gt;0,N(Reales!EO50)/EO$10,0),N(Reales!EO50)),EO$189*INDEX(Precio_V,13)*INDEX(IdxPrecio_V,1,MIN(10,EO$173))*(1+V_dPrecio))</f>
        <v>0</v>
      </c>
      <c r="EP214" s="34" t="n">
        <f aca="false">IF(EP$8=1,IF(Reales!$C$50="PYG",IF(EP$10&gt;0,N(Reales!EP50)/EP$10,0),N(Reales!EP50)),EP$189*INDEX(Precio_V,13)*INDEX(IdxPrecio_V,1,MIN(10,EP$173))*(1+V_dPrecio))</f>
        <v>0</v>
      </c>
      <c r="EQ214" s="34" t="n">
        <f aca="false">IF(EQ$8=1,IF(Reales!$C$50="PYG",IF(EQ$10&gt;0,N(Reales!EQ50)/EQ$10,0),N(Reales!EQ50)),EQ$189*INDEX(Precio_V,13)*INDEX(IdxPrecio_V,1,MIN(10,EQ$173))*(1+V_dPrecio))</f>
        <v>0</v>
      </c>
      <c r="ER214" s="34" t="n">
        <f aca="false">IF(ER$8=1,IF(Reales!$C$50="PYG",IF(ER$10&gt;0,N(Reales!ER50)/ER$10,0),N(Reales!ER50)),ER$189*INDEX(Precio_V,13)*INDEX(IdxPrecio_V,1,MIN(10,ER$173))*(1+V_dPrecio))</f>
        <v>0</v>
      </c>
      <c r="ES214" s="34" t="n">
        <f aca="false">IF(ES$8=1,IF(Reales!$C$50="PYG",IF(ES$10&gt;0,N(Reales!ES50)/ES$10,0),N(Reales!ES50)),ES$189*INDEX(Precio_V,13)*INDEX(IdxPrecio_V,1,MIN(10,ES$173))*(1+V_dPrecio))</f>
        <v>0</v>
      </c>
    </row>
    <row r="215" customFormat="false" ht="15" hidden="false" customHeight="false" outlineLevel="0" collapsed="false">
      <c r="A215" s="2" t="s">
        <v>857</v>
      </c>
      <c r="B215" s="39" t="str">
        <f aca="false">IF(INDEX(Prod_Nombre,14)="","Producto 14",INDEX(Prod_Nombre,14))&amp;" — ventas USD"</f>
        <v>Producto 14 — ventas USD</v>
      </c>
      <c r="C215" s="6" t="s">
        <v>250</v>
      </c>
      <c r="E215" s="40" t="n">
        <f aca="false">SUM(F215:ES215)</f>
        <v>0</v>
      </c>
      <c r="F215" s="34" t="n">
        <f aca="false">IF(F$8=1,IF(Reales!$C$51="PYG",IF(F$10&gt;0,N(Reales!F51)/F$10,0),N(Reales!F51)),F$190*INDEX(Precio_V,14)*INDEX(IdxPrecio_V,1,MIN(10,F$173))*(1+V_dPrecio))</f>
        <v>0</v>
      </c>
      <c r="G215" s="34" t="n">
        <f aca="false">IF(G$8=1,IF(Reales!$C$51="PYG",IF(G$10&gt;0,N(Reales!G51)/G$10,0),N(Reales!G51)),G$190*INDEX(Precio_V,14)*INDEX(IdxPrecio_V,1,MIN(10,G$173))*(1+V_dPrecio))</f>
        <v>0</v>
      </c>
      <c r="H215" s="34" t="n">
        <f aca="false">IF(H$8=1,IF(Reales!$C$51="PYG",IF(H$10&gt;0,N(Reales!H51)/H$10,0),N(Reales!H51)),H$190*INDEX(Precio_V,14)*INDEX(IdxPrecio_V,1,MIN(10,H$173))*(1+V_dPrecio))</f>
        <v>0</v>
      </c>
      <c r="I215" s="34" t="n">
        <f aca="false">IF(I$8=1,IF(Reales!$C$51="PYG",IF(I$10&gt;0,N(Reales!I51)/I$10,0),N(Reales!I51)),I$190*INDEX(Precio_V,14)*INDEX(IdxPrecio_V,1,MIN(10,I$173))*(1+V_dPrecio))</f>
        <v>0</v>
      </c>
      <c r="J215" s="34" t="n">
        <f aca="false">IF(J$8=1,IF(Reales!$C$51="PYG",IF(J$10&gt;0,N(Reales!J51)/J$10,0),N(Reales!J51)),J$190*INDEX(Precio_V,14)*INDEX(IdxPrecio_V,1,MIN(10,J$173))*(1+V_dPrecio))</f>
        <v>0</v>
      </c>
      <c r="K215" s="34" t="n">
        <f aca="false">IF(K$8=1,IF(Reales!$C$51="PYG",IF(K$10&gt;0,N(Reales!K51)/K$10,0),N(Reales!K51)),K$190*INDEX(Precio_V,14)*INDEX(IdxPrecio_V,1,MIN(10,K$173))*(1+V_dPrecio))</f>
        <v>0</v>
      </c>
      <c r="L215" s="34" t="n">
        <f aca="false">IF(L$8=1,IF(Reales!$C$51="PYG",IF(L$10&gt;0,N(Reales!L51)/L$10,0),N(Reales!L51)),L$190*INDEX(Precio_V,14)*INDEX(IdxPrecio_V,1,MIN(10,L$173))*(1+V_dPrecio))</f>
        <v>0</v>
      </c>
      <c r="M215" s="34" t="n">
        <f aca="false">IF(M$8=1,IF(Reales!$C$51="PYG",IF(M$10&gt;0,N(Reales!M51)/M$10,0),N(Reales!M51)),M$190*INDEX(Precio_V,14)*INDEX(IdxPrecio_V,1,MIN(10,M$173))*(1+V_dPrecio))</f>
        <v>0</v>
      </c>
      <c r="N215" s="34" t="n">
        <f aca="false">IF(N$8=1,IF(Reales!$C$51="PYG",IF(N$10&gt;0,N(Reales!N51)/N$10,0),N(Reales!N51)),N$190*INDEX(Precio_V,14)*INDEX(IdxPrecio_V,1,MIN(10,N$173))*(1+V_dPrecio))</f>
        <v>0</v>
      </c>
      <c r="O215" s="34" t="n">
        <f aca="false">IF(O$8=1,IF(Reales!$C$51="PYG",IF(O$10&gt;0,N(Reales!O51)/O$10,0),N(Reales!O51)),O$190*INDEX(Precio_V,14)*INDEX(IdxPrecio_V,1,MIN(10,O$173))*(1+V_dPrecio))</f>
        <v>0</v>
      </c>
      <c r="P215" s="34" t="n">
        <f aca="false">IF(P$8=1,IF(Reales!$C$51="PYG",IF(P$10&gt;0,N(Reales!P51)/P$10,0),N(Reales!P51)),P$190*INDEX(Precio_V,14)*INDEX(IdxPrecio_V,1,MIN(10,P$173))*(1+V_dPrecio))</f>
        <v>0</v>
      </c>
      <c r="Q215" s="34" t="n">
        <f aca="false">IF(Q$8=1,IF(Reales!$C$51="PYG",IF(Q$10&gt;0,N(Reales!Q51)/Q$10,0),N(Reales!Q51)),Q$190*INDEX(Precio_V,14)*INDEX(IdxPrecio_V,1,MIN(10,Q$173))*(1+V_dPrecio))</f>
        <v>0</v>
      </c>
      <c r="R215" s="34" t="n">
        <f aca="false">IF(R$8=1,IF(Reales!$C$51="PYG",IF(R$10&gt;0,N(Reales!R51)/R$10,0),N(Reales!R51)),R$190*INDEX(Precio_V,14)*INDEX(IdxPrecio_V,1,MIN(10,R$173))*(1+V_dPrecio))</f>
        <v>0</v>
      </c>
      <c r="S215" s="34" t="n">
        <f aca="false">IF(S$8=1,IF(Reales!$C$51="PYG",IF(S$10&gt;0,N(Reales!S51)/S$10,0),N(Reales!S51)),S$190*INDEX(Precio_V,14)*INDEX(IdxPrecio_V,1,MIN(10,S$173))*(1+V_dPrecio))</f>
        <v>0</v>
      </c>
      <c r="T215" s="34" t="n">
        <f aca="false">IF(T$8=1,IF(Reales!$C$51="PYG",IF(T$10&gt;0,N(Reales!T51)/T$10,0),N(Reales!T51)),T$190*INDEX(Precio_V,14)*INDEX(IdxPrecio_V,1,MIN(10,T$173))*(1+V_dPrecio))</f>
        <v>0</v>
      </c>
      <c r="U215" s="34" t="n">
        <f aca="false">IF(U$8=1,IF(Reales!$C$51="PYG",IF(U$10&gt;0,N(Reales!U51)/U$10,0),N(Reales!U51)),U$190*INDEX(Precio_V,14)*INDEX(IdxPrecio_V,1,MIN(10,U$173))*(1+V_dPrecio))</f>
        <v>0</v>
      </c>
      <c r="V215" s="34" t="n">
        <f aca="false">IF(V$8=1,IF(Reales!$C$51="PYG",IF(V$10&gt;0,N(Reales!V51)/V$10,0),N(Reales!V51)),V$190*INDEX(Precio_V,14)*INDEX(IdxPrecio_V,1,MIN(10,V$173))*(1+V_dPrecio))</f>
        <v>0</v>
      </c>
      <c r="W215" s="34" t="n">
        <f aca="false">IF(W$8=1,IF(Reales!$C$51="PYG",IF(W$10&gt;0,N(Reales!W51)/W$10,0),N(Reales!W51)),W$190*INDEX(Precio_V,14)*INDEX(IdxPrecio_V,1,MIN(10,W$173))*(1+V_dPrecio))</f>
        <v>0</v>
      </c>
      <c r="X215" s="34" t="n">
        <f aca="false">IF(X$8=1,IF(Reales!$C$51="PYG",IF(X$10&gt;0,N(Reales!X51)/X$10,0),N(Reales!X51)),X$190*INDEX(Precio_V,14)*INDEX(IdxPrecio_V,1,MIN(10,X$173))*(1+V_dPrecio))</f>
        <v>0</v>
      </c>
      <c r="Y215" s="34" t="n">
        <f aca="false">IF(Y$8=1,IF(Reales!$C$51="PYG",IF(Y$10&gt;0,N(Reales!Y51)/Y$10,0),N(Reales!Y51)),Y$190*INDEX(Precio_V,14)*INDEX(IdxPrecio_V,1,MIN(10,Y$173))*(1+V_dPrecio))</f>
        <v>0</v>
      </c>
      <c r="Z215" s="34" t="n">
        <f aca="false">IF(Z$8=1,IF(Reales!$C$51="PYG",IF(Z$10&gt;0,N(Reales!Z51)/Z$10,0),N(Reales!Z51)),Z$190*INDEX(Precio_V,14)*INDEX(IdxPrecio_V,1,MIN(10,Z$173))*(1+V_dPrecio))</f>
        <v>0</v>
      </c>
      <c r="AA215" s="34" t="n">
        <f aca="false">IF(AA$8=1,IF(Reales!$C$51="PYG",IF(AA$10&gt;0,N(Reales!AA51)/AA$10,0),N(Reales!AA51)),AA$190*INDEX(Precio_V,14)*INDEX(IdxPrecio_V,1,MIN(10,AA$173))*(1+V_dPrecio))</f>
        <v>0</v>
      </c>
      <c r="AB215" s="34" t="n">
        <f aca="false">IF(AB$8=1,IF(Reales!$C$51="PYG",IF(AB$10&gt;0,N(Reales!AB51)/AB$10,0),N(Reales!AB51)),AB$190*INDEX(Precio_V,14)*INDEX(IdxPrecio_V,1,MIN(10,AB$173))*(1+V_dPrecio))</f>
        <v>0</v>
      </c>
      <c r="AC215" s="34" t="n">
        <f aca="false">IF(AC$8=1,IF(Reales!$C$51="PYG",IF(AC$10&gt;0,N(Reales!AC51)/AC$10,0),N(Reales!AC51)),AC$190*INDEX(Precio_V,14)*INDEX(IdxPrecio_V,1,MIN(10,AC$173))*(1+V_dPrecio))</f>
        <v>0</v>
      </c>
      <c r="AD215" s="34" t="n">
        <f aca="false">IF(AD$8=1,IF(Reales!$C$51="PYG",IF(AD$10&gt;0,N(Reales!AD51)/AD$10,0),N(Reales!AD51)),AD$190*INDEX(Precio_V,14)*INDEX(IdxPrecio_V,1,MIN(10,AD$173))*(1+V_dPrecio))</f>
        <v>0</v>
      </c>
      <c r="AE215" s="34" t="n">
        <f aca="false">IF(AE$8=1,IF(Reales!$C$51="PYG",IF(AE$10&gt;0,N(Reales!AE51)/AE$10,0),N(Reales!AE51)),AE$190*INDEX(Precio_V,14)*INDEX(IdxPrecio_V,1,MIN(10,AE$173))*(1+V_dPrecio))</f>
        <v>0</v>
      </c>
      <c r="AF215" s="34" t="n">
        <f aca="false">IF(AF$8=1,IF(Reales!$C$51="PYG",IF(AF$10&gt;0,N(Reales!AF51)/AF$10,0),N(Reales!AF51)),AF$190*INDEX(Precio_V,14)*INDEX(IdxPrecio_V,1,MIN(10,AF$173))*(1+V_dPrecio))</f>
        <v>0</v>
      </c>
      <c r="AG215" s="34" t="n">
        <f aca="false">IF(AG$8=1,IF(Reales!$C$51="PYG",IF(AG$10&gt;0,N(Reales!AG51)/AG$10,0),N(Reales!AG51)),AG$190*INDEX(Precio_V,14)*INDEX(IdxPrecio_V,1,MIN(10,AG$173))*(1+V_dPrecio))</f>
        <v>0</v>
      </c>
      <c r="AH215" s="34" t="n">
        <f aca="false">IF(AH$8=1,IF(Reales!$C$51="PYG",IF(AH$10&gt;0,N(Reales!AH51)/AH$10,0),N(Reales!AH51)),AH$190*INDEX(Precio_V,14)*INDEX(IdxPrecio_V,1,MIN(10,AH$173))*(1+V_dPrecio))</f>
        <v>0</v>
      </c>
      <c r="AI215" s="34" t="n">
        <f aca="false">IF(AI$8=1,IF(Reales!$C$51="PYG",IF(AI$10&gt;0,N(Reales!AI51)/AI$10,0),N(Reales!AI51)),AI$190*INDEX(Precio_V,14)*INDEX(IdxPrecio_V,1,MIN(10,AI$173))*(1+V_dPrecio))</f>
        <v>0</v>
      </c>
      <c r="AJ215" s="34" t="n">
        <f aca="false">IF(AJ$8=1,IF(Reales!$C$51="PYG",IF(AJ$10&gt;0,N(Reales!AJ51)/AJ$10,0),N(Reales!AJ51)),AJ$190*INDEX(Precio_V,14)*INDEX(IdxPrecio_V,1,MIN(10,AJ$173))*(1+V_dPrecio))</f>
        <v>0</v>
      </c>
      <c r="AK215" s="34" t="n">
        <f aca="false">IF(AK$8=1,IF(Reales!$C$51="PYG",IF(AK$10&gt;0,N(Reales!AK51)/AK$10,0),N(Reales!AK51)),AK$190*INDEX(Precio_V,14)*INDEX(IdxPrecio_V,1,MIN(10,AK$173))*(1+V_dPrecio))</f>
        <v>0</v>
      </c>
      <c r="AL215" s="34" t="n">
        <f aca="false">IF(AL$8=1,IF(Reales!$C$51="PYG",IF(AL$10&gt;0,N(Reales!AL51)/AL$10,0),N(Reales!AL51)),AL$190*INDEX(Precio_V,14)*INDEX(IdxPrecio_V,1,MIN(10,AL$173))*(1+V_dPrecio))</f>
        <v>0</v>
      </c>
      <c r="AM215" s="34" t="n">
        <f aca="false">IF(AM$8=1,IF(Reales!$C$51="PYG",IF(AM$10&gt;0,N(Reales!AM51)/AM$10,0),N(Reales!AM51)),AM$190*INDEX(Precio_V,14)*INDEX(IdxPrecio_V,1,MIN(10,AM$173))*(1+V_dPrecio))</f>
        <v>0</v>
      </c>
      <c r="AN215" s="34" t="n">
        <f aca="false">IF(AN$8=1,IF(Reales!$C$51="PYG",IF(AN$10&gt;0,N(Reales!AN51)/AN$10,0),N(Reales!AN51)),AN$190*INDEX(Precio_V,14)*INDEX(IdxPrecio_V,1,MIN(10,AN$173))*(1+V_dPrecio))</f>
        <v>0</v>
      </c>
      <c r="AO215" s="34" t="n">
        <f aca="false">IF(AO$8=1,IF(Reales!$C$51="PYG",IF(AO$10&gt;0,N(Reales!AO51)/AO$10,0),N(Reales!AO51)),AO$190*INDEX(Precio_V,14)*INDEX(IdxPrecio_V,1,MIN(10,AO$173))*(1+V_dPrecio))</f>
        <v>0</v>
      </c>
      <c r="AP215" s="34" t="n">
        <f aca="false">IF(AP$8=1,IF(Reales!$C$51="PYG",IF(AP$10&gt;0,N(Reales!AP51)/AP$10,0),N(Reales!AP51)),AP$190*INDEX(Precio_V,14)*INDEX(IdxPrecio_V,1,MIN(10,AP$173))*(1+V_dPrecio))</f>
        <v>0</v>
      </c>
      <c r="AQ215" s="34" t="n">
        <f aca="false">IF(AQ$8=1,IF(Reales!$C$51="PYG",IF(AQ$10&gt;0,N(Reales!AQ51)/AQ$10,0),N(Reales!AQ51)),AQ$190*INDEX(Precio_V,14)*INDEX(IdxPrecio_V,1,MIN(10,AQ$173))*(1+V_dPrecio))</f>
        <v>0</v>
      </c>
      <c r="AR215" s="34" t="n">
        <f aca="false">IF(AR$8=1,IF(Reales!$C$51="PYG",IF(AR$10&gt;0,N(Reales!AR51)/AR$10,0),N(Reales!AR51)),AR$190*INDEX(Precio_V,14)*INDEX(IdxPrecio_V,1,MIN(10,AR$173))*(1+V_dPrecio))</f>
        <v>0</v>
      </c>
      <c r="AS215" s="34" t="n">
        <f aca="false">IF(AS$8=1,IF(Reales!$C$51="PYG",IF(AS$10&gt;0,N(Reales!AS51)/AS$10,0),N(Reales!AS51)),AS$190*INDEX(Precio_V,14)*INDEX(IdxPrecio_V,1,MIN(10,AS$173))*(1+V_dPrecio))</f>
        <v>0</v>
      </c>
      <c r="AT215" s="34" t="n">
        <f aca="false">IF(AT$8=1,IF(Reales!$C$51="PYG",IF(AT$10&gt;0,N(Reales!AT51)/AT$10,0),N(Reales!AT51)),AT$190*INDEX(Precio_V,14)*INDEX(IdxPrecio_V,1,MIN(10,AT$173))*(1+V_dPrecio))</f>
        <v>0</v>
      </c>
      <c r="AU215" s="34" t="n">
        <f aca="false">IF(AU$8=1,IF(Reales!$C$51="PYG",IF(AU$10&gt;0,N(Reales!AU51)/AU$10,0),N(Reales!AU51)),AU$190*INDEX(Precio_V,14)*INDEX(IdxPrecio_V,1,MIN(10,AU$173))*(1+V_dPrecio))</f>
        <v>0</v>
      </c>
      <c r="AV215" s="34" t="n">
        <f aca="false">IF(AV$8=1,IF(Reales!$C$51="PYG",IF(AV$10&gt;0,N(Reales!AV51)/AV$10,0),N(Reales!AV51)),AV$190*INDEX(Precio_V,14)*INDEX(IdxPrecio_V,1,MIN(10,AV$173))*(1+V_dPrecio))</f>
        <v>0</v>
      </c>
      <c r="AW215" s="34" t="n">
        <f aca="false">IF(AW$8=1,IF(Reales!$C$51="PYG",IF(AW$10&gt;0,N(Reales!AW51)/AW$10,0),N(Reales!AW51)),AW$190*INDEX(Precio_V,14)*INDEX(IdxPrecio_V,1,MIN(10,AW$173))*(1+V_dPrecio))</f>
        <v>0</v>
      </c>
      <c r="AX215" s="34" t="n">
        <f aca="false">IF(AX$8=1,IF(Reales!$C$51="PYG",IF(AX$10&gt;0,N(Reales!AX51)/AX$10,0),N(Reales!AX51)),AX$190*INDEX(Precio_V,14)*INDEX(IdxPrecio_V,1,MIN(10,AX$173))*(1+V_dPrecio))</f>
        <v>0</v>
      </c>
      <c r="AY215" s="34" t="n">
        <f aca="false">IF(AY$8=1,IF(Reales!$C$51="PYG",IF(AY$10&gt;0,N(Reales!AY51)/AY$10,0),N(Reales!AY51)),AY$190*INDEX(Precio_V,14)*INDEX(IdxPrecio_V,1,MIN(10,AY$173))*(1+V_dPrecio))</f>
        <v>0</v>
      </c>
      <c r="AZ215" s="34" t="n">
        <f aca="false">IF(AZ$8=1,IF(Reales!$C$51="PYG",IF(AZ$10&gt;0,N(Reales!AZ51)/AZ$10,0),N(Reales!AZ51)),AZ$190*INDEX(Precio_V,14)*INDEX(IdxPrecio_V,1,MIN(10,AZ$173))*(1+V_dPrecio))</f>
        <v>0</v>
      </c>
      <c r="BA215" s="34" t="n">
        <f aca="false">IF(BA$8=1,IF(Reales!$C$51="PYG",IF(BA$10&gt;0,N(Reales!BA51)/BA$10,0),N(Reales!BA51)),BA$190*INDEX(Precio_V,14)*INDEX(IdxPrecio_V,1,MIN(10,BA$173))*(1+V_dPrecio))</f>
        <v>0</v>
      </c>
      <c r="BB215" s="34" t="n">
        <f aca="false">IF(BB$8=1,IF(Reales!$C$51="PYG",IF(BB$10&gt;0,N(Reales!BB51)/BB$10,0),N(Reales!BB51)),BB$190*INDEX(Precio_V,14)*INDEX(IdxPrecio_V,1,MIN(10,BB$173))*(1+V_dPrecio))</f>
        <v>0</v>
      </c>
      <c r="BC215" s="34" t="n">
        <f aca="false">IF(BC$8=1,IF(Reales!$C$51="PYG",IF(BC$10&gt;0,N(Reales!BC51)/BC$10,0),N(Reales!BC51)),BC$190*INDEX(Precio_V,14)*INDEX(IdxPrecio_V,1,MIN(10,BC$173))*(1+V_dPrecio))</f>
        <v>0</v>
      </c>
      <c r="BD215" s="34" t="n">
        <f aca="false">IF(BD$8=1,IF(Reales!$C$51="PYG",IF(BD$10&gt;0,N(Reales!BD51)/BD$10,0),N(Reales!BD51)),BD$190*INDEX(Precio_V,14)*INDEX(IdxPrecio_V,1,MIN(10,BD$173))*(1+V_dPrecio))</f>
        <v>0</v>
      </c>
      <c r="BE215" s="34" t="n">
        <f aca="false">IF(BE$8=1,IF(Reales!$C$51="PYG",IF(BE$10&gt;0,N(Reales!BE51)/BE$10,0),N(Reales!BE51)),BE$190*INDEX(Precio_V,14)*INDEX(IdxPrecio_V,1,MIN(10,BE$173))*(1+V_dPrecio))</f>
        <v>0</v>
      </c>
      <c r="BF215" s="34" t="n">
        <f aca="false">IF(BF$8=1,IF(Reales!$C$51="PYG",IF(BF$10&gt;0,N(Reales!BF51)/BF$10,0),N(Reales!BF51)),BF$190*INDEX(Precio_V,14)*INDEX(IdxPrecio_V,1,MIN(10,BF$173))*(1+V_dPrecio))</f>
        <v>0</v>
      </c>
      <c r="BG215" s="34" t="n">
        <f aca="false">IF(BG$8=1,IF(Reales!$C$51="PYG",IF(BG$10&gt;0,N(Reales!BG51)/BG$10,0),N(Reales!BG51)),BG$190*INDEX(Precio_V,14)*INDEX(IdxPrecio_V,1,MIN(10,BG$173))*(1+V_dPrecio))</f>
        <v>0</v>
      </c>
      <c r="BH215" s="34" t="n">
        <f aca="false">IF(BH$8=1,IF(Reales!$C$51="PYG",IF(BH$10&gt;0,N(Reales!BH51)/BH$10,0),N(Reales!BH51)),BH$190*INDEX(Precio_V,14)*INDEX(IdxPrecio_V,1,MIN(10,BH$173))*(1+V_dPrecio))</f>
        <v>0</v>
      </c>
      <c r="BI215" s="34" t="n">
        <f aca="false">IF(BI$8=1,IF(Reales!$C$51="PYG",IF(BI$10&gt;0,N(Reales!BI51)/BI$10,0),N(Reales!BI51)),BI$190*INDEX(Precio_V,14)*INDEX(IdxPrecio_V,1,MIN(10,BI$173))*(1+V_dPrecio))</f>
        <v>0</v>
      </c>
      <c r="BJ215" s="34" t="n">
        <f aca="false">IF(BJ$8=1,IF(Reales!$C$51="PYG",IF(BJ$10&gt;0,N(Reales!BJ51)/BJ$10,0),N(Reales!BJ51)),BJ$190*INDEX(Precio_V,14)*INDEX(IdxPrecio_V,1,MIN(10,BJ$173))*(1+V_dPrecio))</f>
        <v>0</v>
      </c>
      <c r="BK215" s="34" t="n">
        <f aca="false">IF(BK$8=1,IF(Reales!$C$51="PYG",IF(BK$10&gt;0,N(Reales!BK51)/BK$10,0),N(Reales!BK51)),BK$190*INDEX(Precio_V,14)*INDEX(IdxPrecio_V,1,MIN(10,BK$173))*(1+V_dPrecio))</f>
        <v>0</v>
      </c>
      <c r="BL215" s="34" t="n">
        <f aca="false">IF(BL$8=1,IF(Reales!$C$51="PYG",IF(BL$10&gt;0,N(Reales!BL51)/BL$10,0),N(Reales!BL51)),BL$190*INDEX(Precio_V,14)*INDEX(IdxPrecio_V,1,MIN(10,BL$173))*(1+V_dPrecio))</f>
        <v>0</v>
      </c>
      <c r="BM215" s="34" t="n">
        <f aca="false">IF(BM$8=1,IF(Reales!$C$51="PYG",IF(BM$10&gt;0,N(Reales!BM51)/BM$10,0),N(Reales!BM51)),BM$190*INDEX(Precio_V,14)*INDEX(IdxPrecio_V,1,MIN(10,BM$173))*(1+V_dPrecio))</f>
        <v>0</v>
      </c>
      <c r="BN215" s="34" t="n">
        <f aca="false">IF(BN$8=1,IF(Reales!$C$51="PYG",IF(BN$10&gt;0,N(Reales!BN51)/BN$10,0),N(Reales!BN51)),BN$190*INDEX(Precio_V,14)*INDEX(IdxPrecio_V,1,MIN(10,BN$173))*(1+V_dPrecio))</f>
        <v>0</v>
      </c>
      <c r="BO215" s="34" t="n">
        <f aca="false">IF(BO$8=1,IF(Reales!$C$51="PYG",IF(BO$10&gt;0,N(Reales!BO51)/BO$10,0),N(Reales!BO51)),BO$190*INDEX(Precio_V,14)*INDEX(IdxPrecio_V,1,MIN(10,BO$173))*(1+V_dPrecio))</f>
        <v>0</v>
      </c>
      <c r="BP215" s="34" t="n">
        <f aca="false">IF(BP$8=1,IF(Reales!$C$51="PYG",IF(BP$10&gt;0,N(Reales!BP51)/BP$10,0),N(Reales!BP51)),BP$190*INDEX(Precio_V,14)*INDEX(IdxPrecio_V,1,MIN(10,BP$173))*(1+V_dPrecio))</f>
        <v>0</v>
      </c>
      <c r="BQ215" s="34" t="n">
        <f aca="false">IF(BQ$8=1,IF(Reales!$C$51="PYG",IF(BQ$10&gt;0,N(Reales!BQ51)/BQ$10,0),N(Reales!BQ51)),BQ$190*INDEX(Precio_V,14)*INDEX(IdxPrecio_V,1,MIN(10,BQ$173))*(1+V_dPrecio))</f>
        <v>0</v>
      </c>
      <c r="BR215" s="34" t="n">
        <f aca="false">IF(BR$8=1,IF(Reales!$C$51="PYG",IF(BR$10&gt;0,N(Reales!BR51)/BR$10,0),N(Reales!BR51)),BR$190*INDEX(Precio_V,14)*INDEX(IdxPrecio_V,1,MIN(10,BR$173))*(1+V_dPrecio))</f>
        <v>0</v>
      </c>
      <c r="BS215" s="34" t="n">
        <f aca="false">IF(BS$8=1,IF(Reales!$C$51="PYG",IF(BS$10&gt;0,N(Reales!BS51)/BS$10,0),N(Reales!BS51)),BS$190*INDEX(Precio_V,14)*INDEX(IdxPrecio_V,1,MIN(10,BS$173))*(1+V_dPrecio))</f>
        <v>0</v>
      </c>
      <c r="BT215" s="34" t="n">
        <f aca="false">IF(BT$8=1,IF(Reales!$C$51="PYG",IF(BT$10&gt;0,N(Reales!BT51)/BT$10,0),N(Reales!BT51)),BT$190*INDEX(Precio_V,14)*INDEX(IdxPrecio_V,1,MIN(10,BT$173))*(1+V_dPrecio))</f>
        <v>0</v>
      </c>
      <c r="BU215" s="34" t="n">
        <f aca="false">IF(BU$8=1,IF(Reales!$C$51="PYG",IF(BU$10&gt;0,N(Reales!BU51)/BU$10,0),N(Reales!BU51)),BU$190*INDEX(Precio_V,14)*INDEX(IdxPrecio_V,1,MIN(10,BU$173))*(1+V_dPrecio))</f>
        <v>0</v>
      </c>
      <c r="BV215" s="34" t="n">
        <f aca="false">IF(BV$8=1,IF(Reales!$C$51="PYG",IF(BV$10&gt;0,N(Reales!BV51)/BV$10,0),N(Reales!BV51)),BV$190*INDEX(Precio_V,14)*INDEX(IdxPrecio_V,1,MIN(10,BV$173))*(1+V_dPrecio))</f>
        <v>0</v>
      </c>
      <c r="BW215" s="34" t="n">
        <f aca="false">IF(BW$8=1,IF(Reales!$C$51="PYG",IF(BW$10&gt;0,N(Reales!BW51)/BW$10,0),N(Reales!BW51)),BW$190*INDEX(Precio_V,14)*INDEX(IdxPrecio_V,1,MIN(10,BW$173))*(1+V_dPrecio))</f>
        <v>0</v>
      </c>
      <c r="BX215" s="34" t="n">
        <f aca="false">IF(BX$8=1,IF(Reales!$C$51="PYG",IF(BX$10&gt;0,N(Reales!BX51)/BX$10,0),N(Reales!BX51)),BX$190*INDEX(Precio_V,14)*INDEX(IdxPrecio_V,1,MIN(10,BX$173))*(1+V_dPrecio))</f>
        <v>0</v>
      </c>
      <c r="BY215" s="34" t="n">
        <f aca="false">IF(BY$8=1,IF(Reales!$C$51="PYG",IF(BY$10&gt;0,N(Reales!BY51)/BY$10,0),N(Reales!BY51)),BY$190*INDEX(Precio_V,14)*INDEX(IdxPrecio_V,1,MIN(10,BY$173))*(1+V_dPrecio))</f>
        <v>0</v>
      </c>
      <c r="BZ215" s="34" t="n">
        <f aca="false">IF(BZ$8=1,IF(Reales!$C$51="PYG",IF(BZ$10&gt;0,N(Reales!BZ51)/BZ$10,0),N(Reales!BZ51)),BZ$190*INDEX(Precio_V,14)*INDEX(IdxPrecio_V,1,MIN(10,BZ$173))*(1+V_dPrecio))</f>
        <v>0</v>
      </c>
      <c r="CA215" s="34" t="n">
        <f aca="false">IF(CA$8=1,IF(Reales!$C$51="PYG",IF(CA$10&gt;0,N(Reales!CA51)/CA$10,0),N(Reales!CA51)),CA$190*INDEX(Precio_V,14)*INDEX(IdxPrecio_V,1,MIN(10,CA$173))*(1+V_dPrecio))</f>
        <v>0</v>
      </c>
      <c r="CB215" s="34" t="n">
        <f aca="false">IF(CB$8=1,IF(Reales!$C$51="PYG",IF(CB$10&gt;0,N(Reales!CB51)/CB$10,0),N(Reales!CB51)),CB$190*INDEX(Precio_V,14)*INDEX(IdxPrecio_V,1,MIN(10,CB$173))*(1+V_dPrecio))</f>
        <v>0</v>
      </c>
      <c r="CC215" s="34" t="n">
        <f aca="false">IF(CC$8=1,IF(Reales!$C$51="PYG",IF(CC$10&gt;0,N(Reales!CC51)/CC$10,0),N(Reales!CC51)),CC$190*INDEX(Precio_V,14)*INDEX(IdxPrecio_V,1,MIN(10,CC$173))*(1+V_dPrecio))</f>
        <v>0</v>
      </c>
      <c r="CD215" s="34" t="n">
        <f aca="false">IF(CD$8=1,IF(Reales!$C$51="PYG",IF(CD$10&gt;0,N(Reales!CD51)/CD$10,0),N(Reales!CD51)),CD$190*INDEX(Precio_V,14)*INDEX(IdxPrecio_V,1,MIN(10,CD$173))*(1+V_dPrecio))</f>
        <v>0</v>
      </c>
      <c r="CE215" s="34" t="n">
        <f aca="false">IF(CE$8=1,IF(Reales!$C$51="PYG",IF(CE$10&gt;0,N(Reales!CE51)/CE$10,0),N(Reales!CE51)),CE$190*INDEX(Precio_V,14)*INDEX(IdxPrecio_V,1,MIN(10,CE$173))*(1+V_dPrecio))</f>
        <v>0</v>
      </c>
      <c r="CF215" s="34" t="n">
        <f aca="false">IF(CF$8=1,IF(Reales!$C$51="PYG",IF(CF$10&gt;0,N(Reales!CF51)/CF$10,0),N(Reales!CF51)),CF$190*INDEX(Precio_V,14)*INDEX(IdxPrecio_V,1,MIN(10,CF$173))*(1+V_dPrecio))</f>
        <v>0</v>
      </c>
      <c r="CG215" s="34" t="n">
        <f aca="false">IF(CG$8=1,IF(Reales!$C$51="PYG",IF(CG$10&gt;0,N(Reales!CG51)/CG$10,0),N(Reales!CG51)),CG$190*INDEX(Precio_V,14)*INDEX(IdxPrecio_V,1,MIN(10,CG$173))*(1+V_dPrecio))</f>
        <v>0</v>
      </c>
      <c r="CH215" s="34" t="n">
        <f aca="false">IF(CH$8=1,IF(Reales!$C$51="PYG",IF(CH$10&gt;0,N(Reales!CH51)/CH$10,0),N(Reales!CH51)),CH$190*INDEX(Precio_V,14)*INDEX(IdxPrecio_V,1,MIN(10,CH$173))*(1+V_dPrecio))</f>
        <v>0</v>
      </c>
      <c r="CI215" s="34" t="n">
        <f aca="false">IF(CI$8=1,IF(Reales!$C$51="PYG",IF(CI$10&gt;0,N(Reales!CI51)/CI$10,0),N(Reales!CI51)),CI$190*INDEX(Precio_V,14)*INDEX(IdxPrecio_V,1,MIN(10,CI$173))*(1+V_dPrecio))</f>
        <v>0</v>
      </c>
      <c r="CJ215" s="34" t="n">
        <f aca="false">IF(CJ$8=1,IF(Reales!$C$51="PYG",IF(CJ$10&gt;0,N(Reales!CJ51)/CJ$10,0),N(Reales!CJ51)),CJ$190*INDEX(Precio_V,14)*INDEX(IdxPrecio_V,1,MIN(10,CJ$173))*(1+V_dPrecio))</f>
        <v>0</v>
      </c>
      <c r="CK215" s="34" t="n">
        <f aca="false">IF(CK$8=1,IF(Reales!$C$51="PYG",IF(CK$10&gt;0,N(Reales!CK51)/CK$10,0),N(Reales!CK51)),CK$190*INDEX(Precio_V,14)*INDEX(IdxPrecio_V,1,MIN(10,CK$173))*(1+V_dPrecio))</f>
        <v>0</v>
      </c>
      <c r="CL215" s="34" t="n">
        <f aca="false">IF(CL$8=1,IF(Reales!$C$51="PYG",IF(CL$10&gt;0,N(Reales!CL51)/CL$10,0),N(Reales!CL51)),CL$190*INDEX(Precio_V,14)*INDEX(IdxPrecio_V,1,MIN(10,CL$173))*(1+V_dPrecio))</f>
        <v>0</v>
      </c>
      <c r="CM215" s="34" t="n">
        <f aca="false">IF(CM$8=1,IF(Reales!$C$51="PYG",IF(CM$10&gt;0,N(Reales!CM51)/CM$10,0),N(Reales!CM51)),CM$190*INDEX(Precio_V,14)*INDEX(IdxPrecio_V,1,MIN(10,CM$173))*(1+V_dPrecio))</f>
        <v>0</v>
      </c>
      <c r="CN215" s="34" t="n">
        <f aca="false">IF(CN$8=1,IF(Reales!$C$51="PYG",IF(CN$10&gt;0,N(Reales!CN51)/CN$10,0),N(Reales!CN51)),CN$190*INDEX(Precio_V,14)*INDEX(IdxPrecio_V,1,MIN(10,CN$173))*(1+V_dPrecio))</f>
        <v>0</v>
      </c>
      <c r="CO215" s="34" t="n">
        <f aca="false">IF(CO$8=1,IF(Reales!$C$51="PYG",IF(CO$10&gt;0,N(Reales!CO51)/CO$10,0),N(Reales!CO51)),CO$190*INDEX(Precio_V,14)*INDEX(IdxPrecio_V,1,MIN(10,CO$173))*(1+V_dPrecio))</f>
        <v>0</v>
      </c>
      <c r="CP215" s="34" t="n">
        <f aca="false">IF(CP$8=1,IF(Reales!$C$51="PYG",IF(CP$10&gt;0,N(Reales!CP51)/CP$10,0),N(Reales!CP51)),CP$190*INDEX(Precio_V,14)*INDEX(IdxPrecio_V,1,MIN(10,CP$173))*(1+V_dPrecio))</f>
        <v>0</v>
      </c>
      <c r="CQ215" s="34" t="n">
        <f aca="false">IF(CQ$8=1,IF(Reales!$C$51="PYG",IF(CQ$10&gt;0,N(Reales!CQ51)/CQ$10,0),N(Reales!CQ51)),CQ$190*INDEX(Precio_V,14)*INDEX(IdxPrecio_V,1,MIN(10,CQ$173))*(1+V_dPrecio))</f>
        <v>0</v>
      </c>
      <c r="CR215" s="34" t="n">
        <f aca="false">IF(CR$8=1,IF(Reales!$C$51="PYG",IF(CR$10&gt;0,N(Reales!CR51)/CR$10,0),N(Reales!CR51)),CR$190*INDEX(Precio_V,14)*INDEX(IdxPrecio_V,1,MIN(10,CR$173))*(1+V_dPrecio))</f>
        <v>0</v>
      </c>
      <c r="CS215" s="34" t="n">
        <f aca="false">IF(CS$8=1,IF(Reales!$C$51="PYG",IF(CS$10&gt;0,N(Reales!CS51)/CS$10,0),N(Reales!CS51)),CS$190*INDEX(Precio_V,14)*INDEX(IdxPrecio_V,1,MIN(10,CS$173))*(1+V_dPrecio))</f>
        <v>0</v>
      </c>
      <c r="CT215" s="34" t="n">
        <f aca="false">IF(CT$8=1,IF(Reales!$C$51="PYG",IF(CT$10&gt;0,N(Reales!CT51)/CT$10,0),N(Reales!CT51)),CT$190*INDEX(Precio_V,14)*INDEX(IdxPrecio_V,1,MIN(10,CT$173))*(1+V_dPrecio))</f>
        <v>0</v>
      </c>
      <c r="CU215" s="34" t="n">
        <f aca="false">IF(CU$8=1,IF(Reales!$C$51="PYG",IF(CU$10&gt;0,N(Reales!CU51)/CU$10,0),N(Reales!CU51)),CU$190*INDEX(Precio_V,14)*INDEX(IdxPrecio_V,1,MIN(10,CU$173))*(1+V_dPrecio))</f>
        <v>0</v>
      </c>
      <c r="CV215" s="34" t="n">
        <f aca="false">IF(CV$8=1,IF(Reales!$C$51="PYG",IF(CV$10&gt;0,N(Reales!CV51)/CV$10,0),N(Reales!CV51)),CV$190*INDEX(Precio_V,14)*INDEX(IdxPrecio_V,1,MIN(10,CV$173))*(1+V_dPrecio))</f>
        <v>0</v>
      </c>
      <c r="CW215" s="34" t="n">
        <f aca="false">IF(CW$8=1,IF(Reales!$C$51="PYG",IF(CW$10&gt;0,N(Reales!CW51)/CW$10,0),N(Reales!CW51)),CW$190*INDEX(Precio_V,14)*INDEX(IdxPrecio_V,1,MIN(10,CW$173))*(1+V_dPrecio))</f>
        <v>0</v>
      </c>
      <c r="CX215" s="34" t="n">
        <f aca="false">IF(CX$8=1,IF(Reales!$C$51="PYG",IF(CX$10&gt;0,N(Reales!CX51)/CX$10,0),N(Reales!CX51)),CX$190*INDEX(Precio_V,14)*INDEX(IdxPrecio_V,1,MIN(10,CX$173))*(1+V_dPrecio))</f>
        <v>0</v>
      </c>
      <c r="CY215" s="34" t="n">
        <f aca="false">IF(CY$8=1,IF(Reales!$C$51="PYG",IF(CY$10&gt;0,N(Reales!CY51)/CY$10,0),N(Reales!CY51)),CY$190*INDEX(Precio_V,14)*INDEX(IdxPrecio_V,1,MIN(10,CY$173))*(1+V_dPrecio))</f>
        <v>0</v>
      </c>
      <c r="CZ215" s="34" t="n">
        <f aca="false">IF(CZ$8=1,IF(Reales!$C$51="PYG",IF(CZ$10&gt;0,N(Reales!CZ51)/CZ$10,0),N(Reales!CZ51)),CZ$190*INDEX(Precio_V,14)*INDEX(IdxPrecio_V,1,MIN(10,CZ$173))*(1+V_dPrecio))</f>
        <v>0</v>
      </c>
      <c r="DA215" s="34" t="n">
        <f aca="false">IF(DA$8=1,IF(Reales!$C$51="PYG",IF(DA$10&gt;0,N(Reales!DA51)/DA$10,0),N(Reales!DA51)),DA$190*INDEX(Precio_V,14)*INDEX(IdxPrecio_V,1,MIN(10,DA$173))*(1+V_dPrecio))</f>
        <v>0</v>
      </c>
      <c r="DB215" s="34" t="n">
        <f aca="false">IF(DB$8=1,IF(Reales!$C$51="PYG",IF(DB$10&gt;0,N(Reales!DB51)/DB$10,0),N(Reales!DB51)),DB$190*INDEX(Precio_V,14)*INDEX(IdxPrecio_V,1,MIN(10,DB$173))*(1+V_dPrecio))</f>
        <v>0</v>
      </c>
      <c r="DC215" s="34" t="n">
        <f aca="false">IF(DC$8=1,IF(Reales!$C$51="PYG",IF(DC$10&gt;0,N(Reales!DC51)/DC$10,0),N(Reales!DC51)),DC$190*INDEX(Precio_V,14)*INDEX(IdxPrecio_V,1,MIN(10,DC$173))*(1+V_dPrecio))</f>
        <v>0</v>
      </c>
      <c r="DD215" s="34" t="n">
        <f aca="false">IF(DD$8=1,IF(Reales!$C$51="PYG",IF(DD$10&gt;0,N(Reales!DD51)/DD$10,0),N(Reales!DD51)),DD$190*INDEX(Precio_V,14)*INDEX(IdxPrecio_V,1,MIN(10,DD$173))*(1+V_dPrecio))</f>
        <v>0</v>
      </c>
      <c r="DE215" s="34" t="n">
        <f aca="false">IF(DE$8=1,IF(Reales!$C$51="PYG",IF(DE$10&gt;0,N(Reales!DE51)/DE$10,0),N(Reales!DE51)),DE$190*INDEX(Precio_V,14)*INDEX(IdxPrecio_V,1,MIN(10,DE$173))*(1+V_dPrecio))</f>
        <v>0</v>
      </c>
      <c r="DF215" s="34" t="n">
        <f aca="false">IF(DF$8=1,IF(Reales!$C$51="PYG",IF(DF$10&gt;0,N(Reales!DF51)/DF$10,0),N(Reales!DF51)),DF$190*INDEX(Precio_V,14)*INDEX(IdxPrecio_V,1,MIN(10,DF$173))*(1+V_dPrecio))</f>
        <v>0</v>
      </c>
      <c r="DG215" s="34" t="n">
        <f aca="false">IF(DG$8=1,IF(Reales!$C$51="PYG",IF(DG$10&gt;0,N(Reales!DG51)/DG$10,0),N(Reales!DG51)),DG$190*INDEX(Precio_V,14)*INDEX(IdxPrecio_V,1,MIN(10,DG$173))*(1+V_dPrecio))</f>
        <v>0</v>
      </c>
      <c r="DH215" s="34" t="n">
        <f aca="false">IF(DH$8=1,IF(Reales!$C$51="PYG",IF(DH$10&gt;0,N(Reales!DH51)/DH$10,0),N(Reales!DH51)),DH$190*INDEX(Precio_V,14)*INDEX(IdxPrecio_V,1,MIN(10,DH$173))*(1+V_dPrecio))</f>
        <v>0</v>
      </c>
      <c r="DI215" s="34" t="n">
        <f aca="false">IF(DI$8=1,IF(Reales!$C$51="PYG",IF(DI$10&gt;0,N(Reales!DI51)/DI$10,0),N(Reales!DI51)),DI$190*INDEX(Precio_V,14)*INDEX(IdxPrecio_V,1,MIN(10,DI$173))*(1+V_dPrecio))</f>
        <v>0</v>
      </c>
      <c r="DJ215" s="34" t="n">
        <f aca="false">IF(DJ$8=1,IF(Reales!$C$51="PYG",IF(DJ$10&gt;0,N(Reales!DJ51)/DJ$10,0),N(Reales!DJ51)),DJ$190*INDEX(Precio_V,14)*INDEX(IdxPrecio_V,1,MIN(10,DJ$173))*(1+V_dPrecio))</f>
        <v>0</v>
      </c>
      <c r="DK215" s="34" t="n">
        <f aca="false">IF(DK$8=1,IF(Reales!$C$51="PYG",IF(DK$10&gt;0,N(Reales!DK51)/DK$10,0),N(Reales!DK51)),DK$190*INDEX(Precio_V,14)*INDEX(IdxPrecio_V,1,MIN(10,DK$173))*(1+V_dPrecio))</f>
        <v>0</v>
      </c>
      <c r="DL215" s="34" t="n">
        <f aca="false">IF(DL$8=1,IF(Reales!$C$51="PYG",IF(DL$10&gt;0,N(Reales!DL51)/DL$10,0),N(Reales!DL51)),DL$190*INDEX(Precio_V,14)*INDEX(IdxPrecio_V,1,MIN(10,DL$173))*(1+V_dPrecio))</f>
        <v>0</v>
      </c>
      <c r="DM215" s="34" t="n">
        <f aca="false">IF(DM$8=1,IF(Reales!$C$51="PYG",IF(DM$10&gt;0,N(Reales!DM51)/DM$10,0),N(Reales!DM51)),DM$190*INDEX(Precio_V,14)*INDEX(IdxPrecio_V,1,MIN(10,DM$173))*(1+V_dPrecio))</f>
        <v>0</v>
      </c>
      <c r="DN215" s="34" t="n">
        <f aca="false">IF(DN$8=1,IF(Reales!$C$51="PYG",IF(DN$10&gt;0,N(Reales!DN51)/DN$10,0),N(Reales!DN51)),DN$190*INDEX(Precio_V,14)*INDEX(IdxPrecio_V,1,MIN(10,DN$173))*(1+V_dPrecio))</f>
        <v>0</v>
      </c>
      <c r="DO215" s="34" t="n">
        <f aca="false">IF(DO$8=1,IF(Reales!$C$51="PYG",IF(DO$10&gt;0,N(Reales!DO51)/DO$10,0),N(Reales!DO51)),DO$190*INDEX(Precio_V,14)*INDEX(IdxPrecio_V,1,MIN(10,DO$173))*(1+V_dPrecio))</f>
        <v>0</v>
      </c>
      <c r="DP215" s="34" t="n">
        <f aca="false">IF(DP$8=1,IF(Reales!$C$51="PYG",IF(DP$10&gt;0,N(Reales!DP51)/DP$10,0),N(Reales!DP51)),DP$190*INDEX(Precio_V,14)*INDEX(IdxPrecio_V,1,MIN(10,DP$173))*(1+V_dPrecio))</f>
        <v>0</v>
      </c>
      <c r="DQ215" s="34" t="n">
        <f aca="false">IF(DQ$8=1,IF(Reales!$C$51="PYG",IF(DQ$10&gt;0,N(Reales!DQ51)/DQ$10,0),N(Reales!DQ51)),DQ$190*INDEX(Precio_V,14)*INDEX(IdxPrecio_V,1,MIN(10,DQ$173))*(1+V_dPrecio))</f>
        <v>0</v>
      </c>
      <c r="DR215" s="34" t="n">
        <f aca="false">IF(DR$8=1,IF(Reales!$C$51="PYG",IF(DR$10&gt;0,N(Reales!DR51)/DR$10,0),N(Reales!DR51)),DR$190*INDEX(Precio_V,14)*INDEX(IdxPrecio_V,1,MIN(10,DR$173))*(1+V_dPrecio))</f>
        <v>0</v>
      </c>
      <c r="DS215" s="34" t="n">
        <f aca="false">IF(DS$8=1,IF(Reales!$C$51="PYG",IF(DS$10&gt;0,N(Reales!DS51)/DS$10,0),N(Reales!DS51)),DS$190*INDEX(Precio_V,14)*INDEX(IdxPrecio_V,1,MIN(10,DS$173))*(1+V_dPrecio))</f>
        <v>0</v>
      </c>
      <c r="DT215" s="34" t="n">
        <f aca="false">IF(DT$8=1,IF(Reales!$C$51="PYG",IF(DT$10&gt;0,N(Reales!DT51)/DT$10,0),N(Reales!DT51)),DT$190*INDEX(Precio_V,14)*INDEX(IdxPrecio_V,1,MIN(10,DT$173))*(1+V_dPrecio))</f>
        <v>0</v>
      </c>
      <c r="DU215" s="34" t="n">
        <f aca="false">IF(DU$8=1,IF(Reales!$C$51="PYG",IF(DU$10&gt;0,N(Reales!DU51)/DU$10,0),N(Reales!DU51)),DU$190*INDEX(Precio_V,14)*INDEX(IdxPrecio_V,1,MIN(10,DU$173))*(1+V_dPrecio))</f>
        <v>0</v>
      </c>
      <c r="DV215" s="34" t="n">
        <f aca="false">IF(DV$8=1,IF(Reales!$C$51="PYG",IF(DV$10&gt;0,N(Reales!DV51)/DV$10,0),N(Reales!DV51)),DV$190*INDEX(Precio_V,14)*INDEX(IdxPrecio_V,1,MIN(10,DV$173))*(1+V_dPrecio))</f>
        <v>0</v>
      </c>
      <c r="DW215" s="34" t="n">
        <f aca="false">IF(DW$8=1,IF(Reales!$C$51="PYG",IF(DW$10&gt;0,N(Reales!DW51)/DW$10,0),N(Reales!DW51)),DW$190*INDEX(Precio_V,14)*INDEX(IdxPrecio_V,1,MIN(10,DW$173))*(1+V_dPrecio))</f>
        <v>0</v>
      </c>
      <c r="DX215" s="34" t="n">
        <f aca="false">IF(DX$8=1,IF(Reales!$C$51="PYG",IF(DX$10&gt;0,N(Reales!DX51)/DX$10,0),N(Reales!DX51)),DX$190*INDEX(Precio_V,14)*INDEX(IdxPrecio_V,1,MIN(10,DX$173))*(1+V_dPrecio))</f>
        <v>0</v>
      </c>
      <c r="DY215" s="34" t="n">
        <f aca="false">IF(DY$8=1,IF(Reales!$C$51="PYG",IF(DY$10&gt;0,N(Reales!DY51)/DY$10,0),N(Reales!DY51)),DY$190*INDEX(Precio_V,14)*INDEX(IdxPrecio_V,1,MIN(10,DY$173))*(1+V_dPrecio))</f>
        <v>0</v>
      </c>
      <c r="DZ215" s="34" t="n">
        <f aca="false">IF(DZ$8=1,IF(Reales!$C$51="PYG",IF(DZ$10&gt;0,N(Reales!DZ51)/DZ$10,0),N(Reales!DZ51)),DZ$190*INDEX(Precio_V,14)*INDEX(IdxPrecio_V,1,MIN(10,DZ$173))*(1+V_dPrecio))</f>
        <v>0</v>
      </c>
      <c r="EA215" s="34" t="n">
        <f aca="false">IF(EA$8=1,IF(Reales!$C$51="PYG",IF(EA$10&gt;0,N(Reales!EA51)/EA$10,0),N(Reales!EA51)),EA$190*INDEX(Precio_V,14)*INDEX(IdxPrecio_V,1,MIN(10,EA$173))*(1+V_dPrecio))</f>
        <v>0</v>
      </c>
      <c r="EB215" s="34" t="n">
        <f aca="false">IF(EB$8=1,IF(Reales!$C$51="PYG",IF(EB$10&gt;0,N(Reales!EB51)/EB$10,0),N(Reales!EB51)),EB$190*INDEX(Precio_V,14)*INDEX(IdxPrecio_V,1,MIN(10,EB$173))*(1+V_dPrecio))</f>
        <v>0</v>
      </c>
      <c r="EC215" s="34" t="n">
        <f aca="false">IF(EC$8=1,IF(Reales!$C$51="PYG",IF(EC$10&gt;0,N(Reales!EC51)/EC$10,0),N(Reales!EC51)),EC$190*INDEX(Precio_V,14)*INDEX(IdxPrecio_V,1,MIN(10,EC$173))*(1+V_dPrecio))</f>
        <v>0</v>
      </c>
      <c r="ED215" s="34" t="n">
        <f aca="false">IF(ED$8=1,IF(Reales!$C$51="PYG",IF(ED$10&gt;0,N(Reales!ED51)/ED$10,0),N(Reales!ED51)),ED$190*INDEX(Precio_V,14)*INDEX(IdxPrecio_V,1,MIN(10,ED$173))*(1+V_dPrecio))</f>
        <v>0</v>
      </c>
      <c r="EE215" s="34" t="n">
        <f aca="false">IF(EE$8=1,IF(Reales!$C$51="PYG",IF(EE$10&gt;0,N(Reales!EE51)/EE$10,0),N(Reales!EE51)),EE$190*INDEX(Precio_V,14)*INDEX(IdxPrecio_V,1,MIN(10,EE$173))*(1+V_dPrecio))</f>
        <v>0</v>
      </c>
      <c r="EF215" s="34" t="n">
        <f aca="false">IF(EF$8=1,IF(Reales!$C$51="PYG",IF(EF$10&gt;0,N(Reales!EF51)/EF$10,0),N(Reales!EF51)),EF$190*INDEX(Precio_V,14)*INDEX(IdxPrecio_V,1,MIN(10,EF$173))*(1+V_dPrecio))</f>
        <v>0</v>
      </c>
      <c r="EG215" s="34" t="n">
        <f aca="false">IF(EG$8=1,IF(Reales!$C$51="PYG",IF(EG$10&gt;0,N(Reales!EG51)/EG$10,0),N(Reales!EG51)),EG$190*INDEX(Precio_V,14)*INDEX(IdxPrecio_V,1,MIN(10,EG$173))*(1+V_dPrecio))</f>
        <v>0</v>
      </c>
      <c r="EH215" s="34" t="n">
        <f aca="false">IF(EH$8=1,IF(Reales!$C$51="PYG",IF(EH$10&gt;0,N(Reales!EH51)/EH$10,0),N(Reales!EH51)),EH$190*INDEX(Precio_V,14)*INDEX(IdxPrecio_V,1,MIN(10,EH$173))*(1+V_dPrecio))</f>
        <v>0</v>
      </c>
      <c r="EI215" s="34" t="n">
        <f aca="false">IF(EI$8=1,IF(Reales!$C$51="PYG",IF(EI$10&gt;0,N(Reales!EI51)/EI$10,0),N(Reales!EI51)),EI$190*INDEX(Precio_V,14)*INDEX(IdxPrecio_V,1,MIN(10,EI$173))*(1+V_dPrecio))</f>
        <v>0</v>
      </c>
      <c r="EJ215" s="34" t="n">
        <f aca="false">IF(EJ$8=1,IF(Reales!$C$51="PYG",IF(EJ$10&gt;0,N(Reales!EJ51)/EJ$10,0),N(Reales!EJ51)),EJ$190*INDEX(Precio_V,14)*INDEX(IdxPrecio_V,1,MIN(10,EJ$173))*(1+V_dPrecio))</f>
        <v>0</v>
      </c>
      <c r="EK215" s="34" t="n">
        <f aca="false">IF(EK$8=1,IF(Reales!$C$51="PYG",IF(EK$10&gt;0,N(Reales!EK51)/EK$10,0),N(Reales!EK51)),EK$190*INDEX(Precio_V,14)*INDEX(IdxPrecio_V,1,MIN(10,EK$173))*(1+V_dPrecio))</f>
        <v>0</v>
      </c>
      <c r="EL215" s="34" t="n">
        <f aca="false">IF(EL$8=1,IF(Reales!$C$51="PYG",IF(EL$10&gt;0,N(Reales!EL51)/EL$10,0),N(Reales!EL51)),EL$190*INDEX(Precio_V,14)*INDEX(IdxPrecio_V,1,MIN(10,EL$173))*(1+V_dPrecio))</f>
        <v>0</v>
      </c>
      <c r="EM215" s="34" t="n">
        <f aca="false">IF(EM$8=1,IF(Reales!$C$51="PYG",IF(EM$10&gt;0,N(Reales!EM51)/EM$10,0),N(Reales!EM51)),EM$190*INDEX(Precio_V,14)*INDEX(IdxPrecio_V,1,MIN(10,EM$173))*(1+V_dPrecio))</f>
        <v>0</v>
      </c>
      <c r="EN215" s="34" t="n">
        <f aca="false">IF(EN$8=1,IF(Reales!$C$51="PYG",IF(EN$10&gt;0,N(Reales!EN51)/EN$10,0),N(Reales!EN51)),EN$190*INDEX(Precio_V,14)*INDEX(IdxPrecio_V,1,MIN(10,EN$173))*(1+V_dPrecio))</f>
        <v>0</v>
      </c>
      <c r="EO215" s="34" t="n">
        <f aca="false">IF(EO$8=1,IF(Reales!$C$51="PYG",IF(EO$10&gt;0,N(Reales!EO51)/EO$10,0),N(Reales!EO51)),EO$190*INDEX(Precio_V,14)*INDEX(IdxPrecio_V,1,MIN(10,EO$173))*(1+V_dPrecio))</f>
        <v>0</v>
      </c>
      <c r="EP215" s="34" t="n">
        <f aca="false">IF(EP$8=1,IF(Reales!$C$51="PYG",IF(EP$10&gt;0,N(Reales!EP51)/EP$10,0),N(Reales!EP51)),EP$190*INDEX(Precio_V,14)*INDEX(IdxPrecio_V,1,MIN(10,EP$173))*(1+V_dPrecio))</f>
        <v>0</v>
      </c>
      <c r="EQ215" s="34" t="n">
        <f aca="false">IF(EQ$8=1,IF(Reales!$C$51="PYG",IF(EQ$10&gt;0,N(Reales!EQ51)/EQ$10,0),N(Reales!EQ51)),EQ$190*INDEX(Precio_V,14)*INDEX(IdxPrecio_V,1,MIN(10,EQ$173))*(1+V_dPrecio))</f>
        <v>0</v>
      </c>
      <c r="ER215" s="34" t="n">
        <f aca="false">IF(ER$8=1,IF(Reales!$C$51="PYG",IF(ER$10&gt;0,N(Reales!ER51)/ER$10,0),N(Reales!ER51)),ER$190*INDEX(Precio_V,14)*INDEX(IdxPrecio_V,1,MIN(10,ER$173))*(1+V_dPrecio))</f>
        <v>0</v>
      </c>
      <c r="ES215" s="34" t="n">
        <f aca="false">IF(ES$8=1,IF(Reales!$C$51="PYG",IF(ES$10&gt;0,N(Reales!ES51)/ES$10,0),N(Reales!ES51)),ES$190*INDEX(Precio_V,14)*INDEX(IdxPrecio_V,1,MIN(10,ES$173))*(1+V_dPrecio))</f>
        <v>0</v>
      </c>
    </row>
    <row r="216" customFormat="false" ht="15" hidden="false" customHeight="false" outlineLevel="0" collapsed="false">
      <c r="A216" s="2" t="s">
        <v>858</v>
      </c>
      <c r="B216" s="39" t="str">
        <f aca="false">IF(INDEX(Prod_Nombre,15)="","Producto 15",INDEX(Prod_Nombre,15))&amp;" — ventas USD"</f>
        <v>Producto 15 — ventas USD</v>
      </c>
      <c r="C216" s="6" t="s">
        <v>250</v>
      </c>
      <c r="E216" s="40" t="n">
        <f aca="false">SUM(F216:ES216)</f>
        <v>0</v>
      </c>
      <c r="F216" s="34" t="n">
        <f aca="false">IF(F$8=1,IF(Reales!$C$52="PYG",IF(F$10&gt;0,N(Reales!F52)/F$10,0),N(Reales!F52)),F$191*INDEX(Precio_V,15)*INDEX(IdxPrecio_V,1,MIN(10,F$173))*(1+V_dPrecio))</f>
        <v>0</v>
      </c>
      <c r="G216" s="34" t="n">
        <f aca="false">IF(G$8=1,IF(Reales!$C$52="PYG",IF(G$10&gt;0,N(Reales!G52)/G$10,0),N(Reales!G52)),G$191*INDEX(Precio_V,15)*INDEX(IdxPrecio_V,1,MIN(10,G$173))*(1+V_dPrecio))</f>
        <v>0</v>
      </c>
      <c r="H216" s="34" t="n">
        <f aca="false">IF(H$8=1,IF(Reales!$C$52="PYG",IF(H$10&gt;0,N(Reales!H52)/H$10,0),N(Reales!H52)),H$191*INDEX(Precio_V,15)*INDEX(IdxPrecio_V,1,MIN(10,H$173))*(1+V_dPrecio))</f>
        <v>0</v>
      </c>
      <c r="I216" s="34" t="n">
        <f aca="false">IF(I$8=1,IF(Reales!$C$52="PYG",IF(I$10&gt;0,N(Reales!I52)/I$10,0),N(Reales!I52)),I$191*INDEX(Precio_V,15)*INDEX(IdxPrecio_V,1,MIN(10,I$173))*(1+V_dPrecio))</f>
        <v>0</v>
      </c>
      <c r="J216" s="34" t="n">
        <f aca="false">IF(J$8=1,IF(Reales!$C$52="PYG",IF(J$10&gt;0,N(Reales!J52)/J$10,0),N(Reales!J52)),J$191*INDEX(Precio_V,15)*INDEX(IdxPrecio_V,1,MIN(10,J$173))*(1+V_dPrecio))</f>
        <v>0</v>
      </c>
      <c r="K216" s="34" t="n">
        <f aca="false">IF(K$8=1,IF(Reales!$C$52="PYG",IF(K$10&gt;0,N(Reales!K52)/K$10,0),N(Reales!K52)),K$191*INDEX(Precio_V,15)*INDEX(IdxPrecio_V,1,MIN(10,K$173))*(1+V_dPrecio))</f>
        <v>0</v>
      </c>
      <c r="L216" s="34" t="n">
        <f aca="false">IF(L$8=1,IF(Reales!$C$52="PYG",IF(L$10&gt;0,N(Reales!L52)/L$10,0),N(Reales!L52)),L$191*INDEX(Precio_V,15)*INDEX(IdxPrecio_V,1,MIN(10,L$173))*(1+V_dPrecio))</f>
        <v>0</v>
      </c>
      <c r="M216" s="34" t="n">
        <f aca="false">IF(M$8=1,IF(Reales!$C$52="PYG",IF(M$10&gt;0,N(Reales!M52)/M$10,0),N(Reales!M52)),M$191*INDEX(Precio_V,15)*INDEX(IdxPrecio_V,1,MIN(10,M$173))*(1+V_dPrecio))</f>
        <v>0</v>
      </c>
      <c r="N216" s="34" t="n">
        <f aca="false">IF(N$8=1,IF(Reales!$C$52="PYG",IF(N$10&gt;0,N(Reales!N52)/N$10,0),N(Reales!N52)),N$191*INDEX(Precio_V,15)*INDEX(IdxPrecio_V,1,MIN(10,N$173))*(1+V_dPrecio))</f>
        <v>0</v>
      </c>
      <c r="O216" s="34" t="n">
        <f aca="false">IF(O$8=1,IF(Reales!$C$52="PYG",IF(O$10&gt;0,N(Reales!O52)/O$10,0),N(Reales!O52)),O$191*INDEX(Precio_V,15)*INDEX(IdxPrecio_V,1,MIN(10,O$173))*(1+V_dPrecio))</f>
        <v>0</v>
      </c>
      <c r="P216" s="34" t="n">
        <f aca="false">IF(P$8=1,IF(Reales!$C$52="PYG",IF(P$10&gt;0,N(Reales!P52)/P$10,0),N(Reales!P52)),P$191*INDEX(Precio_V,15)*INDEX(IdxPrecio_V,1,MIN(10,P$173))*(1+V_dPrecio))</f>
        <v>0</v>
      </c>
      <c r="Q216" s="34" t="n">
        <f aca="false">IF(Q$8=1,IF(Reales!$C$52="PYG",IF(Q$10&gt;0,N(Reales!Q52)/Q$10,0),N(Reales!Q52)),Q$191*INDEX(Precio_V,15)*INDEX(IdxPrecio_V,1,MIN(10,Q$173))*(1+V_dPrecio))</f>
        <v>0</v>
      </c>
      <c r="R216" s="34" t="n">
        <f aca="false">IF(R$8=1,IF(Reales!$C$52="PYG",IF(R$10&gt;0,N(Reales!R52)/R$10,0),N(Reales!R52)),R$191*INDEX(Precio_V,15)*INDEX(IdxPrecio_V,1,MIN(10,R$173))*(1+V_dPrecio))</f>
        <v>0</v>
      </c>
      <c r="S216" s="34" t="n">
        <f aca="false">IF(S$8=1,IF(Reales!$C$52="PYG",IF(S$10&gt;0,N(Reales!S52)/S$10,0),N(Reales!S52)),S$191*INDEX(Precio_V,15)*INDEX(IdxPrecio_V,1,MIN(10,S$173))*(1+V_dPrecio))</f>
        <v>0</v>
      </c>
      <c r="T216" s="34" t="n">
        <f aca="false">IF(T$8=1,IF(Reales!$C$52="PYG",IF(T$10&gt;0,N(Reales!T52)/T$10,0),N(Reales!T52)),T$191*INDEX(Precio_V,15)*INDEX(IdxPrecio_V,1,MIN(10,T$173))*(1+V_dPrecio))</f>
        <v>0</v>
      </c>
      <c r="U216" s="34" t="n">
        <f aca="false">IF(U$8=1,IF(Reales!$C$52="PYG",IF(U$10&gt;0,N(Reales!U52)/U$10,0),N(Reales!U52)),U$191*INDEX(Precio_V,15)*INDEX(IdxPrecio_V,1,MIN(10,U$173))*(1+V_dPrecio))</f>
        <v>0</v>
      </c>
      <c r="V216" s="34" t="n">
        <f aca="false">IF(V$8=1,IF(Reales!$C$52="PYG",IF(V$10&gt;0,N(Reales!V52)/V$10,0),N(Reales!V52)),V$191*INDEX(Precio_V,15)*INDEX(IdxPrecio_V,1,MIN(10,V$173))*(1+V_dPrecio))</f>
        <v>0</v>
      </c>
      <c r="W216" s="34" t="n">
        <f aca="false">IF(W$8=1,IF(Reales!$C$52="PYG",IF(W$10&gt;0,N(Reales!W52)/W$10,0),N(Reales!W52)),W$191*INDEX(Precio_V,15)*INDEX(IdxPrecio_V,1,MIN(10,W$173))*(1+V_dPrecio))</f>
        <v>0</v>
      </c>
      <c r="X216" s="34" t="n">
        <f aca="false">IF(X$8=1,IF(Reales!$C$52="PYG",IF(X$10&gt;0,N(Reales!X52)/X$10,0),N(Reales!X52)),X$191*INDEX(Precio_V,15)*INDEX(IdxPrecio_V,1,MIN(10,X$173))*(1+V_dPrecio))</f>
        <v>0</v>
      </c>
      <c r="Y216" s="34" t="n">
        <f aca="false">IF(Y$8=1,IF(Reales!$C$52="PYG",IF(Y$10&gt;0,N(Reales!Y52)/Y$10,0),N(Reales!Y52)),Y$191*INDEX(Precio_V,15)*INDEX(IdxPrecio_V,1,MIN(10,Y$173))*(1+V_dPrecio))</f>
        <v>0</v>
      </c>
      <c r="Z216" s="34" t="n">
        <f aca="false">IF(Z$8=1,IF(Reales!$C$52="PYG",IF(Z$10&gt;0,N(Reales!Z52)/Z$10,0),N(Reales!Z52)),Z$191*INDEX(Precio_V,15)*INDEX(IdxPrecio_V,1,MIN(10,Z$173))*(1+V_dPrecio))</f>
        <v>0</v>
      </c>
      <c r="AA216" s="34" t="n">
        <f aca="false">IF(AA$8=1,IF(Reales!$C$52="PYG",IF(AA$10&gt;0,N(Reales!AA52)/AA$10,0),N(Reales!AA52)),AA$191*INDEX(Precio_V,15)*INDEX(IdxPrecio_V,1,MIN(10,AA$173))*(1+V_dPrecio))</f>
        <v>0</v>
      </c>
      <c r="AB216" s="34" t="n">
        <f aca="false">IF(AB$8=1,IF(Reales!$C$52="PYG",IF(AB$10&gt;0,N(Reales!AB52)/AB$10,0),N(Reales!AB52)),AB$191*INDEX(Precio_V,15)*INDEX(IdxPrecio_V,1,MIN(10,AB$173))*(1+V_dPrecio))</f>
        <v>0</v>
      </c>
      <c r="AC216" s="34" t="n">
        <f aca="false">IF(AC$8=1,IF(Reales!$C$52="PYG",IF(AC$10&gt;0,N(Reales!AC52)/AC$10,0),N(Reales!AC52)),AC$191*INDEX(Precio_V,15)*INDEX(IdxPrecio_V,1,MIN(10,AC$173))*(1+V_dPrecio))</f>
        <v>0</v>
      </c>
      <c r="AD216" s="34" t="n">
        <f aca="false">IF(AD$8=1,IF(Reales!$C$52="PYG",IF(AD$10&gt;0,N(Reales!AD52)/AD$10,0),N(Reales!AD52)),AD$191*INDEX(Precio_V,15)*INDEX(IdxPrecio_V,1,MIN(10,AD$173))*(1+V_dPrecio))</f>
        <v>0</v>
      </c>
      <c r="AE216" s="34" t="n">
        <f aca="false">IF(AE$8=1,IF(Reales!$C$52="PYG",IF(AE$10&gt;0,N(Reales!AE52)/AE$10,0),N(Reales!AE52)),AE$191*INDEX(Precio_V,15)*INDEX(IdxPrecio_V,1,MIN(10,AE$173))*(1+V_dPrecio))</f>
        <v>0</v>
      </c>
      <c r="AF216" s="34" t="n">
        <f aca="false">IF(AF$8=1,IF(Reales!$C$52="PYG",IF(AF$10&gt;0,N(Reales!AF52)/AF$10,0),N(Reales!AF52)),AF$191*INDEX(Precio_V,15)*INDEX(IdxPrecio_V,1,MIN(10,AF$173))*(1+V_dPrecio))</f>
        <v>0</v>
      </c>
      <c r="AG216" s="34" t="n">
        <f aca="false">IF(AG$8=1,IF(Reales!$C$52="PYG",IF(AG$10&gt;0,N(Reales!AG52)/AG$10,0),N(Reales!AG52)),AG$191*INDEX(Precio_V,15)*INDEX(IdxPrecio_V,1,MIN(10,AG$173))*(1+V_dPrecio))</f>
        <v>0</v>
      </c>
      <c r="AH216" s="34" t="n">
        <f aca="false">IF(AH$8=1,IF(Reales!$C$52="PYG",IF(AH$10&gt;0,N(Reales!AH52)/AH$10,0),N(Reales!AH52)),AH$191*INDEX(Precio_V,15)*INDEX(IdxPrecio_V,1,MIN(10,AH$173))*(1+V_dPrecio))</f>
        <v>0</v>
      </c>
      <c r="AI216" s="34" t="n">
        <f aca="false">IF(AI$8=1,IF(Reales!$C$52="PYG",IF(AI$10&gt;0,N(Reales!AI52)/AI$10,0),N(Reales!AI52)),AI$191*INDEX(Precio_V,15)*INDEX(IdxPrecio_V,1,MIN(10,AI$173))*(1+V_dPrecio))</f>
        <v>0</v>
      </c>
      <c r="AJ216" s="34" t="n">
        <f aca="false">IF(AJ$8=1,IF(Reales!$C$52="PYG",IF(AJ$10&gt;0,N(Reales!AJ52)/AJ$10,0),N(Reales!AJ52)),AJ$191*INDEX(Precio_V,15)*INDEX(IdxPrecio_V,1,MIN(10,AJ$173))*(1+V_dPrecio))</f>
        <v>0</v>
      </c>
      <c r="AK216" s="34" t="n">
        <f aca="false">IF(AK$8=1,IF(Reales!$C$52="PYG",IF(AK$10&gt;0,N(Reales!AK52)/AK$10,0),N(Reales!AK52)),AK$191*INDEX(Precio_V,15)*INDEX(IdxPrecio_V,1,MIN(10,AK$173))*(1+V_dPrecio))</f>
        <v>0</v>
      </c>
      <c r="AL216" s="34" t="n">
        <f aca="false">IF(AL$8=1,IF(Reales!$C$52="PYG",IF(AL$10&gt;0,N(Reales!AL52)/AL$10,0),N(Reales!AL52)),AL$191*INDEX(Precio_V,15)*INDEX(IdxPrecio_V,1,MIN(10,AL$173))*(1+V_dPrecio))</f>
        <v>0</v>
      </c>
      <c r="AM216" s="34" t="n">
        <f aca="false">IF(AM$8=1,IF(Reales!$C$52="PYG",IF(AM$10&gt;0,N(Reales!AM52)/AM$10,0),N(Reales!AM52)),AM$191*INDEX(Precio_V,15)*INDEX(IdxPrecio_V,1,MIN(10,AM$173))*(1+V_dPrecio))</f>
        <v>0</v>
      </c>
      <c r="AN216" s="34" t="n">
        <f aca="false">IF(AN$8=1,IF(Reales!$C$52="PYG",IF(AN$10&gt;0,N(Reales!AN52)/AN$10,0),N(Reales!AN52)),AN$191*INDEX(Precio_V,15)*INDEX(IdxPrecio_V,1,MIN(10,AN$173))*(1+V_dPrecio))</f>
        <v>0</v>
      </c>
      <c r="AO216" s="34" t="n">
        <f aca="false">IF(AO$8=1,IF(Reales!$C$52="PYG",IF(AO$10&gt;0,N(Reales!AO52)/AO$10,0),N(Reales!AO52)),AO$191*INDEX(Precio_V,15)*INDEX(IdxPrecio_V,1,MIN(10,AO$173))*(1+V_dPrecio))</f>
        <v>0</v>
      </c>
      <c r="AP216" s="34" t="n">
        <f aca="false">IF(AP$8=1,IF(Reales!$C$52="PYG",IF(AP$10&gt;0,N(Reales!AP52)/AP$10,0),N(Reales!AP52)),AP$191*INDEX(Precio_V,15)*INDEX(IdxPrecio_V,1,MIN(10,AP$173))*(1+V_dPrecio))</f>
        <v>0</v>
      </c>
      <c r="AQ216" s="34" t="n">
        <f aca="false">IF(AQ$8=1,IF(Reales!$C$52="PYG",IF(AQ$10&gt;0,N(Reales!AQ52)/AQ$10,0),N(Reales!AQ52)),AQ$191*INDEX(Precio_V,15)*INDEX(IdxPrecio_V,1,MIN(10,AQ$173))*(1+V_dPrecio))</f>
        <v>0</v>
      </c>
      <c r="AR216" s="34" t="n">
        <f aca="false">IF(AR$8=1,IF(Reales!$C$52="PYG",IF(AR$10&gt;0,N(Reales!AR52)/AR$10,0),N(Reales!AR52)),AR$191*INDEX(Precio_V,15)*INDEX(IdxPrecio_V,1,MIN(10,AR$173))*(1+V_dPrecio))</f>
        <v>0</v>
      </c>
      <c r="AS216" s="34" t="n">
        <f aca="false">IF(AS$8=1,IF(Reales!$C$52="PYG",IF(AS$10&gt;0,N(Reales!AS52)/AS$10,0),N(Reales!AS52)),AS$191*INDEX(Precio_V,15)*INDEX(IdxPrecio_V,1,MIN(10,AS$173))*(1+V_dPrecio))</f>
        <v>0</v>
      </c>
      <c r="AT216" s="34" t="n">
        <f aca="false">IF(AT$8=1,IF(Reales!$C$52="PYG",IF(AT$10&gt;0,N(Reales!AT52)/AT$10,0),N(Reales!AT52)),AT$191*INDEX(Precio_V,15)*INDEX(IdxPrecio_V,1,MIN(10,AT$173))*(1+V_dPrecio))</f>
        <v>0</v>
      </c>
      <c r="AU216" s="34" t="n">
        <f aca="false">IF(AU$8=1,IF(Reales!$C$52="PYG",IF(AU$10&gt;0,N(Reales!AU52)/AU$10,0),N(Reales!AU52)),AU$191*INDEX(Precio_V,15)*INDEX(IdxPrecio_V,1,MIN(10,AU$173))*(1+V_dPrecio))</f>
        <v>0</v>
      </c>
      <c r="AV216" s="34" t="n">
        <f aca="false">IF(AV$8=1,IF(Reales!$C$52="PYG",IF(AV$10&gt;0,N(Reales!AV52)/AV$10,0),N(Reales!AV52)),AV$191*INDEX(Precio_V,15)*INDEX(IdxPrecio_V,1,MIN(10,AV$173))*(1+V_dPrecio))</f>
        <v>0</v>
      </c>
      <c r="AW216" s="34" t="n">
        <f aca="false">IF(AW$8=1,IF(Reales!$C$52="PYG",IF(AW$10&gt;0,N(Reales!AW52)/AW$10,0),N(Reales!AW52)),AW$191*INDEX(Precio_V,15)*INDEX(IdxPrecio_V,1,MIN(10,AW$173))*(1+V_dPrecio))</f>
        <v>0</v>
      </c>
      <c r="AX216" s="34" t="n">
        <f aca="false">IF(AX$8=1,IF(Reales!$C$52="PYG",IF(AX$10&gt;0,N(Reales!AX52)/AX$10,0),N(Reales!AX52)),AX$191*INDEX(Precio_V,15)*INDEX(IdxPrecio_V,1,MIN(10,AX$173))*(1+V_dPrecio))</f>
        <v>0</v>
      </c>
      <c r="AY216" s="34" t="n">
        <f aca="false">IF(AY$8=1,IF(Reales!$C$52="PYG",IF(AY$10&gt;0,N(Reales!AY52)/AY$10,0),N(Reales!AY52)),AY$191*INDEX(Precio_V,15)*INDEX(IdxPrecio_V,1,MIN(10,AY$173))*(1+V_dPrecio))</f>
        <v>0</v>
      </c>
      <c r="AZ216" s="34" t="n">
        <f aca="false">IF(AZ$8=1,IF(Reales!$C$52="PYG",IF(AZ$10&gt;0,N(Reales!AZ52)/AZ$10,0),N(Reales!AZ52)),AZ$191*INDEX(Precio_V,15)*INDEX(IdxPrecio_V,1,MIN(10,AZ$173))*(1+V_dPrecio))</f>
        <v>0</v>
      </c>
      <c r="BA216" s="34" t="n">
        <f aca="false">IF(BA$8=1,IF(Reales!$C$52="PYG",IF(BA$10&gt;0,N(Reales!BA52)/BA$10,0),N(Reales!BA52)),BA$191*INDEX(Precio_V,15)*INDEX(IdxPrecio_V,1,MIN(10,BA$173))*(1+V_dPrecio))</f>
        <v>0</v>
      </c>
      <c r="BB216" s="34" t="n">
        <f aca="false">IF(BB$8=1,IF(Reales!$C$52="PYG",IF(BB$10&gt;0,N(Reales!BB52)/BB$10,0),N(Reales!BB52)),BB$191*INDEX(Precio_V,15)*INDEX(IdxPrecio_V,1,MIN(10,BB$173))*(1+V_dPrecio))</f>
        <v>0</v>
      </c>
      <c r="BC216" s="34" t="n">
        <f aca="false">IF(BC$8=1,IF(Reales!$C$52="PYG",IF(BC$10&gt;0,N(Reales!BC52)/BC$10,0),N(Reales!BC52)),BC$191*INDEX(Precio_V,15)*INDEX(IdxPrecio_V,1,MIN(10,BC$173))*(1+V_dPrecio))</f>
        <v>0</v>
      </c>
      <c r="BD216" s="34" t="n">
        <f aca="false">IF(BD$8=1,IF(Reales!$C$52="PYG",IF(BD$10&gt;0,N(Reales!BD52)/BD$10,0),N(Reales!BD52)),BD$191*INDEX(Precio_V,15)*INDEX(IdxPrecio_V,1,MIN(10,BD$173))*(1+V_dPrecio))</f>
        <v>0</v>
      </c>
      <c r="BE216" s="34" t="n">
        <f aca="false">IF(BE$8=1,IF(Reales!$C$52="PYG",IF(BE$10&gt;0,N(Reales!BE52)/BE$10,0),N(Reales!BE52)),BE$191*INDEX(Precio_V,15)*INDEX(IdxPrecio_V,1,MIN(10,BE$173))*(1+V_dPrecio))</f>
        <v>0</v>
      </c>
      <c r="BF216" s="34" t="n">
        <f aca="false">IF(BF$8=1,IF(Reales!$C$52="PYG",IF(BF$10&gt;0,N(Reales!BF52)/BF$10,0),N(Reales!BF52)),BF$191*INDEX(Precio_V,15)*INDEX(IdxPrecio_V,1,MIN(10,BF$173))*(1+V_dPrecio))</f>
        <v>0</v>
      </c>
      <c r="BG216" s="34" t="n">
        <f aca="false">IF(BG$8=1,IF(Reales!$C$52="PYG",IF(BG$10&gt;0,N(Reales!BG52)/BG$10,0),N(Reales!BG52)),BG$191*INDEX(Precio_V,15)*INDEX(IdxPrecio_V,1,MIN(10,BG$173))*(1+V_dPrecio))</f>
        <v>0</v>
      </c>
      <c r="BH216" s="34" t="n">
        <f aca="false">IF(BH$8=1,IF(Reales!$C$52="PYG",IF(BH$10&gt;0,N(Reales!BH52)/BH$10,0),N(Reales!BH52)),BH$191*INDEX(Precio_V,15)*INDEX(IdxPrecio_V,1,MIN(10,BH$173))*(1+V_dPrecio))</f>
        <v>0</v>
      </c>
      <c r="BI216" s="34" t="n">
        <f aca="false">IF(BI$8=1,IF(Reales!$C$52="PYG",IF(BI$10&gt;0,N(Reales!BI52)/BI$10,0),N(Reales!BI52)),BI$191*INDEX(Precio_V,15)*INDEX(IdxPrecio_V,1,MIN(10,BI$173))*(1+V_dPrecio))</f>
        <v>0</v>
      </c>
      <c r="BJ216" s="34" t="n">
        <f aca="false">IF(BJ$8=1,IF(Reales!$C$52="PYG",IF(BJ$10&gt;0,N(Reales!BJ52)/BJ$10,0),N(Reales!BJ52)),BJ$191*INDEX(Precio_V,15)*INDEX(IdxPrecio_V,1,MIN(10,BJ$173))*(1+V_dPrecio))</f>
        <v>0</v>
      </c>
      <c r="BK216" s="34" t="n">
        <f aca="false">IF(BK$8=1,IF(Reales!$C$52="PYG",IF(BK$10&gt;0,N(Reales!BK52)/BK$10,0),N(Reales!BK52)),BK$191*INDEX(Precio_V,15)*INDEX(IdxPrecio_V,1,MIN(10,BK$173))*(1+V_dPrecio))</f>
        <v>0</v>
      </c>
      <c r="BL216" s="34" t="n">
        <f aca="false">IF(BL$8=1,IF(Reales!$C$52="PYG",IF(BL$10&gt;0,N(Reales!BL52)/BL$10,0),N(Reales!BL52)),BL$191*INDEX(Precio_V,15)*INDEX(IdxPrecio_V,1,MIN(10,BL$173))*(1+V_dPrecio))</f>
        <v>0</v>
      </c>
      <c r="BM216" s="34" t="n">
        <f aca="false">IF(BM$8=1,IF(Reales!$C$52="PYG",IF(BM$10&gt;0,N(Reales!BM52)/BM$10,0),N(Reales!BM52)),BM$191*INDEX(Precio_V,15)*INDEX(IdxPrecio_V,1,MIN(10,BM$173))*(1+V_dPrecio))</f>
        <v>0</v>
      </c>
      <c r="BN216" s="34" t="n">
        <f aca="false">IF(BN$8=1,IF(Reales!$C$52="PYG",IF(BN$10&gt;0,N(Reales!BN52)/BN$10,0),N(Reales!BN52)),BN$191*INDEX(Precio_V,15)*INDEX(IdxPrecio_V,1,MIN(10,BN$173))*(1+V_dPrecio))</f>
        <v>0</v>
      </c>
      <c r="BO216" s="34" t="n">
        <f aca="false">IF(BO$8=1,IF(Reales!$C$52="PYG",IF(BO$10&gt;0,N(Reales!BO52)/BO$10,0),N(Reales!BO52)),BO$191*INDEX(Precio_V,15)*INDEX(IdxPrecio_V,1,MIN(10,BO$173))*(1+V_dPrecio))</f>
        <v>0</v>
      </c>
      <c r="BP216" s="34" t="n">
        <f aca="false">IF(BP$8=1,IF(Reales!$C$52="PYG",IF(BP$10&gt;0,N(Reales!BP52)/BP$10,0),N(Reales!BP52)),BP$191*INDEX(Precio_V,15)*INDEX(IdxPrecio_V,1,MIN(10,BP$173))*(1+V_dPrecio))</f>
        <v>0</v>
      </c>
      <c r="BQ216" s="34" t="n">
        <f aca="false">IF(BQ$8=1,IF(Reales!$C$52="PYG",IF(BQ$10&gt;0,N(Reales!BQ52)/BQ$10,0),N(Reales!BQ52)),BQ$191*INDEX(Precio_V,15)*INDEX(IdxPrecio_V,1,MIN(10,BQ$173))*(1+V_dPrecio))</f>
        <v>0</v>
      </c>
      <c r="BR216" s="34" t="n">
        <f aca="false">IF(BR$8=1,IF(Reales!$C$52="PYG",IF(BR$10&gt;0,N(Reales!BR52)/BR$10,0),N(Reales!BR52)),BR$191*INDEX(Precio_V,15)*INDEX(IdxPrecio_V,1,MIN(10,BR$173))*(1+V_dPrecio))</f>
        <v>0</v>
      </c>
      <c r="BS216" s="34" t="n">
        <f aca="false">IF(BS$8=1,IF(Reales!$C$52="PYG",IF(BS$10&gt;0,N(Reales!BS52)/BS$10,0),N(Reales!BS52)),BS$191*INDEX(Precio_V,15)*INDEX(IdxPrecio_V,1,MIN(10,BS$173))*(1+V_dPrecio))</f>
        <v>0</v>
      </c>
      <c r="BT216" s="34" t="n">
        <f aca="false">IF(BT$8=1,IF(Reales!$C$52="PYG",IF(BT$10&gt;0,N(Reales!BT52)/BT$10,0),N(Reales!BT52)),BT$191*INDEX(Precio_V,15)*INDEX(IdxPrecio_V,1,MIN(10,BT$173))*(1+V_dPrecio))</f>
        <v>0</v>
      </c>
      <c r="BU216" s="34" t="n">
        <f aca="false">IF(BU$8=1,IF(Reales!$C$52="PYG",IF(BU$10&gt;0,N(Reales!BU52)/BU$10,0),N(Reales!BU52)),BU$191*INDEX(Precio_V,15)*INDEX(IdxPrecio_V,1,MIN(10,BU$173))*(1+V_dPrecio))</f>
        <v>0</v>
      </c>
      <c r="BV216" s="34" t="n">
        <f aca="false">IF(BV$8=1,IF(Reales!$C$52="PYG",IF(BV$10&gt;0,N(Reales!BV52)/BV$10,0),N(Reales!BV52)),BV$191*INDEX(Precio_V,15)*INDEX(IdxPrecio_V,1,MIN(10,BV$173))*(1+V_dPrecio))</f>
        <v>0</v>
      </c>
      <c r="BW216" s="34" t="n">
        <f aca="false">IF(BW$8=1,IF(Reales!$C$52="PYG",IF(BW$10&gt;0,N(Reales!BW52)/BW$10,0),N(Reales!BW52)),BW$191*INDEX(Precio_V,15)*INDEX(IdxPrecio_V,1,MIN(10,BW$173))*(1+V_dPrecio))</f>
        <v>0</v>
      </c>
      <c r="BX216" s="34" t="n">
        <f aca="false">IF(BX$8=1,IF(Reales!$C$52="PYG",IF(BX$10&gt;0,N(Reales!BX52)/BX$10,0),N(Reales!BX52)),BX$191*INDEX(Precio_V,15)*INDEX(IdxPrecio_V,1,MIN(10,BX$173))*(1+V_dPrecio))</f>
        <v>0</v>
      </c>
      <c r="BY216" s="34" t="n">
        <f aca="false">IF(BY$8=1,IF(Reales!$C$52="PYG",IF(BY$10&gt;0,N(Reales!BY52)/BY$10,0),N(Reales!BY52)),BY$191*INDEX(Precio_V,15)*INDEX(IdxPrecio_V,1,MIN(10,BY$173))*(1+V_dPrecio))</f>
        <v>0</v>
      </c>
      <c r="BZ216" s="34" t="n">
        <f aca="false">IF(BZ$8=1,IF(Reales!$C$52="PYG",IF(BZ$10&gt;0,N(Reales!BZ52)/BZ$10,0),N(Reales!BZ52)),BZ$191*INDEX(Precio_V,15)*INDEX(IdxPrecio_V,1,MIN(10,BZ$173))*(1+V_dPrecio))</f>
        <v>0</v>
      </c>
      <c r="CA216" s="34" t="n">
        <f aca="false">IF(CA$8=1,IF(Reales!$C$52="PYG",IF(CA$10&gt;0,N(Reales!CA52)/CA$10,0),N(Reales!CA52)),CA$191*INDEX(Precio_V,15)*INDEX(IdxPrecio_V,1,MIN(10,CA$173))*(1+V_dPrecio))</f>
        <v>0</v>
      </c>
      <c r="CB216" s="34" t="n">
        <f aca="false">IF(CB$8=1,IF(Reales!$C$52="PYG",IF(CB$10&gt;0,N(Reales!CB52)/CB$10,0),N(Reales!CB52)),CB$191*INDEX(Precio_V,15)*INDEX(IdxPrecio_V,1,MIN(10,CB$173))*(1+V_dPrecio))</f>
        <v>0</v>
      </c>
      <c r="CC216" s="34" t="n">
        <f aca="false">IF(CC$8=1,IF(Reales!$C$52="PYG",IF(CC$10&gt;0,N(Reales!CC52)/CC$10,0),N(Reales!CC52)),CC$191*INDEX(Precio_V,15)*INDEX(IdxPrecio_V,1,MIN(10,CC$173))*(1+V_dPrecio))</f>
        <v>0</v>
      </c>
      <c r="CD216" s="34" t="n">
        <f aca="false">IF(CD$8=1,IF(Reales!$C$52="PYG",IF(CD$10&gt;0,N(Reales!CD52)/CD$10,0),N(Reales!CD52)),CD$191*INDEX(Precio_V,15)*INDEX(IdxPrecio_V,1,MIN(10,CD$173))*(1+V_dPrecio))</f>
        <v>0</v>
      </c>
      <c r="CE216" s="34" t="n">
        <f aca="false">IF(CE$8=1,IF(Reales!$C$52="PYG",IF(CE$10&gt;0,N(Reales!CE52)/CE$10,0),N(Reales!CE52)),CE$191*INDEX(Precio_V,15)*INDEX(IdxPrecio_V,1,MIN(10,CE$173))*(1+V_dPrecio))</f>
        <v>0</v>
      </c>
      <c r="CF216" s="34" t="n">
        <f aca="false">IF(CF$8=1,IF(Reales!$C$52="PYG",IF(CF$10&gt;0,N(Reales!CF52)/CF$10,0),N(Reales!CF52)),CF$191*INDEX(Precio_V,15)*INDEX(IdxPrecio_V,1,MIN(10,CF$173))*(1+V_dPrecio))</f>
        <v>0</v>
      </c>
      <c r="CG216" s="34" t="n">
        <f aca="false">IF(CG$8=1,IF(Reales!$C$52="PYG",IF(CG$10&gt;0,N(Reales!CG52)/CG$10,0),N(Reales!CG52)),CG$191*INDEX(Precio_V,15)*INDEX(IdxPrecio_V,1,MIN(10,CG$173))*(1+V_dPrecio))</f>
        <v>0</v>
      </c>
      <c r="CH216" s="34" t="n">
        <f aca="false">IF(CH$8=1,IF(Reales!$C$52="PYG",IF(CH$10&gt;0,N(Reales!CH52)/CH$10,0),N(Reales!CH52)),CH$191*INDEX(Precio_V,15)*INDEX(IdxPrecio_V,1,MIN(10,CH$173))*(1+V_dPrecio))</f>
        <v>0</v>
      </c>
      <c r="CI216" s="34" t="n">
        <f aca="false">IF(CI$8=1,IF(Reales!$C$52="PYG",IF(CI$10&gt;0,N(Reales!CI52)/CI$10,0),N(Reales!CI52)),CI$191*INDEX(Precio_V,15)*INDEX(IdxPrecio_V,1,MIN(10,CI$173))*(1+V_dPrecio))</f>
        <v>0</v>
      </c>
      <c r="CJ216" s="34" t="n">
        <f aca="false">IF(CJ$8=1,IF(Reales!$C$52="PYG",IF(CJ$10&gt;0,N(Reales!CJ52)/CJ$10,0),N(Reales!CJ52)),CJ$191*INDEX(Precio_V,15)*INDEX(IdxPrecio_V,1,MIN(10,CJ$173))*(1+V_dPrecio))</f>
        <v>0</v>
      </c>
      <c r="CK216" s="34" t="n">
        <f aca="false">IF(CK$8=1,IF(Reales!$C$52="PYG",IF(CK$10&gt;0,N(Reales!CK52)/CK$10,0),N(Reales!CK52)),CK$191*INDEX(Precio_V,15)*INDEX(IdxPrecio_V,1,MIN(10,CK$173))*(1+V_dPrecio))</f>
        <v>0</v>
      </c>
      <c r="CL216" s="34" t="n">
        <f aca="false">IF(CL$8=1,IF(Reales!$C$52="PYG",IF(CL$10&gt;0,N(Reales!CL52)/CL$10,0),N(Reales!CL52)),CL$191*INDEX(Precio_V,15)*INDEX(IdxPrecio_V,1,MIN(10,CL$173))*(1+V_dPrecio))</f>
        <v>0</v>
      </c>
      <c r="CM216" s="34" t="n">
        <f aca="false">IF(CM$8=1,IF(Reales!$C$52="PYG",IF(CM$10&gt;0,N(Reales!CM52)/CM$10,0),N(Reales!CM52)),CM$191*INDEX(Precio_V,15)*INDEX(IdxPrecio_V,1,MIN(10,CM$173))*(1+V_dPrecio))</f>
        <v>0</v>
      </c>
      <c r="CN216" s="34" t="n">
        <f aca="false">IF(CN$8=1,IF(Reales!$C$52="PYG",IF(CN$10&gt;0,N(Reales!CN52)/CN$10,0),N(Reales!CN52)),CN$191*INDEX(Precio_V,15)*INDEX(IdxPrecio_V,1,MIN(10,CN$173))*(1+V_dPrecio))</f>
        <v>0</v>
      </c>
      <c r="CO216" s="34" t="n">
        <f aca="false">IF(CO$8=1,IF(Reales!$C$52="PYG",IF(CO$10&gt;0,N(Reales!CO52)/CO$10,0),N(Reales!CO52)),CO$191*INDEX(Precio_V,15)*INDEX(IdxPrecio_V,1,MIN(10,CO$173))*(1+V_dPrecio))</f>
        <v>0</v>
      </c>
      <c r="CP216" s="34" t="n">
        <f aca="false">IF(CP$8=1,IF(Reales!$C$52="PYG",IF(CP$10&gt;0,N(Reales!CP52)/CP$10,0),N(Reales!CP52)),CP$191*INDEX(Precio_V,15)*INDEX(IdxPrecio_V,1,MIN(10,CP$173))*(1+V_dPrecio))</f>
        <v>0</v>
      </c>
      <c r="CQ216" s="34" t="n">
        <f aca="false">IF(CQ$8=1,IF(Reales!$C$52="PYG",IF(CQ$10&gt;0,N(Reales!CQ52)/CQ$10,0),N(Reales!CQ52)),CQ$191*INDEX(Precio_V,15)*INDEX(IdxPrecio_V,1,MIN(10,CQ$173))*(1+V_dPrecio))</f>
        <v>0</v>
      </c>
      <c r="CR216" s="34" t="n">
        <f aca="false">IF(CR$8=1,IF(Reales!$C$52="PYG",IF(CR$10&gt;0,N(Reales!CR52)/CR$10,0),N(Reales!CR52)),CR$191*INDEX(Precio_V,15)*INDEX(IdxPrecio_V,1,MIN(10,CR$173))*(1+V_dPrecio))</f>
        <v>0</v>
      </c>
      <c r="CS216" s="34" t="n">
        <f aca="false">IF(CS$8=1,IF(Reales!$C$52="PYG",IF(CS$10&gt;0,N(Reales!CS52)/CS$10,0),N(Reales!CS52)),CS$191*INDEX(Precio_V,15)*INDEX(IdxPrecio_V,1,MIN(10,CS$173))*(1+V_dPrecio))</f>
        <v>0</v>
      </c>
      <c r="CT216" s="34" t="n">
        <f aca="false">IF(CT$8=1,IF(Reales!$C$52="PYG",IF(CT$10&gt;0,N(Reales!CT52)/CT$10,0),N(Reales!CT52)),CT$191*INDEX(Precio_V,15)*INDEX(IdxPrecio_V,1,MIN(10,CT$173))*(1+V_dPrecio))</f>
        <v>0</v>
      </c>
      <c r="CU216" s="34" t="n">
        <f aca="false">IF(CU$8=1,IF(Reales!$C$52="PYG",IF(CU$10&gt;0,N(Reales!CU52)/CU$10,0),N(Reales!CU52)),CU$191*INDEX(Precio_V,15)*INDEX(IdxPrecio_V,1,MIN(10,CU$173))*(1+V_dPrecio))</f>
        <v>0</v>
      </c>
      <c r="CV216" s="34" t="n">
        <f aca="false">IF(CV$8=1,IF(Reales!$C$52="PYG",IF(CV$10&gt;0,N(Reales!CV52)/CV$10,0),N(Reales!CV52)),CV$191*INDEX(Precio_V,15)*INDEX(IdxPrecio_V,1,MIN(10,CV$173))*(1+V_dPrecio))</f>
        <v>0</v>
      </c>
      <c r="CW216" s="34" t="n">
        <f aca="false">IF(CW$8=1,IF(Reales!$C$52="PYG",IF(CW$10&gt;0,N(Reales!CW52)/CW$10,0),N(Reales!CW52)),CW$191*INDEX(Precio_V,15)*INDEX(IdxPrecio_V,1,MIN(10,CW$173))*(1+V_dPrecio))</f>
        <v>0</v>
      </c>
      <c r="CX216" s="34" t="n">
        <f aca="false">IF(CX$8=1,IF(Reales!$C$52="PYG",IF(CX$10&gt;0,N(Reales!CX52)/CX$10,0),N(Reales!CX52)),CX$191*INDEX(Precio_V,15)*INDEX(IdxPrecio_V,1,MIN(10,CX$173))*(1+V_dPrecio))</f>
        <v>0</v>
      </c>
      <c r="CY216" s="34" t="n">
        <f aca="false">IF(CY$8=1,IF(Reales!$C$52="PYG",IF(CY$10&gt;0,N(Reales!CY52)/CY$10,0),N(Reales!CY52)),CY$191*INDEX(Precio_V,15)*INDEX(IdxPrecio_V,1,MIN(10,CY$173))*(1+V_dPrecio))</f>
        <v>0</v>
      </c>
      <c r="CZ216" s="34" t="n">
        <f aca="false">IF(CZ$8=1,IF(Reales!$C$52="PYG",IF(CZ$10&gt;0,N(Reales!CZ52)/CZ$10,0),N(Reales!CZ52)),CZ$191*INDEX(Precio_V,15)*INDEX(IdxPrecio_V,1,MIN(10,CZ$173))*(1+V_dPrecio))</f>
        <v>0</v>
      </c>
      <c r="DA216" s="34" t="n">
        <f aca="false">IF(DA$8=1,IF(Reales!$C$52="PYG",IF(DA$10&gt;0,N(Reales!DA52)/DA$10,0),N(Reales!DA52)),DA$191*INDEX(Precio_V,15)*INDEX(IdxPrecio_V,1,MIN(10,DA$173))*(1+V_dPrecio))</f>
        <v>0</v>
      </c>
      <c r="DB216" s="34" t="n">
        <f aca="false">IF(DB$8=1,IF(Reales!$C$52="PYG",IF(DB$10&gt;0,N(Reales!DB52)/DB$10,0),N(Reales!DB52)),DB$191*INDEX(Precio_V,15)*INDEX(IdxPrecio_V,1,MIN(10,DB$173))*(1+V_dPrecio))</f>
        <v>0</v>
      </c>
      <c r="DC216" s="34" t="n">
        <f aca="false">IF(DC$8=1,IF(Reales!$C$52="PYG",IF(DC$10&gt;0,N(Reales!DC52)/DC$10,0),N(Reales!DC52)),DC$191*INDEX(Precio_V,15)*INDEX(IdxPrecio_V,1,MIN(10,DC$173))*(1+V_dPrecio))</f>
        <v>0</v>
      </c>
      <c r="DD216" s="34" t="n">
        <f aca="false">IF(DD$8=1,IF(Reales!$C$52="PYG",IF(DD$10&gt;0,N(Reales!DD52)/DD$10,0),N(Reales!DD52)),DD$191*INDEX(Precio_V,15)*INDEX(IdxPrecio_V,1,MIN(10,DD$173))*(1+V_dPrecio))</f>
        <v>0</v>
      </c>
      <c r="DE216" s="34" t="n">
        <f aca="false">IF(DE$8=1,IF(Reales!$C$52="PYG",IF(DE$10&gt;0,N(Reales!DE52)/DE$10,0),N(Reales!DE52)),DE$191*INDEX(Precio_V,15)*INDEX(IdxPrecio_V,1,MIN(10,DE$173))*(1+V_dPrecio))</f>
        <v>0</v>
      </c>
      <c r="DF216" s="34" t="n">
        <f aca="false">IF(DF$8=1,IF(Reales!$C$52="PYG",IF(DF$10&gt;0,N(Reales!DF52)/DF$10,0),N(Reales!DF52)),DF$191*INDEX(Precio_V,15)*INDEX(IdxPrecio_V,1,MIN(10,DF$173))*(1+V_dPrecio))</f>
        <v>0</v>
      </c>
      <c r="DG216" s="34" t="n">
        <f aca="false">IF(DG$8=1,IF(Reales!$C$52="PYG",IF(DG$10&gt;0,N(Reales!DG52)/DG$10,0),N(Reales!DG52)),DG$191*INDEX(Precio_V,15)*INDEX(IdxPrecio_V,1,MIN(10,DG$173))*(1+V_dPrecio))</f>
        <v>0</v>
      </c>
      <c r="DH216" s="34" t="n">
        <f aca="false">IF(DH$8=1,IF(Reales!$C$52="PYG",IF(DH$10&gt;0,N(Reales!DH52)/DH$10,0),N(Reales!DH52)),DH$191*INDEX(Precio_V,15)*INDEX(IdxPrecio_V,1,MIN(10,DH$173))*(1+V_dPrecio))</f>
        <v>0</v>
      </c>
      <c r="DI216" s="34" t="n">
        <f aca="false">IF(DI$8=1,IF(Reales!$C$52="PYG",IF(DI$10&gt;0,N(Reales!DI52)/DI$10,0),N(Reales!DI52)),DI$191*INDEX(Precio_V,15)*INDEX(IdxPrecio_V,1,MIN(10,DI$173))*(1+V_dPrecio))</f>
        <v>0</v>
      </c>
      <c r="DJ216" s="34" t="n">
        <f aca="false">IF(DJ$8=1,IF(Reales!$C$52="PYG",IF(DJ$10&gt;0,N(Reales!DJ52)/DJ$10,0),N(Reales!DJ52)),DJ$191*INDEX(Precio_V,15)*INDEX(IdxPrecio_V,1,MIN(10,DJ$173))*(1+V_dPrecio))</f>
        <v>0</v>
      </c>
      <c r="DK216" s="34" t="n">
        <f aca="false">IF(DK$8=1,IF(Reales!$C$52="PYG",IF(DK$10&gt;0,N(Reales!DK52)/DK$10,0),N(Reales!DK52)),DK$191*INDEX(Precio_V,15)*INDEX(IdxPrecio_V,1,MIN(10,DK$173))*(1+V_dPrecio))</f>
        <v>0</v>
      </c>
      <c r="DL216" s="34" t="n">
        <f aca="false">IF(DL$8=1,IF(Reales!$C$52="PYG",IF(DL$10&gt;0,N(Reales!DL52)/DL$10,0),N(Reales!DL52)),DL$191*INDEX(Precio_V,15)*INDEX(IdxPrecio_V,1,MIN(10,DL$173))*(1+V_dPrecio))</f>
        <v>0</v>
      </c>
      <c r="DM216" s="34" t="n">
        <f aca="false">IF(DM$8=1,IF(Reales!$C$52="PYG",IF(DM$10&gt;0,N(Reales!DM52)/DM$10,0),N(Reales!DM52)),DM$191*INDEX(Precio_V,15)*INDEX(IdxPrecio_V,1,MIN(10,DM$173))*(1+V_dPrecio))</f>
        <v>0</v>
      </c>
      <c r="DN216" s="34" t="n">
        <f aca="false">IF(DN$8=1,IF(Reales!$C$52="PYG",IF(DN$10&gt;0,N(Reales!DN52)/DN$10,0),N(Reales!DN52)),DN$191*INDEX(Precio_V,15)*INDEX(IdxPrecio_V,1,MIN(10,DN$173))*(1+V_dPrecio))</f>
        <v>0</v>
      </c>
      <c r="DO216" s="34" t="n">
        <f aca="false">IF(DO$8=1,IF(Reales!$C$52="PYG",IF(DO$10&gt;0,N(Reales!DO52)/DO$10,0),N(Reales!DO52)),DO$191*INDEX(Precio_V,15)*INDEX(IdxPrecio_V,1,MIN(10,DO$173))*(1+V_dPrecio))</f>
        <v>0</v>
      </c>
      <c r="DP216" s="34" t="n">
        <f aca="false">IF(DP$8=1,IF(Reales!$C$52="PYG",IF(DP$10&gt;0,N(Reales!DP52)/DP$10,0),N(Reales!DP52)),DP$191*INDEX(Precio_V,15)*INDEX(IdxPrecio_V,1,MIN(10,DP$173))*(1+V_dPrecio))</f>
        <v>0</v>
      </c>
      <c r="DQ216" s="34" t="n">
        <f aca="false">IF(DQ$8=1,IF(Reales!$C$52="PYG",IF(DQ$10&gt;0,N(Reales!DQ52)/DQ$10,0),N(Reales!DQ52)),DQ$191*INDEX(Precio_V,15)*INDEX(IdxPrecio_V,1,MIN(10,DQ$173))*(1+V_dPrecio))</f>
        <v>0</v>
      </c>
      <c r="DR216" s="34" t="n">
        <f aca="false">IF(DR$8=1,IF(Reales!$C$52="PYG",IF(DR$10&gt;0,N(Reales!DR52)/DR$10,0),N(Reales!DR52)),DR$191*INDEX(Precio_V,15)*INDEX(IdxPrecio_V,1,MIN(10,DR$173))*(1+V_dPrecio))</f>
        <v>0</v>
      </c>
      <c r="DS216" s="34" t="n">
        <f aca="false">IF(DS$8=1,IF(Reales!$C$52="PYG",IF(DS$10&gt;0,N(Reales!DS52)/DS$10,0),N(Reales!DS52)),DS$191*INDEX(Precio_V,15)*INDEX(IdxPrecio_V,1,MIN(10,DS$173))*(1+V_dPrecio))</f>
        <v>0</v>
      </c>
      <c r="DT216" s="34" t="n">
        <f aca="false">IF(DT$8=1,IF(Reales!$C$52="PYG",IF(DT$10&gt;0,N(Reales!DT52)/DT$10,0),N(Reales!DT52)),DT$191*INDEX(Precio_V,15)*INDEX(IdxPrecio_V,1,MIN(10,DT$173))*(1+V_dPrecio))</f>
        <v>0</v>
      </c>
      <c r="DU216" s="34" t="n">
        <f aca="false">IF(DU$8=1,IF(Reales!$C$52="PYG",IF(DU$10&gt;0,N(Reales!DU52)/DU$10,0),N(Reales!DU52)),DU$191*INDEX(Precio_V,15)*INDEX(IdxPrecio_V,1,MIN(10,DU$173))*(1+V_dPrecio))</f>
        <v>0</v>
      </c>
      <c r="DV216" s="34" t="n">
        <f aca="false">IF(DV$8=1,IF(Reales!$C$52="PYG",IF(DV$10&gt;0,N(Reales!DV52)/DV$10,0),N(Reales!DV52)),DV$191*INDEX(Precio_V,15)*INDEX(IdxPrecio_V,1,MIN(10,DV$173))*(1+V_dPrecio))</f>
        <v>0</v>
      </c>
      <c r="DW216" s="34" t="n">
        <f aca="false">IF(DW$8=1,IF(Reales!$C$52="PYG",IF(DW$10&gt;0,N(Reales!DW52)/DW$10,0),N(Reales!DW52)),DW$191*INDEX(Precio_V,15)*INDEX(IdxPrecio_V,1,MIN(10,DW$173))*(1+V_dPrecio))</f>
        <v>0</v>
      </c>
      <c r="DX216" s="34" t="n">
        <f aca="false">IF(DX$8=1,IF(Reales!$C$52="PYG",IF(DX$10&gt;0,N(Reales!DX52)/DX$10,0),N(Reales!DX52)),DX$191*INDEX(Precio_V,15)*INDEX(IdxPrecio_V,1,MIN(10,DX$173))*(1+V_dPrecio))</f>
        <v>0</v>
      </c>
      <c r="DY216" s="34" t="n">
        <f aca="false">IF(DY$8=1,IF(Reales!$C$52="PYG",IF(DY$10&gt;0,N(Reales!DY52)/DY$10,0),N(Reales!DY52)),DY$191*INDEX(Precio_V,15)*INDEX(IdxPrecio_V,1,MIN(10,DY$173))*(1+V_dPrecio))</f>
        <v>0</v>
      </c>
      <c r="DZ216" s="34" t="n">
        <f aca="false">IF(DZ$8=1,IF(Reales!$C$52="PYG",IF(DZ$10&gt;0,N(Reales!DZ52)/DZ$10,0),N(Reales!DZ52)),DZ$191*INDEX(Precio_V,15)*INDEX(IdxPrecio_V,1,MIN(10,DZ$173))*(1+V_dPrecio))</f>
        <v>0</v>
      </c>
      <c r="EA216" s="34" t="n">
        <f aca="false">IF(EA$8=1,IF(Reales!$C$52="PYG",IF(EA$10&gt;0,N(Reales!EA52)/EA$10,0),N(Reales!EA52)),EA$191*INDEX(Precio_V,15)*INDEX(IdxPrecio_V,1,MIN(10,EA$173))*(1+V_dPrecio))</f>
        <v>0</v>
      </c>
      <c r="EB216" s="34" t="n">
        <f aca="false">IF(EB$8=1,IF(Reales!$C$52="PYG",IF(EB$10&gt;0,N(Reales!EB52)/EB$10,0),N(Reales!EB52)),EB$191*INDEX(Precio_V,15)*INDEX(IdxPrecio_V,1,MIN(10,EB$173))*(1+V_dPrecio))</f>
        <v>0</v>
      </c>
      <c r="EC216" s="34" t="n">
        <f aca="false">IF(EC$8=1,IF(Reales!$C$52="PYG",IF(EC$10&gt;0,N(Reales!EC52)/EC$10,0),N(Reales!EC52)),EC$191*INDEX(Precio_V,15)*INDEX(IdxPrecio_V,1,MIN(10,EC$173))*(1+V_dPrecio))</f>
        <v>0</v>
      </c>
      <c r="ED216" s="34" t="n">
        <f aca="false">IF(ED$8=1,IF(Reales!$C$52="PYG",IF(ED$10&gt;0,N(Reales!ED52)/ED$10,0),N(Reales!ED52)),ED$191*INDEX(Precio_V,15)*INDEX(IdxPrecio_V,1,MIN(10,ED$173))*(1+V_dPrecio))</f>
        <v>0</v>
      </c>
      <c r="EE216" s="34" t="n">
        <f aca="false">IF(EE$8=1,IF(Reales!$C$52="PYG",IF(EE$10&gt;0,N(Reales!EE52)/EE$10,0),N(Reales!EE52)),EE$191*INDEX(Precio_V,15)*INDEX(IdxPrecio_V,1,MIN(10,EE$173))*(1+V_dPrecio))</f>
        <v>0</v>
      </c>
      <c r="EF216" s="34" t="n">
        <f aca="false">IF(EF$8=1,IF(Reales!$C$52="PYG",IF(EF$10&gt;0,N(Reales!EF52)/EF$10,0),N(Reales!EF52)),EF$191*INDEX(Precio_V,15)*INDEX(IdxPrecio_V,1,MIN(10,EF$173))*(1+V_dPrecio))</f>
        <v>0</v>
      </c>
      <c r="EG216" s="34" t="n">
        <f aca="false">IF(EG$8=1,IF(Reales!$C$52="PYG",IF(EG$10&gt;0,N(Reales!EG52)/EG$10,0),N(Reales!EG52)),EG$191*INDEX(Precio_V,15)*INDEX(IdxPrecio_V,1,MIN(10,EG$173))*(1+V_dPrecio))</f>
        <v>0</v>
      </c>
      <c r="EH216" s="34" t="n">
        <f aca="false">IF(EH$8=1,IF(Reales!$C$52="PYG",IF(EH$10&gt;0,N(Reales!EH52)/EH$10,0),N(Reales!EH52)),EH$191*INDEX(Precio_V,15)*INDEX(IdxPrecio_V,1,MIN(10,EH$173))*(1+V_dPrecio))</f>
        <v>0</v>
      </c>
      <c r="EI216" s="34" t="n">
        <f aca="false">IF(EI$8=1,IF(Reales!$C$52="PYG",IF(EI$10&gt;0,N(Reales!EI52)/EI$10,0),N(Reales!EI52)),EI$191*INDEX(Precio_V,15)*INDEX(IdxPrecio_V,1,MIN(10,EI$173))*(1+V_dPrecio))</f>
        <v>0</v>
      </c>
      <c r="EJ216" s="34" t="n">
        <f aca="false">IF(EJ$8=1,IF(Reales!$C$52="PYG",IF(EJ$10&gt;0,N(Reales!EJ52)/EJ$10,0),N(Reales!EJ52)),EJ$191*INDEX(Precio_V,15)*INDEX(IdxPrecio_V,1,MIN(10,EJ$173))*(1+V_dPrecio))</f>
        <v>0</v>
      </c>
      <c r="EK216" s="34" t="n">
        <f aca="false">IF(EK$8=1,IF(Reales!$C$52="PYG",IF(EK$10&gt;0,N(Reales!EK52)/EK$10,0),N(Reales!EK52)),EK$191*INDEX(Precio_V,15)*INDEX(IdxPrecio_V,1,MIN(10,EK$173))*(1+V_dPrecio))</f>
        <v>0</v>
      </c>
      <c r="EL216" s="34" t="n">
        <f aca="false">IF(EL$8=1,IF(Reales!$C$52="PYG",IF(EL$10&gt;0,N(Reales!EL52)/EL$10,0),N(Reales!EL52)),EL$191*INDEX(Precio_V,15)*INDEX(IdxPrecio_V,1,MIN(10,EL$173))*(1+V_dPrecio))</f>
        <v>0</v>
      </c>
      <c r="EM216" s="34" t="n">
        <f aca="false">IF(EM$8=1,IF(Reales!$C$52="PYG",IF(EM$10&gt;0,N(Reales!EM52)/EM$10,0),N(Reales!EM52)),EM$191*INDEX(Precio_V,15)*INDEX(IdxPrecio_V,1,MIN(10,EM$173))*(1+V_dPrecio))</f>
        <v>0</v>
      </c>
      <c r="EN216" s="34" t="n">
        <f aca="false">IF(EN$8=1,IF(Reales!$C$52="PYG",IF(EN$10&gt;0,N(Reales!EN52)/EN$10,0),N(Reales!EN52)),EN$191*INDEX(Precio_V,15)*INDEX(IdxPrecio_V,1,MIN(10,EN$173))*(1+V_dPrecio))</f>
        <v>0</v>
      </c>
      <c r="EO216" s="34" t="n">
        <f aca="false">IF(EO$8=1,IF(Reales!$C$52="PYG",IF(EO$10&gt;0,N(Reales!EO52)/EO$10,0),N(Reales!EO52)),EO$191*INDEX(Precio_V,15)*INDEX(IdxPrecio_V,1,MIN(10,EO$173))*(1+V_dPrecio))</f>
        <v>0</v>
      </c>
      <c r="EP216" s="34" t="n">
        <f aca="false">IF(EP$8=1,IF(Reales!$C$52="PYG",IF(EP$10&gt;0,N(Reales!EP52)/EP$10,0),N(Reales!EP52)),EP$191*INDEX(Precio_V,15)*INDEX(IdxPrecio_V,1,MIN(10,EP$173))*(1+V_dPrecio))</f>
        <v>0</v>
      </c>
      <c r="EQ216" s="34" t="n">
        <f aca="false">IF(EQ$8=1,IF(Reales!$C$52="PYG",IF(EQ$10&gt;0,N(Reales!EQ52)/EQ$10,0),N(Reales!EQ52)),EQ$191*INDEX(Precio_V,15)*INDEX(IdxPrecio_V,1,MIN(10,EQ$173))*(1+V_dPrecio))</f>
        <v>0</v>
      </c>
      <c r="ER216" s="34" t="n">
        <f aca="false">IF(ER$8=1,IF(Reales!$C$52="PYG",IF(ER$10&gt;0,N(Reales!ER52)/ER$10,0),N(Reales!ER52)),ER$191*INDEX(Precio_V,15)*INDEX(IdxPrecio_V,1,MIN(10,ER$173))*(1+V_dPrecio))</f>
        <v>0</v>
      </c>
      <c r="ES216" s="34" t="n">
        <f aca="false">IF(ES$8=1,IF(Reales!$C$52="PYG",IF(ES$10&gt;0,N(Reales!ES52)/ES$10,0),N(Reales!ES52)),ES$191*INDEX(Precio_V,15)*INDEX(IdxPrecio_V,1,MIN(10,ES$173))*(1+V_dPrecio))</f>
        <v>0</v>
      </c>
    </row>
    <row r="217" customFormat="false" ht="15" hidden="false" customHeight="false" outlineLevel="0" collapsed="false">
      <c r="A217" s="2" t="s">
        <v>859</v>
      </c>
      <c r="B217" s="39" t="str">
        <f aca="false">IF(INDEX(Prod_Nombre,16)="","Producto 16",INDEX(Prod_Nombre,16))&amp;" — ventas USD"</f>
        <v>Producto 16 — ventas USD</v>
      </c>
      <c r="C217" s="6" t="s">
        <v>250</v>
      </c>
      <c r="E217" s="40" t="n">
        <f aca="false">SUM(F217:ES217)</f>
        <v>0</v>
      </c>
      <c r="F217" s="34" t="n">
        <f aca="false">IF(F$8=1,IF(Reales!$C$53="PYG",IF(F$10&gt;0,N(Reales!F53)/F$10,0),N(Reales!F53)),F$192*INDEX(Precio_V,16)*INDEX(IdxPrecio_V,1,MIN(10,F$173))*(1+V_dPrecio))</f>
        <v>0</v>
      </c>
      <c r="G217" s="34" t="n">
        <f aca="false">IF(G$8=1,IF(Reales!$C$53="PYG",IF(G$10&gt;0,N(Reales!G53)/G$10,0),N(Reales!G53)),G$192*INDEX(Precio_V,16)*INDEX(IdxPrecio_V,1,MIN(10,G$173))*(1+V_dPrecio))</f>
        <v>0</v>
      </c>
      <c r="H217" s="34" t="n">
        <f aca="false">IF(H$8=1,IF(Reales!$C$53="PYG",IF(H$10&gt;0,N(Reales!H53)/H$10,0),N(Reales!H53)),H$192*INDEX(Precio_V,16)*INDEX(IdxPrecio_V,1,MIN(10,H$173))*(1+V_dPrecio))</f>
        <v>0</v>
      </c>
      <c r="I217" s="34" t="n">
        <f aca="false">IF(I$8=1,IF(Reales!$C$53="PYG",IF(I$10&gt;0,N(Reales!I53)/I$10,0),N(Reales!I53)),I$192*INDEX(Precio_V,16)*INDEX(IdxPrecio_V,1,MIN(10,I$173))*(1+V_dPrecio))</f>
        <v>0</v>
      </c>
      <c r="J217" s="34" t="n">
        <f aca="false">IF(J$8=1,IF(Reales!$C$53="PYG",IF(J$10&gt;0,N(Reales!J53)/J$10,0),N(Reales!J53)),J$192*INDEX(Precio_V,16)*INDEX(IdxPrecio_V,1,MIN(10,J$173))*(1+V_dPrecio))</f>
        <v>0</v>
      </c>
      <c r="K217" s="34" t="n">
        <f aca="false">IF(K$8=1,IF(Reales!$C$53="PYG",IF(K$10&gt;0,N(Reales!K53)/K$10,0),N(Reales!K53)),K$192*INDEX(Precio_V,16)*INDEX(IdxPrecio_V,1,MIN(10,K$173))*(1+V_dPrecio))</f>
        <v>0</v>
      </c>
      <c r="L217" s="34" t="n">
        <f aca="false">IF(L$8=1,IF(Reales!$C$53="PYG",IF(L$10&gt;0,N(Reales!L53)/L$10,0),N(Reales!L53)),L$192*INDEX(Precio_V,16)*INDEX(IdxPrecio_V,1,MIN(10,L$173))*(1+V_dPrecio))</f>
        <v>0</v>
      </c>
      <c r="M217" s="34" t="n">
        <f aca="false">IF(M$8=1,IF(Reales!$C$53="PYG",IF(M$10&gt;0,N(Reales!M53)/M$10,0),N(Reales!M53)),M$192*INDEX(Precio_V,16)*INDEX(IdxPrecio_V,1,MIN(10,M$173))*(1+V_dPrecio))</f>
        <v>0</v>
      </c>
      <c r="N217" s="34" t="n">
        <f aca="false">IF(N$8=1,IF(Reales!$C$53="PYG",IF(N$10&gt;0,N(Reales!N53)/N$10,0),N(Reales!N53)),N$192*INDEX(Precio_V,16)*INDEX(IdxPrecio_V,1,MIN(10,N$173))*(1+V_dPrecio))</f>
        <v>0</v>
      </c>
      <c r="O217" s="34" t="n">
        <f aca="false">IF(O$8=1,IF(Reales!$C$53="PYG",IF(O$10&gt;0,N(Reales!O53)/O$10,0),N(Reales!O53)),O$192*INDEX(Precio_V,16)*INDEX(IdxPrecio_V,1,MIN(10,O$173))*(1+V_dPrecio))</f>
        <v>0</v>
      </c>
      <c r="P217" s="34" t="n">
        <f aca="false">IF(P$8=1,IF(Reales!$C$53="PYG",IF(P$10&gt;0,N(Reales!P53)/P$10,0),N(Reales!P53)),P$192*INDEX(Precio_V,16)*INDEX(IdxPrecio_V,1,MIN(10,P$173))*(1+V_dPrecio))</f>
        <v>0</v>
      </c>
      <c r="Q217" s="34" t="n">
        <f aca="false">IF(Q$8=1,IF(Reales!$C$53="PYG",IF(Q$10&gt;0,N(Reales!Q53)/Q$10,0),N(Reales!Q53)),Q$192*INDEX(Precio_V,16)*INDEX(IdxPrecio_V,1,MIN(10,Q$173))*(1+V_dPrecio))</f>
        <v>0</v>
      </c>
      <c r="R217" s="34" t="n">
        <f aca="false">IF(R$8=1,IF(Reales!$C$53="PYG",IF(R$10&gt;0,N(Reales!R53)/R$10,0),N(Reales!R53)),R$192*INDEX(Precio_V,16)*INDEX(IdxPrecio_V,1,MIN(10,R$173))*(1+V_dPrecio))</f>
        <v>0</v>
      </c>
      <c r="S217" s="34" t="n">
        <f aca="false">IF(S$8=1,IF(Reales!$C$53="PYG",IF(S$10&gt;0,N(Reales!S53)/S$10,0),N(Reales!S53)),S$192*INDEX(Precio_V,16)*INDEX(IdxPrecio_V,1,MIN(10,S$173))*(1+V_dPrecio))</f>
        <v>0</v>
      </c>
      <c r="T217" s="34" t="n">
        <f aca="false">IF(T$8=1,IF(Reales!$C$53="PYG",IF(T$10&gt;0,N(Reales!T53)/T$10,0),N(Reales!T53)),T$192*INDEX(Precio_V,16)*INDEX(IdxPrecio_V,1,MIN(10,T$173))*(1+V_dPrecio))</f>
        <v>0</v>
      </c>
      <c r="U217" s="34" t="n">
        <f aca="false">IF(U$8=1,IF(Reales!$C$53="PYG",IF(U$10&gt;0,N(Reales!U53)/U$10,0),N(Reales!U53)),U$192*INDEX(Precio_V,16)*INDEX(IdxPrecio_V,1,MIN(10,U$173))*(1+V_dPrecio))</f>
        <v>0</v>
      </c>
      <c r="V217" s="34" t="n">
        <f aca="false">IF(V$8=1,IF(Reales!$C$53="PYG",IF(V$10&gt;0,N(Reales!V53)/V$10,0),N(Reales!V53)),V$192*INDEX(Precio_V,16)*INDEX(IdxPrecio_V,1,MIN(10,V$173))*(1+V_dPrecio))</f>
        <v>0</v>
      </c>
      <c r="W217" s="34" t="n">
        <f aca="false">IF(W$8=1,IF(Reales!$C$53="PYG",IF(W$10&gt;0,N(Reales!W53)/W$10,0),N(Reales!W53)),W$192*INDEX(Precio_V,16)*INDEX(IdxPrecio_V,1,MIN(10,W$173))*(1+V_dPrecio))</f>
        <v>0</v>
      </c>
      <c r="X217" s="34" t="n">
        <f aca="false">IF(X$8=1,IF(Reales!$C$53="PYG",IF(X$10&gt;0,N(Reales!X53)/X$10,0),N(Reales!X53)),X$192*INDEX(Precio_V,16)*INDEX(IdxPrecio_V,1,MIN(10,X$173))*(1+V_dPrecio))</f>
        <v>0</v>
      </c>
      <c r="Y217" s="34" t="n">
        <f aca="false">IF(Y$8=1,IF(Reales!$C$53="PYG",IF(Y$10&gt;0,N(Reales!Y53)/Y$10,0),N(Reales!Y53)),Y$192*INDEX(Precio_V,16)*INDEX(IdxPrecio_V,1,MIN(10,Y$173))*(1+V_dPrecio))</f>
        <v>0</v>
      </c>
      <c r="Z217" s="34" t="n">
        <f aca="false">IF(Z$8=1,IF(Reales!$C$53="PYG",IF(Z$10&gt;0,N(Reales!Z53)/Z$10,0),N(Reales!Z53)),Z$192*INDEX(Precio_V,16)*INDEX(IdxPrecio_V,1,MIN(10,Z$173))*(1+V_dPrecio))</f>
        <v>0</v>
      </c>
      <c r="AA217" s="34" t="n">
        <f aca="false">IF(AA$8=1,IF(Reales!$C$53="PYG",IF(AA$10&gt;0,N(Reales!AA53)/AA$10,0),N(Reales!AA53)),AA$192*INDEX(Precio_V,16)*INDEX(IdxPrecio_V,1,MIN(10,AA$173))*(1+V_dPrecio))</f>
        <v>0</v>
      </c>
      <c r="AB217" s="34" t="n">
        <f aca="false">IF(AB$8=1,IF(Reales!$C$53="PYG",IF(AB$10&gt;0,N(Reales!AB53)/AB$10,0),N(Reales!AB53)),AB$192*INDEX(Precio_V,16)*INDEX(IdxPrecio_V,1,MIN(10,AB$173))*(1+V_dPrecio))</f>
        <v>0</v>
      </c>
      <c r="AC217" s="34" t="n">
        <f aca="false">IF(AC$8=1,IF(Reales!$C$53="PYG",IF(AC$10&gt;0,N(Reales!AC53)/AC$10,0),N(Reales!AC53)),AC$192*INDEX(Precio_V,16)*INDEX(IdxPrecio_V,1,MIN(10,AC$173))*(1+V_dPrecio))</f>
        <v>0</v>
      </c>
      <c r="AD217" s="34" t="n">
        <f aca="false">IF(AD$8=1,IF(Reales!$C$53="PYG",IF(AD$10&gt;0,N(Reales!AD53)/AD$10,0),N(Reales!AD53)),AD$192*INDEX(Precio_V,16)*INDEX(IdxPrecio_V,1,MIN(10,AD$173))*(1+V_dPrecio))</f>
        <v>0</v>
      </c>
      <c r="AE217" s="34" t="n">
        <f aca="false">IF(AE$8=1,IF(Reales!$C$53="PYG",IF(AE$10&gt;0,N(Reales!AE53)/AE$10,0),N(Reales!AE53)),AE$192*INDEX(Precio_V,16)*INDEX(IdxPrecio_V,1,MIN(10,AE$173))*(1+V_dPrecio))</f>
        <v>0</v>
      </c>
      <c r="AF217" s="34" t="n">
        <f aca="false">IF(AF$8=1,IF(Reales!$C$53="PYG",IF(AF$10&gt;0,N(Reales!AF53)/AF$10,0),N(Reales!AF53)),AF$192*INDEX(Precio_V,16)*INDEX(IdxPrecio_V,1,MIN(10,AF$173))*(1+V_dPrecio))</f>
        <v>0</v>
      </c>
      <c r="AG217" s="34" t="n">
        <f aca="false">IF(AG$8=1,IF(Reales!$C$53="PYG",IF(AG$10&gt;0,N(Reales!AG53)/AG$10,0),N(Reales!AG53)),AG$192*INDEX(Precio_V,16)*INDEX(IdxPrecio_V,1,MIN(10,AG$173))*(1+V_dPrecio))</f>
        <v>0</v>
      </c>
      <c r="AH217" s="34" t="n">
        <f aca="false">IF(AH$8=1,IF(Reales!$C$53="PYG",IF(AH$10&gt;0,N(Reales!AH53)/AH$10,0),N(Reales!AH53)),AH$192*INDEX(Precio_V,16)*INDEX(IdxPrecio_V,1,MIN(10,AH$173))*(1+V_dPrecio))</f>
        <v>0</v>
      </c>
      <c r="AI217" s="34" t="n">
        <f aca="false">IF(AI$8=1,IF(Reales!$C$53="PYG",IF(AI$10&gt;0,N(Reales!AI53)/AI$10,0),N(Reales!AI53)),AI$192*INDEX(Precio_V,16)*INDEX(IdxPrecio_V,1,MIN(10,AI$173))*(1+V_dPrecio))</f>
        <v>0</v>
      </c>
      <c r="AJ217" s="34" t="n">
        <f aca="false">IF(AJ$8=1,IF(Reales!$C$53="PYG",IF(AJ$10&gt;0,N(Reales!AJ53)/AJ$10,0),N(Reales!AJ53)),AJ$192*INDEX(Precio_V,16)*INDEX(IdxPrecio_V,1,MIN(10,AJ$173))*(1+V_dPrecio))</f>
        <v>0</v>
      </c>
      <c r="AK217" s="34" t="n">
        <f aca="false">IF(AK$8=1,IF(Reales!$C$53="PYG",IF(AK$10&gt;0,N(Reales!AK53)/AK$10,0),N(Reales!AK53)),AK$192*INDEX(Precio_V,16)*INDEX(IdxPrecio_V,1,MIN(10,AK$173))*(1+V_dPrecio))</f>
        <v>0</v>
      </c>
      <c r="AL217" s="34" t="n">
        <f aca="false">IF(AL$8=1,IF(Reales!$C$53="PYG",IF(AL$10&gt;0,N(Reales!AL53)/AL$10,0),N(Reales!AL53)),AL$192*INDEX(Precio_V,16)*INDEX(IdxPrecio_V,1,MIN(10,AL$173))*(1+V_dPrecio))</f>
        <v>0</v>
      </c>
      <c r="AM217" s="34" t="n">
        <f aca="false">IF(AM$8=1,IF(Reales!$C$53="PYG",IF(AM$10&gt;0,N(Reales!AM53)/AM$10,0),N(Reales!AM53)),AM$192*INDEX(Precio_V,16)*INDEX(IdxPrecio_V,1,MIN(10,AM$173))*(1+V_dPrecio))</f>
        <v>0</v>
      </c>
      <c r="AN217" s="34" t="n">
        <f aca="false">IF(AN$8=1,IF(Reales!$C$53="PYG",IF(AN$10&gt;0,N(Reales!AN53)/AN$10,0),N(Reales!AN53)),AN$192*INDEX(Precio_V,16)*INDEX(IdxPrecio_V,1,MIN(10,AN$173))*(1+V_dPrecio))</f>
        <v>0</v>
      </c>
      <c r="AO217" s="34" t="n">
        <f aca="false">IF(AO$8=1,IF(Reales!$C$53="PYG",IF(AO$10&gt;0,N(Reales!AO53)/AO$10,0),N(Reales!AO53)),AO$192*INDEX(Precio_V,16)*INDEX(IdxPrecio_V,1,MIN(10,AO$173))*(1+V_dPrecio))</f>
        <v>0</v>
      </c>
      <c r="AP217" s="34" t="n">
        <f aca="false">IF(AP$8=1,IF(Reales!$C$53="PYG",IF(AP$10&gt;0,N(Reales!AP53)/AP$10,0),N(Reales!AP53)),AP$192*INDEX(Precio_V,16)*INDEX(IdxPrecio_V,1,MIN(10,AP$173))*(1+V_dPrecio))</f>
        <v>0</v>
      </c>
      <c r="AQ217" s="34" t="n">
        <f aca="false">IF(AQ$8=1,IF(Reales!$C$53="PYG",IF(AQ$10&gt;0,N(Reales!AQ53)/AQ$10,0),N(Reales!AQ53)),AQ$192*INDEX(Precio_V,16)*INDEX(IdxPrecio_V,1,MIN(10,AQ$173))*(1+V_dPrecio))</f>
        <v>0</v>
      </c>
      <c r="AR217" s="34" t="n">
        <f aca="false">IF(AR$8=1,IF(Reales!$C$53="PYG",IF(AR$10&gt;0,N(Reales!AR53)/AR$10,0),N(Reales!AR53)),AR$192*INDEX(Precio_V,16)*INDEX(IdxPrecio_V,1,MIN(10,AR$173))*(1+V_dPrecio))</f>
        <v>0</v>
      </c>
      <c r="AS217" s="34" t="n">
        <f aca="false">IF(AS$8=1,IF(Reales!$C$53="PYG",IF(AS$10&gt;0,N(Reales!AS53)/AS$10,0),N(Reales!AS53)),AS$192*INDEX(Precio_V,16)*INDEX(IdxPrecio_V,1,MIN(10,AS$173))*(1+V_dPrecio))</f>
        <v>0</v>
      </c>
      <c r="AT217" s="34" t="n">
        <f aca="false">IF(AT$8=1,IF(Reales!$C$53="PYG",IF(AT$10&gt;0,N(Reales!AT53)/AT$10,0),N(Reales!AT53)),AT$192*INDEX(Precio_V,16)*INDEX(IdxPrecio_V,1,MIN(10,AT$173))*(1+V_dPrecio))</f>
        <v>0</v>
      </c>
      <c r="AU217" s="34" t="n">
        <f aca="false">IF(AU$8=1,IF(Reales!$C$53="PYG",IF(AU$10&gt;0,N(Reales!AU53)/AU$10,0),N(Reales!AU53)),AU$192*INDEX(Precio_V,16)*INDEX(IdxPrecio_V,1,MIN(10,AU$173))*(1+V_dPrecio))</f>
        <v>0</v>
      </c>
      <c r="AV217" s="34" t="n">
        <f aca="false">IF(AV$8=1,IF(Reales!$C$53="PYG",IF(AV$10&gt;0,N(Reales!AV53)/AV$10,0),N(Reales!AV53)),AV$192*INDEX(Precio_V,16)*INDEX(IdxPrecio_V,1,MIN(10,AV$173))*(1+V_dPrecio))</f>
        <v>0</v>
      </c>
      <c r="AW217" s="34" t="n">
        <f aca="false">IF(AW$8=1,IF(Reales!$C$53="PYG",IF(AW$10&gt;0,N(Reales!AW53)/AW$10,0),N(Reales!AW53)),AW$192*INDEX(Precio_V,16)*INDEX(IdxPrecio_V,1,MIN(10,AW$173))*(1+V_dPrecio))</f>
        <v>0</v>
      </c>
      <c r="AX217" s="34" t="n">
        <f aca="false">IF(AX$8=1,IF(Reales!$C$53="PYG",IF(AX$10&gt;0,N(Reales!AX53)/AX$10,0),N(Reales!AX53)),AX$192*INDEX(Precio_V,16)*INDEX(IdxPrecio_V,1,MIN(10,AX$173))*(1+V_dPrecio))</f>
        <v>0</v>
      </c>
      <c r="AY217" s="34" t="n">
        <f aca="false">IF(AY$8=1,IF(Reales!$C$53="PYG",IF(AY$10&gt;0,N(Reales!AY53)/AY$10,0),N(Reales!AY53)),AY$192*INDEX(Precio_V,16)*INDEX(IdxPrecio_V,1,MIN(10,AY$173))*(1+V_dPrecio))</f>
        <v>0</v>
      </c>
      <c r="AZ217" s="34" t="n">
        <f aca="false">IF(AZ$8=1,IF(Reales!$C$53="PYG",IF(AZ$10&gt;0,N(Reales!AZ53)/AZ$10,0),N(Reales!AZ53)),AZ$192*INDEX(Precio_V,16)*INDEX(IdxPrecio_V,1,MIN(10,AZ$173))*(1+V_dPrecio))</f>
        <v>0</v>
      </c>
      <c r="BA217" s="34" t="n">
        <f aca="false">IF(BA$8=1,IF(Reales!$C$53="PYG",IF(BA$10&gt;0,N(Reales!BA53)/BA$10,0),N(Reales!BA53)),BA$192*INDEX(Precio_V,16)*INDEX(IdxPrecio_V,1,MIN(10,BA$173))*(1+V_dPrecio))</f>
        <v>0</v>
      </c>
      <c r="BB217" s="34" t="n">
        <f aca="false">IF(BB$8=1,IF(Reales!$C$53="PYG",IF(BB$10&gt;0,N(Reales!BB53)/BB$10,0),N(Reales!BB53)),BB$192*INDEX(Precio_V,16)*INDEX(IdxPrecio_V,1,MIN(10,BB$173))*(1+V_dPrecio))</f>
        <v>0</v>
      </c>
      <c r="BC217" s="34" t="n">
        <f aca="false">IF(BC$8=1,IF(Reales!$C$53="PYG",IF(BC$10&gt;0,N(Reales!BC53)/BC$10,0),N(Reales!BC53)),BC$192*INDEX(Precio_V,16)*INDEX(IdxPrecio_V,1,MIN(10,BC$173))*(1+V_dPrecio))</f>
        <v>0</v>
      </c>
      <c r="BD217" s="34" t="n">
        <f aca="false">IF(BD$8=1,IF(Reales!$C$53="PYG",IF(BD$10&gt;0,N(Reales!BD53)/BD$10,0),N(Reales!BD53)),BD$192*INDEX(Precio_V,16)*INDEX(IdxPrecio_V,1,MIN(10,BD$173))*(1+V_dPrecio))</f>
        <v>0</v>
      </c>
      <c r="BE217" s="34" t="n">
        <f aca="false">IF(BE$8=1,IF(Reales!$C$53="PYG",IF(BE$10&gt;0,N(Reales!BE53)/BE$10,0),N(Reales!BE53)),BE$192*INDEX(Precio_V,16)*INDEX(IdxPrecio_V,1,MIN(10,BE$173))*(1+V_dPrecio))</f>
        <v>0</v>
      </c>
      <c r="BF217" s="34" t="n">
        <f aca="false">IF(BF$8=1,IF(Reales!$C$53="PYG",IF(BF$10&gt;0,N(Reales!BF53)/BF$10,0),N(Reales!BF53)),BF$192*INDEX(Precio_V,16)*INDEX(IdxPrecio_V,1,MIN(10,BF$173))*(1+V_dPrecio))</f>
        <v>0</v>
      </c>
      <c r="BG217" s="34" t="n">
        <f aca="false">IF(BG$8=1,IF(Reales!$C$53="PYG",IF(BG$10&gt;0,N(Reales!BG53)/BG$10,0),N(Reales!BG53)),BG$192*INDEX(Precio_V,16)*INDEX(IdxPrecio_V,1,MIN(10,BG$173))*(1+V_dPrecio))</f>
        <v>0</v>
      </c>
      <c r="BH217" s="34" t="n">
        <f aca="false">IF(BH$8=1,IF(Reales!$C$53="PYG",IF(BH$10&gt;0,N(Reales!BH53)/BH$10,0),N(Reales!BH53)),BH$192*INDEX(Precio_V,16)*INDEX(IdxPrecio_V,1,MIN(10,BH$173))*(1+V_dPrecio))</f>
        <v>0</v>
      </c>
      <c r="BI217" s="34" t="n">
        <f aca="false">IF(BI$8=1,IF(Reales!$C$53="PYG",IF(BI$10&gt;0,N(Reales!BI53)/BI$10,0),N(Reales!BI53)),BI$192*INDEX(Precio_V,16)*INDEX(IdxPrecio_V,1,MIN(10,BI$173))*(1+V_dPrecio))</f>
        <v>0</v>
      </c>
      <c r="BJ217" s="34" t="n">
        <f aca="false">IF(BJ$8=1,IF(Reales!$C$53="PYG",IF(BJ$10&gt;0,N(Reales!BJ53)/BJ$10,0),N(Reales!BJ53)),BJ$192*INDEX(Precio_V,16)*INDEX(IdxPrecio_V,1,MIN(10,BJ$173))*(1+V_dPrecio))</f>
        <v>0</v>
      </c>
      <c r="BK217" s="34" t="n">
        <f aca="false">IF(BK$8=1,IF(Reales!$C$53="PYG",IF(BK$10&gt;0,N(Reales!BK53)/BK$10,0),N(Reales!BK53)),BK$192*INDEX(Precio_V,16)*INDEX(IdxPrecio_V,1,MIN(10,BK$173))*(1+V_dPrecio))</f>
        <v>0</v>
      </c>
      <c r="BL217" s="34" t="n">
        <f aca="false">IF(BL$8=1,IF(Reales!$C$53="PYG",IF(BL$10&gt;0,N(Reales!BL53)/BL$10,0),N(Reales!BL53)),BL$192*INDEX(Precio_V,16)*INDEX(IdxPrecio_V,1,MIN(10,BL$173))*(1+V_dPrecio))</f>
        <v>0</v>
      </c>
      <c r="BM217" s="34" t="n">
        <f aca="false">IF(BM$8=1,IF(Reales!$C$53="PYG",IF(BM$10&gt;0,N(Reales!BM53)/BM$10,0),N(Reales!BM53)),BM$192*INDEX(Precio_V,16)*INDEX(IdxPrecio_V,1,MIN(10,BM$173))*(1+V_dPrecio))</f>
        <v>0</v>
      </c>
      <c r="BN217" s="34" t="n">
        <f aca="false">IF(BN$8=1,IF(Reales!$C$53="PYG",IF(BN$10&gt;0,N(Reales!BN53)/BN$10,0),N(Reales!BN53)),BN$192*INDEX(Precio_V,16)*INDEX(IdxPrecio_V,1,MIN(10,BN$173))*(1+V_dPrecio))</f>
        <v>0</v>
      </c>
      <c r="BO217" s="34" t="n">
        <f aca="false">IF(BO$8=1,IF(Reales!$C$53="PYG",IF(BO$10&gt;0,N(Reales!BO53)/BO$10,0),N(Reales!BO53)),BO$192*INDEX(Precio_V,16)*INDEX(IdxPrecio_V,1,MIN(10,BO$173))*(1+V_dPrecio))</f>
        <v>0</v>
      </c>
      <c r="BP217" s="34" t="n">
        <f aca="false">IF(BP$8=1,IF(Reales!$C$53="PYG",IF(BP$10&gt;0,N(Reales!BP53)/BP$10,0),N(Reales!BP53)),BP$192*INDEX(Precio_V,16)*INDEX(IdxPrecio_V,1,MIN(10,BP$173))*(1+V_dPrecio))</f>
        <v>0</v>
      </c>
      <c r="BQ217" s="34" t="n">
        <f aca="false">IF(BQ$8=1,IF(Reales!$C$53="PYG",IF(BQ$10&gt;0,N(Reales!BQ53)/BQ$10,0),N(Reales!BQ53)),BQ$192*INDEX(Precio_V,16)*INDEX(IdxPrecio_V,1,MIN(10,BQ$173))*(1+V_dPrecio))</f>
        <v>0</v>
      </c>
      <c r="BR217" s="34" t="n">
        <f aca="false">IF(BR$8=1,IF(Reales!$C$53="PYG",IF(BR$10&gt;0,N(Reales!BR53)/BR$10,0),N(Reales!BR53)),BR$192*INDEX(Precio_V,16)*INDEX(IdxPrecio_V,1,MIN(10,BR$173))*(1+V_dPrecio))</f>
        <v>0</v>
      </c>
      <c r="BS217" s="34" t="n">
        <f aca="false">IF(BS$8=1,IF(Reales!$C$53="PYG",IF(BS$10&gt;0,N(Reales!BS53)/BS$10,0),N(Reales!BS53)),BS$192*INDEX(Precio_V,16)*INDEX(IdxPrecio_V,1,MIN(10,BS$173))*(1+V_dPrecio))</f>
        <v>0</v>
      </c>
      <c r="BT217" s="34" t="n">
        <f aca="false">IF(BT$8=1,IF(Reales!$C$53="PYG",IF(BT$10&gt;0,N(Reales!BT53)/BT$10,0),N(Reales!BT53)),BT$192*INDEX(Precio_V,16)*INDEX(IdxPrecio_V,1,MIN(10,BT$173))*(1+V_dPrecio))</f>
        <v>0</v>
      </c>
      <c r="BU217" s="34" t="n">
        <f aca="false">IF(BU$8=1,IF(Reales!$C$53="PYG",IF(BU$10&gt;0,N(Reales!BU53)/BU$10,0),N(Reales!BU53)),BU$192*INDEX(Precio_V,16)*INDEX(IdxPrecio_V,1,MIN(10,BU$173))*(1+V_dPrecio))</f>
        <v>0</v>
      </c>
      <c r="BV217" s="34" t="n">
        <f aca="false">IF(BV$8=1,IF(Reales!$C$53="PYG",IF(BV$10&gt;0,N(Reales!BV53)/BV$10,0),N(Reales!BV53)),BV$192*INDEX(Precio_V,16)*INDEX(IdxPrecio_V,1,MIN(10,BV$173))*(1+V_dPrecio))</f>
        <v>0</v>
      </c>
      <c r="BW217" s="34" t="n">
        <f aca="false">IF(BW$8=1,IF(Reales!$C$53="PYG",IF(BW$10&gt;0,N(Reales!BW53)/BW$10,0),N(Reales!BW53)),BW$192*INDEX(Precio_V,16)*INDEX(IdxPrecio_V,1,MIN(10,BW$173))*(1+V_dPrecio))</f>
        <v>0</v>
      </c>
      <c r="BX217" s="34" t="n">
        <f aca="false">IF(BX$8=1,IF(Reales!$C$53="PYG",IF(BX$10&gt;0,N(Reales!BX53)/BX$10,0),N(Reales!BX53)),BX$192*INDEX(Precio_V,16)*INDEX(IdxPrecio_V,1,MIN(10,BX$173))*(1+V_dPrecio))</f>
        <v>0</v>
      </c>
      <c r="BY217" s="34" t="n">
        <f aca="false">IF(BY$8=1,IF(Reales!$C$53="PYG",IF(BY$10&gt;0,N(Reales!BY53)/BY$10,0),N(Reales!BY53)),BY$192*INDEX(Precio_V,16)*INDEX(IdxPrecio_V,1,MIN(10,BY$173))*(1+V_dPrecio))</f>
        <v>0</v>
      </c>
      <c r="BZ217" s="34" t="n">
        <f aca="false">IF(BZ$8=1,IF(Reales!$C$53="PYG",IF(BZ$10&gt;0,N(Reales!BZ53)/BZ$10,0),N(Reales!BZ53)),BZ$192*INDEX(Precio_V,16)*INDEX(IdxPrecio_V,1,MIN(10,BZ$173))*(1+V_dPrecio))</f>
        <v>0</v>
      </c>
      <c r="CA217" s="34" t="n">
        <f aca="false">IF(CA$8=1,IF(Reales!$C$53="PYG",IF(CA$10&gt;0,N(Reales!CA53)/CA$10,0),N(Reales!CA53)),CA$192*INDEX(Precio_V,16)*INDEX(IdxPrecio_V,1,MIN(10,CA$173))*(1+V_dPrecio))</f>
        <v>0</v>
      </c>
      <c r="CB217" s="34" t="n">
        <f aca="false">IF(CB$8=1,IF(Reales!$C$53="PYG",IF(CB$10&gt;0,N(Reales!CB53)/CB$10,0),N(Reales!CB53)),CB$192*INDEX(Precio_V,16)*INDEX(IdxPrecio_V,1,MIN(10,CB$173))*(1+V_dPrecio))</f>
        <v>0</v>
      </c>
      <c r="CC217" s="34" t="n">
        <f aca="false">IF(CC$8=1,IF(Reales!$C$53="PYG",IF(CC$10&gt;0,N(Reales!CC53)/CC$10,0),N(Reales!CC53)),CC$192*INDEX(Precio_V,16)*INDEX(IdxPrecio_V,1,MIN(10,CC$173))*(1+V_dPrecio))</f>
        <v>0</v>
      </c>
      <c r="CD217" s="34" t="n">
        <f aca="false">IF(CD$8=1,IF(Reales!$C$53="PYG",IF(CD$10&gt;0,N(Reales!CD53)/CD$10,0),N(Reales!CD53)),CD$192*INDEX(Precio_V,16)*INDEX(IdxPrecio_V,1,MIN(10,CD$173))*(1+V_dPrecio))</f>
        <v>0</v>
      </c>
      <c r="CE217" s="34" t="n">
        <f aca="false">IF(CE$8=1,IF(Reales!$C$53="PYG",IF(CE$10&gt;0,N(Reales!CE53)/CE$10,0),N(Reales!CE53)),CE$192*INDEX(Precio_V,16)*INDEX(IdxPrecio_V,1,MIN(10,CE$173))*(1+V_dPrecio))</f>
        <v>0</v>
      </c>
      <c r="CF217" s="34" t="n">
        <f aca="false">IF(CF$8=1,IF(Reales!$C$53="PYG",IF(CF$10&gt;0,N(Reales!CF53)/CF$10,0),N(Reales!CF53)),CF$192*INDEX(Precio_V,16)*INDEX(IdxPrecio_V,1,MIN(10,CF$173))*(1+V_dPrecio))</f>
        <v>0</v>
      </c>
      <c r="CG217" s="34" t="n">
        <f aca="false">IF(CG$8=1,IF(Reales!$C$53="PYG",IF(CG$10&gt;0,N(Reales!CG53)/CG$10,0),N(Reales!CG53)),CG$192*INDEX(Precio_V,16)*INDEX(IdxPrecio_V,1,MIN(10,CG$173))*(1+V_dPrecio))</f>
        <v>0</v>
      </c>
      <c r="CH217" s="34" t="n">
        <f aca="false">IF(CH$8=1,IF(Reales!$C$53="PYG",IF(CH$10&gt;0,N(Reales!CH53)/CH$10,0),N(Reales!CH53)),CH$192*INDEX(Precio_V,16)*INDEX(IdxPrecio_V,1,MIN(10,CH$173))*(1+V_dPrecio))</f>
        <v>0</v>
      </c>
      <c r="CI217" s="34" t="n">
        <f aca="false">IF(CI$8=1,IF(Reales!$C$53="PYG",IF(CI$10&gt;0,N(Reales!CI53)/CI$10,0),N(Reales!CI53)),CI$192*INDEX(Precio_V,16)*INDEX(IdxPrecio_V,1,MIN(10,CI$173))*(1+V_dPrecio))</f>
        <v>0</v>
      </c>
      <c r="CJ217" s="34" t="n">
        <f aca="false">IF(CJ$8=1,IF(Reales!$C$53="PYG",IF(CJ$10&gt;0,N(Reales!CJ53)/CJ$10,0),N(Reales!CJ53)),CJ$192*INDEX(Precio_V,16)*INDEX(IdxPrecio_V,1,MIN(10,CJ$173))*(1+V_dPrecio))</f>
        <v>0</v>
      </c>
      <c r="CK217" s="34" t="n">
        <f aca="false">IF(CK$8=1,IF(Reales!$C$53="PYG",IF(CK$10&gt;0,N(Reales!CK53)/CK$10,0),N(Reales!CK53)),CK$192*INDEX(Precio_V,16)*INDEX(IdxPrecio_V,1,MIN(10,CK$173))*(1+V_dPrecio))</f>
        <v>0</v>
      </c>
      <c r="CL217" s="34" t="n">
        <f aca="false">IF(CL$8=1,IF(Reales!$C$53="PYG",IF(CL$10&gt;0,N(Reales!CL53)/CL$10,0),N(Reales!CL53)),CL$192*INDEX(Precio_V,16)*INDEX(IdxPrecio_V,1,MIN(10,CL$173))*(1+V_dPrecio))</f>
        <v>0</v>
      </c>
      <c r="CM217" s="34" t="n">
        <f aca="false">IF(CM$8=1,IF(Reales!$C$53="PYG",IF(CM$10&gt;0,N(Reales!CM53)/CM$10,0),N(Reales!CM53)),CM$192*INDEX(Precio_V,16)*INDEX(IdxPrecio_V,1,MIN(10,CM$173))*(1+V_dPrecio))</f>
        <v>0</v>
      </c>
      <c r="CN217" s="34" t="n">
        <f aca="false">IF(CN$8=1,IF(Reales!$C$53="PYG",IF(CN$10&gt;0,N(Reales!CN53)/CN$10,0),N(Reales!CN53)),CN$192*INDEX(Precio_V,16)*INDEX(IdxPrecio_V,1,MIN(10,CN$173))*(1+V_dPrecio))</f>
        <v>0</v>
      </c>
      <c r="CO217" s="34" t="n">
        <f aca="false">IF(CO$8=1,IF(Reales!$C$53="PYG",IF(CO$10&gt;0,N(Reales!CO53)/CO$10,0),N(Reales!CO53)),CO$192*INDEX(Precio_V,16)*INDEX(IdxPrecio_V,1,MIN(10,CO$173))*(1+V_dPrecio))</f>
        <v>0</v>
      </c>
      <c r="CP217" s="34" t="n">
        <f aca="false">IF(CP$8=1,IF(Reales!$C$53="PYG",IF(CP$10&gt;0,N(Reales!CP53)/CP$10,0),N(Reales!CP53)),CP$192*INDEX(Precio_V,16)*INDEX(IdxPrecio_V,1,MIN(10,CP$173))*(1+V_dPrecio))</f>
        <v>0</v>
      </c>
      <c r="CQ217" s="34" t="n">
        <f aca="false">IF(CQ$8=1,IF(Reales!$C$53="PYG",IF(CQ$10&gt;0,N(Reales!CQ53)/CQ$10,0),N(Reales!CQ53)),CQ$192*INDEX(Precio_V,16)*INDEX(IdxPrecio_V,1,MIN(10,CQ$173))*(1+V_dPrecio))</f>
        <v>0</v>
      </c>
      <c r="CR217" s="34" t="n">
        <f aca="false">IF(CR$8=1,IF(Reales!$C$53="PYG",IF(CR$10&gt;0,N(Reales!CR53)/CR$10,0),N(Reales!CR53)),CR$192*INDEX(Precio_V,16)*INDEX(IdxPrecio_V,1,MIN(10,CR$173))*(1+V_dPrecio))</f>
        <v>0</v>
      </c>
      <c r="CS217" s="34" t="n">
        <f aca="false">IF(CS$8=1,IF(Reales!$C$53="PYG",IF(CS$10&gt;0,N(Reales!CS53)/CS$10,0),N(Reales!CS53)),CS$192*INDEX(Precio_V,16)*INDEX(IdxPrecio_V,1,MIN(10,CS$173))*(1+V_dPrecio))</f>
        <v>0</v>
      </c>
      <c r="CT217" s="34" t="n">
        <f aca="false">IF(CT$8=1,IF(Reales!$C$53="PYG",IF(CT$10&gt;0,N(Reales!CT53)/CT$10,0),N(Reales!CT53)),CT$192*INDEX(Precio_V,16)*INDEX(IdxPrecio_V,1,MIN(10,CT$173))*(1+V_dPrecio))</f>
        <v>0</v>
      </c>
      <c r="CU217" s="34" t="n">
        <f aca="false">IF(CU$8=1,IF(Reales!$C$53="PYG",IF(CU$10&gt;0,N(Reales!CU53)/CU$10,0),N(Reales!CU53)),CU$192*INDEX(Precio_V,16)*INDEX(IdxPrecio_V,1,MIN(10,CU$173))*(1+V_dPrecio))</f>
        <v>0</v>
      </c>
      <c r="CV217" s="34" t="n">
        <f aca="false">IF(CV$8=1,IF(Reales!$C$53="PYG",IF(CV$10&gt;0,N(Reales!CV53)/CV$10,0),N(Reales!CV53)),CV$192*INDEX(Precio_V,16)*INDEX(IdxPrecio_V,1,MIN(10,CV$173))*(1+V_dPrecio))</f>
        <v>0</v>
      </c>
      <c r="CW217" s="34" t="n">
        <f aca="false">IF(CW$8=1,IF(Reales!$C$53="PYG",IF(CW$10&gt;0,N(Reales!CW53)/CW$10,0),N(Reales!CW53)),CW$192*INDEX(Precio_V,16)*INDEX(IdxPrecio_V,1,MIN(10,CW$173))*(1+V_dPrecio))</f>
        <v>0</v>
      </c>
      <c r="CX217" s="34" t="n">
        <f aca="false">IF(CX$8=1,IF(Reales!$C$53="PYG",IF(CX$10&gt;0,N(Reales!CX53)/CX$10,0),N(Reales!CX53)),CX$192*INDEX(Precio_V,16)*INDEX(IdxPrecio_V,1,MIN(10,CX$173))*(1+V_dPrecio))</f>
        <v>0</v>
      </c>
      <c r="CY217" s="34" t="n">
        <f aca="false">IF(CY$8=1,IF(Reales!$C$53="PYG",IF(CY$10&gt;0,N(Reales!CY53)/CY$10,0),N(Reales!CY53)),CY$192*INDEX(Precio_V,16)*INDEX(IdxPrecio_V,1,MIN(10,CY$173))*(1+V_dPrecio))</f>
        <v>0</v>
      </c>
      <c r="CZ217" s="34" t="n">
        <f aca="false">IF(CZ$8=1,IF(Reales!$C$53="PYG",IF(CZ$10&gt;0,N(Reales!CZ53)/CZ$10,0),N(Reales!CZ53)),CZ$192*INDEX(Precio_V,16)*INDEX(IdxPrecio_V,1,MIN(10,CZ$173))*(1+V_dPrecio))</f>
        <v>0</v>
      </c>
      <c r="DA217" s="34" t="n">
        <f aca="false">IF(DA$8=1,IF(Reales!$C$53="PYG",IF(DA$10&gt;0,N(Reales!DA53)/DA$10,0),N(Reales!DA53)),DA$192*INDEX(Precio_V,16)*INDEX(IdxPrecio_V,1,MIN(10,DA$173))*(1+V_dPrecio))</f>
        <v>0</v>
      </c>
      <c r="DB217" s="34" t="n">
        <f aca="false">IF(DB$8=1,IF(Reales!$C$53="PYG",IF(DB$10&gt;0,N(Reales!DB53)/DB$10,0),N(Reales!DB53)),DB$192*INDEX(Precio_V,16)*INDEX(IdxPrecio_V,1,MIN(10,DB$173))*(1+V_dPrecio))</f>
        <v>0</v>
      </c>
      <c r="DC217" s="34" t="n">
        <f aca="false">IF(DC$8=1,IF(Reales!$C$53="PYG",IF(DC$10&gt;0,N(Reales!DC53)/DC$10,0),N(Reales!DC53)),DC$192*INDEX(Precio_V,16)*INDEX(IdxPrecio_V,1,MIN(10,DC$173))*(1+V_dPrecio))</f>
        <v>0</v>
      </c>
      <c r="DD217" s="34" t="n">
        <f aca="false">IF(DD$8=1,IF(Reales!$C$53="PYG",IF(DD$10&gt;0,N(Reales!DD53)/DD$10,0),N(Reales!DD53)),DD$192*INDEX(Precio_V,16)*INDEX(IdxPrecio_V,1,MIN(10,DD$173))*(1+V_dPrecio))</f>
        <v>0</v>
      </c>
      <c r="DE217" s="34" t="n">
        <f aca="false">IF(DE$8=1,IF(Reales!$C$53="PYG",IF(DE$10&gt;0,N(Reales!DE53)/DE$10,0),N(Reales!DE53)),DE$192*INDEX(Precio_V,16)*INDEX(IdxPrecio_V,1,MIN(10,DE$173))*(1+V_dPrecio))</f>
        <v>0</v>
      </c>
      <c r="DF217" s="34" t="n">
        <f aca="false">IF(DF$8=1,IF(Reales!$C$53="PYG",IF(DF$10&gt;0,N(Reales!DF53)/DF$10,0),N(Reales!DF53)),DF$192*INDEX(Precio_V,16)*INDEX(IdxPrecio_V,1,MIN(10,DF$173))*(1+V_dPrecio))</f>
        <v>0</v>
      </c>
      <c r="DG217" s="34" t="n">
        <f aca="false">IF(DG$8=1,IF(Reales!$C$53="PYG",IF(DG$10&gt;0,N(Reales!DG53)/DG$10,0),N(Reales!DG53)),DG$192*INDEX(Precio_V,16)*INDEX(IdxPrecio_V,1,MIN(10,DG$173))*(1+V_dPrecio))</f>
        <v>0</v>
      </c>
      <c r="DH217" s="34" t="n">
        <f aca="false">IF(DH$8=1,IF(Reales!$C$53="PYG",IF(DH$10&gt;0,N(Reales!DH53)/DH$10,0),N(Reales!DH53)),DH$192*INDEX(Precio_V,16)*INDEX(IdxPrecio_V,1,MIN(10,DH$173))*(1+V_dPrecio))</f>
        <v>0</v>
      </c>
      <c r="DI217" s="34" t="n">
        <f aca="false">IF(DI$8=1,IF(Reales!$C$53="PYG",IF(DI$10&gt;0,N(Reales!DI53)/DI$10,0),N(Reales!DI53)),DI$192*INDEX(Precio_V,16)*INDEX(IdxPrecio_V,1,MIN(10,DI$173))*(1+V_dPrecio))</f>
        <v>0</v>
      </c>
      <c r="DJ217" s="34" t="n">
        <f aca="false">IF(DJ$8=1,IF(Reales!$C$53="PYG",IF(DJ$10&gt;0,N(Reales!DJ53)/DJ$10,0),N(Reales!DJ53)),DJ$192*INDEX(Precio_V,16)*INDEX(IdxPrecio_V,1,MIN(10,DJ$173))*(1+V_dPrecio))</f>
        <v>0</v>
      </c>
      <c r="DK217" s="34" t="n">
        <f aca="false">IF(DK$8=1,IF(Reales!$C$53="PYG",IF(DK$10&gt;0,N(Reales!DK53)/DK$10,0),N(Reales!DK53)),DK$192*INDEX(Precio_V,16)*INDEX(IdxPrecio_V,1,MIN(10,DK$173))*(1+V_dPrecio))</f>
        <v>0</v>
      </c>
      <c r="DL217" s="34" t="n">
        <f aca="false">IF(DL$8=1,IF(Reales!$C$53="PYG",IF(DL$10&gt;0,N(Reales!DL53)/DL$10,0),N(Reales!DL53)),DL$192*INDEX(Precio_V,16)*INDEX(IdxPrecio_V,1,MIN(10,DL$173))*(1+V_dPrecio))</f>
        <v>0</v>
      </c>
      <c r="DM217" s="34" t="n">
        <f aca="false">IF(DM$8=1,IF(Reales!$C$53="PYG",IF(DM$10&gt;0,N(Reales!DM53)/DM$10,0),N(Reales!DM53)),DM$192*INDEX(Precio_V,16)*INDEX(IdxPrecio_V,1,MIN(10,DM$173))*(1+V_dPrecio))</f>
        <v>0</v>
      </c>
      <c r="DN217" s="34" t="n">
        <f aca="false">IF(DN$8=1,IF(Reales!$C$53="PYG",IF(DN$10&gt;0,N(Reales!DN53)/DN$10,0),N(Reales!DN53)),DN$192*INDEX(Precio_V,16)*INDEX(IdxPrecio_V,1,MIN(10,DN$173))*(1+V_dPrecio))</f>
        <v>0</v>
      </c>
      <c r="DO217" s="34" t="n">
        <f aca="false">IF(DO$8=1,IF(Reales!$C$53="PYG",IF(DO$10&gt;0,N(Reales!DO53)/DO$10,0),N(Reales!DO53)),DO$192*INDEX(Precio_V,16)*INDEX(IdxPrecio_V,1,MIN(10,DO$173))*(1+V_dPrecio))</f>
        <v>0</v>
      </c>
      <c r="DP217" s="34" t="n">
        <f aca="false">IF(DP$8=1,IF(Reales!$C$53="PYG",IF(DP$10&gt;0,N(Reales!DP53)/DP$10,0),N(Reales!DP53)),DP$192*INDEX(Precio_V,16)*INDEX(IdxPrecio_V,1,MIN(10,DP$173))*(1+V_dPrecio))</f>
        <v>0</v>
      </c>
      <c r="DQ217" s="34" t="n">
        <f aca="false">IF(DQ$8=1,IF(Reales!$C$53="PYG",IF(DQ$10&gt;0,N(Reales!DQ53)/DQ$10,0),N(Reales!DQ53)),DQ$192*INDEX(Precio_V,16)*INDEX(IdxPrecio_V,1,MIN(10,DQ$173))*(1+V_dPrecio))</f>
        <v>0</v>
      </c>
      <c r="DR217" s="34" t="n">
        <f aca="false">IF(DR$8=1,IF(Reales!$C$53="PYG",IF(DR$10&gt;0,N(Reales!DR53)/DR$10,0),N(Reales!DR53)),DR$192*INDEX(Precio_V,16)*INDEX(IdxPrecio_V,1,MIN(10,DR$173))*(1+V_dPrecio))</f>
        <v>0</v>
      </c>
      <c r="DS217" s="34" t="n">
        <f aca="false">IF(DS$8=1,IF(Reales!$C$53="PYG",IF(DS$10&gt;0,N(Reales!DS53)/DS$10,0),N(Reales!DS53)),DS$192*INDEX(Precio_V,16)*INDEX(IdxPrecio_V,1,MIN(10,DS$173))*(1+V_dPrecio))</f>
        <v>0</v>
      </c>
      <c r="DT217" s="34" t="n">
        <f aca="false">IF(DT$8=1,IF(Reales!$C$53="PYG",IF(DT$10&gt;0,N(Reales!DT53)/DT$10,0),N(Reales!DT53)),DT$192*INDEX(Precio_V,16)*INDEX(IdxPrecio_V,1,MIN(10,DT$173))*(1+V_dPrecio))</f>
        <v>0</v>
      </c>
      <c r="DU217" s="34" t="n">
        <f aca="false">IF(DU$8=1,IF(Reales!$C$53="PYG",IF(DU$10&gt;0,N(Reales!DU53)/DU$10,0),N(Reales!DU53)),DU$192*INDEX(Precio_V,16)*INDEX(IdxPrecio_V,1,MIN(10,DU$173))*(1+V_dPrecio))</f>
        <v>0</v>
      </c>
      <c r="DV217" s="34" t="n">
        <f aca="false">IF(DV$8=1,IF(Reales!$C$53="PYG",IF(DV$10&gt;0,N(Reales!DV53)/DV$10,0),N(Reales!DV53)),DV$192*INDEX(Precio_V,16)*INDEX(IdxPrecio_V,1,MIN(10,DV$173))*(1+V_dPrecio))</f>
        <v>0</v>
      </c>
      <c r="DW217" s="34" t="n">
        <f aca="false">IF(DW$8=1,IF(Reales!$C$53="PYG",IF(DW$10&gt;0,N(Reales!DW53)/DW$10,0),N(Reales!DW53)),DW$192*INDEX(Precio_V,16)*INDEX(IdxPrecio_V,1,MIN(10,DW$173))*(1+V_dPrecio))</f>
        <v>0</v>
      </c>
      <c r="DX217" s="34" t="n">
        <f aca="false">IF(DX$8=1,IF(Reales!$C$53="PYG",IF(DX$10&gt;0,N(Reales!DX53)/DX$10,0),N(Reales!DX53)),DX$192*INDEX(Precio_V,16)*INDEX(IdxPrecio_V,1,MIN(10,DX$173))*(1+V_dPrecio))</f>
        <v>0</v>
      </c>
      <c r="DY217" s="34" t="n">
        <f aca="false">IF(DY$8=1,IF(Reales!$C$53="PYG",IF(DY$10&gt;0,N(Reales!DY53)/DY$10,0),N(Reales!DY53)),DY$192*INDEX(Precio_V,16)*INDEX(IdxPrecio_V,1,MIN(10,DY$173))*(1+V_dPrecio))</f>
        <v>0</v>
      </c>
      <c r="DZ217" s="34" t="n">
        <f aca="false">IF(DZ$8=1,IF(Reales!$C$53="PYG",IF(DZ$10&gt;0,N(Reales!DZ53)/DZ$10,0),N(Reales!DZ53)),DZ$192*INDEX(Precio_V,16)*INDEX(IdxPrecio_V,1,MIN(10,DZ$173))*(1+V_dPrecio))</f>
        <v>0</v>
      </c>
      <c r="EA217" s="34" t="n">
        <f aca="false">IF(EA$8=1,IF(Reales!$C$53="PYG",IF(EA$10&gt;0,N(Reales!EA53)/EA$10,0),N(Reales!EA53)),EA$192*INDEX(Precio_V,16)*INDEX(IdxPrecio_V,1,MIN(10,EA$173))*(1+V_dPrecio))</f>
        <v>0</v>
      </c>
      <c r="EB217" s="34" t="n">
        <f aca="false">IF(EB$8=1,IF(Reales!$C$53="PYG",IF(EB$10&gt;0,N(Reales!EB53)/EB$10,0),N(Reales!EB53)),EB$192*INDEX(Precio_V,16)*INDEX(IdxPrecio_V,1,MIN(10,EB$173))*(1+V_dPrecio))</f>
        <v>0</v>
      </c>
      <c r="EC217" s="34" t="n">
        <f aca="false">IF(EC$8=1,IF(Reales!$C$53="PYG",IF(EC$10&gt;0,N(Reales!EC53)/EC$10,0),N(Reales!EC53)),EC$192*INDEX(Precio_V,16)*INDEX(IdxPrecio_V,1,MIN(10,EC$173))*(1+V_dPrecio))</f>
        <v>0</v>
      </c>
      <c r="ED217" s="34" t="n">
        <f aca="false">IF(ED$8=1,IF(Reales!$C$53="PYG",IF(ED$10&gt;0,N(Reales!ED53)/ED$10,0),N(Reales!ED53)),ED$192*INDEX(Precio_V,16)*INDEX(IdxPrecio_V,1,MIN(10,ED$173))*(1+V_dPrecio))</f>
        <v>0</v>
      </c>
      <c r="EE217" s="34" t="n">
        <f aca="false">IF(EE$8=1,IF(Reales!$C$53="PYG",IF(EE$10&gt;0,N(Reales!EE53)/EE$10,0),N(Reales!EE53)),EE$192*INDEX(Precio_V,16)*INDEX(IdxPrecio_V,1,MIN(10,EE$173))*(1+V_dPrecio))</f>
        <v>0</v>
      </c>
      <c r="EF217" s="34" t="n">
        <f aca="false">IF(EF$8=1,IF(Reales!$C$53="PYG",IF(EF$10&gt;0,N(Reales!EF53)/EF$10,0),N(Reales!EF53)),EF$192*INDEX(Precio_V,16)*INDEX(IdxPrecio_V,1,MIN(10,EF$173))*(1+V_dPrecio))</f>
        <v>0</v>
      </c>
      <c r="EG217" s="34" t="n">
        <f aca="false">IF(EG$8=1,IF(Reales!$C$53="PYG",IF(EG$10&gt;0,N(Reales!EG53)/EG$10,0),N(Reales!EG53)),EG$192*INDEX(Precio_V,16)*INDEX(IdxPrecio_V,1,MIN(10,EG$173))*(1+V_dPrecio))</f>
        <v>0</v>
      </c>
      <c r="EH217" s="34" t="n">
        <f aca="false">IF(EH$8=1,IF(Reales!$C$53="PYG",IF(EH$10&gt;0,N(Reales!EH53)/EH$10,0),N(Reales!EH53)),EH$192*INDEX(Precio_V,16)*INDEX(IdxPrecio_V,1,MIN(10,EH$173))*(1+V_dPrecio))</f>
        <v>0</v>
      </c>
      <c r="EI217" s="34" t="n">
        <f aca="false">IF(EI$8=1,IF(Reales!$C$53="PYG",IF(EI$10&gt;0,N(Reales!EI53)/EI$10,0),N(Reales!EI53)),EI$192*INDEX(Precio_V,16)*INDEX(IdxPrecio_V,1,MIN(10,EI$173))*(1+V_dPrecio))</f>
        <v>0</v>
      </c>
      <c r="EJ217" s="34" t="n">
        <f aca="false">IF(EJ$8=1,IF(Reales!$C$53="PYG",IF(EJ$10&gt;0,N(Reales!EJ53)/EJ$10,0),N(Reales!EJ53)),EJ$192*INDEX(Precio_V,16)*INDEX(IdxPrecio_V,1,MIN(10,EJ$173))*(1+V_dPrecio))</f>
        <v>0</v>
      </c>
      <c r="EK217" s="34" t="n">
        <f aca="false">IF(EK$8=1,IF(Reales!$C$53="PYG",IF(EK$10&gt;0,N(Reales!EK53)/EK$10,0),N(Reales!EK53)),EK$192*INDEX(Precio_V,16)*INDEX(IdxPrecio_V,1,MIN(10,EK$173))*(1+V_dPrecio))</f>
        <v>0</v>
      </c>
      <c r="EL217" s="34" t="n">
        <f aca="false">IF(EL$8=1,IF(Reales!$C$53="PYG",IF(EL$10&gt;0,N(Reales!EL53)/EL$10,0),N(Reales!EL53)),EL$192*INDEX(Precio_V,16)*INDEX(IdxPrecio_V,1,MIN(10,EL$173))*(1+V_dPrecio))</f>
        <v>0</v>
      </c>
      <c r="EM217" s="34" t="n">
        <f aca="false">IF(EM$8=1,IF(Reales!$C$53="PYG",IF(EM$10&gt;0,N(Reales!EM53)/EM$10,0),N(Reales!EM53)),EM$192*INDEX(Precio_V,16)*INDEX(IdxPrecio_V,1,MIN(10,EM$173))*(1+V_dPrecio))</f>
        <v>0</v>
      </c>
      <c r="EN217" s="34" t="n">
        <f aca="false">IF(EN$8=1,IF(Reales!$C$53="PYG",IF(EN$10&gt;0,N(Reales!EN53)/EN$10,0),N(Reales!EN53)),EN$192*INDEX(Precio_V,16)*INDEX(IdxPrecio_V,1,MIN(10,EN$173))*(1+V_dPrecio))</f>
        <v>0</v>
      </c>
      <c r="EO217" s="34" t="n">
        <f aca="false">IF(EO$8=1,IF(Reales!$C$53="PYG",IF(EO$10&gt;0,N(Reales!EO53)/EO$10,0),N(Reales!EO53)),EO$192*INDEX(Precio_V,16)*INDEX(IdxPrecio_V,1,MIN(10,EO$173))*(1+V_dPrecio))</f>
        <v>0</v>
      </c>
      <c r="EP217" s="34" t="n">
        <f aca="false">IF(EP$8=1,IF(Reales!$C$53="PYG",IF(EP$10&gt;0,N(Reales!EP53)/EP$10,0),N(Reales!EP53)),EP$192*INDEX(Precio_V,16)*INDEX(IdxPrecio_V,1,MIN(10,EP$173))*(1+V_dPrecio))</f>
        <v>0</v>
      </c>
      <c r="EQ217" s="34" t="n">
        <f aca="false">IF(EQ$8=1,IF(Reales!$C$53="PYG",IF(EQ$10&gt;0,N(Reales!EQ53)/EQ$10,0),N(Reales!EQ53)),EQ$192*INDEX(Precio_V,16)*INDEX(IdxPrecio_V,1,MIN(10,EQ$173))*(1+V_dPrecio))</f>
        <v>0</v>
      </c>
      <c r="ER217" s="34" t="n">
        <f aca="false">IF(ER$8=1,IF(Reales!$C$53="PYG",IF(ER$10&gt;0,N(Reales!ER53)/ER$10,0),N(Reales!ER53)),ER$192*INDEX(Precio_V,16)*INDEX(IdxPrecio_V,1,MIN(10,ER$173))*(1+V_dPrecio))</f>
        <v>0</v>
      </c>
      <c r="ES217" s="34" t="n">
        <f aca="false">IF(ES$8=1,IF(Reales!$C$53="PYG",IF(ES$10&gt;0,N(Reales!ES53)/ES$10,0),N(Reales!ES53)),ES$192*INDEX(Precio_V,16)*INDEX(IdxPrecio_V,1,MIN(10,ES$173))*(1+V_dPrecio))</f>
        <v>0</v>
      </c>
    </row>
    <row r="218" customFormat="false" ht="15" hidden="false" customHeight="false" outlineLevel="0" collapsed="false">
      <c r="A218" s="2" t="s">
        <v>860</v>
      </c>
      <c r="B218" s="39" t="str">
        <f aca="false">IF(INDEX(Prod_Nombre,17)="","Producto 17",INDEX(Prod_Nombre,17))&amp;" — ventas USD"</f>
        <v>Producto 17 — ventas USD</v>
      </c>
      <c r="C218" s="6" t="s">
        <v>250</v>
      </c>
      <c r="E218" s="40" t="n">
        <f aca="false">SUM(F218:ES218)</f>
        <v>0</v>
      </c>
      <c r="F218" s="34" t="n">
        <f aca="false">IF(F$8=1,IF(Reales!$C$54="PYG",IF(F$10&gt;0,N(Reales!F54)/F$10,0),N(Reales!F54)),F$193*INDEX(Precio_V,17)*INDEX(IdxPrecio_V,1,MIN(10,F$173))*(1+V_dPrecio))</f>
        <v>0</v>
      </c>
      <c r="G218" s="34" t="n">
        <f aca="false">IF(G$8=1,IF(Reales!$C$54="PYG",IF(G$10&gt;0,N(Reales!G54)/G$10,0),N(Reales!G54)),G$193*INDEX(Precio_V,17)*INDEX(IdxPrecio_V,1,MIN(10,G$173))*(1+V_dPrecio))</f>
        <v>0</v>
      </c>
      <c r="H218" s="34" t="n">
        <f aca="false">IF(H$8=1,IF(Reales!$C$54="PYG",IF(H$10&gt;0,N(Reales!H54)/H$10,0),N(Reales!H54)),H$193*INDEX(Precio_V,17)*INDEX(IdxPrecio_V,1,MIN(10,H$173))*(1+V_dPrecio))</f>
        <v>0</v>
      </c>
      <c r="I218" s="34" t="n">
        <f aca="false">IF(I$8=1,IF(Reales!$C$54="PYG",IF(I$10&gt;0,N(Reales!I54)/I$10,0),N(Reales!I54)),I$193*INDEX(Precio_V,17)*INDEX(IdxPrecio_V,1,MIN(10,I$173))*(1+V_dPrecio))</f>
        <v>0</v>
      </c>
      <c r="J218" s="34" t="n">
        <f aca="false">IF(J$8=1,IF(Reales!$C$54="PYG",IF(J$10&gt;0,N(Reales!J54)/J$10,0),N(Reales!J54)),J$193*INDEX(Precio_V,17)*INDEX(IdxPrecio_V,1,MIN(10,J$173))*(1+V_dPrecio))</f>
        <v>0</v>
      </c>
      <c r="K218" s="34" t="n">
        <f aca="false">IF(K$8=1,IF(Reales!$C$54="PYG",IF(K$10&gt;0,N(Reales!K54)/K$10,0),N(Reales!K54)),K$193*INDEX(Precio_V,17)*INDEX(IdxPrecio_V,1,MIN(10,K$173))*(1+V_dPrecio))</f>
        <v>0</v>
      </c>
      <c r="L218" s="34" t="n">
        <f aca="false">IF(L$8=1,IF(Reales!$C$54="PYG",IF(L$10&gt;0,N(Reales!L54)/L$10,0),N(Reales!L54)),L$193*INDEX(Precio_V,17)*INDEX(IdxPrecio_V,1,MIN(10,L$173))*(1+V_dPrecio))</f>
        <v>0</v>
      </c>
      <c r="M218" s="34" t="n">
        <f aca="false">IF(M$8=1,IF(Reales!$C$54="PYG",IF(M$10&gt;0,N(Reales!M54)/M$10,0),N(Reales!M54)),M$193*INDEX(Precio_V,17)*INDEX(IdxPrecio_V,1,MIN(10,M$173))*(1+V_dPrecio))</f>
        <v>0</v>
      </c>
      <c r="N218" s="34" t="n">
        <f aca="false">IF(N$8=1,IF(Reales!$C$54="PYG",IF(N$10&gt;0,N(Reales!N54)/N$10,0),N(Reales!N54)),N$193*INDEX(Precio_V,17)*INDEX(IdxPrecio_V,1,MIN(10,N$173))*(1+V_dPrecio))</f>
        <v>0</v>
      </c>
      <c r="O218" s="34" t="n">
        <f aca="false">IF(O$8=1,IF(Reales!$C$54="PYG",IF(O$10&gt;0,N(Reales!O54)/O$10,0),N(Reales!O54)),O$193*INDEX(Precio_V,17)*INDEX(IdxPrecio_V,1,MIN(10,O$173))*(1+V_dPrecio))</f>
        <v>0</v>
      </c>
      <c r="P218" s="34" t="n">
        <f aca="false">IF(P$8=1,IF(Reales!$C$54="PYG",IF(P$10&gt;0,N(Reales!P54)/P$10,0),N(Reales!P54)),P$193*INDEX(Precio_V,17)*INDEX(IdxPrecio_V,1,MIN(10,P$173))*(1+V_dPrecio))</f>
        <v>0</v>
      </c>
      <c r="Q218" s="34" t="n">
        <f aca="false">IF(Q$8=1,IF(Reales!$C$54="PYG",IF(Q$10&gt;0,N(Reales!Q54)/Q$10,0),N(Reales!Q54)),Q$193*INDEX(Precio_V,17)*INDEX(IdxPrecio_V,1,MIN(10,Q$173))*(1+V_dPrecio))</f>
        <v>0</v>
      </c>
      <c r="R218" s="34" t="n">
        <f aca="false">IF(R$8=1,IF(Reales!$C$54="PYG",IF(R$10&gt;0,N(Reales!R54)/R$10,0),N(Reales!R54)),R$193*INDEX(Precio_V,17)*INDEX(IdxPrecio_V,1,MIN(10,R$173))*(1+V_dPrecio))</f>
        <v>0</v>
      </c>
      <c r="S218" s="34" t="n">
        <f aca="false">IF(S$8=1,IF(Reales!$C$54="PYG",IF(S$10&gt;0,N(Reales!S54)/S$10,0),N(Reales!S54)),S$193*INDEX(Precio_V,17)*INDEX(IdxPrecio_V,1,MIN(10,S$173))*(1+V_dPrecio))</f>
        <v>0</v>
      </c>
      <c r="T218" s="34" t="n">
        <f aca="false">IF(T$8=1,IF(Reales!$C$54="PYG",IF(T$10&gt;0,N(Reales!T54)/T$10,0),N(Reales!T54)),T$193*INDEX(Precio_V,17)*INDEX(IdxPrecio_V,1,MIN(10,T$173))*(1+V_dPrecio))</f>
        <v>0</v>
      </c>
      <c r="U218" s="34" t="n">
        <f aca="false">IF(U$8=1,IF(Reales!$C$54="PYG",IF(U$10&gt;0,N(Reales!U54)/U$10,0),N(Reales!U54)),U$193*INDEX(Precio_V,17)*INDEX(IdxPrecio_V,1,MIN(10,U$173))*(1+V_dPrecio))</f>
        <v>0</v>
      </c>
      <c r="V218" s="34" t="n">
        <f aca="false">IF(V$8=1,IF(Reales!$C$54="PYG",IF(V$10&gt;0,N(Reales!V54)/V$10,0),N(Reales!V54)),V$193*INDEX(Precio_V,17)*INDEX(IdxPrecio_V,1,MIN(10,V$173))*(1+V_dPrecio))</f>
        <v>0</v>
      </c>
      <c r="W218" s="34" t="n">
        <f aca="false">IF(W$8=1,IF(Reales!$C$54="PYG",IF(W$10&gt;0,N(Reales!W54)/W$10,0),N(Reales!W54)),W$193*INDEX(Precio_V,17)*INDEX(IdxPrecio_V,1,MIN(10,W$173))*(1+V_dPrecio))</f>
        <v>0</v>
      </c>
      <c r="X218" s="34" t="n">
        <f aca="false">IF(X$8=1,IF(Reales!$C$54="PYG",IF(X$10&gt;0,N(Reales!X54)/X$10,0),N(Reales!X54)),X$193*INDEX(Precio_V,17)*INDEX(IdxPrecio_V,1,MIN(10,X$173))*(1+V_dPrecio))</f>
        <v>0</v>
      </c>
      <c r="Y218" s="34" t="n">
        <f aca="false">IF(Y$8=1,IF(Reales!$C$54="PYG",IF(Y$10&gt;0,N(Reales!Y54)/Y$10,0),N(Reales!Y54)),Y$193*INDEX(Precio_V,17)*INDEX(IdxPrecio_V,1,MIN(10,Y$173))*(1+V_dPrecio))</f>
        <v>0</v>
      </c>
      <c r="Z218" s="34" t="n">
        <f aca="false">IF(Z$8=1,IF(Reales!$C$54="PYG",IF(Z$10&gt;0,N(Reales!Z54)/Z$10,0),N(Reales!Z54)),Z$193*INDEX(Precio_V,17)*INDEX(IdxPrecio_V,1,MIN(10,Z$173))*(1+V_dPrecio))</f>
        <v>0</v>
      </c>
      <c r="AA218" s="34" t="n">
        <f aca="false">IF(AA$8=1,IF(Reales!$C$54="PYG",IF(AA$10&gt;0,N(Reales!AA54)/AA$10,0),N(Reales!AA54)),AA$193*INDEX(Precio_V,17)*INDEX(IdxPrecio_V,1,MIN(10,AA$173))*(1+V_dPrecio))</f>
        <v>0</v>
      </c>
      <c r="AB218" s="34" t="n">
        <f aca="false">IF(AB$8=1,IF(Reales!$C$54="PYG",IF(AB$10&gt;0,N(Reales!AB54)/AB$10,0),N(Reales!AB54)),AB$193*INDEX(Precio_V,17)*INDEX(IdxPrecio_V,1,MIN(10,AB$173))*(1+V_dPrecio))</f>
        <v>0</v>
      </c>
      <c r="AC218" s="34" t="n">
        <f aca="false">IF(AC$8=1,IF(Reales!$C$54="PYG",IF(AC$10&gt;0,N(Reales!AC54)/AC$10,0),N(Reales!AC54)),AC$193*INDEX(Precio_V,17)*INDEX(IdxPrecio_V,1,MIN(10,AC$173))*(1+V_dPrecio))</f>
        <v>0</v>
      </c>
      <c r="AD218" s="34" t="n">
        <f aca="false">IF(AD$8=1,IF(Reales!$C$54="PYG",IF(AD$10&gt;0,N(Reales!AD54)/AD$10,0),N(Reales!AD54)),AD$193*INDEX(Precio_V,17)*INDEX(IdxPrecio_V,1,MIN(10,AD$173))*(1+V_dPrecio))</f>
        <v>0</v>
      </c>
      <c r="AE218" s="34" t="n">
        <f aca="false">IF(AE$8=1,IF(Reales!$C$54="PYG",IF(AE$10&gt;0,N(Reales!AE54)/AE$10,0),N(Reales!AE54)),AE$193*INDEX(Precio_V,17)*INDEX(IdxPrecio_V,1,MIN(10,AE$173))*(1+V_dPrecio))</f>
        <v>0</v>
      </c>
      <c r="AF218" s="34" t="n">
        <f aca="false">IF(AF$8=1,IF(Reales!$C$54="PYG",IF(AF$10&gt;0,N(Reales!AF54)/AF$10,0),N(Reales!AF54)),AF$193*INDEX(Precio_V,17)*INDEX(IdxPrecio_V,1,MIN(10,AF$173))*(1+V_dPrecio))</f>
        <v>0</v>
      </c>
      <c r="AG218" s="34" t="n">
        <f aca="false">IF(AG$8=1,IF(Reales!$C$54="PYG",IF(AG$10&gt;0,N(Reales!AG54)/AG$10,0),N(Reales!AG54)),AG$193*INDEX(Precio_V,17)*INDEX(IdxPrecio_V,1,MIN(10,AG$173))*(1+V_dPrecio))</f>
        <v>0</v>
      </c>
      <c r="AH218" s="34" t="n">
        <f aca="false">IF(AH$8=1,IF(Reales!$C$54="PYG",IF(AH$10&gt;0,N(Reales!AH54)/AH$10,0),N(Reales!AH54)),AH$193*INDEX(Precio_V,17)*INDEX(IdxPrecio_V,1,MIN(10,AH$173))*(1+V_dPrecio))</f>
        <v>0</v>
      </c>
      <c r="AI218" s="34" t="n">
        <f aca="false">IF(AI$8=1,IF(Reales!$C$54="PYG",IF(AI$10&gt;0,N(Reales!AI54)/AI$10,0),N(Reales!AI54)),AI$193*INDEX(Precio_V,17)*INDEX(IdxPrecio_V,1,MIN(10,AI$173))*(1+V_dPrecio))</f>
        <v>0</v>
      </c>
      <c r="AJ218" s="34" t="n">
        <f aca="false">IF(AJ$8=1,IF(Reales!$C$54="PYG",IF(AJ$10&gt;0,N(Reales!AJ54)/AJ$10,0),N(Reales!AJ54)),AJ$193*INDEX(Precio_V,17)*INDEX(IdxPrecio_V,1,MIN(10,AJ$173))*(1+V_dPrecio))</f>
        <v>0</v>
      </c>
      <c r="AK218" s="34" t="n">
        <f aca="false">IF(AK$8=1,IF(Reales!$C$54="PYG",IF(AK$10&gt;0,N(Reales!AK54)/AK$10,0),N(Reales!AK54)),AK$193*INDEX(Precio_V,17)*INDEX(IdxPrecio_V,1,MIN(10,AK$173))*(1+V_dPrecio))</f>
        <v>0</v>
      </c>
      <c r="AL218" s="34" t="n">
        <f aca="false">IF(AL$8=1,IF(Reales!$C$54="PYG",IF(AL$10&gt;0,N(Reales!AL54)/AL$10,0),N(Reales!AL54)),AL$193*INDEX(Precio_V,17)*INDEX(IdxPrecio_V,1,MIN(10,AL$173))*(1+V_dPrecio))</f>
        <v>0</v>
      </c>
      <c r="AM218" s="34" t="n">
        <f aca="false">IF(AM$8=1,IF(Reales!$C$54="PYG",IF(AM$10&gt;0,N(Reales!AM54)/AM$10,0),N(Reales!AM54)),AM$193*INDEX(Precio_V,17)*INDEX(IdxPrecio_V,1,MIN(10,AM$173))*(1+V_dPrecio))</f>
        <v>0</v>
      </c>
      <c r="AN218" s="34" t="n">
        <f aca="false">IF(AN$8=1,IF(Reales!$C$54="PYG",IF(AN$10&gt;0,N(Reales!AN54)/AN$10,0),N(Reales!AN54)),AN$193*INDEX(Precio_V,17)*INDEX(IdxPrecio_V,1,MIN(10,AN$173))*(1+V_dPrecio))</f>
        <v>0</v>
      </c>
      <c r="AO218" s="34" t="n">
        <f aca="false">IF(AO$8=1,IF(Reales!$C$54="PYG",IF(AO$10&gt;0,N(Reales!AO54)/AO$10,0),N(Reales!AO54)),AO$193*INDEX(Precio_V,17)*INDEX(IdxPrecio_V,1,MIN(10,AO$173))*(1+V_dPrecio))</f>
        <v>0</v>
      </c>
      <c r="AP218" s="34" t="n">
        <f aca="false">IF(AP$8=1,IF(Reales!$C$54="PYG",IF(AP$10&gt;0,N(Reales!AP54)/AP$10,0),N(Reales!AP54)),AP$193*INDEX(Precio_V,17)*INDEX(IdxPrecio_V,1,MIN(10,AP$173))*(1+V_dPrecio))</f>
        <v>0</v>
      </c>
      <c r="AQ218" s="34" t="n">
        <f aca="false">IF(AQ$8=1,IF(Reales!$C$54="PYG",IF(AQ$10&gt;0,N(Reales!AQ54)/AQ$10,0),N(Reales!AQ54)),AQ$193*INDEX(Precio_V,17)*INDEX(IdxPrecio_V,1,MIN(10,AQ$173))*(1+V_dPrecio))</f>
        <v>0</v>
      </c>
      <c r="AR218" s="34" t="n">
        <f aca="false">IF(AR$8=1,IF(Reales!$C$54="PYG",IF(AR$10&gt;0,N(Reales!AR54)/AR$10,0),N(Reales!AR54)),AR$193*INDEX(Precio_V,17)*INDEX(IdxPrecio_V,1,MIN(10,AR$173))*(1+V_dPrecio))</f>
        <v>0</v>
      </c>
      <c r="AS218" s="34" t="n">
        <f aca="false">IF(AS$8=1,IF(Reales!$C$54="PYG",IF(AS$10&gt;0,N(Reales!AS54)/AS$10,0),N(Reales!AS54)),AS$193*INDEX(Precio_V,17)*INDEX(IdxPrecio_V,1,MIN(10,AS$173))*(1+V_dPrecio))</f>
        <v>0</v>
      </c>
      <c r="AT218" s="34" t="n">
        <f aca="false">IF(AT$8=1,IF(Reales!$C$54="PYG",IF(AT$10&gt;0,N(Reales!AT54)/AT$10,0),N(Reales!AT54)),AT$193*INDEX(Precio_V,17)*INDEX(IdxPrecio_V,1,MIN(10,AT$173))*(1+V_dPrecio))</f>
        <v>0</v>
      </c>
      <c r="AU218" s="34" t="n">
        <f aca="false">IF(AU$8=1,IF(Reales!$C$54="PYG",IF(AU$10&gt;0,N(Reales!AU54)/AU$10,0),N(Reales!AU54)),AU$193*INDEX(Precio_V,17)*INDEX(IdxPrecio_V,1,MIN(10,AU$173))*(1+V_dPrecio))</f>
        <v>0</v>
      </c>
      <c r="AV218" s="34" t="n">
        <f aca="false">IF(AV$8=1,IF(Reales!$C$54="PYG",IF(AV$10&gt;0,N(Reales!AV54)/AV$10,0),N(Reales!AV54)),AV$193*INDEX(Precio_V,17)*INDEX(IdxPrecio_V,1,MIN(10,AV$173))*(1+V_dPrecio))</f>
        <v>0</v>
      </c>
      <c r="AW218" s="34" t="n">
        <f aca="false">IF(AW$8=1,IF(Reales!$C$54="PYG",IF(AW$10&gt;0,N(Reales!AW54)/AW$10,0),N(Reales!AW54)),AW$193*INDEX(Precio_V,17)*INDEX(IdxPrecio_V,1,MIN(10,AW$173))*(1+V_dPrecio))</f>
        <v>0</v>
      </c>
      <c r="AX218" s="34" t="n">
        <f aca="false">IF(AX$8=1,IF(Reales!$C$54="PYG",IF(AX$10&gt;0,N(Reales!AX54)/AX$10,0),N(Reales!AX54)),AX$193*INDEX(Precio_V,17)*INDEX(IdxPrecio_V,1,MIN(10,AX$173))*(1+V_dPrecio))</f>
        <v>0</v>
      </c>
      <c r="AY218" s="34" t="n">
        <f aca="false">IF(AY$8=1,IF(Reales!$C$54="PYG",IF(AY$10&gt;0,N(Reales!AY54)/AY$10,0),N(Reales!AY54)),AY$193*INDEX(Precio_V,17)*INDEX(IdxPrecio_V,1,MIN(10,AY$173))*(1+V_dPrecio))</f>
        <v>0</v>
      </c>
      <c r="AZ218" s="34" t="n">
        <f aca="false">IF(AZ$8=1,IF(Reales!$C$54="PYG",IF(AZ$10&gt;0,N(Reales!AZ54)/AZ$10,0),N(Reales!AZ54)),AZ$193*INDEX(Precio_V,17)*INDEX(IdxPrecio_V,1,MIN(10,AZ$173))*(1+V_dPrecio))</f>
        <v>0</v>
      </c>
      <c r="BA218" s="34" t="n">
        <f aca="false">IF(BA$8=1,IF(Reales!$C$54="PYG",IF(BA$10&gt;0,N(Reales!BA54)/BA$10,0),N(Reales!BA54)),BA$193*INDEX(Precio_V,17)*INDEX(IdxPrecio_V,1,MIN(10,BA$173))*(1+V_dPrecio))</f>
        <v>0</v>
      </c>
      <c r="BB218" s="34" t="n">
        <f aca="false">IF(BB$8=1,IF(Reales!$C$54="PYG",IF(BB$10&gt;0,N(Reales!BB54)/BB$10,0),N(Reales!BB54)),BB$193*INDEX(Precio_V,17)*INDEX(IdxPrecio_V,1,MIN(10,BB$173))*(1+V_dPrecio))</f>
        <v>0</v>
      </c>
      <c r="BC218" s="34" t="n">
        <f aca="false">IF(BC$8=1,IF(Reales!$C$54="PYG",IF(BC$10&gt;0,N(Reales!BC54)/BC$10,0),N(Reales!BC54)),BC$193*INDEX(Precio_V,17)*INDEX(IdxPrecio_V,1,MIN(10,BC$173))*(1+V_dPrecio))</f>
        <v>0</v>
      </c>
      <c r="BD218" s="34" t="n">
        <f aca="false">IF(BD$8=1,IF(Reales!$C$54="PYG",IF(BD$10&gt;0,N(Reales!BD54)/BD$10,0),N(Reales!BD54)),BD$193*INDEX(Precio_V,17)*INDEX(IdxPrecio_V,1,MIN(10,BD$173))*(1+V_dPrecio))</f>
        <v>0</v>
      </c>
      <c r="BE218" s="34" t="n">
        <f aca="false">IF(BE$8=1,IF(Reales!$C$54="PYG",IF(BE$10&gt;0,N(Reales!BE54)/BE$10,0),N(Reales!BE54)),BE$193*INDEX(Precio_V,17)*INDEX(IdxPrecio_V,1,MIN(10,BE$173))*(1+V_dPrecio))</f>
        <v>0</v>
      </c>
      <c r="BF218" s="34" t="n">
        <f aca="false">IF(BF$8=1,IF(Reales!$C$54="PYG",IF(BF$10&gt;0,N(Reales!BF54)/BF$10,0),N(Reales!BF54)),BF$193*INDEX(Precio_V,17)*INDEX(IdxPrecio_V,1,MIN(10,BF$173))*(1+V_dPrecio))</f>
        <v>0</v>
      </c>
      <c r="BG218" s="34" t="n">
        <f aca="false">IF(BG$8=1,IF(Reales!$C$54="PYG",IF(BG$10&gt;0,N(Reales!BG54)/BG$10,0),N(Reales!BG54)),BG$193*INDEX(Precio_V,17)*INDEX(IdxPrecio_V,1,MIN(10,BG$173))*(1+V_dPrecio))</f>
        <v>0</v>
      </c>
      <c r="BH218" s="34" t="n">
        <f aca="false">IF(BH$8=1,IF(Reales!$C$54="PYG",IF(BH$10&gt;0,N(Reales!BH54)/BH$10,0),N(Reales!BH54)),BH$193*INDEX(Precio_V,17)*INDEX(IdxPrecio_V,1,MIN(10,BH$173))*(1+V_dPrecio))</f>
        <v>0</v>
      </c>
      <c r="BI218" s="34" t="n">
        <f aca="false">IF(BI$8=1,IF(Reales!$C$54="PYG",IF(BI$10&gt;0,N(Reales!BI54)/BI$10,0),N(Reales!BI54)),BI$193*INDEX(Precio_V,17)*INDEX(IdxPrecio_V,1,MIN(10,BI$173))*(1+V_dPrecio))</f>
        <v>0</v>
      </c>
      <c r="BJ218" s="34" t="n">
        <f aca="false">IF(BJ$8=1,IF(Reales!$C$54="PYG",IF(BJ$10&gt;0,N(Reales!BJ54)/BJ$10,0),N(Reales!BJ54)),BJ$193*INDEX(Precio_V,17)*INDEX(IdxPrecio_V,1,MIN(10,BJ$173))*(1+V_dPrecio))</f>
        <v>0</v>
      </c>
      <c r="BK218" s="34" t="n">
        <f aca="false">IF(BK$8=1,IF(Reales!$C$54="PYG",IF(BK$10&gt;0,N(Reales!BK54)/BK$10,0),N(Reales!BK54)),BK$193*INDEX(Precio_V,17)*INDEX(IdxPrecio_V,1,MIN(10,BK$173))*(1+V_dPrecio))</f>
        <v>0</v>
      </c>
      <c r="BL218" s="34" t="n">
        <f aca="false">IF(BL$8=1,IF(Reales!$C$54="PYG",IF(BL$10&gt;0,N(Reales!BL54)/BL$10,0),N(Reales!BL54)),BL$193*INDEX(Precio_V,17)*INDEX(IdxPrecio_V,1,MIN(10,BL$173))*(1+V_dPrecio))</f>
        <v>0</v>
      </c>
      <c r="BM218" s="34" t="n">
        <f aca="false">IF(BM$8=1,IF(Reales!$C$54="PYG",IF(BM$10&gt;0,N(Reales!BM54)/BM$10,0),N(Reales!BM54)),BM$193*INDEX(Precio_V,17)*INDEX(IdxPrecio_V,1,MIN(10,BM$173))*(1+V_dPrecio))</f>
        <v>0</v>
      </c>
      <c r="BN218" s="34" t="n">
        <f aca="false">IF(BN$8=1,IF(Reales!$C$54="PYG",IF(BN$10&gt;0,N(Reales!BN54)/BN$10,0),N(Reales!BN54)),BN$193*INDEX(Precio_V,17)*INDEX(IdxPrecio_V,1,MIN(10,BN$173))*(1+V_dPrecio))</f>
        <v>0</v>
      </c>
      <c r="BO218" s="34" t="n">
        <f aca="false">IF(BO$8=1,IF(Reales!$C$54="PYG",IF(BO$10&gt;0,N(Reales!BO54)/BO$10,0),N(Reales!BO54)),BO$193*INDEX(Precio_V,17)*INDEX(IdxPrecio_V,1,MIN(10,BO$173))*(1+V_dPrecio))</f>
        <v>0</v>
      </c>
      <c r="BP218" s="34" t="n">
        <f aca="false">IF(BP$8=1,IF(Reales!$C$54="PYG",IF(BP$10&gt;0,N(Reales!BP54)/BP$10,0),N(Reales!BP54)),BP$193*INDEX(Precio_V,17)*INDEX(IdxPrecio_V,1,MIN(10,BP$173))*(1+V_dPrecio))</f>
        <v>0</v>
      </c>
      <c r="BQ218" s="34" t="n">
        <f aca="false">IF(BQ$8=1,IF(Reales!$C$54="PYG",IF(BQ$10&gt;0,N(Reales!BQ54)/BQ$10,0),N(Reales!BQ54)),BQ$193*INDEX(Precio_V,17)*INDEX(IdxPrecio_V,1,MIN(10,BQ$173))*(1+V_dPrecio))</f>
        <v>0</v>
      </c>
      <c r="BR218" s="34" t="n">
        <f aca="false">IF(BR$8=1,IF(Reales!$C$54="PYG",IF(BR$10&gt;0,N(Reales!BR54)/BR$10,0),N(Reales!BR54)),BR$193*INDEX(Precio_V,17)*INDEX(IdxPrecio_V,1,MIN(10,BR$173))*(1+V_dPrecio))</f>
        <v>0</v>
      </c>
      <c r="BS218" s="34" t="n">
        <f aca="false">IF(BS$8=1,IF(Reales!$C$54="PYG",IF(BS$10&gt;0,N(Reales!BS54)/BS$10,0),N(Reales!BS54)),BS$193*INDEX(Precio_V,17)*INDEX(IdxPrecio_V,1,MIN(10,BS$173))*(1+V_dPrecio))</f>
        <v>0</v>
      </c>
      <c r="BT218" s="34" t="n">
        <f aca="false">IF(BT$8=1,IF(Reales!$C$54="PYG",IF(BT$10&gt;0,N(Reales!BT54)/BT$10,0),N(Reales!BT54)),BT$193*INDEX(Precio_V,17)*INDEX(IdxPrecio_V,1,MIN(10,BT$173))*(1+V_dPrecio))</f>
        <v>0</v>
      </c>
      <c r="BU218" s="34" t="n">
        <f aca="false">IF(BU$8=1,IF(Reales!$C$54="PYG",IF(BU$10&gt;0,N(Reales!BU54)/BU$10,0),N(Reales!BU54)),BU$193*INDEX(Precio_V,17)*INDEX(IdxPrecio_V,1,MIN(10,BU$173))*(1+V_dPrecio))</f>
        <v>0</v>
      </c>
      <c r="BV218" s="34" t="n">
        <f aca="false">IF(BV$8=1,IF(Reales!$C$54="PYG",IF(BV$10&gt;0,N(Reales!BV54)/BV$10,0),N(Reales!BV54)),BV$193*INDEX(Precio_V,17)*INDEX(IdxPrecio_V,1,MIN(10,BV$173))*(1+V_dPrecio))</f>
        <v>0</v>
      </c>
      <c r="BW218" s="34" t="n">
        <f aca="false">IF(BW$8=1,IF(Reales!$C$54="PYG",IF(BW$10&gt;0,N(Reales!BW54)/BW$10,0),N(Reales!BW54)),BW$193*INDEX(Precio_V,17)*INDEX(IdxPrecio_V,1,MIN(10,BW$173))*(1+V_dPrecio))</f>
        <v>0</v>
      </c>
      <c r="BX218" s="34" t="n">
        <f aca="false">IF(BX$8=1,IF(Reales!$C$54="PYG",IF(BX$10&gt;0,N(Reales!BX54)/BX$10,0),N(Reales!BX54)),BX$193*INDEX(Precio_V,17)*INDEX(IdxPrecio_V,1,MIN(10,BX$173))*(1+V_dPrecio))</f>
        <v>0</v>
      </c>
      <c r="BY218" s="34" t="n">
        <f aca="false">IF(BY$8=1,IF(Reales!$C$54="PYG",IF(BY$10&gt;0,N(Reales!BY54)/BY$10,0),N(Reales!BY54)),BY$193*INDEX(Precio_V,17)*INDEX(IdxPrecio_V,1,MIN(10,BY$173))*(1+V_dPrecio))</f>
        <v>0</v>
      </c>
      <c r="BZ218" s="34" t="n">
        <f aca="false">IF(BZ$8=1,IF(Reales!$C$54="PYG",IF(BZ$10&gt;0,N(Reales!BZ54)/BZ$10,0),N(Reales!BZ54)),BZ$193*INDEX(Precio_V,17)*INDEX(IdxPrecio_V,1,MIN(10,BZ$173))*(1+V_dPrecio))</f>
        <v>0</v>
      </c>
      <c r="CA218" s="34" t="n">
        <f aca="false">IF(CA$8=1,IF(Reales!$C$54="PYG",IF(CA$10&gt;0,N(Reales!CA54)/CA$10,0),N(Reales!CA54)),CA$193*INDEX(Precio_V,17)*INDEX(IdxPrecio_V,1,MIN(10,CA$173))*(1+V_dPrecio))</f>
        <v>0</v>
      </c>
      <c r="CB218" s="34" t="n">
        <f aca="false">IF(CB$8=1,IF(Reales!$C$54="PYG",IF(CB$10&gt;0,N(Reales!CB54)/CB$10,0),N(Reales!CB54)),CB$193*INDEX(Precio_V,17)*INDEX(IdxPrecio_V,1,MIN(10,CB$173))*(1+V_dPrecio))</f>
        <v>0</v>
      </c>
      <c r="CC218" s="34" t="n">
        <f aca="false">IF(CC$8=1,IF(Reales!$C$54="PYG",IF(CC$10&gt;0,N(Reales!CC54)/CC$10,0),N(Reales!CC54)),CC$193*INDEX(Precio_V,17)*INDEX(IdxPrecio_V,1,MIN(10,CC$173))*(1+V_dPrecio))</f>
        <v>0</v>
      </c>
      <c r="CD218" s="34" t="n">
        <f aca="false">IF(CD$8=1,IF(Reales!$C$54="PYG",IF(CD$10&gt;0,N(Reales!CD54)/CD$10,0),N(Reales!CD54)),CD$193*INDEX(Precio_V,17)*INDEX(IdxPrecio_V,1,MIN(10,CD$173))*(1+V_dPrecio))</f>
        <v>0</v>
      </c>
      <c r="CE218" s="34" t="n">
        <f aca="false">IF(CE$8=1,IF(Reales!$C$54="PYG",IF(CE$10&gt;0,N(Reales!CE54)/CE$10,0),N(Reales!CE54)),CE$193*INDEX(Precio_V,17)*INDEX(IdxPrecio_V,1,MIN(10,CE$173))*(1+V_dPrecio))</f>
        <v>0</v>
      </c>
      <c r="CF218" s="34" t="n">
        <f aca="false">IF(CF$8=1,IF(Reales!$C$54="PYG",IF(CF$10&gt;0,N(Reales!CF54)/CF$10,0),N(Reales!CF54)),CF$193*INDEX(Precio_V,17)*INDEX(IdxPrecio_V,1,MIN(10,CF$173))*(1+V_dPrecio))</f>
        <v>0</v>
      </c>
      <c r="CG218" s="34" t="n">
        <f aca="false">IF(CG$8=1,IF(Reales!$C$54="PYG",IF(CG$10&gt;0,N(Reales!CG54)/CG$10,0),N(Reales!CG54)),CG$193*INDEX(Precio_V,17)*INDEX(IdxPrecio_V,1,MIN(10,CG$173))*(1+V_dPrecio))</f>
        <v>0</v>
      </c>
      <c r="CH218" s="34" t="n">
        <f aca="false">IF(CH$8=1,IF(Reales!$C$54="PYG",IF(CH$10&gt;0,N(Reales!CH54)/CH$10,0),N(Reales!CH54)),CH$193*INDEX(Precio_V,17)*INDEX(IdxPrecio_V,1,MIN(10,CH$173))*(1+V_dPrecio))</f>
        <v>0</v>
      </c>
      <c r="CI218" s="34" t="n">
        <f aca="false">IF(CI$8=1,IF(Reales!$C$54="PYG",IF(CI$10&gt;0,N(Reales!CI54)/CI$10,0),N(Reales!CI54)),CI$193*INDEX(Precio_V,17)*INDEX(IdxPrecio_V,1,MIN(10,CI$173))*(1+V_dPrecio))</f>
        <v>0</v>
      </c>
      <c r="CJ218" s="34" t="n">
        <f aca="false">IF(CJ$8=1,IF(Reales!$C$54="PYG",IF(CJ$10&gt;0,N(Reales!CJ54)/CJ$10,0),N(Reales!CJ54)),CJ$193*INDEX(Precio_V,17)*INDEX(IdxPrecio_V,1,MIN(10,CJ$173))*(1+V_dPrecio))</f>
        <v>0</v>
      </c>
      <c r="CK218" s="34" t="n">
        <f aca="false">IF(CK$8=1,IF(Reales!$C$54="PYG",IF(CK$10&gt;0,N(Reales!CK54)/CK$10,0),N(Reales!CK54)),CK$193*INDEX(Precio_V,17)*INDEX(IdxPrecio_V,1,MIN(10,CK$173))*(1+V_dPrecio))</f>
        <v>0</v>
      </c>
      <c r="CL218" s="34" t="n">
        <f aca="false">IF(CL$8=1,IF(Reales!$C$54="PYG",IF(CL$10&gt;0,N(Reales!CL54)/CL$10,0),N(Reales!CL54)),CL$193*INDEX(Precio_V,17)*INDEX(IdxPrecio_V,1,MIN(10,CL$173))*(1+V_dPrecio))</f>
        <v>0</v>
      </c>
      <c r="CM218" s="34" t="n">
        <f aca="false">IF(CM$8=1,IF(Reales!$C$54="PYG",IF(CM$10&gt;0,N(Reales!CM54)/CM$10,0),N(Reales!CM54)),CM$193*INDEX(Precio_V,17)*INDEX(IdxPrecio_V,1,MIN(10,CM$173))*(1+V_dPrecio))</f>
        <v>0</v>
      </c>
      <c r="CN218" s="34" t="n">
        <f aca="false">IF(CN$8=1,IF(Reales!$C$54="PYG",IF(CN$10&gt;0,N(Reales!CN54)/CN$10,0),N(Reales!CN54)),CN$193*INDEX(Precio_V,17)*INDEX(IdxPrecio_V,1,MIN(10,CN$173))*(1+V_dPrecio))</f>
        <v>0</v>
      </c>
      <c r="CO218" s="34" t="n">
        <f aca="false">IF(CO$8=1,IF(Reales!$C$54="PYG",IF(CO$10&gt;0,N(Reales!CO54)/CO$10,0),N(Reales!CO54)),CO$193*INDEX(Precio_V,17)*INDEX(IdxPrecio_V,1,MIN(10,CO$173))*(1+V_dPrecio))</f>
        <v>0</v>
      </c>
      <c r="CP218" s="34" t="n">
        <f aca="false">IF(CP$8=1,IF(Reales!$C$54="PYG",IF(CP$10&gt;0,N(Reales!CP54)/CP$10,0),N(Reales!CP54)),CP$193*INDEX(Precio_V,17)*INDEX(IdxPrecio_V,1,MIN(10,CP$173))*(1+V_dPrecio))</f>
        <v>0</v>
      </c>
      <c r="CQ218" s="34" t="n">
        <f aca="false">IF(CQ$8=1,IF(Reales!$C$54="PYG",IF(CQ$10&gt;0,N(Reales!CQ54)/CQ$10,0),N(Reales!CQ54)),CQ$193*INDEX(Precio_V,17)*INDEX(IdxPrecio_V,1,MIN(10,CQ$173))*(1+V_dPrecio))</f>
        <v>0</v>
      </c>
      <c r="CR218" s="34" t="n">
        <f aca="false">IF(CR$8=1,IF(Reales!$C$54="PYG",IF(CR$10&gt;0,N(Reales!CR54)/CR$10,0),N(Reales!CR54)),CR$193*INDEX(Precio_V,17)*INDEX(IdxPrecio_V,1,MIN(10,CR$173))*(1+V_dPrecio))</f>
        <v>0</v>
      </c>
      <c r="CS218" s="34" t="n">
        <f aca="false">IF(CS$8=1,IF(Reales!$C$54="PYG",IF(CS$10&gt;0,N(Reales!CS54)/CS$10,0),N(Reales!CS54)),CS$193*INDEX(Precio_V,17)*INDEX(IdxPrecio_V,1,MIN(10,CS$173))*(1+V_dPrecio))</f>
        <v>0</v>
      </c>
      <c r="CT218" s="34" t="n">
        <f aca="false">IF(CT$8=1,IF(Reales!$C$54="PYG",IF(CT$10&gt;0,N(Reales!CT54)/CT$10,0),N(Reales!CT54)),CT$193*INDEX(Precio_V,17)*INDEX(IdxPrecio_V,1,MIN(10,CT$173))*(1+V_dPrecio))</f>
        <v>0</v>
      </c>
      <c r="CU218" s="34" t="n">
        <f aca="false">IF(CU$8=1,IF(Reales!$C$54="PYG",IF(CU$10&gt;0,N(Reales!CU54)/CU$10,0),N(Reales!CU54)),CU$193*INDEX(Precio_V,17)*INDEX(IdxPrecio_V,1,MIN(10,CU$173))*(1+V_dPrecio))</f>
        <v>0</v>
      </c>
      <c r="CV218" s="34" t="n">
        <f aca="false">IF(CV$8=1,IF(Reales!$C$54="PYG",IF(CV$10&gt;0,N(Reales!CV54)/CV$10,0),N(Reales!CV54)),CV$193*INDEX(Precio_V,17)*INDEX(IdxPrecio_V,1,MIN(10,CV$173))*(1+V_dPrecio))</f>
        <v>0</v>
      </c>
      <c r="CW218" s="34" t="n">
        <f aca="false">IF(CW$8=1,IF(Reales!$C$54="PYG",IF(CW$10&gt;0,N(Reales!CW54)/CW$10,0),N(Reales!CW54)),CW$193*INDEX(Precio_V,17)*INDEX(IdxPrecio_V,1,MIN(10,CW$173))*(1+V_dPrecio))</f>
        <v>0</v>
      </c>
      <c r="CX218" s="34" t="n">
        <f aca="false">IF(CX$8=1,IF(Reales!$C$54="PYG",IF(CX$10&gt;0,N(Reales!CX54)/CX$10,0),N(Reales!CX54)),CX$193*INDEX(Precio_V,17)*INDEX(IdxPrecio_V,1,MIN(10,CX$173))*(1+V_dPrecio))</f>
        <v>0</v>
      </c>
      <c r="CY218" s="34" t="n">
        <f aca="false">IF(CY$8=1,IF(Reales!$C$54="PYG",IF(CY$10&gt;0,N(Reales!CY54)/CY$10,0),N(Reales!CY54)),CY$193*INDEX(Precio_V,17)*INDEX(IdxPrecio_V,1,MIN(10,CY$173))*(1+V_dPrecio))</f>
        <v>0</v>
      </c>
      <c r="CZ218" s="34" t="n">
        <f aca="false">IF(CZ$8=1,IF(Reales!$C$54="PYG",IF(CZ$10&gt;0,N(Reales!CZ54)/CZ$10,0),N(Reales!CZ54)),CZ$193*INDEX(Precio_V,17)*INDEX(IdxPrecio_V,1,MIN(10,CZ$173))*(1+V_dPrecio))</f>
        <v>0</v>
      </c>
      <c r="DA218" s="34" t="n">
        <f aca="false">IF(DA$8=1,IF(Reales!$C$54="PYG",IF(DA$10&gt;0,N(Reales!DA54)/DA$10,0),N(Reales!DA54)),DA$193*INDEX(Precio_V,17)*INDEX(IdxPrecio_V,1,MIN(10,DA$173))*(1+V_dPrecio))</f>
        <v>0</v>
      </c>
      <c r="DB218" s="34" t="n">
        <f aca="false">IF(DB$8=1,IF(Reales!$C$54="PYG",IF(DB$10&gt;0,N(Reales!DB54)/DB$10,0),N(Reales!DB54)),DB$193*INDEX(Precio_V,17)*INDEX(IdxPrecio_V,1,MIN(10,DB$173))*(1+V_dPrecio))</f>
        <v>0</v>
      </c>
      <c r="DC218" s="34" t="n">
        <f aca="false">IF(DC$8=1,IF(Reales!$C$54="PYG",IF(DC$10&gt;0,N(Reales!DC54)/DC$10,0),N(Reales!DC54)),DC$193*INDEX(Precio_V,17)*INDEX(IdxPrecio_V,1,MIN(10,DC$173))*(1+V_dPrecio))</f>
        <v>0</v>
      </c>
      <c r="DD218" s="34" t="n">
        <f aca="false">IF(DD$8=1,IF(Reales!$C$54="PYG",IF(DD$10&gt;0,N(Reales!DD54)/DD$10,0),N(Reales!DD54)),DD$193*INDEX(Precio_V,17)*INDEX(IdxPrecio_V,1,MIN(10,DD$173))*(1+V_dPrecio))</f>
        <v>0</v>
      </c>
      <c r="DE218" s="34" t="n">
        <f aca="false">IF(DE$8=1,IF(Reales!$C$54="PYG",IF(DE$10&gt;0,N(Reales!DE54)/DE$10,0),N(Reales!DE54)),DE$193*INDEX(Precio_V,17)*INDEX(IdxPrecio_V,1,MIN(10,DE$173))*(1+V_dPrecio))</f>
        <v>0</v>
      </c>
      <c r="DF218" s="34" t="n">
        <f aca="false">IF(DF$8=1,IF(Reales!$C$54="PYG",IF(DF$10&gt;0,N(Reales!DF54)/DF$10,0),N(Reales!DF54)),DF$193*INDEX(Precio_V,17)*INDEX(IdxPrecio_V,1,MIN(10,DF$173))*(1+V_dPrecio))</f>
        <v>0</v>
      </c>
      <c r="DG218" s="34" t="n">
        <f aca="false">IF(DG$8=1,IF(Reales!$C$54="PYG",IF(DG$10&gt;0,N(Reales!DG54)/DG$10,0),N(Reales!DG54)),DG$193*INDEX(Precio_V,17)*INDEX(IdxPrecio_V,1,MIN(10,DG$173))*(1+V_dPrecio))</f>
        <v>0</v>
      </c>
      <c r="DH218" s="34" t="n">
        <f aca="false">IF(DH$8=1,IF(Reales!$C$54="PYG",IF(DH$10&gt;0,N(Reales!DH54)/DH$10,0),N(Reales!DH54)),DH$193*INDEX(Precio_V,17)*INDEX(IdxPrecio_V,1,MIN(10,DH$173))*(1+V_dPrecio))</f>
        <v>0</v>
      </c>
      <c r="DI218" s="34" t="n">
        <f aca="false">IF(DI$8=1,IF(Reales!$C$54="PYG",IF(DI$10&gt;0,N(Reales!DI54)/DI$10,0),N(Reales!DI54)),DI$193*INDEX(Precio_V,17)*INDEX(IdxPrecio_V,1,MIN(10,DI$173))*(1+V_dPrecio))</f>
        <v>0</v>
      </c>
      <c r="DJ218" s="34" t="n">
        <f aca="false">IF(DJ$8=1,IF(Reales!$C$54="PYG",IF(DJ$10&gt;0,N(Reales!DJ54)/DJ$10,0),N(Reales!DJ54)),DJ$193*INDEX(Precio_V,17)*INDEX(IdxPrecio_V,1,MIN(10,DJ$173))*(1+V_dPrecio))</f>
        <v>0</v>
      </c>
      <c r="DK218" s="34" t="n">
        <f aca="false">IF(DK$8=1,IF(Reales!$C$54="PYG",IF(DK$10&gt;0,N(Reales!DK54)/DK$10,0),N(Reales!DK54)),DK$193*INDEX(Precio_V,17)*INDEX(IdxPrecio_V,1,MIN(10,DK$173))*(1+V_dPrecio))</f>
        <v>0</v>
      </c>
      <c r="DL218" s="34" t="n">
        <f aca="false">IF(DL$8=1,IF(Reales!$C$54="PYG",IF(DL$10&gt;0,N(Reales!DL54)/DL$10,0),N(Reales!DL54)),DL$193*INDEX(Precio_V,17)*INDEX(IdxPrecio_V,1,MIN(10,DL$173))*(1+V_dPrecio))</f>
        <v>0</v>
      </c>
      <c r="DM218" s="34" t="n">
        <f aca="false">IF(DM$8=1,IF(Reales!$C$54="PYG",IF(DM$10&gt;0,N(Reales!DM54)/DM$10,0),N(Reales!DM54)),DM$193*INDEX(Precio_V,17)*INDEX(IdxPrecio_V,1,MIN(10,DM$173))*(1+V_dPrecio))</f>
        <v>0</v>
      </c>
      <c r="DN218" s="34" t="n">
        <f aca="false">IF(DN$8=1,IF(Reales!$C$54="PYG",IF(DN$10&gt;0,N(Reales!DN54)/DN$10,0),N(Reales!DN54)),DN$193*INDEX(Precio_V,17)*INDEX(IdxPrecio_V,1,MIN(10,DN$173))*(1+V_dPrecio))</f>
        <v>0</v>
      </c>
      <c r="DO218" s="34" t="n">
        <f aca="false">IF(DO$8=1,IF(Reales!$C$54="PYG",IF(DO$10&gt;0,N(Reales!DO54)/DO$10,0),N(Reales!DO54)),DO$193*INDEX(Precio_V,17)*INDEX(IdxPrecio_V,1,MIN(10,DO$173))*(1+V_dPrecio))</f>
        <v>0</v>
      </c>
      <c r="DP218" s="34" t="n">
        <f aca="false">IF(DP$8=1,IF(Reales!$C$54="PYG",IF(DP$10&gt;0,N(Reales!DP54)/DP$10,0),N(Reales!DP54)),DP$193*INDEX(Precio_V,17)*INDEX(IdxPrecio_V,1,MIN(10,DP$173))*(1+V_dPrecio))</f>
        <v>0</v>
      </c>
      <c r="DQ218" s="34" t="n">
        <f aca="false">IF(DQ$8=1,IF(Reales!$C$54="PYG",IF(DQ$10&gt;0,N(Reales!DQ54)/DQ$10,0),N(Reales!DQ54)),DQ$193*INDEX(Precio_V,17)*INDEX(IdxPrecio_V,1,MIN(10,DQ$173))*(1+V_dPrecio))</f>
        <v>0</v>
      </c>
      <c r="DR218" s="34" t="n">
        <f aca="false">IF(DR$8=1,IF(Reales!$C$54="PYG",IF(DR$10&gt;0,N(Reales!DR54)/DR$10,0),N(Reales!DR54)),DR$193*INDEX(Precio_V,17)*INDEX(IdxPrecio_V,1,MIN(10,DR$173))*(1+V_dPrecio))</f>
        <v>0</v>
      </c>
      <c r="DS218" s="34" t="n">
        <f aca="false">IF(DS$8=1,IF(Reales!$C$54="PYG",IF(DS$10&gt;0,N(Reales!DS54)/DS$10,0),N(Reales!DS54)),DS$193*INDEX(Precio_V,17)*INDEX(IdxPrecio_V,1,MIN(10,DS$173))*(1+V_dPrecio))</f>
        <v>0</v>
      </c>
      <c r="DT218" s="34" t="n">
        <f aca="false">IF(DT$8=1,IF(Reales!$C$54="PYG",IF(DT$10&gt;0,N(Reales!DT54)/DT$10,0),N(Reales!DT54)),DT$193*INDEX(Precio_V,17)*INDEX(IdxPrecio_V,1,MIN(10,DT$173))*(1+V_dPrecio))</f>
        <v>0</v>
      </c>
      <c r="DU218" s="34" t="n">
        <f aca="false">IF(DU$8=1,IF(Reales!$C$54="PYG",IF(DU$10&gt;0,N(Reales!DU54)/DU$10,0),N(Reales!DU54)),DU$193*INDEX(Precio_V,17)*INDEX(IdxPrecio_V,1,MIN(10,DU$173))*(1+V_dPrecio))</f>
        <v>0</v>
      </c>
      <c r="DV218" s="34" t="n">
        <f aca="false">IF(DV$8=1,IF(Reales!$C$54="PYG",IF(DV$10&gt;0,N(Reales!DV54)/DV$10,0),N(Reales!DV54)),DV$193*INDEX(Precio_V,17)*INDEX(IdxPrecio_V,1,MIN(10,DV$173))*(1+V_dPrecio))</f>
        <v>0</v>
      </c>
      <c r="DW218" s="34" t="n">
        <f aca="false">IF(DW$8=1,IF(Reales!$C$54="PYG",IF(DW$10&gt;0,N(Reales!DW54)/DW$10,0),N(Reales!DW54)),DW$193*INDEX(Precio_V,17)*INDEX(IdxPrecio_V,1,MIN(10,DW$173))*(1+V_dPrecio))</f>
        <v>0</v>
      </c>
      <c r="DX218" s="34" t="n">
        <f aca="false">IF(DX$8=1,IF(Reales!$C$54="PYG",IF(DX$10&gt;0,N(Reales!DX54)/DX$10,0),N(Reales!DX54)),DX$193*INDEX(Precio_V,17)*INDEX(IdxPrecio_V,1,MIN(10,DX$173))*(1+V_dPrecio))</f>
        <v>0</v>
      </c>
      <c r="DY218" s="34" t="n">
        <f aca="false">IF(DY$8=1,IF(Reales!$C$54="PYG",IF(DY$10&gt;0,N(Reales!DY54)/DY$10,0),N(Reales!DY54)),DY$193*INDEX(Precio_V,17)*INDEX(IdxPrecio_V,1,MIN(10,DY$173))*(1+V_dPrecio))</f>
        <v>0</v>
      </c>
      <c r="DZ218" s="34" t="n">
        <f aca="false">IF(DZ$8=1,IF(Reales!$C$54="PYG",IF(DZ$10&gt;0,N(Reales!DZ54)/DZ$10,0),N(Reales!DZ54)),DZ$193*INDEX(Precio_V,17)*INDEX(IdxPrecio_V,1,MIN(10,DZ$173))*(1+V_dPrecio))</f>
        <v>0</v>
      </c>
      <c r="EA218" s="34" t="n">
        <f aca="false">IF(EA$8=1,IF(Reales!$C$54="PYG",IF(EA$10&gt;0,N(Reales!EA54)/EA$10,0),N(Reales!EA54)),EA$193*INDEX(Precio_V,17)*INDEX(IdxPrecio_V,1,MIN(10,EA$173))*(1+V_dPrecio))</f>
        <v>0</v>
      </c>
      <c r="EB218" s="34" t="n">
        <f aca="false">IF(EB$8=1,IF(Reales!$C$54="PYG",IF(EB$10&gt;0,N(Reales!EB54)/EB$10,0),N(Reales!EB54)),EB$193*INDEX(Precio_V,17)*INDEX(IdxPrecio_V,1,MIN(10,EB$173))*(1+V_dPrecio))</f>
        <v>0</v>
      </c>
      <c r="EC218" s="34" t="n">
        <f aca="false">IF(EC$8=1,IF(Reales!$C$54="PYG",IF(EC$10&gt;0,N(Reales!EC54)/EC$10,0),N(Reales!EC54)),EC$193*INDEX(Precio_V,17)*INDEX(IdxPrecio_V,1,MIN(10,EC$173))*(1+V_dPrecio))</f>
        <v>0</v>
      </c>
      <c r="ED218" s="34" t="n">
        <f aca="false">IF(ED$8=1,IF(Reales!$C$54="PYG",IF(ED$10&gt;0,N(Reales!ED54)/ED$10,0),N(Reales!ED54)),ED$193*INDEX(Precio_V,17)*INDEX(IdxPrecio_V,1,MIN(10,ED$173))*(1+V_dPrecio))</f>
        <v>0</v>
      </c>
      <c r="EE218" s="34" t="n">
        <f aca="false">IF(EE$8=1,IF(Reales!$C$54="PYG",IF(EE$10&gt;0,N(Reales!EE54)/EE$10,0),N(Reales!EE54)),EE$193*INDEX(Precio_V,17)*INDEX(IdxPrecio_V,1,MIN(10,EE$173))*(1+V_dPrecio))</f>
        <v>0</v>
      </c>
      <c r="EF218" s="34" t="n">
        <f aca="false">IF(EF$8=1,IF(Reales!$C$54="PYG",IF(EF$10&gt;0,N(Reales!EF54)/EF$10,0),N(Reales!EF54)),EF$193*INDEX(Precio_V,17)*INDEX(IdxPrecio_V,1,MIN(10,EF$173))*(1+V_dPrecio))</f>
        <v>0</v>
      </c>
      <c r="EG218" s="34" t="n">
        <f aca="false">IF(EG$8=1,IF(Reales!$C$54="PYG",IF(EG$10&gt;0,N(Reales!EG54)/EG$10,0),N(Reales!EG54)),EG$193*INDEX(Precio_V,17)*INDEX(IdxPrecio_V,1,MIN(10,EG$173))*(1+V_dPrecio))</f>
        <v>0</v>
      </c>
      <c r="EH218" s="34" t="n">
        <f aca="false">IF(EH$8=1,IF(Reales!$C$54="PYG",IF(EH$10&gt;0,N(Reales!EH54)/EH$10,0),N(Reales!EH54)),EH$193*INDEX(Precio_V,17)*INDEX(IdxPrecio_V,1,MIN(10,EH$173))*(1+V_dPrecio))</f>
        <v>0</v>
      </c>
      <c r="EI218" s="34" t="n">
        <f aca="false">IF(EI$8=1,IF(Reales!$C$54="PYG",IF(EI$10&gt;0,N(Reales!EI54)/EI$10,0),N(Reales!EI54)),EI$193*INDEX(Precio_V,17)*INDEX(IdxPrecio_V,1,MIN(10,EI$173))*(1+V_dPrecio))</f>
        <v>0</v>
      </c>
      <c r="EJ218" s="34" t="n">
        <f aca="false">IF(EJ$8=1,IF(Reales!$C$54="PYG",IF(EJ$10&gt;0,N(Reales!EJ54)/EJ$10,0),N(Reales!EJ54)),EJ$193*INDEX(Precio_V,17)*INDEX(IdxPrecio_V,1,MIN(10,EJ$173))*(1+V_dPrecio))</f>
        <v>0</v>
      </c>
      <c r="EK218" s="34" t="n">
        <f aca="false">IF(EK$8=1,IF(Reales!$C$54="PYG",IF(EK$10&gt;0,N(Reales!EK54)/EK$10,0),N(Reales!EK54)),EK$193*INDEX(Precio_V,17)*INDEX(IdxPrecio_V,1,MIN(10,EK$173))*(1+V_dPrecio))</f>
        <v>0</v>
      </c>
      <c r="EL218" s="34" t="n">
        <f aca="false">IF(EL$8=1,IF(Reales!$C$54="PYG",IF(EL$10&gt;0,N(Reales!EL54)/EL$10,0),N(Reales!EL54)),EL$193*INDEX(Precio_V,17)*INDEX(IdxPrecio_V,1,MIN(10,EL$173))*(1+V_dPrecio))</f>
        <v>0</v>
      </c>
      <c r="EM218" s="34" t="n">
        <f aca="false">IF(EM$8=1,IF(Reales!$C$54="PYG",IF(EM$10&gt;0,N(Reales!EM54)/EM$10,0),N(Reales!EM54)),EM$193*INDEX(Precio_V,17)*INDEX(IdxPrecio_V,1,MIN(10,EM$173))*(1+V_dPrecio))</f>
        <v>0</v>
      </c>
      <c r="EN218" s="34" t="n">
        <f aca="false">IF(EN$8=1,IF(Reales!$C$54="PYG",IF(EN$10&gt;0,N(Reales!EN54)/EN$10,0),N(Reales!EN54)),EN$193*INDEX(Precio_V,17)*INDEX(IdxPrecio_V,1,MIN(10,EN$173))*(1+V_dPrecio))</f>
        <v>0</v>
      </c>
      <c r="EO218" s="34" t="n">
        <f aca="false">IF(EO$8=1,IF(Reales!$C$54="PYG",IF(EO$10&gt;0,N(Reales!EO54)/EO$10,0),N(Reales!EO54)),EO$193*INDEX(Precio_V,17)*INDEX(IdxPrecio_V,1,MIN(10,EO$173))*(1+V_dPrecio))</f>
        <v>0</v>
      </c>
      <c r="EP218" s="34" t="n">
        <f aca="false">IF(EP$8=1,IF(Reales!$C$54="PYG",IF(EP$10&gt;0,N(Reales!EP54)/EP$10,0),N(Reales!EP54)),EP$193*INDEX(Precio_V,17)*INDEX(IdxPrecio_V,1,MIN(10,EP$173))*(1+V_dPrecio))</f>
        <v>0</v>
      </c>
      <c r="EQ218" s="34" t="n">
        <f aca="false">IF(EQ$8=1,IF(Reales!$C$54="PYG",IF(EQ$10&gt;0,N(Reales!EQ54)/EQ$10,0),N(Reales!EQ54)),EQ$193*INDEX(Precio_V,17)*INDEX(IdxPrecio_V,1,MIN(10,EQ$173))*(1+V_dPrecio))</f>
        <v>0</v>
      </c>
      <c r="ER218" s="34" t="n">
        <f aca="false">IF(ER$8=1,IF(Reales!$C$54="PYG",IF(ER$10&gt;0,N(Reales!ER54)/ER$10,0),N(Reales!ER54)),ER$193*INDEX(Precio_V,17)*INDEX(IdxPrecio_V,1,MIN(10,ER$173))*(1+V_dPrecio))</f>
        <v>0</v>
      </c>
      <c r="ES218" s="34" t="n">
        <f aca="false">IF(ES$8=1,IF(Reales!$C$54="PYG",IF(ES$10&gt;0,N(Reales!ES54)/ES$10,0),N(Reales!ES54)),ES$193*INDEX(Precio_V,17)*INDEX(IdxPrecio_V,1,MIN(10,ES$173))*(1+V_dPrecio))</f>
        <v>0</v>
      </c>
    </row>
    <row r="219" customFormat="false" ht="15" hidden="false" customHeight="false" outlineLevel="0" collapsed="false">
      <c r="A219" s="2" t="s">
        <v>861</v>
      </c>
      <c r="B219" s="39" t="str">
        <f aca="false">IF(INDEX(Prod_Nombre,18)="","Producto 18",INDEX(Prod_Nombre,18))&amp;" — ventas USD"</f>
        <v>Producto 18 — ventas USD</v>
      </c>
      <c r="C219" s="6" t="s">
        <v>250</v>
      </c>
      <c r="E219" s="40" t="n">
        <f aca="false">SUM(F219:ES219)</f>
        <v>0</v>
      </c>
      <c r="F219" s="34" t="n">
        <f aca="false">IF(F$8=1,IF(Reales!$C$55="PYG",IF(F$10&gt;0,N(Reales!F55)/F$10,0),N(Reales!F55)),F$194*INDEX(Precio_V,18)*INDEX(IdxPrecio_V,1,MIN(10,F$173))*(1+V_dPrecio))</f>
        <v>0</v>
      </c>
      <c r="G219" s="34" t="n">
        <f aca="false">IF(G$8=1,IF(Reales!$C$55="PYG",IF(G$10&gt;0,N(Reales!G55)/G$10,0),N(Reales!G55)),G$194*INDEX(Precio_V,18)*INDEX(IdxPrecio_V,1,MIN(10,G$173))*(1+V_dPrecio))</f>
        <v>0</v>
      </c>
      <c r="H219" s="34" t="n">
        <f aca="false">IF(H$8=1,IF(Reales!$C$55="PYG",IF(H$10&gt;0,N(Reales!H55)/H$10,0),N(Reales!H55)),H$194*INDEX(Precio_V,18)*INDEX(IdxPrecio_V,1,MIN(10,H$173))*(1+V_dPrecio))</f>
        <v>0</v>
      </c>
      <c r="I219" s="34" t="n">
        <f aca="false">IF(I$8=1,IF(Reales!$C$55="PYG",IF(I$10&gt;0,N(Reales!I55)/I$10,0),N(Reales!I55)),I$194*INDEX(Precio_V,18)*INDEX(IdxPrecio_V,1,MIN(10,I$173))*(1+V_dPrecio))</f>
        <v>0</v>
      </c>
      <c r="J219" s="34" t="n">
        <f aca="false">IF(J$8=1,IF(Reales!$C$55="PYG",IF(J$10&gt;0,N(Reales!J55)/J$10,0),N(Reales!J55)),J$194*INDEX(Precio_V,18)*INDEX(IdxPrecio_V,1,MIN(10,J$173))*(1+V_dPrecio))</f>
        <v>0</v>
      </c>
      <c r="K219" s="34" t="n">
        <f aca="false">IF(K$8=1,IF(Reales!$C$55="PYG",IF(K$10&gt;0,N(Reales!K55)/K$10,0),N(Reales!K55)),K$194*INDEX(Precio_V,18)*INDEX(IdxPrecio_V,1,MIN(10,K$173))*(1+V_dPrecio))</f>
        <v>0</v>
      </c>
      <c r="L219" s="34" t="n">
        <f aca="false">IF(L$8=1,IF(Reales!$C$55="PYG",IF(L$10&gt;0,N(Reales!L55)/L$10,0),N(Reales!L55)),L$194*INDEX(Precio_V,18)*INDEX(IdxPrecio_V,1,MIN(10,L$173))*(1+V_dPrecio))</f>
        <v>0</v>
      </c>
      <c r="M219" s="34" t="n">
        <f aca="false">IF(M$8=1,IF(Reales!$C$55="PYG",IF(M$10&gt;0,N(Reales!M55)/M$10,0),N(Reales!M55)),M$194*INDEX(Precio_V,18)*INDEX(IdxPrecio_V,1,MIN(10,M$173))*(1+V_dPrecio))</f>
        <v>0</v>
      </c>
      <c r="N219" s="34" t="n">
        <f aca="false">IF(N$8=1,IF(Reales!$C$55="PYG",IF(N$10&gt;0,N(Reales!N55)/N$10,0),N(Reales!N55)),N$194*INDEX(Precio_V,18)*INDEX(IdxPrecio_V,1,MIN(10,N$173))*(1+V_dPrecio))</f>
        <v>0</v>
      </c>
      <c r="O219" s="34" t="n">
        <f aca="false">IF(O$8=1,IF(Reales!$C$55="PYG",IF(O$10&gt;0,N(Reales!O55)/O$10,0),N(Reales!O55)),O$194*INDEX(Precio_V,18)*INDEX(IdxPrecio_V,1,MIN(10,O$173))*(1+V_dPrecio))</f>
        <v>0</v>
      </c>
      <c r="P219" s="34" t="n">
        <f aca="false">IF(P$8=1,IF(Reales!$C$55="PYG",IF(P$10&gt;0,N(Reales!P55)/P$10,0),N(Reales!P55)),P$194*INDEX(Precio_V,18)*INDEX(IdxPrecio_V,1,MIN(10,P$173))*(1+V_dPrecio))</f>
        <v>0</v>
      </c>
      <c r="Q219" s="34" t="n">
        <f aca="false">IF(Q$8=1,IF(Reales!$C$55="PYG",IF(Q$10&gt;0,N(Reales!Q55)/Q$10,0),N(Reales!Q55)),Q$194*INDEX(Precio_V,18)*INDEX(IdxPrecio_V,1,MIN(10,Q$173))*(1+V_dPrecio))</f>
        <v>0</v>
      </c>
      <c r="R219" s="34" t="n">
        <f aca="false">IF(R$8=1,IF(Reales!$C$55="PYG",IF(R$10&gt;0,N(Reales!R55)/R$10,0),N(Reales!R55)),R$194*INDEX(Precio_V,18)*INDEX(IdxPrecio_V,1,MIN(10,R$173))*(1+V_dPrecio))</f>
        <v>0</v>
      </c>
      <c r="S219" s="34" t="n">
        <f aca="false">IF(S$8=1,IF(Reales!$C$55="PYG",IF(S$10&gt;0,N(Reales!S55)/S$10,0),N(Reales!S55)),S$194*INDEX(Precio_V,18)*INDEX(IdxPrecio_V,1,MIN(10,S$173))*(1+V_dPrecio))</f>
        <v>0</v>
      </c>
      <c r="T219" s="34" t="n">
        <f aca="false">IF(T$8=1,IF(Reales!$C$55="PYG",IF(T$10&gt;0,N(Reales!T55)/T$10,0),N(Reales!T55)),T$194*INDEX(Precio_V,18)*INDEX(IdxPrecio_V,1,MIN(10,T$173))*(1+V_dPrecio))</f>
        <v>0</v>
      </c>
      <c r="U219" s="34" t="n">
        <f aca="false">IF(U$8=1,IF(Reales!$C$55="PYG",IF(U$10&gt;0,N(Reales!U55)/U$10,0),N(Reales!U55)),U$194*INDEX(Precio_V,18)*INDEX(IdxPrecio_V,1,MIN(10,U$173))*(1+V_dPrecio))</f>
        <v>0</v>
      </c>
      <c r="V219" s="34" t="n">
        <f aca="false">IF(V$8=1,IF(Reales!$C$55="PYG",IF(V$10&gt;0,N(Reales!V55)/V$10,0),N(Reales!V55)),V$194*INDEX(Precio_V,18)*INDEX(IdxPrecio_V,1,MIN(10,V$173))*(1+V_dPrecio))</f>
        <v>0</v>
      </c>
      <c r="W219" s="34" t="n">
        <f aca="false">IF(W$8=1,IF(Reales!$C$55="PYG",IF(W$10&gt;0,N(Reales!W55)/W$10,0),N(Reales!W55)),W$194*INDEX(Precio_V,18)*INDEX(IdxPrecio_V,1,MIN(10,W$173))*(1+V_dPrecio))</f>
        <v>0</v>
      </c>
      <c r="X219" s="34" t="n">
        <f aca="false">IF(X$8=1,IF(Reales!$C$55="PYG",IF(X$10&gt;0,N(Reales!X55)/X$10,0),N(Reales!X55)),X$194*INDEX(Precio_V,18)*INDEX(IdxPrecio_V,1,MIN(10,X$173))*(1+V_dPrecio))</f>
        <v>0</v>
      </c>
      <c r="Y219" s="34" t="n">
        <f aca="false">IF(Y$8=1,IF(Reales!$C$55="PYG",IF(Y$10&gt;0,N(Reales!Y55)/Y$10,0),N(Reales!Y55)),Y$194*INDEX(Precio_V,18)*INDEX(IdxPrecio_V,1,MIN(10,Y$173))*(1+V_dPrecio))</f>
        <v>0</v>
      </c>
      <c r="Z219" s="34" t="n">
        <f aca="false">IF(Z$8=1,IF(Reales!$C$55="PYG",IF(Z$10&gt;0,N(Reales!Z55)/Z$10,0),N(Reales!Z55)),Z$194*INDEX(Precio_V,18)*INDEX(IdxPrecio_V,1,MIN(10,Z$173))*(1+V_dPrecio))</f>
        <v>0</v>
      </c>
      <c r="AA219" s="34" t="n">
        <f aca="false">IF(AA$8=1,IF(Reales!$C$55="PYG",IF(AA$10&gt;0,N(Reales!AA55)/AA$10,0),N(Reales!AA55)),AA$194*INDEX(Precio_V,18)*INDEX(IdxPrecio_V,1,MIN(10,AA$173))*(1+V_dPrecio))</f>
        <v>0</v>
      </c>
      <c r="AB219" s="34" t="n">
        <f aca="false">IF(AB$8=1,IF(Reales!$C$55="PYG",IF(AB$10&gt;0,N(Reales!AB55)/AB$10,0),N(Reales!AB55)),AB$194*INDEX(Precio_V,18)*INDEX(IdxPrecio_V,1,MIN(10,AB$173))*(1+V_dPrecio))</f>
        <v>0</v>
      </c>
      <c r="AC219" s="34" t="n">
        <f aca="false">IF(AC$8=1,IF(Reales!$C$55="PYG",IF(AC$10&gt;0,N(Reales!AC55)/AC$10,0),N(Reales!AC55)),AC$194*INDEX(Precio_V,18)*INDEX(IdxPrecio_V,1,MIN(10,AC$173))*(1+V_dPrecio))</f>
        <v>0</v>
      </c>
      <c r="AD219" s="34" t="n">
        <f aca="false">IF(AD$8=1,IF(Reales!$C$55="PYG",IF(AD$10&gt;0,N(Reales!AD55)/AD$10,0),N(Reales!AD55)),AD$194*INDEX(Precio_V,18)*INDEX(IdxPrecio_V,1,MIN(10,AD$173))*(1+V_dPrecio))</f>
        <v>0</v>
      </c>
      <c r="AE219" s="34" t="n">
        <f aca="false">IF(AE$8=1,IF(Reales!$C$55="PYG",IF(AE$10&gt;0,N(Reales!AE55)/AE$10,0),N(Reales!AE55)),AE$194*INDEX(Precio_V,18)*INDEX(IdxPrecio_V,1,MIN(10,AE$173))*(1+V_dPrecio))</f>
        <v>0</v>
      </c>
      <c r="AF219" s="34" t="n">
        <f aca="false">IF(AF$8=1,IF(Reales!$C$55="PYG",IF(AF$10&gt;0,N(Reales!AF55)/AF$10,0),N(Reales!AF55)),AF$194*INDEX(Precio_V,18)*INDEX(IdxPrecio_V,1,MIN(10,AF$173))*(1+V_dPrecio))</f>
        <v>0</v>
      </c>
      <c r="AG219" s="34" t="n">
        <f aca="false">IF(AG$8=1,IF(Reales!$C$55="PYG",IF(AG$10&gt;0,N(Reales!AG55)/AG$10,0),N(Reales!AG55)),AG$194*INDEX(Precio_V,18)*INDEX(IdxPrecio_V,1,MIN(10,AG$173))*(1+V_dPrecio))</f>
        <v>0</v>
      </c>
      <c r="AH219" s="34" t="n">
        <f aca="false">IF(AH$8=1,IF(Reales!$C$55="PYG",IF(AH$10&gt;0,N(Reales!AH55)/AH$10,0),N(Reales!AH55)),AH$194*INDEX(Precio_V,18)*INDEX(IdxPrecio_V,1,MIN(10,AH$173))*(1+V_dPrecio))</f>
        <v>0</v>
      </c>
      <c r="AI219" s="34" t="n">
        <f aca="false">IF(AI$8=1,IF(Reales!$C$55="PYG",IF(AI$10&gt;0,N(Reales!AI55)/AI$10,0),N(Reales!AI55)),AI$194*INDEX(Precio_V,18)*INDEX(IdxPrecio_V,1,MIN(10,AI$173))*(1+V_dPrecio))</f>
        <v>0</v>
      </c>
      <c r="AJ219" s="34" t="n">
        <f aca="false">IF(AJ$8=1,IF(Reales!$C$55="PYG",IF(AJ$10&gt;0,N(Reales!AJ55)/AJ$10,0),N(Reales!AJ55)),AJ$194*INDEX(Precio_V,18)*INDEX(IdxPrecio_V,1,MIN(10,AJ$173))*(1+V_dPrecio))</f>
        <v>0</v>
      </c>
      <c r="AK219" s="34" t="n">
        <f aca="false">IF(AK$8=1,IF(Reales!$C$55="PYG",IF(AK$10&gt;0,N(Reales!AK55)/AK$10,0),N(Reales!AK55)),AK$194*INDEX(Precio_V,18)*INDEX(IdxPrecio_V,1,MIN(10,AK$173))*(1+V_dPrecio))</f>
        <v>0</v>
      </c>
      <c r="AL219" s="34" t="n">
        <f aca="false">IF(AL$8=1,IF(Reales!$C$55="PYG",IF(AL$10&gt;0,N(Reales!AL55)/AL$10,0),N(Reales!AL55)),AL$194*INDEX(Precio_V,18)*INDEX(IdxPrecio_V,1,MIN(10,AL$173))*(1+V_dPrecio))</f>
        <v>0</v>
      </c>
      <c r="AM219" s="34" t="n">
        <f aca="false">IF(AM$8=1,IF(Reales!$C$55="PYG",IF(AM$10&gt;0,N(Reales!AM55)/AM$10,0),N(Reales!AM55)),AM$194*INDEX(Precio_V,18)*INDEX(IdxPrecio_V,1,MIN(10,AM$173))*(1+V_dPrecio))</f>
        <v>0</v>
      </c>
      <c r="AN219" s="34" t="n">
        <f aca="false">IF(AN$8=1,IF(Reales!$C$55="PYG",IF(AN$10&gt;0,N(Reales!AN55)/AN$10,0),N(Reales!AN55)),AN$194*INDEX(Precio_V,18)*INDEX(IdxPrecio_V,1,MIN(10,AN$173))*(1+V_dPrecio))</f>
        <v>0</v>
      </c>
      <c r="AO219" s="34" t="n">
        <f aca="false">IF(AO$8=1,IF(Reales!$C$55="PYG",IF(AO$10&gt;0,N(Reales!AO55)/AO$10,0),N(Reales!AO55)),AO$194*INDEX(Precio_V,18)*INDEX(IdxPrecio_V,1,MIN(10,AO$173))*(1+V_dPrecio))</f>
        <v>0</v>
      </c>
      <c r="AP219" s="34" t="n">
        <f aca="false">IF(AP$8=1,IF(Reales!$C$55="PYG",IF(AP$10&gt;0,N(Reales!AP55)/AP$10,0),N(Reales!AP55)),AP$194*INDEX(Precio_V,18)*INDEX(IdxPrecio_V,1,MIN(10,AP$173))*(1+V_dPrecio))</f>
        <v>0</v>
      </c>
      <c r="AQ219" s="34" t="n">
        <f aca="false">IF(AQ$8=1,IF(Reales!$C$55="PYG",IF(AQ$10&gt;0,N(Reales!AQ55)/AQ$10,0),N(Reales!AQ55)),AQ$194*INDEX(Precio_V,18)*INDEX(IdxPrecio_V,1,MIN(10,AQ$173))*(1+V_dPrecio))</f>
        <v>0</v>
      </c>
      <c r="AR219" s="34" t="n">
        <f aca="false">IF(AR$8=1,IF(Reales!$C$55="PYG",IF(AR$10&gt;0,N(Reales!AR55)/AR$10,0),N(Reales!AR55)),AR$194*INDEX(Precio_V,18)*INDEX(IdxPrecio_V,1,MIN(10,AR$173))*(1+V_dPrecio))</f>
        <v>0</v>
      </c>
      <c r="AS219" s="34" t="n">
        <f aca="false">IF(AS$8=1,IF(Reales!$C$55="PYG",IF(AS$10&gt;0,N(Reales!AS55)/AS$10,0),N(Reales!AS55)),AS$194*INDEX(Precio_V,18)*INDEX(IdxPrecio_V,1,MIN(10,AS$173))*(1+V_dPrecio))</f>
        <v>0</v>
      </c>
      <c r="AT219" s="34" t="n">
        <f aca="false">IF(AT$8=1,IF(Reales!$C$55="PYG",IF(AT$10&gt;0,N(Reales!AT55)/AT$10,0),N(Reales!AT55)),AT$194*INDEX(Precio_V,18)*INDEX(IdxPrecio_V,1,MIN(10,AT$173))*(1+V_dPrecio))</f>
        <v>0</v>
      </c>
      <c r="AU219" s="34" t="n">
        <f aca="false">IF(AU$8=1,IF(Reales!$C$55="PYG",IF(AU$10&gt;0,N(Reales!AU55)/AU$10,0),N(Reales!AU55)),AU$194*INDEX(Precio_V,18)*INDEX(IdxPrecio_V,1,MIN(10,AU$173))*(1+V_dPrecio))</f>
        <v>0</v>
      </c>
      <c r="AV219" s="34" t="n">
        <f aca="false">IF(AV$8=1,IF(Reales!$C$55="PYG",IF(AV$10&gt;0,N(Reales!AV55)/AV$10,0),N(Reales!AV55)),AV$194*INDEX(Precio_V,18)*INDEX(IdxPrecio_V,1,MIN(10,AV$173))*(1+V_dPrecio))</f>
        <v>0</v>
      </c>
      <c r="AW219" s="34" t="n">
        <f aca="false">IF(AW$8=1,IF(Reales!$C$55="PYG",IF(AW$10&gt;0,N(Reales!AW55)/AW$10,0),N(Reales!AW55)),AW$194*INDEX(Precio_V,18)*INDEX(IdxPrecio_V,1,MIN(10,AW$173))*(1+V_dPrecio))</f>
        <v>0</v>
      </c>
      <c r="AX219" s="34" t="n">
        <f aca="false">IF(AX$8=1,IF(Reales!$C$55="PYG",IF(AX$10&gt;0,N(Reales!AX55)/AX$10,0),N(Reales!AX55)),AX$194*INDEX(Precio_V,18)*INDEX(IdxPrecio_V,1,MIN(10,AX$173))*(1+V_dPrecio))</f>
        <v>0</v>
      </c>
      <c r="AY219" s="34" t="n">
        <f aca="false">IF(AY$8=1,IF(Reales!$C$55="PYG",IF(AY$10&gt;0,N(Reales!AY55)/AY$10,0),N(Reales!AY55)),AY$194*INDEX(Precio_V,18)*INDEX(IdxPrecio_V,1,MIN(10,AY$173))*(1+V_dPrecio))</f>
        <v>0</v>
      </c>
      <c r="AZ219" s="34" t="n">
        <f aca="false">IF(AZ$8=1,IF(Reales!$C$55="PYG",IF(AZ$10&gt;0,N(Reales!AZ55)/AZ$10,0),N(Reales!AZ55)),AZ$194*INDEX(Precio_V,18)*INDEX(IdxPrecio_V,1,MIN(10,AZ$173))*(1+V_dPrecio))</f>
        <v>0</v>
      </c>
      <c r="BA219" s="34" t="n">
        <f aca="false">IF(BA$8=1,IF(Reales!$C$55="PYG",IF(BA$10&gt;0,N(Reales!BA55)/BA$10,0),N(Reales!BA55)),BA$194*INDEX(Precio_V,18)*INDEX(IdxPrecio_V,1,MIN(10,BA$173))*(1+V_dPrecio))</f>
        <v>0</v>
      </c>
      <c r="BB219" s="34" t="n">
        <f aca="false">IF(BB$8=1,IF(Reales!$C$55="PYG",IF(BB$10&gt;0,N(Reales!BB55)/BB$10,0),N(Reales!BB55)),BB$194*INDEX(Precio_V,18)*INDEX(IdxPrecio_V,1,MIN(10,BB$173))*(1+V_dPrecio))</f>
        <v>0</v>
      </c>
      <c r="BC219" s="34" t="n">
        <f aca="false">IF(BC$8=1,IF(Reales!$C$55="PYG",IF(BC$10&gt;0,N(Reales!BC55)/BC$10,0),N(Reales!BC55)),BC$194*INDEX(Precio_V,18)*INDEX(IdxPrecio_V,1,MIN(10,BC$173))*(1+V_dPrecio))</f>
        <v>0</v>
      </c>
      <c r="BD219" s="34" t="n">
        <f aca="false">IF(BD$8=1,IF(Reales!$C$55="PYG",IF(BD$10&gt;0,N(Reales!BD55)/BD$10,0),N(Reales!BD55)),BD$194*INDEX(Precio_V,18)*INDEX(IdxPrecio_V,1,MIN(10,BD$173))*(1+V_dPrecio))</f>
        <v>0</v>
      </c>
      <c r="BE219" s="34" t="n">
        <f aca="false">IF(BE$8=1,IF(Reales!$C$55="PYG",IF(BE$10&gt;0,N(Reales!BE55)/BE$10,0),N(Reales!BE55)),BE$194*INDEX(Precio_V,18)*INDEX(IdxPrecio_V,1,MIN(10,BE$173))*(1+V_dPrecio))</f>
        <v>0</v>
      </c>
      <c r="BF219" s="34" t="n">
        <f aca="false">IF(BF$8=1,IF(Reales!$C$55="PYG",IF(BF$10&gt;0,N(Reales!BF55)/BF$10,0),N(Reales!BF55)),BF$194*INDEX(Precio_V,18)*INDEX(IdxPrecio_V,1,MIN(10,BF$173))*(1+V_dPrecio))</f>
        <v>0</v>
      </c>
      <c r="BG219" s="34" t="n">
        <f aca="false">IF(BG$8=1,IF(Reales!$C$55="PYG",IF(BG$10&gt;0,N(Reales!BG55)/BG$10,0),N(Reales!BG55)),BG$194*INDEX(Precio_V,18)*INDEX(IdxPrecio_V,1,MIN(10,BG$173))*(1+V_dPrecio))</f>
        <v>0</v>
      </c>
      <c r="BH219" s="34" t="n">
        <f aca="false">IF(BH$8=1,IF(Reales!$C$55="PYG",IF(BH$10&gt;0,N(Reales!BH55)/BH$10,0),N(Reales!BH55)),BH$194*INDEX(Precio_V,18)*INDEX(IdxPrecio_V,1,MIN(10,BH$173))*(1+V_dPrecio))</f>
        <v>0</v>
      </c>
      <c r="BI219" s="34" t="n">
        <f aca="false">IF(BI$8=1,IF(Reales!$C$55="PYG",IF(BI$10&gt;0,N(Reales!BI55)/BI$10,0),N(Reales!BI55)),BI$194*INDEX(Precio_V,18)*INDEX(IdxPrecio_V,1,MIN(10,BI$173))*(1+V_dPrecio))</f>
        <v>0</v>
      </c>
      <c r="BJ219" s="34" t="n">
        <f aca="false">IF(BJ$8=1,IF(Reales!$C$55="PYG",IF(BJ$10&gt;0,N(Reales!BJ55)/BJ$10,0),N(Reales!BJ55)),BJ$194*INDEX(Precio_V,18)*INDEX(IdxPrecio_V,1,MIN(10,BJ$173))*(1+V_dPrecio))</f>
        <v>0</v>
      </c>
      <c r="BK219" s="34" t="n">
        <f aca="false">IF(BK$8=1,IF(Reales!$C$55="PYG",IF(BK$10&gt;0,N(Reales!BK55)/BK$10,0),N(Reales!BK55)),BK$194*INDEX(Precio_V,18)*INDEX(IdxPrecio_V,1,MIN(10,BK$173))*(1+V_dPrecio))</f>
        <v>0</v>
      </c>
      <c r="BL219" s="34" t="n">
        <f aca="false">IF(BL$8=1,IF(Reales!$C$55="PYG",IF(BL$10&gt;0,N(Reales!BL55)/BL$10,0),N(Reales!BL55)),BL$194*INDEX(Precio_V,18)*INDEX(IdxPrecio_V,1,MIN(10,BL$173))*(1+V_dPrecio))</f>
        <v>0</v>
      </c>
      <c r="BM219" s="34" t="n">
        <f aca="false">IF(BM$8=1,IF(Reales!$C$55="PYG",IF(BM$10&gt;0,N(Reales!BM55)/BM$10,0),N(Reales!BM55)),BM$194*INDEX(Precio_V,18)*INDEX(IdxPrecio_V,1,MIN(10,BM$173))*(1+V_dPrecio))</f>
        <v>0</v>
      </c>
      <c r="BN219" s="34" t="n">
        <f aca="false">IF(BN$8=1,IF(Reales!$C$55="PYG",IF(BN$10&gt;0,N(Reales!BN55)/BN$10,0),N(Reales!BN55)),BN$194*INDEX(Precio_V,18)*INDEX(IdxPrecio_V,1,MIN(10,BN$173))*(1+V_dPrecio))</f>
        <v>0</v>
      </c>
      <c r="BO219" s="34" t="n">
        <f aca="false">IF(BO$8=1,IF(Reales!$C$55="PYG",IF(BO$10&gt;0,N(Reales!BO55)/BO$10,0),N(Reales!BO55)),BO$194*INDEX(Precio_V,18)*INDEX(IdxPrecio_V,1,MIN(10,BO$173))*(1+V_dPrecio))</f>
        <v>0</v>
      </c>
      <c r="BP219" s="34" t="n">
        <f aca="false">IF(BP$8=1,IF(Reales!$C$55="PYG",IF(BP$10&gt;0,N(Reales!BP55)/BP$10,0),N(Reales!BP55)),BP$194*INDEX(Precio_V,18)*INDEX(IdxPrecio_V,1,MIN(10,BP$173))*(1+V_dPrecio))</f>
        <v>0</v>
      </c>
      <c r="BQ219" s="34" t="n">
        <f aca="false">IF(BQ$8=1,IF(Reales!$C$55="PYG",IF(BQ$10&gt;0,N(Reales!BQ55)/BQ$10,0),N(Reales!BQ55)),BQ$194*INDEX(Precio_V,18)*INDEX(IdxPrecio_V,1,MIN(10,BQ$173))*(1+V_dPrecio))</f>
        <v>0</v>
      </c>
      <c r="BR219" s="34" t="n">
        <f aca="false">IF(BR$8=1,IF(Reales!$C$55="PYG",IF(BR$10&gt;0,N(Reales!BR55)/BR$10,0),N(Reales!BR55)),BR$194*INDEX(Precio_V,18)*INDEX(IdxPrecio_V,1,MIN(10,BR$173))*(1+V_dPrecio))</f>
        <v>0</v>
      </c>
      <c r="BS219" s="34" t="n">
        <f aca="false">IF(BS$8=1,IF(Reales!$C$55="PYG",IF(BS$10&gt;0,N(Reales!BS55)/BS$10,0),N(Reales!BS55)),BS$194*INDEX(Precio_V,18)*INDEX(IdxPrecio_V,1,MIN(10,BS$173))*(1+V_dPrecio))</f>
        <v>0</v>
      </c>
      <c r="BT219" s="34" t="n">
        <f aca="false">IF(BT$8=1,IF(Reales!$C$55="PYG",IF(BT$10&gt;0,N(Reales!BT55)/BT$10,0),N(Reales!BT55)),BT$194*INDEX(Precio_V,18)*INDEX(IdxPrecio_V,1,MIN(10,BT$173))*(1+V_dPrecio))</f>
        <v>0</v>
      </c>
      <c r="BU219" s="34" t="n">
        <f aca="false">IF(BU$8=1,IF(Reales!$C$55="PYG",IF(BU$10&gt;0,N(Reales!BU55)/BU$10,0),N(Reales!BU55)),BU$194*INDEX(Precio_V,18)*INDEX(IdxPrecio_V,1,MIN(10,BU$173))*(1+V_dPrecio))</f>
        <v>0</v>
      </c>
      <c r="BV219" s="34" t="n">
        <f aca="false">IF(BV$8=1,IF(Reales!$C$55="PYG",IF(BV$10&gt;0,N(Reales!BV55)/BV$10,0),N(Reales!BV55)),BV$194*INDEX(Precio_V,18)*INDEX(IdxPrecio_V,1,MIN(10,BV$173))*(1+V_dPrecio))</f>
        <v>0</v>
      </c>
      <c r="BW219" s="34" t="n">
        <f aca="false">IF(BW$8=1,IF(Reales!$C$55="PYG",IF(BW$10&gt;0,N(Reales!BW55)/BW$10,0),N(Reales!BW55)),BW$194*INDEX(Precio_V,18)*INDEX(IdxPrecio_V,1,MIN(10,BW$173))*(1+V_dPrecio))</f>
        <v>0</v>
      </c>
      <c r="BX219" s="34" t="n">
        <f aca="false">IF(BX$8=1,IF(Reales!$C$55="PYG",IF(BX$10&gt;0,N(Reales!BX55)/BX$10,0),N(Reales!BX55)),BX$194*INDEX(Precio_V,18)*INDEX(IdxPrecio_V,1,MIN(10,BX$173))*(1+V_dPrecio))</f>
        <v>0</v>
      </c>
      <c r="BY219" s="34" t="n">
        <f aca="false">IF(BY$8=1,IF(Reales!$C$55="PYG",IF(BY$10&gt;0,N(Reales!BY55)/BY$10,0),N(Reales!BY55)),BY$194*INDEX(Precio_V,18)*INDEX(IdxPrecio_V,1,MIN(10,BY$173))*(1+V_dPrecio))</f>
        <v>0</v>
      </c>
      <c r="BZ219" s="34" t="n">
        <f aca="false">IF(BZ$8=1,IF(Reales!$C$55="PYG",IF(BZ$10&gt;0,N(Reales!BZ55)/BZ$10,0),N(Reales!BZ55)),BZ$194*INDEX(Precio_V,18)*INDEX(IdxPrecio_V,1,MIN(10,BZ$173))*(1+V_dPrecio))</f>
        <v>0</v>
      </c>
      <c r="CA219" s="34" t="n">
        <f aca="false">IF(CA$8=1,IF(Reales!$C$55="PYG",IF(CA$10&gt;0,N(Reales!CA55)/CA$10,0),N(Reales!CA55)),CA$194*INDEX(Precio_V,18)*INDEX(IdxPrecio_V,1,MIN(10,CA$173))*(1+V_dPrecio))</f>
        <v>0</v>
      </c>
      <c r="CB219" s="34" t="n">
        <f aca="false">IF(CB$8=1,IF(Reales!$C$55="PYG",IF(CB$10&gt;0,N(Reales!CB55)/CB$10,0),N(Reales!CB55)),CB$194*INDEX(Precio_V,18)*INDEX(IdxPrecio_V,1,MIN(10,CB$173))*(1+V_dPrecio))</f>
        <v>0</v>
      </c>
      <c r="CC219" s="34" t="n">
        <f aca="false">IF(CC$8=1,IF(Reales!$C$55="PYG",IF(CC$10&gt;0,N(Reales!CC55)/CC$10,0),N(Reales!CC55)),CC$194*INDEX(Precio_V,18)*INDEX(IdxPrecio_V,1,MIN(10,CC$173))*(1+V_dPrecio))</f>
        <v>0</v>
      </c>
      <c r="CD219" s="34" t="n">
        <f aca="false">IF(CD$8=1,IF(Reales!$C$55="PYG",IF(CD$10&gt;0,N(Reales!CD55)/CD$10,0),N(Reales!CD55)),CD$194*INDEX(Precio_V,18)*INDEX(IdxPrecio_V,1,MIN(10,CD$173))*(1+V_dPrecio))</f>
        <v>0</v>
      </c>
      <c r="CE219" s="34" t="n">
        <f aca="false">IF(CE$8=1,IF(Reales!$C$55="PYG",IF(CE$10&gt;0,N(Reales!CE55)/CE$10,0),N(Reales!CE55)),CE$194*INDEX(Precio_V,18)*INDEX(IdxPrecio_V,1,MIN(10,CE$173))*(1+V_dPrecio))</f>
        <v>0</v>
      </c>
      <c r="CF219" s="34" t="n">
        <f aca="false">IF(CF$8=1,IF(Reales!$C$55="PYG",IF(CF$10&gt;0,N(Reales!CF55)/CF$10,0),N(Reales!CF55)),CF$194*INDEX(Precio_V,18)*INDEX(IdxPrecio_V,1,MIN(10,CF$173))*(1+V_dPrecio))</f>
        <v>0</v>
      </c>
      <c r="CG219" s="34" t="n">
        <f aca="false">IF(CG$8=1,IF(Reales!$C$55="PYG",IF(CG$10&gt;0,N(Reales!CG55)/CG$10,0),N(Reales!CG55)),CG$194*INDEX(Precio_V,18)*INDEX(IdxPrecio_V,1,MIN(10,CG$173))*(1+V_dPrecio))</f>
        <v>0</v>
      </c>
      <c r="CH219" s="34" t="n">
        <f aca="false">IF(CH$8=1,IF(Reales!$C$55="PYG",IF(CH$10&gt;0,N(Reales!CH55)/CH$10,0),N(Reales!CH55)),CH$194*INDEX(Precio_V,18)*INDEX(IdxPrecio_V,1,MIN(10,CH$173))*(1+V_dPrecio))</f>
        <v>0</v>
      </c>
      <c r="CI219" s="34" t="n">
        <f aca="false">IF(CI$8=1,IF(Reales!$C$55="PYG",IF(CI$10&gt;0,N(Reales!CI55)/CI$10,0),N(Reales!CI55)),CI$194*INDEX(Precio_V,18)*INDEX(IdxPrecio_V,1,MIN(10,CI$173))*(1+V_dPrecio))</f>
        <v>0</v>
      </c>
      <c r="CJ219" s="34" t="n">
        <f aca="false">IF(CJ$8=1,IF(Reales!$C$55="PYG",IF(CJ$10&gt;0,N(Reales!CJ55)/CJ$10,0),N(Reales!CJ55)),CJ$194*INDEX(Precio_V,18)*INDEX(IdxPrecio_V,1,MIN(10,CJ$173))*(1+V_dPrecio))</f>
        <v>0</v>
      </c>
      <c r="CK219" s="34" t="n">
        <f aca="false">IF(CK$8=1,IF(Reales!$C$55="PYG",IF(CK$10&gt;0,N(Reales!CK55)/CK$10,0),N(Reales!CK55)),CK$194*INDEX(Precio_V,18)*INDEX(IdxPrecio_V,1,MIN(10,CK$173))*(1+V_dPrecio))</f>
        <v>0</v>
      </c>
      <c r="CL219" s="34" t="n">
        <f aca="false">IF(CL$8=1,IF(Reales!$C$55="PYG",IF(CL$10&gt;0,N(Reales!CL55)/CL$10,0),N(Reales!CL55)),CL$194*INDEX(Precio_V,18)*INDEX(IdxPrecio_V,1,MIN(10,CL$173))*(1+V_dPrecio))</f>
        <v>0</v>
      </c>
      <c r="CM219" s="34" t="n">
        <f aca="false">IF(CM$8=1,IF(Reales!$C$55="PYG",IF(CM$10&gt;0,N(Reales!CM55)/CM$10,0),N(Reales!CM55)),CM$194*INDEX(Precio_V,18)*INDEX(IdxPrecio_V,1,MIN(10,CM$173))*(1+V_dPrecio))</f>
        <v>0</v>
      </c>
      <c r="CN219" s="34" t="n">
        <f aca="false">IF(CN$8=1,IF(Reales!$C$55="PYG",IF(CN$10&gt;0,N(Reales!CN55)/CN$10,0),N(Reales!CN55)),CN$194*INDEX(Precio_V,18)*INDEX(IdxPrecio_V,1,MIN(10,CN$173))*(1+V_dPrecio))</f>
        <v>0</v>
      </c>
      <c r="CO219" s="34" t="n">
        <f aca="false">IF(CO$8=1,IF(Reales!$C$55="PYG",IF(CO$10&gt;0,N(Reales!CO55)/CO$10,0),N(Reales!CO55)),CO$194*INDEX(Precio_V,18)*INDEX(IdxPrecio_V,1,MIN(10,CO$173))*(1+V_dPrecio))</f>
        <v>0</v>
      </c>
      <c r="CP219" s="34" t="n">
        <f aca="false">IF(CP$8=1,IF(Reales!$C$55="PYG",IF(CP$10&gt;0,N(Reales!CP55)/CP$10,0),N(Reales!CP55)),CP$194*INDEX(Precio_V,18)*INDEX(IdxPrecio_V,1,MIN(10,CP$173))*(1+V_dPrecio))</f>
        <v>0</v>
      </c>
      <c r="CQ219" s="34" t="n">
        <f aca="false">IF(CQ$8=1,IF(Reales!$C$55="PYG",IF(CQ$10&gt;0,N(Reales!CQ55)/CQ$10,0),N(Reales!CQ55)),CQ$194*INDEX(Precio_V,18)*INDEX(IdxPrecio_V,1,MIN(10,CQ$173))*(1+V_dPrecio))</f>
        <v>0</v>
      </c>
      <c r="CR219" s="34" t="n">
        <f aca="false">IF(CR$8=1,IF(Reales!$C$55="PYG",IF(CR$10&gt;0,N(Reales!CR55)/CR$10,0),N(Reales!CR55)),CR$194*INDEX(Precio_V,18)*INDEX(IdxPrecio_V,1,MIN(10,CR$173))*(1+V_dPrecio))</f>
        <v>0</v>
      </c>
      <c r="CS219" s="34" t="n">
        <f aca="false">IF(CS$8=1,IF(Reales!$C$55="PYG",IF(CS$10&gt;0,N(Reales!CS55)/CS$10,0),N(Reales!CS55)),CS$194*INDEX(Precio_V,18)*INDEX(IdxPrecio_V,1,MIN(10,CS$173))*(1+V_dPrecio))</f>
        <v>0</v>
      </c>
      <c r="CT219" s="34" t="n">
        <f aca="false">IF(CT$8=1,IF(Reales!$C$55="PYG",IF(CT$10&gt;0,N(Reales!CT55)/CT$10,0),N(Reales!CT55)),CT$194*INDEX(Precio_V,18)*INDEX(IdxPrecio_V,1,MIN(10,CT$173))*(1+V_dPrecio))</f>
        <v>0</v>
      </c>
      <c r="CU219" s="34" t="n">
        <f aca="false">IF(CU$8=1,IF(Reales!$C$55="PYG",IF(CU$10&gt;0,N(Reales!CU55)/CU$10,0),N(Reales!CU55)),CU$194*INDEX(Precio_V,18)*INDEX(IdxPrecio_V,1,MIN(10,CU$173))*(1+V_dPrecio))</f>
        <v>0</v>
      </c>
      <c r="CV219" s="34" t="n">
        <f aca="false">IF(CV$8=1,IF(Reales!$C$55="PYG",IF(CV$10&gt;0,N(Reales!CV55)/CV$10,0),N(Reales!CV55)),CV$194*INDEX(Precio_V,18)*INDEX(IdxPrecio_V,1,MIN(10,CV$173))*(1+V_dPrecio))</f>
        <v>0</v>
      </c>
      <c r="CW219" s="34" t="n">
        <f aca="false">IF(CW$8=1,IF(Reales!$C$55="PYG",IF(CW$10&gt;0,N(Reales!CW55)/CW$10,0),N(Reales!CW55)),CW$194*INDEX(Precio_V,18)*INDEX(IdxPrecio_V,1,MIN(10,CW$173))*(1+V_dPrecio))</f>
        <v>0</v>
      </c>
      <c r="CX219" s="34" t="n">
        <f aca="false">IF(CX$8=1,IF(Reales!$C$55="PYG",IF(CX$10&gt;0,N(Reales!CX55)/CX$10,0),N(Reales!CX55)),CX$194*INDEX(Precio_V,18)*INDEX(IdxPrecio_V,1,MIN(10,CX$173))*(1+V_dPrecio))</f>
        <v>0</v>
      </c>
      <c r="CY219" s="34" t="n">
        <f aca="false">IF(CY$8=1,IF(Reales!$C$55="PYG",IF(CY$10&gt;0,N(Reales!CY55)/CY$10,0),N(Reales!CY55)),CY$194*INDEX(Precio_V,18)*INDEX(IdxPrecio_V,1,MIN(10,CY$173))*(1+V_dPrecio))</f>
        <v>0</v>
      </c>
      <c r="CZ219" s="34" t="n">
        <f aca="false">IF(CZ$8=1,IF(Reales!$C$55="PYG",IF(CZ$10&gt;0,N(Reales!CZ55)/CZ$10,0),N(Reales!CZ55)),CZ$194*INDEX(Precio_V,18)*INDEX(IdxPrecio_V,1,MIN(10,CZ$173))*(1+V_dPrecio))</f>
        <v>0</v>
      </c>
      <c r="DA219" s="34" t="n">
        <f aca="false">IF(DA$8=1,IF(Reales!$C$55="PYG",IF(DA$10&gt;0,N(Reales!DA55)/DA$10,0),N(Reales!DA55)),DA$194*INDEX(Precio_V,18)*INDEX(IdxPrecio_V,1,MIN(10,DA$173))*(1+V_dPrecio))</f>
        <v>0</v>
      </c>
      <c r="DB219" s="34" t="n">
        <f aca="false">IF(DB$8=1,IF(Reales!$C$55="PYG",IF(DB$10&gt;0,N(Reales!DB55)/DB$10,0),N(Reales!DB55)),DB$194*INDEX(Precio_V,18)*INDEX(IdxPrecio_V,1,MIN(10,DB$173))*(1+V_dPrecio))</f>
        <v>0</v>
      </c>
      <c r="DC219" s="34" t="n">
        <f aca="false">IF(DC$8=1,IF(Reales!$C$55="PYG",IF(DC$10&gt;0,N(Reales!DC55)/DC$10,0),N(Reales!DC55)),DC$194*INDEX(Precio_V,18)*INDEX(IdxPrecio_V,1,MIN(10,DC$173))*(1+V_dPrecio))</f>
        <v>0</v>
      </c>
      <c r="DD219" s="34" t="n">
        <f aca="false">IF(DD$8=1,IF(Reales!$C$55="PYG",IF(DD$10&gt;0,N(Reales!DD55)/DD$10,0),N(Reales!DD55)),DD$194*INDEX(Precio_V,18)*INDEX(IdxPrecio_V,1,MIN(10,DD$173))*(1+V_dPrecio))</f>
        <v>0</v>
      </c>
      <c r="DE219" s="34" t="n">
        <f aca="false">IF(DE$8=1,IF(Reales!$C$55="PYG",IF(DE$10&gt;0,N(Reales!DE55)/DE$10,0),N(Reales!DE55)),DE$194*INDEX(Precio_V,18)*INDEX(IdxPrecio_V,1,MIN(10,DE$173))*(1+V_dPrecio))</f>
        <v>0</v>
      </c>
      <c r="DF219" s="34" t="n">
        <f aca="false">IF(DF$8=1,IF(Reales!$C$55="PYG",IF(DF$10&gt;0,N(Reales!DF55)/DF$10,0),N(Reales!DF55)),DF$194*INDEX(Precio_V,18)*INDEX(IdxPrecio_V,1,MIN(10,DF$173))*(1+V_dPrecio))</f>
        <v>0</v>
      </c>
      <c r="DG219" s="34" t="n">
        <f aca="false">IF(DG$8=1,IF(Reales!$C$55="PYG",IF(DG$10&gt;0,N(Reales!DG55)/DG$10,0),N(Reales!DG55)),DG$194*INDEX(Precio_V,18)*INDEX(IdxPrecio_V,1,MIN(10,DG$173))*(1+V_dPrecio))</f>
        <v>0</v>
      </c>
      <c r="DH219" s="34" t="n">
        <f aca="false">IF(DH$8=1,IF(Reales!$C$55="PYG",IF(DH$10&gt;0,N(Reales!DH55)/DH$10,0),N(Reales!DH55)),DH$194*INDEX(Precio_V,18)*INDEX(IdxPrecio_V,1,MIN(10,DH$173))*(1+V_dPrecio))</f>
        <v>0</v>
      </c>
      <c r="DI219" s="34" t="n">
        <f aca="false">IF(DI$8=1,IF(Reales!$C$55="PYG",IF(DI$10&gt;0,N(Reales!DI55)/DI$10,0),N(Reales!DI55)),DI$194*INDEX(Precio_V,18)*INDEX(IdxPrecio_V,1,MIN(10,DI$173))*(1+V_dPrecio))</f>
        <v>0</v>
      </c>
      <c r="DJ219" s="34" t="n">
        <f aca="false">IF(DJ$8=1,IF(Reales!$C$55="PYG",IF(DJ$10&gt;0,N(Reales!DJ55)/DJ$10,0),N(Reales!DJ55)),DJ$194*INDEX(Precio_V,18)*INDEX(IdxPrecio_V,1,MIN(10,DJ$173))*(1+V_dPrecio))</f>
        <v>0</v>
      </c>
      <c r="DK219" s="34" t="n">
        <f aca="false">IF(DK$8=1,IF(Reales!$C$55="PYG",IF(DK$10&gt;0,N(Reales!DK55)/DK$10,0),N(Reales!DK55)),DK$194*INDEX(Precio_V,18)*INDEX(IdxPrecio_V,1,MIN(10,DK$173))*(1+V_dPrecio))</f>
        <v>0</v>
      </c>
      <c r="DL219" s="34" t="n">
        <f aca="false">IF(DL$8=1,IF(Reales!$C$55="PYG",IF(DL$10&gt;0,N(Reales!DL55)/DL$10,0),N(Reales!DL55)),DL$194*INDEX(Precio_V,18)*INDEX(IdxPrecio_V,1,MIN(10,DL$173))*(1+V_dPrecio))</f>
        <v>0</v>
      </c>
      <c r="DM219" s="34" t="n">
        <f aca="false">IF(DM$8=1,IF(Reales!$C$55="PYG",IF(DM$10&gt;0,N(Reales!DM55)/DM$10,0),N(Reales!DM55)),DM$194*INDEX(Precio_V,18)*INDEX(IdxPrecio_V,1,MIN(10,DM$173))*(1+V_dPrecio))</f>
        <v>0</v>
      </c>
      <c r="DN219" s="34" t="n">
        <f aca="false">IF(DN$8=1,IF(Reales!$C$55="PYG",IF(DN$10&gt;0,N(Reales!DN55)/DN$10,0),N(Reales!DN55)),DN$194*INDEX(Precio_V,18)*INDEX(IdxPrecio_V,1,MIN(10,DN$173))*(1+V_dPrecio))</f>
        <v>0</v>
      </c>
      <c r="DO219" s="34" t="n">
        <f aca="false">IF(DO$8=1,IF(Reales!$C$55="PYG",IF(DO$10&gt;0,N(Reales!DO55)/DO$10,0),N(Reales!DO55)),DO$194*INDEX(Precio_V,18)*INDEX(IdxPrecio_V,1,MIN(10,DO$173))*(1+V_dPrecio))</f>
        <v>0</v>
      </c>
      <c r="DP219" s="34" t="n">
        <f aca="false">IF(DP$8=1,IF(Reales!$C$55="PYG",IF(DP$10&gt;0,N(Reales!DP55)/DP$10,0),N(Reales!DP55)),DP$194*INDEX(Precio_V,18)*INDEX(IdxPrecio_V,1,MIN(10,DP$173))*(1+V_dPrecio))</f>
        <v>0</v>
      </c>
      <c r="DQ219" s="34" t="n">
        <f aca="false">IF(DQ$8=1,IF(Reales!$C$55="PYG",IF(DQ$10&gt;0,N(Reales!DQ55)/DQ$10,0),N(Reales!DQ55)),DQ$194*INDEX(Precio_V,18)*INDEX(IdxPrecio_V,1,MIN(10,DQ$173))*(1+V_dPrecio))</f>
        <v>0</v>
      </c>
      <c r="DR219" s="34" t="n">
        <f aca="false">IF(DR$8=1,IF(Reales!$C$55="PYG",IF(DR$10&gt;0,N(Reales!DR55)/DR$10,0),N(Reales!DR55)),DR$194*INDEX(Precio_V,18)*INDEX(IdxPrecio_V,1,MIN(10,DR$173))*(1+V_dPrecio))</f>
        <v>0</v>
      </c>
      <c r="DS219" s="34" t="n">
        <f aca="false">IF(DS$8=1,IF(Reales!$C$55="PYG",IF(DS$10&gt;0,N(Reales!DS55)/DS$10,0),N(Reales!DS55)),DS$194*INDEX(Precio_V,18)*INDEX(IdxPrecio_V,1,MIN(10,DS$173))*(1+V_dPrecio))</f>
        <v>0</v>
      </c>
      <c r="DT219" s="34" t="n">
        <f aca="false">IF(DT$8=1,IF(Reales!$C$55="PYG",IF(DT$10&gt;0,N(Reales!DT55)/DT$10,0),N(Reales!DT55)),DT$194*INDEX(Precio_V,18)*INDEX(IdxPrecio_V,1,MIN(10,DT$173))*(1+V_dPrecio))</f>
        <v>0</v>
      </c>
      <c r="DU219" s="34" t="n">
        <f aca="false">IF(DU$8=1,IF(Reales!$C$55="PYG",IF(DU$10&gt;0,N(Reales!DU55)/DU$10,0),N(Reales!DU55)),DU$194*INDEX(Precio_V,18)*INDEX(IdxPrecio_V,1,MIN(10,DU$173))*(1+V_dPrecio))</f>
        <v>0</v>
      </c>
      <c r="DV219" s="34" t="n">
        <f aca="false">IF(DV$8=1,IF(Reales!$C$55="PYG",IF(DV$10&gt;0,N(Reales!DV55)/DV$10,0),N(Reales!DV55)),DV$194*INDEX(Precio_V,18)*INDEX(IdxPrecio_V,1,MIN(10,DV$173))*(1+V_dPrecio))</f>
        <v>0</v>
      </c>
      <c r="DW219" s="34" t="n">
        <f aca="false">IF(DW$8=1,IF(Reales!$C$55="PYG",IF(DW$10&gt;0,N(Reales!DW55)/DW$10,0),N(Reales!DW55)),DW$194*INDEX(Precio_V,18)*INDEX(IdxPrecio_V,1,MIN(10,DW$173))*(1+V_dPrecio))</f>
        <v>0</v>
      </c>
      <c r="DX219" s="34" t="n">
        <f aca="false">IF(DX$8=1,IF(Reales!$C$55="PYG",IF(DX$10&gt;0,N(Reales!DX55)/DX$10,0),N(Reales!DX55)),DX$194*INDEX(Precio_V,18)*INDEX(IdxPrecio_V,1,MIN(10,DX$173))*(1+V_dPrecio))</f>
        <v>0</v>
      </c>
      <c r="DY219" s="34" t="n">
        <f aca="false">IF(DY$8=1,IF(Reales!$C$55="PYG",IF(DY$10&gt;0,N(Reales!DY55)/DY$10,0),N(Reales!DY55)),DY$194*INDEX(Precio_V,18)*INDEX(IdxPrecio_V,1,MIN(10,DY$173))*(1+V_dPrecio))</f>
        <v>0</v>
      </c>
      <c r="DZ219" s="34" t="n">
        <f aca="false">IF(DZ$8=1,IF(Reales!$C$55="PYG",IF(DZ$10&gt;0,N(Reales!DZ55)/DZ$10,0),N(Reales!DZ55)),DZ$194*INDEX(Precio_V,18)*INDEX(IdxPrecio_V,1,MIN(10,DZ$173))*(1+V_dPrecio))</f>
        <v>0</v>
      </c>
      <c r="EA219" s="34" t="n">
        <f aca="false">IF(EA$8=1,IF(Reales!$C$55="PYG",IF(EA$10&gt;0,N(Reales!EA55)/EA$10,0),N(Reales!EA55)),EA$194*INDEX(Precio_V,18)*INDEX(IdxPrecio_V,1,MIN(10,EA$173))*(1+V_dPrecio))</f>
        <v>0</v>
      </c>
      <c r="EB219" s="34" t="n">
        <f aca="false">IF(EB$8=1,IF(Reales!$C$55="PYG",IF(EB$10&gt;0,N(Reales!EB55)/EB$10,0),N(Reales!EB55)),EB$194*INDEX(Precio_V,18)*INDEX(IdxPrecio_V,1,MIN(10,EB$173))*(1+V_dPrecio))</f>
        <v>0</v>
      </c>
      <c r="EC219" s="34" t="n">
        <f aca="false">IF(EC$8=1,IF(Reales!$C$55="PYG",IF(EC$10&gt;0,N(Reales!EC55)/EC$10,0),N(Reales!EC55)),EC$194*INDEX(Precio_V,18)*INDEX(IdxPrecio_V,1,MIN(10,EC$173))*(1+V_dPrecio))</f>
        <v>0</v>
      </c>
      <c r="ED219" s="34" t="n">
        <f aca="false">IF(ED$8=1,IF(Reales!$C$55="PYG",IF(ED$10&gt;0,N(Reales!ED55)/ED$10,0),N(Reales!ED55)),ED$194*INDEX(Precio_V,18)*INDEX(IdxPrecio_V,1,MIN(10,ED$173))*(1+V_dPrecio))</f>
        <v>0</v>
      </c>
      <c r="EE219" s="34" t="n">
        <f aca="false">IF(EE$8=1,IF(Reales!$C$55="PYG",IF(EE$10&gt;0,N(Reales!EE55)/EE$10,0),N(Reales!EE55)),EE$194*INDEX(Precio_V,18)*INDEX(IdxPrecio_V,1,MIN(10,EE$173))*(1+V_dPrecio))</f>
        <v>0</v>
      </c>
      <c r="EF219" s="34" t="n">
        <f aca="false">IF(EF$8=1,IF(Reales!$C$55="PYG",IF(EF$10&gt;0,N(Reales!EF55)/EF$10,0),N(Reales!EF55)),EF$194*INDEX(Precio_V,18)*INDEX(IdxPrecio_V,1,MIN(10,EF$173))*(1+V_dPrecio))</f>
        <v>0</v>
      </c>
      <c r="EG219" s="34" t="n">
        <f aca="false">IF(EG$8=1,IF(Reales!$C$55="PYG",IF(EG$10&gt;0,N(Reales!EG55)/EG$10,0),N(Reales!EG55)),EG$194*INDEX(Precio_V,18)*INDEX(IdxPrecio_V,1,MIN(10,EG$173))*(1+V_dPrecio))</f>
        <v>0</v>
      </c>
      <c r="EH219" s="34" t="n">
        <f aca="false">IF(EH$8=1,IF(Reales!$C$55="PYG",IF(EH$10&gt;0,N(Reales!EH55)/EH$10,0),N(Reales!EH55)),EH$194*INDEX(Precio_V,18)*INDEX(IdxPrecio_V,1,MIN(10,EH$173))*(1+V_dPrecio))</f>
        <v>0</v>
      </c>
      <c r="EI219" s="34" t="n">
        <f aca="false">IF(EI$8=1,IF(Reales!$C$55="PYG",IF(EI$10&gt;0,N(Reales!EI55)/EI$10,0),N(Reales!EI55)),EI$194*INDEX(Precio_V,18)*INDEX(IdxPrecio_V,1,MIN(10,EI$173))*(1+V_dPrecio))</f>
        <v>0</v>
      </c>
      <c r="EJ219" s="34" t="n">
        <f aca="false">IF(EJ$8=1,IF(Reales!$C$55="PYG",IF(EJ$10&gt;0,N(Reales!EJ55)/EJ$10,0),N(Reales!EJ55)),EJ$194*INDEX(Precio_V,18)*INDEX(IdxPrecio_V,1,MIN(10,EJ$173))*(1+V_dPrecio))</f>
        <v>0</v>
      </c>
      <c r="EK219" s="34" t="n">
        <f aca="false">IF(EK$8=1,IF(Reales!$C$55="PYG",IF(EK$10&gt;0,N(Reales!EK55)/EK$10,0),N(Reales!EK55)),EK$194*INDEX(Precio_V,18)*INDEX(IdxPrecio_V,1,MIN(10,EK$173))*(1+V_dPrecio))</f>
        <v>0</v>
      </c>
      <c r="EL219" s="34" t="n">
        <f aca="false">IF(EL$8=1,IF(Reales!$C$55="PYG",IF(EL$10&gt;0,N(Reales!EL55)/EL$10,0),N(Reales!EL55)),EL$194*INDEX(Precio_V,18)*INDEX(IdxPrecio_V,1,MIN(10,EL$173))*(1+V_dPrecio))</f>
        <v>0</v>
      </c>
      <c r="EM219" s="34" t="n">
        <f aca="false">IF(EM$8=1,IF(Reales!$C$55="PYG",IF(EM$10&gt;0,N(Reales!EM55)/EM$10,0),N(Reales!EM55)),EM$194*INDEX(Precio_V,18)*INDEX(IdxPrecio_V,1,MIN(10,EM$173))*(1+V_dPrecio))</f>
        <v>0</v>
      </c>
      <c r="EN219" s="34" t="n">
        <f aca="false">IF(EN$8=1,IF(Reales!$C$55="PYG",IF(EN$10&gt;0,N(Reales!EN55)/EN$10,0),N(Reales!EN55)),EN$194*INDEX(Precio_V,18)*INDEX(IdxPrecio_V,1,MIN(10,EN$173))*(1+V_dPrecio))</f>
        <v>0</v>
      </c>
      <c r="EO219" s="34" t="n">
        <f aca="false">IF(EO$8=1,IF(Reales!$C$55="PYG",IF(EO$10&gt;0,N(Reales!EO55)/EO$10,0),N(Reales!EO55)),EO$194*INDEX(Precio_V,18)*INDEX(IdxPrecio_V,1,MIN(10,EO$173))*(1+V_dPrecio))</f>
        <v>0</v>
      </c>
      <c r="EP219" s="34" t="n">
        <f aca="false">IF(EP$8=1,IF(Reales!$C$55="PYG",IF(EP$10&gt;0,N(Reales!EP55)/EP$10,0),N(Reales!EP55)),EP$194*INDEX(Precio_V,18)*INDEX(IdxPrecio_V,1,MIN(10,EP$173))*(1+V_dPrecio))</f>
        <v>0</v>
      </c>
      <c r="EQ219" s="34" t="n">
        <f aca="false">IF(EQ$8=1,IF(Reales!$C$55="PYG",IF(EQ$10&gt;0,N(Reales!EQ55)/EQ$10,0),N(Reales!EQ55)),EQ$194*INDEX(Precio_V,18)*INDEX(IdxPrecio_V,1,MIN(10,EQ$173))*(1+V_dPrecio))</f>
        <v>0</v>
      </c>
      <c r="ER219" s="34" t="n">
        <f aca="false">IF(ER$8=1,IF(Reales!$C$55="PYG",IF(ER$10&gt;0,N(Reales!ER55)/ER$10,0),N(Reales!ER55)),ER$194*INDEX(Precio_V,18)*INDEX(IdxPrecio_V,1,MIN(10,ER$173))*(1+V_dPrecio))</f>
        <v>0</v>
      </c>
      <c r="ES219" s="34" t="n">
        <f aca="false">IF(ES$8=1,IF(Reales!$C$55="PYG",IF(ES$10&gt;0,N(Reales!ES55)/ES$10,0),N(Reales!ES55)),ES$194*INDEX(Precio_V,18)*INDEX(IdxPrecio_V,1,MIN(10,ES$173))*(1+V_dPrecio))</f>
        <v>0</v>
      </c>
    </row>
    <row r="220" customFormat="false" ht="15" hidden="false" customHeight="false" outlineLevel="0" collapsed="false">
      <c r="A220" s="2" t="s">
        <v>862</v>
      </c>
      <c r="B220" s="39" t="str">
        <f aca="false">IF(INDEX(Prod_Nombre,19)="","Producto 19",INDEX(Prod_Nombre,19))&amp;" — ventas USD"</f>
        <v>Producto 19 — ventas USD</v>
      </c>
      <c r="C220" s="6" t="s">
        <v>250</v>
      </c>
      <c r="E220" s="40" t="n">
        <f aca="false">SUM(F220:ES220)</f>
        <v>0</v>
      </c>
      <c r="F220" s="34" t="n">
        <f aca="false">IF(F$8=1,IF(Reales!$C$56="PYG",IF(F$10&gt;0,N(Reales!F56)/F$10,0),N(Reales!F56)),F$195*INDEX(Precio_V,19)*INDEX(IdxPrecio_V,1,MIN(10,F$173))*(1+V_dPrecio))</f>
        <v>0</v>
      </c>
      <c r="G220" s="34" t="n">
        <f aca="false">IF(G$8=1,IF(Reales!$C$56="PYG",IF(G$10&gt;0,N(Reales!G56)/G$10,0),N(Reales!G56)),G$195*INDEX(Precio_V,19)*INDEX(IdxPrecio_V,1,MIN(10,G$173))*(1+V_dPrecio))</f>
        <v>0</v>
      </c>
      <c r="H220" s="34" t="n">
        <f aca="false">IF(H$8=1,IF(Reales!$C$56="PYG",IF(H$10&gt;0,N(Reales!H56)/H$10,0),N(Reales!H56)),H$195*INDEX(Precio_V,19)*INDEX(IdxPrecio_V,1,MIN(10,H$173))*(1+V_dPrecio))</f>
        <v>0</v>
      </c>
      <c r="I220" s="34" t="n">
        <f aca="false">IF(I$8=1,IF(Reales!$C$56="PYG",IF(I$10&gt;0,N(Reales!I56)/I$10,0),N(Reales!I56)),I$195*INDEX(Precio_V,19)*INDEX(IdxPrecio_V,1,MIN(10,I$173))*(1+V_dPrecio))</f>
        <v>0</v>
      </c>
      <c r="J220" s="34" t="n">
        <f aca="false">IF(J$8=1,IF(Reales!$C$56="PYG",IF(J$10&gt;0,N(Reales!J56)/J$10,0),N(Reales!J56)),J$195*INDEX(Precio_V,19)*INDEX(IdxPrecio_V,1,MIN(10,J$173))*(1+V_dPrecio))</f>
        <v>0</v>
      </c>
      <c r="K220" s="34" t="n">
        <f aca="false">IF(K$8=1,IF(Reales!$C$56="PYG",IF(K$10&gt;0,N(Reales!K56)/K$10,0),N(Reales!K56)),K$195*INDEX(Precio_V,19)*INDEX(IdxPrecio_V,1,MIN(10,K$173))*(1+V_dPrecio))</f>
        <v>0</v>
      </c>
      <c r="L220" s="34" t="n">
        <f aca="false">IF(L$8=1,IF(Reales!$C$56="PYG",IF(L$10&gt;0,N(Reales!L56)/L$10,0),N(Reales!L56)),L$195*INDEX(Precio_V,19)*INDEX(IdxPrecio_V,1,MIN(10,L$173))*(1+V_dPrecio))</f>
        <v>0</v>
      </c>
      <c r="M220" s="34" t="n">
        <f aca="false">IF(M$8=1,IF(Reales!$C$56="PYG",IF(M$10&gt;0,N(Reales!M56)/M$10,0),N(Reales!M56)),M$195*INDEX(Precio_V,19)*INDEX(IdxPrecio_V,1,MIN(10,M$173))*(1+V_dPrecio))</f>
        <v>0</v>
      </c>
      <c r="N220" s="34" t="n">
        <f aca="false">IF(N$8=1,IF(Reales!$C$56="PYG",IF(N$10&gt;0,N(Reales!N56)/N$10,0),N(Reales!N56)),N$195*INDEX(Precio_V,19)*INDEX(IdxPrecio_V,1,MIN(10,N$173))*(1+V_dPrecio))</f>
        <v>0</v>
      </c>
      <c r="O220" s="34" t="n">
        <f aca="false">IF(O$8=1,IF(Reales!$C$56="PYG",IF(O$10&gt;0,N(Reales!O56)/O$10,0),N(Reales!O56)),O$195*INDEX(Precio_V,19)*INDEX(IdxPrecio_V,1,MIN(10,O$173))*(1+V_dPrecio))</f>
        <v>0</v>
      </c>
      <c r="P220" s="34" t="n">
        <f aca="false">IF(P$8=1,IF(Reales!$C$56="PYG",IF(P$10&gt;0,N(Reales!P56)/P$10,0),N(Reales!P56)),P$195*INDEX(Precio_V,19)*INDEX(IdxPrecio_V,1,MIN(10,P$173))*(1+V_dPrecio))</f>
        <v>0</v>
      </c>
      <c r="Q220" s="34" t="n">
        <f aca="false">IF(Q$8=1,IF(Reales!$C$56="PYG",IF(Q$10&gt;0,N(Reales!Q56)/Q$10,0),N(Reales!Q56)),Q$195*INDEX(Precio_V,19)*INDEX(IdxPrecio_V,1,MIN(10,Q$173))*(1+V_dPrecio))</f>
        <v>0</v>
      </c>
      <c r="R220" s="34" t="n">
        <f aca="false">IF(R$8=1,IF(Reales!$C$56="PYG",IF(R$10&gt;0,N(Reales!R56)/R$10,0),N(Reales!R56)),R$195*INDEX(Precio_V,19)*INDEX(IdxPrecio_V,1,MIN(10,R$173))*(1+V_dPrecio))</f>
        <v>0</v>
      </c>
      <c r="S220" s="34" t="n">
        <f aca="false">IF(S$8=1,IF(Reales!$C$56="PYG",IF(S$10&gt;0,N(Reales!S56)/S$10,0),N(Reales!S56)),S$195*INDEX(Precio_V,19)*INDEX(IdxPrecio_V,1,MIN(10,S$173))*(1+V_dPrecio))</f>
        <v>0</v>
      </c>
      <c r="T220" s="34" t="n">
        <f aca="false">IF(T$8=1,IF(Reales!$C$56="PYG",IF(T$10&gt;0,N(Reales!T56)/T$10,0),N(Reales!T56)),T$195*INDEX(Precio_V,19)*INDEX(IdxPrecio_V,1,MIN(10,T$173))*(1+V_dPrecio))</f>
        <v>0</v>
      </c>
      <c r="U220" s="34" t="n">
        <f aca="false">IF(U$8=1,IF(Reales!$C$56="PYG",IF(U$10&gt;0,N(Reales!U56)/U$10,0),N(Reales!U56)),U$195*INDEX(Precio_V,19)*INDEX(IdxPrecio_V,1,MIN(10,U$173))*(1+V_dPrecio))</f>
        <v>0</v>
      </c>
      <c r="V220" s="34" t="n">
        <f aca="false">IF(V$8=1,IF(Reales!$C$56="PYG",IF(V$10&gt;0,N(Reales!V56)/V$10,0),N(Reales!V56)),V$195*INDEX(Precio_V,19)*INDEX(IdxPrecio_V,1,MIN(10,V$173))*(1+V_dPrecio))</f>
        <v>0</v>
      </c>
      <c r="W220" s="34" t="n">
        <f aca="false">IF(W$8=1,IF(Reales!$C$56="PYG",IF(W$10&gt;0,N(Reales!W56)/W$10,0),N(Reales!W56)),W$195*INDEX(Precio_V,19)*INDEX(IdxPrecio_V,1,MIN(10,W$173))*(1+V_dPrecio))</f>
        <v>0</v>
      </c>
      <c r="X220" s="34" t="n">
        <f aca="false">IF(X$8=1,IF(Reales!$C$56="PYG",IF(X$10&gt;0,N(Reales!X56)/X$10,0),N(Reales!X56)),X$195*INDEX(Precio_V,19)*INDEX(IdxPrecio_V,1,MIN(10,X$173))*(1+V_dPrecio))</f>
        <v>0</v>
      </c>
      <c r="Y220" s="34" t="n">
        <f aca="false">IF(Y$8=1,IF(Reales!$C$56="PYG",IF(Y$10&gt;0,N(Reales!Y56)/Y$10,0),N(Reales!Y56)),Y$195*INDEX(Precio_V,19)*INDEX(IdxPrecio_V,1,MIN(10,Y$173))*(1+V_dPrecio))</f>
        <v>0</v>
      </c>
      <c r="Z220" s="34" t="n">
        <f aca="false">IF(Z$8=1,IF(Reales!$C$56="PYG",IF(Z$10&gt;0,N(Reales!Z56)/Z$10,0),N(Reales!Z56)),Z$195*INDEX(Precio_V,19)*INDEX(IdxPrecio_V,1,MIN(10,Z$173))*(1+V_dPrecio))</f>
        <v>0</v>
      </c>
      <c r="AA220" s="34" t="n">
        <f aca="false">IF(AA$8=1,IF(Reales!$C$56="PYG",IF(AA$10&gt;0,N(Reales!AA56)/AA$10,0),N(Reales!AA56)),AA$195*INDEX(Precio_V,19)*INDEX(IdxPrecio_V,1,MIN(10,AA$173))*(1+V_dPrecio))</f>
        <v>0</v>
      </c>
      <c r="AB220" s="34" t="n">
        <f aca="false">IF(AB$8=1,IF(Reales!$C$56="PYG",IF(AB$10&gt;0,N(Reales!AB56)/AB$10,0),N(Reales!AB56)),AB$195*INDEX(Precio_V,19)*INDEX(IdxPrecio_V,1,MIN(10,AB$173))*(1+V_dPrecio))</f>
        <v>0</v>
      </c>
      <c r="AC220" s="34" t="n">
        <f aca="false">IF(AC$8=1,IF(Reales!$C$56="PYG",IF(AC$10&gt;0,N(Reales!AC56)/AC$10,0),N(Reales!AC56)),AC$195*INDEX(Precio_V,19)*INDEX(IdxPrecio_V,1,MIN(10,AC$173))*(1+V_dPrecio))</f>
        <v>0</v>
      </c>
      <c r="AD220" s="34" t="n">
        <f aca="false">IF(AD$8=1,IF(Reales!$C$56="PYG",IF(AD$10&gt;0,N(Reales!AD56)/AD$10,0),N(Reales!AD56)),AD$195*INDEX(Precio_V,19)*INDEX(IdxPrecio_V,1,MIN(10,AD$173))*(1+V_dPrecio))</f>
        <v>0</v>
      </c>
      <c r="AE220" s="34" t="n">
        <f aca="false">IF(AE$8=1,IF(Reales!$C$56="PYG",IF(AE$10&gt;0,N(Reales!AE56)/AE$10,0),N(Reales!AE56)),AE$195*INDEX(Precio_V,19)*INDEX(IdxPrecio_V,1,MIN(10,AE$173))*(1+V_dPrecio))</f>
        <v>0</v>
      </c>
      <c r="AF220" s="34" t="n">
        <f aca="false">IF(AF$8=1,IF(Reales!$C$56="PYG",IF(AF$10&gt;0,N(Reales!AF56)/AF$10,0),N(Reales!AF56)),AF$195*INDEX(Precio_V,19)*INDEX(IdxPrecio_V,1,MIN(10,AF$173))*(1+V_dPrecio))</f>
        <v>0</v>
      </c>
      <c r="AG220" s="34" t="n">
        <f aca="false">IF(AG$8=1,IF(Reales!$C$56="PYG",IF(AG$10&gt;0,N(Reales!AG56)/AG$10,0),N(Reales!AG56)),AG$195*INDEX(Precio_V,19)*INDEX(IdxPrecio_V,1,MIN(10,AG$173))*(1+V_dPrecio))</f>
        <v>0</v>
      </c>
      <c r="AH220" s="34" t="n">
        <f aca="false">IF(AH$8=1,IF(Reales!$C$56="PYG",IF(AH$10&gt;0,N(Reales!AH56)/AH$10,0),N(Reales!AH56)),AH$195*INDEX(Precio_V,19)*INDEX(IdxPrecio_V,1,MIN(10,AH$173))*(1+V_dPrecio))</f>
        <v>0</v>
      </c>
      <c r="AI220" s="34" t="n">
        <f aca="false">IF(AI$8=1,IF(Reales!$C$56="PYG",IF(AI$10&gt;0,N(Reales!AI56)/AI$10,0),N(Reales!AI56)),AI$195*INDEX(Precio_V,19)*INDEX(IdxPrecio_V,1,MIN(10,AI$173))*(1+V_dPrecio))</f>
        <v>0</v>
      </c>
      <c r="AJ220" s="34" t="n">
        <f aca="false">IF(AJ$8=1,IF(Reales!$C$56="PYG",IF(AJ$10&gt;0,N(Reales!AJ56)/AJ$10,0),N(Reales!AJ56)),AJ$195*INDEX(Precio_V,19)*INDEX(IdxPrecio_V,1,MIN(10,AJ$173))*(1+V_dPrecio))</f>
        <v>0</v>
      </c>
      <c r="AK220" s="34" t="n">
        <f aca="false">IF(AK$8=1,IF(Reales!$C$56="PYG",IF(AK$10&gt;0,N(Reales!AK56)/AK$10,0),N(Reales!AK56)),AK$195*INDEX(Precio_V,19)*INDEX(IdxPrecio_V,1,MIN(10,AK$173))*(1+V_dPrecio))</f>
        <v>0</v>
      </c>
      <c r="AL220" s="34" t="n">
        <f aca="false">IF(AL$8=1,IF(Reales!$C$56="PYG",IF(AL$10&gt;0,N(Reales!AL56)/AL$10,0),N(Reales!AL56)),AL$195*INDEX(Precio_V,19)*INDEX(IdxPrecio_V,1,MIN(10,AL$173))*(1+V_dPrecio))</f>
        <v>0</v>
      </c>
      <c r="AM220" s="34" t="n">
        <f aca="false">IF(AM$8=1,IF(Reales!$C$56="PYG",IF(AM$10&gt;0,N(Reales!AM56)/AM$10,0),N(Reales!AM56)),AM$195*INDEX(Precio_V,19)*INDEX(IdxPrecio_V,1,MIN(10,AM$173))*(1+V_dPrecio))</f>
        <v>0</v>
      </c>
      <c r="AN220" s="34" t="n">
        <f aca="false">IF(AN$8=1,IF(Reales!$C$56="PYG",IF(AN$10&gt;0,N(Reales!AN56)/AN$10,0),N(Reales!AN56)),AN$195*INDEX(Precio_V,19)*INDEX(IdxPrecio_V,1,MIN(10,AN$173))*(1+V_dPrecio))</f>
        <v>0</v>
      </c>
      <c r="AO220" s="34" t="n">
        <f aca="false">IF(AO$8=1,IF(Reales!$C$56="PYG",IF(AO$10&gt;0,N(Reales!AO56)/AO$10,0),N(Reales!AO56)),AO$195*INDEX(Precio_V,19)*INDEX(IdxPrecio_V,1,MIN(10,AO$173))*(1+V_dPrecio))</f>
        <v>0</v>
      </c>
      <c r="AP220" s="34" t="n">
        <f aca="false">IF(AP$8=1,IF(Reales!$C$56="PYG",IF(AP$10&gt;0,N(Reales!AP56)/AP$10,0),N(Reales!AP56)),AP$195*INDEX(Precio_V,19)*INDEX(IdxPrecio_V,1,MIN(10,AP$173))*(1+V_dPrecio))</f>
        <v>0</v>
      </c>
      <c r="AQ220" s="34" t="n">
        <f aca="false">IF(AQ$8=1,IF(Reales!$C$56="PYG",IF(AQ$10&gt;0,N(Reales!AQ56)/AQ$10,0),N(Reales!AQ56)),AQ$195*INDEX(Precio_V,19)*INDEX(IdxPrecio_V,1,MIN(10,AQ$173))*(1+V_dPrecio))</f>
        <v>0</v>
      </c>
      <c r="AR220" s="34" t="n">
        <f aca="false">IF(AR$8=1,IF(Reales!$C$56="PYG",IF(AR$10&gt;0,N(Reales!AR56)/AR$10,0),N(Reales!AR56)),AR$195*INDEX(Precio_V,19)*INDEX(IdxPrecio_V,1,MIN(10,AR$173))*(1+V_dPrecio))</f>
        <v>0</v>
      </c>
      <c r="AS220" s="34" t="n">
        <f aca="false">IF(AS$8=1,IF(Reales!$C$56="PYG",IF(AS$10&gt;0,N(Reales!AS56)/AS$10,0),N(Reales!AS56)),AS$195*INDEX(Precio_V,19)*INDEX(IdxPrecio_V,1,MIN(10,AS$173))*(1+V_dPrecio))</f>
        <v>0</v>
      </c>
      <c r="AT220" s="34" t="n">
        <f aca="false">IF(AT$8=1,IF(Reales!$C$56="PYG",IF(AT$10&gt;0,N(Reales!AT56)/AT$10,0),N(Reales!AT56)),AT$195*INDEX(Precio_V,19)*INDEX(IdxPrecio_V,1,MIN(10,AT$173))*(1+V_dPrecio))</f>
        <v>0</v>
      </c>
      <c r="AU220" s="34" t="n">
        <f aca="false">IF(AU$8=1,IF(Reales!$C$56="PYG",IF(AU$10&gt;0,N(Reales!AU56)/AU$10,0),N(Reales!AU56)),AU$195*INDEX(Precio_V,19)*INDEX(IdxPrecio_V,1,MIN(10,AU$173))*(1+V_dPrecio))</f>
        <v>0</v>
      </c>
      <c r="AV220" s="34" t="n">
        <f aca="false">IF(AV$8=1,IF(Reales!$C$56="PYG",IF(AV$10&gt;0,N(Reales!AV56)/AV$10,0),N(Reales!AV56)),AV$195*INDEX(Precio_V,19)*INDEX(IdxPrecio_V,1,MIN(10,AV$173))*(1+V_dPrecio))</f>
        <v>0</v>
      </c>
      <c r="AW220" s="34" t="n">
        <f aca="false">IF(AW$8=1,IF(Reales!$C$56="PYG",IF(AW$10&gt;0,N(Reales!AW56)/AW$10,0),N(Reales!AW56)),AW$195*INDEX(Precio_V,19)*INDEX(IdxPrecio_V,1,MIN(10,AW$173))*(1+V_dPrecio))</f>
        <v>0</v>
      </c>
      <c r="AX220" s="34" t="n">
        <f aca="false">IF(AX$8=1,IF(Reales!$C$56="PYG",IF(AX$10&gt;0,N(Reales!AX56)/AX$10,0),N(Reales!AX56)),AX$195*INDEX(Precio_V,19)*INDEX(IdxPrecio_V,1,MIN(10,AX$173))*(1+V_dPrecio))</f>
        <v>0</v>
      </c>
      <c r="AY220" s="34" t="n">
        <f aca="false">IF(AY$8=1,IF(Reales!$C$56="PYG",IF(AY$10&gt;0,N(Reales!AY56)/AY$10,0),N(Reales!AY56)),AY$195*INDEX(Precio_V,19)*INDEX(IdxPrecio_V,1,MIN(10,AY$173))*(1+V_dPrecio))</f>
        <v>0</v>
      </c>
      <c r="AZ220" s="34" t="n">
        <f aca="false">IF(AZ$8=1,IF(Reales!$C$56="PYG",IF(AZ$10&gt;0,N(Reales!AZ56)/AZ$10,0),N(Reales!AZ56)),AZ$195*INDEX(Precio_V,19)*INDEX(IdxPrecio_V,1,MIN(10,AZ$173))*(1+V_dPrecio))</f>
        <v>0</v>
      </c>
      <c r="BA220" s="34" t="n">
        <f aca="false">IF(BA$8=1,IF(Reales!$C$56="PYG",IF(BA$10&gt;0,N(Reales!BA56)/BA$10,0),N(Reales!BA56)),BA$195*INDEX(Precio_V,19)*INDEX(IdxPrecio_V,1,MIN(10,BA$173))*(1+V_dPrecio))</f>
        <v>0</v>
      </c>
      <c r="BB220" s="34" t="n">
        <f aca="false">IF(BB$8=1,IF(Reales!$C$56="PYG",IF(BB$10&gt;0,N(Reales!BB56)/BB$10,0),N(Reales!BB56)),BB$195*INDEX(Precio_V,19)*INDEX(IdxPrecio_V,1,MIN(10,BB$173))*(1+V_dPrecio))</f>
        <v>0</v>
      </c>
      <c r="BC220" s="34" t="n">
        <f aca="false">IF(BC$8=1,IF(Reales!$C$56="PYG",IF(BC$10&gt;0,N(Reales!BC56)/BC$10,0),N(Reales!BC56)),BC$195*INDEX(Precio_V,19)*INDEX(IdxPrecio_V,1,MIN(10,BC$173))*(1+V_dPrecio))</f>
        <v>0</v>
      </c>
      <c r="BD220" s="34" t="n">
        <f aca="false">IF(BD$8=1,IF(Reales!$C$56="PYG",IF(BD$10&gt;0,N(Reales!BD56)/BD$10,0),N(Reales!BD56)),BD$195*INDEX(Precio_V,19)*INDEX(IdxPrecio_V,1,MIN(10,BD$173))*(1+V_dPrecio))</f>
        <v>0</v>
      </c>
      <c r="BE220" s="34" t="n">
        <f aca="false">IF(BE$8=1,IF(Reales!$C$56="PYG",IF(BE$10&gt;0,N(Reales!BE56)/BE$10,0),N(Reales!BE56)),BE$195*INDEX(Precio_V,19)*INDEX(IdxPrecio_V,1,MIN(10,BE$173))*(1+V_dPrecio))</f>
        <v>0</v>
      </c>
      <c r="BF220" s="34" t="n">
        <f aca="false">IF(BF$8=1,IF(Reales!$C$56="PYG",IF(BF$10&gt;0,N(Reales!BF56)/BF$10,0),N(Reales!BF56)),BF$195*INDEX(Precio_V,19)*INDEX(IdxPrecio_V,1,MIN(10,BF$173))*(1+V_dPrecio))</f>
        <v>0</v>
      </c>
      <c r="BG220" s="34" t="n">
        <f aca="false">IF(BG$8=1,IF(Reales!$C$56="PYG",IF(BG$10&gt;0,N(Reales!BG56)/BG$10,0),N(Reales!BG56)),BG$195*INDEX(Precio_V,19)*INDEX(IdxPrecio_V,1,MIN(10,BG$173))*(1+V_dPrecio))</f>
        <v>0</v>
      </c>
      <c r="BH220" s="34" t="n">
        <f aca="false">IF(BH$8=1,IF(Reales!$C$56="PYG",IF(BH$10&gt;0,N(Reales!BH56)/BH$10,0),N(Reales!BH56)),BH$195*INDEX(Precio_V,19)*INDEX(IdxPrecio_V,1,MIN(10,BH$173))*(1+V_dPrecio))</f>
        <v>0</v>
      </c>
      <c r="BI220" s="34" t="n">
        <f aca="false">IF(BI$8=1,IF(Reales!$C$56="PYG",IF(BI$10&gt;0,N(Reales!BI56)/BI$10,0),N(Reales!BI56)),BI$195*INDEX(Precio_V,19)*INDEX(IdxPrecio_V,1,MIN(10,BI$173))*(1+V_dPrecio))</f>
        <v>0</v>
      </c>
      <c r="BJ220" s="34" t="n">
        <f aca="false">IF(BJ$8=1,IF(Reales!$C$56="PYG",IF(BJ$10&gt;0,N(Reales!BJ56)/BJ$10,0),N(Reales!BJ56)),BJ$195*INDEX(Precio_V,19)*INDEX(IdxPrecio_V,1,MIN(10,BJ$173))*(1+V_dPrecio))</f>
        <v>0</v>
      </c>
      <c r="BK220" s="34" t="n">
        <f aca="false">IF(BK$8=1,IF(Reales!$C$56="PYG",IF(BK$10&gt;0,N(Reales!BK56)/BK$10,0),N(Reales!BK56)),BK$195*INDEX(Precio_V,19)*INDEX(IdxPrecio_V,1,MIN(10,BK$173))*(1+V_dPrecio))</f>
        <v>0</v>
      </c>
      <c r="BL220" s="34" t="n">
        <f aca="false">IF(BL$8=1,IF(Reales!$C$56="PYG",IF(BL$10&gt;0,N(Reales!BL56)/BL$10,0),N(Reales!BL56)),BL$195*INDEX(Precio_V,19)*INDEX(IdxPrecio_V,1,MIN(10,BL$173))*(1+V_dPrecio))</f>
        <v>0</v>
      </c>
      <c r="BM220" s="34" t="n">
        <f aca="false">IF(BM$8=1,IF(Reales!$C$56="PYG",IF(BM$10&gt;0,N(Reales!BM56)/BM$10,0),N(Reales!BM56)),BM$195*INDEX(Precio_V,19)*INDEX(IdxPrecio_V,1,MIN(10,BM$173))*(1+V_dPrecio))</f>
        <v>0</v>
      </c>
      <c r="BN220" s="34" t="n">
        <f aca="false">IF(BN$8=1,IF(Reales!$C$56="PYG",IF(BN$10&gt;0,N(Reales!BN56)/BN$10,0),N(Reales!BN56)),BN$195*INDEX(Precio_V,19)*INDEX(IdxPrecio_V,1,MIN(10,BN$173))*(1+V_dPrecio))</f>
        <v>0</v>
      </c>
      <c r="BO220" s="34" t="n">
        <f aca="false">IF(BO$8=1,IF(Reales!$C$56="PYG",IF(BO$10&gt;0,N(Reales!BO56)/BO$10,0),N(Reales!BO56)),BO$195*INDEX(Precio_V,19)*INDEX(IdxPrecio_V,1,MIN(10,BO$173))*(1+V_dPrecio))</f>
        <v>0</v>
      </c>
      <c r="BP220" s="34" t="n">
        <f aca="false">IF(BP$8=1,IF(Reales!$C$56="PYG",IF(BP$10&gt;0,N(Reales!BP56)/BP$10,0),N(Reales!BP56)),BP$195*INDEX(Precio_V,19)*INDEX(IdxPrecio_V,1,MIN(10,BP$173))*(1+V_dPrecio))</f>
        <v>0</v>
      </c>
      <c r="BQ220" s="34" t="n">
        <f aca="false">IF(BQ$8=1,IF(Reales!$C$56="PYG",IF(BQ$10&gt;0,N(Reales!BQ56)/BQ$10,0),N(Reales!BQ56)),BQ$195*INDEX(Precio_V,19)*INDEX(IdxPrecio_V,1,MIN(10,BQ$173))*(1+V_dPrecio))</f>
        <v>0</v>
      </c>
      <c r="BR220" s="34" t="n">
        <f aca="false">IF(BR$8=1,IF(Reales!$C$56="PYG",IF(BR$10&gt;0,N(Reales!BR56)/BR$10,0),N(Reales!BR56)),BR$195*INDEX(Precio_V,19)*INDEX(IdxPrecio_V,1,MIN(10,BR$173))*(1+V_dPrecio))</f>
        <v>0</v>
      </c>
      <c r="BS220" s="34" t="n">
        <f aca="false">IF(BS$8=1,IF(Reales!$C$56="PYG",IF(BS$10&gt;0,N(Reales!BS56)/BS$10,0),N(Reales!BS56)),BS$195*INDEX(Precio_V,19)*INDEX(IdxPrecio_V,1,MIN(10,BS$173))*(1+V_dPrecio))</f>
        <v>0</v>
      </c>
      <c r="BT220" s="34" t="n">
        <f aca="false">IF(BT$8=1,IF(Reales!$C$56="PYG",IF(BT$10&gt;0,N(Reales!BT56)/BT$10,0),N(Reales!BT56)),BT$195*INDEX(Precio_V,19)*INDEX(IdxPrecio_V,1,MIN(10,BT$173))*(1+V_dPrecio))</f>
        <v>0</v>
      </c>
      <c r="BU220" s="34" t="n">
        <f aca="false">IF(BU$8=1,IF(Reales!$C$56="PYG",IF(BU$10&gt;0,N(Reales!BU56)/BU$10,0),N(Reales!BU56)),BU$195*INDEX(Precio_V,19)*INDEX(IdxPrecio_V,1,MIN(10,BU$173))*(1+V_dPrecio))</f>
        <v>0</v>
      </c>
      <c r="BV220" s="34" t="n">
        <f aca="false">IF(BV$8=1,IF(Reales!$C$56="PYG",IF(BV$10&gt;0,N(Reales!BV56)/BV$10,0),N(Reales!BV56)),BV$195*INDEX(Precio_V,19)*INDEX(IdxPrecio_V,1,MIN(10,BV$173))*(1+V_dPrecio))</f>
        <v>0</v>
      </c>
      <c r="BW220" s="34" t="n">
        <f aca="false">IF(BW$8=1,IF(Reales!$C$56="PYG",IF(BW$10&gt;0,N(Reales!BW56)/BW$10,0),N(Reales!BW56)),BW$195*INDEX(Precio_V,19)*INDEX(IdxPrecio_V,1,MIN(10,BW$173))*(1+V_dPrecio))</f>
        <v>0</v>
      </c>
      <c r="BX220" s="34" t="n">
        <f aca="false">IF(BX$8=1,IF(Reales!$C$56="PYG",IF(BX$10&gt;0,N(Reales!BX56)/BX$10,0),N(Reales!BX56)),BX$195*INDEX(Precio_V,19)*INDEX(IdxPrecio_V,1,MIN(10,BX$173))*(1+V_dPrecio))</f>
        <v>0</v>
      </c>
      <c r="BY220" s="34" t="n">
        <f aca="false">IF(BY$8=1,IF(Reales!$C$56="PYG",IF(BY$10&gt;0,N(Reales!BY56)/BY$10,0),N(Reales!BY56)),BY$195*INDEX(Precio_V,19)*INDEX(IdxPrecio_V,1,MIN(10,BY$173))*(1+V_dPrecio))</f>
        <v>0</v>
      </c>
      <c r="BZ220" s="34" t="n">
        <f aca="false">IF(BZ$8=1,IF(Reales!$C$56="PYG",IF(BZ$10&gt;0,N(Reales!BZ56)/BZ$10,0),N(Reales!BZ56)),BZ$195*INDEX(Precio_V,19)*INDEX(IdxPrecio_V,1,MIN(10,BZ$173))*(1+V_dPrecio))</f>
        <v>0</v>
      </c>
      <c r="CA220" s="34" t="n">
        <f aca="false">IF(CA$8=1,IF(Reales!$C$56="PYG",IF(CA$10&gt;0,N(Reales!CA56)/CA$10,0),N(Reales!CA56)),CA$195*INDEX(Precio_V,19)*INDEX(IdxPrecio_V,1,MIN(10,CA$173))*(1+V_dPrecio))</f>
        <v>0</v>
      </c>
      <c r="CB220" s="34" t="n">
        <f aca="false">IF(CB$8=1,IF(Reales!$C$56="PYG",IF(CB$10&gt;0,N(Reales!CB56)/CB$10,0),N(Reales!CB56)),CB$195*INDEX(Precio_V,19)*INDEX(IdxPrecio_V,1,MIN(10,CB$173))*(1+V_dPrecio))</f>
        <v>0</v>
      </c>
      <c r="CC220" s="34" t="n">
        <f aca="false">IF(CC$8=1,IF(Reales!$C$56="PYG",IF(CC$10&gt;0,N(Reales!CC56)/CC$10,0),N(Reales!CC56)),CC$195*INDEX(Precio_V,19)*INDEX(IdxPrecio_V,1,MIN(10,CC$173))*(1+V_dPrecio))</f>
        <v>0</v>
      </c>
      <c r="CD220" s="34" t="n">
        <f aca="false">IF(CD$8=1,IF(Reales!$C$56="PYG",IF(CD$10&gt;0,N(Reales!CD56)/CD$10,0),N(Reales!CD56)),CD$195*INDEX(Precio_V,19)*INDEX(IdxPrecio_V,1,MIN(10,CD$173))*(1+V_dPrecio))</f>
        <v>0</v>
      </c>
      <c r="CE220" s="34" t="n">
        <f aca="false">IF(CE$8=1,IF(Reales!$C$56="PYG",IF(CE$10&gt;0,N(Reales!CE56)/CE$10,0),N(Reales!CE56)),CE$195*INDEX(Precio_V,19)*INDEX(IdxPrecio_V,1,MIN(10,CE$173))*(1+V_dPrecio))</f>
        <v>0</v>
      </c>
      <c r="CF220" s="34" t="n">
        <f aca="false">IF(CF$8=1,IF(Reales!$C$56="PYG",IF(CF$10&gt;0,N(Reales!CF56)/CF$10,0),N(Reales!CF56)),CF$195*INDEX(Precio_V,19)*INDEX(IdxPrecio_V,1,MIN(10,CF$173))*(1+V_dPrecio))</f>
        <v>0</v>
      </c>
      <c r="CG220" s="34" t="n">
        <f aca="false">IF(CG$8=1,IF(Reales!$C$56="PYG",IF(CG$10&gt;0,N(Reales!CG56)/CG$10,0),N(Reales!CG56)),CG$195*INDEX(Precio_V,19)*INDEX(IdxPrecio_V,1,MIN(10,CG$173))*(1+V_dPrecio))</f>
        <v>0</v>
      </c>
      <c r="CH220" s="34" t="n">
        <f aca="false">IF(CH$8=1,IF(Reales!$C$56="PYG",IF(CH$10&gt;0,N(Reales!CH56)/CH$10,0),N(Reales!CH56)),CH$195*INDEX(Precio_V,19)*INDEX(IdxPrecio_V,1,MIN(10,CH$173))*(1+V_dPrecio))</f>
        <v>0</v>
      </c>
      <c r="CI220" s="34" t="n">
        <f aca="false">IF(CI$8=1,IF(Reales!$C$56="PYG",IF(CI$10&gt;0,N(Reales!CI56)/CI$10,0),N(Reales!CI56)),CI$195*INDEX(Precio_V,19)*INDEX(IdxPrecio_V,1,MIN(10,CI$173))*(1+V_dPrecio))</f>
        <v>0</v>
      </c>
      <c r="CJ220" s="34" t="n">
        <f aca="false">IF(CJ$8=1,IF(Reales!$C$56="PYG",IF(CJ$10&gt;0,N(Reales!CJ56)/CJ$10,0),N(Reales!CJ56)),CJ$195*INDEX(Precio_V,19)*INDEX(IdxPrecio_V,1,MIN(10,CJ$173))*(1+V_dPrecio))</f>
        <v>0</v>
      </c>
      <c r="CK220" s="34" t="n">
        <f aca="false">IF(CK$8=1,IF(Reales!$C$56="PYG",IF(CK$10&gt;0,N(Reales!CK56)/CK$10,0),N(Reales!CK56)),CK$195*INDEX(Precio_V,19)*INDEX(IdxPrecio_V,1,MIN(10,CK$173))*(1+V_dPrecio))</f>
        <v>0</v>
      </c>
      <c r="CL220" s="34" t="n">
        <f aca="false">IF(CL$8=1,IF(Reales!$C$56="PYG",IF(CL$10&gt;0,N(Reales!CL56)/CL$10,0),N(Reales!CL56)),CL$195*INDEX(Precio_V,19)*INDEX(IdxPrecio_V,1,MIN(10,CL$173))*(1+V_dPrecio))</f>
        <v>0</v>
      </c>
      <c r="CM220" s="34" t="n">
        <f aca="false">IF(CM$8=1,IF(Reales!$C$56="PYG",IF(CM$10&gt;0,N(Reales!CM56)/CM$10,0),N(Reales!CM56)),CM$195*INDEX(Precio_V,19)*INDEX(IdxPrecio_V,1,MIN(10,CM$173))*(1+V_dPrecio))</f>
        <v>0</v>
      </c>
      <c r="CN220" s="34" t="n">
        <f aca="false">IF(CN$8=1,IF(Reales!$C$56="PYG",IF(CN$10&gt;0,N(Reales!CN56)/CN$10,0),N(Reales!CN56)),CN$195*INDEX(Precio_V,19)*INDEX(IdxPrecio_V,1,MIN(10,CN$173))*(1+V_dPrecio))</f>
        <v>0</v>
      </c>
      <c r="CO220" s="34" t="n">
        <f aca="false">IF(CO$8=1,IF(Reales!$C$56="PYG",IF(CO$10&gt;0,N(Reales!CO56)/CO$10,0),N(Reales!CO56)),CO$195*INDEX(Precio_V,19)*INDEX(IdxPrecio_V,1,MIN(10,CO$173))*(1+V_dPrecio))</f>
        <v>0</v>
      </c>
      <c r="CP220" s="34" t="n">
        <f aca="false">IF(CP$8=1,IF(Reales!$C$56="PYG",IF(CP$10&gt;0,N(Reales!CP56)/CP$10,0),N(Reales!CP56)),CP$195*INDEX(Precio_V,19)*INDEX(IdxPrecio_V,1,MIN(10,CP$173))*(1+V_dPrecio))</f>
        <v>0</v>
      </c>
      <c r="CQ220" s="34" t="n">
        <f aca="false">IF(CQ$8=1,IF(Reales!$C$56="PYG",IF(CQ$10&gt;0,N(Reales!CQ56)/CQ$10,0),N(Reales!CQ56)),CQ$195*INDEX(Precio_V,19)*INDEX(IdxPrecio_V,1,MIN(10,CQ$173))*(1+V_dPrecio))</f>
        <v>0</v>
      </c>
      <c r="CR220" s="34" t="n">
        <f aca="false">IF(CR$8=1,IF(Reales!$C$56="PYG",IF(CR$10&gt;0,N(Reales!CR56)/CR$10,0),N(Reales!CR56)),CR$195*INDEX(Precio_V,19)*INDEX(IdxPrecio_V,1,MIN(10,CR$173))*(1+V_dPrecio))</f>
        <v>0</v>
      </c>
      <c r="CS220" s="34" t="n">
        <f aca="false">IF(CS$8=1,IF(Reales!$C$56="PYG",IF(CS$10&gt;0,N(Reales!CS56)/CS$10,0),N(Reales!CS56)),CS$195*INDEX(Precio_V,19)*INDEX(IdxPrecio_V,1,MIN(10,CS$173))*(1+V_dPrecio))</f>
        <v>0</v>
      </c>
      <c r="CT220" s="34" t="n">
        <f aca="false">IF(CT$8=1,IF(Reales!$C$56="PYG",IF(CT$10&gt;0,N(Reales!CT56)/CT$10,0),N(Reales!CT56)),CT$195*INDEX(Precio_V,19)*INDEX(IdxPrecio_V,1,MIN(10,CT$173))*(1+V_dPrecio))</f>
        <v>0</v>
      </c>
      <c r="CU220" s="34" t="n">
        <f aca="false">IF(CU$8=1,IF(Reales!$C$56="PYG",IF(CU$10&gt;0,N(Reales!CU56)/CU$10,0),N(Reales!CU56)),CU$195*INDEX(Precio_V,19)*INDEX(IdxPrecio_V,1,MIN(10,CU$173))*(1+V_dPrecio))</f>
        <v>0</v>
      </c>
      <c r="CV220" s="34" t="n">
        <f aca="false">IF(CV$8=1,IF(Reales!$C$56="PYG",IF(CV$10&gt;0,N(Reales!CV56)/CV$10,0),N(Reales!CV56)),CV$195*INDEX(Precio_V,19)*INDEX(IdxPrecio_V,1,MIN(10,CV$173))*(1+V_dPrecio))</f>
        <v>0</v>
      </c>
      <c r="CW220" s="34" t="n">
        <f aca="false">IF(CW$8=1,IF(Reales!$C$56="PYG",IF(CW$10&gt;0,N(Reales!CW56)/CW$10,0),N(Reales!CW56)),CW$195*INDEX(Precio_V,19)*INDEX(IdxPrecio_V,1,MIN(10,CW$173))*(1+V_dPrecio))</f>
        <v>0</v>
      </c>
      <c r="CX220" s="34" t="n">
        <f aca="false">IF(CX$8=1,IF(Reales!$C$56="PYG",IF(CX$10&gt;0,N(Reales!CX56)/CX$10,0),N(Reales!CX56)),CX$195*INDEX(Precio_V,19)*INDEX(IdxPrecio_V,1,MIN(10,CX$173))*(1+V_dPrecio))</f>
        <v>0</v>
      </c>
      <c r="CY220" s="34" t="n">
        <f aca="false">IF(CY$8=1,IF(Reales!$C$56="PYG",IF(CY$10&gt;0,N(Reales!CY56)/CY$10,0),N(Reales!CY56)),CY$195*INDEX(Precio_V,19)*INDEX(IdxPrecio_V,1,MIN(10,CY$173))*(1+V_dPrecio))</f>
        <v>0</v>
      </c>
      <c r="CZ220" s="34" t="n">
        <f aca="false">IF(CZ$8=1,IF(Reales!$C$56="PYG",IF(CZ$10&gt;0,N(Reales!CZ56)/CZ$10,0),N(Reales!CZ56)),CZ$195*INDEX(Precio_V,19)*INDEX(IdxPrecio_V,1,MIN(10,CZ$173))*(1+V_dPrecio))</f>
        <v>0</v>
      </c>
      <c r="DA220" s="34" t="n">
        <f aca="false">IF(DA$8=1,IF(Reales!$C$56="PYG",IF(DA$10&gt;0,N(Reales!DA56)/DA$10,0),N(Reales!DA56)),DA$195*INDEX(Precio_V,19)*INDEX(IdxPrecio_V,1,MIN(10,DA$173))*(1+V_dPrecio))</f>
        <v>0</v>
      </c>
      <c r="DB220" s="34" t="n">
        <f aca="false">IF(DB$8=1,IF(Reales!$C$56="PYG",IF(DB$10&gt;0,N(Reales!DB56)/DB$10,0),N(Reales!DB56)),DB$195*INDEX(Precio_V,19)*INDEX(IdxPrecio_V,1,MIN(10,DB$173))*(1+V_dPrecio))</f>
        <v>0</v>
      </c>
      <c r="DC220" s="34" t="n">
        <f aca="false">IF(DC$8=1,IF(Reales!$C$56="PYG",IF(DC$10&gt;0,N(Reales!DC56)/DC$10,0),N(Reales!DC56)),DC$195*INDEX(Precio_V,19)*INDEX(IdxPrecio_V,1,MIN(10,DC$173))*(1+V_dPrecio))</f>
        <v>0</v>
      </c>
      <c r="DD220" s="34" t="n">
        <f aca="false">IF(DD$8=1,IF(Reales!$C$56="PYG",IF(DD$10&gt;0,N(Reales!DD56)/DD$10,0),N(Reales!DD56)),DD$195*INDEX(Precio_V,19)*INDEX(IdxPrecio_V,1,MIN(10,DD$173))*(1+V_dPrecio))</f>
        <v>0</v>
      </c>
      <c r="DE220" s="34" t="n">
        <f aca="false">IF(DE$8=1,IF(Reales!$C$56="PYG",IF(DE$10&gt;0,N(Reales!DE56)/DE$10,0),N(Reales!DE56)),DE$195*INDEX(Precio_V,19)*INDEX(IdxPrecio_V,1,MIN(10,DE$173))*(1+V_dPrecio))</f>
        <v>0</v>
      </c>
      <c r="DF220" s="34" t="n">
        <f aca="false">IF(DF$8=1,IF(Reales!$C$56="PYG",IF(DF$10&gt;0,N(Reales!DF56)/DF$10,0),N(Reales!DF56)),DF$195*INDEX(Precio_V,19)*INDEX(IdxPrecio_V,1,MIN(10,DF$173))*(1+V_dPrecio))</f>
        <v>0</v>
      </c>
      <c r="DG220" s="34" t="n">
        <f aca="false">IF(DG$8=1,IF(Reales!$C$56="PYG",IF(DG$10&gt;0,N(Reales!DG56)/DG$10,0),N(Reales!DG56)),DG$195*INDEX(Precio_V,19)*INDEX(IdxPrecio_V,1,MIN(10,DG$173))*(1+V_dPrecio))</f>
        <v>0</v>
      </c>
      <c r="DH220" s="34" t="n">
        <f aca="false">IF(DH$8=1,IF(Reales!$C$56="PYG",IF(DH$10&gt;0,N(Reales!DH56)/DH$10,0),N(Reales!DH56)),DH$195*INDEX(Precio_V,19)*INDEX(IdxPrecio_V,1,MIN(10,DH$173))*(1+V_dPrecio))</f>
        <v>0</v>
      </c>
      <c r="DI220" s="34" t="n">
        <f aca="false">IF(DI$8=1,IF(Reales!$C$56="PYG",IF(DI$10&gt;0,N(Reales!DI56)/DI$10,0),N(Reales!DI56)),DI$195*INDEX(Precio_V,19)*INDEX(IdxPrecio_V,1,MIN(10,DI$173))*(1+V_dPrecio))</f>
        <v>0</v>
      </c>
      <c r="DJ220" s="34" t="n">
        <f aca="false">IF(DJ$8=1,IF(Reales!$C$56="PYG",IF(DJ$10&gt;0,N(Reales!DJ56)/DJ$10,0),N(Reales!DJ56)),DJ$195*INDEX(Precio_V,19)*INDEX(IdxPrecio_V,1,MIN(10,DJ$173))*(1+V_dPrecio))</f>
        <v>0</v>
      </c>
      <c r="DK220" s="34" t="n">
        <f aca="false">IF(DK$8=1,IF(Reales!$C$56="PYG",IF(DK$10&gt;0,N(Reales!DK56)/DK$10,0),N(Reales!DK56)),DK$195*INDEX(Precio_V,19)*INDEX(IdxPrecio_V,1,MIN(10,DK$173))*(1+V_dPrecio))</f>
        <v>0</v>
      </c>
      <c r="DL220" s="34" t="n">
        <f aca="false">IF(DL$8=1,IF(Reales!$C$56="PYG",IF(DL$10&gt;0,N(Reales!DL56)/DL$10,0),N(Reales!DL56)),DL$195*INDEX(Precio_V,19)*INDEX(IdxPrecio_V,1,MIN(10,DL$173))*(1+V_dPrecio))</f>
        <v>0</v>
      </c>
      <c r="DM220" s="34" t="n">
        <f aca="false">IF(DM$8=1,IF(Reales!$C$56="PYG",IF(DM$10&gt;0,N(Reales!DM56)/DM$10,0),N(Reales!DM56)),DM$195*INDEX(Precio_V,19)*INDEX(IdxPrecio_V,1,MIN(10,DM$173))*(1+V_dPrecio))</f>
        <v>0</v>
      </c>
      <c r="DN220" s="34" t="n">
        <f aca="false">IF(DN$8=1,IF(Reales!$C$56="PYG",IF(DN$10&gt;0,N(Reales!DN56)/DN$10,0),N(Reales!DN56)),DN$195*INDEX(Precio_V,19)*INDEX(IdxPrecio_V,1,MIN(10,DN$173))*(1+V_dPrecio))</f>
        <v>0</v>
      </c>
      <c r="DO220" s="34" t="n">
        <f aca="false">IF(DO$8=1,IF(Reales!$C$56="PYG",IF(DO$10&gt;0,N(Reales!DO56)/DO$10,0),N(Reales!DO56)),DO$195*INDEX(Precio_V,19)*INDEX(IdxPrecio_V,1,MIN(10,DO$173))*(1+V_dPrecio))</f>
        <v>0</v>
      </c>
      <c r="DP220" s="34" t="n">
        <f aca="false">IF(DP$8=1,IF(Reales!$C$56="PYG",IF(DP$10&gt;0,N(Reales!DP56)/DP$10,0),N(Reales!DP56)),DP$195*INDEX(Precio_V,19)*INDEX(IdxPrecio_V,1,MIN(10,DP$173))*(1+V_dPrecio))</f>
        <v>0</v>
      </c>
      <c r="DQ220" s="34" t="n">
        <f aca="false">IF(DQ$8=1,IF(Reales!$C$56="PYG",IF(DQ$10&gt;0,N(Reales!DQ56)/DQ$10,0),N(Reales!DQ56)),DQ$195*INDEX(Precio_V,19)*INDEX(IdxPrecio_V,1,MIN(10,DQ$173))*(1+V_dPrecio))</f>
        <v>0</v>
      </c>
      <c r="DR220" s="34" t="n">
        <f aca="false">IF(DR$8=1,IF(Reales!$C$56="PYG",IF(DR$10&gt;0,N(Reales!DR56)/DR$10,0),N(Reales!DR56)),DR$195*INDEX(Precio_V,19)*INDEX(IdxPrecio_V,1,MIN(10,DR$173))*(1+V_dPrecio))</f>
        <v>0</v>
      </c>
      <c r="DS220" s="34" t="n">
        <f aca="false">IF(DS$8=1,IF(Reales!$C$56="PYG",IF(DS$10&gt;0,N(Reales!DS56)/DS$10,0),N(Reales!DS56)),DS$195*INDEX(Precio_V,19)*INDEX(IdxPrecio_V,1,MIN(10,DS$173))*(1+V_dPrecio))</f>
        <v>0</v>
      </c>
      <c r="DT220" s="34" t="n">
        <f aca="false">IF(DT$8=1,IF(Reales!$C$56="PYG",IF(DT$10&gt;0,N(Reales!DT56)/DT$10,0),N(Reales!DT56)),DT$195*INDEX(Precio_V,19)*INDEX(IdxPrecio_V,1,MIN(10,DT$173))*(1+V_dPrecio))</f>
        <v>0</v>
      </c>
      <c r="DU220" s="34" t="n">
        <f aca="false">IF(DU$8=1,IF(Reales!$C$56="PYG",IF(DU$10&gt;0,N(Reales!DU56)/DU$10,0),N(Reales!DU56)),DU$195*INDEX(Precio_V,19)*INDEX(IdxPrecio_V,1,MIN(10,DU$173))*(1+V_dPrecio))</f>
        <v>0</v>
      </c>
      <c r="DV220" s="34" t="n">
        <f aca="false">IF(DV$8=1,IF(Reales!$C$56="PYG",IF(DV$10&gt;0,N(Reales!DV56)/DV$10,0),N(Reales!DV56)),DV$195*INDEX(Precio_V,19)*INDEX(IdxPrecio_V,1,MIN(10,DV$173))*(1+V_dPrecio))</f>
        <v>0</v>
      </c>
      <c r="DW220" s="34" t="n">
        <f aca="false">IF(DW$8=1,IF(Reales!$C$56="PYG",IF(DW$10&gt;0,N(Reales!DW56)/DW$10,0),N(Reales!DW56)),DW$195*INDEX(Precio_V,19)*INDEX(IdxPrecio_V,1,MIN(10,DW$173))*(1+V_dPrecio))</f>
        <v>0</v>
      </c>
      <c r="DX220" s="34" t="n">
        <f aca="false">IF(DX$8=1,IF(Reales!$C$56="PYG",IF(DX$10&gt;0,N(Reales!DX56)/DX$10,0),N(Reales!DX56)),DX$195*INDEX(Precio_V,19)*INDEX(IdxPrecio_V,1,MIN(10,DX$173))*(1+V_dPrecio))</f>
        <v>0</v>
      </c>
      <c r="DY220" s="34" t="n">
        <f aca="false">IF(DY$8=1,IF(Reales!$C$56="PYG",IF(DY$10&gt;0,N(Reales!DY56)/DY$10,0),N(Reales!DY56)),DY$195*INDEX(Precio_V,19)*INDEX(IdxPrecio_V,1,MIN(10,DY$173))*(1+V_dPrecio))</f>
        <v>0</v>
      </c>
      <c r="DZ220" s="34" t="n">
        <f aca="false">IF(DZ$8=1,IF(Reales!$C$56="PYG",IF(DZ$10&gt;0,N(Reales!DZ56)/DZ$10,0),N(Reales!DZ56)),DZ$195*INDEX(Precio_V,19)*INDEX(IdxPrecio_V,1,MIN(10,DZ$173))*(1+V_dPrecio))</f>
        <v>0</v>
      </c>
      <c r="EA220" s="34" t="n">
        <f aca="false">IF(EA$8=1,IF(Reales!$C$56="PYG",IF(EA$10&gt;0,N(Reales!EA56)/EA$10,0),N(Reales!EA56)),EA$195*INDEX(Precio_V,19)*INDEX(IdxPrecio_V,1,MIN(10,EA$173))*(1+V_dPrecio))</f>
        <v>0</v>
      </c>
      <c r="EB220" s="34" t="n">
        <f aca="false">IF(EB$8=1,IF(Reales!$C$56="PYG",IF(EB$10&gt;0,N(Reales!EB56)/EB$10,0),N(Reales!EB56)),EB$195*INDEX(Precio_V,19)*INDEX(IdxPrecio_V,1,MIN(10,EB$173))*(1+V_dPrecio))</f>
        <v>0</v>
      </c>
      <c r="EC220" s="34" t="n">
        <f aca="false">IF(EC$8=1,IF(Reales!$C$56="PYG",IF(EC$10&gt;0,N(Reales!EC56)/EC$10,0),N(Reales!EC56)),EC$195*INDEX(Precio_V,19)*INDEX(IdxPrecio_V,1,MIN(10,EC$173))*(1+V_dPrecio))</f>
        <v>0</v>
      </c>
      <c r="ED220" s="34" t="n">
        <f aca="false">IF(ED$8=1,IF(Reales!$C$56="PYG",IF(ED$10&gt;0,N(Reales!ED56)/ED$10,0),N(Reales!ED56)),ED$195*INDEX(Precio_V,19)*INDEX(IdxPrecio_V,1,MIN(10,ED$173))*(1+V_dPrecio))</f>
        <v>0</v>
      </c>
      <c r="EE220" s="34" t="n">
        <f aca="false">IF(EE$8=1,IF(Reales!$C$56="PYG",IF(EE$10&gt;0,N(Reales!EE56)/EE$10,0),N(Reales!EE56)),EE$195*INDEX(Precio_V,19)*INDEX(IdxPrecio_V,1,MIN(10,EE$173))*(1+V_dPrecio))</f>
        <v>0</v>
      </c>
      <c r="EF220" s="34" t="n">
        <f aca="false">IF(EF$8=1,IF(Reales!$C$56="PYG",IF(EF$10&gt;0,N(Reales!EF56)/EF$10,0),N(Reales!EF56)),EF$195*INDEX(Precio_V,19)*INDEX(IdxPrecio_V,1,MIN(10,EF$173))*(1+V_dPrecio))</f>
        <v>0</v>
      </c>
      <c r="EG220" s="34" t="n">
        <f aca="false">IF(EG$8=1,IF(Reales!$C$56="PYG",IF(EG$10&gt;0,N(Reales!EG56)/EG$10,0),N(Reales!EG56)),EG$195*INDEX(Precio_V,19)*INDEX(IdxPrecio_V,1,MIN(10,EG$173))*(1+V_dPrecio))</f>
        <v>0</v>
      </c>
      <c r="EH220" s="34" t="n">
        <f aca="false">IF(EH$8=1,IF(Reales!$C$56="PYG",IF(EH$10&gt;0,N(Reales!EH56)/EH$10,0),N(Reales!EH56)),EH$195*INDEX(Precio_V,19)*INDEX(IdxPrecio_V,1,MIN(10,EH$173))*(1+V_dPrecio))</f>
        <v>0</v>
      </c>
      <c r="EI220" s="34" t="n">
        <f aca="false">IF(EI$8=1,IF(Reales!$C$56="PYG",IF(EI$10&gt;0,N(Reales!EI56)/EI$10,0),N(Reales!EI56)),EI$195*INDEX(Precio_V,19)*INDEX(IdxPrecio_V,1,MIN(10,EI$173))*(1+V_dPrecio))</f>
        <v>0</v>
      </c>
      <c r="EJ220" s="34" t="n">
        <f aca="false">IF(EJ$8=1,IF(Reales!$C$56="PYG",IF(EJ$10&gt;0,N(Reales!EJ56)/EJ$10,0),N(Reales!EJ56)),EJ$195*INDEX(Precio_V,19)*INDEX(IdxPrecio_V,1,MIN(10,EJ$173))*(1+V_dPrecio))</f>
        <v>0</v>
      </c>
      <c r="EK220" s="34" t="n">
        <f aca="false">IF(EK$8=1,IF(Reales!$C$56="PYG",IF(EK$10&gt;0,N(Reales!EK56)/EK$10,0),N(Reales!EK56)),EK$195*INDEX(Precio_V,19)*INDEX(IdxPrecio_V,1,MIN(10,EK$173))*(1+V_dPrecio))</f>
        <v>0</v>
      </c>
      <c r="EL220" s="34" t="n">
        <f aca="false">IF(EL$8=1,IF(Reales!$C$56="PYG",IF(EL$10&gt;0,N(Reales!EL56)/EL$10,0),N(Reales!EL56)),EL$195*INDEX(Precio_V,19)*INDEX(IdxPrecio_V,1,MIN(10,EL$173))*(1+V_dPrecio))</f>
        <v>0</v>
      </c>
      <c r="EM220" s="34" t="n">
        <f aca="false">IF(EM$8=1,IF(Reales!$C$56="PYG",IF(EM$10&gt;0,N(Reales!EM56)/EM$10,0),N(Reales!EM56)),EM$195*INDEX(Precio_V,19)*INDEX(IdxPrecio_V,1,MIN(10,EM$173))*(1+V_dPrecio))</f>
        <v>0</v>
      </c>
      <c r="EN220" s="34" t="n">
        <f aca="false">IF(EN$8=1,IF(Reales!$C$56="PYG",IF(EN$10&gt;0,N(Reales!EN56)/EN$10,0),N(Reales!EN56)),EN$195*INDEX(Precio_V,19)*INDEX(IdxPrecio_V,1,MIN(10,EN$173))*(1+V_dPrecio))</f>
        <v>0</v>
      </c>
      <c r="EO220" s="34" t="n">
        <f aca="false">IF(EO$8=1,IF(Reales!$C$56="PYG",IF(EO$10&gt;0,N(Reales!EO56)/EO$10,0),N(Reales!EO56)),EO$195*INDEX(Precio_V,19)*INDEX(IdxPrecio_V,1,MIN(10,EO$173))*(1+V_dPrecio))</f>
        <v>0</v>
      </c>
      <c r="EP220" s="34" t="n">
        <f aca="false">IF(EP$8=1,IF(Reales!$C$56="PYG",IF(EP$10&gt;0,N(Reales!EP56)/EP$10,0),N(Reales!EP56)),EP$195*INDEX(Precio_V,19)*INDEX(IdxPrecio_V,1,MIN(10,EP$173))*(1+V_dPrecio))</f>
        <v>0</v>
      </c>
      <c r="EQ220" s="34" t="n">
        <f aca="false">IF(EQ$8=1,IF(Reales!$C$56="PYG",IF(EQ$10&gt;0,N(Reales!EQ56)/EQ$10,0),N(Reales!EQ56)),EQ$195*INDEX(Precio_V,19)*INDEX(IdxPrecio_V,1,MIN(10,EQ$173))*(1+V_dPrecio))</f>
        <v>0</v>
      </c>
      <c r="ER220" s="34" t="n">
        <f aca="false">IF(ER$8=1,IF(Reales!$C$56="PYG",IF(ER$10&gt;0,N(Reales!ER56)/ER$10,0),N(Reales!ER56)),ER$195*INDEX(Precio_V,19)*INDEX(IdxPrecio_V,1,MIN(10,ER$173))*(1+V_dPrecio))</f>
        <v>0</v>
      </c>
      <c r="ES220" s="34" t="n">
        <f aca="false">IF(ES$8=1,IF(Reales!$C$56="PYG",IF(ES$10&gt;0,N(Reales!ES56)/ES$10,0),N(Reales!ES56)),ES$195*INDEX(Precio_V,19)*INDEX(IdxPrecio_V,1,MIN(10,ES$173))*(1+V_dPrecio))</f>
        <v>0</v>
      </c>
    </row>
    <row r="221" customFormat="false" ht="15" hidden="false" customHeight="false" outlineLevel="0" collapsed="false">
      <c r="A221" s="2" t="s">
        <v>863</v>
      </c>
      <c r="B221" s="39" t="str">
        <f aca="false">IF(INDEX(Prod_Nombre,20)="","Producto 20",INDEX(Prod_Nombre,20))&amp;" — ventas USD"</f>
        <v>Producto 20 — ventas USD</v>
      </c>
      <c r="C221" s="6" t="s">
        <v>250</v>
      </c>
      <c r="E221" s="40" t="n">
        <f aca="false">SUM(F221:ES221)</f>
        <v>0</v>
      </c>
      <c r="F221" s="34" t="n">
        <f aca="false">IF(F$8=1,IF(Reales!$C$57="PYG",IF(F$10&gt;0,N(Reales!F57)/F$10,0),N(Reales!F57)),F$196*INDEX(Precio_V,20)*INDEX(IdxPrecio_V,1,MIN(10,F$173))*(1+V_dPrecio))</f>
        <v>0</v>
      </c>
      <c r="G221" s="34" t="n">
        <f aca="false">IF(G$8=1,IF(Reales!$C$57="PYG",IF(G$10&gt;0,N(Reales!G57)/G$10,0),N(Reales!G57)),G$196*INDEX(Precio_V,20)*INDEX(IdxPrecio_V,1,MIN(10,G$173))*(1+V_dPrecio))</f>
        <v>0</v>
      </c>
      <c r="H221" s="34" t="n">
        <f aca="false">IF(H$8=1,IF(Reales!$C$57="PYG",IF(H$10&gt;0,N(Reales!H57)/H$10,0),N(Reales!H57)),H$196*INDEX(Precio_V,20)*INDEX(IdxPrecio_V,1,MIN(10,H$173))*(1+V_dPrecio))</f>
        <v>0</v>
      </c>
      <c r="I221" s="34" t="n">
        <f aca="false">IF(I$8=1,IF(Reales!$C$57="PYG",IF(I$10&gt;0,N(Reales!I57)/I$10,0),N(Reales!I57)),I$196*INDEX(Precio_V,20)*INDEX(IdxPrecio_V,1,MIN(10,I$173))*(1+V_dPrecio))</f>
        <v>0</v>
      </c>
      <c r="J221" s="34" t="n">
        <f aca="false">IF(J$8=1,IF(Reales!$C$57="PYG",IF(J$10&gt;0,N(Reales!J57)/J$10,0),N(Reales!J57)),J$196*INDEX(Precio_V,20)*INDEX(IdxPrecio_V,1,MIN(10,J$173))*(1+V_dPrecio))</f>
        <v>0</v>
      </c>
      <c r="K221" s="34" t="n">
        <f aca="false">IF(K$8=1,IF(Reales!$C$57="PYG",IF(K$10&gt;0,N(Reales!K57)/K$10,0),N(Reales!K57)),K$196*INDEX(Precio_V,20)*INDEX(IdxPrecio_V,1,MIN(10,K$173))*(1+V_dPrecio))</f>
        <v>0</v>
      </c>
      <c r="L221" s="34" t="n">
        <f aca="false">IF(L$8=1,IF(Reales!$C$57="PYG",IF(L$10&gt;0,N(Reales!L57)/L$10,0),N(Reales!L57)),L$196*INDEX(Precio_V,20)*INDEX(IdxPrecio_V,1,MIN(10,L$173))*(1+V_dPrecio))</f>
        <v>0</v>
      </c>
      <c r="M221" s="34" t="n">
        <f aca="false">IF(M$8=1,IF(Reales!$C$57="PYG",IF(M$10&gt;0,N(Reales!M57)/M$10,0),N(Reales!M57)),M$196*INDEX(Precio_V,20)*INDEX(IdxPrecio_V,1,MIN(10,M$173))*(1+V_dPrecio))</f>
        <v>0</v>
      </c>
      <c r="N221" s="34" t="n">
        <f aca="false">IF(N$8=1,IF(Reales!$C$57="PYG",IF(N$10&gt;0,N(Reales!N57)/N$10,0),N(Reales!N57)),N$196*INDEX(Precio_V,20)*INDEX(IdxPrecio_V,1,MIN(10,N$173))*(1+V_dPrecio))</f>
        <v>0</v>
      </c>
      <c r="O221" s="34" t="n">
        <f aca="false">IF(O$8=1,IF(Reales!$C$57="PYG",IF(O$10&gt;0,N(Reales!O57)/O$10,0),N(Reales!O57)),O$196*INDEX(Precio_V,20)*INDEX(IdxPrecio_V,1,MIN(10,O$173))*(1+V_dPrecio))</f>
        <v>0</v>
      </c>
      <c r="P221" s="34" t="n">
        <f aca="false">IF(P$8=1,IF(Reales!$C$57="PYG",IF(P$10&gt;0,N(Reales!P57)/P$10,0),N(Reales!P57)),P$196*INDEX(Precio_V,20)*INDEX(IdxPrecio_V,1,MIN(10,P$173))*(1+V_dPrecio))</f>
        <v>0</v>
      </c>
      <c r="Q221" s="34" t="n">
        <f aca="false">IF(Q$8=1,IF(Reales!$C$57="PYG",IF(Q$10&gt;0,N(Reales!Q57)/Q$10,0),N(Reales!Q57)),Q$196*INDEX(Precio_V,20)*INDEX(IdxPrecio_V,1,MIN(10,Q$173))*(1+V_dPrecio))</f>
        <v>0</v>
      </c>
      <c r="R221" s="34" t="n">
        <f aca="false">IF(R$8=1,IF(Reales!$C$57="PYG",IF(R$10&gt;0,N(Reales!R57)/R$10,0),N(Reales!R57)),R$196*INDEX(Precio_V,20)*INDEX(IdxPrecio_V,1,MIN(10,R$173))*(1+V_dPrecio))</f>
        <v>0</v>
      </c>
      <c r="S221" s="34" t="n">
        <f aca="false">IF(S$8=1,IF(Reales!$C$57="PYG",IF(S$10&gt;0,N(Reales!S57)/S$10,0),N(Reales!S57)),S$196*INDEX(Precio_V,20)*INDEX(IdxPrecio_V,1,MIN(10,S$173))*(1+V_dPrecio))</f>
        <v>0</v>
      </c>
      <c r="T221" s="34" t="n">
        <f aca="false">IF(T$8=1,IF(Reales!$C$57="PYG",IF(T$10&gt;0,N(Reales!T57)/T$10,0),N(Reales!T57)),T$196*INDEX(Precio_V,20)*INDEX(IdxPrecio_V,1,MIN(10,T$173))*(1+V_dPrecio))</f>
        <v>0</v>
      </c>
      <c r="U221" s="34" t="n">
        <f aca="false">IF(U$8=1,IF(Reales!$C$57="PYG",IF(U$10&gt;0,N(Reales!U57)/U$10,0),N(Reales!U57)),U$196*INDEX(Precio_V,20)*INDEX(IdxPrecio_V,1,MIN(10,U$173))*(1+V_dPrecio))</f>
        <v>0</v>
      </c>
      <c r="V221" s="34" t="n">
        <f aca="false">IF(V$8=1,IF(Reales!$C$57="PYG",IF(V$10&gt;0,N(Reales!V57)/V$10,0),N(Reales!V57)),V$196*INDEX(Precio_V,20)*INDEX(IdxPrecio_V,1,MIN(10,V$173))*(1+V_dPrecio))</f>
        <v>0</v>
      </c>
      <c r="W221" s="34" t="n">
        <f aca="false">IF(W$8=1,IF(Reales!$C$57="PYG",IF(W$10&gt;0,N(Reales!W57)/W$10,0),N(Reales!W57)),W$196*INDEX(Precio_V,20)*INDEX(IdxPrecio_V,1,MIN(10,W$173))*(1+V_dPrecio))</f>
        <v>0</v>
      </c>
      <c r="X221" s="34" t="n">
        <f aca="false">IF(X$8=1,IF(Reales!$C$57="PYG",IF(X$10&gt;0,N(Reales!X57)/X$10,0),N(Reales!X57)),X$196*INDEX(Precio_V,20)*INDEX(IdxPrecio_V,1,MIN(10,X$173))*(1+V_dPrecio))</f>
        <v>0</v>
      </c>
      <c r="Y221" s="34" t="n">
        <f aca="false">IF(Y$8=1,IF(Reales!$C$57="PYG",IF(Y$10&gt;0,N(Reales!Y57)/Y$10,0),N(Reales!Y57)),Y$196*INDEX(Precio_V,20)*INDEX(IdxPrecio_V,1,MIN(10,Y$173))*(1+V_dPrecio))</f>
        <v>0</v>
      </c>
      <c r="Z221" s="34" t="n">
        <f aca="false">IF(Z$8=1,IF(Reales!$C$57="PYG",IF(Z$10&gt;0,N(Reales!Z57)/Z$10,0),N(Reales!Z57)),Z$196*INDEX(Precio_V,20)*INDEX(IdxPrecio_V,1,MIN(10,Z$173))*(1+V_dPrecio))</f>
        <v>0</v>
      </c>
      <c r="AA221" s="34" t="n">
        <f aca="false">IF(AA$8=1,IF(Reales!$C$57="PYG",IF(AA$10&gt;0,N(Reales!AA57)/AA$10,0),N(Reales!AA57)),AA$196*INDEX(Precio_V,20)*INDEX(IdxPrecio_V,1,MIN(10,AA$173))*(1+V_dPrecio))</f>
        <v>0</v>
      </c>
      <c r="AB221" s="34" t="n">
        <f aca="false">IF(AB$8=1,IF(Reales!$C$57="PYG",IF(AB$10&gt;0,N(Reales!AB57)/AB$10,0),N(Reales!AB57)),AB$196*INDEX(Precio_V,20)*INDEX(IdxPrecio_V,1,MIN(10,AB$173))*(1+V_dPrecio))</f>
        <v>0</v>
      </c>
      <c r="AC221" s="34" t="n">
        <f aca="false">IF(AC$8=1,IF(Reales!$C$57="PYG",IF(AC$10&gt;0,N(Reales!AC57)/AC$10,0),N(Reales!AC57)),AC$196*INDEX(Precio_V,20)*INDEX(IdxPrecio_V,1,MIN(10,AC$173))*(1+V_dPrecio))</f>
        <v>0</v>
      </c>
      <c r="AD221" s="34" t="n">
        <f aca="false">IF(AD$8=1,IF(Reales!$C$57="PYG",IF(AD$10&gt;0,N(Reales!AD57)/AD$10,0),N(Reales!AD57)),AD$196*INDEX(Precio_V,20)*INDEX(IdxPrecio_V,1,MIN(10,AD$173))*(1+V_dPrecio))</f>
        <v>0</v>
      </c>
      <c r="AE221" s="34" t="n">
        <f aca="false">IF(AE$8=1,IF(Reales!$C$57="PYG",IF(AE$10&gt;0,N(Reales!AE57)/AE$10,0),N(Reales!AE57)),AE$196*INDEX(Precio_V,20)*INDEX(IdxPrecio_V,1,MIN(10,AE$173))*(1+V_dPrecio))</f>
        <v>0</v>
      </c>
      <c r="AF221" s="34" t="n">
        <f aca="false">IF(AF$8=1,IF(Reales!$C$57="PYG",IF(AF$10&gt;0,N(Reales!AF57)/AF$10,0),N(Reales!AF57)),AF$196*INDEX(Precio_V,20)*INDEX(IdxPrecio_V,1,MIN(10,AF$173))*(1+V_dPrecio))</f>
        <v>0</v>
      </c>
      <c r="AG221" s="34" t="n">
        <f aca="false">IF(AG$8=1,IF(Reales!$C$57="PYG",IF(AG$10&gt;0,N(Reales!AG57)/AG$10,0),N(Reales!AG57)),AG$196*INDEX(Precio_V,20)*INDEX(IdxPrecio_V,1,MIN(10,AG$173))*(1+V_dPrecio))</f>
        <v>0</v>
      </c>
      <c r="AH221" s="34" t="n">
        <f aca="false">IF(AH$8=1,IF(Reales!$C$57="PYG",IF(AH$10&gt;0,N(Reales!AH57)/AH$10,0),N(Reales!AH57)),AH$196*INDEX(Precio_V,20)*INDEX(IdxPrecio_V,1,MIN(10,AH$173))*(1+V_dPrecio))</f>
        <v>0</v>
      </c>
      <c r="AI221" s="34" t="n">
        <f aca="false">IF(AI$8=1,IF(Reales!$C$57="PYG",IF(AI$10&gt;0,N(Reales!AI57)/AI$10,0),N(Reales!AI57)),AI$196*INDEX(Precio_V,20)*INDEX(IdxPrecio_V,1,MIN(10,AI$173))*(1+V_dPrecio))</f>
        <v>0</v>
      </c>
      <c r="AJ221" s="34" t="n">
        <f aca="false">IF(AJ$8=1,IF(Reales!$C$57="PYG",IF(AJ$10&gt;0,N(Reales!AJ57)/AJ$10,0),N(Reales!AJ57)),AJ$196*INDEX(Precio_V,20)*INDEX(IdxPrecio_V,1,MIN(10,AJ$173))*(1+V_dPrecio))</f>
        <v>0</v>
      </c>
      <c r="AK221" s="34" t="n">
        <f aca="false">IF(AK$8=1,IF(Reales!$C$57="PYG",IF(AK$10&gt;0,N(Reales!AK57)/AK$10,0),N(Reales!AK57)),AK$196*INDEX(Precio_V,20)*INDEX(IdxPrecio_V,1,MIN(10,AK$173))*(1+V_dPrecio))</f>
        <v>0</v>
      </c>
      <c r="AL221" s="34" t="n">
        <f aca="false">IF(AL$8=1,IF(Reales!$C$57="PYG",IF(AL$10&gt;0,N(Reales!AL57)/AL$10,0),N(Reales!AL57)),AL$196*INDEX(Precio_V,20)*INDEX(IdxPrecio_V,1,MIN(10,AL$173))*(1+V_dPrecio))</f>
        <v>0</v>
      </c>
      <c r="AM221" s="34" t="n">
        <f aca="false">IF(AM$8=1,IF(Reales!$C$57="PYG",IF(AM$10&gt;0,N(Reales!AM57)/AM$10,0),N(Reales!AM57)),AM$196*INDEX(Precio_V,20)*INDEX(IdxPrecio_V,1,MIN(10,AM$173))*(1+V_dPrecio))</f>
        <v>0</v>
      </c>
      <c r="AN221" s="34" t="n">
        <f aca="false">IF(AN$8=1,IF(Reales!$C$57="PYG",IF(AN$10&gt;0,N(Reales!AN57)/AN$10,0),N(Reales!AN57)),AN$196*INDEX(Precio_V,20)*INDEX(IdxPrecio_V,1,MIN(10,AN$173))*(1+V_dPrecio))</f>
        <v>0</v>
      </c>
      <c r="AO221" s="34" t="n">
        <f aca="false">IF(AO$8=1,IF(Reales!$C$57="PYG",IF(AO$10&gt;0,N(Reales!AO57)/AO$10,0),N(Reales!AO57)),AO$196*INDEX(Precio_V,20)*INDEX(IdxPrecio_V,1,MIN(10,AO$173))*(1+V_dPrecio))</f>
        <v>0</v>
      </c>
      <c r="AP221" s="34" t="n">
        <f aca="false">IF(AP$8=1,IF(Reales!$C$57="PYG",IF(AP$10&gt;0,N(Reales!AP57)/AP$10,0),N(Reales!AP57)),AP$196*INDEX(Precio_V,20)*INDEX(IdxPrecio_V,1,MIN(10,AP$173))*(1+V_dPrecio))</f>
        <v>0</v>
      </c>
      <c r="AQ221" s="34" t="n">
        <f aca="false">IF(AQ$8=1,IF(Reales!$C$57="PYG",IF(AQ$10&gt;0,N(Reales!AQ57)/AQ$10,0),N(Reales!AQ57)),AQ$196*INDEX(Precio_V,20)*INDEX(IdxPrecio_V,1,MIN(10,AQ$173))*(1+V_dPrecio))</f>
        <v>0</v>
      </c>
      <c r="AR221" s="34" t="n">
        <f aca="false">IF(AR$8=1,IF(Reales!$C$57="PYG",IF(AR$10&gt;0,N(Reales!AR57)/AR$10,0),N(Reales!AR57)),AR$196*INDEX(Precio_V,20)*INDEX(IdxPrecio_V,1,MIN(10,AR$173))*(1+V_dPrecio))</f>
        <v>0</v>
      </c>
      <c r="AS221" s="34" t="n">
        <f aca="false">IF(AS$8=1,IF(Reales!$C$57="PYG",IF(AS$10&gt;0,N(Reales!AS57)/AS$10,0),N(Reales!AS57)),AS$196*INDEX(Precio_V,20)*INDEX(IdxPrecio_V,1,MIN(10,AS$173))*(1+V_dPrecio))</f>
        <v>0</v>
      </c>
      <c r="AT221" s="34" t="n">
        <f aca="false">IF(AT$8=1,IF(Reales!$C$57="PYG",IF(AT$10&gt;0,N(Reales!AT57)/AT$10,0),N(Reales!AT57)),AT$196*INDEX(Precio_V,20)*INDEX(IdxPrecio_V,1,MIN(10,AT$173))*(1+V_dPrecio))</f>
        <v>0</v>
      </c>
      <c r="AU221" s="34" t="n">
        <f aca="false">IF(AU$8=1,IF(Reales!$C$57="PYG",IF(AU$10&gt;0,N(Reales!AU57)/AU$10,0),N(Reales!AU57)),AU$196*INDEX(Precio_V,20)*INDEX(IdxPrecio_V,1,MIN(10,AU$173))*(1+V_dPrecio))</f>
        <v>0</v>
      </c>
      <c r="AV221" s="34" t="n">
        <f aca="false">IF(AV$8=1,IF(Reales!$C$57="PYG",IF(AV$10&gt;0,N(Reales!AV57)/AV$10,0),N(Reales!AV57)),AV$196*INDEX(Precio_V,20)*INDEX(IdxPrecio_V,1,MIN(10,AV$173))*(1+V_dPrecio))</f>
        <v>0</v>
      </c>
      <c r="AW221" s="34" t="n">
        <f aca="false">IF(AW$8=1,IF(Reales!$C$57="PYG",IF(AW$10&gt;0,N(Reales!AW57)/AW$10,0),N(Reales!AW57)),AW$196*INDEX(Precio_V,20)*INDEX(IdxPrecio_V,1,MIN(10,AW$173))*(1+V_dPrecio))</f>
        <v>0</v>
      </c>
      <c r="AX221" s="34" t="n">
        <f aca="false">IF(AX$8=1,IF(Reales!$C$57="PYG",IF(AX$10&gt;0,N(Reales!AX57)/AX$10,0),N(Reales!AX57)),AX$196*INDEX(Precio_V,20)*INDEX(IdxPrecio_V,1,MIN(10,AX$173))*(1+V_dPrecio))</f>
        <v>0</v>
      </c>
      <c r="AY221" s="34" t="n">
        <f aca="false">IF(AY$8=1,IF(Reales!$C$57="PYG",IF(AY$10&gt;0,N(Reales!AY57)/AY$10,0),N(Reales!AY57)),AY$196*INDEX(Precio_V,20)*INDEX(IdxPrecio_V,1,MIN(10,AY$173))*(1+V_dPrecio))</f>
        <v>0</v>
      </c>
      <c r="AZ221" s="34" t="n">
        <f aca="false">IF(AZ$8=1,IF(Reales!$C$57="PYG",IF(AZ$10&gt;0,N(Reales!AZ57)/AZ$10,0),N(Reales!AZ57)),AZ$196*INDEX(Precio_V,20)*INDEX(IdxPrecio_V,1,MIN(10,AZ$173))*(1+V_dPrecio))</f>
        <v>0</v>
      </c>
      <c r="BA221" s="34" t="n">
        <f aca="false">IF(BA$8=1,IF(Reales!$C$57="PYG",IF(BA$10&gt;0,N(Reales!BA57)/BA$10,0),N(Reales!BA57)),BA$196*INDEX(Precio_V,20)*INDEX(IdxPrecio_V,1,MIN(10,BA$173))*(1+V_dPrecio))</f>
        <v>0</v>
      </c>
      <c r="BB221" s="34" t="n">
        <f aca="false">IF(BB$8=1,IF(Reales!$C$57="PYG",IF(BB$10&gt;0,N(Reales!BB57)/BB$10,0),N(Reales!BB57)),BB$196*INDEX(Precio_V,20)*INDEX(IdxPrecio_V,1,MIN(10,BB$173))*(1+V_dPrecio))</f>
        <v>0</v>
      </c>
      <c r="BC221" s="34" t="n">
        <f aca="false">IF(BC$8=1,IF(Reales!$C$57="PYG",IF(BC$10&gt;0,N(Reales!BC57)/BC$10,0),N(Reales!BC57)),BC$196*INDEX(Precio_V,20)*INDEX(IdxPrecio_V,1,MIN(10,BC$173))*(1+V_dPrecio))</f>
        <v>0</v>
      </c>
      <c r="BD221" s="34" t="n">
        <f aca="false">IF(BD$8=1,IF(Reales!$C$57="PYG",IF(BD$10&gt;0,N(Reales!BD57)/BD$10,0),N(Reales!BD57)),BD$196*INDEX(Precio_V,20)*INDEX(IdxPrecio_V,1,MIN(10,BD$173))*(1+V_dPrecio))</f>
        <v>0</v>
      </c>
      <c r="BE221" s="34" t="n">
        <f aca="false">IF(BE$8=1,IF(Reales!$C$57="PYG",IF(BE$10&gt;0,N(Reales!BE57)/BE$10,0),N(Reales!BE57)),BE$196*INDEX(Precio_V,20)*INDEX(IdxPrecio_V,1,MIN(10,BE$173))*(1+V_dPrecio))</f>
        <v>0</v>
      </c>
      <c r="BF221" s="34" t="n">
        <f aca="false">IF(BF$8=1,IF(Reales!$C$57="PYG",IF(BF$10&gt;0,N(Reales!BF57)/BF$10,0),N(Reales!BF57)),BF$196*INDEX(Precio_V,20)*INDEX(IdxPrecio_V,1,MIN(10,BF$173))*(1+V_dPrecio))</f>
        <v>0</v>
      </c>
      <c r="BG221" s="34" t="n">
        <f aca="false">IF(BG$8=1,IF(Reales!$C$57="PYG",IF(BG$10&gt;0,N(Reales!BG57)/BG$10,0),N(Reales!BG57)),BG$196*INDEX(Precio_V,20)*INDEX(IdxPrecio_V,1,MIN(10,BG$173))*(1+V_dPrecio))</f>
        <v>0</v>
      </c>
      <c r="BH221" s="34" t="n">
        <f aca="false">IF(BH$8=1,IF(Reales!$C$57="PYG",IF(BH$10&gt;0,N(Reales!BH57)/BH$10,0),N(Reales!BH57)),BH$196*INDEX(Precio_V,20)*INDEX(IdxPrecio_V,1,MIN(10,BH$173))*(1+V_dPrecio))</f>
        <v>0</v>
      </c>
      <c r="BI221" s="34" t="n">
        <f aca="false">IF(BI$8=1,IF(Reales!$C$57="PYG",IF(BI$10&gt;0,N(Reales!BI57)/BI$10,0),N(Reales!BI57)),BI$196*INDEX(Precio_V,20)*INDEX(IdxPrecio_V,1,MIN(10,BI$173))*(1+V_dPrecio))</f>
        <v>0</v>
      </c>
      <c r="BJ221" s="34" t="n">
        <f aca="false">IF(BJ$8=1,IF(Reales!$C$57="PYG",IF(BJ$10&gt;0,N(Reales!BJ57)/BJ$10,0),N(Reales!BJ57)),BJ$196*INDEX(Precio_V,20)*INDEX(IdxPrecio_V,1,MIN(10,BJ$173))*(1+V_dPrecio))</f>
        <v>0</v>
      </c>
      <c r="BK221" s="34" t="n">
        <f aca="false">IF(BK$8=1,IF(Reales!$C$57="PYG",IF(BK$10&gt;0,N(Reales!BK57)/BK$10,0),N(Reales!BK57)),BK$196*INDEX(Precio_V,20)*INDEX(IdxPrecio_V,1,MIN(10,BK$173))*(1+V_dPrecio))</f>
        <v>0</v>
      </c>
      <c r="BL221" s="34" t="n">
        <f aca="false">IF(BL$8=1,IF(Reales!$C$57="PYG",IF(BL$10&gt;0,N(Reales!BL57)/BL$10,0),N(Reales!BL57)),BL$196*INDEX(Precio_V,20)*INDEX(IdxPrecio_V,1,MIN(10,BL$173))*(1+V_dPrecio))</f>
        <v>0</v>
      </c>
      <c r="BM221" s="34" t="n">
        <f aca="false">IF(BM$8=1,IF(Reales!$C$57="PYG",IF(BM$10&gt;0,N(Reales!BM57)/BM$10,0),N(Reales!BM57)),BM$196*INDEX(Precio_V,20)*INDEX(IdxPrecio_V,1,MIN(10,BM$173))*(1+V_dPrecio))</f>
        <v>0</v>
      </c>
      <c r="BN221" s="34" t="n">
        <f aca="false">IF(BN$8=1,IF(Reales!$C$57="PYG",IF(BN$10&gt;0,N(Reales!BN57)/BN$10,0),N(Reales!BN57)),BN$196*INDEX(Precio_V,20)*INDEX(IdxPrecio_V,1,MIN(10,BN$173))*(1+V_dPrecio))</f>
        <v>0</v>
      </c>
      <c r="BO221" s="34" t="n">
        <f aca="false">IF(BO$8=1,IF(Reales!$C$57="PYG",IF(BO$10&gt;0,N(Reales!BO57)/BO$10,0),N(Reales!BO57)),BO$196*INDEX(Precio_V,20)*INDEX(IdxPrecio_V,1,MIN(10,BO$173))*(1+V_dPrecio))</f>
        <v>0</v>
      </c>
      <c r="BP221" s="34" t="n">
        <f aca="false">IF(BP$8=1,IF(Reales!$C$57="PYG",IF(BP$10&gt;0,N(Reales!BP57)/BP$10,0),N(Reales!BP57)),BP$196*INDEX(Precio_V,20)*INDEX(IdxPrecio_V,1,MIN(10,BP$173))*(1+V_dPrecio))</f>
        <v>0</v>
      </c>
      <c r="BQ221" s="34" t="n">
        <f aca="false">IF(BQ$8=1,IF(Reales!$C$57="PYG",IF(BQ$10&gt;0,N(Reales!BQ57)/BQ$10,0),N(Reales!BQ57)),BQ$196*INDEX(Precio_V,20)*INDEX(IdxPrecio_V,1,MIN(10,BQ$173))*(1+V_dPrecio))</f>
        <v>0</v>
      </c>
      <c r="BR221" s="34" t="n">
        <f aca="false">IF(BR$8=1,IF(Reales!$C$57="PYG",IF(BR$10&gt;0,N(Reales!BR57)/BR$10,0),N(Reales!BR57)),BR$196*INDEX(Precio_V,20)*INDEX(IdxPrecio_V,1,MIN(10,BR$173))*(1+V_dPrecio))</f>
        <v>0</v>
      </c>
      <c r="BS221" s="34" t="n">
        <f aca="false">IF(BS$8=1,IF(Reales!$C$57="PYG",IF(BS$10&gt;0,N(Reales!BS57)/BS$10,0),N(Reales!BS57)),BS$196*INDEX(Precio_V,20)*INDEX(IdxPrecio_V,1,MIN(10,BS$173))*(1+V_dPrecio))</f>
        <v>0</v>
      </c>
      <c r="BT221" s="34" t="n">
        <f aca="false">IF(BT$8=1,IF(Reales!$C$57="PYG",IF(BT$10&gt;0,N(Reales!BT57)/BT$10,0),N(Reales!BT57)),BT$196*INDEX(Precio_V,20)*INDEX(IdxPrecio_V,1,MIN(10,BT$173))*(1+V_dPrecio))</f>
        <v>0</v>
      </c>
      <c r="BU221" s="34" t="n">
        <f aca="false">IF(BU$8=1,IF(Reales!$C$57="PYG",IF(BU$10&gt;0,N(Reales!BU57)/BU$10,0),N(Reales!BU57)),BU$196*INDEX(Precio_V,20)*INDEX(IdxPrecio_V,1,MIN(10,BU$173))*(1+V_dPrecio))</f>
        <v>0</v>
      </c>
      <c r="BV221" s="34" t="n">
        <f aca="false">IF(BV$8=1,IF(Reales!$C$57="PYG",IF(BV$10&gt;0,N(Reales!BV57)/BV$10,0),N(Reales!BV57)),BV$196*INDEX(Precio_V,20)*INDEX(IdxPrecio_V,1,MIN(10,BV$173))*(1+V_dPrecio))</f>
        <v>0</v>
      </c>
      <c r="BW221" s="34" t="n">
        <f aca="false">IF(BW$8=1,IF(Reales!$C$57="PYG",IF(BW$10&gt;0,N(Reales!BW57)/BW$10,0),N(Reales!BW57)),BW$196*INDEX(Precio_V,20)*INDEX(IdxPrecio_V,1,MIN(10,BW$173))*(1+V_dPrecio))</f>
        <v>0</v>
      </c>
      <c r="BX221" s="34" t="n">
        <f aca="false">IF(BX$8=1,IF(Reales!$C$57="PYG",IF(BX$10&gt;0,N(Reales!BX57)/BX$10,0),N(Reales!BX57)),BX$196*INDEX(Precio_V,20)*INDEX(IdxPrecio_V,1,MIN(10,BX$173))*(1+V_dPrecio))</f>
        <v>0</v>
      </c>
      <c r="BY221" s="34" t="n">
        <f aca="false">IF(BY$8=1,IF(Reales!$C$57="PYG",IF(BY$10&gt;0,N(Reales!BY57)/BY$10,0),N(Reales!BY57)),BY$196*INDEX(Precio_V,20)*INDEX(IdxPrecio_V,1,MIN(10,BY$173))*(1+V_dPrecio))</f>
        <v>0</v>
      </c>
      <c r="BZ221" s="34" t="n">
        <f aca="false">IF(BZ$8=1,IF(Reales!$C$57="PYG",IF(BZ$10&gt;0,N(Reales!BZ57)/BZ$10,0),N(Reales!BZ57)),BZ$196*INDEX(Precio_V,20)*INDEX(IdxPrecio_V,1,MIN(10,BZ$173))*(1+V_dPrecio))</f>
        <v>0</v>
      </c>
      <c r="CA221" s="34" t="n">
        <f aca="false">IF(CA$8=1,IF(Reales!$C$57="PYG",IF(CA$10&gt;0,N(Reales!CA57)/CA$10,0),N(Reales!CA57)),CA$196*INDEX(Precio_V,20)*INDEX(IdxPrecio_V,1,MIN(10,CA$173))*(1+V_dPrecio))</f>
        <v>0</v>
      </c>
      <c r="CB221" s="34" t="n">
        <f aca="false">IF(CB$8=1,IF(Reales!$C$57="PYG",IF(CB$10&gt;0,N(Reales!CB57)/CB$10,0),N(Reales!CB57)),CB$196*INDEX(Precio_V,20)*INDEX(IdxPrecio_V,1,MIN(10,CB$173))*(1+V_dPrecio))</f>
        <v>0</v>
      </c>
      <c r="CC221" s="34" t="n">
        <f aca="false">IF(CC$8=1,IF(Reales!$C$57="PYG",IF(CC$10&gt;0,N(Reales!CC57)/CC$10,0),N(Reales!CC57)),CC$196*INDEX(Precio_V,20)*INDEX(IdxPrecio_V,1,MIN(10,CC$173))*(1+V_dPrecio))</f>
        <v>0</v>
      </c>
      <c r="CD221" s="34" t="n">
        <f aca="false">IF(CD$8=1,IF(Reales!$C$57="PYG",IF(CD$10&gt;0,N(Reales!CD57)/CD$10,0),N(Reales!CD57)),CD$196*INDEX(Precio_V,20)*INDEX(IdxPrecio_V,1,MIN(10,CD$173))*(1+V_dPrecio))</f>
        <v>0</v>
      </c>
      <c r="CE221" s="34" t="n">
        <f aca="false">IF(CE$8=1,IF(Reales!$C$57="PYG",IF(CE$10&gt;0,N(Reales!CE57)/CE$10,0),N(Reales!CE57)),CE$196*INDEX(Precio_V,20)*INDEX(IdxPrecio_V,1,MIN(10,CE$173))*(1+V_dPrecio))</f>
        <v>0</v>
      </c>
      <c r="CF221" s="34" t="n">
        <f aca="false">IF(CF$8=1,IF(Reales!$C$57="PYG",IF(CF$10&gt;0,N(Reales!CF57)/CF$10,0),N(Reales!CF57)),CF$196*INDEX(Precio_V,20)*INDEX(IdxPrecio_V,1,MIN(10,CF$173))*(1+V_dPrecio))</f>
        <v>0</v>
      </c>
      <c r="CG221" s="34" t="n">
        <f aca="false">IF(CG$8=1,IF(Reales!$C$57="PYG",IF(CG$10&gt;0,N(Reales!CG57)/CG$10,0),N(Reales!CG57)),CG$196*INDEX(Precio_V,20)*INDEX(IdxPrecio_V,1,MIN(10,CG$173))*(1+V_dPrecio))</f>
        <v>0</v>
      </c>
      <c r="CH221" s="34" t="n">
        <f aca="false">IF(CH$8=1,IF(Reales!$C$57="PYG",IF(CH$10&gt;0,N(Reales!CH57)/CH$10,0),N(Reales!CH57)),CH$196*INDEX(Precio_V,20)*INDEX(IdxPrecio_V,1,MIN(10,CH$173))*(1+V_dPrecio))</f>
        <v>0</v>
      </c>
      <c r="CI221" s="34" t="n">
        <f aca="false">IF(CI$8=1,IF(Reales!$C$57="PYG",IF(CI$10&gt;0,N(Reales!CI57)/CI$10,0),N(Reales!CI57)),CI$196*INDEX(Precio_V,20)*INDEX(IdxPrecio_V,1,MIN(10,CI$173))*(1+V_dPrecio))</f>
        <v>0</v>
      </c>
      <c r="CJ221" s="34" t="n">
        <f aca="false">IF(CJ$8=1,IF(Reales!$C$57="PYG",IF(CJ$10&gt;0,N(Reales!CJ57)/CJ$10,0),N(Reales!CJ57)),CJ$196*INDEX(Precio_V,20)*INDEX(IdxPrecio_V,1,MIN(10,CJ$173))*(1+V_dPrecio))</f>
        <v>0</v>
      </c>
      <c r="CK221" s="34" t="n">
        <f aca="false">IF(CK$8=1,IF(Reales!$C$57="PYG",IF(CK$10&gt;0,N(Reales!CK57)/CK$10,0),N(Reales!CK57)),CK$196*INDEX(Precio_V,20)*INDEX(IdxPrecio_V,1,MIN(10,CK$173))*(1+V_dPrecio))</f>
        <v>0</v>
      </c>
      <c r="CL221" s="34" t="n">
        <f aca="false">IF(CL$8=1,IF(Reales!$C$57="PYG",IF(CL$10&gt;0,N(Reales!CL57)/CL$10,0),N(Reales!CL57)),CL$196*INDEX(Precio_V,20)*INDEX(IdxPrecio_V,1,MIN(10,CL$173))*(1+V_dPrecio))</f>
        <v>0</v>
      </c>
      <c r="CM221" s="34" t="n">
        <f aca="false">IF(CM$8=1,IF(Reales!$C$57="PYG",IF(CM$10&gt;0,N(Reales!CM57)/CM$10,0),N(Reales!CM57)),CM$196*INDEX(Precio_V,20)*INDEX(IdxPrecio_V,1,MIN(10,CM$173))*(1+V_dPrecio))</f>
        <v>0</v>
      </c>
      <c r="CN221" s="34" t="n">
        <f aca="false">IF(CN$8=1,IF(Reales!$C$57="PYG",IF(CN$10&gt;0,N(Reales!CN57)/CN$10,0),N(Reales!CN57)),CN$196*INDEX(Precio_V,20)*INDEX(IdxPrecio_V,1,MIN(10,CN$173))*(1+V_dPrecio))</f>
        <v>0</v>
      </c>
      <c r="CO221" s="34" t="n">
        <f aca="false">IF(CO$8=1,IF(Reales!$C$57="PYG",IF(CO$10&gt;0,N(Reales!CO57)/CO$10,0),N(Reales!CO57)),CO$196*INDEX(Precio_V,20)*INDEX(IdxPrecio_V,1,MIN(10,CO$173))*(1+V_dPrecio))</f>
        <v>0</v>
      </c>
      <c r="CP221" s="34" t="n">
        <f aca="false">IF(CP$8=1,IF(Reales!$C$57="PYG",IF(CP$10&gt;0,N(Reales!CP57)/CP$10,0),N(Reales!CP57)),CP$196*INDEX(Precio_V,20)*INDEX(IdxPrecio_V,1,MIN(10,CP$173))*(1+V_dPrecio))</f>
        <v>0</v>
      </c>
      <c r="CQ221" s="34" t="n">
        <f aca="false">IF(CQ$8=1,IF(Reales!$C$57="PYG",IF(CQ$10&gt;0,N(Reales!CQ57)/CQ$10,0),N(Reales!CQ57)),CQ$196*INDEX(Precio_V,20)*INDEX(IdxPrecio_V,1,MIN(10,CQ$173))*(1+V_dPrecio))</f>
        <v>0</v>
      </c>
      <c r="CR221" s="34" t="n">
        <f aca="false">IF(CR$8=1,IF(Reales!$C$57="PYG",IF(CR$10&gt;0,N(Reales!CR57)/CR$10,0),N(Reales!CR57)),CR$196*INDEX(Precio_V,20)*INDEX(IdxPrecio_V,1,MIN(10,CR$173))*(1+V_dPrecio))</f>
        <v>0</v>
      </c>
      <c r="CS221" s="34" t="n">
        <f aca="false">IF(CS$8=1,IF(Reales!$C$57="PYG",IF(CS$10&gt;0,N(Reales!CS57)/CS$10,0),N(Reales!CS57)),CS$196*INDEX(Precio_V,20)*INDEX(IdxPrecio_V,1,MIN(10,CS$173))*(1+V_dPrecio))</f>
        <v>0</v>
      </c>
      <c r="CT221" s="34" t="n">
        <f aca="false">IF(CT$8=1,IF(Reales!$C$57="PYG",IF(CT$10&gt;0,N(Reales!CT57)/CT$10,0),N(Reales!CT57)),CT$196*INDEX(Precio_V,20)*INDEX(IdxPrecio_V,1,MIN(10,CT$173))*(1+V_dPrecio))</f>
        <v>0</v>
      </c>
      <c r="CU221" s="34" t="n">
        <f aca="false">IF(CU$8=1,IF(Reales!$C$57="PYG",IF(CU$10&gt;0,N(Reales!CU57)/CU$10,0),N(Reales!CU57)),CU$196*INDEX(Precio_V,20)*INDEX(IdxPrecio_V,1,MIN(10,CU$173))*(1+V_dPrecio))</f>
        <v>0</v>
      </c>
      <c r="CV221" s="34" t="n">
        <f aca="false">IF(CV$8=1,IF(Reales!$C$57="PYG",IF(CV$10&gt;0,N(Reales!CV57)/CV$10,0),N(Reales!CV57)),CV$196*INDEX(Precio_V,20)*INDEX(IdxPrecio_V,1,MIN(10,CV$173))*(1+V_dPrecio))</f>
        <v>0</v>
      </c>
      <c r="CW221" s="34" t="n">
        <f aca="false">IF(CW$8=1,IF(Reales!$C$57="PYG",IF(CW$10&gt;0,N(Reales!CW57)/CW$10,0),N(Reales!CW57)),CW$196*INDEX(Precio_V,20)*INDEX(IdxPrecio_V,1,MIN(10,CW$173))*(1+V_dPrecio))</f>
        <v>0</v>
      </c>
      <c r="CX221" s="34" t="n">
        <f aca="false">IF(CX$8=1,IF(Reales!$C$57="PYG",IF(CX$10&gt;0,N(Reales!CX57)/CX$10,0),N(Reales!CX57)),CX$196*INDEX(Precio_V,20)*INDEX(IdxPrecio_V,1,MIN(10,CX$173))*(1+V_dPrecio))</f>
        <v>0</v>
      </c>
      <c r="CY221" s="34" t="n">
        <f aca="false">IF(CY$8=1,IF(Reales!$C$57="PYG",IF(CY$10&gt;0,N(Reales!CY57)/CY$10,0),N(Reales!CY57)),CY$196*INDEX(Precio_V,20)*INDEX(IdxPrecio_V,1,MIN(10,CY$173))*(1+V_dPrecio))</f>
        <v>0</v>
      </c>
      <c r="CZ221" s="34" t="n">
        <f aca="false">IF(CZ$8=1,IF(Reales!$C$57="PYG",IF(CZ$10&gt;0,N(Reales!CZ57)/CZ$10,0),N(Reales!CZ57)),CZ$196*INDEX(Precio_V,20)*INDEX(IdxPrecio_V,1,MIN(10,CZ$173))*(1+V_dPrecio))</f>
        <v>0</v>
      </c>
      <c r="DA221" s="34" t="n">
        <f aca="false">IF(DA$8=1,IF(Reales!$C$57="PYG",IF(DA$10&gt;0,N(Reales!DA57)/DA$10,0),N(Reales!DA57)),DA$196*INDEX(Precio_V,20)*INDEX(IdxPrecio_V,1,MIN(10,DA$173))*(1+V_dPrecio))</f>
        <v>0</v>
      </c>
      <c r="DB221" s="34" t="n">
        <f aca="false">IF(DB$8=1,IF(Reales!$C$57="PYG",IF(DB$10&gt;0,N(Reales!DB57)/DB$10,0),N(Reales!DB57)),DB$196*INDEX(Precio_V,20)*INDEX(IdxPrecio_V,1,MIN(10,DB$173))*(1+V_dPrecio))</f>
        <v>0</v>
      </c>
      <c r="DC221" s="34" t="n">
        <f aca="false">IF(DC$8=1,IF(Reales!$C$57="PYG",IF(DC$10&gt;0,N(Reales!DC57)/DC$10,0),N(Reales!DC57)),DC$196*INDEX(Precio_V,20)*INDEX(IdxPrecio_V,1,MIN(10,DC$173))*(1+V_dPrecio))</f>
        <v>0</v>
      </c>
      <c r="DD221" s="34" t="n">
        <f aca="false">IF(DD$8=1,IF(Reales!$C$57="PYG",IF(DD$10&gt;0,N(Reales!DD57)/DD$10,0),N(Reales!DD57)),DD$196*INDEX(Precio_V,20)*INDEX(IdxPrecio_V,1,MIN(10,DD$173))*(1+V_dPrecio))</f>
        <v>0</v>
      </c>
      <c r="DE221" s="34" t="n">
        <f aca="false">IF(DE$8=1,IF(Reales!$C$57="PYG",IF(DE$10&gt;0,N(Reales!DE57)/DE$10,0),N(Reales!DE57)),DE$196*INDEX(Precio_V,20)*INDEX(IdxPrecio_V,1,MIN(10,DE$173))*(1+V_dPrecio))</f>
        <v>0</v>
      </c>
      <c r="DF221" s="34" t="n">
        <f aca="false">IF(DF$8=1,IF(Reales!$C$57="PYG",IF(DF$10&gt;0,N(Reales!DF57)/DF$10,0),N(Reales!DF57)),DF$196*INDEX(Precio_V,20)*INDEX(IdxPrecio_V,1,MIN(10,DF$173))*(1+V_dPrecio))</f>
        <v>0</v>
      </c>
      <c r="DG221" s="34" t="n">
        <f aca="false">IF(DG$8=1,IF(Reales!$C$57="PYG",IF(DG$10&gt;0,N(Reales!DG57)/DG$10,0),N(Reales!DG57)),DG$196*INDEX(Precio_V,20)*INDEX(IdxPrecio_V,1,MIN(10,DG$173))*(1+V_dPrecio))</f>
        <v>0</v>
      </c>
      <c r="DH221" s="34" t="n">
        <f aca="false">IF(DH$8=1,IF(Reales!$C$57="PYG",IF(DH$10&gt;0,N(Reales!DH57)/DH$10,0),N(Reales!DH57)),DH$196*INDEX(Precio_V,20)*INDEX(IdxPrecio_V,1,MIN(10,DH$173))*(1+V_dPrecio))</f>
        <v>0</v>
      </c>
      <c r="DI221" s="34" t="n">
        <f aca="false">IF(DI$8=1,IF(Reales!$C$57="PYG",IF(DI$10&gt;0,N(Reales!DI57)/DI$10,0),N(Reales!DI57)),DI$196*INDEX(Precio_V,20)*INDEX(IdxPrecio_V,1,MIN(10,DI$173))*(1+V_dPrecio))</f>
        <v>0</v>
      </c>
      <c r="DJ221" s="34" t="n">
        <f aca="false">IF(DJ$8=1,IF(Reales!$C$57="PYG",IF(DJ$10&gt;0,N(Reales!DJ57)/DJ$10,0),N(Reales!DJ57)),DJ$196*INDEX(Precio_V,20)*INDEX(IdxPrecio_V,1,MIN(10,DJ$173))*(1+V_dPrecio))</f>
        <v>0</v>
      </c>
      <c r="DK221" s="34" t="n">
        <f aca="false">IF(DK$8=1,IF(Reales!$C$57="PYG",IF(DK$10&gt;0,N(Reales!DK57)/DK$10,0),N(Reales!DK57)),DK$196*INDEX(Precio_V,20)*INDEX(IdxPrecio_V,1,MIN(10,DK$173))*(1+V_dPrecio))</f>
        <v>0</v>
      </c>
      <c r="DL221" s="34" t="n">
        <f aca="false">IF(DL$8=1,IF(Reales!$C$57="PYG",IF(DL$10&gt;0,N(Reales!DL57)/DL$10,0),N(Reales!DL57)),DL$196*INDEX(Precio_V,20)*INDEX(IdxPrecio_V,1,MIN(10,DL$173))*(1+V_dPrecio))</f>
        <v>0</v>
      </c>
      <c r="DM221" s="34" t="n">
        <f aca="false">IF(DM$8=1,IF(Reales!$C$57="PYG",IF(DM$10&gt;0,N(Reales!DM57)/DM$10,0),N(Reales!DM57)),DM$196*INDEX(Precio_V,20)*INDEX(IdxPrecio_V,1,MIN(10,DM$173))*(1+V_dPrecio))</f>
        <v>0</v>
      </c>
      <c r="DN221" s="34" t="n">
        <f aca="false">IF(DN$8=1,IF(Reales!$C$57="PYG",IF(DN$10&gt;0,N(Reales!DN57)/DN$10,0),N(Reales!DN57)),DN$196*INDEX(Precio_V,20)*INDEX(IdxPrecio_V,1,MIN(10,DN$173))*(1+V_dPrecio))</f>
        <v>0</v>
      </c>
      <c r="DO221" s="34" t="n">
        <f aca="false">IF(DO$8=1,IF(Reales!$C$57="PYG",IF(DO$10&gt;0,N(Reales!DO57)/DO$10,0),N(Reales!DO57)),DO$196*INDEX(Precio_V,20)*INDEX(IdxPrecio_V,1,MIN(10,DO$173))*(1+V_dPrecio))</f>
        <v>0</v>
      </c>
      <c r="DP221" s="34" t="n">
        <f aca="false">IF(DP$8=1,IF(Reales!$C$57="PYG",IF(DP$10&gt;0,N(Reales!DP57)/DP$10,0),N(Reales!DP57)),DP$196*INDEX(Precio_V,20)*INDEX(IdxPrecio_V,1,MIN(10,DP$173))*(1+V_dPrecio))</f>
        <v>0</v>
      </c>
      <c r="DQ221" s="34" t="n">
        <f aca="false">IF(DQ$8=1,IF(Reales!$C$57="PYG",IF(DQ$10&gt;0,N(Reales!DQ57)/DQ$10,0),N(Reales!DQ57)),DQ$196*INDEX(Precio_V,20)*INDEX(IdxPrecio_V,1,MIN(10,DQ$173))*(1+V_dPrecio))</f>
        <v>0</v>
      </c>
      <c r="DR221" s="34" t="n">
        <f aca="false">IF(DR$8=1,IF(Reales!$C$57="PYG",IF(DR$10&gt;0,N(Reales!DR57)/DR$10,0),N(Reales!DR57)),DR$196*INDEX(Precio_V,20)*INDEX(IdxPrecio_V,1,MIN(10,DR$173))*(1+V_dPrecio))</f>
        <v>0</v>
      </c>
      <c r="DS221" s="34" t="n">
        <f aca="false">IF(DS$8=1,IF(Reales!$C$57="PYG",IF(DS$10&gt;0,N(Reales!DS57)/DS$10,0),N(Reales!DS57)),DS$196*INDEX(Precio_V,20)*INDEX(IdxPrecio_V,1,MIN(10,DS$173))*(1+V_dPrecio))</f>
        <v>0</v>
      </c>
      <c r="DT221" s="34" t="n">
        <f aca="false">IF(DT$8=1,IF(Reales!$C$57="PYG",IF(DT$10&gt;0,N(Reales!DT57)/DT$10,0),N(Reales!DT57)),DT$196*INDEX(Precio_V,20)*INDEX(IdxPrecio_V,1,MIN(10,DT$173))*(1+V_dPrecio))</f>
        <v>0</v>
      </c>
      <c r="DU221" s="34" t="n">
        <f aca="false">IF(DU$8=1,IF(Reales!$C$57="PYG",IF(DU$10&gt;0,N(Reales!DU57)/DU$10,0),N(Reales!DU57)),DU$196*INDEX(Precio_V,20)*INDEX(IdxPrecio_V,1,MIN(10,DU$173))*(1+V_dPrecio))</f>
        <v>0</v>
      </c>
      <c r="DV221" s="34" t="n">
        <f aca="false">IF(DV$8=1,IF(Reales!$C$57="PYG",IF(DV$10&gt;0,N(Reales!DV57)/DV$10,0),N(Reales!DV57)),DV$196*INDEX(Precio_V,20)*INDEX(IdxPrecio_V,1,MIN(10,DV$173))*(1+V_dPrecio))</f>
        <v>0</v>
      </c>
      <c r="DW221" s="34" t="n">
        <f aca="false">IF(DW$8=1,IF(Reales!$C$57="PYG",IF(DW$10&gt;0,N(Reales!DW57)/DW$10,0),N(Reales!DW57)),DW$196*INDEX(Precio_V,20)*INDEX(IdxPrecio_V,1,MIN(10,DW$173))*(1+V_dPrecio))</f>
        <v>0</v>
      </c>
      <c r="DX221" s="34" t="n">
        <f aca="false">IF(DX$8=1,IF(Reales!$C$57="PYG",IF(DX$10&gt;0,N(Reales!DX57)/DX$10,0),N(Reales!DX57)),DX$196*INDEX(Precio_V,20)*INDEX(IdxPrecio_V,1,MIN(10,DX$173))*(1+V_dPrecio))</f>
        <v>0</v>
      </c>
      <c r="DY221" s="34" t="n">
        <f aca="false">IF(DY$8=1,IF(Reales!$C$57="PYG",IF(DY$10&gt;0,N(Reales!DY57)/DY$10,0),N(Reales!DY57)),DY$196*INDEX(Precio_V,20)*INDEX(IdxPrecio_V,1,MIN(10,DY$173))*(1+V_dPrecio))</f>
        <v>0</v>
      </c>
      <c r="DZ221" s="34" t="n">
        <f aca="false">IF(DZ$8=1,IF(Reales!$C$57="PYG",IF(DZ$10&gt;0,N(Reales!DZ57)/DZ$10,0),N(Reales!DZ57)),DZ$196*INDEX(Precio_V,20)*INDEX(IdxPrecio_V,1,MIN(10,DZ$173))*(1+V_dPrecio))</f>
        <v>0</v>
      </c>
      <c r="EA221" s="34" t="n">
        <f aca="false">IF(EA$8=1,IF(Reales!$C$57="PYG",IF(EA$10&gt;0,N(Reales!EA57)/EA$10,0),N(Reales!EA57)),EA$196*INDEX(Precio_V,20)*INDEX(IdxPrecio_V,1,MIN(10,EA$173))*(1+V_dPrecio))</f>
        <v>0</v>
      </c>
      <c r="EB221" s="34" t="n">
        <f aca="false">IF(EB$8=1,IF(Reales!$C$57="PYG",IF(EB$10&gt;0,N(Reales!EB57)/EB$10,0),N(Reales!EB57)),EB$196*INDEX(Precio_V,20)*INDEX(IdxPrecio_V,1,MIN(10,EB$173))*(1+V_dPrecio))</f>
        <v>0</v>
      </c>
      <c r="EC221" s="34" t="n">
        <f aca="false">IF(EC$8=1,IF(Reales!$C$57="PYG",IF(EC$10&gt;0,N(Reales!EC57)/EC$10,0),N(Reales!EC57)),EC$196*INDEX(Precio_V,20)*INDEX(IdxPrecio_V,1,MIN(10,EC$173))*(1+V_dPrecio))</f>
        <v>0</v>
      </c>
      <c r="ED221" s="34" t="n">
        <f aca="false">IF(ED$8=1,IF(Reales!$C$57="PYG",IF(ED$10&gt;0,N(Reales!ED57)/ED$10,0),N(Reales!ED57)),ED$196*INDEX(Precio_V,20)*INDEX(IdxPrecio_V,1,MIN(10,ED$173))*(1+V_dPrecio))</f>
        <v>0</v>
      </c>
      <c r="EE221" s="34" t="n">
        <f aca="false">IF(EE$8=1,IF(Reales!$C$57="PYG",IF(EE$10&gt;0,N(Reales!EE57)/EE$10,0),N(Reales!EE57)),EE$196*INDEX(Precio_V,20)*INDEX(IdxPrecio_V,1,MIN(10,EE$173))*(1+V_dPrecio))</f>
        <v>0</v>
      </c>
      <c r="EF221" s="34" t="n">
        <f aca="false">IF(EF$8=1,IF(Reales!$C$57="PYG",IF(EF$10&gt;0,N(Reales!EF57)/EF$10,0),N(Reales!EF57)),EF$196*INDEX(Precio_V,20)*INDEX(IdxPrecio_V,1,MIN(10,EF$173))*(1+V_dPrecio))</f>
        <v>0</v>
      </c>
      <c r="EG221" s="34" t="n">
        <f aca="false">IF(EG$8=1,IF(Reales!$C$57="PYG",IF(EG$10&gt;0,N(Reales!EG57)/EG$10,0),N(Reales!EG57)),EG$196*INDEX(Precio_V,20)*INDEX(IdxPrecio_V,1,MIN(10,EG$173))*(1+V_dPrecio))</f>
        <v>0</v>
      </c>
      <c r="EH221" s="34" t="n">
        <f aca="false">IF(EH$8=1,IF(Reales!$C$57="PYG",IF(EH$10&gt;0,N(Reales!EH57)/EH$10,0),N(Reales!EH57)),EH$196*INDEX(Precio_V,20)*INDEX(IdxPrecio_V,1,MIN(10,EH$173))*(1+V_dPrecio))</f>
        <v>0</v>
      </c>
      <c r="EI221" s="34" t="n">
        <f aca="false">IF(EI$8=1,IF(Reales!$C$57="PYG",IF(EI$10&gt;0,N(Reales!EI57)/EI$10,0),N(Reales!EI57)),EI$196*INDEX(Precio_V,20)*INDEX(IdxPrecio_V,1,MIN(10,EI$173))*(1+V_dPrecio))</f>
        <v>0</v>
      </c>
      <c r="EJ221" s="34" t="n">
        <f aca="false">IF(EJ$8=1,IF(Reales!$C$57="PYG",IF(EJ$10&gt;0,N(Reales!EJ57)/EJ$10,0),N(Reales!EJ57)),EJ$196*INDEX(Precio_V,20)*INDEX(IdxPrecio_V,1,MIN(10,EJ$173))*(1+V_dPrecio))</f>
        <v>0</v>
      </c>
      <c r="EK221" s="34" t="n">
        <f aca="false">IF(EK$8=1,IF(Reales!$C$57="PYG",IF(EK$10&gt;0,N(Reales!EK57)/EK$10,0),N(Reales!EK57)),EK$196*INDEX(Precio_V,20)*INDEX(IdxPrecio_V,1,MIN(10,EK$173))*(1+V_dPrecio))</f>
        <v>0</v>
      </c>
      <c r="EL221" s="34" t="n">
        <f aca="false">IF(EL$8=1,IF(Reales!$C$57="PYG",IF(EL$10&gt;0,N(Reales!EL57)/EL$10,0),N(Reales!EL57)),EL$196*INDEX(Precio_V,20)*INDEX(IdxPrecio_V,1,MIN(10,EL$173))*(1+V_dPrecio))</f>
        <v>0</v>
      </c>
      <c r="EM221" s="34" t="n">
        <f aca="false">IF(EM$8=1,IF(Reales!$C$57="PYG",IF(EM$10&gt;0,N(Reales!EM57)/EM$10,0),N(Reales!EM57)),EM$196*INDEX(Precio_V,20)*INDEX(IdxPrecio_V,1,MIN(10,EM$173))*(1+V_dPrecio))</f>
        <v>0</v>
      </c>
      <c r="EN221" s="34" t="n">
        <f aca="false">IF(EN$8=1,IF(Reales!$C$57="PYG",IF(EN$10&gt;0,N(Reales!EN57)/EN$10,0),N(Reales!EN57)),EN$196*INDEX(Precio_V,20)*INDEX(IdxPrecio_V,1,MIN(10,EN$173))*(1+V_dPrecio))</f>
        <v>0</v>
      </c>
      <c r="EO221" s="34" t="n">
        <f aca="false">IF(EO$8=1,IF(Reales!$C$57="PYG",IF(EO$10&gt;0,N(Reales!EO57)/EO$10,0),N(Reales!EO57)),EO$196*INDEX(Precio_V,20)*INDEX(IdxPrecio_V,1,MIN(10,EO$173))*(1+V_dPrecio))</f>
        <v>0</v>
      </c>
      <c r="EP221" s="34" t="n">
        <f aca="false">IF(EP$8=1,IF(Reales!$C$57="PYG",IF(EP$10&gt;0,N(Reales!EP57)/EP$10,0),N(Reales!EP57)),EP$196*INDEX(Precio_V,20)*INDEX(IdxPrecio_V,1,MIN(10,EP$173))*(1+V_dPrecio))</f>
        <v>0</v>
      </c>
      <c r="EQ221" s="34" t="n">
        <f aca="false">IF(EQ$8=1,IF(Reales!$C$57="PYG",IF(EQ$10&gt;0,N(Reales!EQ57)/EQ$10,0),N(Reales!EQ57)),EQ$196*INDEX(Precio_V,20)*INDEX(IdxPrecio_V,1,MIN(10,EQ$173))*(1+V_dPrecio))</f>
        <v>0</v>
      </c>
      <c r="ER221" s="34" t="n">
        <f aca="false">IF(ER$8=1,IF(Reales!$C$57="PYG",IF(ER$10&gt;0,N(Reales!ER57)/ER$10,0),N(Reales!ER57)),ER$196*INDEX(Precio_V,20)*INDEX(IdxPrecio_V,1,MIN(10,ER$173))*(1+V_dPrecio))</f>
        <v>0</v>
      </c>
      <c r="ES221" s="34" t="n">
        <f aca="false">IF(ES$8=1,IF(Reales!$C$57="PYG",IF(ES$10&gt;0,N(Reales!ES57)/ES$10,0),N(Reales!ES57)),ES$196*INDEX(Precio_V,20)*INDEX(IdxPrecio_V,1,MIN(10,ES$173))*(1+V_dPrecio))</f>
        <v>0</v>
      </c>
    </row>
    <row r="222" customFormat="false" ht="15" hidden="false" customHeight="false" outlineLevel="0" collapsed="false">
      <c r="A222" s="2" t="s">
        <v>864</v>
      </c>
      <c r="B222" s="39" t="str">
        <f aca="false">IF(INDEX(Prod_Nombre,21)="","Producto 21",INDEX(Prod_Nombre,21))&amp;" — ventas USD"</f>
        <v>Producto 21 — ventas USD</v>
      </c>
      <c r="C222" s="6" t="s">
        <v>250</v>
      </c>
      <c r="E222" s="40" t="n">
        <f aca="false">SUM(F222:ES222)</f>
        <v>0</v>
      </c>
      <c r="F222" s="34" t="n">
        <f aca="false">IF(F$8=1,IF(Reales!$C$58="PYG",IF(F$10&gt;0,N(Reales!F58)/F$10,0),N(Reales!F58)),F$197*INDEX(Precio_V,21)*INDEX(IdxPrecio_V,1,MIN(10,F$173))*(1+V_dPrecio))</f>
        <v>0</v>
      </c>
      <c r="G222" s="34" t="n">
        <f aca="false">IF(G$8=1,IF(Reales!$C$58="PYG",IF(G$10&gt;0,N(Reales!G58)/G$10,0),N(Reales!G58)),G$197*INDEX(Precio_V,21)*INDEX(IdxPrecio_V,1,MIN(10,G$173))*(1+V_dPrecio))</f>
        <v>0</v>
      </c>
      <c r="H222" s="34" t="n">
        <f aca="false">IF(H$8=1,IF(Reales!$C$58="PYG",IF(H$10&gt;0,N(Reales!H58)/H$10,0),N(Reales!H58)),H$197*INDEX(Precio_V,21)*INDEX(IdxPrecio_V,1,MIN(10,H$173))*(1+V_dPrecio))</f>
        <v>0</v>
      </c>
      <c r="I222" s="34" t="n">
        <f aca="false">IF(I$8=1,IF(Reales!$C$58="PYG",IF(I$10&gt;0,N(Reales!I58)/I$10,0),N(Reales!I58)),I$197*INDEX(Precio_V,21)*INDEX(IdxPrecio_V,1,MIN(10,I$173))*(1+V_dPrecio))</f>
        <v>0</v>
      </c>
      <c r="J222" s="34" t="n">
        <f aca="false">IF(J$8=1,IF(Reales!$C$58="PYG",IF(J$10&gt;0,N(Reales!J58)/J$10,0),N(Reales!J58)),J$197*INDEX(Precio_V,21)*INDEX(IdxPrecio_V,1,MIN(10,J$173))*(1+V_dPrecio))</f>
        <v>0</v>
      </c>
      <c r="K222" s="34" t="n">
        <f aca="false">IF(K$8=1,IF(Reales!$C$58="PYG",IF(K$10&gt;0,N(Reales!K58)/K$10,0),N(Reales!K58)),K$197*INDEX(Precio_V,21)*INDEX(IdxPrecio_V,1,MIN(10,K$173))*(1+V_dPrecio))</f>
        <v>0</v>
      </c>
      <c r="L222" s="34" t="n">
        <f aca="false">IF(L$8=1,IF(Reales!$C$58="PYG",IF(L$10&gt;0,N(Reales!L58)/L$10,0),N(Reales!L58)),L$197*INDEX(Precio_V,21)*INDEX(IdxPrecio_V,1,MIN(10,L$173))*(1+V_dPrecio))</f>
        <v>0</v>
      </c>
      <c r="M222" s="34" t="n">
        <f aca="false">IF(M$8=1,IF(Reales!$C$58="PYG",IF(M$10&gt;0,N(Reales!M58)/M$10,0),N(Reales!M58)),M$197*INDEX(Precio_V,21)*INDEX(IdxPrecio_V,1,MIN(10,M$173))*(1+V_dPrecio))</f>
        <v>0</v>
      </c>
      <c r="N222" s="34" t="n">
        <f aca="false">IF(N$8=1,IF(Reales!$C$58="PYG",IF(N$10&gt;0,N(Reales!N58)/N$10,0),N(Reales!N58)),N$197*INDEX(Precio_V,21)*INDEX(IdxPrecio_V,1,MIN(10,N$173))*(1+V_dPrecio))</f>
        <v>0</v>
      </c>
      <c r="O222" s="34" t="n">
        <f aca="false">IF(O$8=1,IF(Reales!$C$58="PYG",IF(O$10&gt;0,N(Reales!O58)/O$10,0),N(Reales!O58)),O$197*INDEX(Precio_V,21)*INDEX(IdxPrecio_V,1,MIN(10,O$173))*(1+V_dPrecio))</f>
        <v>0</v>
      </c>
      <c r="P222" s="34" t="n">
        <f aca="false">IF(P$8=1,IF(Reales!$C$58="PYG",IF(P$10&gt;0,N(Reales!P58)/P$10,0),N(Reales!P58)),P$197*INDEX(Precio_V,21)*INDEX(IdxPrecio_V,1,MIN(10,P$173))*(1+V_dPrecio))</f>
        <v>0</v>
      </c>
      <c r="Q222" s="34" t="n">
        <f aca="false">IF(Q$8=1,IF(Reales!$C$58="PYG",IF(Q$10&gt;0,N(Reales!Q58)/Q$10,0),N(Reales!Q58)),Q$197*INDEX(Precio_V,21)*INDEX(IdxPrecio_V,1,MIN(10,Q$173))*(1+V_dPrecio))</f>
        <v>0</v>
      </c>
      <c r="R222" s="34" t="n">
        <f aca="false">IF(R$8=1,IF(Reales!$C$58="PYG",IF(R$10&gt;0,N(Reales!R58)/R$10,0),N(Reales!R58)),R$197*INDEX(Precio_V,21)*INDEX(IdxPrecio_V,1,MIN(10,R$173))*(1+V_dPrecio))</f>
        <v>0</v>
      </c>
      <c r="S222" s="34" t="n">
        <f aca="false">IF(S$8=1,IF(Reales!$C$58="PYG",IF(S$10&gt;0,N(Reales!S58)/S$10,0),N(Reales!S58)),S$197*INDEX(Precio_V,21)*INDEX(IdxPrecio_V,1,MIN(10,S$173))*(1+V_dPrecio))</f>
        <v>0</v>
      </c>
      <c r="T222" s="34" t="n">
        <f aca="false">IF(T$8=1,IF(Reales!$C$58="PYG",IF(T$10&gt;0,N(Reales!T58)/T$10,0),N(Reales!T58)),T$197*INDEX(Precio_V,21)*INDEX(IdxPrecio_V,1,MIN(10,T$173))*(1+V_dPrecio))</f>
        <v>0</v>
      </c>
      <c r="U222" s="34" t="n">
        <f aca="false">IF(U$8=1,IF(Reales!$C$58="PYG",IF(U$10&gt;0,N(Reales!U58)/U$10,0),N(Reales!U58)),U$197*INDEX(Precio_V,21)*INDEX(IdxPrecio_V,1,MIN(10,U$173))*(1+V_dPrecio))</f>
        <v>0</v>
      </c>
      <c r="V222" s="34" t="n">
        <f aca="false">IF(V$8=1,IF(Reales!$C$58="PYG",IF(V$10&gt;0,N(Reales!V58)/V$10,0),N(Reales!V58)),V$197*INDEX(Precio_V,21)*INDEX(IdxPrecio_V,1,MIN(10,V$173))*(1+V_dPrecio))</f>
        <v>0</v>
      </c>
      <c r="W222" s="34" t="n">
        <f aca="false">IF(W$8=1,IF(Reales!$C$58="PYG",IF(W$10&gt;0,N(Reales!W58)/W$10,0),N(Reales!W58)),W$197*INDEX(Precio_V,21)*INDEX(IdxPrecio_V,1,MIN(10,W$173))*(1+V_dPrecio))</f>
        <v>0</v>
      </c>
      <c r="X222" s="34" t="n">
        <f aca="false">IF(X$8=1,IF(Reales!$C$58="PYG",IF(X$10&gt;0,N(Reales!X58)/X$10,0),N(Reales!X58)),X$197*INDEX(Precio_V,21)*INDEX(IdxPrecio_V,1,MIN(10,X$173))*(1+V_dPrecio))</f>
        <v>0</v>
      </c>
      <c r="Y222" s="34" t="n">
        <f aca="false">IF(Y$8=1,IF(Reales!$C$58="PYG",IF(Y$10&gt;0,N(Reales!Y58)/Y$10,0),N(Reales!Y58)),Y$197*INDEX(Precio_V,21)*INDEX(IdxPrecio_V,1,MIN(10,Y$173))*(1+V_dPrecio))</f>
        <v>0</v>
      </c>
      <c r="Z222" s="34" t="n">
        <f aca="false">IF(Z$8=1,IF(Reales!$C$58="PYG",IF(Z$10&gt;0,N(Reales!Z58)/Z$10,0),N(Reales!Z58)),Z$197*INDEX(Precio_V,21)*INDEX(IdxPrecio_V,1,MIN(10,Z$173))*(1+V_dPrecio))</f>
        <v>0</v>
      </c>
      <c r="AA222" s="34" t="n">
        <f aca="false">IF(AA$8=1,IF(Reales!$C$58="PYG",IF(AA$10&gt;0,N(Reales!AA58)/AA$10,0),N(Reales!AA58)),AA$197*INDEX(Precio_V,21)*INDEX(IdxPrecio_V,1,MIN(10,AA$173))*(1+V_dPrecio))</f>
        <v>0</v>
      </c>
      <c r="AB222" s="34" t="n">
        <f aca="false">IF(AB$8=1,IF(Reales!$C$58="PYG",IF(AB$10&gt;0,N(Reales!AB58)/AB$10,0),N(Reales!AB58)),AB$197*INDEX(Precio_V,21)*INDEX(IdxPrecio_V,1,MIN(10,AB$173))*(1+V_dPrecio))</f>
        <v>0</v>
      </c>
      <c r="AC222" s="34" t="n">
        <f aca="false">IF(AC$8=1,IF(Reales!$C$58="PYG",IF(AC$10&gt;0,N(Reales!AC58)/AC$10,0),N(Reales!AC58)),AC$197*INDEX(Precio_V,21)*INDEX(IdxPrecio_V,1,MIN(10,AC$173))*(1+V_dPrecio))</f>
        <v>0</v>
      </c>
      <c r="AD222" s="34" t="n">
        <f aca="false">IF(AD$8=1,IF(Reales!$C$58="PYG",IF(AD$10&gt;0,N(Reales!AD58)/AD$10,0),N(Reales!AD58)),AD$197*INDEX(Precio_V,21)*INDEX(IdxPrecio_V,1,MIN(10,AD$173))*(1+V_dPrecio))</f>
        <v>0</v>
      </c>
      <c r="AE222" s="34" t="n">
        <f aca="false">IF(AE$8=1,IF(Reales!$C$58="PYG",IF(AE$10&gt;0,N(Reales!AE58)/AE$10,0),N(Reales!AE58)),AE$197*INDEX(Precio_V,21)*INDEX(IdxPrecio_V,1,MIN(10,AE$173))*(1+V_dPrecio))</f>
        <v>0</v>
      </c>
      <c r="AF222" s="34" t="n">
        <f aca="false">IF(AF$8=1,IF(Reales!$C$58="PYG",IF(AF$10&gt;0,N(Reales!AF58)/AF$10,0),N(Reales!AF58)),AF$197*INDEX(Precio_V,21)*INDEX(IdxPrecio_V,1,MIN(10,AF$173))*(1+V_dPrecio))</f>
        <v>0</v>
      </c>
      <c r="AG222" s="34" t="n">
        <f aca="false">IF(AG$8=1,IF(Reales!$C$58="PYG",IF(AG$10&gt;0,N(Reales!AG58)/AG$10,0),N(Reales!AG58)),AG$197*INDEX(Precio_V,21)*INDEX(IdxPrecio_V,1,MIN(10,AG$173))*(1+V_dPrecio))</f>
        <v>0</v>
      </c>
      <c r="AH222" s="34" t="n">
        <f aca="false">IF(AH$8=1,IF(Reales!$C$58="PYG",IF(AH$10&gt;0,N(Reales!AH58)/AH$10,0),N(Reales!AH58)),AH$197*INDEX(Precio_V,21)*INDEX(IdxPrecio_V,1,MIN(10,AH$173))*(1+V_dPrecio))</f>
        <v>0</v>
      </c>
      <c r="AI222" s="34" t="n">
        <f aca="false">IF(AI$8=1,IF(Reales!$C$58="PYG",IF(AI$10&gt;0,N(Reales!AI58)/AI$10,0),N(Reales!AI58)),AI$197*INDEX(Precio_V,21)*INDEX(IdxPrecio_V,1,MIN(10,AI$173))*(1+V_dPrecio))</f>
        <v>0</v>
      </c>
      <c r="AJ222" s="34" t="n">
        <f aca="false">IF(AJ$8=1,IF(Reales!$C$58="PYG",IF(AJ$10&gt;0,N(Reales!AJ58)/AJ$10,0),N(Reales!AJ58)),AJ$197*INDEX(Precio_V,21)*INDEX(IdxPrecio_V,1,MIN(10,AJ$173))*(1+V_dPrecio))</f>
        <v>0</v>
      </c>
      <c r="AK222" s="34" t="n">
        <f aca="false">IF(AK$8=1,IF(Reales!$C$58="PYG",IF(AK$10&gt;0,N(Reales!AK58)/AK$10,0),N(Reales!AK58)),AK$197*INDEX(Precio_V,21)*INDEX(IdxPrecio_V,1,MIN(10,AK$173))*(1+V_dPrecio))</f>
        <v>0</v>
      </c>
      <c r="AL222" s="34" t="n">
        <f aca="false">IF(AL$8=1,IF(Reales!$C$58="PYG",IF(AL$10&gt;0,N(Reales!AL58)/AL$10,0),N(Reales!AL58)),AL$197*INDEX(Precio_V,21)*INDEX(IdxPrecio_V,1,MIN(10,AL$173))*(1+V_dPrecio))</f>
        <v>0</v>
      </c>
      <c r="AM222" s="34" t="n">
        <f aca="false">IF(AM$8=1,IF(Reales!$C$58="PYG",IF(AM$10&gt;0,N(Reales!AM58)/AM$10,0),N(Reales!AM58)),AM$197*INDEX(Precio_V,21)*INDEX(IdxPrecio_V,1,MIN(10,AM$173))*(1+V_dPrecio))</f>
        <v>0</v>
      </c>
      <c r="AN222" s="34" t="n">
        <f aca="false">IF(AN$8=1,IF(Reales!$C$58="PYG",IF(AN$10&gt;0,N(Reales!AN58)/AN$10,0),N(Reales!AN58)),AN$197*INDEX(Precio_V,21)*INDEX(IdxPrecio_V,1,MIN(10,AN$173))*(1+V_dPrecio))</f>
        <v>0</v>
      </c>
      <c r="AO222" s="34" t="n">
        <f aca="false">IF(AO$8=1,IF(Reales!$C$58="PYG",IF(AO$10&gt;0,N(Reales!AO58)/AO$10,0),N(Reales!AO58)),AO$197*INDEX(Precio_V,21)*INDEX(IdxPrecio_V,1,MIN(10,AO$173))*(1+V_dPrecio))</f>
        <v>0</v>
      </c>
      <c r="AP222" s="34" t="n">
        <f aca="false">IF(AP$8=1,IF(Reales!$C$58="PYG",IF(AP$10&gt;0,N(Reales!AP58)/AP$10,0),N(Reales!AP58)),AP$197*INDEX(Precio_V,21)*INDEX(IdxPrecio_V,1,MIN(10,AP$173))*(1+V_dPrecio))</f>
        <v>0</v>
      </c>
      <c r="AQ222" s="34" t="n">
        <f aca="false">IF(AQ$8=1,IF(Reales!$C$58="PYG",IF(AQ$10&gt;0,N(Reales!AQ58)/AQ$10,0),N(Reales!AQ58)),AQ$197*INDEX(Precio_V,21)*INDEX(IdxPrecio_V,1,MIN(10,AQ$173))*(1+V_dPrecio))</f>
        <v>0</v>
      </c>
      <c r="AR222" s="34" t="n">
        <f aca="false">IF(AR$8=1,IF(Reales!$C$58="PYG",IF(AR$10&gt;0,N(Reales!AR58)/AR$10,0),N(Reales!AR58)),AR$197*INDEX(Precio_V,21)*INDEX(IdxPrecio_V,1,MIN(10,AR$173))*(1+V_dPrecio))</f>
        <v>0</v>
      </c>
      <c r="AS222" s="34" t="n">
        <f aca="false">IF(AS$8=1,IF(Reales!$C$58="PYG",IF(AS$10&gt;0,N(Reales!AS58)/AS$10,0),N(Reales!AS58)),AS$197*INDEX(Precio_V,21)*INDEX(IdxPrecio_V,1,MIN(10,AS$173))*(1+V_dPrecio))</f>
        <v>0</v>
      </c>
      <c r="AT222" s="34" t="n">
        <f aca="false">IF(AT$8=1,IF(Reales!$C$58="PYG",IF(AT$10&gt;0,N(Reales!AT58)/AT$10,0),N(Reales!AT58)),AT$197*INDEX(Precio_V,21)*INDEX(IdxPrecio_V,1,MIN(10,AT$173))*(1+V_dPrecio))</f>
        <v>0</v>
      </c>
      <c r="AU222" s="34" t="n">
        <f aca="false">IF(AU$8=1,IF(Reales!$C$58="PYG",IF(AU$10&gt;0,N(Reales!AU58)/AU$10,0),N(Reales!AU58)),AU$197*INDEX(Precio_V,21)*INDEX(IdxPrecio_V,1,MIN(10,AU$173))*(1+V_dPrecio))</f>
        <v>0</v>
      </c>
      <c r="AV222" s="34" t="n">
        <f aca="false">IF(AV$8=1,IF(Reales!$C$58="PYG",IF(AV$10&gt;0,N(Reales!AV58)/AV$10,0),N(Reales!AV58)),AV$197*INDEX(Precio_V,21)*INDEX(IdxPrecio_V,1,MIN(10,AV$173))*(1+V_dPrecio))</f>
        <v>0</v>
      </c>
      <c r="AW222" s="34" t="n">
        <f aca="false">IF(AW$8=1,IF(Reales!$C$58="PYG",IF(AW$10&gt;0,N(Reales!AW58)/AW$10,0),N(Reales!AW58)),AW$197*INDEX(Precio_V,21)*INDEX(IdxPrecio_V,1,MIN(10,AW$173))*(1+V_dPrecio))</f>
        <v>0</v>
      </c>
      <c r="AX222" s="34" t="n">
        <f aca="false">IF(AX$8=1,IF(Reales!$C$58="PYG",IF(AX$10&gt;0,N(Reales!AX58)/AX$10,0),N(Reales!AX58)),AX$197*INDEX(Precio_V,21)*INDEX(IdxPrecio_V,1,MIN(10,AX$173))*(1+V_dPrecio))</f>
        <v>0</v>
      </c>
      <c r="AY222" s="34" t="n">
        <f aca="false">IF(AY$8=1,IF(Reales!$C$58="PYG",IF(AY$10&gt;0,N(Reales!AY58)/AY$10,0),N(Reales!AY58)),AY$197*INDEX(Precio_V,21)*INDEX(IdxPrecio_V,1,MIN(10,AY$173))*(1+V_dPrecio))</f>
        <v>0</v>
      </c>
      <c r="AZ222" s="34" t="n">
        <f aca="false">IF(AZ$8=1,IF(Reales!$C$58="PYG",IF(AZ$10&gt;0,N(Reales!AZ58)/AZ$10,0),N(Reales!AZ58)),AZ$197*INDEX(Precio_V,21)*INDEX(IdxPrecio_V,1,MIN(10,AZ$173))*(1+V_dPrecio))</f>
        <v>0</v>
      </c>
      <c r="BA222" s="34" t="n">
        <f aca="false">IF(BA$8=1,IF(Reales!$C$58="PYG",IF(BA$10&gt;0,N(Reales!BA58)/BA$10,0),N(Reales!BA58)),BA$197*INDEX(Precio_V,21)*INDEX(IdxPrecio_V,1,MIN(10,BA$173))*(1+V_dPrecio))</f>
        <v>0</v>
      </c>
      <c r="BB222" s="34" t="n">
        <f aca="false">IF(BB$8=1,IF(Reales!$C$58="PYG",IF(BB$10&gt;0,N(Reales!BB58)/BB$10,0),N(Reales!BB58)),BB$197*INDEX(Precio_V,21)*INDEX(IdxPrecio_V,1,MIN(10,BB$173))*(1+V_dPrecio))</f>
        <v>0</v>
      </c>
      <c r="BC222" s="34" t="n">
        <f aca="false">IF(BC$8=1,IF(Reales!$C$58="PYG",IF(BC$10&gt;0,N(Reales!BC58)/BC$10,0),N(Reales!BC58)),BC$197*INDEX(Precio_V,21)*INDEX(IdxPrecio_V,1,MIN(10,BC$173))*(1+V_dPrecio))</f>
        <v>0</v>
      </c>
      <c r="BD222" s="34" t="n">
        <f aca="false">IF(BD$8=1,IF(Reales!$C$58="PYG",IF(BD$10&gt;0,N(Reales!BD58)/BD$10,0),N(Reales!BD58)),BD$197*INDEX(Precio_V,21)*INDEX(IdxPrecio_V,1,MIN(10,BD$173))*(1+V_dPrecio))</f>
        <v>0</v>
      </c>
      <c r="BE222" s="34" t="n">
        <f aca="false">IF(BE$8=1,IF(Reales!$C$58="PYG",IF(BE$10&gt;0,N(Reales!BE58)/BE$10,0),N(Reales!BE58)),BE$197*INDEX(Precio_V,21)*INDEX(IdxPrecio_V,1,MIN(10,BE$173))*(1+V_dPrecio))</f>
        <v>0</v>
      </c>
      <c r="BF222" s="34" t="n">
        <f aca="false">IF(BF$8=1,IF(Reales!$C$58="PYG",IF(BF$10&gt;0,N(Reales!BF58)/BF$10,0),N(Reales!BF58)),BF$197*INDEX(Precio_V,21)*INDEX(IdxPrecio_V,1,MIN(10,BF$173))*(1+V_dPrecio))</f>
        <v>0</v>
      </c>
      <c r="BG222" s="34" t="n">
        <f aca="false">IF(BG$8=1,IF(Reales!$C$58="PYG",IF(BG$10&gt;0,N(Reales!BG58)/BG$10,0),N(Reales!BG58)),BG$197*INDEX(Precio_V,21)*INDEX(IdxPrecio_V,1,MIN(10,BG$173))*(1+V_dPrecio))</f>
        <v>0</v>
      </c>
      <c r="BH222" s="34" t="n">
        <f aca="false">IF(BH$8=1,IF(Reales!$C$58="PYG",IF(BH$10&gt;0,N(Reales!BH58)/BH$10,0),N(Reales!BH58)),BH$197*INDEX(Precio_V,21)*INDEX(IdxPrecio_V,1,MIN(10,BH$173))*(1+V_dPrecio))</f>
        <v>0</v>
      </c>
      <c r="BI222" s="34" t="n">
        <f aca="false">IF(BI$8=1,IF(Reales!$C$58="PYG",IF(BI$10&gt;0,N(Reales!BI58)/BI$10,0),N(Reales!BI58)),BI$197*INDEX(Precio_V,21)*INDEX(IdxPrecio_V,1,MIN(10,BI$173))*(1+V_dPrecio))</f>
        <v>0</v>
      </c>
      <c r="BJ222" s="34" t="n">
        <f aca="false">IF(BJ$8=1,IF(Reales!$C$58="PYG",IF(BJ$10&gt;0,N(Reales!BJ58)/BJ$10,0),N(Reales!BJ58)),BJ$197*INDEX(Precio_V,21)*INDEX(IdxPrecio_V,1,MIN(10,BJ$173))*(1+V_dPrecio))</f>
        <v>0</v>
      </c>
      <c r="BK222" s="34" t="n">
        <f aca="false">IF(BK$8=1,IF(Reales!$C$58="PYG",IF(BK$10&gt;0,N(Reales!BK58)/BK$10,0),N(Reales!BK58)),BK$197*INDEX(Precio_V,21)*INDEX(IdxPrecio_V,1,MIN(10,BK$173))*(1+V_dPrecio))</f>
        <v>0</v>
      </c>
      <c r="BL222" s="34" t="n">
        <f aca="false">IF(BL$8=1,IF(Reales!$C$58="PYG",IF(BL$10&gt;0,N(Reales!BL58)/BL$10,0),N(Reales!BL58)),BL$197*INDEX(Precio_V,21)*INDEX(IdxPrecio_V,1,MIN(10,BL$173))*(1+V_dPrecio))</f>
        <v>0</v>
      </c>
      <c r="BM222" s="34" t="n">
        <f aca="false">IF(BM$8=1,IF(Reales!$C$58="PYG",IF(BM$10&gt;0,N(Reales!BM58)/BM$10,0),N(Reales!BM58)),BM$197*INDEX(Precio_V,21)*INDEX(IdxPrecio_V,1,MIN(10,BM$173))*(1+V_dPrecio))</f>
        <v>0</v>
      </c>
      <c r="BN222" s="34" t="n">
        <f aca="false">IF(BN$8=1,IF(Reales!$C$58="PYG",IF(BN$10&gt;0,N(Reales!BN58)/BN$10,0),N(Reales!BN58)),BN$197*INDEX(Precio_V,21)*INDEX(IdxPrecio_V,1,MIN(10,BN$173))*(1+V_dPrecio))</f>
        <v>0</v>
      </c>
      <c r="BO222" s="34" t="n">
        <f aca="false">IF(BO$8=1,IF(Reales!$C$58="PYG",IF(BO$10&gt;0,N(Reales!BO58)/BO$10,0),N(Reales!BO58)),BO$197*INDEX(Precio_V,21)*INDEX(IdxPrecio_V,1,MIN(10,BO$173))*(1+V_dPrecio))</f>
        <v>0</v>
      </c>
      <c r="BP222" s="34" t="n">
        <f aca="false">IF(BP$8=1,IF(Reales!$C$58="PYG",IF(BP$10&gt;0,N(Reales!BP58)/BP$10,0),N(Reales!BP58)),BP$197*INDEX(Precio_V,21)*INDEX(IdxPrecio_V,1,MIN(10,BP$173))*(1+V_dPrecio))</f>
        <v>0</v>
      </c>
      <c r="BQ222" s="34" t="n">
        <f aca="false">IF(BQ$8=1,IF(Reales!$C$58="PYG",IF(BQ$10&gt;0,N(Reales!BQ58)/BQ$10,0),N(Reales!BQ58)),BQ$197*INDEX(Precio_V,21)*INDEX(IdxPrecio_V,1,MIN(10,BQ$173))*(1+V_dPrecio))</f>
        <v>0</v>
      </c>
      <c r="BR222" s="34" t="n">
        <f aca="false">IF(BR$8=1,IF(Reales!$C$58="PYG",IF(BR$10&gt;0,N(Reales!BR58)/BR$10,0),N(Reales!BR58)),BR$197*INDEX(Precio_V,21)*INDEX(IdxPrecio_V,1,MIN(10,BR$173))*(1+V_dPrecio))</f>
        <v>0</v>
      </c>
      <c r="BS222" s="34" t="n">
        <f aca="false">IF(BS$8=1,IF(Reales!$C$58="PYG",IF(BS$10&gt;0,N(Reales!BS58)/BS$10,0),N(Reales!BS58)),BS$197*INDEX(Precio_V,21)*INDEX(IdxPrecio_V,1,MIN(10,BS$173))*(1+V_dPrecio))</f>
        <v>0</v>
      </c>
      <c r="BT222" s="34" t="n">
        <f aca="false">IF(BT$8=1,IF(Reales!$C$58="PYG",IF(BT$10&gt;0,N(Reales!BT58)/BT$10,0),N(Reales!BT58)),BT$197*INDEX(Precio_V,21)*INDEX(IdxPrecio_V,1,MIN(10,BT$173))*(1+V_dPrecio))</f>
        <v>0</v>
      </c>
      <c r="BU222" s="34" t="n">
        <f aca="false">IF(BU$8=1,IF(Reales!$C$58="PYG",IF(BU$10&gt;0,N(Reales!BU58)/BU$10,0),N(Reales!BU58)),BU$197*INDEX(Precio_V,21)*INDEX(IdxPrecio_V,1,MIN(10,BU$173))*(1+V_dPrecio))</f>
        <v>0</v>
      </c>
      <c r="BV222" s="34" t="n">
        <f aca="false">IF(BV$8=1,IF(Reales!$C$58="PYG",IF(BV$10&gt;0,N(Reales!BV58)/BV$10,0),N(Reales!BV58)),BV$197*INDEX(Precio_V,21)*INDEX(IdxPrecio_V,1,MIN(10,BV$173))*(1+V_dPrecio))</f>
        <v>0</v>
      </c>
      <c r="BW222" s="34" t="n">
        <f aca="false">IF(BW$8=1,IF(Reales!$C$58="PYG",IF(BW$10&gt;0,N(Reales!BW58)/BW$10,0),N(Reales!BW58)),BW$197*INDEX(Precio_V,21)*INDEX(IdxPrecio_V,1,MIN(10,BW$173))*(1+V_dPrecio))</f>
        <v>0</v>
      </c>
      <c r="BX222" s="34" t="n">
        <f aca="false">IF(BX$8=1,IF(Reales!$C$58="PYG",IF(BX$10&gt;0,N(Reales!BX58)/BX$10,0),N(Reales!BX58)),BX$197*INDEX(Precio_V,21)*INDEX(IdxPrecio_V,1,MIN(10,BX$173))*(1+V_dPrecio))</f>
        <v>0</v>
      </c>
      <c r="BY222" s="34" t="n">
        <f aca="false">IF(BY$8=1,IF(Reales!$C$58="PYG",IF(BY$10&gt;0,N(Reales!BY58)/BY$10,0),N(Reales!BY58)),BY$197*INDEX(Precio_V,21)*INDEX(IdxPrecio_V,1,MIN(10,BY$173))*(1+V_dPrecio))</f>
        <v>0</v>
      </c>
      <c r="BZ222" s="34" t="n">
        <f aca="false">IF(BZ$8=1,IF(Reales!$C$58="PYG",IF(BZ$10&gt;0,N(Reales!BZ58)/BZ$10,0),N(Reales!BZ58)),BZ$197*INDEX(Precio_V,21)*INDEX(IdxPrecio_V,1,MIN(10,BZ$173))*(1+V_dPrecio))</f>
        <v>0</v>
      </c>
      <c r="CA222" s="34" t="n">
        <f aca="false">IF(CA$8=1,IF(Reales!$C$58="PYG",IF(CA$10&gt;0,N(Reales!CA58)/CA$10,0),N(Reales!CA58)),CA$197*INDEX(Precio_V,21)*INDEX(IdxPrecio_V,1,MIN(10,CA$173))*(1+V_dPrecio))</f>
        <v>0</v>
      </c>
      <c r="CB222" s="34" t="n">
        <f aca="false">IF(CB$8=1,IF(Reales!$C$58="PYG",IF(CB$10&gt;0,N(Reales!CB58)/CB$10,0),N(Reales!CB58)),CB$197*INDEX(Precio_V,21)*INDEX(IdxPrecio_V,1,MIN(10,CB$173))*(1+V_dPrecio))</f>
        <v>0</v>
      </c>
      <c r="CC222" s="34" t="n">
        <f aca="false">IF(CC$8=1,IF(Reales!$C$58="PYG",IF(CC$10&gt;0,N(Reales!CC58)/CC$10,0),N(Reales!CC58)),CC$197*INDEX(Precio_V,21)*INDEX(IdxPrecio_V,1,MIN(10,CC$173))*(1+V_dPrecio))</f>
        <v>0</v>
      </c>
      <c r="CD222" s="34" t="n">
        <f aca="false">IF(CD$8=1,IF(Reales!$C$58="PYG",IF(CD$10&gt;0,N(Reales!CD58)/CD$10,0),N(Reales!CD58)),CD$197*INDEX(Precio_V,21)*INDEX(IdxPrecio_V,1,MIN(10,CD$173))*(1+V_dPrecio))</f>
        <v>0</v>
      </c>
      <c r="CE222" s="34" t="n">
        <f aca="false">IF(CE$8=1,IF(Reales!$C$58="PYG",IF(CE$10&gt;0,N(Reales!CE58)/CE$10,0),N(Reales!CE58)),CE$197*INDEX(Precio_V,21)*INDEX(IdxPrecio_V,1,MIN(10,CE$173))*(1+V_dPrecio))</f>
        <v>0</v>
      </c>
      <c r="CF222" s="34" t="n">
        <f aca="false">IF(CF$8=1,IF(Reales!$C$58="PYG",IF(CF$10&gt;0,N(Reales!CF58)/CF$10,0),N(Reales!CF58)),CF$197*INDEX(Precio_V,21)*INDEX(IdxPrecio_V,1,MIN(10,CF$173))*(1+V_dPrecio))</f>
        <v>0</v>
      </c>
      <c r="CG222" s="34" t="n">
        <f aca="false">IF(CG$8=1,IF(Reales!$C$58="PYG",IF(CG$10&gt;0,N(Reales!CG58)/CG$10,0),N(Reales!CG58)),CG$197*INDEX(Precio_V,21)*INDEX(IdxPrecio_V,1,MIN(10,CG$173))*(1+V_dPrecio))</f>
        <v>0</v>
      </c>
      <c r="CH222" s="34" t="n">
        <f aca="false">IF(CH$8=1,IF(Reales!$C$58="PYG",IF(CH$10&gt;0,N(Reales!CH58)/CH$10,0),N(Reales!CH58)),CH$197*INDEX(Precio_V,21)*INDEX(IdxPrecio_V,1,MIN(10,CH$173))*(1+V_dPrecio))</f>
        <v>0</v>
      </c>
      <c r="CI222" s="34" t="n">
        <f aca="false">IF(CI$8=1,IF(Reales!$C$58="PYG",IF(CI$10&gt;0,N(Reales!CI58)/CI$10,0),N(Reales!CI58)),CI$197*INDEX(Precio_V,21)*INDEX(IdxPrecio_V,1,MIN(10,CI$173))*(1+V_dPrecio))</f>
        <v>0</v>
      </c>
      <c r="CJ222" s="34" t="n">
        <f aca="false">IF(CJ$8=1,IF(Reales!$C$58="PYG",IF(CJ$10&gt;0,N(Reales!CJ58)/CJ$10,0),N(Reales!CJ58)),CJ$197*INDEX(Precio_V,21)*INDEX(IdxPrecio_V,1,MIN(10,CJ$173))*(1+V_dPrecio))</f>
        <v>0</v>
      </c>
      <c r="CK222" s="34" t="n">
        <f aca="false">IF(CK$8=1,IF(Reales!$C$58="PYG",IF(CK$10&gt;0,N(Reales!CK58)/CK$10,0),N(Reales!CK58)),CK$197*INDEX(Precio_V,21)*INDEX(IdxPrecio_V,1,MIN(10,CK$173))*(1+V_dPrecio))</f>
        <v>0</v>
      </c>
      <c r="CL222" s="34" t="n">
        <f aca="false">IF(CL$8=1,IF(Reales!$C$58="PYG",IF(CL$10&gt;0,N(Reales!CL58)/CL$10,0),N(Reales!CL58)),CL$197*INDEX(Precio_V,21)*INDEX(IdxPrecio_V,1,MIN(10,CL$173))*(1+V_dPrecio))</f>
        <v>0</v>
      </c>
      <c r="CM222" s="34" t="n">
        <f aca="false">IF(CM$8=1,IF(Reales!$C$58="PYG",IF(CM$10&gt;0,N(Reales!CM58)/CM$10,0),N(Reales!CM58)),CM$197*INDEX(Precio_V,21)*INDEX(IdxPrecio_V,1,MIN(10,CM$173))*(1+V_dPrecio))</f>
        <v>0</v>
      </c>
      <c r="CN222" s="34" t="n">
        <f aca="false">IF(CN$8=1,IF(Reales!$C$58="PYG",IF(CN$10&gt;0,N(Reales!CN58)/CN$10,0),N(Reales!CN58)),CN$197*INDEX(Precio_V,21)*INDEX(IdxPrecio_V,1,MIN(10,CN$173))*(1+V_dPrecio))</f>
        <v>0</v>
      </c>
      <c r="CO222" s="34" t="n">
        <f aca="false">IF(CO$8=1,IF(Reales!$C$58="PYG",IF(CO$10&gt;0,N(Reales!CO58)/CO$10,0),N(Reales!CO58)),CO$197*INDEX(Precio_V,21)*INDEX(IdxPrecio_V,1,MIN(10,CO$173))*(1+V_dPrecio))</f>
        <v>0</v>
      </c>
      <c r="CP222" s="34" t="n">
        <f aca="false">IF(CP$8=1,IF(Reales!$C$58="PYG",IF(CP$10&gt;0,N(Reales!CP58)/CP$10,0),N(Reales!CP58)),CP$197*INDEX(Precio_V,21)*INDEX(IdxPrecio_V,1,MIN(10,CP$173))*(1+V_dPrecio))</f>
        <v>0</v>
      </c>
      <c r="CQ222" s="34" t="n">
        <f aca="false">IF(CQ$8=1,IF(Reales!$C$58="PYG",IF(CQ$10&gt;0,N(Reales!CQ58)/CQ$10,0),N(Reales!CQ58)),CQ$197*INDEX(Precio_V,21)*INDEX(IdxPrecio_V,1,MIN(10,CQ$173))*(1+V_dPrecio))</f>
        <v>0</v>
      </c>
      <c r="CR222" s="34" t="n">
        <f aca="false">IF(CR$8=1,IF(Reales!$C$58="PYG",IF(CR$10&gt;0,N(Reales!CR58)/CR$10,0),N(Reales!CR58)),CR$197*INDEX(Precio_V,21)*INDEX(IdxPrecio_V,1,MIN(10,CR$173))*(1+V_dPrecio))</f>
        <v>0</v>
      </c>
      <c r="CS222" s="34" t="n">
        <f aca="false">IF(CS$8=1,IF(Reales!$C$58="PYG",IF(CS$10&gt;0,N(Reales!CS58)/CS$10,0),N(Reales!CS58)),CS$197*INDEX(Precio_V,21)*INDEX(IdxPrecio_V,1,MIN(10,CS$173))*(1+V_dPrecio))</f>
        <v>0</v>
      </c>
      <c r="CT222" s="34" t="n">
        <f aca="false">IF(CT$8=1,IF(Reales!$C$58="PYG",IF(CT$10&gt;0,N(Reales!CT58)/CT$10,0),N(Reales!CT58)),CT$197*INDEX(Precio_V,21)*INDEX(IdxPrecio_V,1,MIN(10,CT$173))*(1+V_dPrecio))</f>
        <v>0</v>
      </c>
      <c r="CU222" s="34" t="n">
        <f aca="false">IF(CU$8=1,IF(Reales!$C$58="PYG",IF(CU$10&gt;0,N(Reales!CU58)/CU$10,0),N(Reales!CU58)),CU$197*INDEX(Precio_V,21)*INDEX(IdxPrecio_V,1,MIN(10,CU$173))*(1+V_dPrecio))</f>
        <v>0</v>
      </c>
      <c r="CV222" s="34" t="n">
        <f aca="false">IF(CV$8=1,IF(Reales!$C$58="PYG",IF(CV$10&gt;0,N(Reales!CV58)/CV$10,0),N(Reales!CV58)),CV$197*INDEX(Precio_V,21)*INDEX(IdxPrecio_V,1,MIN(10,CV$173))*(1+V_dPrecio))</f>
        <v>0</v>
      </c>
      <c r="CW222" s="34" t="n">
        <f aca="false">IF(CW$8=1,IF(Reales!$C$58="PYG",IF(CW$10&gt;0,N(Reales!CW58)/CW$10,0),N(Reales!CW58)),CW$197*INDEX(Precio_V,21)*INDEX(IdxPrecio_V,1,MIN(10,CW$173))*(1+V_dPrecio))</f>
        <v>0</v>
      </c>
      <c r="CX222" s="34" t="n">
        <f aca="false">IF(CX$8=1,IF(Reales!$C$58="PYG",IF(CX$10&gt;0,N(Reales!CX58)/CX$10,0),N(Reales!CX58)),CX$197*INDEX(Precio_V,21)*INDEX(IdxPrecio_V,1,MIN(10,CX$173))*(1+V_dPrecio))</f>
        <v>0</v>
      </c>
      <c r="CY222" s="34" t="n">
        <f aca="false">IF(CY$8=1,IF(Reales!$C$58="PYG",IF(CY$10&gt;0,N(Reales!CY58)/CY$10,0),N(Reales!CY58)),CY$197*INDEX(Precio_V,21)*INDEX(IdxPrecio_V,1,MIN(10,CY$173))*(1+V_dPrecio))</f>
        <v>0</v>
      </c>
      <c r="CZ222" s="34" t="n">
        <f aca="false">IF(CZ$8=1,IF(Reales!$C$58="PYG",IF(CZ$10&gt;0,N(Reales!CZ58)/CZ$10,0),N(Reales!CZ58)),CZ$197*INDEX(Precio_V,21)*INDEX(IdxPrecio_V,1,MIN(10,CZ$173))*(1+V_dPrecio))</f>
        <v>0</v>
      </c>
      <c r="DA222" s="34" t="n">
        <f aca="false">IF(DA$8=1,IF(Reales!$C$58="PYG",IF(DA$10&gt;0,N(Reales!DA58)/DA$10,0),N(Reales!DA58)),DA$197*INDEX(Precio_V,21)*INDEX(IdxPrecio_V,1,MIN(10,DA$173))*(1+V_dPrecio))</f>
        <v>0</v>
      </c>
      <c r="DB222" s="34" t="n">
        <f aca="false">IF(DB$8=1,IF(Reales!$C$58="PYG",IF(DB$10&gt;0,N(Reales!DB58)/DB$10,0),N(Reales!DB58)),DB$197*INDEX(Precio_V,21)*INDEX(IdxPrecio_V,1,MIN(10,DB$173))*(1+V_dPrecio))</f>
        <v>0</v>
      </c>
      <c r="DC222" s="34" t="n">
        <f aca="false">IF(DC$8=1,IF(Reales!$C$58="PYG",IF(DC$10&gt;0,N(Reales!DC58)/DC$10,0),N(Reales!DC58)),DC$197*INDEX(Precio_V,21)*INDEX(IdxPrecio_V,1,MIN(10,DC$173))*(1+V_dPrecio))</f>
        <v>0</v>
      </c>
      <c r="DD222" s="34" t="n">
        <f aca="false">IF(DD$8=1,IF(Reales!$C$58="PYG",IF(DD$10&gt;0,N(Reales!DD58)/DD$10,0),N(Reales!DD58)),DD$197*INDEX(Precio_V,21)*INDEX(IdxPrecio_V,1,MIN(10,DD$173))*(1+V_dPrecio))</f>
        <v>0</v>
      </c>
      <c r="DE222" s="34" t="n">
        <f aca="false">IF(DE$8=1,IF(Reales!$C$58="PYG",IF(DE$10&gt;0,N(Reales!DE58)/DE$10,0),N(Reales!DE58)),DE$197*INDEX(Precio_V,21)*INDEX(IdxPrecio_V,1,MIN(10,DE$173))*(1+V_dPrecio))</f>
        <v>0</v>
      </c>
      <c r="DF222" s="34" t="n">
        <f aca="false">IF(DF$8=1,IF(Reales!$C$58="PYG",IF(DF$10&gt;0,N(Reales!DF58)/DF$10,0),N(Reales!DF58)),DF$197*INDEX(Precio_V,21)*INDEX(IdxPrecio_V,1,MIN(10,DF$173))*(1+V_dPrecio))</f>
        <v>0</v>
      </c>
      <c r="DG222" s="34" t="n">
        <f aca="false">IF(DG$8=1,IF(Reales!$C$58="PYG",IF(DG$10&gt;0,N(Reales!DG58)/DG$10,0),N(Reales!DG58)),DG$197*INDEX(Precio_V,21)*INDEX(IdxPrecio_V,1,MIN(10,DG$173))*(1+V_dPrecio))</f>
        <v>0</v>
      </c>
      <c r="DH222" s="34" t="n">
        <f aca="false">IF(DH$8=1,IF(Reales!$C$58="PYG",IF(DH$10&gt;0,N(Reales!DH58)/DH$10,0),N(Reales!DH58)),DH$197*INDEX(Precio_V,21)*INDEX(IdxPrecio_V,1,MIN(10,DH$173))*(1+V_dPrecio))</f>
        <v>0</v>
      </c>
      <c r="DI222" s="34" t="n">
        <f aca="false">IF(DI$8=1,IF(Reales!$C$58="PYG",IF(DI$10&gt;0,N(Reales!DI58)/DI$10,0),N(Reales!DI58)),DI$197*INDEX(Precio_V,21)*INDEX(IdxPrecio_V,1,MIN(10,DI$173))*(1+V_dPrecio))</f>
        <v>0</v>
      </c>
      <c r="DJ222" s="34" t="n">
        <f aca="false">IF(DJ$8=1,IF(Reales!$C$58="PYG",IF(DJ$10&gt;0,N(Reales!DJ58)/DJ$10,0),N(Reales!DJ58)),DJ$197*INDEX(Precio_V,21)*INDEX(IdxPrecio_V,1,MIN(10,DJ$173))*(1+V_dPrecio))</f>
        <v>0</v>
      </c>
      <c r="DK222" s="34" t="n">
        <f aca="false">IF(DK$8=1,IF(Reales!$C$58="PYG",IF(DK$10&gt;0,N(Reales!DK58)/DK$10,0),N(Reales!DK58)),DK$197*INDEX(Precio_V,21)*INDEX(IdxPrecio_V,1,MIN(10,DK$173))*(1+V_dPrecio))</f>
        <v>0</v>
      </c>
      <c r="DL222" s="34" t="n">
        <f aca="false">IF(DL$8=1,IF(Reales!$C$58="PYG",IF(DL$10&gt;0,N(Reales!DL58)/DL$10,0),N(Reales!DL58)),DL$197*INDEX(Precio_V,21)*INDEX(IdxPrecio_V,1,MIN(10,DL$173))*(1+V_dPrecio))</f>
        <v>0</v>
      </c>
      <c r="DM222" s="34" t="n">
        <f aca="false">IF(DM$8=1,IF(Reales!$C$58="PYG",IF(DM$10&gt;0,N(Reales!DM58)/DM$10,0),N(Reales!DM58)),DM$197*INDEX(Precio_V,21)*INDEX(IdxPrecio_V,1,MIN(10,DM$173))*(1+V_dPrecio))</f>
        <v>0</v>
      </c>
      <c r="DN222" s="34" t="n">
        <f aca="false">IF(DN$8=1,IF(Reales!$C$58="PYG",IF(DN$10&gt;0,N(Reales!DN58)/DN$10,0),N(Reales!DN58)),DN$197*INDEX(Precio_V,21)*INDEX(IdxPrecio_V,1,MIN(10,DN$173))*(1+V_dPrecio))</f>
        <v>0</v>
      </c>
      <c r="DO222" s="34" t="n">
        <f aca="false">IF(DO$8=1,IF(Reales!$C$58="PYG",IF(DO$10&gt;0,N(Reales!DO58)/DO$10,0),N(Reales!DO58)),DO$197*INDEX(Precio_V,21)*INDEX(IdxPrecio_V,1,MIN(10,DO$173))*(1+V_dPrecio))</f>
        <v>0</v>
      </c>
      <c r="DP222" s="34" t="n">
        <f aca="false">IF(DP$8=1,IF(Reales!$C$58="PYG",IF(DP$10&gt;0,N(Reales!DP58)/DP$10,0),N(Reales!DP58)),DP$197*INDEX(Precio_V,21)*INDEX(IdxPrecio_V,1,MIN(10,DP$173))*(1+V_dPrecio))</f>
        <v>0</v>
      </c>
      <c r="DQ222" s="34" t="n">
        <f aca="false">IF(DQ$8=1,IF(Reales!$C$58="PYG",IF(DQ$10&gt;0,N(Reales!DQ58)/DQ$10,0),N(Reales!DQ58)),DQ$197*INDEX(Precio_V,21)*INDEX(IdxPrecio_V,1,MIN(10,DQ$173))*(1+V_dPrecio))</f>
        <v>0</v>
      </c>
      <c r="DR222" s="34" t="n">
        <f aca="false">IF(DR$8=1,IF(Reales!$C$58="PYG",IF(DR$10&gt;0,N(Reales!DR58)/DR$10,0),N(Reales!DR58)),DR$197*INDEX(Precio_V,21)*INDEX(IdxPrecio_V,1,MIN(10,DR$173))*(1+V_dPrecio))</f>
        <v>0</v>
      </c>
      <c r="DS222" s="34" t="n">
        <f aca="false">IF(DS$8=1,IF(Reales!$C$58="PYG",IF(DS$10&gt;0,N(Reales!DS58)/DS$10,0),N(Reales!DS58)),DS$197*INDEX(Precio_V,21)*INDEX(IdxPrecio_V,1,MIN(10,DS$173))*(1+V_dPrecio))</f>
        <v>0</v>
      </c>
      <c r="DT222" s="34" t="n">
        <f aca="false">IF(DT$8=1,IF(Reales!$C$58="PYG",IF(DT$10&gt;0,N(Reales!DT58)/DT$10,0),N(Reales!DT58)),DT$197*INDEX(Precio_V,21)*INDEX(IdxPrecio_V,1,MIN(10,DT$173))*(1+V_dPrecio))</f>
        <v>0</v>
      </c>
      <c r="DU222" s="34" t="n">
        <f aca="false">IF(DU$8=1,IF(Reales!$C$58="PYG",IF(DU$10&gt;0,N(Reales!DU58)/DU$10,0),N(Reales!DU58)),DU$197*INDEX(Precio_V,21)*INDEX(IdxPrecio_V,1,MIN(10,DU$173))*(1+V_dPrecio))</f>
        <v>0</v>
      </c>
      <c r="DV222" s="34" t="n">
        <f aca="false">IF(DV$8=1,IF(Reales!$C$58="PYG",IF(DV$10&gt;0,N(Reales!DV58)/DV$10,0),N(Reales!DV58)),DV$197*INDEX(Precio_V,21)*INDEX(IdxPrecio_V,1,MIN(10,DV$173))*(1+V_dPrecio))</f>
        <v>0</v>
      </c>
      <c r="DW222" s="34" t="n">
        <f aca="false">IF(DW$8=1,IF(Reales!$C$58="PYG",IF(DW$10&gt;0,N(Reales!DW58)/DW$10,0),N(Reales!DW58)),DW$197*INDEX(Precio_V,21)*INDEX(IdxPrecio_V,1,MIN(10,DW$173))*(1+V_dPrecio))</f>
        <v>0</v>
      </c>
      <c r="DX222" s="34" t="n">
        <f aca="false">IF(DX$8=1,IF(Reales!$C$58="PYG",IF(DX$10&gt;0,N(Reales!DX58)/DX$10,0),N(Reales!DX58)),DX$197*INDEX(Precio_V,21)*INDEX(IdxPrecio_V,1,MIN(10,DX$173))*(1+V_dPrecio))</f>
        <v>0</v>
      </c>
      <c r="DY222" s="34" t="n">
        <f aca="false">IF(DY$8=1,IF(Reales!$C$58="PYG",IF(DY$10&gt;0,N(Reales!DY58)/DY$10,0),N(Reales!DY58)),DY$197*INDEX(Precio_V,21)*INDEX(IdxPrecio_V,1,MIN(10,DY$173))*(1+V_dPrecio))</f>
        <v>0</v>
      </c>
      <c r="DZ222" s="34" t="n">
        <f aca="false">IF(DZ$8=1,IF(Reales!$C$58="PYG",IF(DZ$10&gt;0,N(Reales!DZ58)/DZ$10,0),N(Reales!DZ58)),DZ$197*INDEX(Precio_V,21)*INDEX(IdxPrecio_V,1,MIN(10,DZ$173))*(1+V_dPrecio))</f>
        <v>0</v>
      </c>
      <c r="EA222" s="34" t="n">
        <f aca="false">IF(EA$8=1,IF(Reales!$C$58="PYG",IF(EA$10&gt;0,N(Reales!EA58)/EA$10,0),N(Reales!EA58)),EA$197*INDEX(Precio_V,21)*INDEX(IdxPrecio_V,1,MIN(10,EA$173))*(1+V_dPrecio))</f>
        <v>0</v>
      </c>
      <c r="EB222" s="34" t="n">
        <f aca="false">IF(EB$8=1,IF(Reales!$C$58="PYG",IF(EB$10&gt;0,N(Reales!EB58)/EB$10,0),N(Reales!EB58)),EB$197*INDEX(Precio_V,21)*INDEX(IdxPrecio_V,1,MIN(10,EB$173))*(1+V_dPrecio))</f>
        <v>0</v>
      </c>
      <c r="EC222" s="34" t="n">
        <f aca="false">IF(EC$8=1,IF(Reales!$C$58="PYG",IF(EC$10&gt;0,N(Reales!EC58)/EC$10,0),N(Reales!EC58)),EC$197*INDEX(Precio_V,21)*INDEX(IdxPrecio_V,1,MIN(10,EC$173))*(1+V_dPrecio))</f>
        <v>0</v>
      </c>
      <c r="ED222" s="34" t="n">
        <f aca="false">IF(ED$8=1,IF(Reales!$C$58="PYG",IF(ED$10&gt;0,N(Reales!ED58)/ED$10,0),N(Reales!ED58)),ED$197*INDEX(Precio_V,21)*INDEX(IdxPrecio_V,1,MIN(10,ED$173))*(1+V_dPrecio))</f>
        <v>0</v>
      </c>
      <c r="EE222" s="34" t="n">
        <f aca="false">IF(EE$8=1,IF(Reales!$C$58="PYG",IF(EE$10&gt;0,N(Reales!EE58)/EE$10,0),N(Reales!EE58)),EE$197*INDEX(Precio_V,21)*INDEX(IdxPrecio_V,1,MIN(10,EE$173))*(1+V_dPrecio))</f>
        <v>0</v>
      </c>
      <c r="EF222" s="34" t="n">
        <f aca="false">IF(EF$8=1,IF(Reales!$C$58="PYG",IF(EF$10&gt;0,N(Reales!EF58)/EF$10,0),N(Reales!EF58)),EF$197*INDEX(Precio_V,21)*INDEX(IdxPrecio_V,1,MIN(10,EF$173))*(1+V_dPrecio))</f>
        <v>0</v>
      </c>
      <c r="EG222" s="34" t="n">
        <f aca="false">IF(EG$8=1,IF(Reales!$C$58="PYG",IF(EG$10&gt;0,N(Reales!EG58)/EG$10,0),N(Reales!EG58)),EG$197*INDEX(Precio_V,21)*INDEX(IdxPrecio_V,1,MIN(10,EG$173))*(1+V_dPrecio))</f>
        <v>0</v>
      </c>
      <c r="EH222" s="34" t="n">
        <f aca="false">IF(EH$8=1,IF(Reales!$C$58="PYG",IF(EH$10&gt;0,N(Reales!EH58)/EH$10,0),N(Reales!EH58)),EH$197*INDEX(Precio_V,21)*INDEX(IdxPrecio_V,1,MIN(10,EH$173))*(1+V_dPrecio))</f>
        <v>0</v>
      </c>
      <c r="EI222" s="34" t="n">
        <f aca="false">IF(EI$8=1,IF(Reales!$C$58="PYG",IF(EI$10&gt;0,N(Reales!EI58)/EI$10,0),N(Reales!EI58)),EI$197*INDEX(Precio_V,21)*INDEX(IdxPrecio_V,1,MIN(10,EI$173))*(1+V_dPrecio))</f>
        <v>0</v>
      </c>
      <c r="EJ222" s="34" t="n">
        <f aca="false">IF(EJ$8=1,IF(Reales!$C$58="PYG",IF(EJ$10&gt;0,N(Reales!EJ58)/EJ$10,0),N(Reales!EJ58)),EJ$197*INDEX(Precio_V,21)*INDEX(IdxPrecio_V,1,MIN(10,EJ$173))*(1+V_dPrecio))</f>
        <v>0</v>
      </c>
      <c r="EK222" s="34" t="n">
        <f aca="false">IF(EK$8=1,IF(Reales!$C$58="PYG",IF(EK$10&gt;0,N(Reales!EK58)/EK$10,0),N(Reales!EK58)),EK$197*INDEX(Precio_V,21)*INDEX(IdxPrecio_V,1,MIN(10,EK$173))*(1+V_dPrecio))</f>
        <v>0</v>
      </c>
      <c r="EL222" s="34" t="n">
        <f aca="false">IF(EL$8=1,IF(Reales!$C$58="PYG",IF(EL$10&gt;0,N(Reales!EL58)/EL$10,0),N(Reales!EL58)),EL$197*INDEX(Precio_V,21)*INDEX(IdxPrecio_V,1,MIN(10,EL$173))*(1+V_dPrecio))</f>
        <v>0</v>
      </c>
      <c r="EM222" s="34" t="n">
        <f aca="false">IF(EM$8=1,IF(Reales!$C$58="PYG",IF(EM$10&gt;0,N(Reales!EM58)/EM$10,0),N(Reales!EM58)),EM$197*INDEX(Precio_V,21)*INDEX(IdxPrecio_V,1,MIN(10,EM$173))*(1+V_dPrecio))</f>
        <v>0</v>
      </c>
      <c r="EN222" s="34" t="n">
        <f aca="false">IF(EN$8=1,IF(Reales!$C$58="PYG",IF(EN$10&gt;0,N(Reales!EN58)/EN$10,0),N(Reales!EN58)),EN$197*INDEX(Precio_V,21)*INDEX(IdxPrecio_V,1,MIN(10,EN$173))*(1+V_dPrecio))</f>
        <v>0</v>
      </c>
      <c r="EO222" s="34" t="n">
        <f aca="false">IF(EO$8=1,IF(Reales!$C$58="PYG",IF(EO$10&gt;0,N(Reales!EO58)/EO$10,0),N(Reales!EO58)),EO$197*INDEX(Precio_V,21)*INDEX(IdxPrecio_V,1,MIN(10,EO$173))*(1+V_dPrecio))</f>
        <v>0</v>
      </c>
      <c r="EP222" s="34" t="n">
        <f aca="false">IF(EP$8=1,IF(Reales!$C$58="PYG",IF(EP$10&gt;0,N(Reales!EP58)/EP$10,0),N(Reales!EP58)),EP$197*INDEX(Precio_V,21)*INDEX(IdxPrecio_V,1,MIN(10,EP$173))*(1+V_dPrecio))</f>
        <v>0</v>
      </c>
      <c r="EQ222" s="34" t="n">
        <f aca="false">IF(EQ$8=1,IF(Reales!$C$58="PYG",IF(EQ$10&gt;0,N(Reales!EQ58)/EQ$10,0),N(Reales!EQ58)),EQ$197*INDEX(Precio_V,21)*INDEX(IdxPrecio_V,1,MIN(10,EQ$173))*(1+V_dPrecio))</f>
        <v>0</v>
      </c>
      <c r="ER222" s="34" t="n">
        <f aca="false">IF(ER$8=1,IF(Reales!$C$58="PYG",IF(ER$10&gt;0,N(Reales!ER58)/ER$10,0),N(Reales!ER58)),ER$197*INDEX(Precio_V,21)*INDEX(IdxPrecio_V,1,MIN(10,ER$173))*(1+V_dPrecio))</f>
        <v>0</v>
      </c>
      <c r="ES222" s="34" t="n">
        <f aca="false">IF(ES$8=1,IF(Reales!$C$58="PYG",IF(ES$10&gt;0,N(Reales!ES58)/ES$10,0),N(Reales!ES58)),ES$197*INDEX(Precio_V,21)*INDEX(IdxPrecio_V,1,MIN(10,ES$173))*(1+V_dPrecio))</f>
        <v>0</v>
      </c>
    </row>
    <row r="223" customFormat="false" ht="15" hidden="false" customHeight="false" outlineLevel="0" collapsed="false">
      <c r="A223" s="2" t="s">
        <v>865</v>
      </c>
      <c r="B223" s="39" t="str">
        <f aca="false">IF(INDEX(Prod_Nombre,22)="","Producto 22",INDEX(Prod_Nombre,22))&amp;" — ventas USD"</f>
        <v>Producto 22 — ventas USD</v>
      </c>
      <c r="C223" s="6" t="s">
        <v>250</v>
      </c>
      <c r="E223" s="40" t="n">
        <f aca="false">SUM(F223:ES223)</f>
        <v>0</v>
      </c>
      <c r="F223" s="34" t="n">
        <f aca="false">IF(F$8=1,IF(Reales!$C$59="PYG",IF(F$10&gt;0,N(Reales!F59)/F$10,0),N(Reales!F59)),F$198*INDEX(Precio_V,22)*INDEX(IdxPrecio_V,1,MIN(10,F$173))*(1+V_dPrecio))</f>
        <v>0</v>
      </c>
      <c r="G223" s="34" t="n">
        <f aca="false">IF(G$8=1,IF(Reales!$C$59="PYG",IF(G$10&gt;0,N(Reales!G59)/G$10,0),N(Reales!G59)),G$198*INDEX(Precio_V,22)*INDEX(IdxPrecio_V,1,MIN(10,G$173))*(1+V_dPrecio))</f>
        <v>0</v>
      </c>
      <c r="H223" s="34" t="n">
        <f aca="false">IF(H$8=1,IF(Reales!$C$59="PYG",IF(H$10&gt;0,N(Reales!H59)/H$10,0),N(Reales!H59)),H$198*INDEX(Precio_V,22)*INDEX(IdxPrecio_V,1,MIN(10,H$173))*(1+V_dPrecio))</f>
        <v>0</v>
      </c>
      <c r="I223" s="34" t="n">
        <f aca="false">IF(I$8=1,IF(Reales!$C$59="PYG",IF(I$10&gt;0,N(Reales!I59)/I$10,0),N(Reales!I59)),I$198*INDEX(Precio_V,22)*INDEX(IdxPrecio_V,1,MIN(10,I$173))*(1+V_dPrecio))</f>
        <v>0</v>
      </c>
      <c r="J223" s="34" t="n">
        <f aca="false">IF(J$8=1,IF(Reales!$C$59="PYG",IF(J$10&gt;0,N(Reales!J59)/J$10,0),N(Reales!J59)),J$198*INDEX(Precio_V,22)*INDEX(IdxPrecio_V,1,MIN(10,J$173))*(1+V_dPrecio))</f>
        <v>0</v>
      </c>
      <c r="K223" s="34" t="n">
        <f aca="false">IF(K$8=1,IF(Reales!$C$59="PYG",IF(K$10&gt;0,N(Reales!K59)/K$10,0),N(Reales!K59)),K$198*INDEX(Precio_V,22)*INDEX(IdxPrecio_V,1,MIN(10,K$173))*(1+V_dPrecio))</f>
        <v>0</v>
      </c>
      <c r="L223" s="34" t="n">
        <f aca="false">IF(L$8=1,IF(Reales!$C$59="PYG",IF(L$10&gt;0,N(Reales!L59)/L$10,0),N(Reales!L59)),L$198*INDEX(Precio_V,22)*INDEX(IdxPrecio_V,1,MIN(10,L$173))*(1+V_dPrecio))</f>
        <v>0</v>
      </c>
      <c r="M223" s="34" t="n">
        <f aca="false">IF(M$8=1,IF(Reales!$C$59="PYG",IF(M$10&gt;0,N(Reales!M59)/M$10,0),N(Reales!M59)),M$198*INDEX(Precio_V,22)*INDEX(IdxPrecio_V,1,MIN(10,M$173))*(1+V_dPrecio))</f>
        <v>0</v>
      </c>
      <c r="N223" s="34" t="n">
        <f aca="false">IF(N$8=1,IF(Reales!$C$59="PYG",IF(N$10&gt;0,N(Reales!N59)/N$10,0),N(Reales!N59)),N$198*INDEX(Precio_V,22)*INDEX(IdxPrecio_V,1,MIN(10,N$173))*(1+V_dPrecio))</f>
        <v>0</v>
      </c>
      <c r="O223" s="34" t="n">
        <f aca="false">IF(O$8=1,IF(Reales!$C$59="PYG",IF(O$10&gt;0,N(Reales!O59)/O$10,0),N(Reales!O59)),O$198*INDEX(Precio_V,22)*INDEX(IdxPrecio_V,1,MIN(10,O$173))*(1+V_dPrecio))</f>
        <v>0</v>
      </c>
      <c r="P223" s="34" t="n">
        <f aca="false">IF(P$8=1,IF(Reales!$C$59="PYG",IF(P$10&gt;0,N(Reales!P59)/P$10,0),N(Reales!P59)),P$198*INDEX(Precio_V,22)*INDEX(IdxPrecio_V,1,MIN(10,P$173))*(1+V_dPrecio))</f>
        <v>0</v>
      </c>
      <c r="Q223" s="34" t="n">
        <f aca="false">IF(Q$8=1,IF(Reales!$C$59="PYG",IF(Q$10&gt;0,N(Reales!Q59)/Q$10,0),N(Reales!Q59)),Q$198*INDEX(Precio_V,22)*INDEX(IdxPrecio_V,1,MIN(10,Q$173))*(1+V_dPrecio))</f>
        <v>0</v>
      </c>
      <c r="R223" s="34" t="n">
        <f aca="false">IF(R$8=1,IF(Reales!$C$59="PYG",IF(R$10&gt;0,N(Reales!R59)/R$10,0),N(Reales!R59)),R$198*INDEX(Precio_V,22)*INDEX(IdxPrecio_V,1,MIN(10,R$173))*(1+V_dPrecio))</f>
        <v>0</v>
      </c>
      <c r="S223" s="34" t="n">
        <f aca="false">IF(S$8=1,IF(Reales!$C$59="PYG",IF(S$10&gt;0,N(Reales!S59)/S$10,0),N(Reales!S59)),S$198*INDEX(Precio_V,22)*INDEX(IdxPrecio_V,1,MIN(10,S$173))*(1+V_dPrecio))</f>
        <v>0</v>
      </c>
      <c r="T223" s="34" t="n">
        <f aca="false">IF(T$8=1,IF(Reales!$C$59="PYG",IF(T$10&gt;0,N(Reales!T59)/T$10,0),N(Reales!T59)),T$198*INDEX(Precio_V,22)*INDEX(IdxPrecio_V,1,MIN(10,T$173))*(1+V_dPrecio))</f>
        <v>0</v>
      </c>
      <c r="U223" s="34" t="n">
        <f aca="false">IF(U$8=1,IF(Reales!$C$59="PYG",IF(U$10&gt;0,N(Reales!U59)/U$10,0),N(Reales!U59)),U$198*INDEX(Precio_V,22)*INDEX(IdxPrecio_V,1,MIN(10,U$173))*(1+V_dPrecio))</f>
        <v>0</v>
      </c>
      <c r="V223" s="34" t="n">
        <f aca="false">IF(V$8=1,IF(Reales!$C$59="PYG",IF(V$10&gt;0,N(Reales!V59)/V$10,0),N(Reales!V59)),V$198*INDEX(Precio_V,22)*INDEX(IdxPrecio_V,1,MIN(10,V$173))*(1+V_dPrecio))</f>
        <v>0</v>
      </c>
      <c r="W223" s="34" t="n">
        <f aca="false">IF(W$8=1,IF(Reales!$C$59="PYG",IF(W$10&gt;0,N(Reales!W59)/W$10,0),N(Reales!W59)),W$198*INDEX(Precio_V,22)*INDEX(IdxPrecio_V,1,MIN(10,W$173))*(1+V_dPrecio))</f>
        <v>0</v>
      </c>
      <c r="X223" s="34" t="n">
        <f aca="false">IF(X$8=1,IF(Reales!$C$59="PYG",IF(X$10&gt;0,N(Reales!X59)/X$10,0),N(Reales!X59)),X$198*INDEX(Precio_V,22)*INDEX(IdxPrecio_V,1,MIN(10,X$173))*(1+V_dPrecio))</f>
        <v>0</v>
      </c>
      <c r="Y223" s="34" t="n">
        <f aca="false">IF(Y$8=1,IF(Reales!$C$59="PYG",IF(Y$10&gt;0,N(Reales!Y59)/Y$10,0),N(Reales!Y59)),Y$198*INDEX(Precio_V,22)*INDEX(IdxPrecio_V,1,MIN(10,Y$173))*(1+V_dPrecio))</f>
        <v>0</v>
      </c>
      <c r="Z223" s="34" t="n">
        <f aca="false">IF(Z$8=1,IF(Reales!$C$59="PYG",IF(Z$10&gt;0,N(Reales!Z59)/Z$10,0),N(Reales!Z59)),Z$198*INDEX(Precio_V,22)*INDEX(IdxPrecio_V,1,MIN(10,Z$173))*(1+V_dPrecio))</f>
        <v>0</v>
      </c>
      <c r="AA223" s="34" t="n">
        <f aca="false">IF(AA$8=1,IF(Reales!$C$59="PYG",IF(AA$10&gt;0,N(Reales!AA59)/AA$10,0),N(Reales!AA59)),AA$198*INDEX(Precio_V,22)*INDEX(IdxPrecio_V,1,MIN(10,AA$173))*(1+V_dPrecio))</f>
        <v>0</v>
      </c>
      <c r="AB223" s="34" t="n">
        <f aca="false">IF(AB$8=1,IF(Reales!$C$59="PYG",IF(AB$10&gt;0,N(Reales!AB59)/AB$10,0),N(Reales!AB59)),AB$198*INDEX(Precio_V,22)*INDEX(IdxPrecio_V,1,MIN(10,AB$173))*(1+V_dPrecio))</f>
        <v>0</v>
      </c>
      <c r="AC223" s="34" t="n">
        <f aca="false">IF(AC$8=1,IF(Reales!$C$59="PYG",IF(AC$10&gt;0,N(Reales!AC59)/AC$10,0),N(Reales!AC59)),AC$198*INDEX(Precio_V,22)*INDEX(IdxPrecio_V,1,MIN(10,AC$173))*(1+V_dPrecio))</f>
        <v>0</v>
      </c>
      <c r="AD223" s="34" t="n">
        <f aca="false">IF(AD$8=1,IF(Reales!$C$59="PYG",IF(AD$10&gt;0,N(Reales!AD59)/AD$10,0),N(Reales!AD59)),AD$198*INDEX(Precio_V,22)*INDEX(IdxPrecio_V,1,MIN(10,AD$173))*(1+V_dPrecio))</f>
        <v>0</v>
      </c>
      <c r="AE223" s="34" t="n">
        <f aca="false">IF(AE$8=1,IF(Reales!$C$59="PYG",IF(AE$10&gt;0,N(Reales!AE59)/AE$10,0),N(Reales!AE59)),AE$198*INDEX(Precio_V,22)*INDEX(IdxPrecio_V,1,MIN(10,AE$173))*(1+V_dPrecio))</f>
        <v>0</v>
      </c>
      <c r="AF223" s="34" t="n">
        <f aca="false">IF(AF$8=1,IF(Reales!$C$59="PYG",IF(AF$10&gt;0,N(Reales!AF59)/AF$10,0),N(Reales!AF59)),AF$198*INDEX(Precio_V,22)*INDEX(IdxPrecio_V,1,MIN(10,AF$173))*(1+V_dPrecio))</f>
        <v>0</v>
      </c>
      <c r="AG223" s="34" t="n">
        <f aca="false">IF(AG$8=1,IF(Reales!$C$59="PYG",IF(AG$10&gt;0,N(Reales!AG59)/AG$10,0),N(Reales!AG59)),AG$198*INDEX(Precio_V,22)*INDEX(IdxPrecio_V,1,MIN(10,AG$173))*(1+V_dPrecio))</f>
        <v>0</v>
      </c>
      <c r="AH223" s="34" t="n">
        <f aca="false">IF(AH$8=1,IF(Reales!$C$59="PYG",IF(AH$10&gt;0,N(Reales!AH59)/AH$10,0),N(Reales!AH59)),AH$198*INDEX(Precio_V,22)*INDEX(IdxPrecio_V,1,MIN(10,AH$173))*(1+V_dPrecio))</f>
        <v>0</v>
      </c>
      <c r="AI223" s="34" t="n">
        <f aca="false">IF(AI$8=1,IF(Reales!$C$59="PYG",IF(AI$10&gt;0,N(Reales!AI59)/AI$10,0),N(Reales!AI59)),AI$198*INDEX(Precio_V,22)*INDEX(IdxPrecio_V,1,MIN(10,AI$173))*(1+V_dPrecio))</f>
        <v>0</v>
      </c>
      <c r="AJ223" s="34" t="n">
        <f aca="false">IF(AJ$8=1,IF(Reales!$C$59="PYG",IF(AJ$10&gt;0,N(Reales!AJ59)/AJ$10,0),N(Reales!AJ59)),AJ$198*INDEX(Precio_V,22)*INDEX(IdxPrecio_V,1,MIN(10,AJ$173))*(1+V_dPrecio))</f>
        <v>0</v>
      </c>
      <c r="AK223" s="34" t="n">
        <f aca="false">IF(AK$8=1,IF(Reales!$C$59="PYG",IF(AK$10&gt;0,N(Reales!AK59)/AK$10,0),N(Reales!AK59)),AK$198*INDEX(Precio_V,22)*INDEX(IdxPrecio_V,1,MIN(10,AK$173))*(1+V_dPrecio))</f>
        <v>0</v>
      </c>
      <c r="AL223" s="34" t="n">
        <f aca="false">IF(AL$8=1,IF(Reales!$C$59="PYG",IF(AL$10&gt;0,N(Reales!AL59)/AL$10,0),N(Reales!AL59)),AL$198*INDEX(Precio_V,22)*INDEX(IdxPrecio_V,1,MIN(10,AL$173))*(1+V_dPrecio))</f>
        <v>0</v>
      </c>
      <c r="AM223" s="34" t="n">
        <f aca="false">IF(AM$8=1,IF(Reales!$C$59="PYG",IF(AM$10&gt;0,N(Reales!AM59)/AM$10,0),N(Reales!AM59)),AM$198*INDEX(Precio_V,22)*INDEX(IdxPrecio_V,1,MIN(10,AM$173))*(1+V_dPrecio))</f>
        <v>0</v>
      </c>
      <c r="AN223" s="34" t="n">
        <f aca="false">IF(AN$8=1,IF(Reales!$C$59="PYG",IF(AN$10&gt;0,N(Reales!AN59)/AN$10,0),N(Reales!AN59)),AN$198*INDEX(Precio_V,22)*INDEX(IdxPrecio_V,1,MIN(10,AN$173))*(1+V_dPrecio))</f>
        <v>0</v>
      </c>
      <c r="AO223" s="34" t="n">
        <f aca="false">IF(AO$8=1,IF(Reales!$C$59="PYG",IF(AO$10&gt;0,N(Reales!AO59)/AO$10,0),N(Reales!AO59)),AO$198*INDEX(Precio_V,22)*INDEX(IdxPrecio_V,1,MIN(10,AO$173))*(1+V_dPrecio))</f>
        <v>0</v>
      </c>
      <c r="AP223" s="34" t="n">
        <f aca="false">IF(AP$8=1,IF(Reales!$C$59="PYG",IF(AP$10&gt;0,N(Reales!AP59)/AP$10,0),N(Reales!AP59)),AP$198*INDEX(Precio_V,22)*INDEX(IdxPrecio_V,1,MIN(10,AP$173))*(1+V_dPrecio))</f>
        <v>0</v>
      </c>
      <c r="AQ223" s="34" t="n">
        <f aca="false">IF(AQ$8=1,IF(Reales!$C$59="PYG",IF(AQ$10&gt;0,N(Reales!AQ59)/AQ$10,0),N(Reales!AQ59)),AQ$198*INDEX(Precio_V,22)*INDEX(IdxPrecio_V,1,MIN(10,AQ$173))*(1+V_dPrecio))</f>
        <v>0</v>
      </c>
      <c r="AR223" s="34" t="n">
        <f aca="false">IF(AR$8=1,IF(Reales!$C$59="PYG",IF(AR$10&gt;0,N(Reales!AR59)/AR$10,0),N(Reales!AR59)),AR$198*INDEX(Precio_V,22)*INDEX(IdxPrecio_V,1,MIN(10,AR$173))*(1+V_dPrecio))</f>
        <v>0</v>
      </c>
      <c r="AS223" s="34" t="n">
        <f aca="false">IF(AS$8=1,IF(Reales!$C$59="PYG",IF(AS$10&gt;0,N(Reales!AS59)/AS$10,0),N(Reales!AS59)),AS$198*INDEX(Precio_V,22)*INDEX(IdxPrecio_V,1,MIN(10,AS$173))*(1+V_dPrecio))</f>
        <v>0</v>
      </c>
      <c r="AT223" s="34" t="n">
        <f aca="false">IF(AT$8=1,IF(Reales!$C$59="PYG",IF(AT$10&gt;0,N(Reales!AT59)/AT$10,0),N(Reales!AT59)),AT$198*INDEX(Precio_V,22)*INDEX(IdxPrecio_V,1,MIN(10,AT$173))*(1+V_dPrecio))</f>
        <v>0</v>
      </c>
      <c r="AU223" s="34" t="n">
        <f aca="false">IF(AU$8=1,IF(Reales!$C$59="PYG",IF(AU$10&gt;0,N(Reales!AU59)/AU$10,0),N(Reales!AU59)),AU$198*INDEX(Precio_V,22)*INDEX(IdxPrecio_V,1,MIN(10,AU$173))*(1+V_dPrecio))</f>
        <v>0</v>
      </c>
      <c r="AV223" s="34" t="n">
        <f aca="false">IF(AV$8=1,IF(Reales!$C$59="PYG",IF(AV$10&gt;0,N(Reales!AV59)/AV$10,0),N(Reales!AV59)),AV$198*INDEX(Precio_V,22)*INDEX(IdxPrecio_V,1,MIN(10,AV$173))*(1+V_dPrecio))</f>
        <v>0</v>
      </c>
      <c r="AW223" s="34" t="n">
        <f aca="false">IF(AW$8=1,IF(Reales!$C$59="PYG",IF(AW$10&gt;0,N(Reales!AW59)/AW$10,0),N(Reales!AW59)),AW$198*INDEX(Precio_V,22)*INDEX(IdxPrecio_V,1,MIN(10,AW$173))*(1+V_dPrecio))</f>
        <v>0</v>
      </c>
      <c r="AX223" s="34" t="n">
        <f aca="false">IF(AX$8=1,IF(Reales!$C$59="PYG",IF(AX$10&gt;0,N(Reales!AX59)/AX$10,0),N(Reales!AX59)),AX$198*INDEX(Precio_V,22)*INDEX(IdxPrecio_V,1,MIN(10,AX$173))*(1+V_dPrecio))</f>
        <v>0</v>
      </c>
      <c r="AY223" s="34" t="n">
        <f aca="false">IF(AY$8=1,IF(Reales!$C$59="PYG",IF(AY$10&gt;0,N(Reales!AY59)/AY$10,0),N(Reales!AY59)),AY$198*INDEX(Precio_V,22)*INDEX(IdxPrecio_V,1,MIN(10,AY$173))*(1+V_dPrecio))</f>
        <v>0</v>
      </c>
      <c r="AZ223" s="34" t="n">
        <f aca="false">IF(AZ$8=1,IF(Reales!$C$59="PYG",IF(AZ$10&gt;0,N(Reales!AZ59)/AZ$10,0),N(Reales!AZ59)),AZ$198*INDEX(Precio_V,22)*INDEX(IdxPrecio_V,1,MIN(10,AZ$173))*(1+V_dPrecio))</f>
        <v>0</v>
      </c>
      <c r="BA223" s="34" t="n">
        <f aca="false">IF(BA$8=1,IF(Reales!$C$59="PYG",IF(BA$10&gt;0,N(Reales!BA59)/BA$10,0),N(Reales!BA59)),BA$198*INDEX(Precio_V,22)*INDEX(IdxPrecio_V,1,MIN(10,BA$173))*(1+V_dPrecio))</f>
        <v>0</v>
      </c>
      <c r="BB223" s="34" t="n">
        <f aca="false">IF(BB$8=1,IF(Reales!$C$59="PYG",IF(BB$10&gt;0,N(Reales!BB59)/BB$10,0),N(Reales!BB59)),BB$198*INDEX(Precio_V,22)*INDEX(IdxPrecio_V,1,MIN(10,BB$173))*(1+V_dPrecio))</f>
        <v>0</v>
      </c>
      <c r="BC223" s="34" t="n">
        <f aca="false">IF(BC$8=1,IF(Reales!$C$59="PYG",IF(BC$10&gt;0,N(Reales!BC59)/BC$10,0),N(Reales!BC59)),BC$198*INDEX(Precio_V,22)*INDEX(IdxPrecio_V,1,MIN(10,BC$173))*(1+V_dPrecio))</f>
        <v>0</v>
      </c>
      <c r="BD223" s="34" t="n">
        <f aca="false">IF(BD$8=1,IF(Reales!$C$59="PYG",IF(BD$10&gt;0,N(Reales!BD59)/BD$10,0),N(Reales!BD59)),BD$198*INDEX(Precio_V,22)*INDEX(IdxPrecio_V,1,MIN(10,BD$173))*(1+V_dPrecio))</f>
        <v>0</v>
      </c>
      <c r="BE223" s="34" t="n">
        <f aca="false">IF(BE$8=1,IF(Reales!$C$59="PYG",IF(BE$10&gt;0,N(Reales!BE59)/BE$10,0),N(Reales!BE59)),BE$198*INDEX(Precio_V,22)*INDEX(IdxPrecio_V,1,MIN(10,BE$173))*(1+V_dPrecio))</f>
        <v>0</v>
      </c>
      <c r="BF223" s="34" t="n">
        <f aca="false">IF(BF$8=1,IF(Reales!$C$59="PYG",IF(BF$10&gt;0,N(Reales!BF59)/BF$10,0),N(Reales!BF59)),BF$198*INDEX(Precio_V,22)*INDEX(IdxPrecio_V,1,MIN(10,BF$173))*(1+V_dPrecio))</f>
        <v>0</v>
      </c>
      <c r="BG223" s="34" t="n">
        <f aca="false">IF(BG$8=1,IF(Reales!$C$59="PYG",IF(BG$10&gt;0,N(Reales!BG59)/BG$10,0),N(Reales!BG59)),BG$198*INDEX(Precio_V,22)*INDEX(IdxPrecio_V,1,MIN(10,BG$173))*(1+V_dPrecio))</f>
        <v>0</v>
      </c>
      <c r="BH223" s="34" t="n">
        <f aca="false">IF(BH$8=1,IF(Reales!$C$59="PYG",IF(BH$10&gt;0,N(Reales!BH59)/BH$10,0),N(Reales!BH59)),BH$198*INDEX(Precio_V,22)*INDEX(IdxPrecio_V,1,MIN(10,BH$173))*(1+V_dPrecio))</f>
        <v>0</v>
      </c>
      <c r="BI223" s="34" t="n">
        <f aca="false">IF(BI$8=1,IF(Reales!$C$59="PYG",IF(BI$10&gt;0,N(Reales!BI59)/BI$10,0),N(Reales!BI59)),BI$198*INDEX(Precio_V,22)*INDEX(IdxPrecio_V,1,MIN(10,BI$173))*(1+V_dPrecio))</f>
        <v>0</v>
      </c>
      <c r="BJ223" s="34" t="n">
        <f aca="false">IF(BJ$8=1,IF(Reales!$C$59="PYG",IF(BJ$10&gt;0,N(Reales!BJ59)/BJ$10,0),N(Reales!BJ59)),BJ$198*INDEX(Precio_V,22)*INDEX(IdxPrecio_V,1,MIN(10,BJ$173))*(1+V_dPrecio))</f>
        <v>0</v>
      </c>
      <c r="BK223" s="34" t="n">
        <f aca="false">IF(BK$8=1,IF(Reales!$C$59="PYG",IF(BK$10&gt;0,N(Reales!BK59)/BK$10,0),N(Reales!BK59)),BK$198*INDEX(Precio_V,22)*INDEX(IdxPrecio_V,1,MIN(10,BK$173))*(1+V_dPrecio))</f>
        <v>0</v>
      </c>
      <c r="BL223" s="34" t="n">
        <f aca="false">IF(BL$8=1,IF(Reales!$C$59="PYG",IF(BL$10&gt;0,N(Reales!BL59)/BL$10,0),N(Reales!BL59)),BL$198*INDEX(Precio_V,22)*INDEX(IdxPrecio_V,1,MIN(10,BL$173))*(1+V_dPrecio))</f>
        <v>0</v>
      </c>
      <c r="BM223" s="34" t="n">
        <f aca="false">IF(BM$8=1,IF(Reales!$C$59="PYG",IF(BM$10&gt;0,N(Reales!BM59)/BM$10,0),N(Reales!BM59)),BM$198*INDEX(Precio_V,22)*INDEX(IdxPrecio_V,1,MIN(10,BM$173))*(1+V_dPrecio))</f>
        <v>0</v>
      </c>
      <c r="BN223" s="34" t="n">
        <f aca="false">IF(BN$8=1,IF(Reales!$C$59="PYG",IF(BN$10&gt;0,N(Reales!BN59)/BN$10,0),N(Reales!BN59)),BN$198*INDEX(Precio_V,22)*INDEX(IdxPrecio_V,1,MIN(10,BN$173))*(1+V_dPrecio))</f>
        <v>0</v>
      </c>
      <c r="BO223" s="34" t="n">
        <f aca="false">IF(BO$8=1,IF(Reales!$C$59="PYG",IF(BO$10&gt;0,N(Reales!BO59)/BO$10,0),N(Reales!BO59)),BO$198*INDEX(Precio_V,22)*INDEX(IdxPrecio_V,1,MIN(10,BO$173))*(1+V_dPrecio))</f>
        <v>0</v>
      </c>
      <c r="BP223" s="34" t="n">
        <f aca="false">IF(BP$8=1,IF(Reales!$C$59="PYG",IF(BP$10&gt;0,N(Reales!BP59)/BP$10,0),N(Reales!BP59)),BP$198*INDEX(Precio_V,22)*INDEX(IdxPrecio_V,1,MIN(10,BP$173))*(1+V_dPrecio))</f>
        <v>0</v>
      </c>
      <c r="BQ223" s="34" t="n">
        <f aca="false">IF(BQ$8=1,IF(Reales!$C$59="PYG",IF(BQ$10&gt;0,N(Reales!BQ59)/BQ$10,0),N(Reales!BQ59)),BQ$198*INDEX(Precio_V,22)*INDEX(IdxPrecio_V,1,MIN(10,BQ$173))*(1+V_dPrecio))</f>
        <v>0</v>
      </c>
      <c r="BR223" s="34" t="n">
        <f aca="false">IF(BR$8=1,IF(Reales!$C$59="PYG",IF(BR$10&gt;0,N(Reales!BR59)/BR$10,0),N(Reales!BR59)),BR$198*INDEX(Precio_V,22)*INDEX(IdxPrecio_V,1,MIN(10,BR$173))*(1+V_dPrecio))</f>
        <v>0</v>
      </c>
      <c r="BS223" s="34" t="n">
        <f aca="false">IF(BS$8=1,IF(Reales!$C$59="PYG",IF(BS$10&gt;0,N(Reales!BS59)/BS$10,0),N(Reales!BS59)),BS$198*INDEX(Precio_V,22)*INDEX(IdxPrecio_V,1,MIN(10,BS$173))*(1+V_dPrecio))</f>
        <v>0</v>
      </c>
      <c r="BT223" s="34" t="n">
        <f aca="false">IF(BT$8=1,IF(Reales!$C$59="PYG",IF(BT$10&gt;0,N(Reales!BT59)/BT$10,0),N(Reales!BT59)),BT$198*INDEX(Precio_V,22)*INDEX(IdxPrecio_V,1,MIN(10,BT$173))*(1+V_dPrecio))</f>
        <v>0</v>
      </c>
      <c r="BU223" s="34" t="n">
        <f aca="false">IF(BU$8=1,IF(Reales!$C$59="PYG",IF(BU$10&gt;0,N(Reales!BU59)/BU$10,0),N(Reales!BU59)),BU$198*INDEX(Precio_V,22)*INDEX(IdxPrecio_V,1,MIN(10,BU$173))*(1+V_dPrecio))</f>
        <v>0</v>
      </c>
      <c r="BV223" s="34" t="n">
        <f aca="false">IF(BV$8=1,IF(Reales!$C$59="PYG",IF(BV$10&gt;0,N(Reales!BV59)/BV$10,0),N(Reales!BV59)),BV$198*INDEX(Precio_V,22)*INDEX(IdxPrecio_V,1,MIN(10,BV$173))*(1+V_dPrecio))</f>
        <v>0</v>
      </c>
      <c r="BW223" s="34" t="n">
        <f aca="false">IF(BW$8=1,IF(Reales!$C$59="PYG",IF(BW$10&gt;0,N(Reales!BW59)/BW$10,0),N(Reales!BW59)),BW$198*INDEX(Precio_V,22)*INDEX(IdxPrecio_V,1,MIN(10,BW$173))*(1+V_dPrecio))</f>
        <v>0</v>
      </c>
      <c r="BX223" s="34" t="n">
        <f aca="false">IF(BX$8=1,IF(Reales!$C$59="PYG",IF(BX$10&gt;0,N(Reales!BX59)/BX$10,0),N(Reales!BX59)),BX$198*INDEX(Precio_V,22)*INDEX(IdxPrecio_V,1,MIN(10,BX$173))*(1+V_dPrecio))</f>
        <v>0</v>
      </c>
      <c r="BY223" s="34" t="n">
        <f aca="false">IF(BY$8=1,IF(Reales!$C$59="PYG",IF(BY$10&gt;0,N(Reales!BY59)/BY$10,0),N(Reales!BY59)),BY$198*INDEX(Precio_V,22)*INDEX(IdxPrecio_V,1,MIN(10,BY$173))*(1+V_dPrecio))</f>
        <v>0</v>
      </c>
      <c r="BZ223" s="34" t="n">
        <f aca="false">IF(BZ$8=1,IF(Reales!$C$59="PYG",IF(BZ$10&gt;0,N(Reales!BZ59)/BZ$10,0),N(Reales!BZ59)),BZ$198*INDEX(Precio_V,22)*INDEX(IdxPrecio_V,1,MIN(10,BZ$173))*(1+V_dPrecio))</f>
        <v>0</v>
      </c>
      <c r="CA223" s="34" t="n">
        <f aca="false">IF(CA$8=1,IF(Reales!$C$59="PYG",IF(CA$10&gt;0,N(Reales!CA59)/CA$10,0),N(Reales!CA59)),CA$198*INDEX(Precio_V,22)*INDEX(IdxPrecio_V,1,MIN(10,CA$173))*(1+V_dPrecio))</f>
        <v>0</v>
      </c>
      <c r="CB223" s="34" t="n">
        <f aca="false">IF(CB$8=1,IF(Reales!$C$59="PYG",IF(CB$10&gt;0,N(Reales!CB59)/CB$10,0),N(Reales!CB59)),CB$198*INDEX(Precio_V,22)*INDEX(IdxPrecio_V,1,MIN(10,CB$173))*(1+V_dPrecio))</f>
        <v>0</v>
      </c>
      <c r="CC223" s="34" t="n">
        <f aca="false">IF(CC$8=1,IF(Reales!$C$59="PYG",IF(CC$10&gt;0,N(Reales!CC59)/CC$10,0),N(Reales!CC59)),CC$198*INDEX(Precio_V,22)*INDEX(IdxPrecio_V,1,MIN(10,CC$173))*(1+V_dPrecio))</f>
        <v>0</v>
      </c>
      <c r="CD223" s="34" t="n">
        <f aca="false">IF(CD$8=1,IF(Reales!$C$59="PYG",IF(CD$10&gt;0,N(Reales!CD59)/CD$10,0),N(Reales!CD59)),CD$198*INDEX(Precio_V,22)*INDEX(IdxPrecio_V,1,MIN(10,CD$173))*(1+V_dPrecio))</f>
        <v>0</v>
      </c>
      <c r="CE223" s="34" t="n">
        <f aca="false">IF(CE$8=1,IF(Reales!$C$59="PYG",IF(CE$10&gt;0,N(Reales!CE59)/CE$10,0),N(Reales!CE59)),CE$198*INDEX(Precio_V,22)*INDEX(IdxPrecio_V,1,MIN(10,CE$173))*(1+V_dPrecio))</f>
        <v>0</v>
      </c>
      <c r="CF223" s="34" t="n">
        <f aca="false">IF(CF$8=1,IF(Reales!$C$59="PYG",IF(CF$10&gt;0,N(Reales!CF59)/CF$10,0),N(Reales!CF59)),CF$198*INDEX(Precio_V,22)*INDEX(IdxPrecio_V,1,MIN(10,CF$173))*(1+V_dPrecio))</f>
        <v>0</v>
      </c>
      <c r="CG223" s="34" t="n">
        <f aca="false">IF(CG$8=1,IF(Reales!$C$59="PYG",IF(CG$10&gt;0,N(Reales!CG59)/CG$10,0),N(Reales!CG59)),CG$198*INDEX(Precio_V,22)*INDEX(IdxPrecio_V,1,MIN(10,CG$173))*(1+V_dPrecio))</f>
        <v>0</v>
      </c>
      <c r="CH223" s="34" t="n">
        <f aca="false">IF(CH$8=1,IF(Reales!$C$59="PYG",IF(CH$10&gt;0,N(Reales!CH59)/CH$10,0),N(Reales!CH59)),CH$198*INDEX(Precio_V,22)*INDEX(IdxPrecio_V,1,MIN(10,CH$173))*(1+V_dPrecio))</f>
        <v>0</v>
      </c>
      <c r="CI223" s="34" t="n">
        <f aca="false">IF(CI$8=1,IF(Reales!$C$59="PYG",IF(CI$10&gt;0,N(Reales!CI59)/CI$10,0),N(Reales!CI59)),CI$198*INDEX(Precio_V,22)*INDEX(IdxPrecio_V,1,MIN(10,CI$173))*(1+V_dPrecio))</f>
        <v>0</v>
      </c>
      <c r="CJ223" s="34" t="n">
        <f aca="false">IF(CJ$8=1,IF(Reales!$C$59="PYG",IF(CJ$10&gt;0,N(Reales!CJ59)/CJ$10,0),N(Reales!CJ59)),CJ$198*INDEX(Precio_V,22)*INDEX(IdxPrecio_V,1,MIN(10,CJ$173))*(1+V_dPrecio))</f>
        <v>0</v>
      </c>
      <c r="CK223" s="34" t="n">
        <f aca="false">IF(CK$8=1,IF(Reales!$C$59="PYG",IF(CK$10&gt;0,N(Reales!CK59)/CK$10,0),N(Reales!CK59)),CK$198*INDEX(Precio_V,22)*INDEX(IdxPrecio_V,1,MIN(10,CK$173))*(1+V_dPrecio))</f>
        <v>0</v>
      </c>
      <c r="CL223" s="34" t="n">
        <f aca="false">IF(CL$8=1,IF(Reales!$C$59="PYG",IF(CL$10&gt;0,N(Reales!CL59)/CL$10,0),N(Reales!CL59)),CL$198*INDEX(Precio_V,22)*INDEX(IdxPrecio_V,1,MIN(10,CL$173))*(1+V_dPrecio))</f>
        <v>0</v>
      </c>
      <c r="CM223" s="34" t="n">
        <f aca="false">IF(CM$8=1,IF(Reales!$C$59="PYG",IF(CM$10&gt;0,N(Reales!CM59)/CM$10,0),N(Reales!CM59)),CM$198*INDEX(Precio_V,22)*INDEX(IdxPrecio_V,1,MIN(10,CM$173))*(1+V_dPrecio))</f>
        <v>0</v>
      </c>
      <c r="CN223" s="34" t="n">
        <f aca="false">IF(CN$8=1,IF(Reales!$C$59="PYG",IF(CN$10&gt;0,N(Reales!CN59)/CN$10,0),N(Reales!CN59)),CN$198*INDEX(Precio_V,22)*INDEX(IdxPrecio_V,1,MIN(10,CN$173))*(1+V_dPrecio))</f>
        <v>0</v>
      </c>
      <c r="CO223" s="34" t="n">
        <f aca="false">IF(CO$8=1,IF(Reales!$C$59="PYG",IF(CO$10&gt;0,N(Reales!CO59)/CO$10,0),N(Reales!CO59)),CO$198*INDEX(Precio_V,22)*INDEX(IdxPrecio_V,1,MIN(10,CO$173))*(1+V_dPrecio))</f>
        <v>0</v>
      </c>
      <c r="CP223" s="34" t="n">
        <f aca="false">IF(CP$8=1,IF(Reales!$C$59="PYG",IF(CP$10&gt;0,N(Reales!CP59)/CP$10,0),N(Reales!CP59)),CP$198*INDEX(Precio_V,22)*INDEX(IdxPrecio_V,1,MIN(10,CP$173))*(1+V_dPrecio))</f>
        <v>0</v>
      </c>
      <c r="CQ223" s="34" t="n">
        <f aca="false">IF(CQ$8=1,IF(Reales!$C$59="PYG",IF(CQ$10&gt;0,N(Reales!CQ59)/CQ$10,0),N(Reales!CQ59)),CQ$198*INDEX(Precio_V,22)*INDEX(IdxPrecio_V,1,MIN(10,CQ$173))*(1+V_dPrecio))</f>
        <v>0</v>
      </c>
      <c r="CR223" s="34" t="n">
        <f aca="false">IF(CR$8=1,IF(Reales!$C$59="PYG",IF(CR$10&gt;0,N(Reales!CR59)/CR$10,0),N(Reales!CR59)),CR$198*INDEX(Precio_V,22)*INDEX(IdxPrecio_V,1,MIN(10,CR$173))*(1+V_dPrecio))</f>
        <v>0</v>
      </c>
      <c r="CS223" s="34" t="n">
        <f aca="false">IF(CS$8=1,IF(Reales!$C$59="PYG",IF(CS$10&gt;0,N(Reales!CS59)/CS$10,0),N(Reales!CS59)),CS$198*INDEX(Precio_V,22)*INDEX(IdxPrecio_V,1,MIN(10,CS$173))*(1+V_dPrecio))</f>
        <v>0</v>
      </c>
      <c r="CT223" s="34" t="n">
        <f aca="false">IF(CT$8=1,IF(Reales!$C$59="PYG",IF(CT$10&gt;0,N(Reales!CT59)/CT$10,0),N(Reales!CT59)),CT$198*INDEX(Precio_V,22)*INDEX(IdxPrecio_V,1,MIN(10,CT$173))*(1+V_dPrecio))</f>
        <v>0</v>
      </c>
      <c r="CU223" s="34" t="n">
        <f aca="false">IF(CU$8=1,IF(Reales!$C$59="PYG",IF(CU$10&gt;0,N(Reales!CU59)/CU$10,0),N(Reales!CU59)),CU$198*INDEX(Precio_V,22)*INDEX(IdxPrecio_V,1,MIN(10,CU$173))*(1+V_dPrecio))</f>
        <v>0</v>
      </c>
      <c r="CV223" s="34" t="n">
        <f aca="false">IF(CV$8=1,IF(Reales!$C$59="PYG",IF(CV$10&gt;0,N(Reales!CV59)/CV$10,0),N(Reales!CV59)),CV$198*INDEX(Precio_V,22)*INDEX(IdxPrecio_V,1,MIN(10,CV$173))*(1+V_dPrecio))</f>
        <v>0</v>
      </c>
      <c r="CW223" s="34" t="n">
        <f aca="false">IF(CW$8=1,IF(Reales!$C$59="PYG",IF(CW$10&gt;0,N(Reales!CW59)/CW$10,0),N(Reales!CW59)),CW$198*INDEX(Precio_V,22)*INDEX(IdxPrecio_V,1,MIN(10,CW$173))*(1+V_dPrecio))</f>
        <v>0</v>
      </c>
      <c r="CX223" s="34" t="n">
        <f aca="false">IF(CX$8=1,IF(Reales!$C$59="PYG",IF(CX$10&gt;0,N(Reales!CX59)/CX$10,0),N(Reales!CX59)),CX$198*INDEX(Precio_V,22)*INDEX(IdxPrecio_V,1,MIN(10,CX$173))*(1+V_dPrecio))</f>
        <v>0</v>
      </c>
      <c r="CY223" s="34" t="n">
        <f aca="false">IF(CY$8=1,IF(Reales!$C$59="PYG",IF(CY$10&gt;0,N(Reales!CY59)/CY$10,0),N(Reales!CY59)),CY$198*INDEX(Precio_V,22)*INDEX(IdxPrecio_V,1,MIN(10,CY$173))*(1+V_dPrecio))</f>
        <v>0</v>
      </c>
      <c r="CZ223" s="34" t="n">
        <f aca="false">IF(CZ$8=1,IF(Reales!$C$59="PYG",IF(CZ$10&gt;0,N(Reales!CZ59)/CZ$10,0),N(Reales!CZ59)),CZ$198*INDEX(Precio_V,22)*INDEX(IdxPrecio_V,1,MIN(10,CZ$173))*(1+V_dPrecio))</f>
        <v>0</v>
      </c>
      <c r="DA223" s="34" t="n">
        <f aca="false">IF(DA$8=1,IF(Reales!$C$59="PYG",IF(DA$10&gt;0,N(Reales!DA59)/DA$10,0),N(Reales!DA59)),DA$198*INDEX(Precio_V,22)*INDEX(IdxPrecio_V,1,MIN(10,DA$173))*(1+V_dPrecio))</f>
        <v>0</v>
      </c>
      <c r="DB223" s="34" t="n">
        <f aca="false">IF(DB$8=1,IF(Reales!$C$59="PYG",IF(DB$10&gt;0,N(Reales!DB59)/DB$10,0),N(Reales!DB59)),DB$198*INDEX(Precio_V,22)*INDEX(IdxPrecio_V,1,MIN(10,DB$173))*(1+V_dPrecio))</f>
        <v>0</v>
      </c>
      <c r="DC223" s="34" t="n">
        <f aca="false">IF(DC$8=1,IF(Reales!$C$59="PYG",IF(DC$10&gt;0,N(Reales!DC59)/DC$10,0),N(Reales!DC59)),DC$198*INDEX(Precio_V,22)*INDEX(IdxPrecio_V,1,MIN(10,DC$173))*(1+V_dPrecio))</f>
        <v>0</v>
      </c>
      <c r="DD223" s="34" t="n">
        <f aca="false">IF(DD$8=1,IF(Reales!$C$59="PYG",IF(DD$10&gt;0,N(Reales!DD59)/DD$10,0),N(Reales!DD59)),DD$198*INDEX(Precio_V,22)*INDEX(IdxPrecio_V,1,MIN(10,DD$173))*(1+V_dPrecio))</f>
        <v>0</v>
      </c>
      <c r="DE223" s="34" t="n">
        <f aca="false">IF(DE$8=1,IF(Reales!$C$59="PYG",IF(DE$10&gt;0,N(Reales!DE59)/DE$10,0),N(Reales!DE59)),DE$198*INDEX(Precio_V,22)*INDEX(IdxPrecio_V,1,MIN(10,DE$173))*(1+V_dPrecio))</f>
        <v>0</v>
      </c>
      <c r="DF223" s="34" t="n">
        <f aca="false">IF(DF$8=1,IF(Reales!$C$59="PYG",IF(DF$10&gt;0,N(Reales!DF59)/DF$10,0),N(Reales!DF59)),DF$198*INDEX(Precio_V,22)*INDEX(IdxPrecio_V,1,MIN(10,DF$173))*(1+V_dPrecio))</f>
        <v>0</v>
      </c>
      <c r="DG223" s="34" t="n">
        <f aca="false">IF(DG$8=1,IF(Reales!$C$59="PYG",IF(DG$10&gt;0,N(Reales!DG59)/DG$10,0),N(Reales!DG59)),DG$198*INDEX(Precio_V,22)*INDEX(IdxPrecio_V,1,MIN(10,DG$173))*(1+V_dPrecio))</f>
        <v>0</v>
      </c>
      <c r="DH223" s="34" t="n">
        <f aca="false">IF(DH$8=1,IF(Reales!$C$59="PYG",IF(DH$10&gt;0,N(Reales!DH59)/DH$10,0),N(Reales!DH59)),DH$198*INDEX(Precio_V,22)*INDEX(IdxPrecio_V,1,MIN(10,DH$173))*(1+V_dPrecio))</f>
        <v>0</v>
      </c>
      <c r="DI223" s="34" t="n">
        <f aca="false">IF(DI$8=1,IF(Reales!$C$59="PYG",IF(DI$10&gt;0,N(Reales!DI59)/DI$10,0),N(Reales!DI59)),DI$198*INDEX(Precio_V,22)*INDEX(IdxPrecio_V,1,MIN(10,DI$173))*(1+V_dPrecio))</f>
        <v>0</v>
      </c>
      <c r="DJ223" s="34" t="n">
        <f aca="false">IF(DJ$8=1,IF(Reales!$C$59="PYG",IF(DJ$10&gt;0,N(Reales!DJ59)/DJ$10,0),N(Reales!DJ59)),DJ$198*INDEX(Precio_V,22)*INDEX(IdxPrecio_V,1,MIN(10,DJ$173))*(1+V_dPrecio))</f>
        <v>0</v>
      </c>
      <c r="DK223" s="34" t="n">
        <f aca="false">IF(DK$8=1,IF(Reales!$C$59="PYG",IF(DK$10&gt;0,N(Reales!DK59)/DK$10,0),N(Reales!DK59)),DK$198*INDEX(Precio_V,22)*INDEX(IdxPrecio_V,1,MIN(10,DK$173))*(1+V_dPrecio))</f>
        <v>0</v>
      </c>
      <c r="DL223" s="34" t="n">
        <f aca="false">IF(DL$8=1,IF(Reales!$C$59="PYG",IF(DL$10&gt;0,N(Reales!DL59)/DL$10,0),N(Reales!DL59)),DL$198*INDEX(Precio_V,22)*INDEX(IdxPrecio_V,1,MIN(10,DL$173))*(1+V_dPrecio))</f>
        <v>0</v>
      </c>
      <c r="DM223" s="34" t="n">
        <f aca="false">IF(DM$8=1,IF(Reales!$C$59="PYG",IF(DM$10&gt;0,N(Reales!DM59)/DM$10,0),N(Reales!DM59)),DM$198*INDEX(Precio_V,22)*INDEX(IdxPrecio_V,1,MIN(10,DM$173))*(1+V_dPrecio))</f>
        <v>0</v>
      </c>
      <c r="DN223" s="34" t="n">
        <f aca="false">IF(DN$8=1,IF(Reales!$C$59="PYG",IF(DN$10&gt;0,N(Reales!DN59)/DN$10,0),N(Reales!DN59)),DN$198*INDEX(Precio_V,22)*INDEX(IdxPrecio_V,1,MIN(10,DN$173))*(1+V_dPrecio))</f>
        <v>0</v>
      </c>
      <c r="DO223" s="34" t="n">
        <f aca="false">IF(DO$8=1,IF(Reales!$C$59="PYG",IF(DO$10&gt;0,N(Reales!DO59)/DO$10,0),N(Reales!DO59)),DO$198*INDEX(Precio_V,22)*INDEX(IdxPrecio_V,1,MIN(10,DO$173))*(1+V_dPrecio))</f>
        <v>0</v>
      </c>
      <c r="DP223" s="34" t="n">
        <f aca="false">IF(DP$8=1,IF(Reales!$C$59="PYG",IF(DP$10&gt;0,N(Reales!DP59)/DP$10,0),N(Reales!DP59)),DP$198*INDEX(Precio_V,22)*INDEX(IdxPrecio_V,1,MIN(10,DP$173))*(1+V_dPrecio))</f>
        <v>0</v>
      </c>
      <c r="DQ223" s="34" t="n">
        <f aca="false">IF(DQ$8=1,IF(Reales!$C$59="PYG",IF(DQ$10&gt;0,N(Reales!DQ59)/DQ$10,0),N(Reales!DQ59)),DQ$198*INDEX(Precio_V,22)*INDEX(IdxPrecio_V,1,MIN(10,DQ$173))*(1+V_dPrecio))</f>
        <v>0</v>
      </c>
      <c r="DR223" s="34" t="n">
        <f aca="false">IF(DR$8=1,IF(Reales!$C$59="PYG",IF(DR$10&gt;0,N(Reales!DR59)/DR$10,0),N(Reales!DR59)),DR$198*INDEX(Precio_V,22)*INDEX(IdxPrecio_V,1,MIN(10,DR$173))*(1+V_dPrecio))</f>
        <v>0</v>
      </c>
      <c r="DS223" s="34" t="n">
        <f aca="false">IF(DS$8=1,IF(Reales!$C$59="PYG",IF(DS$10&gt;0,N(Reales!DS59)/DS$10,0),N(Reales!DS59)),DS$198*INDEX(Precio_V,22)*INDEX(IdxPrecio_V,1,MIN(10,DS$173))*(1+V_dPrecio))</f>
        <v>0</v>
      </c>
      <c r="DT223" s="34" t="n">
        <f aca="false">IF(DT$8=1,IF(Reales!$C$59="PYG",IF(DT$10&gt;0,N(Reales!DT59)/DT$10,0),N(Reales!DT59)),DT$198*INDEX(Precio_V,22)*INDEX(IdxPrecio_V,1,MIN(10,DT$173))*(1+V_dPrecio))</f>
        <v>0</v>
      </c>
      <c r="DU223" s="34" t="n">
        <f aca="false">IF(DU$8=1,IF(Reales!$C$59="PYG",IF(DU$10&gt;0,N(Reales!DU59)/DU$10,0),N(Reales!DU59)),DU$198*INDEX(Precio_V,22)*INDEX(IdxPrecio_V,1,MIN(10,DU$173))*(1+V_dPrecio))</f>
        <v>0</v>
      </c>
      <c r="DV223" s="34" t="n">
        <f aca="false">IF(DV$8=1,IF(Reales!$C$59="PYG",IF(DV$10&gt;0,N(Reales!DV59)/DV$10,0),N(Reales!DV59)),DV$198*INDEX(Precio_V,22)*INDEX(IdxPrecio_V,1,MIN(10,DV$173))*(1+V_dPrecio))</f>
        <v>0</v>
      </c>
      <c r="DW223" s="34" t="n">
        <f aca="false">IF(DW$8=1,IF(Reales!$C$59="PYG",IF(DW$10&gt;0,N(Reales!DW59)/DW$10,0),N(Reales!DW59)),DW$198*INDEX(Precio_V,22)*INDEX(IdxPrecio_V,1,MIN(10,DW$173))*(1+V_dPrecio))</f>
        <v>0</v>
      </c>
      <c r="DX223" s="34" t="n">
        <f aca="false">IF(DX$8=1,IF(Reales!$C$59="PYG",IF(DX$10&gt;0,N(Reales!DX59)/DX$10,0),N(Reales!DX59)),DX$198*INDEX(Precio_V,22)*INDEX(IdxPrecio_V,1,MIN(10,DX$173))*(1+V_dPrecio))</f>
        <v>0</v>
      </c>
      <c r="DY223" s="34" t="n">
        <f aca="false">IF(DY$8=1,IF(Reales!$C$59="PYG",IF(DY$10&gt;0,N(Reales!DY59)/DY$10,0),N(Reales!DY59)),DY$198*INDEX(Precio_V,22)*INDEX(IdxPrecio_V,1,MIN(10,DY$173))*(1+V_dPrecio))</f>
        <v>0</v>
      </c>
      <c r="DZ223" s="34" t="n">
        <f aca="false">IF(DZ$8=1,IF(Reales!$C$59="PYG",IF(DZ$10&gt;0,N(Reales!DZ59)/DZ$10,0),N(Reales!DZ59)),DZ$198*INDEX(Precio_V,22)*INDEX(IdxPrecio_V,1,MIN(10,DZ$173))*(1+V_dPrecio))</f>
        <v>0</v>
      </c>
      <c r="EA223" s="34" t="n">
        <f aca="false">IF(EA$8=1,IF(Reales!$C$59="PYG",IF(EA$10&gt;0,N(Reales!EA59)/EA$10,0),N(Reales!EA59)),EA$198*INDEX(Precio_V,22)*INDEX(IdxPrecio_V,1,MIN(10,EA$173))*(1+V_dPrecio))</f>
        <v>0</v>
      </c>
      <c r="EB223" s="34" t="n">
        <f aca="false">IF(EB$8=1,IF(Reales!$C$59="PYG",IF(EB$10&gt;0,N(Reales!EB59)/EB$10,0),N(Reales!EB59)),EB$198*INDEX(Precio_V,22)*INDEX(IdxPrecio_V,1,MIN(10,EB$173))*(1+V_dPrecio))</f>
        <v>0</v>
      </c>
      <c r="EC223" s="34" t="n">
        <f aca="false">IF(EC$8=1,IF(Reales!$C$59="PYG",IF(EC$10&gt;0,N(Reales!EC59)/EC$10,0),N(Reales!EC59)),EC$198*INDEX(Precio_V,22)*INDEX(IdxPrecio_V,1,MIN(10,EC$173))*(1+V_dPrecio))</f>
        <v>0</v>
      </c>
      <c r="ED223" s="34" t="n">
        <f aca="false">IF(ED$8=1,IF(Reales!$C$59="PYG",IF(ED$10&gt;0,N(Reales!ED59)/ED$10,0),N(Reales!ED59)),ED$198*INDEX(Precio_V,22)*INDEX(IdxPrecio_V,1,MIN(10,ED$173))*(1+V_dPrecio))</f>
        <v>0</v>
      </c>
      <c r="EE223" s="34" t="n">
        <f aca="false">IF(EE$8=1,IF(Reales!$C$59="PYG",IF(EE$10&gt;0,N(Reales!EE59)/EE$10,0),N(Reales!EE59)),EE$198*INDEX(Precio_V,22)*INDEX(IdxPrecio_V,1,MIN(10,EE$173))*(1+V_dPrecio))</f>
        <v>0</v>
      </c>
      <c r="EF223" s="34" t="n">
        <f aca="false">IF(EF$8=1,IF(Reales!$C$59="PYG",IF(EF$10&gt;0,N(Reales!EF59)/EF$10,0),N(Reales!EF59)),EF$198*INDEX(Precio_V,22)*INDEX(IdxPrecio_V,1,MIN(10,EF$173))*(1+V_dPrecio))</f>
        <v>0</v>
      </c>
      <c r="EG223" s="34" t="n">
        <f aca="false">IF(EG$8=1,IF(Reales!$C$59="PYG",IF(EG$10&gt;0,N(Reales!EG59)/EG$10,0),N(Reales!EG59)),EG$198*INDEX(Precio_V,22)*INDEX(IdxPrecio_V,1,MIN(10,EG$173))*(1+V_dPrecio))</f>
        <v>0</v>
      </c>
      <c r="EH223" s="34" t="n">
        <f aca="false">IF(EH$8=1,IF(Reales!$C$59="PYG",IF(EH$10&gt;0,N(Reales!EH59)/EH$10,0),N(Reales!EH59)),EH$198*INDEX(Precio_V,22)*INDEX(IdxPrecio_V,1,MIN(10,EH$173))*(1+V_dPrecio))</f>
        <v>0</v>
      </c>
      <c r="EI223" s="34" t="n">
        <f aca="false">IF(EI$8=1,IF(Reales!$C$59="PYG",IF(EI$10&gt;0,N(Reales!EI59)/EI$10,0),N(Reales!EI59)),EI$198*INDEX(Precio_V,22)*INDEX(IdxPrecio_V,1,MIN(10,EI$173))*(1+V_dPrecio))</f>
        <v>0</v>
      </c>
      <c r="EJ223" s="34" t="n">
        <f aca="false">IF(EJ$8=1,IF(Reales!$C$59="PYG",IF(EJ$10&gt;0,N(Reales!EJ59)/EJ$10,0),N(Reales!EJ59)),EJ$198*INDEX(Precio_V,22)*INDEX(IdxPrecio_V,1,MIN(10,EJ$173))*(1+V_dPrecio))</f>
        <v>0</v>
      </c>
      <c r="EK223" s="34" t="n">
        <f aca="false">IF(EK$8=1,IF(Reales!$C$59="PYG",IF(EK$10&gt;0,N(Reales!EK59)/EK$10,0),N(Reales!EK59)),EK$198*INDEX(Precio_V,22)*INDEX(IdxPrecio_V,1,MIN(10,EK$173))*(1+V_dPrecio))</f>
        <v>0</v>
      </c>
      <c r="EL223" s="34" t="n">
        <f aca="false">IF(EL$8=1,IF(Reales!$C$59="PYG",IF(EL$10&gt;0,N(Reales!EL59)/EL$10,0),N(Reales!EL59)),EL$198*INDEX(Precio_V,22)*INDEX(IdxPrecio_V,1,MIN(10,EL$173))*(1+V_dPrecio))</f>
        <v>0</v>
      </c>
      <c r="EM223" s="34" t="n">
        <f aca="false">IF(EM$8=1,IF(Reales!$C$59="PYG",IF(EM$10&gt;0,N(Reales!EM59)/EM$10,0),N(Reales!EM59)),EM$198*INDEX(Precio_V,22)*INDEX(IdxPrecio_V,1,MIN(10,EM$173))*(1+V_dPrecio))</f>
        <v>0</v>
      </c>
      <c r="EN223" s="34" t="n">
        <f aca="false">IF(EN$8=1,IF(Reales!$C$59="PYG",IF(EN$10&gt;0,N(Reales!EN59)/EN$10,0),N(Reales!EN59)),EN$198*INDEX(Precio_V,22)*INDEX(IdxPrecio_V,1,MIN(10,EN$173))*(1+V_dPrecio))</f>
        <v>0</v>
      </c>
      <c r="EO223" s="34" t="n">
        <f aca="false">IF(EO$8=1,IF(Reales!$C$59="PYG",IF(EO$10&gt;0,N(Reales!EO59)/EO$10,0),N(Reales!EO59)),EO$198*INDEX(Precio_V,22)*INDEX(IdxPrecio_V,1,MIN(10,EO$173))*(1+V_dPrecio))</f>
        <v>0</v>
      </c>
      <c r="EP223" s="34" t="n">
        <f aca="false">IF(EP$8=1,IF(Reales!$C$59="PYG",IF(EP$10&gt;0,N(Reales!EP59)/EP$10,0),N(Reales!EP59)),EP$198*INDEX(Precio_V,22)*INDEX(IdxPrecio_V,1,MIN(10,EP$173))*(1+V_dPrecio))</f>
        <v>0</v>
      </c>
      <c r="EQ223" s="34" t="n">
        <f aca="false">IF(EQ$8=1,IF(Reales!$C$59="PYG",IF(EQ$10&gt;0,N(Reales!EQ59)/EQ$10,0),N(Reales!EQ59)),EQ$198*INDEX(Precio_V,22)*INDEX(IdxPrecio_V,1,MIN(10,EQ$173))*(1+V_dPrecio))</f>
        <v>0</v>
      </c>
      <c r="ER223" s="34" t="n">
        <f aca="false">IF(ER$8=1,IF(Reales!$C$59="PYG",IF(ER$10&gt;0,N(Reales!ER59)/ER$10,0),N(Reales!ER59)),ER$198*INDEX(Precio_V,22)*INDEX(IdxPrecio_V,1,MIN(10,ER$173))*(1+V_dPrecio))</f>
        <v>0</v>
      </c>
      <c r="ES223" s="34" t="n">
        <f aca="false">IF(ES$8=1,IF(Reales!$C$59="PYG",IF(ES$10&gt;0,N(Reales!ES59)/ES$10,0),N(Reales!ES59)),ES$198*INDEX(Precio_V,22)*INDEX(IdxPrecio_V,1,MIN(10,ES$173))*(1+V_dPrecio))</f>
        <v>0</v>
      </c>
    </row>
    <row r="224" customFormat="false" ht="15" hidden="false" customHeight="false" outlineLevel="0" collapsed="false">
      <c r="A224" s="2" t="s">
        <v>866</v>
      </c>
      <c r="B224" s="39" t="str">
        <f aca="false">IF(INDEX(Prod_Nombre,23)="","Producto 23",INDEX(Prod_Nombre,23))&amp;" — ventas USD"</f>
        <v>Producto 23 — ventas USD</v>
      </c>
      <c r="C224" s="6" t="s">
        <v>250</v>
      </c>
      <c r="E224" s="40" t="n">
        <f aca="false">SUM(F224:ES224)</f>
        <v>0</v>
      </c>
      <c r="F224" s="34" t="n">
        <f aca="false">IF(F$8=1,IF(Reales!$C$60="PYG",IF(F$10&gt;0,N(Reales!F60)/F$10,0),N(Reales!F60)),F$199*INDEX(Precio_V,23)*INDEX(IdxPrecio_V,1,MIN(10,F$173))*(1+V_dPrecio))</f>
        <v>0</v>
      </c>
      <c r="G224" s="34" t="n">
        <f aca="false">IF(G$8=1,IF(Reales!$C$60="PYG",IF(G$10&gt;0,N(Reales!G60)/G$10,0),N(Reales!G60)),G$199*INDEX(Precio_V,23)*INDEX(IdxPrecio_V,1,MIN(10,G$173))*(1+V_dPrecio))</f>
        <v>0</v>
      </c>
      <c r="H224" s="34" t="n">
        <f aca="false">IF(H$8=1,IF(Reales!$C$60="PYG",IF(H$10&gt;0,N(Reales!H60)/H$10,0),N(Reales!H60)),H$199*INDEX(Precio_V,23)*INDEX(IdxPrecio_V,1,MIN(10,H$173))*(1+V_dPrecio))</f>
        <v>0</v>
      </c>
      <c r="I224" s="34" t="n">
        <f aca="false">IF(I$8=1,IF(Reales!$C$60="PYG",IF(I$10&gt;0,N(Reales!I60)/I$10,0),N(Reales!I60)),I$199*INDEX(Precio_V,23)*INDEX(IdxPrecio_V,1,MIN(10,I$173))*(1+V_dPrecio))</f>
        <v>0</v>
      </c>
      <c r="J224" s="34" t="n">
        <f aca="false">IF(J$8=1,IF(Reales!$C$60="PYG",IF(J$10&gt;0,N(Reales!J60)/J$10,0),N(Reales!J60)),J$199*INDEX(Precio_V,23)*INDEX(IdxPrecio_V,1,MIN(10,J$173))*(1+V_dPrecio))</f>
        <v>0</v>
      </c>
      <c r="K224" s="34" t="n">
        <f aca="false">IF(K$8=1,IF(Reales!$C$60="PYG",IF(K$10&gt;0,N(Reales!K60)/K$10,0),N(Reales!K60)),K$199*INDEX(Precio_V,23)*INDEX(IdxPrecio_V,1,MIN(10,K$173))*(1+V_dPrecio))</f>
        <v>0</v>
      </c>
      <c r="L224" s="34" t="n">
        <f aca="false">IF(L$8=1,IF(Reales!$C$60="PYG",IF(L$10&gt;0,N(Reales!L60)/L$10,0),N(Reales!L60)),L$199*INDEX(Precio_V,23)*INDEX(IdxPrecio_V,1,MIN(10,L$173))*(1+V_dPrecio))</f>
        <v>0</v>
      </c>
      <c r="M224" s="34" t="n">
        <f aca="false">IF(M$8=1,IF(Reales!$C$60="PYG",IF(M$10&gt;0,N(Reales!M60)/M$10,0),N(Reales!M60)),M$199*INDEX(Precio_V,23)*INDEX(IdxPrecio_V,1,MIN(10,M$173))*(1+V_dPrecio))</f>
        <v>0</v>
      </c>
      <c r="N224" s="34" t="n">
        <f aca="false">IF(N$8=1,IF(Reales!$C$60="PYG",IF(N$10&gt;0,N(Reales!N60)/N$10,0),N(Reales!N60)),N$199*INDEX(Precio_V,23)*INDEX(IdxPrecio_V,1,MIN(10,N$173))*(1+V_dPrecio))</f>
        <v>0</v>
      </c>
      <c r="O224" s="34" t="n">
        <f aca="false">IF(O$8=1,IF(Reales!$C$60="PYG",IF(O$10&gt;0,N(Reales!O60)/O$10,0),N(Reales!O60)),O$199*INDEX(Precio_V,23)*INDEX(IdxPrecio_V,1,MIN(10,O$173))*(1+V_dPrecio))</f>
        <v>0</v>
      </c>
      <c r="P224" s="34" t="n">
        <f aca="false">IF(P$8=1,IF(Reales!$C$60="PYG",IF(P$10&gt;0,N(Reales!P60)/P$10,0),N(Reales!P60)),P$199*INDEX(Precio_V,23)*INDEX(IdxPrecio_V,1,MIN(10,P$173))*(1+V_dPrecio))</f>
        <v>0</v>
      </c>
      <c r="Q224" s="34" t="n">
        <f aca="false">IF(Q$8=1,IF(Reales!$C$60="PYG",IF(Q$10&gt;0,N(Reales!Q60)/Q$10,0),N(Reales!Q60)),Q$199*INDEX(Precio_V,23)*INDEX(IdxPrecio_V,1,MIN(10,Q$173))*(1+V_dPrecio))</f>
        <v>0</v>
      </c>
      <c r="R224" s="34" t="n">
        <f aca="false">IF(R$8=1,IF(Reales!$C$60="PYG",IF(R$10&gt;0,N(Reales!R60)/R$10,0),N(Reales!R60)),R$199*INDEX(Precio_V,23)*INDEX(IdxPrecio_V,1,MIN(10,R$173))*(1+V_dPrecio))</f>
        <v>0</v>
      </c>
      <c r="S224" s="34" t="n">
        <f aca="false">IF(S$8=1,IF(Reales!$C$60="PYG",IF(S$10&gt;0,N(Reales!S60)/S$10,0),N(Reales!S60)),S$199*INDEX(Precio_V,23)*INDEX(IdxPrecio_V,1,MIN(10,S$173))*(1+V_dPrecio))</f>
        <v>0</v>
      </c>
      <c r="T224" s="34" t="n">
        <f aca="false">IF(T$8=1,IF(Reales!$C$60="PYG",IF(T$10&gt;0,N(Reales!T60)/T$10,0),N(Reales!T60)),T$199*INDEX(Precio_V,23)*INDEX(IdxPrecio_V,1,MIN(10,T$173))*(1+V_dPrecio))</f>
        <v>0</v>
      </c>
      <c r="U224" s="34" t="n">
        <f aca="false">IF(U$8=1,IF(Reales!$C$60="PYG",IF(U$10&gt;0,N(Reales!U60)/U$10,0),N(Reales!U60)),U$199*INDEX(Precio_V,23)*INDEX(IdxPrecio_V,1,MIN(10,U$173))*(1+V_dPrecio))</f>
        <v>0</v>
      </c>
      <c r="V224" s="34" t="n">
        <f aca="false">IF(V$8=1,IF(Reales!$C$60="PYG",IF(V$10&gt;0,N(Reales!V60)/V$10,0),N(Reales!V60)),V$199*INDEX(Precio_V,23)*INDEX(IdxPrecio_V,1,MIN(10,V$173))*(1+V_dPrecio))</f>
        <v>0</v>
      </c>
      <c r="W224" s="34" t="n">
        <f aca="false">IF(W$8=1,IF(Reales!$C$60="PYG",IF(W$10&gt;0,N(Reales!W60)/W$10,0),N(Reales!W60)),W$199*INDEX(Precio_V,23)*INDEX(IdxPrecio_V,1,MIN(10,W$173))*(1+V_dPrecio))</f>
        <v>0</v>
      </c>
      <c r="X224" s="34" t="n">
        <f aca="false">IF(X$8=1,IF(Reales!$C$60="PYG",IF(X$10&gt;0,N(Reales!X60)/X$10,0),N(Reales!X60)),X$199*INDEX(Precio_V,23)*INDEX(IdxPrecio_V,1,MIN(10,X$173))*(1+V_dPrecio))</f>
        <v>0</v>
      </c>
      <c r="Y224" s="34" t="n">
        <f aca="false">IF(Y$8=1,IF(Reales!$C$60="PYG",IF(Y$10&gt;0,N(Reales!Y60)/Y$10,0),N(Reales!Y60)),Y$199*INDEX(Precio_V,23)*INDEX(IdxPrecio_V,1,MIN(10,Y$173))*(1+V_dPrecio))</f>
        <v>0</v>
      </c>
      <c r="Z224" s="34" t="n">
        <f aca="false">IF(Z$8=1,IF(Reales!$C$60="PYG",IF(Z$10&gt;0,N(Reales!Z60)/Z$10,0),N(Reales!Z60)),Z$199*INDEX(Precio_V,23)*INDEX(IdxPrecio_V,1,MIN(10,Z$173))*(1+V_dPrecio))</f>
        <v>0</v>
      </c>
      <c r="AA224" s="34" t="n">
        <f aca="false">IF(AA$8=1,IF(Reales!$C$60="PYG",IF(AA$10&gt;0,N(Reales!AA60)/AA$10,0),N(Reales!AA60)),AA$199*INDEX(Precio_V,23)*INDEX(IdxPrecio_V,1,MIN(10,AA$173))*(1+V_dPrecio))</f>
        <v>0</v>
      </c>
      <c r="AB224" s="34" t="n">
        <f aca="false">IF(AB$8=1,IF(Reales!$C$60="PYG",IF(AB$10&gt;0,N(Reales!AB60)/AB$10,0),N(Reales!AB60)),AB$199*INDEX(Precio_V,23)*INDEX(IdxPrecio_V,1,MIN(10,AB$173))*(1+V_dPrecio))</f>
        <v>0</v>
      </c>
      <c r="AC224" s="34" t="n">
        <f aca="false">IF(AC$8=1,IF(Reales!$C$60="PYG",IF(AC$10&gt;0,N(Reales!AC60)/AC$10,0),N(Reales!AC60)),AC$199*INDEX(Precio_V,23)*INDEX(IdxPrecio_V,1,MIN(10,AC$173))*(1+V_dPrecio))</f>
        <v>0</v>
      </c>
      <c r="AD224" s="34" t="n">
        <f aca="false">IF(AD$8=1,IF(Reales!$C$60="PYG",IF(AD$10&gt;0,N(Reales!AD60)/AD$10,0),N(Reales!AD60)),AD$199*INDEX(Precio_V,23)*INDEX(IdxPrecio_V,1,MIN(10,AD$173))*(1+V_dPrecio))</f>
        <v>0</v>
      </c>
      <c r="AE224" s="34" t="n">
        <f aca="false">IF(AE$8=1,IF(Reales!$C$60="PYG",IF(AE$10&gt;0,N(Reales!AE60)/AE$10,0),N(Reales!AE60)),AE$199*INDEX(Precio_V,23)*INDEX(IdxPrecio_V,1,MIN(10,AE$173))*(1+V_dPrecio))</f>
        <v>0</v>
      </c>
      <c r="AF224" s="34" t="n">
        <f aca="false">IF(AF$8=1,IF(Reales!$C$60="PYG",IF(AF$10&gt;0,N(Reales!AF60)/AF$10,0),N(Reales!AF60)),AF$199*INDEX(Precio_V,23)*INDEX(IdxPrecio_V,1,MIN(10,AF$173))*(1+V_dPrecio))</f>
        <v>0</v>
      </c>
      <c r="AG224" s="34" t="n">
        <f aca="false">IF(AG$8=1,IF(Reales!$C$60="PYG",IF(AG$10&gt;0,N(Reales!AG60)/AG$10,0),N(Reales!AG60)),AG$199*INDEX(Precio_V,23)*INDEX(IdxPrecio_V,1,MIN(10,AG$173))*(1+V_dPrecio))</f>
        <v>0</v>
      </c>
      <c r="AH224" s="34" t="n">
        <f aca="false">IF(AH$8=1,IF(Reales!$C$60="PYG",IF(AH$10&gt;0,N(Reales!AH60)/AH$10,0),N(Reales!AH60)),AH$199*INDEX(Precio_V,23)*INDEX(IdxPrecio_V,1,MIN(10,AH$173))*(1+V_dPrecio))</f>
        <v>0</v>
      </c>
      <c r="AI224" s="34" t="n">
        <f aca="false">IF(AI$8=1,IF(Reales!$C$60="PYG",IF(AI$10&gt;0,N(Reales!AI60)/AI$10,0),N(Reales!AI60)),AI$199*INDEX(Precio_V,23)*INDEX(IdxPrecio_V,1,MIN(10,AI$173))*(1+V_dPrecio))</f>
        <v>0</v>
      </c>
      <c r="AJ224" s="34" t="n">
        <f aca="false">IF(AJ$8=1,IF(Reales!$C$60="PYG",IF(AJ$10&gt;0,N(Reales!AJ60)/AJ$10,0),N(Reales!AJ60)),AJ$199*INDEX(Precio_V,23)*INDEX(IdxPrecio_V,1,MIN(10,AJ$173))*(1+V_dPrecio))</f>
        <v>0</v>
      </c>
      <c r="AK224" s="34" t="n">
        <f aca="false">IF(AK$8=1,IF(Reales!$C$60="PYG",IF(AK$10&gt;0,N(Reales!AK60)/AK$10,0),N(Reales!AK60)),AK$199*INDEX(Precio_V,23)*INDEX(IdxPrecio_V,1,MIN(10,AK$173))*(1+V_dPrecio))</f>
        <v>0</v>
      </c>
      <c r="AL224" s="34" t="n">
        <f aca="false">IF(AL$8=1,IF(Reales!$C$60="PYG",IF(AL$10&gt;0,N(Reales!AL60)/AL$10,0),N(Reales!AL60)),AL$199*INDEX(Precio_V,23)*INDEX(IdxPrecio_V,1,MIN(10,AL$173))*(1+V_dPrecio))</f>
        <v>0</v>
      </c>
      <c r="AM224" s="34" t="n">
        <f aca="false">IF(AM$8=1,IF(Reales!$C$60="PYG",IF(AM$10&gt;0,N(Reales!AM60)/AM$10,0),N(Reales!AM60)),AM$199*INDEX(Precio_V,23)*INDEX(IdxPrecio_V,1,MIN(10,AM$173))*(1+V_dPrecio))</f>
        <v>0</v>
      </c>
      <c r="AN224" s="34" t="n">
        <f aca="false">IF(AN$8=1,IF(Reales!$C$60="PYG",IF(AN$10&gt;0,N(Reales!AN60)/AN$10,0),N(Reales!AN60)),AN$199*INDEX(Precio_V,23)*INDEX(IdxPrecio_V,1,MIN(10,AN$173))*(1+V_dPrecio))</f>
        <v>0</v>
      </c>
      <c r="AO224" s="34" t="n">
        <f aca="false">IF(AO$8=1,IF(Reales!$C$60="PYG",IF(AO$10&gt;0,N(Reales!AO60)/AO$10,0),N(Reales!AO60)),AO$199*INDEX(Precio_V,23)*INDEX(IdxPrecio_V,1,MIN(10,AO$173))*(1+V_dPrecio))</f>
        <v>0</v>
      </c>
      <c r="AP224" s="34" t="n">
        <f aca="false">IF(AP$8=1,IF(Reales!$C$60="PYG",IF(AP$10&gt;0,N(Reales!AP60)/AP$10,0),N(Reales!AP60)),AP$199*INDEX(Precio_V,23)*INDEX(IdxPrecio_V,1,MIN(10,AP$173))*(1+V_dPrecio))</f>
        <v>0</v>
      </c>
      <c r="AQ224" s="34" t="n">
        <f aca="false">IF(AQ$8=1,IF(Reales!$C$60="PYG",IF(AQ$10&gt;0,N(Reales!AQ60)/AQ$10,0),N(Reales!AQ60)),AQ$199*INDEX(Precio_V,23)*INDEX(IdxPrecio_V,1,MIN(10,AQ$173))*(1+V_dPrecio))</f>
        <v>0</v>
      </c>
      <c r="AR224" s="34" t="n">
        <f aca="false">IF(AR$8=1,IF(Reales!$C$60="PYG",IF(AR$10&gt;0,N(Reales!AR60)/AR$10,0),N(Reales!AR60)),AR$199*INDEX(Precio_V,23)*INDEX(IdxPrecio_V,1,MIN(10,AR$173))*(1+V_dPrecio))</f>
        <v>0</v>
      </c>
      <c r="AS224" s="34" t="n">
        <f aca="false">IF(AS$8=1,IF(Reales!$C$60="PYG",IF(AS$10&gt;0,N(Reales!AS60)/AS$10,0),N(Reales!AS60)),AS$199*INDEX(Precio_V,23)*INDEX(IdxPrecio_V,1,MIN(10,AS$173))*(1+V_dPrecio))</f>
        <v>0</v>
      </c>
      <c r="AT224" s="34" t="n">
        <f aca="false">IF(AT$8=1,IF(Reales!$C$60="PYG",IF(AT$10&gt;0,N(Reales!AT60)/AT$10,0),N(Reales!AT60)),AT$199*INDEX(Precio_V,23)*INDEX(IdxPrecio_V,1,MIN(10,AT$173))*(1+V_dPrecio))</f>
        <v>0</v>
      </c>
      <c r="AU224" s="34" t="n">
        <f aca="false">IF(AU$8=1,IF(Reales!$C$60="PYG",IF(AU$10&gt;0,N(Reales!AU60)/AU$10,0),N(Reales!AU60)),AU$199*INDEX(Precio_V,23)*INDEX(IdxPrecio_V,1,MIN(10,AU$173))*(1+V_dPrecio))</f>
        <v>0</v>
      </c>
      <c r="AV224" s="34" t="n">
        <f aca="false">IF(AV$8=1,IF(Reales!$C$60="PYG",IF(AV$10&gt;0,N(Reales!AV60)/AV$10,0),N(Reales!AV60)),AV$199*INDEX(Precio_V,23)*INDEX(IdxPrecio_V,1,MIN(10,AV$173))*(1+V_dPrecio))</f>
        <v>0</v>
      </c>
      <c r="AW224" s="34" t="n">
        <f aca="false">IF(AW$8=1,IF(Reales!$C$60="PYG",IF(AW$10&gt;0,N(Reales!AW60)/AW$10,0),N(Reales!AW60)),AW$199*INDEX(Precio_V,23)*INDEX(IdxPrecio_V,1,MIN(10,AW$173))*(1+V_dPrecio))</f>
        <v>0</v>
      </c>
      <c r="AX224" s="34" t="n">
        <f aca="false">IF(AX$8=1,IF(Reales!$C$60="PYG",IF(AX$10&gt;0,N(Reales!AX60)/AX$10,0),N(Reales!AX60)),AX$199*INDEX(Precio_V,23)*INDEX(IdxPrecio_V,1,MIN(10,AX$173))*(1+V_dPrecio))</f>
        <v>0</v>
      </c>
      <c r="AY224" s="34" t="n">
        <f aca="false">IF(AY$8=1,IF(Reales!$C$60="PYG",IF(AY$10&gt;0,N(Reales!AY60)/AY$10,0),N(Reales!AY60)),AY$199*INDEX(Precio_V,23)*INDEX(IdxPrecio_V,1,MIN(10,AY$173))*(1+V_dPrecio))</f>
        <v>0</v>
      </c>
      <c r="AZ224" s="34" t="n">
        <f aca="false">IF(AZ$8=1,IF(Reales!$C$60="PYG",IF(AZ$10&gt;0,N(Reales!AZ60)/AZ$10,0),N(Reales!AZ60)),AZ$199*INDEX(Precio_V,23)*INDEX(IdxPrecio_V,1,MIN(10,AZ$173))*(1+V_dPrecio))</f>
        <v>0</v>
      </c>
      <c r="BA224" s="34" t="n">
        <f aca="false">IF(BA$8=1,IF(Reales!$C$60="PYG",IF(BA$10&gt;0,N(Reales!BA60)/BA$10,0),N(Reales!BA60)),BA$199*INDEX(Precio_V,23)*INDEX(IdxPrecio_V,1,MIN(10,BA$173))*(1+V_dPrecio))</f>
        <v>0</v>
      </c>
      <c r="BB224" s="34" t="n">
        <f aca="false">IF(BB$8=1,IF(Reales!$C$60="PYG",IF(BB$10&gt;0,N(Reales!BB60)/BB$10,0),N(Reales!BB60)),BB$199*INDEX(Precio_V,23)*INDEX(IdxPrecio_V,1,MIN(10,BB$173))*(1+V_dPrecio))</f>
        <v>0</v>
      </c>
      <c r="BC224" s="34" t="n">
        <f aca="false">IF(BC$8=1,IF(Reales!$C$60="PYG",IF(BC$10&gt;0,N(Reales!BC60)/BC$10,0),N(Reales!BC60)),BC$199*INDEX(Precio_V,23)*INDEX(IdxPrecio_V,1,MIN(10,BC$173))*(1+V_dPrecio))</f>
        <v>0</v>
      </c>
      <c r="BD224" s="34" t="n">
        <f aca="false">IF(BD$8=1,IF(Reales!$C$60="PYG",IF(BD$10&gt;0,N(Reales!BD60)/BD$10,0),N(Reales!BD60)),BD$199*INDEX(Precio_V,23)*INDEX(IdxPrecio_V,1,MIN(10,BD$173))*(1+V_dPrecio))</f>
        <v>0</v>
      </c>
      <c r="BE224" s="34" t="n">
        <f aca="false">IF(BE$8=1,IF(Reales!$C$60="PYG",IF(BE$10&gt;0,N(Reales!BE60)/BE$10,0),N(Reales!BE60)),BE$199*INDEX(Precio_V,23)*INDEX(IdxPrecio_V,1,MIN(10,BE$173))*(1+V_dPrecio))</f>
        <v>0</v>
      </c>
      <c r="BF224" s="34" t="n">
        <f aca="false">IF(BF$8=1,IF(Reales!$C$60="PYG",IF(BF$10&gt;0,N(Reales!BF60)/BF$10,0),N(Reales!BF60)),BF$199*INDEX(Precio_V,23)*INDEX(IdxPrecio_V,1,MIN(10,BF$173))*(1+V_dPrecio))</f>
        <v>0</v>
      </c>
      <c r="BG224" s="34" t="n">
        <f aca="false">IF(BG$8=1,IF(Reales!$C$60="PYG",IF(BG$10&gt;0,N(Reales!BG60)/BG$10,0),N(Reales!BG60)),BG$199*INDEX(Precio_V,23)*INDEX(IdxPrecio_V,1,MIN(10,BG$173))*(1+V_dPrecio))</f>
        <v>0</v>
      </c>
      <c r="BH224" s="34" t="n">
        <f aca="false">IF(BH$8=1,IF(Reales!$C$60="PYG",IF(BH$10&gt;0,N(Reales!BH60)/BH$10,0),N(Reales!BH60)),BH$199*INDEX(Precio_V,23)*INDEX(IdxPrecio_V,1,MIN(10,BH$173))*(1+V_dPrecio))</f>
        <v>0</v>
      </c>
      <c r="BI224" s="34" t="n">
        <f aca="false">IF(BI$8=1,IF(Reales!$C$60="PYG",IF(BI$10&gt;0,N(Reales!BI60)/BI$10,0),N(Reales!BI60)),BI$199*INDEX(Precio_V,23)*INDEX(IdxPrecio_V,1,MIN(10,BI$173))*(1+V_dPrecio))</f>
        <v>0</v>
      </c>
      <c r="BJ224" s="34" t="n">
        <f aca="false">IF(BJ$8=1,IF(Reales!$C$60="PYG",IF(BJ$10&gt;0,N(Reales!BJ60)/BJ$10,0),N(Reales!BJ60)),BJ$199*INDEX(Precio_V,23)*INDEX(IdxPrecio_V,1,MIN(10,BJ$173))*(1+V_dPrecio))</f>
        <v>0</v>
      </c>
      <c r="BK224" s="34" t="n">
        <f aca="false">IF(BK$8=1,IF(Reales!$C$60="PYG",IF(BK$10&gt;0,N(Reales!BK60)/BK$10,0),N(Reales!BK60)),BK$199*INDEX(Precio_V,23)*INDEX(IdxPrecio_V,1,MIN(10,BK$173))*(1+V_dPrecio))</f>
        <v>0</v>
      </c>
      <c r="BL224" s="34" t="n">
        <f aca="false">IF(BL$8=1,IF(Reales!$C$60="PYG",IF(BL$10&gt;0,N(Reales!BL60)/BL$10,0),N(Reales!BL60)),BL$199*INDEX(Precio_V,23)*INDEX(IdxPrecio_V,1,MIN(10,BL$173))*(1+V_dPrecio))</f>
        <v>0</v>
      </c>
      <c r="BM224" s="34" t="n">
        <f aca="false">IF(BM$8=1,IF(Reales!$C$60="PYG",IF(BM$10&gt;0,N(Reales!BM60)/BM$10,0),N(Reales!BM60)),BM$199*INDEX(Precio_V,23)*INDEX(IdxPrecio_V,1,MIN(10,BM$173))*(1+V_dPrecio))</f>
        <v>0</v>
      </c>
      <c r="BN224" s="34" t="n">
        <f aca="false">IF(BN$8=1,IF(Reales!$C$60="PYG",IF(BN$10&gt;0,N(Reales!BN60)/BN$10,0),N(Reales!BN60)),BN$199*INDEX(Precio_V,23)*INDEX(IdxPrecio_V,1,MIN(10,BN$173))*(1+V_dPrecio))</f>
        <v>0</v>
      </c>
      <c r="BO224" s="34" t="n">
        <f aca="false">IF(BO$8=1,IF(Reales!$C$60="PYG",IF(BO$10&gt;0,N(Reales!BO60)/BO$10,0),N(Reales!BO60)),BO$199*INDEX(Precio_V,23)*INDEX(IdxPrecio_V,1,MIN(10,BO$173))*(1+V_dPrecio))</f>
        <v>0</v>
      </c>
      <c r="BP224" s="34" t="n">
        <f aca="false">IF(BP$8=1,IF(Reales!$C$60="PYG",IF(BP$10&gt;0,N(Reales!BP60)/BP$10,0),N(Reales!BP60)),BP$199*INDEX(Precio_V,23)*INDEX(IdxPrecio_V,1,MIN(10,BP$173))*(1+V_dPrecio))</f>
        <v>0</v>
      </c>
      <c r="BQ224" s="34" t="n">
        <f aca="false">IF(BQ$8=1,IF(Reales!$C$60="PYG",IF(BQ$10&gt;0,N(Reales!BQ60)/BQ$10,0),N(Reales!BQ60)),BQ$199*INDEX(Precio_V,23)*INDEX(IdxPrecio_V,1,MIN(10,BQ$173))*(1+V_dPrecio))</f>
        <v>0</v>
      </c>
      <c r="BR224" s="34" t="n">
        <f aca="false">IF(BR$8=1,IF(Reales!$C$60="PYG",IF(BR$10&gt;0,N(Reales!BR60)/BR$10,0),N(Reales!BR60)),BR$199*INDEX(Precio_V,23)*INDEX(IdxPrecio_V,1,MIN(10,BR$173))*(1+V_dPrecio))</f>
        <v>0</v>
      </c>
      <c r="BS224" s="34" t="n">
        <f aca="false">IF(BS$8=1,IF(Reales!$C$60="PYG",IF(BS$10&gt;0,N(Reales!BS60)/BS$10,0),N(Reales!BS60)),BS$199*INDEX(Precio_V,23)*INDEX(IdxPrecio_V,1,MIN(10,BS$173))*(1+V_dPrecio))</f>
        <v>0</v>
      </c>
      <c r="BT224" s="34" t="n">
        <f aca="false">IF(BT$8=1,IF(Reales!$C$60="PYG",IF(BT$10&gt;0,N(Reales!BT60)/BT$10,0),N(Reales!BT60)),BT$199*INDEX(Precio_V,23)*INDEX(IdxPrecio_V,1,MIN(10,BT$173))*(1+V_dPrecio))</f>
        <v>0</v>
      </c>
      <c r="BU224" s="34" t="n">
        <f aca="false">IF(BU$8=1,IF(Reales!$C$60="PYG",IF(BU$10&gt;0,N(Reales!BU60)/BU$10,0),N(Reales!BU60)),BU$199*INDEX(Precio_V,23)*INDEX(IdxPrecio_V,1,MIN(10,BU$173))*(1+V_dPrecio))</f>
        <v>0</v>
      </c>
      <c r="BV224" s="34" t="n">
        <f aca="false">IF(BV$8=1,IF(Reales!$C$60="PYG",IF(BV$10&gt;0,N(Reales!BV60)/BV$10,0),N(Reales!BV60)),BV$199*INDEX(Precio_V,23)*INDEX(IdxPrecio_V,1,MIN(10,BV$173))*(1+V_dPrecio))</f>
        <v>0</v>
      </c>
      <c r="BW224" s="34" t="n">
        <f aca="false">IF(BW$8=1,IF(Reales!$C$60="PYG",IF(BW$10&gt;0,N(Reales!BW60)/BW$10,0),N(Reales!BW60)),BW$199*INDEX(Precio_V,23)*INDEX(IdxPrecio_V,1,MIN(10,BW$173))*(1+V_dPrecio))</f>
        <v>0</v>
      </c>
      <c r="BX224" s="34" t="n">
        <f aca="false">IF(BX$8=1,IF(Reales!$C$60="PYG",IF(BX$10&gt;0,N(Reales!BX60)/BX$10,0),N(Reales!BX60)),BX$199*INDEX(Precio_V,23)*INDEX(IdxPrecio_V,1,MIN(10,BX$173))*(1+V_dPrecio))</f>
        <v>0</v>
      </c>
      <c r="BY224" s="34" t="n">
        <f aca="false">IF(BY$8=1,IF(Reales!$C$60="PYG",IF(BY$10&gt;0,N(Reales!BY60)/BY$10,0),N(Reales!BY60)),BY$199*INDEX(Precio_V,23)*INDEX(IdxPrecio_V,1,MIN(10,BY$173))*(1+V_dPrecio))</f>
        <v>0</v>
      </c>
      <c r="BZ224" s="34" t="n">
        <f aca="false">IF(BZ$8=1,IF(Reales!$C$60="PYG",IF(BZ$10&gt;0,N(Reales!BZ60)/BZ$10,0),N(Reales!BZ60)),BZ$199*INDEX(Precio_V,23)*INDEX(IdxPrecio_V,1,MIN(10,BZ$173))*(1+V_dPrecio))</f>
        <v>0</v>
      </c>
      <c r="CA224" s="34" t="n">
        <f aca="false">IF(CA$8=1,IF(Reales!$C$60="PYG",IF(CA$10&gt;0,N(Reales!CA60)/CA$10,0),N(Reales!CA60)),CA$199*INDEX(Precio_V,23)*INDEX(IdxPrecio_V,1,MIN(10,CA$173))*(1+V_dPrecio))</f>
        <v>0</v>
      </c>
      <c r="CB224" s="34" t="n">
        <f aca="false">IF(CB$8=1,IF(Reales!$C$60="PYG",IF(CB$10&gt;0,N(Reales!CB60)/CB$10,0),N(Reales!CB60)),CB$199*INDEX(Precio_V,23)*INDEX(IdxPrecio_V,1,MIN(10,CB$173))*(1+V_dPrecio))</f>
        <v>0</v>
      </c>
      <c r="CC224" s="34" t="n">
        <f aca="false">IF(CC$8=1,IF(Reales!$C$60="PYG",IF(CC$10&gt;0,N(Reales!CC60)/CC$10,0),N(Reales!CC60)),CC$199*INDEX(Precio_V,23)*INDEX(IdxPrecio_V,1,MIN(10,CC$173))*(1+V_dPrecio))</f>
        <v>0</v>
      </c>
      <c r="CD224" s="34" t="n">
        <f aca="false">IF(CD$8=1,IF(Reales!$C$60="PYG",IF(CD$10&gt;0,N(Reales!CD60)/CD$10,0),N(Reales!CD60)),CD$199*INDEX(Precio_V,23)*INDEX(IdxPrecio_V,1,MIN(10,CD$173))*(1+V_dPrecio))</f>
        <v>0</v>
      </c>
      <c r="CE224" s="34" t="n">
        <f aca="false">IF(CE$8=1,IF(Reales!$C$60="PYG",IF(CE$10&gt;0,N(Reales!CE60)/CE$10,0),N(Reales!CE60)),CE$199*INDEX(Precio_V,23)*INDEX(IdxPrecio_V,1,MIN(10,CE$173))*(1+V_dPrecio))</f>
        <v>0</v>
      </c>
      <c r="CF224" s="34" t="n">
        <f aca="false">IF(CF$8=1,IF(Reales!$C$60="PYG",IF(CF$10&gt;0,N(Reales!CF60)/CF$10,0),N(Reales!CF60)),CF$199*INDEX(Precio_V,23)*INDEX(IdxPrecio_V,1,MIN(10,CF$173))*(1+V_dPrecio))</f>
        <v>0</v>
      </c>
      <c r="CG224" s="34" t="n">
        <f aca="false">IF(CG$8=1,IF(Reales!$C$60="PYG",IF(CG$10&gt;0,N(Reales!CG60)/CG$10,0),N(Reales!CG60)),CG$199*INDEX(Precio_V,23)*INDEX(IdxPrecio_V,1,MIN(10,CG$173))*(1+V_dPrecio))</f>
        <v>0</v>
      </c>
      <c r="CH224" s="34" t="n">
        <f aca="false">IF(CH$8=1,IF(Reales!$C$60="PYG",IF(CH$10&gt;0,N(Reales!CH60)/CH$10,0),N(Reales!CH60)),CH$199*INDEX(Precio_V,23)*INDEX(IdxPrecio_V,1,MIN(10,CH$173))*(1+V_dPrecio))</f>
        <v>0</v>
      </c>
      <c r="CI224" s="34" t="n">
        <f aca="false">IF(CI$8=1,IF(Reales!$C$60="PYG",IF(CI$10&gt;0,N(Reales!CI60)/CI$10,0),N(Reales!CI60)),CI$199*INDEX(Precio_V,23)*INDEX(IdxPrecio_V,1,MIN(10,CI$173))*(1+V_dPrecio))</f>
        <v>0</v>
      </c>
      <c r="CJ224" s="34" t="n">
        <f aca="false">IF(CJ$8=1,IF(Reales!$C$60="PYG",IF(CJ$10&gt;0,N(Reales!CJ60)/CJ$10,0),N(Reales!CJ60)),CJ$199*INDEX(Precio_V,23)*INDEX(IdxPrecio_V,1,MIN(10,CJ$173))*(1+V_dPrecio))</f>
        <v>0</v>
      </c>
      <c r="CK224" s="34" t="n">
        <f aca="false">IF(CK$8=1,IF(Reales!$C$60="PYG",IF(CK$10&gt;0,N(Reales!CK60)/CK$10,0),N(Reales!CK60)),CK$199*INDEX(Precio_V,23)*INDEX(IdxPrecio_V,1,MIN(10,CK$173))*(1+V_dPrecio))</f>
        <v>0</v>
      </c>
      <c r="CL224" s="34" t="n">
        <f aca="false">IF(CL$8=1,IF(Reales!$C$60="PYG",IF(CL$10&gt;0,N(Reales!CL60)/CL$10,0),N(Reales!CL60)),CL$199*INDEX(Precio_V,23)*INDEX(IdxPrecio_V,1,MIN(10,CL$173))*(1+V_dPrecio))</f>
        <v>0</v>
      </c>
      <c r="CM224" s="34" t="n">
        <f aca="false">IF(CM$8=1,IF(Reales!$C$60="PYG",IF(CM$10&gt;0,N(Reales!CM60)/CM$10,0),N(Reales!CM60)),CM$199*INDEX(Precio_V,23)*INDEX(IdxPrecio_V,1,MIN(10,CM$173))*(1+V_dPrecio))</f>
        <v>0</v>
      </c>
      <c r="CN224" s="34" t="n">
        <f aca="false">IF(CN$8=1,IF(Reales!$C$60="PYG",IF(CN$10&gt;0,N(Reales!CN60)/CN$10,0),N(Reales!CN60)),CN$199*INDEX(Precio_V,23)*INDEX(IdxPrecio_V,1,MIN(10,CN$173))*(1+V_dPrecio))</f>
        <v>0</v>
      </c>
      <c r="CO224" s="34" t="n">
        <f aca="false">IF(CO$8=1,IF(Reales!$C$60="PYG",IF(CO$10&gt;0,N(Reales!CO60)/CO$10,0),N(Reales!CO60)),CO$199*INDEX(Precio_V,23)*INDEX(IdxPrecio_V,1,MIN(10,CO$173))*(1+V_dPrecio))</f>
        <v>0</v>
      </c>
      <c r="CP224" s="34" t="n">
        <f aca="false">IF(CP$8=1,IF(Reales!$C$60="PYG",IF(CP$10&gt;0,N(Reales!CP60)/CP$10,0),N(Reales!CP60)),CP$199*INDEX(Precio_V,23)*INDEX(IdxPrecio_V,1,MIN(10,CP$173))*(1+V_dPrecio))</f>
        <v>0</v>
      </c>
      <c r="CQ224" s="34" t="n">
        <f aca="false">IF(CQ$8=1,IF(Reales!$C$60="PYG",IF(CQ$10&gt;0,N(Reales!CQ60)/CQ$10,0),N(Reales!CQ60)),CQ$199*INDEX(Precio_V,23)*INDEX(IdxPrecio_V,1,MIN(10,CQ$173))*(1+V_dPrecio))</f>
        <v>0</v>
      </c>
      <c r="CR224" s="34" t="n">
        <f aca="false">IF(CR$8=1,IF(Reales!$C$60="PYG",IF(CR$10&gt;0,N(Reales!CR60)/CR$10,0),N(Reales!CR60)),CR$199*INDEX(Precio_V,23)*INDEX(IdxPrecio_V,1,MIN(10,CR$173))*(1+V_dPrecio))</f>
        <v>0</v>
      </c>
      <c r="CS224" s="34" t="n">
        <f aca="false">IF(CS$8=1,IF(Reales!$C$60="PYG",IF(CS$10&gt;0,N(Reales!CS60)/CS$10,0),N(Reales!CS60)),CS$199*INDEX(Precio_V,23)*INDEX(IdxPrecio_V,1,MIN(10,CS$173))*(1+V_dPrecio))</f>
        <v>0</v>
      </c>
      <c r="CT224" s="34" t="n">
        <f aca="false">IF(CT$8=1,IF(Reales!$C$60="PYG",IF(CT$10&gt;0,N(Reales!CT60)/CT$10,0),N(Reales!CT60)),CT$199*INDEX(Precio_V,23)*INDEX(IdxPrecio_V,1,MIN(10,CT$173))*(1+V_dPrecio))</f>
        <v>0</v>
      </c>
      <c r="CU224" s="34" t="n">
        <f aca="false">IF(CU$8=1,IF(Reales!$C$60="PYG",IF(CU$10&gt;0,N(Reales!CU60)/CU$10,0),N(Reales!CU60)),CU$199*INDEX(Precio_V,23)*INDEX(IdxPrecio_V,1,MIN(10,CU$173))*(1+V_dPrecio))</f>
        <v>0</v>
      </c>
      <c r="CV224" s="34" t="n">
        <f aca="false">IF(CV$8=1,IF(Reales!$C$60="PYG",IF(CV$10&gt;0,N(Reales!CV60)/CV$10,0),N(Reales!CV60)),CV$199*INDEX(Precio_V,23)*INDEX(IdxPrecio_V,1,MIN(10,CV$173))*(1+V_dPrecio))</f>
        <v>0</v>
      </c>
      <c r="CW224" s="34" t="n">
        <f aca="false">IF(CW$8=1,IF(Reales!$C$60="PYG",IF(CW$10&gt;0,N(Reales!CW60)/CW$10,0),N(Reales!CW60)),CW$199*INDEX(Precio_V,23)*INDEX(IdxPrecio_V,1,MIN(10,CW$173))*(1+V_dPrecio))</f>
        <v>0</v>
      </c>
      <c r="CX224" s="34" t="n">
        <f aca="false">IF(CX$8=1,IF(Reales!$C$60="PYG",IF(CX$10&gt;0,N(Reales!CX60)/CX$10,0),N(Reales!CX60)),CX$199*INDEX(Precio_V,23)*INDEX(IdxPrecio_V,1,MIN(10,CX$173))*(1+V_dPrecio))</f>
        <v>0</v>
      </c>
      <c r="CY224" s="34" t="n">
        <f aca="false">IF(CY$8=1,IF(Reales!$C$60="PYG",IF(CY$10&gt;0,N(Reales!CY60)/CY$10,0),N(Reales!CY60)),CY$199*INDEX(Precio_V,23)*INDEX(IdxPrecio_V,1,MIN(10,CY$173))*(1+V_dPrecio))</f>
        <v>0</v>
      </c>
      <c r="CZ224" s="34" t="n">
        <f aca="false">IF(CZ$8=1,IF(Reales!$C$60="PYG",IF(CZ$10&gt;0,N(Reales!CZ60)/CZ$10,0),N(Reales!CZ60)),CZ$199*INDEX(Precio_V,23)*INDEX(IdxPrecio_V,1,MIN(10,CZ$173))*(1+V_dPrecio))</f>
        <v>0</v>
      </c>
      <c r="DA224" s="34" t="n">
        <f aca="false">IF(DA$8=1,IF(Reales!$C$60="PYG",IF(DA$10&gt;0,N(Reales!DA60)/DA$10,0),N(Reales!DA60)),DA$199*INDEX(Precio_V,23)*INDEX(IdxPrecio_V,1,MIN(10,DA$173))*(1+V_dPrecio))</f>
        <v>0</v>
      </c>
      <c r="DB224" s="34" t="n">
        <f aca="false">IF(DB$8=1,IF(Reales!$C$60="PYG",IF(DB$10&gt;0,N(Reales!DB60)/DB$10,0),N(Reales!DB60)),DB$199*INDEX(Precio_V,23)*INDEX(IdxPrecio_V,1,MIN(10,DB$173))*(1+V_dPrecio))</f>
        <v>0</v>
      </c>
      <c r="DC224" s="34" t="n">
        <f aca="false">IF(DC$8=1,IF(Reales!$C$60="PYG",IF(DC$10&gt;0,N(Reales!DC60)/DC$10,0),N(Reales!DC60)),DC$199*INDEX(Precio_V,23)*INDEX(IdxPrecio_V,1,MIN(10,DC$173))*(1+V_dPrecio))</f>
        <v>0</v>
      </c>
      <c r="DD224" s="34" t="n">
        <f aca="false">IF(DD$8=1,IF(Reales!$C$60="PYG",IF(DD$10&gt;0,N(Reales!DD60)/DD$10,0),N(Reales!DD60)),DD$199*INDEX(Precio_V,23)*INDEX(IdxPrecio_V,1,MIN(10,DD$173))*(1+V_dPrecio))</f>
        <v>0</v>
      </c>
      <c r="DE224" s="34" t="n">
        <f aca="false">IF(DE$8=1,IF(Reales!$C$60="PYG",IF(DE$10&gt;0,N(Reales!DE60)/DE$10,0),N(Reales!DE60)),DE$199*INDEX(Precio_V,23)*INDEX(IdxPrecio_V,1,MIN(10,DE$173))*(1+V_dPrecio))</f>
        <v>0</v>
      </c>
      <c r="DF224" s="34" t="n">
        <f aca="false">IF(DF$8=1,IF(Reales!$C$60="PYG",IF(DF$10&gt;0,N(Reales!DF60)/DF$10,0),N(Reales!DF60)),DF$199*INDEX(Precio_V,23)*INDEX(IdxPrecio_V,1,MIN(10,DF$173))*(1+V_dPrecio))</f>
        <v>0</v>
      </c>
      <c r="DG224" s="34" t="n">
        <f aca="false">IF(DG$8=1,IF(Reales!$C$60="PYG",IF(DG$10&gt;0,N(Reales!DG60)/DG$10,0),N(Reales!DG60)),DG$199*INDEX(Precio_V,23)*INDEX(IdxPrecio_V,1,MIN(10,DG$173))*(1+V_dPrecio))</f>
        <v>0</v>
      </c>
      <c r="DH224" s="34" t="n">
        <f aca="false">IF(DH$8=1,IF(Reales!$C$60="PYG",IF(DH$10&gt;0,N(Reales!DH60)/DH$10,0),N(Reales!DH60)),DH$199*INDEX(Precio_V,23)*INDEX(IdxPrecio_V,1,MIN(10,DH$173))*(1+V_dPrecio))</f>
        <v>0</v>
      </c>
      <c r="DI224" s="34" t="n">
        <f aca="false">IF(DI$8=1,IF(Reales!$C$60="PYG",IF(DI$10&gt;0,N(Reales!DI60)/DI$10,0),N(Reales!DI60)),DI$199*INDEX(Precio_V,23)*INDEX(IdxPrecio_V,1,MIN(10,DI$173))*(1+V_dPrecio))</f>
        <v>0</v>
      </c>
      <c r="DJ224" s="34" t="n">
        <f aca="false">IF(DJ$8=1,IF(Reales!$C$60="PYG",IF(DJ$10&gt;0,N(Reales!DJ60)/DJ$10,0),N(Reales!DJ60)),DJ$199*INDEX(Precio_V,23)*INDEX(IdxPrecio_V,1,MIN(10,DJ$173))*(1+V_dPrecio))</f>
        <v>0</v>
      </c>
      <c r="DK224" s="34" t="n">
        <f aca="false">IF(DK$8=1,IF(Reales!$C$60="PYG",IF(DK$10&gt;0,N(Reales!DK60)/DK$10,0),N(Reales!DK60)),DK$199*INDEX(Precio_V,23)*INDEX(IdxPrecio_V,1,MIN(10,DK$173))*(1+V_dPrecio))</f>
        <v>0</v>
      </c>
      <c r="DL224" s="34" t="n">
        <f aca="false">IF(DL$8=1,IF(Reales!$C$60="PYG",IF(DL$10&gt;0,N(Reales!DL60)/DL$10,0),N(Reales!DL60)),DL$199*INDEX(Precio_V,23)*INDEX(IdxPrecio_V,1,MIN(10,DL$173))*(1+V_dPrecio))</f>
        <v>0</v>
      </c>
      <c r="DM224" s="34" t="n">
        <f aca="false">IF(DM$8=1,IF(Reales!$C$60="PYG",IF(DM$10&gt;0,N(Reales!DM60)/DM$10,0),N(Reales!DM60)),DM$199*INDEX(Precio_V,23)*INDEX(IdxPrecio_V,1,MIN(10,DM$173))*(1+V_dPrecio))</f>
        <v>0</v>
      </c>
      <c r="DN224" s="34" t="n">
        <f aca="false">IF(DN$8=1,IF(Reales!$C$60="PYG",IF(DN$10&gt;0,N(Reales!DN60)/DN$10,0),N(Reales!DN60)),DN$199*INDEX(Precio_V,23)*INDEX(IdxPrecio_V,1,MIN(10,DN$173))*(1+V_dPrecio))</f>
        <v>0</v>
      </c>
      <c r="DO224" s="34" t="n">
        <f aca="false">IF(DO$8=1,IF(Reales!$C$60="PYG",IF(DO$10&gt;0,N(Reales!DO60)/DO$10,0),N(Reales!DO60)),DO$199*INDEX(Precio_V,23)*INDEX(IdxPrecio_V,1,MIN(10,DO$173))*(1+V_dPrecio))</f>
        <v>0</v>
      </c>
      <c r="DP224" s="34" t="n">
        <f aca="false">IF(DP$8=1,IF(Reales!$C$60="PYG",IF(DP$10&gt;0,N(Reales!DP60)/DP$10,0),N(Reales!DP60)),DP$199*INDEX(Precio_V,23)*INDEX(IdxPrecio_V,1,MIN(10,DP$173))*(1+V_dPrecio))</f>
        <v>0</v>
      </c>
      <c r="DQ224" s="34" t="n">
        <f aca="false">IF(DQ$8=1,IF(Reales!$C$60="PYG",IF(DQ$10&gt;0,N(Reales!DQ60)/DQ$10,0),N(Reales!DQ60)),DQ$199*INDEX(Precio_V,23)*INDEX(IdxPrecio_V,1,MIN(10,DQ$173))*(1+V_dPrecio))</f>
        <v>0</v>
      </c>
      <c r="DR224" s="34" t="n">
        <f aca="false">IF(DR$8=1,IF(Reales!$C$60="PYG",IF(DR$10&gt;0,N(Reales!DR60)/DR$10,0),N(Reales!DR60)),DR$199*INDEX(Precio_V,23)*INDEX(IdxPrecio_V,1,MIN(10,DR$173))*(1+V_dPrecio))</f>
        <v>0</v>
      </c>
      <c r="DS224" s="34" t="n">
        <f aca="false">IF(DS$8=1,IF(Reales!$C$60="PYG",IF(DS$10&gt;0,N(Reales!DS60)/DS$10,0),N(Reales!DS60)),DS$199*INDEX(Precio_V,23)*INDEX(IdxPrecio_V,1,MIN(10,DS$173))*(1+V_dPrecio))</f>
        <v>0</v>
      </c>
      <c r="DT224" s="34" t="n">
        <f aca="false">IF(DT$8=1,IF(Reales!$C$60="PYG",IF(DT$10&gt;0,N(Reales!DT60)/DT$10,0),N(Reales!DT60)),DT$199*INDEX(Precio_V,23)*INDEX(IdxPrecio_V,1,MIN(10,DT$173))*(1+V_dPrecio))</f>
        <v>0</v>
      </c>
      <c r="DU224" s="34" t="n">
        <f aca="false">IF(DU$8=1,IF(Reales!$C$60="PYG",IF(DU$10&gt;0,N(Reales!DU60)/DU$10,0),N(Reales!DU60)),DU$199*INDEX(Precio_V,23)*INDEX(IdxPrecio_V,1,MIN(10,DU$173))*(1+V_dPrecio))</f>
        <v>0</v>
      </c>
      <c r="DV224" s="34" t="n">
        <f aca="false">IF(DV$8=1,IF(Reales!$C$60="PYG",IF(DV$10&gt;0,N(Reales!DV60)/DV$10,0),N(Reales!DV60)),DV$199*INDEX(Precio_V,23)*INDEX(IdxPrecio_V,1,MIN(10,DV$173))*(1+V_dPrecio))</f>
        <v>0</v>
      </c>
      <c r="DW224" s="34" t="n">
        <f aca="false">IF(DW$8=1,IF(Reales!$C$60="PYG",IF(DW$10&gt;0,N(Reales!DW60)/DW$10,0),N(Reales!DW60)),DW$199*INDEX(Precio_V,23)*INDEX(IdxPrecio_V,1,MIN(10,DW$173))*(1+V_dPrecio))</f>
        <v>0</v>
      </c>
      <c r="DX224" s="34" t="n">
        <f aca="false">IF(DX$8=1,IF(Reales!$C$60="PYG",IF(DX$10&gt;0,N(Reales!DX60)/DX$10,0),N(Reales!DX60)),DX$199*INDEX(Precio_V,23)*INDEX(IdxPrecio_V,1,MIN(10,DX$173))*(1+V_dPrecio))</f>
        <v>0</v>
      </c>
      <c r="DY224" s="34" t="n">
        <f aca="false">IF(DY$8=1,IF(Reales!$C$60="PYG",IF(DY$10&gt;0,N(Reales!DY60)/DY$10,0),N(Reales!DY60)),DY$199*INDEX(Precio_V,23)*INDEX(IdxPrecio_V,1,MIN(10,DY$173))*(1+V_dPrecio))</f>
        <v>0</v>
      </c>
      <c r="DZ224" s="34" t="n">
        <f aca="false">IF(DZ$8=1,IF(Reales!$C$60="PYG",IF(DZ$10&gt;0,N(Reales!DZ60)/DZ$10,0),N(Reales!DZ60)),DZ$199*INDEX(Precio_V,23)*INDEX(IdxPrecio_V,1,MIN(10,DZ$173))*(1+V_dPrecio))</f>
        <v>0</v>
      </c>
      <c r="EA224" s="34" t="n">
        <f aca="false">IF(EA$8=1,IF(Reales!$C$60="PYG",IF(EA$10&gt;0,N(Reales!EA60)/EA$10,0),N(Reales!EA60)),EA$199*INDEX(Precio_V,23)*INDEX(IdxPrecio_V,1,MIN(10,EA$173))*(1+V_dPrecio))</f>
        <v>0</v>
      </c>
      <c r="EB224" s="34" t="n">
        <f aca="false">IF(EB$8=1,IF(Reales!$C$60="PYG",IF(EB$10&gt;0,N(Reales!EB60)/EB$10,0),N(Reales!EB60)),EB$199*INDEX(Precio_V,23)*INDEX(IdxPrecio_V,1,MIN(10,EB$173))*(1+V_dPrecio))</f>
        <v>0</v>
      </c>
      <c r="EC224" s="34" t="n">
        <f aca="false">IF(EC$8=1,IF(Reales!$C$60="PYG",IF(EC$10&gt;0,N(Reales!EC60)/EC$10,0),N(Reales!EC60)),EC$199*INDEX(Precio_V,23)*INDEX(IdxPrecio_V,1,MIN(10,EC$173))*(1+V_dPrecio))</f>
        <v>0</v>
      </c>
      <c r="ED224" s="34" t="n">
        <f aca="false">IF(ED$8=1,IF(Reales!$C$60="PYG",IF(ED$10&gt;0,N(Reales!ED60)/ED$10,0),N(Reales!ED60)),ED$199*INDEX(Precio_V,23)*INDEX(IdxPrecio_V,1,MIN(10,ED$173))*(1+V_dPrecio))</f>
        <v>0</v>
      </c>
      <c r="EE224" s="34" t="n">
        <f aca="false">IF(EE$8=1,IF(Reales!$C$60="PYG",IF(EE$10&gt;0,N(Reales!EE60)/EE$10,0),N(Reales!EE60)),EE$199*INDEX(Precio_V,23)*INDEX(IdxPrecio_V,1,MIN(10,EE$173))*(1+V_dPrecio))</f>
        <v>0</v>
      </c>
      <c r="EF224" s="34" t="n">
        <f aca="false">IF(EF$8=1,IF(Reales!$C$60="PYG",IF(EF$10&gt;0,N(Reales!EF60)/EF$10,0),N(Reales!EF60)),EF$199*INDEX(Precio_V,23)*INDEX(IdxPrecio_V,1,MIN(10,EF$173))*(1+V_dPrecio))</f>
        <v>0</v>
      </c>
      <c r="EG224" s="34" t="n">
        <f aca="false">IF(EG$8=1,IF(Reales!$C$60="PYG",IF(EG$10&gt;0,N(Reales!EG60)/EG$10,0),N(Reales!EG60)),EG$199*INDEX(Precio_V,23)*INDEX(IdxPrecio_V,1,MIN(10,EG$173))*(1+V_dPrecio))</f>
        <v>0</v>
      </c>
      <c r="EH224" s="34" t="n">
        <f aca="false">IF(EH$8=1,IF(Reales!$C$60="PYG",IF(EH$10&gt;0,N(Reales!EH60)/EH$10,0),N(Reales!EH60)),EH$199*INDEX(Precio_V,23)*INDEX(IdxPrecio_V,1,MIN(10,EH$173))*(1+V_dPrecio))</f>
        <v>0</v>
      </c>
      <c r="EI224" s="34" t="n">
        <f aca="false">IF(EI$8=1,IF(Reales!$C$60="PYG",IF(EI$10&gt;0,N(Reales!EI60)/EI$10,0),N(Reales!EI60)),EI$199*INDEX(Precio_V,23)*INDEX(IdxPrecio_V,1,MIN(10,EI$173))*(1+V_dPrecio))</f>
        <v>0</v>
      </c>
      <c r="EJ224" s="34" t="n">
        <f aca="false">IF(EJ$8=1,IF(Reales!$C$60="PYG",IF(EJ$10&gt;0,N(Reales!EJ60)/EJ$10,0),N(Reales!EJ60)),EJ$199*INDEX(Precio_V,23)*INDEX(IdxPrecio_V,1,MIN(10,EJ$173))*(1+V_dPrecio))</f>
        <v>0</v>
      </c>
      <c r="EK224" s="34" t="n">
        <f aca="false">IF(EK$8=1,IF(Reales!$C$60="PYG",IF(EK$10&gt;0,N(Reales!EK60)/EK$10,0),N(Reales!EK60)),EK$199*INDEX(Precio_V,23)*INDEX(IdxPrecio_V,1,MIN(10,EK$173))*(1+V_dPrecio))</f>
        <v>0</v>
      </c>
      <c r="EL224" s="34" t="n">
        <f aca="false">IF(EL$8=1,IF(Reales!$C$60="PYG",IF(EL$10&gt;0,N(Reales!EL60)/EL$10,0),N(Reales!EL60)),EL$199*INDEX(Precio_V,23)*INDEX(IdxPrecio_V,1,MIN(10,EL$173))*(1+V_dPrecio))</f>
        <v>0</v>
      </c>
      <c r="EM224" s="34" t="n">
        <f aca="false">IF(EM$8=1,IF(Reales!$C$60="PYG",IF(EM$10&gt;0,N(Reales!EM60)/EM$10,0),N(Reales!EM60)),EM$199*INDEX(Precio_V,23)*INDEX(IdxPrecio_V,1,MIN(10,EM$173))*(1+V_dPrecio))</f>
        <v>0</v>
      </c>
      <c r="EN224" s="34" t="n">
        <f aca="false">IF(EN$8=1,IF(Reales!$C$60="PYG",IF(EN$10&gt;0,N(Reales!EN60)/EN$10,0),N(Reales!EN60)),EN$199*INDEX(Precio_V,23)*INDEX(IdxPrecio_V,1,MIN(10,EN$173))*(1+V_dPrecio))</f>
        <v>0</v>
      </c>
      <c r="EO224" s="34" t="n">
        <f aca="false">IF(EO$8=1,IF(Reales!$C$60="PYG",IF(EO$10&gt;0,N(Reales!EO60)/EO$10,0),N(Reales!EO60)),EO$199*INDEX(Precio_V,23)*INDEX(IdxPrecio_V,1,MIN(10,EO$173))*(1+V_dPrecio))</f>
        <v>0</v>
      </c>
      <c r="EP224" s="34" t="n">
        <f aca="false">IF(EP$8=1,IF(Reales!$C$60="PYG",IF(EP$10&gt;0,N(Reales!EP60)/EP$10,0),N(Reales!EP60)),EP$199*INDEX(Precio_V,23)*INDEX(IdxPrecio_V,1,MIN(10,EP$173))*(1+V_dPrecio))</f>
        <v>0</v>
      </c>
      <c r="EQ224" s="34" t="n">
        <f aca="false">IF(EQ$8=1,IF(Reales!$C$60="PYG",IF(EQ$10&gt;0,N(Reales!EQ60)/EQ$10,0),N(Reales!EQ60)),EQ$199*INDEX(Precio_V,23)*INDEX(IdxPrecio_V,1,MIN(10,EQ$173))*(1+V_dPrecio))</f>
        <v>0</v>
      </c>
      <c r="ER224" s="34" t="n">
        <f aca="false">IF(ER$8=1,IF(Reales!$C$60="PYG",IF(ER$10&gt;0,N(Reales!ER60)/ER$10,0),N(Reales!ER60)),ER$199*INDEX(Precio_V,23)*INDEX(IdxPrecio_V,1,MIN(10,ER$173))*(1+V_dPrecio))</f>
        <v>0</v>
      </c>
      <c r="ES224" s="34" t="n">
        <f aca="false">IF(ES$8=1,IF(Reales!$C$60="PYG",IF(ES$10&gt;0,N(Reales!ES60)/ES$10,0),N(Reales!ES60)),ES$199*INDEX(Precio_V,23)*INDEX(IdxPrecio_V,1,MIN(10,ES$173))*(1+V_dPrecio))</f>
        <v>0</v>
      </c>
    </row>
    <row r="225" customFormat="false" ht="15" hidden="false" customHeight="false" outlineLevel="0" collapsed="false">
      <c r="A225" s="2" t="s">
        <v>867</v>
      </c>
      <c r="B225" s="39" t="str">
        <f aca="false">IF(INDEX(Prod_Nombre,24)="","Producto 24",INDEX(Prod_Nombre,24))&amp;" — ventas USD"</f>
        <v>Producto 24 — ventas USD</v>
      </c>
      <c r="C225" s="6" t="s">
        <v>250</v>
      </c>
      <c r="E225" s="40" t="n">
        <f aca="false">SUM(F225:ES225)</f>
        <v>0</v>
      </c>
      <c r="F225" s="34" t="n">
        <f aca="false">IF(F$8=1,IF(Reales!$C$61="PYG",IF(F$10&gt;0,N(Reales!F61)/F$10,0),N(Reales!F61)),F$200*INDEX(Precio_V,24)*INDEX(IdxPrecio_V,1,MIN(10,F$173))*(1+V_dPrecio))</f>
        <v>0</v>
      </c>
      <c r="G225" s="34" t="n">
        <f aca="false">IF(G$8=1,IF(Reales!$C$61="PYG",IF(G$10&gt;0,N(Reales!G61)/G$10,0),N(Reales!G61)),G$200*INDEX(Precio_V,24)*INDEX(IdxPrecio_V,1,MIN(10,G$173))*(1+V_dPrecio))</f>
        <v>0</v>
      </c>
      <c r="H225" s="34" t="n">
        <f aca="false">IF(H$8=1,IF(Reales!$C$61="PYG",IF(H$10&gt;0,N(Reales!H61)/H$10,0),N(Reales!H61)),H$200*INDEX(Precio_V,24)*INDEX(IdxPrecio_V,1,MIN(10,H$173))*(1+V_dPrecio))</f>
        <v>0</v>
      </c>
      <c r="I225" s="34" t="n">
        <f aca="false">IF(I$8=1,IF(Reales!$C$61="PYG",IF(I$10&gt;0,N(Reales!I61)/I$10,0),N(Reales!I61)),I$200*INDEX(Precio_V,24)*INDEX(IdxPrecio_V,1,MIN(10,I$173))*(1+V_dPrecio))</f>
        <v>0</v>
      </c>
      <c r="J225" s="34" t="n">
        <f aca="false">IF(J$8=1,IF(Reales!$C$61="PYG",IF(J$10&gt;0,N(Reales!J61)/J$10,0),N(Reales!J61)),J$200*INDEX(Precio_V,24)*INDEX(IdxPrecio_V,1,MIN(10,J$173))*(1+V_dPrecio))</f>
        <v>0</v>
      </c>
      <c r="K225" s="34" t="n">
        <f aca="false">IF(K$8=1,IF(Reales!$C$61="PYG",IF(K$10&gt;0,N(Reales!K61)/K$10,0),N(Reales!K61)),K$200*INDEX(Precio_V,24)*INDEX(IdxPrecio_V,1,MIN(10,K$173))*(1+V_dPrecio))</f>
        <v>0</v>
      </c>
      <c r="L225" s="34" t="n">
        <f aca="false">IF(L$8=1,IF(Reales!$C$61="PYG",IF(L$10&gt;0,N(Reales!L61)/L$10,0),N(Reales!L61)),L$200*INDEX(Precio_V,24)*INDEX(IdxPrecio_V,1,MIN(10,L$173))*(1+V_dPrecio))</f>
        <v>0</v>
      </c>
      <c r="M225" s="34" t="n">
        <f aca="false">IF(M$8=1,IF(Reales!$C$61="PYG",IF(M$10&gt;0,N(Reales!M61)/M$10,0),N(Reales!M61)),M$200*INDEX(Precio_V,24)*INDEX(IdxPrecio_V,1,MIN(10,M$173))*(1+V_dPrecio))</f>
        <v>0</v>
      </c>
      <c r="N225" s="34" t="n">
        <f aca="false">IF(N$8=1,IF(Reales!$C$61="PYG",IF(N$10&gt;0,N(Reales!N61)/N$10,0),N(Reales!N61)),N$200*INDEX(Precio_V,24)*INDEX(IdxPrecio_V,1,MIN(10,N$173))*(1+V_dPrecio))</f>
        <v>0</v>
      </c>
      <c r="O225" s="34" t="n">
        <f aca="false">IF(O$8=1,IF(Reales!$C$61="PYG",IF(O$10&gt;0,N(Reales!O61)/O$10,0),N(Reales!O61)),O$200*INDEX(Precio_V,24)*INDEX(IdxPrecio_V,1,MIN(10,O$173))*(1+V_dPrecio))</f>
        <v>0</v>
      </c>
      <c r="P225" s="34" t="n">
        <f aca="false">IF(P$8=1,IF(Reales!$C$61="PYG",IF(P$10&gt;0,N(Reales!P61)/P$10,0),N(Reales!P61)),P$200*INDEX(Precio_V,24)*INDEX(IdxPrecio_V,1,MIN(10,P$173))*(1+V_dPrecio))</f>
        <v>0</v>
      </c>
      <c r="Q225" s="34" t="n">
        <f aca="false">IF(Q$8=1,IF(Reales!$C$61="PYG",IF(Q$10&gt;0,N(Reales!Q61)/Q$10,0),N(Reales!Q61)),Q$200*INDEX(Precio_V,24)*INDEX(IdxPrecio_V,1,MIN(10,Q$173))*(1+V_dPrecio))</f>
        <v>0</v>
      </c>
      <c r="R225" s="34" t="n">
        <f aca="false">IF(R$8=1,IF(Reales!$C$61="PYG",IF(R$10&gt;0,N(Reales!R61)/R$10,0),N(Reales!R61)),R$200*INDEX(Precio_V,24)*INDEX(IdxPrecio_V,1,MIN(10,R$173))*(1+V_dPrecio))</f>
        <v>0</v>
      </c>
      <c r="S225" s="34" t="n">
        <f aca="false">IF(S$8=1,IF(Reales!$C$61="PYG",IF(S$10&gt;0,N(Reales!S61)/S$10,0),N(Reales!S61)),S$200*INDEX(Precio_V,24)*INDEX(IdxPrecio_V,1,MIN(10,S$173))*(1+V_dPrecio))</f>
        <v>0</v>
      </c>
      <c r="T225" s="34" t="n">
        <f aca="false">IF(T$8=1,IF(Reales!$C$61="PYG",IF(T$10&gt;0,N(Reales!T61)/T$10,0),N(Reales!T61)),T$200*INDEX(Precio_V,24)*INDEX(IdxPrecio_V,1,MIN(10,T$173))*(1+V_dPrecio))</f>
        <v>0</v>
      </c>
      <c r="U225" s="34" t="n">
        <f aca="false">IF(U$8=1,IF(Reales!$C$61="PYG",IF(U$10&gt;0,N(Reales!U61)/U$10,0),N(Reales!U61)),U$200*INDEX(Precio_V,24)*INDEX(IdxPrecio_V,1,MIN(10,U$173))*(1+V_dPrecio))</f>
        <v>0</v>
      </c>
      <c r="V225" s="34" t="n">
        <f aca="false">IF(V$8=1,IF(Reales!$C$61="PYG",IF(V$10&gt;0,N(Reales!V61)/V$10,0),N(Reales!V61)),V$200*INDEX(Precio_V,24)*INDEX(IdxPrecio_V,1,MIN(10,V$173))*(1+V_dPrecio))</f>
        <v>0</v>
      </c>
      <c r="W225" s="34" t="n">
        <f aca="false">IF(W$8=1,IF(Reales!$C$61="PYG",IF(W$10&gt;0,N(Reales!W61)/W$10,0),N(Reales!W61)),W$200*INDEX(Precio_V,24)*INDEX(IdxPrecio_V,1,MIN(10,W$173))*(1+V_dPrecio))</f>
        <v>0</v>
      </c>
      <c r="X225" s="34" t="n">
        <f aca="false">IF(X$8=1,IF(Reales!$C$61="PYG",IF(X$10&gt;0,N(Reales!X61)/X$10,0),N(Reales!X61)),X$200*INDEX(Precio_V,24)*INDEX(IdxPrecio_V,1,MIN(10,X$173))*(1+V_dPrecio))</f>
        <v>0</v>
      </c>
      <c r="Y225" s="34" t="n">
        <f aca="false">IF(Y$8=1,IF(Reales!$C$61="PYG",IF(Y$10&gt;0,N(Reales!Y61)/Y$10,0),N(Reales!Y61)),Y$200*INDEX(Precio_V,24)*INDEX(IdxPrecio_V,1,MIN(10,Y$173))*(1+V_dPrecio))</f>
        <v>0</v>
      </c>
      <c r="Z225" s="34" t="n">
        <f aca="false">IF(Z$8=1,IF(Reales!$C$61="PYG",IF(Z$10&gt;0,N(Reales!Z61)/Z$10,0),N(Reales!Z61)),Z$200*INDEX(Precio_V,24)*INDEX(IdxPrecio_V,1,MIN(10,Z$173))*(1+V_dPrecio))</f>
        <v>0</v>
      </c>
      <c r="AA225" s="34" t="n">
        <f aca="false">IF(AA$8=1,IF(Reales!$C$61="PYG",IF(AA$10&gt;0,N(Reales!AA61)/AA$10,0),N(Reales!AA61)),AA$200*INDEX(Precio_V,24)*INDEX(IdxPrecio_V,1,MIN(10,AA$173))*(1+V_dPrecio))</f>
        <v>0</v>
      </c>
      <c r="AB225" s="34" t="n">
        <f aca="false">IF(AB$8=1,IF(Reales!$C$61="PYG",IF(AB$10&gt;0,N(Reales!AB61)/AB$10,0),N(Reales!AB61)),AB$200*INDEX(Precio_V,24)*INDEX(IdxPrecio_V,1,MIN(10,AB$173))*(1+V_dPrecio))</f>
        <v>0</v>
      </c>
      <c r="AC225" s="34" t="n">
        <f aca="false">IF(AC$8=1,IF(Reales!$C$61="PYG",IF(AC$10&gt;0,N(Reales!AC61)/AC$10,0),N(Reales!AC61)),AC$200*INDEX(Precio_V,24)*INDEX(IdxPrecio_V,1,MIN(10,AC$173))*(1+V_dPrecio))</f>
        <v>0</v>
      </c>
      <c r="AD225" s="34" t="n">
        <f aca="false">IF(AD$8=1,IF(Reales!$C$61="PYG",IF(AD$10&gt;0,N(Reales!AD61)/AD$10,0),N(Reales!AD61)),AD$200*INDEX(Precio_V,24)*INDEX(IdxPrecio_V,1,MIN(10,AD$173))*(1+V_dPrecio))</f>
        <v>0</v>
      </c>
      <c r="AE225" s="34" t="n">
        <f aca="false">IF(AE$8=1,IF(Reales!$C$61="PYG",IF(AE$10&gt;0,N(Reales!AE61)/AE$10,0),N(Reales!AE61)),AE$200*INDEX(Precio_V,24)*INDEX(IdxPrecio_V,1,MIN(10,AE$173))*(1+V_dPrecio))</f>
        <v>0</v>
      </c>
      <c r="AF225" s="34" t="n">
        <f aca="false">IF(AF$8=1,IF(Reales!$C$61="PYG",IF(AF$10&gt;0,N(Reales!AF61)/AF$10,0),N(Reales!AF61)),AF$200*INDEX(Precio_V,24)*INDEX(IdxPrecio_V,1,MIN(10,AF$173))*(1+V_dPrecio))</f>
        <v>0</v>
      </c>
      <c r="AG225" s="34" t="n">
        <f aca="false">IF(AG$8=1,IF(Reales!$C$61="PYG",IF(AG$10&gt;0,N(Reales!AG61)/AG$10,0),N(Reales!AG61)),AG$200*INDEX(Precio_V,24)*INDEX(IdxPrecio_V,1,MIN(10,AG$173))*(1+V_dPrecio))</f>
        <v>0</v>
      </c>
      <c r="AH225" s="34" t="n">
        <f aca="false">IF(AH$8=1,IF(Reales!$C$61="PYG",IF(AH$10&gt;0,N(Reales!AH61)/AH$10,0),N(Reales!AH61)),AH$200*INDEX(Precio_V,24)*INDEX(IdxPrecio_V,1,MIN(10,AH$173))*(1+V_dPrecio))</f>
        <v>0</v>
      </c>
      <c r="AI225" s="34" t="n">
        <f aca="false">IF(AI$8=1,IF(Reales!$C$61="PYG",IF(AI$10&gt;0,N(Reales!AI61)/AI$10,0),N(Reales!AI61)),AI$200*INDEX(Precio_V,24)*INDEX(IdxPrecio_V,1,MIN(10,AI$173))*(1+V_dPrecio))</f>
        <v>0</v>
      </c>
      <c r="AJ225" s="34" t="n">
        <f aca="false">IF(AJ$8=1,IF(Reales!$C$61="PYG",IF(AJ$10&gt;0,N(Reales!AJ61)/AJ$10,0),N(Reales!AJ61)),AJ$200*INDEX(Precio_V,24)*INDEX(IdxPrecio_V,1,MIN(10,AJ$173))*(1+V_dPrecio))</f>
        <v>0</v>
      </c>
      <c r="AK225" s="34" t="n">
        <f aca="false">IF(AK$8=1,IF(Reales!$C$61="PYG",IF(AK$10&gt;0,N(Reales!AK61)/AK$10,0),N(Reales!AK61)),AK$200*INDEX(Precio_V,24)*INDEX(IdxPrecio_V,1,MIN(10,AK$173))*(1+V_dPrecio))</f>
        <v>0</v>
      </c>
      <c r="AL225" s="34" t="n">
        <f aca="false">IF(AL$8=1,IF(Reales!$C$61="PYG",IF(AL$10&gt;0,N(Reales!AL61)/AL$10,0),N(Reales!AL61)),AL$200*INDEX(Precio_V,24)*INDEX(IdxPrecio_V,1,MIN(10,AL$173))*(1+V_dPrecio))</f>
        <v>0</v>
      </c>
      <c r="AM225" s="34" t="n">
        <f aca="false">IF(AM$8=1,IF(Reales!$C$61="PYG",IF(AM$10&gt;0,N(Reales!AM61)/AM$10,0),N(Reales!AM61)),AM$200*INDEX(Precio_V,24)*INDEX(IdxPrecio_V,1,MIN(10,AM$173))*(1+V_dPrecio))</f>
        <v>0</v>
      </c>
      <c r="AN225" s="34" t="n">
        <f aca="false">IF(AN$8=1,IF(Reales!$C$61="PYG",IF(AN$10&gt;0,N(Reales!AN61)/AN$10,0),N(Reales!AN61)),AN$200*INDEX(Precio_V,24)*INDEX(IdxPrecio_V,1,MIN(10,AN$173))*(1+V_dPrecio))</f>
        <v>0</v>
      </c>
      <c r="AO225" s="34" t="n">
        <f aca="false">IF(AO$8=1,IF(Reales!$C$61="PYG",IF(AO$10&gt;0,N(Reales!AO61)/AO$10,0),N(Reales!AO61)),AO$200*INDEX(Precio_V,24)*INDEX(IdxPrecio_V,1,MIN(10,AO$173))*(1+V_dPrecio))</f>
        <v>0</v>
      </c>
      <c r="AP225" s="34" t="n">
        <f aca="false">IF(AP$8=1,IF(Reales!$C$61="PYG",IF(AP$10&gt;0,N(Reales!AP61)/AP$10,0),N(Reales!AP61)),AP$200*INDEX(Precio_V,24)*INDEX(IdxPrecio_V,1,MIN(10,AP$173))*(1+V_dPrecio))</f>
        <v>0</v>
      </c>
      <c r="AQ225" s="34" t="n">
        <f aca="false">IF(AQ$8=1,IF(Reales!$C$61="PYG",IF(AQ$10&gt;0,N(Reales!AQ61)/AQ$10,0),N(Reales!AQ61)),AQ$200*INDEX(Precio_V,24)*INDEX(IdxPrecio_V,1,MIN(10,AQ$173))*(1+V_dPrecio))</f>
        <v>0</v>
      </c>
      <c r="AR225" s="34" t="n">
        <f aca="false">IF(AR$8=1,IF(Reales!$C$61="PYG",IF(AR$10&gt;0,N(Reales!AR61)/AR$10,0),N(Reales!AR61)),AR$200*INDEX(Precio_V,24)*INDEX(IdxPrecio_V,1,MIN(10,AR$173))*(1+V_dPrecio))</f>
        <v>0</v>
      </c>
      <c r="AS225" s="34" t="n">
        <f aca="false">IF(AS$8=1,IF(Reales!$C$61="PYG",IF(AS$10&gt;0,N(Reales!AS61)/AS$10,0),N(Reales!AS61)),AS$200*INDEX(Precio_V,24)*INDEX(IdxPrecio_V,1,MIN(10,AS$173))*(1+V_dPrecio))</f>
        <v>0</v>
      </c>
      <c r="AT225" s="34" t="n">
        <f aca="false">IF(AT$8=1,IF(Reales!$C$61="PYG",IF(AT$10&gt;0,N(Reales!AT61)/AT$10,0),N(Reales!AT61)),AT$200*INDEX(Precio_V,24)*INDEX(IdxPrecio_V,1,MIN(10,AT$173))*(1+V_dPrecio))</f>
        <v>0</v>
      </c>
      <c r="AU225" s="34" t="n">
        <f aca="false">IF(AU$8=1,IF(Reales!$C$61="PYG",IF(AU$10&gt;0,N(Reales!AU61)/AU$10,0),N(Reales!AU61)),AU$200*INDEX(Precio_V,24)*INDEX(IdxPrecio_V,1,MIN(10,AU$173))*(1+V_dPrecio))</f>
        <v>0</v>
      </c>
      <c r="AV225" s="34" t="n">
        <f aca="false">IF(AV$8=1,IF(Reales!$C$61="PYG",IF(AV$10&gt;0,N(Reales!AV61)/AV$10,0),N(Reales!AV61)),AV$200*INDEX(Precio_V,24)*INDEX(IdxPrecio_V,1,MIN(10,AV$173))*(1+V_dPrecio))</f>
        <v>0</v>
      </c>
      <c r="AW225" s="34" t="n">
        <f aca="false">IF(AW$8=1,IF(Reales!$C$61="PYG",IF(AW$10&gt;0,N(Reales!AW61)/AW$10,0),N(Reales!AW61)),AW$200*INDEX(Precio_V,24)*INDEX(IdxPrecio_V,1,MIN(10,AW$173))*(1+V_dPrecio))</f>
        <v>0</v>
      </c>
      <c r="AX225" s="34" t="n">
        <f aca="false">IF(AX$8=1,IF(Reales!$C$61="PYG",IF(AX$10&gt;0,N(Reales!AX61)/AX$10,0),N(Reales!AX61)),AX$200*INDEX(Precio_V,24)*INDEX(IdxPrecio_V,1,MIN(10,AX$173))*(1+V_dPrecio))</f>
        <v>0</v>
      </c>
      <c r="AY225" s="34" t="n">
        <f aca="false">IF(AY$8=1,IF(Reales!$C$61="PYG",IF(AY$10&gt;0,N(Reales!AY61)/AY$10,0),N(Reales!AY61)),AY$200*INDEX(Precio_V,24)*INDEX(IdxPrecio_V,1,MIN(10,AY$173))*(1+V_dPrecio))</f>
        <v>0</v>
      </c>
      <c r="AZ225" s="34" t="n">
        <f aca="false">IF(AZ$8=1,IF(Reales!$C$61="PYG",IF(AZ$10&gt;0,N(Reales!AZ61)/AZ$10,0),N(Reales!AZ61)),AZ$200*INDEX(Precio_V,24)*INDEX(IdxPrecio_V,1,MIN(10,AZ$173))*(1+V_dPrecio))</f>
        <v>0</v>
      </c>
      <c r="BA225" s="34" t="n">
        <f aca="false">IF(BA$8=1,IF(Reales!$C$61="PYG",IF(BA$10&gt;0,N(Reales!BA61)/BA$10,0),N(Reales!BA61)),BA$200*INDEX(Precio_V,24)*INDEX(IdxPrecio_V,1,MIN(10,BA$173))*(1+V_dPrecio))</f>
        <v>0</v>
      </c>
      <c r="BB225" s="34" t="n">
        <f aca="false">IF(BB$8=1,IF(Reales!$C$61="PYG",IF(BB$10&gt;0,N(Reales!BB61)/BB$10,0),N(Reales!BB61)),BB$200*INDEX(Precio_V,24)*INDEX(IdxPrecio_V,1,MIN(10,BB$173))*(1+V_dPrecio))</f>
        <v>0</v>
      </c>
      <c r="BC225" s="34" t="n">
        <f aca="false">IF(BC$8=1,IF(Reales!$C$61="PYG",IF(BC$10&gt;0,N(Reales!BC61)/BC$10,0),N(Reales!BC61)),BC$200*INDEX(Precio_V,24)*INDEX(IdxPrecio_V,1,MIN(10,BC$173))*(1+V_dPrecio))</f>
        <v>0</v>
      </c>
      <c r="BD225" s="34" t="n">
        <f aca="false">IF(BD$8=1,IF(Reales!$C$61="PYG",IF(BD$10&gt;0,N(Reales!BD61)/BD$10,0),N(Reales!BD61)),BD$200*INDEX(Precio_V,24)*INDEX(IdxPrecio_V,1,MIN(10,BD$173))*(1+V_dPrecio))</f>
        <v>0</v>
      </c>
      <c r="BE225" s="34" t="n">
        <f aca="false">IF(BE$8=1,IF(Reales!$C$61="PYG",IF(BE$10&gt;0,N(Reales!BE61)/BE$10,0),N(Reales!BE61)),BE$200*INDEX(Precio_V,24)*INDEX(IdxPrecio_V,1,MIN(10,BE$173))*(1+V_dPrecio))</f>
        <v>0</v>
      </c>
      <c r="BF225" s="34" t="n">
        <f aca="false">IF(BF$8=1,IF(Reales!$C$61="PYG",IF(BF$10&gt;0,N(Reales!BF61)/BF$10,0),N(Reales!BF61)),BF$200*INDEX(Precio_V,24)*INDEX(IdxPrecio_V,1,MIN(10,BF$173))*(1+V_dPrecio))</f>
        <v>0</v>
      </c>
      <c r="BG225" s="34" t="n">
        <f aca="false">IF(BG$8=1,IF(Reales!$C$61="PYG",IF(BG$10&gt;0,N(Reales!BG61)/BG$10,0),N(Reales!BG61)),BG$200*INDEX(Precio_V,24)*INDEX(IdxPrecio_V,1,MIN(10,BG$173))*(1+V_dPrecio))</f>
        <v>0</v>
      </c>
      <c r="BH225" s="34" t="n">
        <f aca="false">IF(BH$8=1,IF(Reales!$C$61="PYG",IF(BH$10&gt;0,N(Reales!BH61)/BH$10,0),N(Reales!BH61)),BH$200*INDEX(Precio_V,24)*INDEX(IdxPrecio_V,1,MIN(10,BH$173))*(1+V_dPrecio))</f>
        <v>0</v>
      </c>
      <c r="BI225" s="34" t="n">
        <f aca="false">IF(BI$8=1,IF(Reales!$C$61="PYG",IF(BI$10&gt;0,N(Reales!BI61)/BI$10,0),N(Reales!BI61)),BI$200*INDEX(Precio_V,24)*INDEX(IdxPrecio_V,1,MIN(10,BI$173))*(1+V_dPrecio))</f>
        <v>0</v>
      </c>
      <c r="BJ225" s="34" t="n">
        <f aca="false">IF(BJ$8=1,IF(Reales!$C$61="PYG",IF(BJ$10&gt;0,N(Reales!BJ61)/BJ$10,0),N(Reales!BJ61)),BJ$200*INDEX(Precio_V,24)*INDEX(IdxPrecio_V,1,MIN(10,BJ$173))*(1+V_dPrecio))</f>
        <v>0</v>
      </c>
      <c r="BK225" s="34" t="n">
        <f aca="false">IF(BK$8=1,IF(Reales!$C$61="PYG",IF(BK$10&gt;0,N(Reales!BK61)/BK$10,0),N(Reales!BK61)),BK$200*INDEX(Precio_V,24)*INDEX(IdxPrecio_V,1,MIN(10,BK$173))*(1+V_dPrecio))</f>
        <v>0</v>
      </c>
      <c r="BL225" s="34" t="n">
        <f aca="false">IF(BL$8=1,IF(Reales!$C$61="PYG",IF(BL$10&gt;0,N(Reales!BL61)/BL$10,0),N(Reales!BL61)),BL$200*INDEX(Precio_V,24)*INDEX(IdxPrecio_V,1,MIN(10,BL$173))*(1+V_dPrecio))</f>
        <v>0</v>
      </c>
      <c r="BM225" s="34" t="n">
        <f aca="false">IF(BM$8=1,IF(Reales!$C$61="PYG",IF(BM$10&gt;0,N(Reales!BM61)/BM$10,0),N(Reales!BM61)),BM$200*INDEX(Precio_V,24)*INDEX(IdxPrecio_V,1,MIN(10,BM$173))*(1+V_dPrecio))</f>
        <v>0</v>
      </c>
      <c r="BN225" s="34" t="n">
        <f aca="false">IF(BN$8=1,IF(Reales!$C$61="PYG",IF(BN$10&gt;0,N(Reales!BN61)/BN$10,0),N(Reales!BN61)),BN$200*INDEX(Precio_V,24)*INDEX(IdxPrecio_V,1,MIN(10,BN$173))*(1+V_dPrecio))</f>
        <v>0</v>
      </c>
      <c r="BO225" s="34" t="n">
        <f aca="false">IF(BO$8=1,IF(Reales!$C$61="PYG",IF(BO$10&gt;0,N(Reales!BO61)/BO$10,0),N(Reales!BO61)),BO$200*INDEX(Precio_V,24)*INDEX(IdxPrecio_V,1,MIN(10,BO$173))*(1+V_dPrecio))</f>
        <v>0</v>
      </c>
      <c r="BP225" s="34" t="n">
        <f aca="false">IF(BP$8=1,IF(Reales!$C$61="PYG",IF(BP$10&gt;0,N(Reales!BP61)/BP$10,0),N(Reales!BP61)),BP$200*INDEX(Precio_V,24)*INDEX(IdxPrecio_V,1,MIN(10,BP$173))*(1+V_dPrecio))</f>
        <v>0</v>
      </c>
      <c r="BQ225" s="34" t="n">
        <f aca="false">IF(BQ$8=1,IF(Reales!$C$61="PYG",IF(BQ$10&gt;0,N(Reales!BQ61)/BQ$10,0),N(Reales!BQ61)),BQ$200*INDEX(Precio_V,24)*INDEX(IdxPrecio_V,1,MIN(10,BQ$173))*(1+V_dPrecio))</f>
        <v>0</v>
      </c>
      <c r="BR225" s="34" t="n">
        <f aca="false">IF(BR$8=1,IF(Reales!$C$61="PYG",IF(BR$10&gt;0,N(Reales!BR61)/BR$10,0),N(Reales!BR61)),BR$200*INDEX(Precio_V,24)*INDEX(IdxPrecio_V,1,MIN(10,BR$173))*(1+V_dPrecio))</f>
        <v>0</v>
      </c>
      <c r="BS225" s="34" t="n">
        <f aca="false">IF(BS$8=1,IF(Reales!$C$61="PYG",IF(BS$10&gt;0,N(Reales!BS61)/BS$10,0),N(Reales!BS61)),BS$200*INDEX(Precio_V,24)*INDEX(IdxPrecio_V,1,MIN(10,BS$173))*(1+V_dPrecio))</f>
        <v>0</v>
      </c>
      <c r="BT225" s="34" t="n">
        <f aca="false">IF(BT$8=1,IF(Reales!$C$61="PYG",IF(BT$10&gt;0,N(Reales!BT61)/BT$10,0),N(Reales!BT61)),BT$200*INDEX(Precio_V,24)*INDEX(IdxPrecio_V,1,MIN(10,BT$173))*(1+V_dPrecio))</f>
        <v>0</v>
      </c>
      <c r="BU225" s="34" t="n">
        <f aca="false">IF(BU$8=1,IF(Reales!$C$61="PYG",IF(BU$10&gt;0,N(Reales!BU61)/BU$10,0),N(Reales!BU61)),BU$200*INDEX(Precio_V,24)*INDEX(IdxPrecio_V,1,MIN(10,BU$173))*(1+V_dPrecio))</f>
        <v>0</v>
      </c>
      <c r="BV225" s="34" t="n">
        <f aca="false">IF(BV$8=1,IF(Reales!$C$61="PYG",IF(BV$10&gt;0,N(Reales!BV61)/BV$10,0),N(Reales!BV61)),BV$200*INDEX(Precio_V,24)*INDEX(IdxPrecio_V,1,MIN(10,BV$173))*(1+V_dPrecio))</f>
        <v>0</v>
      </c>
      <c r="BW225" s="34" t="n">
        <f aca="false">IF(BW$8=1,IF(Reales!$C$61="PYG",IF(BW$10&gt;0,N(Reales!BW61)/BW$10,0),N(Reales!BW61)),BW$200*INDEX(Precio_V,24)*INDEX(IdxPrecio_V,1,MIN(10,BW$173))*(1+V_dPrecio))</f>
        <v>0</v>
      </c>
      <c r="BX225" s="34" t="n">
        <f aca="false">IF(BX$8=1,IF(Reales!$C$61="PYG",IF(BX$10&gt;0,N(Reales!BX61)/BX$10,0),N(Reales!BX61)),BX$200*INDEX(Precio_V,24)*INDEX(IdxPrecio_V,1,MIN(10,BX$173))*(1+V_dPrecio))</f>
        <v>0</v>
      </c>
      <c r="BY225" s="34" t="n">
        <f aca="false">IF(BY$8=1,IF(Reales!$C$61="PYG",IF(BY$10&gt;0,N(Reales!BY61)/BY$10,0),N(Reales!BY61)),BY$200*INDEX(Precio_V,24)*INDEX(IdxPrecio_V,1,MIN(10,BY$173))*(1+V_dPrecio))</f>
        <v>0</v>
      </c>
      <c r="BZ225" s="34" t="n">
        <f aca="false">IF(BZ$8=1,IF(Reales!$C$61="PYG",IF(BZ$10&gt;0,N(Reales!BZ61)/BZ$10,0),N(Reales!BZ61)),BZ$200*INDEX(Precio_V,24)*INDEX(IdxPrecio_V,1,MIN(10,BZ$173))*(1+V_dPrecio))</f>
        <v>0</v>
      </c>
      <c r="CA225" s="34" t="n">
        <f aca="false">IF(CA$8=1,IF(Reales!$C$61="PYG",IF(CA$10&gt;0,N(Reales!CA61)/CA$10,0),N(Reales!CA61)),CA$200*INDEX(Precio_V,24)*INDEX(IdxPrecio_V,1,MIN(10,CA$173))*(1+V_dPrecio))</f>
        <v>0</v>
      </c>
      <c r="CB225" s="34" t="n">
        <f aca="false">IF(CB$8=1,IF(Reales!$C$61="PYG",IF(CB$10&gt;0,N(Reales!CB61)/CB$10,0),N(Reales!CB61)),CB$200*INDEX(Precio_V,24)*INDEX(IdxPrecio_V,1,MIN(10,CB$173))*(1+V_dPrecio))</f>
        <v>0</v>
      </c>
      <c r="CC225" s="34" t="n">
        <f aca="false">IF(CC$8=1,IF(Reales!$C$61="PYG",IF(CC$10&gt;0,N(Reales!CC61)/CC$10,0),N(Reales!CC61)),CC$200*INDEX(Precio_V,24)*INDEX(IdxPrecio_V,1,MIN(10,CC$173))*(1+V_dPrecio))</f>
        <v>0</v>
      </c>
      <c r="CD225" s="34" t="n">
        <f aca="false">IF(CD$8=1,IF(Reales!$C$61="PYG",IF(CD$10&gt;0,N(Reales!CD61)/CD$10,0),N(Reales!CD61)),CD$200*INDEX(Precio_V,24)*INDEX(IdxPrecio_V,1,MIN(10,CD$173))*(1+V_dPrecio))</f>
        <v>0</v>
      </c>
      <c r="CE225" s="34" t="n">
        <f aca="false">IF(CE$8=1,IF(Reales!$C$61="PYG",IF(CE$10&gt;0,N(Reales!CE61)/CE$10,0),N(Reales!CE61)),CE$200*INDEX(Precio_V,24)*INDEX(IdxPrecio_V,1,MIN(10,CE$173))*(1+V_dPrecio))</f>
        <v>0</v>
      </c>
      <c r="CF225" s="34" t="n">
        <f aca="false">IF(CF$8=1,IF(Reales!$C$61="PYG",IF(CF$10&gt;0,N(Reales!CF61)/CF$10,0),N(Reales!CF61)),CF$200*INDEX(Precio_V,24)*INDEX(IdxPrecio_V,1,MIN(10,CF$173))*(1+V_dPrecio))</f>
        <v>0</v>
      </c>
      <c r="CG225" s="34" t="n">
        <f aca="false">IF(CG$8=1,IF(Reales!$C$61="PYG",IF(CG$10&gt;0,N(Reales!CG61)/CG$10,0),N(Reales!CG61)),CG$200*INDEX(Precio_V,24)*INDEX(IdxPrecio_V,1,MIN(10,CG$173))*(1+V_dPrecio))</f>
        <v>0</v>
      </c>
      <c r="CH225" s="34" t="n">
        <f aca="false">IF(CH$8=1,IF(Reales!$C$61="PYG",IF(CH$10&gt;0,N(Reales!CH61)/CH$10,0),N(Reales!CH61)),CH$200*INDEX(Precio_V,24)*INDEX(IdxPrecio_V,1,MIN(10,CH$173))*(1+V_dPrecio))</f>
        <v>0</v>
      </c>
      <c r="CI225" s="34" t="n">
        <f aca="false">IF(CI$8=1,IF(Reales!$C$61="PYG",IF(CI$10&gt;0,N(Reales!CI61)/CI$10,0),N(Reales!CI61)),CI$200*INDEX(Precio_V,24)*INDEX(IdxPrecio_V,1,MIN(10,CI$173))*(1+V_dPrecio))</f>
        <v>0</v>
      </c>
      <c r="CJ225" s="34" t="n">
        <f aca="false">IF(CJ$8=1,IF(Reales!$C$61="PYG",IF(CJ$10&gt;0,N(Reales!CJ61)/CJ$10,0),N(Reales!CJ61)),CJ$200*INDEX(Precio_V,24)*INDEX(IdxPrecio_V,1,MIN(10,CJ$173))*(1+V_dPrecio))</f>
        <v>0</v>
      </c>
      <c r="CK225" s="34" t="n">
        <f aca="false">IF(CK$8=1,IF(Reales!$C$61="PYG",IF(CK$10&gt;0,N(Reales!CK61)/CK$10,0),N(Reales!CK61)),CK$200*INDEX(Precio_V,24)*INDEX(IdxPrecio_V,1,MIN(10,CK$173))*(1+V_dPrecio))</f>
        <v>0</v>
      </c>
      <c r="CL225" s="34" t="n">
        <f aca="false">IF(CL$8=1,IF(Reales!$C$61="PYG",IF(CL$10&gt;0,N(Reales!CL61)/CL$10,0),N(Reales!CL61)),CL$200*INDEX(Precio_V,24)*INDEX(IdxPrecio_V,1,MIN(10,CL$173))*(1+V_dPrecio))</f>
        <v>0</v>
      </c>
      <c r="CM225" s="34" t="n">
        <f aca="false">IF(CM$8=1,IF(Reales!$C$61="PYG",IF(CM$10&gt;0,N(Reales!CM61)/CM$10,0),N(Reales!CM61)),CM$200*INDEX(Precio_V,24)*INDEX(IdxPrecio_V,1,MIN(10,CM$173))*(1+V_dPrecio))</f>
        <v>0</v>
      </c>
      <c r="CN225" s="34" t="n">
        <f aca="false">IF(CN$8=1,IF(Reales!$C$61="PYG",IF(CN$10&gt;0,N(Reales!CN61)/CN$10,0),N(Reales!CN61)),CN$200*INDEX(Precio_V,24)*INDEX(IdxPrecio_V,1,MIN(10,CN$173))*(1+V_dPrecio))</f>
        <v>0</v>
      </c>
      <c r="CO225" s="34" t="n">
        <f aca="false">IF(CO$8=1,IF(Reales!$C$61="PYG",IF(CO$10&gt;0,N(Reales!CO61)/CO$10,0),N(Reales!CO61)),CO$200*INDEX(Precio_V,24)*INDEX(IdxPrecio_V,1,MIN(10,CO$173))*(1+V_dPrecio))</f>
        <v>0</v>
      </c>
      <c r="CP225" s="34" t="n">
        <f aca="false">IF(CP$8=1,IF(Reales!$C$61="PYG",IF(CP$10&gt;0,N(Reales!CP61)/CP$10,0),N(Reales!CP61)),CP$200*INDEX(Precio_V,24)*INDEX(IdxPrecio_V,1,MIN(10,CP$173))*(1+V_dPrecio))</f>
        <v>0</v>
      </c>
      <c r="CQ225" s="34" t="n">
        <f aca="false">IF(CQ$8=1,IF(Reales!$C$61="PYG",IF(CQ$10&gt;0,N(Reales!CQ61)/CQ$10,0),N(Reales!CQ61)),CQ$200*INDEX(Precio_V,24)*INDEX(IdxPrecio_V,1,MIN(10,CQ$173))*(1+V_dPrecio))</f>
        <v>0</v>
      </c>
      <c r="CR225" s="34" t="n">
        <f aca="false">IF(CR$8=1,IF(Reales!$C$61="PYG",IF(CR$10&gt;0,N(Reales!CR61)/CR$10,0),N(Reales!CR61)),CR$200*INDEX(Precio_V,24)*INDEX(IdxPrecio_V,1,MIN(10,CR$173))*(1+V_dPrecio))</f>
        <v>0</v>
      </c>
      <c r="CS225" s="34" t="n">
        <f aca="false">IF(CS$8=1,IF(Reales!$C$61="PYG",IF(CS$10&gt;0,N(Reales!CS61)/CS$10,0),N(Reales!CS61)),CS$200*INDEX(Precio_V,24)*INDEX(IdxPrecio_V,1,MIN(10,CS$173))*(1+V_dPrecio))</f>
        <v>0</v>
      </c>
      <c r="CT225" s="34" t="n">
        <f aca="false">IF(CT$8=1,IF(Reales!$C$61="PYG",IF(CT$10&gt;0,N(Reales!CT61)/CT$10,0),N(Reales!CT61)),CT$200*INDEX(Precio_V,24)*INDEX(IdxPrecio_V,1,MIN(10,CT$173))*(1+V_dPrecio))</f>
        <v>0</v>
      </c>
      <c r="CU225" s="34" t="n">
        <f aca="false">IF(CU$8=1,IF(Reales!$C$61="PYG",IF(CU$10&gt;0,N(Reales!CU61)/CU$10,0),N(Reales!CU61)),CU$200*INDEX(Precio_V,24)*INDEX(IdxPrecio_V,1,MIN(10,CU$173))*(1+V_dPrecio))</f>
        <v>0</v>
      </c>
      <c r="CV225" s="34" t="n">
        <f aca="false">IF(CV$8=1,IF(Reales!$C$61="PYG",IF(CV$10&gt;0,N(Reales!CV61)/CV$10,0),N(Reales!CV61)),CV$200*INDEX(Precio_V,24)*INDEX(IdxPrecio_V,1,MIN(10,CV$173))*(1+V_dPrecio))</f>
        <v>0</v>
      </c>
      <c r="CW225" s="34" t="n">
        <f aca="false">IF(CW$8=1,IF(Reales!$C$61="PYG",IF(CW$10&gt;0,N(Reales!CW61)/CW$10,0),N(Reales!CW61)),CW$200*INDEX(Precio_V,24)*INDEX(IdxPrecio_V,1,MIN(10,CW$173))*(1+V_dPrecio))</f>
        <v>0</v>
      </c>
      <c r="CX225" s="34" t="n">
        <f aca="false">IF(CX$8=1,IF(Reales!$C$61="PYG",IF(CX$10&gt;0,N(Reales!CX61)/CX$10,0),N(Reales!CX61)),CX$200*INDEX(Precio_V,24)*INDEX(IdxPrecio_V,1,MIN(10,CX$173))*(1+V_dPrecio))</f>
        <v>0</v>
      </c>
      <c r="CY225" s="34" t="n">
        <f aca="false">IF(CY$8=1,IF(Reales!$C$61="PYG",IF(CY$10&gt;0,N(Reales!CY61)/CY$10,0),N(Reales!CY61)),CY$200*INDEX(Precio_V,24)*INDEX(IdxPrecio_V,1,MIN(10,CY$173))*(1+V_dPrecio))</f>
        <v>0</v>
      </c>
      <c r="CZ225" s="34" t="n">
        <f aca="false">IF(CZ$8=1,IF(Reales!$C$61="PYG",IF(CZ$10&gt;0,N(Reales!CZ61)/CZ$10,0),N(Reales!CZ61)),CZ$200*INDEX(Precio_V,24)*INDEX(IdxPrecio_V,1,MIN(10,CZ$173))*(1+V_dPrecio))</f>
        <v>0</v>
      </c>
      <c r="DA225" s="34" t="n">
        <f aca="false">IF(DA$8=1,IF(Reales!$C$61="PYG",IF(DA$10&gt;0,N(Reales!DA61)/DA$10,0),N(Reales!DA61)),DA$200*INDEX(Precio_V,24)*INDEX(IdxPrecio_V,1,MIN(10,DA$173))*(1+V_dPrecio))</f>
        <v>0</v>
      </c>
      <c r="DB225" s="34" t="n">
        <f aca="false">IF(DB$8=1,IF(Reales!$C$61="PYG",IF(DB$10&gt;0,N(Reales!DB61)/DB$10,0),N(Reales!DB61)),DB$200*INDEX(Precio_V,24)*INDEX(IdxPrecio_V,1,MIN(10,DB$173))*(1+V_dPrecio))</f>
        <v>0</v>
      </c>
      <c r="DC225" s="34" t="n">
        <f aca="false">IF(DC$8=1,IF(Reales!$C$61="PYG",IF(DC$10&gt;0,N(Reales!DC61)/DC$10,0),N(Reales!DC61)),DC$200*INDEX(Precio_V,24)*INDEX(IdxPrecio_V,1,MIN(10,DC$173))*(1+V_dPrecio))</f>
        <v>0</v>
      </c>
      <c r="DD225" s="34" t="n">
        <f aca="false">IF(DD$8=1,IF(Reales!$C$61="PYG",IF(DD$10&gt;0,N(Reales!DD61)/DD$10,0),N(Reales!DD61)),DD$200*INDEX(Precio_V,24)*INDEX(IdxPrecio_V,1,MIN(10,DD$173))*(1+V_dPrecio))</f>
        <v>0</v>
      </c>
      <c r="DE225" s="34" t="n">
        <f aca="false">IF(DE$8=1,IF(Reales!$C$61="PYG",IF(DE$10&gt;0,N(Reales!DE61)/DE$10,0),N(Reales!DE61)),DE$200*INDEX(Precio_V,24)*INDEX(IdxPrecio_V,1,MIN(10,DE$173))*(1+V_dPrecio))</f>
        <v>0</v>
      </c>
      <c r="DF225" s="34" t="n">
        <f aca="false">IF(DF$8=1,IF(Reales!$C$61="PYG",IF(DF$10&gt;0,N(Reales!DF61)/DF$10,0),N(Reales!DF61)),DF$200*INDEX(Precio_V,24)*INDEX(IdxPrecio_V,1,MIN(10,DF$173))*(1+V_dPrecio))</f>
        <v>0</v>
      </c>
      <c r="DG225" s="34" t="n">
        <f aca="false">IF(DG$8=1,IF(Reales!$C$61="PYG",IF(DG$10&gt;0,N(Reales!DG61)/DG$10,0),N(Reales!DG61)),DG$200*INDEX(Precio_V,24)*INDEX(IdxPrecio_V,1,MIN(10,DG$173))*(1+V_dPrecio))</f>
        <v>0</v>
      </c>
      <c r="DH225" s="34" t="n">
        <f aca="false">IF(DH$8=1,IF(Reales!$C$61="PYG",IF(DH$10&gt;0,N(Reales!DH61)/DH$10,0),N(Reales!DH61)),DH$200*INDEX(Precio_V,24)*INDEX(IdxPrecio_V,1,MIN(10,DH$173))*(1+V_dPrecio))</f>
        <v>0</v>
      </c>
      <c r="DI225" s="34" t="n">
        <f aca="false">IF(DI$8=1,IF(Reales!$C$61="PYG",IF(DI$10&gt;0,N(Reales!DI61)/DI$10,0),N(Reales!DI61)),DI$200*INDEX(Precio_V,24)*INDEX(IdxPrecio_V,1,MIN(10,DI$173))*(1+V_dPrecio))</f>
        <v>0</v>
      </c>
      <c r="DJ225" s="34" t="n">
        <f aca="false">IF(DJ$8=1,IF(Reales!$C$61="PYG",IF(DJ$10&gt;0,N(Reales!DJ61)/DJ$10,0),N(Reales!DJ61)),DJ$200*INDEX(Precio_V,24)*INDEX(IdxPrecio_V,1,MIN(10,DJ$173))*(1+V_dPrecio))</f>
        <v>0</v>
      </c>
      <c r="DK225" s="34" t="n">
        <f aca="false">IF(DK$8=1,IF(Reales!$C$61="PYG",IF(DK$10&gt;0,N(Reales!DK61)/DK$10,0),N(Reales!DK61)),DK$200*INDEX(Precio_V,24)*INDEX(IdxPrecio_V,1,MIN(10,DK$173))*(1+V_dPrecio))</f>
        <v>0</v>
      </c>
      <c r="DL225" s="34" t="n">
        <f aca="false">IF(DL$8=1,IF(Reales!$C$61="PYG",IF(DL$10&gt;0,N(Reales!DL61)/DL$10,0),N(Reales!DL61)),DL$200*INDEX(Precio_V,24)*INDEX(IdxPrecio_V,1,MIN(10,DL$173))*(1+V_dPrecio))</f>
        <v>0</v>
      </c>
      <c r="DM225" s="34" t="n">
        <f aca="false">IF(DM$8=1,IF(Reales!$C$61="PYG",IF(DM$10&gt;0,N(Reales!DM61)/DM$10,0),N(Reales!DM61)),DM$200*INDEX(Precio_V,24)*INDEX(IdxPrecio_V,1,MIN(10,DM$173))*(1+V_dPrecio))</f>
        <v>0</v>
      </c>
      <c r="DN225" s="34" t="n">
        <f aca="false">IF(DN$8=1,IF(Reales!$C$61="PYG",IF(DN$10&gt;0,N(Reales!DN61)/DN$10,0),N(Reales!DN61)),DN$200*INDEX(Precio_V,24)*INDEX(IdxPrecio_V,1,MIN(10,DN$173))*(1+V_dPrecio))</f>
        <v>0</v>
      </c>
      <c r="DO225" s="34" t="n">
        <f aca="false">IF(DO$8=1,IF(Reales!$C$61="PYG",IF(DO$10&gt;0,N(Reales!DO61)/DO$10,0),N(Reales!DO61)),DO$200*INDEX(Precio_V,24)*INDEX(IdxPrecio_V,1,MIN(10,DO$173))*(1+V_dPrecio))</f>
        <v>0</v>
      </c>
      <c r="DP225" s="34" t="n">
        <f aca="false">IF(DP$8=1,IF(Reales!$C$61="PYG",IF(DP$10&gt;0,N(Reales!DP61)/DP$10,0),N(Reales!DP61)),DP$200*INDEX(Precio_V,24)*INDEX(IdxPrecio_V,1,MIN(10,DP$173))*(1+V_dPrecio))</f>
        <v>0</v>
      </c>
      <c r="DQ225" s="34" t="n">
        <f aca="false">IF(DQ$8=1,IF(Reales!$C$61="PYG",IF(DQ$10&gt;0,N(Reales!DQ61)/DQ$10,0),N(Reales!DQ61)),DQ$200*INDEX(Precio_V,24)*INDEX(IdxPrecio_V,1,MIN(10,DQ$173))*(1+V_dPrecio))</f>
        <v>0</v>
      </c>
      <c r="DR225" s="34" t="n">
        <f aca="false">IF(DR$8=1,IF(Reales!$C$61="PYG",IF(DR$10&gt;0,N(Reales!DR61)/DR$10,0),N(Reales!DR61)),DR$200*INDEX(Precio_V,24)*INDEX(IdxPrecio_V,1,MIN(10,DR$173))*(1+V_dPrecio))</f>
        <v>0</v>
      </c>
      <c r="DS225" s="34" t="n">
        <f aca="false">IF(DS$8=1,IF(Reales!$C$61="PYG",IF(DS$10&gt;0,N(Reales!DS61)/DS$10,0),N(Reales!DS61)),DS$200*INDEX(Precio_V,24)*INDEX(IdxPrecio_V,1,MIN(10,DS$173))*(1+V_dPrecio))</f>
        <v>0</v>
      </c>
      <c r="DT225" s="34" t="n">
        <f aca="false">IF(DT$8=1,IF(Reales!$C$61="PYG",IF(DT$10&gt;0,N(Reales!DT61)/DT$10,0),N(Reales!DT61)),DT$200*INDEX(Precio_V,24)*INDEX(IdxPrecio_V,1,MIN(10,DT$173))*(1+V_dPrecio))</f>
        <v>0</v>
      </c>
      <c r="DU225" s="34" t="n">
        <f aca="false">IF(DU$8=1,IF(Reales!$C$61="PYG",IF(DU$10&gt;0,N(Reales!DU61)/DU$10,0),N(Reales!DU61)),DU$200*INDEX(Precio_V,24)*INDEX(IdxPrecio_V,1,MIN(10,DU$173))*(1+V_dPrecio))</f>
        <v>0</v>
      </c>
      <c r="DV225" s="34" t="n">
        <f aca="false">IF(DV$8=1,IF(Reales!$C$61="PYG",IF(DV$10&gt;0,N(Reales!DV61)/DV$10,0),N(Reales!DV61)),DV$200*INDEX(Precio_V,24)*INDEX(IdxPrecio_V,1,MIN(10,DV$173))*(1+V_dPrecio))</f>
        <v>0</v>
      </c>
      <c r="DW225" s="34" t="n">
        <f aca="false">IF(DW$8=1,IF(Reales!$C$61="PYG",IF(DW$10&gt;0,N(Reales!DW61)/DW$10,0),N(Reales!DW61)),DW$200*INDEX(Precio_V,24)*INDEX(IdxPrecio_V,1,MIN(10,DW$173))*(1+V_dPrecio))</f>
        <v>0</v>
      </c>
      <c r="DX225" s="34" t="n">
        <f aca="false">IF(DX$8=1,IF(Reales!$C$61="PYG",IF(DX$10&gt;0,N(Reales!DX61)/DX$10,0),N(Reales!DX61)),DX$200*INDEX(Precio_V,24)*INDEX(IdxPrecio_V,1,MIN(10,DX$173))*(1+V_dPrecio))</f>
        <v>0</v>
      </c>
      <c r="DY225" s="34" t="n">
        <f aca="false">IF(DY$8=1,IF(Reales!$C$61="PYG",IF(DY$10&gt;0,N(Reales!DY61)/DY$10,0),N(Reales!DY61)),DY$200*INDEX(Precio_V,24)*INDEX(IdxPrecio_V,1,MIN(10,DY$173))*(1+V_dPrecio))</f>
        <v>0</v>
      </c>
      <c r="DZ225" s="34" t="n">
        <f aca="false">IF(DZ$8=1,IF(Reales!$C$61="PYG",IF(DZ$10&gt;0,N(Reales!DZ61)/DZ$10,0),N(Reales!DZ61)),DZ$200*INDEX(Precio_V,24)*INDEX(IdxPrecio_V,1,MIN(10,DZ$173))*(1+V_dPrecio))</f>
        <v>0</v>
      </c>
      <c r="EA225" s="34" t="n">
        <f aca="false">IF(EA$8=1,IF(Reales!$C$61="PYG",IF(EA$10&gt;0,N(Reales!EA61)/EA$10,0),N(Reales!EA61)),EA$200*INDEX(Precio_V,24)*INDEX(IdxPrecio_V,1,MIN(10,EA$173))*(1+V_dPrecio))</f>
        <v>0</v>
      </c>
      <c r="EB225" s="34" t="n">
        <f aca="false">IF(EB$8=1,IF(Reales!$C$61="PYG",IF(EB$10&gt;0,N(Reales!EB61)/EB$10,0),N(Reales!EB61)),EB$200*INDEX(Precio_V,24)*INDEX(IdxPrecio_V,1,MIN(10,EB$173))*(1+V_dPrecio))</f>
        <v>0</v>
      </c>
      <c r="EC225" s="34" t="n">
        <f aca="false">IF(EC$8=1,IF(Reales!$C$61="PYG",IF(EC$10&gt;0,N(Reales!EC61)/EC$10,0),N(Reales!EC61)),EC$200*INDEX(Precio_V,24)*INDEX(IdxPrecio_V,1,MIN(10,EC$173))*(1+V_dPrecio))</f>
        <v>0</v>
      </c>
      <c r="ED225" s="34" t="n">
        <f aca="false">IF(ED$8=1,IF(Reales!$C$61="PYG",IF(ED$10&gt;0,N(Reales!ED61)/ED$10,0),N(Reales!ED61)),ED$200*INDEX(Precio_V,24)*INDEX(IdxPrecio_V,1,MIN(10,ED$173))*(1+V_dPrecio))</f>
        <v>0</v>
      </c>
      <c r="EE225" s="34" t="n">
        <f aca="false">IF(EE$8=1,IF(Reales!$C$61="PYG",IF(EE$10&gt;0,N(Reales!EE61)/EE$10,0),N(Reales!EE61)),EE$200*INDEX(Precio_V,24)*INDEX(IdxPrecio_V,1,MIN(10,EE$173))*(1+V_dPrecio))</f>
        <v>0</v>
      </c>
      <c r="EF225" s="34" t="n">
        <f aca="false">IF(EF$8=1,IF(Reales!$C$61="PYG",IF(EF$10&gt;0,N(Reales!EF61)/EF$10,0),N(Reales!EF61)),EF$200*INDEX(Precio_V,24)*INDEX(IdxPrecio_V,1,MIN(10,EF$173))*(1+V_dPrecio))</f>
        <v>0</v>
      </c>
      <c r="EG225" s="34" t="n">
        <f aca="false">IF(EG$8=1,IF(Reales!$C$61="PYG",IF(EG$10&gt;0,N(Reales!EG61)/EG$10,0),N(Reales!EG61)),EG$200*INDEX(Precio_V,24)*INDEX(IdxPrecio_V,1,MIN(10,EG$173))*(1+V_dPrecio))</f>
        <v>0</v>
      </c>
      <c r="EH225" s="34" t="n">
        <f aca="false">IF(EH$8=1,IF(Reales!$C$61="PYG",IF(EH$10&gt;0,N(Reales!EH61)/EH$10,0),N(Reales!EH61)),EH$200*INDEX(Precio_V,24)*INDEX(IdxPrecio_V,1,MIN(10,EH$173))*(1+V_dPrecio))</f>
        <v>0</v>
      </c>
      <c r="EI225" s="34" t="n">
        <f aca="false">IF(EI$8=1,IF(Reales!$C$61="PYG",IF(EI$10&gt;0,N(Reales!EI61)/EI$10,0),N(Reales!EI61)),EI$200*INDEX(Precio_V,24)*INDEX(IdxPrecio_V,1,MIN(10,EI$173))*(1+V_dPrecio))</f>
        <v>0</v>
      </c>
      <c r="EJ225" s="34" t="n">
        <f aca="false">IF(EJ$8=1,IF(Reales!$C$61="PYG",IF(EJ$10&gt;0,N(Reales!EJ61)/EJ$10,0),N(Reales!EJ61)),EJ$200*INDEX(Precio_V,24)*INDEX(IdxPrecio_V,1,MIN(10,EJ$173))*(1+V_dPrecio))</f>
        <v>0</v>
      </c>
      <c r="EK225" s="34" t="n">
        <f aca="false">IF(EK$8=1,IF(Reales!$C$61="PYG",IF(EK$10&gt;0,N(Reales!EK61)/EK$10,0),N(Reales!EK61)),EK$200*INDEX(Precio_V,24)*INDEX(IdxPrecio_V,1,MIN(10,EK$173))*(1+V_dPrecio))</f>
        <v>0</v>
      </c>
      <c r="EL225" s="34" t="n">
        <f aca="false">IF(EL$8=1,IF(Reales!$C$61="PYG",IF(EL$10&gt;0,N(Reales!EL61)/EL$10,0),N(Reales!EL61)),EL$200*INDEX(Precio_V,24)*INDEX(IdxPrecio_V,1,MIN(10,EL$173))*(1+V_dPrecio))</f>
        <v>0</v>
      </c>
      <c r="EM225" s="34" t="n">
        <f aca="false">IF(EM$8=1,IF(Reales!$C$61="PYG",IF(EM$10&gt;0,N(Reales!EM61)/EM$10,0),N(Reales!EM61)),EM$200*INDEX(Precio_V,24)*INDEX(IdxPrecio_V,1,MIN(10,EM$173))*(1+V_dPrecio))</f>
        <v>0</v>
      </c>
      <c r="EN225" s="34" t="n">
        <f aca="false">IF(EN$8=1,IF(Reales!$C$61="PYG",IF(EN$10&gt;0,N(Reales!EN61)/EN$10,0),N(Reales!EN61)),EN$200*INDEX(Precio_V,24)*INDEX(IdxPrecio_V,1,MIN(10,EN$173))*(1+V_dPrecio))</f>
        <v>0</v>
      </c>
      <c r="EO225" s="34" t="n">
        <f aca="false">IF(EO$8=1,IF(Reales!$C$61="PYG",IF(EO$10&gt;0,N(Reales!EO61)/EO$10,0),N(Reales!EO61)),EO$200*INDEX(Precio_V,24)*INDEX(IdxPrecio_V,1,MIN(10,EO$173))*(1+V_dPrecio))</f>
        <v>0</v>
      </c>
      <c r="EP225" s="34" t="n">
        <f aca="false">IF(EP$8=1,IF(Reales!$C$61="PYG",IF(EP$10&gt;0,N(Reales!EP61)/EP$10,0),N(Reales!EP61)),EP$200*INDEX(Precio_V,24)*INDEX(IdxPrecio_V,1,MIN(10,EP$173))*(1+V_dPrecio))</f>
        <v>0</v>
      </c>
      <c r="EQ225" s="34" t="n">
        <f aca="false">IF(EQ$8=1,IF(Reales!$C$61="PYG",IF(EQ$10&gt;0,N(Reales!EQ61)/EQ$10,0),N(Reales!EQ61)),EQ$200*INDEX(Precio_V,24)*INDEX(IdxPrecio_V,1,MIN(10,EQ$173))*(1+V_dPrecio))</f>
        <v>0</v>
      </c>
      <c r="ER225" s="34" t="n">
        <f aca="false">IF(ER$8=1,IF(Reales!$C$61="PYG",IF(ER$10&gt;0,N(Reales!ER61)/ER$10,0),N(Reales!ER61)),ER$200*INDEX(Precio_V,24)*INDEX(IdxPrecio_V,1,MIN(10,ER$173))*(1+V_dPrecio))</f>
        <v>0</v>
      </c>
      <c r="ES225" s="34" t="n">
        <f aca="false">IF(ES$8=1,IF(Reales!$C$61="PYG",IF(ES$10&gt;0,N(Reales!ES61)/ES$10,0),N(Reales!ES61)),ES$200*INDEX(Precio_V,24)*INDEX(IdxPrecio_V,1,MIN(10,ES$173))*(1+V_dPrecio))</f>
        <v>0</v>
      </c>
    </row>
    <row r="226" customFormat="false" ht="15" hidden="false" customHeight="false" outlineLevel="0" collapsed="false">
      <c r="A226" s="2" t="s">
        <v>868</v>
      </c>
      <c r="B226" s="39" t="str">
        <f aca="false">IF(INDEX(Prod_Nombre,25)="","Producto 25",INDEX(Prod_Nombre,25))&amp;" — ventas USD"</f>
        <v>Producto 25 — ventas USD</v>
      </c>
      <c r="C226" s="6" t="s">
        <v>250</v>
      </c>
      <c r="E226" s="40" t="n">
        <f aca="false">SUM(F226:ES226)</f>
        <v>0</v>
      </c>
      <c r="F226" s="34" t="n">
        <f aca="false">IF(F$8=1,IF(Reales!$C$62="PYG",IF(F$10&gt;0,N(Reales!F62)/F$10,0),N(Reales!F62)),F$201*INDEX(Precio_V,25)*INDEX(IdxPrecio_V,1,MIN(10,F$173))*(1+V_dPrecio))</f>
        <v>0</v>
      </c>
      <c r="G226" s="34" t="n">
        <f aca="false">IF(G$8=1,IF(Reales!$C$62="PYG",IF(G$10&gt;0,N(Reales!G62)/G$10,0),N(Reales!G62)),G$201*INDEX(Precio_V,25)*INDEX(IdxPrecio_V,1,MIN(10,G$173))*(1+V_dPrecio))</f>
        <v>0</v>
      </c>
      <c r="H226" s="34" t="n">
        <f aca="false">IF(H$8=1,IF(Reales!$C$62="PYG",IF(H$10&gt;0,N(Reales!H62)/H$10,0),N(Reales!H62)),H$201*INDEX(Precio_V,25)*INDEX(IdxPrecio_V,1,MIN(10,H$173))*(1+V_dPrecio))</f>
        <v>0</v>
      </c>
      <c r="I226" s="34" t="n">
        <f aca="false">IF(I$8=1,IF(Reales!$C$62="PYG",IF(I$10&gt;0,N(Reales!I62)/I$10,0),N(Reales!I62)),I$201*INDEX(Precio_V,25)*INDEX(IdxPrecio_V,1,MIN(10,I$173))*(1+V_dPrecio))</f>
        <v>0</v>
      </c>
      <c r="J226" s="34" t="n">
        <f aca="false">IF(J$8=1,IF(Reales!$C$62="PYG",IF(J$10&gt;0,N(Reales!J62)/J$10,0),N(Reales!J62)),J$201*INDEX(Precio_V,25)*INDEX(IdxPrecio_V,1,MIN(10,J$173))*(1+V_dPrecio))</f>
        <v>0</v>
      </c>
      <c r="K226" s="34" t="n">
        <f aca="false">IF(K$8=1,IF(Reales!$C$62="PYG",IF(K$10&gt;0,N(Reales!K62)/K$10,0),N(Reales!K62)),K$201*INDEX(Precio_V,25)*INDEX(IdxPrecio_V,1,MIN(10,K$173))*(1+V_dPrecio))</f>
        <v>0</v>
      </c>
      <c r="L226" s="34" t="n">
        <f aca="false">IF(L$8=1,IF(Reales!$C$62="PYG",IF(L$10&gt;0,N(Reales!L62)/L$10,0),N(Reales!L62)),L$201*INDEX(Precio_V,25)*INDEX(IdxPrecio_V,1,MIN(10,L$173))*(1+V_dPrecio))</f>
        <v>0</v>
      </c>
      <c r="M226" s="34" t="n">
        <f aca="false">IF(M$8=1,IF(Reales!$C$62="PYG",IF(M$10&gt;0,N(Reales!M62)/M$10,0),N(Reales!M62)),M$201*INDEX(Precio_V,25)*INDEX(IdxPrecio_V,1,MIN(10,M$173))*(1+V_dPrecio))</f>
        <v>0</v>
      </c>
      <c r="N226" s="34" t="n">
        <f aca="false">IF(N$8=1,IF(Reales!$C$62="PYG",IF(N$10&gt;0,N(Reales!N62)/N$10,0),N(Reales!N62)),N$201*INDEX(Precio_V,25)*INDEX(IdxPrecio_V,1,MIN(10,N$173))*(1+V_dPrecio))</f>
        <v>0</v>
      </c>
      <c r="O226" s="34" t="n">
        <f aca="false">IF(O$8=1,IF(Reales!$C$62="PYG",IF(O$10&gt;0,N(Reales!O62)/O$10,0),N(Reales!O62)),O$201*INDEX(Precio_V,25)*INDEX(IdxPrecio_V,1,MIN(10,O$173))*(1+V_dPrecio))</f>
        <v>0</v>
      </c>
      <c r="P226" s="34" t="n">
        <f aca="false">IF(P$8=1,IF(Reales!$C$62="PYG",IF(P$10&gt;0,N(Reales!P62)/P$10,0),N(Reales!P62)),P$201*INDEX(Precio_V,25)*INDEX(IdxPrecio_V,1,MIN(10,P$173))*(1+V_dPrecio))</f>
        <v>0</v>
      </c>
      <c r="Q226" s="34" t="n">
        <f aca="false">IF(Q$8=1,IF(Reales!$C$62="PYG",IF(Q$10&gt;0,N(Reales!Q62)/Q$10,0),N(Reales!Q62)),Q$201*INDEX(Precio_V,25)*INDEX(IdxPrecio_V,1,MIN(10,Q$173))*(1+V_dPrecio))</f>
        <v>0</v>
      </c>
      <c r="R226" s="34" t="n">
        <f aca="false">IF(R$8=1,IF(Reales!$C$62="PYG",IF(R$10&gt;0,N(Reales!R62)/R$10,0),N(Reales!R62)),R$201*INDEX(Precio_V,25)*INDEX(IdxPrecio_V,1,MIN(10,R$173))*(1+V_dPrecio))</f>
        <v>0</v>
      </c>
      <c r="S226" s="34" t="n">
        <f aca="false">IF(S$8=1,IF(Reales!$C$62="PYG",IF(S$10&gt;0,N(Reales!S62)/S$10,0),N(Reales!S62)),S$201*INDEX(Precio_V,25)*INDEX(IdxPrecio_V,1,MIN(10,S$173))*(1+V_dPrecio))</f>
        <v>0</v>
      </c>
      <c r="T226" s="34" t="n">
        <f aca="false">IF(T$8=1,IF(Reales!$C$62="PYG",IF(T$10&gt;0,N(Reales!T62)/T$10,0),N(Reales!T62)),T$201*INDEX(Precio_V,25)*INDEX(IdxPrecio_V,1,MIN(10,T$173))*(1+V_dPrecio))</f>
        <v>0</v>
      </c>
      <c r="U226" s="34" t="n">
        <f aca="false">IF(U$8=1,IF(Reales!$C$62="PYG",IF(U$10&gt;0,N(Reales!U62)/U$10,0),N(Reales!U62)),U$201*INDEX(Precio_V,25)*INDEX(IdxPrecio_V,1,MIN(10,U$173))*(1+V_dPrecio))</f>
        <v>0</v>
      </c>
      <c r="V226" s="34" t="n">
        <f aca="false">IF(V$8=1,IF(Reales!$C$62="PYG",IF(V$10&gt;0,N(Reales!V62)/V$10,0),N(Reales!V62)),V$201*INDEX(Precio_V,25)*INDEX(IdxPrecio_V,1,MIN(10,V$173))*(1+V_dPrecio))</f>
        <v>0</v>
      </c>
      <c r="W226" s="34" t="n">
        <f aca="false">IF(W$8=1,IF(Reales!$C$62="PYG",IF(W$10&gt;0,N(Reales!W62)/W$10,0),N(Reales!W62)),W$201*INDEX(Precio_V,25)*INDEX(IdxPrecio_V,1,MIN(10,W$173))*(1+V_dPrecio))</f>
        <v>0</v>
      </c>
      <c r="X226" s="34" t="n">
        <f aca="false">IF(X$8=1,IF(Reales!$C$62="PYG",IF(X$10&gt;0,N(Reales!X62)/X$10,0),N(Reales!X62)),X$201*INDEX(Precio_V,25)*INDEX(IdxPrecio_V,1,MIN(10,X$173))*(1+V_dPrecio))</f>
        <v>0</v>
      </c>
      <c r="Y226" s="34" t="n">
        <f aca="false">IF(Y$8=1,IF(Reales!$C$62="PYG",IF(Y$10&gt;0,N(Reales!Y62)/Y$10,0),N(Reales!Y62)),Y$201*INDEX(Precio_V,25)*INDEX(IdxPrecio_V,1,MIN(10,Y$173))*(1+V_dPrecio))</f>
        <v>0</v>
      </c>
      <c r="Z226" s="34" t="n">
        <f aca="false">IF(Z$8=1,IF(Reales!$C$62="PYG",IF(Z$10&gt;0,N(Reales!Z62)/Z$10,0),N(Reales!Z62)),Z$201*INDEX(Precio_V,25)*INDEX(IdxPrecio_V,1,MIN(10,Z$173))*(1+V_dPrecio))</f>
        <v>0</v>
      </c>
      <c r="AA226" s="34" t="n">
        <f aca="false">IF(AA$8=1,IF(Reales!$C$62="PYG",IF(AA$10&gt;0,N(Reales!AA62)/AA$10,0),N(Reales!AA62)),AA$201*INDEX(Precio_V,25)*INDEX(IdxPrecio_V,1,MIN(10,AA$173))*(1+V_dPrecio))</f>
        <v>0</v>
      </c>
      <c r="AB226" s="34" t="n">
        <f aca="false">IF(AB$8=1,IF(Reales!$C$62="PYG",IF(AB$10&gt;0,N(Reales!AB62)/AB$10,0),N(Reales!AB62)),AB$201*INDEX(Precio_V,25)*INDEX(IdxPrecio_V,1,MIN(10,AB$173))*(1+V_dPrecio))</f>
        <v>0</v>
      </c>
      <c r="AC226" s="34" t="n">
        <f aca="false">IF(AC$8=1,IF(Reales!$C$62="PYG",IF(AC$10&gt;0,N(Reales!AC62)/AC$10,0),N(Reales!AC62)),AC$201*INDEX(Precio_V,25)*INDEX(IdxPrecio_V,1,MIN(10,AC$173))*(1+V_dPrecio))</f>
        <v>0</v>
      </c>
      <c r="AD226" s="34" t="n">
        <f aca="false">IF(AD$8=1,IF(Reales!$C$62="PYG",IF(AD$10&gt;0,N(Reales!AD62)/AD$10,0),N(Reales!AD62)),AD$201*INDEX(Precio_V,25)*INDEX(IdxPrecio_V,1,MIN(10,AD$173))*(1+V_dPrecio))</f>
        <v>0</v>
      </c>
      <c r="AE226" s="34" t="n">
        <f aca="false">IF(AE$8=1,IF(Reales!$C$62="PYG",IF(AE$10&gt;0,N(Reales!AE62)/AE$10,0),N(Reales!AE62)),AE$201*INDEX(Precio_V,25)*INDEX(IdxPrecio_V,1,MIN(10,AE$173))*(1+V_dPrecio))</f>
        <v>0</v>
      </c>
      <c r="AF226" s="34" t="n">
        <f aca="false">IF(AF$8=1,IF(Reales!$C$62="PYG",IF(AF$10&gt;0,N(Reales!AF62)/AF$10,0),N(Reales!AF62)),AF$201*INDEX(Precio_V,25)*INDEX(IdxPrecio_V,1,MIN(10,AF$173))*(1+V_dPrecio))</f>
        <v>0</v>
      </c>
      <c r="AG226" s="34" t="n">
        <f aca="false">IF(AG$8=1,IF(Reales!$C$62="PYG",IF(AG$10&gt;0,N(Reales!AG62)/AG$10,0),N(Reales!AG62)),AG$201*INDEX(Precio_V,25)*INDEX(IdxPrecio_V,1,MIN(10,AG$173))*(1+V_dPrecio))</f>
        <v>0</v>
      </c>
      <c r="AH226" s="34" t="n">
        <f aca="false">IF(AH$8=1,IF(Reales!$C$62="PYG",IF(AH$10&gt;0,N(Reales!AH62)/AH$10,0),N(Reales!AH62)),AH$201*INDEX(Precio_V,25)*INDEX(IdxPrecio_V,1,MIN(10,AH$173))*(1+V_dPrecio))</f>
        <v>0</v>
      </c>
      <c r="AI226" s="34" t="n">
        <f aca="false">IF(AI$8=1,IF(Reales!$C$62="PYG",IF(AI$10&gt;0,N(Reales!AI62)/AI$10,0),N(Reales!AI62)),AI$201*INDEX(Precio_V,25)*INDEX(IdxPrecio_V,1,MIN(10,AI$173))*(1+V_dPrecio))</f>
        <v>0</v>
      </c>
      <c r="AJ226" s="34" t="n">
        <f aca="false">IF(AJ$8=1,IF(Reales!$C$62="PYG",IF(AJ$10&gt;0,N(Reales!AJ62)/AJ$10,0),N(Reales!AJ62)),AJ$201*INDEX(Precio_V,25)*INDEX(IdxPrecio_V,1,MIN(10,AJ$173))*(1+V_dPrecio))</f>
        <v>0</v>
      </c>
      <c r="AK226" s="34" t="n">
        <f aca="false">IF(AK$8=1,IF(Reales!$C$62="PYG",IF(AK$10&gt;0,N(Reales!AK62)/AK$10,0),N(Reales!AK62)),AK$201*INDEX(Precio_V,25)*INDEX(IdxPrecio_V,1,MIN(10,AK$173))*(1+V_dPrecio))</f>
        <v>0</v>
      </c>
      <c r="AL226" s="34" t="n">
        <f aca="false">IF(AL$8=1,IF(Reales!$C$62="PYG",IF(AL$10&gt;0,N(Reales!AL62)/AL$10,0),N(Reales!AL62)),AL$201*INDEX(Precio_V,25)*INDEX(IdxPrecio_V,1,MIN(10,AL$173))*(1+V_dPrecio))</f>
        <v>0</v>
      </c>
      <c r="AM226" s="34" t="n">
        <f aca="false">IF(AM$8=1,IF(Reales!$C$62="PYG",IF(AM$10&gt;0,N(Reales!AM62)/AM$10,0),N(Reales!AM62)),AM$201*INDEX(Precio_V,25)*INDEX(IdxPrecio_V,1,MIN(10,AM$173))*(1+V_dPrecio))</f>
        <v>0</v>
      </c>
      <c r="AN226" s="34" t="n">
        <f aca="false">IF(AN$8=1,IF(Reales!$C$62="PYG",IF(AN$10&gt;0,N(Reales!AN62)/AN$10,0),N(Reales!AN62)),AN$201*INDEX(Precio_V,25)*INDEX(IdxPrecio_V,1,MIN(10,AN$173))*(1+V_dPrecio))</f>
        <v>0</v>
      </c>
      <c r="AO226" s="34" t="n">
        <f aca="false">IF(AO$8=1,IF(Reales!$C$62="PYG",IF(AO$10&gt;0,N(Reales!AO62)/AO$10,0),N(Reales!AO62)),AO$201*INDEX(Precio_V,25)*INDEX(IdxPrecio_V,1,MIN(10,AO$173))*(1+V_dPrecio))</f>
        <v>0</v>
      </c>
      <c r="AP226" s="34" t="n">
        <f aca="false">IF(AP$8=1,IF(Reales!$C$62="PYG",IF(AP$10&gt;0,N(Reales!AP62)/AP$10,0),N(Reales!AP62)),AP$201*INDEX(Precio_V,25)*INDEX(IdxPrecio_V,1,MIN(10,AP$173))*(1+V_dPrecio))</f>
        <v>0</v>
      </c>
      <c r="AQ226" s="34" t="n">
        <f aca="false">IF(AQ$8=1,IF(Reales!$C$62="PYG",IF(AQ$10&gt;0,N(Reales!AQ62)/AQ$10,0),N(Reales!AQ62)),AQ$201*INDEX(Precio_V,25)*INDEX(IdxPrecio_V,1,MIN(10,AQ$173))*(1+V_dPrecio))</f>
        <v>0</v>
      </c>
      <c r="AR226" s="34" t="n">
        <f aca="false">IF(AR$8=1,IF(Reales!$C$62="PYG",IF(AR$10&gt;0,N(Reales!AR62)/AR$10,0),N(Reales!AR62)),AR$201*INDEX(Precio_V,25)*INDEX(IdxPrecio_V,1,MIN(10,AR$173))*(1+V_dPrecio))</f>
        <v>0</v>
      </c>
      <c r="AS226" s="34" t="n">
        <f aca="false">IF(AS$8=1,IF(Reales!$C$62="PYG",IF(AS$10&gt;0,N(Reales!AS62)/AS$10,0),N(Reales!AS62)),AS$201*INDEX(Precio_V,25)*INDEX(IdxPrecio_V,1,MIN(10,AS$173))*(1+V_dPrecio))</f>
        <v>0</v>
      </c>
      <c r="AT226" s="34" t="n">
        <f aca="false">IF(AT$8=1,IF(Reales!$C$62="PYG",IF(AT$10&gt;0,N(Reales!AT62)/AT$10,0),N(Reales!AT62)),AT$201*INDEX(Precio_V,25)*INDEX(IdxPrecio_V,1,MIN(10,AT$173))*(1+V_dPrecio))</f>
        <v>0</v>
      </c>
      <c r="AU226" s="34" t="n">
        <f aca="false">IF(AU$8=1,IF(Reales!$C$62="PYG",IF(AU$10&gt;0,N(Reales!AU62)/AU$10,0),N(Reales!AU62)),AU$201*INDEX(Precio_V,25)*INDEX(IdxPrecio_V,1,MIN(10,AU$173))*(1+V_dPrecio))</f>
        <v>0</v>
      </c>
      <c r="AV226" s="34" t="n">
        <f aca="false">IF(AV$8=1,IF(Reales!$C$62="PYG",IF(AV$10&gt;0,N(Reales!AV62)/AV$10,0),N(Reales!AV62)),AV$201*INDEX(Precio_V,25)*INDEX(IdxPrecio_V,1,MIN(10,AV$173))*(1+V_dPrecio))</f>
        <v>0</v>
      </c>
      <c r="AW226" s="34" t="n">
        <f aca="false">IF(AW$8=1,IF(Reales!$C$62="PYG",IF(AW$10&gt;0,N(Reales!AW62)/AW$10,0),N(Reales!AW62)),AW$201*INDEX(Precio_V,25)*INDEX(IdxPrecio_V,1,MIN(10,AW$173))*(1+V_dPrecio))</f>
        <v>0</v>
      </c>
      <c r="AX226" s="34" t="n">
        <f aca="false">IF(AX$8=1,IF(Reales!$C$62="PYG",IF(AX$10&gt;0,N(Reales!AX62)/AX$10,0),N(Reales!AX62)),AX$201*INDEX(Precio_V,25)*INDEX(IdxPrecio_V,1,MIN(10,AX$173))*(1+V_dPrecio))</f>
        <v>0</v>
      </c>
      <c r="AY226" s="34" t="n">
        <f aca="false">IF(AY$8=1,IF(Reales!$C$62="PYG",IF(AY$10&gt;0,N(Reales!AY62)/AY$10,0),N(Reales!AY62)),AY$201*INDEX(Precio_V,25)*INDEX(IdxPrecio_V,1,MIN(10,AY$173))*(1+V_dPrecio))</f>
        <v>0</v>
      </c>
      <c r="AZ226" s="34" t="n">
        <f aca="false">IF(AZ$8=1,IF(Reales!$C$62="PYG",IF(AZ$10&gt;0,N(Reales!AZ62)/AZ$10,0),N(Reales!AZ62)),AZ$201*INDEX(Precio_V,25)*INDEX(IdxPrecio_V,1,MIN(10,AZ$173))*(1+V_dPrecio))</f>
        <v>0</v>
      </c>
      <c r="BA226" s="34" t="n">
        <f aca="false">IF(BA$8=1,IF(Reales!$C$62="PYG",IF(BA$10&gt;0,N(Reales!BA62)/BA$10,0),N(Reales!BA62)),BA$201*INDEX(Precio_V,25)*INDEX(IdxPrecio_V,1,MIN(10,BA$173))*(1+V_dPrecio))</f>
        <v>0</v>
      </c>
      <c r="BB226" s="34" t="n">
        <f aca="false">IF(BB$8=1,IF(Reales!$C$62="PYG",IF(BB$10&gt;0,N(Reales!BB62)/BB$10,0),N(Reales!BB62)),BB$201*INDEX(Precio_V,25)*INDEX(IdxPrecio_V,1,MIN(10,BB$173))*(1+V_dPrecio))</f>
        <v>0</v>
      </c>
      <c r="BC226" s="34" t="n">
        <f aca="false">IF(BC$8=1,IF(Reales!$C$62="PYG",IF(BC$10&gt;0,N(Reales!BC62)/BC$10,0),N(Reales!BC62)),BC$201*INDEX(Precio_V,25)*INDEX(IdxPrecio_V,1,MIN(10,BC$173))*(1+V_dPrecio))</f>
        <v>0</v>
      </c>
      <c r="BD226" s="34" t="n">
        <f aca="false">IF(BD$8=1,IF(Reales!$C$62="PYG",IF(BD$10&gt;0,N(Reales!BD62)/BD$10,0),N(Reales!BD62)),BD$201*INDEX(Precio_V,25)*INDEX(IdxPrecio_V,1,MIN(10,BD$173))*(1+V_dPrecio))</f>
        <v>0</v>
      </c>
      <c r="BE226" s="34" t="n">
        <f aca="false">IF(BE$8=1,IF(Reales!$C$62="PYG",IF(BE$10&gt;0,N(Reales!BE62)/BE$10,0),N(Reales!BE62)),BE$201*INDEX(Precio_V,25)*INDEX(IdxPrecio_V,1,MIN(10,BE$173))*(1+V_dPrecio))</f>
        <v>0</v>
      </c>
      <c r="BF226" s="34" t="n">
        <f aca="false">IF(BF$8=1,IF(Reales!$C$62="PYG",IF(BF$10&gt;0,N(Reales!BF62)/BF$10,0),N(Reales!BF62)),BF$201*INDEX(Precio_V,25)*INDEX(IdxPrecio_V,1,MIN(10,BF$173))*(1+V_dPrecio))</f>
        <v>0</v>
      </c>
      <c r="BG226" s="34" t="n">
        <f aca="false">IF(BG$8=1,IF(Reales!$C$62="PYG",IF(BG$10&gt;0,N(Reales!BG62)/BG$10,0),N(Reales!BG62)),BG$201*INDEX(Precio_V,25)*INDEX(IdxPrecio_V,1,MIN(10,BG$173))*(1+V_dPrecio))</f>
        <v>0</v>
      </c>
      <c r="BH226" s="34" t="n">
        <f aca="false">IF(BH$8=1,IF(Reales!$C$62="PYG",IF(BH$10&gt;0,N(Reales!BH62)/BH$10,0),N(Reales!BH62)),BH$201*INDEX(Precio_V,25)*INDEX(IdxPrecio_V,1,MIN(10,BH$173))*(1+V_dPrecio))</f>
        <v>0</v>
      </c>
      <c r="BI226" s="34" t="n">
        <f aca="false">IF(BI$8=1,IF(Reales!$C$62="PYG",IF(BI$10&gt;0,N(Reales!BI62)/BI$10,0),N(Reales!BI62)),BI$201*INDEX(Precio_V,25)*INDEX(IdxPrecio_V,1,MIN(10,BI$173))*(1+V_dPrecio))</f>
        <v>0</v>
      </c>
      <c r="BJ226" s="34" t="n">
        <f aca="false">IF(BJ$8=1,IF(Reales!$C$62="PYG",IF(BJ$10&gt;0,N(Reales!BJ62)/BJ$10,0),N(Reales!BJ62)),BJ$201*INDEX(Precio_V,25)*INDEX(IdxPrecio_V,1,MIN(10,BJ$173))*(1+V_dPrecio))</f>
        <v>0</v>
      </c>
      <c r="BK226" s="34" t="n">
        <f aca="false">IF(BK$8=1,IF(Reales!$C$62="PYG",IF(BK$10&gt;0,N(Reales!BK62)/BK$10,0),N(Reales!BK62)),BK$201*INDEX(Precio_V,25)*INDEX(IdxPrecio_V,1,MIN(10,BK$173))*(1+V_dPrecio))</f>
        <v>0</v>
      </c>
      <c r="BL226" s="34" t="n">
        <f aca="false">IF(BL$8=1,IF(Reales!$C$62="PYG",IF(BL$10&gt;0,N(Reales!BL62)/BL$10,0),N(Reales!BL62)),BL$201*INDEX(Precio_V,25)*INDEX(IdxPrecio_V,1,MIN(10,BL$173))*(1+V_dPrecio))</f>
        <v>0</v>
      </c>
      <c r="BM226" s="34" t="n">
        <f aca="false">IF(BM$8=1,IF(Reales!$C$62="PYG",IF(BM$10&gt;0,N(Reales!BM62)/BM$10,0),N(Reales!BM62)),BM$201*INDEX(Precio_V,25)*INDEX(IdxPrecio_V,1,MIN(10,BM$173))*(1+V_dPrecio))</f>
        <v>0</v>
      </c>
      <c r="BN226" s="34" t="n">
        <f aca="false">IF(BN$8=1,IF(Reales!$C$62="PYG",IF(BN$10&gt;0,N(Reales!BN62)/BN$10,0),N(Reales!BN62)),BN$201*INDEX(Precio_V,25)*INDEX(IdxPrecio_V,1,MIN(10,BN$173))*(1+V_dPrecio))</f>
        <v>0</v>
      </c>
      <c r="BO226" s="34" t="n">
        <f aca="false">IF(BO$8=1,IF(Reales!$C$62="PYG",IF(BO$10&gt;0,N(Reales!BO62)/BO$10,0),N(Reales!BO62)),BO$201*INDEX(Precio_V,25)*INDEX(IdxPrecio_V,1,MIN(10,BO$173))*(1+V_dPrecio))</f>
        <v>0</v>
      </c>
      <c r="BP226" s="34" t="n">
        <f aca="false">IF(BP$8=1,IF(Reales!$C$62="PYG",IF(BP$10&gt;0,N(Reales!BP62)/BP$10,0),N(Reales!BP62)),BP$201*INDEX(Precio_V,25)*INDEX(IdxPrecio_V,1,MIN(10,BP$173))*(1+V_dPrecio))</f>
        <v>0</v>
      </c>
      <c r="BQ226" s="34" t="n">
        <f aca="false">IF(BQ$8=1,IF(Reales!$C$62="PYG",IF(BQ$10&gt;0,N(Reales!BQ62)/BQ$10,0),N(Reales!BQ62)),BQ$201*INDEX(Precio_V,25)*INDEX(IdxPrecio_V,1,MIN(10,BQ$173))*(1+V_dPrecio))</f>
        <v>0</v>
      </c>
      <c r="BR226" s="34" t="n">
        <f aca="false">IF(BR$8=1,IF(Reales!$C$62="PYG",IF(BR$10&gt;0,N(Reales!BR62)/BR$10,0),N(Reales!BR62)),BR$201*INDEX(Precio_V,25)*INDEX(IdxPrecio_V,1,MIN(10,BR$173))*(1+V_dPrecio))</f>
        <v>0</v>
      </c>
      <c r="BS226" s="34" t="n">
        <f aca="false">IF(BS$8=1,IF(Reales!$C$62="PYG",IF(BS$10&gt;0,N(Reales!BS62)/BS$10,0),N(Reales!BS62)),BS$201*INDEX(Precio_V,25)*INDEX(IdxPrecio_V,1,MIN(10,BS$173))*(1+V_dPrecio))</f>
        <v>0</v>
      </c>
      <c r="BT226" s="34" t="n">
        <f aca="false">IF(BT$8=1,IF(Reales!$C$62="PYG",IF(BT$10&gt;0,N(Reales!BT62)/BT$10,0),N(Reales!BT62)),BT$201*INDEX(Precio_V,25)*INDEX(IdxPrecio_V,1,MIN(10,BT$173))*(1+V_dPrecio))</f>
        <v>0</v>
      </c>
      <c r="BU226" s="34" t="n">
        <f aca="false">IF(BU$8=1,IF(Reales!$C$62="PYG",IF(BU$10&gt;0,N(Reales!BU62)/BU$10,0),N(Reales!BU62)),BU$201*INDEX(Precio_V,25)*INDEX(IdxPrecio_V,1,MIN(10,BU$173))*(1+V_dPrecio))</f>
        <v>0</v>
      </c>
      <c r="BV226" s="34" t="n">
        <f aca="false">IF(BV$8=1,IF(Reales!$C$62="PYG",IF(BV$10&gt;0,N(Reales!BV62)/BV$10,0),N(Reales!BV62)),BV$201*INDEX(Precio_V,25)*INDEX(IdxPrecio_V,1,MIN(10,BV$173))*(1+V_dPrecio))</f>
        <v>0</v>
      </c>
      <c r="BW226" s="34" t="n">
        <f aca="false">IF(BW$8=1,IF(Reales!$C$62="PYG",IF(BW$10&gt;0,N(Reales!BW62)/BW$10,0),N(Reales!BW62)),BW$201*INDEX(Precio_V,25)*INDEX(IdxPrecio_V,1,MIN(10,BW$173))*(1+V_dPrecio))</f>
        <v>0</v>
      </c>
      <c r="BX226" s="34" t="n">
        <f aca="false">IF(BX$8=1,IF(Reales!$C$62="PYG",IF(BX$10&gt;0,N(Reales!BX62)/BX$10,0),N(Reales!BX62)),BX$201*INDEX(Precio_V,25)*INDEX(IdxPrecio_V,1,MIN(10,BX$173))*(1+V_dPrecio))</f>
        <v>0</v>
      </c>
      <c r="BY226" s="34" t="n">
        <f aca="false">IF(BY$8=1,IF(Reales!$C$62="PYG",IF(BY$10&gt;0,N(Reales!BY62)/BY$10,0),N(Reales!BY62)),BY$201*INDEX(Precio_V,25)*INDEX(IdxPrecio_V,1,MIN(10,BY$173))*(1+V_dPrecio))</f>
        <v>0</v>
      </c>
      <c r="BZ226" s="34" t="n">
        <f aca="false">IF(BZ$8=1,IF(Reales!$C$62="PYG",IF(BZ$10&gt;0,N(Reales!BZ62)/BZ$10,0),N(Reales!BZ62)),BZ$201*INDEX(Precio_V,25)*INDEX(IdxPrecio_V,1,MIN(10,BZ$173))*(1+V_dPrecio))</f>
        <v>0</v>
      </c>
      <c r="CA226" s="34" t="n">
        <f aca="false">IF(CA$8=1,IF(Reales!$C$62="PYG",IF(CA$10&gt;0,N(Reales!CA62)/CA$10,0),N(Reales!CA62)),CA$201*INDEX(Precio_V,25)*INDEX(IdxPrecio_V,1,MIN(10,CA$173))*(1+V_dPrecio))</f>
        <v>0</v>
      </c>
      <c r="CB226" s="34" t="n">
        <f aca="false">IF(CB$8=1,IF(Reales!$C$62="PYG",IF(CB$10&gt;0,N(Reales!CB62)/CB$10,0),N(Reales!CB62)),CB$201*INDEX(Precio_V,25)*INDEX(IdxPrecio_V,1,MIN(10,CB$173))*(1+V_dPrecio))</f>
        <v>0</v>
      </c>
      <c r="CC226" s="34" t="n">
        <f aca="false">IF(CC$8=1,IF(Reales!$C$62="PYG",IF(CC$10&gt;0,N(Reales!CC62)/CC$10,0),N(Reales!CC62)),CC$201*INDEX(Precio_V,25)*INDEX(IdxPrecio_V,1,MIN(10,CC$173))*(1+V_dPrecio))</f>
        <v>0</v>
      </c>
      <c r="CD226" s="34" t="n">
        <f aca="false">IF(CD$8=1,IF(Reales!$C$62="PYG",IF(CD$10&gt;0,N(Reales!CD62)/CD$10,0),N(Reales!CD62)),CD$201*INDEX(Precio_V,25)*INDEX(IdxPrecio_V,1,MIN(10,CD$173))*(1+V_dPrecio))</f>
        <v>0</v>
      </c>
      <c r="CE226" s="34" t="n">
        <f aca="false">IF(CE$8=1,IF(Reales!$C$62="PYG",IF(CE$10&gt;0,N(Reales!CE62)/CE$10,0),N(Reales!CE62)),CE$201*INDEX(Precio_V,25)*INDEX(IdxPrecio_V,1,MIN(10,CE$173))*(1+V_dPrecio))</f>
        <v>0</v>
      </c>
      <c r="CF226" s="34" t="n">
        <f aca="false">IF(CF$8=1,IF(Reales!$C$62="PYG",IF(CF$10&gt;0,N(Reales!CF62)/CF$10,0),N(Reales!CF62)),CF$201*INDEX(Precio_V,25)*INDEX(IdxPrecio_V,1,MIN(10,CF$173))*(1+V_dPrecio))</f>
        <v>0</v>
      </c>
      <c r="CG226" s="34" t="n">
        <f aca="false">IF(CG$8=1,IF(Reales!$C$62="PYG",IF(CG$10&gt;0,N(Reales!CG62)/CG$10,0),N(Reales!CG62)),CG$201*INDEX(Precio_V,25)*INDEX(IdxPrecio_V,1,MIN(10,CG$173))*(1+V_dPrecio))</f>
        <v>0</v>
      </c>
      <c r="CH226" s="34" t="n">
        <f aca="false">IF(CH$8=1,IF(Reales!$C$62="PYG",IF(CH$10&gt;0,N(Reales!CH62)/CH$10,0),N(Reales!CH62)),CH$201*INDEX(Precio_V,25)*INDEX(IdxPrecio_V,1,MIN(10,CH$173))*(1+V_dPrecio))</f>
        <v>0</v>
      </c>
      <c r="CI226" s="34" t="n">
        <f aca="false">IF(CI$8=1,IF(Reales!$C$62="PYG",IF(CI$10&gt;0,N(Reales!CI62)/CI$10,0),N(Reales!CI62)),CI$201*INDEX(Precio_V,25)*INDEX(IdxPrecio_V,1,MIN(10,CI$173))*(1+V_dPrecio))</f>
        <v>0</v>
      </c>
      <c r="CJ226" s="34" t="n">
        <f aca="false">IF(CJ$8=1,IF(Reales!$C$62="PYG",IF(CJ$10&gt;0,N(Reales!CJ62)/CJ$10,0),N(Reales!CJ62)),CJ$201*INDEX(Precio_V,25)*INDEX(IdxPrecio_V,1,MIN(10,CJ$173))*(1+V_dPrecio))</f>
        <v>0</v>
      </c>
      <c r="CK226" s="34" t="n">
        <f aca="false">IF(CK$8=1,IF(Reales!$C$62="PYG",IF(CK$10&gt;0,N(Reales!CK62)/CK$10,0),N(Reales!CK62)),CK$201*INDEX(Precio_V,25)*INDEX(IdxPrecio_V,1,MIN(10,CK$173))*(1+V_dPrecio))</f>
        <v>0</v>
      </c>
      <c r="CL226" s="34" t="n">
        <f aca="false">IF(CL$8=1,IF(Reales!$C$62="PYG",IF(CL$10&gt;0,N(Reales!CL62)/CL$10,0),N(Reales!CL62)),CL$201*INDEX(Precio_V,25)*INDEX(IdxPrecio_V,1,MIN(10,CL$173))*(1+V_dPrecio))</f>
        <v>0</v>
      </c>
      <c r="CM226" s="34" t="n">
        <f aca="false">IF(CM$8=1,IF(Reales!$C$62="PYG",IF(CM$10&gt;0,N(Reales!CM62)/CM$10,0),N(Reales!CM62)),CM$201*INDEX(Precio_V,25)*INDEX(IdxPrecio_V,1,MIN(10,CM$173))*(1+V_dPrecio))</f>
        <v>0</v>
      </c>
      <c r="CN226" s="34" t="n">
        <f aca="false">IF(CN$8=1,IF(Reales!$C$62="PYG",IF(CN$10&gt;0,N(Reales!CN62)/CN$10,0),N(Reales!CN62)),CN$201*INDEX(Precio_V,25)*INDEX(IdxPrecio_V,1,MIN(10,CN$173))*(1+V_dPrecio))</f>
        <v>0</v>
      </c>
      <c r="CO226" s="34" t="n">
        <f aca="false">IF(CO$8=1,IF(Reales!$C$62="PYG",IF(CO$10&gt;0,N(Reales!CO62)/CO$10,0),N(Reales!CO62)),CO$201*INDEX(Precio_V,25)*INDEX(IdxPrecio_V,1,MIN(10,CO$173))*(1+V_dPrecio))</f>
        <v>0</v>
      </c>
      <c r="CP226" s="34" t="n">
        <f aca="false">IF(CP$8=1,IF(Reales!$C$62="PYG",IF(CP$10&gt;0,N(Reales!CP62)/CP$10,0),N(Reales!CP62)),CP$201*INDEX(Precio_V,25)*INDEX(IdxPrecio_V,1,MIN(10,CP$173))*(1+V_dPrecio))</f>
        <v>0</v>
      </c>
      <c r="CQ226" s="34" t="n">
        <f aca="false">IF(CQ$8=1,IF(Reales!$C$62="PYG",IF(CQ$10&gt;0,N(Reales!CQ62)/CQ$10,0),N(Reales!CQ62)),CQ$201*INDEX(Precio_V,25)*INDEX(IdxPrecio_V,1,MIN(10,CQ$173))*(1+V_dPrecio))</f>
        <v>0</v>
      </c>
      <c r="CR226" s="34" t="n">
        <f aca="false">IF(CR$8=1,IF(Reales!$C$62="PYG",IF(CR$10&gt;0,N(Reales!CR62)/CR$10,0),N(Reales!CR62)),CR$201*INDEX(Precio_V,25)*INDEX(IdxPrecio_V,1,MIN(10,CR$173))*(1+V_dPrecio))</f>
        <v>0</v>
      </c>
      <c r="CS226" s="34" t="n">
        <f aca="false">IF(CS$8=1,IF(Reales!$C$62="PYG",IF(CS$10&gt;0,N(Reales!CS62)/CS$10,0),N(Reales!CS62)),CS$201*INDEX(Precio_V,25)*INDEX(IdxPrecio_V,1,MIN(10,CS$173))*(1+V_dPrecio))</f>
        <v>0</v>
      </c>
      <c r="CT226" s="34" t="n">
        <f aca="false">IF(CT$8=1,IF(Reales!$C$62="PYG",IF(CT$10&gt;0,N(Reales!CT62)/CT$10,0),N(Reales!CT62)),CT$201*INDEX(Precio_V,25)*INDEX(IdxPrecio_V,1,MIN(10,CT$173))*(1+V_dPrecio))</f>
        <v>0</v>
      </c>
      <c r="CU226" s="34" t="n">
        <f aca="false">IF(CU$8=1,IF(Reales!$C$62="PYG",IF(CU$10&gt;0,N(Reales!CU62)/CU$10,0),N(Reales!CU62)),CU$201*INDEX(Precio_V,25)*INDEX(IdxPrecio_V,1,MIN(10,CU$173))*(1+V_dPrecio))</f>
        <v>0</v>
      </c>
      <c r="CV226" s="34" t="n">
        <f aca="false">IF(CV$8=1,IF(Reales!$C$62="PYG",IF(CV$10&gt;0,N(Reales!CV62)/CV$10,0),N(Reales!CV62)),CV$201*INDEX(Precio_V,25)*INDEX(IdxPrecio_V,1,MIN(10,CV$173))*(1+V_dPrecio))</f>
        <v>0</v>
      </c>
      <c r="CW226" s="34" t="n">
        <f aca="false">IF(CW$8=1,IF(Reales!$C$62="PYG",IF(CW$10&gt;0,N(Reales!CW62)/CW$10,0),N(Reales!CW62)),CW$201*INDEX(Precio_V,25)*INDEX(IdxPrecio_V,1,MIN(10,CW$173))*(1+V_dPrecio))</f>
        <v>0</v>
      </c>
      <c r="CX226" s="34" t="n">
        <f aca="false">IF(CX$8=1,IF(Reales!$C$62="PYG",IF(CX$10&gt;0,N(Reales!CX62)/CX$10,0),N(Reales!CX62)),CX$201*INDEX(Precio_V,25)*INDEX(IdxPrecio_V,1,MIN(10,CX$173))*(1+V_dPrecio))</f>
        <v>0</v>
      </c>
      <c r="CY226" s="34" t="n">
        <f aca="false">IF(CY$8=1,IF(Reales!$C$62="PYG",IF(CY$10&gt;0,N(Reales!CY62)/CY$10,0),N(Reales!CY62)),CY$201*INDEX(Precio_V,25)*INDEX(IdxPrecio_V,1,MIN(10,CY$173))*(1+V_dPrecio))</f>
        <v>0</v>
      </c>
      <c r="CZ226" s="34" t="n">
        <f aca="false">IF(CZ$8=1,IF(Reales!$C$62="PYG",IF(CZ$10&gt;0,N(Reales!CZ62)/CZ$10,0),N(Reales!CZ62)),CZ$201*INDEX(Precio_V,25)*INDEX(IdxPrecio_V,1,MIN(10,CZ$173))*(1+V_dPrecio))</f>
        <v>0</v>
      </c>
      <c r="DA226" s="34" t="n">
        <f aca="false">IF(DA$8=1,IF(Reales!$C$62="PYG",IF(DA$10&gt;0,N(Reales!DA62)/DA$10,0),N(Reales!DA62)),DA$201*INDEX(Precio_V,25)*INDEX(IdxPrecio_V,1,MIN(10,DA$173))*(1+V_dPrecio))</f>
        <v>0</v>
      </c>
      <c r="DB226" s="34" t="n">
        <f aca="false">IF(DB$8=1,IF(Reales!$C$62="PYG",IF(DB$10&gt;0,N(Reales!DB62)/DB$10,0),N(Reales!DB62)),DB$201*INDEX(Precio_V,25)*INDEX(IdxPrecio_V,1,MIN(10,DB$173))*(1+V_dPrecio))</f>
        <v>0</v>
      </c>
      <c r="DC226" s="34" t="n">
        <f aca="false">IF(DC$8=1,IF(Reales!$C$62="PYG",IF(DC$10&gt;0,N(Reales!DC62)/DC$10,0),N(Reales!DC62)),DC$201*INDEX(Precio_V,25)*INDEX(IdxPrecio_V,1,MIN(10,DC$173))*(1+V_dPrecio))</f>
        <v>0</v>
      </c>
      <c r="DD226" s="34" t="n">
        <f aca="false">IF(DD$8=1,IF(Reales!$C$62="PYG",IF(DD$10&gt;0,N(Reales!DD62)/DD$10,0),N(Reales!DD62)),DD$201*INDEX(Precio_V,25)*INDEX(IdxPrecio_V,1,MIN(10,DD$173))*(1+V_dPrecio))</f>
        <v>0</v>
      </c>
      <c r="DE226" s="34" t="n">
        <f aca="false">IF(DE$8=1,IF(Reales!$C$62="PYG",IF(DE$10&gt;0,N(Reales!DE62)/DE$10,0),N(Reales!DE62)),DE$201*INDEX(Precio_V,25)*INDEX(IdxPrecio_V,1,MIN(10,DE$173))*(1+V_dPrecio))</f>
        <v>0</v>
      </c>
      <c r="DF226" s="34" t="n">
        <f aca="false">IF(DF$8=1,IF(Reales!$C$62="PYG",IF(DF$10&gt;0,N(Reales!DF62)/DF$10,0),N(Reales!DF62)),DF$201*INDEX(Precio_V,25)*INDEX(IdxPrecio_V,1,MIN(10,DF$173))*(1+V_dPrecio))</f>
        <v>0</v>
      </c>
      <c r="DG226" s="34" t="n">
        <f aca="false">IF(DG$8=1,IF(Reales!$C$62="PYG",IF(DG$10&gt;0,N(Reales!DG62)/DG$10,0),N(Reales!DG62)),DG$201*INDEX(Precio_V,25)*INDEX(IdxPrecio_V,1,MIN(10,DG$173))*(1+V_dPrecio))</f>
        <v>0</v>
      </c>
      <c r="DH226" s="34" t="n">
        <f aca="false">IF(DH$8=1,IF(Reales!$C$62="PYG",IF(DH$10&gt;0,N(Reales!DH62)/DH$10,0),N(Reales!DH62)),DH$201*INDEX(Precio_V,25)*INDEX(IdxPrecio_V,1,MIN(10,DH$173))*(1+V_dPrecio))</f>
        <v>0</v>
      </c>
      <c r="DI226" s="34" t="n">
        <f aca="false">IF(DI$8=1,IF(Reales!$C$62="PYG",IF(DI$10&gt;0,N(Reales!DI62)/DI$10,0),N(Reales!DI62)),DI$201*INDEX(Precio_V,25)*INDEX(IdxPrecio_V,1,MIN(10,DI$173))*(1+V_dPrecio))</f>
        <v>0</v>
      </c>
      <c r="DJ226" s="34" t="n">
        <f aca="false">IF(DJ$8=1,IF(Reales!$C$62="PYG",IF(DJ$10&gt;0,N(Reales!DJ62)/DJ$10,0),N(Reales!DJ62)),DJ$201*INDEX(Precio_V,25)*INDEX(IdxPrecio_V,1,MIN(10,DJ$173))*(1+V_dPrecio))</f>
        <v>0</v>
      </c>
      <c r="DK226" s="34" t="n">
        <f aca="false">IF(DK$8=1,IF(Reales!$C$62="PYG",IF(DK$10&gt;0,N(Reales!DK62)/DK$10,0),N(Reales!DK62)),DK$201*INDEX(Precio_V,25)*INDEX(IdxPrecio_V,1,MIN(10,DK$173))*(1+V_dPrecio))</f>
        <v>0</v>
      </c>
      <c r="DL226" s="34" t="n">
        <f aca="false">IF(DL$8=1,IF(Reales!$C$62="PYG",IF(DL$10&gt;0,N(Reales!DL62)/DL$10,0),N(Reales!DL62)),DL$201*INDEX(Precio_V,25)*INDEX(IdxPrecio_V,1,MIN(10,DL$173))*(1+V_dPrecio))</f>
        <v>0</v>
      </c>
      <c r="DM226" s="34" t="n">
        <f aca="false">IF(DM$8=1,IF(Reales!$C$62="PYG",IF(DM$10&gt;0,N(Reales!DM62)/DM$10,0),N(Reales!DM62)),DM$201*INDEX(Precio_V,25)*INDEX(IdxPrecio_V,1,MIN(10,DM$173))*(1+V_dPrecio))</f>
        <v>0</v>
      </c>
      <c r="DN226" s="34" t="n">
        <f aca="false">IF(DN$8=1,IF(Reales!$C$62="PYG",IF(DN$10&gt;0,N(Reales!DN62)/DN$10,0),N(Reales!DN62)),DN$201*INDEX(Precio_V,25)*INDEX(IdxPrecio_V,1,MIN(10,DN$173))*(1+V_dPrecio))</f>
        <v>0</v>
      </c>
      <c r="DO226" s="34" t="n">
        <f aca="false">IF(DO$8=1,IF(Reales!$C$62="PYG",IF(DO$10&gt;0,N(Reales!DO62)/DO$10,0),N(Reales!DO62)),DO$201*INDEX(Precio_V,25)*INDEX(IdxPrecio_V,1,MIN(10,DO$173))*(1+V_dPrecio))</f>
        <v>0</v>
      </c>
      <c r="DP226" s="34" t="n">
        <f aca="false">IF(DP$8=1,IF(Reales!$C$62="PYG",IF(DP$10&gt;0,N(Reales!DP62)/DP$10,0),N(Reales!DP62)),DP$201*INDEX(Precio_V,25)*INDEX(IdxPrecio_V,1,MIN(10,DP$173))*(1+V_dPrecio))</f>
        <v>0</v>
      </c>
      <c r="DQ226" s="34" t="n">
        <f aca="false">IF(DQ$8=1,IF(Reales!$C$62="PYG",IF(DQ$10&gt;0,N(Reales!DQ62)/DQ$10,0),N(Reales!DQ62)),DQ$201*INDEX(Precio_V,25)*INDEX(IdxPrecio_V,1,MIN(10,DQ$173))*(1+V_dPrecio))</f>
        <v>0</v>
      </c>
      <c r="DR226" s="34" t="n">
        <f aca="false">IF(DR$8=1,IF(Reales!$C$62="PYG",IF(DR$10&gt;0,N(Reales!DR62)/DR$10,0),N(Reales!DR62)),DR$201*INDEX(Precio_V,25)*INDEX(IdxPrecio_V,1,MIN(10,DR$173))*(1+V_dPrecio))</f>
        <v>0</v>
      </c>
      <c r="DS226" s="34" t="n">
        <f aca="false">IF(DS$8=1,IF(Reales!$C$62="PYG",IF(DS$10&gt;0,N(Reales!DS62)/DS$10,0),N(Reales!DS62)),DS$201*INDEX(Precio_V,25)*INDEX(IdxPrecio_V,1,MIN(10,DS$173))*(1+V_dPrecio))</f>
        <v>0</v>
      </c>
      <c r="DT226" s="34" t="n">
        <f aca="false">IF(DT$8=1,IF(Reales!$C$62="PYG",IF(DT$10&gt;0,N(Reales!DT62)/DT$10,0),N(Reales!DT62)),DT$201*INDEX(Precio_V,25)*INDEX(IdxPrecio_V,1,MIN(10,DT$173))*(1+V_dPrecio))</f>
        <v>0</v>
      </c>
      <c r="DU226" s="34" t="n">
        <f aca="false">IF(DU$8=1,IF(Reales!$C$62="PYG",IF(DU$10&gt;0,N(Reales!DU62)/DU$10,0),N(Reales!DU62)),DU$201*INDEX(Precio_V,25)*INDEX(IdxPrecio_V,1,MIN(10,DU$173))*(1+V_dPrecio))</f>
        <v>0</v>
      </c>
      <c r="DV226" s="34" t="n">
        <f aca="false">IF(DV$8=1,IF(Reales!$C$62="PYG",IF(DV$10&gt;0,N(Reales!DV62)/DV$10,0),N(Reales!DV62)),DV$201*INDEX(Precio_V,25)*INDEX(IdxPrecio_V,1,MIN(10,DV$173))*(1+V_dPrecio))</f>
        <v>0</v>
      </c>
      <c r="DW226" s="34" t="n">
        <f aca="false">IF(DW$8=1,IF(Reales!$C$62="PYG",IF(DW$10&gt;0,N(Reales!DW62)/DW$10,0),N(Reales!DW62)),DW$201*INDEX(Precio_V,25)*INDEX(IdxPrecio_V,1,MIN(10,DW$173))*(1+V_dPrecio))</f>
        <v>0</v>
      </c>
      <c r="DX226" s="34" t="n">
        <f aca="false">IF(DX$8=1,IF(Reales!$C$62="PYG",IF(DX$10&gt;0,N(Reales!DX62)/DX$10,0),N(Reales!DX62)),DX$201*INDEX(Precio_V,25)*INDEX(IdxPrecio_V,1,MIN(10,DX$173))*(1+V_dPrecio))</f>
        <v>0</v>
      </c>
      <c r="DY226" s="34" t="n">
        <f aca="false">IF(DY$8=1,IF(Reales!$C$62="PYG",IF(DY$10&gt;0,N(Reales!DY62)/DY$10,0),N(Reales!DY62)),DY$201*INDEX(Precio_V,25)*INDEX(IdxPrecio_V,1,MIN(10,DY$173))*(1+V_dPrecio))</f>
        <v>0</v>
      </c>
      <c r="DZ226" s="34" t="n">
        <f aca="false">IF(DZ$8=1,IF(Reales!$C$62="PYG",IF(DZ$10&gt;0,N(Reales!DZ62)/DZ$10,0),N(Reales!DZ62)),DZ$201*INDEX(Precio_V,25)*INDEX(IdxPrecio_V,1,MIN(10,DZ$173))*(1+V_dPrecio))</f>
        <v>0</v>
      </c>
      <c r="EA226" s="34" t="n">
        <f aca="false">IF(EA$8=1,IF(Reales!$C$62="PYG",IF(EA$10&gt;0,N(Reales!EA62)/EA$10,0),N(Reales!EA62)),EA$201*INDEX(Precio_V,25)*INDEX(IdxPrecio_V,1,MIN(10,EA$173))*(1+V_dPrecio))</f>
        <v>0</v>
      </c>
      <c r="EB226" s="34" t="n">
        <f aca="false">IF(EB$8=1,IF(Reales!$C$62="PYG",IF(EB$10&gt;0,N(Reales!EB62)/EB$10,0),N(Reales!EB62)),EB$201*INDEX(Precio_V,25)*INDEX(IdxPrecio_V,1,MIN(10,EB$173))*(1+V_dPrecio))</f>
        <v>0</v>
      </c>
      <c r="EC226" s="34" t="n">
        <f aca="false">IF(EC$8=1,IF(Reales!$C$62="PYG",IF(EC$10&gt;0,N(Reales!EC62)/EC$10,0),N(Reales!EC62)),EC$201*INDEX(Precio_V,25)*INDEX(IdxPrecio_V,1,MIN(10,EC$173))*(1+V_dPrecio))</f>
        <v>0</v>
      </c>
      <c r="ED226" s="34" t="n">
        <f aca="false">IF(ED$8=1,IF(Reales!$C$62="PYG",IF(ED$10&gt;0,N(Reales!ED62)/ED$10,0),N(Reales!ED62)),ED$201*INDEX(Precio_V,25)*INDEX(IdxPrecio_V,1,MIN(10,ED$173))*(1+V_dPrecio))</f>
        <v>0</v>
      </c>
      <c r="EE226" s="34" t="n">
        <f aca="false">IF(EE$8=1,IF(Reales!$C$62="PYG",IF(EE$10&gt;0,N(Reales!EE62)/EE$10,0),N(Reales!EE62)),EE$201*INDEX(Precio_V,25)*INDEX(IdxPrecio_V,1,MIN(10,EE$173))*(1+V_dPrecio))</f>
        <v>0</v>
      </c>
      <c r="EF226" s="34" t="n">
        <f aca="false">IF(EF$8=1,IF(Reales!$C$62="PYG",IF(EF$10&gt;0,N(Reales!EF62)/EF$10,0),N(Reales!EF62)),EF$201*INDEX(Precio_V,25)*INDEX(IdxPrecio_V,1,MIN(10,EF$173))*(1+V_dPrecio))</f>
        <v>0</v>
      </c>
      <c r="EG226" s="34" t="n">
        <f aca="false">IF(EG$8=1,IF(Reales!$C$62="PYG",IF(EG$10&gt;0,N(Reales!EG62)/EG$10,0),N(Reales!EG62)),EG$201*INDEX(Precio_V,25)*INDEX(IdxPrecio_V,1,MIN(10,EG$173))*(1+V_dPrecio))</f>
        <v>0</v>
      </c>
      <c r="EH226" s="34" t="n">
        <f aca="false">IF(EH$8=1,IF(Reales!$C$62="PYG",IF(EH$10&gt;0,N(Reales!EH62)/EH$10,0),N(Reales!EH62)),EH$201*INDEX(Precio_V,25)*INDEX(IdxPrecio_V,1,MIN(10,EH$173))*(1+V_dPrecio))</f>
        <v>0</v>
      </c>
      <c r="EI226" s="34" t="n">
        <f aca="false">IF(EI$8=1,IF(Reales!$C$62="PYG",IF(EI$10&gt;0,N(Reales!EI62)/EI$10,0),N(Reales!EI62)),EI$201*INDEX(Precio_V,25)*INDEX(IdxPrecio_V,1,MIN(10,EI$173))*(1+V_dPrecio))</f>
        <v>0</v>
      </c>
      <c r="EJ226" s="34" t="n">
        <f aca="false">IF(EJ$8=1,IF(Reales!$C$62="PYG",IF(EJ$10&gt;0,N(Reales!EJ62)/EJ$10,0),N(Reales!EJ62)),EJ$201*INDEX(Precio_V,25)*INDEX(IdxPrecio_V,1,MIN(10,EJ$173))*(1+V_dPrecio))</f>
        <v>0</v>
      </c>
      <c r="EK226" s="34" t="n">
        <f aca="false">IF(EK$8=1,IF(Reales!$C$62="PYG",IF(EK$10&gt;0,N(Reales!EK62)/EK$10,0),N(Reales!EK62)),EK$201*INDEX(Precio_V,25)*INDEX(IdxPrecio_V,1,MIN(10,EK$173))*(1+V_dPrecio))</f>
        <v>0</v>
      </c>
      <c r="EL226" s="34" t="n">
        <f aca="false">IF(EL$8=1,IF(Reales!$C$62="PYG",IF(EL$10&gt;0,N(Reales!EL62)/EL$10,0),N(Reales!EL62)),EL$201*INDEX(Precio_V,25)*INDEX(IdxPrecio_V,1,MIN(10,EL$173))*(1+V_dPrecio))</f>
        <v>0</v>
      </c>
      <c r="EM226" s="34" t="n">
        <f aca="false">IF(EM$8=1,IF(Reales!$C$62="PYG",IF(EM$10&gt;0,N(Reales!EM62)/EM$10,0),N(Reales!EM62)),EM$201*INDEX(Precio_V,25)*INDEX(IdxPrecio_V,1,MIN(10,EM$173))*(1+V_dPrecio))</f>
        <v>0</v>
      </c>
      <c r="EN226" s="34" t="n">
        <f aca="false">IF(EN$8=1,IF(Reales!$C$62="PYG",IF(EN$10&gt;0,N(Reales!EN62)/EN$10,0),N(Reales!EN62)),EN$201*INDEX(Precio_V,25)*INDEX(IdxPrecio_V,1,MIN(10,EN$173))*(1+V_dPrecio))</f>
        <v>0</v>
      </c>
      <c r="EO226" s="34" t="n">
        <f aca="false">IF(EO$8=1,IF(Reales!$C$62="PYG",IF(EO$10&gt;0,N(Reales!EO62)/EO$10,0),N(Reales!EO62)),EO$201*INDEX(Precio_V,25)*INDEX(IdxPrecio_V,1,MIN(10,EO$173))*(1+V_dPrecio))</f>
        <v>0</v>
      </c>
      <c r="EP226" s="34" t="n">
        <f aca="false">IF(EP$8=1,IF(Reales!$C$62="PYG",IF(EP$10&gt;0,N(Reales!EP62)/EP$10,0),N(Reales!EP62)),EP$201*INDEX(Precio_V,25)*INDEX(IdxPrecio_V,1,MIN(10,EP$173))*(1+V_dPrecio))</f>
        <v>0</v>
      </c>
      <c r="EQ226" s="34" t="n">
        <f aca="false">IF(EQ$8=1,IF(Reales!$C$62="PYG",IF(EQ$10&gt;0,N(Reales!EQ62)/EQ$10,0),N(Reales!EQ62)),EQ$201*INDEX(Precio_V,25)*INDEX(IdxPrecio_V,1,MIN(10,EQ$173))*(1+V_dPrecio))</f>
        <v>0</v>
      </c>
      <c r="ER226" s="34" t="n">
        <f aca="false">IF(ER$8=1,IF(Reales!$C$62="PYG",IF(ER$10&gt;0,N(Reales!ER62)/ER$10,0),N(Reales!ER62)),ER$201*INDEX(Precio_V,25)*INDEX(IdxPrecio_V,1,MIN(10,ER$173))*(1+V_dPrecio))</f>
        <v>0</v>
      </c>
      <c r="ES226" s="34" t="n">
        <f aca="false">IF(ES$8=1,IF(Reales!$C$62="PYG",IF(ES$10&gt;0,N(Reales!ES62)/ES$10,0),N(Reales!ES62)),ES$201*INDEX(Precio_V,25)*INDEX(IdxPrecio_V,1,MIN(10,ES$173))*(1+V_dPrecio))</f>
        <v>0</v>
      </c>
    </row>
    <row r="227" customFormat="false" ht="15" hidden="false" customHeight="false" outlineLevel="0" collapsed="false">
      <c r="A227" s="2" t="s">
        <v>869</v>
      </c>
      <c r="B227" s="52" t="s">
        <v>635</v>
      </c>
      <c r="C227" s="6" t="s">
        <v>250</v>
      </c>
      <c r="E227" s="40" t="n">
        <f aca="false">SUM(F227:ES227)</f>
        <v>81222447.7216454</v>
      </c>
      <c r="F227" s="10" t="n">
        <f aca="false">SUM(F$202:F$226)</f>
        <v>404166.666666667</v>
      </c>
      <c r="G227" s="10" t="n">
        <f aca="false">SUM(G$202:G$226)</f>
        <v>404166.666666667</v>
      </c>
      <c r="H227" s="10" t="n">
        <f aca="false">SUM(H$202:H$226)</f>
        <v>404166.666666667</v>
      </c>
      <c r="I227" s="10" t="n">
        <f aca="false">SUM(I$202:I$226)</f>
        <v>404166.666666667</v>
      </c>
      <c r="J227" s="10" t="n">
        <f aca="false">SUM(J$202:J$226)</f>
        <v>404166.666666667</v>
      </c>
      <c r="K227" s="10" t="n">
        <f aca="false">SUM(K$202:K$226)</f>
        <v>404166.666666667</v>
      </c>
      <c r="L227" s="10" t="n">
        <f aca="false">SUM(L$202:L$226)</f>
        <v>404166.666666667</v>
      </c>
      <c r="M227" s="10" t="n">
        <f aca="false">SUM(M$202:M$226)</f>
        <v>404166.666666667</v>
      </c>
      <c r="N227" s="10" t="n">
        <f aca="false">SUM(N$202:N$226)</f>
        <v>404166.666666667</v>
      </c>
      <c r="O227" s="10" t="n">
        <f aca="false">SUM(O$202:O$226)</f>
        <v>404166.666666667</v>
      </c>
      <c r="P227" s="10" t="n">
        <f aca="false">SUM(P$202:P$226)</f>
        <v>404166.666666667</v>
      </c>
      <c r="Q227" s="10" t="n">
        <f aca="false">SUM(Q$202:Q$226)</f>
        <v>404166.666666667</v>
      </c>
      <c r="R227" s="10" t="n">
        <f aca="false">SUM(R$202:R$226)</f>
        <v>515100</v>
      </c>
      <c r="S227" s="10" t="n">
        <f aca="false">SUM(S$202:S$226)</f>
        <v>515100</v>
      </c>
      <c r="T227" s="10" t="n">
        <f aca="false">SUM(T$202:T$226)</f>
        <v>515100</v>
      </c>
      <c r="U227" s="10" t="n">
        <f aca="false">SUM(U$202:U$226)</f>
        <v>515100</v>
      </c>
      <c r="V227" s="10" t="n">
        <f aca="false">SUM(V$202:V$226)</f>
        <v>515100</v>
      </c>
      <c r="W227" s="10" t="n">
        <f aca="false">SUM(W$202:W$226)</f>
        <v>515100</v>
      </c>
      <c r="X227" s="10" t="n">
        <f aca="false">SUM(X$202:X$226)</f>
        <v>515100</v>
      </c>
      <c r="Y227" s="10" t="n">
        <f aca="false">SUM(Y$202:Y$226)</f>
        <v>515100</v>
      </c>
      <c r="Z227" s="10" t="n">
        <f aca="false">SUM(Z$202:Z$226)</f>
        <v>515100</v>
      </c>
      <c r="AA227" s="10" t="n">
        <f aca="false">SUM(AA$202:AA$226)</f>
        <v>515100</v>
      </c>
      <c r="AB227" s="10" t="n">
        <f aca="false">SUM(AB$202:AB$226)</f>
        <v>515100</v>
      </c>
      <c r="AC227" s="10" t="n">
        <f aca="false">SUM(AC$202:AC$226)</f>
        <v>515100</v>
      </c>
      <c r="AD227" s="10" t="n">
        <f aca="false">SUM(AD$202:AD$226)</f>
        <v>628211.583333333</v>
      </c>
      <c r="AE227" s="10" t="n">
        <f aca="false">SUM(AE$202:AE$226)</f>
        <v>628211.583333333</v>
      </c>
      <c r="AF227" s="10" t="n">
        <f aca="false">SUM(AF$202:AF$226)</f>
        <v>628211.583333333</v>
      </c>
      <c r="AG227" s="10" t="n">
        <f aca="false">SUM(AG$202:AG$226)</f>
        <v>628211.583333333</v>
      </c>
      <c r="AH227" s="10" t="n">
        <f aca="false">SUM(AH$202:AH$226)</f>
        <v>628211.583333333</v>
      </c>
      <c r="AI227" s="10" t="n">
        <f aca="false">SUM(AI$202:AI$226)</f>
        <v>628211.583333333</v>
      </c>
      <c r="AJ227" s="10" t="n">
        <f aca="false">SUM(AJ$202:AJ$226)</f>
        <v>628211.583333333</v>
      </c>
      <c r="AK227" s="10" t="n">
        <f aca="false">SUM(AK$202:AK$226)</f>
        <v>628211.583333333</v>
      </c>
      <c r="AL227" s="10" t="n">
        <f aca="false">SUM(AL$202:AL$226)</f>
        <v>628211.583333333</v>
      </c>
      <c r="AM227" s="10" t="n">
        <f aca="false">SUM(AM$202:AM$226)</f>
        <v>628211.583333333</v>
      </c>
      <c r="AN227" s="10" t="n">
        <f aca="false">SUM(AN$202:AN$226)</f>
        <v>628211.583333333</v>
      </c>
      <c r="AO227" s="10" t="n">
        <f aca="false">SUM(AO$202:AO$226)</f>
        <v>628211.583333333</v>
      </c>
      <c r="AP227" s="10" t="n">
        <f aca="false">SUM(AP$202:AP$226)</f>
        <v>723786.4525</v>
      </c>
      <c r="AQ227" s="10" t="n">
        <f aca="false">SUM(AQ$202:AQ$226)</f>
        <v>723786.4525</v>
      </c>
      <c r="AR227" s="10" t="n">
        <f aca="false">SUM(AR$202:AR$226)</f>
        <v>723786.4525</v>
      </c>
      <c r="AS227" s="10" t="n">
        <f aca="false">SUM(AS$202:AS$226)</f>
        <v>723786.4525</v>
      </c>
      <c r="AT227" s="10" t="n">
        <f aca="false">SUM(AT$202:AT$226)</f>
        <v>723786.4525</v>
      </c>
      <c r="AU227" s="10" t="n">
        <f aca="false">SUM(AU$202:AU$226)</f>
        <v>723786.4525</v>
      </c>
      <c r="AV227" s="10" t="n">
        <f aca="false">SUM(AV$202:AV$226)</f>
        <v>723786.4525</v>
      </c>
      <c r="AW227" s="10" t="n">
        <f aca="false">SUM(AW$202:AW$226)</f>
        <v>723786.4525</v>
      </c>
      <c r="AX227" s="10" t="n">
        <f aca="false">SUM(AX$202:AX$226)</f>
        <v>723786.4525</v>
      </c>
      <c r="AY227" s="10" t="n">
        <f aca="false">SUM(AY$202:AY$226)</f>
        <v>723786.4525</v>
      </c>
      <c r="AZ227" s="10" t="n">
        <f aca="false">SUM(AZ$202:AZ$226)</f>
        <v>723786.4525</v>
      </c>
      <c r="BA227" s="10" t="n">
        <f aca="false">SUM(BA$202:BA$226)</f>
        <v>723786.4525</v>
      </c>
      <c r="BB227" s="10" t="n">
        <f aca="false">SUM(BB$202:BB$226)</f>
        <v>731024.317025</v>
      </c>
      <c r="BC227" s="10" t="n">
        <f aca="false">SUM(BC$202:BC$226)</f>
        <v>731024.317025</v>
      </c>
      <c r="BD227" s="10" t="n">
        <f aca="false">SUM(BD$202:BD$226)</f>
        <v>731024.317025</v>
      </c>
      <c r="BE227" s="10" t="n">
        <f aca="false">SUM(BE$202:BE$226)</f>
        <v>731024.317025</v>
      </c>
      <c r="BF227" s="10" t="n">
        <f aca="false">SUM(BF$202:BF$226)</f>
        <v>731024.317025</v>
      </c>
      <c r="BG227" s="10" t="n">
        <f aca="false">SUM(BG$202:BG$226)</f>
        <v>731024.317025</v>
      </c>
      <c r="BH227" s="10" t="n">
        <f aca="false">SUM(BH$202:BH$226)</f>
        <v>731024.317025</v>
      </c>
      <c r="BI227" s="10" t="n">
        <f aca="false">SUM(BI$202:BI$226)</f>
        <v>731024.317025</v>
      </c>
      <c r="BJ227" s="10" t="n">
        <f aca="false">SUM(BJ$202:BJ$226)</f>
        <v>731024.317025</v>
      </c>
      <c r="BK227" s="10" t="n">
        <f aca="false">SUM(BK$202:BK$226)</f>
        <v>731024.317025</v>
      </c>
      <c r="BL227" s="10" t="n">
        <f aca="false">SUM(BL$202:BL$226)</f>
        <v>731024.317025</v>
      </c>
      <c r="BM227" s="10" t="n">
        <f aca="false">SUM(BM$202:BM$226)</f>
        <v>731024.317025</v>
      </c>
      <c r="BN227" s="10" t="n">
        <f aca="false">SUM(BN$202:BN$226)</f>
        <v>738334.56019525</v>
      </c>
      <c r="BO227" s="10" t="n">
        <f aca="false">SUM(BO$202:BO$226)</f>
        <v>738334.56019525</v>
      </c>
      <c r="BP227" s="10" t="n">
        <f aca="false">SUM(BP$202:BP$226)</f>
        <v>738334.56019525</v>
      </c>
      <c r="BQ227" s="10" t="n">
        <f aca="false">SUM(BQ$202:BQ$226)</f>
        <v>738334.56019525</v>
      </c>
      <c r="BR227" s="10" t="n">
        <f aca="false">SUM(BR$202:BR$226)</f>
        <v>738334.56019525</v>
      </c>
      <c r="BS227" s="10" t="n">
        <f aca="false">SUM(BS$202:BS$226)</f>
        <v>738334.56019525</v>
      </c>
      <c r="BT227" s="10" t="n">
        <f aca="false">SUM(BT$202:BT$226)</f>
        <v>738334.56019525</v>
      </c>
      <c r="BU227" s="10" t="n">
        <f aca="false">SUM(BU$202:BU$226)</f>
        <v>738334.56019525</v>
      </c>
      <c r="BV227" s="10" t="n">
        <f aca="false">SUM(BV$202:BV$226)</f>
        <v>738334.56019525</v>
      </c>
      <c r="BW227" s="10" t="n">
        <f aca="false">SUM(BW$202:BW$226)</f>
        <v>738334.56019525</v>
      </c>
      <c r="BX227" s="10" t="n">
        <f aca="false">SUM(BX$202:BX$226)</f>
        <v>738334.56019525</v>
      </c>
      <c r="BY227" s="10" t="n">
        <f aca="false">SUM(BY$202:BY$226)</f>
        <v>738334.56019525</v>
      </c>
      <c r="BZ227" s="10" t="n">
        <f aca="false">SUM(BZ$202:BZ$226)</f>
        <v>745717.905797202</v>
      </c>
      <c r="CA227" s="10" t="n">
        <f aca="false">SUM(CA$202:CA$226)</f>
        <v>745717.905797202</v>
      </c>
      <c r="CB227" s="10" t="n">
        <f aca="false">SUM(CB$202:CB$226)</f>
        <v>745717.905797202</v>
      </c>
      <c r="CC227" s="10" t="n">
        <f aca="false">SUM(CC$202:CC$226)</f>
        <v>745717.905797202</v>
      </c>
      <c r="CD227" s="10" t="n">
        <f aca="false">SUM(CD$202:CD$226)</f>
        <v>745717.905797202</v>
      </c>
      <c r="CE227" s="10" t="n">
        <f aca="false">SUM(CE$202:CE$226)</f>
        <v>745717.905797202</v>
      </c>
      <c r="CF227" s="10" t="n">
        <f aca="false">SUM(CF$202:CF$226)</f>
        <v>745717.905797202</v>
      </c>
      <c r="CG227" s="10" t="n">
        <f aca="false">SUM(CG$202:CG$226)</f>
        <v>745717.905797202</v>
      </c>
      <c r="CH227" s="10" t="n">
        <f aca="false">SUM(CH$202:CH$226)</f>
        <v>745717.905797202</v>
      </c>
      <c r="CI227" s="10" t="n">
        <f aca="false">SUM(CI$202:CI$226)</f>
        <v>745717.905797202</v>
      </c>
      <c r="CJ227" s="10" t="n">
        <f aca="false">SUM(CJ$202:CJ$226)</f>
        <v>745717.905797202</v>
      </c>
      <c r="CK227" s="10" t="n">
        <f aca="false">SUM(CK$202:CK$226)</f>
        <v>745717.905797202</v>
      </c>
      <c r="CL227" s="10" t="n">
        <f aca="false">SUM(CL$202:CL$226)</f>
        <v>753175.084855174</v>
      </c>
      <c r="CM227" s="10" t="n">
        <f aca="false">SUM(CM$202:CM$226)</f>
        <v>753175.084855174</v>
      </c>
      <c r="CN227" s="10" t="n">
        <f aca="false">SUM(CN$202:CN$226)</f>
        <v>753175.084855174</v>
      </c>
      <c r="CO227" s="10" t="n">
        <f aca="false">SUM(CO$202:CO$226)</f>
        <v>753175.084855174</v>
      </c>
      <c r="CP227" s="10" t="n">
        <f aca="false">SUM(CP$202:CP$226)</f>
        <v>753175.084855174</v>
      </c>
      <c r="CQ227" s="10" t="n">
        <f aca="false">SUM(CQ$202:CQ$226)</f>
        <v>753175.084855174</v>
      </c>
      <c r="CR227" s="10" t="n">
        <f aca="false">SUM(CR$202:CR$226)</f>
        <v>753175.084855174</v>
      </c>
      <c r="CS227" s="10" t="n">
        <f aca="false">SUM(CS$202:CS$226)</f>
        <v>753175.084855174</v>
      </c>
      <c r="CT227" s="10" t="n">
        <f aca="false">SUM(CT$202:CT$226)</f>
        <v>753175.084855174</v>
      </c>
      <c r="CU227" s="10" t="n">
        <f aca="false">SUM(CU$202:CU$226)</f>
        <v>753175.084855174</v>
      </c>
      <c r="CV227" s="10" t="n">
        <f aca="false">SUM(CV$202:CV$226)</f>
        <v>753175.084855174</v>
      </c>
      <c r="CW227" s="10" t="n">
        <f aca="false">SUM(CW$202:CW$226)</f>
        <v>753175.084855174</v>
      </c>
      <c r="CX227" s="10" t="n">
        <f aca="false">SUM(CX$202:CX$226)</f>
        <v>760706.835703726</v>
      </c>
      <c r="CY227" s="10" t="n">
        <f aca="false">SUM(CY$202:CY$226)</f>
        <v>760706.835703726</v>
      </c>
      <c r="CZ227" s="10" t="n">
        <f aca="false">SUM(CZ$202:CZ$226)</f>
        <v>760706.835703726</v>
      </c>
      <c r="DA227" s="10" t="n">
        <f aca="false">SUM(DA$202:DA$226)</f>
        <v>760706.835703726</v>
      </c>
      <c r="DB227" s="10" t="n">
        <f aca="false">SUM(DB$202:DB$226)</f>
        <v>760706.835703726</v>
      </c>
      <c r="DC227" s="10" t="n">
        <f aca="false">SUM(DC$202:DC$226)</f>
        <v>760706.835703726</v>
      </c>
      <c r="DD227" s="10" t="n">
        <f aca="false">SUM(DD$202:DD$226)</f>
        <v>760706.835703726</v>
      </c>
      <c r="DE227" s="10" t="n">
        <f aca="false">SUM(DE$202:DE$226)</f>
        <v>760706.835703726</v>
      </c>
      <c r="DF227" s="10" t="n">
        <f aca="false">SUM(DF$202:DF$226)</f>
        <v>760706.835703726</v>
      </c>
      <c r="DG227" s="10" t="n">
        <f aca="false">SUM(DG$202:DG$226)</f>
        <v>760706.835703726</v>
      </c>
      <c r="DH227" s="10" t="n">
        <f aca="false">SUM(DH$202:DH$226)</f>
        <v>760706.835703726</v>
      </c>
      <c r="DI227" s="10" t="n">
        <f aca="false">SUM(DI$202:DI$226)</f>
        <v>760706.835703726</v>
      </c>
      <c r="DJ227" s="10" t="n">
        <f aca="false">SUM(DJ$202:DJ$226)</f>
        <v>768313.904060764</v>
      </c>
      <c r="DK227" s="10" t="n">
        <f aca="false">SUM(DK$202:DK$226)</f>
        <v>768313.904060764</v>
      </c>
      <c r="DL227" s="10" t="n">
        <f aca="false">SUM(DL$202:DL$226)</f>
        <v>768313.904060764</v>
      </c>
      <c r="DM227" s="10" t="n">
        <f aca="false">SUM(DM$202:DM$226)</f>
        <v>768313.904060764</v>
      </c>
      <c r="DN227" s="10" t="n">
        <f aca="false">SUM(DN$202:DN$226)</f>
        <v>768313.904060764</v>
      </c>
      <c r="DO227" s="10" t="n">
        <f aca="false">SUM(DO$202:DO$226)</f>
        <v>768313.904060764</v>
      </c>
      <c r="DP227" s="10" t="n">
        <f aca="false">SUM(DP$202:DP$226)</f>
        <v>768313.904060764</v>
      </c>
      <c r="DQ227" s="10" t="n">
        <f aca="false">SUM(DQ$202:DQ$226)</f>
        <v>768313.904060764</v>
      </c>
      <c r="DR227" s="10" t="n">
        <f aca="false">SUM(DR$202:DR$226)</f>
        <v>768313.904060764</v>
      </c>
      <c r="DS227" s="10" t="n">
        <f aca="false">SUM(DS$202:DS$226)</f>
        <v>768313.904060764</v>
      </c>
      <c r="DT227" s="10" t="n">
        <f aca="false">SUM(DT$202:DT$226)</f>
        <v>768313.904060764</v>
      </c>
      <c r="DU227" s="10" t="n">
        <f aca="false">SUM(DU$202:DU$226)</f>
        <v>768313.904060764</v>
      </c>
      <c r="DV227" s="10" t="n">
        <f aca="false">SUM(DV$202:DV$226)</f>
        <v>0</v>
      </c>
      <c r="DW227" s="10" t="n">
        <f aca="false">SUM(DW$202:DW$226)</f>
        <v>0</v>
      </c>
      <c r="DX227" s="10" t="n">
        <f aca="false">SUM(DX$202:DX$226)</f>
        <v>0</v>
      </c>
      <c r="DY227" s="10" t="n">
        <f aca="false">SUM(DY$202:DY$226)</f>
        <v>0</v>
      </c>
      <c r="DZ227" s="10" t="n">
        <f aca="false">SUM(DZ$202:DZ$226)</f>
        <v>0</v>
      </c>
      <c r="EA227" s="10" t="n">
        <f aca="false">SUM(EA$202:EA$226)</f>
        <v>0</v>
      </c>
      <c r="EB227" s="10" t="n">
        <f aca="false">SUM(EB$202:EB$226)</f>
        <v>0</v>
      </c>
      <c r="EC227" s="10" t="n">
        <f aca="false">SUM(EC$202:EC$226)</f>
        <v>0</v>
      </c>
      <c r="ED227" s="10" t="n">
        <f aca="false">SUM(ED$202:ED$226)</f>
        <v>0</v>
      </c>
      <c r="EE227" s="10" t="n">
        <f aca="false">SUM(EE$202:EE$226)</f>
        <v>0</v>
      </c>
      <c r="EF227" s="10" t="n">
        <f aca="false">SUM(EF$202:EF$226)</f>
        <v>0</v>
      </c>
      <c r="EG227" s="10" t="n">
        <f aca="false">SUM(EG$202:EG$226)</f>
        <v>0</v>
      </c>
      <c r="EH227" s="10" t="n">
        <f aca="false">SUM(EH$202:EH$226)</f>
        <v>0</v>
      </c>
      <c r="EI227" s="10" t="n">
        <f aca="false">SUM(EI$202:EI$226)</f>
        <v>0</v>
      </c>
      <c r="EJ227" s="10" t="n">
        <f aca="false">SUM(EJ$202:EJ$226)</f>
        <v>0</v>
      </c>
      <c r="EK227" s="10" t="n">
        <f aca="false">SUM(EK$202:EK$226)</f>
        <v>0</v>
      </c>
      <c r="EL227" s="10" t="n">
        <f aca="false">SUM(EL$202:EL$226)</f>
        <v>0</v>
      </c>
      <c r="EM227" s="10" t="n">
        <f aca="false">SUM(EM$202:EM$226)</f>
        <v>0</v>
      </c>
      <c r="EN227" s="10" t="n">
        <f aca="false">SUM(EN$202:EN$226)</f>
        <v>0</v>
      </c>
      <c r="EO227" s="10" t="n">
        <f aca="false">SUM(EO$202:EO$226)</f>
        <v>0</v>
      </c>
      <c r="EP227" s="10" t="n">
        <f aca="false">SUM(EP$202:EP$226)</f>
        <v>0</v>
      </c>
      <c r="EQ227" s="10" t="n">
        <f aca="false">SUM(EQ$202:EQ$226)</f>
        <v>0</v>
      </c>
      <c r="ER227" s="10" t="n">
        <f aca="false">SUM(ER$202:ER$226)</f>
        <v>0</v>
      </c>
      <c r="ES227" s="10" t="n">
        <f aca="false">SUM(ES$202:ES$226)</f>
        <v>0</v>
      </c>
    </row>
    <row r="228" customFormat="false" ht="15" hidden="false" customHeight="false" outlineLevel="0" collapsed="false">
      <c r="A228" s="4"/>
      <c r="B228" s="3" t="s">
        <v>636</v>
      </c>
      <c r="C228" s="4"/>
      <c r="D228" s="4"/>
      <c r="E228" s="4"/>
    </row>
    <row r="229" customFormat="false" ht="15" hidden="false" customHeight="false" outlineLevel="0" collapsed="false">
      <c r="A229" s="2" t="s">
        <v>870</v>
      </c>
      <c r="B229" s="6" t="s">
        <v>638</v>
      </c>
      <c r="C229" s="6" t="s">
        <v>250</v>
      </c>
      <c r="E229" s="40" t="n">
        <f aca="false">SUM(F229:ES229)</f>
        <v>25293483.38356</v>
      </c>
      <c r="F229" s="34" t="n">
        <f aca="false">SUMPRODUCT(F177:F201,MP_V)*INDEX(IdxMP_V,1,MIN(10,F$173))*(1+V_dMat)/(1-V_Merma)</f>
        <v>125875</v>
      </c>
      <c r="G229" s="34" t="n">
        <f aca="false">SUMPRODUCT(G177:G201,MP_V)*INDEX(IdxMP_V,1,MIN(10,G$173))*(1+V_dMat)/(1-V_Merma)</f>
        <v>125875</v>
      </c>
      <c r="H229" s="34" t="n">
        <f aca="false">SUMPRODUCT(H177:H201,MP_V)*INDEX(IdxMP_V,1,MIN(10,H$173))*(1+V_dMat)/(1-V_Merma)</f>
        <v>125875</v>
      </c>
      <c r="I229" s="34" t="n">
        <f aca="false">SUMPRODUCT(I177:I201,MP_V)*INDEX(IdxMP_V,1,MIN(10,I$173))*(1+V_dMat)/(1-V_Merma)</f>
        <v>125875</v>
      </c>
      <c r="J229" s="34" t="n">
        <f aca="false">SUMPRODUCT(J177:J201,MP_V)*INDEX(IdxMP_V,1,MIN(10,J$173))*(1+V_dMat)/(1-V_Merma)</f>
        <v>125875</v>
      </c>
      <c r="K229" s="34" t="n">
        <f aca="false">SUMPRODUCT(K177:K201,MP_V)*INDEX(IdxMP_V,1,MIN(10,K$173))*(1+V_dMat)/(1-V_Merma)</f>
        <v>125875</v>
      </c>
      <c r="L229" s="34" t="n">
        <f aca="false">SUMPRODUCT(L177:L201,MP_V)*INDEX(IdxMP_V,1,MIN(10,L$173))*(1+V_dMat)/(1-V_Merma)</f>
        <v>125875</v>
      </c>
      <c r="M229" s="34" t="n">
        <f aca="false">SUMPRODUCT(M177:M201,MP_V)*INDEX(IdxMP_V,1,MIN(10,M$173))*(1+V_dMat)/(1-V_Merma)</f>
        <v>125875</v>
      </c>
      <c r="N229" s="34" t="n">
        <f aca="false">SUMPRODUCT(N177:N201,MP_V)*INDEX(IdxMP_V,1,MIN(10,N$173))*(1+V_dMat)/(1-V_Merma)</f>
        <v>125875</v>
      </c>
      <c r="O229" s="34" t="n">
        <f aca="false">SUMPRODUCT(O177:O201,MP_V)*INDEX(IdxMP_V,1,MIN(10,O$173))*(1+V_dMat)/(1-V_Merma)</f>
        <v>125875</v>
      </c>
      <c r="P229" s="34" t="n">
        <f aca="false">SUMPRODUCT(P177:P201,MP_V)*INDEX(IdxMP_V,1,MIN(10,P$173))*(1+V_dMat)/(1-V_Merma)</f>
        <v>125875</v>
      </c>
      <c r="Q229" s="34" t="n">
        <f aca="false">SUMPRODUCT(Q177:Q201,MP_V)*INDEX(IdxMP_V,1,MIN(10,Q$173))*(1+V_dMat)/(1-V_Merma)</f>
        <v>125875</v>
      </c>
      <c r="R229" s="34" t="n">
        <f aca="false">SUMPRODUCT(R177:R201,MP_V)*INDEX(IdxMP_V,1,MIN(10,R$173))*(1+V_dMat)/(1-V_Merma)</f>
        <v>160476.375</v>
      </c>
      <c r="S229" s="34" t="n">
        <f aca="false">SUMPRODUCT(S177:S201,MP_V)*INDEX(IdxMP_V,1,MIN(10,S$173))*(1+V_dMat)/(1-V_Merma)</f>
        <v>160476.375</v>
      </c>
      <c r="T229" s="34" t="n">
        <f aca="false">SUMPRODUCT(T177:T201,MP_V)*INDEX(IdxMP_V,1,MIN(10,T$173))*(1+V_dMat)/(1-V_Merma)</f>
        <v>160476.375</v>
      </c>
      <c r="U229" s="34" t="n">
        <f aca="false">SUMPRODUCT(U177:U201,MP_V)*INDEX(IdxMP_V,1,MIN(10,U$173))*(1+V_dMat)/(1-V_Merma)</f>
        <v>160476.375</v>
      </c>
      <c r="V229" s="34" t="n">
        <f aca="false">SUMPRODUCT(V177:V201,MP_V)*INDEX(IdxMP_V,1,MIN(10,V$173))*(1+V_dMat)/(1-V_Merma)</f>
        <v>160476.375</v>
      </c>
      <c r="W229" s="34" t="n">
        <f aca="false">SUMPRODUCT(W177:W201,MP_V)*INDEX(IdxMP_V,1,MIN(10,W$173))*(1+V_dMat)/(1-V_Merma)</f>
        <v>160476.375</v>
      </c>
      <c r="X229" s="34" t="n">
        <f aca="false">SUMPRODUCT(X177:X201,MP_V)*INDEX(IdxMP_V,1,MIN(10,X$173))*(1+V_dMat)/(1-V_Merma)</f>
        <v>160476.375</v>
      </c>
      <c r="Y229" s="34" t="n">
        <f aca="false">SUMPRODUCT(Y177:Y201,MP_V)*INDEX(IdxMP_V,1,MIN(10,Y$173))*(1+V_dMat)/(1-V_Merma)</f>
        <v>160476.375</v>
      </c>
      <c r="Z229" s="34" t="n">
        <f aca="false">SUMPRODUCT(Z177:Z201,MP_V)*INDEX(IdxMP_V,1,MIN(10,Z$173))*(1+V_dMat)/(1-V_Merma)</f>
        <v>160476.375</v>
      </c>
      <c r="AA229" s="34" t="n">
        <f aca="false">SUMPRODUCT(AA177:AA201,MP_V)*INDEX(IdxMP_V,1,MIN(10,AA$173))*(1+V_dMat)/(1-V_Merma)</f>
        <v>160476.375</v>
      </c>
      <c r="AB229" s="34" t="n">
        <f aca="false">SUMPRODUCT(AB177:AB201,MP_V)*INDEX(IdxMP_V,1,MIN(10,AB$173))*(1+V_dMat)/(1-V_Merma)</f>
        <v>160476.375</v>
      </c>
      <c r="AC229" s="34" t="n">
        <f aca="false">SUMPRODUCT(AC177:AC201,MP_V)*INDEX(IdxMP_V,1,MIN(10,AC$173))*(1+V_dMat)/(1-V_Merma)</f>
        <v>160476.375</v>
      </c>
      <c r="AD229" s="34" t="n">
        <f aca="false">SUMPRODUCT(AD177:AD201,MP_V)*INDEX(IdxMP_V,1,MIN(10,AD$173))*(1+V_dMat)/(1-V_Merma)</f>
        <v>195757.19</v>
      </c>
      <c r="AE229" s="34" t="n">
        <f aca="false">SUMPRODUCT(AE177:AE201,MP_V)*INDEX(IdxMP_V,1,MIN(10,AE$173))*(1+V_dMat)/(1-V_Merma)</f>
        <v>195757.19</v>
      </c>
      <c r="AF229" s="34" t="n">
        <f aca="false">SUMPRODUCT(AF177:AF201,MP_V)*INDEX(IdxMP_V,1,MIN(10,AF$173))*(1+V_dMat)/(1-V_Merma)</f>
        <v>195757.19</v>
      </c>
      <c r="AG229" s="34" t="n">
        <f aca="false">SUMPRODUCT(AG177:AG201,MP_V)*INDEX(IdxMP_V,1,MIN(10,AG$173))*(1+V_dMat)/(1-V_Merma)</f>
        <v>195757.19</v>
      </c>
      <c r="AH229" s="34" t="n">
        <f aca="false">SUMPRODUCT(AH177:AH201,MP_V)*INDEX(IdxMP_V,1,MIN(10,AH$173))*(1+V_dMat)/(1-V_Merma)</f>
        <v>195757.19</v>
      </c>
      <c r="AI229" s="34" t="n">
        <f aca="false">SUMPRODUCT(AI177:AI201,MP_V)*INDEX(IdxMP_V,1,MIN(10,AI$173))*(1+V_dMat)/(1-V_Merma)</f>
        <v>195757.19</v>
      </c>
      <c r="AJ229" s="34" t="n">
        <f aca="false">SUMPRODUCT(AJ177:AJ201,MP_V)*INDEX(IdxMP_V,1,MIN(10,AJ$173))*(1+V_dMat)/(1-V_Merma)</f>
        <v>195757.19</v>
      </c>
      <c r="AK229" s="34" t="n">
        <f aca="false">SUMPRODUCT(AK177:AK201,MP_V)*INDEX(IdxMP_V,1,MIN(10,AK$173))*(1+V_dMat)/(1-V_Merma)</f>
        <v>195757.19</v>
      </c>
      <c r="AL229" s="34" t="n">
        <f aca="false">SUMPRODUCT(AL177:AL201,MP_V)*INDEX(IdxMP_V,1,MIN(10,AL$173))*(1+V_dMat)/(1-V_Merma)</f>
        <v>195757.19</v>
      </c>
      <c r="AM229" s="34" t="n">
        <f aca="false">SUMPRODUCT(AM177:AM201,MP_V)*INDEX(IdxMP_V,1,MIN(10,AM$173))*(1+V_dMat)/(1-V_Merma)</f>
        <v>195757.19</v>
      </c>
      <c r="AN229" s="34" t="n">
        <f aca="false">SUMPRODUCT(AN177:AN201,MP_V)*INDEX(IdxMP_V,1,MIN(10,AN$173))*(1+V_dMat)/(1-V_Merma)</f>
        <v>195757.19</v>
      </c>
      <c r="AO229" s="34" t="n">
        <f aca="false">SUMPRODUCT(AO177:AO201,MP_V)*INDEX(IdxMP_V,1,MIN(10,AO$173))*(1+V_dMat)/(1-V_Merma)</f>
        <v>195757.19</v>
      </c>
      <c r="AP229" s="34" t="n">
        <f aca="false">SUMPRODUCT(AP177:AP201,MP_V)*INDEX(IdxMP_V,1,MIN(10,AP$173))*(1+V_dMat)/(1-V_Merma)</f>
        <v>225365.4649875</v>
      </c>
      <c r="AQ229" s="34" t="n">
        <f aca="false">SUMPRODUCT(AQ177:AQ201,MP_V)*INDEX(IdxMP_V,1,MIN(10,AQ$173))*(1+V_dMat)/(1-V_Merma)</f>
        <v>225365.4649875</v>
      </c>
      <c r="AR229" s="34" t="n">
        <f aca="false">SUMPRODUCT(AR177:AR201,MP_V)*INDEX(IdxMP_V,1,MIN(10,AR$173))*(1+V_dMat)/(1-V_Merma)</f>
        <v>225365.4649875</v>
      </c>
      <c r="AS229" s="34" t="n">
        <f aca="false">SUMPRODUCT(AS177:AS201,MP_V)*INDEX(IdxMP_V,1,MIN(10,AS$173))*(1+V_dMat)/(1-V_Merma)</f>
        <v>225365.4649875</v>
      </c>
      <c r="AT229" s="34" t="n">
        <f aca="false">SUMPRODUCT(AT177:AT201,MP_V)*INDEX(IdxMP_V,1,MIN(10,AT$173))*(1+V_dMat)/(1-V_Merma)</f>
        <v>225365.4649875</v>
      </c>
      <c r="AU229" s="34" t="n">
        <f aca="false">SUMPRODUCT(AU177:AU201,MP_V)*INDEX(IdxMP_V,1,MIN(10,AU$173))*(1+V_dMat)/(1-V_Merma)</f>
        <v>225365.4649875</v>
      </c>
      <c r="AV229" s="34" t="n">
        <f aca="false">SUMPRODUCT(AV177:AV201,MP_V)*INDEX(IdxMP_V,1,MIN(10,AV$173))*(1+V_dMat)/(1-V_Merma)</f>
        <v>225365.4649875</v>
      </c>
      <c r="AW229" s="34" t="n">
        <f aca="false">SUMPRODUCT(AW177:AW201,MP_V)*INDEX(IdxMP_V,1,MIN(10,AW$173))*(1+V_dMat)/(1-V_Merma)</f>
        <v>225365.4649875</v>
      </c>
      <c r="AX229" s="34" t="n">
        <f aca="false">SUMPRODUCT(AX177:AX201,MP_V)*INDEX(IdxMP_V,1,MIN(10,AX$173))*(1+V_dMat)/(1-V_Merma)</f>
        <v>225365.4649875</v>
      </c>
      <c r="AY229" s="34" t="n">
        <f aca="false">SUMPRODUCT(AY177:AY201,MP_V)*INDEX(IdxMP_V,1,MIN(10,AY$173))*(1+V_dMat)/(1-V_Merma)</f>
        <v>225365.4649875</v>
      </c>
      <c r="AZ229" s="34" t="n">
        <f aca="false">SUMPRODUCT(AZ177:AZ201,MP_V)*INDEX(IdxMP_V,1,MIN(10,AZ$173))*(1+V_dMat)/(1-V_Merma)</f>
        <v>225365.4649875</v>
      </c>
      <c r="BA229" s="34" t="n">
        <f aca="false">SUMPRODUCT(BA177:BA201,MP_V)*INDEX(IdxMP_V,1,MIN(10,BA$173))*(1+V_dMat)/(1-V_Merma)</f>
        <v>225365.4649875</v>
      </c>
      <c r="BB229" s="34" t="n">
        <f aca="false">SUMPRODUCT(BB177:BB201,MP_V)*INDEX(IdxMP_V,1,MIN(10,BB$173))*(1+V_dMat)/(1-V_Merma)</f>
        <v>227619.119637375</v>
      </c>
      <c r="BC229" s="34" t="n">
        <f aca="false">SUMPRODUCT(BC177:BC201,MP_V)*INDEX(IdxMP_V,1,MIN(10,BC$173))*(1+V_dMat)/(1-V_Merma)</f>
        <v>227619.119637375</v>
      </c>
      <c r="BD229" s="34" t="n">
        <f aca="false">SUMPRODUCT(BD177:BD201,MP_V)*INDEX(IdxMP_V,1,MIN(10,BD$173))*(1+V_dMat)/(1-V_Merma)</f>
        <v>227619.119637375</v>
      </c>
      <c r="BE229" s="34" t="n">
        <f aca="false">SUMPRODUCT(BE177:BE201,MP_V)*INDEX(IdxMP_V,1,MIN(10,BE$173))*(1+V_dMat)/(1-V_Merma)</f>
        <v>227619.119637375</v>
      </c>
      <c r="BF229" s="34" t="n">
        <f aca="false">SUMPRODUCT(BF177:BF201,MP_V)*INDEX(IdxMP_V,1,MIN(10,BF$173))*(1+V_dMat)/(1-V_Merma)</f>
        <v>227619.119637375</v>
      </c>
      <c r="BG229" s="34" t="n">
        <f aca="false">SUMPRODUCT(BG177:BG201,MP_V)*INDEX(IdxMP_V,1,MIN(10,BG$173))*(1+V_dMat)/(1-V_Merma)</f>
        <v>227619.119637375</v>
      </c>
      <c r="BH229" s="34" t="n">
        <f aca="false">SUMPRODUCT(BH177:BH201,MP_V)*INDEX(IdxMP_V,1,MIN(10,BH$173))*(1+V_dMat)/(1-V_Merma)</f>
        <v>227619.119637375</v>
      </c>
      <c r="BI229" s="34" t="n">
        <f aca="false">SUMPRODUCT(BI177:BI201,MP_V)*INDEX(IdxMP_V,1,MIN(10,BI$173))*(1+V_dMat)/(1-V_Merma)</f>
        <v>227619.119637375</v>
      </c>
      <c r="BJ229" s="34" t="n">
        <f aca="false">SUMPRODUCT(BJ177:BJ201,MP_V)*INDEX(IdxMP_V,1,MIN(10,BJ$173))*(1+V_dMat)/(1-V_Merma)</f>
        <v>227619.119637375</v>
      </c>
      <c r="BK229" s="34" t="n">
        <f aca="false">SUMPRODUCT(BK177:BK201,MP_V)*INDEX(IdxMP_V,1,MIN(10,BK$173))*(1+V_dMat)/(1-V_Merma)</f>
        <v>227619.119637375</v>
      </c>
      <c r="BL229" s="34" t="n">
        <f aca="false">SUMPRODUCT(BL177:BL201,MP_V)*INDEX(IdxMP_V,1,MIN(10,BL$173))*(1+V_dMat)/(1-V_Merma)</f>
        <v>227619.119637375</v>
      </c>
      <c r="BM229" s="34" t="n">
        <f aca="false">SUMPRODUCT(BM177:BM201,MP_V)*INDEX(IdxMP_V,1,MIN(10,BM$173))*(1+V_dMat)/(1-V_Merma)</f>
        <v>227619.119637375</v>
      </c>
      <c r="BN229" s="34" t="n">
        <f aca="false">SUMPRODUCT(BN177:BN201,MP_V)*INDEX(IdxMP_V,1,MIN(10,BN$173))*(1+V_dMat)/(1-V_Merma)</f>
        <v>229895.310833749</v>
      </c>
      <c r="BO229" s="34" t="n">
        <f aca="false">SUMPRODUCT(BO177:BO201,MP_V)*INDEX(IdxMP_V,1,MIN(10,BO$173))*(1+V_dMat)/(1-V_Merma)</f>
        <v>229895.310833749</v>
      </c>
      <c r="BP229" s="34" t="n">
        <f aca="false">SUMPRODUCT(BP177:BP201,MP_V)*INDEX(IdxMP_V,1,MIN(10,BP$173))*(1+V_dMat)/(1-V_Merma)</f>
        <v>229895.310833749</v>
      </c>
      <c r="BQ229" s="34" t="n">
        <f aca="false">SUMPRODUCT(BQ177:BQ201,MP_V)*INDEX(IdxMP_V,1,MIN(10,BQ$173))*(1+V_dMat)/(1-V_Merma)</f>
        <v>229895.310833749</v>
      </c>
      <c r="BR229" s="34" t="n">
        <f aca="false">SUMPRODUCT(BR177:BR201,MP_V)*INDEX(IdxMP_V,1,MIN(10,BR$173))*(1+V_dMat)/(1-V_Merma)</f>
        <v>229895.310833749</v>
      </c>
      <c r="BS229" s="34" t="n">
        <f aca="false">SUMPRODUCT(BS177:BS201,MP_V)*INDEX(IdxMP_V,1,MIN(10,BS$173))*(1+V_dMat)/(1-V_Merma)</f>
        <v>229895.310833749</v>
      </c>
      <c r="BT229" s="34" t="n">
        <f aca="false">SUMPRODUCT(BT177:BT201,MP_V)*INDEX(IdxMP_V,1,MIN(10,BT$173))*(1+V_dMat)/(1-V_Merma)</f>
        <v>229895.310833749</v>
      </c>
      <c r="BU229" s="34" t="n">
        <f aca="false">SUMPRODUCT(BU177:BU201,MP_V)*INDEX(IdxMP_V,1,MIN(10,BU$173))*(1+V_dMat)/(1-V_Merma)</f>
        <v>229895.310833749</v>
      </c>
      <c r="BV229" s="34" t="n">
        <f aca="false">SUMPRODUCT(BV177:BV201,MP_V)*INDEX(IdxMP_V,1,MIN(10,BV$173))*(1+V_dMat)/(1-V_Merma)</f>
        <v>229895.310833749</v>
      </c>
      <c r="BW229" s="34" t="n">
        <f aca="false">SUMPRODUCT(BW177:BW201,MP_V)*INDEX(IdxMP_V,1,MIN(10,BW$173))*(1+V_dMat)/(1-V_Merma)</f>
        <v>229895.310833749</v>
      </c>
      <c r="BX229" s="34" t="n">
        <f aca="false">SUMPRODUCT(BX177:BX201,MP_V)*INDEX(IdxMP_V,1,MIN(10,BX$173))*(1+V_dMat)/(1-V_Merma)</f>
        <v>229895.310833749</v>
      </c>
      <c r="BY229" s="34" t="n">
        <f aca="false">SUMPRODUCT(BY177:BY201,MP_V)*INDEX(IdxMP_V,1,MIN(10,BY$173))*(1+V_dMat)/(1-V_Merma)</f>
        <v>229895.310833749</v>
      </c>
      <c r="BZ229" s="34" t="n">
        <f aca="false">SUMPRODUCT(BZ177:BZ201,MP_V)*INDEX(IdxMP_V,1,MIN(10,BZ$173))*(1+V_dMat)/(1-V_Merma)</f>
        <v>232194.263942086</v>
      </c>
      <c r="CA229" s="34" t="n">
        <f aca="false">SUMPRODUCT(CA177:CA201,MP_V)*INDEX(IdxMP_V,1,MIN(10,CA$173))*(1+V_dMat)/(1-V_Merma)</f>
        <v>232194.263942086</v>
      </c>
      <c r="CB229" s="34" t="n">
        <f aca="false">SUMPRODUCT(CB177:CB201,MP_V)*INDEX(IdxMP_V,1,MIN(10,CB$173))*(1+V_dMat)/(1-V_Merma)</f>
        <v>232194.263942086</v>
      </c>
      <c r="CC229" s="34" t="n">
        <f aca="false">SUMPRODUCT(CC177:CC201,MP_V)*INDEX(IdxMP_V,1,MIN(10,CC$173))*(1+V_dMat)/(1-V_Merma)</f>
        <v>232194.263942086</v>
      </c>
      <c r="CD229" s="34" t="n">
        <f aca="false">SUMPRODUCT(CD177:CD201,MP_V)*INDEX(IdxMP_V,1,MIN(10,CD$173))*(1+V_dMat)/(1-V_Merma)</f>
        <v>232194.263942086</v>
      </c>
      <c r="CE229" s="34" t="n">
        <f aca="false">SUMPRODUCT(CE177:CE201,MP_V)*INDEX(IdxMP_V,1,MIN(10,CE$173))*(1+V_dMat)/(1-V_Merma)</f>
        <v>232194.263942086</v>
      </c>
      <c r="CF229" s="34" t="n">
        <f aca="false">SUMPRODUCT(CF177:CF201,MP_V)*INDEX(IdxMP_V,1,MIN(10,CF$173))*(1+V_dMat)/(1-V_Merma)</f>
        <v>232194.263942086</v>
      </c>
      <c r="CG229" s="34" t="n">
        <f aca="false">SUMPRODUCT(CG177:CG201,MP_V)*INDEX(IdxMP_V,1,MIN(10,CG$173))*(1+V_dMat)/(1-V_Merma)</f>
        <v>232194.263942086</v>
      </c>
      <c r="CH229" s="34" t="n">
        <f aca="false">SUMPRODUCT(CH177:CH201,MP_V)*INDEX(IdxMP_V,1,MIN(10,CH$173))*(1+V_dMat)/(1-V_Merma)</f>
        <v>232194.263942086</v>
      </c>
      <c r="CI229" s="34" t="n">
        <f aca="false">SUMPRODUCT(CI177:CI201,MP_V)*INDEX(IdxMP_V,1,MIN(10,CI$173))*(1+V_dMat)/(1-V_Merma)</f>
        <v>232194.263942086</v>
      </c>
      <c r="CJ229" s="34" t="n">
        <f aca="false">SUMPRODUCT(CJ177:CJ201,MP_V)*INDEX(IdxMP_V,1,MIN(10,CJ$173))*(1+V_dMat)/(1-V_Merma)</f>
        <v>232194.263942086</v>
      </c>
      <c r="CK229" s="34" t="n">
        <f aca="false">SUMPRODUCT(CK177:CK201,MP_V)*INDEX(IdxMP_V,1,MIN(10,CK$173))*(1+V_dMat)/(1-V_Merma)</f>
        <v>232194.263942086</v>
      </c>
      <c r="CL229" s="34" t="n">
        <f aca="false">SUMPRODUCT(CL177:CL201,MP_V)*INDEX(IdxMP_V,1,MIN(10,CL$173))*(1+V_dMat)/(1-V_Merma)</f>
        <v>234516.206581507</v>
      </c>
      <c r="CM229" s="34" t="n">
        <f aca="false">SUMPRODUCT(CM177:CM201,MP_V)*INDEX(IdxMP_V,1,MIN(10,CM$173))*(1+V_dMat)/(1-V_Merma)</f>
        <v>234516.206581507</v>
      </c>
      <c r="CN229" s="34" t="n">
        <f aca="false">SUMPRODUCT(CN177:CN201,MP_V)*INDEX(IdxMP_V,1,MIN(10,CN$173))*(1+V_dMat)/(1-V_Merma)</f>
        <v>234516.206581507</v>
      </c>
      <c r="CO229" s="34" t="n">
        <f aca="false">SUMPRODUCT(CO177:CO201,MP_V)*INDEX(IdxMP_V,1,MIN(10,CO$173))*(1+V_dMat)/(1-V_Merma)</f>
        <v>234516.206581507</v>
      </c>
      <c r="CP229" s="34" t="n">
        <f aca="false">SUMPRODUCT(CP177:CP201,MP_V)*INDEX(IdxMP_V,1,MIN(10,CP$173))*(1+V_dMat)/(1-V_Merma)</f>
        <v>234516.206581507</v>
      </c>
      <c r="CQ229" s="34" t="n">
        <f aca="false">SUMPRODUCT(CQ177:CQ201,MP_V)*INDEX(IdxMP_V,1,MIN(10,CQ$173))*(1+V_dMat)/(1-V_Merma)</f>
        <v>234516.206581507</v>
      </c>
      <c r="CR229" s="34" t="n">
        <f aca="false">SUMPRODUCT(CR177:CR201,MP_V)*INDEX(IdxMP_V,1,MIN(10,CR$173))*(1+V_dMat)/(1-V_Merma)</f>
        <v>234516.206581507</v>
      </c>
      <c r="CS229" s="34" t="n">
        <f aca="false">SUMPRODUCT(CS177:CS201,MP_V)*INDEX(IdxMP_V,1,MIN(10,CS$173))*(1+V_dMat)/(1-V_Merma)</f>
        <v>234516.206581507</v>
      </c>
      <c r="CT229" s="34" t="n">
        <f aca="false">SUMPRODUCT(CT177:CT201,MP_V)*INDEX(IdxMP_V,1,MIN(10,CT$173))*(1+V_dMat)/(1-V_Merma)</f>
        <v>234516.206581507</v>
      </c>
      <c r="CU229" s="34" t="n">
        <f aca="false">SUMPRODUCT(CU177:CU201,MP_V)*INDEX(IdxMP_V,1,MIN(10,CU$173))*(1+V_dMat)/(1-V_Merma)</f>
        <v>234516.206581507</v>
      </c>
      <c r="CV229" s="34" t="n">
        <f aca="false">SUMPRODUCT(CV177:CV201,MP_V)*INDEX(IdxMP_V,1,MIN(10,CV$173))*(1+V_dMat)/(1-V_Merma)</f>
        <v>234516.206581507</v>
      </c>
      <c r="CW229" s="34" t="n">
        <f aca="false">SUMPRODUCT(CW177:CW201,MP_V)*INDEX(IdxMP_V,1,MIN(10,CW$173))*(1+V_dMat)/(1-V_Merma)</f>
        <v>234516.206581507</v>
      </c>
      <c r="CX229" s="34" t="n">
        <f aca="false">SUMPRODUCT(CX177:CX201,MP_V)*INDEX(IdxMP_V,1,MIN(10,CX$173))*(1+V_dMat)/(1-V_Merma)</f>
        <v>236861.368647322</v>
      </c>
      <c r="CY229" s="34" t="n">
        <f aca="false">SUMPRODUCT(CY177:CY201,MP_V)*INDEX(IdxMP_V,1,MIN(10,CY$173))*(1+V_dMat)/(1-V_Merma)</f>
        <v>236861.368647322</v>
      </c>
      <c r="CZ229" s="34" t="n">
        <f aca="false">SUMPRODUCT(CZ177:CZ201,MP_V)*INDEX(IdxMP_V,1,MIN(10,CZ$173))*(1+V_dMat)/(1-V_Merma)</f>
        <v>236861.368647322</v>
      </c>
      <c r="DA229" s="34" t="n">
        <f aca="false">SUMPRODUCT(DA177:DA201,MP_V)*INDEX(IdxMP_V,1,MIN(10,DA$173))*(1+V_dMat)/(1-V_Merma)</f>
        <v>236861.368647322</v>
      </c>
      <c r="DB229" s="34" t="n">
        <f aca="false">SUMPRODUCT(DB177:DB201,MP_V)*INDEX(IdxMP_V,1,MIN(10,DB$173))*(1+V_dMat)/(1-V_Merma)</f>
        <v>236861.368647322</v>
      </c>
      <c r="DC229" s="34" t="n">
        <f aca="false">SUMPRODUCT(DC177:DC201,MP_V)*INDEX(IdxMP_V,1,MIN(10,DC$173))*(1+V_dMat)/(1-V_Merma)</f>
        <v>236861.368647322</v>
      </c>
      <c r="DD229" s="34" t="n">
        <f aca="false">SUMPRODUCT(DD177:DD201,MP_V)*INDEX(IdxMP_V,1,MIN(10,DD$173))*(1+V_dMat)/(1-V_Merma)</f>
        <v>236861.368647322</v>
      </c>
      <c r="DE229" s="34" t="n">
        <f aca="false">SUMPRODUCT(DE177:DE201,MP_V)*INDEX(IdxMP_V,1,MIN(10,DE$173))*(1+V_dMat)/(1-V_Merma)</f>
        <v>236861.368647322</v>
      </c>
      <c r="DF229" s="34" t="n">
        <f aca="false">SUMPRODUCT(DF177:DF201,MP_V)*INDEX(IdxMP_V,1,MIN(10,DF$173))*(1+V_dMat)/(1-V_Merma)</f>
        <v>236861.368647322</v>
      </c>
      <c r="DG229" s="34" t="n">
        <f aca="false">SUMPRODUCT(DG177:DG201,MP_V)*INDEX(IdxMP_V,1,MIN(10,DG$173))*(1+V_dMat)/(1-V_Merma)</f>
        <v>236861.368647322</v>
      </c>
      <c r="DH229" s="34" t="n">
        <f aca="false">SUMPRODUCT(DH177:DH201,MP_V)*INDEX(IdxMP_V,1,MIN(10,DH$173))*(1+V_dMat)/(1-V_Merma)</f>
        <v>236861.368647322</v>
      </c>
      <c r="DI229" s="34" t="n">
        <f aca="false">SUMPRODUCT(DI177:DI201,MP_V)*INDEX(IdxMP_V,1,MIN(10,DI$173))*(1+V_dMat)/(1-V_Merma)</f>
        <v>236861.368647322</v>
      </c>
      <c r="DJ229" s="34" t="n">
        <f aca="false">SUMPRODUCT(DJ177:DJ201,MP_V)*INDEX(IdxMP_V,1,MIN(10,DJ$173))*(1+V_dMat)/(1-V_Merma)</f>
        <v>239229.982333795</v>
      </c>
      <c r="DK229" s="34" t="n">
        <f aca="false">SUMPRODUCT(DK177:DK201,MP_V)*INDEX(IdxMP_V,1,MIN(10,DK$173))*(1+V_dMat)/(1-V_Merma)</f>
        <v>239229.982333795</v>
      </c>
      <c r="DL229" s="34" t="n">
        <f aca="false">SUMPRODUCT(DL177:DL201,MP_V)*INDEX(IdxMP_V,1,MIN(10,DL$173))*(1+V_dMat)/(1-V_Merma)</f>
        <v>239229.982333795</v>
      </c>
      <c r="DM229" s="34" t="n">
        <f aca="false">SUMPRODUCT(DM177:DM201,MP_V)*INDEX(IdxMP_V,1,MIN(10,DM$173))*(1+V_dMat)/(1-V_Merma)</f>
        <v>239229.982333795</v>
      </c>
      <c r="DN229" s="34" t="n">
        <f aca="false">SUMPRODUCT(DN177:DN201,MP_V)*INDEX(IdxMP_V,1,MIN(10,DN$173))*(1+V_dMat)/(1-V_Merma)</f>
        <v>239229.982333795</v>
      </c>
      <c r="DO229" s="34" t="n">
        <f aca="false">SUMPRODUCT(DO177:DO201,MP_V)*INDEX(IdxMP_V,1,MIN(10,DO$173))*(1+V_dMat)/(1-V_Merma)</f>
        <v>239229.982333795</v>
      </c>
      <c r="DP229" s="34" t="n">
        <f aca="false">SUMPRODUCT(DP177:DP201,MP_V)*INDEX(IdxMP_V,1,MIN(10,DP$173))*(1+V_dMat)/(1-V_Merma)</f>
        <v>239229.982333795</v>
      </c>
      <c r="DQ229" s="34" t="n">
        <f aca="false">SUMPRODUCT(DQ177:DQ201,MP_V)*INDEX(IdxMP_V,1,MIN(10,DQ$173))*(1+V_dMat)/(1-V_Merma)</f>
        <v>239229.982333795</v>
      </c>
      <c r="DR229" s="34" t="n">
        <f aca="false">SUMPRODUCT(DR177:DR201,MP_V)*INDEX(IdxMP_V,1,MIN(10,DR$173))*(1+V_dMat)/(1-V_Merma)</f>
        <v>239229.982333795</v>
      </c>
      <c r="DS229" s="34" t="n">
        <f aca="false">SUMPRODUCT(DS177:DS201,MP_V)*INDEX(IdxMP_V,1,MIN(10,DS$173))*(1+V_dMat)/(1-V_Merma)</f>
        <v>239229.982333795</v>
      </c>
      <c r="DT229" s="34" t="n">
        <f aca="false">SUMPRODUCT(DT177:DT201,MP_V)*INDEX(IdxMP_V,1,MIN(10,DT$173))*(1+V_dMat)/(1-V_Merma)</f>
        <v>239229.982333795</v>
      </c>
      <c r="DU229" s="34" t="n">
        <f aca="false">SUMPRODUCT(DU177:DU201,MP_V)*INDEX(IdxMP_V,1,MIN(10,DU$173))*(1+V_dMat)/(1-V_Merma)</f>
        <v>239229.982333795</v>
      </c>
      <c r="DV229" s="34" t="n">
        <f aca="false">SUMPRODUCT(DV177:DV201,MP_V)*INDEX(IdxMP_V,1,MIN(10,DV$173))*(1+V_dMat)/(1-V_Merma)</f>
        <v>0</v>
      </c>
      <c r="DW229" s="34" t="n">
        <f aca="false">SUMPRODUCT(DW177:DW201,MP_V)*INDEX(IdxMP_V,1,MIN(10,DW$173))*(1+V_dMat)/(1-V_Merma)</f>
        <v>0</v>
      </c>
      <c r="DX229" s="34" t="n">
        <f aca="false">SUMPRODUCT(DX177:DX201,MP_V)*INDEX(IdxMP_V,1,MIN(10,DX$173))*(1+V_dMat)/(1-V_Merma)</f>
        <v>0</v>
      </c>
      <c r="DY229" s="34" t="n">
        <f aca="false">SUMPRODUCT(DY177:DY201,MP_V)*INDEX(IdxMP_V,1,MIN(10,DY$173))*(1+V_dMat)/(1-V_Merma)</f>
        <v>0</v>
      </c>
      <c r="DZ229" s="34" t="n">
        <f aca="false">SUMPRODUCT(DZ177:DZ201,MP_V)*INDEX(IdxMP_V,1,MIN(10,DZ$173))*(1+V_dMat)/(1-V_Merma)</f>
        <v>0</v>
      </c>
      <c r="EA229" s="34" t="n">
        <f aca="false">SUMPRODUCT(EA177:EA201,MP_V)*INDEX(IdxMP_V,1,MIN(10,EA$173))*(1+V_dMat)/(1-V_Merma)</f>
        <v>0</v>
      </c>
      <c r="EB229" s="34" t="n">
        <f aca="false">SUMPRODUCT(EB177:EB201,MP_V)*INDEX(IdxMP_V,1,MIN(10,EB$173))*(1+V_dMat)/(1-V_Merma)</f>
        <v>0</v>
      </c>
      <c r="EC229" s="34" t="n">
        <f aca="false">SUMPRODUCT(EC177:EC201,MP_V)*INDEX(IdxMP_V,1,MIN(10,EC$173))*(1+V_dMat)/(1-V_Merma)</f>
        <v>0</v>
      </c>
      <c r="ED229" s="34" t="n">
        <f aca="false">SUMPRODUCT(ED177:ED201,MP_V)*INDEX(IdxMP_V,1,MIN(10,ED$173))*(1+V_dMat)/(1-V_Merma)</f>
        <v>0</v>
      </c>
      <c r="EE229" s="34" t="n">
        <f aca="false">SUMPRODUCT(EE177:EE201,MP_V)*INDEX(IdxMP_V,1,MIN(10,EE$173))*(1+V_dMat)/(1-V_Merma)</f>
        <v>0</v>
      </c>
      <c r="EF229" s="34" t="n">
        <f aca="false">SUMPRODUCT(EF177:EF201,MP_V)*INDEX(IdxMP_V,1,MIN(10,EF$173))*(1+V_dMat)/(1-V_Merma)</f>
        <v>0</v>
      </c>
      <c r="EG229" s="34" t="n">
        <f aca="false">SUMPRODUCT(EG177:EG201,MP_V)*INDEX(IdxMP_V,1,MIN(10,EG$173))*(1+V_dMat)/(1-V_Merma)</f>
        <v>0</v>
      </c>
      <c r="EH229" s="34" t="n">
        <f aca="false">SUMPRODUCT(EH177:EH201,MP_V)*INDEX(IdxMP_V,1,MIN(10,EH$173))*(1+V_dMat)/(1-V_Merma)</f>
        <v>0</v>
      </c>
      <c r="EI229" s="34" t="n">
        <f aca="false">SUMPRODUCT(EI177:EI201,MP_V)*INDEX(IdxMP_V,1,MIN(10,EI$173))*(1+V_dMat)/(1-V_Merma)</f>
        <v>0</v>
      </c>
      <c r="EJ229" s="34" t="n">
        <f aca="false">SUMPRODUCT(EJ177:EJ201,MP_V)*INDEX(IdxMP_V,1,MIN(10,EJ$173))*(1+V_dMat)/(1-V_Merma)</f>
        <v>0</v>
      </c>
      <c r="EK229" s="34" t="n">
        <f aca="false">SUMPRODUCT(EK177:EK201,MP_V)*INDEX(IdxMP_V,1,MIN(10,EK$173))*(1+V_dMat)/(1-V_Merma)</f>
        <v>0</v>
      </c>
      <c r="EL229" s="34" t="n">
        <f aca="false">SUMPRODUCT(EL177:EL201,MP_V)*INDEX(IdxMP_V,1,MIN(10,EL$173))*(1+V_dMat)/(1-V_Merma)</f>
        <v>0</v>
      </c>
      <c r="EM229" s="34" t="n">
        <f aca="false">SUMPRODUCT(EM177:EM201,MP_V)*INDEX(IdxMP_V,1,MIN(10,EM$173))*(1+V_dMat)/(1-V_Merma)</f>
        <v>0</v>
      </c>
      <c r="EN229" s="34" t="n">
        <f aca="false">SUMPRODUCT(EN177:EN201,MP_V)*INDEX(IdxMP_V,1,MIN(10,EN$173))*(1+V_dMat)/(1-V_Merma)</f>
        <v>0</v>
      </c>
      <c r="EO229" s="34" t="n">
        <f aca="false">SUMPRODUCT(EO177:EO201,MP_V)*INDEX(IdxMP_V,1,MIN(10,EO$173))*(1+V_dMat)/(1-V_Merma)</f>
        <v>0</v>
      </c>
      <c r="EP229" s="34" t="n">
        <f aca="false">SUMPRODUCT(EP177:EP201,MP_V)*INDEX(IdxMP_V,1,MIN(10,EP$173))*(1+V_dMat)/(1-V_Merma)</f>
        <v>0</v>
      </c>
      <c r="EQ229" s="34" t="n">
        <f aca="false">SUMPRODUCT(EQ177:EQ201,MP_V)*INDEX(IdxMP_V,1,MIN(10,EQ$173))*(1+V_dMat)/(1-V_Merma)</f>
        <v>0</v>
      </c>
      <c r="ER229" s="34" t="n">
        <f aca="false">SUMPRODUCT(ER177:ER201,MP_V)*INDEX(IdxMP_V,1,MIN(10,ER$173))*(1+V_dMat)/(1-V_Merma)</f>
        <v>0</v>
      </c>
      <c r="ES229" s="34" t="n">
        <f aca="false">SUMPRODUCT(ES177:ES201,MP_V)*INDEX(IdxMP_V,1,MIN(10,ES$173))*(1+V_dMat)/(1-V_Merma)</f>
        <v>0</v>
      </c>
    </row>
    <row r="230" customFormat="false" ht="15" hidden="false" customHeight="false" outlineLevel="0" collapsed="false">
      <c r="A230" s="2" t="s">
        <v>871</v>
      </c>
      <c r="B230" s="6" t="s">
        <v>640</v>
      </c>
      <c r="C230" s="6" t="s">
        <v>250</v>
      </c>
      <c r="E230" s="40" t="n">
        <f aca="false">SUM(F230:ES230)</f>
        <v>14024610</v>
      </c>
      <c r="F230" s="34" t="n">
        <f aca="false">SUMPRODUCT(F177:F201,INS_V)*INDEX(IdxOV_V,1,MIN(10,F$173))*(1+V_dMat)/(1-V_Merma)</f>
        <v>73297.5</v>
      </c>
      <c r="G230" s="34" t="n">
        <f aca="false">SUMPRODUCT(G177:G201,INS_V)*INDEX(IdxOV_V,1,MIN(10,G$173))*(1+V_dMat)/(1-V_Merma)</f>
        <v>73297.5</v>
      </c>
      <c r="H230" s="34" t="n">
        <f aca="false">SUMPRODUCT(H177:H201,INS_V)*INDEX(IdxOV_V,1,MIN(10,H$173))*(1+V_dMat)/(1-V_Merma)</f>
        <v>73297.5</v>
      </c>
      <c r="I230" s="34" t="n">
        <f aca="false">SUMPRODUCT(I177:I201,INS_V)*INDEX(IdxOV_V,1,MIN(10,I$173))*(1+V_dMat)/(1-V_Merma)</f>
        <v>73297.5</v>
      </c>
      <c r="J230" s="34" t="n">
        <f aca="false">SUMPRODUCT(J177:J201,INS_V)*INDEX(IdxOV_V,1,MIN(10,J$173))*(1+V_dMat)/(1-V_Merma)</f>
        <v>73297.5</v>
      </c>
      <c r="K230" s="34" t="n">
        <f aca="false">SUMPRODUCT(K177:K201,INS_V)*INDEX(IdxOV_V,1,MIN(10,K$173))*(1+V_dMat)/(1-V_Merma)</f>
        <v>73297.5</v>
      </c>
      <c r="L230" s="34" t="n">
        <f aca="false">SUMPRODUCT(L177:L201,INS_V)*INDEX(IdxOV_V,1,MIN(10,L$173))*(1+V_dMat)/(1-V_Merma)</f>
        <v>73297.5</v>
      </c>
      <c r="M230" s="34" t="n">
        <f aca="false">SUMPRODUCT(M177:M201,INS_V)*INDEX(IdxOV_V,1,MIN(10,M$173))*(1+V_dMat)/(1-V_Merma)</f>
        <v>73297.5</v>
      </c>
      <c r="N230" s="34" t="n">
        <f aca="false">SUMPRODUCT(N177:N201,INS_V)*INDEX(IdxOV_V,1,MIN(10,N$173))*(1+V_dMat)/(1-V_Merma)</f>
        <v>73297.5</v>
      </c>
      <c r="O230" s="34" t="n">
        <f aca="false">SUMPRODUCT(O177:O201,INS_V)*INDEX(IdxOV_V,1,MIN(10,O$173))*(1+V_dMat)/(1-V_Merma)</f>
        <v>73297.5</v>
      </c>
      <c r="P230" s="34" t="n">
        <f aca="false">SUMPRODUCT(P177:P201,INS_V)*INDEX(IdxOV_V,1,MIN(10,P$173))*(1+V_dMat)/(1-V_Merma)</f>
        <v>73297.5</v>
      </c>
      <c r="Q230" s="34" t="n">
        <f aca="false">SUMPRODUCT(Q177:Q201,INS_V)*INDEX(IdxOV_V,1,MIN(10,Q$173))*(1+V_dMat)/(1-V_Merma)</f>
        <v>73297.5</v>
      </c>
      <c r="R230" s="34" t="n">
        <f aca="false">SUMPRODUCT(R177:R201,INS_V)*INDEX(IdxOV_V,1,MIN(10,R$173))*(1+V_dMat)/(1-V_Merma)</f>
        <v>92632.5</v>
      </c>
      <c r="S230" s="34" t="n">
        <f aca="false">SUMPRODUCT(S177:S201,INS_V)*INDEX(IdxOV_V,1,MIN(10,S$173))*(1+V_dMat)/(1-V_Merma)</f>
        <v>92632.5</v>
      </c>
      <c r="T230" s="34" t="n">
        <f aca="false">SUMPRODUCT(T177:T201,INS_V)*INDEX(IdxOV_V,1,MIN(10,T$173))*(1+V_dMat)/(1-V_Merma)</f>
        <v>92632.5</v>
      </c>
      <c r="U230" s="34" t="n">
        <f aca="false">SUMPRODUCT(U177:U201,INS_V)*INDEX(IdxOV_V,1,MIN(10,U$173))*(1+V_dMat)/(1-V_Merma)</f>
        <v>92632.5</v>
      </c>
      <c r="V230" s="34" t="n">
        <f aca="false">SUMPRODUCT(V177:V201,INS_V)*INDEX(IdxOV_V,1,MIN(10,V$173))*(1+V_dMat)/(1-V_Merma)</f>
        <v>92632.5</v>
      </c>
      <c r="W230" s="34" t="n">
        <f aca="false">SUMPRODUCT(W177:W201,INS_V)*INDEX(IdxOV_V,1,MIN(10,W$173))*(1+V_dMat)/(1-V_Merma)</f>
        <v>92632.5</v>
      </c>
      <c r="X230" s="34" t="n">
        <f aca="false">SUMPRODUCT(X177:X201,INS_V)*INDEX(IdxOV_V,1,MIN(10,X$173))*(1+V_dMat)/(1-V_Merma)</f>
        <v>92632.5</v>
      </c>
      <c r="Y230" s="34" t="n">
        <f aca="false">SUMPRODUCT(Y177:Y201,INS_V)*INDEX(IdxOV_V,1,MIN(10,Y$173))*(1+V_dMat)/(1-V_Merma)</f>
        <v>92632.5</v>
      </c>
      <c r="Z230" s="34" t="n">
        <f aca="false">SUMPRODUCT(Z177:Z201,INS_V)*INDEX(IdxOV_V,1,MIN(10,Z$173))*(1+V_dMat)/(1-V_Merma)</f>
        <v>92632.5</v>
      </c>
      <c r="AA230" s="34" t="n">
        <f aca="false">SUMPRODUCT(AA177:AA201,INS_V)*INDEX(IdxOV_V,1,MIN(10,AA$173))*(1+V_dMat)/(1-V_Merma)</f>
        <v>92632.5</v>
      </c>
      <c r="AB230" s="34" t="n">
        <f aca="false">SUMPRODUCT(AB177:AB201,INS_V)*INDEX(IdxOV_V,1,MIN(10,AB$173))*(1+V_dMat)/(1-V_Merma)</f>
        <v>92632.5</v>
      </c>
      <c r="AC230" s="34" t="n">
        <f aca="false">SUMPRODUCT(AC177:AC201,INS_V)*INDEX(IdxOV_V,1,MIN(10,AC$173))*(1+V_dMat)/(1-V_Merma)</f>
        <v>92632.5</v>
      </c>
      <c r="AD230" s="34" t="n">
        <f aca="false">SUMPRODUCT(AD177:AD201,INS_V)*INDEX(IdxOV_V,1,MIN(10,AD$173))*(1+V_dMat)/(1-V_Merma)</f>
        <v>111967.5</v>
      </c>
      <c r="AE230" s="34" t="n">
        <f aca="false">SUMPRODUCT(AE177:AE201,INS_V)*INDEX(IdxOV_V,1,MIN(10,AE$173))*(1+V_dMat)/(1-V_Merma)</f>
        <v>111967.5</v>
      </c>
      <c r="AF230" s="34" t="n">
        <f aca="false">SUMPRODUCT(AF177:AF201,INS_V)*INDEX(IdxOV_V,1,MIN(10,AF$173))*(1+V_dMat)/(1-V_Merma)</f>
        <v>111967.5</v>
      </c>
      <c r="AG230" s="34" t="n">
        <f aca="false">SUMPRODUCT(AG177:AG201,INS_V)*INDEX(IdxOV_V,1,MIN(10,AG$173))*(1+V_dMat)/(1-V_Merma)</f>
        <v>111967.5</v>
      </c>
      <c r="AH230" s="34" t="n">
        <f aca="false">SUMPRODUCT(AH177:AH201,INS_V)*INDEX(IdxOV_V,1,MIN(10,AH$173))*(1+V_dMat)/(1-V_Merma)</f>
        <v>111967.5</v>
      </c>
      <c r="AI230" s="34" t="n">
        <f aca="false">SUMPRODUCT(AI177:AI201,INS_V)*INDEX(IdxOV_V,1,MIN(10,AI$173))*(1+V_dMat)/(1-V_Merma)</f>
        <v>111967.5</v>
      </c>
      <c r="AJ230" s="34" t="n">
        <f aca="false">SUMPRODUCT(AJ177:AJ201,INS_V)*INDEX(IdxOV_V,1,MIN(10,AJ$173))*(1+V_dMat)/(1-V_Merma)</f>
        <v>111967.5</v>
      </c>
      <c r="AK230" s="34" t="n">
        <f aca="false">SUMPRODUCT(AK177:AK201,INS_V)*INDEX(IdxOV_V,1,MIN(10,AK$173))*(1+V_dMat)/(1-V_Merma)</f>
        <v>111967.5</v>
      </c>
      <c r="AL230" s="34" t="n">
        <f aca="false">SUMPRODUCT(AL177:AL201,INS_V)*INDEX(IdxOV_V,1,MIN(10,AL$173))*(1+V_dMat)/(1-V_Merma)</f>
        <v>111967.5</v>
      </c>
      <c r="AM230" s="34" t="n">
        <f aca="false">SUMPRODUCT(AM177:AM201,INS_V)*INDEX(IdxOV_V,1,MIN(10,AM$173))*(1+V_dMat)/(1-V_Merma)</f>
        <v>111967.5</v>
      </c>
      <c r="AN230" s="34" t="n">
        <f aca="false">SUMPRODUCT(AN177:AN201,INS_V)*INDEX(IdxOV_V,1,MIN(10,AN$173))*(1+V_dMat)/(1-V_Merma)</f>
        <v>111967.5</v>
      </c>
      <c r="AO230" s="34" t="n">
        <f aca="false">SUMPRODUCT(AO177:AO201,INS_V)*INDEX(IdxOV_V,1,MIN(10,AO$173))*(1+V_dMat)/(1-V_Merma)</f>
        <v>111967.5</v>
      </c>
      <c r="AP230" s="34" t="n">
        <f aca="false">SUMPRODUCT(AP177:AP201,INS_V)*INDEX(IdxOV_V,1,MIN(10,AP$173))*(1+V_dMat)/(1-V_Merma)</f>
        <v>127260</v>
      </c>
      <c r="AQ230" s="34" t="n">
        <f aca="false">SUMPRODUCT(AQ177:AQ201,INS_V)*INDEX(IdxOV_V,1,MIN(10,AQ$173))*(1+V_dMat)/(1-V_Merma)</f>
        <v>127260</v>
      </c>
      <c r="AR230" s="34" t="n">
        <f aca="false">SUMPRODUCT(AR177:AR201,INS_V)*INDEX(IdxOV_V,1,MIN(10,AR$173))*(1+V_dMat)/(1-V_Merma)</f>
        <v>127260</v>
      </c>
      <c r="AS230" s="34" t="n">
        <f aca="false">SUMPRODUCT(AS177:AS201,INS_V)*INDEX(IdxOV_V,1,MIN(10,AS$173))*(1+V_dMat)/(1-V_Merma)</f>
        <v>127260</v>
      </c>
      <c r="AT230" s="34" t="n">
        <f aca="false">SUMPRODUCT(AT177:AT201,INS_V)*INDEX(IdxOV_V,1,MIN(10,AT$173))*(1+V_dMat)/(1-V_Merma)</f>
        <v>127260</v>
      </c>
      <c r="AU230" s="34" t="n">
        <f aca="false">SUMPRODUCT(AU177:AU201,INS_V)*INDEX(IdxOV_V,1,MIN(10,AU$173))*(1+V_dMat)/(1-V_Merma)</f>
        <v>127260</v>
      </c>
      <c r="AV230" s="34" t="n">
        <f aca="false">SUMPRODUCT(AV177:AV201,INS_V)*INDEX(IdxOV_V,1,MIN(10,AV$173))*(1+V_dMat)/(1-V_Merma)</f>
        <v>127260</v>
      </c>
      <c r="AW230" s="34" t="n">
        <f aca="false">SUMPRODUCT(AW177:AW201,INS_V)*INDEX(IdxOV_V,1,MIN(10,AW$173))*(1+V_dMat)/(1-V_Merma)</f>
        <v>127260</v>
      </c>
      <c r="AX230" s="34" t="n">
        <f aca="false">SUMPRODUCT(AX177:AX201,INS_V)*INDEX(IdxOV_V,1,MIN(10,AX$173))*(1+V_dMat)/(1-V_Merma)</f>
        <v>127260</v>
      </c>
      <c r="AY230" s="34" t="n">
        <f aca="false">SUMPRODUCT(AY177:AY201,INS_V)*INDEX(IdxOV_V,1,MIN(10,AY$173))*(1+V_dMat)/(1-V_Merma)</f>
        <v>127260</v>
      </c>
      <c r="AZ230" s="34" t="n">
        <f aca="false">SUMPRODUCT(AZ177:AZ201,INS_V)*INDEX(IdxOV_V,1,MIN(10,AZ$173))*(1+V_dMat)/(1-V_Merma)</f>
        <v>127260</v>
      </c>
      <c r="BA230" s="34" t="n">
        <f aca="false">SUMPRODUCT(BA177:BA201,INS_V)*INDEX(IdxOV_V,1,MIN(10,BA$173))*(1+V_dMat)/(1-V_Merma)</f>
        <v>127260</v>
      </c>
      <c r="BB230" s="34" t="n">
        <f aca="false">SUMPRODUCT(BB177:BB201,INS_V)*INDEX(IdxOV_V,1,MIN(10,BB$173))*(1+V_dMat)/(1-V_Merma)</f>
        <v>127260</v>
      </c>
      <c r="BC230" s="34" t="n">
        <f aca="false">SUMPRODUCT(BC177:BC201,INS_V)*INDEX(IdxOV_V,1,MIN(10,BC$173))*(1+V_dMat)/(1-V_Merma)</f>
        <v>127260</v>
      </c>
      <c r="BD230" s="34" t="n">
        <f aca="false">SUMPRODUCT(BD177:BD201,INS_V)*INDEX(IdxOV_V,1,MIN(10,BD$173))*(1+V_dMat)/(1-V_Merma)</f>
        <v>127260</v>
      </c>
      <c r="BE230" s="34" t="n">
        <f aca="false">SUMPRODUCT(BE177:BE201,INS_V)*INDEX(IdxOV_V,1,MIN(10,BE$173))*(1+V_dMat)/(1-V_Merma)</f>
        <v>127260</v>
      </c>
      <c r="BF230" s="34" t="n">
        <f aca="false">SUMPRODUCT(BF177:BF201,INS_V)*INDEX(IdxOV_V,1,MIN(10,BF$173))*(1+V_dMat)/(1-V_Merma)</f>
        <v>127260</v>
      </c>
      <c r="BG230" s="34" t="n">
        <f aca="false">SUMPRODUCT(BG177:BG201,INS_V)*INDEX(IdxOV_V,1,MIN(10,BG$173))*(1+V_dMat)/(1-V_Merma)</f>
        <v>127260</v>
      </c>
      <c r="BH230" s="34" t="n">
        <f aca="false">SUMPRODUCT(BH177:BH201,INS_V)*INDEX(IdxOV_V,1,MIN(10,BH$173))*(1+V_dMat)/(1-V_Merma)</f>
        <v>127260</v>
      </c>
      <c r="BI230" s="34" t="n">
        <f aca="false">SUMPRODUCT(BI177:BI201,INS_V)*INDEX(IdxOV_V,1,MIN(10,BI$173))*(1+V_dMat)/(1-V_Merma)</f>
        <v>127260</v>
      </c>
      <c r="BJ230" s="34" t="n">
        <f aca="false">SUMPRODUCT(BJ177:BJ201,INS_V)*INDEX(IdxOV_V,1,MIN(10,BJ$173))*(1+V_dMat)/(1-V_Merma)</f>
        <v>127260</v>
      </c>
      <c r="BK230" s="34" t="n">
        <f aca="false">SUMPRODUCT(BK177:BK201,INS_V)*INDEX(IdxOV_V,1,MIN(10,BK$173))*(1+V_dMat)/(1-V_Merma)</f>
        <v>127260</v>
      </c>
      <c r="BL230" s="34" t="n">
        <f aca="false">SUMPRODUCT(BL177:BL201,INS_V)*INDEX(IdxOV_V,1,MIN(10,BL$173))*(1+V_dMat)/(1-V_Merma)</f>
        <v>127260</v>
      </c>
      <c r="BM230" s="34" t="n">
        <f aca="false">SUMPRODUCT(BM177:BM201,INS_V)*INDEX(IdxOV_V,1,MIN(10,BM$173))*(1+V_dMat)/(1-V_Merma)</f>
        <v>127260</v>
      </c>
      <c r="BN230" s="34" t="n">
        <f aca="false">SUMPRODUCT(BN177:BN201,INS_V)*INDEX(IdxOV_V,1,MIN(10,BN$173))*(1+V_dMat)/(1-V_Merma)</f>
        <v>127260</v>
      </c>
      <c r="BO230" s="34" t="n">
        <f aca="false">SUMPRODUCT(BO177:BO201,INS_V)*INDEX(IdxOV_V,1,MIN(10,BO$173))*(1+V_dMat)/(1-V_Merma)</f>
        <v>127260</v>
      </c>
      <c r="BP230" s="34" t="n">
        <f aca="false">SUMPRODUCT(BP177:BP201,INS_V)*INDEX(IdxOV_V,1,MIN(10,BP$173))*(1+V_dMat)/(1-V_Merma)</f>
        <v>127260</v>
      </c>
      <c r="BQ230" s="34" t="n">
        <f aca="false">SUMPRODUCT(BQ177:BQ201,INS_V)*INDEX(IdxOV_V,1,MIN(10,BQ$173))*(1+V_dMat)/(1-V_Merma)</f>
        <v>127260</v>
      </c>
      <c r="BR230" s="34" t="n">
        <f aca="false">SUMPRODUCT(BR177:BR201,INS_V)*INDEX(IdxOV_V,1,MIN(10,BR$173))*(1+V_dMat)/(1-V_Merma)</f>
        <v>127260</v>
      </c>
      <c r="BS230" s="34" t="n">
        <f aca="false">SUMPRODUCT(BS177:BS201,INS_V)*INDEX(IdxOV_V,1,MIN(10,BS$173))*(1+V_dMat)/(1-V_Merma)</f>
        <v>127260</v>
      </c>
      <c r="BT230" s="34" t="n">
        <f aca="false">SUMPRODUCT(BT177:BT201,INS_V)*INDEX(IdxOV_V,1,MIN(10,BT$173))*(1+V_dMat)/(1-V_Merma)</f>
        <v>127260</v>
      </c>
      <c r="BU230" s="34" t="n">
        <f aca="false">SUMPRODUCT(BU177:BU201,INS_V)*INDEX(IdxOV_V,1,MIN(10,BU$173))*(1+V_dMat)/(1-V_Merma)</f>
        <v>127260</v>
      </c>
      <c r="BV230" s="34" t="n">
        <f aca="false">SUMPRODUCT(BV177:BV201,INS_V)*INDEX(IdxOV_V,1,MIN(10,BV$173))*(1+V_dMat)/(1-V_Merma)</f>
        <v>127260</v>
      </c>
      <c r="BW230" s="34" t="n">
        <f aca="false">SUMPRODUCT(BW177:BW201,INS_V)*INDEX(IdxOV_V,1,MIN(10,BW$173))*(1+V_dMat)/(1-V_Merma)</f>
        <v>127260</v>
      </c>
      <c r="BX230" s="34" t="n">
        <f aca="false">SUMPRODUCT(BX177:BX201,INS_V)*INDEX(IdxOV_V,1,MIN(10,BX$173))*(1+V_dMat)/(1-V_Merma)</f>
        <v>127260</v>
      </c>
      <c r="BY230" s="34" t="n">
        <f aca="false">SUMPRODUCT(BY177:BY201,INS_V)*INDEX(IdxOV_V,1,MIN(10,BY$173))*(1+V_dMat)/(1-V_Merma)</f>
        <v>127260</v>
      </c>
      <c r="BZ230" s="34" t="n">
        <f aca="false">SUMPRODUCT(BZ177:BZ201,INS_V)*INDEX(IdxOV_V,1,MIN(10,BZ$173))*(1+V_dMat)/(1-V_Merma)</f>
        <v>127260</v>
      </c>
      <c r="CA230" s="34" t="n">
        <f aca="false">SUMPRODUCT(CA177:CA201,INS_V)*INDEX(IdxOV_V,1,MIN(10,CA$173))*(1+V_dMat)/(1-V_Merma)</f>
        <v>127260</v>
      </c>
      <c r="CB230" s="34" t="n">
        <f aca="false">SUMPRODUCT(CB177:CB201,INS_V)*INDEX(IdxOV_V,1,MIN(10,CB$173))*(1+V_dMat)/(1-V_Merma)</f>
        <v>127260</v>
      </c>
      <c r="CC230" s="34" t="n">
        <f aca="false">SUMPRODUCT(CC177:CC201,INS_V)*INDEX(IdxOV_V,1,MIN(10,CC$173))*(1+V_dMat)/(1-V_Merma)</f>
        <v>127260</v>
      </c>
      <c r="CD230" s="34" t="n">
        <f aca="false">SUMPRODUCT(CD177:CD201,INS_V)*INDEX(IdxOV_V,1,MIN(10,CD$173))*(1+V_dMat)/(1-V_Merma)</f>
        <v>127260</v>
      </c>
      <c r="CE230" s="34" t="n">
        <f aca="false">SUMPRODUCT(CE177:CE201,INS_V)*INDEX(IdxOV_V,1,MIN(10,CE$173))*(1+V_dMat)/(1-V_Merma)</f>
        <v>127260</v>
      </c>
      <c r="CF230" s="34" t="n">
        <f aca="false">SUMPRODUCT(CF177:CF201,INS_V)*INDEX(IdxOV_V,1,MIN(10,CF$173))*(1+V_dMat)/(1-V_Merma)</f>
        <v>127260</v>
      </c>
      <c r="CG230" s="34" t="n">
        <f aca="false">SUMPRODUCT(CG177:CG201,INS_V)*INDEX(IdxOV_V,1,MIN(10,CG$173))*(1+V_dMat)/(1-V_Merma)</f>
        <v>127260</v>
      </c>
      <c r="CH230" s="34" t="n">
        <f aca="false">SUMPRODUCT(CH177:CH201,INS_V)*INDEX(IdxOV_V,1,MIN(10,CH$173))*(1+V_dMat)/(1-V_Merma)</f>
        <v>127260</v>
      </c>
      <c r="CI230" s="34" t="n">
        <f aca="false">SUMPRODUCT(CI177:CI201,INS_V)*INDEX(IdxOV_V,1,MIN(10,CI$173))*(1+V_dMat)/(1-V_Merma)</f>
        <v>127260</v>
      </c>
      <c r="CJ230" s="34" t="n">
        <f aca="false">SUMPRODUCT(CJ177:CJ201,INS_V)*INDEX(IdxOV_V,1,MIN(10,CJ$173))*(1+V_dMat)/(1-V_Merma)</f>
        <v>127260</v>
      </c>
      <c r="CK230" s="34" t="n">
        <f aca="false">SUMPRODUCT(CK177:CK201,INS_V)*INDEX(IdxOV_V,1,MIN(10,CK$173))*(1+V_dMat)/(1-V_Merma)</f>
        <v>127260</v>
      </c>
      <c r="CL230" s="34" t="n">
        <f aca="false">SUMPRODUCT(CL177:CL201,INS_V)*INDEX(IdxOV_V,1,MIN(10,CL$173))*(1+V_dMat)/(1-V_Merma)</f>
        <v>127260</v>
      </c>
      <c r="CM230" s="34" t="n">
        <f aca="false">SUMPRODUCT(CM177:CM201,INS_V)*INDEX(IdxOV_V,1,MIN(10,CM$173))*(1+V_dMat)/(1-V_Merma)</f>
        <v>127260</v>
      </c>
      <c r="CN230" s="34" t="n">
        <f aca="false">SUMPRODUCT(CN177:CN201,INS_V)*INDEX(IdxOV_V,1,MIN(10,CN$173))*(1+V_dMat)/(1-V_Merma)</f>
        <v>127260</v>
      </c>
      <c r="CO230" s="34" t="n">
        <f aca="false">SUMPRODUCT(CO177:CO201,INS_V)*INDEX(IdxOV_V,1,MIN(10,CO$173))*(1+V_dMat)/(1-V_Merma)</f>
        <v>127260</v>
      </c>
      <c r="CP230" s="34" t="n">
        <f aca="false">SUMPRODUCT(CP177:CP201,INS_V)*INDEX(IdxOV_V,1,MIN(10,CP$173))*(1+V_dMat)/(1-V_Merma)</f>
        <v>127260</v>
      </c>
      <c r="CQ230" s="34" t="n">
        <f aca="false">SUMPRODUCT(CQ177:CQ201,INS_V)*INDEX(IdxOV_V,1,MIN(10,CQ$173))*(1+V_dMat)/(1-V_Merma)</f>
        <v>127260</v>
      </c>
      <c r="CR230" s="34" t="n">
        <f aca="false">SUMPRODUCT(CR177:CR201,INS_V)*INDEX(IdxOV_V,1,MIN(10,CR$173))*(1+V_dMat)/(1-V_Merma)</f>
        <v>127260</v>
      </c>
      <c r="CS230" s="34" t="n">
        <f aca="false">SUMPRODUCT(CS177:CS201,INS_V)*INDEX(IdxOV_V,1,MIN(10,CS$173))*(1+V_dMat)/(1-V_Merma)</f>
        <v>127260</v>
      </c>
      <c r="CT230" s="34" t="n">
        <f aca="false">SUMPRODUCT(CT177:CT201,INS_V)*INDEX(IdxOV_V,1,MIN(10,CT$173))*(1+V_dMat)/(1-V_Merma)</f>
        <v>127260</v>
      </c>
      <c r="CU230" s="34" t="n">
        <f aca="false">SUMPRODUCT(CU177:CU201,INS_V)*INDEX(IdxOV_V,1,MIN(10,CU$173))*(1+V_dMat)/(1-V_Merma)</f>
        <v>127260</v>
      </c>
      <c r="CV230" s="34" t="n">
        <f aca="false">SUMPRODUCT(CV177:CV201,INS_V)*INDEX(IdxOV_V,1,MIN(10,CV$173))*(1+V_dMat)/(1-V_Merma)</f>
        <v>127260</v>
      </c>
      <c r="CW230" s="34" t="n">
        <f aca="false">SUMPRODUCT(CW177:CW201,INS_V)*INDEX(IdxOV_V,1,MIN(10,CW$173))*(1+V_dMat)/(1-V_Merma)</f>
        <v>127260</v>
      </c>
      <c r="CX230" s="34" t="n">
        <f aca="false">SUMPRODUCT(CX177:CX201,INS_V)*INDEX(IdxOV_V,1,MIN(10,CX$173))*(1+V_dMat)/(1-V_Merma)</f>
        <v>127260</v>
      </c>
      <c r="CY230" s="34" t="n">
        <f aca="false">SUMPRODUCT(CY177:CY201,INS_V)*INDEX(IdxOV_V,1,MIN(10,CY$173))*(1+V_dMat)/(1-V_Merma)</f>
        <v>127260</v>
      </c>
      <c r="CZ230" s="34" t="n">
        <f aca="false">SUMPRODUCT(CZ177:CZ201,INS_V)*INDEX(IdxOV_V,1,MIN(10,CZ$173))*(1+V_dMat)/(1-V_Merma)</f>
        <v>127260</v>
      </c>
      <c r="DA230" s="34" t="n">
        <f aca="false">SUMPRODUCT(DA177:DA201,INS_V)*INDEX(IdxOV_V,1,MIN(10,DA$173))*(1+V_dMat)/(1-V_Merma)</f>
        <v>127260</v>
      </c>
      <c r="DB230" s="34" t="n">
        <f aca="false">SUMPRODUCT(DB177:DB201,INS_V)*INDEX(IdxOV_V,1,MIN(10,DB$173))*(1+V_dMat)/(1-V_Merma)</f>
        <v>127260</v>
      </c>
      <c r="DC230" s="34" t="n">
        <f aca="false">SUMPRODUCT(DC177:DC201,INS_V)*INDEX(IdxOV_V,1,MIN(10,DC$173))*(1+V_dMat)/(1-V_Merma)</f>
        <v>127260</v>
      </c>
      <c r="DD230" s="34" t="n">
        <f aca="false">SUMPRODUCT(DD177:DD201,INS_V)*INDEX(IdxOV_V,1,MIN(10,DD$173))*(1+V_dMat)/(1-V_Merma)</f>
        <v>127260</v>
      </c>
      <c r="DE230" s="34" t="n">
        <f aca="false">SUMPRODUCT(DE177:DE201,INS_V)*INDEX(IdxOV_V,1,MIN(10,DE$173))*(1+V_dMat)/(1-V_Merma)</f>
        <v>127260</v>
      </c>
      <c r="DF230" s="34" t="n">
        <f aca="false">SUMPRODUCT(DF177:DF201,INS_V)*INDEX(IdxOV_V,1,MIN(10,DF$173))*(1+V_dMat)/(1-V_Merma)</f>
        <v>127260</v>
      </c>
      <c r="DG230" s="34" t="n">
        <f aca="false">SUMPRODUCT(DG177:DG201,INS_V)*INDEX(IdxOV_V,1,MIN(10,DG$173))*(1+V_dMat)/(1-V_Merma)</f>
        <v>127260</v>
      </c>
      <c r="DH230" s="34" t="n">
        <f aca="false">SUMPRODUCT(DH177:DH201,INS_V)*INDEX(IdxOV_V,1,MIN(10,DH$173))*(1+V_dMat)/(1-V_Merma)</f>
        <v>127260</v>
      </c>
      <c r="DI230" s="34" t="n">
        <f aca="false">SUMPRODUCT(DI177:DI201,INS_V)*INDEX(IdxOV_V,1,MIN(10,DI$173))*(1+V_dMat)/(1-V_Merma)</f>
        <v>127260</v>
      </c>
      <c r="DJ230" s="34" t="n">
        <f aca="false">SUMPRODUCT(DJ177:DJ201,INS_V)*INDEX(IdxOV_V,1,MIN(10,DJ$173))*(1+V_dMat)/(1-V_Merma)</f>
        <v>127260</v>
      </c>
      <c r="DK230" s="34" t="n">
        <f aca="false">SUMPRODUCT(DK177:DK201,INS_V)*INDEX(IdxOV_V,1,MIN(10,DK$173))*(1+V_dMat)/(1-V_Merma)</f>
        <v>127260</v>
      </c>
      <c r="DL230" s="34" t="n">
        <f aca="false">SUMPRODUCT(DL177:DL201,INS_V)*INDEX(IdxOV_V,1,MIN(10,DL$173))*(1+V_dMat)/(1-V_Merma)</f>
        <v>127260</v>
      </c>
      <c r="DM230" s="34" t="n">
        <f aca="false">SUMPRODUCT(DM177:DM201,INS_V)*INDEX(IdxOV_V,1,MIN(10,DM$173))*(1+V_dMat)/(1-V_Merma)</f>
        <v>127260</v>
      </c>
      <c r="DN230" s="34" t="n">
        <f aca="false">SUMPRODUCT(DN177:DN201,INS_V)*INDEX(IdxOV_V,1,MIN(10,DN$173))*(1+V_dMat)/(1-V_Merma)</f>
        <v>127260</v>
      </c>
      <c r="DO230" s="34" t="n">
        <f aca="false">SUMPRODUCT(DO177:DO201,INS_V)*INDEX(IdxOV_V,1,MIN(10,DO$173))*(1+V_dMat)/(1-V_Merma)</f>
        <v>127260</v>
      </c>
      <c r="DP230" s="34" t="n">
        <f aca="false">SUMPRODUCT(DP177:DP201,INS_V)*INDEX(IdxOV_V,1,MIN(10,DP$173))*(1+V_dMat)/(1-V_Merma)</f>
        <v>127260</v>
      </c>
      <c r="DQ230" s="34" t="n">
        <f aca="false">SUMPRODUCT(DQ177:DQ201,INS_V)*INDEX(IdxOV_V,1,MIN(10,DQ$173))*(1+V_dMat)/(1-V_Merma)</f>
        <v>127260</v>
      </c>
      <c r="DR230" s="34" t="n">
        <f aca="false">SUMPRODUCT(DR177:DR201,INS_V)*INDEX(IdxOV_V,1,MIN(10,DR$173))*(1+V_dMat)/(1-V_Merma)</f>
        <v>127260</v>
      </c>
      <c r="DS230" s="34" t="n">
        <f aca="false">SUMPRODUCT(DS177:DS201,INS_V)*INDEX(IdxOV_V,1,MIN(10,DS$173))*(1+V_dMat)/(1-V_Merma)</f>
        <v>127260</v>
      </c>
      <c r="DT230" s="34" t="n">
        <f aca="false">SUMPRODUCT(DT177:DT201,INS_V)*INDEX(IdxOV_V,1,MIN(10,DT$173))*(1+V_dMat)/(1-V_Merma)</f>
        <v>127260</v>
      </c>
      <c r="DU230" s="34" t="n">
        <f aca="false">SUMPRODUCT(DU177:DU201,INS_V)*INDEX(IdxOV_V,1,MIN(10,DU$173))*(1+V_dMat)/(1-V_Merma)</f>
        <v>127260</v>
      </c>
      <c r="DV230" s="34" t="n">
        <f aca="false">SUMPRODUCT(DV177:DV201,INS_V)*INDEX(IdxOV_V,1,MIN(10,DV$173))*(1+V_dMat)/(1-V_Merma)</f>
        <v>0</v>
      </c>
      <c r="DW230" s="34" t="n">
        <f aca="false">SUMPRODUCT(DW177:DW201,INS_V)*INDEX(IdxOV_V,1,MIN(10,DW$173))*(1+V_dMat)/(1-V_Merma)</f>
        <v>0</v>
      </c>
      <c r="DX230" s="34" t="n">
        <f aca="false">SUMPRODUCT(DX177:DX201,INS_V)*INDEX(IdxOV_V,1,MIN(10,DX$173))*(1+V_dMat)/(1-V_Merma)</f>
        <v>0</v>
      </c>
      <c r="DY230" s="34" t="n">
        <f aca="false">SUMPRODUCT(DY177:DY201,INS_V)*INDEX(IdxOV_V,1,MIN(10,DY$173))*(1+V_dMat)/(1-V_Merma)</f>
        <v>0</v>
      </c>
      <c r="DZ230" s="34" t="n">
        <f aca="false">SUMPRODUCT(DZ177:DZ201,INS_V)*INDEX(IdxOV_V,1,MIN(10,DZ$173))*(1+V_dMat)/(1-V_Merma)</f>
        <v>0</v>
      </c>
      <c r="EA230" s="34" t="n">
        <f aca="false">SUMPRODUCT(EA177:EA201,INS_V)*INDEX(IdxOV_V,1,MIN(10,EA$173))*(1+V_dMat)/(1-V_Merma)</f>
        <v>0</v>
      </c>
      <c r="EB230" s="34" t="n">
        <f aca="false">SUMPRODUCT(EB177:EB201,INS_V)*INDEX(IdxOV_V,1,MIN(10,EB$173))*(1+V_dMat)/(1-V_Merma)</f>
        <v>0</v>
      </c>
      <c r="EC230" s="34" t="n">
        <f aca="false">SUMPRODUCT(EC177:EC201,INS_V)*INDEX(IdxOV_V,1,MIN(10,EC$173))*(1+V_dMat)/(1-V_Merma)</f>
        <v>0</v>
      </c>
      <c r="ED230" s="34" t="n">
        <f aca="false">SUMPRODUCT(ED177:ED201,INS_V)*INDEX(IdxOV_V,1,MIN(10,ED$173))*(1+V_dMat)/(1-V_Merma)</f>
        <v>0</v>
      </c>
      <c r="EE230" s="34" t="n">
        <f aca="false">SUMPRODUCT(EE177:EE201,INS_V)*INDEX(IdxOV_V,1,MIN(10,EE$173))*(1+V_dMat)/(1-V_Merma)</f>
        <v>0</v>
      </c>
      <c r="EF230" s="34" t="n">
        <f aca="false">SUMPRODUCT(EF177:EF201,INS_V)*INDEX(IdxOV_V,1,MIN(10,EF$173))*(1+V_dMat)/(1-V_Merma)</f>
        <v>0</v>
      </c>
      <c r="EG230" s="34" t="n">
        <f aca="false">SUMPRODUCT(EG177:EG201,INS_V)*INDEX(IdxOV_V,1,MIN(10,EG$173))*(1+V_dMat)/(1-V_Merma)</f>
        <v>0</v>
      </c>
      <c r="EH230" s="34" t="n">
        <f aca="false">SUMPRODUCT(EH177:EH201,INS_V)*INDEX(IdxOV_V,1,MIN(10,EH$173))*(1+V_dMat)/(1-V_Merma)</f>
        <v>0</v>
      </c>
      <c r="EI230" s="34" t="n">
        <f aca="false">SUMPRODUCT(EI177:EI201,INS_V)*INDEX(IdxOV_V,1,MIN(10,EI$173))*(1+V_dMat)/(1-V_Merma)</f>
        <v>0</v>
      </c>
      <c r="EJ230" s="34" t="n">
        <f aca="false">SUMPRODUCT(EJ177:EJ201,INS_V)*INDEX(IdxOV_V,1,MIN(10,EJ$173))*(1+V_dMat)/(1-V_Merma)</f>
        <v>0</v>
      </c>
      <c r="EK230" s="34" t="n">
        <f aca="false">SUMPRODUCT(EK177:EK201,INS_V)*INDEX(IdxOV_V,1,MIN(10,EK$173))*(1+V_dMat)/(1-V_Merma)</f>
        <v>0</v>
      </c>
      <c r="EL230" s="34" t="n">
        <f aca="false">SUMPRODUCT(EL177:EL201,INS_V)*INDEX(IdxOV_V,1,MIN(10,EL$173))*(1+V_dMat)/(1-V_Merma)</f>
        <v>0</v>
      </c>
      <c r="EM230" s="34" t="n">
        <f aca="false">SUMPRODUCT(EM177:EM201,INS_V)*INDEX(IdxOV_V,1,MIN(10,EM$173))*(1+V_dMat)/(1-V_Merma)</f>
        <v>0</v>
      </c>
      <c r="EN230" s="34" t="n">
        <f aca="false">SUMPRODUCT(EN177:EN201,INS_V)*INDEX(IdxOV_V,1,MIN(10,EN$173))*(1+V_dMat)/(1-V_Merma)</f>
        <v>0</v>
      </c>
      <c r="EO230" s="34" t="n">
        <f aca="false">SUMPRODUCT(EO177:EO201,INS_V)*INDEX(IdxOV_V,1,MIN(10,EO$173))*(1+V_dMat)/(1-V_Merma)</f>
        <v>0</v>
      </c>
      <c r="EP230" s="34" t="n">
        <f aca="false">SUMPRODUCT(EP177:EP201,INS_V)*INDEX(IdxOV_V,1,MIN(10,EP$173))*(1+V_dMat)/(1-V_Merma)</f>
        <v>0</v>
      </c>
      <c r="EQ230" s="34" t="n">
        <f aca="false">SUMPRODUCT(EQ177:EQ201,INS_V)*INDEX(IdxOV_V,1,MIN(10,EQ$173))*(1+V_dMat)/(1-V_Merma)</f>
        <v>0</v>
      </c>
      <c r="ER230" s="34" t="n">
        <f aca="false">SUMPRODUCT(ER177:ER201,INS_V)*INDEX(IdxOV_V,1,MIN(10,ER$173))*(1+V_dMat)/(1-V_Merma)</f>
        <v>0</v>
      </c>
      <c r="ES230" s="34" t="n">
        <f aca="false">SUMPRODUCT(ES177:ES201,INS_V)*INDEX(IdxOV_V,1,MIN(10,ES$173))*(1+V_dMat)/(1-V_Merma)</f>
        <v>0</v>
      </c>
    </row>
    <row r="231" customFormat="false" ht="15" hidden="false" customHeight="false" outlineLevel="0" collapsed="false">
      <c r="A231" s="2" t="s">
        <v>872</v>
      </c>
      <c r="B231" s="6" t="s">
        <v>642</v>
      </c>
      <c r="C231" s="6" t="s">
        <v>250</v>
      </c>
      <c r="E231" s="40" t="n">
        <f aca="false">SUM(F231:ES231)</f>
        <v>8388891.936</v>
      </c>
      <c r="F231" s="34" t="n">
        <f aca="false">SUMPRODUCT(F177:F201,OV_V)*INDEX(IdxOV_V,1,MIN(10,F$173))*(1+V_dMat)/(1-V_Merma)</f>
        <v>43834.333</v>
      </c>
      <c r="G231" s="34" t="n">
        <f aca="false">SUMPRODUCT(G177:G201,OV_V)*INDEX(IdxOV_V,1,MIN(10,G$173))*(1+V_dMat)/(1-V_Merma)</f>
        <v>43834.333</v>
      </c>
      <c r="H231" s="34" t="n">
        <f aca="false">SUMPRODUCT(H177:H201,OV_V)*INDEX(IdxOV_V,1,MIN(10,H$173))*(1+V_dMat)/(1-V_Merma)</f>
        <v>43834.333</v>
      </c>
      <c r="I231" s="34" t="n">
        <f aca="false">SUMPRODUCT(I177:I201,OV_V)*INDEX(IdxOV_V,1,MIN(10,I$173))*(1+V_dMat)/(1-V_Merma)</f>
        <v>43834.333</v>
      </c>
      <c r="J231" s="34" t="n">
        <f aca="false">SUMPRODUCT(J177:J201,OV_V)*INDEX(IdxOV_V,1,MIN(10,J$173))*(1+V_dMat)/(1-V_Merma)</f>
        <v>43834.333</v>
      </c>
      <c r="K231" s="34" t="n">
        <f aca="false">SUMPRODUCT(K177:K201,OV_V)*INDEX(IdxOV_V,1,MIN(10,K$173))*(1+V_dMat)/(1-V_Merma)</f>
        <v>43834.333</v>
      </c>
      <c r="L231" s="34" t="n">
        <f aca="false">SUMPRODUCT(L177:L201,OV_V)*INDEX(IdxOV_V,1,MIN(10,L$173))*(1+V_dMat)/(1-V_Merma)</f>
        <v>43834.333</v>
      </c>
      <c r="M231" s="34" t="n">
        <f aca="false">SUMPRODUCT(M177:M201,OV_V)*INDEX(IdxOV_V,1,MIN(10,M$173))*(1+V_dMat)/(1-V_Merma)</f>
        <v>43834.333</v>
      </c>
      <c r="N231" s="34" t="n">
        <f aca="false">SUMPRODUCT(N177:N201,OV_V)*INDEX(IdxOV_V,1,MIN(10,N$173))*(1+V_dMat)/(1-V_Merma)</f>
        <v>43834.333</v>
      </c>
      <c r="O231" s="34" t="n">
        <f aca="false">SUMPRODUCT(O177:O201,OV_V)*INDEX(IdxOV_V,1,MIN(10,O$173))*(1+V_dMat)/(1-V_Merma)</f>
        <v>43834.333</v>
      </c>
      <c r="P231" s="34" t="n">
        <f aca="false">SUMPRODUCT(P177:P201,OV_V)*INDEX(IdxOV_V,1,MIN(10,P$173))*(1+V_dMat)/(1-V_Merma)</f>
        <v>43834.333</v>
      </c>
      <c r="Q231" s="34" t="n">
        <f aca="false">SUMPRODUCT(Q177:Q201,OV_V)*INDEX(IdxOV_V,1,MIN(10,Q$173))*(1+V_dMat)/(1-V_Merma)</f>
        <v>43834.333</v>
      </c>
      <c r="R231" s="34" t="n">
        <f aca="false">SUMPRODUCT(R177:R201,OV_V)*INDEX(IdxOV_V,1,MIN(10,R$173))*(1+V_dMat)/(1-V_Merma)</f>
        <v>55361.66625</v>
      </c>
      <c r="S231" s="34" t="n">
        <f aca="false">SUMPRODUCT(S177:S201,OV_V)*INDEX(IdxOV_V,1,MIN(10,S$173))*(1+V_dMat)/(1-V_Merma)</f>
        <v>55361.66625</v>
      </c>
      <c r="T231" s="34" t="n">
        <f aca="false">SUMPRODUCT(T177:T201,OV_V)*INDEX(IdxOV_V,1,MIN(10,T$173))*(1+V_dMat)/(1-V_Merma)</f>
        <v>55361.66625</v>
      </c>
      <c r="U231" s="34" t="n">
        <f aca="false">SUMPRODUCT(U177:U201,OV_V)*INDEX(IdxOV_V,1,MIN(10,U$173))*(1+V_dMat)/(1-V_Merma)</f>
        <v>55361.66625</v>
      </c>
      <c r="V231" s="34" t="n">
        <f aca="false">SUMPRODUCT(V177:V201,OV_V)*INDEX(IdxOV_V,1,MIN(10,V$173))*(1+V_dMat)/(1-V_Merma)</f>
        <v>55361.66625</v>
      </c>
      <c r="W231" s="34" t="n">
        <f aca="false">SUMPRODUCT(W177:W201,OV_V)*INDEX(IdxOV_V,1,MIN(10,W$173))*(1+V_dMat)/(1-V_Merma)</f>
        <v>55361.66625</v>
      </c>
      <c r="X231" s="34" t="n">
        <f aca="false">SUMPRODUCT(X177:X201,OV_V)*INDEX(IdxOV_V,1,MIN(10,X$173))*(1+V_dMat)/(1-V_Merma)</f>
        <v>55361.66625</v>
      </c>
      <c r="Y231" s="34" t="n">
        <f aca="false">SUMPRODUCT(Y177:Y201,OV_V)*INDEX(IdxOV_V,1,MIN(10,Y$173))*(1+V_dMat)/(1-V_Merma)</f>
        <v>55361.66625</v>
      </c>
      <c r="Z231" s="34" t="n">
        <f aca="false">SUMPRODUCT(Z177:Z201,OV_V)*INDEX(IdxOV_V,1,MIN(10,Z$173))*(1+V_dMat)/(1-V_Merma)</f>
        <v>55361.66625</v>
      </c>
      <c r="AA231" s="34" t="n">
        <f aca="false">SUMPRODUCT(AA177:AA201,OV_V)*INDEX(IdxOV_V,1,MIN(10,AA$173))*(1+V_dMat)/(1-V_Merma)</f>
        <v>55361.66625</v>
      </c>
      <c r="AB231" s="34" t="n">
        <f aca="false">SUMPRODUCT(AB177:AB201,OV_V)*INDEX(IdxOV_V,1,MIN(10,AB$173))*(1+V_dMat)/(1-V_Merma)</f>
        <v>55361.66625</v>
      </c>
      <c r="AC231" s="34" t="n">
        <f aca="false">SUMPRODUCT(AC177:AC201,OV_V)*INDEX(IdxOV_V,1,MIN(10,AC$173))*(1+V_dMat)/(1-V_Merma)</f>
        <v>55361.66625</v>
      </c>
      <c r="AD231" s="34" t="n">
        <f aca="false">SUMPRODUCT(AD177:AD201,OV_V)*INDEX(IdxOV_V,1,MIN(10,AD$173))*(1+V_dMat)/(1-V_Merma)</f>
        <v>66888.9995</v>
      </c>
      <c r="AE231" s="34" t="n">
        <f aca="false">SUMPRODUCT(AE177:AE201,OV_V)*INDEX(IdxOV_V,1,MIN(10,AE$173))*(1+V_dMat)/(1-V_Merma)</f>
        <v>66888.9995</v>
      </c>
      <c r="AF231" s="34" t="n">
        <f aca="false">SUMPRODUCT(AF177:AF201,OV_V)*INDEX(IdxOV_V,1,MIN(10,AF$173))*(1+V_dMat)/(1-V_Merma)</f>
        <v>66888.9995</v>
      </c>
      <c r="AG231" s="34" t="n">
        <f aca="false">SUMPRODUCT(AG177:AG201,OV_V)*INDEX(IdxOV_V,1,MIN(10,AG$173))*(1+V_dMat)/(1-V_Merma)</f>
        <v>66888.9995</v>
      </c>
      <c r="AH231" s="34" t="n">
        <f aca="false">SUMPRODUCT(AH177:AH201,OV_V)*INDEX(IdxOV_V,1,MIN(10,AH$173))*(1+V_dMat)/(1-V_Merma)</f>
        <v>66888.9995</v>
      </c>
      <c r="AI231" s="34" t="n">
        <f aca="false">SUMPRODUCT(AI177:AI201,OV_V)*INDEX(IdxOV_V,1,MIN(10,AI$173))*(1+V_dMat)/(1-V_Merma)</f>
        <v>66888.9995</v>
      </c>
      <c r="AJ231" s="34" t="n">
        <f aca="false">SUMPRODUCT(AJ177:AJ201,OV_V)*INDEX(IdxOV_V,1,MIN(10,AJ$173))*(1+V_dMat)/(1-V_Merma)</f>
        <v>66888.9995</v>
      </c>
      <c r="AK231" s="34" t="n">
        <f aca="false">SUMPRODUCT(AK177:AK201,OV_V)*INDEX(IdxOV_V,1,MIN(10,AK$173))*(1+V_dMat)/(1-V_Merma)</f>
        <v>66888.9995</v>
      </c>
      <c r="AL231" s="34" t="n">
        <f aca="false">SUMPRODUCT(AL177:AL201,OV_V)*INDEX(IdxOV_V,1,MIN(10,AL$173))*(1+V_dMat)/(1-V_Merma)</f>
        <v>66888.9995</v>
      </c>
      <c r="AM231" s="34" t="n">
        <f aca="false">SUMPRODUCT(AM177:AM201,OV_V)*INDEX(IdxOV_V,1,MIN(10,AM$173))*(1+V_dMat)/(1-V_Merma)</f>
        <v>66888.9995</v>
      </c>
      <c r="AN231" s="34" t="n">
        <f aca="false">SUMPRODUCT(AN177:AN201,OV_V)*INDEX(IdxOV_V,1,MIN(10,AN$173))*(1+V_dMat)/(1-V_Merma)</f>
        <v>66888.9995</v>
      </c>
      <c r="AO231" s="34" t="n">
        <f aca="false">SUMPRODUCT(AO177:AO201,OV_V)*INDEX(IdxOV_V,1,MIN(10,AO$173))*(1+V_dMat)/(1-V_Merma)</f>
        <v>66888.9995</v>
      </c>
      <c r="AP231" s="34" t="n">
        <f aca="false">SUMPRODUCT(AP177:AP201,OV_V)*INDEX(IdxOV_V,1,MIN(10,AP$173))*(1+V_dMat)/(1-V_Merma)</f>
        <v>76141.33275</v>
      </c>
      <c r="AQ231" s="34" t="n">
        <f aca="false">SUMPRODUCT(AQ177:AQ201,OV_V)*INDEX(IdxOV_V,1,MIN(10,AQ$173))*(1+V_dMat)/(1-V_Merma)</f>
        <v>76141.33275</v>
      </c>
      <c r="AR231" s="34" t="n">
        <f aca="false">SUMPRODUCT(AR177:AR201,OV_V)*INDEX(IdxOV_V,1,MIN(10,AR$173))*(1+V_dMat)/(1-V_Merma)</f>
        <v>76141.33275</v>
      </c>
      <c r="AS231" s="34" t="n">
        <f aca="false">SUMPRODUCT(AS177:AS201,OV_V)*INDEX(IdxOV_V,1,MIN(10,AS$173))*(1+V_dMat)/(1-V_Merma)</f>
        <v>76141.33275</v>
      </c>
      <c r="AT231" s="34" t="n">
        <f aca="false">SUMPRODUCT(AT177:AT201,OV_V)*INDEX(IdxOV_V,1,MIN(10,AT$173))*(1+V_dMat)/(1-V_Merma)</f>
        <v>76141.33275</v>
      </c>
      <c r="AU231" s="34" t="n">
        <f aca="false">SUMPRODUCT(AU177:AU201,OV_V)*INDEX(IdxOV_V,1,MIN(10,AU$173))*(1+V_dMat)/(1-V_Merma)</f>
        <v>76141.33275</v>
      </c>
      <c r="AV231" s="34" t="n">
        <f aca="false">SUMPRODUCT(AV177:AV201,OV_V)*INDEX(IdxOV_V,1,MIN(10,AV$173))*(1+V_dMat)/(1-V_Merma)</f>
        <v>76141.33275</v>
      </c>
      <c r="AW231" s="34" t="n">
        <f aca="false">SUMPRODUCT(AW177:AW201,OV_V)*INDEX(IdxOV_V,1,MIN(10,AW$173))*(1+V_dMat)/(1-V_Merma)</f>
        <v>76141.33275</v>
      </c>
      <c r="AX231" s="34" t="n">
        <f aca="false">SUMPRODUCT(AX177:AX201,OV_V)*INDEX(IdxOV_V,1,MIN(10,AX$173))*(1+V_dMat)/(1-V_Merma)</f>
        <v>76141.33275</v>
      </c>
      <c r="AY231" s="34" t="n">
        <f aca="false">SUMPRODUCT(AY177:AY201,OV_V)*INDEX(IdxOV_V,1,MIN(10,AY$173))*(1+V_dMat)/(1-V_Merma)</f>
        <v>76141.33275</v>
      </c>
      <c r="AZ231" s="34" t="n">
        <f aca="false">SUMPRODUCT(AZ177:AZ201,OV_V)*INDEX(IdxOV_V,1,MIN(10,AZ$173))*(1+V_dMat)/(1-V_Merma)</f>
        <v>76141.33275</v>
      </c>
      <c r="BA231" s="34" t="n">
        <f aca="false">SUMPRODUCT(BA177:BA201,OV_V)*INDEX(IdxOV_V,1,MIN(10,BA$173))*(1+V_dMat)/(1-V_Merma)</f>
        <v>76141.33275</v>
      </c>
      <c r="BB231" s="34" t="n">
        <f aca="false">SUMPRODUCT(BB177:BB201,OV_V)*INDEX(IdxOV_V,1,MIN(10,BB$173))*(1+V_dMat)/(1-V_Merma)</f>
        <v>76141.33275</v>
      </c>
      <c r="BC231" s="34" t="n">
        <f aca="false">SUMPRODUCT(BC177:BC201,OV_V)*INDEX(IdxOV_V,1,MIN(10,BC$173))*(1+V_dMat)/(1-V_Merma)</f>
        <v>76141.33275</v>
      </c>
      <c r="BD231" s="34" t="n">
        <f aca="false">SUMPRODUCT(BD177:BD201,OV_V)*INDEX(IdxOV_V,1,MIN(10,BD$173))*(1+V_dMat)/(1-V_Merma)</f>
        <v>76141.33275</v>
      </c>
      <c r="BE231" s="34" t="n">
        <f aca="false">SUMPRODUCT(BE177:BE201,OV_V)*INDEX(IdxOV_V,1,MIN(10,BE$173))*(1+V_dMat)/(1-V_Merma)</f>
        <v>76141.33275</v>
      </c>
      <c r="BF231" s="34" t="n">
        <f aca="false">SUMPRODUCT(BF177:BF201,OV_V)*INDEX(IdxOV_V,1,MIN(10,BF$173))*(1+V_dMat)/(1-V_Merma)</f>
        <v>76141.33275</v>
      </c>
      <c r="BG231" s="34" t="n">
        <f aca="false">SUMPRODUCT(BG177:BG201,OV_V)*INDEX(IdxOV_V,1,MIN(10,BG$173))*(1+V_dMat)/(1-V_Merma)</f>
        <v>76141.33275</v>
      </c>
      <c r="BH231" s="34" t="n">
        <f aca="false">SUMPRODUCT(BH177:BH201,OV_V)*INDEX(IdxOV_V,1,MIN(10,BH$173))*(1+V_dMat)/(1-V_Merma)</f>
        <v>76141.33275</v>
      </c>
      <c r="BI231" s="34" t="n">
        <f aca="false">SUMPRODUCT(BI177:BI201,OV_V)*INDEX(IdxOV_V,1,MIN(10,BI$173))*(1+V_dMat)/(1-V_Merma)</f>
        <v>76141.33275</v>
      </c>
      <c r="BJ231" s="34" t="n">
        <f aca="false">SUMPRODUCT(BJ177:BJ201,OV_V)*INDEX(IdxOV_V,1,MIN(10,BJ$173))*(1+V_dMat)/(1-V_Merma)</f>
        <v>76141.33275</v>
      </c>
      <c r="BK231" s="34" t="n">
        <f aca="false">SUMPRODUCT(BK177:BK201,OV_V)*INDEX(IdxOV_V,1,MIN(10,BK$173))*(1+V_dMat)/(1-V_Merma)</f>
        <v>76141.33275</v>
      </c>
      <c r="BL231" s="34" t="n">
        <f aca="false">SUMPRODUCT(BL177:BL201,OV_V)*INDEX(IdxOV_V,1,MIN(10,BL$173))*(1+V_dMat)/(1-V_Merma)</f>
        <v>76141.33275</v>
      </c>
      <c r="BM231" s="34" t="n">
        <f aca="false">SUMPRODUCT(BM177:BM201,OV_V)*INDEX(IdxOV_V,1,MIN(10,BM$173))*(1+V_dMat)/(1-V_Merma)</f>
        <v>76141.33275</v>
      </c>
      <c r="BN231" s="34" t="n">
        <f aca="false">SUMPRODUCT(BN177:BN201,OV_V)*INDEX(IdxOV_V,1,MIN(10,BN$173))*(1+V_dMat)/(1-V_Merma)</f>
        <v>76141.33275</v>
      </c>
      <c r="BO231" s="34" t="n">
        <f aca="false">SUMPRODUCT(BO177:BO201,OV_V)*INDEX(IdxOV_V,1,MIN(10,BO$173))*(1+V_dMat)/(1-V_Merma)</f>
        <v>76141.33275</v>
      </c>
      <c r="BP231" s="34" t="n">
        <f aca="false">SUMPRODUCT(BP177:BP201,OV_V)*INDEX(IdxOV_V,1,MIN(10,BP$173))*(1+V_dMat)/(1-V_Merma)</f>
        <v>76141.33275</v>
      </c>
      <c r="BQ231" s="34" t="n">
        <f aca="false">SUMPRODUCT(BQ177:BQ201,OV_V)*INDEX(IdxOV_V,1,MIN(10,BQ$173))*(1+V_dMat)/(1-V_Merma)</f>
        <v>76141.33275</v>
      </c>
      <c r="BR231" s="34" t="n">
        <f aca="false">SUMPRODUCT(BR177:BR201,OV_V)*INDEX(IdxOV_V,1,MIN(10,BR$173))*(1+V_dMat)/(1-V_Merma)</f>
        <v>76141.33275</v>
      </c>
      <c r="BS231" s="34" t="n">
        <f aca="false">SUMPRODUCT(BS177:BS201,OV_V)*INDEX(IdxOV_V,1,MIN(10,BS$173))*(1+V_dMat)/(1-V_Merma)</f>
        <v>76141.33275</v>
      </c>
      <c r="BT231" s="34" t="n">
        <f aca="false">SUMPRODUCT(BT177:BT201,OV_V)*INDEX(IdxOV_V,1,MIN(10,BT$173))*(1+V_dMat)/(1-V_Merma)</f>
        <v>76141.33275</v>
      </c>
      <c r="BU231" s="34" t="n">
        <f aca="false">SUMPRODUCT(BU177:BU201,OV_V)*INDEX(IdxOV_V,1,MIN(10,BU$173))*(1+V_dMat)/(1-V_Merma)</f>
        <v>76141.33275</v>
      </c>
      <c r="BV231" s="34" t="n">
        <f aca="false">SUMPRODUCT(BV177:BV201,OV_V)*INDEX(IdxOV_V,1,MIN(10,BV$173))*(1+V_dMat)/(1-V_Merma)</f>
        <v>76141.33275</v>
      </c>
      <c r="BW231" s="34" t="n">
        <f aca="false">SUMPRODUCT(BW177:BW201,OV_V)*INDEX(IdxOV_V,1,MIN(10,BW$173))*(1+V_dMat)/(1-V_Merma)</f>
        <v>76141.33275</v>
      </c>
      <c r="BX231" s="34" t="n">
        <f aca="false">SUMPRODUCT(BX177:BX201,OV_V)*INDEX(IdxOV_V,1,MIN(10,BX$173))*(1+V_dMat)/(1-V_Merma)</f>
        <v>76141.33275</v>
      </c>
      <c r="BY231" s="34" t="n">
        <f aca="false">SUMPRODUCT(BY177:BY201,OV_V)*INDEX(IdxOV_V,1,MIN(10,BY$173))*(1+V_dMat)/(1-V_Merma)</f>
        <v>76141.33275</v>
      </c>
      <c r="BZ231" s="34" t="n">
        <f aca="false">SUMPRODUCT(BZ177:BZ201,OV_V)*INDEX(IdxOV_V,1,MIN(10,BZ$173))*(1+V_dMat)/(1-V_Merma)</f>
        <v>76141.33275</v>
      </c>
      <c r="CA231" s="34" t="n">
        <f aca="false">SUMPRODUCT(CA177:CA201,OV_V)*INDEX(IdxOV_V,1,MIN(10,CA$173))*(1+V_dMat)/(1-V_Merma)</f>
        <v>76141.33275</v>
      </c>
      <c r="CB231" s="34" t="n">
        <f aca="false">SUMPRODUCT(CB177:CB201,OV_V)*INDEX(IdxOV_V,1,MIN(10,CB$173))*(1+V_dMat)/(1-V_Merma)</f>
        <v>76141.33275</v>
      </c>
      <c r="CC231" s="34" t="n">
        <f aca="false">SUMPRODUCT(CC177:CC201,OV_V)*INDEX(IdxOV_V,1,MIN(10,CC$173))*(1+V_dMat)/(1-V_Merma)</f>
        <v>76141.33275</v>
      </c>
      <c r="CD231" s="34" t="n">
        <f aca="false">SUMPRODUCT(CD177:CD201,OV_V)*INDEX(IdxOV_V,1,MIN(10,CD$173))*(1+V_dMat)/(1-V_Merma)</f>
        <v>76141.33275</v>
      </c>
      <c r="CE231" s="34" t="n">
        <f aca="false">SUMPRODUCT(CE177:CE201,OV_V)*INDEX(IdxOV_V,1,MIN(10,CE$173))*(1+V_dMat)/(1-V_Merma)</f>
        <v>76141.33275</v>
      </c>
      <c r="CF231" s="34" t="n">
        <f aca="false">SUMPRODUCT(CF177:CF201,OV_V)*INDEX(IdxOV_V,1,MIN(10,CF$173))*(1+V_dMat)/(1-V_Merma)</f>
        <v>76141.33275</v>
      </c>
      <c r="CG231" s="34" t="n">
        <f aca="false">SUMPRODUCT(CG177:CG201,OV_V)*INDEX(IdxOV_V,1,MIN(10,CG$173))*(1+V_dMat)/(1-V_Merma)</f>
        <v>76141.33275</v>
      </c>
      <c r="CH231" s="34" t="n">
        <f aca="false">SUMPRODUCT(CH177:CH201,OV_V)*INDEX(IdxOV_V,1,MIN(10,CH$173))*(1+V_dMat)/(1-V_Merma)</f>
        <v>76141.33275</v>
      </c>
      <c r="CI231" s="34" t="n">
        <f aca="false">SUMPRODUCT(CI177:CI201,OV_V)*INDEX(IdxOV_V,1,MIN(10,CI$173))*(1+V_dMat)/(1-V_Merma)</f>
        <v>76141.33275</v>
      </c>
      <c r="CJ231" s="34" t="n">
        <f aca="false">SUMPRODUCT(CJ177:CJ201,OV_V)*INDEX(IdxOV_V,1,MIN(10,CJ$173))*(1+V_dMat)/(1-V_Merma)</f>
        <v>76141.33275</v>
      </c>
      <c r="CK231" s="34" t="n">
        <f aca="false">SUMPRODUCT(CK177:CK201,OV_V)*INDEX(IdxOV_V,1,MIN(10,CK$173))*(1+V_dMat)/(1-V_Merma)</f>
        <v>76141.33275</v>
      </c>
      <c r="CL231" s="34" t="n">
        <f aca="false">SUMPRODUCT(CL177:CL201,OV_V)*INDEX(IdxOV_V,1,MIN(10,CL$173))*(1+V_dMat)/(1-V_Merma)</f>
        <v>76141.33275</v>
      </c>
      <c r="CM231" s="34" t="n">
        <f aca="false">SUMPRODUCT(CM177:CM201,OV_V)*INDEX(IdxOV_V,1,MIN(10,CM$173))*(1+V_dMat)/(1-V_Merma)</f>
        <v>76141.33275</v>
      </c>
      <c r="CN231" s="34" t="n">
        <f aca="false">SUMPRODUCT(CN177:CN201,OV_V)*INDEX(IdxOV_V,1,MIN(10,CN$173))*(1+V_dMat)/(1-V_Merma)</f>
        <v>76141.33275</v>
      </c>
      <c r="CO231" s="34" t="n">
        <f aca="false">SUMPRODUCT(CO177:CO201,OV_V)*INDEX(IdxOV_V,1,MIN(10,CO$173))*(1+V_dMat)/(1-V_Merma)</f>
        <v>76141.33275</v>
      </c>
      <c r="CP231" s="34" t="n">
        <f aca="false">SUMPRODUCT(CP177:CP201,OV_V)*INDEX(IdxOV_V,1,MIN(10,CP$173))*(1+V_dMat)/(1-V_Merma)</f>
        <v>76141.33275</v>
      </c>
      <c r="CQ231" s="34" t="n">
        <f aca="false">SUMPRODUCT(CQ177:CQ201,OV_V)*INDEX(IdxOV_V,1,MIN(10,CQ$173))*(1+V_dMat)/(1-V_Merma)</f>
        <v>76141.33275</v>
      </c>
      <c r="CR231" s="34" t="n">
        <f aca="false">SUMPRODUCT(CR177:CR201,OV_V)*INDEX(IdxOV_V,1,MIN(10,CR$173))*(1+V_dMat)/(1-V_Merma)</f>
        <v>76141.33275</v>
      </c>
      <c r="CS231" s="34" t="n">
        <f aca="false">SUMPRODUCT(CS177:CS201,OV_V)*INDEX(IdxOV_V,1,MIN(10,CS$173))*(1+V_dMat)/(1-V_Merma)</f>
        <v>76141.33275</v>
      </c>
      <c r="CT231" s="34" t="n">
        <f aca="false">SUMPRODUCT(CT177:CT201,OV_V)*INDEX(IdxOV_V,1,MIN(10,CT$173))*(1+V_dMat)/(1-V_Merma)</f>
        <v>76141.33275</v>
      </c>
      <c r="CU231" s="34" t="n">
        <f aca="false">SUMPRODUCT(CU177:CU201,OV_V)*INDEX(IdxOV_V,1,MIN(10,CU$173))*(1+V_dMat)/(1-V_Merma)</f>
        <v>76141.33275</v>
      </c>
      <c r="CV231" s="34" t="n">
        <f aca="false">SUMPRODUCT(CV177:CV201,OV_V)*INDEX(IdxOV_V,1,MIN(10,CV$173))*(1+V_dMat)/(1-V_Merma)</f>
        <v>76141.33275</v>
      </c>
      <c r="CW231" s="34" t="n">
        <f aca="false">SUMPRODUCT(CW177:CW201,OV_V)*INDEX(IdxOV_V,1,MIN(10,CW$173))*(1+V_dMat)/(1-V_Merma)</f>
        <v>76141.33275</v>
      </c>
      <c r="CX231" s="34" t="n">
        <f aca="false">SUMPRODUCT(CX177:CX201,OV_V)*INDEX(IdxOV_V,1,MIN(10,CX$173))*(1+V_dMat)/(1-V_Merma)</f>
        <v>76141.33275</v>
      </c>
      <c r="CY231" s="34" t="n">
        <f aca="false">SUMPRODUCT(CY177:CY201,OV_V)*INDEX(IdxOV_V,1,MIN(10,CY$173))*(1+V_dMat)/(1-V_Merma)</f>
        <v>76141.33275</v>
      </c>
      <c r="CZ231" s="34" t="n">
        <f aca="false">SUMPRODUCT(CZ177:CZ201,OV_V)*INDEX(IdxOV_V,1,MIN(10,CZ$173))*(1+V_dMat)/(1-V_Merma)</f>
        <v>76141.33275</v>
      </c>
      <c r="DA231" s="34" t="n">
        <f aca="false">SUMPRODUCT(DA177:DA201,OV_V)*INDEX(IdxOV_V,1,MIN(10,DA$173))*(1+V_dMat)/(1-V_Merma)</f>
        <v>76141.33275</v>
      </c>
      <c r="DB231" s="34" t="n">
        <f aca="false">SUMPRODUCT(DB177:DB201,OV_V)*INDEX(IdxOV_V,1,MIN(10,DB$173))*(1+V_dMat)/(1-V_Merma)</f>
        <v>76141.33275</v>
      </c>
      <c r="DC231" s="34" t="n">
        <f aca="false">SUMPRODUCT(DC177:DC201,OV_V)*INDEX(IdxOV_V,1,MIN(10,DC$173))*(1+V_dMat)/(1-V_Merma)</f>
        <v>76141.33275</v>
      </c>
      <c r="DD231" s="34" t="n">
        <f aca="false">SUMPRODUCT(DD177:DD201,OV_V)*INDEX(IdxOV_V,1,MIN(10,DD$173))*(1+V_dMat)/(1-V_Merma)</f>
        <v>76141.33275</v>
      </c>
      <c r="DE231" s="34" t="n">
        <f aca="false">SUMPRODUCT(DE177:DE201,OV_V)*INDEX(IdxOV_V,1,MIN(10,DE$173))*(1+V_dMat)/(1-V_Merma)</f>
        <v>76141.33275</v>
      </c>
      <c r="DF231" s="34" t="n">
        <f aca="false">SUMPRODUCT(DF177:DF201,OV_V)*INDEX(IdxOV_V,1,MIN(10,DF$173))*(1+V_dMat)/(1-V_Merma)</f>
        <v>76141.33275</v>
      </c>
      <c r="DG231" s="34" t="n">
        <f aca="false">SUMPRODUCT(DG177:DG201,OV_V)*INDEX(IdxOV_V,1,MIN(10,DG$173))*(1+V_dMat)/(1-V_Merma)</f>
        <v>76141.33275</v>
      </c>
      <c r="DH231" s="34" t="n">
        <f aca="false">SUMPRODUCT(DH177:DH201,OV_V)*INDEX(IdxOV_V,1,MIN(10,DH$173))*(1+V_dMat)/(1-V_Merma)</f>
        <v>76141.33275</v>
      </c>
      <c r="DI231" s="34" t="n">
        <f aca="false">SUMPRODUCT(DI177:DI201,OV_V)*INDEX(IdxOV_V,1,MIN(10,DI$173))*(1+V_dMat)/(1-V_Merma)</f>
        <v>76141.33275</v>
      </c>
      <c r="DJ231" s="34" t="n">
        <f aca="false">SUMPRODUCT(DJ177:DJ201,OV_V)*INDEX(IdxOV_V,1,MIN(10,DJ$173))*(1+V_dMat)/(1-V_Merma)</f>
        <v>76141.33275</v>
      </c>
      <c r="DK231" s="34" t="n">
        <f aca="false">SUMPRODUCT(DK177:DK201,OV_V)*INDEX(IdxOV_V,1,MIN(10,DK$173))*(1+V_dMat)/(1-V_Merma)</f>
        <v>76141.33275</v>
      </c>
      <c r="DL231" s="34" t="n">
        <f aca="false">SUMPRODUCT(DL177:DL201,OV_V)*INDEX(IdxOV_V,1,MIN(10,DL$173))*(1+V_dMat)/(1-V_Merma)</f>
        <v>76141.33275</v>
      </c>
      <c r="DM231" s="34" t="n">
        <f aca="false">SUMPRODUCT(DM177:DM201,OV_V)*INDEX(IdxOV_V,1,MIN(10,DM$173))*(1+V_dMat)/(1-V_Merma)</f>
        <v>76141.33275</v>
      </c>
      <c r="DN231" s="34" t="n">
        <f aca="false">SUMPRODUCT(DN177:DN201,OV_V)*INDEX(IdxOV_V,1,MIN(10,DN$173))*(1+V_dMat)/(1-V_Merma)</f>
        <v>76141.33275</v>
      </c>
      <c r="DO231" s="34" t="n">
        <f aca="false">SUMPRODUCT(DO177:DO201,OV_V)*INDEX(IdxOV_V,1,MIN(10,DO$173))*(1+V_dMat)/(1-V_Merma)</f>
        <v>76141.33275</v>
      </c>
      <c r="DP231" s="34" t="n">
        <f aca="false">SUMPRODUCT(DP177:DP201,OV_V)*INDEX(IdxOV_V,1,MIN(10,DP$173))*(1+V_dMat)/(1-V_Merma)</f>
        <v>76141.33275</v>
      </c>
      <c r="DQ231" s="34" t="n">
        <f aca="false">SUMPRODUCT(DQ177:DQ201,OV_V)*INDEX(IdxOV_V,1,MIN(10,DQ$173))*(1+V_dMat)/(1-V_Merma)</f>
        <v>76141.33275</v>
      </c>
      <c r="DR231" s="34" t="n">
        <f aca="false">SUMPRODUCT(DR177:DR201,OV_V)*INDEX(IdxOV_V,1,MIN(10,DR$173))*(1+V_dMat)/(1-V_Merma)</f>
        <v>76141.33275</v>
      </c>
      <c r="DS231" s="34" t="n">
        <f aca="false">SUMPRODUCT(DS177:DS201,OV_V)*INDEX(IdxOV_V,1,MIN(10,DS$173))*(1+V_dMat)/(1-V_Merma)</f>
        <v>76141.33275</v>
      </c>
      <c r="DT231" s="34" t="n">
        <f aca="false">SUMPRODUCT(DT177:DT201,OV_V)*INDEX(IdxOV_V,1,MIN(10,DT$173))*(1+V_dMat)/(1-V_Merma)</f>
        <v>76141.33275</v>
      </c>
      <c r="DU231" s="34" t="n">
        <f aca="false">SUMPRODUCT(DU177:DU201,OV_V)*INDEX(IdxOV_V,1,MIN(10,DU$173))*(1+V_dMat)/(1-V_Merma)</f>
        <v>76141.33275</v>
      </c>
      <c r="DV231" s="34" t="n">
        <f aca="false">SUMPRODUCT(DV177:DV201,OV_V)*INDEX(IdxOV_V,1,MIN(10,DV$173))*(1+V_dMat)/(1-V_Merma)</f>
        <v>0</v>
      </c>
      <c r="DW231" s="34" t="n">
        <f aca="false">SUMPRODUCT(DW177:DW201,OV_V)*INDEX(IdxOV_V,1,MIN(10,DW$173))*(1+V_dMat)/(1-V_Merma)</f>
        <v>0</v>
      </c>
      <c r="DX231" s="34" t="n">
        <f aca="false">SUMPRODUCT(DX177:DX201,OV_V)*INDEX(IdxOV_V,1,MIN(10,DX$173))*(1+V_dMat)/(1-V_Merma)</f>
        <v>0</v>
      </c>
      <c r="DY231" s="34" t="n">
        <f aca="false">SUMPRODUCT(DY177:DY201,OV_V)*INDEX(IdxOV_V,1,MIN(10,DY$173))*(1+V_dMat)/(1-V_Merma)</f>
        <v>0</v>
      </c>
      <c r="DZ231" s="34" t="n">
        <f aca="false">SUMPRODUCT(DZ177:DZ201,OV_V)*INDEX(IdxOV_V,1,MIN(10,DZ$173))*(1+V_dMat)/(1-V_Merma)</f>
        <v>0</v>
      </c>
      <c r="EA231" s="34" t="n">
        <f aca="false">SUMPRODUCT(EA177:EA201,OV_V)*INDEX(IdxOV_V,1,MIN(10,EA$173))*(1+V_dMat)/(1-V_Merma)</f>
        <v>0</v>
      </c>
      <c r="EB231" s="34" t="n">
        <f aca="false">SUMPRODUCT(EB177:EB201,OV_V)*INDEX(IdxOV_V,1,MIN(10,EB$173))*(1+V_dMat)/(1-V_Merma)</f>
        <v>0</v>
      </c>
      <c r="EC231" s="34" t="n">
        <f aca="false">SUMPRODUCT(EC177:EC201,OV_V)*INDEX(IdxOV_V,1,MIN(10,EC$173))*(1+V_dMat)/(1-V_Merma)</f>
        <v>0</v>
      </c>
      <c r="ED231" s="34" t="n">
        <f aca="false">SUMPRODUCT(ED177:ED201,OV_V)*INDEX(IdxOV_V,1,MIN(10,ED$173))*(1+V_dMat)/(1-V_Merma)</f>
        <v>0</v>
      </c>
      <c r="EE231" s="34" t="n">
        <f aca="false">SUMPRODUCT(EE177:EE201,OV_V)*INDEX(IdxOV_V,1,MIN(10,EE$173))*(1+V_dMat)/(1-V_Merma)</f>
        <v>0</v>
      </c>
      <c r="EF231" s="34" t="n">
        <f aca="false">SUMPRODUCT(EF177:EF201,OV_V)*INDEX(IdxOV_V,1,MIN(10,EF$173))*(1+V_dMat)/(1-V_Merma)</f>
        <v>0</v>
      </c>
      <c r="EG231" s="34" t="n">
        <f aca="false">SUMPRODUCT(EG177:EG201,OV_V)*INDEX(IdxOV_V,1,MIN(10,EG$173))*(1+V_dMat)/(1-V_Merma)</f>
        <v>0</v>
      </c>
      <c r="EH231" s="34" t="n">
        <f aca="false">SUMPRODUCT(EH177:EH201,OV_V)*INDEX(IdxOV_V,1,MIN(10,EH$173))*(1+V_dMat)/(1-V_Merma)</f>
        <v>0</v>
      </c>
      <c r="EI231" s="34" t="n">
        <f aca="false">SUMPRODUCT(EI177:EI201,OV_V)*INDEX(IdxOV_V,1,MIN(10,EI$173))*(1+V_dMat)/(1-V_Merma)</f>
        <v>0</v>
      </c>
      <c r="EJ231" s="34" t="n">
        <f aca="false">SUMPRODUCT(EJ177:EJ201,OV_V)*INDEX(IdxOV_V,1,MIN(10,EJ$173))*(1+V_dMat)/(1-V_Merma)</f>
        <v>0</v>
      </c>
      <c r="EK231" s="34" t="n">
        <f aca="false">SUMPRODUCT(EK177:EK201,OV_V)*INDEX(IdxOV_V,1,MIN(10,EK$173))*(1+V_dMat)/(1-V_Merma)</f>
        <v>0</v>
      </c>
      <c r="EL231" s="34" t="n">
        <f aca="false">SUMPRODUCT(EL177:EL201,OV_V)*INDEX(IdxOV_V,1,MIN(10,EL$173))*(1+V_dMat)/(1-V_Merma)</f>
        <v>0</v>
      </c>
      <c r="EM231" s="34" t="n">
        <f aca="false">SUMPRODUCT(EM177:EM201,OV_V)*INDEX(IdxOV_V,1,MIN(10,EM$173))*(1+V_dMat)/(1-V_Merma)</f>
        <v>0</v>
      </c>
      <c r="EN231" s="34" t="n">
        <f aca="false">SUMPRODUCT(EN177:EN201,OV_V)*INDEX(IdxOV_V,1,MIN(10,EN$173))*(1+V_dMat)/(1-V_Merma)</f>
        <v>0</v>
      </c>
      <c r="EO231" s="34" t="n">
        <f aca="false">SUMPRODUCT(EO177:EO201,OV_V)*INDEX(IdxOV_V,1,MIN(10,EO$173))*(1+V_dMat)/(1-V_Merma)</f>
        <v>0</v>
      </c>
      <c r="EP231" s="34" t="n">
        <f aca="false">SUMPRODUCT(EP177:EP201,OV_V)*INDEX(IdxOV_V,1,MIN(10,EP$173))*(1+V_dMat)/(1-V_Merma)</f>
        <v>0</v>
      </c>
      <c r="EQ231" s="34" t="n">
        <f aca="false">SUMPRODUCT(EQ177:EQ201,OV_V)*INDEX(IdxOV_V,1,MIN(10,EQ$173))*(1+V_dMat)/(1-V_Merma)</f>
        <v>0</v>
      </c>
      <c r="ER231" s="34" t="n">
        <f aca="false">SUMPRODUCT(ER177:ER201,OV_V)*INDEX(IdxOV_V,1,MIN(10,ER$173))*(1+V_dMat)/(1-V_Merma)</f>
        <v>0</v>
      </c>
      <c r="ES231" s="34" t="n">
        <f aca="false">SUMPRODUCT(ES177:ES201,OV_V)*INDEX(IdxOV_V,1,MIN(10,ES$173))*(1+V_dMat)/(1-V_Merma)</f>
        <v>0</v>
      </c>
    </row>
    <row r="232" customFormat="false" ht="15" hidden="false" customHeight="false" outlineLevel="0" collapsed="false">
      <c r="A232" s="2" t="s">
        <v>873</v>
      </c>
      <c r="B232" s="6" t="s">
        <v>644</v>
      </c>
      <c r="C232" s="6" t="s">
        <v>250</v>
      </c>
      <c r="E232" s="40" t="n">
        <f aca="false">SUM(F232:ES232)</f>
        <v>1179542.8015068</v>
      </c>
      <c r="F232" s="34" t="n">
        <f aca="false">V_Desp*(F$229+F$230)</f>
        <v>5975.175</v>
      </c>
      <c r="G232" s="34" t="n">
        <f aca="false">V_Desp*(G$229+G$230)</f>
        <v>5975.175</v>
      </c>
      <c r="H232" s="34" t="n">
        <f aca="false">V_Desp*(H$229+H$230)</f>
        <v>5975.175</v>
      </c>
      <c r="I232" s="34" t="n">
        <f aca="false">V_Desp*(I$229+I$230)</f>
        <v>5975.175</v>
      </c>
      <c r="J232" s="34" t="n">
        <f aca="false">V_Desp*(J$229+J$230)</f>
        <v>5975.175</v>
      </c>
      <c r="K232" s="34" t="n">
        <f aca="false">V_Desp*(K$229+K$230)</f>
        <v>5975.175</v>
      </c>
      <c r="L232" s="34" t="n">
        <f aca="false">V_Desp*(L$229+L$230)</f>
        <v>5975.175</v>
      </c>
      <c r="M232" s="34" t="n">
        <f aca="false">V_Desp*(M$229+M$230)</f>
        <v>5975.175</v>
      </c>
      <c r="N232" s="34" t="n">
        <f aca="false">V_Desp*(N$229+N$230)</f>
        <v>5975.175</v>
      </c>
      <c r="O232" s="34" t="n">
        <f aca="false">V_Desp*(O$229+O$230)</f>
        <v>5975.175</v>
      </c>
      <c r="P232" s="34" t="n">
        <f aca="false">V_Desp*(P$229+P$230)</f>
        <v>5975.175</v>
      </c>
      <c r="Q232" s="34" t="n">
        <f aca="false">V_Desp*(Q$229+Q$230)</f>
        <v>5975.175</v>
      </c>
      <c r="R232" s="34" t="n">
        <f aca="false">V_Desp*(R$229+R$230)</f>
        <v>7593.26625</v>
      </c>
      <c r="S232" s="34" t="n">
        <f aca="false">V_Desp*(S$229+S$230)</f>
        <v>7593.26625</v>
      </c>
      <c r="T232" s="34" t="n">
        <f aca="false">V_Desp*(T$229+T$230)</f>
        <v>7593.26625</v>
      </c>
      <c r="U232" s="34" t="n">
        <f aca="false">V_Desp*(U$229+U$230)</f>
        <v>7593.26625</v>
      </c>
      <c r="V232" s="34" t="n">
        <f aca="false">V_Desp*(V$229+V$230)</f>
        <v>7593.26625</v>
      </c>
      <c r="W232" s="34" t="n">
        <f aca="false">V_Desp*(W$229+W$230)</f>
        <v>7593.26625</v>
      </c>
      <c r="X232" s="34" t="n">
        <f aca="false">V_Desp*(X$229+X$230)</f>
        <v>7593.26625</v>
      </c>
      <c r="Y232" s="34" t="n">
        <f aca="false">V_Desp*(Y$229+Y$230)</f>
        <v>7593.26625</v>
      </c>
      <c r="Z232" s="34" t="n">
        <f aca="false">V_Desp*(Z$229+Z$230)</f>
        <v>7593.26625</v>
      </c>
      <c r="AA232" s="34" t="n">
        <f aca="false">V_Desp*(AA$229+AA$230)</f>
        <v>7593.26625</v>
      </c>
      <c r="AB232" s="34" t="n">
        <f aca="false">V_Desp*(AB$229+AB$230)</f>
        <v>7593.26625</v>
      </c>
      <c r="AC232" s="34" t="n">
        <f aca="false">V_Desp*(AC$229+AC$230)</f>
        <v>7593.26625</v>
      </c>
      <c r="AD232" s="34" t="n">
        <f aca="false">V_Desp*(AD$229+AD$230)</f>
        <v>9231.7407</v>
      </c>
      <c r="AE232" s="34" t="n">
        <f aca="false">V_Desp*(AE$229+AE$230)</f>
        <v>9231.7407</v>
      </c>
      <c r="AF232" s="34" t="n">
        <f aca="false">V_Desp*(AF$229+AF$230)</f>
        <v>9231.7407</v>
      </c>
      <c r="AG232" s="34" t="n">
        <f aca="false">V_Desp*(AG$229+AG$230)</f>
        <v>9231.7407</v>
      </c>
      <c r="AH232" s="34" t="n">
        <f aca="false">V_Desp*(AH$229+AH$230)</f>
        <v>9231.7407</v>
      </c>
      <c r="AI232" s="34" t="n">
        <f aca="false">V_Desp*(AI$229+AI$230)</f>
        <v>9231.7407</v>
      </c>
      <c r="AJ232" s="34" t="n">
        <f aca="false">V_Desp*(AJ$229+AJ$230)</f>
        <v>9231.7407</v>
      </c>
      <c r="AK232" s="34" t="n">
        <f aca="false">V_Desp*(AK$229+AK$230)</f>
        <v>9231.7407</v>
      </c>
      <c r="AL232" s="34" t="n">
        <f aca="false">V_Desp*(AL$229+AL$230)</f>
        <v>9231.7407</v>
      </c>
      <c r="AM232" s="34" t="n">
        <f aca="false">V_Desp*(AM$229+AM$230)</f>
        <v>9231.7407</v>
      </c>
      <c r="AN232" s="34" t="n">
        <f aca="false">V_Desp*(AN$229+AN$230)</f>
        <v>9231.7407</v>
      </c>
      <c r="AO232" s="34" t="n">
        <f aca="false">V_Desp*(AO$229+AO$230)</f>
        <v>9231.7407</v>
      </c>
      <c r="AP232" s="34" t="n">
        <f aca="false">V_Desp*(AP$229+AP$230)</f>
        <v>10578.763949625</v>
      </c>
      <c r="AQ232" s="34" t="n">
        <f aca="false">V_Desp*(AQ$229+AQ$230)</f>
        <v>10578.763949625</v>
      </c>
      <c r="AR232" s="34" t="n">
        <f aca="false">V_Desp*(AR$229+AR$230)</f>
        <v>10578.763949625</v>
      </c>
      <c r="AS232" s="34" t="n">
        <f aca="false">V_Desp*(AS$229+AS$230)</f>
        <v>10578.763949625</v>
      </c>
      <c r="AT232" s="34" t="n">
        <f aca="false">V_Desp*(AT$229+AT$230)</f>
        <v>10578.763949625</v>
      </c>
      <c r="AU232" s="34" t="n">
        <f aca="false">V_Desp*(AU$229+AU$230)</f>
        <v>10578.763949625</v>
      </c>
      <c r="AV232" s="34" t="n">
        <f aca="false">V_Desp*(AV$229+AV$230)</f>
        <v>10578.763949625</v>
      </c>
      <c r="AW232" s="34" t="n">
        <f aca="false">V_Desp*(AW$229+AW$230)</f>
        <v>10578.763949625</v>
      </c>
      <c r="AX232" s="34" t="n">
        <f aca="false">V_Desp*(AX$229+AX$230)</f>
        <v>10578.763949625</v>
      </c>
      <c r="AY232" s="34" t="n">
        <f aca="false">V_Desp*(AY$229+AY$230)</f>
        <v>10578.763949625</v>
      </c>
      <c r="AZ232" s="34" t="n">
        <f aca="false">V_Desp*(AZ$229+AZ$230)</f>
        <v>10578.763949625</v>
      </c>
      <c r="BA232" s="34" t="n">
        <f aca="false">V_Desp*(BA$229+BA$230)</f>
        <v>10578.763949625</v>
      </c>
      <c r="BB232" s="34" t="n">
        <f aca="false">V_Desp*(BB$229+BB$230)</f>
        <v>10646.3735891213</v>
      </c>
      <c r="BC232" s="34" t="n">
        <f aca="false">V_Desp*(BC$229+BC$230)</f>
        <v>10646.3735891213</v>
      </c>
      <c r="BD232" s="34" t="n">
        <f aca="false">V_Desp*(BD$229+BD$230)</f>
        <v>10646.3735891213</v>
      </c>
      <c r="BE232" s="34" t="n">
        <f aca="false">V_Desp*(BE$229+BE$230)</f>
        <v>10646.3735891213</v>
      </c>
      <c r="BF232" s="34" t="n">
        <f aca="false">V_Desp*(BF$229+BF$230)</f>
        <v>10646.3735891213</v>
      </c>
      <c r="BG232" s="34" t="n">
        <f aca="false">V_Desp*(BG$229+BG$230)</f>
        <v>10646.3735891213</v>
      </c>
      <c r="BH232" s="34" t="n">
        <f aca="false">V_Desp*(BH$229+BH$230)</f>
        <v>10646.3735891213</v>
      </c>
      <c r="BI232" s="34" t="n">
        <f aca="false">V_Desp*(BI$229+BI$230)</f>
        <v>10646.3735891213</v>
      </c>
      <c r="BJ232" s="34" t="n">
        <f aca="false">V_Desp*(BJ$229+BJ$230)</f>
        <v>10646.3735891213</v>
      </c>
      <c r="BK232" s="34" t="n">
        <f aca="false">V_Desp*(BK$229+BK$230)</f>
        <v>10646.3735891213</v>
      </c>
      <c r="BL232" s="34" t="n">
        <f aca="false">V_Desp*(BL$229+BL$230)</f>
        <v>10646.3735891213</v>
      </c>
      <c r="BM232" s="34" t="n">
        <f aca="false">V_Desp*(BM$229+BM$230)</f>
        <v>10646.3735891213</v>
      </c>
      <c r="BN232" s="34" t="n">
        <f aca="false">V_Desp*(BN$229+BN$230)</f>
        <v>10714.6593250125</v>
      </c>
      <c r="BO232" s="34" t="n">
        <f aca="false">V_Desp*(BO$229+BO$230)</f>
        <v>10714.6593250125</v>
      </c>
      <c r="BP232" s="34" t="n">
        <f aca="false">V_Desp*(BP$229+BP$230)</f>
        <v>10714.6593250125</v>
      </c>
      <c r="BQ232" s="34" t="n">
        <f aca="false">V_Desp*(BQ$229+BQ$230)</f>
        <v>10714.6593250125</v>
      </c>
      <c r="BR232" s="34" t="n">
        <f aca="false">V_Desp*(BR$229+BR$230)</f>
        <v>10714.6593250125</v>
      </c>
      <c r="BS232" s="34" t="n">
        <f aca="false">V_Desp*(BS$229+BS$230)</f>
        <v>10714.6593250125</v>
      </c>
      <c r="BT232" s="34" t="n">
        <f aca="false">V_Desp*(BT$229+BT$230)</f>
        <v>10714.6593250125</v>
      </c>
      <c r="BU232" s="34" t="n">
        <f aca="false">V_Desp*(BU$229+BU$230)</f>
        <v>10714.6593250125</v>
      </c>
      <c r="BV232" s="34" t="n">
        <f aca="false">V_Desp*(BV$229+BV$230)</f>
        <v>10714.6593250125</v>
      </c>
      <c r="BW232" s="34" t="n">
        <f aca="false">V_Desp*(BW$229+BW$230)</f>
        <v>10714.6593250125</v>
      </c>
      <c r="BX232" s="34" t="n">
        <f aca="false">V_Desp*(BX$229+BX$230)</f>
        <v>10714.6593250125</v>
      </c>
      <c r="BY232" s="34" t="n">
        <f aca="false">V_Desp*(BY$229+BY$230)</f>
        <v>10714.6593250125</v>
      </c>
      <c r="BZ232" s="34" t="n">
        <f aca="false">V_Desp*(BZ$229+BZ$230)</f>
        <v>10783.6279182626</v>
      </c>
      <c r="CA232" s="34" t="n">
        <f aca="false">V_Desp*(CA$229+CA$230)</f>
        <v>10783.6279182626</v>
      </c>
      <c r="CB232" s="34" t="n">
        <f aca="false">V_Desp*(CB$229+CB$230)</f>
        <v>10783.6279182626</v>
      </c>
      <c r="CC232" s="34" t="n">
        <f aca="false">V_Desp*(CC$229+CC$230)</f>
        <v>10783.6279182626</v>
      </c>
      <c r="CD232" s="34" t="n">
        <f aca="false">V_Desp*(CD$229+CD$230)</f>
        <v>10783.6279182626</v>
      </c>
      <c r="CE232" s="34" t="n">
        <f aca="false">V_Desp*(CE$229+CE$230)</f>
        <v>10783.6279182626</v>
      </c>
      <c r="CF232" s="34" t="n">
        <f aca="false">V_Desp*(CF$229+CF$230)</f>
        <v>10783.6279182626</v>
      </c>
      <c r="CG232" s="34" t="n">
        <f aca="false">V_Desp*(CG$229+CG$230)</f>
        <v>10783.6279182626</v>
      </c>
      <c r="CH232" s="34" t="n">
        <f aca="false">V_Desp*(CH$229+CH$230)</f>
        <v>10783.6279182626</v>
      </c>
      <c r="CI232" s="34" t="n">
        <f aca="false">V_Desp*(CI$229+CI$230)</f>
        <v>10783.6279182626</v>
      </c>
      <c r="CJ232" s="34" t="n">
        <f aca="false">V_Desp*(CJ$229+CJ$230)</f>
        <v>10783.6279182626</v>
      </c>
      <c r="CK232" s="34" t="n">
        <f aca="false">V_Desp*(CK$229+CK$230)</f>
        <v>10783.6279182626</v>
      </c>
      <c r="CL232" s="34" t="n">
        <f aca="false">V_Desp*(CL$229+CL$230)</f>
        <v>10853.2861974452</v>
      </c>
      <c r="CM232" s="34" t="n">
        <f aca="false">V_Desp*(CM$229+CM$230)</f>
        <v>10853.2861974452</v>
      </c>
      <c r="CN232" s="34" t="n">
        <f aca="false">V_Desp*(CN$229+CN$230)</f>
        <v>10853.2861974452</v>
      </c>
      <c r="CO232" s="34" t="n">
        <f aca="false">V_Desp*(CO$229+CO$230)</f>
        <v>10853.2861974452</v>
      </c>
      <c r="CP232" s="34" t="n">
        <f aca="false">V_Desp*(CP$229+CP$230)</f>
        <v>10853.2861974452</v>
      </c>
      <c r="CQ232" s="34" t="n">
        <f aca="false">V_Desp*(CQ$229+CQ$230)</f>
        <v>10853.2861974452</v>
      </c>
      <c r="CR232" s="34" t="n">
        <f aca="false">V_Desp*(CR$229+CR$230)</f>
        <v>10853.2861974452</v>
      </c>
      <c r="CS232" s="34" t="n">
        <f aca="false">V_Desp*(CS$229+CS$230)</f>
        <v>10853.2861974452</v>
      </c>
      <c r="CT232" s="34" t="n">
        <f aca="false">V_Desp*(CT$229+CT$230)</f>
        <v>10853.2861974452</v>
      </c>
      <c r="CU232" s="34" t="n">
        <f aca="false">V_Desp*(CU$229+CU$230)</f>
        <v>10853.2861974452</v>
      </c>
      <c r="CV232" s="34" t="n">
        <f aca="false">V_Desp*(CV$229+CV$230)</f>
        <v>10853.2861974452</v>
      </c>
      <c r="CW232" s="34" t="n">
        <f aca="false">V_Desp*(CW$229+CW$230)</f>
        <v>10853.2861974452</v>
      </c>
      <c r="CX232" s="34" t="n">
        <f aca="false">V_Desp*(CX$229+CX$230)</f>
        <v>10923.6410594197</v>
      </c>
      <c r="CY232" s="34" t="n">
        <f aca="false">V_Desp*(CY$229+CY$230)</f>
        <v>10923.6410594197</v>
      </c>
      <c r="CZ232" s="34" t="n">
        <f aca="false">V_Desp*(CZ$229+CZ$230)</f>
        <v>10923.6410594197</v>
      </c>
      <c r="DA232" s="34" t="n">
        <f aca="false">V_Desp*(DA$229+DA$230)</f>
        <v>10923.6410594197</v>
      </c>
      <c r="DB232" s="34" t="n">
        <f aca="false">V_Desp*(DB$229+DB$230)</f>
        <v>10923.6410594197</v>
      </c>
      <c r="DC232" s="34" t="n">
        <f aca="false">V_Desp*(DC$229+DC$230)</f>
        <v>10923.6410594197</v>
      </c>
      <c r="DD232" s="34" t="n">
        <f aca="false">V_Desp*(DD$229+DD$230)</f>
        <v>10923.6410594197</v>
      </c>
      <c r="DE232" s="34" t="n">
        <f aca="false">V_Desp*(DE$229+DE$230)</f>
        <v>10923.6410594197</v>
      </c>
      <c r="DF232" s="34" t="n">
        <f aca="false">V_Desp*(DF$229+DF$230)</f>
        <v>10923.6410594197</v>
      </c>
      <c r="DG232" s="34" t="n">
        <f aca="false">V_Desp*(DG$229+DG$230)</f>
        <v>10923.6410594197</v>
      </c>
      <c r="DH232" s="34" t="n">
        <f aca="false">V_Desp*(DH$229+DH$230)</f>
        <v>10923.6410594197</v>
      </c>
      <c r="DI232" s="34" t="n">
        <f aca="false">V_Desp*(DI$229+DI$230)</f>
        <v>10923.6410594197</v>
      </c>
      <c r="DJ232" s="34" t="n">
        <f aca="false">V_Desp*(DJ$229+DJ$230)</f>
        <v>10994.6994700139</v>
      </c>
      <c r="DK232" s="34" t="n">
        <f aca="false">V_Desp*(DK$229+DK$230)</f>
        <v>10994.6994700139</v>
      </c>
      <c r="DL232" s="34" t="n">
        <f aca="false">V_Desp*(DL$229+DL$230)</f>
        <v>10994.6994700139</v>
      </c>
      <c r="DM232" s="34" t="n">
        <f aca="false">V_Desp*(DM$229+DM$230)</f>
        <v>10994.6994700139</v>
      </c>
      <c r="DN232" s="34" t="n">
        <f aca="false">V_Desp*(DN$229+DN$230)</f>
        <v>10994.6994700139</v>
      </c>
      <c r="DO232" s="34" t="n">
        <f aca="false">V_Desp*(DO$229+DO$230)</f>
        <v>10994.6994700139</v>
      </c>
      <c r="DP232" s="34" t="n">
        <f aca="false">V_Desp*(DP$229+DP$230)</f>
        <v>10994.6994700139</v>
      </c>
      <c r="DQ232" s="34" t="n">
        <f aca="false">V_Desp*(DQ$229+DQ$230)</f>
        <v>10994.6994700139</v>
      </c>
      <c r="DR232" s="34" t="n">
        <f aca="false">V_Desp*(DR$229+DR$230)</f>
        <v>10994.6994700139</v>
      </c>
      <c r="DS232" s="34" t="n">
        <f aca="false">V_Desp*(DS$229+DS$230)</f>
        <v>10994.6994700139</v>
      </c>
      <c r="DT232" s="34" t="n">
        <f aca="false">V_Desp*(DT$229+DT$230)</f>
        <v>10994.6994700139</v>
      </c>
      <c r="DU232" s="34" t="n">
        <f aca="false">V_Desp*(DU$229+DU$230)</f>
        <v>10994.6994700139</v>
      </c>
      <c r="DV232" s="34" t="n">
        <f aca="false">V_Desp*(DV$229+DV$230)</f>
        <v>0</v>
      </c>
      <c r="DW232" s="34" t="n">
        <f aca="false">V_Desp*(DW$229+DW$230)</f>
        <v>0</v>
      </c>
      <c r="DX232" s="34" t="n">
        <f aca="false">V_Desp*(DX$229+DX$230)</f>
        <v>0</v>
      </c>
      <c r="DY232" s="34" t="n">
        <f aca="false">V_Desp*(DY$229+DY$230)</f>
        <v>0</v>
      </c>
      <c r="DZ232" s="34" t="n">
        <f aca="false">V_Desp*(DZ$229+DZ$230)</f>
        <v>0</v>
      </c>
      <c r="EA232" s="34" t="n">
        <f aca="false">V_Desp*(EA$229+EA$230)</f>
        <v>0</v>
      </c>
      <c r="EB232" s="34" t="n">
        <f aca="false">V_Desp*(EB$229+EB$230)</f>
        <v>0</v>
      </c>
      <c r="EC232" s="34" t="n">
        <f aca="false">V_Desp*(EC$229+EC$230)</f>
        <v>0</v>
      </c>
      <c r="ED232" s="34" t="n">
        <f aca="false">V_Desp*(ED$229+ED$230)</f>
        <v>0</v>
      </c>
      <c r="EE232" s="34" t="n">
        <f aca="false">V_Desp*(EE$229+EE$230)</f>
        <v>0</v>
      </c>
      <c r="EF232" s="34" t="n">
        <f aca="false">V_Desp*(EF$229+EF$230)</f>
        <v>0</v>
      </c>
      <c r="EG232" s="34" t="n">
        <f aca="false">V_Desp*(EG$229+EG$230)</f>
        <v>0</v>
      </c>
      <c r="EH232" s="34" t="n">
        <f aca="false">V_Desp*(EH$229+EH$230)</f>
        <v>0</v>
      </c>
      <c r="EI232" s="34" t="n">
        <f aca="false">V_Desp*(EI$229+EI$230)</f>
        <v>0</v>
      </c>
      <c r="EJ232" s="34" t="n">
        <f aca="false">V_Desp*(EJ$229+EJ$230)</f>
        <v>0</v>
      </c>
      <c r="EK232" s="34" t="n">
        <f aca="false">V_Desp*(EK$229+EK$230)</f>
        <v>0</v>
      </c>
      <c r="EL232" s="34" t="n">
        <f aca="false">V_Desp*(EL$229+EL$230)</f>
        <v>0</v>
      </c>
      <c r="EM232" s="34" t="n">
        <f aca="false">V_Desp*(EM$229+EM$230)</f>
        <v>0</v>
      </c>
      <c r="EN232" s="34" t="n">
        <f aca="false">V_Desp*(EN$229+EN$230)</f>
        <v>0</v>
      </c>
      <c r="EO232" s="34" t="n">
        <f aca="false">V_Desp*(EO$229+EO$230)</f>
        <v>0</v>
      </c>
      <c r="EP232" s="34" t="n">
        <f aca="false">V_Desp*(EP$229+EP$230)</f>
        <v>0</v>
      </c>
      <c r="EQ232" s="34" t="n">
        <f aca="false">V_Desp*(EQ$229+EQ$230)</f>
        <v>0</v>
      </c>
      <c r="ER232" s="34" t="n">
        <f aca="false">V_Desp*(ER$229+ER$230)</f>
        <v>0</v>
      </c>
      <c r="ES232" s="34" t="n">
        <f aca="false">V_Desp*(ES$229+ES$230)</f>
        <v>0</v>
      </c>
    </row>
    <row r="233" customFormat="false" ht="15" hidden="false" customHeight="false" outlineLevel="0" collapsed="false">
      <c r="A233" s="2" t="s">
        <v>874</v>
      </c>
      <c r="B233" s="6" t="s">
        <v>646</v>
      </c>
      <c r="C233" s="6" t="s">
        <v>647</v>
      </c>
      <c r="F233" s="36" t="n">
        <f aca="false">SUMPRODUCT((Per_Clase="Directo")*INDEX(Dot_V,0,MIN(10,F$173)))*(F$171+F$172*V_PreDir)</f>
        <v>43</v>
      </c>
      <c r="G233" s="36" t="n">
        <f aca="false">SUMPRODUCT((Per_Clase="Directo")*INDEX(Dot_V,0,MIN(10,G$173)))*(G$171+G$172*V_PreDir)</f>
        <v>43</v>
      </c>
      <c r="H233" s="36" t="n">
        <f aca="false">SUMPRODUCT((Per_Clase="Directo")*INDEX(Dot_V,0,MIN(10,H$173)))*(H$171+H$172*V_PreDir)</f>
        <v>43</v>
      </c>
      <c r="I233" s="36" t="n">
        <f aca="false">SUMPRODUCT((Per_Clase="Directo")*INDEX(Dot_V,0,MIN(10,I$173)))*(I$171+I$172*V_PreDir)</f>
        <v>43</v>
      </c>
      <c r="J233" s="36" t="n">
        <f aca="false">SUMPRODUCT((Per_Clase="Directo")*INDEX(Dot_V,0,MIN(10,J$173)))*(J$171+J$172*V_PreDir)</f>
        <v>43</v>
      </c>
      <c r="K233" s="36" t="n">
        <f aca="false">SUMPRODUCT((Per_Clase="Directo")*INDEX(Dot_V,0,MIN(10,K$173)))*(K$171+K$172*V_PreDir)</f>
        <v>43</v>
      </c>
      <c r="L233" s="36" t="n">
        <f aca="false">SUMPRODUCT((Per_Clase="Directo")*INDEX(Dot_V,0,MIN(10,L$173)))*(L$171+L$172*V_PreDir)</f>
        <v>43</v>
      </c>
      <c r="M233" s="36" t="n">
        <f aca="false">SUMPRODUCT((Per_Clase="Directo")*INDEX(Dot_V,0,MIN(10,M$173)))*(M$171+M$172*V_PreDir)</f>
        <v>43</v>
      </c>
      <c r="N233" s="36" t="n">
        <f aca="false">SUMPRODUCT((Per_Clase="Directo")*INDEX(Dot_V,0,MIN(10,N$173)))*(N$171+N$172*V_PreDir)</f>
        <v>43</v>
      </c>
      <c r="O233" s="36" t="n">
        <f aca="false">SUMPRODUCT((Per_Clase="Directo")*INDEX(Dot_V,0,MIN(10,O$173)))*(O$171+O$172*V_PreDir)</f>
        <v>43</v>
      </c>
      <c r="P233" s="36" t="n">
        <f aca="false">SUMPRODUCT((Per_Clase="Directo")*INDEX(Dot_V,0,MIN(10,P$173)))*(P$171+P$172*V_PreDir)</f>
        <v>43</v>
      </c>
      <c r="Q233" s="36" t="n">
        <f aca="false">SUMPRODUCT((Per_Clase="Directo")*INDEX(Dot_V,0,MIN(10,Q$173)))*(Q$171+Q$172*V_PreDir)</f>
        <v>43</v>
      </c>
      <c r="R233" s="36" t="n">
        <f aca="false">SUMPRODUCT((Per_Clase="Directo")*INDEX(Dot_V,0,MIN(10,R$173)))*(R$171+R$172*V_PreDir)</f>
        <v>43</v>
      </c>
      <c r="S233" s="36" t="n">
        <f aca="false">SUMPRODUCT((Per_Clase="Directo")*INDEX(Dot_V,0,MIN(10,S$173)))*(S$171+S$172*V_PreDir)</f>
        <v>43</v>
      </c>
      <c r="T233" s="36" t="n">
        <f aca="false">SUMPRODUCT((Per_Clase="Directo")*INDEX(Dot_V,0,MIN(10,T$173)))*(T$171+T$172*V_PreDir)</f>
        <v>43</v>
      </c>
      <c r="U233" s="36" t="n">
        <f aca="false">SUMPRODUCT((Per_Clase="Directo")*INDEX(Dot_V,0,MIN(10,U$173)))*(U$171+U$172*V_PreDir)</f>
        <v>43</v>
      </c>
      <c r="V233" s="36" t="n">
        <f aca="false">SUMPRODUCT((Per_Clase="Directo")*INDEX(Dot_V,0,MIN(10,V$173)))*(V$171+V$172*V_PreDir)</f>
        <v>43</v>
      </c>
      <c r="W233" s="36" t="n">
        <f aca="false">SUMPRODUCT((Per_Clase="Directo")*INDEX(Dot_V,0,MIN(10,W$173)))*(W$171+W$172*V_PreDir)</f>
        <v>43</v>
      </c>
      <c r="X233" s="36" t="n">
        <f aca="false">SUMPRODUCT((Per_Clase="Directo")*INDEX(Dot_V,0,MIN(10,X$173)))*(X$171+X$172*V_PreDir)</f>
        <v>43</v>
      </c>
      <c r="Y233" s="36" t="n">
        <f aca="false">SUMPRODUCT((Per_Clase="Directo")*INDEX(Dot_V,0,MIN(10,Y$173)))*(Y$171+Y$172*V_PreDir)</f>
        <v>43</v>
      </c>
      <c r="Z233" s="36" t="n">
        <f aca="false">SUMPRODUCT((Per_Clase="Directo")*INDEX(Dot_V,0,MIN(10,Z$173)))*(Z$171+Z$172*V_PreDir)</f>
        <v>43</v>
      </c>
      <c r="AA233" s="36" t="n">
        <f aca="false">SUMPRODUCT((Per_Clase="Directo")*INDEX(Dot_V,0,MIN(10,AA$173)))*(AA$171+AA$172*V_PreDir)</f>
        <v>43</v>
      </c>
      <c r="AB233" s="36" t="n">
        <f aca="false">SUMPRODUCT((Per_Clase="Directo")*INDEX(Dot_V,0,MIN(10,AB$173)))*(AB$171+AB$172*V_PreDir)</f>
        <v>43</v>
      </c>
      <c r="AC233" s="36" t="n">
        <f aca="false">SUMPRODUCT((Per_Clase="Directo")*INDEX(Dot_V,0,MIN(10,AC$173)))*(AC$171+AC$172*V_PreDir)</f>
        <v>43</v>
      </c>
      <c r="AD233" s="36" t="n">
        <f aca="false">SUMPRODUCT((Per_Clase="Directo")*INDEX(Dot_V,0,MIN(10,AD$173)))*(AD$171+AD$172*V_PreDir)</f>
        <v>46</v>
      </c>
      <c r="AE233" s="36" t="n">
        <f aca="false">SUMPRODUCT((Per_Clase="Directo")*INDEX(Dot_V,0,MIN(10,AE$173)))*(AE$171+AE$172*V_PreDir)</f>
        <v>46</v>
      </c>
      <c r="AF233" s="36" t="n">
        <f aca="false">SUMPRODUCT((Per_Clase="Directo")*INDEX(Dot_V,0,MIN(10,AF$173)))*(AF$171+AF$172*V_PreDir)</f>
        <v>46</v>
      </c>
      <c r="AG233" s="36" t="n">
        <f aca="false">SUMPRODUCT((Per_Clase="Directo")*INDEX(Dot_V,0,MIN(10,AG$173)))*(AG$171+AG$172*V_PreDir)</f>
        <v>46</v>
      </c>
      <c r="AH233" s="36" t="n">
        <f aca="false">SUMPRODUCT((Per_Clase="Directo")*INDEX(Dot_V,0,MIN(10,AH$173)))*(AH$171+AH$172*V_PreDir)</f>
        <v>46</v>
      </c>
      <c r="AI233" s="36" t="n">
        <f aca="false">SUMPRODUCT((Per_Clase="Directo")*INDEX(Dot_V,0,MIN(10,AI$173)))*(AI$171+AI$172*V_PreDir)</f>
        <v>46</v>
      </c>
      <c r="AJ233" s="36" t="n">
        <f aca="false">SUMPRODUCT((Per_Clase="Directo")*INDEX(Dot_V,0,MIN(10,AJ$173)))*(AJ$171+AJ$172*V_PreDir)</f>
        <v>46</v>
      </c>
      <c r="AK233" s="36" t="n">
        <f aca="false">SUMPRODUCT((Per_Clase="Directo")*INDEX(Dot_V,0,MIN(10,AK$173)))*(AK$171+AK$172*V_PreDir)</f>
        <v>46</v>
      </c>
      <c r="AL233" s="36" t="n">
        <f aca="false">SUMPRODUCT((Per_Clase="Directo")*INDEX(Dot_V,0,MIN(10,AL$173)))*(AL$171+AL$172*V_PreDir)</f>
        <v>46</v>
      </c>
      <c r="AM233" s="36" t="n">
        <f aca="false">SUMPRODUCT((Per_Clase="Directo")*INDEX(Dot_V,0,MIN(10,AM$173)))*(AM$171+AM$172*V_PreDir)</f>
        <v>46</v>
      </c>
      <c r="AN233" s="36" t="n">
        <f aca="false">SUMPRODUCT((Per_Clase="Directo")*INDEX(Dot_V,0,MIN(10,AN$173)))*(AN$171+AN$172*V_PreDir)</f>
        <v>46</v>
      </c>
      <c r="AO233" s="36" t="n">
        <f aca="false">SUMPRODUCT((Per_Clase="Directo")*INDEX(Dot_V,0,MIN(10,AO$173)))*(AO$171+AO$172*V_PreDir)</f>
        <v>46</v>
      </c>
      <c r="AP233" s="36" t="n">
        <f aca="false">SUMPRODUCT((Per_Clase="Directo")*INDEX(Dot_V,0,MIN(10,AP$173)))*(AP$171+AP$172*V_PreDir)</f>
        <v>49</v>
      </c>
      <c r="AQ233" s="36" t="n">
        <f aca="false">SUMPRODUCT((Per_Clase="Directo")*INDEX(Dot_V,0,MIN(10,AQ$173)))*(AQ$171+AQ$172*V_PreDir)</f>
        <v>49</v>
      </c>
      <c r="AR233" s="36" t="n">
        <f aca="false">SUMPRODUCT((Per_Clase="Directo")*INDEX(Dot_V,0,MIN(10,AR$173)))*(AR$171+AR$172*V_PreDir)</f>
        <v>49</v>
      </c>
      <c r="AS233" s="36" t="n">
        <f aca="false">SUMPRODUCT((Per_Clase="Directo")*INDEX(Dot_V,0,MIN(10,AS$173)))*(AS$171+AS$172*V_PreDir)</f>
        <v>49</v>
      </c>
      <c r="AT233" s="36" t="n">
        <f aca="false">SUMPRODUCT((Per_Clase="Directo")*INDEX(Dot_V,0,MIN(10,AT$173)))*(AT$171+AT$172*V_PreDir)</f>
        <v>49</v>
      </c>
      <c r="AU233" s="36" t="n">
        <f aca="false">SUMPRODUCT((Per_Clase="Directo")*INDEX(Dot_V,0,MIN(10,AU$173)))*(AU$171+AU$172*V_PreDir)</f>
        <v>49</v>
      </c>
      <c r="AV233" s="36" t="n">
        <f aca="false">SUMPRODUCT((Per_Clase="Directo")*INDEX(Dot_V,0,MIN(10,AV$173)))*(AV$171+AV$172*V_PreDir)</f>
        <v>49</v>
      </c>
      <c r="AW233" s="36" t="n">
        <f aca="false">SUMPRODUCT((Per_Clase="Directo")*INDEX(Dot_V,0,MIN(10,AW$173)))*(AW$171+AW$172*V_PreDir)</f>
        <v>49</v>
      </c>
      <c r="AX233" s="36" t="n">
        <f aca="false">SUMPRODUCT((Per_Clase="Directo")*INDEX(Dot_V,0,MIN(10,AX$173)))*(AX$171+AX$172*V_PreDir)</f>
        <v>49</v>
      </c>
      <c r="AY233" s="36" t="n">
        <f aca="false">SUMPRODUCT((Per_Clase="Directo")*INDEX(Dot_V,0,MIN(10,AY$173)))*(AY$171+AY$172*V_PreDir)</f>
        <v>49</v>
      </c>
      <c r="AZ233" s="36" t="n">
        <f aca="false">SUMPRODUCT((Per_Clase="Directo")*INDEX(Dot_V,0,MIN(10,AZ$173)))*(AZ$171+AZ$172*V_PreDir)</f>
        <v>49</v>
      </c>
      <c r="BA233" s="36" t="n">
        <f aca="false">SUMPRODUCT((Per_Clase="Directo")*INDEX(Dot_V,0,MIN(10,BA$173)))*(BA$171+BA$172*V_PreDir)</f>
        <v>49</v>
      </c>
      <c r="BB233" s="36" t="n">
        <f aca="false">SUMPRODUCT((Per_Clase="Directo")*INDEX(Dot_V,0,MIN(10,BB$173)))*(BB$171+BB$172*V_PreDir)</f>
        <v>52</v>
      </c>
      <c r="BC233" s="36" t="n">
        <f aca="false">SUMPRODUCT((Per_Clase="Directo")*INDEX(Dot_V,0,MIN(10,BC$173)))*(BC$171+BC$172*V_PreDir)</f>
        <v>52</v>
      </c>
      <c r="BD233" s="36" t="n">
        <f aca="false">SUMPRODUCT((Per_Clase="Directo")*INDEX(Dot_V,0,MIN(10,BD$173)))*(BD$171+BD$172*V_PreDir)</f>
        <v>52</v>
      </c>
      <c r="BE233" s="36" t="n">
        <f aca="false">SUMPRODUCT((Per_Clase="Directo")*INDEX(Dot_V,0,MIN(10,BE$173)))*(BE$171+BE$172*V_PreDir)</f>
        <v>52</v>
      </c>
      <c r="BF233" s="36" t="n">
        <f aca="false">SUMPRODUCT((Per_Clase="Directo")*INDEX(Dot_V,0,MIN(10,BF$173)))*(BF$171+BF$172*V_PreDir)</f>
        <v>52</v>
      </c>
      <c r="BG233" s="36" t="n">
        <f aca="false">SUMPRODUCT((Per_Clase="Directo")*INDEX(Dot_V,0,MIN(10,BG$173)))*(BG$171+BG$172*V_PreDir)</f>
        <v>52</v>
      </c>
      <c r="BH233" s="36" t="n">
        <f aca="false">SUMPRODUCT((Per_Clase="Directo")*INDEX(Dot_V,0,MIN(10,BH$173)))*(BH$171+BH$172*V_PreDir)</f>
        <v>52</v>
      </c>
      <c r="BI233" s="36" t="n">
        <f aca="false">SUMPRODUCT((Per_Clase="Directo")*INDEX(Dot_V,0,MIN(10,BI$173)))*(BI$171+BI$172*V_PreDir)</f>
        <v>52</v>
      </c>
      <c r="BJ233" s="36" t="n">
        <f aca="false">SUMPRODUCT((Per_Clase="Directo")*INDEX(Dot_V,0,MIN(10,BJ$173)))*(BJ$171+BJ$172*V_PreDir)</f>
        <v>52</v>
      </c>
      <c r="BK233" s="36" t="n">
        <f aca="false">SUMPRODUCT((Per_Clase="Directo")*INDEX(Dot_V,0,MIN(10,BK$173)))*(BK$171+BK$172*V_PreDir)</f>
        <v>52</v>
      </c>
      <c r="BL233" s="36" t="n">
        <f aca="false">SUMPRODUCT((Per_Clase="Directo")*INDEX(Dot_V,0,MIN(10,BL$173)))*(BL$171+BL$172*V_PreDir)</f>
        <v>52</v>
      </c>
      <c r="BM233" s="36" t="n">
        <f aca="false">SUMPRODUCT((Per_Clase="Directo")*INDEX(Dot_V,0,MIN(10,BM$173)))*(BM$171+BM$172*V_PreDir)</f>
        <v>52</v>
      </c>
      <c r="BN233" s="36" t="n">
        <f aca="false">SUMPRODUCT((Per_Clase="Directo")*INDEX(Dot_V,0,MIN(10,BN$173)))*(BN$171+BN$172*V_PreDir)</f>
        <v>52</v>
      </c>
      <c r="BO233" s="36" t="n">
        <f aca="false">SUMPRODUCT((Per_Clase="Directo")*INDEX(Dot_V,0,MIN(10,BO$173)))*(BO$171+BO$172*V_PreDir)</f>
        <v>52</v>
      </c>
      <c r="BP233" s="36" t="n">
        <f aca="false">SUMPRODUCT((Per_Clase="Directo")*INDEX(Dot_V,0,MIN(10,BP$173)))*(BP$171+BP$172*V_PreDir)</f>
        <v>52</v>
      </c>
      <c r="BQ233" s="36" t="n">
        <f aca="false">SUMPRODUCT((Per_Clase="Directo")*INDEX(Dot_V,0,MIN(10,BQ$173)))*(BQ$171+BQ$172*V_PreDir)</f>
        <v>52</v>
      </c>
      <c r="BR233" s="36" t="n">
        <f aca="false">SUMPRODUCT((Per_Clase="Directo")*INDEX(Dot_V,0,MIN(10,BR$173)))*(BR$171+BR$172*V_PreDir)</f>
        <v>52</v>
      </c>
      <c r="BS233" s="36" t="n">
        <f aca="false">SUMPRODUCT((Per_Clase="Directo")*INDEX(Dot_V,0,MIN(10,BS$173)))*(BS$171+BS$172*V_PreDir)</f>
        <v>52</v>
      </c>
      <c r="BT233" s="36" t="n">
        <f aca="false">SUMPRODUCT((Per_Clase="Directo")*INDEX(Dot_V,0,MIN(10,BT$173)))*(BT$171+BT$172*V_PreDir)</f>
        <v>52</v>
      </c>
      <c r="BU233" s="36" t="n">
        <f aca="false">SUMPRODUCT((Per_Clase="Directo")*INDEX(Dot_V,0,MIN(10,BU$173)))*(BU$171+BU$172*V_PreDir)</f>
        <v>52</v>
      </c>
      <c r="BV233" s="36" t="n">
        <f aca="false">SUMPRODUCT((Per_Clase="Directo")*INDEX(Dot_V,0,MIN(10,BV$173)))*(BV$171+BV$172*V_PreDir)</f>
        <v>52</v>
      </c>
      <c r="BW233" s="36" t="n">
        <f aca="false">SUMPRODUCT((Per_Clase="Directo")*INDEX(Dot_V,0,MIN(10,BW$173)))*(BW$171+BW$172*V_PreDir)</f>
        <v>52</v>
      </c>
      <c r="BX233" s="36" t="n">
        <f aca="false">SUMPRODUCT((Per_Clase="Directo")*INDEX(Dot_V,0,MIN(10,BX$173)))*(BX$171+BX$172*V_PreDir)</f>
        <v>52</v>
      </c>
      <c r="BY233" s="36" t="n">
        <f aca="false">SUMPRODUCT((Per_Clase="Directo")*INDEX(Dot_V,0,MIN(10,BY$173)))*(BY$171+BY$172*V_PreDir)</f>
        <v>52</v>
      </c>
      <c r="BZ233" s="36" t="n">
        <f aca="false">SUMPRODUCT((Per_Clase="Directo")*INDEX(Dot_V,0,MIN(10,BZ$173)))*(BZ$171+BZ$172*V_PreDir)</f>
        <v>52</v>
      </c>
      <c r="CA233" s="36" t="n">
        <f aca="false">SUMPRODUCT((Per_Clase="Directo")*INDEX(Dot_V,0,MIN(10,CA$173)))*(CA$171+CA$172*V_PreDir)</f>
        <v>52</v>
      </c>
      <c r="CB233" s="36" t="n">
        <f aca="false">SUMPRODUCT((Per_Clase="Directo")*INDEX(Dot_V,0,MIN(10,CB$173)))*(CB$171+CB$172*V_PreDir)</f>
        <v>52</v>
      </c>
      <c r="CC233" s="36" t="n">
        <f aca="false">SUMPRODUCT((Per_Clase="Directo")*INDEX(Dot_V,0,MIN(10,CC$173)))*(CC$171+CC$172*V_PreDir)</f>
        <v>52</v>
      </c>
      <c r="CD233" s="36" t="n">
        <f aca="false">SUMPRODUCT((Per_Clase="Directo")*INDEX(Dot_V,0,MIN(10,CD$173)))*(CD$171+CD$172*V_PreDir)</f>
        <v>52</v>
      </c>
      <c r="CE233" s="36" t="n">
        <f aca="false">SUMPRODUCT((Per_Clase="Directo")*INDEX(Dot_V,0,MIN(10,CE$173)))*(CE$171+CE$172*V_PreDir)</f>
        <v>52</v>
      </c>
      <c r="CF233" s="36" t="n">
        <f aca="false">SUMPRODUCT((Per_Clase="Directo")*INDEX(Dot_V,0,MIN(10,CF$173)))*(CF$171+CF$172*V_PreDir)</f>
        <v>52</v>
      </c>
      <c r="CG233" s="36" t="n">
        <f aca="false">SUMPRODUCT((Per_Clase="Directo")*INDEX(Dot_V,0,MIN(10,CG$173)))*(CG$171+CG$172*V_PreDir)</f>
        <v>52</v>
      </c>
      <c r="CH233" s="36" t="n">
        <f aca="false">SUMPRODUCT((Per_Clase="Directo")*INDEX(Dot_V,0,MIN(10,CH$173)))*(CH$171+CH$172*V_PreDir)</f>
        <v>52</v>
      </c>
      <c r="CI233" s="36" t="n">
        <f aca="false">SUMPRODUCT((Per_Clase="Directo")*INDEX(Dot_V,0,MIN(10,CI$173)))*(CI$171+CI$172*V_PreDir)</f>
        <v>52</v>
      </c>
      <c r="CJ233" s="36" t="n">
        <f aca="false">SUMPRODUCT((Per_Clase="Directo")*INDEX(Dot_V,0,MIN(10,CJ$173)))*(CJ$171+CJ$172*V_PreDir)</f>
        <v>52</v>
      </c>
      <c r="CK233" s="36" t="n">
        <f aca="false">SUMPRODUCT((Per_Clase="Directo")*INDEX(Dot_V,0,MIN(10,CK$173)))*(CK$171+CK$172*V_PreDir)</f>
        <v>52</v>
      </c>
      <c r="CL233" s="36" t="n">
        <f aca="false">SUMPRODUCT((Per_Clase="Directo")*INDEX(Dot_V,0,MIN(10,CL$173)))*(CL$171+CL$172*V_PreDir)</f>
        <v>52</v>
      </c>
      <c r="CM233" s="36" t="n">
        <f aca="false">SUMPRODUCT((Per_Clase="Directo")*INDEX(Dot_V,0,MIN(10,CM$173)))*(CM$171+CM$172*V_PreDir)</f>
        <v>52</v>
      </c>
      <c r="CN233" s="36" t="n">
        <f aca="false">SUMPRODUCT((Per_Clase="Directo")*INDEX(Dot_V,0,MIN(10,CN$173)))*(CN$171+CN$172*V_PreDir)</f>
        <v>52</v>
      </c>
      <c r="CO233" s="36" t="n">
        <f aca="false">SUMPRODUCT((Per_Clase="Directo")*INDEX(Dot_V,0,MIN(10,CO$173)))*(CO$171+CO$172*V_PreDir)</f>
        <v>52</v>
      </c>
      <c r="CP233" s="36" t="n">
        <f aca="false">SUMPRODUCT((Per_Clase="Directo")*INDEX(Dot_V,0,MIN(10,CP$173)))*(CP$171+CP$172*V_PreDir)</f>
        <v>52</v>
      </c>
      <c r="CQ233" s="36" t="n">
        <f aca="false">SUMPRODUCT((Per_Clase="Directo")*INDEX(Dot_V,0,MIN(10,CQ$173)))*(CQ$171+CQ$172*V_PreDir)</f>
        <v>52</v>
      </c>
      <c r="CR233" s="36" t="n">
        <f aca="false">SUMPRODUCT((Per_Clase="Directo")*INDEX(Dot_V,0,MIN(10,CR$173)))*(CR$171+CR$172*V_PreDir)</f>
        <v>52</v>
      </c>
      <c r="CS233" s="36" t="n">
        <f aca="false">SUMPRODUCT((Per_Clase="Directo")*INDEX(Dot_V,0,MIN(10,CS$173)))*(CS$171+CS$172*V_PreDir)</f>
        <v>52</v>
      </c>
      <c r="CT233" s="36" t="n">
        <f aca="false">SUMPRODUCT((Per_Clase="Directo")*INDEX(Dot_V,0,MIN(10,CT$173)))*(CT$171+CT$172*V_PreDir)</f>
        <v>52</v>
      </c>
      <c r="CU233" s="36" t="n">
        <f aca="false">SUMPRODUCT((Per_Clase="Directo")*INDEX(Dot_V,0,MIN(10,CU$173)))*(CU$171+CU$172*V_PreDir)</f>
        <v>52</v>
      </c>
      <c r="CV233" s="36" t="n">
        <f aca="false">SUMPRODUCT((Per_Clase="Directo")*INDEX(Dot_V,0,MIN(10,CV$173)))*(CV$171+CV$172*V_PreDir)</f>
        <v>52</v>
      </c>
      <c r="CW233" s="36" t="n">
        <f aca="false">SUMPRODUCT((Per_Clase="Directo")*INDEX(Dot_V,0,MIN(10,CW$173)))*(CW$171+CW$172*V_PreDir)</f>
        <v>52</v>
      </c>
      <c r="CX233" s="36" t="n">
        <f aca="false">SUMPRODUCT((Per_Clase="Directo")*INDEX(Dot_V,0,MIN(10,CX$173)))*(CX$171+CX$172*V_PreDir)</f>
        <v>52</v>
      </c>
      <c r="CY233" s="36" t="n">
        <f aca="false">SUMPRODUCT((Per_Clase="Directo")*INDEX(Dot_V,0,MIN(10,CY$173)))*(CY$171+CY$172*V_PreDir)</f>
        <v>52</v>
      </c>
      <c r="CZ233" s="36" t="n">
        <f aca="false">SUMPRODUCT((Per_Clase="Directo")*INDEX(Dot_V,0,MIN(10,CZ$173)))*(CZ$171+CZ$172*V_PreDir)</f>
        <v>52</v>
      </c>
      <c r="DA233" s="36" t="n">
        <f aca="false">SUMPRODUCT((Per_Clase="Directo")*INDEX(Dot_V,0,MIN(10,DA$173)))*(DA$171+DA$172*V_PreDir)</f>
        <v>52</v>
      </c>
      <c r="DB233" s="36" t="n">
        <f aca="false">SUMPRODUCT((Per_Clase="Directo")*INDEX(Dot_V,0,MIN(10,DB$173)))*(DB$171+DB$172*V_PreDir)</f>
        <v>52</v>
      </c>
      <c r="DC233" s="36" t="n">
        <f aca="false">SUMPRODUCT((Per_Clase="Directo")*INDEX(Dot_V,0,MIN(10,DC$173)))*(DC$171+DC$172*V_PreDir)</f>
        <v>52</v>
      </c>
      <c r="DD233" s="36" t="n">
        <f aca="false">SUMPRODUCT((Per_Clase="Directo")*INDEX(Dot_V,0,MIN(10,DD$173)))*(DD$171+DD$172*V_PreDir)</f>
        <v>52</v>
      </c>
      <c r="DE233" s="36" t="n">
        <f aca="false">SUMPRODUCT((Per_Clase="Directo")*INDEX(Dot_V,0,MIN(10,DE$173)))*(DE$171+DE$172*V_PreDir)</f>
        <v>52</v>
      </c>
      <c r="DF233" s="36" t="n">
        <f aca="false">SUMPRODUCT((Per_Clase="Directo")*INDEX(Dot_V,0,MIN(10,DF$173)))*(DF$171+DF$172*V_PreDir)</f>
        <v>52</v>
      </c>
      <c r="DG233" s="36" t="n">
        <f aca="false">SUMPRODUCT((Per_Clase="Directo")*INDEX(Dot_V,0,MIN(10,DG$173)))*(DG$171+DG$172*V_PreDir)</f>
        <v>52</v>
      </c>
      <c r="DH233" s="36" t="n">
        <f aca="false">SUMPRODUCT((Per_Clase="Directo")*INDEX(Dot_V,0,MIN(10,DH$173)))*(DH$171+DH$172*V_PreDir)</f>
        <v>52</v>
      </c>
      <c r="DI233" s="36" t="n">
        <f aca="false">SUMPRODUCT((Per_Clase="Directo")*INDEX(Dot_V,0,MIN(10,DI$173)))*(DI$171+DI$172*V_PreDir)</f>
        <v>52</v>
      </c>
      <c r="DJ233" s="36" t="n">
        <f aca="false">SUMPRODUCT((Per_Clase="Directo")*INDEX(Dot_V,0,MIN(10,DJ$173)))*(DJ$171+DJ$172*V_PreDir)</f>
        <v>52</v>
      </c>
      <c r="DK233" s="36" t="n">
        <f aca="false">SUMPRODUCT((Per_Clase="Directo")*INDEX(Dot_V,0,MIN(10,DK$173)))*(DK$171+DK$172*V_PreDir)</f>
        <v>52</v>
      </c>
      <c r="DL233" s="36" t="n">
        <f aca="false">SUMPRODUCT((Per_Clase="Directo")*INDEX(Dot_V,0,MIN(10,DL$173)))*(DL$171+DL$172*V_PreDir)</f>
        <v>52</v>
      </c>
      <c r="DM233" s="36" t="n">
        <f aca="false">SUMPRODUCT((Per_Clase="Directo")*INDEX(Dot_V,0,MIN(10,DM$173)))*(DM$171+DM$172*V_PreDir)</f>
        <v>52</v>
      </c>
      <c r="DN233" s="36" t="n">
        <f aca="false">SUMPRODUCT((Per_Clase="Directo")*INDEX(Dot_V,0,MIN(10,DN$173)))*(DN$171+DN$172*V_PreDir)</f>
        <v>52</v>
      </c>
      <c r="DO233" s="36" t="n">
        <f aca="false">SUMPRODUCT((Per_Clase="Directo")*INDEX(Dot_V,0,MIN(10,DO$173)))*(DO$171+DO$172*V_PreDir)</f>
        <v>52</v>
      </c>
      <c r="DP233" s="36" t="n">
        <f aca="false">SUMPRODUCT((Per_Clase="Directo")*INDEX(Dot_V,0,MIN(10,DP$173)))*(DP$171+DP$172*V_PreDir)</f>
        <v>52</v>
      </c>
      <c r="DQ233" s="36" t="n">
        <f aca="false">SUMPRODUCT((Per_Clase="Directo")*INDEX(Dot_V,0,MIN(10,DQ$173)))*(DQ$171+DQ$172*V_PreDir)</f>
        <v>52</v>
      </c>
      <c r="DR233" s="36" t="n">
        <f aca="false">SUMPRODUCT((Per_Clase="Directo")*INDEX(Dot_V,0,MIN(10,DR$173)))*(DR$171+DR$172*V_PreDir)</f>
        <v>52</v>
      </c>
      <c r="DS233" s="36" t="n">
        <f aca="false">SUMPRODUCT((Per_Clase="Directo")*INDEX(Dot_V,0,MIN(10,DS$173)))*(DS$171+DS$172*V_PreDir)</f>
        <v>52</v>
      </c>
      <c r="DT233" s="36" t="n">
        <f aca="false">SUMPRODUCT((Per_Clase="Directo")*INDEX(Dot_V,0,MIN(10,DT$173)))*(DT$171+DT$172*V_PreDir)</f>
        <v>52</v>
      </c>
      <c r="DU233" s="36" t="n">
        <f aca="false">SUMPRODUCT((Per_Clase="Directo")*INDEX(Dot_V,0,MIN(10,DU$173)))*(DU$171+DU$172*V_PreDir)</f>
        <v>52</v>
      </c>
      <c r="DV233" s="36" t="n">
        <f aca="false">SUMPRODUCT((Per_Clase="Directo")*INDEX(Dot_V,0,MIN(10,DV$173)))*(DV$171+DV$172*V_PreDir)</f>
        <v>0</v>
      </c>
      <c r="DW233" s="36" t="n">
        <f aca="false">SUMPRODUCT((Per_Clase="Directo")*INDEX(Dot_V,0,MIN(10,DW$173)))*(DW$171+DW$172*V_PreDir)</f>
        <v>0</v>
      </c>
      <c r="DX233" s="36" t="n">
        <f aca="false">SUMPRODUCT((Per_Clase="Directo")*INDEX(Dot_V,0,MIN(10,DX$173)))*(DX$171+DX$172*V_PreDir)</f>
        <v>0</v>
      </c>
      <c r="DY233" s="36" t="n">
        <f aca="false">SUMPRODUCT((Per_Clase="Directo")*INDEX(Dot_V,0,MIN(10,DY$173)))*(DY$171+DY$172*V_PreDir)</f>
        <v>0</v>
      </c>
      <c r="DZ233" s="36" t="n">
        <f aca="false">SUMPRODUCT((Per_Clase="Directo")*INDEX(Dot_V,0,MIN(10,DZ$173)))*(DZ$171+DZ$172*V_PreDir)</f>
        <v>0</v>
      </c>
      <c r="EA233" s="36" t="n">
        <f aca="false">SUMPRODUCT((Per_Clase="Directo")*INDEX(Dot_V,0,MIN(10,EA$173)))*(EA$171+EA$172*V_PreDir)</f>
        <v>0</v>
      </c>
      <c r="EB233" s="36" t="n">
        <f aca="false">SUMPRODUCT((Per_Clase="Directo")*INDEX(Dot_V,0,MIN(10,EB$173)))*(EB$171+EB$172*V_PreDir)</f>
        <v>0</v>
      </c>
      <c r="EC233" s="36" t="n">
        <f aca="false">SUMPRODUCT((Per_Clase="Directo")*INDEX(Dot_V,0,MIN(10,EC$173)))*(EC$171+EC$172*V_PreDir)</f>
        <v>0</v>
      </c>
      <c r="ED233" s="36" t="n">
        <f aca="false">SUMPRODUCT((Per_Clase="Directo")*INDEX(Dot_V,0,MIN(10,ED$173)))*(ED$171+ED$172*V_PreDir)</f>
        <v>0</v>
      </c>
      <c r="EE233" s="36" t="n">
        <f aca="false">SUMPRODUCT((Per_Clase="Directo")*INDEX(Dot_V,0,MIN(10,EE$173)))*(EE$171+EE$172*V_PreDir)</f>
        <v>0</v>
      </c>
      <c r="EF233" s="36" t="n">
        <f aca="false">SUMPRODUCT((Per_Clase="Directo")*INDEX(Dot_V,0,MIN(10,EF$173)))*(EF$171+EF$172*V_PreDir)</f>
        <v>0</v>
      </c>
      <c r="EG233" s="36" t="n">
        <f aca="false">SUMPRODUCT((Per_Clase="Directo")*INDEX(Dot_V,0,MIN(10,EG$173)))*(EG$171+EG$172*V_PreDir)</f>
        <v>0</v>
      </c>
      <c r="EH233" s="36" t="n">
        <f aca="false">SUMPRODUCT((Per_Clase="Directo")*INDEX(Dot_V,0,MIN(10,EH$173)))*(EH$171+EH$172*V_PreDir)</f>
        <v>0</v>
      </c>
      <c r="EI233" s="36" t="n">
        <f aca="false">SUMPRODUCT((Per_Clase="Directo")*INDEX(Dot_V,0,MIN(10,EI$173)))*(EI$171+EI$172*V_PreDir)</f>
        <v>0</v>
      </c>
      <c r="EJ233" s="36" t="n">
        <f aca="false">SUMPRODUCT((Per_Clase="Directo")*INDEX(Dot_V,0,MIN(10,EJ$173)))*(EJ$171+EJ$172*V_PreDir)</f>
        <v>0</v>
      </c>
      <c r="EK233" s="36" t="n">
        <f aca="false">SUMPRODUCT((Per_Clase="Directo")*INDEX(Dot_V,0,MIN(10,EK$173)))*(EK$171+EK$172*V_PreDir)</f>
        <v>0</v>
      </c>
      <c r="EL233" s="36" t="n">
        <f aca="false">SUMPRODUCT((Per_Clase="Directo")*INDEX(Dot_V,0,MIN(10,EL$173)))*(EL$171+EL$172*V_PreDir)</f>
        <v>0</v>
      </c>
      <c r="EM233" s="36" t="n">
        <f aca="false">SUMPRODUCT((Per_Clase="Directo")*INDEX(Dot_V,0,MIN(10,EM$173)))*(EM$171+EM$172*V_PreDir)</f>
        <v>0</v>
      </c>
      <c r="EN233" s="36" t="n">
        <f aca="false">SUMPRODUCT((Per_Clase="Directo")*INDEX(Dot_V,0,MIN(10,EN$173)))*(EN$171+EN$172*V_PreDir)</f>
        <v>0</v>
      </c>
      <c r="EO233" s="36" t="n">
        <f aca="false">SUMPRODUCT((Per_Clase="Directo")*INDEX(Dot_V,0,MIN(10,EO$173)))*(EO$171+EO$172*V_PreDir)</f>
        <v>0</v>
      </c>
      <c r="EP233" s="36" t="n">
        <f aca="false">SUMPRODUCT((Per_Clase="Directo")*INDEX(Dot_V,0,MIN(10,EP$173)))*(EP$171+EP$172*V_PreDir)</f>
        <v>0</v>
      </c>
      <c r="EQ233" s="36" t="n">
        <f aca="false">SUMPRODUCT((Per_Clase="Directo")*INDEX(Dot_V,0,MIN(10,EQ$173)))*(EQ$171+EQ$172*V_PreDir)</f>
        <v>0</v>
      </c>
      <c r="ER233" s="36" t="n">
        <f aca="false">SUMPRODUCT((Per_Clase="Directo")*INDEX(Dot_V,0,MIN(10,ER$173)))*(ER$171+ER$172*V_PreDir)</f>
        <v>0</v>
      </c>
      <c r="ES233" s="36" t="n">
        <f aca="false">SUMPRODUCT((Per_Clase="Directo")*INDEX(Dot_V,0,MIN(10,ES$173)))*(ES$171+ES$172*V_PreDir)</f>
        <v>0</v>
      </c>
    </row>
    <row r="234" customFormat="false" ht="15" hidden="false" customHeight="false" outlineLevel="0" collapsed="false">
      <c r="A234" s="2" t="s">
        <v>875</v>
      </c>
      <c r="B234" s="6" t="s">
        <v>649</v>
      </c>
      <c r="C234" s="6" t="s">
        <v>250</v>
      </c>
      <c r="E234" s="40" t="n">
        <f aca="false">SUM(F234:ES234)</f>
        <v>4532548.91505156</v>
      </c>
      <c r="F234" s="34" t="n">
        <f aca="false">SUMPRODUCT((Per_Clase="Directo")*Sal_V*INDEX(Dot_V,0,MIN(10,F$173))*((Per_Mon="PYG")*F$175+(Per_Mon&lt;&gt;"PYG")))*(F$171+F$172*V_PreDir)*INDEX(IdxSal_V,1,MIN(10,F$173))*(1+V_Cargas)+F$233*V_Alim*F$175</f>
        <v>32622.2257971233</v>
      </c>
      <c r="G234" s="34" t="n">
        <f aca="false">SUMPRODUCT((Per_Clase="Directo")*Sal_V*INDEX(Dot_V,0,MIN(10,G$173))*((Per_Mon="PYG")*G$175+(Per_Mon&lt;&gt;"PYG")))*(G$171+G$172*V_PreDir)*INDEX(IdxSal_V,1,MIN(10,G$173))*(1+V_Cargas)+G$233*V_Alim*G$175</f>
        <v>32622.2257971233</v>
      </c>
      <c r="H234" s="34" t="n">
        <f aca="false">SUMPRODUCT((Per_Clase="Directo")*Sal_V*INDEX(Dot_V,0,MIN(10,H$173))*((Per_Mon="PYG")*H$175+(Per_Mon&lt;&gt;"PYG")))*(H$171+H$172*V_PreDir)*INDEX(IdxSal_V,1,MIN(10,H$173))*(1+V_Cargas)+H$233*V_Alim*H$175</f>
        <v>32622.2257971233</v>
      </c>
      <c r="I234" s="34" t="n">
        <f aca="false">SUMPRODUCT((Per_Clase="Directo")*Sal_V*INDEX(Dot_V,0,MIN(10,I$173))*((Per_Mon="PYG")*I$175+(Per_Mon&lt;&gt;"PYG")))*(I$171+I$172*V_PreDir)*INDEX(IdxSal_V,1,MIN(10,I$173))*(1+V_Cargas)+I$233*V_Alim*I$175</f>
        <v>32622.2257971233</v>
      </c>
      <c r="J234" s="34" t="n">
        <f aca="false">SUMPRODUCT((Per_Clase="Directo")*Sal_V*INDEX(Dot_V,0,MIN(10,J$173))*((Per_Mon="PYG")*J$175+(Per_Mon&lt;&gt;"PYG")))*(J$171+J$172*V_PreDir)*INDEX(IdxSal_V,1,MIN(10,J$173))*(1+V_Cargas)+J$233*V_Alim*J$175</f>
        <v>32622.2257971233</v>
      </c>
      <c r="K234" s="34" t="n">
        <f aca="false">SUMPRODUCT((Per_Clase="Directo")*Sal_V*INDEX(Dot_V,0,MIN(10,K$173))*((Per_Mon="PYG")*K$175+(Per_Mon&lt;&gt;"PYG")))*(K$171+K$172*V_PreDir)*INDEX(IdxSal_V,1,MIN(10,K$173))*(1+V_Cargas)+K$233*V_Alim*K$175</f>
        <v>32622.2257971233</v>
      </c>
      <c r="L234" s="34" t="n">
        <f aca="false">SUMPRODUCT((Per_Clase="Directo")*Sal_V*INDEX(Dot_V,0,MIN(10,L$173))*((Per_Mon="PYG")*L$175+(Per_Mon&lt;&gt;"PYG")))*(L$171+L$172*V_PreDir)*INDEX(IdxSal_V,1,MIN(10,L$173))*(1+V_Cargas)+L$233*V_Alim*L$175</f>
        <v>32622.2257971233</v>
      </c>
      <c r="M234" s="34" t="n">
        <f aca="false">SUMPRODUCT((Per_Clase="Directo")*Sal_V*INDEX(Dot_V,0,MIN(10,M$173))*((Per_Mon="PYG")*M$175+(Per_Mon&lt;&gt;"PYG")))*(M$171+M$172*V_PreDir)*INDEX(IdxSal_V,1,MIN(10,M$173))*(1+V_Cargas)+M$233*V_Alim*M$175</f>
        <v>32622.2257971233</v>
      </c>
      <c r="N234" s="34" t="n">
        <f aca="false">SUMPRODUCT((Per_Clase="Directo")*Sal_V*INDEX(Dot_V,0,MIN(10,N$173))*((Per_Mon="PYG")*N$175+(Per_Mon&lt;&gt;"PYG")))*(N$171+N$172*V_PreDir)*INDEX(IdxSal_V,1,MIN(10,N$173))*(1+V_Cargas)+N$233*V_Alim*N$175</f>
        <v>32622.2257971233</v>
      </c>
      <c r="O234" s="34" t="n">
        <f aca="false">SUMPRODUCT((Per_Clase="Directo")*Sal_V*INDEX(Dot_V,0,MIN(10,O$173))*((Per_Mon="PYG")*O$175+(Per_Mon&lt;&gt;"PYG")))*(O$171+O$172*V_PreDir)*INDEX(IdxSal_V,1,MIN(10,O$173))*(1+V_Cargas)+O$233*V_Alim*O$175</f>
        <v>32622.2257971233</v>
      </c>
      <c r="P234" s="34" t="n">
        <f aca="false">SUMPRODUCT((Per_Clase="Directo")*Sal_V*INDEX(Dot_V,0,MIN(10,P$173))*((Per_Mon="PYG")*P$175+(Per_Mon&lt;&gt;"PYG")))*(P$171+P$172*V_PreDir)*INDEX(IdxSal_V,1,MIN(10,P$173))*(1+V_Cargas)+P$233*V_Alim*P$175</f>
        <v>32622.2257971233</v>
      </c>
      <c r="Q234" s="34" t="n">
        <f aca="false">SUMPRODUCT((Per_Clase="Directo")*Sal_V*INDEX(Dot_V,0,MIN(10,Q$173))*((Per_Mon="PYG")*Q$175+(Per_Mon&lt;&gt;"PYG")))*(Q$171+Q$172*V_PreDir)*INDEX(IdxSal_V,1,MIN(10,Q$173))*(1+V_Cargas)+Q$233*V_Alim*Q$175</f>
        <v>32622.2257971233</v>
      </c>
      <c r="R234" s="34" t="n">
        <f aca="false">SUMPRODUCT((Per_Clase="Directo")*Sal_V*INDEX(Dot_V,0,MIN(10,R$173))*((Per_Mon="PYG")*R$175+(Per_Mon&lt;&gt;"PYG")))*(R$171+R$172*V_PreDir)*INDEX(IdxSal_V,1,MIN(10,R$173))*(1+V_Cargas)+R$233*V_Alim*R$175</f>
        <v>32622.2257971233</v>
      </c>
      <c r="S234" s="34" t="n">
        <f aca="false">SUMPRODUCT((Per_Clase="Directo")*Sal_V*INDEX(Dot_V,0,MIN(10,S$173))*((Per_Mon="PYG")*S$175+(Per_Mon&lt;&gt;"PYG")))*(S$171+S$172*V_PreDir)*INDEX(IdxSal_V,1,MIN(10,S$173))*(1+V_Cargas)+S$233*V_Alim*S$175</f>
        <v>32622.2257971233</v>
      </c>
      <c r="T234" s="34" t="n">
        <f aca="false">SUMPRODUCT((Per_Clase="Directo")*Sal_V*INDEX(Dot_V,0,MIN(10,T$173))*((Per_Mon="PYG")*T$175+(Per_Mon&lt;&gt;"PYG")))*(T$171+T$172*V_PreDir)*INDEX(IdxSal_V,1,MIN(10,T$173))*(1+V_Cargas)+T$233*V_Alim*T$175</f>
        <v>32622.2257971233</v>
      </c>
      <c r="U234" s="34" t="n">
        <f aca="false">SUMPRODUCT((Per_Clase="Directo")*Sal_V*INDEX(Dot_V,0,MIN(10,U$173))*((Per_Mon="PYG")*U$175+(Per_Mon&lt;&gt;"PYG")))*(U$171+U$172*V_PreDir)*INDEX(IdxSal_V,1,MIN(10,U$173))*(1+V_Cargas)+U$233*V_Alim*U$175</f>
        <v>32622.2257971233</v>
      </c>
      <c r="V234" s="34" t="n">
        <f aca="false">SUMPRODUCT((Per_Clase="Directo")*Sal_V*INDEX(Dot_V,0,MIN(10,V$173))*((Per_Mon="PYG")*V$175+(Per_Mon&lt;&gt;"PYG")))*(V$171+V$172*V_PreDir)*INDEX(IdxSal_V,1,MIN(10,V$173))*(1+V_Cargas)+V$233*V_Alim*V$175</f>
        <v>32622.2257971233</v>
      </c>
      <c r="W234" s="34" t="n">
        <f aca="false">SUMPRODUCT((Per_Clase="Directo")*Sal_V*INDEX(Dot_V,0,MIN(10,W$173))*((Per_Mon="PYG")*W$175+(Per_Mon&lt;&gt;"PYG")))*(W$171+W$172*V_PreDir)*INDEX(IdxSal_V,1,MIN(10,W$173))*(1+V_Cargas)+W$233*V_Alim*W$175</f>
        <v>32622.2257971233</v>
      </c>
      <c r="X234" s="34" t="n">
        <f aca="false">SUMPRODUCT((Per_Clase="Directo")*Sal_V*INDEX(Dot_V,0,MIN(10,X$173))*((Per_Mon="PYG")*X$175+(Per_Mon&lt;&gt;"PYG")))*(X$171+X$172*V_PreDir)*INDEX(IdxSal_V,1,MIN(10,X$173))*(1+V_Cargas)+X$233*V_Alim*X$175</f>
        <v>32622.2257971233</v>
      </c>
      <c r="Y234" s="34" t="n">
        <f aca="false">SUMPRODUCT((Per_Clase="Directo")*Sal_V*INDEX(Dot_V,0,MIN(10,Y$173))*((Per_Mon="PYG")*Y$175+(Per_Mon&lt;&gt;"PYG")))*(Y$171+Y$172*V_PreDir)*INDEX(IdxSal_V,1,MIN(10,Y$173))*(1+V_Cargas)+Y$233*V_Alim*Y$175</f>
        <v>32622.2257971233</v>
      </c>
      <c r="Z234" s="34" t="n">
        <f aca="false">SUMPRODUCT((Per_Clase="Directo")*Sal_V*INDEX(Dot_V,0,MIN(10,Z$173))*((Per_Mon="PYG")*Z$175+(Per_Mon&lt;&gt;"PYG")))*(Z$171+Z$172*V_PreDir)*INDEX(IdxSal_V,1,MIN(10,Z$173))*(1+V_Cargas)+Z$233*V_Alim*Z$175</f>
        <v>32622.2257971233</v>
      </c>
      <c r="AA234" s="34" t="n">
        <f aca="false">SUMPRODUCT((Per_Clase="Directo")*Sal_V*INDEX(Dot_V,0,MIN(10,AA$173))*((Per_Mon="PYG")*AA$175+(Per_Mon&lt;&gt;"PYG")))*(AA$171+AA$172*V_PreDir)*INDEX(IdxSal_V,1,MIN(10,AA$173))*(1+V_Cargas)+AA$233*V_Alim*AA$175</f>
        <v>32622.2257971233</v>
      </c>
      <c r="AB234" s="34" t="n">
        <f aca="false">SUMPRODUCT((Per_Clase="Directo")*Sal_V*INDEX(Dot_V,0,MIN(10,AB$173))*((Per_Mon="PYG")*AB$175+(Per_Mon&lt;&gt;"PYG")))*(AB$171+AB$172*V_PreDir)*INDEX(IdxSal_V,1,MIN(10,AB$173))*(1+V_Cargas)+AB$233*V_Alim*AB$175</f>
        <v>32622.2257971233</v>
      </c>
      <c r="AC234" s="34" t="n">
        <f aca="false">SUMPRODUCT((Per_Clase="Directo")*Sal_V*INDEX(Dot_V,0,MIN(10,AC$173))*((Per_Mon="PYG")*AC$175+(Per_Mon&lt;&gt;"PYG")))*(AC$171+AC$172*V_PreDir)*INDEX(IdxSal_V,1,MIN(10,AC$173))*(1+V_Cargas)+AC$233*V_Alim*AC$175</f>
        <v>32622.2257971233</v>
      </c>
      <c r="AD234" s="34" t="n">
        <f aca="false">SUMPRODUCT((Per_Clase="Directo")*Sal_V*INDEX(Dot_V,0,MIN(10,AD$173))*((Per_Mon="PYG")*AD$175+(Per_Mon&lt;&gt;"PYG")))*(AD$171+AD$172*V_PreDir)*INDEX(IdxSal_V,1,MIN(10,AD$173))*(1+V_Cargas)+AD$233*V_Alim*AD$175</f>
        <v>35267.6436408904</v>
      </c>
      <c r="AE234" s="34" t="n">
        <f aca="false">SUMPRODUCT((Per_Clase="Directo")*Sal_V*INDEX(Dot_V,0,MIN(10,AE$173))*((Per_Mon="PYG")*AE$175+(Per_Mon&lt;&gt;"PYG")))*(AE$171+AE$172*V_PreDir)*INDEX(IdxSal_V,1,MIN(10,AE$173))*(1+V_Cargas)+AE$233*V_Alim*AE$175</f>
        <v>35267.6436408904</v>
      </c>
      <c r="AF234" s="34" t="n">
        <f aca="false">SUMPRODUCT((Per_Clase="Directo")*Sal_V*INDEX(Dot_V,0,MIN(10,AF$173))*((Per_Mon="PYG")*AF$175+(Per_Mon&lt;&gt;"PYG")))*(AF$171+AF$172*V_PreDir)*INDEX(IdxSal_V,1,MIN(10,AF$173))*(1+V_Cargas)+AF$233*V_Alim*AF$175</f>
        <v>35267.6436408904</v>
      </c>
      <c r="AG234" s="34" t="n">
        <f aca="false">SUMPRODUCT((Per_Clase="Directo")*Sal_V*INDEX(Dot_V,0,MIN(10,AG$173))*((Per_Mon="PYG")*AG$175+(Per_Mon&lt;&gt;"PYG")))*(AG$171+AG$172*V_PreDir)*INDEX(IdxSal_V,1,MIN(10,AG$173))*(1+V_Cargas)+AG$233*V_Alim*AG$175</f>
        <v>35267.6436408904</v>
      </c>
      <c r="AH234" s="34" t="n">
        <f aca="false">SUMPRODUCT((Per_Clase="Directo")*Sal_V*INDEX(Dot_V,0,MIN(10,AH$173))*((Per_Mon="PYG")*AH$175+(Per_Mon&lt;&gt;"PYG")))*(AH$171+AH$172*V_PreDir)*INDEX(IdxSal_V,1,MIN(10,AH$173))*(1+V_Cargas)+AH$233*V_Alim*AH$175</f>
        <v>35267.6436408904</v>
      </c>
      <c r="AI234" s="34" t="n">
        <f aca="false">SUMPRODUCT((Per_Clase="Directo")*Sal_V*INDEX(Dot_V,0,MIN(10,AI$173))*((Per_Mon="PYG")*AI$175+(Per_Mon&lt;&gt;"PYG")))*(AI$171+AI$172*V_PreDir)*INDEX(IdxSal_V,1,MIN(10,AI$173))*(1+V_Cargas)+AI$233*V_Alim*AI$175</f>
        <v>35267.6436408904</v>
      </c>
      <c r="AJ234" s="34" t="n">
        <f aca="false">SUMPRODUCT((Per_Clase="Directo")*Sal_V*INDEX(Dot_V,0,MIN(10,AJ$173))*((Per_Mon="PYG")*AJ$175+(Per_Mon&lt;&gt;"PYG")))*(AJ$171+AJ$172*V_PreDir)*INDEX(IdxSal_V,1,MIN(10,AJ$173))*(1+V_Cargas)+AJ$233*V_Alim*AJ$175</f>
        <v>35267.6436408904</v>
      </c>
      <c r="AK234" s="34" t="n">
        <f aca="false">SUMPRODUCT((Per_Clase="Directo")*Sal_V*INDEX(Dot_V,0,MIN(10,AK$173))*((Per_Mon="PYG")*AK$175+(Per_Mon&lt;&gt;"PYG")))*(AK$171+AK$172*V_PreDir)*INDEX(IdxSal_V,1,MIN(10,AK$173))*(1+V_Cargas)+AK$233*V_Alim*AK$175</f>
        <v>35267.6436408904</v>
      </c>
      <c r="AL234" s="34" t="n">
        <f aca="false">SUMPRODUCT((Per_Clase="Directo")*Sal_V*INDEX(Dot_V,0,MIN(10,AL$173))*((Per_Mon="PYG")*AL$175+(Per_Mon&lt;&gt;"PYG")))*(AL$171+AL$172*V_PreDir)*INDEX(IdxSal_V,1,MIN(10,AL$173))*(1+V_Cargas)+AL$233*V_Alim*AL$175</f>
        <v>35267.6436408904</v>
      </c>
      <c r="AM234" s="34" t="n">
        <f aca="false">SUMPRODUCT((Per_Clase="Directo")*Sal_V*INDEX(Dot_V,0,MIN(10,AM$173))*((Per_Mon="PYG")*AM$175+(Per_Mon&lt;&gt;"PYG")))*(AM$171+AM$172*V_PreDir)*INDEX(IdxSal_V,1,MIN(10,AM$173))*(1+V_Cargas)+AM$233*V_Alim*AM$175</f>
        <v>35267.6436408904</v>
      </c>
      <c r="AN234" s="34" t="n">
        <f aca="false">SUMPRODUCT((Per_Clase="Directo")*Sal_V*INDEX(Dot_V,0,MIN(10,AN$173))*((Per_Mon="PYG")*AN$175+(Per_Mon&lt;&gt;"PYG")))*(AN$171+AN$172*V_PreDir)*INDEX(IdxSal_V,1,MIN(10,AN$173))*(1+V_Cargas)+AN$233*V_Alim*AN$175</f>
        <v>35267.6436408904</v>
      </c>
      <c r="AO234" s="34" t="n">
        <f aca="false">SUMPRODUCT((Per_Clase="Directo")*Sal_V*INDEX(Dot_V,0,MIN(10,AO$173))*((Per_Mon="PYG")*AO$175+(Per_Mon&lt;&gt;"PYG")))*(AO$171+AO$172*V_PreDir)*INDEX(IdxSal_V,1,MIN(10,AO$173))*(1+V_Cargas)+AO$233*V_Alim*AO$175</f>
        <v>35267.6436408904</v>
      </c>
      <c r="AP234" s="34" t="n">
        <f aca="false">SUMPRODUCT((Per_Clase="Directo")*Sal_V*INDEX(Dot_V,0,MIN(10,AP$173))*((Per_Mon="PYG")*AP$175+(Per_Mon&lt;&gt;"PYG")))*(AP$171+AP$172*V_PreDir)*INDEX(IdxSal_V,1,MIN(10,AP$173))*(1+V_Cargas)+AP$233*V_Alim*AP$175</f>
        <v>37386.0127952877</v>
      </c>
      <c r="AQ234" s="34" t="n">
        <f aca="false">SUMPRODUCT((Per_Clase="Directo")*Sal_V*INDEX(Dot_V,0,MIN(10,AQ$173))*((Per_Mon="PYG")*AQ$175+(Per_Mon&lt;&gt;"PYG")))*(AQ$171+AQ$172*V_PreDir)*INDEX(IdxSal_V,1,MIN(10,AQ$173))*(1+V_Cargas)+AQ$233*V_Alim*AQ$175</f>
        <v>37386.0127952877</v>
      </c>
      <c r="AR234" s="34" t="n">
        <f aca="false">SUMPRODUCT((Per_Clase="Directo")*Sal_V*INDEX(Dot_V,0,MIN(10,AR$173))*((Per_Mon="PYG")*AR$175+(Per_Mon&lt;&gt;"PYG")))*(AR$171+AR$172*V_PreDir)*INDEX(IdxSal_V,1,MIN(10,AR$173))*(1+V_Cargas)+AR$233*V_Alim*AR$175</f>
        <v>37386.0127952877</v>
      </c>
      <c r="AS234" s="34" t="n">
        <f aca="false">SUMPRODUCT((Per_Clase="Directo")*Sal_V*INDEX(Dot_V,0,MIN(10,AS$173))*((Per_Mon="PYG")*AS$175+(Per_Mon&lt;&gt;"PYG")))*(AS$171+AS$172*V_PreDir)*INDEX(IdxSal_V,1,MIN(10,AS$173))*(1+V_Cargas)+AS$233*V_Alim*AS$175</f>
        <v>37386.0127952877</v>
      </c>
      <c r="AT234" s="34" t="n">
        <f aca="false">SUMPRODUCT((Per_Clase="Directo")*Sal_V*INDEX(Dot_V,0,MIN(10,AT$173))*((Per_Mon="PYG")*AT$175+(Per_Mon&lt;&gt;"PYG")))*(AT$171+AT$172*V_PreDir)*INDEX(IdxSal_V,1,MIN(10,AT$173))*(1+V_Cargas)+AT$233*V_Alim*AT$175</f>
        <v>37386.0127952877</v>
      </c>
      <c r="AU234" s="34" t="n">
        <f aca="false">SUMPRODUCT((Per_Clase="Directo")*Sal_V*INDEX(Dot_V,0,MIN(10,AU$173))*((Per_Mon="PYG")*AU$175+(Per_Mon&lt;&gt;"PYG")))*(AU$171+AU$172*V_PreDir)*INDEX(IdxSal_V,1,MIN(10,AU$173))*(1+V_Cargas)+AU$233*V_Alim*AU$175</f>
        <v>37386.0127952877</v>
      </c>
      <c r="AV234" s="34" t="n">
        <f aca="false">SUMPRODUCT((Per_Clase="Directo")*Sal_V*INDEX(Dot_V,0,MIN(10,AV$173))*((Per_Mon="PYG")*AV$175+(Per_Mon&lt;&gt;"PYG")))*(AV$171+AV$172*V_PreDir)*INDEX(IdxSal_V,1,MIN(10,AV$173))*(1+V_Cargas)+AV$233*V_Alim*AV$175</f>
        <v>37386.0127952877</v>
      </c>
      <c r="AW234" s="34" t="n">
        <f aca="false">SUMPRODUCT((Per_Clase="Directo")*Sal_V*INDEX(Dot_V,0,MIN(10,AW$173))*((Per_Mon="PYG")*AW$175+(Per_Mon&lt;&gt;"PYG")))*(AW$171+AW$172*V_PreDir)*INDEX(IdxSal_V,1,MIN(10,AW$173))*(1+V_Cargas)+AW$233*V_Alim*AW$175</f>
        <v>37386.0127952877</v>
      </c>
      <c r="AX234" s="34" t="n">
        <f aca="false">SUMPRODUCT((Per_Clase="Directo")*Sal_V*INDEX(Dot_V,0,MIN(10,AX$173))*((Per_Mon="PYG")*AX$175+(Per_Mon&lt;&gt;"PYG")))*(AX$171+AX$172*V_PreDir)*INDEX(IdxSal_V,1,MIN(10,AX$173))*(1+V_Cargas)+AX$233*V_Alim*AX$175</f>
        <v>37386.0127952877</v>
      </c>
      <c r="AY234" s="34" t="n">
        <f aca="false">SUMPRODUCT((Per_Clase="Directo")*Sal_V*INDEX(Dot_V,0,MIN(10,AY$173))*((Per_Mon="PYG")*AY$175+(Per_Mon&lt;&gt;"PYG")))*(AY$171+AY$172*V_PreDir)*INDEX(IdxSal_V,1,MIN(10,AY$173))*(1+V_Cargas)+AY$233*V_Alim*AY$175</f>
        <v>37386.0127952877</v>
      </c>
      <c r="AZ234" s="34" t="n">
        <f aca="false">SUMPRODUCT((Per_Clase="Directo")*Sal_V*INDEX(Dot_V,0,MIN(10,AZ$173))*((Per_Mon="PYG")*AZ$175+(Per_Mon&lt;&gt;"PYG")))*(AZ$171+AZ$172*V_PreDir)*INDEX(IdxSal_V,1,MIN(10,AZ$173))*(1+V_Cargas)+AZ$233*V_Alim*AZ$175</f>
        <v>37386.0127952877</v>
      </c>
      <c r="BA234" s="34" t="n">
        <f aca="false">SUMPRODUCT((Per_Clase="Directo")*Sal_V*INDEX(Dot_V,0,MIN(10,BA$173))*((Per_Mon="PYG")*BA$175+(Per_Mon&lt;&gt;"PYG")))*(BA$171+BA$172*V_PreDir)*INDEX(IdxSal_V,1,MIN(10,BA$173))*(1+V_Cargas)+BA$233*V_Alim*BA$175</f>
        <v>37386.0127952877</v>
      </c>
      <c r="BB234" s="34" t="n">
        <f aca="false">SUMPRODUCT((Per_Clase="Directo")*Sal_V*INDEX(Dot_V,0,MIN(10,BB$173))*((Per_Mon="PYG")*BB$175+(Per_Mon&lt;&gt;"PYG")))*(BB$171+BB$172*V_PreDir)*INDEX(IdxSal_V,1,MIN(10,BB$173))*(1+V_Cargas)+BB$233*V_Alim*BB$175</f>
        <v>39969.0502595343</v>
      </c>
      <c r="BC234" s="34" t="n">
        <f aca="false">SUMPRODUCT((Per_Clase="Directo")*Sal_V*INDEX(Dot_V,0,MIN(10,BC$173))*((Per_Mon="PYG")*BC$175+(Per_Mon&lt;&gt;"PYG")))*(BC$171+BC$172*V_PreDir)*INDEX(IdxSal_V,1,MIN(10,BC$173))*(1+V_Cargas)+BC$233*V_Alim*BC$175</f>
        <v>39969.0502595343</v>
      </c>
      <c r="BD234" s="34" t="n">
        <f aca="false">SUMPRODUCT((Per_Clase="Directo")*Sal_V*INDEX(Dot_V,0,MIN(10,BD$173))*((Per_Mon="PYG")*BD$175+(Per_Mon&lt;&gt;"PYG")))*(BD$171+BD$172*V_PreDir)*INDEX(IdxSal_V,1,MIN(10,BD$173))*(1+V_Cargas)+BD$233*V_Alim*BD$175</f>
        <v>39969.0502595343</v>
      </c>
      <c r="BE234" s="34" t="n">
        <f aca="false">SUMPRODUCT((Per_Clase="Directo")*Sal_V*INDEX(Dot_V,0,MIN(10,BE$173))*((Per_Mon="PYG")*BE$175+(Per_Mon&lt;&gt;"PYG")))*(BE$171+BE$172*V_PreDir)*INDEX(IdxSal_V,1,MIN(10,BE$173))*(1+V_Cargas)+BE$233*V_Alim*BE$175</f>
        <v>39969.0502595343</v>
      </c>
      <c r="BF234" s="34" t="n">
        <f aca="false">SUMPRODUCT((Per_Clase="Directo")*Sal_V*INDEX(Dot_V,0,MIN(10,BF$173))*((Per_Mon="PYG")*BF$175+(Per_Mon&lt;&gt;"PYG")))*(BF$171+BF$172*V_PreDir)*INDEX(IdxSal_V,1,MIN(10,BF$173))*(1+V_Cargas)+BF$233*V_Alim*BF$175</f>
        <v>39969.0502595343</v>
      </c>
      <c r="BG234" s="34" t="n">
        <f aca="false">SUMPRODUCT((Per_Clase="Directo")*Sal_V*INDEX(Dot_V,0,MIN(10,BG$173))*((Per_Mon="PYG")*BG$175+(Per_Mon&lt;&gt;"PYG")))*(BG$171+BG$172*V_PreDir)*INDEX(IdxSal_V,1,MIN(10,BG$173))*(1+V_Cargas)+BG$233*V_Alim*BG$175</f>
        <v>39969.0502595343</v>
      </c>
      <c r="BH234" s="34" t="n">
        <f aca="false">SUMPRODUCT((Per_Clase="Directo")*Sal_V*INDEX(Dot_V,0,MIN(10,BH$173))*((Per_Mon="PYG")*BH$175+(Per_Mon&lt;&gt;"PYG")))*(BH$171+BH$172*V_PreDir)*INDEX(IdxSal_V,1,MIN(10,BH$173))*(1+V_Cargas)+BH$233*V_Alim*BH$175</f>
        <v>39969.0502595343</v>
      </c>
      <c r="BI234" s="34" t="n">
        <f aca="false">SUMPRODUCT((Per_Clase="Directo")*Sal_V*INDEX(Dot_V,0,MIN(10,BI$173))*((Per_Mon="PYG")*BI$175+(Per_Mon&lt;&gt;"PYG")))*(BI$171+BI$172*V_PreDir)*INDEX(IdxSal_V,1,MIN(10,BI$173))*(1+V_Cargas)+BI$233*V_Alim*BI$175</f>
        <v>39969.0502595343</v>
      </c>
      <c r="BJ234" s="34" t="n">
        <f aca="false">SUMPRODUCT((Per_Clase="Directo")*Sal_V*INDEX(Dot_V,0,MIN(10,BJ$173))*((Per_Mon="PYG")*BJ$175+(Per_Mon&lt;&gt;"PYG")))*(BJ$171+BJ$172*V_PreDir)*INDEX(IdxSal_V,1,MIN(10,BJ$173))*(1+V_Cargas)+BJ$233*V_Alim*BJ$175</f>
        <v>39969.0502595343</v>
      </c>
      <c r="BK234" s="34" t="n">
        <f aca="false">SUMPRODUCT((Per_Clase="Directo")*Sal_V*INDEX(Dot_V,0,MIN(10,BK$173))*((Per_Mon="PYG")*BK$175+(Per_Mon&lt;&gt;"PYG")))*(BK$171+BK$172*V_PreDir)*INDEX(IdxSal_V,1,MIN(10,BK$173))*(1+V_Cargas)+BK$233*V_Alim*BK$175</f>
        <v>39969.0502595343</v>
      </c>
      <c r="BL234" s="34" t="n">
        <f aca="false">SUMPRODUCT((Per_Clase="Directo")*Sal_V*INDEX(Dot_V,0,MIN(10,BL$173))*((Per_Mon="PYG")*BL$175+(Per_Mon&lt;&gt;"PYG")))*(BL$171+BL$172*V_PreDir)*INDEX(IdxSal_V,1,MIN(10,BL$173))*(1+V_Cargas)+BL$233*V_Alim*BL$175</f>
        <v>39969.0502595343</v>
      </c>
      <c r="BM234" s="34" t="n">
        <f aca="false">SUMPRODUCT((Per_Clase="Directo")*Sal_V*INDEX(Dot_V,0,MIN(10,BM$173))*((Per_Mon="PYG")*BM$175+(Per_Mon&lt;&gt;"PYG")))*(BM$171+BM$172*V_PreDir)*INDEX(IdxSal_V,1,MIN(10,BM$173))*(1+V_Cargas)+BM$233*V_Alim*BM$175</f>
        <v>39969.0502595343</v>
      </c>
      <c r="BN234" s="34" t="n">
        <f aca="false">SUMPRODUCT((Per_Clase="Directo")*Sal_V*INDEX(Dot_V,0,MIN(10,BN$173))*((Per_Mon="PYG")*BN$175+(Per_Mon&lt;&gt;"PYG")))*(BN$171+BN$172*V_PreDir)*INDEX(IdxSal_V,1,MIN(10,BN$173))*(1+V_Cargas)+BN$233*V_Alim*BN$175</f>
        <v>39969.0502595343</v>
      </c>
      <c r="BO234" s="34" t="n">
        <f aca="false">SUMPRODUCT((Per_Clase="Directo")*Sal_V*INDEX(Dot_V,0,MIN(10,BO$173))*((Per_Mon="PYG")*BO$175+(Per_Mon&lt;&gt;"PYG")))*(BO$171+BO$172*V_PreDir)*INDEX(IdxSal_V,1,MIN(10,BO$173))*(1+V_Cargas)+BO$233*V_Alim*BO$175</f>
        <v>39969.0502595343</v>
      </c>
      <c r="BP234" s="34" t="n">
        <f aca="false">SUMPRODUCT((Per_Clase="Directo")*Sal_V*INDEX(Dot_V,0,MIN(10,BP$173))*((Per_Mon="PYG")*BP$175+(Per_Mon&lt;&gt;"PYG")))*(BP$171+BP$172*V_PreDir)*INDEX(IdxSal_V,1,MIN(10,BP$173))*(1+V_Cargas)+BP$233*V_Alim*BP$175</f>
        <v>39969.0502595343</v>
      </c>
      <c r="BQ234" s="34" t="n">
        <f aca="false">SUMPRODUCT((Per_Clase="Directo")*Sal_V*INDEX(Dot_V,0,MIN(10,BQ$173))*((Per_Mon="PYG")*BQ$175+(Per_Mon&lt;&gt;"PYG")))*(BQ$171+BQ$172*V_PreDir)*INDEX(IdxSal_V,1,MIN(10,BQ$173))*(1+V_Cargas)+BQ$233*V_Alim*BQ$175</f>
        <v>39969.0502595343</v>
      </c>
      <c r="BR234" s="34" t="n">
        <f aca="false">SUMPRODUCT((Per_Clase="Directo")*Sal_V*INDEX(Dot_V,0,MIN(10,BR$173))*((Per_Mon="PYG")*BR$175+(Per_Mon&lt;&gt;"PYG")))*(BR$171+BR$172*V_PreDir)*INDEX(IdxSal_V,1,MIN(10,BR$173))*(1+V_Cargas)+BR$233*V_Alim*BR$175</f>
        <v>39969.0502595343</v>
      </c>
      <c r="BS234" s="34" t="n">
        <f aca="false">SUMPRODUCT((Per_Clase="Directo")*Sal_V*INDEX(Dot_V,0,MIN(10,BS$173))*((Per_Mon="PYG")*BS$175+(Per_Mon&lt;&gt;"PYG")))*(BS$171+BS$172*V_PreDir)*INDEX(IdxSal_V,1,MIN(10,BS$173))*(1+V_Cargas)+BS$233*V_Alim*BS$175</f>
        <v>39969.0502595343</v>
      </c>
      <c r="BT234" s="34" t="n">
        <f aca="false">SUMPRODUCT((Per_Clase="Directo")*Sal_V*INDEX(Dot_V,0,MIN(10,BT$173))*((Per_Mon="PYG")*BT$175+(Per_Mon&lt;&gt;"PYG")))*(BT$171+BT$172*V_PreDir)*INDEX(IdxSal_V,1,MIN(10,BT$173))*(1+V_Cargas)+BT$233*V_Alim*BT$175</f>
        <v>39969.0502595343</v>
      </c>
      <c r="BU234" s="34" t="n">
        <f aca="false">SUMPRODUCT((Per_Clase="Directo")*Sal_V*INDEX(Dot_V,0,MIN(10,BU$173))*((Per_Mon="PYG")*BU$175+(Per_Mon&lt;&gt;"PYG")))*(BU$171+BU$172*V_PreDir)*INDEX(IdxSal_V,1,MIN(10,BU$173))*(1+V_Cargas)+BU$233*V_Alim*BU$175</f>
        <v>39969.0502595343</v>
      </c>
      <c r="BV234" s="34" t="n">
        <f aca="false">SUMPRODUCT((Per_Clase="Directo")*Sal_V*INDEX(Dot_V,0,MIN(10,BV$173))*((Per_Mon="PYG")*BV$175+(Per_Mon&lt;&gt;"PYG")))*(BV$171+BV$172*V_PreDir)*INDEX(IdxSal_V,1,MIN(10,BV$173))*(1+V_Cargas)+BV$233*V_Alim*BV$175</f>
        <v>39969.0502595343</v>
      </c>
      <c r="BW234" s="34" t="n">
        <f aca="false">SUMPRODUCT((Per_Clase="Directo")*Sal_V*INDEX(Dot_V,0,MIN(10,BW$173))*((Per_Mon="PYG")*BW$175+(Per_Mon&lt;&gt;"PYG")))*(BW$171+BW$172*V_PreDir)*INDEX(IdxSal_V,1,MIN(10,BW$173))*(1+V_Cargas)+BW$233*V_Alim*BW$175</f>
        <v>39969.0502595343</v>
      </c>
      <c r="BX234" s="34" t="n">
        <f aca="false">SUMPRODUCT((Per_Clase="Directo")*Sal_V*INDEX(Dot_V,0,MIN(10,BX$173))*((Per_Mon="PYG")*BX$175+(Per_Mon&lt;&gt;"PYG")))*(BX$171+BX$172*V_PreDir)*INDEX(IdxSal_V,1,MIN(10,BX$173))*(1+V_Cargas)+BX$233*V_Alim*BX$175</f>
        <v>39969.0502595343</v>
      </c>
      <c r="BY234" s="34" t="n">
        <f aca="false">SUMPRODUCT((Per_Clase="Directo")*Sal_V*INDEX(Dot_V,0,MIN(10,BY$173))*((Per_Mon="PYG")*BY$175+(Per_Mon&lt;&gt;"PYG")))*(BY$171+BY$172*V_PreDir)*INDEX(IdxSal_V,1,MIN(10,BY$173))*(1+V_Cargas)+BY$233*V_Alim*BY$175</f>
        <v>39969.0502595343</v>
      </c>
      <c r="BZ234" s="34" t="n">
        <f aca="false">SUMPRODUCT((Per_Clase="Directo")*Sal_V*INDEX(Dot_V,0,MIN(10,BZ$173))*((Per_Mon="PYG")*BZ$175+(Per_Mon&lt;&gt;"PYG")))*(BZ$171+BZ$172*V_PreDir)*INDEX(IdxSal_V,1,MIN(10,BZ$173))*(1+V_Cargas)+BZ$233*V_Alim*BZ$175</f>
        <v>39969.0502595343</v>
      </c>
      <c r="CA234" s="34" t="n">
        <f aca="false">SUMPRODUCT((Per_Clase="Directo")*Sal_V*INDEX(Dot_V,0,MIN(10,CA$173))*((Per_Mon="PYG")*CA$175+(Per_Mon&lt;&gt;"PYG")))*(CA$171+CA$172*V_PreDir)*INDEX(IdxSal_V,1,MIN(10,CA$173))*(1+V_Cargas)+CA$233*V_Alim*CA$175</f>
        <v>39969.0502595343</v>
      </c>
      <c r="CB234" s="34" t="n">
        <f aca="false">SUMPRODUCT((Per_Clase="Directo")*Sal_V*INDEX(Dot_V,0,MIN(10,CB$173))*((Per_Mon="PYG")*CB$175+(Per_Mon&lt;&gt;"PYG")))*(CB$171+CB$172*V_PreDir)*INDEX(IdxSal_V,1,MIN(10,CB$173))*(1+V_Cargas)+CB$233*V_Alim*CB$175</f>
        <v>39969.0502595343</v>
      </c>
      <c r="CC234" s="34" t="n">
        <f aca="false">SUMPRODUCT((Per_Clase="Directo")*Sal_V*INDEX(Dot_V,0,MIN(10,CC$173))*((Per_Mon="PYG")*CC$175+(Per_Mon&lt;&gt;"PYG")))*(CC$171+CC$172*V_PreDir)*INDEX(IdxSal_V,1,MIN(10,CC$173))*(1+V_Cargas)+CC$233*V_Alim*CC$175</f>
        <v>39969.0502595343</v>
      </c>
      <c r="CD234" s="34" t="n">
        <f aca="false">SUMPRODUCT((Per_Clase="Directo")*Sal_V*INDEX(Dot_V,0,MIN(10,CD$173))*((Per_Mon="PYG")*CD$175+(Per_Mon&lt;&gt;"PYG")))*(CD$171+CD$172*V_PreDir)*INDEX(IdxSal_V,1,MIN(10,CD$173))*(1+V_Cargas)+CD$233*V_Alim*CD$175</f>
        <v>39969.0502595343</v>
      </c>
      <c r="CE234" s="34" t="n">
        <f aca="false">SUMPRODUCT((Per_Clase="Directo")*Sal_V*INDEX(Dot_V,0,MIN(10,CE$173))*((Per_Mon="PYG")*CE$175+(Per_Mon&lt;&gt;"PYG")))*(CE$171+CE$172*V_PreDir)*INDEX(IdxSal_V,1,MIN(10,CE$173))*(1+V_Cargas)+CE$233*V_Alim*CE$175</f>
        <v>39969.0502595343</v>
      </c>
      <c r="CF234" s="34" t="n">
        <f aca="false">SUMPRODUCT((Per_Clase="Directo")*Sal_V*INDEX(Dot_V,0,MIN(10,CF$173))*((Per_Mon="PYG")*CF$175+(Per_Mon&lt;&gt;"PYG")))*(CF$171+CF$172*V_PreDir)*INDEX(IdxSal_V,1,MIN(10,CF$173))*(1+V_Cargas)+CF$233*V_Alim*CF$175</f>
        <v>39969.0502595343</v>
      </c>
      <c r="CG234" s="34" t="n">
        <f aca="false">SUMPRODUCT((Per_Clase="Directo")*Sal_V*INDEX(Dot_V,0,MIN(10,CG$173))*((Per_Mon="PYG")*CG$175+(Per_Mon&lt;&gt;"PYG")))*(CG$171+CG$172*V_PreDir)*INDEX(IdxSal_V,1,MIN(10,CG$173))*(1+V_Cargas)+CG$233*V_Alim*CG$175</f>
        <v>39969.0502595343</v>
      </c>
      <c r="CH234" s="34" t="n">
        <f aca="false">SUMPRODUCT((Per_Clase="Directo")*Sal_V*INDEX(Dot_V,0,MIN(10,CH$173))*((Per_Mon="PYG")*CH$175+(Per_Mon&lt;&gt;"PYG")))*(CH$171+CH$172*V_PreDir)*INDEX(IdxSal_V,1,MIN(10,CH$173))*(1+V_Cargas)+CH$233*V_Alim*CH$175</f>
        <v>39969.0502595343</v>
      </c>
      <c r="CI234" s="34" t="n">
        <f aca="false">SUMPRODUCT((Per_Clase="Directo")*Sal_V*INDEX(Dot_V,0,MIN(10,CI$173))*((Per_Mon="PYG")*CI$175+(Per_Mon&lt;&gt;"PYG")))*(CI$171+CI$172*V_PreDir)*INDEX(IdxSal_V,1,MIN(10,CI$173))*(1+V_Cargas)+CI$233*V_Alim*CI$175</f>
        <v>39969.0502595343</v>
      </c>
      <c r="CJ234" s="34" t="n">
        <f aca="false">SUMPRODUCT((Per_Clase="Directo")*Sal_V*INDEX(Dot_V,0,MIN(10,CJ$173))*((Per_Mon="PYG")*CJ$175+(Per_Mon&lt;&gt;"PYG")))*(CJ$171+CJ$172*V_PreDir)*INDEX(IdxSal_V,1,MIN(10,CJ$173))*(1+V_Cargas)+CJ$233*V_Alim*CJ$175</f>
        <v>39969.0502595343</v>
      </c>
      <c r="CK234" s="34" t="n">
        <f aca="false">SUMPRODUCT((Per_Clase="Directo")*Sal_V*INDEX(Dot_V,0,MIN(10,CK$173))*((Per_Mon="PYG")*CK$175+(Per_Mon&lt;&gt;"PYG")))*(CK$171+CK$172*V_PreDir)*INDEX(IdxSal_V,1,MIN(10,CK$173))*(1+V_Cargas)+CK$233*V_Alim*CK$175</f>
        <v>39969.0502595343</v>
      </c>
      <c r="CL234" s="34" t="n">
        <f aca="false">SUMPRODUCT((Per_Clase="Directo")*Sal_V*INDEX(Dot_V,0,MIN(10,CL$173))*((Per_Mon="PYG")*CL$175+(Per_Mon&lt;&gt;"PYG")))*(CL$171+CL$172*V_PreDir)*INDEX(IdxSal_V,1,MIN(10,CL$173))*(1+V_Cargas)+CL$233*V_Alim*CL$175</f>
        <v>39969.0502595343</v>
      </c>
      <c r="CM234" s="34" t="n">
        <f aca="false">SUMPRODUCT((Per_Clase="Directo")*Sal_V*INDEX(Dot_V,0,MIN(10,CM$173))*((Per_Mon="PYG")*CM$175+(Per_Mon&lt;&gt;"PYG")))*(CM$171+CM$172*V_PreDir)*INDEX(IdxSal_V,1,MIN(10,CM$173))*(1+V_Cargas)+CM$233*V_Alim*CM$175</f>
        <v>39969.0502595343</v>
      </c>
      <c r="CN234" s="34" t="n">
        <f aca="false">SUMPRODUCT((Per_Clase="Directo")*Sal_V*INDEX(Dot_V,0,MIN(10,CN$173))*((Per_Mon="PYG")*CN$175+(Per_Mon&lt;&gt;"PYG")))*(CN$171+CN$172*V_PreDir)*INDEX(IdxSal_V,1,MIN(10,CN$173))*(1+V_Cargas)+CN$233*V_Alim*CN$175</f>
        <v>39969.0502595343</v>
      </c>
      <c r="CO234" s="34" t="n">
        <f aca="false">SUMPRODUCT((Per_Clase="Directo")*Sal_V*INDEX(Dot_V,0,MIN(10,CO$173))*((Per_Mon="PYG")*CO$175+(Per_Mon&lt;&gt;"PYG")))*(CO$171+CO$172*V_PreDir)*INDEX(IdxSal_V,1,MIN(10,CO$173))*(1+V_Cargas)+CO$233*V_Alim*CO$175</f>
        <v>39969.0502595343</v>
      </c>
      <c r="CP234" s="34" t="n">
        <f aca="false">SUMPRODUCT((Per_Clase="Directo")*Sal_V*INDEX(Dot_V,0,MIN(10,CP$173))*((Per_Mon="PYG")*CP$175+(Per_Mon&lt;&gt;"PYG")))*(CP$171+CP$172*V_PreDir)*INDEX(IdxSal_V,1,MIN(10,CP$173))*(1+V_Cargas)+CP$233*V_Alim*CP$175</f>
        <v>39969.0502595343</v>
      </c>
      <c r="CQ234" s="34" t="n">
        <f aca="false">SUMPRODUCT((Per_Clase="Directo")*Sal_V*INDEX(Dot_V,0,MIN(10,CQ$173))*((Per_Mon="PYG")*CQ$175+(Per_Mon&lt;&gt;"PYG")))*(CQ$171+CQ$172*V_PreDir)*INDEX(IdxSal_V,1,MIN(10,CQ$173))*(1+V_Cargas)+CQ$233*V_Alim*CQ$175</f>
        <v>39969.0502595343</v>
      </c>
      <c r="CR234" s="34" t="n">
        <f aca="false">SUMPRODUCT((Per_Clase="Directo")*Sal_V*INDEX(Dot_V,0,MIN(10,CR$173))*((Per_Mon="PYG")*CR$175+(Per_Mon&lt;&gt;"PYG")))*(CR$171+CR$172*V_PreDir)*INDEX(IdxSal_V,1,MIN(10,CR$173))*(1+V_Cargas)+CR$233*V_Alim*CR$175</f>
        <v>39969.0502595343</v>
      </c>
      <c r="CS234" s="34" t="n">
        <f aca="false">SUMPRODUCT((Per_Clase="Directo")*Sal_V*INDEX(Dot_V,0,MIN(10,CS$173))*((Per_Mon="PYG")*CS$175+(Per_Mon&lt;&gt;"PYG")))*(CS$171+CS$172*V_PreDir)*INDEX(IdxSal_V,1,MIN(10,CS$173))*(1+V_Cargas)+CS$233*V_Alim*CS$175</f>
        <v>39969.0502595343</v>
      </c>
      <c r="CT234" s="34" t="n">
        <f aca="false">SUMPRODUCT((Per_Clase="Directo")*Sal_V*INDEX(Dot_V,0,MIN(10,CT$173))*((Per_Mon="PYG")*CT$175+(Per_Mon&lt;&gt;"PYG")))*(CT$171+CT$172*V_PreDir)*INDEX(IdxSal_V,1,MIN(10,CT$173))*(1+V_Cargas)+CT$233*V_Alim*CT$175</f>
        <v>39969.0502595343</v>
      </c>
      <c r="CU234" s="34" t="n">
        <f aca="false">SUMPRODUCT((Per_Clase="Directo")*Sal_V*INDEX(Dot_V,0,MIN(10,CU$173))*((Per_Mon="PYG")*CU$175+(Per_Mon&lt;&gt;"PYG")))*(CU$171+CU$172*V_PreDir)*INDEX(IdxSal_V,1,MIN(10,CU$173))*(1+V_Cargas)+CU$233*V_Alim*CU$175</f>
        <v>39969.0502595343</v>
      </c>
      <c r="CV234" s="34" t="n">
        <f aca="false">SUMPRODUCT((Per_Clase="Directo")*Sal_V*INDEX(Dot_V,0,MIN(10,CV$173))*((Per_Mon="PYG")*CV$175+(Per_Mon&lt;&gt;"PYG")))*(CV$171+CV$172*V_PreDir)*INDEX(IdxSal_V,1,MIN(10,CV$173))*(1+V_Cargas)+CV$233*V_Alim*CV$175</f>
        <v>39969.0502595343</v>
      </c>
      <c r="CW234" s="34" t="n">
        <f aca="false">SUMPRODUCT((Per_Clase="Directo")*Sal_V*INDEX(Dot_V,0,MIN(10,CW$173))*((Per_Mon="PYG")*CW$175+(Per_Mon&lt;&gt;"PYG")))*(CW$171+CW$172*V_PreDir)*INDEX(IdxSal_V,1,MIN(10,CW$173))*(1+V_Cargas)+CW$233*V_Alim*CW$175</f>
        <v>39969.0502595343</v>
      </c>
      <c r="CX234" s="34" t="n">
        <f aca="false">SUMPRODUCT((Per_Clase="Directo")*Sal_V*INDEX(Dot_V,0,MIN(10,CX$173))*((Per_Mon="PYG")*CX$175+(Per_Mon&lt;&gt;"PYG")))*(CX$171+CX$172*V_PreDir)*INDEX(IdxSal_V,1,MIN(10,CX$173))*(1+V_Cargas)+CX$233*V_Alim*CX$175</f>
        <v>39969.0502595343</v>
      </c>
      <c r="CY234" s="34" t="n">
        <f aca="false">SUMPRODUCT((Per_Clase="Directo")*Sal_V*INDEX(Dot_V,0,MIN(10,CY$173))*((Per_Mon="PYG")*CY$175+(Per_Mon&lt;&gt;"PYG")))*(CY$171+CY$172*V_PreDir)*INDEX(IdxSal_V,1,MIN(10,CY$173))*(1+V_Cargas)+CY$233*V_Alim*CY$175</f>
        <v>39969.0502595343</v>
      </c>
      <c r="CZ234" s="34" t="n">
        <f aca="false">SUMPRODUCT((Per_Clase="Directo")*Sal_V*INDEX(Dot_V,0,MIN(10,CZ$173))*((Per_Mon="PYG")*CZ$175+(Per_Mon&lt;&gt;"PYG")))*(CZ$171+CZ$172*V_PreDir)*INDEX(IdxSal_V,1,MIN(10,CZ$173))*(1+V_Cargas)+CZ$233*V_Alim*CZ$175</f>
        <v>39969.0502595343</v>
      </c>
      <c r="DA234" s="34" t="n">
        <f aca="false">SUMPRODUCT((Per_Clase="Directo")*Sal_V*INDEX(Dot_V,0,MIN(10,DA$173))*((Per_Mon="PYG")*DA$175+(Per_Mon&lt;&gt;"PYG")))*(DA$171+DA$172*V_PreDir)*INDEX(IdxSal_V,1,MIN(10,DA$173))*(1+V_Cargas)+DA$233*V_Alim*DA$175</f>
        <v>39969.0502595343</v>
      </c>
      <c r="DB234" s="34" t="n">
        <f aca="false">SUMPRODUCT((Per_Clase="Directo")*Sal_V*INDEX(Dot_V,0,MIN(10,DB$173))*((Per_Mon="PYG")*DB$175+(Per_Mon&lt;&gt;"PYG")))*(DB$171+DB$172*V_PreDir)*INDEX(IdxSal_V,1,MIN(10,DB$173))*(1+V_Cargas)+DB$233*V_Alim*DB$175</f>
        <v>39969.0502595343</v>
      </c>
      <c r="DC234" s="34" t="n">
        <f aca="false">SUMPRODUCT((Per_Clase="Directo")*Sal_V*INDEX(Dot_V,0,MIN(10,DC$173))*((Per_Mon="PYG")*DC$175+(Per_Mon&lt;&gt;"PYG")))*(DC$171+DC$172*V_PreDir)*INDEX(IdxSal_V,1,MIN(10,DC$173))*(1+V_Cargas)+DC$233*V_Alim*DC$175</f>
        <v>39969.0502595343</v>
      </c>
      <c r="DD234" s="34" t="n">
        <f aca="false">SUMPRODUCT((Per_Clase="Directo")*Sal_V*INDEX(Dot_V,0,MIN(10,DD$173))*((Per_Mon="PYG")*DD$175+(Per_Mon&lt;&gt;"PYG")))*(DD$171+DD$172*V_PreDir)*INDEX(IdxSal_V,1,MIN(10,DD$173))*(1+V_Cargas)+DD$233*V_Alim*DD$175</f>
        <v>39969.0502595343</v>
      </c>
      <c r="DE234" s="34" t="n">
        <f aca="false">SUMPRODUCT((Per_Clase="Directo")*Sal_V*INDEX(Dot_V,0,MIN(10,DE$173))*((Per_Mon="PYG")*DE$175+(Per_Mon&lt;&gt;"PYG")))*(DE$171+DE$172*V_PreDir)*INDEX(IdxSal_V,1,MIN(10,DE$173))*(1+V_Cargas)+DE$233*V_Alim*DE$175</f>
        <v>39969.0502595343</v>
      </c>
      <c r="DF234" s="34" t="n">
        <f aca="false">SUMPRODUCT((Per_Clase="Directo")*Sal_V*INDEX(Dot_V,0,MIN(10,DF$173))*((Per_Mon="PYG")*DF$175+(Per_Mon&lt;&gt;"PYG")))*(DF$171+DF$172*V_PreDir)*INDEX(IdxSal_V,1,MIN(10,DF$173))*(1+V_Cargas)+DF$233*V_Alim*DF$175</f>
        <v>39969.0502595343</v>
      </c>
      <c r="DG234" s="34" t="n">
        <f aca="false">SUMPRODUCT((Per_Clase="Directo")*Sal_V*INDEX(Dot_V,0,MIN(10,DG$173))*((Per_Mon="PYG")*DG$175+(Per_Mon&lt;&gt;"PYG")))*(DG$171+DG$172*V_PreDir)*INDEX(IdxSal_V,1,MIN(10,DG$173))*(1+V_Cargas)+DG$233*V_Alim*DG$175</f>
        <v>39969.0502595343</v>
      </c>
      <c r="DH234" s="34" t="n">
        <f aca="false">SUMPRODUCT((Per_Clase="Directo")*Sal_V*INDEX(Dot_V,0,MIN(10,DH$173))*((Per_Mon="PYG")*DH$175+(Per_Mon&lt;&gt;"PYG")))*(DH$171+DH$172*V_PreDir)*INDEX(IdxSal_V,1,MIN(10,DH$173))*(1+V_Cargas)+DH$233*V_Alim*DH$175</f>
        <v>39969.0502595343</v>
      </c>
      <c r="DI234" s="34" t="n">
        <f aca="false">SUMPRODUCT((Per_Clase="Directo")*Sal_V*INDEX(Dot_V,0,MIN(10,DI$173))*((Per_Mon="PYG")*DI$175+(Per_Mon&lt;&gt;"PYG")))*(DI$171+DI$172*V_PreDir)*INDEX(IdxSal_V,1,MIN(10,DI$173))*(1+V_Cargas)+DI$233*V_Alim*DI$175</f>
        <v>39969.0502595343</v>
      </c>
      <c r="DJ234" s="34" t="n">
        <f aca="false">SUMPRODUCT((Per_Clase="Directo")*Sal_V*INDEX(Dot_V,0,MIN(10,DJ$173))*((Per_Mon="PYG")*DJ$175+(Per_Mon&lt;&gt;"PYG")))*(DJ$171+DJ$172*V_PreDir)*INDEX(IdxSal_V,1,MIN(10,DJ$173))*(1+V_Cargas)+DJ$233*V_Alim*DJ$175</f>
        <v>39969.0502595343</v>
      </c>
      <c r="DK234" s="34" t="n">
        <f aca="false">SUMPRODUCT((Per_Clase="Directo")*Sal_V*INDEX(Dot_V,0,MIN(10,DK$173))*((Per_Mon="PYG")*DK$175+(Per_Mon&lt;&gt;"PYG")))*(DK$171+DK$172*V_PreDir)*INDEX(IdxSal_V,1,MIN(10,DK$173))*(1+V_Cargas)+DK$233*V_Alim*DK$175</f>
        <v>39969.0502595343</v>
      </c>
      <c r="DL234" s="34" t="n">
        <f aca="false">SUMPRODUCT((Per_Clase="Directo")*Sal_V*INDEX(Dot_V,0,MIN(10,DL$173))*((Per_Mon="PYG")*DL$175+(Per_Mon&lt;&gt;"PYG")))*(DL$171+DL$172*V_PreDir)*INDEX(IdxSal_V,1,MIN(10,DL$173))*(1+V_Cargas)+DL$233*V_Alim*DL$175</f>
        <v>39969.0502595343</v>
      </c>
      <c r="DM234" s="34" t="n">
        <f aca="false">SUMPRODUCT((Per_Clase="Directo")*Sal_V*INDEX(Dot_V,0,MIN(10,DM$173))*((Per_Mon="PYG")*DM$175+(Per_Mon&lt;&gt;"PYG")))*(DM$171+DM$172*V_PreDir)*INDEX(IdxSal_V,1,MIN(10,DM$173))*(1+V_Cargas)+DM$233*V_Alim*DM$175</f>
        <v>39969.0502595343</v>
      </c>
      <c r="DN234" s="34" t="n">
        <f aca="false">SUMPRODUCT((Per_Clase="Directo")*Sal_V*INDEX(Dot_V,0,MIN(10,DN$173))*((Per_Mon="PYG")*DN$175+(Per_Mon&lt;&gt;"PYG")))*(DN$171+DN$172*V_PreDir)*INDEX(IdxSal_V,1,MIN(10,DN$173))*(1+V_Cargas)+DN$233*V_Alim*DN$175</f>
        <v>39969.0502595343</v>
      </c>
      <c r="DO234" s="34" t="n">
        <f aca="false">SUMPRODUCT((Per_Clase="Directo")*Sal_V*INDEX(Dot_V,0,MIN(10,DO$173))*((Per_Mon="PYG")*DO$175+(Per_Mon&lt;&gt;"PYG")))*(DO$171+DO$172*V_PreDir)*INDEX(IdxSal_V,1,MIN(10,DO$173))*(1+V_Cargas)+DO$233*V_Alim*DO$175</f>
        <v>39969.0502595343</v>
      </c>
      <c r="DP234" s="34" t="n">
        <f aca="false">SUMPRODUCT((Per_Clase="Directo")*Sal_V*INDEX(Dot_V,0,MIN(10,DP$173))*((Per_Mon="PYG")*DP$175+(Per_Mon&lt;&gt;"PYG")))*(DP$171+DP$172*V_PreDir)*INDEX(IdxSal_V,1,MIN(10,DP$173))*(1+V_Cargas)+DP$233*V_Alim*DP$175</f>
        <v>39969.0502595343</v>
      </c>
      <c r="DQ234" s="34" t="n">
        <f aca="false">SUMPRODUCT((Per_Clase="Directo")*Sal_V*INDEX(Dot_V,0,MIN(10,DQ$173))*((Per_Mon="PYG")*DQ$175+(Per_Mon&lt;&gt;"PYG")))*(DQ$171+DQ$172*V_PreDir)*INDEX(IdxSal_V,1,MIN(10,DQ$173))*(1+V_Cargas)+DQ$233*V_Alim*DQ$175</f>
        <v>39969.0502595343</v>
      </c>
      <c r="DR234" s="34" t="n">
        <f aca="false">SUMPRODUCT((Per_Clase="Directo")*Sal_V*INDEX(Dot_V,0,MIN(10,DR$173))*((Per_Mon="PYG")*DR$175+(Per_Mon&lt;&gt;"PYG")))*(DR$171+DR$172*V_PreDir)*INDEX(IdxSal_V,1,MIN(10,DR$173))*(1+V_Cargas)+DR$233*V_Alim*DR$175</f>
        <v>39969.0502595343</v>
      </c>
      <c r="DS234" s="34" t="n">
        <f aca="false">SUMPRODUCT((Per_Clase="Directo")*Sal_V*INDEX(Dot_V,0,MIN(10,DS$173))*((Per_Mon="PYG")*DS$175+(Per_Mon&lt;&gt;"PYG")))*(DS$171+DS$172*V_PreDir)*INDEX(IdxSal_V,1,MIN(10,DS$173))*(1+V_Cargas)+DS$233*V_Alim*DS$175</f>
        <v>39969.0502595343</v>
      </c>
      <c r="DT234" s="34" t="n">
        <f aca="false">SUMPRODUCT((Per_Clase="Directo")*Sal_V*INDEX(Dot_V,0,MIN(10,DT$173))*((Per_Mon="PYG")*DT$175+(Per_Mon&lt;&gt;"PYG")))*(DT$171+DT$172*V_PreDir)*INDEX(IdxSal_V,1,MIN(10,DT$173))*(1+V_Cargas)+DT$233*V_Alim*DT$175</f>
        <v>39969.0502595343</v>
      </c>
      <c r="DU234" s="34" t="n">
        <f aca="false">SUMPRODUCT((Per_Clase="Directo")*Sal_V*INDEX(Dot_V,0,MIN(10,DU$173))*((Per_Mon="PYG")*DU$175+(Per_Mon&lt;&gt;"PYG")))*(DU$171+DU$172*V_PreDir)*INDEX(IdxSal_V,1,MIN(10,DU$173))*(1+V_Cargas)+DU$233*V_Alim*DU$175</f>
        <v>39969.0502595343</v>
      </c>
      <c r="DV234" s="34" t="n">
        <f aca="false">SUMPRODUCT((Per_Clase="Directo")*Sal_V*INDEX(Dot_V,0,MIN(10,DV$173))*((Per_Mon="PYG")*DV$175+(Per_Mon&lt;&gt;"PYG")))*(DV$171+DV$172*V_PreDir)*INDEX(IdxSal_V,1,MIN(10,DV$173))*(1+V_Cargas)+DV$233*V_Alim*DV$175</f>
        <v>0</v>
      </c>
      <c r="DW234" s="34" t="n">
        <f aca="false">SUMPRODUCT((Per_Clase="Directo")*Sal_V*INDEX(Dot_V,0,MIN(10,DW$173))*((Per_Mon="PYG")*DW$175+(Per_Mon&lt;&gt;"PYG")))*(DW$171+DW$172*V_PreDir)*INDEX(IdxSal_V,1,MIN(10,DW$173))*(1+V_Cargas)+DW$233*V_Alim*DW$175</f>
        <v>0</v>
      </c>
      <c r="DX234" s="34" t="n">
        <f aca="false">SUMPRODUCT((Per_Clase="Directo")*Sal_V*INDEX(Dot_V,0,MIN(10,DX$173))*((Per_Mon="PYG")*DX$175+(Per_Mon&lt;&gt;"PYG")))*(DX$171+DX$172*V_PreDir)*INDEX(IdxSal_V,1,MIN(10,DX$173))*(1+V_Cargas)+DX$233*V_Alim*DX$175</f>
        <v>0</v>
      </c>
      <c r="DY234" s="34" t="n">
        <f aca="false">SUMPRODUCT((Per_Clase="Directo")*Sal_V*INDEX(Dot_V,0,MIN(10,DY$173))*((Per_Mon="PYG")*DY$175+(Per_Mon&lt;&gt;"PYG")))*(DY$171+DY$172*V_PreDir)*INDEX(IdxSal_V,1,MIN(10,DY$173))*(1+V_Cargas)+DY$233*V_Alim*DY$175</f>
        <v>0</v>
      </c>
      <c r="DZ234" s="34" t="n">
        <f aca="false">SUMPRODUCT((Per_Clase="Directo")*Sal_V*INDEX(Dot_V,0,MIN(10,DZ$173))*((Per_Mon="PYG")*DZ$175+(Per_Mon&lt;&gt;"PYG")))*(DZ$171+DZ$172*V_PreDir)*INDEX(IdxSal_V,1,MIN(10,DZ$173))*(1+V_Cargas)+DZ$233*V_Alim*DZ$175</f>
        <v>0</v>
      </c>
      <c r="EA234" s="34" t="n">
        <f aca="false">SUMPRODUCT((Per_Clase="Directo")*Sal_V*INDEX(Dot_V,0,MIN(10,EA$173))*((Per_Mon="PYG")*EA$175+(Per_Mon&lt;&gt;"PYG")))*(EA$171+EA$172*V_PreDir)*INDEX(IdxSal_V,1,MIN(10,EA$173))*(1+V_Cargas)+EA$233*V_Alim*EA$175</f>
        <v>0</v>
      </c>
      <c r="EB234" s="34" t="n">
        <f aca="false">SUMPRODUCT((Per_Clase="Directo")*Sal_V*INDEX(Dot_V,0,MIN(10,EB$173))*((Per_Mon="PYG")*EB$175+(Per_Mon&lt;&gt;"PYG")))*(EB$171+EB$172*V_PreDir)*INDEX(IdxSal_V,1,MIN(10,EB$173))*(1+V_Cargas)+EB$233*V_Alim*EB$175</f>
        <v>0</v>
      </c>
      <c r="EC234" s="34" t="n">
        <f aca="false">SUMPRODUCT((Per_Clase="Directo")*Sal_V*INDEX(Dot_V,0,MIN(10,EC$173))*((Per_Mon="PYG")*EC$175+(Per_Mon&lt;&gt;"PYG")))*(EC$171+EC$172*V_PreDir)*INDEX(IdxSal_V,1,MIN(10,EC$173))*(1+V_Cargas)+EC$233*V_Alim*EC$175</f>
        <v>0</v>
      </c>
      <c r="ED234" s="34" t="n">
        <f aca="false">SUMPRODUCT((Per_Clase="Directo")*Sal_V*INDEX(Dot_V,0,MIN(10,ED$173))*((Per_Mon="PYG")*ED$175+(Per_Mon&lt;&gt;"PYG")))*(ED$171+ED$172*V_PreDir)*INDEX(IdxSal_V,1,MIN(10,ED$173))*(1+V_Cargas)+ED$233*V_Alim*ED$175</f>
        <v>0</v>
      </c>
      <c r="EE234" s="34" t="n">
        <f aca="false">SUMPRODUCT((Per_Clase="Directo")*Sal_V*INDEX(Dot_V,0,MIN(10,EE$173))*((Per_Mon="PYG")*EE$175+(Per_Mon&lt;&gt;"PYG")))*(EE$171+EE$172*V_PreDir)*INDEX(IdxSal_V,1,MIN(10,EE$173))*(1+V_Cargas)+EE$233*V_Alim*EE$175</f>
        <v>0</v>
      </c>
      <c r="EF234" s="34" t="n">
        <f aca="false">SUMPRODUCT((Per_Clase="Directo")*Sal_V*INDEX(Dot_V,0,MIN(10,EF$173))*((Per_Mon="PYG")*EF$175+(Per_Mon&lt;&gt;"PYG")))*(EF$171+EF$172*V_PreDir)*INDEX(IdxSal_V,1,MIN(10,EF$173))*(1+V_Cargas)+EF$233*V_Alim*EF$175</f>
        <v>0</v>
      </c>
      <c r="EG234" s="34" t="n">
        <f aca="false">SUMPRODUCT((Per_Clase="Directo")*Sal_V*INDEX(Dot_V,0,MIN(10,EG$173))*((Per_Mon="PYG")*EG$175+(Per_Mon&lt;&gt;"PYG")))*(EG$171+EG$172*V_PreDir)*INDEX(IdxSal_V,1,MIN(10,EG$173))*(1+V_Cargas)+EG$233*V_Alim*EG$175</f>
        <v>0</v>
      </c>
      <c r="EH234" s="34" t="n">
        <f aca="false">SUMPRODUCT((Per_Clase="Directo")*Sal_V*INDEX(Dot_V,0,MIN(10,EH$173))*((Per_Mon="PYG")*EH$175+(Per_Mon&lt;&gt;"PYG")))*(EH$171+EH$172*V_PreDir)*INDEX(IdxSal_V,1,MIN(10,EH$173))*(1+V_Cargas)+EH$233*V_Alim*EH$175</f>
        <v>0</v>
      </c>
      <c r="EI234" s="34" t="n">
        <f aca="false">SUMPRODUCT((Per_Clase="Directo")*Sal_V*INDEX(Dot_V,0,MIN(10,EI$173))*((Per_Mon="PYG")*EI$175+(Per_Mon&lt;&gt;"PYG")))*(EI$171+EI$172*V_PreDir)*INDEX(IdxSal_V,1,MIN(10,EI$173))*(1+V_Cargas)+EI$233*V_Alim*EI$175</f>
        <v>0</v>
      </c>
      <c r="EJ234" s="34" t="n">
        <f aca="false">SUMPRODUCT((Per_Clase="Directo")*Sal_V*INDEX(Dot_V,0,MIN(10,EJ$173))*((Per_Mon="PYG")*EJ$175+(Per_Mon&lt;&gt;"PYG")))*(EJ$171+EJ$172*V_PreDir)*INDEX(IdxSal_V,1,MIN(10,EJ$173))*(1+V_Cargas)+EJ$233*V_Alim*EJ$175</f>
        <v>0</v>
      </c>
      <c r="EK234" s="34" t="n">
        <f aca="false">SUMPRODUCT((Per_Clase="Directo")*Sal_V*INDEX(Dot_V,0,MIN(10,EK$173))*((Per_Mon="PYG")*EK$175+(Per_Mon&lt;&gt;"PYG")))*(EK$171+EK$172*V_PreDir)*INDEX(IdxSal_V,1,MIN(10,EK$173))*(1+V_Cargas)+EK$233*V_Alim*EK$175</f>
        <v>0</v>
      </c>
      <c r="EL234" s="34" t="n">
        <f aca="false">SUMPRODUCT((Per_Clase="Directo")*Sal_V*INDEX(Dot_V,0,MIN(10,EL$173))*((Per_Mon="PYG")*EL$175+(Per_Mon&lt;&gt;"PYG")))*(EL$171+EL$172*V_PreDir)*INDEX(IdxSal_V,1,MIN(10,EL$173))*(1+V_Cargas)+EL$233*V_Alim*EL$175</f>
        <v>0</v>
      </c>
      <c r="EM234" s="34" t="n">
        <f aca="false">SUMPRODUCT((Per_Clase="Directo")*Sal_V*INDEX(Dot_V,0,MIN(10,EM$173))*((Per_Mon="PYG")*EM$175+(Per_Mon&lt;&gt;"PYG")))*(EM$171+EM$172*V_PreDir)*INDEX(IdxSal_V,1,MIN(10,EM$173))*(1+V_Cargas)+EM$233*V_Alim*EM$175</f>
        <v>0</v>
      </c>
      <c r="EN234" s="34" t="n">
        <f aca="false">SUMPRODUCT((Per_Clase="Directo")*Sal_V*INDEX(Dot_V,0,MIN(10,EN$173))*((Per_Mon="PYG")*EN$175+(Per_Mon&lt;&gt;"PYG")))*(EN$171+EN$172*V_PreDir)*INDEX(IdxSal_V,1,MIN(10,EN$173))*(1+V_Cargas)+EN$233*V_Alim*EN$175</f>
        <v>0</v>
      </c>
      <c r="EO234" s="34" t="n">
        <f aca="false">SUMPRODUCT((Per_Clase="Directo")*Sal_V*INDEX(Dot_V,0,MIN(10,EO$173))*((Per_Mon="PYG")*EO$175+(Per_Mon&lt;&gt;"PYG")))*(EO$171+EO$172*V_PreDir)*INDEX(IdxSal_V,1,MIN(10,EO$173))*(1+V_Cargas)+EO$233*V_Alim*EO$175</f>
        <v>0</v>
      </c>
      <c r="EP234" s="34" t="n">
        <f aca="false">SUMPRODUCT((Per_Clase="Directo")*Sal_V*INDEX(Dot_V,0,MIN(10,EP$173))*((Per_Mon="PYG")*EP$175+(Per_Mon&lt;&gt;"PYG")))*(EP$171+EP$172*V_PreDir)*INDEX(IdxSal_V,1,MIN(10,EP$173))*(1+V_Cargas)+EP$233*V_Alim*EP$175</f>
        <v>0</v>
      </c>
      <c r="EQ234" s="34" t="n">
        <f aca="false">SUMPRODUCT((Per_Clase="Directo")*Sal_V*INDEX(Dot_V,0,MIN(10,EQ$173))*((Per_Mon="PYG")*EQ$175+(Per_Mon&lt;&gt;"PYG")))*(EQ$171+EQ$172*V_PreDir)*INDEX(IdxSal_V,1,MIN(10,EQ$173))*(1+V_Cargas)+EQ$233*V_Alim*EQ$175</f>
        <v>0</v>
      </c>
      <c r="ER234" s="34" t="n">
        <f aca="false">SUMPRODUCT((Per_Clase="Directo")*Sal_V*INDEX(Dot_V,0,MIN(10,ER$173))*((Per_Mon="PYG")*ER$175+(Per_Mon&lt;&gt;"PYG")))*(ER$171+ER$172*V_PreDir)*INDEX(IdxSal_V,1,MIN(10,ER$173))*(1+V_Cargas)+ER$233*V_Alim*ER$175</f>
        <v>0</v>
      </c>
      <c r="ES234" s="34" t="n">
        <f aca="false">SUMPRODUCT((Per_Clase="Directo")*Sal_V*INDEX(Dot_V,0,MIN(10,ES$173))*((Per_Mon="PYG")*ES$175+(Per_Mon&lt;&gt;"PYG")))*(ES$171+ES$172*V_PreDir)*INDEX(IdxSal_V,1,MIN(10,ES$173))*(1+V_Cargas)+ES$233*V_Alim*ES$175</f>
        <v>0</v>
      </c>
    </row>
    <row r="235" customFormat="false" ht="15" hidden="false" customHeight="false" outlineLevel="0" collapsed="false">
      <c r="A235" s="2" t="s">
        <v>876</v>
      </c>
      <c r="B235" s="6" t="s">
        <v>651</v>
      </c>
      <c r="C235" s="6" t="s">
        <v>647</v>
      </c>
      <c r="F235" s="36" t="n">
        <f aca="false">SUMPRODUCT((Per_Clase="Indirecto")*INDEX(Dot_V,0,MIN(10,F$173)))*(F$171+F$172*V_PreInd)</f>
        <v>17</v>
      </c>
      <c r="G235" s="36" t="n">
        <f aca="false">SUMPRODUCT((Per_Clase="Indirecto")*INDEX(Dot_V,0,MIN(10,G$173)))*(G$171+G$172*V_PreInd)</f>
        <v>17</v>
      </c>
      <c r="H235" s="36" t="n">
        <f aca="false">SUMPRODUCT((Per_Clase="Indirecto")*INDEX(Dot_V,0,MIN(10,H$173)))*(H$171+H$172*V_PreInd)</f>
        <v>17</v>
      </c>
      <c r="I235" s="36" t="n">
        <f aca="false">SUMPRODUCT((Per_Clase="Indirecto")*INDEX(Dot_V,0,MIN(10,I$173)))*(I$171+I$172*V_PreInd)</f>
        <v>17</v>
      </c>
      <c r="J235" s="36" t="n">
        <f aca="false">SUMPRODUCT((Per_Clase="Indirecto")*INDEX(Dot_V,0,MIN(10,J$173)))*(J$171+J$172*V_PreInd)</f>
        <v>17</v>
      </c>
      <c r="K235" s="36" t="n">
        <f aca="false">SUMPRODUCT((Per_Clase="Indirecto")*INDEX(Dot_V,0,MIN(10,K$173)))*(K$171+K$172*V_PreInd)</f>
        <v>17</v>
      </c>
      <c r="L235" s="36" t="n">
        <f aca="false">SUMPRODUCT((Per_Clase="Indirecto")*INDEX(Dot_V,0,MIN(10,L$173)))*(L$171+L$172*V_PreInd)</f>
        <v>17</v>
      </c>
      <c r="M235" s="36" t="n">
        <f aca="false">SUMPRODUCT((Per_Clase="Indirecto")*INDEX(Dot_V,0,MIN(10,M$173)))*(M$171+M$172*V_PreInd)</f>
        <v>17</v>
      </c>
      <c r="N235" s="36" t="n">
        <f aca="false">SUMPRODUCT((Per_Clase="Indirecto")*INDEX(Dot_V,0,MIN(10,N$173)))*(N$171+N$172*V_PreInd)</f>
        <v>17</v>
      </c>
      <c r="O235" s="36" t="n">
        <f aca="false">SUMPRODUCT((Per_Clase="Indirecto")*INDEX(Dot_V,0,MIN(10,O$173)))*(O$171+O$172*V_PreInd)</f>
        <v>17</v>
      </c>
      <c r="P235" s="36" t="n">
        <f aca="false">SUMPRODUCT((Per_Clase="Indirecto")*INDEX(Dot_V,0,MIN(10,P$173)))*(P$171+P$172*V_PreInd)</f>
        <v>17</v>
      </c>
      <c r="Q235" s="36" t="n">
        <f aca="false">SUMPRODUCT((Per_Clase="Indirecto")*INDEX(Dot_V,0,MIN(10,Q$173)))*(Q$171+Q$172*V_PreInd)</f>
        <v>17</v>
      </c>
      <c r="R235" s="36" t="n">
        <f aca="false">SUMPRODUCT((Per_Clase="Indirecto")*INDEX(Dot_V,0,MIN(10,R$173)))*(R$171+R$172*V_PreInd)</f>
        <v>17</v>
      </c>
      <c r="S235" s="36" t="n">
        <f aca="false">SUMPRODUCT((Per_Clase="Indirecto")*INDEX(Dot_V,0,MIN(10,S$173)))*(S$171+S$172*V_PreInd)</f>
        <v>17</v>
      </c>
      <c r="T235" s="36" t="n">
        <f aca="false">SUMPRODUCT((Per_Clase="Indirecto")*INDEX(Dot_V,0,MIN(10,T$173)))*(T$171+T$172*V_PreInd)</f>
        <v>17</v>
      </c>
      <c r="U235" s="36" t="n">
        <f aca="false">SUMPRODUCT((Per_Clase="Indirecto")*INDEX(Dot_V,0,MIN(10,U$173)))*(U$171+U$172*V_PreInd)</f>
        <v>17</v>
      </c>
      <c r="V235" s="36" t="n">
        <f aca="false">SUMPRODUCT((Per_Clase="Indirecto")*INDEX(Dot_V,0,MIN(10,V$173)))*(V$171+V$172*V_PreInd)</f>
        <v>17</v>
      </c>
      <c r="W235" s="36" t="n">
        <f aca="false">SUMPRODUCT((Per_Clase="Indirecto")*INDEX(Dot_V,0,MIN(10,W$173)))*(W$171+W$172*V_PreInd)</f>
        <v>17</v>
      </c>
      <c r="X235" s="36" t="n">
        <f aca="false">SUMPRODUCT((Per_Clase="Indirecto")*INDEX(Dot_V,0,MIN(10,X$173)))*(X$171+X$172*V_PreInd)</f>
        <v>17</v>
      </c>
      <c r="Y235" s="36" t="n">
        <f aca="false">SUMPRODUCT((Per_Clase="Indirecto")*INDEX(Dot_V,0,MIN(10,Y$173)))*(Y$171+Y$172*V_PreInd)</f>
        <v>17</v>
      </c>
      <c r="Z235" s="36" t="n">
        <f aca="false">SUMPRODUCT((Per_Clase="Indirecto")*INDEX(Dot_V,0,MIN(10,Z$173)))*(Z$171+Z$172*V_PreInd)</f>
        <v>17</v>
      </c>
      <c r="AA235" s="36" t="n">
        <f aca="false">SUMPRODUCT((Per_Clase="Indirecto")*INDEX(Dot_V,0,MIN(10,AA$173)))*(AA$171+AA$172*V_PreInd)</f>
        <v>17</v>
      </c>
      <c r="AB235" s="36" t="n">
        <f aca="false">SUMPRODUCT((Per_Clase="Indirecto")*INDEX(Dot_V,0,MIN(10,AB$173)))*(AB$171+AB$172*V_PreInd)</f>
        <v>17</v>
      </c>
      <c r="AC235" s="36" t="n">
        <f aca="false">SUMPRODUCT((Per_Clase="Indirecto")*INDEX(Dot_V,0,MIN(10,AC$173)))*(AC$171+AC$172*V_PreInd)</f>
        <v>17</v>
      </c>
      <c r="AD235" s="36" t="n">
        <f aca="false">SUMPRODUCT((Per_Clase="Indirecto")*INDEX(Dot_V,0,MIN(10,AD$173)))*(AD$171+AD$172*V_PreInd)</f>
        <v>17</v>
      </c>
      <c r="AE235" s="36" t="n">
        <f aca="false">SUMPRODUCT((Per_Clase="Indirecto")*INDEX(Dot_V,0,MIN(10,AE$173)))*(AE$171+AE$172*V_PreInd)</f>
        <v>17</v>
      </c>
      <c r="AF235" s="36" t="n">
        <f aca="false">SUMPRODUCT((Per_Clase="Indirecto")*INDEX(Dot_V,0,MIN(10,AF$173)))*(AF$171+AF$172*V_PreInd)</f>
        <v>17</v>
      </c>
      <c r="AG235" s="36" t="n">
        <f aca="false">SUMPRODUCT((Per_Clase="Indirecto")*INDEX(Dot_V,0,MIN(10,AG$173)))*(AG$171+AG$172*V_PreInd)</f>
        <v>17</v>
      </c>
      <c r="AH235" s="36" t="n">
        <f aca="false">SUMPRODUCT((Per_Clase="Indirecto")*INDEX(Dot_V,0,MIN(10,AH$173)))*(AH$171+AH$172*V_PreInd)</f>
        <v>17</v>
      </c>
      <c r="AI235" s="36" t="n">
        <f aca="false">SUMPRODUCT((Per_Clase="Indirecto")*INDEX(Dot_V,0,MIN(10,AI$173)))*(AI$171+AI$172*V_PreInd)</f>
        <v>17</v>
      </c>
      <c r="AJ235" s="36" t="n">
        <f aca="false">SUMPRODUCT((Per_Clase="Indirecto")*INDEX(Dot_V,0,MIN(10,AJ$173)))*(AJ$171+AJ$172*V_PreInd)</f>
        <v>17</v>
      </c>
      <c r="AK235" s="36" t="n">
        <f aca="false">SUMPRODUCT((Per_Clase="Indirecto")*INDEX(Dot_V,0,MIN(10,AK$173)))*(AK$171+AK$172*V_PreInd)</f>
        <v>17</v>
      </c>
      <c r="AL235" s="36" t="n">
        <f aca="false">SUMPRODUCT((Per_Clase="Indirecto")*INDEX(Dot_V,0,MIN(10,AL$173)))*(AL$171+AL$172*V_PreInd)</f>
        <v>17</v>
      </c>
      <c r="AM235" s="36" t="n">
        <f aca="false">SUMPRODUCT((Per_Clase="Indirecto")*INDEX(Dot_V,0,MIN(10,AM$173)))*(AM$171+AM$172*V_PreInd)</f>
        <v>17</v>
      </c>
      <c r="AN235" s="36" t="n">
        <f aca="false">SUMPRODUCT((Per_Clase="Indirecto")*INDEX(Dot_V,0,MIN(10,AN$173)))*(AN$171+AN$172*V_PreInd)</f>
        <v>17</v>
      </c>
      <c r="AO235" s="36" t="n">
        <f aca="false">SUMPRODUCT((Per_Clase="Indirecto")*INDEX(Dot_V,0,MIN(10,AO$173)))*(AO$171+AO$172*V_PreInd)</f>
        <v>17</v>
      </c>
      <c r="AP235" s="36" t="n">
        <f aca="false">SUMPRODUCT((Per_Clase="Indirecto")*INDEX(Dot_V,0,MIN(10,AP$173)))*(AP$171+AP$172*V_PreInd)</f>
        <v>17</v>
      </c>
      <c r="AQ235" s="36" t="n">
        <f aca="false">SUMPRODUCT((Per_Clase="Indirecto")*INDEX(Dot_V,0,MIN(10,AQ$173)))*(AQ$171+AQ$172*V_PreInd)</f>
        <v>17</v>
      </c>
      <c r="AR235" s="36" t="n">
        <f aca="false">SUMPRODUCT((Per_Clase="Indirecto")*INDEX(Dot_V,0,MIN(10,AR$173)))*(AR$171+AR$172*V_PreInd)</f>
        <v>17</v>
      </c>
      <c r="AS235" s="36" t="n">
        <f aca="false">SUMPRODUCT((Per_Clase="Indirecto")*INDEX(Dot_V,0,MIN(10,AS$173)))*(AS$171+AS$172*V_PreInd)</f>
        <v>17</v>
      </c>
      <c r="AT235" s="36" t="n">
        <f aca="false">SUMPRODUCT((Per_Clase="Indirecto")*INDEX(Dot_V,0,MIN(10,AT$173)))*(AT$171+AT$172*V_PreInd)</f>
        <v>17</v>
      </c>
      <c r="AU235" s="36" t="n">
        <f aca="false">SUMPRODUCT((Per_Clase="Indirecto")*INDEX(Dot_V,0,MIN(10,AU$173)))*(AU$171+AU$172*V_PreInd)</f>
        <v>17</v>
      </c>
      <c r="AV235" s="36" t="n">
        <f aca="false">SUMPRODUCT((Per_Clase="Indirecto")*INDEX(Dot_V,0,MIN(10,AV$173)))*(AV$171+AV$172*V_PreInd)</f>
        <v>17</v>
      </c>
      <c r="AW235" s="36" t="n">
        <f aca="false">SUMPRODUCT((Per_Clase="Indirecto")*INDEX(Dot_V,0,MIN(10,AW$173)))*(AW$171+AW$172*V_PreInd)</f>
        <v>17</v>
      </c>
      <c r="AX235" s="36" t="n">
        <f aca="false">SUMPRODUCT((Per_Clase="Indirecto")*INDEX(Dot_V,0,MIN(10,AX$173)))*(AX$171+AX$172*V_PreInd)</f>
        <v>17</v>
      </c>
      <c r="AY235" s="36" t="n">
        <f aca="false">SUMPRODUCT((Per_Clase="Indirecto")*INDEX(Dot_V,0,MIN(10,AY$173)))*(AY$171+AY$172*V_PreInd)</f>
        <v>17</v>
      </c>
      <c r="AZ235" s="36" t="n">
        <f aca="false">SUMPRODUCT((Per_Clase="Indirecto")*INDEX(Dot_V,0,MIN(10,AZ$173)))*(AZ$171+AZ$172*V_PreInd)</f>
        <v>17</v>
      </c>
      <c r="BA235" s="36" t="n">
        <f aca="false">SUMPRODUCT((Per_Clase="Indirecto")*INDEX(Dot_V,0,MIN(10,BA$173)))*(BA$171+BA$172*V_PreInd)</f>
        <v>17</v>
      </c>
      <c r="BB235" s="36" t="n">
        <f aca="false">SUMPRODUCT((Per_Clase="Indirecto")*INDEX(Dot_V,0,MIN(10,BB$173)))*(BB$171+BB$172*V_PreInd)</f>
        <v>17</v>
      </c>
      <c r="BC235" s="36" t="n">
        <f aca="false">SUMPRODUCT((Per_Clase="Indirecto")*INDEX(Dot_V,0,MIN(10,BC$173)))*(BC$171+BC$172*V_PreInd)</f>
        <v>17</v>
      </c>
      <c r="BD235" s="36" t="n">
        <f aca="false">SUMPRODUCT((Per_Clase="Indirecto")*INDEX(Dot_V,0,MIN(10,BD$173)))*(BD$171+BD$172*V_PreInd)</f>
        <v>17</v>
      </c>
      <c r="BE235" s="36" t="n">
        <f aca="false">SUMPRODUCT((Per_Clase="Indirecto")*INDEX(Dot_V,0,MIN(10,BE$173)))*(BE$171+BE$172*V_PreInd)</f>
        <v>17</v>
      </c>
      <c r="BF235" s="36" t="n">
        <f aca="false">SUMPRODUCT((Per_Clase="Indirecto")*INDEX(Dot_V,0,MIN(10,BF$173)))*(BF$171+BF$172*V_PreInd)</f>
        <v>17</v>
      </c>
      <c r="BG235" s="36" t="n">
        <f aca="false">SUMPRODUCT((Per_Clase="Indirecto")*INDEX(Dot_V,0,MIN(10,BG$173)))*(BG$171+BG$172*V_PreInd)</f>
        <v>17</v>
      </c>
      <c r="BH235" s="36" t="n">
        <f aca="false">SUMPRODUCT((Per_Clase="Indirecto")*INDEX(Dot_V,0,MIN(10,BH$173)))*(BH$171+BH$172*V_PreInd)</f>
        <v>17</v>
      </c>
      <c r="BI235" s="36" t="n">
        <f aca="false">SUMPRODUCT((Per_Clase="Indirecto")*INDEX(Dot_V,0,MIN(10,BI$173)))*(BI$171+BI$172*V_PreInd)</f>
        <v>17</v>
      </c>
      <c r="BJ235" s="36" t="n">
        <f aca="false">SUMPRODUCT((Per_Clase="Indirecto")*INDEX(Dot_V,0,MIN(10,BJ$173)))*(BJ$171+BJ$172*V_PreInd)</f>
        <v>17</v>
      </c>
      <c r="BK235" s="36" t="n">
        <f aca="false">SUMPRODUCT((Per_Clase="Indirecto")*INDEX(Dot_V,0,MIN(10,BK$173)))*(BK$171+BK$172*V_PreInd)</f>
        <v>17</v>
      </c>
      <c r="BL235" s="36" t="n">
        <f aca="false">SUMPRODUCT((Per_Clase="Indirecto")*INDEX(Dot_V,0,MIN(10,BL$173)))*(BL$171+BL$172*V_PreInd)</f>
        <v>17</v>
      </c>
      <c r="BM235" s="36" t="n">
        <f aca="false">SUMPRODUCT((Per_Clase="Indirecto")*INDEX(Dot_V,0,MIN(10,BM$173)))*(BM$171+BM$172*V_PreInd)</f>
        <v>17</v>
      </c>
      <c r="BN235" s="36" t="n">
        <f aca="false">SUMPRODUCT((Per_Clase="Indirecto")*INDEX(Dot_V,0,MIN(10,BN$173)))*(BN$171+BN$172*V_PreInd)</f>
        <v>17</v>
      </c>
      <c r="BO235" s="36" t="n">
        <f aca="false">SUMPRODUCT((Per_Clase="Indirecto")*INDEX(Dot_V,0,MIN(10,BO$173)))*(BO$171+BO$172*V_PreInd)</f>
        <v>17</v>
      </c>
      <c r="BP235" s="36" t="n">
        <f aca="false">SUMPRODUCT((Per_Clase="Indirecto")*INDEX(Dot_V,0,MIN(10,BP$173)))*(BP$171+BP$172*V_PreInd)</f>
        <v>17</v>
      </c>
      <c r="BQ235" s="36" t="n">
        <f aca="false">SUMPRODUCT((Per_Clase="Indirecto")*INDEX(Dot_V,0,MIN(10,BQ$173)))*(BQ$171+BQ$172*V_PreInd)</f>
        <v>17</v>
      </c>
      <c r="BR235" s="36" t="n">
        <f aca="false">SUMPRODUCT((Per_Clase="Indirecto")*INDEX(Dot_V,0,MIN(10,BR$173)))*(BR$171+BR$172*V_PreInd)</f>
        <v>17</v>
      </c>
      <c r="BS235" s="36" t="n">
        <f aca="false">SUMPRODUCT((Per_Clase="Indirecto")*INDEX(Dot_V,0,MIN(10,BS$173)))*(BS$171+BS$172*V_PreInd)</f>
        <v>17</v>
      </c>
      <c r="BT235" s="36" t="n">
        <f aca="false">SUMPRODUCT((Per_Clase="Indirecto")*INDEX(Dot_V,0,MIN(10,BT$173)))*(BT$171+BT$172*V_PreInd)</f>
        <v>17</v>
      </c>
      <c r="BU235" s="36" t="n">
        <f aca="false">SUMPRODUCT((Per_Clase="Indirecto")*INDEX(Dot_V,0,MIN(10,BU$173)))*(BU$171+BU$172*V_PreInd)</f>
        <v>17</v>
      </c>
      <c r="BV235" s="36" t="n">
        <f aca="false">SUMPRODUCT((Per_Clase="Indirecto")*INDEX(Dot_V,0,MIN(10,BV$173)))*(BV$171+BV$172*V_PreInd)</f>
        <v>17</v>
      </c>
      <c r="BW235" s="36" t="n">
        <f aca="false">SUMPRODUCT((Per_Clase="Indirecto")*INDEX(Dot_V,0,MIN(10,BW$173)))*(BW$171+BW$172*V_PreInd)</f>
        <v>17</v>
      </c>
      <c r="BX235" s="36" t="n">
        <f aca="false">SUMPRODUCT((Per_Clase="Indirecto")*INDEX(Dot_V,0,MIN(10,BX$173)))*(BX$171+BX$172*V_PreInd)</f>
        <v>17</v>
      </c>
      <c r="BY235" s="36" t="n">
        <f aca="false">SUMPRODUCT((Per_Clase="Indirecto")*INDEX(Dot_V,0,MIN(10,BY$173)))*(BY$171+BY$172*V_PreInd)</f>
        <v>17</v>
      </c>
      <c r="BZ235" s="36" t="n">
        <f aca="false">SUMPRODUCT((Per_Clase="Indirecto")*INDEX(Dot_V,0,MIN(10,BZ$173)))*(BZ$171+BZ$172*V_PreInd)</f>
        <v>17</v>
      </c>
      <c r="CA235" s="36" t="n">
        <f aca="false">SUMPRODUCT((Per_Clase="Indirecto")*INDEX(Dot_V,0,MIN(10,CA$173)))*(CA$171+CA$172*V_PreInd)</f>
        <v>17</v>
      </c>
      <c r="CB235" s="36" t="n">
        <f aca="false">SUMPRODUCT((Per_Clase="Indirecto")*INDEX(Dot_V,0,MIN(10,CB$173)))*(CB$171+CB$172*V_PreInd)</f>
        <v>17</v>
      </c>
      <c r="CC235" s="36" t="n">
        <f aca="false">SUMPRODUCT((Per_Clase="Indirecto")*INDEX(Dot_V,0,MIN(10,CC$173)))*(CC$171+CC$172*V_PreInd)</f>
        <v>17</v>
      </c>
      <c r="CD235" s="36" t="n">
        <f aca="false">SUMPRODUCT((Per_Clase="Indirecto")*INDEX(Dot_V,0,MIN(10,CD$173)))*(CD$171+CD$172*V_PreInd)</f>
        <v>17</v>
      </c>
      <c r="CE235" s="36" t="n">
        <f aca="false">SUMPRODUCT((Per_Clase="Indirecto")*INDEX(Dot_V,0,MIN(10,CE$173)))*(CE$171+CE$172*V_PreInd)</f>
        <v>17</v>
      </c>
      <c r="CF235" s="36" t="n">
        <f aca="false">SUMPRODUCT((Per_Clase="Indirecto")*INDEX(Dot_V,0,MIN(10,CF$173)))*(CF$171+CF$172*V_PreInd)</f>
        <v>17</v>
      </c>
      <c r="CG235" s="36" t="n">
        <f aca="false">SUMPRODUCT((Per_Clase="Indirecto")*INDEX(Dot_V,0,MIN(10,CG$173)))*(CG$171+CG$172*V_PreInd)</f>
        <v>17</v>
      </c>
      <c r="CH235" s="36" t="n">
        <f aca="false">SUMPRODUCT((Per_Clase="Indirecto")*INDEX(Dot_V,0,MIN(10,CH$173)))*(CH$171+CH$172*V_PreInd)</f>
        <v>17</v>
      </c>
      <c r="CI235" s="36" t="n">
        <f aca="false">SUMPRODUCT((Per_Clase="Indirecto")*INDEX(Dot_V,0,MIN(10,CI$173)))*(CI$171+CI$172*V_PreInd)</f>
        <v>17</v>
      </c>
      <c r="CJ235" s="36" t="n">
        <f aca="false">SUMPRODUCT((Per_Clase="Indirecto")*INDEX(Dot_V,0,MIN(10,CJ$173)))*(CJ$171+CJ$172*V_PreInd)</f>
        <v>17</v>
      </c>
      <c r="CK235" s="36" t="n">
        <f aca="false">SUMPRODUCT((Per_Clase="Indirecto")*INDEX(Dot_V,0,MIN(10,CK$173)))*(CK$171+CK$172*V_PreInd)</f>
        <v>17</v>
      </c>
      <c r="CL235" s="36" t="n">
        <f aca="false">SUMPRODUCT((Per_Clase="Indirecto")*INDEX(Dot_V,0,MIN(10,CL$173)))*(CL$171+CL$172*V_PreInd)</f>
        <v>17</v>
      </c>
      <c r="CM235" s="36" t="n">
        <f aca="false">SUMPRODUCT((Per_Clase="Indirecto")*INDEX(Dot_V,0,MIN(10,CM$173)))*(CM$171+CM$172*V_PreInd)</f>
        <v>17</v>
      </c>
      <c r="CN235" s="36" t="n">
        <f aca="false">SUMPRODUCT((Per_Clase="Indirecto")*INDEX(Dot_V,0,MIN(10,CN$173)))*(CN$171+CN$172*V_PreInd)</f>
        <v>17</v>
      </c>
      <c r="CO235" s="36" t="n">
        <f aca="false">SUMPRODUCT((Per_Clase="Indirecto")*INDEX(Dot_V,0,MIN(10,CO$173)))*(CO$171+CO$172*V_PreInd)</f>
        <v>17</v>
      </c>
      <c r="CP235" s="36" t="n">
        <f aca="false">SUMPRODUCT((Per_Clase="Indirecto")*INDEX(Dot_V,0,MIN(10,CP$173)))*(CP$171+CP$172*V_PreInd)</f>
        <v>17</v>
      </c>
      <c r="CQ235" s="36" t="n">
        <f aca="false">SUMPRODUCT((Per_Clase="Indirecto")*INDEX(Dot_V,0,MIN(10,CQ$173)))*(CQ$171+CQ$172*V_PreInd)</f>
        <v>17</v>
      </c>
      <c r="CR235" s="36" t="n">
        <f aca="false">SUMPRODUCT((Per_Clase="Indirecto")*INDEX(Dot_V,0,MIN(10,CR$173)))*(CR$171+CR$172*V_PreInd)</f>
        <v>17</v>
      </c>
      <c r="CS235" s="36" t="n">
        <f aca="false">SUMPRODUCT((Per_Clase="Indirecto")*INDEX(Dot_V,0,MIN(10,CS$173)))*(CS$171+CS$172*V_PreInd)</f>
        <v>17</v>
      </c>
      <c r="CT235" s="36" t="n">
        <f aca="false">SUMPRODUCT((Per_Clase="Indirecto")*INDEX(Dot_V,0,MIN(10,CT$173)))*(CT$171+CT$172*V_PreInd)</f>
        <v>17</v>
      </c>
      <c r="CU235" s="36" t="n">
        <f aca="false">SUMPRODUCT((Per_Clase="Indirecto")*INDEX(Dot_V,0,MIN(10,CU$173)))*(CU$171+CU$172*V_PreInd)</f>
        <v>17</v>
      </c>
      <c r="CV235" s="36" t="n">
        <f aca="false">SUMPRODUCT((Per_Clase="Indirecto")*INDEX(Dot_V,0,MIN(10,CV$173)))*(CV$171+CV$172*V_PreInd)</f>
        <v>17</v>
      </c>
      <c r="CW235" s="36" t="n">
        <f aca="false">SUMPRODUCT((Per_Clase="Indirecto")*INDEX(Dot_V,0,MIN(10,CW$173)))*(CW$171+CW$172*V_PreInd)</f>
        <v>17</v>
      </c>
      <c r="CX235" s="36" t="n">
        <f aca="false">SUMPRODUCT((Per_Clase="Indirecto")*INDEX(Dot_V,0,MIN(10,CX$173)))*(CX$171+CX$172*V_PreInd)</f>
        <v>17</v>
      </c>
      <c r="CY235" s="36" t="n">
        <f aca="false">SUMPRODUCT((Per_Clase="Indirecto")*INDEX(Dot_V,0,MIN(10,CY$173)))*(CY$171+CY$172*V_PreInd)</f>
        <v>17</v>
      </c>
      <c r="CZ235" s="36" t="n">
        <f aca="false">SUMPRODUCT((Per_Clase="Indirecto")*INDEX(Dot_V,0,MIN(10,CZ$173)))*(CZ$171+CZ$172*V_PreInd)</f>
        <v>17</v>
      </c>
      <c r="DA235" s="36" t="n">
        <f aca="false">SUMPRODUCT((Per_Clase="Indirecto")*INDEX(Dot_V,0,MIN(10,DA$173)))*(DA$171+DA$172*V_PreInd)</f>
        <v>17</v>
      </c>
      <c r="DB235" s="36" t="n">
        <f aca="false">SUMPRODUCT((Per_Clase="Indirecto")*INDEX(Dot_V,0,MIN(10,DB$173)))*(DB$171+DB$172*V_PreInd)</f>
        <v>17</v>
      </c>
      <c r="DC235" s="36" t="n">
        <f aca="false">SUMPRODUCT((Per_Clase="Indirecto")*INDEX(Dot_V,0,MIN(10,DC$173)))*(DC$171+DC$172*V_PreInd)</f>
        <v>17</v>
      </c>
      <c r="DD235" s="36" t="n">
        <f aca="false">SUMPRODUCT((Per_Clase="Indirecto")*INDEX(Dot_V,0,MIN(10,DD$173)))*(DD$171+DD$172*V_PreInd)</f>
        <v>17</v>
      </c>
      <c r="DE235" s="36" t="n">
        <f aca="false">SUMPRODUCT((Per_Clase="Indirecto")*INDEX(Dot_V,0,MIN(10,DE$173)))*(DE$171+DE$172*V_PreInd)</f>
        <v>17</v>
      </c>
      <c r="DF235" s="36" t="n">
        <f aca="false">SUMPRODUCT((Per_Clase="Indirecto")*INDEX(Dot_V,0,MIN(10,DF$173)))*(DF$171+DF$172*V_PreInd)</f>
        <v>17</v>
      </c>
      <c r="DG235" s="36" t="n">
        <f aca="false">SUMPRODUCT((Per_Clase="Indirecto")*INDEX(Dot_V,0,MIN(10,DG$173)))*(DG$171+DG$172*V_PreInd)</f>
        <v>17</v>
      </c>
      <c r="DH235" s="36" t="n">
        <f aca="false">SUMPRODUCT((Per_Clase="Indirecto")*INDEX(Dot_V,0,MIN(10,DH$173)))*(DH$171+DH$172*V_PreInd)</f>
        <v>17</v>
      </c>
      <c r="DI235" s="36" t="n">
        <f aca="false">SUMPRODUCT((Per_Clase="Indirecto")*INDEX(Dot_V,0,MIN(10,DI$173)))*(DI$171+DI$172*V_PreInd)</f>
        <v>17</v>
      </c>
      <c r="DJ235" s="36" t="n">
        <f aca="false">SUMPRODUCT((Per_Clase="Indirecto")*INDEX(Dot_V,0,MIN(10,DJ$173)))*(DJ$171+DJ$172*V_PreInd)</f>
        <v>17</v>
      </c>
      <c r="DK235" s="36" t="n">
        <f aca="false">SUMPRODUCT((Per_Clase="Indirecto")*INDEX(Dot_V,0,MIN(10,DK$173)))*(DK$171+DK$172*V_PreInd)</f>
        <v>17</v>
      </c>
      <c r="DL235" s="36" t="n">
        <f aca="false">SUMPRODUCT((Per_Clase="Indirecto")*INDEX(Dot_V,0,MIN(10,DL$173)))*(DL$171+DL$172*V_PreInd)</f>
        <v>17</v>
      </c>
      <c r="DM235" s="36" t="n">
        <f aca="false">SUMPRODUCT((Per_Clase="Indirecto")*INDEX(Dot_V,0,MIN(10,DM$173)))*(DM$171+DM$172*V_PreInd)</f>
        <v>17</v>
      </c>
      <c r="DN235" s="36" t="n">
        <f aca="false">SUMPRODUCT((Per_Clase="Indirecto")*INDEX(Dot_V,0,MIN(10,DN$173)))*(DN$171+DN$172*V_PreInd)</f>
        <v>17</v>
      </c>
      <c r="DO235" s="36" t="n">
        <f aca="false">SUMPRODUCT((Per_Clase="Indirecto")*INDEX(Dot_V,0,MIN(10,DO$173)))*(DO$171+DO$172*V_PreInd)</f>
        <v>17</v>
      </c>
      <c r="DP235" s="36" t="n">
        <f aca="false">SUMPRODUCT((Per_Clase="Indirecto")*INDEX(Dot_V,0,MIN(10,DP$173)))*(DP$171+DP$172*V_PreInd)</f>
        <v>17</v>
      </c>
      <c r="DQ235" s="36" t="n">
        <f aca="false">SUMPRODUCT((Per_Clase="Indirecto")*INDEX(Dot_V,0,MIN(10,DQ$173)))*(DQ$171+DQ$172*V_PreInd)</f>
        <v>17</v>
      </c>
      <c r="DR235" s="36" t="n">
        <f aca="false">SUMPRODUCT((Per_Clase="Indirecto")*INDEX(Dot_V,0,MIN(10,DR$173)))*(DR$171+DR$172*V_PreInd)</f>
        <v>17</v>
      </c>
      <c r="DS235" s="36" t="n">
        <f aca="false">SUMPRODUCT((Per_Clase="Indirecto")*INDEX(Dot_V,0,MIN(10,DS$173)))*(DS$171+DS$172*V_PreInd)</f>
        <v>17</v>
      </c>
      <c r="DT235" s="36" t="n">
        <f aca="false">SUMPRODUCT((Per_Clase="Indirecto")*INDEX(Dot_V,0,MIN(10,DT$173)))*(DT$171+DT$172*V_PreInd)</f>
        <v>17</v>
      </c>
      <c r="DU235" s="36" t="n">
        <f aca="false">SUMPRODUCT((Per_Clase="Indirecto")*INDEX(Dot_V,0,MIN(10,DU$173)))*(DU$171+DU$172*V_PreInd)</f>
        <v>17</v>
      </c>
      <c r="DV235" s="36" t="n">
        <f aca="false">SUMPRODUCT((Per_Clase="Indirecto")*INDEX(Dot_V,0,MIN(10,DV$173)))*(DV$171+DV$172*V_PreInd)</f>
        <v>0</v>
      </c>
      <c r="DW235" s="36" t="n">
        <f aca="false">SUMPRODUCT((Per_Clase="Indirecto")*INDEX(Dot_V,0,MIN(10,DW$173)))*(DW$171+DW$172*V_PreInd)</f>
        <v>0</v>
      </c>
      <c r="DX235" s="36" t="n">
        <f aca="false">SUMPRODUCT((Per_Clase="Indirecto")*INDEX(Dot_V,0,MIN(10,DX$173)))*(DX$171+DX$172*V_PreInd)</f>
        <v>0</v>
      </c>
      <c r="DY235" s="36" t="n">
        <f aca="false">SUMPRODUCT((Per_Clase="Indirecto")*INDEX(Dot_V,0,MIN(10,DY$173)))*(DY$171+DY$172*V_PreInd)</f>
        <v>0</v>
      </c>
      <c r="DZ235" s="36" t="n">
        <f aca="false">SUMPRODUCT((Per_Clase="Indirecto")*INDEX(Dot_V,0,MIN(10,DZ$173)))*(DZ$171+DZ$172*V_PreInd)</f>
        <v>0</v>
      </c>
      <c r="EA235" s="36" t="n">
        <f aca="false">SUMPRODUCT((Per_Clase="Indirecto")*INDEX(Dot_V,0,MIN(10,EA$173)))*(EA$171+EA$172*V_PreInd)</f>
        <v>0</v>
      </c>
      <c r="EB235" s="36" t="n">
        <f aca="false">SUMPRODUCT((Per_Clase="Indirecto")*INDEX(Dot_V,0,MIN(10,EB$173)))*(EB$171+EB$172*V_PreInd)</f>
        <v>0</v>
      </c>
      <c r="EC235" s="36" t="n">
        <f aca="false">SUMPRODUCT((Per_Clase="Indirecto")*INDEX(Dot_V,0,MIN(10,EC$173)))*(EC$171+EC$172*V_PreInd)</f>
        <v>0</v>
      </c>
      <c r="ED235" s="36" t="n">
        <f aca="false">SUMPRODUCT((Per_Clase="Indirecto")*INDEX(Dot_V,0,MIN(10,ED$173)))*(ED$171+ED$172*V_PreInd)</f>
        <v>0</v>
      </c>
      <c r="EE235" s="36" t="n">
        <f aca="false">SUMPRODUCT((Per_Clase="Indirecto")*INDEX(Dot_V,0,MIN(10,EE$173)))*(EE$171+EE$172*V_PreInd)</f>
        <v>0</v>
      </c>
      <c r="EF235" s="36" t="n">
        <f aca="false">SUMPRODUCT((Per_Clase="Indirecto")*INDEX(Dot_V,0,MIN(10,EF$173)))*(EF$171+EF$172*V_PreInd)</f>
        <v>0</v>
      </c>
      <c r="EG235" s="36" t="n">
        <f aca="false">SUMPRODUCT((Per_Clase="Indirecto")*INDEX(Dot_V,0,MIN(10,EG$173)))*(EG$171+EG$172*V_PreInd)</f>
        <v>0</v>
      </c>
      <c r="EH235" s="36" t="n">
        <f aca="false">SUMPRODUCT((Per_Clase="Indirecto")*INDEX(Dot_V,0,MIN(10,EH$173)))*(EH$171+EH$172*V_PreInd)</f>
        <v>0</v>
      </c>
      <c r="EI235" s="36" t="n">
        <f aca="false">SUMPRODUCT((Per_Clase="Indirecto")*INDEX(Dot_V,0,MIN(10,EI$173)))*(EI$171+EI$172*V_PreInd)</f>
        <v>0</v>
      </c>
      <c r="EJ235" s="36" t="n">
        <f aca="false">SUMPRODUCT((Per_Clase="Indirecto")*INDEX(Dot_V,0,MIN(10,EJ$173)))*(EJ$171+EJ$172*V_PreInd)</f>
        <v>0</v>
      </c>
      <c r="EK235" s="36" t="n">
        <f aca="false">SUMPRODUCT((Per_Clase="Indirecto")*INDEX(Dot_V,0,MIN(10,EK$173)))*(EK$171+EK$172*V_PreInd)</f>
        <v>0</v>
      </c>
      <c r="EL235" s="36" t="n">
        <f aca="false">SUMPRODUCT((Per_Clase="Indirecto")*INDEX(Dot_V,0,MIN(10,EL$173)))*(EL$171+EL$172*V_PreInd)</f>
        <v>0</v>
      </c>
      <c r="EM235" s="36" t="n">
        <f aca="false">SUMPRODUCT((Per_Clase="Indirecto")*INDEX(Dot_V,0,MIN(10,EM$173)))*(EM$171+EM$172*V_PreInd)</f>
        <v>0</v>
      </c>
      <c r="EN235" s="36" t="n">
        <f aca="false">SUMPRODUCT((Per_Clase="Indirecto")*INDEX(Dot_V,0,MIN(10,EN$173)))*(EN$171+EN$172*V_PreInd)</f>
        <v>0</v>
      </c>
      <c r="EO235" s="36" t="n">
        <f aca="false">SUMPRODUCT((Per_Clase="Indirecto")*INDEX(Dot_V,0,MIN(10,EO$173)))*(EO$171+EO$172*V_PreInd)</f>
        <v>0</v>
      </c>
      <c r="EP235" s="36" t="n">
        <f aca="false">SUMPRODUCT((Per_Clase="Indirecto")*INDEX(Dot_V,0,MIN(10,EP$173)))*(EP$171+EP$172*V_PreInd)</f>
        <v>0</v>
      </c>
      <c r="EQ235" s="36" t="n">
        <f aca="false">SUMPRODUCT((Per_Clase="Indirecto")*INDEX(Dot_V,0,MIN(10,EQ$173)))*(EQ$171+EQ$172*V_PreInd)</f>
        <v>0</v>
      </c>
      <c r="ER235" s="36" t="n">
        <f aca="false">SUMPRODUCT((Per_Clase="Indirecto")*INDEX(Dot_V,0,MIN(10,ER$173)))*(ER$171+ER$172*V_PreInd)</f>
        <v>0</v>
      </c>
      <c r="ES235" s="36" t="n">
        <f aca="false">SUMPRODUCT((Per_Clase="Indirecto")*INDEX(Dot_V,0,MIN(10,ES$173)))*(ES$171+ES$172*V_PreInd)</f>
        <v>0</v>
      </c>
    </row>
    <row r="236" customFormat="false" ht="15" hidden="false" customHeight="false" outlineLevel="0" collapsed="false">
      <c r="A236" s="2" t="s">
        <v>877</v>
      </c>
      <c r="B236" s="6" t="s">
        <v>653</v>
      </c>
      <c r="C236" s="6" t="s">
        <v>250</v>
      </c>
      <c r="E236" s="40" t="n">
        <f aca="false">SUM(F236:ES236)</f>
        <v>2451899.38788164</v>
      </c>
      <c r="F236" s="34" t="n">
        <f aca="false">SUMPRODUCT((Per_Clase="Indirecto")*Sal_V*INDEX(Dot_V,0,MIN(10,F$173))*((Per_Mon="PYG")*F$175+(Per_Mon&lt;&gt;"PYG")))*(F$171+F$172*V_PreInd)*INDEX(IdxSal_V,1,MIN(10,F$173))*(1+V_Cargas)+F$235*V_Alim*F$175</f>
        <v>20432.4948990137</v>
      </c>
      <c r="G236" s="34" t="n">
        <f aca="false">SUMPRODUCT((Per_Clase="Indirecto")*Sal_V*INDEX(Dot_V,0,MIN(10,G$173))*((Per_Mon="PYG")*G$175+(Per_Mon&lt;&gt;"PYG")))*(G$171+G$172*V_PreInd)*INDEX(IdxSal_V,1,MIN(10,G$173))*(1+V_Cargas)+G$235*V_Alim*G$175</f>
        <v>20432.4948990137</v>
      </c>
      <c r="H236" s="34" t="n">
        <f aca="false">SUMPRODUCT((Per_Clase="Indirecto")*Sal_V*INDEX(Dot_V,0,MIN(10,H$173))*((Per_Mon="PYG")*H$175+(Per_Mon&lt;&gt;"PYG")))*(H$171+H$172*V_PreInd)*INDEX(IdxSal_V,1,MIN(10,H$173))*(1+V_Cargas)+H$235*V_Alim*H$175</f>
        <v>20432.4948990137</v>
      </c>
      <c r="I236" s="34" t="n">
        <f aca="false">SUMPRODUCT((Per_Clase="Indirecto")*Sal_V*INDEX(Dot_V,0,MIN(10,I$173))*((Per_Mon="PYG")*I$175+(Per_Mon&lt;&gt;"PYG")))*(I$171+I$172*V_PreInd)*INDEX(IdxSal_V,1,MIN(10,I$173))*(1+V_Cargas)+I$235*V_Alim*I$175</f>
        <v>20432.4948990137</v>
      </c>
      <c r="J236" s="34" t="n">
        <f aca="false">SUMPRODUCT((Per_Clase="Indirecto")*Sal_V*INDEX(Dot_V,0,MIN(10,J$173))*((Per_Mon="PYG")*J$175+(Per_Mon&lt;&gt;"PYG")))*(J$171+J$172*V_PreInd)*INDEX(IdxSal_V,1,MIN(10,J$173))*(1+V_Cargas)+J$235*V_Alim*J$175</f>
        <v>20432.4948990137</v>
      </c>
      <c r="K236" s="34" t="n">
        <f aca="false">SUMPRODUCT((Per_Clase="Indirecto")*Sal_V*INDEX(Dot_V,0,MIN(10,K$173))*((Per_Mon="PYG")*K$175+(Per_Mon&lt;&gt;"PYG")))*(K$171+K$172*V_PreInd)*INDEX(IdxSal_V,1,MIN(10,K$173))*(1+V_Cargas)+K$235*V_Alim*K$175</f>
        <v>20432.4948990137</v>
      </c>
      <c r="L236" s="34" t="n">
        <f aca="false">SUMPRODUCT((Per_Clase="Indirecto")*Sal_V*INDEX(Dot_V,0,MIN(10,L$173))*((Per_Mon="PYG")*L$175+(Per_Mon&lt;&gt;"PYG")))*(L$171+L$172*V_PreInd)*INDEX(IdxSal_V,1,MIN(10,L$173))*(1+V_Cargas)+L$235*V_Alim*L$175</f>
        <v>20432.4948990137</v>
      </c>
      <c r="M236" s="34" t="n">
        <f aca="false">SUMPRODUCT((Per_Clase="Indirecto")*Sal_V*INDEX(Dot_V,0,MIN(10,M$173))*((Per_Mon="PYG")*M$175+(Per_Mon&lt;&gt;"PYG")))*(M$171+M$172*V_PreInd)*INDEX(IdxSal_V,1,MIN(10,M$173))*(1+V_Cargas)+M$235*V_Alim*M$175</f>
        <v>20432.4948990137</v>
      </c>
      <c r="N236" s="34" t="n">
        <f aca="false">SUMPRODUCT((Per_Clase="Indirecto")*Sal_V*INDEX(Dot_V,0,MIN(10,N$173))*((Per_Mon="PYG")*N$175+(Per_Mon&lt;&gt;"PYG")))*(N$171+N$172*V_PreInd)*INDEX(IdxSal_V,1,MIN(10,N$173))*(1+V_Cargas)+N$235*V_Alim*N$175</f>
        <v>20432.4948990137</v>
      </c>
      <c r="O236" s="34" t="n">
        <f aca="false">SUMPRODUCT((Per_Clase="Indirecto")*Sal_V*INDEX(Dot_V,0,MIN(10,O$173))*((Per_Mon="PYG")*O$175+(Per_Mon&lt;&gt;"PYG")))*(O$171+O$172*V_PreInd)*INDEX(IdxSal_V,1,MIN(10,O$173))*(1+V_Cargas)+O$235*V_Alim*O$175</f>
        <v>20432.4948990137</v>
      </c>
      <c r="P236" s="34" t="n">
        <f aca="false">SUMPRODUCT((Per_Clase="Indirecto")*Sal_V*INDEX(Dot_V,0,MIN(10,P$173))*((Per_Mon="PYG")*P$175+(Per_Mon&lt;&gt;"PYG")))*(P$171+P$172*V_PreInd)*INDEX(IdxSal_V,1,MIN(10,P$173))*(1+V_Cargas)+P$235*V_Alim*P$175</f>
        <v>20432.4948990137</v>
      </c>
      <c r="Q236" s="34" t="n">
        <f aca="false">SUMPRODUCT((Per_Clase="Indirecto")*Sal_V*INDEX(Dot_V,0,MIN(10,Q$173))*((Per_Mon="PYG")*Q$175+(Per_Mon&lt;&gt;"PYG")))*(Q$171+Q$172*V_PreInd)*INDEX(IdxSal_V,1,MIN(10,Q$173))*(1+V_Cargas)+Q$235*V_Alim*Q$175</f>
        <v>20432.4948990137</v>
      </c>
      <c r="R236" s="34" t="n">
        <f aca="false">SUMPRODUCT((Per_Clase="Indirecto")*Sal_V*INDEX(Dot_V,0,MIN(10,R$173))*((Per_Mon="PYG")*R$175+(Per_Mon&lt;&gt;"PYG")))*(R$171+R$172*V_PreInd)*INDEX(IdxSal_V,1,MIN(10,R$173))*(1+V_Cargas)+R$235*V_Alim*R$175</f>
        <v>20432.4948990137</v>
      </c>
      <c r="S236" s="34" t="n">
        <f aca="false">SUMPRODUCT((Per_Clase="Indirecto")*Sal_V*INDEX(Dot_V,0,MIN(10,S$173))*((Per_Mon="PYG")*S$175+(Per_Mon&lt;&gt;"PYG")))*(S$171+S$172*V_PreInd)*INDEX(IdxSal_V,1,MIN(10,S$173))*(1+V_Cargas)+S$235*V_Alim*S$175</f>
        <v>20432.4948990137</v>
      </c>
      <c r="T236" s="34" t="n">
        <f aca="false">SUMPRODUCT((Per_Clase="Indirecto")*Sal_V*INDEX(Dot_V,0,MIN(10,T$173))*((Per_Mon="PYG")*T$175+(Per_Mon&lt;&gt;"PYG")))*(T$171+T$172*V_PreInd)*INDEX(IdxSal_V,1,MIN(10,T$173))*(1+V_Cargas)+T$235*V_Alim*T$175</f>
        <v>20432.4948990137</v>
      </c>
      <c r="U236" s="34" t="n">
        <f aca="false">SUMPRODUCT((Per_Clase="Indirecto")*Sal_V*INDEX(Dot_V,0,MIN(10,U$173))*((Per_Mon="PYG")*U$175+(Per_Mon&lt;&gt;"PYG")))*(U$171+U$172*V_PreInd)*INDEX(IdxSal_V,1,MIN(10,U$173))*(1+V_Cargas)+U$235*V_Alim*U$175</f>
        <v>20432.4948990137</v>
      </c>
      <c r="V236" s="34" t="n">
        <f aca="false">SUMPRODUCT((Per_Clase="Indirecto")*Sal_V*INDEX(Dot_V,0,MIN(10,V$173))*((Per_Mon="PYG")*V$175+(Per_Mon&lt;&gt;"PYG")))*(V$171+V$172*V_PreInd)*INDEX(IdxSal_V,1,MIN(10,V$173))*(1+V_Cargas)+V$235*V_Alim*V$175</f>
        <v>20432.4948990137</v>
      </c>
      <c r="W236" s="34" t="n">
        <f aca="false">SUMPRODUCT((Per_Clase="Indirecto")*Sal_V*INDEX(Dot_V,0,MIN(10,W$173))*((Per_Mon="PYG")*W$175+(Per_Mon&lt;&gt;"PYG")))*(W$171+W$172*V_PreInd)*INDEX(IdxSal_V,1,MIN(10,W$173))*(1+V_Cargas)+W$235*V_Alim*W$175</f>
        <v>20432.4948990137</v>
      </c>
      <c r="X236" s="34" t="n">
        <f aca="false">SUMPRODUCT((Per_Clase="Indirecto")*Sal_V*INDEX(Dot_V,0,MIN(10,X$173))*((Per_Mon="PYG")*X$175+(Per_Mon&lt;&gt;"PYG")))*(X$171+X$172*V_PreInd)*INDEX(IdxSal_V,1,MIN(10,X$173))*(1+V_Cargas)+X$235*V_Alim*X$175</f>
        <v>20432.4948990137</v>
      </c>
      <c r="Y236" s="34" t="n">
        <f aca="false">SUMPRODUCT((Per_Clase="Indirecto")*Sal_V*INDEX(Dot_V,0,MIN(10,Y$173))*((Per_Mon="PYG")*Y$175+(Per_Mon&lt;&gt;"PYG")))*(Y$171+Y$172*V_PreInd)*INDEX(IdxSal_V,1,MIN(10,Y$173))*(1+V_Cargas)+Y$235*V_Alim*Y$175</f>
        <v>20432.4948990137</v>
      </c>
      <c r="Z236" s="34" t="n">
        <f aca="false">SUMPRODUCT((Per_Clase="Indirecto")*Sal_V*INDEX(Dot_V,0,MIN(10,Z$173))*((Per_Mon="PYG")*Z$175+(Per_Mon&lt;&gt;"PYG")))*(Z$171+Z$172*V_PreInd)*INDEX(IdxSal_V,1,MIN(10,Z$173))*(1+V_Cargas)+Z$235*V_Alim*Z$175</f>
        <v>20432.4948990137</v>
      </c>
      <c r="AA236" s="34" t="n">
        <f aca="false">SUMPRODUCT((Per_Clase="Indirecto")*Sal_V*INDEX(Dot_V,0,MIN(10,AA$173))*((Per_Mon="PYG")*AA$175+(Per_Mon&lt;&gt;"PYG")))*(AA$171+AA$172*V_PreInd)*INDEX(IdxSal_V,1,MIN(10,AA$173))*(1+V_Cargas)+AA$235*V_Alim*AA$175</f>
        <v>20432.4948990137</v>
      </c>
      <c r="AB236" s="34" t="n">
        <f aca="false">SUMPRODUCT((Per_Clase="Indirecto")*Sal_V*INDEX(Dot_V,0,MIN(10,AB$173))*((Per_Mon="PYG")*AB$175+(Per_Mon&lt;&gt;"PYG")))*(AB$171+AB$172*V_PreInd)*INDEX(IdxSal_V,1,MIN(10,AB$173))*(1+V_Cargas)+AB$235*V_Alim*AB$175</f>
        <v>20432.4948990137</v>
      </c>
      <c r="AC236" s="34" t="n">
        <f aca="false">SUMPRODUCT((Per_Clase="Indirecto")*Sal_V*INDEX(Dot_V,0,MIN(10,AC$173))*((Per_Mon="PYG")*AC$175+(Per_Mon&lt;&gt;"PYG")))*(AC$171+AC$172*V_PreInd)*INDEX(IdxSal_V,1,MIN(10,AC$173))*(1+V_Cargas)+AC$235*V_Alim*AC$175</f>
        <v>20432.4948990137</v>
      </c>
      <c r="AD236" s="34" t="n">
        <f aca="false">SUMPRODUCT((Per_Clase="Indirecto")*Sal_V*INDEX(Dot_V,0,MIN(10,AD$173))*((Per_Mon="PYG")*AD$175+(Per_Mon&lt;&gt;"PYG")))*(AD$171+AD$172*V_PreInd)*INDEX(IdxSal_V,1,MIN(10,AD$173))*(1+V_Cargas)+AD$235*V_Alim*AD$175</f>
        <v>20432.4948990137</v>
      </c>
      <c r="AE236" s="34" t="n">
        <f aca="false">SUMPRODUCT((Per_Clase="Indirecto")*Sal_V*INDEX(Dot_V,0,MIN(10,AE$173))*((Per_Mon="PYG")*AE$175+(Per_Mon&lt;&gt;"PYG")))*(AE$171+AE$172*V_PreInd)*INDEX(IdxSal_V,1,MIN(10,AE$173))*(1+V_Cargas)+AE$235*V_Alim*AE$175</f>
        <v>20432.4948990137</v>
      </c>
      <c r="AF236" s="34" t="n">
        <f aca="false">SUMPRODUCT((Per_Clase="Indirecto")*Sal_V*INDEX(Dot_V,0,MIN(10,AF$173))*((Per_Mon="PYG")*AF$175+(Per_Mon&lt;&gt;"PYG")))*(AF$171+AF$172*V_PreInd)*INDEX(IdxSal_V,1,MIN(10,AF$173))*(1+V_Cargas)+AF$235*V_Alim*AF$175</f>
        <v>20432.4948990137</v>
      </c>
      <c r="AG236" s="34" t="n">
        <f aca="false">SUMPRODUCT((Per_Clase="Indirecto")*Sal_V*INDEX(Dot_V,0,MIN(10,AG$173))*((Per_Mon="PYG")*AG$175+(Per_Mon&lt;&gt;"PYG")))*(AG$171+AG$172*V_PreInd)*INDEX(IdxSal_V,1,MIN(10,AG$173))*(1+V_Cargas)+AG$235*V_Alim*AG$175</f>
        <v>20432.4948990137</v>
      </c>
      <c r="AH236" s="34" t="n">
        <f aca="false">SUMPRODUCT((Per_Clase="Indirecto")*Sal_V*INDEX(Dot_V,0,MIN(10,AH$173))*((Per_Mon="PYG")*AH$175+(Per_Mon&lt;&gt;"PYG")))*(AH$171+AH$172*V_PreInd)*INDEX(IdxSal_V,1,MIN(10,AH$173))*(1+V_Cargas)+AH$235*V_Alim*AH$175</f>
        <v>20432.4948990137</v>
      </c>
      <c r="AI236" s="34" t="n">
        <f aca="false">SUMPRODUCT((Per_Clase="Indirecto")*Sal_V*INDEX(Dot_V,0,MIN(10,AI$173))*((Per_Mon="PYG")*AI$175+(Per_Mon&lt;&gt;"PYG")))*(AI$171+AI$172*V_PreInd)*INDEX(IdxSal_V,1,MIN(10,AI$173))*(1+V_Cargas)+AI$235*V_Alim*AI$175</f>
        <v>20432.4948990137</v>
      </c>
      <c r="AJ236" s="34" t="n">
        <f aca="false">SUMPRODUCT((Per_Clase="Indirecto")*Sal_V*INDEX(Dot_V,0,MIN(10,AJ$173))*((Per_Mon="PYG")*AJ$175+(Per_Mon&lt;&gt;"PYG")))*(AJ$171+AJ$172*V_PreInd)*INDEX(IdxSal_V,1,MIN(10,AJ$173))*(1+V_Cargas)+AJ$235*V_Alim*AJ$175</f>
        <v>20432.4948990137</v>
      </c>
      <c r="AK236" s="34" t="n">
        <f aca="false">SUMPRODUCT((Per_Clase="Indirecto")*Sal_V*INDEX(Dot_V,0,MIN(10,AK$173))*((Per_Mon="PYG")*AK$175+(Per_Mon&lt;&gt;"PYG")))*(AK$171+AK$172*V_PreInd)*INDEX(IdxSal_V,1,MIN(10,AK$173))*(1+V_Cargas)+AK$235*V_Alim*AK$175</f>
        <v>20432.4948990137</v>
      </c>
      <c r="AL236" s="34" t="n">
        <f aca="false">SUMPRODUCT((Per_Clase="Indirecto")*Sal_V*INDEX(Dot_V,0,MIN(10,AL$173))*((Per_Mon="PYG")*AL$175+(Per_Mon&lt;&gt;"PYG")))*(AL$171+AL$172*V_PreInd)*INDEX(IdxSal_V,1,MIN(10,AL$173))*(1+V_Cargas)+AL$235*V_Alim*AL$175</f>
        <v>20432.4948990137</v>
      </c>
      <c r="AM236" s="34" t="n">
        <f aca="false">SUMPRODUCT((Per_Clase="Indirecto")*Sal_V*INDEX(Dot_V,0,MIN(10,AM$173))*((Per_Mon="PYG")*AM$175+(Per_Mon&lt;&gt;"PYG")))*(AM$171+AM$172*V_PreInd)*INDEX(IdxSal_V,1,MIN(10,AM$173))*(1+V_Cargas)+AM$235*V_Alim*AM$175</f>
        <v>20432.4948990137</v>
      </c>
      <c r="AN236" s="34" t="n">
        <f aca="false">SUMPRODUCT((Per_Clase="Indirecto")*Sal_V*INDEX(Dot_V,0,MIN(10,AN$173))*((Per_Mon="PYG")*AN$175+(Per_Mon&lt;&gt;"PYG")))*(AN$171+AN$172*V_PreInd)*INDEX(IdxSal_V,1,MIN(10,AN$173))*(1+V_Cargas)+AN$235*V_Alim*AN$175</f>
        <v>20432.4948990137</v>
      </c>
      <c r="AO236" s="34" t="n">
        <f aca="false">SUMPRODUCT((Per_Clase="Indirecto")*Sal_V*INDEX(Dot_V,0,MIN(10,AO$173))*((Per_Mon="PYG")*AO$175+(Per_Mon&lt;&gt;"PYG")))*(AO$171+AO$172*V_PreInd)*INDEX(IdxSal_V,1,MIN(10,AO$173))*(1+V_Cargas)+AO$235*V_Alim*AO$175</f>
        <v>20432.4948990137</v>
      </c>
      <c r="AP236" s="34" t="n">
        <f aca="false">SUMPRODUCT((Per_Clase="Indirecto")*Sal_V*INDEX(Dot_V,0,MIN(10,AP$173))*((Per_Mon="PYG")*AP$175+(Per_Mon&lt;&gt;"PYG")))*(AP$171+AP$172*V_PreInd)*INDEX(IdxSal_V,1,MIN(10,AP$173))*(1+V_Cargas)+AP$235*V_Alim*AP$175</f>
        <v>20432.4948990137</v>
      </c>
      <c r="AQ236" s="34" t="n">
        <f aca="false">SUMPRODUCT((Per_Clase="Indirecto")*Sal_V*INDEX(Dot_V,0,MIN(10,AQ$173))*((Per_Mon="PYG")*AQ$175+(Per_Mon&lt;&gt;"PYG")))*(AQ$171+AQ$172*V_PreInd)*INDEX(IdxSal_V,1,MIN(10,AQ$173))*(1+V_Cargas)+AQ$235*V_Alim*AQ$175</f>
        <v>20432.4948990137</v>
      </c>
      <c r="AR236" s="34" t="n">
        <f aca="false">SUMPRODUCT((Per_Clase="Indirecto")*Sal_V*INDEX(Dot_V,0,MIN(10,AR$173))*((Per_Mon="PYG")*AR$175+(Per_Mon&lt;&gt;"PYG")))*(AR$171+AR$172*V_PreInd)*INDEX(IdxSal_V,1,MIN(10,AR$173))*(1+V_Cargas)+AR$235*V_Alim*AR$175</f>
        <v>20432.4948990137</v>
      </c>
      <c r="AS236" s="34" t="n">
        <f aca="false">SUMPRODUCT((Per_Clase="Indirecto")*Sal_V*INDEX(Dot_V,0,MIN(10,AS$173))*((Per_Mon="PYG")*AS$175+(Per_Mon&lt;&gt;"PYG")))*(AS$171+AS$172*V_PreInd)*INDEX(IdxSal_V,1,MIN(10,AS$173))*(1+V_Cargas)+AS$235*V_Alim*AS$175</f>
        <v>20432.4948990137</v>
      </c>
      <c r="AT236" s="34" t="n">
        <f aca="false">SUMPRODUCT((Per_Clase="Indirecto")*Sal_V*INDEX(Dot_V,0,MIN(10,AT$173))*((Per_Mon="PYG")*AT$175+(Per_Mon&lt;&gt;"PYG")))*(AT$171+AT$172*V_PreInd)*INDEX(IdxSal_V,1,MIN(10,AT$173))*(1+V_Cargas)+AT$235*V_Alim*AT$175</f>
        <v>20432.4948990137</v>
      </c>
      <c r="AU236" s="34" t="n">
        <f aca="false">SUMPRODUCT((Per_Clase="Indirecto")*Sal_V*INDEX(Dot_V,0,MIN(10,AU$173))*((Per_Mon="PYG")*AU$175+(Per_Mon&lt;&gt;"PYG")))*(AU$171+AU$172*V_PreInd)*INDEX(IdxSal_V,1,MIN(10,AU$173))*(1+V_Cargas)+AU$235*V_Alim*AU$175</f>
        <v>20432.4948990137</v>
      </c>
      <c r="AV236" s="34" t="n">
        <f aca="false">SUMPRODUCT((Per_Clase="Indirecto")*Sal_V*INDEX(Dot_V,0,MIN(10,AV$173))*((Per_Mon="PYG")*AV$175+(Per_Mon&lt;&gt;"PYG")))*(AV$171+AV$172*V_PreInd)*INDEX(IdxSal_V,1,MIN(10,AV$173))*(1+V_Cargas)+AV$235*V_Alim*AV$175</f>
        <v>20432.4948990137</v>
      </c>
      <c r="AW236" s="34" t="n">
        <f aca="false">SUMPRODUCT((Per_Clase="Indirecto")*Sal_V*INDEX(Dot_V,0,MIN(10,AW$173))*((Per_Mon="PYG")*AW$175+(Per_Mon&lt;&gt;"PYG")))*(AW$171+AW$172*V_PreInd)*INDEX(IdxSal_V,1,MIN(10,AW$173))*(1+V_Cargas)+AW$235*V_Alim*AW$175</f>
        <v>20432.4948990137</v>
      </c>
      <c r="AX236" s="34" t="n">
        <f aca="false">SUMPRODUCT((Per_Clase="Indirecto")*Sal_V*INDEX(Dot_V,0,MIN(10,AX$173))*((Per_Mon="PYG")*AX$175+(Per_Mon&lt;&gt;"PYG")))*(AX$171+AX$172*V_PreInd)*INDEX(IdxSal_V,1,MIN(10,AX$173))*(1+V_Cargas)+AX$235*V_Alim*AX$175</f>
        <v>20432.4948990137</v>
      </c>
      <c r="AY236" s="34" t="n">
        <f aca="false">SUMPRODUCT((Per_Clase="Indirecto")*Sal_V*INDEX(Dot_V,0,MIN(10,AY$173))*((Per_Mon="PYG")*AY$175+(Per_Mon&lt;&gt;"PYG")))*(AY$171+AY$172*V_PreInd)*INDEX(IdxSal_V,1,MIN(10,AY$173))*(1+V_Cargas)+AY$235*V_Alim*AY$175</f>
        <v>20432.4948990137</v>
      </c>
      <c r="AZ236" s="34" t="n">
        <f aca="false">SUMPRODUCT((Per_Clase="Indirecto")*Sal_V*INDEX(Dot_V,0,MIN(10,AZ$173))*((Per_Mon="PYG")*AZ$175+(Per_Mon&lt;&gt;"PYG")))*(AZ$171+AZ$172*V_PreInd)*INDEX(IdxSal_V,1,MIN(10,AZ$173))*(1+V_Cargas)+AZ$235*V_Alim*AZ$175</f>
        <v>20432.4948990137</v>
      </c>
      <c r="BA236" s="34" t="n">
        <f aca="false">SUMPRODUCT((Per_Clase="Indirecto")*Sal_V*INDEX(Dot_V,0,MIN(10,BA$173))*((Per_Mon="PYG")*BA$175+(Per_Mon&lt;&gt;"PYG")))*(BA$171+BA$172*V_PreInd)*INDEX(IdxSal_V,1,MIN(10,BA$173))*(1+V_Cargas)+BA$235*V_Alim*BA$175</f>
        <v>20432.4948990137</v>
      </c>
      <c r="BB236" s="34" t="n">
        <f aca="false">SUMPRODUCT((Per_Clase="Indirecto")*Sal_V*INDEX(Dot_V,0,MIN(10,BB$173))*((Per_Mon="PYG")*BB$175+(Per_Mon&lt;&gt;"PYG")))*(BB$171+BB$172*V_PreInd)*INDEX(IdxSal_V,1,MIN(10,BB$173))*(1+V_Cargas)+BB$235*V_Alim*BB$175</f>
        <v>20432.4948990137</v>
      </c>
      <c r="BC236" s="34" t="n">
        <f aca="false">SUMPRODUCT((Per_Clase="Indirecto")*Sal_V*INDEX(Dot_V,0,MIN(10,BC$173))*((Per_Mon="PYG")*BC$175+(Per_Mon&lt;&gt;"PYG")))*(BC$171+BC$172*V_PreInd)*INDEX(IdxSal_V,1,MIN(10,BC$173))*(1+V_Cargas)+BC$235*V_Alim*BC$175</f>
        <v>20432.4948990137</v>
      </c>
      <c r="BD236" s="34" t="n">
        <f aca="false">SUMPRODUCT((Per_Clase="Indirecto")*Sal_V*INDEX(Dot_V,0,MIN(10,BD$173))*((Per_Mon="PYG")*BD$175+(Per_Mon&lt;&gt;"PYG")))*(BD$171+BD$172*V_PreInd)*INDEX(IdxSal_V,1,MIN(10,BD$173))*(1+V_Cargas)+BD$235*V_Alim*BD$175</f>
        <v>20432.4948990137</v>
      </c>
      <c r="BE236" s="34" t="n">
        <f aca="false">SUMPRODUCT((Per_Clase="Indirecto")*Sal_V*INDEX(Dot_V,0,MIN(10,BE$173))*((Per_Mon="PYG")*BE$175+(Per_Mon&lt;&gt;"PYG")))*(BE$171+BE$172*V_PreInd)*INDEX(IdxSal_V,1,MIN(10,BE$173))*(1+V_Cargas)+BE$235*V_Alim*BE$175</f>
        <v>20432.4948990137</v>
      </c>
      <c r="BF236" s="34" t="n">
        <f aca="false">SUMPRODUCT((Per_Clase="Indirecto")*Sal_V*INDEX(Dot_V,0,MIN(10,BF$173))*((Per_Mon="PYG")*BF$175+(Per_Mon&lt;&gt;"PYG")))*(BF$171+BF$172*V_PreInd)*INDEX(IdxSal_V,1,MIN(10,BF$173))*(1+V_Cargas)+BF$235*V_Alim*BF$175</f>
        <v>20432.4948990137</v>
      </c>
      <c r="BG236" s="34" t="n">
        <f aca="false">SUMPRODUCT((Per_Clase="Indirecto")*Sal_V*INDEX(Dot_V,0,MIN(10,BG$173))*((Per_Mon="PYG")*BG$175+(Per_Mon&lt;&gt;"PYG")))*(BG$171+BG$172*V_PreInd)*INDEX(IdxSal_V,1,MIN(10,BG$173))*(1+V_Cargas)+BG$235*V_Alim*BG$175</f>
        <v>20432.4948990137</v>
      </c>
      <c r="BH236" s="34" t="n">
        <f aca="false">SUMPRODUCT((Per_Clase="Indirecto")*Sal_V*INDEX(Dot_V,0,MIN(10,BH$173))*((Per_Mon="PYG")*BH$175+(Per_Mon&lt;&gt;"PYG")))*(BH$171+BH$172*V_PreInd)*INDEX(IdxSal_V,1,MIN(10,BH$173))*(1+V_Cargas)+BH$235*V_Alim*BH$175</f>
        <v>20432.4948990137</v>
      </c>
      <c r="BI236" s="34" t="n">
        <f aca="false">SUMPRODUCT((Per_Clase="Indirecto")*Sal_V*INDEX(Dot_V,0,MIN(10,BI$173))*((Per_Mon="PYG")*BI$175+(Per_Mon&lt;&gt;"PYG")))*(BI$171+BI$172*V_PreInd)*INDEX(IdxSal_V,1,MIN(10,BI$173))*(1+V_Cargas)+BI$235*V_Alim*BI$175</f>
        <v>20432.4948990137</v>
      </c>
      <c r="BJ236" s="34" t="n">
        <f aca="false">SUMPRODUCT((Per_Clase="Indirecto")*Sal_V*INDEX(Dot_V,0,MIN(10,BJ$173))*((Per_Mon="PYG")*BJ$175+(Per_Mon&lt;&gt;"PYG")))*(BJ$171+BJ$172*V_PreInd)*INDEX(IdxSal_V,1,MIN(10,BJ$173))*(1+V_Cargas)+BJ$235*V_Alim*BJ$175</f>
        <v>20432.4948990137</v>
      </c>
      <c r="BK236" s="34" t="n">
        <f aca="false">SUMPRODUCT((Per_Clase="Indirecto")*Sal_V*INDEX(Dot_V,0,MIN(10,BK$173))*((Per_Mon="PYG")*BK$175+(Per_Mon&lt;&gt;"PYG")))*(BK$171+BK$172*V_PreInd)*INDEX(IdxSal_V,1,MIN(10,BK$173))*(1+V_Cargas)+BK$235*V_Alim*BK$175</f>
        <v>20432.4948990137</v>
      </c>
      <c r="BL236" s="34" t="n">
        <f aca="false">SUMPRODUCT((Per_Clase="Indirecto")*Sal_V*INDEX(Dot_V,0,MIN(10,BL$173))*((Per_Mon="PYG")*BL$175+(Per_Mon&lt;&gt;"PYG")))*(BL$171+BL$172*V_PreInd)*INDEX(IdxSal_V,1,MIN(10,BL$173))*(1+V_Cargas)+BL$235*V_Alim*BL$175</f>
        <v>20432.4948990137</v>
      </c>
      <c r="BM236" s="34" t="n">
        <f aca="false">SUMPRODUCT((Per_Clase="Indirecto")*Sal_V*INDEX(Dot_V,0,MIN(10,BM$173))*((Per_Mon="PYG")*BM$175+(Per_Mon&lt;&gt;"PYG")))*(BM$171+BM$172*V_PreInd)*INDEX(IdxSal_V,1,MIN(10,BM$173))*(1+V_Cargas)+BM$235*V_Alim*BM$175</f>
        <v>20432.4948990137</v>
      </c>
      <c r="BN236" s="34" t="n">
        <f aca="false">SUMPRODUCT((Per_Clase="Indirecto")*Sal_V*INDEX(Dot_V,0,MIN(10,BN$173))*((Per_Mon="PYG")*BN$175+(Per_Mon&lt;&gt;"PYG")))*(BN$171+BN$172*V_PreInd)*INDEX(IdxSal_V,1,MIN(10,BN$173))*(1+V_Cargas)+BN$235*V_Alim*BN$175</f>
        <v>20432.4948990137</v>
      </c>
      <c r="BO236" s="34" t="n">
        <f aca="false">SUMPRODUCT((Per_Clase="Indirecto")*Sal_V*INDEX(Dot_V,0,MIN(10,BO$173))*((Per_Mon="PYG")*BO$175+(Per_Mon&lt;&gt;"PYG")))*(BO$171+BO$172*V_PreInd)*INDEX(IdxSal_V,1,MIN(10,BO$173))*(1+V_Cargas)+BO$235*V_Alim*BO$175</f>
        <v>20432.4948990137</v>
      </c>
      <c r="BP236" s="34" t="n">
        <f aca="false">SUMPRODUCT((Per_Clase="Indirecto")*Sal_V*INDEX(Dot_V,0,MIN(10,BP$173))*((Per_Mon="PYG")*BP$175+(Per_Mon&lt;&gt;"PYG")))*(BP$171+BP$172*V_PreInd)*INDEX(IdxSal_V,1,MIN(10,BP$173))*(1+V_Cargas)+BP$235*V_Alim*BP$175</f>
        <v>20432.4948990137</v>
      </c>
      <c r="BQ236" s="34" t="n">
        <f aca="false">SUMPRODUCT((Per_Clase="Indirecto")*Sal_V*INDEX(Dot_V,0,MIN(10,BQ$173))*((Per_Mon="PYG")*BQ$175+(Per_Mon&lt;&gt;"PYG")))*(BQ$171+BQ$172*V_PreInd)*INDEX(IdxSal_V,1,MIN(10,BQ$173))*(1+V_Cargas)+BQ$235*V_Alim*BQ$175</f>
        <v>20432.4948990137</v>
      </c>
      <c r="BR236" s="34" t="n">
        <f aca="false">SUMPRODUCT((Per_Clase="Indirecto")*Sal_V*INDEX(Dot_V,0,MIN(10,BR$173))*((Per_Mon="PYG")*BR$175+(Per_Mon&lt;&gt;"PYG")))*(BR$171+BR$172*V_PreInd)*INDEX(IdxSal_V,1,MIN(10,BR$173))*(1+V_Cargas)+BR$235*V_Alim*BR$175</f>
        <v>20432.4948990137</v>
      </c>
      <c r="BS236" s="34" t="n">
        <f aca="false">SUMPRODUCT((Per_Clase="Indirecto")*Sal_V*INDEX(Dot_V,0,MIN(10,BS$173))*((Per_Mon="PYG")*BS$175+(Per_Mon&lt;&gt;"PYG")))*(BS$171+BS$172*V_PreInd)*INDEX(IdxSal_V,1,MIN(10,BS$173))*(1+V_Cargas)+BS$235*V_Alim*BS$175</f>
        <v>20432.4948990137</v>
      </c>
      <c r="BT236" s="34" t="n">
        <f aca="false">SUMPRODUCT((Per_Clase="Indirecto")*Sal_V*INDEX(Dot_V,0,MIN(10,BT$173))*((Per_Mon="PYG")*BT$175+(Per_Mon&lt;&gt;"PYG")))*(BT$171+BT$172*V_PreInd)*INDEX(IdxSal_V,1,MIN(10,BT$173))*(1+V_Cargas)+BT$235*V_Alim*BT$175</f>
        <v>20432.4948990137</v>
      </c>
      <c r="BU236" s="34" t="n">
        <f aca="false">SUMPRODUCT((Per_Clase="Indirecto")*Sal_V*INDEX(Dot_V,0,MIN(10,BU$173))*((Per_Mon="PYG")*BU$175+(Per_Mon&lt;&gt;"PYG")))*(BU$171+BU$172*V_PreInd)*INDEX(IdxSal_V,1,MIN(10,BU$173))*(1+V_Cargas)+BU$235*V_Alim*BU$175</f>
        <v>20432.4948990137</v>
      </c>
      <c r="BV236" s="34" t="n">
        <f aca="false">SUMPRODUCT((Per_Clase="Indirecto")*Sal_V*INDEX(Dot_V,0,MIN(10,BV$173))*((Per_Mon="PYG")*BV$175+(Per_Mon&lt;&gt;"PYG")))*(BV$171+BV$172*V_PreInd)*INDEX(IdxSal_V,1,MIN(10,BV$173))*(1+V_Cargas)+BV$235*V_Alim*BV$175</f>
        <v>20432.4948990137</v>
      </c>
      <c r="BW236" s="34" t="n">
        <f aca="false">SUMPRODUCT((Per_Clase="Indirecto")*Sal_V*INDEX(Dot_V,0,MIN(10,BW$173))*((Per_Mon="PYG")*BW$175+(Per_Mon&lt;&gt;"PYG")))*(BW$171+BW$172*V_PreInd)*INDEX(IdxSal_V,1,MIN(10,BW$173))*(1+V_Cargas)+BW$235*V_Alim*BW$175</f>
        <v>20432.4948990137</v>
      </c>
      <c r="BX236" s="34" t="n">
        <f aca="false">SUMPRODUCT((Per_Clase="Indirecto")*Sal_V*INDEX(Dot_V,0,MIN(10,BX$173))*((Per_Mon="PYG")*BX$175+(Per_Mon&lt;&gt;"PYG")))*(BX$171+BX$172*V_PreInd)*INDEX(IdxSal_V,1,MIN(10,BX$173))*(1+V_Cargas)+BX$235*V_Alim*BX$175</f>
        <v>20432.4948990137</v>
      </c>
      <c r="BY236" s="34" t="n">
        <f aca="false">SUMPRODUCT((Per_Clase="Indirecto")*Sal_V*INDEX(Dot_V,0,MIN(10,BY$173))*((Per_Mon="PYG")*BY$175+(Per_Mon&lt;&gt;"PYG")))*(BY$171+BY$172*V_PreInd)*INDEX(IdxSal_V,1,MIN(10,BY$173))*(1+V_Cargas)+BY$235*V_Alim*BY$175</f>
        <v>20432.4948990137</v>
      </c>
      <c r="BZ236" s="34" t="n">
        <f aca="false">SUMPRODUCT((Per_Clase="Indirecto")*Sal_V*INDEX(Dot_V,0,MIN(10,BZ$173))*((Per_Mon="PYG")*BZ$175+(Per_Mon&lt;&gt;"PYG")))*(BZ$171+BZ$172*V_PreInd)*INDEX(IdxSal_V,1,MIN(10,BZ$173))*(1+V_Cargas)+BZ$235*V_Alim*BZ$175</f>
        <v>20432.4948990137</v>
      </c>
      <c r="CA236" s="34" t="n">
        <f aca="false">SUMPRODUCT((Per_Clase="Indirecto")*Sal_V*INDEX(Dot_V,0,MIN(10,CA$173))*((Per_Mon="PYG")*CA$175+(Per_Mon&lt;&gt;"PYG")))*(CA$171+CA$172*V_PreInd)*INDEX(IdxSal_V,1,MIN(10,CA$173))*(1+V_Cargas)+CA$235*V_Alim*CA$175</f>
        <v>20432.4948990137</v>
      </c>
      <c r="CB236" s="34" t="n">
        <f aca="false">SUMPRODUCT((Per_Clase="Indirecto")*Sal_V*INDEX(Dot_V,0,MIN(10,CB$173))*((Per_Mon="PYG")*CB$175+(Per_Mon&lt;&gt;"PYG")))*(CB$171+CB$172*V_PreInd)*INDEX(IdxSal_V,1,MIN(10,CB$173))*(1+V_Cargas)+CB$235*V_Alim*CB$175</f>
        <v>20432.4948990137</v>
      </c>
      <c r="CC236" s="34" t="n">
        <f aca="false">SUMPRODUCT((Per_Clase="Indirecto")*Sal_V*INDEX(Dot_V,0,MIN(10,CC$173))*((Per_Mon="PYG")*CC$175+(Per_Mon&lt;&gt;"PYG")))*(CC$171+CC$172*V_PreInd)*INDEX(IdxSal_V,1,MIN(10,CC$173))*(1+V_Cargas)+CC$235*V_Alim*CC$175</f>
        <v>20432.4948990137</v>
      </c>
      <c r="CD236" s="34" t="n">
        <f aca="false">SUMPRODUCT((Per_Clase="Indirecto")*Sal_V*INDEX(Dot_V,0,MIN(10,CD$173))*((Per_Mon="PYG")*CD$175+(Per_Mon&lt;&gt;"PYG")))*(CD$171+CD$172*V_PreInd)*INDEX(IdxSal_V,1,MIN(10,CD$173))*(1+V_Cargas)+CD$235*V_Alim*CD$175</f>
        <v>20432.4948990137</v>
      </c>
      <c r="CE236" s="34" t="n">
        <f aca="false">SUMPRODUCT((Per_Clase="Indirecto")*Sal_V*INDEX(Dot_V,0,MIN(10,CE$173))*((Per_Mon="PYG")*CE$175+(Per_Mon&lt;&gt;"PYG")))*(CE$171+CE$172*V_PreInd)*INDEX(IdxSal_V,1,MIN(10,CE$173))*(1+V_Cargas)+CE$235*V_Alim*CE$175</f>
        <v>20432.4948990137</v>
      </c>
      <c r="CF236" s="34" t="n">
        <f aca="false">SUMPRODUCT((Per_Clase="Indirecto")*Sal_V*INDEX(Dot_V,0,MIN(10,CF$173))*((Per_Mon="PYG")*CF$175+(Per_Mon&lt;&gt;"PYG")))*(CF$171+CF$172*V_PreInd)*INDEX(IdxSal_V,1,MIN(10,CF$173))*(1+V_Cargas)+CF$235*V_Alim*CF$175</f>
        <v>20432.4948990137</v>
      </c>
      <c r="CG236" s="34" t="n">
        <f aca="false">SUMPRODUCT((Per_Clase="Indirecto")*Sal_V*INDEX(Dot_V,0,MIN(10,CG$173))*((Per_Mon="PYG")*CG$175+(Per_Mon&lt;&gt;"PYG")))*(CG$171+CG$172*V_PreInd)*INDEX(IdxSal_V,1,MIN(10,CG$173))*(1+V_Cargas)+CG$235*V_Alim*CG$175</f>
        <v>20432.4948990137</v>
      </c>
      <c r="CH236" s="34" t="n">
        <f aca="false">SUMPRODUCT((Per_Clase="Indirecto")*Sal_V*INDEX(Dot_V,0,MIN(10,CH$173))*((Per_Mon="PYG")*CH$175+(Per_Mon&lt;&gt;"PYG")))*(CH$171+CH$172*V_PreInd)*INDEX(IdxSal_V,1,MIN(10,CH$173))*(1+V_Cargas)+CH$235*V_Alim*CH$175</f>
        <v>20432.4948990137</v>
      </c>
      <c r="CI236" s="34" t="n">
        <f aca="false">SUMPRODUCT((Per_Clase="Indirecto")*Sal_V*INDEX(Dot_V,0,MIN(10,CI$173))*((Per_Mon="PYG")*CI$175+(Per_Mon&lt;&gt;"PYG")))*(CI$171+CI$172*V_PreInd)*INDEX(IdxSal_V,1,MIN(10,CI$173))*(1+V_Cargas)+CI$235*V_Alim*CI$175</f>
        <v>20432.4948990137</v>
      </c>
      <c r="CJ236" s="34" t="n">
        <f aca="false">SUMPRODUCT((Per_Clase="Indirecto")*Sal_V*INDEX(Dot_V,0,MIN(10,CJ$173))*((Per_Mon="PYG")*CJ$175+(Per_Mon&lt;&gt;"PYG")))*(CJ$171+CJ$172*V_PreInd)*INDEX(IdxSal_V,1,MIN(10,CJ$173))*(1+V_Cargas)+CJ$235*V_Alim*CJ$175</f>
        <v>20432.4948990137</v>
      </c>
      <c r="CK236" s="34" t="n">
        <f aca="false">SUMPRODUCT((Per_Clase="Indirecto")*Sal_V*INDEX(Dot_V,0,MIN(10,CK$173))*((Per_Mon="PYG")*CK$175+(Per_Mon&lt;&gt;"PYG")))*(CK$171+CK$172*V_PreInd)*INDEX(IdxSal_V,1,MIN(10,CK$173))*(1+V_Cargas)+CK$235*V_Alim*CK$175</f>
        <v>20432.4948990137</v>
      </c>
      <c r="CL236" s="34" t="n">
        <f aca="false">SUMPRODUCT((Per_Clase="Indirecto")*Sal_V*INDEX(Dot_V,0,MIN(10,CL$173))*((Per_Mon="PYG")*CL$175+(Per_Mon&lt;&gt;"PYG")))*(CL$171+CL$172*V_PreInd)*INDEX(IdxSal_V,1,MIN(10,CL$173))*(1+V_Cargas)+CL$235*V_Alim*CL$175</f>
        <v>20432.4948990137</v>
      </c>
      <c r="CM236" s="34" t="n">
        <f aca="false">SUMPRODUCT((Per_Clase="Indirecto")*Sal_V*INDEX(Dot_V,0,MIN(10,CM$173))*((Per_Mon="PYG")*CM$175+(Per_Mon&lt;&gt;"PYG")))*(CM$171+CM$172*V_PreInd)*INDEX(IdxSal_V,1,MIN(10,CM$173))*(1+V_Cargas)+CM$235*V_Alim*CM$175</f>
        <v>20432.4948990137</v>
      </c>
      <c r="CN236" s="34" t="n">
        <f aca="false">SUMPRODUCT((Per_Clase="Indirecto")*Sal_V*INDEX(Dot_V,0,MIN(10,CN$173))*((Per_Mon="PYG")*CN$175+(Per_Mon&lt;&gt;"PYG")))*(CN$171+CN$172*V_PreInd)*INDEX(IdxSal_V,1,MIN(10,CN$173))*(1+V_Cargas)+CN$235*V_Alim*CN$175</f>
        <v>20432.4948990137</v>
      </c>
      <c r="CO236" s="34" t="n">
        <f aca="false">SUMPRODUCT((Per_Clase="Indirecto")*Sal_V*INDEX(Dot_V,0,MIN(10,CO$173))*((Per_Mon="PYG")*CO$175+(Per_Mon&lt;&gt;"PYG")))*(CO$171+CO$172*V_PreInd)*INDEX(IdxSal_V,1,MIN(10,CO$173))*(1+V_Cargas)+CO$235*V_Alim*CO$175</f>
        <v>20432.4948990137</v>
      </c>
      <c r="CP236" s="34" t="n">
        <f aca="false">SUMPRODUCT((Per_Clase="Indirecto")*Sal_V*INDEX(Dot_V,0,MIN(10,CP$173))*((Per_Mon="PYG")*CP$175+(Per_Mon&lt;&gt;"PYG")))*(CP$171+CP$172*V_PreInd)*INDEX(IdxSal_V,1,MIN(10,CP$173))*(1+V_Cargas)+CP$235*V_Alim*CP$175</f>
        <v>20432.4948990137</v>
      </c>
      <c r="CQ236" s="34" t="n">
        <f aca="false">SUMPRODUCT((Per_Clase="Indirecto")*Sal_V*INDEX(Dot_V,0,MIN(10,CQ$173))*((Per_Mon="PYG")*CQ$175+(Per_Mon&lt;&gt;"PYG")))*(CQ$171+CQ$172*V_PreInd)*INDEX(IdxSal_V,1,MIN(10,CQ$173))*(1+V_Cargas)+CQ$235*V_Alim*CQ$175</f>
        <v>20432.4948990137</v>
      </c>
      <c r="CR236" s="34" t="n">
        <f aca="false">SUMPRODUCT((Per_Clase="Indirecto")*Sal_V*INDEX(Dot_V,0,MIN(10,CR$173))*((Per_Mon="PYG")*CR$175+(Per_Mon&lt;&gt;"PYG")))*(CR$171+CR$172*V_PreInd)*INDEX(IdxSal_V,1,MIN(10,CR$173))*(1+V_Cargas)+CR$235*V_Alim*CR$175</f>
        <v>20432.4948990137</v>
      </c>
      <c r="CS236" s="34" t="n">
        <f aca="false">SUMPRODUCT((Per_Clase="Indirecto")*Sal_V*INDEX(Dot_V,0,MIN(10,CS$173))*((Per_Mon="PYG")*CS$175+(Per_Mon&lt;&gt;"PYG")))*(CS$171+CS$172*V_PreInd)*INDEX(IdxSal_V,1,MIN(10,CS$173))*(1+V_Cargas)+CS$235*V_Alim*CS$175</f>
        <v>20432.4948990137</v>
      </c>
      <c r="CT236" s="34" t="n">
        <f aca="false">SUMPRODUCT((Per_Clase="Indirecto")*Sal_V*INDEX(Dot_V,0,MIN(10,CT$173))*((Per_Mon="PYG")*CT$175+(Per_Mon&lt;&gt;"PYG")))*(CT$171+CT$172*V_PreInd)*INDEX(IdxSal_V,1,MIN(10,CT$173))*(1+V_Cargas)+CT$235*V_Alim*CT$175</f>
        <v>20432.4948990137</v>
      </c>
      <c r="CU236" s="34" t="n">
        <f aca="false">SUMPRODUCT((Per_Clase="Indirecto")*Sal_V*INDEX(Dot_V,0,MIN(10,CU$173))*((Per_Mon="PYG")*CU$175+(Per_Mon&lt;&gt;"PYG")))*(CU$171+CU$172*V_PreInd)*INDEX(IdxSal_V,1,MIN(10,CU$173))*(1+V_Cargas)+CU$235*V_Alim*CU$175</f>
        <v>20432.4948990137</v>
      </c>
      <c r="CV236" s="34" t="n">
        <f aca="false">SUMPRODUCT((Per_Clase="Indirecto")*Sal_V*INDEX(Dot_V,0,MIN(10,CV$173))*((Per_Mon="PYG")*CV$175+(Per_Mon&lt;&gt;"PYG")))*(CV$171+CV$172*V_PreInd)*INDEX(IdxSal_V,1,MIN(10,CV$173))*(1+V_Cargas)+CV$235*V_Alim*CV$175</f>
        <v>20432.4948990137</v>
      </c>
      <c r="CW236" s="34" t="n">
        <f aca="false">SUMPRODUCT((Per_Clase="Indirecto")*Sal_V*INDEX(Dot_V,0,MIN(10,CW$173))*((Per_Mon="PYG")*CW$175+(Per_Mon&lt;&gt;"PYG")))*(CW$171+CW$172*V_PreInd)*INDEX(IdxSal_V,1,MIN(10,CW$173))*(1+V_Cargas)+CW$235*V_Alim*CW$175</f>
        <v>20432.4948990137</v>
      </c>
      <c r="CX236" s="34" t="n">
        <f aca="false">SUMPRODUCT((Per_Clase="Indirecto")*Sal_V*INDEX(Dot_V,0,MIN(10,CX$173))*((Per_Mon="PYG")*CX$175+(Per_Mon&lt;&gt;"PYG")))*(CX$171+CX$172*V_PreInd)*INDEX(IdxSal_V,1,MIN(10,CX$173))*(1+V_Cargas)+CX$235*V_Alim*CX$175</f>
        <v>20432.4948990137</v>
      </c>
      <c r="CY236" s="34" t="n">
        <f aca="false">SUMPRODUCT((Per_Clase="Indirecto")*Sal_V*INDEX(Dot_V,0,MIN(10,CY$173))*((Per_Mon="PYG")*CY$175+(Per_Mon&lt;&gt;"PYG")))*(CY$171+CY$172*V_PreInd)*INDEX(IdxSal_V,1,MIN(10,CY$173))*(1+V_Cargas)+CY$235*V_Alim*CY$175</f>
        <v>20432.4948990137</v>
      </c>
      <c r="CZ236" s="34" t="n">
        <f aca="false">SUMPRODUCT((Per_Clase="Indirecto")*Sal_V*INDEX(Dot_V,0,MIN(10,CZ$173))*((Per_Mon="PYG")*CZ$175+(Per_Mon&lt;&gt;"PYG")))*(CZ$171+CZ$172*V_PreInd)*INDEX(IdxSal_V,1,MIN(10,CZ$173))*(1+V_Cargas)+CZ$235*V_Alim*CZ$175</f>
        <v>20432.4948990137</v>
      </c>
      <c r="DA236" s="34" t="n">
        <f aca="false">SUMPRODUCT((Per_Clase="Indirecto")*Sal_V*INDEX(Dot_V,0,MIN(10,DA$173))*((Per_Mon="PYG")*DA$175+(Per_Mon&lt;&gt;"PYG")))*(DA$171+DA$172*V_PreInd)*INDEX(IdxSal_V,1,MIN(10,DA$173))*(1+V_Cargas)+DA$235*V_Alim*DA$175</f>
        <v>20432.4948990137</v>
      </c>
      <c r="DB236" s="34" t="n">
        <f aca="false">SUMPRODUCT((Per_Clase="Indirecto")*Sal_V*INDEX(Dot_V,0,MIN(10,DB$173))*((Per_Mon="PYG")*DB$175+(Per_Mon&lt;&gt;"PYG")))*(DB$171+DB$172*V_PreInd)*INDEX(IdxSal_V,1,MIN(10,DB$173))*(1+V_Cargas)+DB$235*V_Alim*DB$175</f>
        <v>20432.4948990137</v>
      </c>
      <c r="DC236" s="34" t="n">
        <f aca="false">SUMPRODUCT((Per_Clase="Indirecto")*Sal_V*INDEX(Dot_V,0,MIN(10,DC$173))*((Per_Mon="PYG")*DC$175+(Per_Mon&lt;&gt;"PYG")))*(DC$171+DC$172*V_PreInd)*INDEX(IdxSal_V,1,MIN(10,DC$173))*(1+V_Cargas)+DC$235*V_Alim*DC$175</f>
        <v>20432.4948990137</v>
      </c>
      <c r="DD236" s="34" t="n">
        <f aca="false">SUMPRODUCT((Per_Clase="Indirecto")*Sal_V*INDEX(Dot_V,0,MIN(10,DD$173))*((Per_Mon="PYG")*DD$175+(Per_Mon&lt;&gt;"PYG")))*(DD$171+DD$172*V_PreInd)*INDEX(IdxSal_V,1,MIN(10,DD$173))*(1+V_Cargas)+DD$235*V_Alim*DD$175</f>
        <v>20432.4948990137</v>
      </c>
      <c r="DE236" s="34" t="n">
        <f aca="false">SUMPRODUCT((Per_Clase="Indirecto")*Sal_V*INDEX(Dot_V,0,MIN(10,DE$173))*((Per_Mon="PYG")*DE$175+(Per_Mon&lt;&gt;"PYG")))*(DE$171+DE$172*V_PreInd)*INDEX(IdxSal_V,1,MIN(10,DE$173))*(1+V_Cargas)+DE$235*V_Alim*DE$175</f>
        <v>20432.4948990137</v>
      </c>
      <c r="DF236" s="34" t="n">
        <f aca="false">SUMPRODUCT((Per_Clase="Indirecto")*Sal_V*INDEX(Dot_V,0,MIN(10,DF$173))*((Per_Mon="PYG")*DF$175+(Per_Mon&lt;&gt;"PYG")))*(DF$171+DF$172*V_PreInd)*INDEX(IdxSal_V,1,MIN(10,DF$173))*(1+V_Cargas)+DF$235*V_Alim*DF$175</f>
        <v>20432.4948990137</v>
      </c>
      <c r="DG236" s="34" t="n">
        <f aca="false">SUMPRODUCT((Per_Clase="Indirecto")*Sal_V*INDEX(Dot_V,0,MIN(10,DG$173))*((Per_Mon="PYG")*DG$175+(Per_Mon&lt;&gt;"PYG")))*(DG$171+DG$172*V_PreInd)*INDEX(IdxSal_V,1,MIN(10,DG$173))*(1+V_Cargas)+DG$235*V_Alim*DG$175</f>
        <v>20432.4948990137</v>
      </c>
      <c r="DH236" s="34" t="n">
        <f aca="false">SUMPRODUCT((Per_Clase="Indirecto")*Sal_V*INDEX(Dot_V,0,MIN(10,DH$173))*((Per_Mon="PYG")*DH$175+(Per_Mon&lt;&gt;"PYG")))*(DH$171+DH$172*V_PreInd)*INDEX(IdxSal_V,1,MIN(10,DH$173))*(1+V_Cargas)+DH$235*V_Alim*DH$175</f>
        <v>20432.4948990137</v>
      </c>
      <c r="DI236" s="34" t="n">
        <f aca="false">SUMPRODUCT((Per_Clase="Indirecto")*Sal_V*INDEX(Dot_V,0,MIN(10,DI$173))*((Per_Mon="PYG")*DI$175+(Per_Mon&lt;&gt;"PYG")))*(DI$171+DI$172*V_PreInd)*INDEX(IdxSal_V,1,MIN(10,DI$173))*(1+V_Cargas)+DI$235*V_Alim*DI$175</f>
        <v>20432.4948990137</v>
      </c>
      <c r="DJ236" s="34" t="n">
        <f aca="false">SUMPRODUCT((Per_Clase="Indirecto")*Sal_V*INDEX(Dot_V,0,MIN(10,DJ$173))*((Per_Mon="PYG")*DJ$175+(Per_Mon&lt;&gt;"PYG")))*(DJ$171+DJ$172*V_PreInd)*INDEX(IdxSal_V,1,MIN(10,DJ$173))*(1+V_Cargas)+DJ$235*V_Alim*DJ$175</f>
        <v>20432.4948990137</v>
      </c>
      <c r="DK236" s="34" t="n">
        <f aca="false">SUMPRODUCT((Per_Clase="Indirecto")*Sal_V*INDEX(Dot_V,0,MIN(10,DK$173))*((Per_Mon="PYG")*DK$175+(Per_Mon&lt;&gt;"PYG")))*(DK$171+DK$172*V_PreInd)*INDEX(IdxSal_V,1,MIN(10,DK$173))*(1+V_Cargas)+DK$235*V_Alim*DK$175</f>
        <v>20432.4948990137</v>
      </c>
      <c r="DL236" s="34" t="n">
        <f aca="false">SUMPRODUCT((Per_Clase="Indirecto")*Sal_V*INDEX(Dot_V,0,MIN(10,DL$173))*((Per_Mon="PYG")*DL$175+(Per_Mon&lt;&gt;"PYG")))*(DL$171+DL$172*V_PreInd)*INDEX(IdxSal_V,1,MIN(10,DL$173))*(1+V_Cargas)+DL$235*V_Alim*DL$175</f>
        <v>20432.4948990137</v>
      </c>
      <c r="DM236" s="34" t="n">
        <f aca="false">SUMPRODUCT((Per_Clase="Indirecto")*Sal_V*INDEX(Dot_V,0,MIN(10,DM$173))*((Per_Mon="PYG")*DM$175+(Per_Mon&lt;&gt;"PYG")))*(DM$171+DM$172*V_PreInd)*INDEX(IdxSal_V,1,MIN(10,DM$173))*(1+V_Cargas)+DM$235*V_Alim*DM$175</f>
        <v>20432.4948990137</v>
      </c>
      <c r="DN236" s="34" t="n">
        <f aca="false">SUMPRODUCT((Per_Clase="Indirecto")*Sal_V*INDEX(Dot_V,0,MIN(10,DN$173))*((Per_Mon="PYG")*DN$175+(Per_Mon&lt;&gt;"PYG")))*(DN$171+DN$172*V_PreInd)*INDEX(IdxSal_V,1,MIN(10,DN$173))*(1+V_Cargas)+DN$235*V_Alim*DN$175</f>
        <v>20432.4948990137</v>
      </c>
      <c r="DO236" s="34" t="n">
        <f aca="false">SUMPRODUCT((Per_Clase="Indirecto")*Sal_V*INDEX(Dot_V,0,MIN(10,DO$173))*((Per_Mon="PYG")*DO$175+(Per_Mon&lt;&gt;"PYG")))*(DO$171+DO$172*V_PreInd)*INDEX(IdxSal_V,1,MIN(10,DO$173))*(1+V_Cargas)+DO$235*V_Alim*DO$175</f>
        <v>20432.4948990137</v>
      </c>
      <c r="DP236" s="34" t="n">
        <f aca="false">SUMPRODUCT((Per_Clase="Indirecto")*Sal_V*INDEX(Dot_V,0,MIN(10,DP$173))*((Per_Mon="PYG")*DP$175+(Per_Mon&lt;&gt;"PYG")))*(DP$171+DP$172*V_PreInd)*INDEX(IdxSal_V,1,MIN(10,DP$173))*(1+V_Cargas)+DP$235*V_Alim*DP$175</f>
        <v>20432.4948990137</v>
      </c>
      <c r="DQ236" s="34" t="n">
        <f aca="false">SUMPRODUCT((Per_Clase="Indirecto")*Sal_V*INDEX(Dot_V,0,MIN(10,DQ$173))*((Per_Mon="PYG")*DQ$175+(Per_Mon&lt;&gt;"PYG")))*(DQ$171+DQ$172*V_PreInd)*INDEX(IdxSal_V,1,MIN(10,DQ$173))*(1+V_Cargas)+DQ$235*V_Alim*DQ$175</f>
        <v>20432.4948990137</v>
      </c>
      <c r="DR236" s="34" t="n">
        <f aca="false">SUMPRODUCT((Per_Clase="Indirecto")*Sal_V*INDEX(Dot_V,0,MIN(10,DR$173))*((Per_Mon="PYG")*DR$175+(Per_Mon&lt;&gt;"PYG")))*(DR$171+DR$172*V_PreInd)*INDEX(IdxSal_V,1,MIN(10,DR$173))*(1+V_Cargas)+DR$235*V_Alim*DR$175</f>
        <v>20432.4948990137</v>
      </c>
      <c r="DS236" s="34" t="n">
        <f aca="false">SUMPRODUCT((Per_Clase="Indirecto")*Sal_V*INDEX(Dot_V,0,MIN(10,DS$173))*((Per_Mon="PYG")*DS$175+(Per_Mon&lt;&gt;"PYG")))*(DS$171+DS$172*V_PreInd)*INDEX(IdxSal_V,1,MIN(10,DS$173))*(1+V_Cargas)+DS$235*V_Alim*DS$175</f>
        <v>20432.4948990137</v>
      </c>
      <c r="DT236" s="34" t="n">
        <f aca="false">SUMPRODUCT((Per_Clase="Indirecto")*Sal_V*INDEX(Dot_V,0,MIN(10,DT$173))*((Per_Mon="PYG")*DT$175+(Per_Mon&lt;&gt;"PYG")))*(DT$171+DT$172*V_PreInd)*INDEX(IdxSal_V,1,MIN(10,DT$173))*(1+V_Cargas)+DT$235*V_Alim*DT$175</f>
        <v>20432.4948990137</v>
      </c>
      <c r="DU236" s="34" t="n">
        <f aca="false">SUMPRODUCT((Per_Clase="Indirecto")*Sal_V*INDEX(Dot_V,0,MIN(10,DU$173))*((Per_Mon="PYG")*DU$175+(Per_Mon&lt;&gt;"PYG")))*(DU$171+DU$172*V_PreInd)*INDEX(IdxSal_V,1,MIN(10,DU$173))*(1+V_Cargas)+DU$235*V_Alim*DU$175</f>
        <v>20432.4948990137</v>
      </c>
      <c r="DV236" s="34" t="n">
        <f aca="false">SUMPRODUCT((Per_Clase="Indirecto")*Sal_V*INDEX(Dot_V,0,MIN(10,DV$173))*((Per_Mon="PYG")*DV$175+(Per_Mon&lt;&gt;"PYG")))*(DV$171+DV$172*V_PreInd)*INDEX(IdxSal_V,1,MIN(10,DV$173))*(1+V_Cargas)+DV$235*V_Alim*DV$175</f>
        <v>0</v>
      </c>
      <c r="DW236" s="34" t="n">
        <f aca="false">SUMPRODUCT((Per_Clase="Indirecto")*Sal_V*INDEX(Dot_V,0,MIN(10,DW$173))*((Per_Mon="PYG")*DW$175+(Per_Mon&lt;&gt;"PYG")))*(DW$171+DW$172*V_PreInd)*INDEX(IdxSal_V,1,MIN(10,DW$173))*(1+V_Cargas)+DW$235*V_Alim*DW$175</f>
        <v>0</v>
      </c>
      <c r="DX236" s="34" t="n">
        <f aca="false">SUMPRODUCT((Per_Clase="Indirecto")*Sal_V*INDEX(Dot_V,0,MIN(10,DX$173))*((Per_Mon="PYG")*DX$175+(Per_Mon&lt;&gt;"PYG")))*(DX$171+DX$172*V_PreInd)*INDEX(IdxSal_V,1,MIN(10,DX$173))*(1+V_Cargas)+DX$235*V_Alim*DX$175</f>
        <v>0</v>
      </c>
      <c r="DY236" s="34" t="n">
        <f aca="false">SUMPRODUCT((Per_Clase="Indirecto")*Sal_V*INDEX(Dot_V,0,MIN(10,DY$173))*((Per_Mon="PYG")*DY$175+(Per_Mon&lt;&gt;"PYG")))*(DY$171+DY$172*V_PreInd)*INDEX(IdxSal_V,1,MIN(10,DY$173))*(1+V_Cargas)+DY$235*V_Alim*DY$175</f>
        <v>0</v>
      </c>
      <c r="DZ236" s="34" t="n">
        <f aca="false">SUMPRODUCT((Per_Clase="Indirecto")*Sal_V*INDEX(Dot_V,0,MIN(10,DZ$173))*((Per_Mon="PYG")*DZ$175+(Per_Mon&lt;&gt;"PYG")))*(DZ$171+DZ$172*V_PreInd)*INDEX(IdxSal_V,1,MIN(10,DZ$173))*(1+V_Cargas)+DZ$235*V_Alim*DZ$175</f>
        <v>0</v>
      </c>
      <c r="EA236" s="34" t="n">
        <f aca="false">SUMPRODUCT((Per_Clase="Indirecto")*Sal_V*INDEX(Dot_V,0,MIN(10,EA$173))*((Per_Mon="PYG")*EA$175+(Per_Mon&lt;&gt;"PYG")))*(EA$171+EA$172*V_PreInd)*INDEX(IdxSal_V,1,MIN(10,EA$173))*(1+V_Cargas)+EA$235*V_Alim*EA$175</f>
        <v>0</v>
      </c>
      <c r="EB236" s="34" t="n">
        <f aca="false">SUMPRODUCT((Per_Clase="Indirecto")*Sal_V*INDEX(Dot_V,0,MIN(10,EB$173))*((Per_Mon="PYG")*EB$175+(Per_Mon&lt;&gt;"PYG")))*(EB$171+EB$172*V_PreInd)*INDEX(IdxSal_V,1,MIN(10,EB$173))*(1+V_Cargas)+EB$235*V_Alim*EB$175</f>
        <v>0</v>
      </c>
      <c r="EC236" s="34" t="n">
        <f aca="false">SUMPRODUCT((Per_Clase="Indirecto")*Sal_V*INDEX(Dot_V,0,MIN(10,EC$173))*((Per_Mon="PYG")*EC$175+(Per_Mon&lt;&gt;"PYG")))*(EC$171+EC$172*V_PreInd)*INDEX(IdxSal_V,1,MIN(10,EC$173))*(1+V_Cargas)+EC$235*V_Alim*EC$175</f>
        <v>0</v>
      </c>
      <c r="ED236" s="34" t="n">
        <f aca="false">SUMPRODUCT((Per_Clase="Indirecto")*Sal_V*INDEX(Dot_V,0,MIN(10,ED$173))*((Per_Mon="PYG")*ED$175+(Per_Mon&lt;&gt;"PYG")))*(ED$171+ED$172*V_PreInd)*INDEX(IdxSal_V,1,MIN(10,ED$173))*(1+V_Cargas)+ED$235*V_Alim*ED$175</f>
        <v>0</v>
      </c>
      <c r="EE236" s="34" t="n">
        <f aca="false">SUMPRODUCT((Per_Clase="Indirecto")*Sal_V*INDEX(Dot_V,0,MIN(10,EE$173))*((Per_Mon="PYG")*EE$175+(Per_Mon&lt;&gt;"PYG")))*(EE$171+EE$172*V_PreInd)*INDEX(IdxSal_V,1,MIN(10,EE$173))*(1+V_Cargas)+EE$235*V_Alim*EE$175</f>
        <v>0</v>
      </c>
      <c r="EF236" s="34" t="n">
        <f aca="false">SUMPRODUCT((Per_Clase="Indirecto")*Sal_V*INDEX(Dot_V,0,MIN(10,EF$173))*((Per_Mon="PYG")*EF$175+(Per_Mon&lt;&gt;"PYG")))*(EF$171+EF$172*V_PreInd)*INDEX(IdxSal_V,1,MIN(10,EF$173))*(1+V_Cargas)+EF$235*V_Alim*EF$175</f>
        <v>0</v>
      </c>
      <c r="EG236" s="34" t="n">
        <f aca="false">SUMPRODUCT((Per_Clase="Indirecto")*Sal_V*INDEX(Dot_V,0,MIN(10,EG$173))*((Per_Mon="PYG")*EG$175+(Per_Mon&lt;&gt;"PYG")))*(EG$171+EG$172*V_PreInd)*INDEX(IdxSal_V,1,MIN(10,EG$173))*(1+V_Cargas)+EG$235*V_Alim*EG$175</f>
        <v>0</v>
      </c>
      <c r="EH236" s="34" t="n">
        <f aca="false">SUMPRODUCT((Per_Clase="Indirecto")*Sal_V*INDEX(Dot_V,0,MIN(10,EH$173))*((Per_Mon="PYG")*EH$175+(Per_Mon&lt;&gt;"PYG")))*(EH$171+EH$172*V_PreInd)*INDEX(IdxSal_V,1,MIN(10,EH$173))*(1+V_Cargas)+EH$235*V_Alim*EH$175</f>
        <v>0</v>
      </c>
      <c r="EI236" s="34" t="n">
        <f aca="false">SUMPRODUCT((Per_Clase="Indirecto")*Sal_V*INDEX(Dot_V,0,MIN(10,EI$173))*((Per_Mon="PYG")*EI$175+(Per_Mon&lt;&gt;"PYG")))*(EI$171+EI$172*V_PreInd)*INDEX(IdxSal_V,1,MIN(10,EI$173))*(1+V_Cargas)+EI$235*V_Alim*EI$175</f>
        <v>0</v>
      </c>
      <c r="EJ236" s="34" t="n">
        <f aca="false">SUMPRODUCT((Per_Clase="Indirecto")*Sal_V*INDEX(Dot_V,0,MIN(10,EJ$173))*((Per_Mon="PYG")*EJ$175+(Per_Mon&lt;&gt;"PYG")))*(EJ$171+EJ$172*V_PreInd)*INDEX(IdxSal_V,1,MIN(10,EJ$173))*(1+V_Cargas)+EJ$235*V_Alim*EJ$175</f>
        <v>0</v>
      </c>
      <c r="EK236" s="34" t="n">
        <f aca="false">SUMPRODUCT((Per_Clase="Indirecto")*Sal_V*INDEX(Dot_V,0,MIN(10,EK$173))*((Per_Mon="PYG")*EK$175+(Per_Mon&lt;&gt;"PYG")))*(EK$171+EK$172*V_PreInd)*INDEX(IdxSal_V,1,MIN(10,EK$173))*(1+V_Cargas)+EK$235*V_Alim*EK$175</f>
        <v>0</v>
      </c>
      <c r="EL236" s="34" t="n">
        <f aca="false">SUMPRODUCT((Per_Clase="Indirecto")*Sal_V*INDEX(Dot_V,0,MIN(10,EL$173))*((Per_Mon="PYG")*EL$175+(Per_Mon&lt;&gt;"PYG")))*(EL$171+EL$172*V_PreInd)*INDEX(IdxSal_V,1,MIN(10,EL$173))*(1+V_Cargas)+EL$235*V_Alim*EL$175</f>
        <v>0</v>
      </c>
      <c r="EM236" s="34" t="n">
        <f aca="false">SUMPRODUCT((Per_Clase="Indirecto")*Sal_V*INDEX(Dot_V,0,MIN(10,EM$173))*((Per_Mon="PYG")*EM$175+(Per_Mon&lt;&gt;"PYG")))*(EM$171+EM$172*V_PreInd)*INDEX(IdxSal_V,1,MIN(10,EM$173))*(1+V_Cargas)+EM$235*V_Alim*EM$175</f>
        <v>0</v>
      </c>
      <c r="EN236" s="34" t="n">
        <f aca="false">SUMPRODUCT((Per_Clase="Indirecto")*Sal_V*INDEX(Dot_V,0,MIN(10,EN$173))*((Per_Mon="PYG")*EN$175+(Per_Mon&lt;&gt;"PYG")))*(EN$171+EN$172*V_PreInd)*INDEX(IdxSal_V,1,MIN(10,EN$173))*(1+V_Cargas)+EN$235*V_Alim*EN$175</f>
        <v>0</v>
      </c>
      <c r="EO236" s="34" t="n">
        <f aca="false">SUMPRODUCT((Per_Clase="Indirecto")*Sal_V*INDEX(Dot_V,0,MIN(10,EO$173))*((Per_Mon="PYG")*EO$175+(Per_Mon&lt;&gt;"PYG")))*(EO$171+EO$172*V_PreInd)*INDEX(IdxSal_V,1,MIN(10,EO$173))*(1+V_Cargas)+EO$235*V_Alim*EO$175</f>
        <v>0</v>
      </c>
      <c r="EP236" s="34" t="n">
        <f aca="false">SUMPRODUCT((Per_Clase="Indirecto")*Sal_V*INDEX(Dot_V,0,MIN(10,EP$173))*((Per_Mon="PYG")*EP$175+(Per_Mon&lt;&gt;"PYG")))*(EP$171+EP$172*V_PreInd)*INDEX(IdxSal_V,1,MIN(10,EP$173))*(1+V_Cargas)+EP$235*V_Alim*EP$175</f>
        <v>0</v>
      </c>
      <c r="EQ236" s="34" t="n">
        <f aca="false">SUMPRODUCT((Per_Clase="Indirecto")*Sal_V*INDEX(Dot_V,0,MIN(10,EQ$173))*((Per_Mon="PYG")*EQ$175+(Per_Mon&lt;&gt;"PYG")))*(EQ$171+EQ$172*V_PreInd)*INDEX(IdxSal_V,1,MIN(10,EQ$173))*(1+V_Cargas)+EQ$235*V_Alim*EQ$175</f>
        <v>0</v>
      </c>
      <c r="ER236" s="34" t="n">
        <f aca="false">SUMPRODUCT((Per_Clase="Indirecto")*Sal_V*INDEX(Dot_V,0,MIN(10,ER$173))*((Per_Mon="PYG")*ER$175+(Per_Mon&lt;&gt;"PYG")))*(ER$171+ER$172*V_PreInd)*INDEX(IdxSal_V,1,MIN(10,ER$173))*(1+V_Cargas)+ER$235*V_Alim*ER$175</f>
        <v>0</v>
      </c>
      <c r="ES236" s="34" t="n">
        <f aca="false">SUMPRODUCT((Per_Clase="Indirecto")*Sal_V*INDEX(Dot_V,0,MIN(10,ES$173))*((Per_Mon="PYG")*ES$175+(Per_Mon&lt;&gt;"PYG")))*(ES$171+ES$172*V_PreInd)*INDEX(IdxSal_V,1,MIN(10,ES$173))*(1+V_Cargas)+ES$235*V_Alim*ES$175</f>
        <v>0</v>
      </c>
    </row>
    <row r="237" customFormat="false" ht="15" hidden="false" customHeight="false" outlineLevel="0" collapsed="false">
      <c r="A237" s="2" t="s">
        <v>878</v>
      </c>
      <c r="B237" s="6" t="s">
        <v>655</v>
      </c>
      <c r="C237" s="6" t="s">
        <v>647</v>
      </c>
      <c r="F237" s="36" t="n">
        <f aca="false">SUMPRODUCT((Per_Clase="Administración")*INDEX(Dot_V,0,MIN(10,F$173)))*(F$171+F$172*V_PreInd)</f>
        <v>5</v>
      </c>
      <c r="G237" s="36" t="n">
        <f aca="false">SUMPRODUCT((Per_Clase="Administración")*INDEX(Dot_V,0,MIN(10,G$173)))*(G$171+G$172*V_PreInd)</f>
        <v>5</v>
      </c>
      <c r="H237" s="36" t="n">
        <f aca="false">SUMPRODUCT((Per_Clase="Administración")*INDEX(Dot_V,0,MIN(10,H$173)))*(H$171+H$172*V_PreInd)</f>
        <v>5</v>
      </c>
      <c r="I237" s="36" t="n">
        <f aca="false">SUMPRODUCT((Per_Clase="Administración")*INDEX(Dot_V,0,MIN(10,I$173)))*(I$171+I$172*V_PreInd)</f>
        <v>5</v>
      </c>
      <c r="J237" s="36" t="n">
        <f aca="false">SUMPRODUCT((Per_Clase="Administración")*INDEX(Dot_V,0,MIN(10,J$173)))*(J$171+J$172*V_PreInd)</f>
        <v>5</v>
      </c>
      <c r="K237" s="36" t="n">
        <f aca="false">SUMPRODUCT((Per_Clase="Administración")*INDEX(Dot_V,0,MIN(10,K$173)))*(K$171+K$172*V_PreInd)</f>
        <v>5</v>
      </c>
      <c r="L237" s="36" t="n">
        <f aca="false">SUMPRODUCT((Per_Clase="Administración")*INDEX(Dot_V,0,MIN(10,L$173)))*(L$171+L$172*V_PreInd)</f>
        <v>5</v>
      </c>
      <c r="M237" s="36" t="n">
        <f aca="false">SUMPRODUCT((Per_Clase="Administración")*INDEX(Dot_V,0,MIN(10,M$173)))*(M$171+M$172*V_PreInd)</f>
        <v>5</v>
      </c>
      <c r="N237" s="36" t="n">
        <f aca="false">SUMPRODUCT((Per_Clase="Administración")*INDEX(Dot_V,0,MIN(10,N$173)))*(N$171+N$172*V_PreInd)</f>
        <v>5</v>
      </c>
      <c r="O237" s="36" t="n">
        <f aca="false">SUMPRODUCT((Per_Clase="Administración")*INDEX(Dot_V,0,MIN(10,O$173)))*(O$171+O$172*V_PreInd)</f>
        <v>5</v>
      </c>
      <c r="P237" s="36" t="n">
        <f aca="false">SUMPRODUCT((Per_Clase="Administración")*INDEX(Dot_V,0,MIN(10,P$173)))*(P$171+P$172*V_PreInd)</f>
        <v>5</v>
      </c>
      <c r="Q237" s="36" t="n">
        <f aca="false">SUMPRODUCT((Per_Clase="Administración")*INDEX(Dot_V,0,MIN(10,Q$173)))*(Q$171+Q$172*V_PreInd)</f>
        <v>5</v>
      </c>
      <c r="R237" s="36" t="n">
        <f aca="false">SUMPRODUCT((Per_Clase="Administración")*INDEX(Dot_V,0,MIN(10,R$173)))*(R$171+R$172*V_PreInd)</f>
        <v>5</v>
      </c>
      <c r="S237" s="36" t="n">
        <f aca="false">SUMPRODUCT((Per_Clase="Administración")*INDEX(Dot_V,0,MIN(10,S$173)))*(S$171+S$172*V_PreInd)</f>
        <v>5</v>
      </c>
      <c r="T237" s="36" t="n">
        <f aca="false">SUMPRODUCT((Per_Clase="Administración")*INDEX(Dot_V,0,MIN(10,T$173)))*(T$171+T$172*V_PreInd)</f>
        <v>5</v>
      </c>
      <c r="U237" s="36" t="n">
        <f aca="false">SUMPRODUCT((Per_Clase="Administración")*INDEX(Dot_V,0,MIN(10,U$173)))*(U$171+U$172*V_PreInd)</f>
        <v>5</v>
      </c>
      <c r="V237" s="36" t="n">
        <f aca="false">SUMPRODUCT((Per_Clase="Administración")*INDEX(Dot_V,0,MIN(10,V$173)))*(V$171+V$172*V_PreInd)</f>
        <v>5</v>
      </c>
      <c r="W237" s="36" t="n">
        <f aca="false">SUMPRODUCT((Per_Clase="Administración")*INDEX(Dot_V,0,MIN(10,W$173)))*(W$171+W$172*V_PreInd)</f>
        <v>5</v>
      </c>
      <c r="X237" s="36" t="n">
        <f aca="false">SUMPRODUCT((Per_Clase="Administración")*INDEX(Dot_V,0,MIN(10,X$173)))*(X$171+X$172*V_PreInd)</f>
        <v>5</v>
      </c>
      <c r="Y237" s="36" t="n">
        <f aca="false">SUMPRODUCT((Per_Clase="Administración")*INDEX(Dot_V,0,MIN(10,Y$173)))*(Y$171+Y$172*V_PreInd)</f>
        <v>5</v>
      </c>
      <c r="Z237" s="36" t="n">
        <f aca="false">SUMPRODUCT((Per_Clase="Administración")*INDEX(Dot_V,0,MIN(10,Z$173)))*(Z$171+Z$172*V_PreInd)</f>
        <v>5</v>
      </c>
      <c r="AA237" s="36" t="n">
        <f aca="false">SUMPRODUCT((Per_Clase="Administración")*INDEX(Dot_V,0,MIN(10,AA$173)))*(AA$171+AA$172*V_PreInd)</f>
        <v>5</v>
      </c>
      <c r="AB237" s="36" t="n">
        <f aca="false">SUMPRODUCT((Per_Clase="Administración")*INDEX(Dot_V,0,MIN(10,AB$173)))*(AB$171+AB$172*V_PreInd)</f>
        <v>5</v>
      </c>
      <c r="AC237" s="36" t="n">
        <f aca="false">SUMPRODUCT((Per_Clase="Administración")*INDEX(Dot_V,0,MIN(10,AC$173)))*(AC$171+AC$172*V_PreInd)</f>
        <v>5</v>
      </c>
      <c r="AD237" s="36" t="n">
        <f aca="false">SUMPRODUCT((Per_Clase="Administración")*INDEX(Dot_V,0,MIN(10,AD$173)))*(AD$171+AD$172*V_PreInd)</f>
        <v>5</v>
      </c>
      <c r="AE237" s="36" t="n">
        <f aca="false">SUMPRODUCT((Per_Clase="Administración")*INDEX(Dot_V,0,MIN(10,AE$173)))*(AE$171+AE$172*V_PreInd)</f>
        <v>5</v>
      </c>
      <c r="AF237" s="36" t="n">
        <f aca="false">SUMPRODUCT((Per_Clase="Administración")*INDEX(Dot_V,0,MIN(10,AF$173)))*(AF$171+AF$172*V_PreInd)</f>
        <v>5</v>
      </c>
      <c r="AG237" s="36" t="n">
        <f aca="false">SUMPRODUCT((Per_Clase="Administración")*INDEX(Dot_V,0,MIN(10,AG$173)))*(AG$171+AG$172*V_PreInd)</f>
        <v>5</v>
      </c>
      <c r="AH237" s="36" t="n">
        <f aca="false">SUMPRODUCT((Per_Clase="Administración")*INDEX(Dot_V,0,MIN(10,AH$173)))*(AH$171+AH$172*V_PreInd)</f>
        <v>5</v>
      </c>
      <c r="AI237" s="36" t="n">
        <f aca="false">SUMPRODUCT((Per_Clase="Administración")*INDEX(Dot_V,0,MIN(10,AI$173)))*(AI$171+AI$172*V_PreInd)</f>
        <v>5</v>
      </c>
      <c r="AJ237" s="36" t="n">
        <f aca="false">SUMPRODUCT((Per_Clase="Administración")*INDEX(Dot_V,0,MIN(10,AJ$173)))*(AJ$171+AJ$172*V_PreInd)</f>
        <v>5</v>
      </c>
      <c r="AK237" s="36" t="n">
        <f aca="false">SUMPRODUCT((Per_Clase="Administración")*INDEX(Dot_V,0,MIN(10,AK$173)))*(AK$171+AK$172*V_PreInd)</f>
        <v>5</v>
      </c>
      <c r="AL237" s="36" t="n">
        <f aca="false">SUMPRODUCT((Per_Clase="Administración")*INDEX(Dot_V,0,MIN(10,AL$173)))*(AL$171+AL$172*V_PreInd)</f>
        <v>5</v>
      </c>
      <c r="AM237" s="36" t="n">
        <f aca="false">SUMPRODUCT((Per_Clase="Administración")*INDEX(Dot_V,0,MIN(10,AM$173)))*(AM$171+AM$172*V_PreInd)</f>
        <v>5</v>
      </c>
      <c r="AN237" s="36" t="n">
        <f aca="false">SUMPRODUCT((Per_Clase="Administración")*INDEX(Dot_V,0,MIN(10,AN$173)))*(AN$171+AN$172*V_PreInd)</f>
        <v>5</v>
      </c>
      <c r="AO237" s="36" t="n">
        <f aca="false">SUMPRODUCT((Per_Clase="Administración")*INDEX(Dot_V,0,MIN(10,AO$173)))*(AO$171+AO$172*V_PreInd)</f>
        <v>5</v>
      </c>
      <c r="AP237" s="36" t="n">
        <f aca="false">SUMPRODUCT((Per_Clase="Administración")*INDEX(Dot_V,0,MIN(10,AP$173)))*(AP$171+AP$172*V_PreInd)</f>
        <v>5</v>
      </c>
      <c r="AQ237" s="36" t="n">
        <f aca="false">SUMPRODUCT((Per_Clase="Administración")*INDEX(Dot_V,0,MIN(10,AQ$173)))*(AQ$171+AQ$172*V_PreInd)</f>
        <v>5</v>
      </c>
      <c r="AR237" s="36" t="n">
        <f aca="false">SUMPRODUCT((Per_Clase="Administración")*INDEX(Dot_V,0,MIN(10,AR$173)))*(AR$171+AR$172*V_PreInd)</f>
        <v>5</v>
      </c>
      <c r="AS237" s="36" t="n">
        <f aca="false">SUMPRODUCT((Per_Clase="Administración")*INDEX(Dot_V,0,MIN(10,AS$173)))*(AS$171+AS$172*V_PreInd)</f>
        <v>5</v>
      </c>
      <c r="AT237" s="36" t="n">
        <f aca="false">SUMPRODUCT((Per_Clase="Administración")*INDEX(Dot_V,0,MIN(10,AT$173)))*(AT$171+AT$172*V_PreInd)</f>
        <v>5</v>
      </c>
      <c r="AU237" s="36" t="n">
        <f aca="false">SUMPRODUCT((Per_Clase="Administración")*INDEX(Dot_V,0,MIN(10,AU$173)))*(AU$171+AU$172*V_PreInd)</f>
        <v>5</v>
      </c>
      <c r="AV237" s="36" t="n">
        <f aca="false">SUMPRODUCT((Per_Clase="Administración")*INDEX(Dot_V,0,MIN(10,AV$173)))*(AV$171+AV$172*V_PreInd)</f>
        <v>5</v>
      </c>
      <c r="AW237" s="36" t="n">
        <f aca="false">SUMPRODUCT((Per_Clase="Administración")*INDEX(Dot_V,0,MIN(10,AW$173)))*(AW$171+AW$172*V_PreInd)</f>
        <v>5</v>
      </c>
      <c r="AX237" s="36" t="n">
        <f aca="false">SUMPRODUCT((Per_Clase="Administración")*INDEX(Dot_V,0,MIN(10,AX$173)))*(AX$171+AX$172*V_PreInd)</f>
        <v>5</v>
      </c>
      <c r="AY237" s="36" t="n">
        <f aca="false">SUMPRODUCT((Per_Clase="Administración")*INDEX(Dot_V,0,MIN(10,AY$173)))*(AY$171+AY$172*V_PreInd)</f>
        <v>5</v>
      </c>
      <c r="AZ237" s="36" t="n">
        <f aca="false">SUMPRODUCT((Per_Clase="Administración")*INDEX(Dot_V,0,MIN(10,AZ$173)))*(AZ$171+AZ$172*V_PreInd)</f>
        <v>5</v>
      </c>
      <c r="BA237" s="36" t="n">
        <f aca="false">SUMPRODUCT((Per_Clase="Administración")*INDEX(Dot_V,0,MIN(10,BA$173)))*(BA$171+BA$172*V_PreInd)</f>
        <v>5</v>
      </c>
      <c r="BB237" s="36" t="n">
        <f aca="false">SUMPRODUCT((Per_Clase="Administración")*INDEX(Dot_V,0,MIN(10,BB$173)))*(BB$171+BB$172*V_PreInd)</f>
        <v>5</v>
      </c>
      <c r="BC237" s="36" t="n">
        <f aca="false">SUMPRODUCT((Per_Clase="Administración")*INDEX(Dot_V,0,MIN(10,BC$173)))*(BC$171+BC$172*V_PreInd)</f>
        <v>5</v>
      </c>
      <c r="BD237" s="36" t="n">
        <f aca="false">SUMPRODUCT((Per_Clase="Administración")*INDEX(Dot_V,0,MIN(10,BD$173)))*(BD$171+BD$172*V_PreInd)</f>
        <v>5</v>
      </c>
      <c r="BE237" s="36" t="n">
        <f aca="false">SUMPRODUCT((Per_Clase="Administración")*INDEX(Dot_V,0,MIN(10,BE$173)))*(BE$171+BE$172*V_PreInd)</f>
        <v>5</v>
      </c>
      <c r="BF237" s="36" t="n">
        <f aca="false">SUMPRODUCT((Per_Clase="Administración")*INDEX(Dot_V,0,MIN(10,BF$173)))*(BF$171+BF$172*V_PreInd)</f>
        <v>5</v>
      </c>
      <c r="BG237" s="36" t="n">
        <f aca="false">SUMPRODUCT((Per_Clase="Administración")*INDEX(Dot_V,0,MIN(10,BG$173)))*(BG$171+BG$172*V_PreInd)</f>
        <v>5</v>
      </c>
      <c r="BH237" s="36" t="n">
        <f aca="false">SUMPRODUCT((Per_Clase="Administración")*INDEX(Dot_V,0,MIN(10,BH$173)))*(BH$171+BH$172*V_PreInd)</f>
        <v>5</v>
      </c>
      <c r="BI237" s="36" t="n">
        <f aca="false">SUMPRODUCT((Per_Clase="Administración")*INDEX(Dot_V,0,MIN(10,BI$173)))*(BI$171+BI$172*V_PreInd)</f>
        <v>5</v>
      </c>
      <c r="BJ237" s="36" t="n">
        <f aca="false">SUMPRODUCT((Per_Clase="Administración")*INDEX(Dot_V,0,MIN(10,BJ$173)))*(BJ$171+BJ$172*V_PreInd)</f>
        <v>5</v>
      </c>
      <c r="BK237" s="36" t="n">
        <f aca="false">SUMPRODUCT((Per_Clase="Administración")*INDEX(Dot_V,0,MIN(10,BK$173)))*(BK$171+BK$172*V_PreInd)</f>
        <v>5</v>
      </c>
      <c r="BL237" s="36" t="n">
        <f aca="false">SUMPRODUCT((Per_Clase="Administración")*INDEX(Dot_V,0,MIN(10,BL$173)))*(BL$171+BL$172*V_PreInd)</f>
        <v>5</v>
      </c>
      <c r="BM237" s="36" t="n">
        <f aca="false">SUMPRODUCT((Per_Clase="Administración")*INDEX(Dot_V,0,MIN(10,BM$173)))*(BM$171+BM$172*V_PreInd)</f>
        <v>5</v>
      </c>
      <c r="BN237" s="36" t="n">
        <f aca="false">SUMPRODUCT((Per_Clase="Administración")*INDEX(Dot_V,0,MIN(10,BN$173)))*(BN$171+BN$172*V_PreInd)</f>
        <v>5</v>
      </c>
      <c r="BO237" s="36" t="n">
        <f aca="false">SUMPRODUCT((Per_Clase="Administración")*INDEX(Dot_V,0,MIN(10,BO$173)))*(BO$171+BO$172*V_PreInd)</f>
        <v>5</v>
      </c>
      <c r="BP237" s="36" t="n">
        <f aca="false">SUMPRODUCT((Per_Clase="Administración")*INDEX(Dot_V,0,MIN(10,BP$173)))*(BP$171+BP$172*V_PreInd)</f>
        <v>5</v>
      </c>
      <c r="BQ237" s="36" t="n">
        <f aca="false">SUMPRODUCT((Per_Clase="Administración")*INDEX(Dot_V,0,MIN(10,BQ$173)))*(BQ$171+BQ$172*V_PreInd)</f>
        <v>5</v>
      </c>
      <c r="BR237" s="36" t="n">
        <f aca="false">SUMPRODUCT((Per_Clase="Administración")*INDEX(Dot_V,0,MIN(10,BR$173)))*(BR$171+BR$172*V_PreInd)</f>
        <v>5</v>
      </c>
      <c r="BS237" s="36" t="n">
        <f aca="false">SUMPRODUCT((Per_Clase="Administración")*INDEX(Dot_V,0,MIN(10,BS$173)))*(BS$171+BS$172*V_PreInd)</f>
        <v>5</v>
      </c>
      <c r="BT237" s="36" t="n">
        <f aca="false">SUMPRODUCT((Per_Clase="Administración")*INDEX(Dot_V,0,MIN(10,BT$173)))*(BT$171+BT$172*V_PreInd)</f>
        <v>5</v>
      </c>
      <c r="BU237" s="36" t="n">
        <f aca="false">SUMPRODUCT((Per_Clase="Administración")*INDEX(Dot_V,0,MIN(10,BU$173)))*(BU$171+BU$172*V_PreInd)</f>
        <v>5</v>
      </c>
      <c r="BV237" s="36" t="n">
        <f aca="false">SUMPRODUCT((Per_Clase="Administración")*INDEX(Dot_V,0,MIN(10,BV$173)))*(BV$171+BV$172*V_PreInd)</f>
        <v>5</v>
      </c>
      <c r="BW237" s="36" t="n">
        <f aca="false">SUMPRODUCT((Per_Clase="Administración")*INDEX(Dot_V,0,MIN(10,BW$173)))*(BW$171+BW$172*V_PreInd)</f>
        <v>5</v>
      </c>
      <c r="BX237" s="36" t="n">
        <f aca="false">SUMPRODUCT((Per_Clase="Administración")*INDEX(Dot_V,0,MIN(10,BX$173)))*(BX$171+BX$172*V_PreInd)</f>
        <v>5</v>
      </c>
      <c r="BY237" s="36" t="n">
        <f aca="false">SUMPRODUCT((Per_Clase="Administración")*INDEX(Dot_V,0,MIN(10,BY$173)))*(BY$171+BY$172*V_PreInd)</f>
        <v>5</v>
      </c>
      <c r="BZ237" s="36" t="n">
        <f aca="false">SUMPRODUCT((Per_Clase="Administración")*INDEX(Dot_V,0,MIN(10,BZ$173)))*(BZ$171+BZ$172*V_PreInd)</f>
        <v>5</v>
      </c>
      <c r="CA237" s="36" t="n">
        <f aca="false">SUMPRODUCT((Per_Clase="Administración")*INDEX(Dot_V,0,MIN(10,CA$173)))*(CA$171+CA$172*V_PreInd)</f>
        <v>5</v>
      </c>
      <c r="CB237" s="36" t="n">
        <f aca="false">SUMPRODUCT((Per_Clase="Administración")*INDEX(Dot_V,0,MIN(10,CB$173)))*(CB$171+CB$172*V_PreInd)</f>
        <v>5</v>
      </c>
      <c r="CC237" s="36" t="n">
        <f aca="false">SUMPRODUCT((Per_Clase="Administración")*INDEX(Dot_V,0,MIN(10,CC$173)))*(CC$171+CC$172*V_PreInd)</f>
        <v>5</v>
      </c>
      <c r="CD237" s="36" t="n">
        <f aca="false">SUMPRODUCT((Per_Clase="Administración")*INDEX(Dot_V,0,MIN(10,CD$173)))*(CD$171+CD$172*V_PreInd)</f>
        <v>5</v>
      </c>
      <c r="CE237" s="36" t="n">
        <f aca="false">SUMPRODUCT((Per_Clase="Administración")*INDEX(Dot_V,0,MIN(10,CE$173)))*(CE$171+CE$172*V_PreInd)</f>
        <v>5</v>
      </c>
      <c r="CF237" s="36" t="n">
        <f aca="false">SUMPRODUCT((Per_Clase="Administración")*INDEX(Dot_V,0,MIN(10,CF$173)))*(CF$171+CF$172*V_PreInd)</f>
        <v>5</v>
      </c>
      <c r="CG237" s="36" t="n">
        <f aca="false">SUMPRODUCT((Per_Clase="Administración")*INDEX(Dot_V,0,MIN(10,CG$173)))*(CG$171+CG$172*V_PreInd)</f>
        <v>5</v>
      </c>
      <c r="CH237" s="36" t="n">
        <f aca="false">SUMPRODUCT((Per_Clase="Administración")*INDEX(Dot_V,0,MIN(10,CH$173)))*(CH$171+CH$172*V_PreInd)</f>
        <v>5</v>
      </c>
      <c r="CI237" s="36" t="n">
        <f aca="false">SUMPRODUCT((Per_Clase="Administración")*INDEX(Dot_V,0,MIN(10,CI$173)))*(CI$171+CI$172*V_PreInd)</f>
        <v>5</v>
      </c>
      <c r="CJ237" s="36" t="n">
        <f aca="false">SUMPRODUCT((Per_Clase="Administración")*INDEX(Dot_V,0,MIN(10,CJ$173)))*(CJ$171+CJ$172*V_PreInd)</f>
        <v>5</v>
      </c>
      <c r="CK237" s="36" t="n">
        <f aca="false">SUMPRODUCT((Per_Clase="Administración")*INDEX(Dot_V,0,MIN(10,CK$173)))*(CK$171+CK$172*V_PreInd)</f>
        <v>5</v>
      </c>
      <c r="CL237" s="36" t="n">
        <f aca="false">SUMPRODUCT((Per_Clase="Administración")*INDEX(Dot_V,0,MIN(10,CL$173)))*(CL$171+CL$172*V_PreInd)</f>
        <v>5</v>
      </c>
      <c r="CM237" s="36" t="n">
        <f aca="false">SUMPRODUCT((Per_Clase="Administración")*INDEX(Dot_V,0,MIN(10,CM$173)))*(CM$171+CM$172*V_PreInd)</f>
        <v>5</v>
      </c>
      <c r="CN237" s="36" t="n">
        <f aca="false">SUMPRODUCT((Per_Clase="Administración")*INDEX(Dot_V,0,MIN(10,CN$173)))*(CN$171+CN$172*V_PreInd)</f>
        <v>5</v>
      </c>
      <c r="CO237" s="36" t="n">
        <f aca="false">SUMPRODUCT((Per_Clase="Administración")*INDEX(Dot_V,0,MIN(10,CO$173)))*(CO$171+CO$172*V_PreInd)</f>
        <v>5</v>
      </c>
      <c r="CP237" s="36" t="n">
        <f aca="false">SUMPRODUCT((Per_Clase="Administración")*INDEX(Dot_V,0,MIN(10,CP$173)))*(CP$171+CP$172*V_PreInd)</f>
        <v>5</v>
      </c>
      <c r="CQ237" s="36" t="n">
        <f aca="false">SUMPRODUCT((Per_Clase="Administración")*INDEX(Dot_V,0,MIN(10,CQ$173)))*(CQ$171+CQ$172*V_PreInd)</f>
        <v>5</v>
      </c>
      <c r="CR237" s="36" t="n">
        <f aca="false">SUMPRODUCT((Per_Clase="Administración")*INDEX(Dot_V,0,MIN(10,CR$173)))*(CR$171+CR$172*V_PreInd)</f>
        <v>5</v>
      </c>
      <c r="CS237" s="36" t="n">
        <f aca="false">SUMPRODUCT((Per_Clase="Administración")*INDEX(Dot_V,0,MIN(10,CS$173)))*(CS$171+CS$172*V_PreInd)</f>
        <v>5</v>
      </c>
      <c r="CT237" s="36" t="n">
        <f aca="false">SUMPRODUCT((Per_Clase="Administración")*INDEX(Dot_V,0,MIN(10,CT$173)))*(CT$171+CT$172*V_PreInd)</f>
        <v>5</v>
      </c>
      <c r="CU237" s="36" t="n">
        <f aca="false">SUMPRODUCT((Per_Clase="Administración")*INDEX(Dot_V,0,MIN(10,CU$173)))*(CU$171+CU$172*V_PreInd)</f>
        <v>5</v>
      </c>
      <c r="CV237" s="36" t="n">
        <f aca="false">SUMPRODUCT((Per_Clase="Administración")*INDEX(Dot_V,0,MIN(10,CV$173)))*(CV$171+CV$172*V_PreInd)</f>
        <v>5</v>
      </c>
      <c r="CW237" s="36" t="n">
        <f aca="false">SUMPRODUCT((Per_Clase="Administración")*INDEX(Dot_V,0,MIN(10,CW$173)))*(CW$171+CW$172*V_PreInd)</f>
        <v>5</v>
      </c>
      <c r="CX237" s="36" t="n">
        <f aca="false">SUMPRODUCT((Per_Clase="Administración")*INDEX(Dot_V,0,MIN(10,CX$173)))*(CX$171+CX$172*V_PreInd)</f>
        <v>5</v>
      </c>
      <c r="CY237" s="36" t="n">
        <f aca="false">SUMPRODUCT((Per_Clase="Administración")*INDEX(Dot_V,0,MIN(10,CY$173)))*(CY$171+CY$172*V_PreInd)</f>
        <v>5</v>
      </c>
      <c r="CZ237" s="36" t="n">
        <f aca="false">SUMPRODUCT((Per_Clase="Administración")*INDEX(Dot_V,0,MIN(10,CZ$173)))*(CZ$171+CZ$172*V_PreInd)</f>
        <v>5</v>
      </c>
      <c r="DA237" s="36" t="n">
        <f aca="false">SUMPRODUCT((Per_Clase="Administración")*INDEX(Dot_V,0,MIN(10,DA$173)))*(DA$171+DA$172*V_PreInd)</f>
        <v>5</v>
      </c>
      <c r="DB237" s="36" t="n">
        <f aca="false">SUMPRODUCT((Per_Clase="Administración")*INDEX(Dot_V,0,MIN(10,DB$173)))*(DB$171+DB$172*V_PreInd)</f>
        <v>5</v>
      </c>
      <c r="DC237" s="36" t="n">
        <f aca="false">SUMPRODUCT((Per_Clase="Administración")*INDEX(Dot_V,0,MIN(10,DC$173)))*(DC$171+DC$172*V_PreInd)</f>
        <v>5</v>
      </c>
      <c r="DD237" s="36" t="n">
        <f aca="false">SUMPRODUCT((Per_Clase="Administración")*INDEX(Dot_V,0,MIN(10,DD$173)))*(DD$171+DD$172*V_PreInd)</f>
        <v>5</v>
      </c>
      <c r="DE237" s="36" t="n">
        <f aca="false">SUMPRODUCT((Per_Clase="Administración")*INDEX(Dot_V,0,MIN(10,DE$173)))*(DE$171+DE$172*V_PreInd)</f>
        <v>5</v>
      </c>
      <c r="DF237" s="36" t="n">
        <f aca="false">SUMPRODUCT((Per_Clase="Administración")*INDEX(Dot_V,0,MIN(10,DF$173)))*(DF$171+DF$172*V_PreInd)</f>
        <v>5</v>
      </c>
      <c r="DG237" s="36" t="n">
        <f aca="false">SUMPRODUCT((Per_Clase="Administración")*INDEX(Dot_V,0,MIN(10,DG$173)))*(DG$171+DG$172*V_PreInd)</f>
        <v>5</v>
      </c>
      <c r="DH237" s="36" t="n">
        <f aca="false">SUMPRODUCT((Per_Clase="Administración")*INDEX(Dot_V,0,MIN(10,DH$173)))*(DH$171+DH$172*V_PreInd)</f>
        <v>5</v>
      </c>
      <c r="DI237" s="36" t="n">
        <f aca="false">SUMPRODUCT((Per_Clase="Administración")*INDEX(Dot_V,0,MIN(10,DI$173)))*(DI$171+DI$172*V_PreInd)</f>
        <v>5</v>
      </c>
      <c r="DJ237" s="36" t="n">
        <f aca="false">SUMPRODUCT((Per_Clase="Administración")*INDEX(Dot_V,0,MIN(10,DJ$173)))*(DJ$171+DJ$172*V_PreInd)</f>
        <v>5</v>
      </c>
      <c r="DK237" s="36" t="n">
        <f aca="false">SUMPRODUCT((Per_Clase="Administración")*INDEX(Dot_V,0,MIN(10,DK$173)))*(DK$171+DK$172*V_PreInd)</f>
        <v>5</v>
      </c>
      <c r="DL237" s="36" t="n">
        <f aca="false">SUMPRODUCT((Per_Clase="Administración")*INDEX(Dot_V,0,MIN(10,DL$173)))*(DL$171+DL$172*V_PreInd)</f>
        <v>5</v>
      </c>
      <c r="DM237" s="36" t="n">
        <f aca="false">SUMPRODUCT((Per_Clase="Administración")*INDEX(Dot_V,0,MIN(10,DM$173)))*(DM$171+DM$172*V_PreInd)</f>
        <v>5</v>
      </c>
      <c r="DN237" s="36" t="n">
        <f aca="false">SUMPRODUCT((Per_Clase="Administración")*INDEX(Dot_V,0,MIN(10,DN$173)))*(DN$171+DN$172*V_PreInd)</f>
        <v>5</v>
      </c>
      <c r="DO237" s="36" t="n">
        <f aca="false">SUMPRODUCT((Per_Clase="Administración")*INDEX(Dot_V,0,MIN(10,DO$173)))*(DO$171+DO$172*V_PreInd)</f>
        <v>5</v>
      </c>
      <c r="DP237" s="36" t="n">
        <f aca="false">SUMPRODUCT((Per_Clase="Administración")*INDEX(Dot_V,0,MIN(10,DP$173)))*(DP$171+DP$172*V_PreInd)</f>
        <v>5</v>
      </c>
      <c r="DQ237" s="36" t="n">
        <f aca="false">SUMPRODUCT((Per_Clase="Administración")*INDEX(Dot_V,0,MIN(10,DQ$173)))*(DQ$171+DQ$172*V_PreInd)</f>
        <v>5</v>
      </c>
      <c r="DR237" s="36" t="n">
        <f aca="false">SUMPRODUCT((Per_Clase="Administración")*INDEX(Dot_V,0,MIN(10,DR$173)))*(DR$171+DR$172*V_PreInd)</f>
        <v>5</v>
      </c>
      <c r="DS237" s="36" t="n">
        <f aca="false">SUMPRODUCT((Per_Clase="Administración")*INDEX(Dot_V,0,MIN(10,DS$173)))*(DS$171+DS$172*V_PreInd)</f>
        <v>5</v>
      </c>
      <c r="DT237" s="36" t="n">
        <f aca="false">SUMPRODUCT((Per_Clase="Administración")*INDEX(Dot_V,0,MIN(10,DT$173)))*(DT$171+DT$172*V_PreInd)</f>
        <v>5</v>
      </c>
      <c r="DU237" s="36" t="n">
        <f aca="false">SUMPRODUCT((Per_Clase="Administración")*INDEX(Dot_V,0,MIN(10,DU$173)))*(DU$171+DU$172*V_PreInd)</f>
        <v>5</v>
      </c>
      <c r="DV237" s="36" t="n">
        <f aca="false">SUMPRODUCT((Per_Clase="Administración")*INDEX(Dot_V,0,MIN(10,DV$173)))*(DV$171+DV$172*V_PreInd)</f>
        <v>0</v>
      </c>
      <c r="DW237" s="36" t="n">
        <f aca="false">SUMPRODUCT((Per_Clase="Administración")*INDEX(Dot_V,0,MIN(10,DW$173)))*(DW$171+DW$172*V_PreInd)</f>
        <v>0</v>
      </c>
      <c r="DX237" s="36" t="n">
        <f aca="false">SUMPRODUCT((Per_Clase="Administración")*INDEX(Dot_V,0,MIN(10,DX$173)))*(DX$171+DX$172*V_PreInd)</f>
        <v>0</v>
      </c>
      <c r="DY237" s="36" t="n">
        <f aca="false">SUMPRODUCT((Per_Clase="Administración")*INDEX(Dot_V,0,MIN(10,DY$173)))*(DY$171+DY$172*V_PreInd)</f>
        <v>0</v>
      </c>
      <c r="DZ237" s="36" t="n">
        <f aca="false">SUMPRODUCT((Per_Clase="Administración")*INDEX(Dot_V,0,MIN(10,DZ$173)))*(DZ$171+DZ$172*V_PreInd)</f>
        <v>0</v>
      </c>
      <c r="EA237" s="36" t="n">
        <f aca="false">SUMPRODUCT((Per_Clase="Administración")*INDEX(Dot_V,0,MIN(10,EA$173)))*(EA$171+EA$172*V_PreInd)</f>
        <v>0</v>
      </c>
      <c r="EB237" s="36" t="n">
        <f aca="false">SUMPRODUCT((Per_Clase="Administración")*INDEX(Dot_V,0,MIN(10,EB$173)))*(EB$171+EB$172*V_PreInd)</f>
        <v>0</v>
      </c>
      <c r="EC237" s="36" t="n">
        <f aca="false">SUMPRODUCT((Per_Clase="Administración")*INDEX(Dot_V,0,MIN(10,EC$173)))*(EC$171+EC$172*V_PreInd)</f>
        <v>0</v>
      </c>
      <c r="ED237" s="36" t="n">
        <f aca="false">SUMPRODUCT((Per_Clase="Administración")*INDEX(Dot_V,0,MIN(10,ED$173)))*(ED$171+ED$172*V_PreInd)</f>
        <v>0</v>
      </c>
      <c r="EE237" s="36" t="n">
        <f aca="false">SUMPRODUCT((Per_Clase="Administración")*INDEX(Dot_V,0,MIN(10,EE$173)))*(EE$171+EE$172*V_PreInd)</f>
        <v>0</v>
      </c>
      <c r="EF237" s="36" t="n">
        <f aca="false">SUMPRODUCT((Per_Clase="Administración")*INDEX(Dot_V,0,MIN(10,EF$173)))*(EF$171+EF$172*V_PreInd)</f>
        <v>0</v>
      </c>
      <c r="EG237" s="36" t="n">
        <f aca="false">SUMPRODUCT((Per_Clase="Administración")*INDEX(Dot_V,0,MIN(10,EG$173)))*(EG$171+EG$172*V_PreInd)</f>
        <v>0</v>
      </c>
      <c r="EH237" s="36" t="n">
        <f aca="false">SUMPRODUCT((Per_Clase="Administración")*INDEX(Dot_V,0,MIN(10,EH$173)))*(EH$171+EH$172*V_PreInd)</f>
        <v>0</v>
      </c>
      <c r="EI237" s="36" t="n">
        <f aca="false">SUMPRODUCT((Per_Clase="Administración")*INDEX(Dot_V,0,MIN(10,EI$173)))*(EI$171+EI$172*V_PreInd)</f>
        <v>0</v>
      </c>
      <c r="EJ237" s="36" t="n">
        <f aca="false">SUMPRODUCT((Per_Clase="Administración")*INDEX(Dot_V,0,MIN(10,EJ$173)))*(EJ$171+EJ$172*V_PreInd)</f>
        <v>0</v>
      </c>
      <c r="EK237" s="36" t="n">
        <f aca="false">SUMPRODUCT((Per_Clase="Administración")*INDEX(Dot_V,0,MIN(10,EK$173)))*(EK$171+EK$172*V_PreInd)</f>
        <v>0</v>
      </c>
      <c r="EL237" s="36" t="n">
        <f aca="false">SUMPRODUCT((Per_Clase="Administración")*INDEX(Dot_V,0,MIN(10,EL$173)))*(EL$171+EL$172*V_PreInd)</f>
        <v>0</v>
      </c>
      <c r="EM237" s="36" t="n">
        <f aca="false">SUMPRODUCT((Per_Clase="Administración")*INDEX(Dot_V,0,MIN(10,EM$173)))*(EM$171+EM$172*V_PreInd)</f>
        <v>0</v>
      </c>
      <c r="EN237" s="36" t="n">
        <f aca="false">SUMPRODUCT((Per_Clase="Administración")*INDEX(Dot_V,0,MIN(10,EN$173)))*(EN$171+EN$172*V_PreInd)</f>
        <v>0</v>
      </c>
      <c r="EO237" s="36" t="n">
        <f aca="false">SUMPRODUCT((Per_Clase="Administración")*INDEX(Dot_V,0,MIN(10,EO$173)))*(EO$171+EO$172*V_PreInd)</f>
        <v>0</v>
      </c>
      <c r="EP237" s="36" t="n">
        <f aca="false">SUMPRODUCT((Per_Clase="Administración")*INDEX(Dot_V,0,MIN(10,EP$173)))*(EP$171+EP$172*V_PreInd)</f>
        <v>0</v>
      </c>
      <c r="EQ237" s="36" t="n">
        <f aca="false">SUMPRODUCT((Per_Clase="Administración")*INDEX(Dot_V,0,MIN(10,EQ$173)))*(EQ$171+EQ$172*V_PreInd)</f>
        <v>0</v>
      </c>
      <c r="ER237" s="36" t="n">
        <f aca="false">SUMPRODUCT((Per_Clase="Administración")*INDEX(Dot_V,0,MIN(10,ER$173)))*(ER$171+ER$172*V_PreInd)</f>
        <v>0</v>
      </c>
      <c r="ES237" s="36" t="n">
        <f aca="false">SUMPRODUCT((Per_Clase="Administración")*INDEX(Dot_V,0,MIN(10,ES$173)))*(ES$171+ES$172*V_PreInd)</f>
        <v>0</v>
      </c>
    </row>
    <row r="238" customFormat="false" ht="15" hidden="false" customHeight="false" outlineLevel="0" collapsed="false">
      <c r="A238" s="2" t="s">
        <v>879</v>
      </c>
      <c r="B238" s="6" t="s">
        <v>657</v>
      </c>
      <c r="C238" s="6" t="s">
        <v>250</v>
      </c>
      <c r="E238" s="40" t="n">
        <f aca="false">SUM(F238:ES238)</f>
        <v>1075198.52627014</v>
      </c>
      <c r="F238" s="34" t="n">
        <f aca="false">SUMPRODUCT((Per_Clase="Administración")*Sal_V*INDEX(Dot_V,0,MIN(10,F$173))*((Per_Mon="PYG")*F$175+(Per_Mon&lt;&gt;"PYG")))*(F$171+F$172*V_PreInd)*INDEX(IdxSal_V,1,MIN(10,F$173))*(1+V_Cargas)+F$237*V_Alim*F$175</f>
        <v>8959.98771891781</v>
      </c>
      <c r="G238" s="34" t="n">
        <f aca="false">SUMPRODUCT((Per_Clase="Administración")*Sal_V*INDEX(Dot_V,0,MIN(10,G$173))*((Per_Mon="PYG")*G$175+(Per_Mon&lt;&gt;"PYG")))*(G$171+G$172*V_PreInd)*INDEX(IdxSal_V,1,MIN(10,G$173))*(1+V_Cargas)+G$237*V_Alim*G$175</f>
        <v>8959.98771891781</v>
      </c>
      <c r="H238" s="34" t="n">
        <f aca="false">SUMPRODUCT((Per_Clase="Administración")*Sal_V*INDEX(Dot_V,0,MIN(10,H$173))*((Per_Mon="PYG")*H$175+(Per_Mon&lt;&gt;"PYG")))*(H$171+H$172*V_PreInd)*INDEX(IdxSal_V,1,MIN(10,H$173))*(1+V_Cargas)+H$237*V_Alim*H$175</f>
        <v>8959.98771891781</v>
      </c>
      <c r="I238" s="34" t="n">
        <f aca="false">SUMPRODUCT((Per_Clase="Administración")*Sal_V*INDEX(Dot_V,0,MIN(10,I$173))*((Per_Mon="PYG")*I$175+(Per_Mon&lt;&gt;"PYG")))*(I$171+I$172*V_PreInd)*INDEX(IdxSal_V,1,MIN(10,I$173))*(1+V_Cargas)+I$237*V_Alim*I$175</f>
        <v>8959.98771891781</v>
      </c>
      <c r="J238" s="34" t="n">
        <f aca="false">SUMPRODUCT((Per_Clase="Administración")*Sal_V*INDEX(Dot_V,0,MIN(10,J$173))*((Per_Mon="PYG")*J$175+(Per_Mon&lt;&gt;"PYG")))*(J$171+J$172*V_PreInd)*INDEX(IdxSal_V,1,MIN(10,J$173))*(1+V_Cargas)+J$237*V_Alim*J$175</f>
        <v>8959.98771891781</v>
      </c>
      <c r="K238" s="34" t="n">
        <f aca="false">SUMPRODUCT((Per_Clase="Administración")*Sal_V*INDEX(Dot_V,0,MIN(10,K$173))*((Per_Mon="PYG")*K$175+(Per_Mon&lt;&gt;"PYG")))*(K$171+K$172*V_PreInd)*INDEX(IdxSal_V,1,MIN(10,K$173))*(1+V_Cargas)+K$237*V_Alim*K$175</f>
        <v>8959.98771891781</v>
      </c>
      <c r="L238" s="34" t="n">
        <f aca="false">SUMPRODUCT((Per_Clase="Administración")*Sal_V*INDEX(Dot_V,0,MIN(10,L$173))*((Per_Mon="PYG")*L$175+(Per_Mon&lt;&gt;"PYG")))*(L$171+L$172*V_PreInd)*INDEX(IdxSal_V,1,MIN(10,L$173))*(1+V_Cargas)+L$237*V_Alim*L$175</f>
        <v>8959.98771891781</v>
      </c>
      <c r="M238" s="34" t="n">
        <f aca="false">SUMPRODUCT((Per_Clase="Administración")*Sal_V*INDEX(Dot_V,0,MIN(10,M$173))*((Per_Mon="PYG")*M$175+(Per_Mon&lt;&gt;"PYG")))*(M$171+M$172*V_PreInd)*INDEX(IdxSal_V,1,MIN(10,M$173))*(1+V_Cargas)+M$237*V_Alim*M$175</f>
        <v>8959.98771891781</v>
      </c>
      <c r="N238" s="34" t="n">
        <f aca="false">SUMPRODUCT((Per_Clase="Administración")*Sal_V*INDEX(Dot_V,0,MIN(10,N$173))*((Per_Mon="PYG")*N$175+(Per_Mon&lt;&gt;"PYG")))*(N$171+N$172*V_PreInd)*INDEX(IdxSal_V,1,MIN(10,N$173))*(1+V_Cargas)+N$237*V_Alim*N$175</f>
        <v>8959.98771891781</v>
      </c>
      <c r="O238" s="34" t="n">
        <f aca="false">SUMPRODUCT((Per_Clase="Administración")*Sal_V*INDEX(Dot_V,0,MIN(10,O$173))*((Per_Mon="PYG")*O$175+(Per_Mon&lt;&gt;"PYG")))*(O$171+O$172*V_PreInd)*INDEX(IdxSal_V,1,MIN(10,O$173))*(1+V_Cargas)+O$237*V_Alim*O$175</f>
        <v>8959.98771891781</v>
      </c>
      <c r="P238" s="34" t="n">
        <f aca="false">SUMPRODUCT((Per_Clase="Administración")*Sal_V*INDEX(Dot_V,0,MIN(10,P$173))*((Per_Mon="PYG")*P$175+(Per_Mon&lt;&gt;"PYG")))*(P$171+P$172*V_PreInd)*INDEX(IdxSal_V,1,MIN(10,P$173))*(1+V_Cargas)+P$237*V_Alim*P$175</f>
        <v>8959.98771891781</v>
      </c>
      <c r="Q238" s="34" t="n">
        <f aca="false">SUMPRODUCT((Per_Clase="Administración")*Sal_V*INDEX(Dot_V,0,MIN(10,Q$173))*((Per_Mon="PYG")*Q$175+(Per_Mon&lt;&gt;"PYG")))*(Q$171+Q$172*V_PreInd)*INDEX(IdxSal_V,1,MIN(10,Q$173))*(1+V_Cargas)+Q$237*V_Alim*Q$175</f>
        <v>8959.98771891781</v>
      </c>
      <c r="R238" s="34" t="n">
        <f aca="false">SUMPRODUCT((Per_Clase="Administración")*Sal_V*INDEX(Dot_V,0,MIN(10,R$173))*((Per_Mon="PYG")*R$175+(Per_Mon&lt;&gt;"PYG")))*(R$171+R$172*V_PreInd)*INDEX(IdxSal_V,1,MIN(10,R$173))*(1+V_Cargas)+R$237*V_Alim*R$175</f>
        <v>8959.98771891781</v>
      </c>
      <c r="S238" s="34" t="n">
        <f aca="false">SUMPRODUCT((Per_Clase="Administración")*Sal_V*INDEX(Dot_V,0,MIN(10,S$173))*((Per_Mon="PYG")*S$175+(Per_Mon&lt;&gt;"PYG")))*(S$171+S$172*V_PreInd)*INDEX(IdxSal_V,1,MIN(10,S$173))*(1+V_Cargas)+S$237*V_Alim*S$175</f>
        <v>8959.98771891781</v>
      </c>
      <c r="T238" s="34" t="n">
        <f aca="false">SUMPRODUCT((Per_Clase="Administración")*Sal_V*INDEX(Dot_V,0,MIN(10,T$173))*((Per_Mon="PYG")*T$175+(Per_Mon&lt;&gt;"PYG")))*(T$171+T$172*V_PreInd)*INDEX(IdxSal_V,1,MIN(10,T$173))*(1+V_Cargas)+T$237*V_Alim*T$175</f>
        <v>8959.98771891781</v>
      </c>
      <c r="U238" s="34" t="n">
        <f aca="false">SUMPRODUCT((Per_Clase="Administración")*Sal_V*INDEX(Dot_V,0,MIN(10,U$173))*((Per_Mon="PYG")*U$175+(Per_Mon&lt;&gt;"PYG")))*(U$171+U$172*V_PreInd)*INDEX(IdxSal_V,1,MIN(10,U$173))*(1+V_Cargas)+U$237*V_Alim*U$175</f>
        <v>8959.98771891781</v>
      </c>
      <c r="V238" s="34" t="n">
        <f aca="false">SUMPRODUCT((Per_Clase="Administración")*Sal_V*INDEX(Dot_V,0,MIN(10,V$173))*((Per_Mon="PYG")*V$175+(Per_Mon&lt;&gt;"PYG")))*(V$171+V$172*V_PreInd)*INDEX(IdxSal_V,1,MIN(10,V$173))*(1+V_Cargas)+V$237*V_Alim*V$175</f>
        <v>8959.98771891781</v>
      </c>
      <c r="W238" s="34" t="n">
        <f aca="false">SUMPRODUCT((Per_Clase="Administración")*Sal_V*INDEX(Dot_V,0,MIN(10,W$173))*((Per_Mon="PYG")*W$175+(Per_Mon&lt;&gt;"PYG")))*(W$171+W$172*V_PreInd)*INDEX(IdxSal_V,1,MIN(10,W$173))*(1+V_Cargas)+W$237*V_Alim*W$175</f>
        <v>8959.98771891781</v>
      </c>
      <c r="X238" s="34" t="n">
        <f aca="false">SUMPRODUCT((Per_Clase="Administración")*Sal_V*INDEX(Dot_V,0,MIN(10,X$173))*((Per_Mon="PYG")*X$175+(Per_Mon&lt;&gt;"PYG")))*(X$171+X$172*V_PreInd)*INDEX(IdxSal_V,1,MIN(10,X$173))*(1+V_Cargas)+X$237*V_Alim*X$175</f>
        <v>8959.98771891781</v>
      </c>
      <c r="Y238" s="34" t="n">
        <f aca="false">SUMPRODUCT((Per_Clase="Administración")*Sal_V*INDEX(Dot_V,0,MIN(10,Y$173))*((Per_Mon="PYG")*Y$175+(Per_Mon&lt;&gt;"PYG")))*(Y$171+Y$172*V_PreInd)*INDEX(IdxSal_V,1,MIN(10,Y$173))*(1+V_Cargas)+Y$237*V_Alim*Y$175</f>
        <v>8959.98771891781</v>
      </c>
      <c r="Z238" s="34" t="n">
        <f aca="false">SUMPRODUCT((Per_Clase="Administración")*Sal_V*INDEX(Dot_V,0,MIN(10,Z$173))*((Per_Mon="PYG")*Z$175+(Per_Mon&lt;&gt;"PYG")))*(Z$171+Z$172*V_PreInd)*INDEX(IdxSal_V,1,MIN(10,Z$173))*(1+V_Cargas)+Z$237*V_Alim*Z$175</f>
        <v>8959.98771891781</v>
      </c>
      <c r="AA238" s="34" t="n">
        <f aca="false">SUMPRODUCT((Per_Clase="Administración")*Sal_V*INDEX(Dot_V,0,MIN(10,AA$173))*((Per_Mon="PYG")*AA$175+(Per_Mon&lt;&gt;"PYG")))*(AA$171+AA$172*V_PreInd)*INDEX(IdxSal_V,1,MIN(10,AA$173))*(1+V_Cargas)+AA$237*V_Alim*AA$175</f>
        <v>8959.98771891781</v>
      </c>
      <c r="AB238" s="34" t="n">
        <f aca="false">SUMPRODUCT((Per_Clase="Administración")*Sal_V*INDEX(Dot_V,0,MIN(10,AB$173))*((Per_Mon="PYG")*AB$175+(Per_Mon&lt;&gt;"PYG")))*(AB$171+AB$172*V_PreInd)*INDEX(IdxSal_V,1,MIN(10,AB$173))*(1+V_Cargas)+AB$237*V_Alim*AB$175</f>
        <v>8959.98771891781</v>
      </c>
      <c r="AC238" s="34" t="n">
        <f aca="false">SUMPRODUCT((Per_Clase="Administración")*Sal_V*INDEX(Dot_V,0,MIN(10,AC$173))*((Per_Mon="PYG")*AC$175+(Per_Mon&lt;&gt;"PYG")))*(AC$171+AC$172*V_PreInd)*INDEX(IdxSal_V,1,MIN(10,AC$173))*(1+V_Cargas)+AC$237*V_Alim*AC$175</f>
        <v>8959.98771891781</v>
      </c>
      <c r="AD238" s="34" t="n">
        <f aca="false">SUMPRODUCT((Per_Clase="Administración")*Sal_V*INDEX(Dot_V,0,MIN(10,AD$173))*((Per_Mon="PYG")*AD$175+(Per_Mon&lt;&gt;"PYG")))*(AD$171+AD$172*V_PreInd)*INDEX(IdxSal_V,1,MIN(10,AD$173))*(1+V_Cargas)+AD$237*V_Alim*AD$175</f>
        <v>8959.98771891781</v>
      </c>
      <c r="AE238" s="34" t="n">
        <f aca="false">SUMPRODUCT((Per_Clase="Administración")*Sal_V*INDEX(Dot_V,0,MIN(10,AE$173))*((Per_Mon="PYG")*AE$175+(Per_Mon&lt;&gt;"PYG")))*(AE$171+AE$172*V_PreInd)*INDEX(IdxSal_V,1,MIN(10,AE$173))*(1+V_Cargas)+AE$237*V_Alim*AE$175</f>
        <v>8959.98771891781</v>
      </c>
      <c r="AF238" s="34" t="n">
        <f aca="false">SUMPRODUCT((Per_Clase="Administración")*Sal_V*INDEX(Dot_V,0,MIN(10,AF$173))*((Per_Mon="PYG")*AF$175+(Per_Mon&lt;&gt;"PYG")))*(AF$171+AF$172*V_PreInd)*INDEX(IdxSal_V,1,MIN(10,AF$173))*(1+V_Cargas)+AF$237*V_Alim*AF$175</f>
        <v>8959.98771891781</v>
      </c>
      <c r="AG238" s="34" t="n">
        <f aca="false">SUMPRODUCT((Per_Clase="Administración")*Sal_V*INDEX(Dot_V,0,MIN(10,AG$173))*((Per_Mon="PYG")*AG$175+(Per_Mon&lt;&gt;"PYG")))*(AG$171+AG$172*V_PreInd)*INDEX(IdxSal_V,1,MIN(10,AG$173))*(1+V_Cargas)+AG$237*V_Alim*AG$175</f>
        <v>8959.98771891781</v>
      </c>
      <c r="AH238" s="34" t="n">
        <f aca="false">SUMPRODUCT((Per_Clase="Administración")*Sal_V*INDEX(Dot_V,0,MIN(10,AH$173))*((Per_Mon="PYG")*AH$175+(Per_Mon&lt;&gt;"PYG")))*(AH$171+AH$172*V_PreInd)*INDEX(IdxSal_V,1,MIN(10,AH$173))*(1+V_Cargas)+AH$237*V_Alim*AH$175</f>
        <v>8959.98771891781</v>
      </c>
      <c r="AI238" s="34" t="n">
        <f aca="false">SUMPRODUCT((Per_Clase="Administración")*Sal_V*INDEX(Dot_V,0,MIN(10,AI$173))*((Per_Mon="PYG")*AI$175+(Per_Mon&lt;&gt;"PYG")))*(AI$171+AI$172*V_PreInd)*INDEX(IdxSal_V,1,MIN(10,AI$173))*(1+V_Cargas)+AI$237*V_Alim*AI$175</f>
        <v>8959.98771891781</v>
      </c>
      <c r="AJ238" s="34" t="n">
        <f aca="false">SUMPRODUCT((Per_Clase="Administración")*Sal_V*INDEX(Dot_V,0,MIN(10,AJ$173))*((Per_Mon="PYG")*AJ$175+(Per_Mon&lt;&gt;"PYG")))*(AJ$171+AJ$172*V_PreInd)*INDEX(IdxSal_V,1,MIN(10,AJ$173))*(1+V_Cargas)+AJ$237*V_Alim*AJ$175</f>
        <v>8959.98771891781</v>
      </c>
      <c r="AK238" s="34" t="n">
        <f aca="false">SUMPRODUCT((Per_Clase="Administración")*Sal_V*INDEX(Dot_V,0,MIN(10,AK$173))*((Per_Mon="PYG")*AK$175+(Per_Mon&lt;&gt;"PYG")))*(AK$171+AK$172*V_PreInd)*INDEX(IdxSal_V,1,MIN(10,AK$173))*(1+V_Cargas)+AK$237*V_Alim*AK$175</f>
        <v>8959.98771891781</v>
      </c>
      <c r="AL238" s="34" t="n">
        <f aca="false">SUMPRODUCT((Per_Clase="Administración")*Sal_V*INDEX(Dot_V,0,MIN(10,AL$173))*((Per_Mon="PYG")*AL$175+(Per_Mon&lt;&gt;"PYG")))*(AL$171+AL$172*V_PreInd)*INDEX(IdxSal_V,1,MIN(10,AL$173))*(1+V_Cargas)+AL$237*V_Alim*AL$175</f>
        <v>8959.98771891781</v>
      </c>
      <c r="AM238" s="34" t="n">
        <f aca="false">SUMPRODUCT((Per_Clase="Administración")*Sal_V*INDEX(Dot_V,0,MIN(10,AM$173))*((Per_Mon="PYG")*AM$175+(Per_Mon&lt;&gt;"PYG")))*(AM$171+AM$172*V_PreInd)*INDEX(IdxSal_V,1,MIN(10,AM$173))*(1+V_Cargas)+AM$237*V_Alim*AM$175</f>
        <v>8959.98771891781</v>
      </c>
      <c r="AN238" s="34" t="n">
        <f aca="false">SUMPRODUCT((Per_Clase="Administración")*Sal_V*INDEX(Dot_V,0,MIN(10,AN$173))*((Per_Mon="PYG")*AN$175+(Per_Mon&lt;&gt;"PYG")))*(AN$171+AN$172*V_PreInd)*INDEX(IdxSal_V,1,MIN(10,AN$173))*(1+V_Cargas)+AN$237*V_Alim*AN$175</f>
        <v>8959.98771891781</v>
      </c>
      <c r="AO238" s="34" t="n">
        <f aca="false">SUMPRODUCT((Per_Clase="Administración")*Sal_V*INDEX(Dot_V,0,MIN(10,AO$173))*((Per_Mon="PYG")*AO$175+(Per_Mon&lt;&gt;"PYG")))*(AO$171+AO$172*V_PreInd)*INDEX(IdxSal_V,1,MIN(10,AO$173))*(1+V_Cargas)+AO$237*V_Alim*AO$175</f>
        <v>8959.98771891781</v>
      </c>
      <c r="AP238" s="34" t="n">
        <f aca="false">SUMPRODUCT((Per_Clase="Administración")*Sal_V*INDEX(Dot_V,0,MIN(10,AP$173))*((Per_Mon="PYG")*AP$175+(Per_Mon&lt;&gt;"PYG")))*(AP$171+AP$172*V_PreInd)*INDEX(IdxSal_V,1,MIN(10,AP$173))*(1+V_Cargas)+AP$237*V_Alim*AP$175</f>
        <v>8959.98771891781</v>
      </c>
      <c r="AQ238" s="34" t="n">
        <f aca="false">SUMPRODUCT((Per_Clase="Administración")*Sal_V*INDEX(Dot_V,0,MIN(10,AQ$173))*((Per_Mon="PYG")*AQ$175+(Per_Mon&lt;&gt;"PYG")))*(AQ$171+AQ$172*V_PreInd)*INDEX(IdxSal_V,1,MIN(10,AQ$173))*(1+V_Cargas)+AQ$237*V_Alim*AQ$175</f>
        <v>8959.98771891781</v>
      </c>
      <c r="AR238" s="34" t="n">
        <f aca="false">SUMPRODUCT((Per_Clase="Administración")*Sal_V*INDEX(Dot_V,0,MIN(10,AR$173))*((Per_Mon="PYG")*AR$175+(Per_Mon&lt;&gt;"PYG")))*(AR$171+AR$172*V_PreInd)*INDEX(IdxSal_V,1,MIN(10,AR$173))*(1+V_Cargas)+AR$237*V_Alim*AR$175</f>
        <v>8959.98771891781</v>
      </c>
      <c r="AS238" s="34" t="n">
        <f aca="false">SUMPRODUCT((Per_Clase="Administración")*Sal_V*INDEX(Dot_V,0,MIN(10,AS$173))*((Per_Mon="PYG")*AS$175+(Per_Mon&lt;&gt;"PYG")))*(AS$171+AS$172*V_PreInd)*INDEX(IdxSal_V,1,MIN(10,AS$173))*(1+V_Cargas)+AS$237*V_Alim*AS$175</f>
        <v>8959.98771891781</v>
      </c>
      <c r="AT238" s="34" t="n">
        <f aca="false">SUMPRODUCT((Per_Clase="Administración")*Sal_V*INDEX(Dot_V,0,MIN(10,AT$173))*((Per_Mon="PYG")*AT$175+(Per_Mon&lt;&gt;"PYG")))*(AT$171+AT$172*V_PreInd)*INDEX(IdxSal_V,1,MIN(10,AT$173))*(1+V_Cargas)+AT$237*V_Alim*AT$175</f>
        <v>8959.98771891781</v>
      </c>
      <c r="AU238" s="34" t="n">
        <f aca="false">SUMPRODUCT((Per_Clase="Administración")*Sal_V*INDEX(Dot_V,0,MIN(10,AU$173))*((Per_Mon="PYG")*AU$175+(Per_Mon&lt;&gt;"PYG")))*(AU$171+AU$172*V_PreInd)*INDEX(IdxSal_V,1,MIN(10,AU$173))*(1+V_Cargas)+AU$237*V_Alim*AU$175</f>
        <v>8959.98771891781</v>
      </c>
      <c r="AV238" s="34" t="n">
        <f aca="false">SUMPRODUCT((Per_Clase="Administración")*Sal_V*INDEX(Dot_V,0,MIN(10,AV$173))*((Per_Mon="PYG")*AV$175+(Per_Mon&lt;&gt;"PYG")))*(AV$171+AV$172*V_PreInd)*INDEX(IdxSal_V,1,MIN(10,AV$173))*(1+V_Cargas)+AV$237*V_Alim*AV$175</f>
        <v>8959.98771891781</v>
      </c>
      <c r="AW238" s="34" t="n">
        <f aca="false">SUMPRODUCT((Per_Clase="Administración")*Sal_V*INDEX(Dot_V,0,MIN(10,AW$173))*((Per_Mon="PYG")*AW$175+(Per_Mon&lt;&gt;"PYG")))*(AW$171+AW$172*V_PreInd)*INDEX(IdxSal_V,1,MIN(10,AW$173))*(1+V_Cargas)+AW$237*V_Alim*AW$175</f>
        <v>8959.98771891781</v>
      </c>
      <c r="AX238" s="34" t="n">
        <f aca="false">SUMPRODUCT((Per_Clase="Administración")*Sal_V*INDEX(Dot_V,0,MIN(10,AX$173))*((Per_Mon="PYG")*AX$175+(Per_Mon&lt;&gt;"PYG")))*(AX$171+AX$172*V_PreInd)*INDEX(IdxSal_V,1,MIN(10,AX$173))*(1+V_Cargas)+AX$237*V_Alim*AX$175</f>
        <v>8959.98771891781</v>
      </c>
      <c r="AY238" s="34" t="n">
        <f aca="false">SUMPRODUCT((Per_Clase="Administración")*Sal_V*INDEX(Dot_V,0,MIN(10,AY$173))*((Per_Mon="PYG")*AY$175+(Per_Mon&lt;&gt;"PYG")))*(AY$171+AY$172*V_PreInd)*INDEX(IdxSal_V,1,MIN(10,AY$173))*(1+V_Cargas)+AY$237*V_Alim*AY$175</f>
        <v>8959.98771891781</v>
      </c>
      <c r="AZ238" s="34" t="n">
        <f aca="false">SUMPRODUCT((Per_Clase="Administración")*Sal_V*INDEX(Dot_V,0,MIN(10,AZ$173))*((Per_Mon="PYG")*AZ$175+(Per_Mon&lt;&gt;"PYG")))*(AZ$171+AZ$172*V_PreInd)*INDEX(IdxSal_V,1,MIN(10,AZ$173))*(1+V_Cargas)+AZ$237*V_Alim*AZ$175</f>
        <v>8959.98771891781</v>
      </c>
      <c r="BA238" s="34" t="n">
        <f aca="false">SUMPRODUCT((Per_Clase="Administración")*Sal_V*INDEX(Dot_V,0,MIN(10,BA$173))*((Per_Mon="PYG")*BA$175+(Per_Mon&lt;&gt;"PYG")))*(BA$171+BA$172*V_PreInd)*INDEX(IdxSal_V,1,MIN(10,BA$173))*(1+V_Cargas)+BA$237*V_Alim*BA$175</f>
        <v>8959.98771891781</v>
      </c>
      <c r="BB238" s="34" t="n">
        <f aca="false">SUMPRODUCT((Per_Clase="Administración")*Sal_V*INDEX(Dot_V,0,MIN(10,BB$173))*((Per_Mon="PYG")*BB$175+(Per_Mon&lt;&gt;"PYG")))*(BB$171+BB$172*V_PreInd)*INDEX(IdxSal_V,1,MIN(10,BB$173))*(1+V_Cargas)+BB$237*V_Alim*BB$175</f>
        <v>8959.98771891781</v>
      </c>
      <c r="BC238" s="34" t="n">
        <f aca="false">SUMPRODUCT((Per_Clase="Administración")*Sal_V*INDEX(Dot_V,0,MIN(10,BC$173))*((Per_Mon="PYG")*BC$175+(Per_Mon&lt;&gt;"PYG")))*(BC$171+BC$172*V_PreInd)*INDEX(IdxSal_V,1,MIN(10,BC$173))*(1+V_Cargas)+BC$237*V_Alim*BC$175</f>
        <v>8959.98771891781</v>
      </c>
      <c r="BD238" s="34" t="n">
        <f aca="false">SUMPRODUCT((Per_Clase="Administración")*Sal_V*INDEX(Dot_V,0,MIN(10,BD$173))*((Per_Mon="PYG")*BD$175+(Per_Mon&lt;&gt;"PYG")))*(BD$171+BD$172*V_PreInd)*INDEX(IdxSal_V,1,MIN(10,BD$173))*(1+V_Cargas)+BD$237*V_Alim*BD$175</f>
        <v>8959.98771891781</v>
      </c>
      <c r="BE238" s="34" t="n">
        <f aca="false">SUMPRODUCT((Per_Clase="Administración")*Sal_V*INDEX(Dot_V,0,MIN(10,BE$173))*((Per_Mon="PYG")*BE$175+(Per_Mon&lt;&gt;"PYG")))*(BE$171+BE$172*V_PreInd)*INDEX(IdxSal_V,1,MIN(10,BE$173))*(1+V_Cargas)+BE$237*V_Alim*BE$175</f>
        <v>8959.98771891781</v>
      </c>
      <c r="BF238" s="34" t="n">
        <f aca="false">SUMPRODUCT((Per_Clase="Administración")*Sal_V*INDEX(Dot_V,0,MIN(10,BF$173))*((Per_Mon="PYG")*BF$175+(Per_Mon&lt;&gt;"PYG")))*(BF$171+BF$172*V_PreInd)*INDEX(IdxSal_V,1,MIN(10,BF$173))*(1+V_Cargas)+BF$237*V_Alim*BF$175</f>
        <v>8959.98771891781</v>
      </c>
      <c r="BG238" s="34" t="n">
        <f aca="false">SUMPRODUCT((Per_Clase="Administración")*Sal_V*INDEX(Dot_V,0,MIN(10,BG$173))*((Per_Mon="PYG")*BG$175+(Per_Mon&lt;&gt;"PYG")))*(BG$171+BG$172*V_PreInd)*INDEX(IdxSal_V,1,MIN(10,BG$173))*(1+V_Cargas)+BG$237*V_Alim*BG$175</f>
        <v>8959.98771891781</v>
      </c>
      <c r="BH238" s="34" t="n">
        <f aca="false">SUMPRODUCT((Per_Clase="Administración")*Sal_V*INDEX(Dot_V,0,MIN(10,BH$173))*((Per_Mon="PYG")*BH$175+(Per_Mon&lt;&gt;"PYG")))*(BH$171+BH$172*V_PreInd)*INDEX(IdxSal_V,1,MIN(10,BH$173))*(1+V_Cargas)+BH$237*V_Alim*BH$175</f>
        <v>8959.98771891781</v>
      </c>
      <c r="BI238" s="34" t="n">
        <f aca="false">SUMPRODUCT((Per_Clase="Administración")*Sal_V*INDEX(Dot_V,0,MIN(10,BI$173))*((Per_Mon="PYG")*BI$175+(Per_Mon&lt;&gt;"PYG")))*(BI$171+BI$172*V_PreInd)*INDEX(IdxSal_V,1,MIN(10,BI$173))*(1+V_Cargas)+BI$237*V_Alim*BI$175</f>
        <v>8959.98771891781</v>
      </c>
      <c r="BJ238" s="34" t="n">
        <f aca="false">SUMPRODUCT((Per_Clase="Administración")*Sal_V*INDEX(Dot_V,0,MIN(10,BJ$173))*((Per_Mon="PYG")*BJ$175+(Per_Mon&lt;&gt;"PYG")))*(BJ$171+BJ$172*V_PreInd)*INDEX(IdxSal_V,1,MIN(10,BJ$173))*(1+V_Cargas)+BJ$237*V_Alim*BJ$175</f>
        <v>8959.98771891781</v>
      </c>
      <c r="BK238" s="34" t="n">
        <f aca="false">SUMPRODUCT((Per_Clase="Administración")*Sal_V*INDEX(Dot_V,0,MIN(10,BK$173))*((Per_Mon="PYG")*BK$175+(Per_Mon&lt;&gt;"PYG")))*(BK$171+BK$172*V_PreInd)*INDEX(IdxSal_V,1,MIN(10,BK$173))*(1+V_Cargas)+BK$237*V_Alim*BK$175</f>
        <v>8959.98771891781</v>
      </c>
      <c r="BL238" s="34" t="n">
        <f aca="false">SUMPRODUCT((Per_Clase="Administración")*Sal_V*INDEX(Dot_V,0,MIN(10,BL$173))*((Per_Mon="PYG")*BL$175+(Per_Mon&lt;&gt;"PYG")))*(BL$171+BL$172*V_PreInd)*INDEX(IdxSal_V,1,MIN(10,BL$173))*(1+V_Cargas)+BL$237*V_Alim*BL$175</f>
        <v>8959.98771891781</v>
      </c>
      <c r="BM238" s="34" t="n">
        <f aca="false">SUMPRODUCT((Per_Clase="Administración")*Sal_V*INDEX(Dot_V,0,MIN(10,BM$173))*((Per_Mon="PYG")*BM$175+(Per_Mon&lt;&gt;"PYG")))*(BM$171+BM$172*V_PreInd)*INDEX(IdxSal_V,1,MIN(10,BM$173))*(1+V_Cargas)+BM$237*V_Alim*BM$175</f>
        <v>8959.98771891781</v>
      </c>
      <c r="BN238" s="34" t="n">
        <f aca="false">SUMPRODUCT((Per_Clase="Administración")*Sal_V*INDEX(Dot_V,0,MIN(10,BN$173))*((Per_Mon="PYG")*BN$175+(Per_Mon&lt;&gt;"PYG")))*(BN$171+BN$172*V_PreInd)*INDEX(IdxSal_V,1,MIN(10,BN$173))*(1+V_Cargas)+BN$237*V_Alim*BN$175</f>
        <v>8959.98771891781</v>
      </c>
      <c r="BO238" s="34" t="n">
        <f aca="false">SUMPRODUCT((Per_Clase="Administración")*Sal_V*INDEX(Dot_V,0,MIN(10,BO$173))*((Per_Mon="PYG")*BO$175+(Per_Mon&lt;&gt;"PYG")))*(BO$171+BO$172*V_PreInd)*INDEX(IdxSal_V,1,MIN(10,BO$173))*(1+V_Cargas)+BO$237*V_Alim*BO$175</f>
        <v>8959.98771891781</v>
      </c>
      <c r="BP238" s="34" t="n">
        <f aca="false">SUMPRODUCT((Per_Clase="Administración")*Sal_V*INDEX(Dot_V,0,MIN(10,BP$173))*((Per_Mon="PYG")*BP$175+(Per_Mon&lt;&gt;"PYG")))*(BP$171+BP$172*V_PreInd)*INDEX(IdxSal_V,1,MIN(10,BP$173))*(1+V_Cargas)+BP$237*V_Alim*BP$175</f>
        <v>8959.98771891781</v>
      </c>
      <c r="BQ238" s="34" t="n">
        <f aca="false">SUMPRODUCT((Per_Clase="Administración")*Sal_V*INDEX(Dot_V,0,MIN(10,BQ$173))*((Per_Mon="PYG")*BQ$175+(Per_Mon&lt;&gt;"PYG")))*(BQ$171+BQ$172*V_PreInd)*INDEX(IdxSal_V,1,MIN(10,BQ$173))*(1+V_Cargas)+BQ$237*V_Alim*BQ$175</f>
        <v>8959.98771891781</v>
      </c>
      <c r="BR238" s="34" t="n">
        <f aca="false">SUMPRODUCT((Per_Clase="Administración")*Sal_V*INDEX(Dot_V,0,MIN(10,BR$173))*((Per_Mon="PYG")*BR$175+(Per_Mon&lt;&gt;"PYG")))*(BR$171+BR$172*V_PreInd)*INDEX(IdxSal_V,1,MIN(10,BR$173))*(1+V_Cargas)+BR$237*V_Alim*BR$175</f>
        <v>8959.98771891781</v>
      </c>
      <c r="BS238" s="34" t="n">
        <f aca="false">SUMPRODUCT((Per_Clase="Administración")*Sal_V*INDEX(Dot_V,0,MIN(10,BS$173))*((Per_Mon="PYG")*BS$175+(Per_Mon&lt;&gt;"PYG")))*(BS$171+BS$172*V_PreInd)*INDEX(IdxSal_V,1,MIN(10,BS$173))*(1+V_Cargas)+BS$237*V_Alim*BS$175</f>
        <v>8959.98771891781</v>
      </c>
      <c r="BT238" s="34" t="n">
        <f aca="false">SUMPRODUCT((Per_Clase="Administración")*Sal_V*INDEX(Dot_V,0,MIN(10,BT$173))*((Per_Mon="PYG")*BT$175+(Per_Mon&lt;&gt;"PYG")))*(BT$171+BT$172*V_PreInd)*INDEX(IdxSal_V,1,MIN(10,BT$173))*(1+V_Cargas)+BT$237*V_Alim*BT$175</f>
        <v>8959.98771891781</v>
      </c>
      <c r="BU238" s="34" t="n">
        <f aca="false">SUMPRODUCT((Per_Clase="Administración")*Sal_V*INDEX(Dot_V,0,MIN(10,BU$173))*((Per_Mon="PYG")*BU$175+(Per_Mon&lt;&gt;"PYG")))*(BU$171+BU$172*V_PreInd)*INDEX(IdxSal_V,1,MIN(10,BU$173))*(1+V_Cargas)+BU$237*V_Alim*BU$175</f>
        <v>8959.98771891781</v>
      </c>
      <c r="BV238" s="34" t="n">
        <f aca="false">SUMPRODUCT((Per_Clase="Administración")*Sal_V*INDEX(Dot_V,0,MIN(10,BV$173))*((Per_Mon="PYG")*BV$175+(Per_Mon&lt;&gt;"PYG")))*(BV$171+BV$172*V_PreInd)*INDEX(IdxSal_V,1,MIN(10,BV$173))*(1+V_Cargas)+BV$237*V_Alim*BV$175</f>
        <v>8959.98771891781</v>
      </c>
      <c r="BW238" s="34" t="n">
        <f aca="false">SUMPRODUCT((Per_Clase="Administración")*Sal_V*INDEX(Dot_V,0,MIN(10,BW$173))*((Per_Mon="PYG")*BW$175+(Per_Mon&lt;&gt;"PYG")))*(BW$171+BW$172*V_PreInd)*INDEX(IdxSal_V,1,MIN(10,BW$173))*(1+V_Cargas)+BW$237*V_Alim*BW$175</f>
        <v>8959.98771891781</v>
      </c>
      <c r="BX238" s="34" t="n">
        <f aca="false">SUMPRODUCT((Per_Clase="Administración")*Sal_V*INDEX(Dot_V,0,MIN(10,BX$173))*((Per_Mon="PYG")*BX$175+(Per_Mon&lt;&gt;"PYG")))*(BX$171+BX$172*V_PreInd)*INDEX(IdxSal_V,1,MIN(10,BX$173))*(1+V_Cargas)+BX$237*V_Alim*BX$175</f>
        <v>8959.98771891781</v>
      </c>
      <c r="BY238" s="34" t="n">
        <f aca="false">SUMPRODUCT((Per_Clase="Administración")*Sal_V*INDEX(Dot_V,0,MIN(10,BY$173))*((Per_Mon="PYG")*BY$175+(Per_Mon&lt;&gt;"PYG")))*(BY$171+BY$172*V_PreInd)*INDEX(IdxSal_V,1,MIN(10,BY$173))*(1+V_Cargas)+BY$237*V_Alim*BY$175</f>
        <v>8959.98771891781</v>
      </c>
      <c r="BZ238" s="34" t="n">
        <f aca="false">SUMPRODUCT((Per_Clase="Administración")*Sal_V*INDEX(Dot_V,0,MIN(10,BZ$173))*((Per_Mon="PYG")*BZ$175+(Per_Mon&lt;&gt;"PYG")))*(BZ$171+BZ$172*V_PreInd)*INDEX(IdxSal_V,1,MIN(10,BZ$173))*(1+V_Cargas)+BZ$237*V_Alim*BZ$175</f>
        <v>8959.98771891781</v>
      </c>
      <c r="CA238" s="34" t="n">
        <f aca="false">SUMPRODUCT((Per_Clase="Administración")*Sal_V*INDEX(Dot_V,0,MIN(10,CA$173))*((Per_Mon="PYG")*CA$175+(Per_Mon&lt;&gt;"PYG")))*(CA$171+CA$172*V_PreInd)*INDEX(IdxSal_V,1,MIN(10,CA$173))*(1+V_Cargas)+CA$237*V_Alim*CA$175</f>
        <v>8959.98771891781</v>
      </c>
      <c r="CB238" s="34" t="n">
        <f aca="false">SUMPRODUCT((Per_Clase="Administración")*Sal_V*INDEX(Dot_V,0,MIN(10,CB$173))*((Per_Mon="PYG")*CB$175+(Per_Mon&lt;&gt;"PYG")))*(CB$171+CB$172*V_PreInd)*INDEX(IdxSal_V,1,MIN(10,CB$173))*(1+V_Cargas)+CB$237*V_Alim*CB$175</f>
        <v>8959.98771891781</v>
      </c>
      <c r="CC238" s="34" t="n">
        <f aca="false">SUMPRODUCT((Per_Clase="Administración")*Sal_V*INDEX(Dot_V,0,MIN(10,CC$173))*((Per_Mon="PYG")*CC$175+(Per_Mon&lt;&gt;"PYG")))*(CC$171+CC$172*V_PreInd)*INDEX(IdxSal_V,1,MIN(10,CC$173))*(1+V_Cargas)+CC$237*V_Alim*CC$175</f>
        <v>8959.98771891781</v>
      </c>
      <c r="CD238" s="34" t="n">
        <f aca="false">SUMPRODUCT((Per_Clase="Administración")*Sal_V*INDEX(Dot_V,0,MIN(10,CD$173))*((Per_Mon="PYG")*CD$175+(Per_Mon&lt;&gt;"PYG")))*(CD$171+CD$172*V_PreInd)*INDEX(IdxSal_V,1,MIN(10,CD$173))*(1+V_Cargas)+CD$237*V_Alim*CD$175</f>
        <v>8959.98771891781</v>
      </c>
      <c r="CE238" s="34" t="n">
        <f aca="false">SUMPRODUCT((Per_Clase="Administración")*Sal_V*INDEX(Dot_V,0,MIN(10,CE$173))*((Per_Mon="PYG")*CE$175+(Per_Mon&lt;&gt;"PYG")))*(CE$171+CE$172*V_PreInd)*INDEX(IdxSal_V,1,MIN(10,CE$173))*(1+V_Cargas)+CE$237*V_Alim*CE$175</f>
        <v>8959.98771891781</v>
      </c>
      <c r="CF238" s="34" t="n">
        <f aca="false">SUMPRODUCT((Per_Clase="Administración")*Sal_V*INDEX(Dot_V,0,MIN(10,CF$173))*((Per_Mon="PYG")*CF$175+(Per_Mon&lt;&gt;"PYG")))*(CF$171+CF$172*V_PreInd)*INDEX(IdxSal_V,1,MIN(10,CF$173))*(1+V_Cargas)+CF$237*V_Alim*CF$175</f>
        <v>8959.98771891781</v>
      </c>
      <c r="CG238" s="34" t="n">
        <f aca="false">SUMPRODUCT((Per_Clase="Administración")*Sal_V*INDEX(Dot_V,0,MIN(10,CG$173))*((Per_Mon="PYG")*CG$175+(Per_Mon&lt;&gt;"PYG")))*(CG$171+CG$172*V_PreInd)*INDEX(IdxSal_V,1,MIN(10,CG$173))*(1+V_Cargas)+CG$237*V_Alim*CG$175</f>
        <v>8959.98771891781</v>
      </c>
      <c r="CH238" s="34" t="n">
        <f aca="false">SUMPRODUCT((Per_Clase="Administración")*Sal_V*INDEX(Dot_V,0,MIN(10,CH$173))*((Per_Mon="PYG")*CH$175+(Per_Mon&lt;&gt;"PYG")))*(CH$171+CH$172*V_PreInd)*INDEX(IdxSal_V,1,MIN(10,CH$173))*(1+V_Cargas)+CH$237*V_Alim*CH$175</f>
        <v>8959.98771891781</v>
      </c>
      <c r="CI238" s="34" t="n">
        <f aca="false">SUMPRODUCT((Per_Clase="Administración")*Sal_V*INDEX(Dot_V,0,MIN(10,CI$173))*((Per_Mon="PYG")*CI$175+(Per_Mon&lt;&gt;"PYG")))*(CI$171+CI$172*V_PreInd)*INDEX(IdxSal_V,1,MIN(10,CI$173))*(1+V_Cargas)+CI$237*V_Alim*CI$175</f>
        <v>8959.98771891781</v>
      </c>
      <c r="CJ238" s="34" t="n">
        <f aca="false">SUMPRODUCT((Per_Clase="Administración")*Sal_V*INDEX(Dot_V,0,MIN(10,CJ$173))*((Per_Mon="PYG")*CJ$175+(Per_Mon&lt;&gt;"PYG")))*(CJ$171+CJ$172*V_PreInd)*INDEX(IdxSal_V,1,MIN(10,CJ$173))*(1+V_Cargas)+CJ$237*V_Alim*CJ$175</f>
        <v>8959.98771891781</v>
      </c>
      <c r="CK238" s="34" t="n">
        <f aca="false">SUMPRODUCT((Per_Clase="Administración")*Sal_V*INDEX(Dot_V,0,MIN(10,CK$173))*((Per_Mon="PYG")*CK$175+(Per_Mon&lt;&gt;"PYG")))*(CK$171+CK$172*V_PreInd)*INDEX(IdxSal_V,1,MIN(10,CK$173))*(1+V_Cargas)+CK$237*V_Alim*CK$175</f>
        <v>8959.98771891781</v>
      </c>
      <c r="CL238" s="34" t="n">
        <f aca="false">SUMPRODUCT((Per_Clase="Administración")*Sal_V*INDEX(Dot_V,0,MIN(10,CL$173))*((Per_Mon="PYG")*CL$175+(Per_Mon&lt;&gt;"PYG")))*(CL$171+CL$172*V_PreInd)*INDEX(IdxSal_V,1,MIN(10,CL$173))*(1+V_Cargas)+CL$237*V_Alim*CL$175</f>
        <v>8959.98771891781</v>
      </c>
      <c r="CM238" s="34" t="n">
        <f aca="false">SUMPRODUCT((Per_Clase="Administración")*Sal_V*INDEX(Dot_V,0,MIN(10,CM$173))*((Per_Mon="PYG")*CM$175+(Per_Mon&lt;&gt;"PYG")))*(CM$171+CM$172*V_PreInd)*INDEX(IdxSal_V,1,MIN(10,CM$173))*(1+V_Cargas)+CM$237*V_Alim*CM$175</f>
        <v>8959.98771891781</v>
      </c>
      <c r="CN238" s="34" t="n">
        <f aca="false">SUMPRODUCT((Per_Clase="Administración")*Sal_V*INDEX(Dot_V,0,MIN(10,CN$173))*((Per_Mon="PYG")*CN$175+(Per_Mon&lt;&gt;"PYG")))*(CN$171+CN$172*V_PreInd)*INDEX(IdxSal_V,1,MIN(10,CN$173))*(1+V_Cargas)+CN$237*V_Alim*CN$175</f>
        <v>8959.98771891781</v>
      </c>
      <c r="CO238" s="34" t="n">
        <f aca="false">SUMPRODUCT((Per_Clase="Administración")*Sal_V*INDEX(Dot_V,0,MIN(10,CO$173))*((Per_Mon="PYG")*CO$175+(Per_Mon&lt;&gt;"PYG")))*(CO$171+CO$172*V_PreInd)*INDEX(IdxSal_V,1,MIN(10,CO$173))*(1+V_Cargas)+CO$237*V_Alim*CO$175</f>
        <v>8959.98771891781</v>
      </c>
      <c r="CP238" s="34" t="n">
        <f aca="false">SUMPRODUCT((Per_Clase="Administración")*Sal_V*INDEX(Dot_V,0,MIN(10,CP$173))*((Per_Mon="PYG")*CP$175+(Per_Mon&lt;&gt;"PYG")))*(CP$171+CP$172*V_PreInd)*INDEX(IdxSal_V,1,MIN(10,CP$173))*(1+V_Cargas)+CP$237*V_Alim*CP$175</f>
        <v>8959.98771891781</v>
      </c>
      <c r="CQ238" s="34" t="n">
        <f aca="false">SUMPRODUCT((Per_Clase="Administración")*Sal_V*INDEX(Dot_V,0,MIN(10,CQ$173))*((Per_Mon="PYG")*CQ$175+(Per_Mon&lt;&gt;"PYG")))*(CQ$171+CQ$172*V_PreInd)*INDEX(IdxSal_V,1,MIN(10,CQ$173))*(1+V_Cargas)+CQ$237*V_Alim*CQ$175</f>
        <v>8959.98771891781</v>
      </c>
      <c r="CR238" s="34" t="n">
        <f aca="false">SUMPRODUCT((Per_Clase="Administración")*Sal_V*INDEX(Dot_V,0,MIN(10,CR$173))*((Per_Mon="PYG")*CR$175+(Per_Mon&lt;&gt;"PYG")))*(CR$171+CR$172*V_PreInd)*INDEX(IdxSal_V,1,MIN(10,CR$173))*(1+V_Cargas)+CR$237*V_Alim*CR$175</f>
        <v>8959.98771891781</v>
      </c>
      <c r="CS238" s="34" t="n">
        <f aca="false">SUMPRODUCT((Per_Clase="Administración")*Sal_V*INDEX(Dot_V,0,MIN(10,CS$173))*((Per_Mon="PYG")*CS$175+(Per_Mon&lt;&gt;"PYG")))*(CS$171+CS$172*V_PreInd)*INDEX(IdxSal_V,1,MIN(10,CS$173))*(1+V_Cargas)+CS$237*V_Alim*CS$175</f>
        <v>8959.98771891781</v>
      </c>
      <c r="CT238" s="34" t="n">
        <f aca="false">SUMPRODUCT((Per_Clase="Administración")*Sal_V*INDEX(Dot_V,0,MIN(10,CT$173))*((Per_Mon="PYG")*CT$175+(Per_Mon&lt;&gt;"PYG")))*(CT$171+CT$172*V_PreInd)*INDEX(IdxSal_V,1,MIN(10,CT$173))*(1+V_Cargas)+CT$237*V_Alim*CT$175</f>
        <v>8959.98771891781</v>
      </c>
      <c r="CU238" s="34" t="n">
        <f aca="false">SUMPRODUCT((Per_Clase="Administración")*Sal_V*INDEX(Dot_V,0,MIN(10,CU$173))*((Per_Mon="PYG")*CU$175+(Per_Mon&lt;&gt;"PYG")))*(CU$171+CU$172*V_PreInd)*INDEX(IdxSal_V,1,MIN(10,CU$173))*(1+V_Cargas)+CU$237*V_Alim*CU$175</f>
        <v>8959.98771891781</v>
      </c>
      <c r="CV238" s="34" t="n">
        <f aca="false">SUMPRODUCT((Per_Clase="Administración")*Sal_V*INDEX(Dot_V,0,MIN(10,CV$173))*((Per_Mon="PYG")*CV$175+(Per_Mon&lt;&gt;"PYG")))*(CV$171+CV$172*V_PreInd)*INDEX(IdxSal_V,1,MIN(10,CV$173))*(1+V_Cargas)+CV$237*V_Alim*CV$175</f>
        <v>8959.98771891781</v>
      </c>
      <c r="CW238" s="34" t="n">
        <f aca="false">SUMPRODUCT((Per_Clase="Administración")*Sal_V*INDEX(Dot_V,0,MIN(10,CW$173))*((Per_Mon="PYG")*CW$175+(Per_Mon&lt;&gt;"PYG")))*(CW$171+CW$172*V_PreInd)*INDEX(IdxSal_V,1,MIN(10,CW$173))*(1+V_Cargas)+CW$237*V_Alim*CW$175</f>
        <v>8959.98771891781</v>
      </c>
      <c r="CX238" s="34" t="n">
        <f aca="false">SUMPRODUCT((Per_Clase="Administración")*Sal_V*INDEX(Dot_V,0,MIN(10,CX$173))*((Per_Mon="PYG")*CX$175+(Per_Mon&lt;&gt;"PYG")))*(CX$171+CX$172*V_PreInd)*INDEX(IdxSal_V,1,MIN(10,CX$173))*(1+V_Cargas)+CX$237*V_Alim*CX$175</f>
        <v>8959.98771891781</v>
      </c>
      <c r="CY238" s="34" t="n">
        <f aca="false">SUMPRODUCT((Per_Clase="Administración")*Sal_V*INDEX(Dot_V,0,MIN(10,CY$173))*((Per_Mon="PYG")*CY$175+(Per_Mon&lt;&gt;"PYG")))*(CY$171+CY$172*V_PreInd)*INDEX(IdxSal_V,1,MIN(10,CY$173))*(1+V_Cargas)+CY$237*V_Alim*CY$175</f>
        <v>8959.98771891781</v>
      </c>
      <c r="CZ238" s="34" t="n">
        <f aca="false">SUMPRODUCT((Per_Clase="Administración")*Sal_V*INDEX(Dot_V,0,MIN(10,CZ$173))*((Per_Mon="PYG")*CZ$175+(Per_Mon&lt;&gt;"PYG")))*(CZ$171+CZ$172*V_PreInd)*INDEX(IdxSal_V,1,MIN(10,CZ$173))*(1+V_Cargas)+CZ$237*V_Alim*CZ$175</f>
        <v>8959.98771891781</v>
      </c>
      <c r="DA238" s="34" t="n">
        <f aca="false">SUMPRODUCT((Per_Clase="Administración")*Sal_V*INDEX(Dot_V,0,MIN(10,DA$173))*((Per_Mon="PYG")*DA$175+(Per_Mon&lt;&gt;"PYG")))*(DA$171+DA$172*V_PreInd)*INDEX(IdxSal_V,1,MIN(10,DA$173))*(1+V_Cargas)+DA$237*V_Alim*DA$175</f>
        <v>8959.98771891781</v>
      </c>
      <c r="DB238" s="34" t="n">
        <f aca="false">SUMPRODUCT((Per_Clase="Administración")*Sal_V*INDEX(Dot_V,0,MIN(10,DB$173))*((Per_Mon="PYG")*DB$175+(Per_Mon&lt;&gt;"PYG")))*(DB$171+DB$172*V_PreInd)*INDEX(IdxSal_V,1,MIN(10,DB$173))*(1+V_Cargas)+DB$237*V_Alim*DB$175</f>
        <v>8959.98771891781</v>
      </c>
      <c r="DC238" s="34" t="n">
        <f aca="false">SUMPRODUCT((Per_Clase="Administración")*Sal_V*INDEX(Dot_V,0,MIN(10,DC$173))*((Per_Mon="PYG")*DC$175+(Per_Mon&lt;&gt;"PYG")))*(DC$171+DC$172*V_PreInd)*INDEX(IdxSal_V,1,MIN(10,DC$173))*(1+V_Cargas)+DC$237*V_Alim*DC$175</f>
        <v>8959.98771891781</v>
      </c>
      <c r="DD238" s="34" t="n">
        <f aca="false">SUMPRODUCT((Per_Clase="Administración")*Sal_V*INDEX(Dot_V,0,MIN(10,DD$173))*((Per_Mon="PYG")*DD$175+(Per_Mon&lt;&gt;"PYG")))*(DD$171+DD$172*V_PreInd)*INDEX(IdxSal_V,1,MIN(10,DD$173))*(1+V_Cargas)+DD$237*V_Alim*DD$175</f>
        <v>8959.98771891781</v>
      </c>
      <c r="DE238" s="34" t="n">
        <f aca="false">SUMPRODUCT((Per_Clase="Administración")*Sal_V*INDEX(Dot_V,0,MIN(10,DE$173))*((Per_Mon="PYG")*DE$175+(Per_Mon&lt;&gt;"PYG")))*(DE$171+DE$172*V_PreInd)*INDEX(IdxSal_V,1,MIN(10,DE$173))*(1+V_Cargas)+DE$237*V_Alim*DE$175</f>
        <v>8959.98771891781</v>
      </c>
      <c r="DF238" s="34" t="n">
        <f aca="false">SUMPRODUCT((Per_Clase="Administración")*Sal_V*INDEX(Dot_V,0,MIN(10,DF$173))*((Per_Mon="PYG")*DF$175+(Per_Mon&lt;&gt;"PYG")))*(DF$171+DF$172*V_PreInd)*INDEX(IdxSal_V,1,MIN(10,DF$173))*(1+V_Cargas)+DF$237*V_Alim*DF$175</f>
        <v>8959.98771891781</v>
      </c>
      <c r="DG238" s="34" t="n">
        <f aca="false">SUMPRODUCT((Per_Clase="Administración")*Sal_V*INDEX(Dot_V,0,MIN(10,DG$173))*((Per_Mon="PYG")*DG$175+(Per_Mon&lt;&gt;"PYG")))*(DG$171+DG$172*V_PreInd)*INDEX(IdxSal_V,1,MIN(10,DG$173))*(1+V_Cargas)+DG$237*V_Alim*DG$175</f>
        <v>8959.98771891781</v>
      </c>
      <c r="DH238" s="34" t="n">
        <f aca="false">SUMPRODUCT((Per_Clase="Administración")*Sal_V*INDEX(Dot_V,0,MIN(10,DH$173))*((Per_Mon="PYG")*DH$175+(Per_Mon&lt;&gt;"PYG")))*(DH$171+DH$172*V_PreInd)*INDEX(IdxSal_V,1,MIN(10,DH$173))*(1+V_Cargas)+DH$237*V_Alim*DH$175</f>
        <v>8959.98771891781</v>
      </c>
      <c r="DI238" s="34" t="n">
        <f aca="false">SUMPRODUCT((Per_Clase="Administración")*Sal_V*INDEX(Dot_V,0,MIN(10,DI$173))*((Per_Mon="PYG")*DI$175+(Per_Mon&lt;&gt;"PYG")))*(DI$171+DI$172*V_PreInd)*INDEX(IdxSal_V,1,MIN(10,DI$173))*(1+V_Cargas)+DI$237*V_Alim*DI$175</f>
        <v>8959.98771891781</v>
      </c>
      <c r="DJ238" s="34" t="n">
        <f aca="false">SUMPRODUCT((Per_Clase="Administración")*Sal_V*INDEX(Dot_V,0,MIN(10,DJ$173))*((Per_Mon="PYG")*DJ$175+(Per_Mon&lt;&gt;"PYG")))*(DJ$171+DJ$172*V_PreInd)*INDEX(IdxSal_V,1,MIN(10,DJ$173))*(1+V_Cargas)+DJ$237*V_Alim*DJ$175</f>
        <v>8959.98771891781</v>
      </c>
      <c r="DK238" s="34" t="n">
        <f aca="false">SUMPRODUCT((Per_Clase="Administración")*Sal_V*INDEX(Dot_V,0,MIN(10,DK$173))*((Per_Mon="PYG")*DK$175+(Per_Mon&lt;&gt;"PYG")))*(DK$171+DK$172*V_PreInd)*INDEX(IdxSal_V,1,MIN(10,DK$173))*(1+V_Cargas)+DK$237*V_Alim*DK$175</f>
        <v>8959.98771891781</v>
      </c>
      <c r="DL238" s="34" t="n">
        <f aca="false">SUMPRODUCT((Per_Clase="Administración")*Sal_V*INDEX(Dot_V,0,MIN(10,DL$173))*((Per_Mon="PYG")*DL$175+(Per_Mon&lt;&gt;"PYG")))*(DL$171+DL$172*V_PreInd)*INDEX(IdxSal_V,1,MIN(10,DL$173))*(1+V_Cargas)+DL$237*V_Alim*DL$175</f>
        <v>8959.98771891781</v>
      </c>
      <c r="DM238" s="34" t="n">
        <f aca="false">SUMPRODUCT((Per_Clase="Administración")*Sal_V*INDEX(Dot_V,0,MIN(10,DM$173))*((Per_Mon="PYG")*DM$175+(Per_Mon&lt;&gt;"PYG")))*(DM$171+DM$172*V_PreInd)*INDEX(IdxSal_V,1,MIN(10,DM$173))*(1+V_Cargas)+DM$237*V_Alim*DM$175</f>
        <v>8959.98771891781</v>
      </c>
      <c r="DN238" s="34" t="n">
        <f aca="false">SUMPRODUCT((Per_Clase="Administración")*Sal_V*INDEX(Dot_V,0,MIN(10,DN$173))*((Per_Mon="PYG")*DN$175+(Per_Mon&lt;&gt;"PYG")))*(DN$171+DN$172*V_PreInd)*INDEX(IdxSal_V,1,MIN(10,DN$173))*(1+V_Cargas)+DN$237*V_Alim*DN$175</f>
        <v>8959.98771891781</v>
      </c>
      <c r="DO238" s="34" t="n">
        <f aca="false">SUMPRODUCT((Per_Clase="Administración")*Sal_V*INDEX(Dot_V,0,MIN(10,DO$173))*((Per_Mon="PYG")*DO$175+(Per_Mon&lt;&gt;"PYG")))*(DO$171+DO$172*V_PreInd)*INDEX(IdxSal_V,1,MIN(10,DO$173))*(1+V_Cargas)+DO$237*V_Alim*DO$175</f>
        <v>8959.98771891781</v>
      </c>
      <c r="DP238" s="34" t="n">
        <f aca="false">SUMPRODUCT((Per_Clase="Administración")*Sal_V*INDEX(Dot_V,0,MIN(10,DP$173))*((Per_Mon="PYG")*DP$175+(Per_Mon&lt;&gt;"PYG")))*(DP$171+DP$172*V_PreInd)*INDEX(IdxSal_V,1,MIN(10,DP$173))*(1+V_Cargas)+DP$237*V_Alim*DP$175</f>
        <v>8959.98771891781</v>
      </c>
      <c r="DQ238" s="34" t="n">
        <f aca="false">SUMPRODUCT((Per_Clase="Administración")*Sal_V*INDEX(Dot_V,0,MIN(10,DQ$173))*((Per_Mon="PYG")*DQ$175+(Per_Mon&lt;&gt;"PYG")))*(DQ$171+DQ$172*V_PreInd)*INDEX(IdxSal_V,1,MIN(10,DQ$173))*(1+V_Cargas)+DQ$237*V_Alim*DQ$175</f>
        <v>8959.98771891781</v>
      </c>
      <c r="DR238" s="34" t="n">
        <f aca="false">SUMPRODUCT((Per_Clase="Administración")*Sal_V*INDEX(Dot_V,0,MIN(10,DR$173))*((Per_Mon="PYG")*DR$175+(Per_Mon&lt;&gt;"PYG")))*(DR$171+DR$172*V_PreInd)*INDEX(IdxSal_V,1,MIN(10,DR$173))*(1+V_Cargas)+DR$237*V_Alim*DR$175</f>
        <v>8959.98771891781</v>
      </c>
      <c r="DS238" s="34" t="n">
        <f aca="false">SUMPRODUCT((Per_Clase="Administración")*Sal_V*INDEX(Dot_V,0,MIN(10,DS$173))*((Per_Mon="PYG")*DS$175+(Per_Mon&lt;&gt;"PYG")))*(DS$171+DS$172*V_PreInd)*INDEX(IdxSal_V,1,MIN(10,DS$173))*(1+V_Cargas)+DS$237*V_Alim*DS$175</f>
        <v>8959.98771891781</v>
      </c>
      <c r="DT238" s="34" t="n">
        <f aca="false">SUMPRODUCT((Per_Clase="Administración")*Sal_V*INDEX(Dot_V,0,MIN(10,DT$173))*((Per_Mon="PYG")*DT$175+(Per_Mon&lt;&gt;"PYG")))*(DT$171+DT$172*V_PreInd)*INDEX(IdxSal_V,1,MIN(10,DT$173))*(1+V_Cargas)+DT$237*V_Alim*DT$175</f>
        <v>8959.98771891781</v>
      </c>
      <c r="DU238" s="34" t="n">
        <f aca="false">SUMPRODUCT((Per_Clase="Administración")*Sal_V*INDEX(Dot_V,0,MIN(10,DU$173))*((Per_Mon="PYG")*DU$175+(Per_Mon&lt;&gt;"PYG")))*(DU$171+DU$172*V_PreInd)*INDEX(IdxSal_V,1,MIN(10,DU$173))*(1+V_Cargas)+DU$237*V_Alim*DU$175</f>
        <v>8959.98771891781</v>
      </c>
      <c r="DV238" s="34" t="n">
        <f aca="false">SUMPRODUCT((Per_Clase="Administración")*Sal_V*INDEX(Dot_V,0,MIN(10,DV$173))*((Per_Mon="PYG")*DV$175+(Per_Mon&lt;&gt;"PYG")))*(DV$171+DV$172*V_PreInd)*INDEX(IdxSal_V,1,MIN(10,DV$173))*(1+V_Cargas)+DV$237*V_Alim*DV$175</f>
        <v>0</v>
      </c>
      <c r="DW238" s="34" t="n">
        <f aca="false">SUMPRODUCT((Per_Clase="Administración")*Sal_V*INDEX(Dot_V,0,MIN(10,DW$173))*((Per_Mon="PYG")*DW$175+(Per_Mon&lt;&gt;"PYG")))*(DW$171+DW$172*V_PreInd)*INDEX(IdxSal_V,1,MIN(10,DW$173))*(1+V_Cargas)+DW$237*V_Alim*DW$175</f>
        <v>0</v>
      </c>
      <c r="DX238" s="34" t="n">
        <f aca="false">SUMPRODUCT((Per_Clase="Administración")*Sal_V*INDEX(Dot_V,0,MIN(10,DX$173))*((Per_Mon="PYG")*DX$175+(Per_Mon&lt;&gt;"PYG")))*(DX$171+DX$172*V_PreInd)*INDEX(IdxSal_V,1,MIN(10,DX$173))*(1+V_Cargas)+DX$237*V_Alim*DX$175</f>
        <v>0</v>
      </c>
      <c r="DY238" s="34" t="n">
        <f aca="false">SUMPRODUCT((Per_Clase="Administración")*Sal_V*INDEX(Dot_V,0,MIN(10,DY$173))*((Per_Mon="PYG")*DY$175+(Per_Mon&lt;&gt;"PYG")))*(DY$171+DY$172*V_PreInd)*INDEX(IdxSal_V,1,MIN(10,DY$173))*(1+V_Cargas)+DY$237*V_Alim*DY$175</f>
        <v>0</v>
      </c>
      <c r="DZ238" s="34" t="n">
        <f aca="false">SUMPRODUCT((Per_Clase="Administración")*Sal_V*INDEX(Dot_V,0,MIN(10,DZ$173))*((Per_Mon="PYG")*DZ$175+(Per_Mon&lt;&gt;"PYG")))*(DZ$171+DZ$172*V_PreInd)*INDEX(IdxSal_V,1,MIN(10,DZ$173))*(1+V_Cargas)+DZ$237*V_Alim*DZ$175</f>
        <v>0</v>
      </c>
      <c r="EA238" s="34" t="n">
        <f aca="false">SUMPRODUCT((Per_Clase="Administración")*Sal_V*INDEX(Dot_V,0,MIN(10,EA$173))*((Per_Mon="PYG")*EA$175+(Per_Mon&lt;&gt;"PYG")))*(EA$171+EA$172*V_PreInd)*INDEX(IdxSal_V,1,MIN(10,EA$173))*(1+V_Cargas)+EA$237*V_Alim*EA$175</f>
        <v>0</v>
      </c>
      <c r="EB238" s="34" t="n">
        <f aca="false">SUMPRODUCT((Per_Clase="Administración")*Sal_V*INDEX(Dot_V,0,MIN(10,EB$173))*((Per_Mon="PYG")*EB$175+(Per_Mon&lt;&gt;"PYG")))*(EB$171+EB$172*V_PreInd)*INDEX(IdxSal_V,1,MIN(10,EB$173))*(1+V_Cargas)+EB$237*V_Alim*EB$175</f>
        <v>0</v>
      </c>
      <c r="EC238" s="34" t="n">
        <f aca="false">SUMPRODUCT((Per_Clase="Administración")*Sal_V*INDEX(Dot_V,0,MIN(10,EC$173))*((Per_Mon="PYG")*EC$175+(Per_Mon&lt;&gt;"PYG")))*(EC$171+EC$172*V_PreInd)*INDEX(IdxSal_V,1,MIN(10,EC$173))*(1+V_Cargas)+EC$237*V_Alim*EC$175</f>
        <v>0</v>
      </c>
      <c r="ED238" s="34" t="n">
        <f aca="false">SUMPRODUCT((Per_Clase="Administración")*Sal_V*INDEX(Dot_V,0,MIN(10,ED$173))*((Per_Mon="PYG")*ED$175+(Per_Mon&lt;&gt;"PYG")))*(ED$171+ED$172*V_PreInd)*INDEX(IdxSal_V,1,MIN(10,ED$173))*(1+V_Cargas)+ED$237*V_Alim*ED$175</f>
        <v>0</v>
      </c>
      <c r="EE238" s="34" t="n">
        <f aca="false">SUMPRODUCT((Per_Clase="Administración")*Sal_V*INDEX(Dot_V,0,MIN(10,EE$173))*((Per_Mon="PYG")*EE$175+(Per_Mon&lt;&gt;"PYG")))*(EE$171+EE$172*V_PreInd)*INDEX(IdxSal_V,1,MIN(10,EE$173))*(1+V_Cargas)+EE$237*V_Alim*EE$175</f>
        <v>0</v>
      </c>
      <c r="EF238" s="34" t="n">
        <f aca="false">SUMPRODUCT((Per_Clase="Administración")*Sal_V*INDEX(Dot_V,0,MIN(10,EF$173))*((Per_Mon="PYG")*EF$175+(Per_Mon&lt;&gt;"PYG")))*(EF$171+EF$172*V_PreInd)*INDEX(IdxSal_V,1,MIN(10,EF$173))*(1+V_Cargas)+EF$237*V_Alim*EF$175</f>
        <v>0</v>
      </c>
      <c r="EG238" s="34" t="n">
        <f aca="false">SUMPRODUCT((Per_Clase="Administración")*Sal_V*INDEX(Dot_V,0,MIN(10,EG$173))*((Per_Mon="PYG")*EG$175+(Per_Mon&lt;&gt;"PYG")))*(EG$171+EG$172*V_PreInd)*INDEX(IdxSal_V,1,MIN(10,EG$173))*(1+V_Cargas)+EG$237*V_Alim*EG$175</f>
        <v>0</v>
      </c>
      <c r="EH238" s="34" t="n">
        <f aca="false">SUMPRODUCT((Per_Clase="Administración")*Sal_V*INDEX(Dot_V,0,MIN(10,EH$173))*((Per_Mon="PYG")*EH$175+(Per_Mon&lt;&gt;"PYG")))*(EH$171+EH$172*V_PreInd)*INDEX(IdxSal_V,1,MIN(10,EH$173))*(1+V_Cargas)+EH$237*V_Alim*EH$175</f>
        <v>0</v>
      </c>
      <c r="EI238" s="34" t="n">
        <f aca="false">SUMPRODUCT((Per_Clase="Administración")*Sal_V*INDEX(Dot_V,0,MIN(10,EI$173))*((Per_Mon="PYG")*EI$175+(Per_Mon&lt;&gt;"PYG")))*(EI$171+EI$172*V_PreInd)*INDEX(IdxSal_V,1,MIN(10,EI$173))*(1+V_Cargas)+EI$237*V_Alim*EI$175</f>
        <v>0</v>
      </c>
      <c r="EJ238" s="34" t="n">
        <f aca="false">SUMPRODUCT((Per_Clase="Administración")*Sal_V*INDEX(Dot_V,0,MIN(10,EJ$173))*((Per_Mon="PYG")*EJ$175+(Per_Mon&lt;&gt;"PYG")))*(EJ$171+EJ$172*V_PreInd)*INDEX(IdxSal_V,1,MIN(10,EJ$173))*(1+V_Cargas)+EJ$237*V_Alim*EJ$175</f>
        <v>0</v>
      </c>
      <c r="EK238" s="34" t="n">
        <f aca="false">SUMPRODUCT((Per_Clase="Administración")*Sal_V*INDEX(Dot_V,0,MIN(10,EK$173))*((Per_Mon="PYG")*EK$175+(Per_Mon&lt;&gt;"PYG")))*(EK$171+EK$172*V_PreInd)*INDEX(IdxSal_V,1,MIN(10,EK$173))*(1+V_Cargas)+EK$237*V_Alim*EK$175</f>
        <v>0</v>
      </c>
      <c r="EL238" s="34" t="n">
        <f aca="false">SUMPRODUCT((Per_Clase="Administración")*Sal_V*INDEX(Dot_V,0,MIN(10,EL$173))*((Per_Mon="PYG")*EL$175+(Per_Mon&lt;&gt;"PYG")))*(EL$171+EL$172*V_PreInd)*INDEX(IdxSal_V,1,MIN(10,EL$173))*(1+V_Cargas)+EL$237*V_Alim*EL$175</f>
        <v>0</v>
      </c>
      <c r="EM238" s="34" t="n">
        <f aca="false">SUMPRODUCT((Per_Clase="Administración")*Sal_V*INDEX(Dot_V,0,MIN(10,EM$173))*((Per_Mon="PYG")*EM$175+(Per_Mon&lt;&gt;"PYG")))*(EM$171+EM$172*V_PreInd)*INDEX(IdxSal_V,1,MIN(10,EM$173))*(1+V_Cargas)+EM$237*V_Alim*EM$175</f>
        <v>0</v>
      </c>
      <c r="EN238" s="34" t="n">
        <f aca="false">SUMPRODUCT((Per_Clase="Administración")*Sal_V*INDEX(Dot_V,0,MIN(10,EN$173))*((Per_Mon="PYG")*EN$175+(Per_Mon&lt;&gt;"PYG")))*(EN$171+EN$172*V_PreInd)*INDEX(IdxSal_V,1,MIN(10,EN$173))*(1+V_Cargas)+EN$237*V_Alim*EN$175</f>
        <v>0</v>
      </c>
      <c r="EO238" s="34" t="n">
        <f aca="false">SUMPRODUCT((Per_Clase="Administración")*Sal_V*INDEX(Dot_V,0,MIN(10,EO$173))*((Per_Mon="PYG")*EO$175+(Per_Mon&lt;&gt;"PYG")))*(EO$171+EO$172*V_PreInd)*INDEX(IdxSal_V,1,MIN(10,EO$173))*(1+V_Cargas)+EO$237*V_Alim*EO$175</f>
        <v>0</v>
      </c>
      <c r="EP238" s="34" t="n">
        <f aca="false">SUMPRODUCT((Per_Clase="Administración")*Sal_V*INDEX(Dot_V,0,MIN(10,EP$173))*((Per_Mon="PYG")*EP$175+(Per_Mon&lt;&gt;"PYG")))*(EP$171+EP$172*V_PreInd)*INDEX(IdxSal_V,1,MIN(10,EP$173))*(1+V_Cargas)+EP$237*V_Alim*EP$175</f>
        <v>0</v>
      </c>
      <c r="EQ238" s="34" t="n">
        <f aca="false">SUMPRODUCT((Per_Clase="Administración")*Sal_V*INDEX(Dot_V,0,MIN(10,EQ$173))*((Per_Mon="PYG")*EQ$175+(Per_Mon&lt;&gt;"PYG")))*(EQ$171+EQ$172*V_PreInd)*INDEX(IdxSal_V,1,MIN(10,EQ$173))*(1+V_Cargas)+EQ$237*V_Alim*EQ$175</f>
        <v>0</v>
      </c>
      <c r="ER238" s="34" t="n">
        <f aca="false">SUMPRODUCT((Per_Clase="Administración")*Sal_V*INDEX(Dot_V,0,MIN(10,ER$173))*((Per_Mon="PYG")*ER$175+(Per_Mon&lt;&gt;"PYG")))*(ER$171+ER$172*V_PreInd)*INDEX(IdxSal_V,1,MIN(10,ER$173))*(1+V_Cargas)+ER$237*V_Alim*ER$175</f>
        <v>0</v>
      </c>
      <c r="ES238" s="34" t="n">
        <f aca="false">SUMPRODUCT((Per_Clase="Administración")*Sal_V*INDEX(Dot_V,0,MIN(10,ES$173))*((Per_Mon="PYG")*ES$175+(Per_Mon&lt;&gt;"PYG")))*(ES$171+ES$172*V_PreInd)*INDEX(IdxSal_V,1,MIN(10,ES$173))*(1+V_Cargas)+ES$237*V_Alim*ES$175</f>
        <v>0</v>
      </c>
    </row>
    <row r="239" customFormat="false" ht="15" hidden="false" customHeight="false" outlineLevel="0" collapsed="false">
      <c r="A239" s="2" t="s">
        <v>880</v>
      </c>
      <c r="B239" s="6" t="s">
        <v>659</v>
      </c>
      <c r="C239" s="6" t="s">
        <v>250</v>
      </c>
      <c r="E239" s="40" t="n">
        <f aca="false">SUM(F239:ES239)</f>
        <v>522395.342346116</v>
      </c>
      <c r="F239" s="34" t="n">
        <f aca="false">V_Pkg*(F$229+F$230+F$231+F$234)</f>
        <v>2756.29058797123</v>
      </c>
      <c r="G239" s="34" t="n">
        <f aca="false">V_Pkg*(G$229+G$230+G$231+G$234)</f>
        <v>2756.29058797123</v>
      </c>
      <c r="H239" s="34" t="n">
        <f aca="false">V_Pkg*(H$229+H$230+H$231+H$234)</f>
        <v>2756.29058797123</v>
      </c>
      <c r="I239" s="34" t="n">
        <f aca="false">V_Pkg*(I$229+I$230+I$231+I$234)</f>
        <v>2756.29058797123</v>
      </c>
      <c r="J239" s="34" t="n">
        <f aca="false">V_Pkg*(J$229+J$230+J$231+J$234)</f>
        <v>2756.29058797123</v>
      </c>
      <c r="K239" s="34" t="n">
        <f aca="false">V_Pkg*(K$229+K$230+K$231+K$234)</f>
        <v>2756.29058797123</v>
      </c>
      <c r="L239" s="34" t="n">
        <f aca="false">V_Pkg*(L$229+L$230+L$231+L$234)</f>
        <v>2756.29058797123</v>
      </c>
      <c r="M239" s="34" t="n">
        <f aca="false">V_Pkg*(M$229+M$230+M$231+M$234)</f>
        <v>2756.29058797123</v>
      </c>
      <c r="N239" s="34" t="n">
        <f aca="false">V_Pkg*(N$229+N$230+N$231+N$234)</f>
        <v>2756.29058797123</v>
      </c>
      <c r="O239" s="34" t="n">
        <f aca="false">V_Pkg*(O$229+O$230+O$231+O$234)</f>
        <v>2756.29058797123</v>
      </c>
      <c r="P239" s="34" t="n">
        <f aca="false">V_Pkg*(P$229+P$230+P$231+P$234)</f>
        <v>2756.29058797123</v>
      </c>
      <c r="Q239" s="34" t="n">
        <f aca="false">V_Pkg*(Q$229+Q$230+Q$231+Q$234)</f>
        <v>2756.29058797123</v>
      </c>
      <c r="R239" s="34" t="n">
        <f aca="false">V_Pkg*(R$229+R$230+R$231+R$234)</f>
        <v>3410.92767047123</v>
      </c>
      <c r="S239" s="34" t="n">
        <f aca="false">V_Pkg*(S$229+S$230+S$231+S$234)</f>
        <v>3410.92767047123</v>
      </c>
      <c r="T239" s="34" t="n">
        <f aca="false">V_Pkg*(T$229+T$230+T$231+T$234)</f>
        <v>3410.92767047123</v>
      </c>
      <c r="U239" s="34" t="n">
        <f aca="false">V_Pkg*(U$229+U$230+U$231+U$234)</f>
        <v>3410.92767047123</v>
      </c>
      <c r="V239" s="34" t="n">
        <f aca="false">V_Pkg*(V$229+V$230+V$231+V$234)</f>
        <v>3410.92767047123</v>
      </c>
      <c r="W239" s="34" t="n">
        <f aca="false">V_Pkg*(W$229+W$230+W$231+W$234)</f>
        <v>3410.92767047123</v>
      </c>
      <c r="X239" s="34" t="n">
        <f aca="false">V_Pkg*(X$229+X$230+X$231+X$234)</f>
        <v>3410.92767047123</v>
      </c>
      <c r="Y239" s="34" t="n">
        <f aca="false">V_Pkg*(Y$229+Y$230+Y$231+Y$234)</f>
        <v>3410.92767047123</v>
      </c>
      <c r="Z239" s="34" t="n">
        <f aca="false">V_Pkg*(Z$229+Z$230+Z$231+Z$234)</f>
        <v>3410.92767047123</v>
      </c>
      <c r="AA239" s="34" t="n">
        <f aca="false">V_Pkg*(AA$229+AA$230+AA$231+AA$234)</f>
        <v>3410.92767047123</v>
      </c>
      <c r="AB239" s="34" t="n">
        <f aca="false">V_Pkg*(AB$229+AB$230+AB$231+AB$234)</f>
        <v>3410.92767047123</v>
      </c>
      <c r="AC239" s="34" t="n">
        <f aca="false">V_Pkg*(AC$229+AC$230+AC$231+AC$234)</f>
        <v>3410.92767047123</v>
      </c>
      <c r="AD239" s="34" t="n">
        <f aca="false">V_Pkg*(AD$229+AD$230+AD$231+AD$234)</f>
        <v>4098.81333140891</v>
      </c>
      <c r="AE239" s="34" t="n">
        <f aca="false">V_Pkg*(AE$229+AE$230+AE$231+AE$234)</f>
        <v>4098.81333140891</v>
      </c>
      <c r="AF239" s="34" t="n">
        <f aca="false">V_Pkg*(AF$229+AF$230+AF$231+AF$234)</f>
        <v>4098.81333140891</v>
      </c>
      <c r="AG239" s="34" t="n">
        <f aca="false">V_Pkg*(AG$229+AG$230+AG$231+AG$234)</f>
        <v>4098.81333140891</v>
      </c>
      <c r="AH239" s="34" t="n">
        <f aca="false">V_Pkg*(AH$229+AH$230+AH$231+AH$234)</f>
        <v>4098.81333140891</v>
      </c>
      <c r="AI239" s="34" t="n">
        <f aca="false">V_Pkg*(AI$229+AI$230+AI$231+AI$234)</f>
        <v>4098.81333140891</v>
      </c>
      <c r="AJ239" s="34" t="n">
        <f aca="false">V_Pkg*(AJ$229+AJ$230+AJ$231+AJ$234)</f>
        <v>4098.81333140891</v>
      </c>
      <c r="AK239" s="34" t="n">
        <f aca="false">V_Pkg*(AK$229+AK$230+AK$231+AK$234)</f>
        <v>4098.81333140891</v>
      </c>
      <c r="AL239" s="34" t="n">
        <f aca="false">V_Pkg*(AL$229+AL$230+AL$231+AL$234)</f>
        <v>4098.81333140891</v>
      </c>
      <c r="AM239" s="34" t="n">
        <f aca="false">V_Pkg*(AM$229+AM$230+AM$231+AM$234)</f>
        <v>4098.81333140891</v>
      </c>
      <c r="AN239" s="34" t="n">
        <f aca="false">V_Pkg*(AN$229+AN$230+AN$231+AN$234)</f>
        <v>4098.81333140891</v>
      </c>
      <c r="AO239" s="34" t="n">
        <f aca="false">V_Pkg*(AO$229+AO$230+AO$231+AO$234)</f>
        <v>4098.81333140891</v>
      </c>
      <c r="AP239" s="34" t="n">
        <f aca="false">V_Pkg*(AP$229+AP$230+AP$231+AP$234)</f>
        <v>4661.52810532788</v>
      </c>
      <c r="AQ239" s="34" t="n">
        <f aca="false">V_Pkg*(AQ$229+AQ$230+AQ$231+AQ$234)</f>
        <v>4661.52810532788</v>
      </c>
      <c r="AR239" s="34" t="n">
        <f aca="false">V_Pkg*(AR$229+AR$230+AR$231+AR$234)</f>
        <v>4661.52810532788</v>
      </c>
      <c r="AS239" s="34" t="n">
        <f aca="false">V_Pkg*(AS$229+AS$230+AS$231+AS$234)</f>
        <v>4661.52810532788</v>
      </c>
      <c r="AT239" s="34" t="n">
        <f aca="false">V_Pkg*(AT$229+AT$230+AT$231+AT$234)</f>
        <v>4661.52810532788</v>
      </c>
      <c r="AU239" s="34" t="n">
        <f aca="false">V_Pkg*(AU$229+AU$230+AU$231+AU$234)</f>
        <v>4661.52810532788</v>
      </c>
      <c r="AV239" s="34" t="n">
        <f aca="false">V_Pkg*(AV$229+AV$230+AV$231+AV$234)</f>
        <v>4661.52810532788</v>
      </c>
      <c r="AW239" s="34" t="n">
        <f aca="false">V_Pkg*(AW$229+AW$230+AW$231+AW$234)</f>
        <v>4661.52810532788</v>
      </c>
      <c r="AX239" s="34" t="n">
        <f aca="false">V_Pkg*(AX$229+AX$230+AX$231+AX$234)</f>
        <v>4661.52810532788</v>
      </c>
      <c r="AY239" s="34" t="n">
        <f aca="false">V_Pkg*(AY$229+AY$230+AY$231+AY$234)</f>
        <v>4661.52810532788</v>
      </c>
      <c r="AZ239" s="34" t="n">
        <f aca="false">V_Pkg*(AZ$229+AZ$230+AZ$231+AZ$234)</f>
        <v>4661.52810532788</v>
      </c>
      <c r="BA239" s="34" t="n">
        <f aca="false">V_Pkg*(BA$229+BA$230+BA$231+BA$234)</f>
        <v>4661.52810532788</v>
      </c>
      <c r="BB239" s="34" t="n">
        <f aca="false">V_Pkg*(BB$229+BB$230+BB$231+BB$234)</f>
        <v>4709.89502646909</v>
      </c>
      <c r="BC239" s="34" t="n">
        <f aca="false">V_Pkg*(BC$229+BC$230+BC$231+BC$234)</f>
        <v>4709.89502646909</v>
      </c>
      <c r="BD239" s="34" t="n">
        <f aca="false">V_Pkg*(BD$229+BD$230+BD$231+BD$234)</f>
        <v>4709.89502646909</v>
      </c>
      <c r="BE239" s="34" t="n">
        <f aca="false">V_Pkg*(BE$229+BE$230+BE$231+BE$234)</f>
        <v>4709.89502646909</v>
      </c>
      <c r="BF239" s="34" t="n">
        <f aca="false">V_Pkg*(BF$229+BF$230+BF$231+BF$234)</f>
        <v>4709.89502646909</v>
      </c>
      <c r="BG239" s="34" t="n">
        <f aca="false">V_Pkg*(BG$229+BG$230+BG$231+BG$234)</f>
        <v>4709.89502646909</v>
      </c>
      <c r="BH239" s="34" t="n">
        <f aca="false">V_Pkg*(BH$229+BH$230+BH$231+BH$234)</f>
        <v>4709.89502646909</v>
      </c>
      <c r="BI239" s="34" t="n">
        <f aca="false">V_Pkg*(BI$229+BI$230+BI$231+BI$234)</f>
        <v>4709.89502646909</v>
      </c>
      <c r="BJ239" s="34" t="n">
        <f aca="false">V_Pkg*(BJ$229+BJ$230+BJ$231+BJ$234)</f>
        <v>4709.89502646909</v>
      </c>
      <c r="BK239" s="34" t="n">
        <f aca="false">V_Pkg*(BK$229+BK$230+BK$231+BK$234)</f>
        <v>4709.89502646909</v>
      </c>
      <c r="BL239" s="34" t="n">
        <f aca="false">V_Pkg*(BL$229+BL$230+BL$231+BL$234)</f>
        <v>4709.89502646909</v>
      </c>
      <c r="BM239" s="34" t="n">
        <f aca="false">V_Pkg*(BM$229+BM$230+BM$231+BM$234)</f>
        <v>4709.89502646909</v>
      </c>
      <c r="BN239" s="34" t="n">
        <f aca="false">V_Pkg*(BN$229+BN$230+BN$231+BN$234)</f>
        <v>4732.65693843283</v>
      </c>
      <c r="BO239" s="34" t="n">
        <f aca="false">V_Pkg*(BO$229+BO$230+BO$231+BO$234)</f>
        <v>4732.65693843283</v>
      </c>
      <c r="BP239" s="34" t="n">
        <f aca="false">V_Pkg*(BP$229+BP$230+BP$231+BP$234)</f>
        <v>4732.65693843283</v>
      </c>
      <c r="BQ239" s="34" t="n">
        <f aca="false">V_Pkg*(BQ$229+BQ$230+BQ$231+BQ$234)</f>
        <v>4732.65693843283</v>
      </c>
      <c r="BR239" s="34" t="n">
        <f aca="false">V_Pkg*(BR$229+BR$230+BR$231+BR$234)</f>
        <v>4732.65693843283</v>
      </c>
      <c r="BS239" s="34" t="n">
        <f aca="false">V_Pkg*(BS$229+BS$230+BS$231+BS$234)</f>
        <v>4732.65693843283</v>
      </c>
      <c r="BT239" s="34" t="n">
        <f aca="false">V_Pkg*(BT$229+BT$230+BT$231+BT$234)</f>
        <v>4732.65693843283</v>
      </c>
      <c r="BU239" s="34" t="n">
        <f aca="false">V_Pkg*(BU$229+BU$230+BU$231+BU$234)</f>
        <v>4732.65693843283</v>
      </c>
      <c r="BV239" s="34" t="n">
        <f aca="false">V_Pkg*(BV$229+BV$230+BV$231+BV$234)</f>
        <v>4732.65693843283</v>
      </c>
      <c r="BW239" s="34" t="n">
        <f aca="false">V_Pkg*(BW$229+BW$230+BW$231+BW$234)</f>
        <v>4732.65693843283</v>
      </c>
      <c r="BX239" s="34" t="n">
        <f aca="false">V_Pkg*(BX$229+BX$230+BX$231+BX$234)</f>
        <v>4732.65693843283</v>
      </c>
      <c r="BY239" s="34" t="n">
        <f aca="false">V_Pkg*(BY$229+BY$230+BY$231+BY$234)</f>
        <v>4732.65693843283</v>
      </c>
      <c r="BZ239" s="34" t="n">
        <f aca="false">V_Pkg*(BZ$229+BZ$230+BZ$231+BZ$234)</f>
        <v>4755.64646951621</v>
      </c>
      <c r="CA239" s="34" t="n">
        <f aca="false">V_Pkg*(CA$229+CA$230+CA$231+CA$234)</f>
        <v>4755.64646951621</v>
      </c>
      <c r="CB239" s="34" t="n">
        <f aca="false">V_Pkg*(CB$229+CB$230+CB$231+CB$234)</f>
        <v>4755.64646951621</v>
      </c>
      <c r="CC239" s="34" t="n">
        <f aca="false">V_Pkg*(CC$229+CC$230+CC$231+CC$234)</f>
        <v>4755.64646951621</v>
      </c>
      <c r="CD239" s="34" t="n">
        <f aca="false">V_Pkg*(CD$229+CD$230+CD$231+CD$234)</f>
        <v>4755.64646951621</v>
      </c>
      <c r="CE239" s="34" t="n">
        <f aca="false">V_Pkg*(CE$229+CE$230+CE$231+CE$234)</f>
        <v>4755.64646951621</v>
      </c>
      <c r="CF239" s="34" t="n">
        <f aca="false">V_Pkg*(CF$229+CF$230+CF$231+CF$234)</f>
        <v>4755.64646951621</v>
      </c>
      <c r="CG239" s="34" t="n">
        <f aca="false">V_Pkg*(CG$229+CG$230+CG$231+CG$234)</f>
        <v>4755.64646951621</v>
      </c>
      <c r="CH239" s="34" t="n">
        <f aca="false">V_Pkg*(CH$229+CH$230+CH$231+CH$234)</f>
        <v>4755.64646951621</v>
      </c>
      <c r="CI239" s="34" t="n">
        <f aca="false">V_Pkg*(CI$229+CI$230+CI$231+CI$234)</f>
        <v>4755.64646951621</v>
      </c>
      <c r="CJ239" s="34" t="n">
        <f aca="false">V_Pkg*(CJ$229+CJ$230+CJ$231+CJ$234)</f>
        <v>4755.64646951621</v>
      </c>
      <c r="CK239" s="34" t="n">
        <f aca="false">V_Pkg*(CK$229+CK$230+CK$231+CK$234)</f>
        <v>4755.64646951621</v>
      </c>
      <c r="CL239" s="34" t="n">
        <f aca="false">V_Pkg*(CL$229+CL$230+CL$231+CL$234)</f>
        <v>4778.86589591041</v>
      </c>
      <c r="CM239" s="34" t="n">
        <f aca="false">V_Pkg*(CM$229+CM$230+CM$231+CM$234)</f>
        <v>4778.86589591041</v>
      </c>
      <c r="CN239" s="34" t="n">
        <f aca="false">V_Pkg*(CN$229+CN$230+CN$231+CN$234)</f>
        <v>4778.86589591041</v>
      </c>
      <c r="CO239" s="34" t="n">
        <f aca="false">V_Pkg*(CO$229+CO$230+CO$231+CO$234)</f>
        <v>4778.86589591041</v>
      </c>
      <c r="CP239" s="34" t="n">
        <f aca="false">V_Pkg*(CP$229+CP$230+CP$231+CP$234)</f>
        <v>4778.86589591041</v>
      </c>
      <c r="CQ239" s="34" t="n">
        <f aca="false">V_Pkg*(CQ$229+CQ$230+CQ$231+CQ$234)</f>
        <v>4778.86589591041</v>
      </c>
      <c r="CR239" s="34" t="n">
        <f aca="false">V_Pkg*(CR$229+CR$230+CR$231+CR$234)</f>
        <v>4778.86589591041</v>
      </c>
      <c r="CS239" s="34" t="n">
        <f aca="false">V_Pkg*(CS$229+CS$230+CS$231+CS$234)</f>
        <v>4778.86589591041</v>
      </c>
      <c r="CT239" s="34" t="n">
        <f aca="false">V_Pkg*(CT$229+CT$230+CT$231+CT$234)</f>
        <v>4778.86589591041</v>
      </c>
      <c r="CU239" s="34" t="n">
        <f aca="false">V_Pkg*(CU$229+CU$230+CU$231+CU$234)</f>
        <v>4778.86589591041</v>
      </c>
      <c r="CV239" s="34" t="n">
        <f aca="false">V_Pkg*(CV$229+CV$230+CV$231+CV$234)</f>
        <v>4778.86589591041</v>
      </c>
      <c r="CW239" s="34" t="n">
        <f aca="false">V_Pkg*(CW$229+CW$230+CW$231+CW$234)</f>
        <v>4778.86589591041</v>
      </c>
      <c r="CX239" s="34" t="n">
        <f aca="false">V_Pkg*(CX$229+CX$230+CX$231+CX$234)</f>
        <v>4802.31751656856</v>
      </c>
      <c r="CY239" s="34" t="n">
        <f aca="false">V_Pkg*(CY$229+CY$230+CY$231+CY$234)</f>
        <v>4802.31751656856</v>
      </c>
      <c r="CZ239" s="34" t="n">
        <f aca="false">V_Pkg*(CZ$229+CZ$230+CZ$231+CZ$234)</f>
        <v>4802.31751656856</v>
      </c>
      <c r="DA239" s="34" t="n">
        <f aca="false">V_Pkg*(DA$229+DA$230+DA$231+DA$234)</f>
        <v>4802.31751656856</v>
      </c>
      <c r="DB239" s="34" t="n">
        <f aca="false">V_Pkg*(DB$229+DB$230+DB$231+DB$234)</f>
        <v>4802.31751656856</v>
      </c>
      <c r="DC239" s="34" t="n">
        <f aca="false">V_Pkg*(DC$229+DC$230+DC$231+DC$234)</f>
        <v>4802.31751656856</v>
      </c>
      <c r="DD239" s="34" t="n">
        <f aca="false">V_Pkg*(DD$229+DD$230+DD$231+DD$234)</f>
        <v>4802.31751656856</v>
      </c>
      <c r="DE239" s="34" t="n">
        <f aca="false">V_Pkg*(DE$229+DE$230+DE$231+DE$234)</f>
        <v>4802.31751656856</v>
      </c>
      <c r="DF239" s="34" t="n">
        <f aca="false">V_Pkg*(DF$229+DF$230+DF$231+DF$234)</f>
        <v>4802.31751656856</v>
      </c>
      <c r="DG239" s="34" t="n">
        <f aca="false">V_Pkg*(DG$229+DG$230+DG$231+DG$234)</f>
        <v>4802.31751656856</v>
      </c>
      <c r="DH239" s="34" t="n">
        <f aca="false">V_Pkg*(DH$229+DH$230+DH$231+DH$234)</f>
        <v>4802.31751656856</v>
      </c>
      <c r="DI239" s="34" t="n">
        <f aca="false">V_Pkg*(DI$229+DI$230+DI$231+DI$234)</f>
        <v>4802.31751656856</v>
      </c>
      <c r="DJ239" s="34" t="n">
        <f aca="false">V_Pkg*(DJ$229+DJ$230+DJ$231+DJ$234)</f>
        <v>4826.0036534333</v>
      </c>
      <c r="DK239" s="34" t="n">
        <f aca="false">V_Pkg*(DK$229+DK$230+DK$231+DK$234)</f>
        <v>4826.0036534333</v>
      </c>
      <c r="DL239" s="34" t="n">
        <f aca="false">V_Pkg*(DL$229+DL$230+DL$231+DL$234)</f>
        <v>4826.0036534333</v>
      </c>
      <c r="DM239" s="34" t="n">
        <f aca="false">V_Pkg*(DM$229+DM$230+DM$231+DM$234)</f>
        <v>4826.0036534333</v>
      </c>
      <c r="DN239" s="34" t="n">
        <f aca="false">V_Pkg*(DN$229+DN$230+DN$231+DN$234)</f>
        <v>4826.0036534333</v>
      </c>
      <c r="DO239" s="34" t="n">
        <f aca="false">V_Pkg*(DO$229+DO$230+DO$231+DO$234)</f>
        <v>4826.0036534333</v>
      </c>
      <c r="DP239" s="34" t="n">
        <f aca="false">V_Pkg*(DP$229+DP$230+DP$231+DP$234)</f>
        <v>4826.0036534333</v>
      </c>
      <c r="DQ239" s="34" t="n">
        <f aca="false">V_Pkg*(DQ$229+DQ$230+DQ$231+DQ$234)</f>
        <v>4826.0036534333</v>
      </c>
      <c r="DR239" s="34" t="n">
        <f aca="false">V_Pkg*(DR$229+DR$230+DR$231+DR$234)</f>
        <v>4826.0036534333</v>
      </c>
      <c r="DS239" s="34" t="n">
        <f aca="false">V_Pkg*(DS$229+DS$230+DS$231+DS$234)</f>
        <v>4826.0036534333</v>
      </c>
      <c r="DT239" s="34" t="n">
        <f aca="false">V_Pkg*(DT$229+DT$230+DT$231+DT$234)</f>
        <v>4826.0036534333</v>
      </c>
      <c r="DU239" s="34" t="n">
        <f aca="false">V_Pkg*(DU$229+DU$230+DU$231+DU$234)</f>
        <v>4826.0036534333</v>
      </c>
      <c r="DV239" s="34" t="n">
        <f aca="false">V_Pkg*(DV$229+DV$230+DV$231+DV$234)</f>
        <v>0</v>
      </c>
      <c r="DW239" s="34" t="n">
        <f aca="false">V_Pkg*(DW$229+DW$230+DW$231+DW$234)</f>
        <v>0</v>
      </c>
      <c r="DX239" s="34" t="n">
        <f aca="false">V_Pkg*(DX$229+DX$230+DX$231+DX$234)</f>
        <v>0</v>
      </c>
      <c r="DY239" s="34" t="n">
        <f aca="false">V_Pkg*(DY$229+DY$230+DY$231+DY$234)</f>
        <v>0</v>
      </c>
      <c r="DZ239" s="34" t="n">
        <f aca="false">V_Pkg*(DZ$229+DZ$230+DZ$231+DZ$234)</f>
        <v>0</v>
      </c>
      <c r="EA239" s="34" t="n">
        <f aca="false">V_Pkg*(EA$229+EA$230+EA$231+EA$234)</f>
        <v>0</v>
      </c>
      <c r="EB239" s="34" t="n">
        <f aca="false">V_Pkg*(EB$229+EB$230+EB$231+EB$234)</f>
        <v>0</v>
      </c>
      <c r="EC239" s="34" t="n">
        <f aca="false">V_Pkg*(EC$229+EC$230+EC$231+EC$234)</f>
        <v>0</v>
      </c>
      <c r="ED239" s="34" t="n">
        <f aca="false">V_Pkg*(ED$229+ED$230+ED$231+ED$234)</f>
        <v>0</v>
      </c>
      <c r="EE239" s="34" t="n">
        <f aca="false">V_Pkg*(EE$229+EE$230+EE$231+EE$234)</f>
        <v>0</v>
      </c>
      <c r="EF239" s="34" t="n">
        <f aca="false">V_Pkg*(EF$229+EF$230+EF$231+EF$234)</f>
        <v>0</v>
      </c>
      <c r="EG239" s="34" t="n">
        <f aca="false">V_Pkg*(EG$229+EG$230+EG$231+EG$234)</f>
        <v>0</v>
      </c>
      <c r="EH239" s="34" t="n">
        <f aca="false">V_Pkg*(EH$229+EH$230+EH$231+EH$234)</f>
        <v>0</v>
      </c>
      <c r="EI239" s="34" t="n">
        <f aca="false">V_Pkg*(EI$229+EI$230+EI$231+EI$234)</f>
        <v>0</v>
      </c>
      <c r="EJ239" s="34" t="n">
        <f aca="false">V_Pkg*(EJ$229+EJ$230+EJ$231+EJ$234)</f>
        <v>0</v>
      </c>
      <c r="EK239" s="34" t="n">
        <f aca="false">V_Pkg*(EK$229+EK$230+EK$231+EK$234)</f>
        <v>0</v>
      </c>
      <c r="EL239" s="34" t="n">
        <f aca="false">V_Pkg*(EL$229+EL$230+EL$231+EL$234)</f>
        <v>0</v>
      </c>
      <c r="EM239" s="34" t="n">
        <f aca="false">V_Pkg*(EM$229+EM$230+EM$231+EM$234)</f>
        <v>0</v>
      </c>
      <c r="EN239" s="34" t="n">
        <f aca="false">V_Pkg*(EN$229+EN$230+EN$231+EN$234)</f>
        <v>0</v>
      </c>
      <c r="EO239" s="34" t="n">
        <f aca="false">V_Pkg*(EO$229+EO$230+EO$231+EO$234)</f>
        <v>0</v>
      </c>
      <c r="EP239" s="34" t="n">
        <f aca="false">V_Pkg*(EP$229+EP$230+EP$231+EP$234)</f>
        <v>0</v>
      </c>
      <c r="EQ239" s="34" t="n">
        <f aca="false">V_Pkg*(EQ$229+EQ$230+EQ$231+EQ$234)</f>
        <v>0</v>
      </c>
      <c r="ER239" s="34" t="n">
        <f aca="false">V_Pkg*(ER$229+ER$230+ER$231+ER$234)</f>
        <v>0</v>
      </c>
      <c r="ES239" s="34" t="n">
        <f aca="false">V_Pkg*(ES$229+ES$230+ES$231+ES$234)</f>
        <v>0</v>
      </c>
    </row>
    <row r="240" customFormat="false" ht="15" hidden="false" customHeight="false" outlineLevel="0" collapsed="false">
      <c r="A240" s="2" t="s">
        <v>881</v>
      </c>
      <c r="B240" s="6" t="s">
        <v>661</v>
      </c>
      <c r="C240" s="6" t="s">
        <v>250</v>
      </c>
      <c r="E240" s="40" t="n">
        <f aca="false">SUM(F240:ES240)</f>
        <v>81222.4477216454</v>
      </c>
      <c r="F240" s="34" t="n">
        <f aca="false">(V_SegV+V_ComV)*F$227</f>
        <v>404.166666666667</v>
      </c>
      <c r="G240" s="34" t="n">
        <f aca="false">(V_SegV+V_ComV)*G$227</f>
        <v>404.166666666667</v>
      </c>
      <c r="H240" s="34" t="n">
        <f aca="false">(V_SegV+V_ComV)*H$227</f>
        <v>404.166666666667</v>
      </c>
      <c r="I240" s="34" t="n">
        <f aca="false">(V_SegV+V_ComV)*I$227</f>
        <v>404.166666666667</v>
      </c>
      <c r="J240" s="34" t="n">
        <f aca="false">(V_SegV+V_ComV)*J$227</f>
        <v>404.166666666667</v>
      </c>
      <c r="K240" s="34" t="n">
        <f aca="false">(V_SegV+V_ComV)*K$227</f>
        <v>404.166666666667</v>
      </c>
      <c r="L240" s="34" t="n">
        <f aca="false">(V_SegV+V_ComV)*L$227</f>
        <v>404.166666666667</v>
      </c>
      <c r="M240" s="34" t="n">
        <f aca="false">(V_SegV+V_ComV)*M$227</f>
        <v>404.166666666667</v>
      </c>
      <c r="N240" s="34" t="n">
        <f aca="false">(V_SegV+V_ComV)*N$227</f>
        <v>404.166666666667</v>
      </c>
      <c r="O240" s="34" t="n">
        <f aca="false">(V_SegV+V_ComV)*O$227</f>
        <v>404.166666666667</v>
      </c>
      <c r="P240" s="34" t="n">
        <f aca="false">(V_SegV+V_ComV)*P$227</f>
        <v>404.166666666667</v>
      </c>
      <c r="Q240" s="34" t="n">
        <f aca="false">(V_SegV+V_ComV)*Q$227</f>
        <v>404.166666666667</v>
      </c>
      <c r="R240" s="34" t="n">
        <f aca="false">(V_SegV+V_ComV)*R$227</f>
        <v>515.1</v>
      </c>
      <c r="S240" s="34" t="n">
        <f aca="false">(V_SegV+V_ComV)*S$227</f>
        <v>515.1</v>
      </c>
      <c r="T240" s="34" t="n">
        <f aca="false">(V_SegV+V_ComV)*T$227</f>
        <v>515.1</v>
      </c>
      <c r="U240" s="34" t="n">
        <f aca="false">(V_SegV+V_ComV)*U$227</f>
        <v>515.1</v>
      </c>
      <c r="V240" s="34" t="n">
        <f aca="false">(V_SegV+V_ComV)*V$227</f>
        <v>515.1</v>
      </c>
      <c r="W240" s="34" t="n">
        <f aca="false">(V_SegV+V_ComV)*W$227</f>
        <v>515.1</v>
      </c>
      <c r="X240" s="34" t="n">
        <f aca="false">(V_SegV+V_ComV)*X$227</f>
        <v>515.1</v>
      </c>
      <c r="Y240" s="34" t="n">
        <f aca="false">(V_SegV+V_ComV)*Y$227</f>
        <v>515.1</v>
      </c>
      <c r="Z240" s="34" t="n">
        <f aca="false">(V_SegV+V_ComV)*Z$227</f>
        <v>515.1</v>
      </c>
      <c r="AA240" s="34" t="n">
        <f aca="false">(V_SegV+V_ComV)*AA$227</f>
        <v>515.1</v>
      </c>
      <c r="AB240" s="34" t="n">
        <f aca="false">(V_SegV+V_ComV)*AB$227</f>
        <v>515.1</v>
      </c>
      <c r="AC240" s="34" t="n">
        <f aca="false">(V_SegV+V_ComV)*AC$227</f>
        <v>515.1</v>
      </c>
      <c r="AD240" s="34" t="n">
        <f aca="false">(V_SegV+V_ComV)*AD$227</f>
        <v>628.211583333333</v>
      </c>
      <c r="AE240" s="34" t="n">
        <f aca="false">(V_SegV+V_ComV)*AE$227</f>
        <v>628.211583333333</v>
      </c>
      <c r="AF240" s="34" t="n">
        <f aca="false">(V_SegV+V_ComV)*AF$227</f>
        <v>628.211583333333</v>
      </c>
      <c r="AG240" s="34" t="n">
        <f aca="false">(V_SegV+V_ComV)*AG$227</f>
        <v>628.211583333333</v>
      </c>
      <c r="AH240" s="34" t="n">
        <f aca="false">(V_SegV+V_ComV)*AH$227</f>
        <v>628.211583333333</v>
      </c>
      <c r="AI240" s="34" t="n">
        <f aca="false">(V_SegV+V_ComV)*AI$227</f>
        <v>628.211583333333</v>
      </c>
      <c r="AJ240" s="34" t="n">
        <f aca="false">(V_SegV+V_ComV)*AJ$227</f>
        <v>628.211583333333</v>
      </c>
      <c r="AK240" s="34" t="n">
        <f aca="false">(V_SegV+V_ComV)*AK$227</f>
        <v>628.211583333333</v>
      </c>
      <c r="AL240" s="34" t="n">
        <f aca="false">(V_SegV+V_ComV)*AL$227</f>
        <v>628.211583333333</v>
      </c>
      <c r="AM240" s="34" t="n">
        <f aca="false">(V_SegV+V_ComV)*AM$227</f>
        <v>628.211583333333</v>
      </c>
      <c r="AN240" s="34" t="n">
        <f aca="false">(V_SegV+V_ComV)*AN$227</f>
        <v>628.211583333333</v>
      </c>
      <c r="AO240" s="34" t="n">
        <f aca="false">(V_SegV+V_ComV)*AO$227</f>
        <v>628.211583333333</v>
      </c>
      <c r="AP240" s="34" t="n">
        <f aca="false">(V_SegV+V_ComV)*AP$227</f>
        <v>723.7864525</v>
      </c>
      <c r="AQ240" s="34" t="n">
        <f aca="false">(V_SegV+V_ComV)*AQ$227</f>
        <v>723.7864525</v>
      </c>
      <c r="AR240" s="34" t="n">
        <f aca="false">(V_SegV+V_ComV)*AR$227</f>
        <v>723.7864525</v>
      </c>
      <c r="AS240" s="34" t="n">
        <f aca="false">(V_SegV+V_ComV)*AS$227</f>
        <v>723.7864525</v>
      </c>
      <c r="AT240" s="34" t="n">
        <f aca="false">(V_SegV+V_ComV)*AT$227</f>
        <v>723.7864525</v>
      </c>
      <c r="AU240" s="34" t="n">
        <f aca="false">(V_SegV+V_ComV)*AU$227</f>
        <v>723.7864525</v>
      </c>
      <c r="AV240" s="34" t="n">
        <f aca="false">(V_SegV+V_ComV)*AV$227</f>
        <v>723.7864525</v>
      </c>
      <c r="AW240" s="34" t="n">
        <f aca="false">(V_SegV+V_ComV)*AW$227</f>
        <v>723.7864525</v>
      </c>
      <c r="AX240" s="34" t="n">
        <f aca="false">(V_SegV+V_ComV)*AX$227</f>
        <v>723.7864525</v>
      </c>
      <c r="AY240" s="34" t="n">
        <f aca="false">(V_SegV+V_ComV)*AY$227</f>
        <v>723.7864525</v>
      </c>
      <c r="AZ240" s="34" t="n">
        <f aca="false">(V_SegV+V_ComV)*AZ$227</f>
        <v>723.7864525</v>
      </c>
      <c r="BA240" s="34" t="n">
        <f aca="false">(V_SegV+V_ComV)*BA$227</f>
        <v>723.7864525</v>
      </c>
      <c r="BB240" s="34" t="n">
        <f aca="false">(V_SegV+V_ComV)*BB$227</f>
        <v>731.024317025</v>
      </c>
      <c r="BC240" s="34" t="n">
        <f aca="false">(V_SegV+V_ComV)*BC$227</f>
        <v>731.024317025</v>
      </c>
      <c r="BD240" s="34" t="n">
        <f aca="false">(V_SegV+V_ComV)*BD$227</f>
        <v>731.024317025</v>
      </c>
      <c r="BE240" s="34" t="n">
        <f aca="false">(V_SegV+V_ComV)*BE$227</f>
        <v>731.024317025</v>
      </c>
      <c r="BF240" s="34" t="n">
        <f aca="false">(V_SegV+V_ComV)*BF$227</f>
        <v>731.024317025</v>
      </c>
      <c r="BG240" s="34" t="n">
        <f aca="false">(V_SegV+V_ComV)*BG$227</f>
        <v>731.024317025</v>
      </c>
      <c r="BH240" s="34" t="n">
        <f aca="false">(V_SegV+V_ComV)*BH$227</f>
        <v>731.024317025</v>
      </c>
      <c r="BI240" s="34" t="n">
        <f aca="false">(V_SegV+V_ComV)*BI$227</f>
        <v>731.024317025</v>
      </c>
      <c r="BJ240" s="34" t="n">
        <f aca="false">(V_SegV+V_ComV)*BJ$227</f>
        <v>731.024317025</v>
      </c>
      <c r="BK240" s="34" t="n">
        <f aca="false">(V_SegV+V_ComV)*BK$227</f>
        <v>731.024317025</v>
      </c>
      <c r="BL240" s="34" t="n">
        <f aca="false">(V_SegV+V_ComV)*BL$227</f>
        <v>731.024317025</v>
      </c>
      <c r="BM240" s="34" t="n">
        <f aca="false">(V_SegV+V_ComV)*BM$227</f>
        <v>731.024317025</v>
      </c>
      <c r="BN240" s="34" t="n">
        <f aca="false">(V_SegV+V_ComV)*BN$227</f>
        <v>738.33456019525</v>
      </c>
      <c r="BO240" s="34" t="n">
        <f aca="false">(V_SegV+V_ComV)*BO$227</f>
        <v>738.33456019525</v>
      </c>
      <c r="BP240" s="34" t="n">
        <f aca="false">(V_SegV+V_ComV)*BP$227</f>
        <v>738.33456019525</v>
      </c>
      <c r="BQ240" s="34" t="n">
        <f aca="false">(V_SegV+V_ComV)*BQ$227</f>
        <v>738.33456019525</v>
      </c>
      <c r="BR240" s="34" t="n">
        <f aca="false">(V_SegV+V_ComV)*BR$227</f>
        <v>738.33456019525</v>
      </c>
      <c r="BS240" s="34" t="n">
        <f aca="false">(V_SegV+V_ComV)*BS$227</f>
        <v>738.33456019525</v>
      </c>
      <c r="BT240" s="34" t="n">
        <f aca="false">(V_SegV+V_ComV)*BT$227</f>
        <v>738.33456019525</v>
      </c>
      <c r="BU240" s="34" t="n">
        <f aca="false">(V_SegV+V_ComV)*BU$227</f>
        <v>738.33456019525</v>
      </c>
      <c r="BV240" s="34" t="n">
        <f aca="false">(V_SegV+V_ComV)*BV$227</f>
        <v>738.33456019525</v>
      </c>
      <c r="BW240" s="34" t="n">
        <f aca="false">(V_SegV+V_ComV)*BW$227</f>
        <v>738.33456019525</v>
      </c>
      <c r="BX240" s="34" t="n">
        <f aca="false">(V_SegV+V_ComV)*BX$227</f>
        <v>738.33456019525</v>
      </c>
      <c r="BY240" s="34" t="n">
        <f aca="false">(V_SegV+V_ComV)*BY$227</f>
        <v>738.33456019525</v>
      </c>
      <c r="BZ240" s="34" t="n">
        <f aca="false">(V_SegV+V_ComV)*BZ$227</f>
        <v>745.717905797202</v>
      </c>
      <c r="CA240" s="34" t="n">
        <f aca="false">(V_SegV+V_ComV)*CA$227</f>
        <v>745.717905797202</v>
      </c>
      <c r="CB240" s="34" t="n">
        <f aca="false">(V_SegV+V_ComV)*CB$227</f>
        <v>745.717905797202</v>
      </c>
      <c r="CC240" s="34" t="n">
        <f aca="false">(V_SegV+V_ComV)*CC$227</f>
        <v>745.717905797202</v>
      </c>
      <c r="CD240" s="34" t="n">
        <f aca="false">(V_SegV+V_ComV)*CD$227</f>
        <v>745.717905797202</v>
      </c>
      <c r="CE240" s="34" t="n">
        <f aca="false">(V_SegV+V_ComV)*CE$227</f>
        <v>745.717905797202</v>
      </c>
      <c r="CF240" s="34" t="n">
        <f aca="false">(V_SegV+V_ComV)*CF$227</f>
        <v>745.717905797202</v>
      </c>
      <c r="CG240" s="34" t="n">
        <f aca="false">(V_SegV+V_ComV)*CG$227</f>
        <v>745.717905797202</v>
      </c>
      <c r="CH240" s="34" t="n">
        <f aca="false">(V_SegV+V_ComV)*CH$227</f>
        <v>745.717905797202</v>
      </c>
      <c r="CI240" s="34" t="n">
        <f aca="false">(V_SegV+V_ComV)*CI$227</f>
        <v>745.717905797202</v>
      </c>
      <c r="CJ240" s="34" t="n">
        <f aca="false">(V_SegV+V_ComV)*CJ$227</f>
        <v>745.717905797202</v>
      </c>
      <c r="CK240" s="34" t="n">
        <f aca="false">(V_SegV+V_ComV)*CK$227</f>
        <v>745.717905797202</v>
      </c>
      <c r="CL240" s="34" t="n">
        <f aca="false">(V_SegV+V_ComV)*CL$227</f>
        <v>753.175084855174</v>
      </c>
      <c r="CM240" s="34" t="n">
        <f aca="false">(V_SegV+V_ComV)*CM$227</f>
        <v>753.175084855174</v>
      </c>
      <c r="CN240" s="34" t="n">
        <f aca="false">(V_SegV+V_ComV)*CN$227</f>
        <v>753.175084855174</v>
      </c>
      <c r="CO240" s="34" t="n">
        <f aca="false">(V_SegV+V_ComV)*CO$227</f>
        <v>753.175084855174</v>
      </c>
      <c r="CP240" s="34" t="n">
        <f aca="false">(V_SegV+V_ComV)*CP$227</f>
        <v>753.175084855174</v>
      </c>
      <c r="CQ240" s="34" t="n">
        <f aca="false">(V_SegV+V_ComV)*CQ$227</f>
        <v>753.175084855174</v>
      </c>
      <c r="CR240" s="34" t="n">
        <f aca="false">(V_SegV+V_ComV)*CR$227</f>
        <v>753.175084855174</v>
      </c>
      <c r="CS240" s="34" t="n">
        <f aca="false">(V_SegV+V_ComV)*CS$227</f>
        <v>753.175084855174</v>
      </c>
      <c r="CT240" s="34" t="n">
        <f aca="false">(V_SegV+V_ComV)*CT$227</f>
        <v>753.175084855174</v>
      </c>
      <c r="CU240" s="34" t="n">
        <f aca="false">(V_SegV+V_ComV)*CU$227</f>
        <v>753.175084855174</v>
      </c>
      <c r="CV240" s="34" t="n">
        <f aca="false">(V_SegV+V_ComV)*CV$227</f>
        <v>753.175084855174</v>
      </c>
      <c r="CW240" s="34" t="n">
        <f aca="false">(V_SegV+V_ComV)*CW$227</f>
        <v>753.175084855174</v>
      </c>
      <c r="CX240" s="34" t="n">
        <f aca="false">(V_SegV+V_ComV)*CX$227</f>
        <v>760.706835703726</v>
      </c>
      <c r="CY240" s="34" t="n">
        <f aca="false">(V_SegV+V_ComV)*CY$227</f>
        <v>760.706835703726</v>
      </c>
      <c r="CZ240" s="34" t="n">
        <f aca="false">(V_SegV+V_ComV)*CZ$227</f>
        <v>760.706835703726</v>
      </c>
      <c r="DA240" s="34" t="n">
        <f aca="false">(V_SegV+V_ComV)*DA$227</f>
        <v>760.706835703726</v>
      </c>
      <c r="DB240" s="34" t="n">
        <f aca="false">(V_SegV+V_ComV)*DB$227</f>
        <v>760.706835703726</v>
      </c>
      <c r="DC240" s="34" t="n">
        <f aca="false">(V_SegV+V_ComV)*DC$227</f>
        <v>760.706835703726</v>
      </c>
      <c r="DD240" s="34" t="n">
        <f aca="false">(V_SegV+V_ComV)*DD$227</f>
        <v>760.706835703726</v>
      </c>
      <c r="DE240" s="34" t="n">
        <f aca="false">(V_SegV+V_ComV)*DE$227</f>
        <v>760.706835703726</v>
      </c>
      <c r="DF240" s="34" t="n">
        <f aca="false">(V_SegV+V_ComV)*DF$227</f>
        <v>760.706835703726</v>
      </c>
      <c r="DG240" s="34" t="n">
        <f aca="false">(V_SegV+V_ComV)*DG$227</f>
        <v>760.706835703726</v>
      </c>
      <c r="DH240" s="34" t="n">
        <f aca="false">(V_SegV+V_ComV)*DH$227</f>
        <v>760.706835703726</v>
      </c>
      <c r="DI240" s="34" t="n">
        <f aca="false">(V_SegV+V_ComV)*DI$227</f>
        <v>760.706835703726</v>
      </c>
      <c r="DJ240" s="34" t="n">
        <f aca="false">(V_SegV+V_ComV)*DJ$227</f>
        <v>768.313904060764</v>
      </c>
      <c r="DK240" s="34" t="n">
        <f aca="false">(V_SegV+V_ComV)*DK$227</f>
        <v>768.313904060764</v>
      </c>
      <c r="DL240" s="34" t="n">
        <f aca="false">(V_SegV+V_ComV)*DL$227</f>
        <v>768.313904060764</v>
      </c>
      <c r="DM240" s="34" t="n">
        <f aca="false">(V_SegV+V_ComV)*DM$227</f>
        <v>768.313904060764</v>
      </c>
      <c r="DN240" s="34" t="n">
        <f aca="false">(V_SegV+V_ComV)*DN$227</f>
        <v>768.313904060764</v>
      </c>
      <c r="DO240" s="34" t="n">
        <f aca="false">(V_SegV+V_ComV)*DO$227</f>
        <v>768.313904060764</v>
      </c>
      <c r="DP240" s="34" t="n">
        <f aca="false">(V_SegV+V_ComV)*DP$227</f>
        <v>768.313904060764</v>
      </c>
      <c r="DQ240" s="34" t="n">
        <f aca="false">(V_SegV+V_ComV)*DQ$227</f>
        <v>768.313904060764</v>
      </c>
      <c r="DR240" s="34" t="n">
        <f aca="false">(V_SegV+V_ComV)*DR$227</f>
        <v>768.313904060764</v>
      </c>
      <c r="DS240" s="34" t="n">
        <f aca="false">(V_SegV+V_ComV)*DS$227</f>
        <v>768.313904060764</v>
      </c>
      <c r="DT240" s="34" t="n">
        <f aca="false">(V_SegV+V_ComV)*DT$227</f>
        <v>768.313904060764</v>
      </c>
      <c r="DU240" s="34" t="n">
        <f aca="false">(V_SegV+V_ComV)*DU$227</f>
        <v>768.313904060764</v>
      </c>
      <c r="DV240" s="34" t="n">
        <f aca="false">(V_SegV+V_ComV)*DV$227</f>
        <v>0</v>
      </c>
      <c r="DW240" s="34" t="n">
        <f aca="false">(V_SegV+V_ComV)*DW$227</f>
        <v>0</v>
      </c>
      <c r="DX240" s="34" t="n">
        <f aca="false">(V_SegV+V_ComV)*DX$227</f>
        <v>0</v>
      </c>
      <c r="DY240" s="34" t="n">
        <f aca="false">(V_SegV+V_ComV)*DY$227</f>
        <v>0</v>
      </c>
      <c r="DZ240" s="34" t="n">
        <f aca="false">(V_SegV+V_ComV)*DZ$227</f>
        <v>0</v>
      </c>
      <c r="EA240" s="34" t="n">
        <f aca="false">(V_SegV+V_ComV)*EA$227</f>
        <v>0</v>
      </c>
      <c r="EB240" s="34" t="n">
        <f aca="false">(V_SegV+V_ComV)*EB$227</f>
        <v>0</v>
      </c>
      <c r="EC240" s="34" t="n">
        <f aca="false">(V_SegV+V_ComV)*EC$227</f>
        <v>0</v>
      </c>
      <c r="ED240" s="34" t="n">
        <f aca="false">(V_SegV+V_ComV)*ED$227</f>
        <v>0</v>
      </c>
      <c r="EE240" s="34" t="n">
        <f aca="false">(V_SegV+V_ComV)*EE$227</f>
        <v>0</v>
      </c>
      <c r="EF240" s="34" t="n">
        <f aca="false">(V_SegV+V_ComV)*EF$227</f>
        <v>0</v>
      </c>
      <c r="EG240" s="34" t="n">
        <f aca="false">(V_SegV+V_ComV)*EG$227</f>
        <v>0</v>
      </c>
      <c r="EH240" s="34" t="n">
        <f aca="false">(V_SegV+V_ComV)*EH$227</f>
        <v>0</v>
      </c>
      <c r="EI240" s="34" t="n">
        <f aca="false">(V_SegV+V_ComV)*EI$227</f>
        <v>0</v>
      </c>
      <c r="EJ240" s="34" t="n">
        <f aca="false">(V_SegV+V_ComV)*EJ$227</f>
        <v>0</v>
      </c>
      <c r="EK240" s="34" t="n">
        <f aca="false">(V_SegV+V_ComV)*EK$227</f>
        <v>0</v>
      </c>
      <c r="EL240" s="34" t="n">
        <f aca="false">(V_SegV+V_ComV)*EL$227</f>
        <v>0</v>
      </c>
      <c r="EM240" s="34" t="n">
        <f aca="false">(V_SegV+V_ComV)*EM$227</f>
        <v>0</v>
      </c>
      <c r="EN240" s="34" t="n">
        <f aca="false">(V_SegV+V_ComV)*EN$227</f>
        <v>0</v>
      </c>
      <c r="EO240" s="34" t="n">
        <f aca="false">(V_SegV+V_ComV)*EO$227</f>
        <v>0</v>
      </c>
      <c r="EP240" s="34" t="n">
        <f aca="false">(V_SegV+V_ComV)*EP$227</f>
        <v>0</v>
      </c>
      <c r="EQ240" s="34" t="n">
        <f aca="false">(V_SegV+V_ComV)*EQ$227</f>
        <v>0</v>
      </c>
      <c r="ER240" s="34" t="n">
        <f aca="false">(V_SegV+V_ComV)*ER$227</f>
        <v>0</v>
      </c>
      <c r="ES240" s="34" t="n">
        <f aca="false">(V_SegV+V_ComV)*ES$227</f>
        <v>0</v>
      </c>
    </row>
    <row r="241" customFormat="false" ht="15" hidden="false" customHeight="false" outlineLevel="0" collapsed="false">
      <c r="A241" s="2" t="s">
        <v>882</v>
      </c>
      <c r="B241" s="6" t="s">
        <v>529</v>
      </c>
      <c r="C241" s="6" t="s">
        <v>250</v>
      </c>
      <c r="E241" s="40" t="n">
        <f aca="false">SUM(F241:ES241)</f>
        <v>812224.477216454</v>
      </c>
      <c r="F241" s="34" t="n">
        <f aca="false">V_Trib*F$227</f>
        <v>4041.66666666667</v>
      </c>
      <c r="G241" s="34" t="n">
        <f aca="false">V_Trib*G$227</f>
        <v>4041.66666666667</v>
      </c>
      <c r="H241" s="34" t="n">
        <f aca="false">V_Trib*H$227</f>
        <v>4041.66666666667</v>
      </c>
      <c r="I241" s="34" t="n">
        <f aca="false">V_Trib*I$227</f>
        <v>4041.66666666667</v>
      </c>
      <c r="J241" s="34" t="n">
        <f aca="false">V_Trib*J$227</f>
        <v>4041.66666666667</v>
      </c>
      <c r="K241" s="34" t="n">
        <f aca="false">V_Trib*K$227</f>
        <v>4041.66666666667</v>
      </c>
      <c r="L241" s="34" t="n">
        <f aca="false">V_Trib*L$227</f>
        <v>4041.66666666667</v>
      </c>
      <c r="M241" s="34" t="n">
        <f aca="false">V_Trib*M$227</f>
        <v>4041.66666666667</v>
      </c>
      <c r="N241" s="34" t="n">
        <f aca="false">V_Trib*N$227</f>
        <v>4041.66666666667</v>
      </c>
      <c r="O241" s="34" t="n">
        <f aca="false">V_Trib*O$227</f>
        <v>4041.66666666667</v>
      </c>
      <c r="P241" s="34" t="n">
        <f aca="false">V_Trib*P$227</f>
        <v>4041.66666666667</v>
      </c>
      <c r="Q241" s="34" t="n">
        <f aca="false">V_Trib*Q$227</f>
        <v>4041.66666666667</v>
      </c>
      <c r="R241" s="34" t="n">
        <f aca="false">V_Trib*R$227</f>
        <v>5151</v>
      </c>
      <c r="S241" s="34" t="n">
        <f aca="false">V_Trib*S$227</f>
        <v>5151</v>
      </c>
      <c r="T241" s="34" t="n">
        <f aca="false">V_Trib*T$227</f>
        <v>5151</v>
      </c>
      <c r="U241" s="34" t="n">
        <f aca="false">V_Trib*U$227</f>
        <v>5151</v>
      </c>
      <c r="V241" s="34" t="n">
        <f aca="false">V_Trib*V$227</f>
        <v>5151</v>
      </c>
      <c r="W241" s="34" t="n">
        <f aca="false">V_Trib*W$227</f>
        <v>5151</v>
      </c>
      <c r="X241" s="34" t="n">
        <f aca="false">V_Trib*X$227</f>
        <v>5151</v>
      </c>
      <c r="Y241" s="34" t="n">
        <f aca="false">V_Trib*Y$227</f>
        <v>5151</v>
      </c>
      <c r="Z241" s="34" t="n">
        <f aca="false">V_Trib*Z$227</f>
        <v>5151</v>
      </c>
      <c r="AA241" s="34" t="n">
        <f aca="false">V_Trib*AA$227</f>
        <v>5151</v>
      </c>
      <c r="AB241" s="34" t="n">
        <f aca="false">V_Trib*AB$227</f>
        <v>5151</v>
      </c>
      <c r="AC241" s="34" t="n">
        <f aca="false">V_Trib*AC$227</f>
        <v>5151</v>
      </c>
      <c r="AD241" s="34" t="n">
        <f aca="false">V_Trib*AD$227</f>
        <v>6282.11583333333</v>
      </c>
      <c r="AE241" s="34" t="n">
        <f aca="false">V_Trib*AE$227</f>
        <v>6282.11583333333</v>
      </c>
      <c r="AF241" s="34" t="n">
        <f aca="false">V_Trib*AF$227</f>
        <v>6282.11583333333</v>
      </c>
      <c r="AG241" s="34" t="n">
        <f aca="false">V_Trib*AG$227</f>
        <v>6282.11583333333</v>
      </c>
      <c r="AH241" s="34" t="n">
        <f aca="false">V_Trib*AH$227</f>
        <v>6282.11583333333</v>
      </c>
      <c r="AI241" s="34" t="n">
        <f aca="false">V_Trib*AI$227</f>
        <v>6282.11583333333</v>
      </c>
      <c r="AJ241" s="34" t="n">
        <f aca="false">V_Trib*AJ$227</f>
        <v>6282.11583333333</v>
      </c>
      <c r="AK241" s="34" t="n">
        <f aca="false">V_Trib*AK$227</f>
        <v>6282.11583333333</v>
      </c>
      <c r="AL241" s="34" t="n">
        <f aca="false">V_Trib*AL$227</f>
        <v>6282.11583333333</v>
      </c>
      <c r="AM241" s="34" t="n">
        <f aca="false">V_Trib*AM$227</f>
        <v>6282.11583333333</v>
      </c>
      <c r="AN241" s="34" t="n">
        <f aca="false">V_Trib*AN$227</f>
        <v>6282.11583333333</v>
      </c>
      <c r="AO241" s="34" t="n">
        <f aca="false">V_Trib*AO$227</f>
        <v>6282.11583333333</v>
      </c>
      <c r="AP241" s="34" t="n">
        <f aca="false">V_Trib*AP$227</f>
        <v>7237.864525</v>
      </c>
      <c r="AQ241" s="34" t="n">
        <f aca="false">V_Trib*AQ$227</f>
        <v>7237.864525</v>
      </c>
      <c r="AR241" s="34" t="n">
        <f aca="false">V_Trib*AR$227</f>
        <v>7237.864525</v>
      </c>
      <c r="AS241" s="34" t="n">
        <f aca="false">V_Trib*AS$227</f>
        <v>7237.864525</v>
      </c>
      <c r="AT241" s="34" t="n">
        <f aca="false">V_Trib*AT$227</f>
        <v>7237.864525</v>
      </c>
      <c r="AU241" s="34" t="n">
        <f aca="false">V_Trib*AU$227</f>
        <v>7237.864525</v>
      </c>
      <c r="AV241" s="34" t="n">
        <f aca="false">V_Trib*AV$227</f>
        <v>7237.864525</v>
      </c>
      <c r="AW241" s="34" t="n">
        <f aca="false">V_Trib*AW$227</f>
        <v>7237.864525</v>
      </c>
      <c r="AX241" s="34" t="n">
        <f aca="false">V_Trib*AX$227</f>
        <v>7237.864525</v>
      </c>
      <c r="AY241" s="34" t="n">
        <f aca="false">V_Trib*AY$227</f>
        <v>7237.864525</v>
      </c>
      <c r="AZ241" s="34" t="n">
        <f aca="false">V_Trib*AZ$227</f>
        <v>7237.864525</v>
      </c>
      <c r="BA241" s="34" t="n">
        <f aca="false">V_Trib*BA$227</f>
        <v>7237.864525</v>
      </c>
      <c r="BB241" s="34" t="n">
        <f aca="false">V_Trib*BB$227</f>
        <v>7310.24317025</v>
      </c>
      <c r="BC241" s="34" t="n">
        <f aca="false">V_Trib*BC$227</f>
        <v>7310.24317025</v>
      </c>
      <c r="BD241" s="34" t="n">
        <f aca="false">V_Trib*BD$227</f>
        <v>7310.24317025</v>
      </c>
      <c r="BE241" s="34" t="n">
        <f aca="false">V_Trib*BE$227</f>
        <v>7310.24317025</v>
      </c>
      <c r="BF241" s="34" t="n">
        <f aca="false">V_Trib*BF$227</f>
        <v>7310.24317025</v>
      </c>
      <c r="BG241" s="34" t="n">
        <f aca="false">V_Trib*BG$227</f>
        <v>7310.24317025</v>
      </c>
      <c r="BH241" s="34" t="n">
        <f aca="false">V_Trib*BH$227</f>
        <v>7310.24317025</v>
      </c>
      <c r="BI241" s="34" t="n">
        <f aca="false">V_Trib*BI$227</f>
        <v>7310.24317025</v>
      </c>
      <c r="BJ241" s="34" t="n">
        <f aca="false">V_Trib*BJ$227</f>
        <v>7310.24317025</v>
      </c>
      <c r="BK241" s="34" t="n">
        <f aca="false">V_Trib*BK$227</f>
        <v>7310.24317025</v>
      </c>
      <c r="BL241" s="34" t="n">
        <f aca="false">V_Trib*BL$227</f>
        <v>7310.24317025</v>
      </c>
      <c r="BM241" s="34" t="n">
        <f aca="false">V_Trib*BM$227</f>
        <v>7310.24317025</v>
      </c>
      <c r="BN241" s="34" t="n">
        <f aca="false">V_Trib*BN$227</f>
        <v>7383.3456019525</v>
      </c>
      <c r="BO241" s="34" t="n">
        <f aca="false">V_Trib*BO$227</f>
        <v>7383.3456019525</v>
      </c>
      <c r="BP241" s="34" t="n">
        <f aca="false">V_Trib*BP$227</f>
        <v>7383.3456019525</v>
      </c>
      <c r="BQ241" s="34" t="n">
        <f aca="false">V_Trib*BQ$227</f>
        <v>7383.3456019525</v>
      </c>
      <c r="BR241" s="34" t="n">
        <f aca="false">V_Trib*BR$227</f>
        <v>7383.3456019525</v>
      </c>
      <c r="BS241" s="34" t="n">
        <f aca="false">V_Trib*BS$227</f>
        <v>7383.3456019525</v>
      </c>
      <c r="BT241" s="34" t="n">
        <f aca="false">V_Trib*BT$227</f>
        <v>7383.3456019525</v>
      </c>
      <c r="BU241" s="34" t="n">
        <f aca="false">V_Trib*BU$227</f>
        <v>7383.3456019525</v>
      </c>
      <c r="BV241" s="34" t="n">
        <f aca="false">V_Trib*BV$227</f>
        <v>7383.3456019525</v>
      </c>
      <c r="BW241" s="34" t="n">
        <f aca="false">V_Trib*BW$227</f>
        <v>7383.3456019525</v>
      </c>
      <c r="BX241" s="34" t="n">
        <f aca="false">V_Trib*BX$227</f>
        <v>7383.3456019525</v>
      </c>
      <c r="BY241" s="34" t="n">
        <f aca="false">V_Trib*BY$227</f>
        <v>7383.3456019525</v>
      </c>
      <c r="BZ241" s="34" t="n">
        <f aca="false">V_Trib*BZ$227</f>
        <v>7457.17905797202</v>
      </c>
      <c r="CA241" s="34" t="n">
        <f aca="false">V_Trib*CA$227</f>
        <v>7457.17905797202</v>
      </c>
      <c r="CB241" s="34" t="n">
        <f aca="false">V_Trib*CB$227</f>
        <v>7457.17905797202</v>
      </c>
      <c r="CC241" s="34" t="n">
        <f aca="false">V_Trib*CC$227</f>
        <v>7457.17905797202</v>
      </c>
      <c r="CD241" s="34" t="n">
        <f aca="false">V_Trib*CD$227</f>
        <v>7457.17905797202</v>
      </c>
      <c r="CE241" s="34" t="n">
        <f aca="false">V_Trib*CE$227</f>
        <v>7457.17905797202</v>
      </c>
      <c r="CF241" s="34" t="n">
        <f aca="false">V_Trib*CF$227</f>
        <v>7457.17905797202</v>
      </c>
      <c r="CG241" s="34" t="n">
        <f aca="false">V_Trib*CG$227</f>
        <v>7457.17905797202</v>
      </c>
      <c r="CH241" s="34" t="n">
        <f aca="false">V_Trib*CH$227</f>
        <v>7457.17905797202</v>
      </c>
      <c r="CI241" s="34" t="n">
        <f aca="false">V_Trib*CI$227</f>
        <v>7457.17905797202</v>
      </c>
      <c r="CJ241" s="34" t="n">
        <f aca="false">V_Trib*CJ$227</f>
        <v>7457.17905797202</v>
      </c>
      <c r="CK241" s="34" t="n">
        <f aca="false">V_Trib*CK$227</f>
        <v>7457.17905797202</v>
      </c>
      <c r="CL241" s="34" t="n">
        <f aca="false">V_Trib*CL$227</f>
        <v>7531.75084855175</v>
      </c>
      <c r="CM241" s="34" t="n">
        <f aca="false">V_Trib*CM$227</f>
        <v>7531.75084855175</v>
      </c>
      <c r="CN241" s="34" t="n">
        <f aca="false">V_Trib*CN$227</f>
        <v>7531.75084855175</v>
      </c>
      <c r="CO241" s="34" t="n">
        <f aca="false">V_Trib*CO$227</f>
        <v>7531.75084855175</v>
      </c>
      <c r="CP241" s="34" t="n">
        <f aca="false">V_Trib*CP$227</f>
        <v>7531.75084855175</v>
      </c>
      <c r="CQ241" s="34" t="n">
        <f aca="false">V_Trib*CQ$227</f>
        <v>7531.75084855175</v>
      </c>
      <c r="CR241" s="34" t="n">
        <f aca="false">V_Trib*CR$227</f>
        <v>7531.75084855175</v>
      </c>
      <c r="CS241" s="34" t="n">
        <f aca="false">V_Trib*CS$227</f>
        <v>7531.75084855175</v>
      </c>
      <c r="CT241" s="34" t="n">
        <f aca="false">V_Trib*CT$227</f>
        <v>7531.75084855175</v>
      </c>
      <c r="CU241" s="34" t="n">
        <f aca="false">V_Trib*CU$227</f>
        <v>7531.75084855175</v>
      </c>
      <c r="CV241" s="34" t="n">
        <f aca="false">V_Trib*CV$227</f>
        <v>7531.75084855175</v>
      </c>
      <c r="CW241" s="34" t="n">
        <f aca="false">V_Trib*CW$227</f>
        <v>7531.75084855175</v>
      </c>
      <c r="CX241" s="34" t="n">
        <f aca="false">V_Trib*CX$227</f>
        <v>7607.06835703726</v>
      </c>
      <c r="CY241" s="34" t="n">
        <f aca="false">V_Trib*CY$227</f>
        <v>7607.06835703726</v>
      </c>
      <c r="CZ241" s="34" t="n">
        <f aca="false">V_Trib*CZ$227</f>
        <v>7607.06835703726</v>
      </c>
      <c r="DA241" s="34" t="n">
        <f aca="false">V_Trib*DA$227</f>
        <v>7607.06835703726</v>
      </c>
      <c r="DB241" s="34" t="n">
        <f aca="false">V_Trib*DB$227</f>
        <v>7607.06835703726</v>
      </c>
      <c r="DC241" s="34" t="n">
        <f aca="false">V_Trib*DC$227</f>
        <v>7607.06835703726</v>
      </c>
      <c r="DD241" s="34" t="n">
        <f aca="false">V_Trib*DD$227</f>
        <v>7607.06835703726</v>
      </c>
      <c r="DE241" s="34" t="n">
        <f aca="false">V_Trib*DE$227</f>
        <v>7607.06835703726</v>
      </c>
      <c r="DF241" s="34" t="n">
        <f aca="false">V_Trib*DF$227</f>
        <v>7607.06835703726</v>
      </c>
      <c r="DG241" s="34" t="n">
        <f aca="false">V_Trib*DG$227</f>
        <v>7607.06835703726</v>
      </c>
      <c r="DH241" s="34" t="n">
        <f aca="false">V_Trib*DH$227</f>
        <v>7607.06835703726</v>
      </c>
      <c r="DI241" s="34" t="n">
        <f aca="false">V_Trib*DI$227</f>
        <v>7607.06835703726</v>
      </c>
      <c r="DJ241" s="34" t="n">
        <f aca="false">V_Trib*DJ$227</f>
        <v>7683.13904060764</v>
      </c>
      <c r="DK241" s="34" t="n">
        <f aca="false">V_Trib*DK$227</f>
        <v>7683.13904060764</v>
      </c>
      <c r="DL241" s="34" t="n">
        <f aca="false">V_Trib*DL$227</f>
        <v>7683.13904060764</v>
      </c>
      <c r="DM241" s="34" t="n">
        <f aca="false">V_Trib*DM$227</f>
        <v>7683.13904060764</v>
      </c>
      <c r="DN241" s="34" t="n">
        <f aca="false">V_Trib*DN$227</f>
        <v>7683.13904060764</v>
      </c>
      <c r="DO241" s="34" t="n">
        <f aca="false">V_Trib*DO$227</f>
        <v>7683.13904060764</v>
      </c>
      <c r="DP241" s="34" t="n">
        <f aca="false">V_Trib*DP$227</f>
        <v>7683.13904060764</v>
      </c>
      <c r="DQ241" s="34" t="n">
        <f aca="false">V_Trib*DQ$227</f>
        <v>7683.13904060764</v>
      </c>
      <c r="DR241" s="34" t="n">
        <f aca="false">V_Trib*DR$227</f>
        <v>7683.13904060764</v>
      </c>
      <c r="DS241" s="34" t="n">
        <f aca="false">V_Trib*DS$227</f>
        <v>7683.13904060764</v>
      </c>
      <c r="DT241" s="34" t="n">
        <f aca="false">V_Trib*DT$227</f>
        <v>7683.13904060764</v>
      </c>
      <c r="DU241" s="34" t="n">
        <f aca="false">V_Trib*DU$227</f>
        <v>7683.13904060764</v>
      </c>
      <c r="DV241" s="34" t="n">
        <f aca="false">V_Trib*DV$227</f>
        <v>0</v>
      </c>
      <c r="DW241" s="34" t="n">
        <f aca="false">V_Trib*DW$227</f>
        <v>0</v>
      </c>
      <c r="DX241" s="34" t="n">
        <f aca="false">V_Trib*DX$227</f>
        <v>0</v>
      </c>
      <c r="DY241" s="34" t="n">
        <f aca="false">V_Trib*DY$227</f>
        <v>0</v>
      </c>
      <c r="DZ241" s="34" t="n">
        <f aca="false">V_Trib*DZ$227</f>
        <v>0</v>
      </c>
      <c r="EA241" s="34" t="n">
        <f aca="false">V_Trib*EA$227</f>
        <v>0</v>
      </c>
      <c r="EB241" s="34" t="n">
        <f aca="false">V_Trib*EB$227</f>
        <v>0</v>
      </c>
      <c r="EC241" s="34" t="n">
        <f aca="false">V_Trib*EC$227</f>
        <v>0</v>
      </c>
      <c r="ED241" s="34" t="n">
        <f aca="false">V_Trib*ED$227</f>
        <v>0</v>
      </c>
      <c r="EE241" s="34" t="n">
        <f aca="false">V_Trib*EE$227</f>
        <v>0</v>
      </c>
      <c r="EF241" s="34" t="n">
        <f aca="false">V_Trib*EF$227</f>
        <v>0</v>
      </c>
      <c r="EG241" s="34" t="n">
        <f aca="false">V_Trib*EG$227</f>
        <v>0</v>
      </c>
      <c r="EH241" s="34" t="n">
        <f aca="false">V_Trib*EH$227</f>
        <v>0</v>
      </c>
      <c r="EI241" s="34" t="n">
        <f aca="false">V_Trib*EI$227</f>
        <v>0</v>
      </c>
      <c r="EJ241" s="34" t="n">
        <f aca="false">V_Trib*EJ$227</f>
        <v>0</v>
      </c>
      <c r="EK241" s="34" t="n">
        <f aca="false">V_Trib*EK$227</f>
        <v>0</v>
      </c>
      <c r="EL241" s="34" t="n">
        <f aca="false">V_Trib*EL$227</f>
        <v>0</v>
      </c>
      <c r="EM241" s="34" t="n">
        <f aca="false">V_Trib*EM$227</f>
        <v>0</v>
      </c>
      <c r="EN241" s="34" t="n">
        <f aca="false">V_Trib*EN$227</f>
        <v>0</v>
      </c>
      <c r="EO241" s="34" t="n">
        <f aca="false">V_Trib*EO$227</f>
        <v>0</v>
      </c>
      <c r="EP241" s="34" t="n">
        <f aca="false">V_Trib*EP$227</f>
        <v>0</v>
      </c>
      <c r="EQ241" s="34" t="n">
        <f aca="false">V_Trib*EQ$227</f>
        <v>0</v>
      </c>
      <c r="ER241" s="34" t="n">
        <f aca="false">V_Trib*ER$227</f>
        <v>0</v>
      </c>
      <c r="ES241" s="34" t="n">
        <f aca="false">V_Trib*ES$227</f>
        <v>0</v>
      </c>
    </row>
    <row r="242" customFormat="false" ht="15" hidden="false" customHeight="false" outlineLevel="0" collapsed="false">
      <c r="A242" s="2" t="s">
        <v>883</v>
      </c>
      <c r="B242" s="6" t="s">
        <v>664</v>
      </c>
      <c r="C242" s="6" t="s">
        <v>250</v>
      </c>
      <c r="E242" s="40" t="n">
        <f aca="false">SUM(F242:ES242)</f>
        <v>555431.735750422</v>
      </c>
      <c r="F242" s="34" t="n">
        <f aca="false">SUMPRODUCT((FC_Clase="Producción")*FC_V*((FC_Mon="PYG")*F$175+(FC_Mon&lt;&gt;"PYG"))*(1+FC_g)^(F$173-1)*((FC_Desde=0)*(F$172+F$171)+(FC_Desde&gt;=1)*(F$170&gt;=FC_Desde)*F$171))</f>
        <v>4393.47821917808</v>
      </c>
      <c r="G242" s="34" t="n">
        <f aca="false">SUMPRODUCT((FC_Clase="Producción")*FC_V*((FC_Mon="PYG")*G$175+(FC_Mon&lt;&gt;"PYG"))*(1+FC_g)^(G$173-1)*((FC_Desde=0)*(G$172+G$171)+(FC_Desde&gt;=1)*(G$170&gt;=FC_Desde)*G$171))</f>
        <v>4393.47821917808</v>
      </c>
      <c r="H242" s="34" t="n">
        <f aca="false">SUMPRODUCT((FC_Clase="Producción")*FC_V*((FC_Mon="PYG")*H$175+(FC_Mon&lt;&gt;"PYG"))*(1+FC_g)^(H$173-1)*((FC_Desde=0)*(H$172+H$171)+(FC_Desde&gt;=1)*(H$170&gt;=FC_Desde)*H$171))</f>
        <v>4393.47821917808</v>
      </c>
      <c r="I242" s="34" t="n">
        <f aca="false">SUMPRODUCT((FC_Clase="Producción")*FC_V*((FC_Mon="PYG")*I$175+(FC_Mon&lt;&gt;"PYG"))*(1+FC_g)^(I$173-1)*((FC_Desde=0)*(I$172+I$171)+(FC_Desde&gt;=1)*(I$170&gt;=FC_Desde)*I$171))</f>
        <v>4393.47821917808</v>
      </c>
      <c r="J242" s="34" t="n">
        <f aca="false">SUMPRODUCT((FC_Clase="Producción")*FC_V*((FC_Mon="PYG")*J$175+(FC_Mon&lt;&gt;"PYG"))*(1+FC_g)^(J$173-1)*((FC_Desde=0)*(J$172+J$171)+(FC_Desde&gt;=1)*(J$170&gt;=FC_Desde)*J$171))</f>
        <v>4393.47821917808</v>
      </c>
      <c r="K242" s="34" t="n">
        <f aca="false">SUMPRODUCT((FC_Clase="Producción")*FC_V*((FC_Mon="PYG")*K$175+(FC_Mon&lt;&gt;"PYG"))*(1+FC_g)^(K$173-1)*((FC_Desde=0)*(K$172+K$171)+(FC_Desde&gt;=1)*(K$170&gt;=FC_Desde)*K$171))</f>
        <v>4393.47821917808</v>
      </c>
      <c r="L242" s="34" t="n">
        <f aca="false">SUMPRODUCT((FC_Clase="Producción")*FC_V*((FC_Mon="PYG")*L$175+(FC_Mon&lt;&gt;"PYG"))*(1+FC_g)^(L$173-1)*((FC_Desde=0)*(L$172+L$171)+(FC_Desde&gt;=1)*(L$170&gt;=FC_Desde)*L$171))</f>
        <v>4393.47821917808</v>
      </c>
      <c r="M242" s="34" t="n">
        <f aca="false">SUMPRODUCT((FC_Clase="Producción")*FC_V*((FC_Mon="PYG")*M$175+(FC_Mon&lt;&gt;"PYG"))*(1+FC_g)^(M$173-1)*((FC_Desde=0)*(M$172+M$171)+(FC_Desde&gt;=1)*(M$170&gt;=FC_Desde)*M$171))</f>
        <v>4393.47821917808</v>
      </c>
      <c r="N242" s="34" t="n">
        <f aca="false">SUMPRODUCT((FC_Clase="Producción")*FC_V*((FC_Mon="PYG")*N$175+(FC_Mon&lt;&gt;"PYG"))*(1+FC_g)^(N$173-1)*((FC_Desde=0)*(N$172+N$171)+(FC_Desde&gt;=1)*(N$170&gt;=FC_Desde)*N$171))</f>
        <v>4393.47821917808</v>
      </c>
      <c r="O242" s="34" t="n">
        <f aca="false">SUMPRODUCT((FC_Clase="Producción")*FC_V*((FC_Mon="PYG")*O$175+(FC_Mon&lt;&gt;"PYG"))*(1+FC_g)^(O$173-1)*((FC_Desde=0)*(O$172+O$171)+(FC_Desde&gt;=1)*(O$170&gt;=FC_Desde)*O$171))</f>
        <v>4393.47821917808</v>
      </c>
      <c r="P242" s="34" t="n">
        <f aca="false">SUMPRODUCT((FC_Clase="Producción")*FC_V*((FC_Mon="PYG")*P$175+(FC_Mon&lt;&gt;"PYG"))*(1+FC_g)^(P$173-1)*((FC_Desde=0)*(P$172+P$171)+(FC_Desde&gt;=1)*(P$170&gt;=FC_Desde)*P$171))</f>
        <v>4393.47821917808</v>
      </c>
      <c r="Q242" s="34" t="n">
        <f aca="false">SUMPRODUCT((FC_Clase="Producción")*FC_V*((FC_Mon="PYG")*Q$175+(FC_Mon&lt;&gt;"PYG"))*(1+FC_g)^(Q$173-1)*((FC_Desde=0)*(Q$172+Q$171)+(FC_Desde&gt;=1)*(Q$170&gt;=FC_Desde)*Q$171))</f>
        <v>4393.47821917808</v>
      </c>
      <c r="R242" s="34" t="n">
        <f aca="false">SUMPRODUCT((FC_Clase="Producción")*FC_V*((FC_Mon="PYG")*R$175+(FC_Mon&lt;&gt;"PYG"))*(1+FC_g)^(R$173-1)*((FC_Desde=0)*(R$172+R$171)+(FC_Desde&gt;=1)*(R$170&gt;=FC_Desde)*R$171))</f>
        <v>4442.99161917808</v>
      </c>
      <c r="S242" s="34" t="n">
        <f aca="false">SUMPRODUCT((FC_Clase="Producción")*FC_V*((FC_Mon="PYG")*S$175+(FC_Mon&lt;&gt;"PYG"))*(1+FC_g)^(S$173-1)*((FC_Desde=0)*(S$172+S$171)+(FC_Desde&gt;=1)*(S$170&gt;=FC_Desde)*S$171))</f>
        <v>4442.99161917808</v>
      </c>
      <c r="T242" s="34" t="n">
        <f aca="false">SUMPRODUCT((FC_Clase="Producción")*FC_V*((FC_Mon="PYG")*T$175+(FC_Mon&lt;&gt;"PYG"))*(1+FC_g)^(T$173-1)*((FC_Desde=0)*(T$172+T$171)+(FC_Desde&gt;=1)*(T$170&gt;=FC_Desde)*T$171))</f>
        <v>4442.99161917808</v>
      </c>
      <c r="U242" s="34" t="n">
        <f aca="false">SUMPRODUCT((FC_Clase="Producción")*FC_V*((FC_Mon="PYG")*U$175+(FC_Mon&lt;&gt;"PYG"))*(1+FC_g)^(U$173-1)*((FC_Desde=0)*(U$172+U$171)+(FC_Desde&gt;=1)*(U$170&gt;=FC_Desde)*U$171))</f>
        <v>4442.99161917808</v>
      </c>
      <c r="V242" s="34" t="n">
        <f aca="false">SUMPRODUCT((FC_Clase="Producción")*FC_V*((FC_Mon="PYG")*V$175+(FC_Mon&lt;&gt;"PYG"))*(1+FC_g)^(V$173-1)*((FC_Desde=0)*(V$172+V$171)+(FC_Desde&gt;=1)*(V$170&gt;=FC_Desde)*V$171))</f>
        <v>4442.99161917808</v>
      </c>
      <c r="W242" s="34" t="n">
        <f aca="false">SUMPRODUCT((FC_Clase="Producción")*FC_V*((FC_Mon="PYG")*W$175+(FC_Mon&lt;&gt;"PYG"))*(1+FC_g)^(W$173-1)*((FC_Desde=0)*(W$172+W$171)+(FC_Desde&gt;=1)*(W$170&gt;=FC_Desde)*W$171))</f>
        <v>4442.99161917808</v>
      </c>
      <c r="X242" s="34" t="n">
        <f aca="false">SUMPRODUCT((FC_Clase="Producción")*FC_V*((FC_Mon="PYG")*X$175+(FC_Mon&lt;&gt;"PYG"))*(1+FC_g)^(X$173-1)*((FC_Desde=0)*(X$172+X$171)+(FC_Desde&gt;=1)*(X$170&gt;=FC_Desde)*X$171))</f>
        <v>4442.99161917808</v>
      </c>
      <c r="Y242" s="34" t="n">
        <f aca="false">SUMPRODUCT((FC_Clase="Producción")*FC_V*((FC_Mon="PYG")*Y$175+(FC_Mon&lt;&gt;"PYG"))*(1+FC_g)^(Y$173-1)*((FC_Desde=0)*(Y$172+Y$171)+(FC_Desde&gt;=1)*(Y$170&gt;=FC_Desde)*Y$171))</f>
        <v>4442.99161917808</v>
      </c>
      <c r="Z242" s="34" t="n">
        <f aca="false">SUMPRODUCT((FC_Clase="Producción")*FC_V*((FC_Mon="PYG")*Z$175+(FC_Mon&lt;&gt;"PYG"))*(1+FC_g)^(Z$173-1)*((FC_Desde=0)*(Z$172+Z$171)+(FC_Desde&gt;=1)*(Z$170&gt;=FC_Desde)*Z$171))</f>
        <v>4442.99161917808</v>
      </c>
      <c r="AA242" s="34" t="n">
        <f aca="false">SUMPRODUCT((FC_Clase="Producción")*FC_V*((FC_Mon="PYG")*AA$175+(FC_Mon&lt;&gt;"PYG"))*(1+FC_g)^(AA$173-1)*((FC_Desde=0)*(AA$172+AA$171)+(FC_Desde&gt;=1)*(AA$170&gt;=FC_Desde)*AA$171))</f>
        <v>4442.99161917808</v>
      </c>
      <c r="AB242" s="34" t="n">
        <f aca="false">SUMPRODUCT((FC_Clase="Producción")*FC_V*((FC_Mon="PYG")*AB$175+(FC_Mon&lt;&gt;"PYG"))*(1+FC_g)^(AB$173-1)*((FC_Desde=0)*(AB$172+AB$171)+(FC_Desde&gt;=1)*(AB$170&gt;=FC_Desde)*AB$171))</f>
        <v>4442.99161917808</v>
      </c>
      <c r="AC242" s="34" t="n">
        <f aca="false">SUMPRODUCT((FC_Clase="Producción")*FC_V*((FC_Mon="PYG")*AC$175+(FC_Mon&lt;&gt;"PYG"))*(1+FC_g)^(AC$173-1)*((FC_Desde=0)*(AC$172+AC$171)+(FC_Desde&gt;=1)*(AC$170&gt;=FC_Desde)*AC$171))</f>
        <v>4442.99161917808</v>
      </c>
      <c r="AD242" s="34" t="n">
        <f aca="false">SUMPRODUCT((FC_Clase="Producción")*FC_V*((FC_Mon="PYG")*AD$175+(FC_Mon&lt;&gt;"PYG"))*(1+FC_g)^(AD$173-1)*((FC_Desde=0)*(AD$172+AD$171)+(FC_Desde&gt;=1)*(AD$170&gt;=FC_Desde)*AD$171))</f>
        <v>4493.49528717808</v>
      </c>
      <c r="AE242" s="34" t="n">
        <f aca="false">SUMPRODUCT((FC_Clase="Producción")*FC_V*((FC_Mon="PYG")*AE$175+(FC_Mon&lt;&gt;"PYG"))*(1+FC_g)^(AE$173-1)*((FC_Desde=0)*(AE$172+AE$171)+(FC_Desde&gt;=1)*(AE$170&gt;=FC_Desde)*AE$171))</f>
        <v>4493.49528717808</v>
      </c>
      <c r="AF242" s="34" t="n">
        <f aca="false">SUMPRODUCT((FC_Clase="Producción")*FC_V*((FC_Mon="PYG")*AF$175+(FC_Mon&lt;&gt;"PYG"))*(1+FC_g)^(AF$173-1)*((FC_Desde=0)*(AF$172+AF$171)+(FC_Desde&gt;=1)*(AF$170&gt;=FC_Desde)*AF$171))</f>
        <v>4493.49528717808</v>
      </c>
      <c r="AG242" s="34" t="n">
        <f aca="false">SUMPRODUCT((FC_Clase="Producción")*FC_V*((FC_Mon="PYG")*AG$175+(FC_Mon&lt;&gt;"PYG"))*(1+FC_g)^(AG$173-1)*((FC_Desde=0)*(AG$172+AG$171)+(FC_Desde&gt;=1)*(AG$170&gt;=FC_Desde)*AG$171))</f>
        <v>4493.49528717808</v>
      </c>
      <c r="AH242" s="34" t="n">
        <f aca="false">SUMPRODUCT((FC_Clase="Producción")*FC_V*((FC_Mon="PYG")*AH$175+(FC_Mon&lt;&gt;"PYG"))*(1+FC_g)^(AH$173-1)*((FC_Desde=0)*(AH$172+AH$171)+(FC_Desde&gt;=1)*(AH$170&gt;=FC_Desde)*AH$171))</f>
        <v>4493.49528717808</v>
      </c>
      <c r="AI242" s="34" t="n">
        <f aca="false">SUMPRODUCT((FC_Clase="Producción")*FC_V*((FC_Mon="PYG")*AI$175+(FC_Mon&lt;&gt;"PYG"))*(1+FC_g)^(AI$173-1)*((FC_Desde=0)*(AI$172+AI$171)+(FC_Desde&gt;=1)*(AI$170&gt;=FC_Desde)*AI$171))</f>
        <v>4493.49528717808</v>
      </c>
      <c r="AJ242" s="34" t="n">
        <f aca="false">SUMPRODUCT((FC_Clase="Producción")*FC_V*((FC_Mon="PYG")*AJ$175+(FC_Mon&lt;&gt;"PYG"))*(1+FC_g)^(AJ$173-1)*((FC_Desde=0)*(AJ$172+AJ$171)+(FC_Desde&gt;=1)*(AJ$170&gt;=FC_Desde)*AJ$171))</f>
        <v>4493.49528717808</v>
      </c>
      <c r="AK242" s="34" t="n">
        <f aca="false">SUMPRODUCT((FC_Clase="Producción")*FC_V*((FC_Mon="PYG")*AK$175+(FC_Mon&lt;&gt;"PYG"))*(1+FC_g)^(AK$173-1)*((FC_Desde=0)*(AK$172+AK$171)+(FC_Desde&gt;=1)*(AK$170&gt;=FC_Desde)*AK$171))</f>
        <v>4493.49528717808</v>
      </c>
      <c r="AL242" s="34" t="n">
        <f aca="false">SUMPRODUCT((FC_Clase="Producción")*FC_V*((FC_Mon="PYG")*AL$175+(FC_Mon&lt;&gt;"PYG"))*(1+FC_g)^(AL$173-1)*((FC_Desde=0)*(AL$172+AL$171)+(FC_Desde&gt;=1)*(AL$170&gt;=FC_Desde)*AL$171))</f>
        <v>4493.49528717808</v>
      </c>
      <c r="AM242" s="34" t="n">
        <f aca="false">SUMPRODUCT((FC_Clase="Producción")*FC_V*((FC_Mon="PYG")*AM$175+(FC_Mon&lt;&gt;"PYG"))*(1+FC_g)^(AM$173-1)*((FC_Desde=0)*(AM$172+AM$171)+(FC_Desde&gt;=1)*(AM$170&gt;=FC_Desde)*AM$171))</f>
        <v>4493.49528717808</v>
      </c>
      <c r="AN242" s="34" t="n">
        <f aca="false">SUMPRODUCT((FC_Clase="Producción")*FC_V*((FC_Mon="PYG")*AN$175+(FC_Mon&lt;&gt;"PYG"))*(1+FC_g)^(AN$173-1)*((FC_Desde=0)*(AN$172+AN$171)+(FC_Desde&gt;=1)*(AN$170&gt;=FC_Desde)*AN$171))</f>
        <v>4493.49528717808</v>
      </c>
      <c r="AO242" s="34" t="n">
        <f aca="false">SUMPRODUCT((FC_Clase="Producción")*FC_V*((FC_Mon="PYG")*AO$175+(FC_Mon&lt;&gt;"PYG"))*(1+FC_g)^(AO$173-1)*((FC_Desde=0)*(AO$172+AO$171)+(FC_Desde&gt;=1)*(AO$170&gt;=FC_Desde)*AO$171))</f>
        <v>4493.49528717808</v>
      </c>
      <c r="AP242" s="34" t="n">
        <f aca="false">SUMPRODUCT((FC_Clase="Producción")*FC_V*((FC_Mon="PYG")*AP$175+(FC_Mon&lt;&gt;"PYG"))*(1+FC_g)^(AP$173-1)*((FC_Desde=0)*(AP$172+AP$171)+(FC_Desde&gt;=1)*(AP$170&gt;=FC_Desde)*AP$171))</f>
        <v>4545.00902853808</v>
      </c>
      <c r="AQ242" s="34" t="n">
        <f aca="false">SUMPRODUCT((FC_Clase="Producción")*FC_V*((FC_Mon="PYG")*AQ$175+(FC_Mon&lt;&gt;"PYG"))*(1+FC_g)^(AQ$173-1)*((FC_Desde=0)*(AQ$172+AQ$171)+(FC_Desde&gt;=1)*(AQ$170&gt;=FC_Desde)*AQ$171))</f>
        <v>4545.00902853808</v>
      </c>
      <c r="AR242" s="34" t="n">
        <f aca="false">SUMPRODUCT((FC_Clase="Producción")*FC_V*((FC_Mon="PYG")*AR$175+(FC_Mon&lt;&gt;"PYG"))*(1+FC_g)^(AR$173-1)*((FC_Desde=0)*(AR$172+AR$171)+(FC_Desde&gt;=1)*(AR$170&gt;=FC_Desde)*AR$171))</f>
        <v>4545.00902853808</v>
      </c>
      <c r="AS242" s="34" t="n">
        <f aca="false">SUMPRODUCT((FC_Clase="Producción")*FC_V*((FC_Mon="PYG")*AS$175+(FC_Mon&lt;&gt;"PYG"))*(1+FC_g)^(AS$173-1)*((FC_Desde=0)*(AS$172+AS$171)+(FC_Desde&gt;=1)*(AS$170&gt;=FC_Desde)*AS$171))</f>
        <v>4545.00902853808</v>
      </c>
      <c r="AT242" s="34" t="n">
        <f aca="false">SUMPRODUCT((FC_Clase="Producción")*FC_V*((FC_Mon="PYG")*AT$175+(FC_Mon&lt;&gt;"PYG"))*(1+FC_g)^(AT$173-1)*((FC_Desde=0)*(AT$172+AT$171)+(FC_Desde&gt;=1)*(AT$170&gt;=FC_Desde)*AT$171))</f>
        <v>4545.00902853808</v>
      </c>
      <c r="AU242" s="34" t="n">
        <f aca="false">SUMPRODUCT((FC_Clase="Producción")*FC_V*((FC_Mon="PYG")*AU$175+(FC_Mon&lt;&gt;"PYG"))*(1+FC_g)^(AU$173-1)*((FC_Desde=0)*(AU$172+AU$171)+(FC_Desde&gt;=1)*(AU$170&gt;=FC_Desde)*AU$171))</f>
        <v>4545.00902853808</v>
      </c>
      <c r="AV242" s="34" t="n">
        <f aca="false">SUMPRODUCT((FC_Clase="Producción")*FC_V*((FC_Mon="PYG")*AV$175+(FC_Mon&lt;&gt;"PYG"))*(1+FC_g)^(AV$173-1)*((FC_Desde=0)*(AV$172+AV$171)+(FC_Desde&gt;=1)*(AV$170&gt;=FC_Desde)*AV$171))</f>
        <v>4545.00902853808</v>
      </c>
      <c r="AW242" s="34" t="n">
        <f aca="false">SUMPRODUCT((FC_Clase="Producción")*FC_V*((FC_Mon="PYG")*AW$175+(FC_Mon&lt;&gt;"PYG"))*(1+FC_g)^(AW$173-1)*((FC_Desde=0)*(AW$172+AW$171)+(FC_Desde&gt;=1)*(AW$170&gt;=FC_Desde)*AW$171))</f>
        <v>4545.00902853808</v>
      </c>
      <c r="AX242" s="34" t="n">
        <f aca="false">SUMPRODUCT((FC_Clase="Producción")*FC_V*((FC_Mon="PYG")*AX$175+(FC_Mon&lt;&gt;"PYG"))*(1+FC_g)^(AX$173-1)*((FC_Desde=0)*(AX$172+AX$171)+(FC_Desde&gt;=1)*(AX$170&gt;=FC_Desde)*AX$171))</f>
        <v>4545.00902853808</v>
      </c>
      <c r="AY242" s="34" t="n">
        <f aca="false">SUMPRODUCT((FC_Clase="Producción")*FC_V*((FC_Mon="PYG")*AY$175+(FC_Mon&lt;&gt;"PYG"))*(1+FC_g)^(AY$173-1)*((FC_Desde=0)*(AY$172+AY$171)+(FC_Desde&gt;=1)*(AY$170&gt;=FC_Desde)*AY$171))</f>
        <v>4545.00902853808</v>
      </c>
      <c r="AZ242" s="34" t="n">
        <f aca="false">SUMPRODUCT((FC_Clase="Producción")*FC_V*((FC_Mon="PYG")*AZ$175+(FC_Mon&lt;&gt;"PYG"))*(1+FC_g)^(AZ$173-1)*((FC_Desde=0)*(AZ$172+AZ$171)+(FC_Desde&gt;=1)*(AZ$170&gt;=FC_Desde)*AZ$171))</f>
        <v>4545.00902853808</v>
      </c>
      <c r="BA242" s="34" t="n">
        <f aca="false">SUMPRODUCT((FC_Clase="Producción")*FC_V*((FC_Mon="PYG")*BA$175+(FC_Mon&lt;&gt;"PYG"))*(1+FC_g)^(BA$173-1)*((FC_Desde=0)*(BA$172+BA$171)+(FC_Desde&gt;=1)*(BA$170&gt;=FC_Desde)*BA$171))</f>
        <v>4545.00902853808</v>
      </c>
      <c r="BB242" s="34" t="n">
        <f aca="false">SUMPRODUCT((FC_Clase="Producción")*FC_V*((FC_Mon="PYG")*BB$175+(FC_Mon&lt;&gt;"PYG"))*(1+FC_g)^(BB$173-1)*((FC_Desde=0)*(BB$172+BB$171)+(FC_Desde&gt;=1)*(BB$170&gt;=FC_Desde)*BB$171))</f>
        <v>4597.55304472528</v>
      </c>
      <c r="BC242" s="34" t="n">
        <f aca="false">SUMPRODUCT((FC_Clase="Producción")*FC_V*((FC_Mon="PYG")*BC$175+(FC_Mon&lt;&gt;"PYG"))*(1+FC_g)^(BC$173-1)*((FC_Desde=0)*(BC$172+BC$171)+(FC_Desde&gt;=1)*(BC$170&gt;=FC_Desde)*BC$171))</f>
        <v>4597.55304472528</v>
      </c>
      <c r="BD242" s="34" t="n">
        <f aca="false">SUMPRODUCT((FC_Clase="Producción")*FC_V*((FC_Mon="PYG")*BD$175+(FC_Mon&lt;&gt;"PYG"))*(1+FC_g)^(BD$173-1)*((FC_Desde=0)*(BD$172+BD$171)+(FC_Desde&gt;=1)*(BD$170&gt;=FC_Desde)*BD$171))</f>
        <v>4597.55304472528</v>
      </c>
      <c r="BE242" s="34" t="n">
        <f aca="false">SUMPRODUCT((FC_Clase="Producción")*FC_V*((FC_Mon="PYG")*BE$175+(FC_Mon&lt;&gt;"PYG"))*(1+FC_g)^(BE$173-1)*((FC_Desde=0)*(BE$172+BE$171)+(FC_Desde&gt;=1)*(BE$170&gt;=FC_Desde)*BE$171))</f>
        <v>4597.55304472528</v>
      </c>
      <c r="BF242" s="34" t="n">
        <f aca="false">SUMPRODUCT((FC_Clase="Producción")*FC_V*((FC_Mon="PYG")*BF$175+(FC_Mon&lt;&gt;"PYG"))*(1+FC_g)^(BF$173-1)*((FC_Desde=0)*(BF$172+BF$171)+(FC_Desde&gt;=1)*(BF$170&gt;=FC_Desde)*BF$171))</f>
        <v>4597.55304472528</v>
      </c>
      <c r="BG242" s="34" t="n">
        <f aca="false">SUMPRODUCT((FC_Clase="Producción")*FC_V*((FC_Mon="PYG")*BG$175+(FC_Mon&lt;&gt;"PYG"))*(1+FC_g)^(BG$173-1)*((FC_Desde=0)*(BG$172+BG$171)+(FC_Desde&gt;=1)*(BG$170&gt;=FC_Desde)*BG$171))</f>
        <v>4597.55304472528</v>
      </c>
      <c r="BH242" s="34" t="n">
        <f aca="false">SUMPRODUCT((FC_Clase="Producción")*FC_V*((FC_Mon="PYG")*BH$175+(FC_Mon&lt;&gt;"PYG"))*(1+FC_g)^(BH$173-1)*((FC_Desde=0)*(BH$172+BH$171)+(FC_Desde&gt;=1)*(BH$170&gt;=FC_Desde)*BH$171))</f>
        <v>4597.55304472528</v>
      </c>
      <c r="BI242" s="34" t="n">
        <f aca="false">SUMPRODUCT((FC_Clase="Producción")*FC_V*((FC_Mon="PYG")*BI$175+(FC_Mon&lt;&gt;"PYG"))*(1+FC_g)^(BI$173-1)*((FC_Desde=0)*(BI$172+BI$171)+(FC_Desde&gt;=1)*(BI$170&gt;=FC_Desde)*BI$171))</f>
        <v>4597.55304472528</v>
      </c>
      <c r="BJ242" s="34" t="n">
        <f aca="false">SUMPRODUCT((FC_Clase="Producción")*FC_V*((FC_Mon="PYG")*BJ$175+(FC_Mon&lt;&gt;"PYG"))*(1+FC_g)^(BJ$173-1)*((FC_Desde=0)*(BJ$172+BJ$171)+(FC_Desde&gt;=1)*(BJ$170&gt;=FC_Desde)*BJ$171))</f>
        <v>4597.55304472528</v>
      </c>
      <c r="BK242" s="34" t="n">
        <f aca="false">SUMPRODUCT((FC_Clase="Producción")*FC_V*((FC_Mon="PYG")*BK$175+(FC_Mon&lt;&gt;"PYG"))*(1+FC_g)^(BK$173-1)*((FC_Desde=0)*(BK$172+BK$171)+(FC_Desde&gt;=1)*(BK$170&gt;=FC_Desde)*BK$171))</f>
        <v>4597.55304472528</v>
      </c>
      <c r="BL242" s="34" t="n">
        <f aca="false">SUMPRODUCT((FC_Clase="Producción")*FC_V*((FC_Mon="PYG")*BL$175+(FC_Mon&lt;&gt;"PYG"))*(1+FC_g)^(BL$173-1)*((FC_Desde=0)*(BL$172+BL$171)+(FC_Desde&gt;=1)*(BL$170&gt;=FC_Desde)*BL$171))</f>
        <v>4597.55304472528</v>
      </c>
      <c r="BM242" s="34" t="n">
        <f aca="false">SUMPRODUCT((FC_Clase="Producción")*FC_V*((FC_Mon="PYG")*BM$175+(FC_Mon&lt;&gt;"PYG"))*(1+FC_g)^(BM$173-1)*((FC_Desde=0)*(BM$172+BM$171)+(FC_Desde&gt;=1)*(BM$170&gt;=FC_Desde)*BM$171))</f>
        <v>4597.55304472528</v>
      </c>
      <c r="BN242" s="34" t="n">
        <f aca="false">SUMPRODUCT((FC_Clase="Producción")*FC_V*((FC_Mon="PYG")*BN$175+(FC_Mon&lt;&gt;"PYG"))*(1+FC_g)^(BN$173-1)*((FC_Desde=0)*(BN$172+BN$171)+(FC_Desde&gt;=1)*(BN$170&gt;=FC_Desde)*BN$171))</f>
        <v>4651.14794123623</v>
      </c>
      <c r="BO242" s="34" t="n">
        <f aca="false">SUMPRODUCT((FC_Clase="Producción")*FC_V*((FC_Mon="PYG")*BO$175+(FC_Mon&lt;&gt;"PYG"))*(1+FC_g)^(BO$173-1)*((FC_Desde=0)*(BO$172+BO$171)+(FC_Desde&gt;=1)*(BO$170&gt;=FC_Desde)*BO$171))</f>
        <v>4651.14794123623</v>
      </c>
      <c r="BP242" s="34" t="n">
        <f aca="false">SUMPRODUCT((FC_Clase="Producción")*FC_V*((FC_Mon="PYG")*BP$175+(FC_Mon&lt;&gt;"PYG"))*(1+FC_g)^(BP$173-1)*((FC_Desde=0)*(BP$172+BP$171)+(FC_Desde&gt;=1)*(BP$170&gt;=FC_Desde)*BP$171))</f>
        <v>4651.14794123623</v>
      </c>
      <c r="BQ242" s="34" t="n">
        <f aca="false">SUMPRODUCT((FC_Clase="Producción")*FC_V*((FC_Mon="PYG")*BQ$175+(FC_Mon&lt;&gt;"PYG"))*(1+FC_g)^(BQ$173-1)*((FC_Desde=0)*(BQ$172+BQ$171)+(FC_Desde&gt;=1)*(BQ$170&gt;=FC_Desde)*BQ$171))</f>
        <v>4651.14794123623</v>
      </c>
      <c r="BR242" s="34" t="n">
        <f aca="false">SUMPRODUCT((FC_Clase="Producción")*FC_V*((FC_Mon="PYG")*BR$175+(FC_Mon&lt;&gt;"PYG"))*(1+FC_g)^(BR$173-1)*((FC_Desde=0)*(BR$172+BR$171)+(FC_Desde&gt;=1)*(BR$170&gt;=FC_Desde)*BR$171))</f>
        <v>4651.14794123623</v>
      </c>
      <c r="BS242" s="34" t="n">
        <f aca="false">SUMPRODUCT((FC_Clase="Producción")*FC_V*((FC_Mon="PYG")*BS$175+(FC_Mon&lt;&gt;"PYG"))*(1+FC_g)^(BS$173-1)*((FC_Desde=0)*(BS$172+BS$171)+(FC_Desde&gt;=1)*(BS$170&gt;=FC_Desde)*BS$171))</f>
        <v>4651.14794123623</v>
      </c>
      <c r="BT242" s="34" t="n">
        <f aca="false">SUMPRODUCT((FC_Clase="Producción")*FC_V*((FC_Mon="PYG")*BT$175+(FC_Mon&lt;&gt;"PYG"))*(1+FC_g)^(BT$173-1)*((FC_Desde=0)*(BT$172+BT$171)+(FC_Desde&gt;=1)*(BT$170&gt;=FC_Desde)*BT$171))</f>
        <v>4651.14794123623</v>
      </c>
      <c r="BU242" s="34" t="n">
        <f aca="false">SUMPRODUCT((FC_Clase="Producción")*FC_V*((FC_Mon="PYG")*BU$175+(FC_Mon&lt;&gt;"PYG"))*(1+FC_g)^(BU$173-1)*((FC_Desde=0)*(BU$172+BU$171)+(FC_Desde&gt;=1)*(BU$170&gt;=FC_Desde)*BU$171))</f>
        <v>4651.14794123623</v>
      </c>
      <c r="BV242" s="34" t="n">
        <f aca="false">SUMPRODUCT((FC_Clase="Producción")*FC_V*((FC_Mon="PYG")*BV$175+(FC_Mon&lt;&gt;"PYG"))*(1+FC_g)^(BV$173-1)*((FC_Desde=0)*(BV$172+BV$171)+(FC_Desde&gt;=1)*(BV$170&gt;=FC_Desde)*BV$171))</f>
        <v>4651.14794123623</v>
      </c>
      <c r="BW242" s="34" t="n">
        <f aca="false">SUMPRODUCT((FC_Clase="Producción")*FC_V*((FC_Mon="PYG")*BW$175+(FC_Mon&lt;&gt;"PYG"))*(1+FC_g)^(BW$173-1)*((FC_Desde=0)*(BW$172+BW$171)+(FC_Desde&gt;=1)*(BW$170&gt;=FC_Desde)*BW$171))</f>
        <v>4651.14794123623</v>
      </c>
      <c r="BX242" s="34" t="n">
        <f aca="false">SUMPRODUCT((FC_Clase="Producción")*FC_V*((FC_Mon="PYG")*BX$175+(FC_Mon&lt;&gt;"PYG"))*(1+FC_g)^(BX$173-1)*((FC_Desde=0)*(BX$172+BX$171)+(FC_Desde&gt;=1)*(BX$170&gt;=FC_Desde)*BX$171))</f>
        <v>4651.14794123623</v>
      </c>
      <c r="BY242" s="34" t="n">
        <f aca="false">SUMPRODUCT((FC_Clase="Producción")*FC_V*((FC_Mon="PYG")*BY$175+(FC_Mon&lt;&gt;"PYG"))*(1+FC_g)^(BY$173-1)*((FC_Desde=0)*(BY$172+BY$171)+(FC_Desde&gt;=1)*(BY$170&gt;=FC_Desde)*BY$171))</f>
        <v>4651.14794123623</v>
      </c>
      <c r="BZ242" s="34" t="n">
        <f aca="false">SUMPRODUCT((FC_Clase="Producción")*FC_V*((FC_Mon="PYG")*BZ$175+(FC_Mon&lt;&gt;"PYG"))*(1+FC_g)^(BZ$173-1)*((FC_Desde=0)*(BZ$172+BZ$171)+(FC_Desde&gt;=1)*(BZ$170&gt;=FC_Desde)*BZ$171))</f>
        <v>4705.81473567739</v>
      </c>
      <c r="CA242" s="34" t="n">
        <f aca="false">SUMPRODUCT((FC_Clase="Producción")*FC_V*((FC_Mon="PYG")*CA$175+(FC_Mon&lt;&gt;"PYG"))*(1+FC_g)^(CA$173-1)*((FC_Desde=0)*(CA$172+CA$171)+(FC_Desde&gt;=1)*(CA$170&gt;=FC_Desde)*CA$171))</f>
        <v>4705.81473567739</v>
      </c>
      <c r="CB242" s="34" t="n">
        <f aca="false">SUMPRODUCT((FC_Clase="Producción")*FC_V*((FC_Mon="PYG")*CB$175+(FC_Mon&lt;&gt;"PYG"))*(1+FC_g)^(CB$173-1)*((FC_Desde=0)*(CB$172+CB$171)+(FC_Desde&gt;=1)*(CB$170&gt;=FC_Desde)*CB$171))</f>
        <v>4705.81473567739</v>
      </c>
      <c r="CC242" s="34" t="n">
        <f aca="false">SUMPRODUCT((FC_Clase="Producción")*FC_V*((FC_Mon="PYG")*CC$175+(FC_Mon&lt;&gt;"PYG"))*(1+FC_g)^(CC$173-1)*((FC_Desde=0)*(CC$172+CC$171)+(FC_Desde&gt;=1)*(CC$170&gt;=FC_Desde)*CC$171))</f>
        <v>4705.81473567739</v>
      </c>
      <c r="CD242" s="34" t="n">
        <f aca="false">SUMPRODUCT((FC_Clase="Producción")*FC_V*((FC_Mon="PYG")*CD$175+(FC_Mon&lt;&gt;"PYG"))*(1+FC_g)^(CD$173-1)*((FC_Desde=0)*(CD$172+CD$171)+(FC_Desde&gt;=1)*(CD$170&gt;=FC_Desde)*CD$171))</f>
        <v>4705.81473567739</v>
      </c>
      <c r="CE242" s="34" t="n">
        <f aca="false">SUMPRODUCT((FC_Clase="Producción")*FC_V*((FC_Mon="PYG")*CE$175+(FC_Mon&lt;&gt;"PYG"))*(1+FC_g)^(CE$173-1)*((FC_Desde=0)*(CE$172+CE$171)+(FC_Desde&gt;=1)*(CE$170&gt;=FC_Desde)*CE$171))</f>
        <v>4705.81473567739</v>
      </c>
      <c r="CF242" s="34" t="n">
        <f aca="false">SUMPRODUCT((FC_Clase="Producción")*FC_V*((FC_Mon="PYG")*CF$175+(FC_Mon&lt;&gt;"PYG"))*(1+FC_g)^(CF$173-1)*((FC_Desde=0)*(CF$172+CF$171)+(FC_Desde&gt;=1)*(CF$170&gt;=FC_Desde)*CF$171))</f>
        <v>4705.81473567739</v>
      </c>
      <c r="CG242" s="34" t="n">
        <f aca="false">SUMPRODUCT((FC_Clase="Producción")*FC_V*((FC_Mon="PYG")*CG$175+(FC_Mon&lt;&gt;"PYG"))*(1+FC_g)^(CG$173-1)*((FC_Desde=0)*(CG$172+CG$171)+(FC_Desde&gt;=1)*(CG$170&gt;=FC_Desde)*CG$171))</f>
        <v>4705.81473567739</v>
      </c>
      <c r="CH242" s="34" t="n">
        <f aca="false">SUMPRODUCT((FC_Clase="Producción")*FC_V*((FC_Mon="PYG")*CH$175+(FC_Mon&lt;&gt;"PYG"))*(1+FC_g)^(CH$173-1)*((FC_Desde=0)*(CH$172+CH$171)+(FC_Desde&gt;=1)*(CH$170&gt;=FC_Desde)*CH$171))</f>
        <v>4705.81473567739</v>
      </c>
      <c r="CI242" s="34" t="n">
        <f aca="false">SUMPRODUCT((FC_Clase="Producción")*FC_V*((FC_Mon="PYG")*CI$175+(FC_Mon&lt;&gt;"PYG"))*(1+FC_g)^(CI$173-1)*((FC_Desde=0)*(CI$172+CI$171)+(FC_Desde&gt;=1)*(CI$170&gt;=FC_Desde)*CI$171))</f>
        <v>4705.81473567739</v>
      </c>
      <c r="CJ242" s="34" t="n">
        <f aca="false">SUMPRODUCT((FC_Clase="Producción")*FC_V*((FC_Mon="PYG")*CJ$175+(FC_Mon&lt;&gt;"PYG"))*(1+FC_g)^(CJ$173-1)*((FC_Desde=0)*(CJ$172+CJ$171)+(FC_Desde&gt;=1)*(CJ$170&gt;=FC_Desde)*CJ$171))</f>
        <v>4705.81473567739</v>
      </c>
      <c r="CK242" s="34" t="n">
        <f aca="false">SUMPRODUCT((FC_Clase="Producción")*FC_V*((FC_Mon="PYG")*CK$175+(FC_Mon&lt;&gt;"PYG"))*(1+FC_g)^(CK$173-1)*((FC_Desde=0)*(CK$172+CK$171)+(FC_Desde&gt;=1)*(CK$170&gt;=FC_Desde)*CK$171))</f>
        <v>4705.81473567739</v>
      </c>
      <c r="CL242" s="34" t="n">
        <f aca="false">SUMPRODUCT((FC_Clase="Producción")*FC_V*((FC_Mon="PYG")*CL$175+(FC_Mon&lt;&gt;"PYG"))*(1+FC_g)^(CL$173-1)*((FC_Desde=0)*(CL$172+CL$171)+(FC_Desde&gt;=1)*(CL$170&gt;=FC_Desde)*CL$171))</f>
        <v>4761.57486600738</v>
      </c>
      <c r="CM242" s="34" t="n">
        <f aca="false">SUMPRODUCT((FC_Clase="Producción")*FC_V*((FC_Mon="PYG")*CM$175+(FC_Mon&lt;&gt;"PYG"))*(1+FC_g)^(CM$173-1)*((FC_Desde=0)*(CM$172+CM$171)+(FC_Desde&gt;=1)*(CM$170&gt;=FC_Desde)*CM$171))</f>
        <v>4761.57486600738</v>
      </c>
      <c r="CN242" s="34" t="n">
        <f aca="false">SUMPRODUCT((FC_Clase="Producción")*FC_V*((FC_Mon="PYG")*CN$175+(FC_Mon&lt;&gt;"PYG"))*(1+FC_g)^(CN$173-1)*((FC_Desde=0)*(CN$172+CN$171)+(FC_Desde&gt;=1)*(CN$170&gt;=FC_Desde)*CN$171))</f>
        <v>4761.57486600738</v>
      </c>
      <c r="CO242" s="34" t="n">
        <f aca="false">SUMPRODUCT((FC_Clase="Producción")*FC_V*((FC_Mon="PYG")*CO$175+(FC_Mon&lt;&gt;"PYG"))*(1+FC_g)^(CO$173-1)*((FC_Desde=0)*(CO$172+CO$171)+(FC_Desde&gt;=1)*(CO$170&gt;=FC_Desde)*CO$171))</f>
        <v>4761.57486600738</v>
      </c>
      <c r="CP242" s="34" t="n">
        <f aca="false">SUMPRODUCT((FC_Clase="Producción")*FC_V*((FC_Mon="PYG")*CP$175+(FC_Mon&lt;&gt;"PYG"))*(1+FC_g)^(CP$173-1)*((FC_Desde=0)*(CP$172+CP$171)+(FC_Desde&gt;=1)*(CP$170&gt;=FC_Desde)*CP$171))</f>
        <v>4761.57486600738</v>
      </c>
      <c r="CQ242" s="34" t="n">
        <f aca="false">SUMPRODUCT((FC_Clase="Producción")*FC_V*((FC_Mon="PYG")*CQ$175+(FC_Mon&lt;&gt;"PYG"))*(1+FC_g)^(CQ$173-1)*((FC_Desde=0)*(CQ$172+CQ$171)+(FC_Desde&gt;=1)*(CQ$170&gt;=FC_Desde)*CQ$171))</f>
        <v>4761.57486600738</v>
      </c>
      <c r="CR242" s="34" t="n">
        <f aca="false">SUMPRODUCT((FC_Clase="Producción")*FC_V*((FC_Mon="PYG")*CR$175+(FC_Mon&lt;&gt;"PYG"))*(1+FC_g)^(CR$173-1)*((FC_Desde=0)*(CR$172+CR$171)+(FC_Desde&gt;=1)*(CR$170&gt;=FC_Desde)*CR$171))</f>
        <v>4761.57486600738</v>
      </c>
      <c r="CS242" s="34" t="n">
        <f aca="false">SUMPRODUCT((FC_Clase="Producción")*FC_V*((FC_Mon="PYG")*CS$175+(FC_Mon&lt;&gt;"PYG"))*(1+FC_g)^(CS$173-1)*((FC_Desde=0)*(CS$172+CS$171)+(FC_Desde&gt;=1)*(CS$170&gt;=FC_Desde)*CS$171))</f>
        <v>4761.57486600738</v>
      </c>
      <c r="CT242" s="34" t="n">
        <f aca="false">SUMPRODUCT((FC_Clase="Producción")*FC_V*((FC_Mon="PYG")*CT$175+(FC_Mon&lt;&gt;"PYG"))*(1+FC_g)^(CT$173-1)*((FC_Desde=0)*(CT$172+CT$171)+(FC_Desde&gt;=1)*(CT$170&gt;=FC_Desde)*CT$171))</f>
        <v>4761.57486600738</v>
      </c>
      <c r="CU242" s="34" t="n">
        <f aca="false">SUMPRODUCT((FC_Clase="Producción")*FC_V*((FC_Mon="PYG")*CU$175+(FC_Mon&lt;&gt;"PYG"))*(1+FC_g)^(CU$173-1)*((FC_Desde=0)*(CU$172+CU$171)+(FC_Desde&gt;=1)*(CU$170&gt;=FC_Desde)*CU$171))</f>
        <v>4761.57486600738</v>
      </c>
      <c r="CV242" s="34" t="n">
        <f aca="false">SUMPRODUCT((FC_Clase="Producción")*FC_V*((FC_Mon="PYG")*CV$175+(FC_Mon&lt;&gt;"PYG"))*(1+FC_g)^(CV$173-1)*((FC_Desde=0)*(CV$172+CV$171)+(FC_Desde&gt;=1)*(CV$170&gt;=FC_Desde)*CV$171))</f>
        <v>4761.57486600738</v>
      </c>
      <c r="CW242" s="34" t="n">
        <f aca="false">SUMPRODUCT((FC_Clase="Producción")*FC_V*((FC_Mon="PYG")*CW$175+(FC_Mon&lt;&gt;"PYG"))*(1+FC_g)^(CW$173-1)*((FC_Desde=0)*(CW$172+CW$171)+(FC_Desde&gt;=1)*(CW$170&gt;=FC_Desde)*CW$171))</f>
        <v>4761.57486600738</v>
      </c>
      <c r="CX242" s="34" t="n">
        <f aca="false">SUMPRODUCT((FC_Clase="Producción")*FC_V*((FC_Mon="PYG")*CX$175+(FC_Mon&lt;&gt;"PYG"))*(1+FC_g)^(CX$173-1)*((FC_Desde=0)*(CX$172+CX$171)+(FC_Desde&gt;=1)*(CX$170&gt;=FC_Desde)*CX$171))</f>
        <v>4818.45019894396</v>
      </c>
      <c r="CY242" s="34" t="n">
        <f aca="false">SUMPRODUCT((FC_Clase="Producción")*FC_V*((FC_Mon="PYG")*CY$175+(FC_Mon&lt;&gt;"PYG"))*(1+FC_g)^(CY$173-1)*((FC_Desde=0)*(CY$172+CY$171)+(FC_Desde&gt;=1)*(CY$170&gt;=FC_Desde)*CY$171))</f>
        <v>4818.45019894396</v>
      </c>
      <c r="CZ242" s="34" t="n">
        <f aca="false">SUMPRODUCT((FC_Clase="Producción")*FC_V*((FC_Mon="PYG")*CZ$175+(FC_Mon&lt;&gt;"PYG"))*(1+FC_g)^(CZ$173-1)*((FC_Desde=0)*(CZ$172+CZ$171)+(FC_Desde&gt;=1)*(CZ$170&gt;=FC_Desde)*CZ$171))</f>
        <v>4818.45019894396</v>
      </c>
      <c r="DA242" s="34" t="n">
        <f aca="false">SUMPRODUCT((FC_Clase="Producción")*FC_V*((FC_Mon="PYG")*DA$175+(FC_Mon&lt;&gt;"PYG"))*(1+FC_g)^(DA$173-1)*((FC_Desde=0)*(DA$172+DA$171)+(FC_Desde&gt;=1)*(DA$170&gt;=FC_Desde)*DA$171))</f>
        <v>4818.45019894396</v>
      </c>
      <c r="DB242" s="34" t="n">
        <f aca="false">SUMPRODUCT((FC_Clase="Producción")*FC_V*((FC_Mon="PYG")*DB$175+(FC_Mon&lt;&gt;"PYG"))*(1+FC_g)^(DB$173-1)*((FC_Desde=0)*(DB$172+DB$171)+(FC_Desde&gt;=1)*(DB$170&gt;=FC_Desde)*DB$171))</f>
        <v>4818.45019894396</v>
      </c>
      <c r="DC242" s="34" t="n">
        <f aca="false">SUMPRODUCT((FC_Clase="Producción")*FC_V*((FC_Mon="PYG")*DC$175+(FC_Mon&lt;&gt;"PYG"))*(1+FC_g)^(DC$173-1)*((FC_Desde=0)*(DC$172+DC$171)+(FC_Desde&gt;=1)*(DC$170&gt;=FC_Desde)*DC$171))</f>
        <v>4818.45019894396</v>
      </c>
      <c r="DD242" s="34" t="n">
        <f aca="false">SUMPRODUCT((FC_Clase="Producción")*FC_V*((FC_Mon="PYG")*DD$175+(FC_Mon&lt;&gt;"PYG"))*(1+FC_g)^(DD$173-1)*((FC_Desde=0)*(DD$172+DD$171)+(FC_Desde&gt;=1)*(DD$170&gt;=FC_Desde)*DD$171))</f>
        <v>4818.45019894396</v>
      </c>
      <c r="DE242" s="34" t="n">
        <f aca="false">SUMPRODUCT((FC_Clase="Producción")*FC_V*((FC_Mon="PYG")*DE$175+(FC_Mon&lt;&gt;"PYG"))*(1+FC_g)^(DE$173-1)*((FC_Desde=0)*(DE$172+DE$171)+(FC_Desde&gt;=1)*(DE$170&gt;=FC_Desde)*DE$171))</f>
        <v>4818.45019894396</v>
      </c>
      <c r="DF242" s="34" t="n">
        <f aca="false">SUMPRODUCT((FC_Clase="Producción")*FC_V*((FC_Mon="PYG")*DF$175+(FC_Mon&lt;&gt;"PYG"))*(1+FC_g)^(DF$173-1)*((FC_Desde=0)*(DF$172+DF$171)+(FC_Desde&gt;=1)*(DF$170&gt;=FC_Desde)*DF$171))</f>
        <v>4818.45019894396</v>
      </c>
      <c r="DG242" s="34" t="n">
        <f aca="false">SUMPRODUCT((FC_Clase="Producción")*FC_V*((FC_Mon="PYG")*DG$175+(FC_Mon&lt;&gt;"PYG"))*(1+FC_g)^(DG$173-1)*((FC_Desde=0)*(DG$172+DG$171)+(FC_Desde&gt;=1)*(DG$170&gt;=FC_Desde)*DG$171))</f>
        <v>4818.45019894396</v>
      </c>
      <c r="DH242" s="34" t="n">
        <f aca="false">SUMPRODUCT((FC_Clase="Producción")*FC_V*((FC_Mon="PYG")*DH$175+(FC_Mon&lt;&gt;"PYG"))*(1+FC_g)^(DH$173-1)*((FC_Desde=0)*(DH$172+DH$171)+(FC_Desde&gt;=1)*(DH$170&gt;=FC_Desde)*DH$171))</f>
        <v>4818.45019894396</v>
      </c>
      <c r="DI242" s="34" t="n">
        <f aca="false">SUMPRODUCT((FC_Clase="Producción")*FC_V*((FC_Mon="PYG")*DI$175+(FC_Mon&lt;&gt;"PYG"))*(1+FC_g)^(DI$173-1)*((FC_Desde=0)*(DI$172+DI$171)+(FC_Desde&gt;=1)*(DI$170&gt;=FC_Desde)*DI$171))</f>
        <v>4818.45019894396</v>
      </c>
      <c r="DJ242" s="34" t="n">
        <f aca="false">SUMPRODUCT((FC_Clase="Producción")*FC_V*((FC_Mon="PYG")*DJ$175+(FC_Mon&lt;&gt;"PYG"))*(1+FC_g)^(DJ$173-1)*((FC_Desde=0)*(DJ$172+DJ$171)+(FC_Desde&gt;=1)*(DJ$170&gt;=FC_Desde)*DJ$171))</f>
        <v>4876.46303853928</v>
      </c>
      <c r="DK242" s="34" t="n">
        <f aca="false">SUMPRODUCT((FC_Clase="Producción")*FC_V*((FC_Mon="PYG")*DK$175+(FC_Mon&lt;&gt;"PYG"))*(1+FC_g)^(DK$173-1)*((FC_Desde=0)*(DK$172+DK$171)+(FC_Desde&gt;=1)*(DK$170&gt;=FC_Desde)*DK$171))</f>
        <v>4876.46303853928</v>
      </c>
      <c r="DL242" s="34" t="n">
        <f aca="false">SUMPRODUCT((FC_Clase="Producción")*FC_V*((FC_Mon="PYG")*DL$175+(FC_Mon&lt;&gt;"PYG"))*(1+FC_g)^(DL$173-1)*((FC_Desde=0)*(DL$172+DL$171)+(FC_Desde&gt;=1)*(DL$170&gt;=FC_Desde)*DL$171))</f>
        <v>4876.46303853928</v>
      </c>
      <c r="DM242" s="34" t="n">
        <f aca="false">SUMPRODUCT((FC_Clase="Producción")*FC_V*((FC_Mon="PYG")*DM$175+(FC_Mon&lt;&gt;"PYG"))*(1+FC_g)^(DM$173-1)*((FC_Desde=0)*(DM$172+DM$171)+(FC_Desde&gt;=1)*(DM$170&gt;=FC_Desde)*DM$171))</f>
        <v>4876.46303853928</v>
      </c>
      <c r="DN242" s="34" t="n">
        <f aca="false">SUMPRODUCT((FC_Clase="Producción")*FC_V*((FC_Mon="PYG")*DN$175+(FC_Mon&lt;&gt;"PYG"))*(1+FC_g)^(DN$173-1)*((FC_Desde=0)*(DN$172+DN$171)+(FC_Desde&gt;=1)*(DN$170&gt;=FC_Desde)*DN$171))</f>
        <v>4876.46303853928</v>
      </c>
      <c r="DO242" s="34" t="n">
        <f aca="false">SUMPRODUCT((FC_Clase="Producción")*FC_V*((FC_Mon="PYG")*DO$175+(FC_Mon&lt;&gt;"PYG"))*(1+FC_g)^(DO$173-1)*((FC_Desde=0)*(DO$172+DO$171)+(FC_Desde&gt;=1)*(DO$170&gt;=FC_Desde)*DO$171))</f>
        <v>4876.46303853928</v>
      </c>
      <c r="DP242" s="34" t="n">
        <f aca="false">SUMPRODUCT((FC_Clase="Producción")*FC_V*((FC_Mon="PYG")*DP$175+(FC_Mon&lt;&gt;"PYG"))*(1+FC_g)^(DP$173-1)*((FC_Desde=0)*(DP$172+DP$171)+(FC_Desde&gt;=1)*(DP$170&gt;=FC_Desde)*DP$171))</f>
        <v>4876.46303853928</v>
      </c>
      <c r="DQ242" s="34" t="n">
        <f aca="false">SUMPRODUCT((FC_Clase="Producción")*FC_V*((FC_Mon="PYG")*DQ$175+(FC_Mon&lt;&gt;"PYG"))*(1+FC_g)^(DQ$173-1)*((FC_Desde=0)*(DQ$172+DQ$171)+(FC_Desde&gt;=1)*(DQ$170&gt;=FC_Desde)*DQ$171))</f>
        <v>4876.46303853928</v>
      </c>
      <c r="DR242" s="34" t="n">
        <f aca="false">SUMPRODUCT((FC_Clase="Producción")*FC_V*((FC_Mon="PYG")*DR$175+(FC_Mon&lt;&gt;"PYG"))*(1+FC_g)^(DR$173-1)*((FC_Desde=0)*(DR$172+DR$171)+(FC_Desde&gt;=1)*(DR$170&gt;=FC_Desde)*DR$171))</f>
        <v>4876.46303853928</v>
      </c>
      <c r="DS242" s="34" t="n">
        <f aca="false">SUMPRODUCT((FC_Clase="Producción")*FC_V*((FC_Mon="PYG")*DS$175+(FC_Mon&lt;&gt;"PYG"))*(1+FC_g)^(DS$173-1)*((FC_Desde=0)*(DS$172+DS$171)+(FC_Desde&gt;=1)*(DS$170&gt;=FC_Desde)*DS$171))</f>
        <v>4876.46303853928</v>
      </c>
      <c r="DT242" s="34" t="n">
        <f aca="false">SUMPRODUCT((FC_Clase="Producción")*FC_V*((FC_Mon="PYG")*DT$175+(FC_Mon&lt;&gt;"PYG"))*(1+FC_g)^(DT$173-1)*((FC_Desde=0)*(DT$172+DT$171)+(FC_Desde&gt;=1)*(DT$170&gt;=FC_Desde)*DT$171))</f>
        <v>4876.46303853928</v>
      </c>
      <c r="DU242" s="34" t="n">
        <f aca="false">SUMPRODUCT((FC_Clase="Producción")*FC_V*((FC_Mon="PYG")*DU$175+(FC_Mon&lt;&gt;"PYG"))*(1+FC_g)^(DU$173-1)*((FC_Desde=0)*(DU$172+DU$171)+(FC_Desde&gt;=1)*(DU$170&gt;=FC_Desde)*DU$171))</f>
        <v>4876.46303853928</v>
      </c>
      <c r="DV242" s="34" t="n">
        <f aca="false">SUMPRODUCT((FC_Clase="Producción")*FC_V*((FC_Mon="PYG")*DV$175+(FC_Mon&lt;&gt;"PYG"))*(1+FC_g)^(DV$173-1)*((FC_Desde=0)*(DV$172+DV$171)+(FC_Desde&gt;=1)*(DV$170&gt;=FC_Desde)*DV$171))</f>
        <v>0</v>
      </c>
      <c r="DW242" s="34" t="n">
        <f aca="false">SUMPRODUCT((FC_Clase="Producción")*FC_V*((FC_Mon="PYG")*DW$175+(FC_Mon&lt;&gt;"PYG"))*(1+FC_g)^(DW$173-1)*((FC_Desde=0)*(DW$172+DW$171)+(FC_Desde&gt;=1)*(DW$170&gt;=FC_Desde)*DW$171))</f>
        <v>0</v>
      </c>
      <c r="DX242" s="34" t="n">
        <f aca="false">SUMPRODUCT((FC_Clase="Producción")*FC_V*((FC_Mon="PYG")*DX$175+(FC_Mon&lt;&gt;"PYG"))*(1+FC_g)^(DX$173-1)*((FC_Desde=0)*(DX$172+DX$171)+(FC_Desde&gt;=1)*(DX$170&gt;=FC_Desde)*DX$171))</f>
        <v>0</v>
      </c>
      <c r="DY242" s="34" t="n">
        <f aca="false">SUMPRODUCT((FC_Clase="Producción")*FC_V*((FC_Mon="PYG")*DY$175+(FC_Mon&lt;&gt;"PYG"))*(1+FC_g)^(DY$173-1)*((FC_Desde=0)*(DY$172+DY$171)+(FC_Desde&gt;=1)*(DY$170&gt;=FC_Desde)*DY$171))</f>
        <v>0</v>
      </c>
      <c r="DZ242" s="34" t="n">
        <f aca="false">SUMPRODUCT((FC_Clase="Producción")*FC_V*((FC_Mon="PYG")*DZ$175+(FC_Mon&lt;&gt;"PYG"))*(1+FC_g)^(DZ$173-1)*((FC_Desde=0)*(DZ$172+DZ$171)+(FC_Desde&gt;=1)*(DZ$170&gt;=FC_Desde)*DZ$171))</f>
        <v>0</v>
      </c>
      <c r="EA242" s="34" t="n">
        <f aca="false">SUMPRODUCT((FC_Clase="Producción")*FC_V*((FC_Mon="PYG")*EA$175+(FC_Mon&lt;&gt;"PYG"))*(1+FC_g)^(EA$173-1)*((FC_Desde=0)*(EA$172+EA$171)+(FC_Desde&gt;=1)*(EA$170&gt;=FC_Desde)*EA$171))</f>
        <v>0</v>
      </c>
      <c r="EB242" s="34" t="n">
        <f aca="false">SUMPRODUCT((FC_Clase="Producción")*FC_V*((FC_Mon="PYG")*EB$175+(FC_Mon&lt;&gt;"PYG"))*(1+FC_g)^(EB$173-1)*((FC_Desde=0)*(EB$172+EB$171)+(FC_Desde&gt;=1)*(EB$170&gt;=FC_Desde)*EB$171))</f>
        <v>0</v>
      </c>
      <c r="EC242" s="34" t="n">
        <f aca="false">SUMPRODUCT((FC_Clase="Producción")*FC_V*((FC_Mon="PYG")*EC$175+(FC_Mon&lt;&gt;"PYG"))*(1+FC_g)^(EC$173-1)*((FC_Desde=0)*(EC$172+EC$171)+(FC_Desde&gt;=1)*(EC$170&gt;=FC_Desde)*EC$171))</f>
        <v>0</v>
      </c>
      <c r="ED242" s="34" t="n">
        <f aca="false">SUMPRODUCT((FC_Clase="Producción")*FC_V*((FC_Mon="PYG")*ED$175+(FC_Mon&lt;&gt;"PYG"))*(1+FC_g)^(ED$173-1)*((FC_Desde=0)*(ED$172+ED$171)+(FC_Desde&gt;=1)*(ED$170&gt;=FC_Desde)*ED$171))</f>
        <v>0</v>
      </c>
      <c r="EE242" s="34" t="n">
        <f aca="false">SUMPRODUCT((FC_Clase="Producción")*FC_V*((FC_Mon="PYG")*EE$175+(FC_Mon&lt;&gt;"PYG"))*(1+FC_g)^(EE$173-1)*((FC_Desde=0)*(EE$172+EE$171)+(FC_Desde&gt;=1)*(EE$170&gt;=FC_Desde)*EE$171))</f>
        <v>0</v>
      </c>
      <c r="EF242" s="34" t="n">
        <f aca="false">SUMPRODUCT((FC_Clase="Producción")*FC_V*((FC_Mon="PYG")*EF$175+(FC_Mon&lt;&gt;"PYG"))*(1+FC_g)^(EF$173-1)*((FC_Desde=0)*(EF$172+EF$171)+(FC_Desde&gt;=1)*(EF$170&gt;=FC_Desde)*EF$171))</f>
        <v>0</v>
      </c>
      <c r="EG242" s="34" t="n">
        <f aca="false">SUMPRODUCT((FC_Clase="Producción")*FC_V*((FC_Mon="PYG")*EG$175+(FC_Mon&lt;&gt;"PYG"))*(1+FC_g)^(EG$173-1)*((FC_Desde=0)*(EG$172+EG$171)+(FC_Desde&gt;=1)*(EG$170&gt;=FC_Desde)*EG$171))</f>
        <v>0</v>
      </c>
      <c r="EH242" s="34" t="n">
        <f aca="false">SUMPRODUCT((FC_Clase="Producción")*FC_V*((FC_Mon="PYG")*EH$175+(FC_Mon&lt;&gt;"PYG"))*(1+FC_g)^(EH$173-1)*((FC_Desde=0)*(EH$172+EH$171)+(FC_Desde&gt;=1)*(EH$170&gt;=FC_Desde)*EH$171))</f>
        <v>0</v>
      </c>
      <c r="EI242" s="34" t="n">
        <f aca="false">SUMPRODUCT((FC_Clase="Producción")*FC_V*((FC_Mon="PYG")*EI$175+(FC_Mon&lt;&gt;"PYG"))*(1+FC_g)^(EI$173-1)*((FC_Desde=0)*(EI$172+EI$171)+(FC_Desde&gt;=1)*(EI$170&gt;=FC_Desde)*EI$171))</f>
        <v>0</v>
      </c>
      <c r="EJ242" s="34" t="n">
        <f aca="false">SUMPRODUCT((FC_Clase="Producción")*FC_V*((FC_Mon="PYG")*EJ$175+(FC_Mon&lt;&gt;"PYG"))*(1+FC_g)^(EJ$173-1)*((FC_Desde=0)*(EJ$172+EJ$171)+(FC_Desde&gt;=1)*(EJ$170&gt;=FC_Desde)*EJ$171))</f>
        <v>0</v>
      </c>
      <c r="EK242" s="34" t="n">
        <f aca="false">SUMPRODUCT((FC_Clase="Producción")*FC_V*((FC_Mon="PYG")*EK$175+(FC_Mon&lt;&gt;"PYG"))*(1+FC_g)^(EK$173-1)*((FC_Desde=0)*(EK$172+EK$171)+(FC_Desde&gt;=1)*(EK$170&gt;=FC_Desde)*EK$171))</f>
        <v>0</v>
      </c>
      <c r="EL242" s="34" t="n">
        <f aca="false">SUMPRODUCT((FC_Clase="Producción")*FC_V*((FC_Mon="PYG")*EL$175+(FC_Mon&lt;&gt;"PYG"))*(1+FC_g)^(EL$173-1)*((FC_Desde=0)*(EL$172+EL$171)+(FC_Desde&gt;=1)*(EL$170&gt;=FC_Desde)*EL$171))</f>
        <v>0</v>
      </c>
      <c r="EM242" s="34" t="n">
        <f aca="false">SUMPRODUCT((FC_Clase="Producción")*FC_V*((FC_Mon="PYG")*EM$175+(FC_Mon&lt;&gt;"PYG"))*(1+FC_g)^(EM$173-1)*((FC_Desde=0)*(EM$172+EM$171)+(FC_Desde&gt;=1)*(EM$170&gt;=FC_Desde)*EM$171))</f>
        <v>0</v>
      </c>
      <c r="EN242" s="34" t="n">
        <f aca="false">SUMPRODUCT((FC_Clase="Producción")*FC_V*((FC_Mon="PYG")*EN$175+(FC_Mon&lt;&gt;"PYG"))*(1+FC_g)^(EN$173-1)*((FC_Desde=0)*(EN$172+EN$171)+(FC_Desde&gt;=1)*(EN$170&gt;=FC_Desde)*EN$171))</f>
        <v>0</v>
      </c>
      <c r="EO242" s="34" t="n">
        <f aca="false">SUMPRODUCT((FC_Clase="Producción")*FC_V*((FC_Mon="PYG")*EO$175+(FC_Mon&lt;&gt;"PYG"))*(1+FC_g)^(EO$173-1)*((FC_Desde=0)*(EO$172+EO$171)+(FC_Desde&gt;=1)*(EO$170&gt;=FC_Desde)*EO$171))</f>
        <v>0</v>
      </c>
      <c r="EP242" s="34" t="n">
        <f aca="false">SUMPRODUCT((FC_Clase="Producción")*FC_V*((FC_Mon="PYG")*EP$175+(FC_Mon&lt;&gt;"PYG"))*(1+FC_g)^(EP$173-1)*((FC_Desde=0)*(EP$172+EP$171)+(FC_Desde&gt;=1)*(EP$170&gt;=FC_Desde)*EP$171))</f>
        <v>0</v>
      </c>
      <c r="EQ242" s="34" t="n">
        <f aca="false">SUMPRODUCT((FC_Clase="Producción")*FC_V*((FC_Mon="PYG")*EQ$175+(FC_Mon&lt;&gt;"PYG"))*(1+FC_g)^(EQ$173-1)*((FC_Desde=0)*(EQ$172+EQ$171)+(FC_Desde&gt;=1)*(EQ$170&gt;=FC_Desde)*EQ$171))</f>
        <v>0</v>
      </c>
      <c r="ER242" s="34" t="n">
        <f aca="false">SUMPRODUCT((FC_Clase="Producción")*FC_V*((FC_Mon="PYG")*ER$175+(FC_Mon&lt;&gt;"PYG"))*(1+FC_g)^(ER$173-1)*((FC_Desde=0)*(ER$172+ER$171)+(FC_Desde&gt;=1)*(ER$170&gt;=FC_Desde)*ER$171))</f>
        <v>0</v>
      </c>
      <c r="ES242" s="34" t="n">
        <f aca="false">SUMPRODUCT((FC_Clase="Producción")*FC_V*((FC_Mon="PYG")*ES$175+(FC_Mon&lt;&gt;"PYG"))*(1+FC_g)^(ES$173-1)*((FC_Desde=0)*(ES$172+ES$171)+(FC_Desde&gt;=1)*(ES$170&gt;=FC_Desde)*ES$171))</f>
        <v>0</v>
      </c>
    </row>
    <row r="243" customFormat="false" ht="15" hidden="false" customHeight="false" outlineLevel="0" collapsed="false">
      <c r="A243" s="2" t="s">
        <v>884</v>
      </c>
      <c r="B243" s="6" t="s">
        <v>666</v>
      </c>
      <c r="C243" s="6" t="s">
        <v>250</v>
      </c>
      <c r="E243" s="40" t="n">
        <f aca="false">SUM(F243:ES243)</f>
        <v>3059546.01375462</v>
      </c>
      <c r="F243" s="34" t="n">
        <f aca="false">SUMPRODUCT((FC_Clase="Administración")*FC_V*((FC_Mon="PYG")*F$175+(FC_Mon&lt;&gt;"PYG"))*(1+FC_g)^(F$173-1)*((FC_Desde=0)*(F$172+F$171)+(FC_Desde&gt;=1)*(F$170&gt;=FC_Desde)*F$171))</f>
        <v>22893.5857534247</v>
      </c>
      <c r="G243" s="34" t="n">
        <f aca="false">SUMPRODUCT((FC_Clase="Administración")*FC_V*((FC_Mon="PYG")*G$175+(FC_Mon&lt;&gt;"PYG"))*(1+FC_g)^(G$173-1)*((FC_Desde=0)*(G$172+G$171)+(FC_Desde&gt;=1)*(G$170&gt;=FC_Desde)*G$171))</f>
        <v>22893.5857534247</v>
      </c>
      <c r="H243" s="34" t="n">
        <f aca="false">SUMPRODUCT((FC_Clase="Administración")*FC_V*((FC_Mon="PYG")*H$175+(FC_Mon&lt;&gt;"PYG"))*(1+FC_g)^(H$173-1)*((FC_Desde=0)*(H$172+H$171)+(FC_Desde&gt;=1)*(H$170&gt;=FC_Desde)*H$171))</f>
        <v>22893.5857534247</v>
      </c>
      <c r="I243" s="34" t="n">
        <f aca="false">SUMPRODUCT((FC_Clase="Administración")*FC_V*((FC_Mon="PYG")*I$175+(FC_Mon&lt;&gt;"PYG"))*(1+FC_g)^(I$173-1)*((FC_Desde=0)*(I$172+I$171)+(FC_Desde&gt;=1)*(I$170&gt;=FC_Desde)*I$171))</f>
        <v>22893.5857534247</v>
      </c>
      <c r="J243" s="34" t="n">
        <f aca="false">SUMPRODUCT((FC_Clase="Administración")*FC_V*((FC_Mon="PYG")*J$175+(FC_Mon&lt;&gt;"PYG"))*(1+FC_g)^(J$173-1)*((FC_Desde=0)*(J$172+J$171)+(FC_Desde&gt;=1)*(J$170&gt;=FC_Desde)*J$171))</f>
        <v>22893.5857534247</v>
      </c>
      <c r="K243" s="34" t="n">
        <f aca="false">SUMPRODUCT((FC_Clase="Administración")*FC_V*((FC_Mon="PYG")*K$175+(FC_Mon&lt;&gt;"PYG"))*(1+FC_g)^(K$173-1)*((FC_Desde=0)*(K$172+K$171)+(FC_Desde&gt;=1)*(K$170&gt;=FC_Desde)*K$171))</f>
        <v>22893.5857534247</v>
      </c>
      <c r="L243" s="34" t="n">
        <f aca="false">SUMPRODUCT((FC_Clase="Administración")*FC_V*((FC_Mon="PYG")*L$175+(FC_Mon&lt;&gt;"PYG"))*(1+FC_g)^(L$173-1)*((FC_Desde=0)*(L$172+L$171)+(FC_Desde&gt;=1)*(L$170&gt;=FC_Desde)*L$171))</f>
        <v>22893.5857534247</v>
      </c>
      <c r="M243" s="34" t="n">
        <f aca="false">SUMPRODUCT((FC_Clase="Administración")*FC_V*((FC_Mon="PYG")*M$175+(FC_Mon&lt;&gt;"PYG"))*(1+FC_g)^(M$173-1)*((FC_Desde=0)*(M$172+M$171)+(FC_Desde&gt;=1)*(M$170&gt;=FC_Desde)*M$171))</f>
        <v>22893.5857534247</v>
      </c>
      <c r="N243" s="34" t="n">
        <f aca="false">SUMPRODUCT((FC_Clase="Administración")*FC_V*((FC_Mon="PYG")*N$175+(FC_Mon&lt;&gt;"PYG"))*(1+FC_g)^(N$173-1)*((FC_Desde=0)*(N$172+N$171)+(FC_Desde&gt;=1)*(N$170&gt;=FC_Desde)*N$171))</f>
        <v>22893.5857534247</v>
      </c>
      <c r="O243" s="34" t="n">
        <f aca="false">SUMPRODUCT((FC_Clase="Administración")*FC_V*((FC_Mon="PYG")*O$175+(FC_Mon&lt;&gt;"PYG"))*(1+FC_g)^(O$173-1)*((FC_Desde=0)*(O$172+O$171)+(FC_Desde&gt;=1)*(O$170&gt;=FC_Desde)*O$171))</f>
        <v>22893.5857534247</v>
      </c>
      <c r="P243" s="34" t="n">
        <f aca="false">SUMPRODUCT((FC_Clase="Administración")*FC_V*((FC_Mon="PYG")*P$175+(FC_Mon&lt;&gt;"PYG"))*(1+FC_g)^(P$173-1)*((FC_Desde=0)*(P$172+P$171)+(FC_Desde&gt;=1)*(P$170&gt;=FC_Desde)*P$171))</f>
        <v>22893.5857534247</v>
      </c>
      <c r="Q243" s="34" t="n">
        <f aca="false">SUMPRODUCT((FC_Clase="Administración")*FC_V*((FC_Mon="PYG")*Q$175+(FC_Mon&lt;&gt;"PYG"))*(1+FC_g)^(Q$173-1)*((FC_Desde=0)*(Q$172+Q$171)+(FC_Desde&gt;=1)*(Q$170&gt;=FC_Desde)*Q$171))</f>
        <v>22893.5857534247</v>
      </c>
      <c r="R243" s="34" t="n">
        <f aca="false">SUMPRODUCT((FC_Clase="Administración")*FC_V*((FC_Mon="PYG")*R$175+(FC_Mon&lt;&gt;"PYG"))*(1+FC_g)^(R$173-1)*((FC_Desde=0)*(R$172+R$171)+(FC_Desde&gt;=1)*(R$170&gt;=FC_Desde)*R$171))</f>
        <v>23426.9557534247</v>
      </c>
      <c r="S243" s="34" t="n">
        <f aca="false">SUMPRODUCT((FC_Clase="Administración")*FC_V*((FC_Mon="PYG")*S$175+(FC_Mon&lt;&gt;"PYG"))*(1+FC_g)^(S$173-1)*((FC_Desde=0)*(S$172+S$171)+(FC_Desde&gt;=1)*(S$170&gt;=FC_Desde)*S$171))</f>
        <v>23426.9557534247</v>
      </c>
      <c r="T243" s="34" t="n">
        <f aca="false">SUMPRODUCT((FC_Clase="Administración")*FC_V*((FC_Mon="PYG")*T$175+(FC_Mon&lt;&gt;"PYG"))*(1+FC_g)^(T$173-1)*((FC_Desde=0)*(T$172+T$171)+(FC_Desde&gt;=1)*(T$170&gt;=FC_Desde)*T$171))</f>
        <v>23426.9557534247</v>
      </c>
      <c r="U243" s="34" t="n">
        <f aca="false">SUMPRODUCT((FC_Clase="Administración")*FC_V*((FC_Mon="PYG")*U$175+(FC_Mon&lt;&gt;"PYG"))*(1+FC_g)^(U$173-1)*((FC_Desde=0)*(U$172+U$171)+(FC_Desde&gt;=1)*(U$170&gt;=FC_Desde)*U$171))</f>
        <v>23426.9557534247</v>
      </c>
      <c r="V243" s="34" t="n">
        <f aca="false">SUMPRODUCT((FC_Clase="Administración")*FC_V*((FC_Mon="PYG")*V$175+(FC_Mon&lt;&gt;"PYG"))*(1+FC_g)^(V$173-1)*((FC_Desde=0)*(V$172+V$171)+(FC_Desde&gt;=1)*(V$170&gt;=FC_Desde)*V$171))</f>
        <v>23426.9557534247</v>
      </c>
      <c r="W243" s="34" t="n">
        <f aca="false">SUMPRODUCT((FC_Clase="Administración")*FC_V*((FC_Mon="PYG")*W$175+(FC_Mon&lt;&gt;"PYG"))*(1+FC_g)^(W$173-1)*((FC_Desde=0)*(W$172+W$171)+(FC_Desde&gt;=1)*(W$170&gt;=FC_Desde)*W$171))</f>
        <v>23426.9557534247</v>
      </c>
      <c r="X243" s="34" t="n">
        <f aca="false">SUMPRODUCT((FC_Clase="Administración")*FC_V*((FC_Mon="PYG")*X$175+(FC_Mon&lt;&gt;"PYG"))*(1+FC_g)^(X$173-1)*((FC_Desde=0)*(X$172+X$171)+(FC_Desde&gt;=1)*(X$170&gt;=FC_Desde)*X$171))</f>
        <v>23426.9557534247</v>
      </c>
      <c r="Y243" s="34" t="n">
        <f aca="false">SUMPRODUCT((FC_Clase="Administración")*FC_V*((FC_Mon="PYG")*Y$175+(FC_Mon&lt;&gt;"PYG"))*(1+FC_g)^(Y$173-1)*((FC_Desde=0)*(Y$172+Y$171)+(FC_Desde&gt;=1)*(Y$170&gt;=FC_Desde)*Y$171))</f>
        <v>23426.9557534247</v>
      </c>
      <c r="Z243" s="34" t="n">
        <f aca="false">SUMPRODUCT((FC_Clase="Administración")*FC_V*((FC_Mon="PYG")*Z$175+(FC_Mon&lt;&gt;"PYG"))*(1+FC_g)^(Z$173-1)*((FC_Desde=0)*(Z$172+Z$171)+(FC_Desde&gt;=1)*(Z$170&gt;=FC_Desde)*Z$171))</f>
        <v>23426.9557534247</v>
      </c>
      <c r="AA243" s="34" t="n">
        <f aca="false">SUMPRODUCT((FC_Clase="Administración")*FC_V*((FC_Mon="PYG")*AA$175+(FC_Mon&lt;&gt;"PYG"))*(1+FC_g)^(AA$173-1)*((FC_Desde=0)*(AA$172+AA$171)+(FC_Desde&gt;=1)*(AA$170&gt;=FC_Desde)*AA$171))</f>
        <v>23426.9557534247</v>
      </c>
      <c r="AB243" s="34" t="n">
        <f aca="false">SUMPRODUCT((FC_Clase="Administración")*FC_V*((FC_Mon="PYG")*AB$175+(FC_Mon&lt;&gt;"PYG"))*(1+FC_g)^(AB$173-1)*((FC_Desde=0)*(AB$172+AB$171)+(FC_Desde&gt;=1)*(AB$170&gt;=FC_Desde)*AB$171))</f>
        <v>23426.9557534247</v>
      </c>
      <c r="AC243" s="34" t="n">
        <f aca="false">SUMPRODUCT((FC_Clase="Administración")*FC_V*((FC_Mon="PYG")*AC$175+(FC_Mon&lt;&gt;"PYG"))*(1+FC_g)^(AC$173-1)*((FC_Desde=0)*(AC$172+AC$171)+(FC_Desde&gt;=1)*(AC$170&gt;=FC_Desde)*AC$171))</f>
        <v>23426.9557534247</v>
      </c>
      <c r="AD243" s="34" t="n">
        <f aca="false">SUMPRODUCT((FC_Clase="Administración")*FC_V*((FC_Mon="PYG")*AD$175+(FC_Mon&lt;&gt;"PYG"))*(1+FC_g)^(AD$173-1)*((FC_Desde=0)*(AD$172+AD$171)+(FC_Desde&gt;=1)*(AD$170&gt;=FC_Desde)*AD$171))</f>
        <v>23976.3268534247</v>
      </c>
      <c r="AE243" s="34" t="n">
        <f aca="false">SUMPRODUCT((FC_Clase="Administración")*FC_V*((FC_Mon="PYG")*AE$175+(FC_Mon&lt;&gt;"PYG"))*(1+FC_g)^(AE$173-1)*((FC_Desde=0)*(AE$172+AE$171)+(FC_Desde&gt;=1)*(AE$170&gt;=FC_Desde)*AE$171))</f>
        <v>23976.3268534247</v>
      </c>
      <c r="AF243" s="34" t="n">
        <f aca="false">SUMPRODUCT((FC_Clase="Administración")*FC_V*((FC_Mon="PYG")*AF$175+(FC_Mon&lt;&gt;"PYG"))*(1+FC_g)^(AF$173-1)*((FC_Desde=0)*(AF$172+AF$171)+(FC_Desde&gt;=1)*(AF$170&gt;=FC_Desde)*AF$171))</f>
        <v>23976.3268534247</v>
      </c>
      <c r="AG243" s="34" t="n">
        <f aca="false">SUMPRODUCT((FC_Clase="Administración")*FC_V*((FC_Mon="PYG")*AG$175+(FC_Mon&lt;&gt;"PYG"))*(1+FC_g)^(AG$173-1)*((FC_Desde=0)*(AG$172+AG$171)+(FC_Desde&gt;=1)*(AG$170&gt;=FC_Desde)*AG$171))</f>
        <v>23976.3268534247</v>
      </c>
      <c r="AH243" s="34" t="n">
        <f aca="false">SUMPRODUCT((FC_Clase="Administración")*FC_V*((FC_Mon="PYG")*AH$175+(FC_Mon&lt;&gt;"PYG"))*(1+FC_g)^(AH$173-1)*((FC_Desde=0)*(AH$172+AH$171)+(FC_Desde&gt;=1)*(AH$170&gt;=FC_Desde)*AH$171))</f>
        <v>23976.3268534247</v>
      </c>
      <c r="AI243" s="34" t="n">
        <f aca="false">SUMPRODUCT((FC_Clase="Administración")*FC_V*((FC_Mon="PYG")*AI$175+(FC_Mon&lt;&gt;"PYG"))*(1+FC_g)^(AI$173-1)*((FC_Desde=0)*(AI$172+AI$171)+(FC_Desde&gt;=1)*(AI$170&gt;=FC_Desde)*AI$171))</f>
        <v>23976.3268534247</v>
      </c>
      <c r="AJ243" s="34" t="n">
        <f aca="false">SUMPRODUCT((FC_Clase="Administración")*FC_V*((FC_Mon="PYG")*AJ$175+(FC_Mon&lt;&gt;"PYG"))*(1+FC_g)^(AJ$173-1)*((FC_Desde=0)*(AJ$172+AJ$171)+(FC_Desde&gt;=1)*(AJ$170&gt;=FC_Desde)*AJ$171))</f>
        <v>23976.3268534247</v>
      </c>
      <c r="AK243" s="34" t="n">
        <f aca="false">SUMPRODUCT((FC_Clase="Administración")*FC_V*((FC_Mon="PYG")*AK$175+(FC_Mon&lt;&gt;"PYG"))*(1+FC_g)^(AK$173-1)*((FC_Desde=0)*(AK$172+AK$171)+(FC_Desde&gt;=1)*(AK$170&gt;=FC_Desde)*AK$171))</f>
        <v>23976.3268534247</v>
      </c>
      <c r="AL243" s="34" t="n">
        <f aca="false">SUMPRODUCT((FC_Clase="Administración")*FC_V*((FC_Mon="PYG")*AL$175+(FC_Mon&lt;&gt;"PYG"))*(1+FC_g)^(AL$173-1)*((FC_Desde=0)*(AL$172+AL$171)+(FC_Desde&gt;=1)*(AL$170&gt;=FC_Desde)*AL$171))</f>
        <v>23976.3268534247</v>
      </c>
      <c r="AM243" s="34" t="n">
        <f aca="false">SUMPRODUCT((FC_Clase="Administración")*FC_V*((FC_Mon="PYG")*AM$175+(FC_Mon&lt;&gt;"PYG"))*(1+FC_g)^(AM$173-1)*((FC_Desde=0)*(AM$172+AM$171)+(FC_Desde&gt;=1)*(AM$170&gt;=FC_Desde)*AM$171))</f>
        <v>23976.3268534247</v>
      </c>
      <c r="AN243" s="34" t="n">
        <f aca="false">SUMPRODUCT((FC_Clase="Administración")*FC_V*((FC_Mon="PYG")*AN$175+(FC_Mon&lt;&gt;"PYG"))*(1+FC_g)^(AN$173-1)*((FC_Desde=0)*(AN$172+AN$171)+(FC_Desde&gt;=1)*(AN$170&gt;=FC_Desde)*AN$171))</f>
        <v>23976.3268534247</v>
      </c>
      <c r="AO243" s="34" t="n">
        <f aca="false">SUMPRODUCT((FC_Clase="Administración")*FC_V*((FC_Mon="PYG")*AO$175+(FC_Mon&lt;&gt;"PYG"))*(1+FC_g)^(AO$173-1)*((FC_Desde=0)*(AO$172+AO$171)+(FC_Desde&gt;=1)*(AO$170&gt;=FC_Desde)*AO$171))</f>
        <v>23976.3268534247</v>
      </c>
      <c r="AP243" s="34" t="n">
        <f aca="false">SUMPRODUCT((FC_Clase="Administración")*FC_V*((FC_Mon="PYG")*AP$175+(FC_Mon&lt;&gt;"PYG"))*(1+FC_g)^(AP$173-1)*((FC_Desde=0)*(AP$172+AP$171)+(FC_Desde&gt;=1)*(AP$170&gt;=FC_Desde)*AP$171))</f>
        <v>24542.1790864247</v>
      </c>
      <c r="AQ243" s="34" t="n">
        <f aca="false">SUMPRODUCT((FC_Clase="Administración")*FC_V*((FC_Mon="PYG")*AQ$175+(FC_Mon&lt;&gt;"PYG"))*(1+FC_g)^(AQ$173-1)*((FC_Desde=0)*(AQ$172+AQ$171)+(FC_Desde&gt;=1)*(AQ$170&gt;=FC_Desde)*AQ$171))</f>
        <v>24542.1790864247</v>
      </c>
      <c r="AR243" s="34" t="n">
        <f aca="false">SUMPRODUCT((FC_Clase="Administración")*FC_V*((FC_Mon="PYG")*AR$175+(FC_Mon&lt;&gt;"PYG"))*(1+FC_g)^(AR$173-1)*((FC_Desde=0)*(AR$172+AR$171)+(FC_Desde&gt;=1)*(AR$170&gt;=FC_Desde)*AR$171))</f>
        <v>24542.1790864247</v>
      </c>
      <c r="AS243" s="34" t="n">
        <f aca="false">SUMPRODUCT((FC_Clase="Administración")*FC_V*((FC_Mon="PYG")*AS$175+(FC_Mon&lt;&gt;"PYG"))*(1+FC_g)^(AS$173-1)*((FC_Desde=0)*(AS$172+AS$171)+(FC_Desde&gt;=1)*(AS$170&gt;=FC_Desde)*AS$171))</f>
        <v>24542.1790864247</v>
      </c>
      <c r="AT243" s="34" t="n">
        <f aca="false">SUMPRODUCT((FC_Clase="Administración")*FC_V*((FC_Mon="PYG")*AT$175+(FC_Mon&lt;&gt;"PYG"))*(1+FC_g)^(AT$173-1)*((FC_Desde=0)*(AT$172+AT$171)+(FC_Desde&gt;=1)*(AT$170&gt;=FC_Desde)*AT$171))</f>
        <v>24542.1790864247</v>
      </c>
      <c r="AU243" s="34" t="n">
        <f aca="false">SUMPRODUCT((FC_Clase="Administración")*FC_V*((FC_Mon="PYG")*AU$175+(FC_Mon&lt;&gt;"PYG"))*(1+FC_g)^(AU$173-1)*((FC_Desde=0)*(AU$172+AU$171)+(FC_Desde&gt;=1)*(AU$170&gt;=FC_Desde)*AU$171))</f>
        <v>24542.1790864247</v>
      </c>
      <c r="AV243" s="34" t="n">
        <f aca="false">SUMPRODUCT((FC_Clase="Administración")*FC_V*((FC_Mon="PYG")*AV$175+(FC_Mon&lt;&gt;"PYG"))*(1+FC_g)^(AV$173-1)*((FC_Desde=0)*(AV$172+AV$171)+(FC_Desde&gt;=1)*(AV$170&gt;=FC_Desde)*AV$171))</f>
        <v>24542.1790864247</v>
      </c>
      <c r="AW243" s="34" t="n">
        <f aca="false">SUMPRODUCT((FC_Clase="Administración")*FC_V*((FC_Mon="PYG")*AW$175+(FC_Mon&lt;&gt;"PYG"))*(1+FC_g)^(AW$173-1)*((FC_Desde=0)*(AW$172+AW$171)+(FC_Desde&gt;=1)*(AW$170&gt;=FC_Desde)*AW$171))</f>
        <v>24542.1790864247</v>
      </c>
      <c r="AX243" s="34" t="n">
        <f aca="false">SUMPRODUCT((FC_Clase="Administración")*FC_V*((FC_Mon="PYG")*AX$175+(FC_Mon&lt;&gt;"PYG"))*(1+FC_g)^(AX$173-1)*((FC_Desde=0)*(AX$172+AX$171)+(FC_Desde&gt;=1)*(AX$170&gt;=FC_Desde)*AX$171))</f>
        <v>24542.1790864247</v>
      </c>
      <c r="AY243" s="34" t="n">
        <f aca="false">SUMPRODUCT((FC_Clase="Administración")*FC_V*((FC_Mon="PYG")*AY$175+(FC_Mon&lt;&gt;"PYG"))*(1+FC_g)^(AY$173-1)*((FC_Desde=0)*(AY$172+AY$171)+(FC_Desde&gt;=1)*(AY$170&gt;=FC_Desde)*AY$171))</f>
        <v>24542.1790864247</v>
      </c>
      <c r="AZ243" s="34" t="n">
        <f aca="false">SUMPRODUCT((FC_Clase="Administración")*FC_V*((FC_Mon="PYG")*AZ$175+(FC_Mon&lt;&gt;"PYG"))*(1+FC_g)^(AZ$173-1)*((FC_Desde=0)*(AZ$172+AZ$171)+(FC_Desde&gt;=1)*(AZ$170&gt;=FC_Desde)*AZ$171))</f>
        <v>24542.1790864247</v>
      </c>
      <c r="BA243" s="34" t="n">
        <f aca="false">SUMPRODUCT((FC_Clase="Administración")*FC_V*((FC_Mon="PYG")*BA$175+(FC_Mon&lt;&gt;"PYG"))*(1+FC_g)^(BA$173-1)*((FC_Desde=0)*(BA$172+BA$171)+(FC_Desde&gt;=1)*(BA$170&gt;=FC_Desde)*BA$171))</f>
        <v>24542.1790864247</v>
      </c>
      <c r="BB243" s="34" t="n">
        <f aca="false">SUMPRODUCT((FC_Clase="Administración")*FC_V*((FC_Mon="PYG")*BB$175+(FC_Mon&lt;&gt;"PYG"))*(1+FC_g)^(BB$173-1)*((FC_Desde=0)*(BB$172+BB$171)+(FC_Desde&gt;=1)*(BB$170&gt;=FC_Desde)*BB$171))</f>
        <v>25125.0068864147</v>
      </c>
      <c r="BC243" s="34" t="n">
        <f aca="false">SUMPRODUCT((FC_Clase="Administración")*FC_V*((FC_Mon="PYG")*BC$175+(FC_Mon&lt;&gt;"PYG"))*(1+FC_g)^(BC$173-1)*((FC_Desde=0)*(BC$172+BC$171)+(FC_Desde&gt;=1)*(BC$170&gt;=FC_Desde)*BC$171))</f>
        <v>25125.0068864147</v>
      </c>
      <c r="BD243" s="34" t="n">
        <f aca="false">SUMPRODUCT((FC_Clase="Administración")*FC_V*((FC_Mon="PYG")*BD$175+(FC_Mon&lt;&gt;"PYG"))*(1+FC_g)^(BD$173-1)*((FC_Desde=0)*(BD$172+BD$171)+(FC_Desde&gt;=1)*(BD$170&gt;=FC_Desde)*BD$171))</f>
        <v>25125.0068864147</v>
      </c>
      <c r="BE243" s="34" t="n">
        <f aca="false">SUMPRODUCT((FC_Clase="Administración")*FC_V*((FC_Mon="PYG")*BE$175+(FC_Mon&lt;&gt;"PYG"))*(1+FC_g)^(BE$173-1)*((FC_Desde=0)*(BE$172+BE$171)+(FC_Desde&gt;=1)*(BE$170&gt;=FC_Desde)*BE$171))</f>
        <v>25125.0068864147</v>
      </c>
      <c r="BF243" s="34" t="n">
        <f aca="false">SUMPRODUCT((FC_Clase="Administración")*FC_V*((FC_Mon="PYG")*BF$175+(FC_Mon&lt;&gt;"PYG"))*(1+FC_g)^(BF$173-1)*((FC_Desde=0)*(BF$172+BF$171)+(FC_Desde&gt;=1)*(BF$170&gt;=FC_Desde)*BF$171))</f>
        <v>25125.0068864147</v>
      </c>
      <c r="BG243" s="34" t="n">
        <f aca="false">SUMPRODUCT((FC_Clase="Administración")*FC_V*((FC_Mon="PYG")*BG$175+(FC_Mon&lt;&gt;"PYG"))*(1+FC_g)^(BG$173-1)*((FC_Desde=0)*(BG$172+BG$171)+(FC_Desde&gt;=1)*(BG$170&gt;=FC_Desde)*BG$171))</f>
        <v>25125.0068864147</v>
      </c>
      <c r="BH243" s="34" t="n">
        <f aca="false">SUMPRODUCT((FC_Clase="Administración")*FC_V*((FC_Mon="PYG")*BH$175+(FC_Mon&lt;&gt;"PYG"))*(1+FC_g)^(BH$173-1)*((FC_Desde=0)*(BH$172+BH$171)+(FC_Desde&gt;=1)*(BH$170&gt;=FC_Desde)*BH$171))</f>
        <v>25125.0068864147</v>
      </c>
      <c r="BI243" s="34" t="n">
        <f aca="false">SUMPRODUCT((FC_Clase="Administración")*FC_V*((FC_Mon="PYG")*BI$175+(FC_Mon&lt;&gt;"PYG"))*(1+FC_g)^(BI$173-1)*((FC_Desde=0)*(BI$172+BI$171)+(FC_Desde&gt;=1)*(BI$170&gt;=FC_Desde)*BI$171))</f>
        <v>25125.0068864147</v>
      </c>
      <c r="BJ243" s="34" t="n">
        <f aca="false">SUMPRODUCT((FC_Clase="Administración")*FC_V*((FC_Mon="PYG")*BJ$175+(FC_Mon&lt;&gt;"PYG"))*(1+FC_g)^(BJ$173-1)*((FC_Desde=0)*(BJ$172+BJ$171)+(FC_Desde&gt;=1)*(BJ$170&gt;=FC_Desde)*BJ$171))</f>
        <v>25125.0068864147</v>
      </c>
      <c r="BK243" s="34" t="n">
        <f aca="false">SUMPRODUCT((FC_Clase="Administración")*FC_V*((FC_Mon="PYG")*BK$175+(FC_Mon&lt;&gt;"PYG"))*(1+FC_g)^(BK$173-1)*((FC_Desde=0)*(BK$172+BK$171)+(FC_Desde&gt;=1)*(BK$170&gt;=FC_Desde)*BK$171))</f>
        <v>25125.0068864147</v>
      </c>
      <c r="BL243" s="34" t="n">
        <f aca="false">SUMPRODUCT((FC_Clase="Administración")*FC_V*((FC_Mon="PYG")*BL$175+(FC_Mon&lt;&gt;"PYG"))*(1+FC_g)^(BL$173-1)*((FC_Desde=0)*(BL$172+BL$171)+(FC_Desde&gt;=1)*(BL$170&gt;=FC_Desde)*BL$171))</f>
        <v>25125.0068864147</v>
      </c>
      <c r="BM243" s="34" t="n">
        <f aca="false">SUMPRODUCT((FC_Clase="Administración")*FC_V*((FC_Mon="PYG")*BM$175+(FC_Mon&lt;&gt;"PYG"))*(1+FC_g)^(BM$173-1)*((FC_Desde=0)*(BM$172+BM$171)+(FC_Desde&gt;=1)*(BM$170&gt;=FC_Desde)*BM$171))</f>
        <v>25125.0068864147</v>
      </c>
      <c r="BN243" s="34" t="n">
        <f aca="false">SUMPRODUCT((FC_Clase="Administración")*FC_V*((FC_Mon="PYG")*BN$175+(FC_Mon&lt;&gt;"PYG"))*(1+FC_g)^(BN$173-1)*((FC_Desde=0)*(BN$172+BN$171)+(FC_Desde&gt;=1)*(BN$170&gt;=FC_Desde)*BN$171))</f>
        <v>25725.3195204044</v>
      </c>
      <c r="BO243" s="34" t="n">
        <f aca="false">SUMPRODUCT((FC_Clase="Administración")*FC_V*((FC_Mon="PYG")*BO$175+(FC_Mon&lt;&gt;"PYG"))*(1+FC_g)^(BO$173-1)*((FC_Desde=0)*(BO$172+BO$171)+(FC_Desde&gt;=1)*(BO$170&gt;=FC_Desde)*BO$171))</f>
        <v>25725.3195204044</v>
      </c>
      <c r="BP243" s="34" t="n">
        <f aca="false">SUMPRODUCT((FC_Clase="Administración")*FC_V*((FC_Mon="PYG")*BP$175+(FC_Mon&lt;&gt;"PYG"))*(1+FC_g)^(BP$173-1)*((FC_Desde=0)*(BP$172+BP$171)+(FC_Desde&gt;=1)*(BP$170&gt;=FC_Desde)*BP$171))</f>
        <v>25725.3195204044</v>
      </c>
      <c r="BQ243" s="34" t="n">
        <f aca="false">SUMPRODUCT((FC_Clase="Administración")*FC_V*((FC_Mon="PYG")*BQ$175+(FC_Mon&lt;&gt;"PYG"))*(1+FC_g)^(BQ$173-1)*((FC_Desde=0)*(BQ$172+BQ$171)+(FC_Desde&gt;=1)*(BQ$170&gt;=FC_Desde)*BQ$171))</f>
        <v>25725.3195204044</v>
      </c>
      <c r="BR243" s="34" t="n">
        <f aca="false">SUMPRODUCT((FC_Clase="Administración")*FC_V*((FC_Mon="PYG")*BR$175+(FC_Mon&lt;&gt;"PYG"))*(1+FC_g)^(BR$173-1)*((FC_Desde=0)*(BR$172+BR$171)+(FC_Desde&gt;=1)*(BR$170&gt;=FC_Desde)*BR$171))</f>
        <v>25725.3195204044</v>
      </c>
      <c r="BS243" s="34" t="n">
        <f aca="false">SUMPRODUCT((FC_Clase="Administración")*FC_V*((FC_Mon="PYG")*BS$175+(FC_Mon&lt;&gt;"PYG"))*(1+FC_g)^(BS$173-1)*((FC_Desde=0)*(BS$172+BS$171)+(FC_Desde&gt;=1)*(BS$170&gt;=FC_Desde)*BS$171))</f>
        <v>25725.3195204044</v>
      </c>
      <c r="BT243" s="34" t="n">
        <f aca="false">SUMPRODUCT((FC_Clase="Administración")*FC_V*((FC_Mon="PYG")*BT$175+(FC_Mon&lt;&gt;"PYG"))*(1+FC_g)^(BT$173-1)*((FC_Desde=0)*(BT$172+BT$171)+(FC_Desde&gt;=1)*(BT$170&gt;=FC_Desde)*BT$171))</f>
        <v>25725.3195204044</v>
      </c>
      <c r="BU243" s="34" t="n">
        <f aca="false">SUMPRODUCT((FC_Clase="Administración")*FC_V*((FC_Mon="PYG")*BU$175+(FC_Mon&lt;&gt;"PYG"))*(1+FC_g)^(BU$173-1)*((FC_Desde=0)*(BU$172+BU$171)+(FC_Desde&gt;=1)*(BU$170&gt;=FC_Desde)*BU$171))</f>
        <v>25725.3195204044</v>
      </c>
      <c r="BV243" s="34" t="n">
        <f aca="false">SUMPRODUCT((FC_Clase="Administración")*FC_V*((FC_Mon="PYG")*BV$175+(FC_Mon&lt;&gt;"PYG"))*(1+FC_g)^(BV$173-1)*((FC_Desde=0)*(BV$172+BV$171)+(FC_Desde&gt;=1)*(BV$170&gt;=FC_Desde)*BV$171))</f>
        <v>25725.3195204044</v>
      </c>
      <c r="BW243" s="34" t="n">
        <f aca="false">SUMPRODUCT((FC_Clase="Administración")*FC_V*((FC_Mon="PYG")*BW$175+(FC_Mon&lt;&gt;"PYG"))*(1+FC_g)^(BW$173-1)*((FC_Desde=0)*(BW$172+BW$171)+(FC_Desde&gt;=1)*(BW$170&gt;=FC_Desde)*BW$171))</f>
        <v>25725.3195204044</v>
      </c>
      <c r="BX243" s="34" t="n">
        <f aca="false">SUMPRODUCT((FC_Clase="Administración")*FC_V*((FC_Mon="PYG")*BX$175+(FC_Mon&lt;&gt;"PYG"))*(1+FC_g)^(BX$173-1)*((FC_Desde=0)*(BX$172+BX$171)+(FC_Desde&gt;=1)*(BX$170&gt;=FC_Desde)*BX$171))</f>
        <v>25725.3195204044</v>
      </c>
      <c r="BY243" s="34" t="n">
        <f aca="false">SUMPRODUCT((FC_Clase="Administración")*FC_V*((FC_Mon="PYG")*BY$175+(FC_Mon&lt;&gt;"PYG"))*(1+FC_g)^(BY$173-1)*((FC_Desde=0)*(BY$172+BY$171)+(FC_Desde&gt;=1)*(BY$170&gt;=FC_Desde)*BY$171))</f>
        <v>25725.3195204044</v>
      </c>
      <c r="BZ243" s="34" t="n">
        <f aca="false">SUMPRODUCT((FC_Clase="Administración")*FC_V*((FC_Mon="PYG")*BZ$175+(FC_Mon&lt;&gt;"PYG"))*(1+FC_g)^(BZ$173-1)*((FC_Desde=0)*(BZ$172+BZ$171)+(FC_Desde&gt;=1)*(BZ$170&gt;=FC_Desde)*BZ$171))</f>
        <v>26343.6415334138</v>
      </c>
      <c r="CA243" s="34" t="n">
        <f aca="false">SUMPRODUCT((FC_Clase="Administración")*FC_V*((FC_Mon="PYG")*CA$175+(FC_Mon&lt;&gt;"PYG"))*(1+FC_g)^(CA$173-1)*((FC_Desde=0)*(CA$172+CA$171)+(FC_Desde&gt;=1)*(CA$170&gt;=FC_Desde)*CA$171))</f>
        <v>26343.6415334138</v>
      </c>
      <c r="CB243" s="34" t="n">
        <f aca="false">SUMPRODUCT((FC_Clase="Administración")*FC_V*((FC_Mon="PYG")*CB$175+(FC_Mon&lt;&gt;"PYG"))*(1+FC_g)^(CB$173-1)*((FC_Desde=0)*(CB$172+CB$171)+(FC_Desde&gt;=1)*(CB$170&gt;=FC_Desde)*CB$171))</f>
        <v>26343.6415334138</v>
      </c>
      <c r="CC243" s="34" t="n">
        <f aca="false">SUMPRODUCT((FC_Clase="Administración")*FC_V*((FC_Mon="PYG")*CC$175+(FC_Mon&lt;&gt;"PYG"))*(1+FC_g)^(CC$173-1)*((FC_Desde=0)*(CC$172+CC$171)+(FC_Desde&gt;=1)*(CC$170&gt;=FC_Desde)*CC$171))</f>
        <v>26343.6415334138</v>
      </c>
      <c r="CD243" s="34" t="n">
        <f aca="false">SUMPRODUCT((FC_Clase="Administración")*FC_V*((FC_Mon="PYG")*CD$175+(FC_Mon&lt;&gt;"PYG"))*(1+FC_g)^(CD$173-1)*((FC_Desde=0)*(CD$172+CD$171)+(FC_Desde&gt;=1)*(CD$170&gt;=FC_Desde)*CD$171))</f>
        <v>26343.6415334138</v>
      </c>
      <c r="CE243" s="34" t="n">
        <f aca="false">SUMPRODUCT((FC_Clase="Administración")*FC_V*((FC_Mon="PYG")*CE$175+(FC_Mon&lt;&gt;"PYG"))*(1+FC_g)^(CE$173-1)*((FC_Desde=0)*(CE$172+CE$171)+(FC_Desde&gt;=1)*(CE$170&gt;=FC_Desde)*CE$171))</f>
        <v>26343.6415334138</v>
      </c>
      <c r="CF243" s="34" t="n">
        <f aca="false">SUMPRODUCT((FC_Clase="Administración")*FC_V*((FC_Mon="PYG")*CF$175+(FC_Mon&lt;&gt;"PYG"))*(1+FC_g)^(CF$173-1)*((FC_Desde=0)*(CF$172+CF$171)+(FC_Desde&gt;=1)*(CF$170&gt;=FC_Desde)*CF$171))</f>
        <v>26343.6415334138</v>
      </c>
      <c r="CG243" s="34" t="n">
        <f aca="false">SUMPRODUCT((FC_Clase="Administración")*FC_V*((FC_Mon="PYG")*CG$175+(FC_Mon&lt;&gt;"PYG"))*(1+FC_g)^(CG$173-1)*((FC_Desde=0)*(CG$172+CG$171)+(FC_Desde&gt;=1)*(CG$170&gt;=FC_Desde)*CG$171))</f>
        <v>26343.6415334138</v>
      </c>
      <c r="CH243" s="34" t="n">
        <f aca="false">SUMPRODUCT((FC_Clase="Administración")*FC_V*((FC_Mon="PYG")*CH$175+(FC_Mon&lt;&gt;"PYG"))*(1+FC_g)^(CH$173-1)*((FC_Desde=0)*(CH$172+CH$171)+(FC_Desde&gt;=1)*(CH$170&gt;=FC_Desde)*CH$171))</f>
        <v>26343.6415334138</v>
      </c>
      <c r="CI243" s="34" t="n">
        <f aca="false">SUMPRODUCT((FC_Clase="Administración")*FC_V*((FC_Mon="PYG")*CI$175+(FC_Mon&lt;&gt;"PYG"))*(1+FC_g)^(CI$173-1)*((FC_Desde=0)*(CI$172+CI$171)+(FC_Desde&gt;=1)*(CI$170&gt;=FC_Desde)*CI$171))</f>
        <v>26343.6415334138</v>
      </c>
      <c r="CJ243" s="34" t="n">
        <f aca="false">SUMPRODUCT((FC_Clase="Administración")*FC_V*((FC_Mon="PYG")*CJ$175+(FC_Mon&lt;&gt;"PYG"))*(1+FC_g)^(CJ$173-1)*((FC_Desde=0)*(CJ$172+CJ$171)+(FC_Desde&gt;=1)*(CJ$170&gt;=FC_Desde)*CJ$171))</f>
        <v>26343.6415334138</v>
      </c>
      <c r="CK243" s="34" t="n">
        <f aca="false">SUMPRODUCT((FC_Clase="Administración")*FC_V*((FC_Mon="PYG")*CK$175+(FC_Mon&lt;&gt;"PYG"))*(1+FC_g)^(CK$173-1)*((FC_Desde=0)*(CK$172+CK$171)+(FC_Desde&gt;=1)*(CK$170&gt;=FC_Desde)*CK$171))</f>
        <v>26343.6415334138</v>
      </c>
      <c r="CL243" s="34" t="n">
        <f aca="false">SUMPRODUCT((FC_Clase="Administración")*FC_V*((FC_Mon="PYG")*CL$175+(FC_Mon&lt;&gt;"PYG"))*(1+FC_g)^(CL$173-1)*((FC_Desde=0)*(CL$172+CL$171)+(FC_Desde&gt;=1)*(CL$170&gt;=FC_Desde)*CL$171))</f>
        <v>26980.5132068134</v>
      </c>
      <c r="CM243" s="34" t="n">
        <f aca="false">SUMPRODUCT((FC_Clase="Administración")*FC_V*((FC_Mon="PYG")*CM$175+(FC_Mon&lt;&gt;"PYG"))*(1+FC_g)^(CM$173-1)*((FC_Desde=0)*(CM$172+CM$171)+(FC_Desde&gt;=1)*(CM$170&gt;=FC_Desde)*CM$171))</f>
        <v>26980.5132068134</v>
      </c>
      <c r="CN243" s="34" t="n">
        <f aca="false">SUMPRODUCT((FC_Clase="Administración")*FC_V*((FC_Mon="PYG")*CN$175+(FC_Mon&lt;&gt;"PYG"))*(1+FC_g)^(CN$173-1)*((FC_Desde=0)*(CN$172+CN$171)+(FC_Desde&gt;=1)*(CN$170&gt;=FC_Desde)*CN$171))</f>
        <v>26980.5132068134</v>
      </c>
      <c r="CO243" s="34" t="n">
        <f aca="false">SUMPRODUCT((FC_Clase="Administración")*FC_V*((FC_Mon="PYG")*CO$175+(FC_Mon&lt;&gt;"PYG"))*(1+FC_g)^(CO$173-1)*((FC_Desde=0)*(CO$172+CO$171)+(FC_Desde&gt;=1)*(CO$170&gt;=FC_Desde)*CO$171))</f>
        <v>26980.5132068134</v>
      </c>
      <c r="CP243" s="34" t="n">
        <f aca="false">SUMPRODUCT((FC_Clase="Administración")*FC_V*((FC_Mon="PYG")*CP$175+(FC_Mon&lt;&gt;"PYG"))*(1+FC_g)^(CP$173-1)*((FC_Desde=0)*(CP$172+CP$171)+(FC_Desde&gt;=1)*(CP$170&gt;=FC_Desde)*CP$171))</f>
        <v>26980.5132068134</v>
      </c>
      <c r="CQ243" s="34" t="n">
        <f aca="false">SUMPRODUCT((FC_Clase="Administración")*FC_V*((FC_Mon="PYG")*CQ$175+(FC_Mon&lt;&gt;"PYG"))*(1+FC_g)^(CQ$173-1)*((FC_Desde=0)*(CQ$172+CQ$171)+(FC_Desde&gt;=1)*(CQ$170&gt;=FC_Desde)*CQ$171))</f>
        <v>26980.5132068134</v>
      </c>
      <c r="CR243" s="34" t="n">
        <f aca="false">SUMPRODUCT((FC_Clase="Administración")*FC_V*((FC_Mon="PYG")*CR$175+(FC_Mon&lt;&gt;"PYG"))*(1+FC_g)^(CR$173-1)*((FC_Desde=0)*(CR$172+CR$171)+(FC_Desde&gt;=1)*(CR$170&gt;=FC_Desde)*CR$171))</f>
        <v>26980.5132068134</v>
      </c>
      <c r="CS243" s="34" t="n">
        <f aca="false">SUMPRODUCT((FC_Clase="Administración")*FC_V*((FC_Mon="PYG")*CS$175+(FC_Mon&lt;&gt;"PYG"))*(1+FC_g)^(CS$173-1)*((FC_Desde=0)*(CS$172+CS$171)+(FC_Desde&gt;=1)*(CS$170&gt;=FC_Desde)*CS$171))</f>
        <v>26980.5132068134</v>
      </c>
      <c r="CT243" s="34" t="n">
        <f aca="false">SUMPRODUCT((FC_Clase="Administración")*FC_V*((FC_Mon="PYG")*CT$175+(FC_Mon&lt;&gt;"PYG"))*(1+FC_g)^(CT$173-1)*((FC_Desde=0)*(CT$172+CT$171)+(FC_Desde&gt;=1)*(CT$170&gt;=FC_Desde)*CT$171))</f>
        <v>26980.5132068134</v>
      </c>
      <c r="CU243" s="34" t="n">
        <f aca="false">SUMPRODUCT((FC_Clase="Administración")*FC_V*((FC_Mon="PYG")*CU$175+(FC_Mon&lt;&gt;"PYG"))*(1+FC_g)^(CU$173-1)*((FC_Desde=0)*(CU$172+CU$171)+(FC_Desde&gt;=1)*(CU$170&gt;=FC_Desde)*CU$171))</f>
        <v>26980.5132068134</v>
      </c>
      <c r="CV243" s="34" t="n">
        <f aca="false">SUMPRODUCT((FC_Clase="Administración")*FC_V*((FC_Mon="PYG")*CV$175+(FC_Mon&lt;&gt;"PYG"))*(1+FC_g)^(CV$173-1)*((FC_Desde=0)*(CV$172+CV$171)+(FC_Desde&gt;=1)*(CV$170&gt;=FC_Desde)*CV$171))</f>
        <v>26980.5132068134</v>
      </c>
      <c r="CW243" s="34" t="n">
        <f aca="false">SUMPRODUCT((FC_Clase="Administración")*FC_V*((FC_Mon="PYG")*CW$175+(FC_Mon&lt;&gt;"PYG"))*(1+FC_g)^(CW$173-1)*((FC_Desde=0)*(CW$172+CW$171)+(FC_Desde&gt;=1)*(CW$170&gt;=FC_Desde)*CW$171))</f>
        <v>26980.5132068134</v>
      </c>
      <c r="CX243" s="34" t="n">
        <f aca="false">SUMPRODUCT((FC_Clase="Administración")*FC_V*((FC_Mon="PYG")*CX$175+(FC_Mon&lt;&gt;"PYG"))*(1+FC_g)^(CX$173-1)*((FC_Desde=0)*(CX$172+CX$171)+(FC_Desde&gt;=1)*(CX$170&gt;=FC_Desde)*CX$171))</f>
        <v>27636.4910304151</v>
      </c>
      <c r="CY243" s="34" t="n">
        <f aca="false">SUMPRODUCT((FC_Clase="Administración")*FC_V*((FC_Mon="PYG")*CY$175+(FC_Mon&lt;&gt;"PYG"))*(1+FC_g)^(CY$173-1)*((FC_Desde=0)*(CY$172+CY$171)+(FC_Desde&gt;=1)*(CY$170&gt;=FC_Desde)*CY$171))</f>
        <v>27636.4910304151</v>
      </c>
      <c r="CZ243" s="34" t="n">
        <f aca="false">SUMPRODUCT((FC_Clase="Administración")*FC_V*((FC_Mon="PYG")*CZ$175+(FC_Mon&lt;&gt;"PYG"))*(1+FC_g)^(CZ$173-1)*((FC_Desde=0)*(CZ$172+CZ$171)+(FC_Desde&gt;=1)*(CZ$170&gt;=FC_Desde)*CZ$171))</f>
        <v>27636.4910304151</v>
      </c>
      <c r="DA243" s="34" t="n">
        <f aca="false">SUMPRODUCT((FC_Clase="Administración")*FC_V*((FC_Mon="PYG")*DA$175+(FC_Mon&lt;&gt;"PYG"))*(1+FC_g)^(DA$173-1)*((FC_Desde=0)*(DA$172+DA$171)+(FC_Desde&gt;=1)*(DA$170&gt;=FC_Desde)*DA$171))</f>
        <v>27636.4910304151</v>
      </c>
      <c r="DB243" s="34" t="n">
        <f aca="false">SUMPRODUCT((FC_Clase="Administración")*FC_V*((FC_Mon="PYG")*DB$175+(FC_Mon&lt;&gt;"PYG"))*(1+FC_g)^(DB$173-1)*((FC_Desde=0)*(DB$172+DB$171)+(FC_Desde&gt;=1)*(DB$170&gt;=FC_Desde)*DB$171))</f>
        <v>27636.4910304151</v>
      </c>
      <c r="DC243" s="34" t="n">
        <f aca="false">SUMPRODUCT((FC_Clase="Administración")*FC_V*((FC_Mon="PYG")*DC$175+(FC_Mon&lt;&gt;"PYG"))*(1+FC_g)^(DC$173-1)*((FC_Desde=0)*(DC$172+DC$171)+(FC_Desde&gt;=1)*(DC$170&gt;=FC_Desde)*DC$171))</f>
        <v>27636.4910304151</v>
      </c>
      <c r="DD243" s="34" t="n">
        <f aca="false">SUMPRODUCT((FC_Clase="Administración")*FC_V*((FC_Mon="PYG")*DD$175+(FC_Mon&lt;&gt;"PYG"))*(1+FC_g)^(DD$173-1)*((FC_Desde=0)*(DD$172+DD$171)+(FC_Desde&gt;=1)*(DD$170&gt;=FC_Desde)*DD$171))</f>
        <v>27636.4910304151</v>
      </c>
      <c r="DE243" s="34" t="n">
        <f aca="false">SUMPRODUCT((FC_Clase="Administración")*FC_V*((FC_Mon="PYG")*DE$175+(FC_Mon&lt;&gt;"PYG"))*(1+FC_g)^(DE$173-1)*((FC_Desde=0)*(DE$172+DE$171)+(FC_Desde&gt;=1)*(DE$170&gt;=FC_Desde)*DE$171))</f>
        <v>27636.4910304151</v>
      </c>
      <c r="DF243" s="34" t="n">
        <f aca="false">SUMPRODUCT((FC_Clase="Administración")*FC_V*((FC_Mon="PYG")*DF$175+(FC_Mon&lt;&gt;"PYG"))*(1+FC_g)^(DF$173-1)*((FC_Desde=0)*(DF$172+DF$171)+(FC_Desde&gt;=1)*(DF$170&gt;=FC_Desde)*DF$171))</f>
        <v>27636.4910304151</v>
      </c>
      <c r="DG243" s="34" t="n">
        <f aca="false">SUMPRODUCT((FC_Clase="Administración")*FC_V*((FC_Mon="PYG")*DG$175+(FC_Mon&lt;&gt;"PYG"))*(1+FC_g)^(DG$173-1)*((FC_Desde=0)*(DG$172+DG$171)+(FC_Desde&gt;=1)*(DG$170&gt;=FC_Desde)*DG$171))</f>
        <v>27636.4910304151</v>
      </c>
      <c r="DH243" s="34" t="n">
        <f aca="false">SUMPRODUCT((FC_Clase="Administración")*FC_V*((FC_Mon="PYG")*DH$175+(FC_Mon&lt;&gt;"PYG"))*(1+FC_g)^(DH$173-1)*((FC_Desde=0)*(DH$172+DH$171)+(FC_Desde&gt;=1)*(DH$170&gt;=FC_Desde)*DH$171))</f>
        <v>27636.4910304151</v>
      </c>
      <c r="DI243" s="34" t="n">
        <f aca="false">SUMPRODUCT((FC_Clase="Administración")*FC_V*((FC_Mon="PYG")*DI$175+(FC_Mon&lt;&gt;"PYG"))*(1+FC_g)^(DI$173-1)*((FC_Desde=0)*(DI$172+DI$171)+(FC_Desde&gt;=1)*(DI$170&gt;=FC_Desde)*DI$171))</f>
        <v>27636.4910304151</v>
      </c>
      <c r="DJ243" s="34" t="n">
        <f aca="false">SUMPRODUCT((FC_Clase="Administración")*FC_V*((FC_Mon="PYG")*DJ$175+(FC_Mon&lt;&gt;"PYG"))*(1+FC_g)^(DJ$173-1)*((FC_Desde=0)*(DJ$172+DJ$171)+(FC_Desde&gt;=1)*(DJ$170&gt;=FC_Desde)*DJ$171))</f>
        <v>28312.1481887248</v>
      </c>
      <c r="DK243" s="34" t="n">
        <f aca="false">SUMPRODUCT((FC_Clase="Administración")*FC_V*((FC_Mon="PYG")*DK$175+(FC_Mon&lt;&gt;"PYG"))*(1+FC_g)^(DK$173-1)*((FC_Desde=0)*(DK$172+DK$171)+(FC_Desde&gt;=1)*(DK$170&gt;=FC_Desde)*DK$171))</f>
        <v>28312.1481887248</v>
      </c>
      <c r="DL243" s="34" t="n">
        <f aca="false">SUMPRODUCT((FC_Clase="Administración")*FC_V*((FC_Mon="PYG")*DL$175+(FC_Mon&lt;&gt;"PYG"))*(1+FC_g)^(DL$173-1)*((FC_Desde=0)*(DL$172+DL$171)+(FC_Desde&gt;=1)*(DL$170&gt;=FC_Desde)*DL$171))</f>
        <v>28312.1481887248</v>
      </c>
      <c r="DM243" s="34" t="n">
        <f aca="false">SUMPRODUCT((FC_Clase="Administración")*FC_V*((FC_Mon="PYG")*DM$175+(FC_Mon&lt;&gt;"PYG"))*(1+FC_g)^(DM$173-1)*((FC_Desde=0)*(DM$172+DM$171)+(FC_Desde&gt;=1)*(DM$170&gt;=FC_Desde)*DM$171))</f>
        <v>28312.1481887248</v>
      </c>
      <c r="DN243" s="34" t="n">
        <f aca="false">SUMPRODUCT((FC_Clase="Administración")*FC_V*((FC_Mon="PYG")*DN$175+(FC_Mon&lt;&gt;"PYG"))*(1+FC_g)^(DN$173-1)*((FC_Desde=0)*(DN$172+DN$171)+(FC_Desde&gt;=1)*(DN$170&gt;=FC_Desde)*DN$171))</f>
        <v>28312.1481887248</v>
      </c>
      <c r="DO243" s="34" t="n">
        <f aca="false">SUMPRODUCT((FC_Clase="Administración")*FC_V*((FC_Mon="PYG")*DO$175+(FC_Mon&lt;&gt;"PYG"))*(1+FC_g)^(DO$173-1)*((FC_Desde=0)*(DO$172+DO$171)+(FC_Desde&gt;=1)*(DO$170&gt;=FC_Desde)*DO$171))</f>
        <v>28312.1481887248</v>
      </c>
      <c r="DP243" s="34" t="n">
        <f aca="false">SUMPRODUCT((FC_Clase="Administración")*FC_V*((FC_Mon="PYG")*DP$175+(FC_Mon&lt;&gt;"PYG"))*(1+FC_g)^(DP$173-1)*((FC_Desde=0)*(DP$172+DP$171)+(FC_Desde&gt;=1)*(DP$170&gt;=FC_Desde)*DP$171))</f>
        <v>28312.1481887248</v>
      </c>
      <c r="DQ243" s="34" t="n">
        <f aca="false">SUMPRODUCT((FC_Clase="Administración")*FC_V*((FC_Mon="PYG")*DQ$175+(FC_Mon&lt;&gt;"PYG"))*(1+FC_g)^(DQ$173-1)*((FC_Desde=0)*(DQ$172+DQ$171)+(FC_Desde&gt;=1)*(DQ$170&gt;=FC_Desde)*DQ$171))</f>
        <v>28312.1481887248</v>
      </c>
      <c r="DR243" s="34" t="n">
        <f aca="false">SUMPRODUCT((FC_Clase="Administración")*FC_V*((FC_Mon="PYG")*DR$175+(FC_Mon&lt;&gt;"PYG"))*(1+FC_g)^(DR$173-1)*((FC_Desde=0)*(DR$172+DR$171)+(FC_Desde&gt;=1)*(DR$170&gt;=FC_Desde)*DR$171))</f>
        <v>28312.1481887248</v>
      </c>
      <c r="DS243" s="34" t="n">
        <f aca="false">SUMPRODUCT((FC_Clase="Administración")*FC_V*((FC_Mon="PYG")*DS$175+(FC_Mon&lt;&gt;"PYG"))*(1+FC_g)^(DS$173-1)*((FC_Desde=0)*(DS$172+DS$171)+(FC_Desde&gt;=1)*(DS$170&gt;=FC_Desde)*DS$171))</f>
        <v>28312.1481887248</v>
      </c>
      <c r="DT243" s="34" t="n">
        <f aca="false">SUMPRODUCT((FC_Clase="Administración")*FC_V*((FC_Mon="PYG")*DT$175+(FC_Mon&lt;&gt;"PYG"))*(1+FC_g)^(DT$173-1)*((FC_Desde=0)*(DT$172+DT$171)+(FC_Desde&gt;=1)*(DT$170&gt;=FC_Desde)*DT$171))</f>
        <v>28312.1481887248</v>
      </c>
      <c r="DU243" s="34" t="n">
        <f aca="false">SUMPRODUCT((FC_Clase="Administración")*FC_V*((FC_Mon="PYG")*DU$175+(FC_Mon&lt;&gt;"PYG"))*(1+FC_g)^(DU$173-1)*((FC_Desde=0)*(DU$172+DU$171)+(FC_Desde&gt;=1)*(DU$170&gt;=FC_Desde)*DU$171))</f>
        <v>28312.1481887248</v>
      </c>
      <c r="DV243" s="34" t="n">
        <f aca="false">SUMPRODUCT((FC_Clase="Administración")*FC_V*((FC_Mon="PYG")*DV$175+(FC_Mon&lt;&gt;"PYG"))*(1+FC_g)^(DV$173-1)*((FC_Desde=0)*(DV$172+DV$171)+(FC_Desde&gt;=1)*(DV$170&gt;=FC_Desde)*DV$171))</f>
        <v>0</v>
      </c>
      <c r="DW243" s="34" t="n">
        <f aca="false">SUMPRODUCT((FC_Clase="Administración")*FC_V*((FC_Mon="PYG")*DW$175+(FC_Mon&lt;&gt;"PYG"))*(1+FC_g)^(DW$173-1)*((FC_Desde=0)*(DW$172+DW$171)+(FC_Desde&gt;=1)*(DW$170&gt;=FC_Desde)*DW$171))</f>
        <v>0</v>
      </c>
      <c r="DX243" s="34" t="n">
        <f aca="false">SUMPRODUCT((FC_Clase="Administración")*FC_V*((FC_Mon="PYG")*DX$175+(FC_Mon&lt;&gt;"PYG"))*(1+FC_g)^(DX$173-1)*((FC_Desde=0)*(DX$172+DX$171)+(FC_Desde&gt;=1)*(DX$170&gt;=FC_Desde)*DX$171))</f>
        <v>0</v>
      </c>
      <c r="DY243" s="34" t="n">
        <f aca="false">SUMPRODUCT((FC_Clase="Administración")*FC_V*((FC_Mon="PYG")*DY$175+(FC_Mon&lt;&gt;"PYG"))*(1+FC_g)^(DY$173-1)*((FC_Desde=0)*(DY$172+DY$171)+(FC_Desde&gt;=1)*(DY$170&gt;=FC_Desde)*DY$171))</f>
        <v>0</v>
      </c>
      <c r="DZ243" s="34" t="n">
        <f aca="false">SUMPRODUCT((FC_Clase="Administración")*FC_V*((FC_Mon="PYG")*DZ$175+(FC_Mon&lt;&gt;"PYG"))*(1+FC_g)^(DZ$173-1)*((FC_Desde=0)*(DZ$172+DZ$171)+(FC_Desde&gt;=1)*(DZ$170&gt;=FC_Desde)*DZ$171))</f>
        <v>0</v>
      </c>
      <c r="EA243" s="34" t="n">
        <f aca="false">SUMPRODUCT((FC_Clase="Administración")*FC_V*((FC_Mon="PYG")*EA$175+(FC_Mon&lt;&gt;"PYG"))*(1+FC_g)^(EA$173-1)*((FC_Desde=0)*(EA$172+EA$171)+(FC_Desde&gt;=1)*(EA$170&gt;=FC_Desde)*EA$171))</f>
        <v>0</v>
      </c>
      <c r="EB243" s="34" t="n">
        <f aca="false">SUMPRODUCT((FC_Clase="Administración")*FC_V*((FC_Mon="PYG")*EB$175+(FC_Mon&lt;&gt;"PYG"))*(1+FC_g)^(EB$173-1)*((FC_Desde=0)*(EB$172+EB$171)+(FC_Desde&gt;=1)*(EB$170&gt;=FC_Desde)*EB$171))</f>
        <v>0</v>
      </c>
      <c r="EC243" s="34" t="n">
        <f aca="false">SUMPRODUCT((FC_Clase="Administración")*FC_V*((FC_Mon="PYG")*EC$175+(FC_Mon&lt;&gt;"PYG"))*(1+FC_g)^(EC$173-1)*((FC_Desde=0)*(EC$172+EC$171)+(FC_Desde&gt;=1)*(EC$170&gt;=FC_Desde)*EC$171))</f>
        <v>0</v>
      </c>
      <c r="ED243" s="34" t="n">
        <f aca="false">SUMPRODUCT((FC_Clase="Administración")*FC_V*((FC_Mon="PYG")*ED$175+(FC_Mon&lt;&gt;"PYG"))*(1+FC_g)^(ED$173-1)*((FC_Desde=0)*(ED$172+ED$171)+(FC_Desde&gt;=1)*(ED$170&gt;=FC_Desde)*ED$171))</f>
        <v>0</v>
      </c>
      <c r="EE243" s="34" t="n">
        <f aca="false">SUMPRODUCT((FC_Clase="Administración")*FC_V*((FC_Mon="PYG")*EE$175+(FC_Mon&lt;&gt;"PYG"))*(1+FC_g)^(EE$173-1)*((FC_Desde=0)*(EE$172+EE$171)+(FC_Desde&gt;=1)*(EE$170&gt;=FC_Desde)*EE$171))</f>
        <v>0</v>
      </c>
      <c r="EF243" s="34" t="n">
        <f aca="false">SUMPRODUCT((FC_Clase="Administración")*FC_V*((FC_Mon="PYG")*EF$175+(FC_Mon&lt;&gt;"PYG"))*(1+FC_g)^(EF$173-1)*((FC_Desde=0)*(EF$172+EF$171)+(FC_Desde&gt;=1)*(EF$170&gt;=FC_Desde)*EF$171))</f>
        <v>0</v>
      </c>
      <c r="EG243" s="34" t="n">
        <f aca="false">SUMPRODUCT((FC_Clase="Administración")*FC_V*((FC_Mon="PYG")*EG$175+(FC_Mon&lt;&gt;"PYG"))*(1+FC_g)^(EG$173-1)*((FC_Desde=0)*(EG$172+EG$171)+(FC_Desde&gt;=1)*(EG$170&gt;=FC_Desde)*EG$171))</f>
        <v>0</v>
      </c>
      <c r="EH243" s="34" t="n">
        <f aca="false">SUMPRODUCT((FC_Clase="Administración")*FC_V*((FC_Mon="PYG")*EH$175+(FC_Mon&lt;&gt;"PYG"))*(1+FC_g)^(EH$173-1)*((FC_Desde=0)*(EH$172+EH$171)+(FC_Desde&gt;=1)*(EH$170&gt;=FC_Desde)*EH$171))</f>
        <v>0</v>
      </c>
      <c r="EI243" s="34" t="n">
        <f aca="false">SUMPRODUCT((FC_Clase="Administración")*FC_V*((FC_Mon="PYG")*EI$175+(FC_Mon&lt;&gt;"PYG"))*(1+FC_g)^(EI$173-1)*((FC_Desde=0)*(EI$172+EI$171)+(FC_Desde&gt;=1)*(EI$170&gt;=FC_Desde)*EI$171))</f>
        <v>0</v>
      </c>
      <c r="EJ243" s="34" t="n">
        <f aca="false">SUMPRODUCT((FC_Clase="Administración")*FC_V*((FC_Mon="PYG")*EJ$175+(FC_Mon&lt;&gt;"PYG"))*(1+FC_g)^(EJ$173-1)*((FC_Desde=0)*(EJ$172+EJ$171)+(FC_Desde&gt;=1)*(EJ$170&gt;=FC_Desde)*EJ$171))</f>
        <v>0</v>
      </c>
      <c r="EK243" s="34" t="n">
        <f aca="false">SUMPRODUCT((FC_Clase="Administración")*FC_V*((FC_Mon="PYG")*EK$175+(FC_Mon&lt;&gt;"PYG"))*(1+FC_g)^(EK$173-1)*((FC_Desde=0)*(EK$172+EK$171)+(FC_Desde&gt;=1)*(EK$170&gt;=FC_Desde)*EK$171))</f>
        <v>0</v>
      </c>
      <c r="EL243" s="34" t="n">
        <f aca="false">SUMPRODUCT((FC_Clase="Administración")*FC_V*((FC_Mon="PYG")*EL$175+(FC_Mon&lt;&gt;"PYG"))*(1+FC_g)^(EL$173-1)*((FC_Desde=0)*(EL$172+EL$171)+(FC_Desde&gt;=1)*(EL$170&gt;=FC_Desde)*EL$171))</f>
        <v>0</v>
      </c>
      <c r="EM243" s="34" t="n">
        <f aca="false">SUMPRODUCT((FC_Clase="Administración")*FC_V*((FC_Mon="PYG")*EM$175+(FC_Mon&lt;&gt;"PYG"))*(1+FC_g)^(EM$173-1)*((FC_Desde=0)*(EM$172+EM$171)+(FC_Desde&gt;=1)*(EM$170&gt;=FC_Desde)*EM$171))</f>
        <v>0</v>
      </c>
      <c r="EN243" s="34" t="n">
        <f aca="false">SUMPRODUCT((FC_Clase="Administración")*FC_V*((FC_Mon="PYG")*EN$175+(FC_Mon&lt;&gt;"PYG"))*(1+FC_g)^(EN$173-1)*((FC_Desde=0)*(EN$172+EN$171)+(FC_Desde&gt;=1)*(EN$170&gt;=FC_Desde)*EN$171))</f>
        <v>0</v>
      </c>
      <c r="EO243" s="34" t="n">
        <f aca="false">SUMPRODUCT((FC_Clase="Administración")*FC_V*((FC_Mon="PYG")*EO$175+(FC_Mon&lt;&gt;"PYG"))*(1+FC_g)^(EO$173-1)*((FC_Desde=0)*(EO$172+EO$171)+(FC_Desde&gt;=1)*(EO$170&gt;=FC_Desde)*EO$171))</f>
        <v>0</v>
      </c>
      <c r="EP243" s="34" t="n">
        <f aca="false">SUMPRODUCT((FC_Clase="Administración")*FC_V*((FC_Mon="PYG")*EP$175+(FC_Mon&lt;&gt;"PYG"))*(1+FC_g)^(EP$173-1)*((FC_Desde=0)*(EP$172+EP$171)+(FC_Desde&gt;=1)*(EP$170&gt;=FC_Desde)*EP$171))</f>
        <v>0</v>
      </c>
      <c r="EQ243" s="34" t="n">
        <f aca="false">SUMPRODUCT((FC_Clase="Administración")*FC_V*((FC_Mon="PYG")*EQ$175+(FC_Mon&lt;&gt;"PYG"))*(1+FC_g)^(EQ$173-1)*((FC_Desde=0)*(EQ$172+EQ$171)+(FC_Desde&gt;=1)*(EQ$170&gt;=FC_Desde)*EQ$171))</f>
        <v>0</v>
      </c>
      <c r="ER243" s="34" t="n">
        <f aca="false">SUMPRODUCT((FC_Clase="Administración")*FC_V*((FC_Mon="PYG")*ER$175+(FC_Mon&lt;&gt;"PYG"))*(1+FC_g)^(ER$173-1)*((FC_Desde=0)*(ER$172+ER$171)+(FC_Desde&gt;=1)*(ER$170&gt;=FC_Desde)*ER$171))</f>
        <v>0</v>
      </c>
      <c r="ES243" s="34" t="n">
        <f aca="false">SUMPRODUCT((FC_Clase="Administración")*FC_V*((FC_Mon="PYG")*ES$175+(FC_Mon&lt;&gt;"PYG"))*(1+FC_g)^(ES$173-1)*((FC_Desde=0)*(ES$172+ES$171)+(FC_Desde&gt;=1)*(ES$170&gt;=FC_Desde)*ES$171))</f>
        <v>0</v>
      </c>
    </row>
    <row r="244" customFormat="false" ht="15" hidden="false" customHeight="false" outlineLevel="0" collapsed="false">
      <c r="A244" s="2" t="s">
        <v>885</v>
      </c>
      <c r="B244" s="6" t="s">
        <v>668</v>
      </c>
      <c r="C244" s="6" t="s">
        <v>250</v>
      </c>
      <c r="E244" s="40" t="n">
        <f aca="false">SUM(F244:ES244)</f>
        <v>613750.290410959</v>
      </c>
      <c r="F244" s="34" t="n">
        <f aca="false">SUMPRODUCT((FC_Clase="Administración")*FC_Base*FC_V*((FC_Mon="PYG")*F$175+(FC_Mon&lt;&gt;"PYG"))*(1+FC_g)^(F$173-1)*((FC_Desde=0)*(F$172+F$171)+(FC_Desde&gt;=1)*(F$170&gt;=FC_Desde)*F$171))</f>
        <v>5114.58575342466</v>
      </c>
      <c r="G244" s="34" t="n">
        <f aca="false">SUMPRODUCT((FC_Clase="Administración")*FC_Base*FC_V*((FC_Mon="PYG")*G$175+(FC_Mon&lt;&gt;"PYG"))*(1+FC_g)^(G$173-1)*((FC_Desde=0)*(G$172+G$171)+(FC_Desde&gt;=1)*(G$170&gt;=FC_Desde)*G$171))</f>
        <v>5114.58575342466</v>
      </c>
      <c r="H244" s="34" t="n">
        <f aca="false">SUMPRODUCT((FC_Clase="Administración")*FC_Base*FC_V*((FC_Mon="PYG")*H$175+(FC_Mon&lt;&gt;"PYG"))*(1+FC_g)^(H$173-1)*((FC_Desde=0)*(H$172+H$171)+(FC_Desde&gt;=1)*(H$170&gt;=FC_Desde)*H$171))</f>
        <v>5114.58575342466</v>
      </c>
      <c r="I244" s="34" t="n">
        <f aca="false">SUMPRODUCT((FC_Clase="Administración")*FC_Base*FC_V*((FC_Mon="PYG")*I$175+(FC_Mon&lt;&gt;"PYG"))*(1+FC_g)^(I$173-1)*((FC_Desde=0)*(I$172+I$171)+(FC_Desde&gt;=1)*(I$170&gt;=FC_Desde)*I$171))</f>
        <v>5114.58575342466</v>
      </c>
      <c r="J244" s="34" t="n">
        <f aca="false">SUMPRODUCT((FC_Clase="Administración")*FC_Base*FC_V*((FC_Mon="PYG")*J$175+(FC_Mon&lt;&gt;"PYG"))*(1+FC_g)^(J$173-1)*((FC_Desde=0)*(J$172+J$171)+(FC_Desde&gt;=1)*(J$170&gt;=FC_Desde)*J$171))</f>
        <v>5114.58575342466</v>
      </c>
      <c r="K244" s="34" t="n">
        <f aca="false">SUMPRODUCT((FC_Clase="Administración")*FC_Base*FC_V*((FC_Mon="PYG")*K$175+(FC_Mon&lt;&gt;"PYG"))*(1+FC_g)^(K$173-1)*((FC_Desde=0)*(K$172+K$171)+(FC_Desde&gt;=1)*(K$170&gt;=FC_Desde)*K$171))</f>
        <v>5114.58575342466</v>
      </c>
      <c r="L244" s="34" t="n">
        <f aca="false">SUMPRODUCT((FC_Clase="Administración")*FC_Base*FC_V*((FC_Mon="PYG")*L$175+(FC_Mon&lt;&gt;"PYG"))*(1+FC_g)^(L$173-1)*((FC_Desde=0)*(L$172+L$171)+(FC_Desde&gt;=1)*(L$170&gt;=FC_Desde)*L$171))</f>
        <v>5114.58575342466</v>
      </c>
      <c r="M244" s="34" t="n">
        <f aca="false">SUMPRODUCT((FC_Clase="Administración")*FC_Base*FC_V*((FC_Mon="PYG")*M$175+(FC_Mon&lt;&gt;"PYG"))*(1+FC_g)^(M$173-1)*((FC_Desde=0)*(M$172+M$171)+(FC_Desde&gt;=1)*(M$170&gt;=FC_Desde)*M$171))</f>
        <v>5114.58575342466</v>
      </c>
      <c r="N244" s="34" t="n">
        <f aca="false">SUMPRODUCT((FC_Clase="Administración")*FC_Base*FC_V*((FC_Mon="PYG")*N$175+(FC_Mon&lt;&gt;"PYG"))*(1+FC_g)^(N$173-1)*((FC_Desde=0)*(N$172+N$171)+(FC_Desde&gt;=1)*(N$170&gt;=FC_Desde)*N$171))</f>
        <v>5114.58575342466</v>
      </c>
      <c r="O244" s="34" t="n">
        <f aca="false">SUMPRODUCT((FC_Clase="Administración")*FC_Base*FC_V*((FC_Mon="PYG")*O$175+(FC_Mon&lt;&gt;"PYG"))*(1+FC_g)^(O$173-1)*((FC_Desde=0)*(O$172+O$171)+(FC_Desde&gt;=1)*(O$170&gt;=FC_Desde)*O$171))</f>
        <v>5114.58575342466</v>
      </c>
      <c r="P244" s="34" t="n">
        <f aca="false">SUMPRODUCT((FC_Clase="Administración")*FC_Base*FC_V*((FC_Mon="PYG")*P$175+(FC_Mon&lt;&gt;"PYG"))*(1+FC_g)^(P$173-1)*((FC_Desde=0)*(P$172+P$171)+(FC_Desde&gt;=1)*(P$170&gt;=FC_Desde)*P$171))</f>
        <v>5114.58575342466</v>
      </c>
      <c r="Q244" s="34" t="n">
        <f aca="false">SUMPRODUCT((FC_Clase="Administración")*FC_Base*FC_V*((FC_Mon="PYG")*Q$175+(FC_Mon&lt;&gt;"PYG"))*(1+FC_g)^(Q$173-1)*((FC_Desde=0)*(Q$172+Q$171)+(FC_Desde&gt;=1)*(Q$170&gt;=FC_Desde)*Q$171))</f>
        <v>5114.58575342466</v>
      </c>
      <c r="R244" s="34" t="n">
        <f aca="false">SUMPRODUCT((FC_Clase="Administración")*FC_Base*FC_V*((FC_Mon="PYG")*R$175+(FC_Mon&lt;&gt;"PYG"))*(1+FC_g)^(R$173-1)*((FC_Desde=0)*(R$172+R$171)+(FC_Desde&gt;=1)*(R$170&gt;=FC_Desde)*R$171))</f>
        <v>5114.58575342466</v>
      </c>
      <c r="S244" s="34" t="n">
        <f aca="false">SUMPRODUCT((FC_Clase="Administración")*FC_Base*FC_V*((FC_Mon="PYG")*S$175+(FC_Mon&lt;&gt;"PYG"))*(1+FC_g)^(S$173-1)*((FC_Desde=0)*(S$172+S$171)+(FC_Desde&gt;=1)*(S$170&gt;=FC_Desde)*S$171))</f>
        <v>5114.58575342466</v>
      </c>
      <c r="T244" s="34" t="n">
        <f aca="false">SUMPRODUCT((FC_Clase="Administración")*FC_Base*FC_V*((FC_Mon="PYG")*T$175+(FC_Mon&lt;&gt;"PYG"))*(1+FC_g)^(T$173-1)*((FC_Desde=0)*(T$172+T$171)+(FC_Desde&gt;=1)*(T$170&gt;=FC_Desde)*T$171))</f>
        <v>5114.58575342466</v>
      </c>
      <c r="U244" s="34" t="n">
        <f aca="false">SUMPRODUCT((FC_Clase="Administración")*FC_Base*FC_V*((FC_Mon="PYG")*U$175+(FC_Mon&lt;&gt;"PYG"))*(1+FC_g)^(U$173-1)*((FC_Desde=0)*(U$172+U$171)+(FC_Desde&gt;=1)*(U$170&gt;=FC_Desde)*U$171))</f>
        <v>5114.58575342466</v>
      </c>
      <c r="V244" s="34" t="n">
        <f aca="false">SUMPRODUCT((FC_Clase="Administración")*FC_Base*FC_V*((FC_Mon="PYG")*V$175+(FC_Mon&lt;&gt;"PYG"))*(1+FC_g)^(V$173-1)*((FC_Desde=0)*(V$172+V$171)+(FC_Desde&gt;=1)*(V$170&gt;=FC_Desde)*V$171))</f>
        <v>5114.58575342466</v>
      </c>
      <c r="W244" s="34" t="n">
        <f aca="false">SUMPRODUCT((FC_Clase="Administración")*FC_Base*FC_V*((FC_Mon="PYG")*W$175+(FC_Mon&lt;&gt;"PYG"))*(1+FC_g)^(W$173-1)*((FC_Desde=0)*(W$172+W$171)+(FC_Desde&gt;=1)*(W$170&gt;=FC_Desde)*W$171))</f>
        <v>5114.58575342466</v>
      </c>
      <c r="X244" s="34" t="n">
        <f aca="false">SUMPRODUCT((FC_Clase="Administración")*FC_Base*FC_V*((FC_Mon="PYG")*X$175+(FC_Mon&lt;&gt;"PYG"))*(1+FC_g)^(X$173-1)*((FC_Desde=0)*(X$172+X$171)+(FC_Desde&gt;=1)*(X$170&gt;=FC_Desde)*X$171))</f>
        <v>5114.58575342466</v>
      </c>
      <c r="Y244" s="34" t="n">
        <f aca="false">SUMPRODUCT((FC_Clase="Administración")*FC_Base*FC_V*((FC_Mon="PYG")*Y$175+(FC_Mon&lt;&gt;"PYG"))*(1+FC_g)^(Y$173-1)*((FC_Desde=0)*(Y$172+Y$171)+(FC_Desde&gt;=1)*(Y$170&gt;=FC_Desde)*Y$171))</f>
        <v>5114.58575342466</v>
      </c>
      <c r="Z244" s="34" t="n">
        <f aca="false">SUMPRODUCT((FC_Clase="Administración")*FC_Base*FC_V*((FC_Mon="PYG")*Z$175+(FC_Mon&lt;&gt;"PYG"))*(1+FC_g)^(Z$173-1)*((FC_Desde=0)*(Z$172+Z$171)+(FC_Desde&gt;=1)*(Z$170&gt;=FC_Desde)*Z$171))</f>
        <v>5114.58575342466</v>
      </c>
      <c r="AA244" s="34" t="n">
        <f aca="false">SUMPRODUCT((FC_Clase="Administración")*FC_Base*FC_V*((FC_Mon="PYG")*AA$175+(FC_Mon&lt;&gt;"PYG"))*(1+FC_g)^(AA$173-1)*((FC_Desde=0)*(AA$172+AA$171)+(FC_Desde&gt;=1)*(AA$170&gt;=FC_Desde)*AA$171))</f>
        <v>5114.58575342466</v>
      </c>
      <c r="AB244" s="34" t="n">
        <f aca="false">SUMPRODUCT((FC_Clase="Administración")*FC_Base*FC_V*((FC_Mon="PYG")*AB$175+(FC_Mon&lt;&gt;"PYG"))*(1+FC_g)^(AB$173-1)*((FC_Desde=0)*(AB$172+AB$171)+(FC_Desde&gt;=1)*(AB$170&gt;=FC_Desde)*AB$171))</f>
        <v>5114.58575342466</v>
      </c>
      <c r="AC244" s="34" t="n">
        <f aca="false">SUMPRODUCT((FC_Clase="Administración")*FC_Base*FC_V*((FC_Mon="PYG")*AC$175+(FC_Mon&lt;&gt;"PYG"))*(1+FC_g)^(AC$173-1)*((FC_Desde=0)*(AC$172+AC$171)+(FC_Desde&gt;=1)*(AC$170&gt;=FC_Desde)*AC$171))</f>
        <v>5114.58575342466</v>
      </c>
      <c r="AD244" s="34" t="n">
        <f aca="false">SUMPRODUCT((FC_Clase="Administración")*FC_Base*FC_V*((FC_Mon="PYG")*AD$175+(FC_Mon&lt;&gt;"PYG"))*(1+FC_g)^(AD$173-1)*((FC_Desde=0)*(AD$172+AD$171)+(FC_Desde&gt;=1)*(AD$170&gt;=FC_Desde)*AD$171))</f>
        <v>5114.58575342466</v>
      </c>
      <c r="AE244" s="34" t="n">
        <f aca="false">SUMPRODUCT((FC_Clase="Administración")*FC_Base*FC_V*((FC_Mon="PYG")*AE$175+(FC_Mon&lt;&gt;"PYG"))*(1+FC_g)^(AE$173-1)*((FC_Desde=0)*(AE$172+AE$171)+(FC_Desde&gt;=1)*(AE$170&gt;=FC_Desde)*AE$171))</f>
        <v>5114.58575342466</v>
      </c>
      <c r="AF244" s="34" t="n">
        <f aca="false">SUMPRODUCT((FC_Clase="Administración")*FC_Base*FC_V*((FC_Mon="PYG")*AF$175+(FC_Mon&lt;&gt;"PYG"))*(1+FC_g)^(AF$173-1)*((FC_Desde=0)*(AF$172+AF$171)+(FC_Desde&gt;=1)*(AF$170&gt;=FC_Desde)*AF$171))</f>
        <v>5114.58575342466</v>
      </c>
      <c r="AG244" s="34" t="n">
        <f aca="false">SUMPRODUCT((FC_Clase="Administración")*FC_Base*FC_V*((FC_Mon="PYG")*AG$175+(FC_Mon&lt;&gt;"PYG"))*(1+FC_g)^(AG$173-1)*((FC_Desde=0)*(AG$172+AG$171)+(FC_Desde&gt;=1)*(AG$170&gt;=FC_Desde)*AG$171))</f>
        <v>5114.58575342466</v>
      </c>
      <c r="AH244" s="34" t="n">
        <f aca="false">SUMPRODUCT((FC_Clase="Administración")*FC_Base*FC_V*((FC_Mon="PYG")*AH$175+(FC_Mon&lt;&gt;"PYG"))*(1+FC_g)^(AH$173-1)*((FC_Desde=0)*(AH$172+AH$171)+(FC_Desde&gt;=1)*(AH$170&gt;=FC_Desde)*AH$171))</f>
        <v>5114.58575342466</v>
      </c>
      <c r="AI244" s="34" t="n">
        <f aca="false">SUMPRODUCT((FC_Clase="Administración")*FC_Base*FC_V*((FC_Mon="PYG")*AI$175+(FC_Mon&lt;&gt;"PYG"))*(1+FC_g)^(AI$173-1)*((FC_Desde=0)*(AI$172+AI$171)+(FC_Desde&gt;=1)*(AI$170&gt;=FC_Desde)*AI$171))</f>
        <v>5114.58575342466</v>
      </c>
      <c r="AJ244" s="34" t="n">
        <f aca="false">SUMPRODUCT((FC_Clase="Administración")*FC_Base*FC_V*((FC_Mon="PYG")*AJ$175+(FC_Mon&lt;&gt;"PYG"))*(1+FC_g)^(AJ$173-1)*((FC_Desde=0)*(AJ$172+AJ$171)+(FC_Desde&gt;=1)*(AJ$170&gt;=FC_Desde)*AJ$171))</f>
        <v>5114.58575342466</v>
      </c>
      <c r="AK244" s="34" t="n">
        <f aca="false">SUMPRODUCT((FC_Clase="Administración")*FC_Base*FC_V*((FC_Mon="PYG")*AK$175+(FC_Mon&lt;&gt;"PYG"))*(1+FC_g)^(AK$173-1)*((FC_Desde=0)*(AK$172+AK$171)+(FC_Desde&gt;=1)*(AK$170&gt;=FC_Desde)*AK$171))</f>
        <v>5114.58575342466</v>
      </c>
      <c r="AL244" s="34" t="n">
        <f aca="false">SUMPRODUCT((FC_Clase="Administración")*FC_Base*FC_V*((FC_Mon="PYG")*AL$175+(FC_Mon&lt;&gt;"PYG"))*(1+FC_g)^(AL$173-1)*((FC_Desde=0)*(AL$172+AL$171)+(FC_Desde&gt;=1)*(AL$170&gt;=FC_Desde)*AL$171))</f>
        <v>5114.58575342466</v>
      </c>
      <c r="AM244" s="34" t="n">
        <f aca="false">SUMPRODUCT((FC_Clase="Administración")*FC_Base*FC_V*((FC_Mon="PYG")*AM$175+(FC_Mon&lt;&gt;"PYG"))*(1+FC_g)^(AM$173-1)*((FC_Desde=0)*(AM$172+AM$171)+(FC_Desde&gt;=1)*(AM$170&gt;=FC_Desde)*AM$171))</f>
        <v>5114.58575342466</v>
      </c>
      <c r="AN244" s="34" t="n">
        <f aca="false">SUMPRODUCT((FC_Clase="Administración")*FC_Base*FC_V*((FC_Mon="PYG")*AN$175+(FC_Mon&lt;&gt;"PYG"))*(1+FC_g)^(AN$173-1)*((FC_Desde=0)*(AN$172+AN$171)+(FC_Desde&gt;=1)*(AN$170&gt;=FC_Desde)*AN$171))</f>
        <v>5114.58575342466</v>
      </c>
      <c r="AO244" s="34" t="n">
        <f aca="false">SUMPRODUCT((FC_Clase="Administración")*FC_Base*FC_V*((FC_Mon="PYG")*AO$175+(FC_Mon&lt;&gt;"PYG"))*(1+FC_g)^(AO$173-1)*((FC_Desde=0)*(AO$172+AO$171)+(FC_Desde&gt;=1)*(AO$170&gt;=FC_Desde)*AO$171))</f>
        <v>5114.58575342466</v>
      </c>
      <c r="AP244" s="34" t="n">
        <f aca="false">SUMPRODUCT((FC_Clase="Administración")*FC_Base*FC_V*((FC_Mon="PYG")*AP$175+(FC_Mon&lt;&gt;"PYG"))*(1+FC_g)^(AP$173-1)*((FC_Desde=0)*(AP$172+AP$171)+(FC_Desde&gt;=1)*(AP$170&gt;=FC_Desde)*AP$171))</f>
        <v>5114.58575342466</v>
      </c>
      <c r="AQ244" s="34" t="n">
        <f aca="false">SUMPRODUCT((FC_Clase="Administración")*FC_Base*FC_V*((FC_Mon="PYG")*AQ$175+(FC_Mon&lt;&gt;"PYG"))*(1+FC_g)^(AQ$173-1)*((FC_Desde=0)*(AQ$172+AQ$171)+(FC_Desde&gt;=1)*(AQ$170&gt;=FC_Desde)*AQ$171))</f>
        <v>5114.58575342466</v>
      </c>
      <c r="AR244" s="34" t="n">
        <f aca="false">SUMPRODUCT((FC_Clase="Administración")*FC_Base*FC_V*((FC_Mon="PYG")*AR$175+(FC_Mon&lt;&gt;"PYG"))*(1+FC_g)^(AR$173-1)*((FC_Desde=0)*(AR$172+AR$171)+(FC_Desde&gt;=1)*(AR$170&gt;=FC_Desde)*AR$171))</f>
        <v>5114.58575342466</v>
      </c>
      <c r="AS244" s="34" t="n">
        <f aca="false">SUMPRODUCT((FC_Clase="Administración")*FC_Base*FC_V*((FC_Mon="PYG")*AS$175+(FC_Mon&lt;&gt;"PYG"))*(1+FC_g)^(AS$173-1)*((FC_Desde=0)*(AS$172+AS$171)+(FC_Desde&gt;=1)*(AS$170&gt;=FC_Desde)*AS$171))</f>
        <v>5114.58575342466</v>
      </c>
      <c r="AT244" s="34" t="n">
        <f aca="false">SUMPRODUCT((FC_Clase="Administración")*FC_Base*FC_V*((FC_Mon="PYG")*AT$175+(FC_Mon&lt;&gt;"PYG"))*(1+FC_g)^(AT$173-1)*((FC_Desde=0)*(AT$172+AT$171)+(FC_Desde&gt;=1)*(AT$170&gt;=FC_Desde)*AT$171))</f>
        <v>5114.58575342466</v>
      </c>
      <c r="AU244" s="34" t="n">
        <f aca="false">SUMPRODUCT((FC_Clase="Administración")*FC_Base*FC_V*((FC_Mon="PYG")*AU$175+(FC_Mon&lt;&gt;"PYG"))*(1+FC_g)^(AU$173-1)*((FC_Desde=0)*(AU$172+AU$171)+(FC_Desde&gt;=1)*(AU$170&gt;=FC_Desde)*AU$171))</f>
        <v>5114.58575342466</v>
      </c>
      <c r="AV244" s="34" t="n">
        <f aca="false">SUMPRODUCT((FC_Clase="Administración")*FC_Base*FC_V*((FC_Mon="PYG")*AV$175+(FC_Mon&lt;&gt;"PYG"))*(1+FC_g)^(AV$173-1)*((FC_Desde=0)*(AV$172+AV$171)+(FC_Desde&gt;=1)*(AV$170&gt;=FC_Desde)*AV$171))</f>
        <v>5114.58575342466</v>
      </c>
      <c r="AW244" s="34" t="n">
        <f aca="false">SUMPRODUCT((FC_Clase="Administración")*FC_Base*FC_V*((FC_Mon="PYG")*AW$175+(FC_Mon&lt;&gt;"PYG"))*(1+FC_g)^(AW$173-1)*((FC_Desde=0)*(AW$172+AW$171)+(FC_Desde&gt;=1)*(AW$170&gt;=FC_Desde)*AW$171))</f>
        <v>5114.58575342466</v>
      </c>
      <c r="AX244" s="34" t="n">
        <f aca="false">SUMPRODUCT((FC_Clase="Administración")*FC_Base*FC_V*((FC_Mon="PYG")*AX$175+(FC_Mon&lt;&gt;"PYG"))*(1+FC_g)^(AX$173-1)*((FC_Desde=0)*(AX$172+AX$171)+(FC_Desde&gt;=1)*(AX$170&gt;=FC_Desde)*AX$171))</f>
        <v>5114.58575342466</v>
      </c>
      <c r="AY244" s="34" t="n">
        <f aca="false">SUMPRODUCT((FC_Clase="Administración")*FC_Base*FC_V*((FC_Mon="PYG")*AY$175+(FC_Mon&lt;&gt;"PYG"))*(1+FC_g)^(AY$173-1)*((FC_Desde=0)*(AY$172+AY$171)+(FC_Desde&gt;=1)*(AY$170&gt;=FC_Desde)*AY$171))</f>
        <v>5114.58575342466</v>
      </c>
      <c r="AZ244" s="34" t="n">
        <f aca="false">SUMPRODUCT((FC_Clase="Administración")*FC_Base*FC_V*((FC_Mon="PYG")*AZ$175+(FC_Mon&lt;&gt;"PYG"))*(1+FC_g)^(AZ$173-1)*((FC_Desde=0)*(AZ$172+AZ$171)+(FC_Desde&gt;=1)*(AZ$170&gt;=FC_Desde)*AZ$171))</f>
        <v>5114.58575342466</v>
      </c>
      <c r="BA244" s="34" t="n">
        <f aca="false">SUMPRODUCT((FC_Clase="Administración")*FC_Base*FC_V*((FC_Mon="PYG")*BA$175+(FC_Mon&lt;&gt;"PYG"))*(1+FC_g)^(BA$173-1)*((FC_Desde=0)*(BA$172+BA$171)+(FC_Desde&gt;=1)*(BA$170&gt;=FC_Desde)*BA$171))</f>
        <v>5114.58575342466</v>
      </c>
      <c r="BB244" s="34" t="n">
        <f aca="false">SUMPRODUCT((FC_Clase="Administración")*FC_Base*FC_V*((FC_Mon="PYG")*BB$175+(FC_Mon&lt;&gt;"PYG"))*(1+FC_g)^(BB$173-1)*((FC_Desde=0)*(BB$172+BB$171)+(FC_Desde&gt;=1)*(BB$170&gt;=FC_Desde)*BB$171))</f>
        <v>5114.58575342466</v>
      </c>
      <c r="BC244" s="34" t="n">
        <f aca="false">SUMPRODUCT((FC_Clase="Administración")*FC_Base*FC_V*((FC_Mon="PYG")*BC$175+(FC_Mon&lt;&gt;"PYG"))*(1+FC_g)^(BC$173-1)*((FC_Desde=0)*(BC$172+BC$171)+(FC_Desde&gt;=1)*(BC$170&gt;=FC_Desde)*BC$171))</f>
        <v>5114.58575342466</v>
      </c>
      <c r="BD244" s="34" t="n">
        <f aca="false">SUMPRODUCT((FC_Clase="Administración")*FC_Base*FC_V*((FC_Mon="PYG")*BD$175+(FC_Mon&lt;&gt;"PYG"))*(1+FC_g)^(BD$173-1)*((FC_Desde=0)*(BD$172+BD$171)+(FC_Desde&gt;=1)*(BD$170&gt;=FC_Desde)*BD$171))</f>
        <v>5114.58575342466</v>
      </c>
      <c r="BE244" s="34" t="n">
        <f aca="false">SUMPRODUCT((FC_Clase="Administración")*FC_Base*FC_V*((FC_Mon="PYG")*BE$175+(FC_Mon&lt;&gt;"PYG"))*(1+FC_g)^(BE$173-1)*((FC_Desde=0)*(BE$172+BE$171)+(FC_Desde&gt;=1)*(BE$170&gt;=FC_Desde)*BE$171))</f>
        <v>5114.58575342466</v>
      </c>
      <c r="BF244" s="34" t="n">
        <f aca="false">SUMPRODUCT((FC_Clase="Administración")*FC_Base*FC_V*((FC_Mon="PYG")*BF$175+(FC_Mon&lt;&gt;"PYG"))*(1+FC_g)^(BF$173-1)*((FC_Desde=0)*(BF$172+BF$171)+(FC_Desde&gt;=1)*(BF$170&gt;=FC_Desde)*BF$171))</f>
        <v>5114.58575342466</v>
      </c>
      <c r="BG244" s="34" t="n">
        <f aca="false">SUMPRODUCT((FC_Clase="Administración")*FC_Base*FC_V*((FC_Mon="PYG")*BG$175+(FC_Mon&lt;&gt;"PYG"))*(1+FC_g)^(BG$173-1)*((FC_Desde=0)*(BG$172+BG$171)+(FC_Desde&gt;=1)*(BG$170&gt;=FC_Desde)*BG$171))</f>
        <v>5114.58575342466</v>
      </c>
      <c r="BH244" s="34" t="n">
        <f aca="false">SUMPRODUCT((FC_Clase="Administración")*FC_Base*FC_V*((FC_Mon="PYG")*BH$175+(FC_Mon&lt;&gt;"PYG"))*(1+FC_g)^(BH$173-1)*((FC_Desde=0)*(BH$172+BH$171)+(FC_Desde&gt;=1)*(BH$170&gt;=FC_Desde)*BH$171))</f>
        <v>5114.58575342466</v>
      </c>
      <c r="BI244" s="34" t="n">
        <f aca="false">SUMPRODUCT((FC_Clase="Administración")*FC_Base*FC_V*((FC_Mon="PYG")*BI$175+(FC_Mon&lt;&gt;"PYG"))*(1+FC_g)^(BI$173-1)*((FC_Desde=0)*(BI$172+BI$171)+(FC_Desde&gt;=1)*(BI$170&gt;=FC_Desde)*BI$171))</f>
        <v>5114.58575342466</v>
      </c>
      <c r="BJ244" s="34" t="n">
        <f aca="false">SUMPRODUCT((FC_Clase="Administración")*FC_Base*FC_V*((FC_Mon="PYG")*BJ$175+(FC_Mon&lt;&gt;"PYG"))*(1+FC_g)^(BJ$173-1)*((FC_Desde=0)*(BJ$172+BJ$171)+(FC_Desde&gt;=1)*(BJ$170&gt;=FC_Desde)*BJ$171))</f>
        <v>5114.58575342466</v>
      </c>
      <c r="BK244" s="34" t="n">
        <f aca="false">SUMPRODUCT((FC_Clase="Administración")*FC_Base*FC_V*((FC_Mon="PYG")*BK$175+(FC_Mon&lt;&gt;"PYG"))*(1+FC_g)^(BK$173-1)*((FC_Desde=0)*(BK$172+BK$171)+(FC_Desde&gt;=1)*(BK$170&gt;=FC_Desde)*BK$171))</f>
        <v>5114.58575342466</v>
      </c>
      <c r="BL244" s="34" t="n">
        <f aca="false">SUMPRODUCT((FC_Clase="Administración")*FC_Base*FC_V*((FC_Mon="PYG")*BL$175+(FC_Mon&lt;&gt;"PYG"))*(1+FC_g)^(BL$173-1)*((FC_Desde=0)*(BL$172+BL$171)+(FC_Desde&gt;=1)*(BL$170&gt;=FC_Desde)*BL$171))</f>
        <v>5114.58575342466</v>
      </c>
      <c r="BM244" s="34" t="n">
        <f aca="false">SUMPRODUCT((FC_Clase="Administración")*FC_Base*FC_V*((FC_Mon="PYG")*BM$175+(FC_Mon&lt;&gt;"PYG"))*(1+FC_g)^(BM$173-1)*((FC_Desde=0)*(BM$172+BM$171)+(FC_Desde&gt;=1)*(BM$170&gt;=FC_Desde)*BM$171))</f>
        <v>5114.58575342466</v>
      </c>
      <c r="BN244" s="34" t="n">
        <f aca="false">SUMPRODUCT((FC_Clase="Administración")*FC_Base*FC_V*((FC_Mon="PYG")*BN$175+(FC_Mon&lt;&gt;"PYG"))*(1+FC_g)^(BN$173-1)*((FC_Desde=0)*(BN$172+BN$171)+(FC_Desde&gt;=1)*(BN$170&gt;=FC_Desde)*BN$171))</f>
        <v>5114.58575342466</v>
      </c>
      <c r="BO244" s="34" t="n">
        <f aca="false">SUMPRODUCT((FC_Clase="Administración")*FC_Base*FC_V*((FC_Mon="PYG")*BO$175+(FC_Mon&lt;&gt;"PYG"))*(1+FC_g)^(BO$173-1)*((FC_Desde=0)*(BO$172+BO$171)+(FC_Desde&gt;=1)*(BO$170&gt;=FC_Desde)*BO$171))</f>
        <v>5114.58575342466</v>
      </c>
      <c r="BP244" s="34" t="n">
        <f aca="false">SUMPRODUCT((FC_Clase="Administración")*FC_Base*FC_V*((FC_Mon="PYG")*BP$175+(FC_Mon&lt;&gt;"PYG"))*(1+FC_g)^(BP$173-1)*((FC_Desde=0)*(BP$172+BP$171)+(FC_Desde&gt;=1)*(BP$170&gt;=FC_Desde)*BP$171))</f>
        <v>5114.58575342466</v>
      </c>
      <c r="BQ244" s="34" t="n">
        <f aca="false">SUMPRODUCT((FC_Clase="Administración")*FC_Base*FC_V*((FC_Mon="PYG")*BQ$175+(FC_Mon&lt;&gt;"PYG"))*(1+FC_g)^(BQ$173-1)*((FC_Desde=0)*(BQ$172+BQ$171)+(FC_Desde&gt;=1)*(BQ$170&gt;=FC_Desde)*BQ$171))</f>
        <v>5114.58575342466</v>
      </c>
      <c r="BR244" s="34" t="n">
        <f aca="false">SUMPRODUCT((FC_Clase="Administración")*FC_Base*FC_V*((FC_Mon="PYG")*BR$175+(FC_Mon&lt;&gt;"PYG"))*(1+FC_g)^(BR$173-1)*((FC_Desde=0)*(BR$172+BR$171)+(FC_Desde&gt;=1)*(BR$170&gt;=FC_Desde)*BR$171))</f>
        <v>5114.58575342466</v>
      </c>
      <c r="BS244" s="34" t="n">
        <f aca="false">SUMPRODUCT((FC_Clase="Administración")*FC_Base*FC_V*((FC_Mon="PYG")*BS$175+(FC_Mon&lt;&gt;"PYG"))*(1+FC_g)^(BS$173-1)*((FC_Desde=0)*(BS$172+BS$171)+(FC_Desde&gt;=1)*(BS$170&gt;=FC_Desde)*BS$171))</f>
        <v>5114.58575342466</v>
      </c>
      <c r="BT244" s="34" t="n">
        <f aca="false">SUMPRODUCT((FC_Clase="Administración")*FC_Base*FC_V*((FC_Mon="PYG")*BT$175+(FC_Mon&lt;&gt;"PYG"))*(1+FC_g)^(BT$173-1)*((FC_Desde=0)*(BT$172+BT$171)+(FC_Desde&gt;=1)*(BT$170&gt;=FC_Desde)*BT$171))</f>
        <v>5114.58575342466</v>
      </c>
      <c r="BU244" s="34" t="n">
        <f aca="false">SUMPRODUCT((FC_Clase="Administración")*FC_Base*FC_V*((FC_Mon="PYG")*BU$175+(FC_Mon&lt;&gt;"PYG"))*(1+FC_g)^(BU$173-1)*((FC_Desde=0)*(BU$172+BU$171)+(FC_Desde&gt;=1)*(BU$170&gt;=FC_Desde)*BU$171))</f>
        <v>5114.58575342466</v>
      </c>
      <c r="BV244" s="34" t="n">
        <f aca="false">SUMPRODUCT((FC_Clase="Administración")*FC_Base*FC_V*((FC_Mon="PYG")*BV$175+(FC_Mon&lt;&gt;"PYG"))*(1+FC_g)^(BV$173-1)*((FC_Desde=0)*(BV$172+BV$171)+(FC_Desde&gt;=1)*(BV$170&gt;=FC_Desde)*BV$171))</f>
        <v>5114.58575342466</v>
      </c>
      <c r="BW244" s="34" t="n">
        <f aca="false">SUMPRODUCT((FC_Clase="Administración")*FC_Base*FC_V*((FC_Mon="PYG")*BW$175+(FC_Mon&lt;&gt;"PYG"))*(1+FC_g)^(BW$173-1)*((FC_Desde=0)*(BW$172+BW$171)+(FC_Desde&gt;=1)*(BW$170&gt;=FC_Desde)*BW$171))</f>
        <v>5114.58575342466</v>
      </c>
      <c r="BX244" s="34" t="n">
        <f aca="false">SUMPRODUCT((FC_Clase="Administración")*FC_Base*FC_V*((FC_Mon="PYG")*BX$175+(FC_Mon&lt;&gt;"PYG"))*(1+FC_g)^(BX$173-1)*((FC_Desde=0)*(BX$172+BX$171)+(FC_Desde&gt;=1)*(BX$170&gt;=FC_Desde)*BX$171))</f>
        <v>5114.58575342466</v>
      </c>
      <c r="BY244" s="34" t="n">
        <f aca="false">SUMPRODUCT((FC_Clase="Administración")*FC_Base*FC_V*((FC_Mon="PYG")*BY$175+(FC_Mon&lt;&gt;"PYG"))*(1+FC_g)^(BY$173-1)*((FC_Desde=0)*(BY$172+BY$171)+(FC_Desde&gt;=1)*(BY$170&gt;=FC_Desde)*BY$171))</f>
        <v>5114.58575342466</v>
      </c>
      <c r="BZ244" s="34" t="n">
        <f aca="false">SUMPRODUCT((FC_Clase="Administración")*FC_Base*FC_V*((FC_Mon="PYG")*BZ$175+(FC_Mon&lt;&gt;"PYG"))*(1+FC_g)^(BZ$173-1)*((FC_Desde=0)*(BZ$172+BZ$171)+(FC_Desde&gt;=1)*(BZ$170&gt;=FC_Desde)*BZ$171))</f>
        <v>5114.58575342466</v>
      </c>
      <c r="CA244" s="34" t="n">
        <f aca="false">SUMPRODUCT((FC_Clase="Administración")*FC_Base*FC_V*((FC_Mon="PYG")*CA$175+(FC_Mon&lt;&gt;"PYG"))*(1+FC_g)^(CA$173-1)*((FC_Desde=0)*(CA$172+CA$171)+(FC_Desde&gt;=1)*(CA$170&gt;=FC_Desde)*CA$171))</f>
        <v>5114.58575342466</v>
      </c>
      <c r="CB244" s="34" t="n">
        <f aca="false">SUMPRODUCT((FC_Clase="Administración")*FC_Base*FC_V*((FC_Mon="PYG")*CB$175+(FC_Mon&lt;&gt;"PYG"))*(1+FC_g)^(CB$173-1)*((FC_Desde=0)*(CB$172+CB$171)+(FC_Desde&gt;=1)*(CB$170&gt;=FC_Desde)*CB$171))</f>
        <v>5114.58575342466</v>
      </c>
      <c r="CC244" s="34" t="n">
        <f aca="false">SUMPRODUCT((FC_Clase="Administración")*FC_Base*FC_V*((FC_Mon="PYG")*CC$175+(FC_Mon&lt;&gt;"PYG"))*(1+FC_g)^(CC$173-1)*((FC_Desde=0)*(CC$172+CC$171)+(FC_Desde&gt;=1)*(CC$170&gt;=FC_Desde)*CC$171))</f>
        <v>5114.58575342466</v>
      </c>
      <c r="CD244" s="34" t="n">
        <f aca="false">SUMPRODUCT((FC_Clase="Administración")*FC_Base*FC_V*((FC_Mon="PYG")*CD$175+(FC_Mon&lt;&gt;"PYG"))*(1+FC_g)^(CD$173-1)*((FC_Desde=0)*(CD$172+CD$171)+(FC_Desde&gt;=1)*(CD$170&gt;=FC_Desde)*CD$171))</f>
        <v>5114.58575342466</v>
      </c>
      <c r="CE244" s="34" t="n">
        <f aca="false">SUMPRODUCT((FC_Clase="Administración")*FC_Base*FC_V*((FC_Mon="PYG")*CE$175+(FC_Mon&lt;&gt;"PYG"))*(1+FC_g)^(CE$173-1)*((FC_Desde=0)*(CE$172+CE$171)+(FC_Desde&gt;=1)*(CE$170&gt;=FC_Desde)*CE$171))</f>
        <v>5114.58575342466</v>
      </c>
      <c r="CF244" s="34" t="n">
        <f aca="false">SUMPRODUCT((FC_Clase="Administración")*FC_Base*FC_V*((FC_Mon="PYG")*CF$175+(FC_Mon&lt;&gt;"PYG"))*(1+FC_g)^(CF$173-1)*((FC_Desde=0)*(CF$172+CF$171)+(FC_Desde&gt;=1)*(CF$170&gt;=FC_Desde)*CF$171))</f>
        <v>5114.58575342466</v>
      </c>
      <c r="CG244" s="34" t="n">
        <f aca="false">SUMPRODUCT((FC_Clase="Administración")*FC_Base*FC_V*((FC_Mon="PYG")*CG$175+(FC_Mon&lt;&gt;"PYG"))*(1+FC_g)^(CG$173-1)*((FC_Desde=0)*(CG$172+CG$171)+(FC_Desde&gt;=1)*(CG$170&gt;=FC_Desde)*CG$171))</f>
        <v>5114.58575342466</v>
      </c>
      <c r="CH244" s="34" t="n">
        <f aca="false">SUMPRODUCT((FC_Clase="Administración")*FC_Base*FC_V*((FC_Mon="PYG")*CH$175+(FC_Mon&lt;&gt;"PYG"))*(1+FC_g)^(CH$173-1)*((FC_Desde=0)*(CH$172+CH$171)+(FC_Desde&gt;=1)*(CH$170&gt;=FC_Desde)*CH$171))</f>
        <v>5114.58575342466</v>
      </c>
      <c r="CI244" s="34" t="n">
        <f aca="false">SUMPRODUCT((FC_Clase="Administración")*FC_Base*FC_V*((FC_Mon="PYG")*CI$175+(FC_Mon&lt;&gt;"PYG"))*(1+FC_g)^(CI$173-1)*((FC_Desde=0)*(CI$172+CI$171)+(FC_Desde&gt;=1)*(CI$170&gt;=FC_Desde)*CI$171))</f>
        <v>5114.58575342466</v>
      </c>
      <c r="CJ244" s="34" t="n">
        <f aca="false">SUMPRODUCT((FC_Clase="Administración")*FC_Base*FC_V*((FC_Mon="PYG")*CJ$175+(FC_Mon&lt;&gt;"PYG"))*(1+FC_g)^(CJ$173-1)*((FC_Desde=0)*(CJ$172+CJ$171)+(FC_Desde&gt;=1)*(CJ$170&gt;=FC_Desde)*CJ$171))</f>
        <v>5114.58575342466</v>
      </c>
      <c r="CK244" s="34" t="n">
        <f aca="false">SUMPRODUCT((FC_Clase="Administración")*FC_Base*FC_V*((FC_Mon="PYG")*CK$175+(FC_Mon&lt;&gt;"PYG"))*(1+FC_g)^(CK$173-1)*((FC_Desde=0)*(CK$172+CK$171)+(FC_Desde&gt;=1)*(CK$170&gt;=FC_Desde)*CK$171))</f>
        <v>5114.58575342466</v>
      </c>
      <c r="CL244" s="34" t="n">
        <f aca="false">SUMPRODUCT((FC_Clase="Administración")*FC_Base*FC_V*((FC_Mon="PYG")*CL$175+(FC_Mon&lt;&gt;"PYG"))*(1+FC_g)^(CL$173-1)*((FC_Desde=0)*(CL$172+CL$171)+(FC_Desde&gt;=1)*(CL$170&gt;=FC_Desde)*CL$171))</f>
        <v>5114.58575342466</v>
      </c>
      <c r="CM244" s="34" t="n">
        <f aca="false">SUMPRODUCT((FC_Clase="Administración")*FC_Base*FC_V*((FC_Mon="PYG")*CM$175+(FC_Mon&lt;&gt;"PYG"))*(1+FC_g)^(CM$173-1)*((FC_Desde=0)*(CM$172+CM$171)+(FC_Desde&gt;=1)*(CM$170&gt;=FC_Desde)*CM$171))</f>
        <v>5114.58575342466</v>
      </c>
      <c r="CN244" s="34" t="n">
        <f aca="false">SUMPRODUCT((FC_Clase="Administración")*FC_Base*FC_V*((FC_Mon="PYG")*CN$175+(FC_Mon&lt;&gt;"PYG"))*(1+FC_g)^(CN$173-1)*((FC_Desde=0)*(CN$172+CN$171)+(FC_Desde&gt;=1)*(CN$170&gt;=FC_Desde)*CN$171))</f>
        <v>5114.58575342466</v>
      </c>
      <c r="CO244" s="34" t="n">
        <f aca="false">SUMPRODUCT((FC_Clase="Administración")*FC_Base*FC_V*((FC_Mon="PYG")*CO$175+(FC_Mon&lt;&gt;"PYG"))*(1+FC_g)^(CO$173-1)*((FC_Desde=0)*(CO$172+CO$171)+(FC_Desde&gt;=1)*(CO$170&gt;=FC_Desde)*CO$171))</f>
        <v>5114.58575342466</v>
      </c>
      <c r="CP244" s="34" t="n">
        <f aca="false">SUMPRODUCT((FC_Clase="Administración")*FC_Base*FC_V*((FC_Mon="PYG")*CP$175+(FC_Mon&lt;&gt;"PYG"))*(1+FC_g)^(CP$173-1)*((FC_Desde=0)*(CP$172+CP$171)+(FC_Desde&gt;=1)*(CP$170&gt;=FC_Desde)*CP$171))</f>
        <v>5114.58575342466</v>
      </c>
      <c r="CQ244" s="34" t="n">
        <f aca="false">SUMPRODUCT((FC_Clase="Administración")*FC_Base*FC_V*((FC_Mon="PYG")*CQ$175+(FC_Mon&lt;&gt;"PYG"))*(1+FC_g)^(CQ$173-1)*((FC_Desde=0)*(CQ$172+CQ$171)+(FC_Desde&gt;=1)*(CQ$170&gt;=FC_Desde)*CQ$171))</f>
        <v>5114.58575342466</v>
      </c>
      <c r="CR244" s="34" t="n">
        <f aca="false">SUMPRODUCT((FC_Clase="Administración")*FC_Base*FC_V*((FC_Mon="PYG")*CR$175+(FC_Mon&lt;&gt;"PYG"))*(1+FC_g)^(CR$173-1)*((FC_Desde=0)*(CR$172+CR$171)+(FC_Desde&gt;=1)*(CR$170&gt;=FC_Desde)*CR$171))</f>
        <v>5114.58575342466</v>
      </c>
      <c r="CS244" s="34" t="n">
        <f aca="false">SUMPRODUCT((FC_Clase="Administración")*FC_Base*FC_V*((FC_Mon="PYG")*CS$175+(FC_Mon&lt;&gt;"PYG"))*(1+FC_g)^(CS$173-1)*((FC_Desde=0)*(CS$172+CS$171)+(FC_Desde&gt;=1)*(CS$170&gt;=FC_Desde)*CS$171))</f>
        <v>5114.58575342466</v>
      </c>
      <c r="CT244" s="34" t="n">
        <f aca="false">SUMPRODUCT((FC_Clase="Administración")*FC_Base*FC_V*((FC_Mon="PYG")*CT$175+(FC_Mon&lt;&gt;"PYG"))*(1+FC_g)^(CT$173-1)*((FC_Desde=0)*(CT$172+CT$171)+(FC_Desde&gt;=1)*(CT$170&gt;=FC_Desde)*CT$171))</f>
        <v>5114.58575342466</v>
      </c>
      <c r="CU244" s="34" t="n">
        <f aca="false">SUMPRODUCT((FC_Clase="Administración")*FC_Base*FC_V*((FC_Mon="PYG")*CU$175+(FC_Mon&lt;&gt;"PYG"))*(1+FC_g)^(CU$173-1)*((FC_Desde=0)*(CU$172+CU$171)+(FC_Desde&gt;=1)*(CU$170&gt;=FC_Desde)*CU$171))</f>
        <v>5114.58575342466</v>
      </c>
      <c r="CV244" s="34" t="n">
        <f aca="false">SUMPRODUCT((FC_Clase="Administración")*FC_Base*FC_V*((FC_Mon="PYG")*CV$175+(FC_Mon&lt;&gt;"PYG"))*(1+FC_g)^(CV$173-1)*((FC_Desde=0)*(CV$172+CV$171)+(FC_Desde&gt;=1)*(CV$170&gt;=FC_Desde)*CV$171))</f>
        <v>5114.58575342466</v>
      </c>
      <c r="CW244" s="34" t="n">
        <f aca="false">SUMPRODUCT((FC_Clase="Administración")*FC_Base*FC_V*((FC_Mon="PYG")*CW$175+(FC_Mon&lt;&gt;"PYG"))*(1+FC_g)^(CW$173-1)*((FC_Desde=0)*(CW$172+CW$171)+(FC_Desde&gt;=1)*(CW$170&gt;=FC_Desde)*CW$171))</f>
        <v>5114.58575342466</v>
      </c>
      <c r="CX244" s="34" t="n">
        <f aca="false">SUMPRODUCT((FC_Clase="Administración")*FC_Base*FC_V*((FC_Mon="PYG")*CX$175+(FC_Mon&lt;&gt;"PYG"))*(1+FC_g)^(CX$173-1)*((FC_Desde=0)*(CX$172+CX$171)+(FC_Desde&gt;=1)*(CX$170&gt;=FC_Desde)*CX$171))</f>
        <v>5114.58575342466</v>
      </c>
      <c r="CY244" s="34" t="n">
        <f aca="false">SUMPRODUCT((FC_Clase="Administración")*FC_Base*FC_V*((FC_Mon="PYG")*CY$175+(FC_Mon&lt;&gt;"PYG"))*(1+FC_g)^(CY$173-1)*((FC_Desde=0)*(CY$172+CY$171)+(FC_Desde&gt;=1)*(CY$170&gt;=FC_Desde)*CY$171))</f>
        <v>5114.58575342466</v>
      </c>
      <c r="CZ244" s="34" t="n">
        <f aca="false">SUMPRODUCT((FC_Clase="Administración")*FC_Base*FC_V*((FC_Mon="PYG")*CZ$175+(FC_Mon&lt;&gt;"PYG"))*(1+FC_g)^(CZ$173-1)*((FC_Desde=0)*(CZ$172+CZ$171)+(FC_Desde&gt;=1)*(CZ$170&gt;=FC_Desde)*CZ$171))</f>
        <v>5114.58575342466</v>
      </c>
      <c r="DA244" s="34" t="n">
        <f aca="false">SUMPRODUCT((FC_Clase="Administración")*FC_Base*FC_V*((FC_Mon="PYG")*DA$175+(FC_Mon&lt;&gt;"PYG"))*(1+FC_g)^(DA$173-1)*((FC_Desde=0)*(DA$172+DA$171)+(FC_Desde&gt;=1)*(DA$170&gt;=FC_Desde)*DA$171))</f>
        <v>5114.58575342466</v>
      </c>
      <c r="DB244" s="34" t="n">
        <f aca="false">SUMPRODUCT((FC_Clase="Administración")*FC_Base*FC_V*((FC_Mon="PYG")*DB$175+(FC_Mon&lt;&gt;"PYG"))*(1+FC_g)^(DB$173-1)*((FC_Desde=0)*(DB$172+DB$171)+(FC_Desde&gt;=1)*(DB$170&gt;=FC_Desde)*DB$171))</f>
        <v>5114.58575342466</v>
      </c>
      <c r="DC244" s="34" t="n">
        <f aca="false">SUMPRODUCT((FC_Clase="Administración")*FC_Base*FC_V*((FC_Mon="PYG")*DC$175+(FC_Mon&lt;&gt;"PYG"))*(1+FC_g)^(DC$173-1)*((FC_Desde=0)*(DC$172+DC$171)+(FC_Desde&gt;=1)*(DC$170&gt;=FC_Desde)*DC$171))</f>
        <v>5114.58575342466</v>
      </c>
      <c r="DD244" s="34" t="n">
        <f aca="false">SUMPRODUCT((FC_Clase="Administración")*FC_Base*FC_V*((FC_Mon="PYG")*DD$175+(FC_Mon&lt;&gt;"PYG"))*(1+FC_g)^(DD$173-1)*((FC_Desde=0)*(DD$172+DD$171)+(FC_Desde&gt;=1)*(DD$170&gt;=FC_Desde)*DD$171))</f>
        <v>5114.58575342466</v>
      </c>
      <c r="DE244" s="34" t="n">
        <f aca="false">SUMPRODUCT((FC_Clase="Administración")*FC_Base*FC_V*((FC_Mon="PYG")*DE$175+(FC_Mon&lt;&gt;"PYG"))*(1+FC_g)^(DE$173-1)*((FC_Desde=0)*(DE$172+DE$171)+(FC_Desde&gt;=1)*(DE$170&gt;=FC_Desde)*DE$171))</f>
        <v>5114.58575342466</v>
      </c>
      <c r="DF244" s="34" t="n">
        <f aca="false">SUMPRODUCT((FC_Clase="Administración")*FC_Base*FC_V*((FC_Mon="PYG")*DF$175+(FC_Mon&lt;&gt;"PYG"))*(1+FC_g)^(DF$173-1)*((FC_Desde=0)*(DF$172+DF$171)+(FC_Desde&gt;=1)*(DF$170&gt;=FC_Desde)*DF$171))</f>
        <v>5114.58575342466</v>
      </c>
      <c r="DG244" s="34" t="n">
        <f aca="false">SUMPRODUCT((FC_Clase="Administración")*FC_Base*FC_V*((FC_Mon="PYG")*DG$175+(FC_Mon&lt;&gt;"PYG"))*(1+FC_g)^(DG$173-1)*((FC_Desde=0)*(DG$172+DG$171)+(FC_Desde&gt;=1)*(DG$170&gt;=FC_Desde)*DG$171))</f>
        <v>5114.58575342466</v>
      </c>
      <c r="DH244" s="34" t="n">
        <f aca="false">SUMPRODUCT((FC_Clase="Administración")*FC_Base*FC_V*((FC_Mon="PYG")*DH$175+(FC_Mon&lt;&gt;"PYG"))*(1+FC_g)^(DH$173-1)*((FC_Desde=0)*(DH$172+DH$171)+(FC_Desde&gt;=1)*(DH$170&gt;=FC_Desde)*DH$171))</f>
        <v>5114.58575342466</v>
      </c>
      <c r="DI244" s="34" t="n">
        <f aca="false">SUMPRODUCT((FC_Clase="Administración")*FC_Base*FC_V*((FC_Mon="PYG")*DI$175+(FC_Mon&lt;&gt;"PYG"))*(1+FC_g)^(DI$173-1)*((FC_Desde=0)*(DI$172+DI$171)+(FC_Desde&gt;=1)*(DI$170&gt;=FC_Desde)*DI$171))</f>
        <v>5114.58575342466</v>
      </c>
      <c r="DJ244" s="34" t="n">
        <f aca="false">SUMPRODUCT((FC_Clase="Administración")*FC_Base*FC_V*((FC_Mon="PYG")*DJ$175+(FC_Mon&lt;&gt;"PYG"))*(1+FC_g)^(DJ$173-1)*((FC_Desde=0)*(DJ$172+DJ$171)+(FC_Desde&gt;=1)*(DJ$170&gt;=FC_Desde)*DJ$171))</f>
        <v>5114.58575342466</v>
      </c>
      <c r="DK244" s="34" t="n">
        <f aca="false">SUMPRODUCT((FC_Clase="Administración")*FC_Base*FC_V*((FC_Mon="PYG")*DK$175+(FC_Mon&lt;&gt;"PYG"))*(1+FC_g)^(DK$173-1)*((FC_Desde=0)*(DK$172+DK$171)+(FC_Desde&gt;=1)*(DK$170&gt;=FC_Desde)*DK$171))</f>
        <v>5114.58575342466</v>
      </c>
      <c r="DL244" s="34" t="n">
        <f aca="false">SUMPRODUCT((FC_Clase="Administración")*FC_Base*FC_V*((FC_Mon="PYG")*DL$175+(FC_Mon&lt;&gt;"PYG"))*(1+FC_g)^(DL$173-1)*((FC_Desde=0)*(DL$172+DL$171)+(FC_Desde&gt;=1)*(DL$170&gt;=FC_Desde)*DL$171))</f>
        <v>5114.58575342466</v>
      </c>
      <c r="DM244" s="34" t="n">
        <f aca="false">SUMPRODUCT((FC_Clase="Administración")*FC_Base*FC_V*((FC_Mon="PYG")*DM$175+(FC_Mon&lt;&gt;"PYG"))*(1+FC_g)^(DM$173-1)*((FC_Desde=0)*(DM$172+DM$171)+(FC_Desde&gt;=1)*(DM$170&gt;=FC_Desde)*DM$171))</f>
        <v>5114.58575342466</v>
      </c>
      <c r="DN244" s="34" t="n">
        <f aca="false">SUMPRODUCT((FC_Clase="Administración")*FC_Base*FC_V*((FC_Mon="PYG")*DN$175+(FC_Mon&lt;&gt;"PYG"))*(1+FC_g)^(DN$173-1)*((FC_Desde=0)*(DN$172+DN$171)+(FC_Desde&gt;=1)*(DN$170&gt;=FC_Desde)*DN$171))</f>
        <v>5114.58575342466</v>
      </c>
      <c r="DO244" s="34" t="n">
        <f aca="false">SUMPRODUCT((FC_Clase="Administración")*FC_Base*FC_V*((FC_Mon="PYG")*DO$175+(FC_Mon&lt;&gt;"PYG"))*(1+FC_g)^(DO$173-1)*((FC_Desde=0)*(DO$172+DO$171)+(FC_Desde&gt;=1)*(DO$170&gt;=FC_Desde)*DO$171))</f>
        <v>5114.58575342466</v>
      </c>
      <c r="DP244" s="34" t="n">
        <f aca="false">SUMPRODUCT((FC_Clase="Administración")*FC_Base*FC_V*((FC_Mon="PYG")*DP$175+(FC_Mon&lt;&gt;"PYG"))*(1+FC_g)^(DP$173-1)*((FC_Desde=0)*(DP$172+DP$171)+(FC_Desde&gt;=1)*(DP$170&gt;=FC_Desde)*DP$171))</f>
        <v>5114.58575342466</v>
      </c>
      <c r="DQ244" s="34" t="n">
        <f aca="false">SUMPRODUCT((FC_Clase="Administración")*FC_Base*FC_V*((FC_Mon="PYG")*DQ$175+(FC_Mon&lt;&gt;"PYG"))*(1+FC_g)^(DQ$173-1)*((FC_Desde=0)*(DQ$172+DQ$171)+(FC_Desde&gt;=1)*(DQ$170&gt;=FC_Desde)*DQ$171))</f>
        <v>5114.58575342466</v>
      </c>
      <c r="DR244" s="34" t="n">
        <f aca="false">SUMPRODUCT((FC_Clase="Administración")*FC_Base*FC_V*((FC_Mon="PYG")*DR$175+(FC_Mon&lt;&gt;"PYG"))*(1+FC_g)^(DR$173-1)*((FC_Desde=0)*(DR$172+DR$171)+(FC_Desde&gt;=1)*(DR$170&gt;=FC_Desde)*DR$171))</f>
        <v>5114.58575342466</v>
      </c>
      <c r="DS244" s="34" t="n">
        <f aca="false">SUMPRODUCT((FC_Clase="Administración")*FC_Base*FC_V*((FC_Mon="PYG")*DS$175+(FC_Mon&lt;&gt;"PYG"))*(1+FC_g)^(DS$173-1)*((FC_Desde=0)*(DS$172+DS$171)+(FC_Desde&gt;=1)*(DS$170&gt;=FC_Desde)*DS$171))</f>
        <v>5114.58575342466</v>
      </c>
      <c r="DT244" s="34" t="n">
        <f aca="false">SUMPRODUCT((FC_Clase="Administración")*FC_Base*FC_V*((FC_Mon="PYG")*DT$175+(FC_Mon&lt;&gt;"PYG"))*(1+FC_g)^(DT$173-1)*((FC_Desde=0)*(DT$172+DT$171)+(FC_Desde&gt;=1)*(DT$170&gt;=FC_Desde)*DT$171))</f>
        <v>5114.58575342466</v>
      </c>
      <c r="DU244" s="34" t="n">
        <f aca="false">SUMPRODUCT((FC_Clase="Administración")*FC_Base*FC_V*((FC_Mon="PYG")*DU$175+(FC_Mon&lt;&gt;"PYG"))*(1+FC_g)^(DU$173-1)*((FC_Desde=0)*(DU$172+DU$171)+(FC_Desde&gt;=1)*(DU$170&gt;=FC_Desde)*DU$171))</f>
        <v>5114.58575342466</v>
      </c>
      <c r="DV244" s="34" t="n">
        <f aca="false">SUMPRODUCT((FC_Clase="Administración")*FC_Base*FC_V*((FC_Mon="PYG")*DV$175+(FC_Mon&lt;&gt;"PYG"))*(1+FC_g)^(DV$173-1)*((FC_Desde=0)*(DV$172+DV$171)+(FC_Desde&gt;=1)*(DV$170&gt;=FC_Desde)*DV$171))</f>
        <v>0</v>
      </c>
      <c r="DW244" s="34" t="n">
        <f aca="false">SUMPRODUCT((FC_Clase="Administración")*FC_Base*FC_V*((FC_Mon="PYG")*DW$175+(FC_Mon&lt;&gt;"PYG"))*(1+FC_g)^(DW$173-1)*((FC_Desde=0)*(DW$172+DW$171)+(FC_Desde&gt;=1)*(DW$170&gt;=FC_Desde)*DW$171))</f>
        <v>0</v>
      </c>
      <c r="DX244" s="34" t="n">
        <f aca="false">SUMPRODUCT((FC_Clase="Administración")*FC_Base*FC_V*((FC_Mon="PYG")*DX$175+(FC_Mon&lt;&gt;"PYG"))*(1+FC_g)^(DX$173-1)*((FC_Desde=0)*(DX$172+DX$171)+(FC_Desde&gt;=1)*(DX$170&gt;=FC_Desde)*DX$171))</f>
        <v>0</v>
      </c>
      <c r="DY244" s="34" t="n">
        <f aca="false">SUMPRODUCT((FC_Clase="Administración")*FC_Base*FC_V*((FC_Mon="PYG")*DY$175+(FC_Mon&lt;&gt;"PYG"))*(1+FC_g)^(DY$173-1)*((FC_Desde=0)*(DY$172+DY$171)+(FC_Desde&gt;=1)*(DY$170&gt;=FC_Desde)*DY$171))</f>
        <v>0</v>
      </c>
      <c r="DZ244" s="34" t="n">
        <f aca="false">SUMPRODUCT((FC_Clase="Administración")*FC_Base*FC_V*((FC_Mon="PYG")*DZ$175+(FC_Mon&lt;&gt;"PYG"))*(1+FC_g)^(DZ$173-1)*((FC_Desde=0)*(DZ$172+DZ$171)+(FC_Desde&gt;=1)*(DZ$170&gt;=FC_Desde)*DZ$171))</f>
        <v>0</v>
      </c>
      <c r="EA244" s="34" t="n">
        <f aca="false">SUMPRODUCT((FC_Clase="Administración")*FC_Base*FC_V*((FC_Mon="PYG")*EA$175+(FC_Mon&lt;&gt;"PYG"))*(1+FC_g)^(EA$173-1)*((FC_Desde=0)*(EA$172+EA$171)+(FC_Desde&gt;=1)*(EA$170&gt;=FC_Desde)*EA$171))</f>
        <v>0</v>
      </c>
      <c r="EB244" s="34" t="n">
        <f aca="false">SUMPRODUCT((FC_Clase="Administración")*FC_Base*FC_V*((FC_Mon="PYG")*EB$175+(FC_Mon&lt;&gt;"PYG"))*(1+FC_g)^(EB$173-1)*((FC_Desde=0)*(EB$172+EB$171)+(FC_Desde&gt;=1)*(EB$170&gt;=FC_Desde)*EB$171))</f>
        <v>0</v>
      </c>
      <c r="EC244" s="34" t="n">
        <f aca="false">SUMPRODUCT((FC_Clase="Administración")*FC_Base*FC_V*((FC_Mon="PYG")*EC$175+(FC_Mon&lt;&gt;"PYG"))*(1+FC_g)^(EC$173-1)*((FC_Desde=0)*(EC$172+EC$171)+(FC_Desde&gt;=1)*(EC$170&gt;=FC_Desde)*EC$171))</f>
        <v>0</v>
      </c>
      <c r="ED244" s="34" t="n">
        <f aca="false">SUMPRODUCT((FC_Clase="Administración")*FC_Base*FC_V*((FC_Mon="PYG")*ED$175+(FC_Mon&lt;&gt;"PYG"))*(1+FC_g)^(ED$173-1)*((FC_Desde=0)*(ED$172+ED$171)+(FC_Desde&gt;=1)*(ED$170&gt;=FC_Desde)*ED$171))</f>
        <v>0</v>
      </c>
      <c r="EE244" s="34" t="n">
        <f aca="false">SUMPRODUCT((FC_Clase="Administración")*FC_Base*FC_V*((FC_Mon="PYG")*EE$175+(FC_Mon&lt;&gt;"PYG"))*(1+FC_g)^(EE$173-1)*((FC_Desde=0)*(EE$172+EE$171)+(FC_Desde&gt;=1)*(EE$170&gt;=FC_Desde)*EE$171))</f>
        <v>0</v>
      </c>
      <c r="EF244" s="34" t="n">
        <f aca="false">SUMPRODUCT((FC_Clase="Administración")*FC_Base*FC_V*((FC_Mon="PYG")*EF$175+(FC_Mon&lt;&gt;"PYG"))*(1+FC_g)^(EF$173-1)*((FC_Desde=0)*(EF$172+EF$171)+(FC_Desde&gt;=1)*(EF$170&gt;=FC_Desde)*EF$171))</f>
        <v>0</v>
      </c>
      <c r="EG244" s="34" t="n">
        <f aca="false">SUMPRODUCT((FC_Clase="Administración")*FC_Base*FC_V*((FC_Mon="PYG")*EG$175+(FC_Mon&lt;&gt;"PYG"))*(1+FC_g)^(EG$173-1)*((FC_Desde=0)*(EG$172+EG$171)+(FC_Desde&gt;=1)*(EG$170&gt;=FC_Desde)*EG$171))</f>
        <v>0</v>
      </c>
      <c r="EH244" s="34" t="n">
        <f aca="false">SUMPRODUCT((FC_Clase="Administración")*FC_Base*FC_V*((FC_Mon="PYG")*EH$175+(FC_Mon&lt;&gt;"PYG"))*(1+FC_g)^(EH$173-1)*((FC_Desde=0)*(EH$172+EH$171)+(FC_Desde&gt;=1)*(EH$170&gt;=FC_Desde)*EH$171))</f>
        <v>0</v>
      </c>
      <c r="EI244" s="34" t="n">
        <f aca="false">SUMPRODUCT((FC_Clase="Administración")*FC_Base*FC_V*((FC_Mon="PYG")*EI$175+(FC_Mon&lt;&gt;"PYG"))*(1+FC_g)^(EI$173-1)*((FC_Desde=0)*(EI$172+EI$171)+(FC_Desde&gt;=1)*(EI$170&gt;=FC_Desde)*EI$171))</f>
        <v>0</v>
      </c>
      <c r="EJ244" s="34" t="n">
        <f aca="false">SUMPRODUCT((FC_Clase="Administración")*FC_Base*FC_V*((FC_Mon="PYG")*EJ$175+(FC_Mon&lt;&gt;"PYG"))*(1+FC_g)^(EJ$173-1)*((FC_Desde=0)*(EJ$172+EJ$171)+(FC_Desde&gt;=1)*(EJ$170&gt;=FC_Desde)*EJ$171))</f>
        <v>0</v>
      </c>
      <c r="EK244" s="34" t="n">
        <f aca="false">SUMPRODUCT((FC_Clase="Administración")*FC_Base*FC_V*((FC_Mon="PYG")*EK$175+(FC_Mon&lt;&gt;"PYG"))*(1+FC_g)^(EK$173-1)*((FC_Desde=0)*(EK$172+EK$171)+(FC_Desde&gt;=1)*(EK$170&gt;=FC_Desde)*EK$171))</f>
        <v>0</v>
      </c>
      <c r="EL244" s="34" t="n">
        <f aca="false">SUMPRODUCT((FC_Clase="Administración")*FC_Base*FC_V*((FC_Mon="PYG")*EL$175+(FC_Mon&lt;&gt;"PYG"))*(1+FC_g)^(EL$173-1)*((FC_Desde=0)*(EL$172+EL$171)+(FC_Desde&gt;=1)*(EL$170&gt;=FC_Desde)*EL$171))</f>
        <v>0</v>
      </c>
      <c r="EM244" s="34" t="n">
        <f aca="false">SUMPRODUCT((FC_Clase="Administración")*FC_Base*FC_V*((FC_Mon="PYG")*EM$175+(FC_Mon&lt;&gt;"PYG"))*(1+FC_g)^(EM$173-1)*((FC_Desde=0)*(EM$172+EM$171)+(FC_Desde&gt;=1)*(EM$170&gt;=FC_Desde)*EM$171))</f>
        <v>0</v>
      </c>
      <c r="EN244" s="34" t="n">
        <f aca="false">SUMPRODUCT((FC_Clase="Administración")*FC_Base*FC_V*((FC_Mon="PYG")*EN$175+(FC_Mon&lt;&gt;"PYG"))*(1+FC_g)^(EN$173-1)*((FC_Desde=0)*(EN$172+EN$171)+(FC_Desde&gt;=1)*(EN$170&gt;=FC_Desde)*EN$171))</f>
        <v>0</v>
      </c>
      <c r="EO244" s="34" t="n">
        <f aca="false">SUMPRODUCT((FC_Clase="Administración")*FC_Base*FC_V*((FC_Mon="PYG")*EO$175+(FC_Mon&lt;&gt;"PYG"))*(1+FC_g)^(EO$173-1)*((FC_Desde=0)*(EO$172+EO$171)+(FC_Desde&gt;=1)*(EO$170&gt;=FC_Desde)*EO$171))</f>
        <v>0</v>
      </c>
      <c r="EP244" s="34" t="n">
        <f aca="false">SUMPRODUCT((FC_Clase="Administración")*FC_Base*FC_V*((FC_Mon="PYG")*EP$175+(FC_Mon&lt;&gt;"PYG"))*(1+FC_g)^(EP$173-1)*((FC_Desde=0)*(EP$172+EP$171)+(FC_Desde&gt;=1)*(EP$170&gt;=FC_Desde)*EP$171))</f>
        <v>0</v>
      </c>
      <c r="EQ244" s="34" t="n">
        <f aca="false">SUMPRODUCT((FC_Clase="Administración")*FC_Base*FC_V*((FC_Mon="PYG")*EQ$175+(FC_Mon&lt;&gt;"PYG"))*(1+FC_g)^(EQ$173-1)*((FC_Desde=0)*(EQ$172+EQ$171)+(FC_Desde&gt;=1)*(EQ$170&gt;=FC_Desde)*EQ$171))</f>
        <v>0</v>
      </c>
      <c r="ER244" s="34" t="n">
        <f aca="false">SUMPRODUCT((FC_Clase="Administración")*FC_Base*FC_V*((FC_Mon="PYG")*ER$175+(FC_Mon&lt;&gt;"PYG"))*(1+FC_g)^(ER$173-1)*((FC_Desde=0)*(ER$172+ER$171)+(FC_Desde&gt;=1)*(ER$170&gt;=FC_Desde)*ER$171))</f>
        <v>0</v>
      </c>
      <c r="ES244" s="34" t="n">
        <f aca="false">SUMPRODUCT((FC_Clase="Administración")*FC_Base*FC_V*((FC_Mon="PYG")*ES$175+(FC_Mon&lt;&gt;"PYG"))*(1+FC_g)^(ES$173-1)*((FC_Desde=0)*(ES$172+ES$171)+(FC_Desde&gt;=1)*(ES$170&gt;=FC_Desde)*ES$171))</f>
        <v>0</v>
      </c>
    </row>
    <row r="245" customFormat="false" ht="15" hidden="false" customHeight="false" outlineLevel="0" collapsed="false">
      <c r="A245" s="2" t="s">
        <v>886</v>
      </c>
      <c r="B245" s="6" t="s">
        <v>670</v>
      </c>
      <c r="C245" s="6" t="s">
        <v>250</v>
      </c>
      <c r="E245" s="40" t="n">
        <f aca="false">SUM(F245:ES245)</f>
        <v>2851501.29749091</v>
      </c>
      <c r="F245" s="34" t="n">
        <f aca="false">V_ImpP*(F$229+F$230+F$231+F$232+F$239+F$240+F$234+F$236+F$242)</f>
        <v>15479.5332084976</v>
      </c>
      <c r="G245" s="34" t="n">
        <f aca="false">V_ImpP*(G$229+G$230+G$231+G$232+G$239+G$240+G$234+G$236+G$242)</f>
        <v>15479.5332084976</v>
      </c>
      <c r="H245" s="34" t="n">
        <f aca="false">V_ImpP*(H$229+H$230+H$231+H$232+H$239+H$240+H$234+H$236+H$242)</f>
        <v>15479.5332084976</v>
      </c>
      <c r="I245" s="34" t="n">
        <f aca="false">V_ImpP*(I$229+I$230+I$231+I$232+I$239+I$240+I$234+I$236+I$242)</f>
        <v>15479.5332084976</v>
      </c>
      <c r="J245" s="34" t="n">
        <f aca="false">V_ImpP*(J$229+J$230+J$231+J$232+J$239+J$240+J$234+J$236+J$242)</f>
        <v>15479.5332084976</v>
      </c>
      <c r="K245" s="34" t="n">
        <f aca="false">V_ImpP*(K$229+K$230+K$231+K$232+K$239+K$240+K$234+K$236+K$242)</f>
        <v>15479.5332084976</v>
      </c>
      <c r="L245" s="34" t="n">
        <f aca="false">V_ImpP*(L$229+L$230+L$231+L$232+L$239+L$240+L$234+L$236+L$242)</f>
        <v>15479.5332084976</v>
      </c>
      <c r="M245" s="34" t="n">
        <f aca="false">V_ImpP*(M$229+M$230+M$231+M$232+M$239+M$240+M$234+M$236+M$242)</f>
        <v>15479.5332084976</v>
      </c>
      <c r="N245" s="34" t="n">
        <f aca="false">V_ImpP*(N$229+N$230+N$231+N$232+N$239+N$240+N$234+N$236+N$242)</f>
        <v>15479.5332084976</v>
      </c>
      <c r="O245" s="34" t="n">
        <f aca="false">V_ImpP*(O$229+O$230+O$231+O$232+O$239+O$240+O$234+O$236+O$242)</f>
        <v>15479.5332084976</v>
      </c>
      <c r="P245" s="34" t="n">
        <f aca="false">V_ImpP*(P$229+P$230+P$231+P$232+P$239+P$240+P$234+P$236+P$242)</f>
        <v>15479.5332084976</v>
      </c>
      <c r="Q245" s="34" t="n">
        <f aca="false">V_ImpP*(Q$229+Q$230+Q$231+Q$232+Q$239+Q$240+Q$234+Q$236+Q$242)</f>
        <v>15479.5332084976</v>
      </c>
      <c r="R245" s="34" t="n">
        <f aca="false">V_ImpP*(R$229+R$230+R$231+R$232+R$239+R$240+R$234+R$236+R$242)</f>
        <v>18874.3773742893</v>
      </c>
      <c r="S245" s="34" t="n">
        <f aca="false">V_ImpP*(S$229+S$230+S$231+S$232+S$239+S$240+S$234+S$236+S$242)</f>
        <v>18874.3773742893</v>
      </c>
      <c r="T245" s="34" t="n">
        <f aca="false">V_ImpP*(T$229+T$230+T$231+T$232+T$239+T$240+T$234+T$236+T$242)</f>
        <v>18874.3773742893</v>
      </c>
      <c r="U245" s="34" t="n">
        <f aca="false">V_ImpP*(U$229+U$230+U$231+U$232+U$239+U$240+U$234+U$236+U$242)</f>
        <v>18874.3773742893</v>
      </c>
      <c r="V245" s="34" t="n">
        <f aca="false">V_ImpP*(V$229+V$230+V$231+V$232+V$239+V$240+V$234+V$236+V$242)</f>
        <v>18874.3773742893</v>
      </c>
      <c r="W245" s="34" t="n">
        <f aca="false">V_ImpP*(W$229+W$230+W$231+W$232+W$239+W$240+W$234+W$236+W$242)</f>
        <v>18874.3773742893</v>
      </c>
      <c r="X245" s="34" t="n">
        <f aca="false">V_ImpP*(X$229+X$230+X$231+X$232+X$239+X$240+X$234+X$236+X$242)</f>
        <v>18874.3773742893</v>
      </c>
      <c r="Y245" s="34" t="n">
        <f aca="false">V_ImpP*(Y$229+Y$230+Y$231+Y$232+Y$239+Y$240+Y$234+Y$236+Y$242)</f>
        <v>18874.3773742893</v>
      </c>
      <c r="Z245" s="34" t="n">
        <f aca="false">V_ImpP*(Z$229+Z$230+Z$231+Z$232+Z$239+Z$240+Z$234+Z$236+Z$242)</f>
        <v>18874.3773742893</v>
      </c>
      <c r="AA245" s="34" t="n">
        <f aca="false">V_ImpP*(AA$229+AA$230+AA$231+AA$232+AA$239+AA$240+AA$234+AA$236+AA$242)</f>
        <v>18874.3773742893</v>
      </c>
      <c r="AB245" s="34" t="n">
        <f aca="false">V_ImpP*(AB$229+AB$230+AB$231+AB$232+AB$239+AB$240+AB$234+AB$236+AB$242)</f>
        <v>18874.3773742893</v>
      </c>
      <c r="AC245" s="34" t="n">
        <f aca="false">V_ImpP*(AC$229+AC$230+AC$231+AC$232+AC$239+AC$240+AC$234+AC$236+AC$242)</f>
        <v>18874.3773742893</v>
      </c>
      <c r="AD245" s="34" t="n">
        <f aca="false">V_ImpP*(AD$229+AD$230+AD$231+AD$232+AD$239+AD$240+AD$234+AD$236+AD$242)</f>
        <v>22438.3044470912</v>
      </c>
      <c r="AE245" s="34" t="n">
        <f aca="false">V_ImpP*(AE$229+AE$230+AE$231+AE$232+AE$239+AE$240+AE$234+AE$236+AE$242)</f>
        <v>22438.3044470912</v>
      </c>
      <c r="AF245" s="34" t="n">
        <f aca="false">V_ImpP*(AF$229+AF$230+AF$231+AF$232+AF$239+AF$240+AF$234+AF$236+AF$242)</f>
        <v>22438.3044470912</v>
      </c>
      <c r="AG245" s="34" t="n">
        <f aca="false">V_ImpP*(AG$229+AG$230+AG$231+AG$232+AG$239+AG$240+AG$234+AG$236+AG$242)</f>
        <v>22438.3044470912</v>
      </c>
      <c r="AH245" s="34" t="n">
        <f aca="false">V_ImpP*(AH$229+AH$230+AH$231+AH$232+AH$239+AH$240+AH$234+AH$236+AH$242)</f>
        <v>22438.3044470912</v>
      </c>
      <c r="AI245" s="34" t="n">
        <f aca="false">V_ImpP*(AI$229+AI$230+AI$231+AI$232+AI$239+AI$240+AI$234+AI$236+AI$242)</f>
        <v>22438.3044470912</v>
      </c>
      <c r="AJ245" s="34" t="n">
        <f aca="false">V_ImpP*(AJ$229+AJ$230+AJ$231+AJ$232+AJ$239+AJ$240+AJ$234+AJ$236+AJ$242)</f>
        <v>22438.3044470912</v>
      </c>
      <c r="AK245" s="34" t="n">
        <f aca="false">V_ImpP*(AK$229+AK$230+AK$231+AK$232+AK$239+AK$240+AK$234+AK$236+AK$242)</f>
        <v>22438.3044470912</v>
      </c>
      <c r="AL245" s="34" t="n">
        <f aca="false">V_ImpP*(AL$229+AL$230+AL$231+AL$232+AL$239+AL$240+AL$234+AL$236+AL$242)</f>
        <v>22438.3044470912</v>
      </c>
      <c r="AM245" s="34" t="n">
        <f aca="false">V_ImpP*(AM$229+AM$230+AM$231+AM$232+AM$239+AM$240+AM$234+AM$236+AM$242)</f>
        <v>22438.3044470912</v>
      </c>
      <c r="AN245" s="34" t="n">
        <f aca="false">V_ImpP*(AN$229+AN$230+AN$231+AN$232+AN$239+AN$240+AN$234+AN$236+AN$242)</f>
        <v>22438.3044470912</v>
      </c>
      <c r="AO245" s="34" t="n">
        <f aca="false">V_ImpP*(AO$229+AO$230+AO$231+AO$232+AO$239+AO$240+AO$234+AO$236+AO$242)</f>
        <v>22438.3044470912</v>
      </c>
      <c r="AP245" s="34" t="n">
        <f aca="false">V_ImpP*(AP$229+AP$230+AP$231+AP$232+AP$239+AP$240+AP$234+AP$236+AP$242)</f>
        <v>25354.7196483896</v>
      </c>
      <c r="AQ245" s="34" t="n">
        <f aca="false">V_ImpP*(AQ$229+AQ$230+AQ$231+AQ$232+AQ$239+AQ$240+AQ$234+AQ$236+AQ$242)</f>
        <v>25354.7196483896</v>
      </c>
      <c r="AR245" s="34" t="n">
        <f aca="false">V_ImpP*(AR$229+AR$230+AR$231+AR$232+AR$239+AR$240+AR$234+AR$236+AR$242)</f>
        <v>25354.7196483896</v>
      </c>
      <c r="AS245" s="34" t="n">
        <f aca="false">V_ImpP*(AS$229+AS$230+AS$231+AS$232+AS$239+AS$240+AS$234+AS$236+AS$242)</f>
        <v>25354.7196483896</v>
      </c>
      <c r="AT245" s="34" t="n">
        <f aca="false">V_ImpP*(AT$229+AT$230+AT$231+AT$232+AT$239+AT$240+AT$234+AT$236+AT$242)</f>
        <v>25354.7196483896</v>
      </c>
      <c r="AU245" s="34" t="n">
        <f aca="false">V_ImpP*(AU$229+AU$230+AU$231+AU$232+AU$239+AU$240+AU$234+AU$236+AU$242)</f>
        <v>25354.7196483896</v>
      </c>
      <c r="AV245" s="34" t="n">
        <f aca="false">V_ImpP*(AV$229+AV$230+AV$231+AV$232+AV$239+AV$240+AV$234+AV$236+AV$242)</f>
        <v>25354.7196483896</v>
      </c>
      <c r="AW245" s="34" t="n">
        <f aca="false">V_ImpP*(AW$229+AW$230+AW$231+AW$232+AW$239+AW$240+AW$234+AW$236+AW$242)</f>
        <v>25354.7196483896</v>
      </c>
      <c r="AX245" s="34" t="n">
        <f aca="false">V_ImpP*(AX$229+AX$230+AX$231+AX$232+AX$239+AX$240+AX$234+AX$236+AX$242)</f>
        <v>25354.7196483896</v>
      </c>
      <c r="AY245" s="34" t="n">
        <f aca="false">V_ImpP*(AY$229+AY$230+AY$231+AY$232+AY$239+AY$240+AY$234+AY$236+AY$242)</f>
        <v>25354.7196483896</v>
      </c>
      <c r="AZ245" s="34" t="n">
        <f aca="false">V_ImpP*(AZ$229+AZ$230+AZ$231+AZ$232+AZ$239+AZ$240+AZ$234+AZ$236+AZ$242)</f>
        <v>25354.7196483896</v>
      </c>
      <c r="BA245" s="34" t="n">
        <f aca="false">V_ImpP*(BA$229+BA$230+BA$231+BA$232+BA$239+BA$240+BA$234+BA$236+BA$242)</f>
        <v>25354.7196483896</v>
      </c>
      <c r="BB245" s="34" t="n">
        <f aca="false">V_ImpP*(BB$229+BB$230+BB$231+BB$232+BB$239+BB$240+BB$234+BB$236+BB$242)</f>
        <v>25605.3421761632</v>
      </c>
      <c r="BC245" s="34" t="n">
        <f aca="false">V_ImpP*(BC$229+BC$230+BC$231+BC$232+BC$239+BC$240+BC$234+BC$236+BC$242)</f>
        <v>25605.3421761632</v>
      </c>
      <c r="BD245" s="34" t="n">
        <f aca="false">V_ImpP*(BD$229+BD$230+BD$231+BD$232+BD$239+BD$240+BD$234+BD$236+BD$242)</f>
        <v>25605.3421761632</v>
      </c>
      <c r="BE245" s="34" t="n">
        <f aca="false">V_ImpP*(BE$229+BE$230+BE$231+BE$232+BE$239+BE$240+BE$234+BE$236+BE$242)</f>
        <v>25605.3421761632</v>
      </c>
      <c r="BF245" s="34" t="n">
        <f aca="false">V_ImpP*(BF$229+BF$230+BF$231+BF$232+BF$239+BF$240+BF$234+BF$236+BF$242)</f>
        <v>25605.3421761632</v>
      </c>
      <c r="BG245" s="34" t="n">
        <f aca="false">V_ImpP*(BG$229+BG$230+BG$231+BG$232+BG$239+BG$240+BG$234+BG$236+BG$242)</f>
        <v>25605.3421761632</v>
      </c>
      <c r="BH245" s="34" t="n">
        <f aca="false">V_ImpP*(BH$229+BH$230+BH$231+BH$232+BH$239+BH$240+BH$234+BH$236+BH$242)</f>
        <v>25605.3421761632</v>
      </c>
      <c r="BI245" s="34" t="n">
        <f aca="false">V_ImpP*(BI$229+BI$230+BI$231+BI$232+BI$239+BI$240+BI$234+BI$236+BI$242)</f>
        <v>25605.3421761632</v>
      </c>
      <c r="BJ245" s="34" t="n">
        <f aca="false">V_ImpP*(BJ$229+BJ$230+BJ$231+BJ$232+BJ$239+BJ$240+BJ$234+BJ$236+BJ$242)</f>
        <v>25605.3421761632</v>
      </c>
      <c r="BK245" s="34" t="n">
        <f aca="false">V_ImpP*(BK$229+BK$230+BK$231+BK$232+BK$239+BK$240+BK$234+BK$236+BK$242)</f>
        <v>25605.3421761632</v>
      </c>
      <c r="BL245" s="34" t="n">
        <f aca="false">V_ImpP*(BL$229+BL$230+BL$231+BL$232+BL$239+BL$240+BL$234+BL$236+BL$242)</f>
        <v>25605.3421761632</v>
      </c>
      <c r="BM245" s="34" t="n">
        <f aca="false">V_ImpP*(BM$229+BM$230+BM$231+BM$232+BM$239+BM$240+BM$234+BM$236+BM$242)</f>
        <v>25605.3421761632</v>
      </c>
      <c r="BN245" s="34" t="n">
        <f aca="false">V_ImpP*(BN$229+BN$230+BN$231+BN$232+BN$239+BN$240+BN$234+BN$236+BN$242)</f>
        <v>25726.7493753587</v>
      </c>
      <c r="BO245" s="34" t="n">
        <f aca="false">V_ImpP*(BO$229+BO$230+BO$231+BO$232+BO$239+BO$240+BO$234+BO$236+BO$242)</f>
        <v>25726.7493753587</v>
      </c>
      <c r="BP245" s="34" t="n">
        <f aca="false">V_ImpP*(BP$229+BP$230+BP$231+BP$232+BP$239+BP$240+BP$234+BP$236+BP$242)</f>
        <v>25726.7493753587</v>
      </c>
      <c r="BQ245" s="34" t="n">
        <f aca="false">V_ImpP*(BQ$229+BQ$230+BQ$231+BQ$232+BQ$239+BQ$240+BQ$234+BQ$236+BQ$242)</f>
        <v>25726.7493753587</v>
      </c>
      <c r="BR245" s="34" t="n">
        <f aca="false">V_ImpP*(BR$229+BR$230+BR$231+BR$232+BR$239+BR$240+BR$234+BR$236+BR$242)</f>
        <v>25726.7493753587</v>
      </c>
      <c r="BS245" s="34" t="n">
        <f aca="false">V_ImpP*(BS$229+BS$230+BS$231+BS$232+BS$239+BS$240+BS$234+BS$236+BS$242)</f>
        <v>25726.7493753587</v>
      </c>
      <c r="BT245" s="34" t="n">
        <f aca="false">V_ImpP*(BT$229+BT$230+BT$231+BT$232+BT$239+BT$240+BT$234+BT$236+BT$242)</f>
        <v>25726.7493753587</v>
      </c>
      <c r="BU245" s="34" t="n">
        <f aca="false">V_ImpP*(BU$229+BU$230+BU$231+BU$232+BU$239+BU$240+BU$234+BU$236+BU$242)</f>
        <v>25726.7493753587</v>
      </c>
      <c r="BV245" s="34" t="n">
        <f aca="false">V_ImpP*(BV$229+BV$230+BV$231+BV$232+BV$239+BV$240+BV$234+BV$236+BV$242)</f>
        <v>25726.7493753587</v>
      </c>
      <c r="BW245" s="34" t="n">
        <f aca="false">V_ImpP*(BW$229+BW$230+BW$231+BW$232+BW$239+BW$240+BW$234+BW$236+BW$242)</f>
        <v>25726.7493753587</v>
      </c>
      <c r="BX245" s="34" t="n">
        <f aca="false">V_ImpP*(BX$229+BX$230+BX$231+BX$232+BX$239+BX$240+BX$234+BX$236+BX$242)</f>
        <v>25726.7493753587</v>
      </c>
      <c r="BY245" s="34" t="n">
        <f aca="false">V_ImpP*(BY$229+BY$230+BY$231+BY$232+BY$239+BY$240+BY$234+BY$236+BY$242)</f>
        <v>25726.7493753587</v>
      </c>
      <c r="BZ245" s="34" t="n">
        <f aca="false">V_ImpP*(BZ$229+BZ$230+BZ$231+BZ$232+BZ$239+BZ$240+BZ$234+BZ$236+BZ$242)</f>
        <v>25849.3974439944</v>
      </c>
      <c r="CA245" s="34" t="n">
        <f aca="false">V_ImpP*(CA$229+CA$230+CA$231+CA$232+CA$239+CA$240+CA$234+CA$236+CA$242)</f>
        <v>25849.3974439944</v>
      </c>
      <c r="CB245" s="34" t="n">
        <f aca="false">V_ImpP*(CB$229+CB$230+CB$231+CB$232+CB$239+CB$240+CB$234+CB$236+CB$242)</f>
        <v>25849.3974439944</v>
      </c>
      <c r="CC245" s="34" t="n">
        <f aca="false">V_ImpP*(CC$229+CC$230+CC$231+CC$232+CC$239+CC$240+CC$234+CC$236+CC$242)</f>
        <v>25849.3974439944</v>
      </c>
      <c r="CD245" s="34" t="n">
        <f aca="false">V_ImpP*(CD$229+CD$230+CD$231+CD$232+CD$239+CD$240+CD$234+CD$236+CD$242)</f>
        <v>25849.3974439944</v>
      </c>
      <c r="CE245" s="34" t="n">
        <f aca="false">V_ImpP*(CE$229+CE$230+CE$231+CE$232+CE$239+CE$240+CE$234+CE$236+CE$242)</f>
        <v>25849.3974439944</v>
      </c>
      <c r="CF245" s="34" t="n">
        <f aca="false">V_ImpP*(CF$229+CF$230+CF$231+CF$232+CF$239+CF$240+CF$234+CF$236+CF$242)</f>
        <v>25849.3974439944</v>
      </c>
      <c r="CG245" s="34" t="n">
        <f aca="false">V_ImpP*(CG$229+CG$230+CG$231+CG$232+CG$239+CG$240+CG$234+CG$236+CG$242)</f>
        <v>25849.3974439944</v>
      </c>
      <c r="CH245" s="34" t="n">
        <f aca="false">V_ImpP*(CH$229+CH$230+CH$231+CH$232+CH$239+CH$240+CH$234+CH$236+CH$242)</f>
        <v>25849.3974439944</v>
      </c>
      <c r="CI245" s="34" t="n">
        <f aca="false">V_ImpP*(CI$229+CI$230+CI$231+CI$232+CI$239+CI$240+CI$234+CI$236+CI$242)</f>
        <v>25849.3974439944</v>
      </c>
      <c r="CJ245" s="34" t="n">
        <f aca="false">V_ImpP*(CJ$229+CJ$230+CJ$231+CJ$232+CJ$239+CJ$240+CJ$234+CJ$236+CJ$242)</f>
        <v>25849.3974439944</v>
      </c>
      <c r="CK245" s="34" t="n">
        <f aca="false">V_ImpP*(CK$229+CK$230+CK$231+CK$232+CK$239+CK$240+CK$234+CK$236+CK$242)</f>
        <v>25849.3974439944</v>
      </c>
      <c r="CL245" s="34" t="n">
        <f aca="false">V_ImpP*(CL$229+CL$230+CL$231+CL$232+CL$239+CL$240+CL$234+CL$236+CL$242)</f>
        <v>25973.2993267137</v>
      </c>
      <c r="CM245" s="34" t="n">
        <f aca="false">V_ImpP*(CM$229+CM$230+CM$231+CM$232+CM$239+CM$240+CM$234+CM$236+CM$242)</f>
        <v>25973.2993267137</v>
      </c>
      <c r="CN245" s="34" t="n">
        <f aca="false">V_ImpP*(CN$229+CN$230+CN$231+CN$232+CN$239+CN$240+CN$234+CN$236+CN$242)</f>
        <v>25973.2993267137</v>
      </c>
      <c r="CO245" s="34" t="n">
        <f aca="false">V_ImpP*(CO$229+CO$230+CO$231+CO$232+CO$239+CO$240+CO$234+CO$236+CO$242)</f>
        <v>25973.2993267137</v>
      </c>
      <c r="CP245" s="34" t="n">
        <f aca="false">V_ImpP*(CP$229+CP$230+CP$231+CP$232+CP$239+CP$240+CP$234+CP$236+CP$242)</f>
        <v>25973.2993267137</v>
      </c>
      <c r="CQ245" s="34" t="n">
        <f aca="false">V_ImpP*(CQ$229+CQ$230+CQ$231+CQ$232+CQ$239+CQ$240+CQ$234+CQ$236+CQ$242)</f>
        <v>25973.2993267137</v>
      </c>
      <c r="CR245" s="34" t="n">
        <f aca="false">V_ImpP*(CR$229+CR$230+CR$231+CR$232+CR$239+CR$240+CR$234+CR$236+CR$242)</f>
        <v>25973.2993267137</v>
      </c>
      <c r="CS245" s="34" t="n">
        <f aca="false">V_ImpP*(CS$229+CS$230+CS$231+CS$232+CS$239+CS$240+CS$234+CS$236+CS$242)</f>
        <v>25973.2993267137</v>
      </c>
      <c r="CT245" s="34" t="n">
        <f aca="false">V_ImpP*(CT$229+CT$230+CT$231+CT$232+CT$239+CT$240+CT$234+CT$236+CT$242)</f>
        <v>25973.2993267137</v>
      </c>
      <c r="CU245" s="34" t="n">
        <f aca="false">V_ImpP*(CU$229+CU$230+CU$231+CU$232+CU$239+CU$240+CU$234+CU$236+CU$242)</f>
        <v>25973.2993267137</v>
      </c>
      <c r="CV245" s="34" t="n">
        <f aca="false">V_ImpP*(CV$229+CV$230+CV$231+CV$232+CV$239+CV$240+CV$234+CV$236+CV$242)</f>
        <v>25973.2993267137</v>
      </c>
      <c r="CW245" s="34" t="n">
        <f aca="false">V_ImpP*(CW$229+CW$230+CW$231+CW$232+CW$239+CW$240+CW$234+CW$236+CW$242)</f>
        <v>25973.2993267137</v>
      </c>
      <c r="CX245" s="34" t="n">
        <f aca="false">V_ImpP*(CX$229+CX$230+CX$231+CX$232+CX$239+CX$240+CX$234+CX$236+CX$242)</f>
        <v>26098.4681083253</v>
      </c>
      <c r="CY245" s="34" t="n">
        <f aca="false">V_ImpP*(CY$229+CY$230+CY$231+CY$232+CY$239+CY$240+CY$234+CY$236+CY$242)</f>
        <v>26098.4681083253</v>
      </c>
      <c r="CZ245" s="34" t="n">
        <f aca="false">V_ImpP*(CZ$229+CZ$230+CZ$231+CZ$232+CZ$239+CZ$240+CZ$234+CZ$236+CZ$242)</f>
        <v>26098.4681083253</v>
      </c>
      <c r="DA245" s="34" t="n">
        <f aca="false">V_ImpP*(DA$229+DA$230+DA$231+DA$232+DA$239+DA$240+DA$234+DA$236+DA$242)</f>
        <v>26098.4681083253</v>
      </c>
      <c r="DB245" s="34" t="n">
        <f aca="false">V_ImpP*(DB$229+DB$230+DB$231+DB$232+DB$239+DB$240+DB$234+DB$236+DB$242)</f>
        <v>26098.4681083253</v>
      </c>
      <c r="DC245" s="34" t="n">
        <f aca="false">V_ImpP*(DC$229+DC$230+DC$231+DC$232+DC$239+DC$240+DC$234+DC$236+DC$242)</f>
        <v>26098.4681083253</v>
      </c>
      <c r="DD245" s="34" t="n">
        <f aca="false">V_ImpP*(DD$229+DD$230+DD$231+DD$232+DD$239+DD$240+DD$234+DD$236+DD$242)</f>
        <v>26098.4681083253</v>
      </c>
      <c r="DE245" s="34" t="n">
        <f aca="false">V_ImpP*(DE$229+DE$230+DE$231+DE$232+DE$239+DE$240+DE$234+DE$236+DE$242)</f>
        <v>26098.4681083253</v>
      </c>
      <c r="DF245" s="34" t="n">
        <f aca="false">V_ImpP*(DF$229+DF$230+DF$231+DF$232+DF$239+DF$240+DF$234+DF$236+DF$242)</f>
        <v>26098.4681083253</v>
      </c>
      <c r="DG245" s="34" t="n">
        <f aca="false">V_ImpP*(DG$229+DG$230+DG$231+DG$232+DG$239+DG$240+DG$234+DG$236+DG$242)</f>
        <v>26098.4681083253</v>
      </c>
      <c r="DH245" s="34" t="n">
        <f aca="false">V_ImpP*(DH$229+DH$230+DH$231+DH$232+DH$239+DH$240+DH$234+DH$236+DH$242)</f>
        <v>26098.4681083253</v>
      </c>
      <c r="DI245" s="34" t="n">
        <f aca="false">V_ImpP*(DI$229+DI$230+DI$231+DI$232+DI$239+DI$240+DI$234+DI$236+DI$242)</f>
        <v>26098.4681083253</v>
      </c>
      <c r="DJ245" s="34" t="n">
        <f aca="false">V_ImpP*(DJ$229+DJ$230+DJ$231+DJ$232+DJ$239+DJ$240+DJ$234+DJ$236+DJ$242)</f>
        <v>26224.9170154195</v>
      </c>
      <c r="DK245" s="34" t="n">
        <f aca="false">V_ImpP*(DK$229+DK$230+DK$231+DK$232+DK$239+DK$240+DK$234+DK$236+DK$242)</f>
        <v>26224.9170154195</v>
      </c>
      <c r="DL245" s="34" t="n">
        <f aca="false">V_ImpP*(DL$229+DL$230+DL$231+DL$232+DL$239+DL$240+DL$234+DL$236+DL$242)</f>
        <v>26224.9170154195</v>
      </c>
      <c r="DM245" s="34" t="n">
        <f aca="false">V_ImpP*(DM$229+DM$230+DM$231+DM$232+DM$239+DM$240+DM$234+DM$236+DM$242)</f>
        <v>26224.9170154195</v>
      </c>
      <c r="DN245" s="34" t="n">
        <f aca="false">V_ImpP*(DN$229+DN$230+DN$231+DN$232+DN$239+DN$240+DN$234+DN$236+DN$242)</f>
        <v>26224.9170154195</v>
      </c>
      <c r="DO245" s="34" t="n">
        <f aca="false">V_ImpP*(DO$229+DO$230+DO$231+DO$232+DO$239+DO$240+DO$234+DO$236+DO$242)</f>
        <v>26224.9170154195</v>
      </c>
      <c r="DP245" s="34" t="n">
        <f aca="false">V_ImpP*(DP$229+DP$230+DP$231+DP$232+DP$239+DP$240+DP$234+DP$236+DP$242)</f>
        <v>26224.9170154195</v>
      </c>
      <c r="DQ245" s="34" t="n">
        <f aca="false">V_ImpP*(DQ$229+DQ$230+DQ$231+DQ$232+DQ$239+DQ$240+DQ$234+DQ$236+DQ$242)</f>
        <v>26224.9170154195</v>
      </c>
      <c r="DR245" s="34" t="n">
        <f aca="false">V_ImpP*(DR$229+DR$230+DR$231+DR$232+DR$239+DR$240+DR$234+DR$236+DR$242)</f>
        <v>26224.9170154195</v>
      </c>
      <c r="DS245" s="34" t="n">
        <f aca="false">V_ImpP*(DS$229+DS$230+DS$231+DS$232+DS$239+DS$240+DS$234+DS$236+DS$242)</f>
        <v>26224.9170154195</v>
      </c>
      <c r="DT245" s="34" t="n">
        <f aca="false">V_ImpP*(DT$229+DT$230+DT$231+DT$232+DT$239+DT$240+DT$234+DT$236+DT$242)</f>
        <v>26224.9170154195</v>
      </c>
      <c r="DU245" s="34" t="n">
        <f aca="false">V_ImpP*(DU$229+DU$230+DU$231+DU$232+DU$239+DU$240+DU$234+DU$236+DU$242)</f>
        <v>26224.9170154195</v>
      </c>
      <c r="DV245" s="34" t="n">
        <f aca="false">V_ImpP*(DV$229+DV$230+DV$231+DV$232+DV$239+DV$240+DV$234+DV$236+DV$242)</f>
        <v>0</v>
      </c>
      <c r="DW245" s="34" t="n">
        <f aca="false">V_ImpP*(DW$229+DW$230+DW$231+DW$232+DW$239+DW$240+DW$234+DW$236+DW$242)</f>
        <v>0</v>
      </c>
      <c r="DX245" s="34" t="n">
        <f aca="false">V_ImpP*(DX$229+DX$230+DX$231+DX$232+DX$239+DX$240+DX$234+DX$236+DX$242)</f>
        <v>0</v>
      </c>
      <c r="DY245" s="34" t="n">
        <f aca="false">V_ImpP*(DY$229+DY$230+DY$231+DY$232+DY$239+DY$240+DY$234+DY$236+DY$242)</f>
        <v>0</v>
      </c>
      <c r="DZ245" s="34" t="n">
        <f aca="false">V_ImpP*(DZ$229+DZ$230+DZ$231+DZ$232+DZ$239+DZ$240+DZ$234+DZ$236+DZ$242)</f>
        <v>0</v>
      </c>
      <c r="EA245" s="34" t="n">
        <f aca="false">V_ImpP*(EA$229+EA$230+EA$231+EA$232+EA$239+EA$240+EA$234+EA$236+EA$242)</f>
        <v>0</v>
      </c>
      <c r="EB245" s="34" t="n">
        <f aca="false">V_ImpP*(EB$229+EB$230+EB$231+EB$232+EB$239+EB$240+EB$234+EB$236+EB$242)</f>
        <v>0</v>
      </c>
      <c r="EC245" s="34" t="n">
        <f aca="false">V_ImpP*(EC$229+EC$230+EC$231+EC$232+EC$239+EC$240+EC$234+EC$236+EC$242)</f>
        <v>0</v>
      </c>
      <c r="ED245" s="34" t="n">
        <f aca="false">V_ImpP*(ED$229+ED$230+ED$231+ED$232+ED$239+ED$240+ED$234+ED$236+ED$242)</f>
        <v>0</v>
      </c>
      <c r="EE245" s="34" t="n">
        <f aca="false">V_ImpP*(EE$229+EE$230+EE$231+EE$232+EE$239+EE$240+EE$234+EE$236+EE$242)</f>
        <v>0</v>
      </c>
      <c r="EF245" s="34" t="n">
        <f aca="false">V_ImpP*(EF$229+EF$230+EF$231+EF$232+EF$239+EF$240+EF$234+EF$236+EF$242)</f>
        <v>0</v>
      </c>
      <c r="EG245" s="34" t="n">
        <f aca="false">V_ImpP*(EG$229+EG$230+EG$231+EG$232+EG$239+EG$240+EG$234+EG$236+EG$242)</f>
        <v>0</v>
      </c>
      <c r="EH245" s="34" t="n">
        <f aca="false">V_ImpP*(EH$229+EH$230+EH$231+EH$232+EH$239+EH$240+EH$234+EH$236+EH$242)</f>
        <v>0</v>
      </c>
      <c r="EI245" s="34" t="n">
        <f aca="false">V_ImpP*(EI$229+EI$230+EI$231+EI$232+EI$239+EI$240+EI$234+EI$236+EI$242)</f>
        <v>0</v>
      </c>
      <c r="EJ245" s="34" t="n">
        <f aca="false">V_ImpP*(EJ$229+EJ$230+EJ$231+EJ$232+EJ$239+EJ$240+EJ$234+EJ$236+EJ$242)</f>
        <v>0</v>
      </c>
      <c r="EK245" s="34" t="n">
        <f aca="false">V_ImpP*(EK$229+EK$230+EK$231+EK$232+EK$239+EK$240+EK$234+EK$236+EK$242)</f>
        <v>0</v>
      </c>
      <c r="EL245" s="34" t="n">
        <f aca="false">V_ImpP*(EL$229+EL$230+EL$231+EL$232+EL$239+EL$240+EL$234+EL$236+EL$242)</f>
        <v>0</v>
      </c>
      <c r="EM245" s="34" t="n">
        <f aca="false">V_ImpP*(EM$229+EM$230+EM$231+EM$232+EM$239+EM$240+EM$234+EM$236+EM$242)</f>
        <v>0</v>
      </c>
      <c r="EN245" s="34" t="n">
        <f aca="false">V_ImpP*(EN$229+EN$230+EN$231+EN$232+EN$239+EN$240+EN$234+EN$236+EN$242)</f>
        <v>0</v>
      </c>
      <c r="EO245" s="34" t="n">
        <f aca="false">V_ImpP*(EO$229+EO$230+EO$231+EO$232+EO$239+EO$240+EO$234+EO$236+EO$242)</f>
        <v>0</v>
      </c>
      <c r="EP245" s="34" t="n">
        <f aca="false">V_ImpP*(EP$229+EP$230+EP$231+EP$232+EP$239+EP$240+EP$234+EP$236+EP$242)</f>
        <v>0</v>
      </c>
      <c r="EQ245" s="34" t="n">
        <f aca="false">V_ImpP*(EQ$229+EQ$230+EQ$231+EQ$232+EQ$239+EQ$240+EQ$234+EQ$236+EQ$242)</f>
        <v>0</v>
      </c>
      <c r="ER245" s="34" t="n">
        <f aca="false">V_ImpP*(ER$229+ER$230+ER$231+ER$232+ER$239+ER$240+ER$234+ER$236+ER$242)</f>
        <v>0</v>
      </c>
      <c r="ES245" s="34" t="n">
        <f aca="false">V_ImpP*(ES$229+ES$230+ES$231+ES$232+ES$239+ES$240+ES$234+ES$236+ES$242)</f>
        <v>0</v>
      </c>
    </row>
    <row r="246" customFormat="false" ht="15" hidden="false" customHeight="false" outlineLevel="0" collapsed="false">
      <c r="A246" s="2" t="s">
        <v>887</v>
      </c>
      <c r="B246" s="6" t="s">
        <v>672</v>
      </c>
      <c r="C246" s="6" t="s">
        <v>250</v>
      </c>
      <c r="E246" s="40" t="n">
        <f aca="false">SUM(F246:ES246)</f>
        <v>84447.4408340548</v>
      </c>
      <c r="F246" s="34" t="n">
        <f aca="false">V_ImpA*(F$238+F$244)</f>
        <v>703.728673617123</v>
      </c>
      <c r="G246" s="34" t="n">
        <f aca="false">V_ImpA*(G$238+G$244)</f>
        <v>703.728673617123</v>
      </c>
      <c r="H246" s="34" t="n">
        <f aca="false">V_ImpA*(H$238+H$244)</f>
        <v>703.728673617123</v>
      </c>
      <c r="I246" s="34" t="n">
        <f aca="false">V_ImpA*(I$238+I$244)</f>
        <v>703.728673617123</v>
      </c>
      <c r="J246" s="34" t="n">
        <f aca="false">V_ImpA*(J$238+J$244)</f>
        <v>703.728673617123</v>
      </c>
      <c r="K246" s="34" t="n">
        <f aca="false">V_ImpA*(K$238+K$244)</f>
        <v>703.728673617123</v>
      </c>
      <c r="L246" s="34" t="n">
        <f aca="false">V_ImpA*(L$238+L$244)</f>
        <v>703.728673617123</v>
      </c>
      <c r="M246" s="34" t="n">
        <f aca="false">V_ImpA*(M$238+M$244)</f>
        <v>703.728673617123</v>
      </c>
      <c r="N246" s="34" t="n">
        <f aca="false">V_ImpA*(N$238+N$244)</f>
        <v>703.728673617123</v>
      </c>
      <c r="O246" s="34" t="n">
        <f aca="false">V_ImpA*(O$238+O$244)</f>
        <v>703.728673617123</v>
      </c>
      <c r="P246" s="34" t="n">
        <f aca="false">V_ImpA*(P$238+P$244)</f>
        <v>703.728673617123</v>
      </c>
      <c r="Q246" s="34" t="n">
        <f aca="false">V_ImpA*(Q$238+Q$244)</f>
        <v>703.728673617123</v>
      </c>
      <c r="R246" s="34" t="n">
        <f aca="false">V_ImpA*(R$238+R$244)</f>
        <v>703.728673617123</v>
      </c>
      <c r="S246" s="34" t="n">
        <f aca="false">V_ImpA*(S$238+S$244)</f>
        <v>703.728673617123</v>
      </c>
      <c r="T246" s="34" t="n">
        <f aca="false">V_ImpA*(T$238+T$244)</f>
        <v>703.728673617123</v>
      </c>
      <c r="U246" s="34" t="n">
        <f aca="false">V_ImpA*(U$238+U$244)</f>
        <v>703.728673617123</v>
      </c>
      <c r="V246" s="34" t="n">
        <f aca="false">V_ImpA*(V$238+V$244)</f>
        <v>703.728673617123</v>
      </c>
      <c r="W246" s="34" t="n">
        <f aca="false">V_ImpA*(W$238+W$244)</f>
        <v>703.728673617123</v>
      </c>
      <c r="X246" s="34" t="n">
        <f aca="false">V_ImpA*(X$238+X$244)</f>
        <v>703.728673617123</v>
      </c>
      <c r="Y246" s="34" t="n">
        <f aca="false">V_ImpA*(Y$238+Y$244)</f>
        <v>703.728673617123</v>
      </c>
      <c r="Z246" s="34" t="n">
        <f aca="false">V_ImpA*(Z$238+Z$244)</f>
        <v>703.728673617123</v>
      </c>
      <c r="AA246" s="34" t="n">
        <f aca="false">V_ImpA*(AA$238+AA$244)</f>
        <v>703.728673617123</v>
      </c>
      <c r="AB246" s="34" t="n">
        <f aca="false">V_ImpA*(AB$238+AB$244)</f>
        <v>703.728673617123</v>
      </c>
      <c r="AC246" s="34" t="n">
        <f aca="false">V_ImpA*(AC$238+AC$244)</f>
        <v>703.728673617123</v>
      </c>
      <c r="AD246" s="34" t="n">
        <f aca="false">V_ImpA*(AD$238+AD$244)</f>
        <v>703.728673617123</v>
      </c>
      <c r="AE246" s="34" t="n">
        <f aca="false">V_ImpA*(AE$238+AE$244)</f>
        <v>703.728673617123</v>
      </c>
      <c r="AF246" s="34" t="n">
        <f aca="false">V_ImpA*(AF$238+AF$244)</f>
        <v>703.728673617123</v>
      </c>
      <c r="AG246" s="34" t="n">
        <f aca="false">V_ImpA*(AG$238+AG$244)</f>
        <v>703.728673617123</v>
      </c>
      <c r="AH246" s="34" t="n">
        <f aca="false">V_ImpA*(AH$238+AH$244)</f>
        <v>703.728673617123</v>
      </c>
      <c r="AI246" s="34" t="n">
        <f aca="false">V_ImpA*(AI$238+AI$244)</f>
        <v>703.728673617123</v>
      </c>
      <c r="AJ246" s="34" t="n">
        <f aca="false">V_ImpA*(AJ$238+AJ$244)</f>
        <v>703.728673617123</v>
      </c>
      <c r="AK246" s="34" t="n">
        <f aca="false">V_ImpA*(AK$238+AK$244)</f>
        <v>703.728673617123</v>
      </c>
      <c r="AL246" s="34" t="n">
        <f aca="false">V_ImpA*(AL$238+AL$244)</f>
        <v>703.728673617123</v>
      </c>
      <c r="AM246" s="34" t="n">
        <f aca="false">V_ImpA*(AM$238+AM$244)</f>
        <v>703.728673617123</v>
      </c>
      <c r="AN246" s="34" t="n">
        <f aca="false">V_ImpA*(AN$238+AN$244)</f>
        <v>703.728673617123</v>
      </c>
      <c r="AO246" s="34" t="n">
        <f aca="false">V_ImpA*(AO$238+AO$244)</f>
        <v>703.728673617123</v>
      </c>
      <c r="AP246" s="34" t="n">
        <f aca="false">V_ImpA*(AP$238+AP$244)</f>
        <v>703.728673617123</v>
      </c>
      <c r="AQ246" s="34" t="n">
        <f aca="false">V_ImpA*(AQ$238+AQ$244)</f>
        <v>703.728673617123</v>
      </c>
      <c r="AR246" s="34" t="n">
        <f aca="false">V_ImpA*(AR$238+AR$244)</f>
        <v>703.728673617123</v>
      </c>
      <c r="AS246" s="34" t="n">
        <f aca="false">V_ImpA*(AS$238+AS$244)</f>
        <v>703.728673617123</v>
      </c>
      <c r="AT246" s="34" t="n">
        <f aca="false">V_ImpA*(AT$238+AT$244)</f>
        <v>703.728673617123</v>
      </c>
      <c r="AU246" s="34" t="n">
        <f aca="false">V_ImpA*(AU$238+AU$244)</f>
        <v>703.728673617123</v>
      </c>
      <c r="AV246" s="34" t="n">
        <f aca="false">V_ImpA*(AV$238+AV$244)</f>
        <v>703.728673617123</v>
      </c>
      <c r="AW246" s="34" t="n">
        <f aca="false">V_ImpA*(AW$238+AW$244)</f>
        <v>703.728673617123</v>
      </c>
      <c r="AX246" s="34" t="n">
        <f aca="false">V_ImpA*(AX$238+AX$244)</f>
        <v>703.728673617123</v>
      </c>
      <c r="AY246" s="34" t="n">
        <f aca="false">V_ImpA*(AY$238+AY$244)</f>
        <v>703.728673617123</v>
      </c>
      <c r="AZ246" s="34" t="n">
        <f aca="false">V_ImpA*(AZ$238+AZ$244)</f>
        <v>703.728673617123</v>
      </c>
      <c r="BA246" s="34" t="n">
        <f aca="false">V_ImpA*(BA$238+BA$244)</f>
        <v>703.728673617123</v>
      </c>
      <c r="BB246" s="34" t="n">
        <f aca="false">V_ImpA*(BB$238+BB$244)</f>
        <v>703.728673617123</v>
      </c>
      <c r="BC246" s="34" t="n">
        <f aca="false">V_ImpA*(BC$238+BC$244)</f>
        <v>703.728673617123</v>
      </c>
      <c r="BD246" s="34" t="n">
        <f aca="false">V_ImpA*(BD$238+BD$244)</f>
        <v>703.728673617123</v>
      </c>
      <c r="BE246" s="34" t="n">
        <f aca="false">V_ImpA*(BE$238+BE$244)</f>
        <v>703.728673617123</v>
      </c>
      <c r="BF246" s="34" t="n">
        <f aca="false">V_ImpA*(BF$238+BF$244)</f>
        <v>703.728673617123</v>
      </c>
      <c r="BG246" s="34" t="n">
        <f aca="false">V_ImpA*(BG$238+BG$244)</f>
        <v>703.728673617123</v>
      </c>
      <c r="BH246" s="34" t="n">
        <f aca="false">V_ImpA*(BH$238+BH$244)</f>
        <v>703.728673617123</v>
      </c>
      <c r="BI246" s="34" t="n">
        <f aca="false">V_ImpA*(BI$238+BI$244)</f>
        <v>703.728673617123</v>
      </c>
      <c r="BJ246" s="34" t="n">
        <f aca="false">V_ImpA*(BJ$238+BJ$244)</f>
        <v>703.728673617123</v>
      </c>
      <c r="BK246" s="34" t="n">
        <f aca="false">V_ImpA*(BK$238+BK$244)</f>
        <v>703.728673617123</v>
      </c>
      <c r="BL246" s="34" t="n">
        <f aca="false">V_ImpA*(BL$238+BL$244)</f>
        <v>703.728673617123</v>
      </c>
      <c r="BM246" s="34" t="n">
        <f aca="false">V_ImpA*(BM$238+BM$244)</f>
        <v>703.728673617123</v>
      </c>
      <c r="BN246" s="34" t="n">
        <f aca="false">V_ImpA*(BN$238+BN$244)</f>
        <v>703.728673617123</v>
      </c>
      <c r="BO246" s="34" t="n">
        <f aca="false">V_ImpA*(BO$238+BO$244)</f>
        <v>703.728673617123</v>
      </c>
      <c r="BP246" s="34" t="n">
        <f aca="false">V_ImpA*(BP$238+BP$244)</f>
        <v>703.728673617123</v>
      </c>
      <c r="BQ246" s="34" t="n">
        <f aca="false">V_ImpA*(BQ$238+BQ$244)</f>
        <v>703.728673617123</v>
      </c>
      <c r="BR246" s="34" t="n">
        <f aca="false">V_ImpA*(BR$238+BR$244)</f>
        <v>703.728673617123</v>
      </c>
      <c r="BS246" s="34" t="n">
        <f aca="false">V_ImpA*(BS$238+BS$244)</f>
        <v>703.728673617123</v>
      </c>
      <c r="BT246" s="34" t="n">
        <f aca="false">V_ImpA*(BT$238+BT$244)</f>
        <v>703.728673617123</v>
      </c>
      <c r="BU246" s="34" t="n">
        <f aca="false">V_ImpA*(BU$238+BU$244)</f>
        <v>703.728673617123</v>
      </c>
      <c r="BV246" s="34" t="n">
        <f aca="false">V_ImpA*(BV$238+BV$244)</f>
        <v>703.728673617123</v>
      </c>
      <c r="BW246" s="34" t="n">
        <f aca="false">V_ImpA*(BW$238+BW$244)</f>
        <v>703.728673617123</v>
      </c>
      <c r="BX246" s="34" t="n">
        <f aca="false">V_ImpA*(BX$238+BX$244)</f>
        <v>703.728673617123</v>
      </c>
      <c r="BY246" s="34" t="n">
        <f aca="false">V_ImpA*(BY$238+BY$244)</f>
        <v>703.728673617123</v>
      </c>
      <c r="BZ246" s="34" t="n">
        <f aca="false">V_ImpA*(BZ$238+BZ$244)</f>
        <v>703.728673617123</v>
      </c>
      <c r="CA246" s="34" t="n">
        <f aca="false">V_ImpA*(CA$238+CA$244)</f>
        <v>703.728673617123</v>
      </c>
      <c r="CB246" s="34" t="n">
        <f aca="false">V_ImpA*(CB$238+CB$244)</f>
        <v>703.728673617123</v>
      </c>
      <c r="CC246" s="34" t="n">
        <f aca="false">V_ImpA*(CC$238+CC$244)</f>
        <v>703.728673617123</v>
      </c>
      <c r="CD246" s="34" t="n">
        <f aca="false">V_ImpA*(CD$238+CD$244)</f>
        <v>703.728673617123</v>
      </c>
      <c r="CE246" s="34" t="n">
        <f aca="false">V_ImpA*(CE$238+CE$244)</f>
        <v>703.728673617123</v>
      </c>
      <c r="CF246" s="34" t="n">
        <f aca="false">V_ImpA*(CF$238+CF$244)</f>
        <v>703.728673617123</v>
      </c>
      <c r="CG246" s="34" t="n">
        <f aca="false">V_ImpA*(CG$238+CG$244)</f>
        <v>703.728673617123</v>
      </c>
      <c r="CH246" s="34" t="n">
        <f aca="false">V_ImpA*(CH$238+CH$244)</f>
        <v>703.728673617123</v>
      </c>
      <c r="CI246" s="34" t="n">
        <f aca="false">V_ImpA*(CI$238+CI$244)</f>
        <v>703.728673617123</v>
      </c>
      <c r="CJ246" s="34" t="n">
        <f aca="false">V_ImpA*(CJ$238+CJ$244)</f>
        <v>703.728673617123</v>
      </c>
      <c r="CK246" s="34" t="n">
        <f aca="false">V_ImpA*(CK$238+CK$244)</f>
        <v>703.728673617123</v>
      </c>
      <c r="CL246" s="34" t="n">
        <f aca="false">V_ImpA*(CL$238+CL$244)</f>
        <v>703.728673617123</v>
      </c>
      <c r="CM246" s="34" t="n">
        <f aca="false">V_ImpA*(CM$238+CM$244)</f>
        <v>703.728673617123</v>
      </c>
      <c r="CN246" s="34" t="n">
        <f aca="false">V_ImpA*(CN$238+CN$244)</f>
        <v>703.728673617123</v>
      </c>
      <c r="CO246" s="34" t="n">
        <f aca="false">V_ImpA*(CO$238+CO$244)</f>
        <v>703.728673617123</v>
      </c>
      <c r="CP246" s="34" t="n">
        <f aca="false">V_ImpA*(CP$238+CP$244)</f>
        <v>703.728673617123</v>
      </c>
      <c r="CQ246" s="34" t="n">
        <f aca="false">V_ImpA*(CQ$238+CQ$244)</f>
        <v>703.728673617123</v>
      </c>
      <c r="CR246" s="34" t="n">
        <f aca="false">V_ImpA*(CR$238+CR$244)</f>
        <v>703.728673617123</v>
      </c>
      <c r="CS246" s="34" t="n">
        <f aca="false">V_ImpA*(CS$238+CS$244)</f>
        <v>703.728673617123</v>
      </c>
      <c r="CT246" s="34" t="n">
        <f aca="false">V_ImpA*(CT$238+CT$244)</f>
        <v>703.728673617123</v>
      </c>
      <c r="CU246" s="34" t="n">
        <f aca="false">V_ImpA*(CU$238+CU$244)</f>
        <v>703.728673617123</v>
      </c>
      <c r="CV246" s="34" t="n">
        <f aca="false">V_ImpA*(CV$238+CV$244)</f>
        <v>703.728673617123</v>
      </c>
      <c r="CW246" s="34" t="n">
        <f aca="false">V_ImpA*(CW$238+CW$244)</f>
        <v>703.728673617123</v>
      </c>
      <c r="CX246" s="34" t="n">
        <f aca="false">V_ImpA*(CX$238+CX$244)</f>
        <v>703.728673617123</v>
      </c>
      <c r="CY246" s="34" t="n">
        <f aca="false">V_ImpA*(CY$238+CY$244)</f>
        <v>703.728673617123</v>
      </c>
      <c r="CZ246" s="34" t="n">
        <f aca="false">V_ImpA*(CZ$238+CZ$244)</f>
        <v>703.728673617123</v>
      </c>
      <c r="DA246" s="34" t="n">
        <f aca="false">V_ImpA*(DA$238+DA$244)</f>
        <v>703.728673617123</v>
      </c>
      <c r="DB246" s="34" t="n">
        <f aca="false">V_ImpA*(DB$238+DB$244)</f>
        <v>703.728673617123</v>
      </c>
      <c r="DC246" s="34" t="n">
        <f aca="false">V_ImpA*(DC$238+DC$244)</f>
        <v>703.728673617123</v>
      </c>
      <c r="DD246" s="34" t="n">
        <f aca="false">V_ImpA*(DD$238+DD$244)</f>
        <v>703.728673617123</v>
      </c>
      <c r="DE246" s="34" t="n">
        <f aca="false">V_ImpA*(DE$238+DE$244)</f>
        <v>703.728673617123</v>
      </c>
      <c r="DF246" s="34" t="n">
        <f aca="false">V_ImpA*(DF$238+DF$244)</f>
        <v>703.728673617123</v>
      </c>
      <c r="DG246" s="34" t="n">
        <f aca="false">V_ImpA*(DG$238+DG$244)</f>
        <v>703.728673617123</v>
      </c>
      <c r="DH246" s="34" t="n">
        <f aca="false">V_ImpA*(DH$238+DH$244)</f>
        <v>703.728673617123</v>
      </c>
      <c r="DI246" s="34" t="n">
        <f aca="false">V_ImpA*(DI$238+DI$244)</f>
        <v>703.728673617123</v>
      </c>
      <c r="DJ246" s="34" t="n">
        <f aca="false">V_ImpA*(DJ$238+DJ$244)</f>
        <v>703.728673617123</v>
      </c>
      <c r="DK246" s="34" t="n">
        <f aca="false">V_ImpA*(DK$238+DK$244)</f>
        <v>703.728673617123</v>
      </c>
      <c r="DL246" s="34" t="n">
        <f aca="false">V_ImpA*(DL$238+DL$244)</f>
        <v>703.728673617123</v>
      </c>
      <c r="DM246" s="34" t="n">
        <f aca="false">V_ImpA*(DM$238+DM$244)</f>
        <v>703.728673617123</v>
      </c>
      <c r="DN246" s="34" t="n">
        <f aca="false">V_ImpA*(DN$238+DN$244)</f>
        <v>703.728673617123</v>
      </c>
      <c r="DO246" s="34" t="n">
        <f aca="false">V_ImpA*(DO$238+DO$244)</f>
        <v>703.728673617123</v>
      </c>
      <c r="DP246" s="34" t="n">
        <f aca="false">V_ImpA*(DP$238+DP$244)</f>
        <v>703.728673617123</v>
      </c>
      <c r="DQ246" s="34" t="n">
        <f aca="false">V_ImpA*(DQ$238+DQ$244)</f>
        <v>703.728673617123</v>
      </c>
      <c r="DR246" s="34" t="n">
        <f aca="false">V_ImpA*(DR$238+DR$244)</f>
        <v>703.728673617123</v>
      </c>
      <c r="DS246" s="34" t="n">
        <f aca="false">V_ImpA*(DS$238+DS$244)</f>
        <v>703.728673617123</v>
      </c>
      <c r="DT246" s="34" t="n">
        <f aca="false">V_ImpA*(DT$238+DT$244)</f>
        <v>703.728673617123</v>
      </c>
      <c r="DU246" s="34" t="n">
        <f aca="false">V_ImpA*(DU$238+DU$244)</f>
        <v>703.728673617123</v>
      </c>
      <c r="DV246" s="34" t="n">
        <f aca="false">V_ImpA*(DV$238+DV$244)</f>
        <v>0</v>
      </c>
      <c r="DW246" s="34" t="n">
        <f aca="false">V_ImpA*(DW$238+DW$244)</f>
        <v>0</v>
      </c>
      <c r="DX246" s="34" t="n">
        <f aca="false">V_ImpA*(DX$238+DX$244)</f>
        <v>0</v>
      </c>
      <c r="DY246" s="34" t="n">
        <f aca="false">V_ImpA*(DY$238+DY$244)</f>
        <v>0</v>
      </c>
      <c r="DZ246" s="34" t="n">
        <f aca="false">V_ImpA*(DZ$238+DZ$244)</f>
        <v>0</v>
      </c>
      <c r="EA246" s="34" t="n">
        <f aca="false">V_ImpA*(EA$238+EA$244)</f>
        <v>0</v>
      </c>
      <c r="EB246" s="34" t="n">
        <f aca="false">V_ImpA*(EB$238+EB$244)</f>
        <v>0</v>
      </c>
      <c r="EC246" s="34" t="n">
        <f aca="false">V_ImpA*(EC$238+EC$244)</f>
        <v>0</v>
      </c>
      <c r="ED246" s="34" t="n">
        <f aca="false">V_ImpA*(ED$238+ED$244)</f>
        <v>0</v>
      </c>
      <c r="EE246" s="34" t="n">
        <f aca="false">V_ImpA*(EE$238+EE$244)</f>
        <v>0</v>
      </c>
      <c r="EF246" s="34" t="n">
        <f aca="false">V_ImpA*(EF$238+EF$244)</f>
        <v>0</v>
      </c>
      <c r="EG246" s="34" t="n">
        <f aca="false">V_ImpA*(EG$238+EG$244)</f>
        <v>0</v>
      </c>
      <c r="EH246" s="34" t="n">
        <f aca="false">V_ImpA*(EH$238+EH$244)</f>
        <v>0</v>
      </c>
      <c r="EI246" s="34" t="n">
        <f aca="false">V_ImpA*(EI$238+EI$244)</f>
        <v>0</v>
      </c>
      <c r="EJ246" s="34" t="n">
        <f aca="false">V_ImpA*(EJ$238+EJ$244)</f>
        <v>0</v>
      </c>
      <c r="EK246" s="34" t="n">
        <f aca="false">V_ImpA*(EK$238+EK$244)</f>
        <v>0</v>
      </c>
      <c r="EL246" s="34" t="n">
        <f aca="false">V_ImpA*(EL$238+EL$244)</f>
        <v>0</v>
      </c>
      <c r="EM246" s="34" t="n">
        <f aca="false">V_ImpA*(EM$238+EM$244)</f>
        <v>0</v>
      </c>
      <c r="EN246" s="34" t="n">
        <f aca="false">V_ImpA*(EN$238+EN$244)</f>
        <v>0</v>
      </c>
      <c r="EO246" s="34" t="n">
        <f aca="false">V_ImpA*(EO$238+EO$244)</f>
        <v>0</v>
      </c>
      <c r="EP246" s="34" t="n">
        <f aca="false">V_ImpA*(EP$238+EP$244)</f>
        <v>0</v>
      </c>
      <c r="EQ246" s="34" t="n">
        <f aca="false">V_ImpA*(EQ$238+EQ$244)</f>
        <v>0</v>
      </c>
      <c r="ER246" s="34" t="n">
        <f aca="false">V_ImpA*(ER$238+ER$244)</f>
        <v>0</v>
      </c>
      <c r="ES246" s="34" t="n">
        <f aca="false">V_ImpA*(ES$238+ES$244)</f>
        <v>0</v>
      </c>
    </row>
    <row r="247" customFormat="false" ht="15" hidden="false" customHeight="false" outlineLevel="0" collapsed="false">
      <c r="A247" s="2" t="s">
        <v>888</v>
      </c>
      <c r="B247" s="6" t="s">
        <v>674</v>
      </c>
      <c r="C247" s="6" t="s">
        <v>250</v>
      </c>
      <c r="E247" s="40" t="n">
        <f aca="false">SUM(F247:ES247)</f>
        <v>212677.888986405</v>
      </c>
      <c r="F247" s="34" t="n">
        <f aca="false">SUMPRODUCT(FC_V*((FC_Mon="PYG")*F$175+(FC_Mon&lt;&gt;"PYG"))*(1+FC_g)^(F$173-1)*((FC_Desde=0)*(F$172+F$171)+(FC_Desde&gt;=1)*(F$170&gt;=FC_Desde)*F$171)*FC_IVA/(1+FC_IVA))</f>
        <v>1546</v>
      </c>
      <c r="G247" s="34" t="n">
        <f aca="false">SUMPRODUCT(FC_V*((FC_Mon="PYG")*G$175+(FC_Mon&lt;&gt;"PYG"))*(1+FC_g)^(G$173-1)*((FC_Desde=0)*(G$172+G$171)+(FC_Desde&gt;=1)*(G$170&gt;=FC_Desde)*G$171)*FC_IVA/(1+FC_IVA))</f>
        <v>1546</v>
      </c>
      <c r="H247" s="34" t="n">
        <f aca="false">SUMPRODUCT(FC_V*((FC_Mon="PYG")*H$175+(FC_Mon&lt;&gt;"PYG"))*(1+FC_g)^(H$173-1)*((FC_Desde=0)*(H$172+H$171)+(FC_Desde&gt;=1)*(H$170&gt;=FC_Desde)*H$171)*FC_IVA/(1+FC_IVA))</f>
        <v>1546</v>
      </c>
      <c r="I247" s="34" t="n">
        <f aca="false">SUMPRODUCT(FC_V*((FC_Mon="PYG")*I$175+(FC_Mon&lt;&gt;"PYG"))*(1+FC_g)^(I$173-1)*((FC_Desde=0)*(I$172+I$171)+(FC_Desde&gt;=1)*(I$170&gt;=FC_Desde)*I$171)*FC_IVA/(1+FC_IVA))</f>
        <v>1546</v>
      </c>
      <c r="J247" s="34" t="n">
        <f aca="false">SUMPRODUCT(FC_V*((FC_Mon="PYG")*J$175+(FC_Mon&lt;&gt;"PYG"))*(1+FC_g)^(J$173-1)*((FC_Desde=0)*(J$172+J$171)+(FC_Desde&gt;=1)*(J$170&gt;=FC_Desde)*J$171)*FC_IVA/(1+FC_IVA))</f>
        <v>1546</v>
      </c>
      <c r="K247" s="34" t="n">
        <f aca="false">SUMPRODUCT(FC_V*((FC_Mon="PYG")*K$175+(FC_Mon&lt;&gt;"PYG"))*(1+FC_g)^(K$173-1)*((FC_Desde=0)*(K$172+K$171)+(FC_Desde&gt;=1)*(K$170&gt;=FC_Desde)*K$171)*FC_IVA/(1+FC_IVA))</f>
        <v>1546</v>
      </c>
      <c r="L247" s="34" t="n">
        <f aca="false">SUMPRODUCT(FC_V*((FC_Mon="PYG")*L$175+(FC_Mon&lt;&gt;"PYG"))*(1+FC_g)^(L$173-1)*((FC_Desde=0)*(L$172+L$171)+(FC_Desde&gt;=1)*(L$170&gt;=FC_Desde)*L$171)*FC_IVA/(1+FC_IVA))</f>
        <v>1546</v>
      </c>
      <c r="M247" s="34" t="n">
        <f aca="false">SUMPRODUCT(FC_V*((FC_Mon="PYG")*M$175+(FC_Mon&lt;&gt;"PYG"))*(1+FC_g)^(M$173-1)*((FC_Desde=0)*(M$172+M$171)+(FC_Desde&gt;=1)*(M$170&gt;=FC_Desde)*M$171)*FC_IVA/(1+FC_IVA))</f>
        <v>1546</v>
      </c>
      <c r="N247" s="34" t="n">
        <f aca="false">SUMPRODUCT(FC_V*((FC_Mon="PYG")*N$175+(FC_Mon&lt;&gt;"PYG"))*(1+FC_g)^(N$173-1)*((FC_Desde=0)*(N$172+N$171)+(FC_Desde&gt;=1)*(N$170&gt;=FC_Desde)*N$171)*FC_IVA/(1+FC_IVA))</f>
        <v>1546</v>
      </c>
      <c r="O247" s="34" t="n">
        <f aca="false">SUMPRODUCT(FC_V*((FC_Mon="PYG")*O$175+(FC_Mon&lt;&gt;"PYG"))*(1+FC_g)^(O$173-1)*((FC_Desde=0)*(O$172+O$171)+(FC_Desde&gt;=1)*(O$170&gt;=FC_Desde)*O$171)*FC_IVA/(1+FC_IVA))</f>
        <v>1546</v>
      </c>
      <c r="P247" s="34" t="n">
        <f aca="false">SUMPRODUCT(FC_V*((FC_Mon="PYG")*P$175+(FC_Mon&lt;&gt;"PYG"))*(1+FC_g)^(P$173-1)*((FC_Desde=0)*(P$172+P$171)+(FC_Desde&gt;=1)*(P$170&gt;=FC_Desde)*P$171)*FC_IVA/(1+FC_IVA))</f>
        <v>1546</v>
      </c>
      <c r="Q247" s="34" t="n">
        <f aca="false">SUMPRODUCT(FC_V*((FC_Mon="PYG")*Q$175+(FC_Mon&lt;&gt;"PYG"))*(1+FC_g)^(Q$173-1)*((FC_Desde=0)*(Q$172+Q$171)+(FC_Desde&gt;=1)*(Q$170&gt;=FC_Desde)*Q$171)*FC_IVA/(1+FC_IVA))</f>
        <v>1546</v>
      </c>
      <c r="R247" s="34" t="n">
        <f aca="false">SUMPRODUCT(FC_V*((FC_Mon="PYG")*R$175+(FC_Mon&lt;&gt;"PYG"))*(1+FC_g)^(R$173-1)*((FC_Desde=0)*(R$172+R$171)+(FC_Desde&gt;=1)*(R$170&gt;=FC_Desde)*R$171)*FC_IVA/(1+FC_IVA))</f>
        <v>1592.38</v>
      </c>
      <c r="S247" s="34" t="n">
        <f aca="false">SUMPRODUCT(FC_V*((FC_Mon="PYG")*S$175+(FC_Mon&lt;&gt;"PYG"))*(1+FC_g)^(S$173-1)*((FC_Desde=0)*(S$172+S$171)+(FC_Desde&gt;=1)*(S$170&gt;=FC_Desde)*S$171)*FC_IVA/(1+FC_IVA))</f>
        <v>1592.38</v>
      </c>
      <c r="T247" s="34" t="n">
        <f aca="false">SUMPRODUCT(FC_V*((FC_Mon="PYG")*T$175+(FC_Mon&lt;&gt;"PYG"))*(1+FC_g)^(T$173-1)*((FC_Desde=0)*(T$172+T$171)+(FC_Desde&gt;=1)*(T$170&gt;=FC_Desde)*T$171)*FC_IVA/(1+FC_IVA))</f>
        <v>1592.38</v>
      </c>
      <c r="U247" s="34" t="n">
        <f aca="false">SUMPRODUCT(FC_V*((FC_Mon="PYG")*U$175+(FC_Mon&lt;&gt;"PYG"))*(1+FC_g)^(U$173-1)*((FC_Desde=0)*(U$172+U$171)+(FC_Desde&gt;=1)*(U$170&gt;=FC_Desde)*U$171)*FC_IVA/(1+FC_IVA))</f>
        <v>1592.38</v>
      </c>
      <c r="V247" s="34" t="n">
        <f aca="false">SUMPRODUCT(FC_V*((FC_Mon="PYG")*V$175+(FC_Mon&lt;&gt;"PYG"))*(1+FC_g)^(V$173-1)*((FC_Desde=0)*(V$172+V$171)+(FC_Desde&gt;=1)*(V$170&gt;=FC_Desde)*V$171)*FC_IVA/(1+FC_IVA))</f>
        <v>1592.38</v>
      </c>
      <c r="W247" s="34" t="n">
        <f aca="false">SUMPRODUCT(FC_V*((FC_Mon="PYG")*W$175+(FC_Mon&lt;&gt;"PYG"))*(1+FC_g)^(W$173-1)*((FC_Desde=0)*(W$172+W$171)+(FC_Desde&gt;=1)*(W$170&gt;=FC_Desde)*W$171)*FC_IVA/(1+FC_IVA))</f>
        <v>1592.38</v>
      </c>
      <c r="X247" s="34" t="n">
        <f aca="false">SUMPRODUCT(FC_V*((FC_Mon="PYG")*X$175+(FC_Mon&lt;&gt;"PYG"))*(1+FC_g)^(X$173-1)*((FC_Desde=0)*(X$172+X$171)+(FC_Desde&gt;=1)*(X$170&gt;=FC_Desde)*X$171)*FC_IVA/(1+FC_IVA))</f>
        <v>1592.38</v>
      </c>
      <c r="Y247" s="34" t="n">
        <f aca="false">SUMPRODUCT(FC_V*((FC_Mon="PYG")*Y$175+(FC_Mon&lt;&gt;"PYG"))*(1+FC_g)^(Y$173-1)*((FC_Desde=0)*(Y$172+Y$171)+(FC_Desde&gt;=1)*(Y$170&gt;=FC_Desde)*Y$171)*FC_IVA/(1+FC_IVA))</f>
        <v>1592.38</v>
      </c>
      <c r="Z247" s="34" t="n">
        <f aca="false">SUMPRODUCT(FC_V*((FC_Mon="PYG")*Z$175+(FC_Mon&lt;&gt;"PYG"))*(1+FC_g)^(Z$173-1)*((FC_Desde=0)*(Z$172+Z$171)+(FC_Desde&gt;=1)*(Z$170&gt;=FC_Desde)*Z$171)*FC_IVA/(1+FC_IVA))</f>
        <v>1592.38</v>
      </c>
      <c r="AA247" s="34" t="n">
        <f aca="false">SUMPRODUCT(FC_V*((FC_Mon="PYG")*AA$175+(FC_Mon&lt;&gt;"PYG"))*(1+FC_g)^(AA$173-1)*((FC_Desde=0)*(AA$172+AA$171)+(FC_Desde&gt;=1)*(AA$170&gt;=FC_Desde)*AA$171)*FC_IVA/(1+FC_IVA))</f>
        <v>1592.38</v>
      </c>
      <c r="AB247" s="34" t="n">
        <f aca="false">SUMPRODUCT(FC_V*((FC_Mon="PYG")*AB$175+(FC_Mon&lt;&gt;"PYG"))*(1+FC_g)^(AB$173-1)*((FC_Desde=0)*(AB$172+AB$171)+(FC_Desde&gt;=1)*(AB$170&gt;=FC_Desde)*AB$171)*FC_IVA/(1+FC_IVA))</f>
        <v>1592.38</v>
      </c>
      <c r="AC247" s="34" t="n">
        <f aca="false">SUMPRODUCT(FC_V*((FC_Mon="PYG")*AC$175+(FC_Mon&lt;&gt;"PYG"))*(1+FC_g)^(AC$173-1)*((FC_Desde=0)*(AC$172+AC$171)+(FC_Desde&gt;=1)*(AC$170&gt;=FC_Desde)*AC$171)*FC_IVA/(1+FC_IVA))</f>
        <v>1592.38</v>
      </c>
      <c r="AD247" s="34" t="n">
        <f aca="false">SUMPRODUCT(FC_V*((FC_Mon="PYG")*AD$175+(FC_Mon&lt;&gt;"PYG"))*(1+FC_g)^(AD$173-1)*((FC_Desde=0)*(AD$172+AD$171)+(FC_Desde&gt;=1)*(AD$170&gt;=FC_Desde)*AD$171)*FC_IVA/(1+FC_IVA))</f>
        <v>1640.1514</v>
      </c>
      <c r="AE247" s="34" t="n">
        <f aca="false">SUMPRODUCT(FC_V*((FC_Mon="PYG")*AE$175+(FC_Mon&lt;&gt;"PYG"))*(1+FC_g)^(AE$173-1)*((FC_Desde=0)*(AE$172+AE$171)+(FC_Desde&gt;=1)*(AE$170&gt;=FC_Desde)*AE$171)*FC_IVA/(1+FC_IVA))</f>
        <v>1640.1514</v>
      </c>
      <c r="AF247" s="34" t="n">
        <f aca="false">SUMPRODUCT(FC_V*((FC_Mon="PYG")*AF$175+(FC_Mon&lt;&gt;"PYG"))*(1+FC_g)^(AF$173-1)*((FC_Desde=0)*(AF$172+AF$171)+(FC_Desde&gt;=1)*(AF$170&gt;=FC_Desde)*AF$171)*FC_IVA/(1+FC_IVA))</f>
        <v>1640.1514</v>
      </c>
      <c r="AG247" s="34" t="n">
        <f aca="false">SUMPRODUCT(FC_V*((FC_Mon="PYG")*AG$175+(FC_Mon&lt;&gt;"PYG"))*(1+FC_g)^(AG$173-1)*((FC_Desde=0)*(AG$172+AG$171)+(FC_Desde&gt;=1)*(AG$170&gt;=FC_Desde)*AG$171)*FC_IVA/(1+FC_IVA))</f>
        <v>1640.1514</v>
      </c>
      <c r="AH247" s="34" t="n">
        <f aca="false">SUMPRODUCT(FC_V*((FC_Mon="PYG")*AH$175+(FC_Mon&lt;&gt;"PYG"))*(1+FC_g)^(AH$173-1)*((FC_Desde=0)*(AH$172+AH$171)+(FC_Desde&gt;=1)*(AH$170&gt;=FC_Desde)*AH$171)*FC_IVA/(1+FC_IVA))</f>
        <v>1640.1514</v>
      </c>
      <c r="AI247" s="34" t="n">
        <f aca="false">SUMPRODUCT(FC_V*((FC_Mon="PYG")*AI$175+(FC_Mon&lt;&gt;"PYG"))*(1+FC_g)^(AI$173-1)*((FC_Desde=0)*(AI$172+AI$171)+(FC_Desde&gt;=1)*(AI$170&gt;=FC_Desde)*AI$171)*FC_IVA/(1+FC_IVA))</f>
        <v>1640.1514</v>
      </c>
      <c r="AJ247" s="34" t="n">
        <f aca="false">SUMPRODUCT(FC_V*((FC_Mon="PYG")*AJ$175+(FC_Mon&lt;&gt;"PYG"))*(1+FC_g)^(AJ$173-1)*((FC_Desde=0)*(AJ$172+AJ$171)+(FC_Desde&gt;=1)*(AJ$170&gt;=FC_Desde)*AJ$171)*FC_IVA/(1+FC_IVA))</f>
        <v>1640.1514</v>
      </c>
      <c r="AK247" s="34" t="n">
        <f aca="false">SUMPRODUCT(FC_V*((FC_Mon="PYG")*AK$175+(FC_Mon&lt;&gt;"PYG"))*(1+FC_g)^(AK$173-1)*((FC_Desde=0)*(AK$172+AK$171)+(FC_Desde&gt;=1)*(AK$170&gt;=FC_Desde)*AK$171)*FC_IVA/(1+FC_IVA))</f>
        <v>1640.1514</v>
      </c>
      <c r="AL247" s="34" t="n">
        <f aca="false">SUMPRODUCT(FC_V*((FC_Mon="PYG")*AL$175+(FC_Mon&lt;&gt;"PYG"))*(1+FC_g)^(AL$173-1)*((FC_Desde=0)*(AL$172+AL$171)+(FC_Desde&gt;=1)*(AL$170&gt;=FC_Desde)*AL$171)*FC_IVA/(1+FC_IVA))</f>
        <v>1640.1514</v>
      </c>
      <c r="AM247" s="34" t="n">
        <f aca="false">SUMPRODUCT(FC_V*((FC_Mon="PYG")*AM$175+(FC_Mon&lt;&gt;"PYG"))*(1+FC_g)^(AM$173-1)*((FC_Desde=0)*(AM$172+AM$171)+(FC_Desde&gt;=1)*(AM$170&gt;=FC_Desde)*AM$171)*FC_IVA/(1+FC_IVA))</f>
        <v>1640.1514</v>
      </c>
      <c r="AN247" s="34" t="n">
        <f aca="false">SUMPRODUCT(FC_V*((FC_Mon="PYG")*AN$175+(FC_Mon&lt;&gt;"PYG"))*(1+FC_g)^(AN$173-1)*((FC_Desde=0)*(AN$172+AN$171)+(FC_Desde&gt;=1)*(AN$170&gt;=FC_Desde)*AN$171)*FC_IVA/(1+FC_IVA))</f>
        <v>1640.1514</v>
      </c>
      <c r="AO247" s="34" t="n">
        <f aca="false">SUMPRODUCT(FC_V*((FC_Mon="PYG")*AO$175+(FC_Mon&lt;&gt;"PYG"))*(1+FC_g)^(AO$173-1)*((FC_Desde=0)*(AO$172+AO$171)+(FC_Desde&gt;=1)*(AO$170&gt;=FC_Desde)*AO$171)*FC_IVA/(1+FC_IVA))</f>
        <v>1640.1514</v>
      </c>
      <c r="AP247" s="34" t="n">
        <f aca="false">SUMPRODUCT(FC_V*((FC_Mon="PYG")*AP$175+(FC_Mon&lt;&gt;"PYG"))*(1+FC_g)^(AP$173-1)*((FC_Desde=0)*(AP$172+AP$171)+(FC_Desde&gt;=1)*(AP$170&gt;=FC_Desde)*AP$171)*FC_IVA/(1+FC_IVA))</f>
        <v>1689.355942</v>
      </c>
      <c r="AQ247" s="34" t="n">
        <f aca="false">SUMPRODUCT(FC_V*((FC_Mon="PYG")*AQ$175+(FC_Mon&lt;&gt;"PYG"))*(1+FC_g)^(AQ$173-1)*((FC_Desde=0)*(AQ$172+AQ$171)+(FC_Desde&gt;=1)*(AQ$170&gt;=FC_Desde)*AQ$171)*FC_IVA/(1+FC_IVA))</f>
        <v>1689.355942</v>
      </c>
      <c r="AR247" s="34" t="n">
        <f aca="false">SUMPRODUCT(FC_V*((FC_Mon="PYG")*AR$175+(FC_Mon&lt;&gt;"PYG"))*(1+FC_g)^(AR$173-1)*((FC_Desde=0)*(AR$172+AR$171)+(FC_Desde&gt;=1)*(AR$170&gt;=FC_Desde)*AR$171)*FC_IVA/(1+FC_IVA))</f>
        <v>1689.355942</v>
      </c>
      <c r="AS247" s="34" t="n">
        <f aca="false">SUMPRODUCT(FC_V*((FC_Mon="PYG")*AS$175+(FC_Mon&lt;&gt;"PYG"))*(1+FC_g)^(AS$173-1)*((FC_Desde=0)*(AS$172+AS$171)+(FC_Desde&gt;=1)*(AS$170&gt;=FC_Desde)*AS$171)*FC_IVA/(1+FC_IVA))</f>
        <v>1689.355942</v>
      </c>
      <c r="AT247" s="34" t="n">
        <f aca="false">SUMPRODUCT(FC_V*((FC_Mon="PYG")*AT$175+(FC_Mon&lt;&gt;"PYG"))*(1+FC_g)^(AT$173-1)*((FC_Desde=0)*(AT$172+AT$171)+(FC_Desde&gt;=1)*(AT$170&gt;=FC_Desde)*AT$171)*FC_IVA/(1+FC_IVA))</f>
        <v>1689.355942</v>
      </c>
      <c r="AU247" s="34" t="n">
        <f aca="false">SUMPRODUCT(FC_V*((FC_Mon="PYG")*AU$175+(FC_Mon&lt;&gt;"PYG"))*(1+FC_g)^(AU$173-1)*((FC_Desde=0)*(AU$172+AU$171)+(FC_Desde&gt;=1)*(AU$170&gt;=FC_Desde)*AU$171)*FC_IVA/(1+FC_IVA))</f>
        <v>1689.355942</v>
      </c>
      <c r="AV247" s="34" t="n">
        <f aca="false">SUMPRODUCT(FC_V*((FC_Mon="PYG")*AV$175+(FC_Mon&lt;&gt;"PYG"))*(1+FC_g)^(AV$173-1)*((FC_Desde=0)*(AV$172+AV$171)+(FC_Desde&gt;=1)*(AV$170&gt;=FC_Desde)*AV$171)*FC_IVA/(1+FC_IVA))</f>
        <v>1689.355942</v>
      </c>
      <c r="AW247" s="34" t="n">
        <f aca="false">SUMPRODUCT(FC_V*((FC_Mon="PYG")*AW$175+(FC_Mon&lt;&gt;"PYG"))*(1+FC_g)^(AW$173-1)*((FC_Desde=0)*(AW$172+AW$171)+(FC_Desde&gt;=1)*(AW$170&gt;=FC_Desde)*AW$171)*FC_IVA/(1+FC_IVA))</f>
        <v>1689.355942</v>
      </c>
      <c r="AX247" s="34" t="n">
        <f aca="false">SUMPRODUCT(FC_V*((FC_Mon="PYG")*AX$175+(FC_Mon&lt;&gt;"PYG"))*(1+FC_g)^(AX$173-1)*((FC_Desde=0)*(AX$172+AX$171)+(FC_Desde&gt;=1)*(AX$170&gt;=FC_Desde)*AX$171)*FC_IVA/(1+FC_IVA))</f>
        <v>1689.355942</v>
      </c>
      <c r="AY247" s="34" t="n">
        <f aca="false">SUMPRODUCT(FC_V*((FC_Mon="PYG")*AY$175+(FC_Mon&lt;&gt;"PYG"))*(1+FC_g)^(AY$173-1)*((FC_Desde=0)*(AY$172+AY$171)+(FC_Desde&gt;=1)*(AY$170&gt;=FC_Desde)*AY$171)*FC_IVA/(1+FC_IVA))</f>
        <v>1689.355942</v>
      </c>
      <c r="AZ247" s="34" t="n">
        <f aca="false">SUMPRODUCT(FC_V*((FC_Mon="PYG")*AZ$175+(FC_Mon&lt;&gt;"PYG"))*(1+FC_g)^(AZ$173-1)*((FC_Desde=0)*(AZ$172+AZ$171)+(FC_Desde&gt;=1)*(AZ$170&gt;=FC_Desde)*AZ$171)*FC_IVA/(1+FC_IVA))</f>
        <v>1689.355942</v>
      </c>
      <c r="BA247" s="34" t="n">
        <f aca="false">SUMPRODUCT(FC_V*((FC_Mon="PYG")*BA$175+(FC_Mon&lt;&gt;"PYG"))*(1+FC_g)^(BA$173-1)*((FC_Desde=0)*(BA$172+BA$171)+(FC_Desde&gt;=1)*(BA$170&gt;=FC_Desde)*BA$171)*FC_IVA/(1+FC_IVA))</f>
        <v>1689.355942</v>
      </c>
      <c r="BB247" s="34" t="n">
        <f aca="false">SUMPRODUCT(FC_V*((FC_Mon="PYG")*BB$175+(FC_Mon&lt;&gt;"PYG"))*(1+FC_g)^(BB$173-1)*((FC_Desde=0)*(BB$172+BB$171)+(FC_Desde&gt;=1)*(BB$170&gt;=FC_Desde)*BB$171)*FC_IVA/(1+FC_IVA))</f>
        <v>1740.03662026</v>
      </c>
      <c r="BC247" s="34" t="n">
        <f aca="false">SUMPRODUCT(FC_V*((FC_Mon="PYG")*BC$175+(FC_Mon&lt;&gt;"PYG"))*(1+FC_g)^(BC$173-1)*((FC_Desde=0)*(BC$172+BC$171)+(FC_Desde&gt;=1)*(BC$170&gt;=FC_Desde)*BC$171)*FC_IVA/(1+FC_IVA))</f>
        <v>1740.03662026</v>
      </c>
      <c r="BD247" s="34" t="n">
        <f aca="false">SUMPRODUCT(FC_V*((FC_Mon="PYG")*BD$175+(FC_Mon&lt;&gt;"PYG"))*(1+FC_g)^(BD$173-1)*((FC_Desde=0)*(BD$172+BD$171)+(FC_Desde&gt;=1)*(BD$170&gt;=FC_Desde)*BD$171)*FC_IVA/(1+FC_IVA))</f>
        <v>1740.03662026</v>
      </c>
      <c r="BE247" s="34" t="n">
        <f aca="false">SUMPRODUCT(FC_V*((FC_Mon="PYG")*BE$175+(FC_Mon&lt;&gt;"PYG"))*(1+FC_g)^(BE$173-1)*((FC_Desde=0)*(BE$172+BE$171)+(FC_Desde&gt;=1)*(BE$170&gt;=FC_Desde)*BE$171)*FC_IVA/(1+FC_IVA))</f>
        <v>1740.03662026</v>
      </c>
      <c r="BF247" s="34" t="n">
        <f aca="false">SUMPRODUCT(FC_V*((FC_Mon="PYG")*BF$175+(FC_Mon&lt;&gt;"PYG"))*(1+FC_g)^(BF$173-1)*((FC_Desde=0)*(BF$172+BF$171)+(FC_Desde&gt;=1)*(BF$170&gt;=FC_Desde)*BF$171)*FC_IVA/(1+FC_IVA))</f>
        <v>1740.03662026</v>
      </c>
      <c r="BG247" s="34" t="n">
        <f aca="false">SUMPRODUCT(FC_V*((FC_Mon="PYG")*BG$175+(FC_Mon&lt;&gt;"PYG"))*(1+FC_g)^(BG$173-1)*((FC_Desde=0)*(BG$172+BG$171)+(FC_Desde&gt;=1)*(BG$170&gt;=FC_Desde)*BG$171)*FC_IVA/(1+FC_IVA))</f>
        <v>1740.03662026</v>
      </c>
      <c r="BH247" s="34" t="n">
        <f aca="false">SUMPRODUCT(FC_V*((FC_Mon="PYG")*BH$175+(FC_Mon&lt;&gt;"PYG"))*(1+FC_g)^(BH$173-1)*((FC_Desde=0)*(BH$172+BH$171)+(FC_Desde&gt;=1)*(BH$170&gt;=FC_Desde)*BH$171)*FC_IVA/(1+FC_IVA))</f>
        <v>1740.03662026</v>
      </c>
      <c r="BI247" s="34" t="n">
        <f aca="false">SUMPRODUCT(FC_V*((FC_Mon="PYG")*BI$175+(FC_Mon&lt;&gt;"PYG"))*(1+FC_g)^(BI$173-1)*((FC_Desde=0)*(BI$172+BI$171)+(FC_Desde&gt;=1)*(BI$170&gt;=FC_Desde)*BI$171)*FC_IVA/(1+FC_IVA))</f>
        <v>1740.03662026</v>
      </c>
      <c r="BJ247" s="34" t="n">
        <f aca="false">SUMPRODUCT(FC_V*((FC_Mon="PYG")*BJ$175+(FC_Mon&lt;&gt;"PYG"))*(1+FC_g)^(BJ$173-1)*((FC_Desde=0)*(BJ$172+BJ$171)+(FC_Desde&gt;=1)*(BJ$170&gt;=FC_Desde)*BJ$171)*FC_IVA/(1+FC_IVA))</f>
        <v>1740.03662026</v>
      </c>
      <c r="BK247" s="34" t="n">
        <f aca="false">SUMPRODUCT(FC_V*((FC_Mon="PYG")*BK$175+(FC_Mon&lt;&gt;"PYG"))*(1+FC_g)^(BK$173-1)*((FC_Desde=0)*(BK$172+BK$171)+(FC_Desde&gt;=1)*(BK$170&gt;=FC_Desde)*BK$171)*FC_IVA/(1+FC_IVA))</f>
        <v>1740.03662026</v>
      </c>
      <c r="BL247" s="34" t="n">
        <f aca="false">SUMPRODUCT(FC_V*((FC_Mon="PYG")*BL$175+(FC_Mon&lt;&gt;"PYG"))*(1+FC_g)^(BL$173-1)*((FC_Desde=0)*(BL$172+BL$171)+(FC_Desde&gt;=1)*(BL$170&gt;=FC_Desde)*BL$171)*FC_IVA/(1+FC_IVA))</f>
        <v>1740.03662026</v>
      </c>
      <c r="BM247" s="34" t="n">
        <f aca="false">SUMPRODUCT(FC_V*((FC_Mon="PYG")*BM$175+(FC_Mon&lt;&gt;"PYG"))*(1+FC_g)^(BM$173-1)*((FC_Desde=0)*(BM$172+BM$171)+(FC_Desde&gt;=1)*(BM$170&gt;=FC_Desde)*BM$171)*FC_IVA/(1+FC_IVA))</f>
        <v>1740.03662026</v>
      </c>
      <c r="BN247" s="34" t="n">
        <f aca="false">SUMPRODUCT(FC_V*((FC_Mon="PYG")*BN$175+(FC_Mon&lt;&gt;"PYG"))*(1+FC_g)^(BN$173-1)*((FC_Desde=0)*(BN$172+BN$171)+(FC_Desde&gt;=1)*(BN$170&gt;=FC_Desde)*BN$171)*FC_IVA/(1+FC_IVA))</f>
        <v>1792.2377188678</v>
      </c>
      <c r="BO247" s="34" t="n">
        <f aca="false">SUMPRODUCT(FC_V*((FC_Mon="PYG")*BO$175+(FC_Mon&lt;&gt;"PYG"))*(1+FC_g)^(BO$173-1)*((FC_Desde=0)*(BO$172+BO$171)+(FC_Desde&gt;=1)*(BO$170&gt;=FC_Desde)*BO$171)*FC_IVA/(1+FC_IVA))</f>
        <v>1792.2377188678</v>
      </c>
      <c r="BP247" s="34" t="n">
        <f aca="false">SUMPRODUCT(FC_V*((FC_Mon="PYG")*BP$175+(FC_Mon&lt;&gt;"PYG"))*(1+FC_g)^(BP$173-1)*((FC_Desde=0)*(BP$172+BP$171)+(FC_Desde&gt;=1)*(BP$170&gt;=FC_Desde)*BP$171)*FC_IVA/(1+FC_IVA))</f>
        <v>1792.2377188678</v>
      </c>
      <c r="BQ247" s="34" t="n">
        <f aca="false">SUMPRODUCT(FC_V*((FC_Mon="PYG")*BQ$175+(FC_Mon&lt;&gt;"PYG"))*(1+FC_g)^(BQ$173-1)*((FC_Desde=0)*(BQ$172+BQ$171)+(FC_Desde&gt;=1)*(BQ$170&gt;=FC_Desde)*BQ$171)*FC_IVA/(1+FC_IVA))</f>
        <v>1792.2377188678</v>
      </c>
      <c r="BR247" s="34" t="n">
        <f aca="false">SUMPRODUCT(FC_V*((FC_Mon="PYG")*BR$175+(FC_Mon&lt;&gt;"PYG"))*(1+FC_g)^(BR$173-1)*((FC_Desde=0)*(BR$172+BR$171)+(FC_Desde&gt;=1)*(BR$170&gt;=FC_Desde)*BR$171)*FC_IVA/(1+FC_IVA))</f>
        <v>1792.2377188678</v>
      </c>
      <c r="BS247" s="34" t="n">
        <f aca="false">SUMPRODUCT(FC_V*((FC_Mon="PYG")*BS$175+(FC_Mon&lt;&gt;"PYG"))*(1+FC_g)^(BS$173-1)*((FC_Desde=0)*(BS$172+BS$171)+(FC_Desde&gt;=1)*(BS$170&gt;=FC_Desde)*BS$171)*FC_IVA/(1+FC_IVA))</f>
        <v>1792.2377188678</v>
      </c>
      <c r="BT247" s="34" t="n">
        <f aca="false">SUMPRODUCT(FC_V*((FC_Mon="PYG")*BT$175+(FC_Mon&lt;&gt;"PYG"))*(1+FC_g)^(BT$173-1)*((FC_Desde=0)*(BT$172+BT$171)+(FC_Desde&gt;=1)*(BT$170&gt;=FC_Desde)*BT$171)*FC_IVA/(1+FC_IVA))</f>
        <v>1792.2377188678</v>
      </c>
      <c r="BU247" s="34" t="n">
        <f aca="false">SUMPRODUCT(FC_V*((FC_Mon="PYG")*BU$175+(FC_Mon&lt;&gt;"PYG"))*(1+FC_g)^(BU$173-1)*((FC_Desde=0)*(BU$172+BU$171)+(FC_Desde&gt;=1)*(BU$170&gt;=FC_Desde)*BU$171)*FC_IVA/(1+FC_IVA))</f>
        <v>1792.2377188678</v>
      </c>
      <c r="BV247" s="34" t="n">
        <f aca="false">SUMPRODUCT(FC_V*((FC_Mon="PYG")*BV$175+(FC_Mon&lt;&gt;"PYG"))*(1+FC_g)^(BV$173-1)*((FC_Desde=0)*(BV$172+BV$171)+(FC_Desde&gt;=1)*(BV$170&gt;=FC_Desde)*BV$171)*FC_IVA/(1+FC_IVA))</f>
        <v>1792.2377188678</v>
      </c>
      <c r="BW247" s="34" t="n">
        <f aca="false">SUMPRODUCT(FC_V*((FC_Mon="PYG")*BW$175+(FC_Mon&lt;&gt;"PYG"))*(1+FC_g)^(BW$173-1)*((FC_Desde=0)*(BW$172+BW$171)+(FC_Desde&gt;=1)*(BW$170&gt;=FC_Desde)*BW$171)*FC_IVA/(1+FC_IVA))</f>
        <v>1792.2377188678</v>
      </c>
      <c r="BX247" s="34" t="n">
        <f aca="false">SUMPRODUCT(FC_V*((FC_Mon="PYG")*BX$175+(FC_Mon&lt;&gt;"PYG"))*(1+FC_g)^(BX$173-1)*((FC_Desde=0)*(BX$172+BX$171)+(FC_Desde&gt;=1)*(BX$170&gt;=FC_Desde)*BX$171)*FC_IVA/(1+FC_IVA))</f>
        <v>1792.2377188678</v>
      </c>
      <c r="BY247" s="34" t="n">
        <f aca="false">SUMPRODUCT(FC_V*((FC_Mon="PYG")*BY$175+(FC_Mon&lt;&gt;"PYG"))*(1+FC_g)^(BY$173-1)*((FC_Desde=0)*(BY$172+BY$171)+(FC_Desde&gt;=1)*(BY$170&gt;=FC_Desde)*BY$171)*FC_IVA/(1+FC_IVA))</f>
        <v>1792.2377188678</v>
      </c>
      <c r="BZ247" s="34" t="n">
        <f aca="false">SUMPRODUCT(FC_V*((FC_Mon="PYG")*BZ$175+(FC_Mon&lt;&gt;"PYG"))*(1+FC_g)^(BZ$173-1)*((FC_Desde=0)*(BZ$172+BZ$171)+(FC_Desde&gt;=1)*(BZ$170&gt;=FC_Desde)*BZ$171)*FC_IVA/(1+FC_IVA))</f>
        <v>1846.00485043383</v>
      </c>
      <c r="CA247" s="34" t="n">
        <f aca="false">SUMPRODUCT(FC_V*((FC_Mon="PYG")*CA$175+(FC_Mon&lt;&gt;"PYG"))*(1+FC_g)^(CA$173-1)*((FC_Desde=0)*(CA$172+CA$171)+(FC_Desde&gt;=1)*(CA$170&gt;=FC_Desde)*CA$171)*FC_IVA/(1+FC_IVA))</f>
        <v>1846.00485043383</v>
      </c>
      <c r="CB247" s="34" t="n">
        <f aca="false">SUMPRODUCT(FC_V*((FC_Mon="PYG")*CB$175+(FC_Mon&lt;&gt;"PYG"))*(1+FC_g)^(CB$173-1)*((FC_Desde=0)*(CB$172+CB$171)+(FC_Desde&gt;=1)*(CB$170&gt;=FC_Desde)*CB$171)*FC_IVA/(1+FC_IVA))</f>
        <v>1846.00485043383</v>
      </c>
      <c r="CC247" s="34" t="n">
        <f aca="false">SUMPRODUCT(FC_V*((FC_Mon="PYG")*CC$175+(FC_Mon&lt;&gt;"PYG"))*(1+FC_g)^(CC$173-1)*((FC_Desde=0)*(CC$172+CC$171)+(FC_Desde&gt;=1)*(CC$170&gt;=FC_Desde)*CC$171)*FC_IVA/(1+FC_IVA))</f>
        <v>1846.00485043383</v>
      </c>
      <c r="CD247" s="34" t="n">
        <f aca="false">SUMPRODUCT(FC_V*((FC_Mon="PYG")*CD$175+(FC_Mon&lt;&gt;"PYG"))*(1+FC_g)^(CD$173-1)*((FC_Desde=0)*(CD$172+CD$171)+(FC_Desde&gt;=1)*(CD$170&gt;=FC_Desde)*CD$171)*FC_IVA/(1+FC_IVA))</f>
        <v>1846.00485043383</v>
      </c>
      <c r="CE247" s="34" t="n">
        <f aca="false">SUMPRODUCT(FC_V*((FC_Mon="PYG")*CE$175+(FC_Mon&lt;&gt;"PYG"))*(1+FC_g)^(CE$173-1)*((FC_Desde=0)*(CE$172+CE$171)+(FC_Desde&gt;=1)*(CE$170&gt;=FC_Desde)*CE$171)*FC_IVA/(1+FC_IVA))</f>
        <v>1846.00485043383</v>
      </c>
      <c r="CF247" s="34" t="n">
        <f aca="false">SUMPRODUCT(FC_V*((FC_Mon="PYG")*CF$175+(FC_Mon&lt;&gt;"PYG"))*(1+FC_g)^(CF$173-1)*((FC_Desde=0)*(CF$172+CF$171)+(FC_Desde&gt;=1)*(CF$170&gt;=FC_Desde)*CF$171)*FC_IVA/(1+FC_IVA))</f>
        <v>1846.00485043383</v>
      </c>
      <c r="CG247" s="34" t="n">
        <f aca="false">SUMPRODUCT(FC_V*((FC_Mon="PYG")*CG$175+(FC_Mon&lt;&gt;"PYG"))*(1+FC_g)^(CG$173-1)*((FC_Desde=0)*(CG$172+CG$171)+(FC_Desde&gt;=1)*(CG$170&gt;=FC_Desde)*CG$171)*FC_IVA/(1+FC_IVA))</f>
        <v>1846.00485043383</v>
      </c>
      <c r="CH247" s="34" t="n">
        <f aca="false">SUMPRODUCT(FC_V*((FC_Mon="PYG")*CH$175+(FC_Mon&lt;&gt;"PYG"))*(1+FC_g)^(CH$173-1)*((FC_Desde=0)*(CH$172+CH$171)+(FC_Desde&gt;=1)*(CH$170&gt;=FC_Desde)*CH$171)*FC_IVA/(1+FC_IVA))</f>
        <v>1846.00485043383</v>
      </c>
      <c r="CI247" s="34" t="n">
        <f aca="false">SUMPRODUCT(FC_V*((FC_Mon="PYG")*CI$175+(FC_Mon&lt;&gt;"PYG"))*(1+FC_g)^(CI$173-1)*((FC_Desde=0)*(CI$172+CI$171)+(FC_Desde&gt;=1)*(CI$170&gt;=FC_Desde)*CI$171)*FC_IVA/(1+FC_IVA))</f>
        <v>1846.00485043383</v>
      </c>
      <c r="CJ247" s="34" t="n">
        <f aca="false">SUMPRODUCT(FC_V*((FC_Mon="PYG")*CJ$175+(FC_Mon&lt;&gt;"PYG"))*(1+FC_g)^(CJ$173-1)*((FC_Desde=0)*(CJ$172+CJ$171)+(FC_Desde&gt;=1)*(CJ$170&gt;=FC_Desde)*CJ$171)*FC_IVA/(1+FC_IVA))</f>
        <v>1846.00485043383</v>
      </c>
      <c r="CK247" s="34" t="n">
        <f aca="false">SUMPRODUCT(FC_V*((FC_Mon="PYG")*CK$175+(FC_Mon&lt;&gt;"PYG"))*(1+FC_g)^(CK$173-1)*((FC_Desde=0)*(CK$172+CK$171)+(FC_Desde&gt;=1)*(CK$170&gt;=FC_Desde)*CK$171)*FC_IVA/(1+FC_IVA))</f>
        <v>1846.00485043383</v>
      </c>
      <c r="CL247" s="34" t="n">
        <f aca="false">SUMPRODUCT(FC_V*((FC_Mon="PYG")*CL$175+(FC_Mon&lt;&gt;"PYG"))*(1+FC_g)^(CL$173-1)*((FC_Desde=0)*(CL$172+CL$171)+(FC_Desde&gt;=1)*(CL$170&gt;=FC_Desde)*CL$171)*FC_IVA/(1+FC_IVA))</f>
        <v>1901.38499594685</v>
      </c>
      <c r="CM247" s="34" t="n">
        <f aca="false">SUMPRODUCT(FC_V*((FC_Mon="PYG")*CM$175+(FC_Mon&lt;&gt;"PYG"))*(1+FC_g)^(CM$173-1)*((FC_Desde=0)*(CM$172+CM$171)+(FC_Desde&gt;=1)*(CM$170&gt;=FC_Desde)*CM$171)*FC_IVA/(1+FC_IVA))</f>
        <v>1901.38499594685</v>
      </c>
      <c r="CN247" s="34" t="n">
        <f aca="false">SUMPRODUCT(FC_V*((FC_Mon="PYG")*CN$175+(FC_Mon&lt;&gt;"PYG"))*(1+FC_g)^(CN$173-1)*((FC_Desde=0)*(CN$172+CN$171)+(FC_Desde&gt;=1)*(CN$170&gt;=FC_Desde)*CN$171)*FC_IVA/(1+FC_IVA))</f>
        <v>1901.38499594685</v>
      </c>
      <c r="CO247" s="34" t="n">
        <f aca="false">SUMPRODUCT(FC_V*((FC_Mon="PYG")*CO$175+(FC_Mon&lt;&gt;"PYG"))*(1+FC_g)^(CO$173-1)*((FC_Desde=0)*(CO$172+CO$171)+(FC_Desde&gt;=1)*(CO$170&gt;=FC_Desde)*CO$171)*FC_IVA/(1+FC_IVA))</f>
        <v>1901.38499594685</v>
      </c>
      <c r="CP247" s="34" t="n">
        <f aca="false">SUMPRODUCT(FC_V*((FC_Mon="PYG")*CP$175+(FC_Mon&lt;&gt;"PYG"))*(1+FC_g)^(CP$173-1)*((FC_Desde=0)*(CP$172+CP$171)+(FC_Desde&gt;=1)*(CP$170&gt;=FC_Desde)*CP$171)*FC_IVA/(1+FC_IVA))</f>
        <v>1901.38499594685</v>
      </c>
      <c r="CQ247" s="34" t="n">
        <f aca="false">SUMPRODUCT(FC_V*((FC_Mon="PYG")*CQ$175+(FC_Mon&lt;&gt;"PYG"))*(1+FC_g)^(CQ$173-1)*((FC_Desde=0)*(CQ$172+CQ$171)+(FC_Desde&gt;=1)*(CQ$170&gt;=FC_Desde)*CQ$171)*FC_IVA/(1+FC_IVA))</f>
        <v>1901.38499594685</v>
      </c>
      <c r="CR247" s="34" t="n">
        <f aca="false">SUMPRODUCT(FC_V*((FC_Mon="PYG")*CR$175+(FC_Mon&lt;&gt;"PYG"))*(1+FC_g)^(CR$173-1)*((FC_Desde=0)*(CR$172+CR$171)+(FC_Desde&gt;=1)*(CR$170&gt;=FC_Desde)*CR$171)*FC_IVA/(1+FC_IVA))</f>
        <v>1901.38499594685</v>
      </c>
      <c r="CS247" s="34" t="n">
        <f aca="false">SUMPRODUCT(FC_V*((FC_Mon="PYG")*CS$175+(FC_Mon&lt;&gt;"PYG"))*(1+FC_g)^(CS$173-1)*((FC_Desde=0)*(CS$172+CS$171)+(FC_Desde&gt;=1)*(CS$170&gt;=FC_Desde)*CS$171)*FC_IVA/(1+FC_IVA))</f>
        <v>1901.38499594685</v>
      </c>
      <c r="CT247" s="34" t="n">
        <f aca="false">SUMPRODUCT(FC_V*((FC_Mon="PYG")*CT$175+(FC_Mon&lt;&gt;"PYG"))*(1+FC_g)^(CT$173-1)*((FC_Desde=0)*(CT$172+CT$171)+(FC_Desde&gt;=1)*(CT$170&gt;=FC_Desde)*CT$171)*FC_IVA/(1+FC_IVA))</f>
        <v>1901.38499594685</v>
      </c>
      <c r="CU247" s="34" t="n">
        <f aca="false">SUMPRODUCT(FC_V*((FC_Mon="PYG")*CU$175+(FC_Mon&lt;&gt;"PYG"))*(1+FC_g)^(CU$173-1)*((FC_Desde=0)*(CU$172+CU$171)+(FC_Desde&gt;=1)*(CU$170&gt;=FC_Desde)*CU$171)*FC_IVA/(1+FC_IVA))</f>
        <v>1901.38499594685</v>
      </c>
      <c r="CV247" s="34" t="n">
        <f aca="false">SUMPRODUCT(FC_V*((FC_Mon="PYG")*CV$175+(FC_Mon&lt;&gt;"PYG"))*(1+FC_g)^(CV$173-1)*((FC_Desde=0)*(CV$172+CV$171)+(FC_Desde&gt;=1)*(CV$170&gt;=FC_Desde)*CV$171)*FC_IVA/(1+FC_IVA))</f>
        <v>1901.38499594685</v>
      </c>
      <c r="CW247" s="34" t="n">
        <f aca="false">SUMPRODUCT(FC_V*((FC_Mon="PYG")*CW$175+(FC_Mon&lt;&gt;"PYG"))*(1+FC_g)^(CW$173-1)*((FC_Desde=0)*(CW$172+CW$171)+(FC_Desde&gt;=1)*(CW$170&gt;=FC_Desde)*CW$171)*FC_IVA/(1+FC_IVA))</f>
        <v>1901.38499594685</v>
      </c>
      <c r="CX247" s="34" t="n">
        <f aca="false">SUMPRODUCT(FC_V*((FC_Mon="PYG")*CX$175+(FC_Mon&lt;&gt;"PYG"))*(1+FC_g)^(CX$173-1)*((FC_Desde=0)*(CX$172+CX$171)+(FC_Desde&gt;=1)*(CX$170&gt;=FC_Desde)*CX$171)*FC_IVA/(1+FC_IVA))</f>
        <v>1958.42654582525</v>
      </c>
      <c r="CY247" s="34" t="n">
        <f aca="false">SUMPRODUCT(FC_V*((FC_Mon="PYG")*CY$175+(FC_Mon&lt;&gt;"PYG"))*(1+FC_g)^(CY$173-1)*((FC_Desde=0)*(CY$172+CY$171)+(FC_Desde&gt;=1)*(CY$170&gt;=FC_Desde)*CY$171)*FC_IVA/(1+FC_IVA))</f>
        <v>1958.42654582525</v>
      </c>
      <c r="CZ247" s="34" t="n">
        <f aca="false">SUMPRODUCT(FC_V*((FC_Mon="PYG")*CZ$175+(FC_Mon&lt;&gt;"PYG"))*(1+FC_g)^(CZ$173-1)*((FC_Desde=0)*(CZ$172+CZ$171)+(FC_Desde&gt;=1)*(CZ$170&gt;=FC_Desde)*CZ$171)*FC_IVA/(1+FC_IVA))</f>
        <v>1958.42654582525</v>
      </c>
      <c r="DA247" s="34" t="n">
        <f aca="false">SUMPRODUCT(FC_V*((FC_Mon="PYG")*DA$175+(FC_Mon&lt;&gt;"PYG"))*(1+FC_g)^(DA$173-1)*((FC_Desde=0)*(DA$172+DA$171)+(FC_Desde&gt;=1)*(DA$170&gt;=FC_Desde)*DA$171)*FC_IVA/(1+FC_IVA))</f>
        <v>1958.42654582525</v>
      </c>
      <c r="DB247" s="34" t="n">
        <f aca="false">SUMPRODUCT(FC_V*((FC_Mon="PYG")*DB$175+(FC_Mon&lt;&gt;"PYG"))*(1+FC_g)^(DB$173-1)*((FC_Desde=0)*(DB$172+DB$171)+(FC_Desde&gt;=1)*(DB$170&gt;=FC_Desde)*DB$171)*FC_IVA/(1+FC_IVA))</f>
        <v>1958.42654582525</v>
      </c>
      <c r="DC247" s="34" t="n">
        <f aca="false">SUMPRODUCT(FC_V*((FC_Mon="PYG")*DC$175+(FC_Mon&lt;&gt;"PYG"))*(1+FC_g)^(DC$173-1)*((FC_Desde=0)*(DC$172+DC$171)+(FC_Desde&gt;=1)*(DC$170&gt;=FC_Desde)*DC$171)*FC_IVA/(1+FC_IVA))</f>
        <v>1958.42654582525</v>
      </c>
      <c r="DD247" s="34" t="n">
        <f aca="false">SUMPRODUCT(FC_V*((FC_Mon="PYG")*DD$175+(FC_Mon&lt;&gt;"PYG"))*(1+FC_g)^(DD$173-1)*((FC_Desde=0)*(DD$172+DD$171)+(FC_Desde&gt;=1)*(DD$170&gt;=FC_Desde)*DD$171)*FC_IVA/(1+FC_IVA))</f>
        <v>1958.42654582525</v>
      </c>
      <c r="DE247" s="34" t="n">
        <f aca="false">SUMPRODUCT(FC_V*((FC_Mon="PYG")*DE$175+(FC_Mon&lt;&gt;"PYG"))*(1+FC_g)^(DE$173-1)*((FC_Desde=0)*(DE$172+DE$171)+(FC_Desde&gt;=1)*(DE$170&gt;=FC_Desde)*DE$171)*FC_IVA/(1+FC_IVA))</f>
        <v>1958.42654582525</v>
      </c>
      <c r="DF247" s="34" t="n">
        <f aca="false">SUMPRODUCT(FC_V*((FC_Mon="PYG")*DF$175+(FC_Mon&lt;&gt;"PYG"))*(1+FC_g)^(DF$173-1)*((FC_Desde=0)*(DF$172+DF$171)+(FC_Desde&gt;=1)*(DF$170&gt;=FC_Desde)*DF$171)*FC_IVA/(1+FC_IVA))</f>
        <v>1958.42654582525</v>
      </c>
      <c r="DG247" s="34" t="n">
        <f aca="false">SUMPRODUCT(FC_V*((FC_Mon="PYG")*DG$175+(FC_Mon&lt;&gt;"PYG"))*(1+FC_g)^(DG$173-1)*((FC_Desde=0)*(DG$172+DG$171)+(FC_Desde&gt;=1)*(DG$170&gt;=FC_Desde)*DG$171)*FC_IVA/(1+FC_IVA))</f>
        <v>1958.42654582525</v>
      </c>
      <c r="DH247" s="34" t="n">
        <f aca="false">SUMPRODUCT(FC_V*((FC_Mon="PYG")*DH$175+(FC_Mon&lt;&gt;"PYG"))*(1+FC_g)^(DH$173-1)*((FC_Desde=0)*(DH$172+DH$171)+(FC_Desde&gt;=1)*(DH$170&gt;=FC_Desde)*DH$171)*FC_IVA/(1+FC_IVA))</f>
        <v>1958.42654582525</v>
      </c>
      <c r="DI247" s="34" t="n">
        <f aca="false">SUMPRODUCT(FC_V*((FC_Mon="PYG")*DI$175+(FC_Mon&lt;&gt;"PYG"))*(1+FC_g)^(DI$173-1)*((FC_Desde=0)*(DI$172+DI$171)+(FC_Desde&gt;=1)*(DI$170&gt;=FC_Desde)*DI$171)*FC_IVA/(1+FC_IVA))</f>
        <v>1958.42654582525</v>
      </c>
      <c r="DJ247" s="34" t="n">
        <f aca="false">SUMPRODUCT(FC_V*((FC_Mon="PYG")*DJ$175+(FC_Mon&lt;&gt;"PYG"))*(1+FC_g)^(DJ$173-1)*((FC_Desde=0)*(DJ$172+DJ$171)+(FC_Desde&gt;=1)*(DJ$170&gt;=FC_Desde)*DJ$171)*FC_IVA/(1+FC_IVA))</f>
        <v>2017.17934220001</v>
      </c>
      <c r="DK247" s="34" t="n">
        <f aca="false">SUMPRODUCT(FC_V*((FC_Mon="PYG")*DK$175+(FC_Mon&lt;&gt;"PYG"))*(1+FC_g)^(DK$173-1)*((FC_Desde=0)*(DK$172+DK$171)+(FC_Desde&gt;=1)*(DK$170&gt;=FC_Desde)*DK$171)*FC_IVA/(1+FC_IVA))</f>
        <v>2017.17934220001</v>
      </c>
      <c r="DL247" s="34" t="n">
        <f aca="false">SUMPRODUCT(FC_V*((FC_Mon="PYG")*DL$175+(FC_Mon&lt;&gt;"PYG"))*(1+FC_g)^(DL$173-1)*((FC_Desde=0)*(DL$172+DL$171)+(FC_Desde&gt;=1)*(DL$170&gt;=FC_Desde)*DL$171)*FC_IVA/(1+FC_IVA))</f>
        <v>2017.17934220001</v>
      </c>
      <c r="DM247" s="34" t="n">
        <f aca="false">SUMPRODUCT(FC_V*((FC_Mon="PYG")*DM$175+(FC_Mon&lt;&gt;"PYG"))*(1+FC_g)^(DM$173-1)*((FC_Desde=0)*(DM$172+DM$171)+(FC_Desde&gt;=1)*(DM$170&gt;=FC_Desde)*DM$171)*FC_IVA/(1+FC_IVA))</f>
        <v>2017.17934220001</v>
      </c>
      <c r="DN247" s="34" t="n">
        <f aca="false">SUMPRODUCT(FC_V*((FC_Mon="PYG")*DN$175+(FC_Mon&lt;&gt;"PYG"))*(1+FC_g)^(DN$173-1)*((FC_Desde=0)*(DN$172+DN$171)+(FC_Desde&gt;=1)*(DN$170&gt;=FC_Desde)*DN$171)*FC_IVA/(1+FC_IVA))</f>
        <v>2017.17934220001</v>
      </c>
      <c r="DO247" s="34" t="n">
        <f aca="false">SUMPRODUCT(FC_V*((FC_Mon="PYG")*DO$175+(FC_Mon&lt;&gt;"PYG"))*(1+FC_g)^(DO$173-1)*((FC_Desde=0)*(DO$172+DO$171)+(FC_Desde&gt;=1)*(DO$170&gt;=FC_Desde)*DO$171)*FC_IVA/(1+FC_IVA))</f>
        <v>2017.17934220001</v>
      </c>
      <c r="DP247" s="34" t="n">
        <f aca="false">SUMPRODUCT(FC_V*((FC_Mon="PYG")*DP$175+(FC_Mon&lt;&gt;"PYG"))*(1+FC_g)^(DP$173-1)*((FC_Desde=0)*(DP$172+DP$171)+(FC_Desde&gt;=1)*(DP$170&gt;=FC_Desde)*DP$171)*FC_IVA/(1+FC_IVA))</f>
        <v>2017.17934220001</v>
      </c>
      <c r="DQ247" s="34" t="n">
        <f aca="false">SUMPRODUCT(FC_V*((FC_Mon="PYG")*DQ$175+(FC_Mon&lt;&gt;"PYG"))*(1+FC_g)^(DQ$173-1)*((FC_Desde=0)*(DQ$172+DQ$171)+(FC_Desde&gt;=1)*(DQ$170&gt;=FC_Desde)*DQ$171)*FC_IVA/(1+FC_IVA))</f>
        <v>2017.17934220001</v>
      </c>
      <c r="DR247" s="34" t="n">
        <f aca="false">SUMPRODUCT(FC_V*((FC_Mon="PYG")*DR$175+(FC_Mon&lt;&gt;"PYG"))*(1+FC_g)^(DR$173-1)*((FC_Desde=0)*(DR$172+DR$171)+(FC_Desde&gt;=1)*(DR$170&gt;=FC_Desde)*DR$171)*FC_IVA/(1+FC_IVA))</f>
        <v>2017.17934220001</v>
      </c>
      <c r="DS247" s="34" t="n">
        <f aca="false">SUMPRODUCT(FC_V*((FC_Mon="PYG")*DS$175+(FC_Mon&lt;&gt;"PYG"))*(1+FC_g)^(DS$173-1)*((FC_Desde=0)*(DS$172+DS$171)+(FC_Desde&gt;=1)*(DS$170&gt;=FC_Desde)*DS$171)*FC_IVA/(1+FC_IVA))</f>
        <v>2017.17934220001</v>
      </c>
      <c r="DT247" s="34" t="n">
        <f aca="false">SUMPRODUCT(FC_V*((FC_Mon="PYG")*DT$175+(FC_Mon&lt;&gt;"PYG"))*(1+FC_g)^(DT$173-1)*((FC_Desde=0)*(DT$172+DT$171)+(FC_Desde&gt;=1)*(DT$170&gt;=FC_Desde)*DT$171)*FC_IVA/(1+FC_IVA))</f>
        <v>2017.17934220001</v>
      </c>
      <c r="DU247" s="34" t="n">
        <f aca="false">SUMPRODUCT(FC_V*((FC_Mon="PYG")*DU$175+(FC_Mon&lt;&gt;"PYG"))*(1+FC_g)^(DU$173-1)*((FC_Desde=0)*(DU$172+DU$171)+(FC_Desde&gt;=1)*(DU$170&gt;=FC_Desde)*DU$171)*FC_IVA/(1+FC_IVA))</f>
        <v>2017.17934220001</v>
      </c>
      <c r="DV247" s="34" t="n">
        <f aca="false">SUMPRODUCT(FC_V*((FC_Mon="PYG")*DV$175+(FC_Mon&lt;&gt;"PYG"))*(1+FC_g)^(DV$173-1)*((FC_Desde=0)*(DV$172+DV$171)+(FC_Desde&gt;=1)*(DV$170&gt;=FC_Desde)*DV$171)*FC_IVA/(1+FC_IVA))</f>
        <v>0</v>
      </c>
      <c r="DW247" s="34" t="n">
        <f aca="false">SUMPRODUCT(FC_V*((FC_Mon="PYG")*DW$175+(FC_Mon&lt;&gt;"PYG"))*(1+FC_g)^(DW$173-1)*((FC_Desde=0)*(DW$172+DW$171)+(FC_Desde&gt;=1)*(DW$170&gt;=FC_Desde)*DW$171)*FC_IVA/(1+FC_IVA))</f>
        <v>0</v>
      </c>
      <c r="DX247" s="34" t="n">
        <f aca="false">SUMPRODUCT(FC_V*((FC_Mon="PYG")*DX$175+(FC_Mon&lt;&gt;"PYG"))*(1+FC_g)^(DX$173-1)*((FC_Desde=0)*(DX$172+DX$171)+(FC_Desde&gt;=1)*(DX$170&gt;=FC_Desde)*DX$171)*FC_IVA/(1+FC_IVA))</f>
        <v>0</v>
      </c>
      <c r="DY247" s="34" t="n">
        <f aca="false">SUMPRODUCT(FC_V*((FC_Mon="PYG")*DY$175+(FC_Mon&lt;&gt;"PYG"))*(1+FC_g)^(DY$173-1)*((FC_Desde=0)*(DY$172+DY$171)+(FC_Desde&gt;=1)*(DY$170&gt;=FC_Desde)*DY$171)*FC_IVA/(1+FC_IVA))</f>
        <v>0</v>
      </c>
      <c r="DZ247" s="34" t="n">
        <f aca="false">SUMPRODUCT(FC_V*((FC_Mon="PYG")*DZ$175+(FC_Mon&lt;&gt;"PYG"))*(1+FC_g)^(DZ$173-1)*((FC_Desde=0)*(DZ$172+DZ$171)+(FC_Desde&gt;=1)*(DZ$170&gt;=FC_Desde)*DZ$171)*FC_IVA/(1+FC_IVA))</f>
        <v>0</v>
      </c>
      <c r="EA247" s="34" t="n">
        <f aca="false">SUMPRODUCT(FC_V*((FC_Mon="PYG")*EA$175+(FC_Mon&lt;&gt;"PYG"))*(1+FC_g)^(EA$173-1)*((FC_Desde=0)*(EA$172+EA$171)+(FC_Desde&gt;=1)*(EA$170&gt;=FC_Desde)*EA$171)*FC_IVA/(1+FC_IVA))</f>
        <v>0</v>
      </c>
      <c r="EB247" s="34" t="n">
        <f aca="false">SUMPRODUCT(FC_V*((FC_Mon="PYG")*EB$175+(FC_Mon&lt;&gt;"PYG"))*(1+FC_g)^(EB$173-1)*((FC_Desde=0)*(EB$172+EB$171)+(FC_Desde&gt;=1)*(EB$170&gt;=FC_Desde)*EB$171)*FC_IVA/(1+FC_IVA))</f>
        <v>0</v>
      </c>
      <c r="EC247" s="34" t="n">
        <f aca="false">SUMPRODUCT(FC_V*((FC_Mon="PYG")*EC$175+(FC_Mon&lt;&gt;"PYG"))*(1+FC_g)^(EC$173-1)*((FC_Desde=0)*(EC$172+EC$171)+(FC_Desde&gt;=1)*(EC$170&gt;=FC_Desde)*EC$171)*FC_IVA/(1+FC_IVA))</f>
        <v>0</v>
      </c>
      <c r="ED247" s="34" t="n">
        <f aca="false">SUMPRODUCT(FC_V*((FC_Mon="PYG")*ED$175+(FC_Mon&lt;&gt;"PYG"))*(1+FC_g)^(ED$173-1)*((FC_Desde=0)*(ED$172+ED$171)+(FC_Desde&gt;=1)*(ED$170&gt;=FC_Desde)*ED$171)*FC_IVA/(1+FC_IVA))</f>
        <v>0</v>
      </c>
      <c r="EE247" s="34" t="n">
        <f aca="false">SUMPRODUCT(FC_V*((FC_Mon="PYG")*EE$175+(FC_Mon&lt;&gt;"PYG"))*(1+FC_g)^(EE$173-1)*((FC_Desde=0)*(EE$172+EE$171)+(FC_Desde&gt;=1)*(EE$170&gt;=FC_Desde)*EE$171)*FC_IVA/(1+FC_IVA))</f>
        <v>0</v>
      </c>
      <c r="EF247" s="34" t="n">
        <f aca="false">SUMPRODUCT(FC_V*((FC_Mon="PYG")*EF$175+(FC_Mon&lt;&gt;"PYG"))*(1+FC_g)^(EF$173-1)*((FC_Desde=0)*(EF$172+EF$171)+(FC_Desde&gt;=1)*(EF$170&gt;=FC_Desde)*EF$171)*FC_IVA/(1+FC_IVA))</f>
        <v>0</v>
      </c>
      <c r="EG247" s="34" t="n">
        <f aca="false">SUMPRODUCT(FC_V*((FC_Mon="PYG")*EG$175+(FC_Mon&lt;&gt;"PYG"))*(1+FC_g)^(EG$173-1)*((FC_Desde=0)*(EG$172+EG$171)+(FC_Desde&gt;=1)*(EG$170&gt;=FC_Desde)*EG$171)*FC_IVA/(1+FC_IVA))</f>
        <v>0</v>
      </c>
      <c r="EH247" s="34" t="n">
        <f aca="false">SUMPRODUCT(FC_V*((FC_Mon="PYG")*EH$175+(FC_Mon&lt;&gt;"PYG"))*(1+FC_g)^(EH$173-1)*((FC_Desde=0)*(EH$172+EH$171)+(FC_Desde&gt;=1)*(EH$170&gt;=FC_Desde)*EH$171)*FC_IVA/(1+FC_IVA))</f>
        <v>0</v>
      </c>
      <c r="EI247" s="34" t="n">
        <f aca="false">SUMPRODUCT(FC_V*((FC_Mon="PYG")*EI$175+(FC_Mon&lt;&gt;"PYG"))*(1+FC_g)^(EI$173-1)*((FC_Desde=0)*(EI$172+EI$171)+(FC_Desde&gt;=1)*(EI$170&gt;=FC_Desde)*EI$171)*FC_IVA/(1+FC_IVA))</f>
        <v>0</v>
      </c>
      <c r="EJ247" s="34" t="n">
        <f aca="false">SUMPRODUCT(FC_V*((FC_Mon="PYG")*EJ$175+(FC_Mon&lt;&gt;"PYG"))*(1+FC_g)^(EJ$173-1)*((FC_Desde=0)*(EJ$172+EJ$171)+(FC_Desde&gt;=1)*(EJ$170&gt;=FC_Desde)*EJ$171)*FC_IVA/(1+FC_IVA))</f>
        <v>0</v>
      </c>
      <c r="EK247" s="34" t="n">
        <f aca="false">SUMPRODUCT(FC_V*((FC_Mon="PYG")*EK$175+(FC_Mon&lt;&gt;"PYG"))*(1+FC_g)^(EK$173-1)*((FC_Desde=0)*(EK$172+EK$171)+(FC_Desde&gt;=1)*(EK$170&gt;=FC_Desde)*EK$171)*FC_IVA/(1+FC_IVA))</f>
        <v>0</v>
      </c>
      <c r="EL247" s="34" t="n">
        <f aca="false">SUMPRODUCT(FC_V*((FC_Mon="PYG")*EL$175+(FC_Mon&lt;&gt;"PYG"))*(1+FC_g)^(EL$173-1)*((FC_Desde=0)*(EL$172+EL$171)+(FC_Desde&gt;=1)*(EL$170&gt;=FC_Desde)*EL$171)*FC_IVA/(1+FC_IVA))</f>
        <v>0</v>
      </c>
      <c r="EM247" s="34" t="n">
        <f aca="false">SUMPRODUCT(FC_V*((FC_Mon="PYG")*EM$175+(FC_Mon&lt;&gt;"PYG"))*(1+FC_g)^(EM$173-1)*((FC_Desde=0)*(EM$172+EM$171)+(FC_Desde&gt;=1)*(EM$170&gt;=FC_Desde)*EM$171)*FC_IVA/(1+FC_IVA))</f>
        <v>0</v>
      </c>
      <c r="EN247" s="34" t="n">
        <f aca="false">SUMPRODUCT(FC_V*((FC_Mon="PYG")*EN$175+(FC_Mon&lt;&gt;"PYG"))*(1+FC_g)^(EN$173-1)*((FC_Desde=0)*(EN$172+EN$171)+(FC_Desde&gt;=1)*(EN$170&gt;=FC_Desde)*EN$171)*FC_IVA/(1+FC_IVA))</f>
        <v>0</v>
      </c>
      <c r="EO247" s="34" t="n">
        <f aca="false">SUMPRODUCT(FC_V*((FC_Mon="PYG")*EO$175+(FC_Mon&lt;&gt;"PYG"))*(1+FC_g)^(EO$173-1)*((FC_Desde=0)*(EO$172+EO$171)+(FC_Desde&gt;=1)*(EO$170&gt;=FC_Desde)*EO$171)*FC_IVA/(1+FC_IVA))</f>
        <v>0</v>
      </c>
      <c r="EP247" s="34" t="n">
        <f aca="false">SUMPRODUCT(FC_V*((FC_Mon="PYG")*EP$175+(FC_Mon&lt;&gt;"PYG"))*(1+FC_g)^(EP$173-1)*((FC_Desde=0)*(EP$172+EP$171)+(FC_Desde&gt;=1)*(EP$170&gt;=FC_Desde)*EP$171)*FC_IVA/(1+FC_IVA))</f>
        <v>0</v>
      </c>
      <c r="EQ247" s="34" t="n">
        <f aca="false">SUMPRODUCT(FC_V*((FC_Mon="PYG")*EQ$175+(FC_Mon&lt;&gt;"PYG"))*(1+FC_g)^(EQ$173-1)*((FC_Desde=0)*(EQ$172+EQ$171)+(FC_Desde&gt;=1)*(EQ$170&gt;=FC_Desde)*EQ$171)*FC_IVA/(1+FC_IVA))</f>
        <v>0</v>
      </c>
      <c r="ER247" s="34" t="n">
        <f aca="false">SUMPRODUCT(FC_V*((FC_Mon="PYG")*ER$175+(FC_Mon&lt;&gt;"PYG"))*(1+FC_g)^(ER$173-1)*((FC_Desde=0)*(ER$172+ER$171)+(FC_Desde&gt;=1)*(ER$170&gt;=FC_Desde)*ER$171)*FC_IVA/(1+FC_IVA))</f>
        <v>0</v>
      </c>
      <c r="ES247" s="34" t="n">
        <f aca="false">SUMPRODUCT(FC_V*((FC_Mon="PYG")*ES$175+(FC_Mon&lt;&gt;"PYG"))*(1+FC_g)^(ES$173-1)*((FC_Desde=0)*(ES$172+ES$171)+(FC_Desde&gt;=1)*(ES$170&gt;=FC_Desde)*ES$171)*FC_IVA/(1+FC_IVA))</f>
        <v>0</v>
      </c>
    </row>
    <row r="248" customFormat="false" ht="15" hidden="false" customHeight="false" outlineLevel="0" collapsed="false">
      <c r="A248" s="4"/>
      <c r="B248" s="3" t="s">
        <v>675</v>
      </c>
      <c r="C248" s="4"/>
      <c r="D248" s="4"/>
      <c r="E248" s="4"/>
    </row>
    <row r="249" customFormat="false" ht="15" hidden="false" customHeight="false" outlineLevel="0" collapsed="false">
      <c r="A249" s="2" t="s">
        <v>889</v>
      </c>
      <c r="B249" s="6" t="s">
        <v>677</v>
      </c>
      <c r="C249" s="6" t="s">
        <v>250</v>
      </c>
      <c r="E249" s="40" t="n">
        <f aca="false">SUM(F249:ES249)</f>
        <v>39318093.38356</v>
      </c>
      <c r="F249" s="34" t="n">
        <f aca="false">IF(F$8=1,IF(Reales!$C$64="PYG",IF(F$10&gt;0,N(Reales!F64)/F$10,0),N(Reales!F64)),F$229+F$230)</f>
        <v>199172.5</v>
      </c>
      <c r="G249" s="34" t="n">
        <f aca="false">IF(G$8=1,IF(Reales!$C$64="PYG",IF(G$10&gt;0,N(Reales!G64)/G$10,0),N(Reales!G64)),G$229+G$230)</f>
        <v>199172.5</v>
      </c>
      <c r="H249" s="34" t="n">
        <f aca="false">IF(H$8=1,IF(Reales!$C$64="PYG",IF(H$10&gt;0,N(Reales!H64)/H$10,0),N(Reales!H64)),H$229+H$230)</f>
        <v>199172.5</v>
      </c>
      <c r="I249" s="34" t="n">
        <f aca="false">IF(I$8=1,IF(Reales!$C$64="PYG",IF(I$10&gt;0,N(Reales!I64)/I$10,0),N(Reales!I64)),I$229+I$230)</f>
        <v>199172.5</v>
      </c>
      <c r="J249" s="34" t="n">
        <f aca="false">IF(J$8=1,IF(Reales!$C$64="PYG",IF(J$10&gt;0,N(Reales!J64)/J$10,0),N(Reales!J64)),J$229+J$230)</f>
        <v>199172.5</v>
      </c>
      <c r="K249" s="34" t="n">
        <f aca="false">IF(K$8=1,IF(Reales!$C$64="PYG",IF(K$10&gt;0,N(Reales!K64)/K$10,0),N(Reales!K64)),K$229+K$230)</f>
        <v>199172.5</v>
      </c>
      <c r="L249" s="34" t="n">
        <f aca="false">IF(L$8=1,IF(Reales!$C$64="PYG",IF(L$10&gt;0,N(Reales!L64)/L$10,0),N(Reales!L64)),L$229+L$230)</f>
        <v>199172.5</v>
      </c>
      <c r="M249" s="34" t="n">
        <f aca="false">IF(M$8=1,IF(Reales!$C$64="PYG",IF(M$10&gt;0,N(Reales!M64)/M$10,0),N(Reales!M64)),M$229+M$230)</f>
        <v>199172.5</v>
      </c>
      <c r="N249" s="34" t="n">
        <f aca="false">IF(N$8=1,IF(Reales!$C$64="PYG",IF(N$10&gt;0,N(Reales!N64)/N$10,0),N(Reales!N64)),N$229+N$230)</f>
        <v>199172.5</v>
      </c>
      <c r="O249" s="34" t="n">
        <f aca="false">IF(O$8=1,IF(Reales!$C$64="PYG",IF(O$10&gt;0,N(Reales!O64)/O$10,0),N(Reales!O64)),O$229+O$230)</f>
        <v>199172.5</v>
      </c>
      <c r="P249" s="34" t="n">
        <f aca="false">IF(P$8=1,IF(Reales!$C$64="PYG",IF(P$10&gt;0,N(Reales!P64)/P$10,0),N(Reales!P64)),P$229+P$230)</f>
        <v>199172.5</v>
      </c>
      <c r="Q249" s="34" t="n">
        <f aca="false">IF(Q$8=1,IF(Reales!$C$64="PYG",IF(Q$10&gt;0,N(Reales!Q64)/Q$10,0),N(Reales!Q64)),Q$229+Q$230)</f>
        <v>199172.5</v>
      </c>
      <c r="R249" s="34" t="n">
        <f aca="false">IF(R$8=1,IF(Reales!$C$64="PYG",IF(R$10&gt;0,N(Reales!R64)/R$10,0),N(Reales!R64)),R$229+R$230)</f>
        <v>253108.875</v>
      </c>
      <c r="S249" s="34" t="n">
        <f aca="false">IF(S$8=1,IF(Reales!$C$64="PYG",IF(S$10&gt;0,N(Reales!S64)/S$10,0),N(Reales!S64)),S$229+S$230)</f>
        <v>253108.875</v>
      </c>
      <c r="T249" s="34" t="n">
        <f aca="false">IF(T$8=1,IF(Reales!$C$64="PYG",IF(T$10&gt;0,N(Reales!T64)/T$10,0),N(Reales!T64)),T$229+T$230)</f>
        <v>253108.875</v>
      </c>
      <c r="U249" s="34" t="n">
        <f aca="false">IF(U$8=1,IF(Reales!$C$64="PYG",IF(U$10&gt;0,N(Reales!U64)/U$10,0),N(Reales!U64)),U$229+U$230)</f>
        <v>253108.875</v>
      </c>
      <c r="V249" s="34" t="n">
        <f aca="false">IF(V$8=1,IF(Reales!$C$64="PYG",IF(V$10&gt;0,N(Reales!V64)/V$10,0),N(Reales!V64)),V$229+V$230)</f>
        <v>253108.875</v>
      </c>
      <c r="W249" s="34" t="n">
        <f aca="false">IF(W$8=1,IF(Reales!$C$64="PYG",IF(W$10&gt;0,N(Reales!W64)/W$10,0),N(Reales!W64)),W$229+W$230)</f>
        <v>253108.875</v>
      </c>
      <c r="X249" s="34" t="n">
        <f aca="false">IF(X$8=1,IF(Reales!$C$64="PYG",IF(X$10&gt;0,N(Reales!X64)/X$10,0),N(Reales!X64)),X$229+X$230)</f>
        <v>253108.875</v>
      </c>
      <c r="Y249" s="34" t="n">
        <f aca="false">IF(Y$8=1,IF(Reales!$C$64="PYG",IF(Y$10&gt;0,N(Reales!Y64)/Y$10,0),N(Reales!Y64)),Y$229+Y$230)</f>
        <v>253108.875</v>
      </c>
      <c r="Z249" s="34" t="n">
        <f aca="false">IF(Z$8=1,IF(Reales!$C$64="PYG",IF(Z$10&gt;0,N(Reales!Z64)/Z$10,0),N(Reales!Z64)),Z$229+Z$230)</f>
        <v>253108.875</v>
      </c>
      <c r="AA249" s="34" t="n">
        <f aca="false">IF(AA$8=1,IF(Reales!$C$64="PYG",IF(AA$10&gt;0,N(Reales!AA64)/AA$10,0),N(Reales!AA64)),AA$229+AA$230)</f>
        <v>253108.875</v>
      </c>
      <c r="AB249" s="34" t="n">
        <f aca="false">IF(AB$8=1,IF(Reales!$C$64="PYG",IF(AB$10&gt;0,N(Reales!AB64)/AB$10,0),N(Reales!AB64)),AB$229+AB$230)</f>
        <v>253108.875</v>
      </c>
      <c r="AC249" s="34" t="n">
        <f aca="false">IF(AC$8=1,IF(Reales!$C$64="PYG",IF(AC$10&gt;0,N(Reales!AC64)/AC$10,0),N(Reales!AC64)),AC$229+AC$230)</f>
        <v>253108.875</v>
      </c>
      <c r="AD249" s="34" t="n">
        <f aca="false">IF(AD$8=1,IF(Reales!$C$64="PYG",IF(AD$10&gt;0,N(Reales!AD64)/AD$10,0),N(Reales!AD64)),AD$229+AD$230)</f>
        <v>307724.69</v>
      </c>
      <c r="AE249" s="34" t="n">
        <f aca="false">IF(AE$8=1,IF(Reales!$C$64="PYG",IF(AE$10&gt;0,N(Reales!AE64)/AE$10,0),N(Reales!AE64)),AE$229+AE$230)</f>
        <v>307724.69</v>
      </c>
      <c r="AF249" s="34" t="n">
        <f aca="false">IF(AF$8=1,IF(Reales!$C$64="PYG",IF(AF$10&gt;0,N(Reales!AF64)/AF$10,0),N(Reales!AF64)),AF$229+AF$230)</f>
        <v>307724.69</v>
      </c>
      <c r="AG249" s="34" t="n">
        <f aca="false">IF(AG$8=1,IF(Reales!$C$64="PYG",IF(AG$10&gt;0,N(Reales!AG64)/AG$10,0),N(Reales!AG64)),AG$229+AG$230)</f>
        <v>307724.69</v>
      </c>
      <c r="AH249" s="34" t="n">
        <f aca="false">IF(AH$8=1,IF(Reales!$C$64="PYG",IF(AH$10&gt;0,N(Reales!AH64)/AH$10,0),N(Reales!AH64)),AH$229+AH$230)</f>
        <v>307724.69</v>
      </c>
      <c r="AI249" s="34" t="n">
        <f aca="false">IF(AI$8=1,IF(Reales!$C$64="PYG",IF(AI$10&gt;0,N(Reales!AI64)/AI$10,0),N(Reales!AI64)),AI$229+AI$230)</f>
        <v>307724.69</v>
      </c>
      <c r="AJ249" s="34" t="n">
        <f aca="false">IF(AJ$8=1,IF(Reales!$C$64="PYG",IF(AJ$10&gt;0,N(Reales!AJ64)/AJ$10,0),N(Reales!AJ64)),AJ$229+AJ$230)</f>
        <v>307724.69</v>
      </c>
      <c r="AK249" s="34" t="n">
        <f aca="false">IF(AK$8=1,IF(Reales!$C$64="PYG",IF(AK$10&gt;0,N(Reales!AK64)/AK$10,0),N(Reales!AK64)),AK$229+AK$230)</f>
        <v>307724.69</v>
      </c>
      <c r="AL249" s="34" t="n">
        <f aca="false">IF(AL$8=1,IF(Reales!$C$64="PYG",IF(AL$10&gt;0,N(Reales!AL64)/AL$10,0),N(Reales!AL64)),AL$229+AL$230)</f>
        <v>307724.69</v>
      </c>
      <c r="AM249" s="34" t="n">
        <f aca="false">IF(AM$8=1,IF(Reales!$C$64="PYG",IF(AM$10&gt;0,N(Reales!AM64)/AM$10,0),N(Reales!AM64)),AM$229+AM$230)</f>
        <v>307724.69</v>
      </c>
      <c r="AN249" s="34" t="n">
        <f aca="false">IF(AN$8=1,IF(Reales!$C$64="PYG",IF(AN$10&gt;0,N(Reales!AN64)/AN$10,0),N(Reales!AN64)),AN$229+AN$230)</f>
        <v>307724.69</v>
      </c>
      <c r="AO249" s="34" t="n">
        <f aca="false">IF(AO$8=1,IF(Reales!$C$64="PYG",IF(AO$10&gt;0,N(Reales!AO64)/AO$10,0),N(Reales!AO64)),AO$229+AO$230)</f>
        <v>307724.69</v>
      </c>
      <c r="AP249" s="34" t="n">
        <f aca="false">IF(AP$8=1,IF(Reales!$C$64="PYG",IF(AP$10&gt;0,N(Reales!AP64)/AP$10,0),N(Reales!AP64)),AP$229+AP$230)</f>
        <v>352625.4649875</v>
      </c>
      <c r="AQ249" s="34" t="n">
        <f aca="false">IF(AQ$8=1,IF(Reales!$C$64="PYG",IF(AQ$10&gt;0,N(Reales!AQ64)/AQ$10,0),N(Reales!AQ64)),AQ$229+AQ$230)</f>
        <v>352625.4649875</v>
      </c>
      <c r="AR249" s="34" t="n">
        <f aca="false">IF(AR$8=1,IF(Reales!$C$64="PYG",IF(AR$10&gt;0,N(Reales!AR64)/AR$10,0),N(Reales!AR64)),AR$229+AR$230)</f>
        <v>352625.4649875</v>
      </c>
      <c r="AS249" s="34" t="n">
        <f aca="false">IF(AS$8=1,IF(Reales!$C$64="PYG",IF(AS$10&gt;0,N(Reales!AS64)/AS$10,0),N(Reales!AS64)),AS$229+AS$230)</f>
        <v>352625.4649875</v>
      </c>
      <c r="AT249" s="34" t="n">
        <f aca="false">IF(AT$8=1,IF(Reales!$C$64="PYG",IF(AT$10&gt;0,N(Reales!AT64)/AT$10,0),N(Reales!AT64)),AT$229+AT$230)</f>
        <v>352625.4649875</v>
      </c>
      <c r="AU249" s="34" t="n">
        <f aca="false">IF(AU$8=1,IF(Reales!$C$64="PYG",IF(AU$10&gt;0,N(Reales!AU64)/AU$10,0),N(Reales!AU64)),AU$229+AU$230)</f>
        <v>352625.4649875</v>
      </c>
      <c r="AV249" s="34" t="n">
        <f aca="false">IF(AV$8=1,IF(Reales!$C$64="PYG",IF(AV$10&gt;0,N(Reales!AV64)/AV$10,0),N(Reales!AV64)),AV$229+AV$230)</f>
        <v>352625.4649875</v>
      </c>
      <c r="AW249" s="34" t="n">
        <f aca="false">IF(AW$8=1,IF(Reales!$C$64="PYG",IF(AW$10&gt;0,N(Reales!AW64)/AW$10,0),N(Reales!AW64)),AW$229+AW$230)</f>
        <v>352625.4649875</v>
      </c>
      <c r="AX249" s="34" t="n">
        <f aca="false">IF(AX$8=1,IF(Reales!$C$64="PYG",IF(AX$10&gt;0,N(Reales!AX64)/AX$10,0),N(Reales!AX64)),AX$229+AX$230)</f>
        <v>352625.4649875</v>
      </c>
      <c r="AY249" s="34" t="n">
        <f aca="false">IF(AY$8=1,IF(Reales!$C$64="PYG",IF(AY$10&gt;0,N(Reales!AY64)/AY$10,0),N(Reales!AY64)),AY$229+AY$230)</f>
        <v>352625.4649875</v>
      </c>
      <c r="AZ249" s="34" t="n">
        <f aca="false">IF(AZ$8=1,IF(Reales!$C$64="PYG",IF(AZ$10&gt;0,N(Reales!AZ64)/AZ$10,0),N(Reales!AZ64)),AZ$229+AZ$230)</f>
        <v>352625.4649875</v>
      </c>
      <c r="BA249" s="34" t="n">
        <f aca="false">IF(BA$8=1,IF(Reales!$C$64="PYG",IF(BA$10&gt;0,N(Reales!BA64)/BA$10,0),N(Reales!BA64)),BA$229+BA$230)</f>
        <v>352625.4649875</v>
      </c>
      <c r="BB249" s="34" t="n">
        <f aca="false">IF(BB$8=1,IF(Reales!$C$64="PYG",IF(BB$10&gt;0,N(Reales!BB64)/BB$10,0),N(Reales!BB64)),BB$229+BB$230)</f>
        <v>354879.119637375</v>
      </c>
      <c r="BC249" s="34" t="n">
        <f aca="false">IF(BC$8=1,IF(Reales!$C$64="PYG",IF(BC$10&gt;0,N(Reales!BC64)/BC$10,0),N(Reales!BC64)),BC$229+BC$230)</f>
        <v>354879.119637375</v>
      </c>
      <c r="BD249" s="34" t="n">
        <f aca="false">IF(BD$8=1,IF(Reales!$C$64="PYG",IF(BD$10&gt;0,N(Reales!BD64)/BD$10,0),N(Reales!BD64)),BD$229+BD$230)</f>
        <v>354879.119637375</v>
      </c>
      <c r="BE249" s="34" t="n">
        <f aca="false">IF(BE$8=1,IF(Reales!$C$64="PYG",IF(BE$10&gt;0,N(Reales!BE64)/BE$10,0),N(Reales!BE64)),BE$229+BE$230)</f>
        <v>354879.119637375</v>
      </c>
      <c r="BF249" s="34" t="n">
        <f aca="false">IF(BF$8=1,IF(Reales!$C$64="PYG",IF(BF$10&gt;0,N(Reales!BF64)/BF$10,0),N(Reales!BF64)),BF$229+BF$230)</f>
        <v>354879.119637375</v>
      </c>
      <c r="BG249" s="34" t="n">
        <f aca="false">IF(BG$8=1,IF(Reales!$C$64="PYG",IF(BG$10&gt;0,N(Reales!BG64)/BG$10,0),N(Reales!BG64)),BG$229+BG$230)</f>
        <v>354879.119637375</v>
      </c>
      <c r="BH249" s="34" t="n">
        <f aca="false">IF(BH$8=1,IF(Reales!$C$64="PYG",IF(BH$10&gt;0,N(Reales!BH64)/BH$10,0),N(Reales!BH64)),BH$229+BH$230)</f>
        <v>354879.119637375</v>
      </c>
      <c r="BI249" s="34" t="n">
        <f aca="false">IF(BI$8=1,IF(Reales!$C$64="PYG",IF(BI$10&gt;0,N(Reales!BI64)/BI$10,0),N(Reales!BI64)),BI$229+BI$230)</f>
        <v>354879.119637375</v>
      </c>
      <c r="BJ249" s="34" t="n">
        <f aca="false">IF(BJ$8=1,IF(Reales!$C$64="PYG",IF(BJ$10&gt;0,N(Reales!BJ64)/BJ$10,0),N(Reales!BJ64)),BJ$229+BJ$230)</f>
        <v>354879.119637375</v>
      </c>
      <c r="BK249" s="34" t="n">
        <f aca="false">IF(BK$8=1,IF(Reales!$C$64="PYG",IF(BK$10&gt;0,N(Reales!BK64)/BK$10,0),N(Reales!BK64)),BK$229+BK$230)</f>
        <v>354879.119637375</v>
      </c>
      <c r="BL249" s="34" t="n">
        <f aca="false">IF(BL$8=1,IF(Reales!$C$64="PYG",IF(BL$10&gt;0,N(Reales!BL64)/BL$10,0),N(Reales!BL64)),BL$229+BL$230)</f>
        <v>354879.119637375</v>
      </c>
      <c r="BM249" s="34" t="n">
        <f aca="false">IF(BM$8=1,IF(Reales!$C$64="PYG",IF(BM$10&gt;0,N(Reales!BM64)/BM$10,0),N(Reales!BM64)),BM$229+BM$230)</f>
        <v>354879.119637375</v>
      </c>
      <c r="BN249" s="34" t="n">
        <f aca="false">IF(BN$8=1,IF(Reales!$C$64="PYG",IF(BN$10&gt;0,N(Reales!BN64)/BN$10,0),N(Reales!BN64)),BN$229+BN$230)</f>
        <v>357155.310833749</v>
      </c>
      <c r="BO249" s="34" t="n">
        <f aca="false">IF(BO$8=1,IF(Reales!$C$64="PYG",IF(BO$10&gt;0,N(Reales!BO64)/BO$10,0),N(Reales!BO64)),BO$229+BO$230)</f>
        <v>357155.310833749</v>
      </c>
      <c r="BP249" s="34" t="n">
        <f aca="false">IF(BP$8=1,IF(Reales!$C$64="PYG",IF(BP$10&gt;0,N(Reales!BP64)/BP$10,0),N(Reales!BP64)),BP$229+BP$230)</f>
        <v>357155.310833749</v>
      </c>
      <c r="BQ249" s="34" t="n">
        <f aca="false">IF(BQ$8=1,IF(Reales!$C$64="PYG",IF(BQ$10&gt;0,N(Reales!BQ64)/BQ$10,0),N(Reales!BQ64)),BQ$229+BQ$230)</f>
        <v>357155.310833749</v>
      </c>
      <c r="BR249" s="34" t="n">
        <f aca="false">IF(BR$8=1,IF(Reales!$C$64="PYG",IF(BR$10&gt;0,N(Reales!BR64)/BR$10,0),N(Reales!BR64)),BR$229+BR$230)</f>
        <v>357155.310833749</v>
      </c>
      <c r="BS249" s="34" t="n">
        <f aca="false">IF(BS$8=1,IF(Reales!$C$64="PYG",IF(BS$10&gt;0,N(Reales!BS64)/BS$10,0),N(Reales!BS64)),BS$229+BS$230)</f>
        <v>357155.310833749</v>
      </c>
      <c r="BT249" s="34" t="n">
        <f aca="false">IF(BT$8=1,IF(Reales!$C$64="PYG",IF(BT$10&gt;0,N(Reales!BT64)/BT$10,0),N(Reales!BT64)),BT$229+BT$230)</f>
        <v>357155.310833749</v>
      </c>
      <c r="BU249" s="34" t="n">
        <f aca="false">IF(BU$8=1,IF(Reales!$C$64="PYG",IF(BU$10&gt;0,N(Reales!BU64)/BU$10,0),N(Reales!BU64)),BU$229+BU$230)</f>
        <v>357155.310833749</v>
      </c>
      <c r="BV249" s="34" t="n">
        <f aca="false">IF(BV$8=1,IF(Reales!$C$64="PYG",IF(BV$10&gt;0,N(Reales!BV64)/BV$10,0),N(Reales!BV64)),BV$229+BV$230)</f>
        <v>357155.310833749</v>
      </c>
      <c r="BW249" s="34" t="n">
        <f aca="false">IF(BW$8=1,IF(Reales!$C$64="PYG",IF(BW$10&gt;0,N(Reales!BW64)/BW$10,0),N(Reales!BW64)),BW$229+BW$230)</f>
        <v>357155.310833749</v>
      </c>
      <c r="BX249" s="34" t="n">
        <f aca="false">IF(BX$8=1,IF(Reales!$C$64="PYG",IF(BX$10&gt;0,N(Reales!BX64)/BX$10,0),N(Reales!BX64)),BX$229+BX$230)</f>
        <v>357155.310833749</v>
      </c>
      <c r="BY249" s="34" t="n">
        <f aca="false">IF(BY$8=1,IF(Reales!$C$64="PYG",IF(BY$10&gt;0,N(Reales!BY64)/BY$10,0),N(Reales!BY64)),BY$229+BY$230)</f>
        <v>357155.310833749</v>
      </c>
      <c r="BZ249" s="34" t="n">
        <f aca="false">IF(BZ$8=1,IF(Reales!$C$64="PYG",IF(BZ$10&gt;0,N(Reales!BZ64)/BZ$10,0),N(Reales!BZ64)),BZ$229+BZ$230)</f>
        <v>359454.263942086</v>
      </c>
      <c r="CA249" s="34" t="n">
        <f aca="false">IF(CA$8=1,IF(Reales!$C$64="PYG",IF(CA$10&gt;0,N(Reales!CA64)/CA$10,0),N(Reales!CA64)),CA$229+CA$230)</f>
        <v>359454.263942086</v>
      </c>
      <c r="CB249" s="34" t="n">
        <f aca="false">IF(CB$8=1,IF(Reales!$C$64="PYG",IF(CB$10&gt;0,N(Reales!CB64)/CB$10,0),N(Reales!CB64)),CB$229+CB$230)</f>
        <v>359454.263942086</v>
      </c>
      <c r="CC249" s="34" t="n">
        <f aca="false">IF(CC$8=1,IF(Reales!$C$64="PYG",IF(CC$10&gt;0,N(Reales!CC64)/CC$10,0),N(Reales!CC64)),CC$229+CC$230)</f>
        <v>359454.263942086</v>
      </c>
      <c r="CD249" s="34" t="n">
        <f aca="false">IF(CD$8=1,IF(Reales!$C$64="PYG",IF(CD$10&gt;0,N(Reales!CD64)/CD$10,0),N(Reales!CD64)),CD$229+CD$230)</f>
        <v>359454.263942086</v>
      </c>
      <c r="CE249" s="34" t="n">
        <f aca="false">IF(CE$8=1,IF(Reales!$C$64="PYG",IF(CE$10&gt;0,N(Reales!CE64)/CE$10,0),N(Reales!CE64)),CE$229+CE$230)</f>
        <v>359454.263942086</v>
      </c>
      <c r="CF249" s="34" t="n">
        <f aca="false">IF(CF$8=1,IF(Reales!$C$64="PYG",IF(CF$10&gt;0,N(Reales!CF64)/CF$10,0),N(Reales!CF64)),CF$229+CF$230)</f>
        <v>359454.263942086</v>
      </c>
      <c r="CG249" s="34" t="n">
        <f aca="false">IF(CG$8=1,IF(Reales!$C$64="PYG",IF(CG$10&gt;0,N(Reales!CG64)/CG$10,0),N(Reales!CG64)),CG$229+CG$230)</f>
        <v>359454.263942086</v>
      </c>
      <c r="CH249" s="34" t="n">
        <f aca="false">IF(CH$8=1,IF(Reales!$C$64="PYG",IF(CH$10&gt;0,N(Reales!CH64)/CH$10,0),N(Reales!CH64)),CH$229+CH$230)</f>
        <v>359454.263942086</v>
      </c>
      <c r="CI249" s="34" t="n">
        <f aca="false">IF(CI$8=1,IF(Reales!$C$64="PYG",IF(CI$10&gt;0,N(Reales!CI64)/CI$10,0),N(Reales!CI64)),CI$229+CI$230)</f>
        <v>359454.263942086</v>
      </c>
      <c r="CJ249" s="34" t="n">
        <f aca="false">IF(CJ$8=1,IF(Reales!$C$64="PYG",IF(CJ$10&gt;0,N(Reales!CJ64)/CJ$10,0),N(Reales!CJ64)),CJ$229+CJ$230)</f>
        <v>359454.263942086</v>
      </c>
      <c r="CK249" s="34" t="n">
        <f aca="false">IF(CK$8=1,IF(Reales!$C$64="PYG",IF(CK$10&gt;0,N(Reales!CK64)/CK$10,0),N(Reales!CK64)),CK$229+CK$230)</f>
        <v>359454.263942086</v>
      </c>
      <c r="CL249" s="34" t="n">
        <f aca="false">IF(CL$8=1,IF(Reales!$C$64="PYG",IF(CL$10&gt;0,N(Reales!CL64)/CL$10,0),N(Reales!CL64)),CL$229+CL$230)</f>
        <v>361776.206581507</v>
      </c>
      <c r="CM249" s="34" t="n">
        <f aca="false">IF(CM$8=1,IF(Reales!$C$64="PYG",IF(CM$10&gt;0,N(Reales!CM64)/CM$10,0),N(Reales!CM64)),CM$229+CM$230)</f>
        <v>361776.206581507</v>
      </c>
      <c r="CN249" s="34" t="n">
        <f aca="false">IF(CN$8=1,IF(Reales!$C$64="PYG",IF(CN$10&gt;0,N(Reales!CN64)/CN$10,0),N(Reales!CN64)),CN$229+CN$230)</f>
        <v>361776.206581507</v>
      </c>
      <c r="CO249" s="34" t="n">
        <f aca="false">IF(CO$8=1,IF(Reales!$C$64="PYG",IF(CO$10&gt;0,N(Reales!CO64)/CO$10,0),N(Reales!CO64)),CO$229+CO$230)</f>
        <v>361776.206581507</v>
      </c>
      <c r="CP249" s="34" t="n">
        <f aca="false">IF(CP$8=1,IF(Reales!$C$64="PYG",IF(CP$10&gt;0,N(Reales!CP64)/CP$10,0),N(Reales!CP64)),CP$229+CP$230)</f>
        <v>361776.206581507</v>
      </c>
      <c r="CQ249" s="34" t="n">
        <f aca="false">IF(CQ$8=1,IF(Reales!$C$64="PYG",IF(CQ$10&gt;0,N(Reales!CQ64)/CQ$10,0),N(Reales!CQ64)),CQ$229+CQ$230)</f>
        <v>361776.206581507</v>
      </c>
      <c r="CR249" s="34" t="n">
        <f aca="false">IF(CR$8=1,IF(Reales!$C$64="PYG",IF(CR$10&gt;0,N(Reales!CR64)/CR$10,0),N(Reales!CR64)),CR$229+CR$230)</f>
        <v>361776.206581507</v>
      </c>
      <c r="CS249" s="34" t="n">
        <f aca="false">IF(CS$8=1,IF(Reales!$C$64="PYG",IF(CS$10&gt;0,N(Reales!CS64)/CS$10,0),N(Reales!CS64)),CS$229+CS$230)</f>
        <v>361776.206581507</v>
      </c>
      <c r="CT249" s="34" t="n">
        <f aca="false">IF(CT$8=1,IF(Reales!$C$64="PYG",IF(CT$10&gt;0,N(Reales!CT64)/CT$10,0),N(Reales!CT64)),CT$229+CT$230)</f>
        <v>361776.206581507</v>
      </c>
      <c r="CU249" s="34" t="n">
        <f aca="false">IF(CU$8=1,IF(Reales!$C$64="PYG",IF(CU$10&gt;0,N(Reales!CU64)/CU$10,0),N(Reales!CU64)),CU$229+CU$230)</f>
        <v>361776.206581507</v>
      </c>
      <c r="CV249" s="34" t="n">
        <f aca="false">IF(CV$8=1,IF(Reales!$C$64="PYG",IF(CV$10&gt;0,N(Reales!CV64)/CV$10,0),N(Reales!CV64)),CV$229+CV$230)</f>
        <v>361776.206581507</v>
      </c>
      <c r="CW249" s="34" t="n">
        <f aca="false">IF(CW$8=1,IF(Reales!$C$64="PYG",IF(CW$10&gt;0,N(Reales!CW64)/CW$10,0),N(Reales!CW64)),CW$229+CW$230)</f>
        <v>361776.206581507</v>
      </c>
      <c r="CX249" s="34" t="n">
        <f aca="false">IF(CX$8=1,IF(Reales!$C$64="PYG",IF(CX$10&gt;0,N(Reales!CX64)/CX$10,0),N(Reales!CX64)),CX$229+CX$230)</f>
        <v>364121.368647322</v>
      </c>
      <c r="CY249" s="34" t="n">
        <f aca="false">IF(CY$8=1,IF(Reales!$C$64="PYG",IF(CY$10&gt;0,N(Reales!CY64)/CY$10,0),N(Reales!CY64)),CY$229+CY$230)</f>
        <v>364121.368647322</v>
      </c>
      <c r="CZ249" s="34" t="n">
        <f aca="false">IF(CZ$8=1,IF(Reales!$C$64="PYG",IF(CZ$10&gt;0,N(Reales!CZ64)/CZ$10,0),N(Reales!CZ64)),CZ$229+CZ$230)</f>
        <v>364121.368647322</v>
      </c>
      <c r="DA249" s="34" t="n">
        <f aca="false">IF(DA$8=1,IF(Reales!$C$64="PYG",IF(DA$10&gt;0,N(Reales!DA64)/DA$10,0),N(Reales!DA64)),DA$229+DA$230)</f>
        <v>364121.368647322</v>
      </c>
      <c r="DB249" s="34" t="n">
        <f aca="false">IF(DB$8=1,IF(Reales!$C$64="PYG",IF(DB$10&gt;0,N(Reales!DB64)/DB$10,0),N(Reales!DB64)),DB$229+DB$230)</f>
        <v>364121.368647322</v>
      </c>
      <c r="DC249" s="34" t="n">
        <f aca="false">IF(DC$8=1,IF(Reales!$C$64="PYG",IF(DC$10&gt;0,N(Reales!DC64)/DC$10,0),N(Reales!DC64)),DC$229+DC$230)</f>
        <v>364121.368647322</v>
      </c>
      <c r="DD249" s="34" t="n">
        <f aca="false">IF(DD$8=1,IF(Reales!$C$64="PYG",IF(DD$10&gt;0,N(Reales!DD64)/DD$10,0),N(Reales!DD64)),DD$229+DD$230)</f>
        <v>364121.368647322</v>
      </c>
      <c r="DE249" s="34" t="n">
        <f aca="false">IF(DE$8=1,IF(Reales!$C$64="PYG",IF(DE$10&gt;0,N(Reales!DE64)/DE$10,0),N(Reales!DE64)),DE$229+DE$230)</f>
        <v>364121.368647322</v>
      </c>
      <c r="DF249" s="34" t="n">
        <f aca="false">IF(DF$8=1,IF(Reales!$C$64="PYG",IF(DF$10&gt;0,N(Reales!DF64)/DF$10,0),N(Reales!DF64)),DF$229+DF$230)</f>
        <v>364121.368647322</v>
      </c>
      <c r="DG249" s="34" t="n">
        <f aca="false">IF(DG$8=1,IF(Reales!$C$64="PYG",IF(DG$10&gt;0,N(Reales!DG64)/DG$10,0),N(Reales!DG64)),DG$229+DG$230)</f>
        <v>364121.368647322</v>
      </c>
      <c r="DH249" s="34" t="n">
        <f aca="false">IF(DH$8=1,IF(Reales!$C$64="PYG",IF(DH$10&gt;0,N(Reales!DH64)/DH$10,0),N(Reales!DH64)),DH$229+DH$230)</f>
        <v>364121.368647322</v>
      </c>
      <c r="DI249" s="34" t="n">
        <f aca="false">IF(DI$8=1,IF(Reales!$C$64="PYG",IF(DI$10&gt;0,N(Reales!DI64)/DI$10,0),N(Reales!DI64)),DI$229+DI$230)</f>
        <v>364121.368647322</v>
      </c>
      <c r="DJ249" s="34" t="n">
        <f aca="false">IF(DJ$8=1,IF(Reales!$C$64="PYG",IF(DJ$10&gt;0,N(Reales!DJ64)/DJ$10,0),N(Reales!DJ64)),DJ$229+DJ$230)</f>
        <v>366489.982333795</v>
      </c>
      <c r="DK249" s="34" t="n">
        <f aca="false">IF(DK$8=1,IF(Reales!$C$64="PYG",IF(DK$10&gt;0,N(Reales!DK64)/DK$10,0),N(Reales!DK64)),DK$229+DK$230)</f>
        <v>366489.982333795</v>
      </c>
      <c r="DL249" s="34" t="n">
        <f aca="false">IF(DL$8=1,IF(Reales!$C$64="PYG",IF(DL$10&gt;0,N(Reales!DL64)/DL$10,0),N(Reales!DL64)),DL$229+DL$230)</f>
        <v>366489.982333795</v>
      </c>
      <c r="DM249" s="34" t="n">
        <f aca="false">IF(DM$8=1,IF(Reales!$C$64="PYG",IF(DM$10&gt;0,N(Reales!DM64)/DM$10,0),N(Reales!DM64)),DM$229+DM$230)</f>
        <v>366489.982333795</v>
      </c>
      <c r="DN249" s="34" t="n">
        <f aca="false">IF(DN$8=1,IF(Reales!$C$64="PYG",IF(DN$10&gt;0,N(Reales!DN64)/DN$10,0),N(Reales!DN64)),DN$229+DN$230)</f>
        <v>366489.982333795</v>
      </c>
      <c r="DO249" s="34" t="n">
        <f aca="false">IF(DO$8=1,IF(Reales!$C$64="PYG",IF(DO$10&gt;0,N(Reales!DO64)/DO$10,0),N(Reales!DO64)),DO$229+DO$230)</f>
        <v>366489.982333795</v>
      </c>
      <c r="DP249" s="34" t="n">
        <f aca="false">IF(DP$8=1,IF(Reales!$C$64="PYG",IF(DP$10&gt;0,N(Reales!DP64)/DP$10,0),N(Reales!DP64)),DP$229+DP$230)</f>
        <v>366489.982333795</v>
      </c>
      <c r="DQ249" s="34" t="n">
        <f aca="false">IF(DQ$8=1,IF(Reales!$C$64="PYG",IF(DQ$10&gt;0,N(Reales!DQ64)/DQ$10,0),N(Reales!DQ64)),DQ$229+DQ$230)</f>
        <v>366489.982333795</v>
      </c>
      <c r="DR249" s="34" t="n">
        <f aca="false">IF(DR$8=1,IF(Reales!$C$64="PYG",IF(DR$10&gt;0,N(Reales!DR64)/DR$10,0),N(Reales!DR64)),DR$229+DR$230)</f>
        <v>366489.982333795</v>
      </c>
      <c r="DS249" s="34" t="n">
        <f aca="false">IF(DS$8=1,IF(Reales!$C$64="PYG",IF(DS$10&gt;0,N(Reales!DS64)/DS$10,0),N(Reales!DS64)),DS$229+DS$230)</f>
        <v>366489.982333795</v>
      </c>
      <c r="DT249" s="34" t="n">
        <f aca="false">IF(DT$8=1,IF(Reales!$C$64="PYG",IF(DT$10&gt;0,N(Reales!DT64)/DT$10,0),N(Reales!DT64)),DT$229+DT$230)</f>
        <v>366489.982333795</v>
      </c>
      <c r="DU249" s="34" t="n">
        <f aca="false">IF(DU$8=1,IF(Reales!$C$64="PYG",IF(DU$10&gt;0,N(Reales!DU64)/DU$10,0),N(Reales!DU64)),DU$229+DU$230)</f>
        <v>366489.982333795</v>
      </c>
      <c r="DV249" s="34" t="n">
        <f aca="false">IF(DV$8=1,IF(Reales!$C$64="PYG",IF(DV$10&gt;0,N(Reales!DV64)/DV$10,0),N(Reales!DV64)),DV$229+DV$230)</f>
        <v>0</v>
      </c>
      <c r="DW249" s="34" t="n">
        <f aca="false">IF(DW$8=1,IF(Reales!$C$64="PYG",IF(DW$10&gt;0,N(Reales!DW64)/DW$10,0),N(Reales!DW64)),DW$229+DW$230)</f>
        <v>0</v>
      </c>
      <c r="DX249" s="34" t="n">
        <f aca="false">IF(DX$8=1,IF(Reales!$C$64="PYG",IF(DX$10&gt;0,N(Reales!DX64)/DX$10,0),N(Reales!DX64)),DX$229+DX$230)</f>
        <v>0</v>
      </c>
      <c r="DY249" s="34" t="n">
        <f aca="false">IF(DY$8=1,IF(Reales!$C$64="PYG",IF(DY$10&gt;0,N(Reales!DY64)/DY$10,0),N(Reales!DY64)),DY$229+DY$230)</f>
        <v>0</v>
      </c>
      <c r="DZ249" s="34" t="n">
        <f aca="false">IF(DZ$8=1,IF(Reales!$C$64="PYG",IF(DZ$10&gt;0,N(Reales!DZ64)/DZ$10,0),N(Reales!DZ64)),DZ$229+DZ$230)</f>
        <v>0</v>
      </c>
      <c r="EA249" s="34" t="n">
        <f aca="false">IF(EA$8=1,IF(Reales!$C$64="PYG",IF(EA$10&gt;0,N(Reales!EA64)/EA$10,0),N(Reales!EA64)),EA$229+EA$230)</f>
        <v>0</v>
      </c>
      <c r="EB249" s="34" t="n">
        <f aca="false">IF(EB$8=1,IF(Reales!$C$64="PYG",IF(EB$10&gt;0,N(Reales!EB64)/EB$10,0),N(Reales!EB64)),EB$229+EB$230)</f>
        <v>0</v>
      </c>
      <c r="EC249" s="34" t="n">
        <f aca="false">IF(EC$8=1,IF(Reales!$C$64="PYG",IF(EC$10&gt;0,N(Reales!EC64)/EC$10,0),N(Reales!EC64)),EC$229+EC$230)</f>
        <v>0</v>
      </c>
      <c r="ED249" s="34" t="n">
        <f aca="false">IF(ED$8=1,IF(Reales!$C$64="PYG",IF(ED$10&gt;0,N(Reales!ED64)/ED$10,0),N(Reales!ED64)),ED$229+ED$230)</f>
        <v>0</v>
      </c>
      <c r="EE249" s="34" t="n">
        <f aca="false">IF(EE$8=1,IF(Reales!$C$64="PYG",IF(EE$10&gt;0,N(Reales!EE64)/EE$10,0),N(Reales!EE64)),EE$229+EE$230)</f>
        <v>0</v>
      </c>
      <c r="EF249" s="34" t="n">
        <f aca="false">IF(EF$8=1,IF(Reales!$C$64="PYG",IF(EF$10&gt;0,N(Reales!EF64)/EF$10,0),N(Reales!EF64)),EF$229+EF$230)</f>
        <v>0</v>
      </c>
      <c r="EG249" s="34" t="n">
        <f aca="false">IF(EG$8=1,IF(Reales!$C$64="PYG",IF(EG$10&gt;0,N(Reales!EG64)/EG$10,0),N(Reales!EG64)),EG$229+EG$230)</f>
        <v>0</v>
      </c>
      <c r="EH249" s="34" t="n">
        <f aca="false">IF(EH$8=1,IF(Reales!$C$64="PYG",IF(EH$10&gt;0,N(Reales!EH64)/EH$10,0),N(Reales!EH64)),EH$229+EH$230)</f>
        <v>0</v>
      </c>
      <c r="EI249" s="34" t="n">
        <f aca="false">IF(EI$8=1,IF(Reales!$C$64="PYG",IF(EI$10&gt;0,N(Reales!EI64)/EI$10,0),N(Reales!EI64)),EI$229+EI$230)</f>
        <v>0</v>
      </c>
      <c r="EJ249" s="34" t="n">
        <f aca="false">IF(EJ$8=1,IF(Reales!$C$64="PYG",IF(EJ$10&gt;0,N(Reales!EJ64)/EJ$10,0),N(Reales!EJ64)),EJ$229+EJ$230)</f>
        <v>0</v>
      </c>
      <c r="EK249" s="34" t="n">
        <f aca="false">IF(EK$8=1,IF(Reales!$C$64="PYG",IF(EK$10&gt;0,N(Reales!EK64)/EK$10,0),N(Reales!EK64)),EK$229+EK$230)</f>
        <v>0</v>
      </c>
      <c r="EL249" s="34" t="n">
        <f aca="false">IF(EL$8=1,IF(Reales!$C$64="PYG",IF(EL$10&gt;0,N(Reales!EL64)/EL$10,0),N(Reales!EL64)),EL$229+EL$230)</f>
        <v>0</v>
      </c>
      <c r="EM249" s="34" t="n">
        <f aca="false">IF(EM$8=1,IF(Reales!$C$64="PYG",IF(EM$10&gt;0,N(Reales!EM64)/EM$10,0),N(Reales!EM64)),EM$229+EM$230)</f>
        <v>0</v>
      </c>
      <c r="EN249" s="34" t="n">
        <f aca="false">IF(EN$8=1,IF(Reales!$C$64="PYG",IF(EN$10&gt;0,N(Reales!EN64)/EN$10,0),N(Reales!EN64)),EN$229+EN$230)</f>
        <v>0</v>
      </c>
      <c r="EO249" s="34" t="n">
        <f aca="false">IF(EO$8=1,IF(Reales!$C$64="PYG",IF(EO$10&gt;0,N(Reales!EO64)/EO$10,0),N(Reales!EO64)),EO$229+EO$230)</f>
        <v>0</v>
      </c>
      <c r="EP249" s="34" t="n">
        <f aca="false">IF(EP$8=1,IF(Reales!$C$64="PYG",IF(EP$10&gt;0,N(Reales!EP64)/EP$10,0),N(Reales!EP64)),EP$229+EP$230)</f>
        <v>0</v>
      </c>
      <c r="EQ249" s="34" t="n">
        <f aca="false">IF(EQ$8=1,IF(Reales!$C$64="PYG",IF(EQ$10&gt;0,N(Reales!EQ64)/EQ$10,0),N(Reales!EQ64)),EQ$229+EQ$230)</f>
        <v>0</v>
      </c>
      <c r="ER249" s="34" t="n">
        <f aca="false">IF(ER$8=1,IF(Reales!$C$64="PYG",IF(ER$10&gt;0,N(Reales!ER64)/ER$10,0),N(Reales!ER64)),ER$229+ER$230)</f>
        <v>0</v>
      </c>
      <c r="ES249" s="34" t="n">
        <f aca="false">IF(ES$8=1,IF(Reales!$C$64="PYG",IF(ES$10&gt;0,N(Reales!ES64)/ES$10,0),N(Reales!ES64)),ES$229+ES$230)</f>
        <v>0</v>
      </c>
    </row>
    <row r="250" customFormat="false" ht="15" hidden="false" customHeight="false" outlineLevel="0" collapsed="false">
      <c r="A250" s="2" t="s">
        <v>890</v>
      </c>
      <c r="B250" s="6" t="s">
        <v>679</v>
      </c>
      <c r="C250" s="6" t="s">
        <v>250</v>
      </c>
      <c r="E250" s="40" t="n">
        <f aca="false">SUM(F250:ES250)</f>
        <v>10172052.5275746</v>
      </c>
      <c r="F250" s="34" t="n">
        <f aca="false">IF(F$8=1,IF(Reales!$C$65="PYG",IF(F$10&gt;0,N(Reales!F65)/F$10,0),N(Reales!F65)),F$231+F$232+F$239+F$240)</f>
        <v>52969.9652546379</v>
      </c>
      <c r="G250" s="34" t="n">
        <f aca="false">IF(G$8=1,IF(Reales!$C$65="PYG",IF(G$10&gt;0,N(Reales!G65)/G$10,0),N(Reales!G65)),G$231+G$232+G$239+G$240)</f>
        <v>52969.9652546379</v>
      </c>
      <c r="H250" s="34" t="n">
        <f aca="false">IF(H$8=1,IF(Reales!$C$65="PYG",IF(H$10&gt;0,N(Reales!H65)/H$10,0),N(Reales!H65)),H$231+H$232+H$239+H$240)</f>
        <v>52969.9652546379</v>
      </c>
      <c r="I250" s="34" t="n">
        <f aca="false">IF(I$8=1,IF(Reales!$C$65="PYG",IF(I$10&gt;0,N(Reales!I65)/I$10,0),N(Reales!I65)),I$231+I$232+I$239+I$240)</f>
        <v>52969.9652546379</v>
      </c>
      <c r="J250" s="34" t="n">
        <f aca="false">IF(J$8=1,IF(Reales!$C$65="PYG",IF(J$10&gt;0,N(Reales!J65)/J$10,0),N(Reales!J65)),J$231+J$232+J$239+J$240)</f>
        <v>52969.9652546379</v>
      </c>
      <c r="K250" s="34" t="n">
        <f aca="false">IF(K$8=1,IF(Reales!$C$65="PYG",IF(K$10&gt;0,N(Reales!K65)/K$10,0),N(Reales!K65)),K$231+K$232+K$239+K$240)</f>
        <v>52969.9652546379</v>
      </c>
      <c r="L250" s="34" t="n">
        <f aca="false">IF(L$8=1,IF(Reales!$C$65="PYG",IF(L$10&gt;0,N(Reales!L65)/L$10,0),N(Reales!L65)),L$231+L$232+L$239+L$240)</f>
        <v>52969.9652546379</v>
      </c>
      <c r="M250" s="34" t="n">
        <f aca="false">IF(M$8=1,IF(Reales!$C$65="PYG",IF(M$10&gt;0,N(Reales!M65)/M$10,0),N(Reales!M65)),M$231+M$232+M$239+M$240)</f>
        <v>52969.9652546379</v>
      </c>
      <c r="N250" s="34" t="n">
        <f aca="false">IF(N$8=1,IF(Reales!$C$65="PYG",IF(N$10&gt;0,N(Reales!N65)/N$10,0),N(Reales!N65)),N$231+N$232+N$239+N$240)</f>
        <v>52969.9652546379</v>
      </c>
      <c r="O250" s="34" t="n">
        <f aca="false">IF(O$8=1,IF(Reales!$C$65="PYG",IF(O$10&gt;0,N(Reales!O65)/O$10,0),N(Reales!O65)),O$231+O$232+O$239+O$240)</f>
        <v>52969.9652546379</v>
      </c>
      <c r="P250" s="34" t="n">
        <f aca="false">IF(P$8=1,IF(Reales!$C$65="PYG",IF(P$10&gt;0,N(Reales!P65)/P$10,0),N(Reales!P65)),P$231+P$232+P$239+P$240)</f>
        <v>52969.9652546379</v>
      </c>
      <c r="Q250" s="34" t="n">
        <f aca="false">IF(Q$8=1,IF(Reales!$C$65="PYG",IF(Q$10&gt;0,N(Reales!Q65)/Q$10,0),N(Reales!Q65)),Q$231+Q$232+Q$239+Q$240)</f>
        <v>52969.9652546379</v>
      </c>
      <c r="R250" s="34" t="n">
        <f aca="false">IF(R$8=1,IF(Reales!$C$65="PYG",IF(R$10&gt;0,N(Reales!R65)/R$10,0),N(Reales!R65)),R$231+R$232+R$239+R$240)</f>
        <v>66880.9601704712</v>
      </c>
      <c r="S250" s="34" t="n">
        <f aca="false">IF(S$8=1,IF(Reales!$C$65="PYG",IF(S$10&gt;0,N(Reales!S65)/S$10,0),N(Reales!S65)),S$231+S$232+S$239+S$240)</f>
        <v>66880.9601704712</v>
      </c>
      <c r="T250" s="34" t="n">
        <f aca="false">IF(T$8=1,IF(Reales!$C$65="PYG",IF(T$10&gt;0,N(Reales!T65)/T$10,0),N(Reales!T65)),T$231+T$232+T$239+T$240)</f>
        <v>66880.9601704712</v>
      </c>
      <c r="U250" s="34" t="n">
        <f aca="false">IF(U$8=1,IF(Reales!$C$65="PYG",IF(U$10&gt;0,N(Reales!U65)/U$10,0),N(Reales!U65)),U$231+U$232+U$239+U$240)</f>
        <v>66880.9601704712</v>
      </c>
      <c r="V250" s="34" t="n">
        <f aca="false">IF(V$8=1,IF(Reales!$C$65="PYG",IF(V$10&gt;0,N(Reales!V65)/V$10,0),N(Reales!V65)),V$231+V$232+V$239+V$240)</f>
        <v>66880.9601704712</v>
      </c>
      <c r="W250" s="34" t="n">
        <f aca="false">IF(W$8=1,IF(Reales!$C$65="PYG",IF(W$10&gt;0,N(Reales!W65)/W$10,0),N(Reales!W65)),W$231+W$232+W$239+W$240)</f>
        <v>66880.9601704712</v>
      </c>
      <c r="X250" s="34" t="n">
        <f aca="false">IF(X$8=1,IF(Reales!$C$65="PYG",IF(X$10&gt;0,N(Reales!X65)/X$10,0),N(Reales!X65)),X$231+X$232+X$239+X$240)</f>
        <v>66880.9601704712</v>
      </c>
      <c r="Y250" s="34" t="n">
        <f aca="false">IF(Y$8=1,IF(Reales!$C$65="PYG",IF(Y$10&gt;0,N(Reales!Y65)/Y$10,0),N(Reales!Y65)),Y$231+Y$232+Y$239+Y$240)</f>
        <v>66880.9601704712</v>
      </c>
      <c r="Z250" s="34" t="n">
        <f aca="false">IF(Z$8=1,IF(Reales!$C$65="PYG",IF(Z$10&gt;0,N(Reales!Z65)/Z$10,0),N(Reales!Z65)),Z$231+Z$232+Z$239+Z$240)</f>
        <v>66880.9601704712</v>
      </c>
      <c r="AA250" s="34" t="n">
        <f aca="false">IF(AA$8=1,IF(Reales!$C$65="PYG",IF(AA$10&gt;0,N(Reales!AA65)/AA$10,0),N(Reales!AA65)),AA$231+AA$232+AA$239+AA$240)</f>
        <v>66880.9601704712</v>
      </c>
      <c r="AB250" s="34" t="n">
        <f aca="false">IF(AB$8=1,IF(Reales!$C$65="PYG",IF(AB$10&gt;0,N(Reales!AB65)/AB$10,0),N(Reales!AB65)),AB$231+AB$232+AB$239+AB$240)</f>
        <v>66880.9601704712</v>
      </c>
      <c r="AC250" s="34" t="n">
        <f aca="false">IF(AC$8=1,IF(Reales!$C$65="PYG",IF(AC$10&gt;0,N(Reales!AC65)/AC$10,0),N(Reales!AC65)),AC$231+AC$232+AC$239+AC$240)</f>
        <v>66880.9601704712</v>
      </c>
      <c r="AD250" s="34" t="n">
        <f aca="false">IF(AD$8=1,IF(Reales!$C$65="PYG",IF(AD$10&gt;0,N(Reales!AD65)/AD$10,0),N(Reales!AD65)),AD$231+AD$232+AD$239+AD$240)</f>
        <v>80847.7651147422</v>
      </c>
      <c r="AE250" s="34" t="n">
        <f aca="false">IF(AE$8=1,IF(Reales!$C$65="PYG",IF(AE$10&gt;0,N(Reales!AE65)/AE$10,0),N(Reales!AE65)),AE$231+AE$232+AE$239+AE$240)</f>
        <v>80847.7651147422</v>
      </c>
      <c r="AF250" s="34" t="n">
        <f aca="false">IF(AF$8=1,IF(Reales!$C$65="PYG",IF(AF$10&gt;0,N(Reales!AF65)/AF$10,0),N(Reales!AF65)),AF$231+AF$232+AF$239+AF$240)</f>
        <v>80847.7651147422</v>
      </c>
      <c r="AG250" s="34" t="n">
        <f aca="false">IF(AG$8=1,IF(Reales!$C$65="PYG",IF(AG$10&gt;0,N(Reales!AG65)/AG$10,0),N(Reales!AG65)),AG$231+AG$232+AG$239+AG$240)</f>
        <v>80847.7651147422</v>
      </c>
      <c r="AH250" s="34" t="n">
        <f aca="false">IF(AH$8=1,IF(Reales!$C$65="PYG",IF(AH$10&gt;0,N(Reales!AH65)/AH$10,0),N(Reales!AH65)),AH$231+AH$232+AH$239+AH$240)</f>
        <v>80847.7651147422</v>
      </c>
      <c r="AI250" s="34" t="n">
        <f aca="false">IF(AI$8=1,IF(Reales!$C$65="PYG",IF(AI$10&gt;0,N(Reales!AI65)/AI$10,0),N(Reales!AI65)),AI$231+AI$232+AI$239+AI$240)</f>
        <v>80847.7651147422</v>
      </c>
      <c r="AJ250" s="34" t="n">
        <f aca="false">IF(AJ$8=1,IF(Reales!$C$65="PYG",IF(AJ$10&gt;0,N(Reales!AJ65)/AJ$10,0),N(Reales!AJ65)),AJ$231+AJ$232+AJ$239+AJ$240)</f>
        <v>80847.7651147422</v>
      </c>
      <c r="AK250" s="34" t="n">
        <f aca="false">IF(AK$8=1,IF(Reales!$C$65="PYG",IF(AK$10&gt;0,N(Reales!AK65)/AK$10,0),N(Reales!AK65)),AK$231+AK$232+AK$239+AK$240)</f>
        <v>80847.7651147422</v>
      </c>
      <c r="AL250" s="34" t="n">
        <f aca="false">IF(AL$8=1,IF(Reales!$C$65="PYG",IF(AL$10&gt;0,N(Reales!AL65)/AL$10,0),N(Reales!AL65)),AL$231+AL$232+AL$239+AL$240)</f>
        <v>80847.7651147422</v>
      </c>
      <c r="AM250" s="34" t="n">
        <f aca="false">IF(AM$8=1,IF(Reales!$C$65="PYG",IF(AM$10&gt;0,N(Reales!AM65)/AM$10,0),N(Reales!AM65)),AM$231+AM$232+AM$239+AM$240)</f>
        <v>80847.7651147422</v>
      </c>
      <c r="AN250" s="34" t="n">
        <f aca="false">IF(AN$8=1,IF(Reales!$C$65="PYG",IF(AN$10&gt;0,N(Reales!AN65)/AN$10,0),N(Reales!AN65)),AN$231+AN$232+AN$239+AN$240)</f>
        <v>80847.7651147422</v>
      </c>
      <c r="AO250" s="34" t="n">
        <f aca="false">IF(AO$8=1,IF(Reales!$C$65="PYG",IF(AO$10&gt;0,N(Reales!AO65)/AO$10,0),N(Reales!AO65)),AO$231+AO$232+AO$239+AO$240)</f>
        <v>80847.7651147422</v>
      </c>
      <c r="AP250" s="34" t="n">
        <f aca="false">IF(AP$8=1,IF(Reales!$C$65="PYG",IF(AP$10&gt;0,N(Reales!AP65)/AP$10,0),N(Reales!AP65)),AP$231+AP$232+AP$239+AP$240)</f>
        <v>92105.4112574529</v>
      </c>
      <c r="AQ250" s="34" t="n">
        <f aca="false">IF(AQ$8=1,IF(Reales!$C$65="PYG",IF(AQ$10&gt;0,N(Reales!AQ65)/AQ$10,0),N(Reales!AQ65)),AQ$231+AQ$232+AQ$239+AQ$240)</f>
        <v>92105.4112574529</v>
      </c>
      <c r="AR250" s="34" t="n">
        <f aca="false">IF(AR$8=1,IF(Reales!$C$65="PYG",IF(AR$10&gt;0,N(Reales!AR65)/AR$10,0),N(Reales!AR65)),AR$231+AR$232+AR$239+AR$240)</f>
        <v>92105.4112574529</v>
      </c>
      <c r="AS250" s="34" t="n">
        <f aca="false">IF(AS$8=1,IF(Reales!$C$65="PYG",IF(AS$10&gt;0,N(Reales!AS65)/AS$10,0),N(Reales!AS65)),AS$231+AS$232+AS$239+AS$240)</f>
        <v>92105.4112574529</v>
      </c>
      <c r="AT250" s="34" t="n">
        <f aca="false">IF(AT$8=1,IF(Reales!$C$65="PYG",IF(AT$10&gt;0,N(Reales!AT65)/AT$10,0),N(Reales!AT65)),AT$231+AT$232+AT$239+AT$240)</f>
        <v>92105.4112574529</v>
      </c>
      <c r="AU250" s="34" t="n">
        <f aca="false">IF(AU$8=1,IF(Reales!$C$65="PYG",IF(AU$10&gt;0,N(Reales!AU65)/AU$10,0),N(Reales!AU65)),AU$231+AU$232+AU$239+AU$240)</f>
        <v>92105.4112574529</v>
      </c>
      <c r="AV250" s="34" t="n">
        <f aca="false">IF(AV$8=1,IF(Reales!$C$65="PYG",IF(AV$10&gt;0,N(Reales!AV65)/AV$10,0),N(Reales!AV65)),AV$231+AV$232+AV$239+AV$240)</f>
        <v>92105.4112574529</v>
      </c>
      <c r="AW250" s="34" t="n">
        <f aca="false">IF(AW$8=1,IF(Reales!$C$65="PYG",IF(AW$10&gt;0,N(Reales!AW65)/AW$10,0),N(Reales!AW65)),AW$231+AW$232+AW$239+AW$240)</f>
        <v>92105.4112574529</v>
      </c>
      <c r="AX250" s="34" t="n">
        <f aca="false">IF(AX$8=1,IF(Reales!$C$65="PYG",IF(AX$10&gt;0,N(Reales!AX65)/AX$10,0),N(Reales!AX65)),AX$231+AX$232+AX$239+AX$240)</f>
        <v>92105.4112574529</v>
      </c>
      <c r="AY250" s="34" t="n">
        <f aca="false">IF(AY$8=1,IF(Reales!$C$65="PYG",IF(AY$10&gt;0,N(Reales!AY65)/AY$10,0),N(Reales!AY65)),AY$231+AY$232+AY$239+AY$240)</f>
        <v>92105.4112574529</v>
      </c>
      <c r="AZ250" s="34" t="n">
        <f aca="false">IF(AZ$8=1,IF(Reales!$C$65="PYG",IF(AZ$10&gt;0,N(Reales!AZ65)/AZ$10,0),N(Reales!AZ65)),AZ$231+AZ$232+AZ$239+AZ$240)</f>
        <v>92105.4112574529</v>
      </c>
      <c r="BA250" s="34" t="n">
        <f aca="false">IF(BA$8=1,IF(Reales!$C$65="PYG",IF(BA$10&gt;0,N(Reales!BA65)/BA$10,0),N(Reales!BA65)),BA$231+BA$232+BA$239+BA$240)</f>
        <v>92105.4112574529</v>
      </c>
      <c r="BB250" s="34" t="n">
        <f aca="false">IF(BB$8=1,IF(Reales!$C$65="PYG",IF(BB$10&gt;0,N(Reales!BB65)/BB$10,0),N(Reales!BB65)),BB$231+BB$232+BB$239+BB$240)</f>
        <v>92228.6256826153</v>
      </c>
      <c r="BC250" s="34" t="n">
        <f aca="false">IF(BC$8=1,IF(Reales!$C$65="PYG",IF(BC$10&gt;0,N(Reales!BC65)/BC$10,0),N(Reales!BC65)),BC$231+BC$232+BC$239+BC$240)</f>
        <v>92228.6256826153</v>
      </c>
      <c r="BD250" s="34" t="n">
        <f aca="false">IF(BD$8=1,IF(Reales!$C$65="PYG",IF(BD$10&gt;0,N(Reales!BD65)/BD$10,0),N(Reales!BD65)),BD$231+BD$232+BD$239+BD$240)</f>
        <v>92228.6256826153</v>
      </c>
      <c r="BE250" s="34" t="n">
        <f aca="false">IF(BE$8=1,IF(Reales!$C$65="PYG",IF(BE$10&gt;0,N(Reales!BE65)/BE$10,0),N(Reales!BE65)),BE$231+BE$232+BE$239+BE$240)</f>
        <v>92228.6256826153</v>
      </c>
      <c r="BF250" s="34" t="n">
        <f aca="false">IF(BF$8=1,IF(Reales!$C$65="PYG",IF(BF$10&gt;0,N(Reales!BF65)/BF$10,0),N(Reales!BF65)),BF$231+BF$232+BF$239+BF$240)</f>
        <v>92228.6256826153</v>
      </c>
      <c r="BG250" s="34" t="n">
        <f aca="false">IF(BG$8=1,IF(Reales!$C$65="PYG",IF(BG$10&gt;0,N(Reales!BG65)/BG$10,0),N(Reales!BG65)),BG$231+BG$232+BG$239+BG$240)</f>
        <v>92228.6256826153</v>
      </c>
      <c r="BH250" s="34" t="n">
        <f aca="false">IF(BH$8=1,IF(Reales!$C$65="PYG",IF(BH$10&gt;0,N(Reales!BH65)/BH$10,0),N(Reales!BH65)),BH$231+BH$232+BH$239+BH$240)</f>
        <v>92228.6256826153</v>
      </c>
      <c r="BI250" s="34" t="n">
        <f aca="false">IF(BI$8=1,IF(Reales!$C$65="PYG",IF(BI$10&gt;0,N(Reales!BI65)/BI$10,0),N(Reales!BI65)),BI$231+BI$232+BI$239+BI$240)</f>
        <v>92228.6256826153</v>
      </c>
      <c r="BJ250" s="34" t="n">
        <f aca="false">IF(BJ$8=1,IF(Reales!$C$65="PYG",IF(BJ$10&gt;0,N(Reales!BJ65)/BJ$10,0),N(Reales!BJ65)),BJ$231+BJ$232+BJ$239+BJ$240)</f>
        <v>92228.6256826153</v>
      </c>
      <c r="BK250" s="34" t="n">
        <f aca="false">IF(BK$8=1,IF(Reales!$C$65="PYG",IF(BK$10&gt;0,N(Reales!BK65)/BK$10,0),N(Reales!BK65)),BK$231+BK$232+BK$239+BK$240)</f>
        <v>92228.6256826153</v>
      </c>
      <c r="BL250" s="34" t="n">
        <f aca="false">IF(BL$8=1,IF(Reales!$C$65="PYG",IF(BL$10&gt;0,N(Reales!BL65)/BL$10,0),N(Reales!BL65)),BL$231+BL$232+BL$239+BL$240)</f>
        <v>92228.6256826153</v>
      </c>
      <c r="BM250" s="34" t="n">
        <f aca="false">IF(BM$8=1,IF(Reales!$C$65="PYG",IF(BM$10&gt;0,N(Reales!BM65)/BM$10,0),N(Reales!BM65)),BM$231+BM$232+BM$239+BM$240)</f>
        <v>92228.6256826153</v>
      </c>
      <c r="BN250" s="34" t="n">
        <f aca="false">IF(BN$8=1,IF(Reales!$C$65="PYG",IF(BN$10&gt;0,N(Reales!BN65)/BN$10,0),N(Reales!BN65)),BN$231+BN$232+BN$239+BN$240)</f>
        <v>92326.9835736405</v>
      </c>
      <c r="BO250" s="34" t="n">
        <f aca="false">IF(BO$8=1,IF(Reales!$C$65="PYG",IF(BO$10&gt;0,N(Reales!BO65)/BO$10,0),N(Reales!BO65)),BO$231+BO$232+BO$239+BO$240)</f>
        <v>92326.9835736405</v>
      </c>
      <c r="BP250" s="34" t="n">
        <f aca="false">IF(BP$8=1,IF(Reales!$C$65="PYG",IF(BP$10&gt;0,N(Reales!BP65)/BP$10,0),N(Reales!BP65)),BP$231+BP$232+BP$239+BP$240)</f>
        <v>92326.9835736405</v>
      </c>
      <c r="BQ250" s="34" t="n">
        <f aca="false">IF(BQ$8=1,IF(Reales!$C$65="PYG",IF(BQ$10&gt;0,N(Reales!BQ65)/BQ$10,0),N(Reales!BQ65)),BQ$231+BQ$232+BQ$239+BQ$240)</f>
        <v>92326.9835736405</v>
      </c>
      <c r="BR250" s="34" t="n">
        <f aca="false">IF(BR$8=1,IF(Reales!$C$65="PYG",IF(BR$10&gt;0,N(Reales!BR65)/BR$10,0),N(Reales!BR65)),BR$231+BR$232+BR$239+BR$240)</f>
        <v>92326.9835736405</v>
      </c>
      <c r="BS250" s="34" t="n">
        <f aca="false">IF(BS$8=1,IF(Reales!$C$65="PYG",IF(BS$10&gt;0,N(Reales!BS65)/BS$10,0),N(Reales!BS65)),BS$231+BS$232+BS$239+BS$240)</f>
        <v>92326.9835736405</v>
      </c>
      <c r="BT250" s="34" t="n">
        <f aca="false">IF(BT$8=1,IF(Reales!$C$65="PYG",IF(BT$10&gt;0,N(Reales!BT65)/BT$10,0),N(Reales!BT65)),BT$231+BT$232+BT$239+BT$240)</f>
        <v>92326.9835736405</v>
      </c>
      <c r="BU250" s="34" t="n">
        <f aca="false">IF(BU$8=1,IF(Reales!$C$65="PYG",IF(BU$10&gt;0,N(Reales!BU65)/BU$10,0),N(Reales!BU65)),BU$231+BU$232+BU$239+BU$240)</f>
        <v>92326.9835736405</v>
      </c>
      <c r="BV250" s="34" t="n">
        <f aca="false">IF(BV$8=1,IF(Reales!$C$65="PYG",IF(BV$10&gt;0,N(Reales!BV65)/BV$10,0),N(Reales!BV65)),BV$231+BV$232+BV$239+BV$240)</f>
        <v>92326.9835736405</v>
      </c>
      <c r="BW250" s="34" t="n">
        <f aca="false">IF(BW$8=1,IF(Reales!$C$65="PYG",IF(BW$10&gt;0,N(Reales!BW65)/BW$10,0),N(Reales!BW65)),BW$231+BW$232+BW$239+BW$240)</f>
        <v>92326.9835736405</v>
      </c>
      <c r="BX250" s="34" t="n">
        <f aca="false">IF(BX$8=1,IF(Reales!$C$65="PYG",IF(BX$10&gt;0,N(Reales!BX65)/BX$10,0),N(Reales!BX65)),BX$231+BX$232+BX$239+BX$240)</f>
        <v>92326.9835736405</v>
      </c>
      <c r="BY250" s="34" t="n">
        <f aca="false">IF(BY$8=1,IF(Reales!$C$65="PYG",IF(BY$10&gt;0,N(Reales!BY65)/BY$10,0),N(Reales!BY65)),BY$231+BY$232+BY$239+BY$240)</f>
        <v>92326.9835736405</v>
      </c>
      <c r="BZ250" s="34" t="n">
        <f aca="false">IF(BZ$8=1,IF(Reales!$C$65="PYG",IF(BZ$10&gt;0,N(Reales!BZ65)/BZ$10,0),N(Reales!BZ65)),BZ$231+BZ$232+BZ$239+BZ$240)</f>
        <v>92426.325043576</v>
      </c>
      <c r="CA250" s="34" t="n">
        <f aca="false">IF(CA$8=1,IF(Reales!$C$65="PYG",IF(CA$10&gt;0,N(Reales!CA65)/CA$10,0),N(Reales!CA65)),CA$231+CA$232+CA$239+CA$240)</f>
        <v>92426.325043576</v>
      </c>
      <c r="CB250" s="34" t="n">
        <f aca="false">IF(CB$8=1,IF(Reales!$C$65="PYG",IF(CB$10&gt;0,N(Reales!CB65)/CB$10,0),N(Reales!CB65)),CB$231+CB$232+CB$239+CB$240)</f>
        <v>92426.325043576</v>
      </c>
      <c r="CC250" s="34" t="n">
        <f aca="false">IF(CC$8=1,IF(Reales!$C$65="PYG",IF(CC$10&gt;0,N(Reales!CC65)/CC$10,0),N(Reales!CC65)),CC$231+CC$232+CC$239+CC$240)</f>
        <v>92426.325043576</v>
      </c>
      <c r="CD250" s="34" t="n">
        <f aca="false">IF(CD$8=1,IF(Reales!$C$65="PYG",IF(CD$10&gt;0,N(Reales!CD65)/CD$10,0),N(Reales!CD65)),CD$231+CD$232+CD$239+CD$240)</f>
        <v>92426.325043576</v>
      </c>
      <c r="CE250" s="34" t="n">
        <f aca="false">IF(CE$8=1,IF(Reales!$C$65="PYG",IF(CE$10&gt;0,N(Reales!CE65)/CE$10,0),N(Reales!CE65)),CE$231+CE$232+CE$239+CE$240)</f>
        <v>92426.325043576</v>
      </c>
      <c r="CF250" s="34" t="n">
        <f aca="false">IF(CF$8=1,IF(Reales!$C$65="PYG",IF(CF$10&gt;0,N(Reales!CF65)/CF$10,0),N(Reales!CF65)),CF$231+CF$232+CF$239+CF$240)</f>
        <v>92426.325043576</v>
      </c>
      <c r="CG250" s="34" t="n">
        <f aca="false">IF(CG$8=1,IF(Reales!$C$65="PYG",IF(CG$10&gt;0,N(Reales!CG65)/CG$10,0),N(Reales!CG65)),CG$231+CG$232+CG$239+CG$240)</f>
        <v>92426.325043576</v>
      </c>
      <c r="CH250" s="34" t="n">
        <f aca="false">IF(CH$8=1,IF(Reales!$C$65="PYG",IF(CH$10&gt;0,N(Reales!CH65)/CH$10,0),N(Reales!CH65)),CH$231+CH$232+CH$239+CH$240)</f>
        <v>92426.325043576</v>
      </c>
      <c r="CI250" s="34" t="n">
        <f aca="false">IF(CI$8=1,IF(Reales!$C$65="PYG",IF(CI$10&gt;0,N(Reales!CI65)/CI$10,0),N(Reales!CI65)),CI$231+CI$232+CI$239+CI$240)</f>
        <v>92426.325043576</v>
      </c>
      <c r="CJ250" s="34" t="n">
        <f aca="false">IF(CJ$8=1,IF(Reales!$C$65="PYG",IF(CJ$10&gt;0,N(Reales!CJ65)/CJ$10,0),N(Reales!CJ65)),CJ$231+CJ$232+CJ$239+CJ$240)</f>
        <v>92426.325043576</v>
      </c>
      <c r="CK250" s="34" t="n">
        <f aca="false">IF(CK$8=1,IF(Reales!$C$65="PYG",IF(CK$10&gt;0,N(Reales!CK65)/CK$10,0),N(Reales!CK65)),CK$231+CK$232+CK$239+CK$240)</f>
        <v>92426.325043576</v>
      </c>
      <c r="CL250" s="34" t="n">
        <f aca="false">IF(CL$8=1,IF(Reales!$C$65="PYG",IF(CL$10&gt;0,N(Reales!CL65)/CL$10,0),N(Reales!CL65)),CL$231+CL$232+CL$239+CL$240)</f>
        <v>92526.6599282108</v>
      </c>
      <c r="CM250" s="34" t="n">
        <f aca="false">IF(CM$8=1,IF(Reales!$C$65="PYG",IF(CM$10&gt;0,N(Reales!CM65)/CM$10,0),N(Reales!CM65)),CM$231+CM$232+CM$239+CM$240)</f>
        <v>92526.6599282108</v>
      </c>
      <c r="CN250" s="34" t="n">
        <f aca="false">IF(CN$8=1,IF(Reales!$C$65="PYG",IF(CN$10&gt;0,N(Reales!CN65)/CN$10,0),N(Reales!CN65)),CN$231+CN$232+CN$239+CN$240)</f>
        <v>92526.6599282108</v>
      </c>
      <c r="CO250" s="34" t="n">
        <f aca="false">IF(CO$8=1,IF(Reales!$C$65="PYG",IF(CO$10&gt;0,N(Reales!CO65)/CO$10,0),N(Reales!CO65)),CO$231+CO$232+CO$239+CO$240)</f>
        <v>92526.6599282108</v>
      </c>
      <c r="CP250" s="34" t="n">
        <f aca="false">IF(CP$8=1,IF(Reales!$C$65="PYG",IF(CP$10&gt;0,N(Reales!CP65)/CP$10,0),N(Reales!CP65)),CP$231+CP$232+CP$239+CP$240)</f>
        <v>92526.6599282108</v>
      </c>
      <c r="CQ250" s="34" t="n">
        <f aca="false">IF(CQ$8=1,IF(Reales!$C$65="PYG",IF(CQ$10&gt;0,N(Reales!CQ65)/CQ$10,0),N(Reales!CQ65)),CQ$231+CQ$232+CQ$239+CQ$240)</f>
        <v>92526.6599282108</v>
      </c>
      <c r="CR250" s="34" t="n">
        <f aca="false">IF(CR$8=1,IF(Reales!$C$65="PYG",IF(CR$10&gt;0,N(Reales!CR65)/CR$10,0),N(Reales!CR65)),CR$231+CR$232+CR$239+CR$240)</f>
        <v>92526.6599282108</v>
      </c>
      <c r="CS250" s="34" t="n">
        <f aca="false">IF(CS$8=1,IF(Reales!$C$65="PYG",IF(CS$10&gt;0,N(Reales!CS65)/CS$10,0),N(Reales!CS65)),CS$231+CS$232+CS$239+CS$240)</f>
        <v>92526.6599282108</v>
      </c>
      <c r="CT250" s="34" t="n">
        <f aca="false">IF(CT$8=1,IF(Reales!$C$65="PYG",IF(CT$10&gt;0,N(Reales!CT65)/CT$10,0),N(Reales!CT65)),CT$231+CT$232+CT$239+CT$240)</f>
        <v>92526.6599282108</v>
      </c>
      <c r="CU250" s="34" t="n">
        <f aca="false">IF(CU$8=1,IF(Reales!$C$65="PYG",IF(CU$10&gt;0,N(Reales!CU65)/CU$10,0),N(Reales!CU65)),CU$231+CU$232+CU$239+CU$240)</f>
        <v>92526.6599282108</v>
      </c>
      <c r="CV250" s="34" t="n">
        <f aca="false">IF(CV$8=1,IF(Reales!$C$65="PYG",IF(CV$10&gt;0,N(Reales!CV65)/CV$10,0),N(Reales!CV65)),CV$231+CV$232+CV$239+CV$240)</f>
        <v>92526.6599282108</v>
      </c>
      <c r="CW250" s="34" t="n">
        <f aca="false">IF(CW$8=1,IF(Reales!$C$65="PYG",IF(CW$10&gt;0,N(Reales!CW65)/CW$10,0),N(Reales!CW65)),CW$231+CW$232+CW$239+CW$240)</f>
        <v>92526.6599282108</v>
      </c>
      <c r="CX250" s="34" t="n">
        <f aca="false">IF(CX$8=1,IF(Reales!$C$65="PYG",IF(CX$10&gt;0,N(Reales!CX65)/CX$10,0),N(Reales!CX65)),CX$231+CX$232+CX$239+CX$240)</f>
        <v>92627.998161692</v>
      </c>
      <c r="CY250" s="34" t="n">
        <f aca="false">IF(CY$8=1,IF(Reales!$C$65="PYG",IF(CY$10&gt;0,N(Reales!CY65)/CY$10,0),N(Reales!CY65)),CY$231+CY$232+CY$239+CY$240)</f>
        <v>92627.998161692</v>
      </c>
      <c r="CZ250" s="34" t="n">
        <f aca="false">IF(CZ$8=1,IF(Reales!$C$65="PYG",IF(CZ$10&gt;0,N(Reales!CZ65)/CZ$10,0),N(Reales!CZ65)),CZ$231+CZ$232+CZ$239+CZ$240)</f>
        <v>92627.998161692</v>
      </c>
      <c r="DA250" s="34" t="n">
        <f aca="false">IF(DA$8=1,IF(Reales!$C$65="PYG",IF(DA$10&gt;0,N(Reales!DA65)/DA$10,0),N(Reales!DA65)),DA$231+DA$232+DA$239+DA$240)</f>
        <v>92627.998161692</v>
      </c>
      <c r="DB250" s="34" t="n">
        <f aca="false">IF(DB$8=1,IF(Reales!$C$65="PYG",IF(DB$10&gt;0,N(Reales!DB65)/DB$10,0),N(Reales!DB65)),DB$231+DB$232+DB$239+DB$240)</f>
        <v>92627.998161692</v>
      </c>
      <c r="DC250" s="34" t="n">
        <f aca="false">IF(DC$8=1,IF(Reales!$C$65="PYG",IF(DC$10&gt;0,N(Reales!DC65)/DC$10,0),N(Reales!DC65)),DC$231+DC$232+DC$239+DC$240)</f>
        <v>92627.998161692</v>
      </c>
      <c r="DD250" s="34" t="n">
        <f aca="false">IF(DD$8=1,IF(Reales!$C$65="PYG",IF(DD$10&gt;0,N(Reales!DD65)/DD$10,0),N(Reales!DD65)),DD$231+DD$232+DD$239+DD$240)</f>
        <v>92627.998161692</v>
      </c>
      <c r="DE250" s="34" t="n">
        <f aca="false">IF(DE$8=1,IF(Reales!$C$65="PYG",IF(DE$10&gt;0,N(Reales!DE65)/DE$10,0),N(Reales!DE65)),DE$231+DE$232+DE$239+DE$240)</f>
        <v>92627.998161692</v>
      </c>
      <c r="DF250" s="34" t="n">
        <f aca="false">IF(DF$8=1,IF(Reales!$C$65="PYG",IF(DF$10&gt;0,N(Reales!DF65)/DF$10,0),N(Reales!DF65)),DF$231+DF$232+DF$239+DF$240)</f>
        <v>92627.998161692</v>
      </c>
      <c r="DG250" s="34" t="n">
        <f aca="false">IF(DG$8=1,IF(Reales!$C$65="PYG",IF(DG$10&gt;0,N(Reales!DG65)/DG$10,0),N(Reales!DG65)),DG$231+DG$232+DG$239+DG$240)</f>
        <v>92627.998161692</v>
      </c>
      <c r="DH250" s="34" t="n">
        <f aca="false">IF(DH$8=1,IF(Reales!$C$65="PYG",IF(DH$10&gt;0,N(Reales!DH65)/DH$10,0),N(Reales!DH65)),DH$231+DH$232+DH$239+DH$240)</f>
        <v>92627.998161692</v>
      </c>
      <c r="DI250" s="34" t="n">
        <f aca="false">IF(DI$8=1,IF(Reales!$C$65="PYG",IF(DI$10&gt;0,N(Reales!DI65)/DI$10,0),N(Reales!DI65)),DI$231+DI$232+DI$239+DI$240)</f>
        <v>92627.998161692</v>
      </c>
      <c r="DJ250" s="34" t="n">
        <f aca="false">IF(DJ$8=1,IF(Reales!$C$65="PYG",IF(DJ$10&gt;0,N(Reales!DJ65)/DJ$10,0),N(Reales!DJ65)),DJ$231+DJ$232+DJ$239+DJ$240)</f>
        <v>92730.3497775079</v>
      </c>
      <c r="DK250" s="34" t="n">
        <f aca="false">IF(DK$8=1,IF(Reales!$C$65="PYG",IF(DK$10&gt;0,N(Reales!DK65)/DK$10,0),N(Reales!DK65)),DK$231+DK$232+DK$239+DK$240)</f>
        <v>92730.3497775079</v>
      </c>
      <c r="DL250" s="34" t="n">
        <f aca="false">IF(DL$8=1,IF(Reales!$C$65="PYG",IF(DL$10&gt;0,N(Reales!DL65)/DL$10,0),N(Reales!DL65)),DL$231+DL$232+DL$239+DL$240)</f>
        <v>92730.3497775079</v>
      </c>
      <c r="DM250" s="34" t="n">
        <f aca="false">IF(DM$8=1,IF(Reales!$C$65="PYG",IF(DM$10&gt;0,N(Reales!DM65)/DM$10,0),N(Reales!DM65)),DM$231+DM$232+DM$239+DM$240)</f>
        <v>92730.3497775079</v>
      </c>
      <c r="DN250" s="34" t="n">
        <f aca="false">IF(DN$8=1,IF(Reales!$C$65="PYG",IF(DN$10&gt;0,N(Reales!DN65)/DN$10,0),N(Reales!DN65)),DN$231+DN$232+DN$239+DN$240)</f>
        <v>92730.3497775079</v>
      </c>
      <c r="DO250" s="34" t="n">
        <f aca="false">IF(DO$8=1,IF(Reales!$C$65="PYG",IF(DO$10&gt;0,N(Reales!DO65)/DO$10,0),N(Reales!DO65)),DO$231+DO$232+DO$239+DO$240)</f>
        <v>92730.3497775079</v>
      </c>
      <c r="DP250" s="34" t="n">
        <f aca="false">IF(DP$8=1,IF(Reales!$C$65="PYG",IF(DP$10&gt;0,N(Reales!DP65)/DP$10,0),N(Reales!DP65)),DP$231+DP$232+DP$239+DP$240)</f>
        <v>92730.3497775079</v>
      </c>
      <c r="DQ250" s="34" t="n">
        <f aca="false">IF(DQ$8=1,IF(Reales!$C$65="PYG",IF(DQ$10&gt;0,N(Reales!DQ65)/DQ$10,0),N(Reales!DQ65)),DQ$231+DQ$232+DQ$239+DQ$240)</f>
        <v>92730.3497775079</v>
      </c>
      <c r="DR250" s="34" t="n">
        <f aca="false">IF(DR$8=1,IF(Reales!$C$65="PYG",IF(DR$10&gt;0,N(Reales!DR65)/DR$10,0),N(Reales!DR65)),DR$231+DR$232+DR$239+DR$240)</f>
        <v>92730.3497775079</v>
      </c>
      <c r="DS250" s="34" t="n">
        <f aca="false">IF(DS$8=1,IF(Reales!$C$65="PYG",IF(DS$10&gt;0,N(Reales!DS65)/DS$10,0),N(Reales!DS65)),DS$231+DS$232+DS$239+DS$240)</f>
        <v>92730.3497775079</v>
      </c>
      <c r="DT250" s="34" t="n">
        <f aca="false">IF(DT$8=1,IF(Reales!$C$65="PYG",IF(DT$10&gt;0,N(Reales!DT65)/DT$10,0),N(Reales!DT65)),DT$231+DT$232+DT$239+DT$240)</f>
        <v>92730.3497775079</v>
      </c>
      <c r="DU250" s="34" t="n">
        <f aca="false">IF(DU$8=1,IF(Reales!$C$65="PYG",IF(DU$10&gt;0,N(Reales!DU65)/DU$10,0),N(Reales!DU65)),DU$231+DU$232+DU$239+DU$240)</f>
        <v>92730.3497775079</v>
      </c>
      <c r="DV250" s="34" t="n">
        <f aca="false">IF(DV$8=1,IF(Reales!$C$65="PYG",IF(DV$10&gt;0,N(Reales!DV65)/DV$10,0),N(Reales!DV65)),DV$231+DV$232+DV$239+DV$240)</f>
        <v>0</v>
      </c>
      <c r="DW250" s="34" t="n">
        <f aca="false">IF(DW$8=1,IF(Reales!$C$65="PYG",IF(DW$10&gt;0,N(Reales!DW65)/DW$10,0),N(Reales!DW65)),DW$231+DW$232+DW$239+DW$240)</f>
        <v>0</v>
      </c>
      <c r="DX250" s="34" t="n">
        <f aca="false">IF(DX$8=1,IF(Reales!$C$65="PYG",IF(DX$10&gt;0,N(Reales!DX65)/DX$10,0),N(Reales!DX65)),DX$231+DX$232+DX$239+DX$240)</f>
        <v>0</v>
      </c>
      <c r="DY250" s="34" t="n">
        <f aca="false">IF(DY$8=1,IF(Reales!$C$65="PYG",IF(DY$10&gt;0,N(Reales!DY65)/DY$10,0),N(Reales!DY65)),DY$231+DY$232+DY$239+DY$240)</f>
        <v>0</v>
      </c>
      <c r="DZ250" s="34" t="n">
        <f aca="false">IF(DZ$8=1,IF(Reales!$C$65="PYG",IF(DZ$10&gt;0,N(Reales!DZ65)/DZ$10,0),N(Reales!DZ65)),DZ$231+DZ$232+DZ$239+DZ$240)</f>
        <v>0</v>
      </c>
      <c r="EA250" s="34" t="n">
        <f aca="false">IF(EA$8=1,IF(Reales!$C$65="PYG",IF(EA$10&gt;0,N(Reales!EA65)/EA$10,0),N(Reales!EA65)),EA$231+EA$232+EA$239+EA$240)</f>
        <v>0</v>
      </c>
      <c r="EB250" s="34" t="n">
        <f aca="false">IF(EB$8=1,IF(Reales!$C$65="PYG",IF(EB$10&gt;0,N(Reales!EB65)/EB$10,0),N(Reales!EB65)),EB$231+EB$232+EB$239+EB$240)</f>
        <v>0</v>
      </c>
      <c r="EC250" s="34" t="n">
        <f aca="false">IF(EC$8=1,IF(Reales!$C$65="PYG",IF(EC$10&gt;0,N(Reales!EC65)/EC$10,0),N(Reales!EC65)),EC$231+EC$232+EC$239+EC$240)</f>
        <v>0</v>
      </c>
      <c r="ED250" s="34" t="n">
        <f aca="false">IF(ED$8=1,IF(Reales!$C$65="PYG",IF(ED$10&gt;0,N(Reales!ED65)/ED$10,0),N(Reales!ED65)),ED$231+ED$232+ED$239+ED$240)</f>
        <v>0</v>
      </c>
      <c r="EE250" s="34" t="n">
        <f aca="false">IF(EE$8=1,IF(Reales!$C$65="PYG",IF(EE$10&gt;0,N(Reales!EE65)/EE$10,0),N(Reales!EE65)),EE$231+EE$232+EE$239+EE$240)</f>
        <v>0</v>
      </c>
      <c r="EF250" s="34" t="n">
        <f aca="false">IF(EF$8=1,IF(Reales!$C$65="PYG",IF(EF$10&gt;0,N(Reales!EF65)/EF$10,0),N(Reales!EF65)),EF$231+EF$232+EF$239+EF$240)</f>
        <v>0</v>
      </c>
      <c r="EG250" s="34" t="n">
        <f aca="false">IF(EG$8=1,IF(Reales!$C$65="PYG",IF(EG$10&gt;0,N(Reales!EG65)/EG$10,0),N(Reales!EG65)),EG$231+EG$232+EG$239+EG$240)</f>
        <v>0</v>
      </c>
      <c r="EH250" s="34" t="n">
        <f aca="false">IF(EH$8=1,IF(Reales!$C$65="PYG",IF(EH$10&gt;0,N(Reales!EH65)/EH$10,0),N(Reales!EH65)),EH$231+EH$232+EH$239+EH$240)</f>
        <v>0</v>
      </c>
      <c r="EI250" s="34" t="n">
        <f aca="false">IF(EI$8=1,IF(Reales!$C$65="PYG",IF(EI$10&gt;0,N(Reales!EI65)/EI$10,0),N(Reales!EI65)),EI$231+EI$232+EI$239+EI$240)</f>
        <v>0</v>
      </c>
      <c r="EJ250" s="34" t="n">
        <f aca="false">IF(EJ$8=1,IF(Reales!$C$65="PYG",IF(EJ$10&gt;0,N(Reales!EJ65)/EJ$10,0),N(Reales!EJ65)),EJ$231+EJ$232+EJ$239+EJ$240)</f>
        <v>0</v>
      </c>
      <c r="EK250" s="34" t="n">
        <f aca="false">IF(EK$8=1,IF(Reales!$C$65="PYG",IF(EK$10&gt;0,N(Reales!EK65)/EK$10,0),N(Reales!EK65)),EK$231+EK$232+EK$239+EK$240)</f>
        <v>0</v>
      </c>
      <c r="EL250" s="34" t="n">
        <f aca="false">IF(EL$8=1,IF(Reales!$C$65="PYG",IF(EL$10&gt;0,N(Reales!EL65)/EL$10,0),N(Reales!EL65)),EL$231+EL$232+EL$239+EL$240)</f>
        <v>0</v>
      </c>
      <c r="EM250" s="34" t="n">
        <f aca="false">IF(EM$8=1,IF(Reales!$C$65="PYG",IF(EM$10&gt;0,N(Reales!EM65)/EM$10,0),N(Reales!EM65)),EM$231+EM$232+EM$239+EM$240)</f>
        <v>0</v>
      </c>
      <c r="EN250" s="34" t="n">
        <f aca="false">IF(EN$8=1,IF(Reales!$C$65="PYG",IF(EN$10&gt;0,N(Reales!EN65)/EN$10,0),N(Reales!EN65)),EN$231+EN$232+EN$239+EN$240)</f>
        <v>0</v>
      </c>
      <c r="EO250" s="34" t="n">
        <f aca="false">IF(EO$8=1,IF(Reales!$C$65="PYG",IF(EO$10&gt;0,N(Reales!EO65)/EO$10,0),N(Reales!EO65)),EO$231+EO$232+EO$239+EO$240)</f>
        <v>0</v>
      </c>
      <c r="EP250" s="34" t="n">
        <f aca="false">IF(EP$8=1,IF(Reales!$C$65="PYG",IF(EP$10&gt;0,N(Reales!EP65)/EP$10,0),N(Reales!EP65)),EP$231+EP$232+EP$239+EP$240)</f>
        <v>0</v>
      </c>
      <c r="EQ250" s="34" t="n">
        <f aca="false">IF(EQ$8=1,IF(Reales!$C$65="PYG",IF(EQ$10&gt;0,N(Reales!EQ65)/EQ$10,0),N(Reales!EQ65)),EQ$231+EQ$232+EQ$239+EQ$240)</f>
        <v>0</v>
      </c>
      <c r="ER250" s="34" t="n">
        <f aca="false">IF(ER$8=1,IF(Reales!$C$65="PYG",IF(ER$10&gt;0,N(Reales!ER65)/ER$10,0),N(Reales!ER65)),ER$231+ER$232+ER$239+ER$240)</f>
        <v>0</v>
      </c>
      <c r="ES250" s="34" t="n">
        <f aca="false">IF(ES$8=1,IF(Reales!$C$65="PYG",IF(ES$10&gt;0,N(Reales!ES65)/ES$10,0),N(Reales!ES65)),ES$231+ES$232+ES$239+ES$240)</f>
        <v>0</v>
      </c>
    </row>
    <row r="251" customFormat="false" ht="15" hidden="false" customHeight="false" outlineLevel="0" collapsed="false">
      <c r="A251" s="2" t="s">
        <v>891</v>
      </c>
      <c r="B251" s="6" t="s">
        <v>681</v>
      </c>
      <c r="C251" s="6" t="s">
        <v>250</v>
      </c>
      <c r="E251" s="40" t="n">
        <f aca="false">SUM(F251:ES251)</f>
        <v>6984448.30293321</v>
      </c>
      <c r="F251" s="34" t="n">
        <f aca="false">IF(F$8=1,IF(Reales!$C$66="PYG",IF(F$10&gt;0,N(Reales!F66)/F$10,0),N(Reales!F66)),F$234+F$236)</f>
        <v>53054.720696137</v>
      </c>
      <c r="G251" s="34" t="n">
        <f aca="false">IF(G$8=1,IF(Reales!$C$66="PYG",IF(G$10&gt;0,N(Reales!G66)/G$10,0),N(Reales!G66)),G$234+G$236)</f>
        <v>53054.720696137</v>
      </c>
      <c r="H251" s="34" t="n">
        <f aca="false">IF(H$8=1,IF(Reales!$C$66="PYG",IF(H$10&gt;0,N(Reales!H66)/H$10,0),N(Reales!H66)),H$234+H$236)</f>
        <v>53054.720696137</v>
      </c>
      <c r="I251" s="34" t="n">
        <f aca="false">IF(I$8=1,IF(Reales!$C$66="PYG",IF(I$10&gt;0,N(Reales!I66)/I$10,0),N(Reales!I66)),I$234+I$236)</f>
        <v>53054.720696137</v>
      </c>
      <c r="J251" s="34" t="n">
        <f aca="false">IF(J$8=1,IF(Reales!$C$66="PYG",IF(J$10&gt;0,N(Reales!J66)/J$10,0),N(Reales!J66)),J$234+J$236)</f>
        <v>53054.720696137</v>
      </c>
      <c r="K251" s="34" t="n">
        <f aca="false">IF(K$8=1,IF(Reales!$C$66="PYG",IF(K$10&gt;0,N(Reales!K66)/K$10,0),N(Reales!K66)),K$234+K$236)</f>
        <v>53054.720696137</v>
      </c>
      <c r="L251" s="34" t="n">
        <f aca="false">IF(L$8=1,IF(Reales!$C$66="PYG",IF(L$10&gt;0,N(Reales!L66)/L$10,0),N(Reales!L66)),L$234+L$236)</f>
        <v>53054.720696137</v>
      </c>
      <c r="M251" s="34" t="n">
        <f aca="false">IF(M$8=1,IF(Reales!$C$66="PYG",IF(M$10&gt;0,N(Reales!M66)/M$10,0),N(Reales!M66)),M$234+M$236)</f>
        <v>53054.720696137</v>
      </c>
      <c r="N251" s="34" t="n">
        <f aca="false">IF(N$8=1,IF(Reales!$C$66="PYG",IF(N$10&gt;0,N(Reales!N66)/N$10,0),N(Reales!N66)),N$234+N$236)</f>
        <v>53054.720696137</v>
      </c>
      <c r="O251" s="34" t="n">
        <f aca="false">IF(O$8=1,IF(Reales!$C$66="PYG",IF(O$10&gt;0,N(Reales!O66)/O$10,0),N(Reales!O66)),O$234+O$236)</f>
        <v>53054.720696137</v>
      </c>
      <c r="P251" s="34" t="n">
        <f aca="false">IF(P$8=1,IF(Reales!$C$66="PYG",IF(P$10&gt;0,N(Reales!P66)/P$10,0),N(Reales!P66)),P$234+P$236)</f>
        <v>53054.720696137</v>
      </c>
      <c r="Q251" s="34" t="n">
        <f aca="false">IF(Q$8=1,IF(Reales!$C$66="PYG",IF(Q$10&gt;0,N(Reales!Q66)/Q$10,0),N(Reales!Q66)),Q$234+Q$236)</f>
        <v>53054.720696137</v>
      </c>
      <c r="R251" s="34" t="n">
        <f aca="false">IF(R$8=1,IF(Reales!$C$66="PYG",IF(R$10&gt;0,N(Reales!R66)/R$10,0),N(Reales!R66)),R$234+R$236)</f>
        <v>53054.720696137</v>
      </c>
      <c r="S251" s="34" t="n">
        <f aca="false">IF(S$8=1,IF(Reales!$C$66="PYG",IF(S$10&gt;0,N(Reales!S66)/S$10,0),N(Reales!S66)),S$234+S$236)</f>
        <v>53054.720696137</v>
      </c>
      <c r="T251" s="34" t="n">
        <f aca="false">IF(T$8=1,IF(Reales!$C$66="PYG",IF(T$10&gt;0,N(Reales!T66)/T$10,0),N(Reales!T66)),T$234+T$236)</f>
        <v>53054.720696137</v>
      </c>
      <c r="U251" s="34" t="n">
        <f aca="false">IF(U$8=1,IF(Reales!$C$66="PYG",IF(U$10&gt;0,N(Reales!U66)/U$10,0),N(Reales!U66)),U$234+U$236)</f>
        <v>53054.720696137</v>
      </c>
      <c r="V251" s="34" t="n">
        <f aca="false">IF(V$8=1,IF(Reales!$C$66="PYG",IF(V$10&gt;0,N(Reales!V66)/V$10,0),N(Reales!V66)),V$234+V$236)</f>
        <v>53054.720696137</v>
      </c>
      <c r="W251" s="34" t="n">
        <f aca="false">IF(W$8=1,IF(Reales!$C$66="PYG",IF(W$10&gt;0,N(Reales!W66)/W$10,0),N(Reales!W66)),W$234+W$236)</f>
        <v>53054.720696137</v>
      </c>
      <c r="X251" s="34" t="n">
        <f aca="false">IF(X$8=1,IF(Reales!$C$66="PYG",IF(X$10&gt;0,N(Reales!X66)/X$10,0),N(Reales!X66)),X$234+X$236)</f>
        <v>53054.720696137</v>
      </c>
      <c r="Y251" s="34" t="n">
        <f aca="false">IF(Y$8=1,IF(Reales!$C$66="PYG",IF(Y$10&gt;0,N(Reales!Y66)/Y$10,0),N(Reales!Y66)),Y$234+Y$236)</f>
        <v>53054.720696137</v>
      </c>
      <c r="Z251" s="34" t="n">
        <f aca="false">IF(Z$8=1,IF(Reales!$C$66="PYG",IF(Z$10&gt;0,N(Reales!Z66)/Z$10,0),N(Reales!Z66)),Z$234+Z$236)</f>
        <v>53054.720696137</v>
      </c>
      <c r="AA251" s="34" t="n">
        <f aca="false">IF(AA$8=1,IF(Reales!$C$66="PYG",IF(AA$10&gt;0,N(Reales!AA66)/AA$10,0),N(Reales!AA66)),AA$234+AA$236)</f>
        <v>53054.720696137</v>
      </c>
      <c r="AB251" s="34" t="n">
        <f aca="false">IF(AB$8=1,IF(Reales!$C$66="PYG",IF(AB$10&gt;0,N(Reales!AB66)/AB$10,0),N(Reales!AB66)),AB$234+AB$236)</f>
        <v>53054.720696137</v>
      </c>
      <c r="AC251" s="34" t="n">
        <f aca="false">IF(AC$8=1,IF(Reales!$C$66="PYG",IF(AC$10&gt;0,N(Reales!AC66)/AC$10,0),N(Reales!AC66)),AC$234+AC$236)</f>
        <v>53054.720696137</v>
      </c>
      <c r="AD251" s="34" t="n">
        <f aca="false">IF(AD$8=1,IF(Reales!$C$66="PYG",IF(AD$10&gt;0,N(Reales!AD66)/AD$10,0),N(Reales!AD66)),AD$234+AD$236)</f>
        <v>55700.1385399041</v>
      </c>
      <c r="AE251" s="34" t="n">
        <f aca="false">IF(AE$8=1,IF(Reales!$C$66="PYG",IF(AE$10&gt;0,N(Reales!AE66)/AE$10,0),N(Reales!AE66)),AE$234+AE$236)</f>
        <v>55700.1385399041</v>
      </c>
      <c r="AF251" s="34" t="n">
        <f aca="false">IF(AF$8=1,IF(Reales!$C$66="PYG",IF(AF$10&gt;0,N(Reales!AF66)/AF$10,0),N(Reales!AF66)),AF$234+AF$236)</f>
        <v>55700.1385399041</v>
      </c>
      <c r="AG251" s="34" t="n">
        <f aca="false">IF(AG$8=1,IF(Reales!$C$66="PYG",IF(AG$10&gt;0,N(Reales!AG66)/AG$10,0),N(Reales!AG66)),AG$234+AG$236)</f>
        <v>55700.1385399041</v>
      </c>
      <c r="AH251" s="34" t="n">
        <f aca="false">IF(AH$8=1,IF(Reales!$C$66="PYG",IF(AH$10&gt;0,N(Reales!AH66)/AH$10,0),N(Reales!AH66)),AH$234+AH$236)</f>
        <v>55700.1385399041</v>
      </c>
      <c r="AI251" s="34" t="n">
        <f aca="false">IF(AI$8=1,IF(Reales!$C$66="PYG",IF(AI$10&gt;0,N(Reales!AI66)/AI$10,0),N(Reales!AI66)),AI$234+AI$236)</f>
        <v>55700.1385399041</v>
      </c>
      <c r="AJ251" s="34" t="n">
        <f aca="false">IF(AJ$8=1,IF(Reales!$C$66="PYG",IF(AJ$10&gt;0,N(Reales!AJ66)/AJ$10,0),N(Reales!AJ66)),AJ$234+AJ$236)</f>
        <v>55700.1385399041</v>
      </c>
      <c r="AK251" s="34" t="n">
        <f aca="false">IF(AK$8=1,IF(Reales!$C$66="PYG",IF(AK$10&gt;0,N(Reales!AK66)/AK$10,0),N(Reales!AK66)),AK$234+AK$236)</f>
        <v>55700.1385399041</v>
      </c>
      <c r="AL251" s="34" t="n">
        <f aca="false">IF(AL$8=1,IF(Reales!$C$66="PYG",IF(AL$10&gt;0,N(Reales!AL66)/AL$10,0),N(Reales!AL66)),AL$234+AL$236)</f>
        <v>55700.1385399041</v>
      </c>
      <c r="AM251" s="34" t="n">
        <f aca="false">IF(AM$8=1,IF(Reales!$C$66="PYG",IF(AM$10&gt;0,N(Reales!AM66)/AM$10,0),N(Reales!AM66)),AM$234+AM$236)</f>
        <v>55700.1385399041</v>
      </c>
      <c r="AN251" s="34" t="n">
        <f aca="false">IF(AN$8=1,IF(Reales!$C$66="PYG",IF(AN$10&gt;0,N(Reales!AN66)/AN$10,0),N(Reales!AN66)),AN$234+AN$236)</f>
        <v>55700.1385399041</v>
      </c>
      <c r="AO251" s="34" t="n">
        <f aca="false">IF(AO$8=1,IF(Reales!$C$66="PYG",IF(AO$10&gt;0,N(Reales!AO66)/AO$10,0),N(Reales!AO66)),AO$234+AO$236)</f>
        <v>55700.1385399041</v>
      </c>
      <c r="AP251" s="34" t="n">
        <f aca="false">IF(AP$8=1,IF(Reales!$C$66="PYG",IF(AP$10&gt;0,N(Reales!AP66)/AP$10,0),N(Reales!AP66)),AP$234+AP$236)</f>
        <v>57818.5076943014</v>
      </c>
      <c r="AQ251" s="34" t="n">
        <f aca="false">IF(AQ$8=1,IF(Reales!$C$66="PYG",IF(AQ$10&gt;0,N(Reales!AQ66)/AQ$10,0),N(Reales!AQ66)),AQ$234+AQ$236)</f>
        <v>57818.5076943014</v>
      </c>
      <c r="AR251" s="34" t="n">
        <f aca="false">IF(AR$8=1,IF(Reales!$C$66="PYG",IF(AR$10&gt;0,N(Reales!AR66)/AR$10,0),N(Reales!AR66)),AR$234+AR$236)</f>
        <v>57818.5076943014</v>
      </c>
      <c r="AS251" s="34" t="n">
        <f aca="false">IF(AS$8=1,IF(Reales!$C$66="PYG",IF(AS$10&gt;0,N(Reales!AS66)/AS$10,0),N(Reales!AS66)),AS$234+AS$236)</f>
        <v>57818.5076943014</v>
      </c>
      <c r="AT251" s="34" t="n">
        <f aca="false">IF(AT$8=1,IF(Reales!$C$66="PYG",IF(AT$10&gt;0,N(Reales!AT66)/AT$10,0),N(Reales!AT66)),AT$234+AT$236)</f>
        <v>57818.5076943014</v>
      </c>
      <c r="AU251" s="34" t="n">
        <f aca="false">IF(AU$8=1,IF(Reales!$C$66="PYG",IF(AU$10&gt;0,N(Reales!AU66)/AU$10,0),N(Reales!AU66)),AU$234+AU$236)</f>
        <v>57818.5076943014</v>
      </c>
      <c r="AV251" s="34" t="n">
        <f aca="false">IF(AV$8=1,IF(Reales!$C$66="PYG",IF(AV$10&gt;0,N(Reales!AV66)/AV$10,0),N(Reales!AV66)),AV$234+AV$236)</f>
        <v>57818.5076943014</v>
      </c>
      <c r="AW251" s="34" t="n">
        <f aca="false">IF(AW$8=1,IF(Reales!$C$66="PYG",IF(AW$10&gt;0,N(Reales!AW66)/AW$10,0),N(Reales!AW66)),AW$234+AW$236)</f>
        <v>57818.5076943014</v>
      </c>
      <c r="AX251" s="34" t="n">
        <f aca="false">IF(AX$8=1,IF(Reales!$C$66="PYG",IF(AX$10&gt;0,N(Reales!AX66)/AX$10,0),N(Reales!AX66)),AX$234+AX$236)</f>
        <v>57818.5076943014</v>
      </c>
      <c r="AY251" s="34" t="n">
        <f aca="false">IF(AY$8=1,IF(Reales!$C$66="PYG",IF(AY$10&gt;0,N(Reales!AY66)/AY$10,0),N(Reales!AY66)),AY$234+AY$236)</f>
        <v>57818.5076943014</v>
      </c>
      <c r="AZ251" s="34" t="n">
        <f aca="false">IF(AZ$8=1,IF(Reales!$C$66="PYG",IF(AZ$10&gt;0,N(Reales!AZ66)/AZ$10,0),N(Reales!AZ66)),AZ$234+AZ$236)</f>
        <v>57818.5076943014</v>
      </c>
      <c r="BA251" s="34" t="n">
        <f aca="false">IF(BA$8=1,IF(Reales!$C$66="PYG",IF(BA$10&gt;0,N(Reales!BA66)/BA$10,0),N(Reales!BA66)),BA$234+BA$236)</f>
        <v>57818.5076943014</v>
      </c>
      <c r="BB251" s="34" t="n">
        <f aca="false">IF(BB$8=1,IF(Reales!$C$66="PYG",IF(BB$10&gt;0,N(Reales!BB66)/BB$10,0),N(Reales!BB66)),BB$234+BB$236)</f>
        <v>60401.5451585479</v>
      </c>
      <c r="BC251" s="34" t="n">
        <f aca="false">IF(BC$8=1,IF(Reales!$C$66="PYG",IF(BC$10&gt;0,N(Reales!BC66)/BC$10,0),N(Reales!BC66)),BC$234+BC$236)</f>
        <v>60401.5451585479</v>
      </c>
      <c r="BD251" s="34" t="n">
        <f aca="false">IF(BD$8=1,IF(Reales!$C$66="PYG",IF(BD$10&gt;0,N(Reales!BD66)/BD$10,0),N(Reales!BD66)),BD$234+BD$236)</f>
        <v>60401.5451585479</v>
      </c>
      <c r="BE251" s="34" t="n">
        <f aca="false">IF(BE$8=1,IF(Reales!$C$66="PYG",IF(BE$10&gt;0,N(Reales!BE66)/BE$10,0),N(Reales!BE66)),BE$234+BE$236)</f>
        <v>60401.5451585479</v>
      </c>
      <c r="BF251" s="34" t="n">
        <f aca="false">IF(BF$8=1,IF(Reales!$C$66="PYG",IF(BF$10&gt;0,N(Reales!BF66)/BF$10,0),N(Reales!BF66)),BF$234+BF$236)</f>
        <v>60401.5451585479</v>
      </c>
      <c r="BG251" s="34" t="n">
        <f aca="false">IF(BG$8=1,IF(Reales!$C$66="PYG",IF(BG$10&gt;0,N(Reales!BG66)/BG$10,0),N(Reales!BG66)),BG$234+BG$236)</f>
        <v>60401.5451585479</v>
      </c>
      <c r="BH251" s="34" t="n">
        <f aca="false">IF(BH$8=1,IF(Reales!$C$66="PYG",IF(BH$10&gt;0,N(Reales!BH66)/BH$10,0),N(Reales!BH66)),BH$234+BH$236)</f>
        <v>60401.5451585479</v>
      </c>
      <c r="BI251" s="34" t="n">
        <f aca="false">IF(BI$8=1,IF(Reales!$C$66="PYG",IF(BI$10&gt;0,N(Reales!BI66)/BI$10,0),N(Reales!BI66)),BI$234+BI$236)</f>
        <v>60401.5451585479</v>
      </c>
      <c r="BJ251" s="34" t="n">
        <f aca="false">IF(BJ$8=1,IF(Reales!$C$66="PYG",IF(BJ$10&gt;0,N(Reales!BJ66)/BJ$10,0),N(Reales!BJ66)),BJ$234+BJ$236)</f>
        <v>60401.5451585479</v>
      </c>
      <c r="BK251" s="34" t="n">
        <f aca="false">IF(BK$8=1,IF(Reales!$C$66="PYG",IF(BK$10&gt;0,N(Reales!BK66)/BK$10,0),N(Reales!BK66)),BK$234+BK$236)</f>
        <v>60401.5451585479</v>
      </c>
      <c r="BL251" s="34" t="n">
        <f aca="false">IF(BL$8=1,IF(Reales!$C$66="PYG",IF(BL$10&gt;0,N(Reales!BL66)/BL$10,0),N(Reales!BL66)),BL$234+BL$236)</f>
        <v>60401.5451585479</v>
      </c>
      <c r="BM251" s="34" t="n">
        <f aca="false">IF(BM$8=1,IF(Reales!$C$66="PYG",IF(BM$10&gt;0,N(Reales!BM66)/BM$10,0),N(Reales!BM66)),BM$234+BM$236)</f>
        <v>60401.5451585479</v>
      </c>
      <c r="BN251" s="34" t="n">
        <f aca="false">IF(BN$8=1,IF(Reales!$C$66="PYG",IF(BN$10&gt;0,N(Reales!BN66)/BN$10,0),N(Reales!BN66)),BN$234+BN$236)</f>
        <v>60401.5451585479</v>
      </c>
      <c r="BO251" s="34" t="n">
        <f aca="false">IF(BO$8=1,IF(Reales!$C$66="PYG",IF(BO$10&gt;0,N(Reales!BO66)/BO$10,0),N(Reales!BO66)),BO$234+BO$236)</f>
        <v>60401.5451585479</v>
      </c>
      <c r="BP251" s="34" t="n">
        <f aca="false">IF(BP$8=1,IF(Reales!$C$66="PYG",IF(BP$10&gt;0,N(Reales!BP66)/BP$10,0),N(Reales!BP66)),BP$234+BP$236)</f>
        <v>60401.5451585479</v>
      </c>
      <c r="BQ251" s="34" t="n">
        <f aca="false">IF(BQ$8=1,IF(Reales!$C$66="PYG",IF(BQ$10&gt;0,N(Reales!BQ66)/BQ$10,0),N(Reales!BQ66)),BQ$234+BQ$236)</f>
        <v>60401.5451585479</v>
      </c>
      <c r="BR251" s="34" t="n">
        <f aca="false">IF(BR$8=1,IF(Reales!$C$66="PYG",IF(BR$10&gt;0,N(Reales!BR66)/BR$10,0),N(Reales!BR66)),BR$234+BR$236)</f>
        <v>60401.5451585479</v>
      </c>
      <c r="BS251" s="34" t="n">
        <f aca="false">IF(BS$8=1,IF(Reales!$C$66="PYG",IF(BS$10&gt;0,N(Reales!BS66)/BS$10,0),N(Reales!BS66)),BS$234+BS$236)</f>
        <v>60401.5451585479</v>
      </c>
      <c r="BT251" s="34" t="n">
        <f aca="false">IF(BT$8=1,IF(Reales!$C$66="PYG",IF(BT$10&gt;0,N(Reales!BT66)/BT$10,0),N(Reales!BT66)),BT$234+BT$236)</f>
        <v>60401.5451585479</v>
      </c>
      <c r="BU251" s="34" t="n">
        <f aca="false">IF(BU$8=1,IF(Reales!$C$66="PYG",IF(BU$10&gt;0,N(Reales!BU66)/BU$10,0),N(Reales!BU66)),BU$234+BU$236)</f>
        <v>60401.5451585479</v>
      </c>
      <c r="BV251" s="34" t="n">
        <f aca="false">IF(BV$8=1,IF(Reales!$C$66="PYG",IF(BV$10&gt;0,N(Reales!BV66)/BV$10,0),N(Reales!BV66)),BV$234+BV$236)</f>
        <v>60401.5451585479</v>
      </c>
      <c r="BW251" s="34" t="n">
        <f aca="false">IF(BW$8=1,IF(Reales!$C$66="PYG",IF(BW$10&gt;0,N(Reales!BW66)/BW$10,0),N(Reales!BW66)),BW$234+BW$236)</f>
        <v>60401.5451585479</v>
      </c>
      <c r="BX251" s="34" t="n">
        <f aca="false">IF(BX$8=1,IF(Reales!$C$66="PYG",IF(BX$10&gt;0,N(Reales!BX66)/BX$10,0),N(Reales!BX66)),BX$234+BX$236)</f>
        <v>60401.5451585479</v>
      </c>
      <c r="BY251" s="34" t="n">
        <f aca="false">IF(BY$8=1,IF(Reales!$C$66="PYG",IF(BY$10&gt;0,N(Reales!BY66)/BY$10,0),N(Reales!BY66)),BY$234+BY$236)</f>
        <v>60401.5451585479</v>
      </c>
      <c r="BZ251" s="34" t="n">
        <f aca="false">IF(BZ$8=1,IF(Reales!$C$66="PYG",IF(BZ$10&gt;0,N(Reales!BZ66)/BZ$10,0),N(Reales!BZ66)),BZ$234+BZ$236)</f>
        <v>60401.5451585479</v>
      </c>
      <c r="CA251" s="34" t="n">
        <f aca="false">IF(CA$8=1,IF(Reales!$C$66="PYG",IF(CA$10&gt;0,N(Reales!CA66)/CA$10,0),N(Reales!CA66)),CA$234+CA$236)</f>
        <v>60401.5451585479</v>
      </c>
      <c r="CB251" s="34" t="n">
        <f aca="false">IF(CB$8=1,IF(Reales!$C$66="PYG",IF(CB$10&gt;0,N(Reales!CB66)/CB$10,0),N(Reales!CB66)),CB$234+CB$236)</f>
        <v>60401.5451585479</v>
      </c>
      <c r="CC251" s="34" t="n">
        <f aca="false">IF(CC$8=1,IF(Reales!$C$66="PYG",IF(CC$10&gt;0,N(Reales!CC66)/CC$10,0),N(Reales!CC66)),CC$234+CC$236)</f>
        <v>60401.5451585479</v>
      </c>
      <c r="CD251" s="34" t="n">
        <f aca="false">IF(CD$8=1,IF(Reales!$C$66="PYG",IF(CD$10&gt;0,N(Reales!CD66)/CD$10,0),N(Reales!CD66)),CD$234+CD$236)</f>
        <v>60401.5451585479</v>
      </c>
      <c r="CE251" s="34" t="n">
        <f aca="false">IF(CE$8=1,IF(Reales!$C$66="PYG",IF(CE$10&gt;0,N(Reales!CE66)/CE$10,0),N(Reales!CE66)),CE$234+CE$236)</f>
        <v>60401.5451585479</v>
      </c>
      <c r="CF251" s="34" t="n">
        <f aca="false">IF(CF$8=1,IF(Reales!$C$66="PYG",IF(CF$10&gt;0,N(Reales!CF66)/CF$10,0),N(Reales!CF66)),CF$234+CF$236)</f>
        <v>60401.5451585479</v>
      </c>
      <c r="CG251" s="34" t="n">
        <f aca="false">IF(CG$8=1,IF(Reales!$C$66="PYG",IF(CG$10&gt;0,N(Reales!CG66)/CG$10,0),N(Reales!CG66)),CG$234+CG$236)</f>
        <v>60401.5451585479</v>
      </c>
      <c r="CH251" s="34" t="n">
        <f aca="false">IF(CH$8=1,IF(Reales!$C$66="PYG",IF(CH$10&gt;0,N(Reales!CH66)/CH$10,0),N(Reales!CH66)),CH$234+CH$236)</f>
        <v>60401.5451585479</v>
      </c>
      <c r="CI251" s="34" t="n">
        <f aca="false">IF(CI$8=1,IF(Reales!$C$66="PYG",IF(CI$10&gt;0,N(Reales!CI66)/CI$10,0),N(Reales!CI66)),CI$234+CI$236)</f>
        <v>60401.5451585479</v>
      </c>
      <c r="CJ251" s="34" t="n">
        <f aca="false">IF(CJ$8=1,IF(Reales!$C$66="PYG",IF(CJ$10&gt;0,N(Reales!CJ66)/CJ$10,0),N(Reales!CJ66)),CJ$234+CJ$236)</f>
        <v>60401.5451585479</v>
      </c>
      <c r="CK251" s="34" t="n">
        <f aca="false">IF(CK$8=1,IF(Reales!$C$66="PYG",IF(CK$10&gt;0,N(Reales!CK66)/CK$10,0),N(Reales!CK66)),CK$234+CK$236)</f>
        <v>60401.5451585479</v>
      </c>
      <c r="CL251" s="34" t="n">
        <f aca="false">IF(CL$8=1,IF(Reales!$C$66="PYG",IF(CL$10&gt;0,N(Reales!CL66)/CL$10,0),N(Reales!CL66)),CL$234+CL$236)</f>
        <v>60401.5451585479</v>
      </c>
      <c r="CM251" s="34" t="n">
        <f aca="false">IF(CM$8=1,IF(Reales!$C$66="PYG",IF(CM$10&gt;0,N(Reales!CM66)/CM$10,0),N(Reales!CM66)),CM$234+CM$236)</f>
        <v>60401.5451585479</v>
      </c>
      <c r="CN251" s="34" t="n">
        <f aca="false">IF(CN$8=1,IF(Reales!$C$66="PYG",IF(CN$10&gt;0,N(Reales!CN66)/CN$10,0),N(Reales!CN66)),CN$234+CN$236)</f>
        <v>60401.5451585479</v>
      </c>
      <c r="CO251" s="34" t="n">
        <f aca="false">IF(CO$8=1,IF(Reales!$C$66="PYG",IF(CO$10&gt;0,N(Reales!CO66)/CO$10,0),N(Reales!CO66)),CO$234+CO$236)</f>
        <v>60401.5451585479</v>
      </c>
      <c r="CP251" s="34" t="n">
        <f aca="false">IF(CP$8=1,IF(Reales!$C$66="PYG",IF(CP$10&gt;0,N(Reales!CP66)/CP$10,0),N(Reales!CP66)),CP$234+CP$236)</f>
        <v>60401.5451585479</v>
      </c>
      <c r="CQ251" s="34" t="n">
        <f aca="false">IF(CQ$8=1,IF(Reales!$C$66="PYG",IF(CQ$10&gt;0,N(Reales!CQ66)/CQ$10,0),N(Reales!CQ66)),CQ$234+CQ$236)</f>
        <v>60401.5451585479</v>
      </c>
      <c r="CR251" s="34" t="n">
        <f aca="false">IF(CR$8=1,IF(Reales!$C$66="PYG",IF(CR$10&gt;0,N(Reales!CR66)/CR$10,0),N(Reales!CR66)),CR$234+CR$236)</f>
        <v>60401.5451585479</v>
      </c>
      <c r="CS251" s="34" t="n">
        <f aca="false">IF(CS$8=1,IF(Reales!$C$66="PYG",IF(CS$10&gt;0,N(Reales!CS66)/CS$10,0),N(Reales!CS66)),CS$234+CS$236)</f>
        <v>60401.5451585479</v>
      </c>
      <c r="CT251" s="34" t="n">
        <f aca="false">IF(CT$8=1,IF(Reales!$C$66="PYG",IF(CT$10&gt;0,N(Reales!CT66)/CT$10,0),N(Reales!CT66)),CT$234+CT$236)</f>
        <v>60401.5451585479</v>
      </c>
      <c r="CU251" s="34" t="n">
        <f aca="false">IF(CU$8=1,IF(Reales!$C$66="PYG",IF(CU$10&gt;0,N(Reales!CU66)/CU$10,0),N(Reales!CU66)),CU$234+CU$236)</f>
        <v>60401.5451585479</v>
      </c>
      <c r="CV251" s="34" t="n">
        <f aca="false">IF(CV$8=1,IF(Reales!$C$66="PYG",IF(CV$10&gt;0,N(Reales!CV66)/CV$10,0),N(Reales!CV66)),CV$234+CV$236)</f>
        <v>60401.5451585479</v>
      </c>
      <c r="CW251" s="34" t="n">
        <f aca="false">IF(CW$8=1,IF(Reales!$C$66="PYG",IF(CW$10&gt;0,N(Reales!CW66)/CW$10,0),N(Reales!CW66)),CW$234+CW$236)</f>
        <v>60401.5451585479</v>
      </c>
      <c r="CX251" s="34" t="n">
        <f aca="false">IF(CX$8=1,IF(Reales!$C$66="PYG",IF(CX$10&gt;0,N(Reales!CX66)/CX$10,0),N(Reales!CX66)),CX$234+CX$236)</f>
        <v>60401.5451585479</v>
      </c>
      <c r="CY251" s="34" t="n">
        <f aca="false">IF(CY$8=1,IF(Reales!$C$66="PYG",IF(CY$10&gt;0,N(Reales!CY66)/CY$10,0),N(Reales!CY66)),CY$234+CY$236)</f>
        <v>60401.5451585479</v>
      </c>
      <c r="CZ251" s="34" t="n">
        <f aca="false">IF(CZ$8=1,IF(Reales!$C$66="PYG",IF(CZ$10&gt;0,N(Reales!CZ66)/CZ$10,0),N(Reales!CZ66)),CZ$234+CZ$236)</f>
        <v>60401.5451585479</v>
      </c>
      <c r="DA251" s="34" t="n">
        <f aca="false">IF(DA$8=1,IF(Reales!$C$66="PYG",IF(DA$10&gt;0,N(Reales!DA66)/DA$10,0),N(Reales!DA66)),DA$234+DA$236)</f>
        <v>60401.5451585479</v>
      </c>
      <c r="DB251" s="34" t="n">
        <f aca="false">IF(DB$8=1,IF(Reales!$C$66="PYG",IF(DB$10&gt;0,N(Reales!DB66)/DB$10,0),N(Reales!DB66)),DB$234+DB$236)</f>
        <v>60401.5451585479</v>
      </c>
      <c r="DC251" s="34" t="n">
        <f aca="false">IF(DC$8=1,IF(Reales!$C$66="PYG",IF(DC$10&gt;0,N(Reales!DC66)/DC$10,0),N(Reales!DC66)),DC$234+DC$236)</f>
        <v>60401.5451585479</v>
      </c>
      <c r="DD251" s="34" t="n">
        <f aca="false">IF(DD$8=1,IF(Reales!$C$66="PYG",IF(DD$10&gt;0,N(Reales!DD66)/DD$10,0),N(Reales!DD66)),DD$234+DD$236)</f>
        <v>60401.5451585479</v>
      </c>
      <c r="DE251" s="34" t="n">
        <f aca="false">IF(DE$8=1,IF(Reales!$C$66="PYG",IF(DE$10&gt;0,N(Reales!DE66)/DE$10,0),N(Reales!DE66)),DE$234+DE$236)</f>
        <v>60401.5451585479</v>
      </c>
      <c r="DF251" s="34" t="n">
        <f aca="false">IF(DF$8=1,IF(Reales!$C$66="PYG",IF(DF$10&gt;0,N(Reales!DF66)/DF$10,0),N(Reales!DF66)),DF$234+DF$236)</f>
        <v>60401.5451585479</v>
      </c>
      <c r="DG251" s="34" t="n">
        <f aca="false">IF(DG$8=1,IF(Reales!$C$66="PYG",IF(DG$10&gt;0,N(Reales!DG66)/DG$10,0),N(Reales!DG66)),DG$234+DG$236)</f>
        <v>60401.5451585479</v>
      </c>
      <c r="DH251" s="34" t="n">
        <f aca="false">IF(DH$8=1,IF(Reales!$C$66="PYG",IF(DH$10&gt;0,N(Reales!DH66)/DH$10,0),N(Reales!DH66)),DH$234+DH$236)</f>
        <v>60401.5451585479</v>
      </c>
      <c r="DI251" s="34" t="n">
        <f aca="false">IF(DI$8=1,IF(Reales!$C$66="PYG",IF(DI$10&gt;0,N(Reales!DI66)/DI$10,0),N(Reales!DI66)),DI$234+DI$236)</f>
        <v>60401.5451585479</v>
      </c>
      <c r="DJ251" s="34" t="n">
        <f aca="false">IF(DJ$8=1,IF(Reales!$C$66="PYG",IF(DJ$10&gt;0,N(Reales!DJ66)/DJ$10,0),N(Reales!DJ66)),DJ$234+DJ$236)</f>
        <v>60401.5451585479</v>
      </c>
      <c r="DK251" s="34" t="n">
        <f aca="false">IF(DK$8=1,IF(Reales!$C$66="PYG",IF(DK$10&gt;0,N(Reales!DK66)/DK$10,0),N(Reales!DK66)),DK$234+DK$236)</f>
        <v>60401.5451585479</v>
      </c>
      <c r="DL251" s="34" t="n">
        <f aca="false">IF(DL$8=1,IF(Reales!$C$66="PYG",IF(DL$10&gt;0,N(Reales!DL66)/DL$10,0),N(Reales!DL66)),DL$234+DL$236)</f>
        <v>60401.5451585479</v>
      </c>
      <c r="DM251" s="34" t="n">
        <f aca="false">IF(DM$8=1,IF(Reales!$C$66="PYG",IF(DM$10&gt;0,N(Reales!DM66)/DM$10,0),N(Reales!DM66)),DM$234+DM$236)</f>
        <v>60401.5451585479</v>
      </c>
      <c r="DN251" s="34" t="n">
        <f aca="false">IF(DN$8=1,IF(Reales!$C$66="PYG",IF(DN$10&gt;0,N(Reales!DN66)/DN$10,0),N(Reales!DN66)),DN$234+DN$236)</f>
        <v>60401.5451585479</v>
      </c>
      <c r="DO251" s="34" t="n">
        <f aca="false">IF(DO$8=1,IF(Reales!$C$66="PYG",IF(DO$10&gt;0,N(Reales!DO66)/DO$10,0),N(Reales!DO66)),DO$234+DO$236)</f>
        <v>60401.5451585479</v>
      </c>
      <c r="DP251" s="34" t="n">
        <f aca="false">IF(DP$8=1,IF(Reales!$C$66="PYG",IF(DP$10&gt;0,N(Reales!DP66)/DP$10,0),N(Reales!DP66)),DP$234+DP$236)</f>
        <v>60401.5451585479</v>
      </c>
      <c r="DQ251" s="34" t="n">
        <f aca="false">IF(DQ$8=1,IF(Reales!$C$66="PYG",IF(DQ$10&gt;0,N(Reales!DQ66)/DQ$10,0),N(Reales!DQ66)),DQ$234+DQ$236)</f>
        <v>60401.5451585479</v>
      </c>
      <c r="DR251" s="34" t="n">
        <f aca="false">IF(DR$8=1,IF(Reales!$C$66="PYG",IF(DR$10&gt;0,N(Reales!DR66)/DR$10,0),N(Reales!DR66)),DR$234+DR$236)</f>
        <v>60401.5451585479</v>
      </c>
      <c r="DS251" s="34" t="n">
        <f aca="false">IF(DS$8=1,IF(Reales!$C$66="PYG",IF(DS$10&gt;0,N(Reales!DS66)/DS$10,0),N(Reales!DS66)),DS$234+DS$236)</f>
        <v>60401.5451585479</v>
      </c>
      <c r="DT251" s="34" t="n">
        <f aca="false">IF(DT$8=1,IF(Reales!$C$66="PYG",IF(DT$10&gt;0,N(Reales!DT66)/DT$10,0),N(Reales!DT66)),DT$234+DT$236)</f>
        <v>60401.5451585479</v>
      </c>
      <c r="DU251" s="34" t="n">
        <f aca="false">IF(DU$8=1,IF(Reales!$C$66="PYG",IF(DU$10&gt;0,N(Reales!DU66)/DU$10,0),N(Reales!DU66)),DU$234+DU$236)</f>
        <v>60401.5451585479</v>
      </c>
      <c r="DV251" s="34" t="n">
        <f aca="false">IF(DV$8=1,IF(Reales!$C$66="PYG",IF(DV$10&gt;0,N(Reales!DV66)/DV$10,0),N(Reales!DV66)),DV$234+DV$236)</f>
        <v>0</v>
      </c>
      <c r="DW251" s="34" t="n">
        <f aca="false">IF(DW$8=1,IF(Reales!$C$66="PYG",IF(DW$10&gt;0,N(Reales!DW66)/DW$10,0),N(Reales!DW66)),DW$234+DW$236)</f>
        <v>0</v>
      </c>
      <c r="DX251" s="34" t="n">
        <f aca="false">IF(DX$8=1,IF(Reales!$C$66="PYG",IF(DX$10&gt;0,N(Reales!DX66)/DX$10,0),N(Reales!DX66)),DX$234+DX$236)</f>
        <v>0</v>
      </c>
      <c r="DY251" s="34" t="n">
        <f aca="false">IF(DY$8=1,IF(Reales!$C$66="PYG",IF(DY$10&gt;0,N(Reales!DY66)/DY$10,0),N(Reales!DY66)),DY$234+DY$236)</f>
        <v>0</v>
      </c>
      <c r="DZ251" s="34" t="n">
        <f aca="false">IF(DZ$8=1,IF(Reales!$C$66="PYG",IF(DZ$10&gt;0,N(Reales!DZ66)/DZ$10,0),N(Reales!DZ66)),DZ$234+DZ$236)</f>
        <v>0</v>
      </c>
      <c r="EA251" s="34" t="n">
        <f aca="false">IF(EA$8=1,IF(Reales!$C$66="PYG",IF(EA$10&gt;0,N(Reales!EA66)/EA$10,0),N(Reales!EA66)),EA$234+EA$236)</f>
        <v>0</v>
      </c>
      <c r="EB251" s="34" t="n">
        <f aca="false">IF(EB$8=1,IF(Reales!$C$66="PYG",IF(EB$10&gt;0,N(Reales!EB66)/EB$10,0),N(Reales!EB66)),EB$234+EB$236)</f>
        <v>0</v>
      </c>
      <c r="EC251" s="34" t="n">
        <f aca="false">IF(EC$8=1,IF(Reales!$C$66="PYG",IF(EC$10&gt;0,N(Reales!EC66)/EC$10,0),N(Reales!EC66)),EC$234+EC$236)</f>
        <v>0</v>
      </c>
      <c r="ED251" s="34" t="n">
        <f aca="false">IF(ED$8=1,IF(Reales!$C$66="PYG",IF(ED$10&gt;0,N(Reales!ED66)/ED$10,0),N(Reales!ED66)),ED$234+ED$236)</f>
        <v>0</v>
      </c>
      <c r="EE251" s="34" t="n">
        <f aca="false">IF(EE$8=1,IF(Reales!$C$66="PYG",IF(EE$10&gt;0,N(Reales!EE66)/EE$10,0),N(Reales!EE66)),EE$234+EE$236)</f>
        <v>0</v>
      </c>
      <c r="EF251" s="34" t="n">
        <f aca="false">IF(EF$8=1,IF(Reales!$C$66="PYG",IF(EF$10&gt;0,N(Reales!EF66)/EF$10,0),N(Reales!EF66)),EF$234+EF$236)</f>
        <v>0</v>
      </c>
      <c r="EG251" s="34" t="n">
        <f aca="false">IF(EG$8=1,IF(Reales!$C$66="PYG",IF(EG$10&gt;0,N(Reales!EG66)/EG$10,0),N(Reales!EG66)),EG$234+EG$236)</f>
        <v>0</v>
      </c>
      <c r="EH251" s="34" t="n">
        <f aca="false">IF(EH$8=1,IF(Reales!$C$66="PYG",IF(EH$10&gt;0,N(Reales!EH66)/EH$10,0),N(Reales!EH66)),EH$234+EH$236)</f>
        <v>0</v>
      </c>
      <c r="EI251" s="34" t="n">
        <f aca="false">IF(EI$8=1,IF(Reales!$C$66="PYG",IF(EI$10&gt;0,N(Reales!EI66)/EI$10,0),N(Reales!EI66)),EI$234+EI$236)</f>
        <v>0</v>
      </c>
      <c r="EJ251" s="34" t="n">
        <f aca="false">IF(EJ$8=1,IF(Reales!$C$66="PYG",IF(EJ$10&gt;0,N(Reales!EJ66)/EJ$10,0),N(Reales!EJ66)),EJ$234+EJ$236)</f>
        <v>0</v>
      </c>
      <c r="EK251" s="34" t="n">
        <f aca="false">IF(EK$8=1,IF(Reales!$C$66="PYG",IF(EK$10&gt;0,N(Reales!EK66)/EK$10,0),N(Reales!EK66)),EK$234+EK$236)</f>
        <v>0</v>
      </c>
      <c r="EL251" s="34" t="n">
        <f aca="false">IF(EL$8=1,IF(Reales!$C$66="PYG",IF(EL$10&gt;0,N(Reales!EL66)/EL$10,0),N(Reales!EL66)),EL$234+EL$236)</f>
        <v>0</v>
      </c>
      <c r="EM251" s="34" t="n">
        <f aca="false">IF(EM$8=1,IF(Reales!$C$66="PYG",IF(EM$10&gt;0,N(Reales!EM66)/EM$10,0),N(Reales!EM66)),EM$234+EM$236)</f>
        <v>0</v>
      </c>
      <c r="EN251" s="34" t="n">
        <f aca="false">IF(EN$8=1,IF(Reales!$C$66="PYG",IF(EN$10&gt;0,N(Reales!EN66)/EN$10,0),N(Reales!EN66)),EN$234+EN$236)</f>
        <v>0</v>
      </c>
      <c r="EO251" s="34" t="n">
        <f aca="false">IF(EO$8=1,IF(Reales!$C$66="PYG",IF(EO$10&gt;0,N(Reales!EO66)/EO$10,0),N(Reales!EO66)),EO$234+EO$236)</f>
        <v>0</v>
      </c>
      <c r="EP251" s="34" t="n">
        <f aca="false">IF(EP$8=1,IF(Reales!$C$66="PYG",IF(EP$10&gt;0,N(Reales!EP66)/EP$10,0),N(Reales!EP66)),EP$234+EP$236)</f>
        <v>0</v>
      </c>
      <c r="EQ251" s="34" t="n">
        <f aca="false">IF(EQ$8=1,IF(Reales!$C$66="PYG",IF(EQ$10&gt;0,N(Reales!EQ66)/EQ$10,0),N(Reales!EQ66)),EQ$234+EQ$236)</f>
        <v>0</v>
      </c>
      <c r="ER251" s="34" t="n">
        <f aca="false">IF(ER$8=1,IF(Reales!$C$66="PYG",IF(ER$10&gt;0,N(Reales!ER66)/ER$10,0),N(Reales!ER66)),ER$234+ER$236)</f>
        <v>0</v>
      </c>
      <c r="ES251" s="34" t="n">
        <f aca="false">IF(ES$8=1,IF(Reales!$C$66="PYG",IF(ES$10&gt;0,N(Reales!ES66)/ES$10,0),N(Reales!ES66)),ES$234+ES$236)</f>
        <v>0</v>
      </c>
    </row>
    <row r="252" customFormat="false" ht="15" hidden="false" customHeight="false" outlineLevel="0" collapsed="false">
      <c r="A252" s="2" t="s">
        <v>892</v>
      </c>
      <c r="B252" s="6" t="s">
        <v>683</v>
      </c>
      <c r="C252" s="6" t="s">
        <v>250</v>
      </c>
      <c r="E252" s="40" t="n">
        <f aca="false">SUM(F252:ES252)</f>
        <v>3406933.03324133</v>
      </c>
      <c r="F252" s="34" t="n">
        <f aca="false">IF(F$8=1,IF(Reales!$C$68="PYG",IF(F$10&gt;0,N(Reales!F68)/F$10,0),N(Reales!F68)),F$242+F$245)</f>
        <v>19873.0114276757</v>
      </c>
      <c r="G252" s="34" t="n">
        <f aca="false">IF(G$8=1,IF(Reales!$C$68="PYG",IF(G$10&gt;0,N(Reales!G68)/G$10,0),N(Reales!G68)),G$242+G$245)</f>
        <v>19873.0114276757</v>
      </c>
      <c r="H252" s="34" t="n">
        <f aca="false">IF(H$8=1,IF(Reales!$C$68="PYG",IF(H$10&gt;0,N(Reales!H68)/H$10,0),N(Reales!H68)),H$242+H$245)</f>
        <v>19873.0114276757</v>
      </c>
      <c r="I252" s="34" t="n">
        <f aca="false">IF(I$8=1,IF(Reales!$C$68="PYG",IF(I$10&gt;0,N(Reales!I68)/I$10,0),N(Reales!I68)),I$242+I$245)</f>
        <v>19873.0114276757</v>
      </c>
      <c r="J252" s="34" t="n">
        <f aca="false">IF(J$8=1,IF(Reales!$C$68="PYG",IF(J$10&gt;0,N(Reales!J68)/J$10,0),N(Reales!J68)),J$242+J$245)</f>
        <v>19873.0114276757</v>
      </c>
      <c r="K252" s="34" t="n">
        <f aca="false">IF(K$8=1,IF(Reales!$C$68="PYG",IF(K$10&gt;0,N(Reales!K68)/K$10,0),N(Reales!K68)),K$242+K$245)</f>
        <v>19873.0114276757</v>
      </c>
      <c r="L252" s="34" t="n">
        <f aca="false">IF(L$8=1,IF(Reales!$C$68="PYG",IF(L$10&gt;0,N(Reales!L68)/L$10,0),N(Reales!L68)),L$242+L$245)</f>
        <v>19873.0114276757</v>
      </c>
      <c r="M252" s="34" t="n">
        <f aca="false">IF(M$8=1,IF(Reales!$C$68="PYG",IF(M$10&gt;0,N(Reales!M68)/M$10,0),N(Reales!M68)),M$242+M$245)</f>
        <v>19873.0114276757</v>
      </c>
      <c r="N252" s="34" t="n">
        <f aca="false">IF(N$8=1,IF(Reales!$C$68="PYG",IF(N$10&gt;0,N(Reales!N68)/N$10,0),N(Reales!N68)),N$242+N$245)</f>
        <v>19873.0114276757</v>
      </c>
      <c r="O252" s="34" t="n">
        <f aca="false">IF(O$8=1,IF(Reales!$C$68="PYG",IF(O$10&gt;0,N(Reales!O68)/O$10,0),N(Reales!O68)),O$242+O$245)</f>
        <v>19873.0114276757</v>
      </c>
      <c r="P252" s="34" t="n">
        <f aca="false">IF(P$8=1,IF(Reales!$C$68="PYG",IF(P$10&gt;0,N(Reales!P68)/P$10,0),N(Reales!P68)),P$242+P$245)</f>
        <v>19873.0114276757</v>
      </c>
      <c r="Q252" s="34" t="n">
        <f aca="false">IF(Q$8=1,IF(Reales!$C$68="PYG",IF(Q$10&gt;0,N(Reales!Q68)/Q$10,0),N(Reales!Q68)),Q$242+Q$245)</f>
        <v>19873.0114276757</v>
      </c>
      <c r="R252" s="34" t="n">
        <f aca="false">IF(R$8=1,IF(Reales!$C$68="PYG",IF(R$10&gt;0,N(Reales!R68)/R$10,0),N(Reales!R68)),R$242+R$245)</f>
        <v>23317.3689934674</v>
      </c>
      <c r="S252" s="34" t="n">
        <f aca="false">IF(S$8=1,IF(Reales!$C$68="PYG",IF(S$10&gt;0,N(Reales!S68)/S$10,0),N(Reales!S68)),S$242+S$245)</f>
        <v>23317.3689934674</v>
      </c>
      <c r="T252" s="34" t="n">
        <f aca="false">IF(T$8=1,IF(Reales!$C$68="PYG",IF(T$10&gt;0,N(Reales!T68)/T$10,0),N(Reales!T68)),T$242+T$245)</f>
        <v>23317.3689934674</v>
      </c>
      <c r="U252" s="34" t="n">
        <f aca="false">IF(U$8=1,IF(Reales!$C$68="PYG",IF(U$10&gt;0,N(Reales!U68)/U$10,0),N(Reales!U68)),U$242+U$245)</f>
        <v>23317.3689934674</v>
      </c>
      <c r="V252" s="34" t="n">
        <f aca="false">IF(V$8=1,IF(Reales!$C$68="PYG",IF(V$10&gt;0,N(Reales!V68)/V$10,0),N(Reales!V68)),V$242+V$245)</f>
        <v>23317.3689934674</v>
      </c>
      <c r="W252" s="34" t="n">
        <f aca="false">IF(W$8=1,IF(Reales!$C$68="PYG",IF(W$10&gt;0,N(Reales!W68)/W$10,0),N(Reales!W68)),W$242+W$245)</f>
        <v>23317.3689934674</v>
      </c>
      <c r="X252" s="34" t="n">
        <f aca="false">IF(X$8=1,IF(Reales!$C$68="PYG",IF(X$10&gt;0,N(Reales!X68)/X$10,0),N(Reales!X68)),X$242+X$245)</f>
        <v>23317.3689934674</v>
      </c>
      <c r="Y252" s="34" t="n">
        <f aca="false">IF(Y$8=1,IF(Reales!$C$68="PYG",IF(Y$10&gt;0,N(Reales!Y68)/Y$10,0),N(Reales!Y68)),Y$242+Y$245)</f>
        <v>23317.3689934674</v>
      </c>
      <c r="Z252" s="34" t="n">
        <f aca="false">IF(Z$8=1,IF(Reales!$C$68="PYG",IF(Z$10&gt;0,N(Reales!Z68)/Z$10,0),N(Reales!Z68)),Z$242+Z$245)</f>
        <v>23317.3689934674</v>
      </c>
      <c r="AA252" s="34" t="n">
        <f aca="false">IF(AA$8=1,IF(Reales!$C$68="PYG",IF(AA$10&gt;0,N(Reales!AA68)/AA$10,0),N(Reales!AA68)),AA$242+AA$245)</f>
        <v>23317.3689934674</v>
      </c>
      <c r="AB252" s="34" t="n">
        <f aca="false">IF(AB$8=1,IF(Reales!$C$68="PYG",IF(AB$10&gt;0,N(Reales!AB68)/AB$10,0),N(Reales!AB68)),AB$242+AB$245)</f>
        <v>23317.3689934674</v>
      </c>
      <c r="AC252" s="34" t="n">
        <f aca="false">IF(AC$8=1,IF(Reales!$C$68="PYG",IF(AC$10&gt;0,N(Reales!AC68)/AC$10,0),N(Reales!AC68)),AC$242+AC$245)</f>
        <v>23317.3689934674</v>
      </c>
      <c r="AD252" s="34" t="n">
        <f aca="false">IF(AD$8=1,IF(Reales!$C$68="PYG",IF(AD$10&gt;0,N(Reales!AD68)/AD$10,0),N(Reales!AD68)),AD$242+AD$245)</f>
        <v>26931.7997342693</v>
      </c>
      <c r="AE252" s="34" t="n">
        <f aca="false">IF(AE$8=1,IF(Reales!$C$68="PYG",IF(AE$10&gt;0,N(Reales!AE68)/AE$10,0),N(Reales!AE68)),AE$242+AE$245)</f>
        <v>26931.7997342693</v>
      </c>
      <c r="AF252" s="34" t="n">
        <f aca="false">IF(AF$8=1,IF(Reales!$C$68="PYG",IF(AF$10&gt;0,N(Reales!AF68)/AF$10,0),N(Reales!AF68)),AF$242+AF$245)</f>
        <v>26931.7997342693</v>
      </c>
      <c r="AG252" s="34" t="n">
        <f aca="false">IF(AG$8=1,IF(Reales!$C$68="PYG",IF(AG$10&gt;0,N(Reales!AG68)/AG$10,0),N(Reales!AG68)),AG$242+AG$245)</f>
        <v>26931.7997342693</v>
      </c>
      <c r="AH252" s="34" t="n">
        <f aca="false">IF(AH$8=1,IF(Reales!$C$68="PYG",IF(AH$10&gt;0,N(Reales!AH68)/AH$10,0),N(Reales!AH68)),AH$242+AH$245)</f>
        <v>26931.7997342693</v>
      </c>
      <c r="AI252" s="34" t="n">
        <f aca="false">IF(AI$8=1,IF(Reales!$C$68="PYG",IF(AI$10&gt;0,N(Reales!AI68)/AI$10,0),N(Reales!AI68)),AI$242+AI$245)</f>
        <v>26931.7997342693</v>
      </c>
      <c r="AJ252" s="34" t="n">
        <f aca="false">IF(AJ$8=1,IF(Reales!$C$68="PYG",IF(AJ$10&gt;0,N(Reales!AJ68)/AJ$10,0),N(Reales!AJ68)),AJ$242+AJ$245)</f>
        <v>26931.7997342693</v>
      </c>
      <c r="AK252" s="34" t="n">
        <f aca="false">IF(AK$8=1,IF(Reales!$C$68="PYG",IF(AK$10&gt;0,N(Reales!AK68)/AK$10,0),N(Reales!AK68)),AK$242+AK$245)</f>
        <v>26931.7997342693</v>
      </c>
      <c r="AL252" s="34" t="n">
        <f aca="false">IF(AL$8=1,IF(Reales!$C$68="PYG",IF(AL$10&gt;0,N(Reales!AL68)/AL$10,0),N(Reales!AL68)),AL$242+AL$245)</f>
        <v>26931.7997342693</v>
      </c>
      <c r="AM252" s="34" t="n">
        <f aca="false">IF(AM$8=1,IF(Reales!$C$68="PYG",IF(AM$10&gt;0,N(Reales!AM68)/AM$10,0),N(Reales!AM68)),AM$242+AM$245)</f>
        <v>26931.7997342693</v>
      </c>
      <c r="AN252" s="34" t="n">
        <f aca="false">IF(AN$8=1,IF(Reales!$C$68="PYG",IF(AN$10&gt;0,N(Reales!AN68)/AN$10,0),N(Reales!AN68)),AN$242+AN$245)</f>
        <v>26931.7997342693</v>
      </c>
      <c r="AO252" s="34" t="n">
        <f aca="false">IF(AO$8=1,IF(Reales!$C$68="PYG",IF(AO$10&gt;0,N(Reales!AO68)/AO$10,0),N(Reales!AO68)),AO$242+AO$245)</f>
        <v>26931.7997342693</v>
      </c>
      <c r="AP252" s="34" t="n">
        <f aca="false">IF(AP$8=1,IF(Reales!$C$68="PYG",IF(AP$10&gt;0,N(Reales!AP68)/AP$10,0),N(Reales!AP68)),AP$242+AP$245)</f>
        <v>29899.7286769277</v>
      </c>
      <c r="AQ252" s="34" t="n">
        <f aca="false">IF(AQ$8=1,IF(Reales!$C$68="PYG",IF(AQ$10&gt;0,N(Reales!AQ68)/AQ$10,0),N(Reales!AQ68)),AQ$242+AQ$245)</f>
        <v>29899.7286769277</v>
      </c>
      <c r="AR252" s="34" t="n">
        <f aca="false">IF(AR$8=1,IF(Reales!$C$68="PYG",IF(AR$10&gt;0,N(Reales!AR68)/AR$10,0),N(Reales!AR68)),AR$242+AR$245)</f>
        <v>29899.7286769277</v>
      </c>
      <c r="AS252" s="34" t="n">
        <f aca="false">IF(AS$8=1,IF(Reales!$C$68="PYG",IF(AS$10&gt;0,N(Reales!AS68)/AS$10,0),N(Reales!AS68)),AS$242+AS$245)</f>
        <v>29899.7286769277</v>
      </c>
      <c r="AT252" s="34" t="n">
        <f aca="false">IF(AT$8=1,IF(Reales!$C$68="PYG",IF(AT$10&gt;0,N(Reales!AT68)/AT$10,0),N(Reales!AT68)),AT$242+AT$245)</f>
        <v>29899.7286769277</v>
      </c>
      <c r="AU252" s="34" t="n">
        <f aca="false">IF(AU$8=1,IF(Reales!$C$68="PYG",IF(AU$10&gt;0,N(Reales!AU68)/AU$10,0),N(Reales!AU68)),AU$242+AU$245)</f>
        <v>29899.7286769277</v>
      </c>
      <c r="AV252" s="34" t="n">
        <f aca="false">IF(AV$8=1,IF(Reales!$C$68="PYG",IF(AV$10&gt;0,N(Reales!AV68)/AV$10,0),N(Reales!AV68)),AV$242+AV$245)</f>
        <v>29899.7286769277</v>
      </c>
      <c r="AW252" s="34" t="n">
        <f aca="false">IF(AW$8=1,IF(Reales!$C$68="PYG",IF(AW$10&gt;0,N(Reales!AW68)/AW$10,0),N(Reales!AW68)),AW$242+AW$245)</f>
        <v>29899.7286769277</v>
      </c>
      <c r="AX252" s="34" t="n">
        <f aca="false">IF(AX$8=1,IF(Reales!$C$68="PYG",IF(AX$10&gt;0,N(Reales!AX68)/AX$10,0),N(Reales!AX68)),AX$242+AX$245)</f>
        <v>29899.7286769277</v>
      </c>
      <c r="AY252" s="34" t="n">
        <f aca="false">IF(AY$8=1,IF(Reales!$C$68="PYG",IF(AY$10&gt;0,N(Reales!AY68)/AY$10,0),N(Reales!AY68)),AY$242+AY$245)</f>
        <v>29899.7286769277</v>
      </c>
      <c r="AZ252" s="34" t="n">
        <f aca="false">IF(AZ$8=1,IF(Reales!$C$68="PYG",IF(AZ$10&gt;0,N(Reales!AZ68)/AZ$10,0),N(Reales!AZ68)),AZ$242+AZ$245)</f>
        <v>29899.7286769277</v>
      </c>
      <c r="BA252" s="34" t="n">
        <f aca="false">IF(BA$8=1,IF(Reales!$C$68="PYG",IF(BA$10&gt;0,N(Reales!BA68)/BA$10,0),N(Reales!BA68)),BA$242+BA$245)</f>
        <v>29899.7286769277</v>
      </c>
      <c r="BB252" s="34" t="n">
        <f aca="false">IF(BB$8=1,IF(Reales!$C$68="PYG",IF(BB$10&gt;0,N(Reales!BB68)/BB$10,0),N(Reales!BB68)),BB$242+BB$245)</f>
        <v>30202.8952208885</v>
      </c>
      <c r="BC252" s="34" t="n">
        <f aca="false">IF(BC$8=1,IF(Reales!$C$68="PYG",IF(BC$10&gt;0,N(Reales!BC68)/BC$10,0),N(Reales!BC68)),BC$242+BC$245)</f>
        <v>30202.8952208885</v>
      </c>
      <c r="BD252" s="34" t="n">
        <f aca="false">IF(BD$8=1,IF(Reales!$C$68="PYG",IF(BD$10&gt;0,N(Reales!BD68)/BD$10,0),N(Reales!BD68)),BD$242+BD$245)</f>
        <v>30202.8952208885</v>
      </c>
      <c r="BE252" s="34" t="n">
        <f aca="false">IF(BE$8=1,IF(Reales!$C$68="PYG",IF(BE$10&gt;0,N(Reales!BE68)/BE$10,0),N(Reales!BE68)),BE$242+BE$245)</f>
        <v>30202.8952208885</v>
      </c>
      <c r="BF252" s="34" t="n">
        <f aca="false">IF(BF$8=1,IF(Reales!$C$68="PYG",IF(BF$10&gt;0,N(Reales!BF68)/BF$10,0),N(Reales!BF68)),BF$242+BF$245)</f>
        <v>30202.8952208885</v>
      </c>
      <c r="BG252" s="34" t="n">
        <f aca="false">IF(BG$8=1,IF(Reales!$C$68="PYG",IF(BG$10&gt;0,N(Reales!BG68)/BG$10,0),N(Reales!BG68)),BG$242+BG$245)</f>
        <v>30202.8952208885</v>
      </c>
      <c r="BH252" s="34" t="n">
        <f aca="false">IF(BH$8=1,IF(Reales!$C$68="PYG",IF(BH$10&gt;0,N(Reales!BH68)/BH$10,0),N(Reales!BH68)),BH$242+BH$245)</f>
        <v>30202.8952208885</v>
      </c>
      <c r="BI252" s="34" t="n">
        <f aca="false">IF(BI$8=1,IF(Reales!$C$68="PYG",IF(BI$10&gt;0,N(Reales!BI68)/BI$10,0),N(Reales!BI68)),BI$242+BI$245)</f>
        <v>30202.8952208885</v>
      </c>
      <c r="BJ252" s="34" t="n">
        <f aca="false">IF(BJ$8=1,IF(Reales!$C$68="PYG",IF(BJ$10&gt;0,N(Reales!BJ68)/BJ$10,0),N(Reales!BJ68)),BJ$242+BJ$245)</f>
        <v>30202.8952208885</v>
      </c>
      <c r="BK252" s="34" t="n">
        <f aca="false">IF(BK$8=1,IF(Reales!$C$68="PYG",IF(BK$10&gt;0,N(Reales!BK68)/BK$10,0),N(Reales!BK68)),BK$242+BK$245)</f>
        <v>30202.8952208885</v>
      </c>
      <c r="BL252" s="34" t="n">
        <f aca="false">IF(BL$8=1,IF(Reales!$C$68="PYG",IF(BL$10&gt;0,N(Reales!BL68)/BL$10,0),N(Reales!BL68)),BL$242+BL$245)</f>
        <v>30202.8952208885</v>
      </c>
      <c r="BM252" s="34" t="n">
        <f aca="false">IF(BM$8=1,IF(Reales!$C$68="PYG",IF(BM$10&gt;0,N(Reales!BM68)/BM$10,0),N(Reales!BM68)),BM$242+BM$245)</f>
        <v>30202.8952208885</v>
      </c>
      <c r="BN252" s="34" t="n">
        <f aca="false">IF(BN$8=1,IF(Reales!$C$68="PYG",IF(BN$10&gt;0,N(Reales!BN68)/BN$10,0),N(Reales!BN68)),BN$242+BN$245)</f>
        <v>30377.8973165949</v>
      </c>
      <c r="BO252" s="34" t="n">
        <f aca="false">IF(BO$8=1,IF(Reales!$C$68="PYG",IF(BO$10&gt;0,N(Reales!BO68)/BO$10,0),N(Reales!BO68)),BO$242+BO$245)</f>
        <v>30377.8973165949</v>
      </c>
      <c r="BP252" s="34" t="n">
        <f aca="false">IF(BP$8=1,IF(Reales!$C$68="PYG",IF(BP$10&gt;0,N(Reales!BP68)/BP$10,0),N(Reales!BP68)),BP$242+BP$245)</f>
        <v>30377.8973165949</v>
      </c>
      <c r="BQ252" s="34" t="n">
        <f aca="false">IF(BQ$8=1,IF(Reales!$C$68="PYG",IF(BQ$10&gt;0,N(Reales!BQ68)/BQ$10,0),N(Reales!BQ68)),BQ$242+BQ$245)</f>
        <v>30377.8973165949</v>
      </c>
      <c r="BR252" s="34" t="n">
        <f aca="false">IF(BR$8=1,IF(Reales!$C$68="PYG",IF(BR$10&gt;0,N(Reales!BR68)/BR$10,0),N(Reales!BR68)),BR$242+BR$245)</f>
        <v>30377.8973165949</v>
      </c>
      <c r="BS252" s="34" t="n">
        <f aca="false">IF(BS$8=1,IF(Reales!$C$68="PYG",IF(BS$10&gt;0,N(Reales!BS68)/BS$10,0),N(Reales!BS68)),BS$242+BS$245)</f>
        <v>30377.8973165949</v>
      </c>
      <c r="BT252" s="34" t="n">
        <f aca="false">IF(BT$8=1,IF(Reales!$C$68="PYG",IF(BT$10&gt;0,N(Reales!BT68)/BT$10,0),N(Reales!BT68)),BT$242+BT$245)</f>
        <v>30377.8973165949</v>
      </c>
      <c r="BU252" s="34" t="n">
        <f aca="false">IF(BU$8=1,IF(Reales!$C$68="PYG",IF(BU$10&gt;0,N(Reales!BU68)/BU$10,0),N(Reales!BU68)),BU$242+BU$245)</f>
        <v>30377.8973165949</v>
      </c>
      <c r="BV252" s="34" t="n">
        <f aca="false">IF(BV$8=1,IF(Reales!$C$68="PYG",IF(BV$10&gt;0,N(Reales!BV68)/BV$10,0),N(Reales!BV68)),BV$242+BV$245)</f>
        <v>30377.8973165949</v>
      </c>
      <c r="BW252" s="34" t="n">
        <f aca="false">IF(BW$8=1,IF(Reales!$C$68="PYG",IF(BW$10&gt;0,N(Reales!BW68)/BW$10,0),N(Reales!BW68)),BW$242+BW$245)</f>
        <v>30377.8973165949</v>
      </c>
      <c r="BX252" s="34" t="n">
        <f aca="false">IF(BX$8=1,IF(Reales!$C$68="PYG",IF(BX$10&gt;0,N(Reales!BX68)/BX$10,0),N(Reales!BX68)),BX$242+BX$245)</f>
        <v>30377.8973165949</v>
      </c>
      <c r="BY252" s="34" t="n">
        <f aca="false">IF(BY$8=1,IF(Reales!$C$68="PYG",IF(BY$10&gt;0,N(Reales!BY68)/BY$10,0),N(Reales!BY68)),BY$242+BY$245)</f>
        <v>30377.8973165949</v>
      </c>
      <c r="BZ252" s="34" t="n">
        <f aca="false">IF(BZ$8=1,IF(Reales!$C$68="PYG",IF(BZ$10&gt;0,N(Reales!BZ68)/BZ$10,0),N(Reales!BZ68)),BZ$242+BZ$245)</f>
        <v>30555.2121796718</v>
      </c>
      <c r="CA252" s="34" t="n">
        <f aca="false">IF(CA$8=1,IF(Reales!$C$68="PYG",IF(CA$10&gt;0,N(Reales!CA68)/CA$10,0),N(Reales!CA68)),CA$242+CA$245)</f>
        <v>30555.2121796718</v>
      </c>
      <c r="CB252" s="34" t="n">
        <f aca="false">IF(CB$8=1,IF(Reales!$C$68="PYG",IF(CB$10&gt;0,N(Reales!CB68)/CB$10,0),N(Reales!CB68)),CB$242+CB$245)</f>
        <v>30555.2121796718</v>
      </c>
      <c r="CC252" s="34" t="n">
        <f aca="false">IF(CC$8=1,IF(Reales!$C$68="PYG",IF(CC$10&gt;0,N(Reales!CC68)/CC$10,0),N(Reales!CC68)),CC$242+CC$245)</f>
        <v>30555.2121796718</v>
      </c>
      <c r="CD252" s="34" t="n">
        <f aca="false">IF(CD$8=1,IF(Reales!$C$68="PYG",IF(CD$10&gt;0,N(Reales!CD68)/CD$10,0),N(Reales!CD68)),CD$242+CD$245)</f>
        <v>30555.2121796718</v>
      </c>
      <c r="CE252" s="34" t="n">
        <f aca="false">IF(CE$8=1,IF(Reales!$C$68="PYG",IF(CE$10&gt;0,N(Reales!CE68)/CE$10,0),N(Reales!CE68)),CE$242+CE$245)</f>
        <v>30555.2121796718</v>
      </c>
      <c r="CF252" s="34" t="n">
        <f aca="false">IF(CF$8=1,IF(Reales!$C$68="PYG",IF(CF$10&gt;0,N(Reales!CF68)/CF$10,0),N(Reales!CF68)),CF$242+CF$245)</f>
        <v>30555.2121796718</v>
      </c>
      <c r="CG252" s="34" t="n">
        <f aca="false">IF(CG$8=1,IF(Reales!$C$68="PYG",IF(CG$10&gt;0,N(Reales!CG68)/CG$10,0),N(Reales!CG68)),CG$242+CG$245)</f>
        <v>30555.2121796718</v>
      </c>
      <c r="CH252" s="34" t="n">
        <f aca="false">IF(CH$8=1,IF(Reales!$C$68="PYG",IF(CH$10&gt;0,N(Reales!CH68)/CH$10,0),N(Reales!CH68)),CH$242+CH$245)</f>
        <v>30555.2121796718</v>
      </c>
      <c r="CI252" s="34" t="n">
        <f aca="false">IF(CI$8=1,IF(Reales!$C$68="PYG",IF(CI$10&gt;0,N(Reales!CI68)/CI$10,0),N(Reales!CI68)),CI$242+CI$245)</f>
        <v>30555.2121796718</v>
      </c>
      <c r="CJ252" s="34" t="n">
        <f aca="false">IF(CJ$8=1,IF(Reales!$C$68="PYG",IF(CJ$10&gt;0,N(Reales!CJ68)/CJ$10,0),N(Reales!CJ68)),CJ$242+CJ$245)</f>
        <v>30555.2121796718</v>
      </c>
      <c r="CK252" s="34" t="n">
        <f aca="false">IF(CK$8=1,IF(Reales!$C$68="PYG",IF(CK$10&gt;0,N(Reales!CK68)/CK$10,0),N(Reales!CK68)),CK$242+CK$245)</f>
        <v>30555.2121796718</v>
      </c>
      <c r="CL252" s="34" t="n">
        <f aca="false">IF(CL$8=1,IF(Reales!$C$68="PYG",IF(CL$10&gt;0,N(Reales!CL68)/CL$10,0),N(Reales!CL68)),CL$242+CL$245)</f>
        <v>30734.874192721</v>
      </c>
      <c r="CM252" s="34" t="n">
        <f aca="false">IF(CM$8=1,IF(Reales!$C$68="PYG",IF(CM$10&gt;0,N(Reales!CM68)/CM$10,0),N(Reales!CM68)),CM$242+CM$245)</f>
        <v>30734.874192721</v>
      </c>
      <c r="CN252" s="34" t="n">
        <f aca="false">IF(CN$8=1,IF(Reales!$C$68="PYG",IF(CN$10&gt;0,N(Reales!CN68)/CN$10,0),N(Reales!CN68)),CN$242+CN$245)</f>
        <v>30734.874192721</v>
      </c>
      <c r="CO252" s="34" t="n">
        <f aca="false">IF(CO$8=1,IF(Reales!$C$68="PYG",IF(CO$10&gt;0,N(Reales!CO68)/CO$10,0),N(Reales!CO68)),CO$242+CO$245)</f>
        <v>30734.874192721</v>
      </c>
      <c r="CP252" s="34" t="n">
        <f aca="false">IF(CP$8=1,IF(Reales!$C$68="PYG",IF(CP$10&gt;0,N(Reales!CP68)/CP$10,0),N(Reales!CP68)),CP$242+CP$245)</f>
        <v>30734.874192721</v>
      </c>
      <c r="CQ252" s="34" t="n">
        <f aca="false">IF(CQ$8=1,IF(Reales!$C$68="PYG",IF(CQ$10&gt;0,N(Reales!CQ68)/CQ$10,0),N(Reales!CQ68)),CQ$242+CQ$245)</f>
        <v>30734.874192721</v>
      </c>
      <c r="CR252" s="34" t="n">
        <f aca="false">IF(CR$8=1,IF(Reales!$C$68="PYG",IF(CR$10&gt;0,N(Reales!CR68)/CR$10,0),N(Reales!CR68)),CR$242+CR$245)</f>
        <v>30734.874192721</v>
      </c>
      <c r="CS252" s="34" t="n">
        <f aca="false">IF(CS$8=1,IF(Reales!$C$68="PYG",IF(CS$10&gt;0,N(Reales!CS68)/CS$10,0),N(Reales!CS68)),CS$242+CS$245)</f>
        <v>30734.874192721</v>
      </c>
      <c r="CT252" s="34" t="n">
        <f aca="false">IF(CT$8=1,IF(Reales!$C$68="PYG",IF(CT$10&gt;0,N(Reales!CT68)/CT$10,0),N(Reales!CT68)),CT$242+CT$245)</f>
        <v>30734.874192721</v>
      </c>
      <c r="CU252" s="34" t="n">
        <f aca="false">IF(CU$8=1,IF(Reales!$C$68="PYG",IF(CU$10&gt;0,N(Reales!CU68)/CU$10,0),N(Reales!CU68)),CU$242+CU$245)</f>
        <v>30734.874192721</v>
      </c>
      <c r="CV252" s="34" t="n">
        <f aca="false">IF(CV$8=1,IF(Reales!$C$68="PYG",IF(CV$10&gt;0,N(Reales!CV68)/CV$10,0),N(Reales!CV68)),CV$242+CV$245)</f>
        <v>30734.874192721</v>
      </c>
      <c r="CW252" s="34" t="n">
        <f aca="false">IF(CW$8=1,IF(Reales!$C$68="PYG",IF(CW$10&gt;0,N(Reales!CW68)/CW$10,0),N(Reales!CW68)),CW$242+CW$245)</f>
        <v>30734.874192721</v>
      </c>
      <c r="CX252" s="34" t="n">
        <f aca="false">IF(CX$8=1,IF(Reales!$C$68="PYG",IF(CX$10&gt;0,N(Reales!CX68)/CX$10,0),N(Reales!CX68)),CX$242+CX$245)</f>
        <v>30916.9183072693</v>
      </c>
      <c r="CY252" s="34" t="n">
        <f aca="false">IF(CY$8=1,IF(Reales!$C$68="PYG",IF(CY$10&gt;0,N(Reales!CY68)/CY$10,0),N(Reales!CY68)),CY$242+CY$245)</f>
        <v>30916.9183072693</v>
      </c>
      <c r="CZ252" s="34" t="n">
        <f aca="false">IF(CZ$8=1,IF(Reales!$C$68="PYG",IF(CZ$10&gt;0,N(Reales!CZ68)/CZ$10,0),N(Reales!CZ68)),CZ$242+CZ$245)</f>
        <v>30916.9183072693</v>
      </c>
      <c r="DA252" s="34" t="n">
        <f aca="false">IF(DA$8=1,IF(Reales!$C$68="PYG",IF(DA$10&gt;0,N(Reales!DA68)/DA$10,0),N(Reales!DA68)),DA$242+DA$245)</f>
        <v>30916.9183072693</v>
      </c>
      <c r="DB252" s="34" t="n">
        <f aca="false">IF(DB$8=1,IF(Reales!$C$68="PYG",IF(DB$10&gt;0,N(Reales!DB68)/DB$10,0),N(Reales!DB68)),DB$242+DB$245)</f>
        <v>30916.9183072693</v>
      </c>
      <c r="DC252" s="34" t="n">
        <f aca="false">IF(DC$8=1,IF(Reales!$C$68="PYG",IF(DC$10&gt;0,N(Reales!DC68)/DC$10,0),N(Reales!DC68)),DC$242+DC$245)</f>
        <v>30916.9183072693</v>
      </c>
      <c r="DD252" s="34" t="n">
        <f aca="false">IF(DD$8=1,IF(Reales!$C$68="PYG",IF(DD$10&gt;0,N(Reales!DD68)/DD$10,0),N(Reales!DD68)),DD$242+DD$245)</f>
        <v>30916.9183072693</v>
      </c>
      <c r="DE252" s="34" t="n">
        <f aca="false">IF(DE$8=1,IF(Reales!$C$68="PYG",IF(DE$10&gt;0,N(Reales!DE68)/DE$10,0),N(Reales!DE68)),DE$242+DE$245)</f>
        <v>30916.9183072693</v>
      </c>
      <c r="DF252" s="34" t="n">
        <f aca="false">IF(DF$8=1,IF(Reales!$C$68="PYG",IF(DF$10&gt;0,N(Reales!DF68)/DF$10,0),N(Reales!DF68)),DF$242+DF$245)</f>
        <v>30916.9183072693</v>
      </c>
      <c r="DG252" s="34" t="n">
        <f aca="false">IF(DG$8=1,IF(Reales!$C$68="PYG",IF(DG$10&gt;0,N(Reales!DG68)/DG$10,0),N(Reales!DG68)),DG$242+DG$245)</f>
        <v>30916.9183072693</v>
      </c>
      <c r="DH252" s="34" t="n">
        <f aca="false">IF(DH$8=1,IF(Reales!$C$68="PYG",IF(DH$10&gt;0,N(Reales!DH68)/DH$10,0),N(Reales!DH68)),DH$242+DH$245)</f>
        <v>30916.9183072693</v>
      </c>
      <c r="DI252" s="34" t="n">
        <f aca="false">IF(DI$8=1,IF(Reales!$C$68="PYG",IF(DI$10&gt;0,N(Reales!DI68)/DI$10,0),N(Reales!DI68)),DI$242+DI$245)</f>
        <v>30916.9183072693</v>
      </c>
      <c r="DJ252" s="34" t="n">
        <f aca="false">IF(DJ$8=1,IF(Reales!$C$68="PYG",IF(DJ$10&gt;0,N(Reales!DJ68)/DJ$10,0),N(Reales!DJ68)),DJ$242+DJ$245)</f>
        <v>31101.3800539588</v>
      </c>
      <c r="DK252" s="34" t="n">
        <f aca="false">IF(DK$8=1,IF(Reales!$C$68="PYG",IF(DK$10&gt;0,N(Reales!DK68)/DK$10,0),N(Reales!DK68)),DK$242+DK$245)</f>
        <v>31101.3800539588</v>
      </c>
      <c r="DL252" s="34" t="n">
        <f aca="false">IF(DL$8=1,IF(Reales!$C$68="PYG",IF(DL$10&gt;0,N(Reales!DL68)/DL$10,0),N(Reales!DL68)),DL$242+DL$245)</f>
        <v>31101.3800539588</v>
      </c>
      <c r="DM252" s="34" t="n">
        <f aca="false">IF(DM$8=1,IF(Reales!$C$68="PYG",IF(DM$10&gt;0,N(Reales!DM68)/DM$10,0),N(Reales!DM68)),DM$242+DM$245)</f>
        <v>31101.3800539588</v>
      </c>
      <c r="DN252" s="34" t="n">
        <f aca="false">IF(DN$8=1,IF(Reales!$C$68="PYG",IF(DN$10&gt;0,N(Reales!DN68)/DN$10,0),N(Reales!DN68)),DN$242+DN$245)</f>
        <v>31101.3800539588</v>
      </c>
      <c r="DO252" s="34" t="n">
        <f aca="false">IF(DO$8=1,IF(Reales!$C$68="PYG",IF(DO$10&gt;0,N(Reales!DO68)/DO$10,0),N(Reales!DO68)),DO$242+DO$245)</f>
        <v>31101.3800539588</v>
      </c>
      <c r="DP252" s="34" t="n">
        <f aca="false">IF(DP$8=1,IF(Reales!$C$68="PYG",IF(DP$10&gt;0,N(Reales!DP68)/DP$10,0),N(Reales!DP68)),DP$242+DP$245)</f>
        <v>31101.3800539588</v>
      </c>
      <c r="DQ252" s="34" t="n">
        <f aca="false">IF(DQ$8=1,IF(Reales!$C$68="PYG",IF(DQ$10&gt;0,N(Reales!DQ68)/DQ$10,0),N(Reales!DQ68)),DQ$242+DQ$245)</f>
        <v>31101.3800539588</v>
      </c>
      <c r="DR252" s="34" t="n">
        <f aca="false">IF(DR$8=1,IF(Reales!$C$68="PYG",IF(DR$10&gt;0,N(Reales!DR68)/DR$10,0),N(Reales!DR68)),DR$242+DR$245)</f>
        <v>31101.3800539588</v>
      </c>
      <c r="DS252" s="34" t="n">
        <f aca="false">IF(DS$8=1,IF(Reales!$C$68="PYG",IF(DS$10&gt;0,N(Reales!DS68)/DS$10,0),N(Reales!DS68)),DS$242+DS$245)</f>
        <v>31101.3800539588</v>
      </c>
      <c r="DT252" s="34" t="n">
        <f aca="false">IF(DT$8=1,IF(Reales!$C$68="PYG",IF(DT$10&gt;0,N(Reales!DT68)/DT$10,0),N(Reales!DT68)),DT$242+DT$245)</f>
        <v>31101.3800539588</v>
      </c>
      <c r="DU252" s="34" t="n">
        <f aca="false">IF(DU$8=1,IF(Reales!$C$68="PYG",IF(DU$10&gt;0,N(Reales!DU68)/DU$10,0),N(Reales!DU68)),DU$242+DU$245)</f>
        <v>31101.3800539588</v>
      </c>
      <c r="DV252" s="34" t="n">
        <f aca="false">IF(DV$8=1,IF(Reales!$C$68="PYG",IF(DV$10&gt;0,N(Reales!DV68)/DV$10,0),N(Reales!DV68)),DV$242+DV$245)</f>
        <v>0</v>
      </c>
      <c r="DW252" s="34" t="n">
        <f aca="false">IF(DW$8=1,IF(Reales!$C$68="PYG",IF(DW$10&gt;0,N(Reales!DW68)/DW$10,0),N(Reales!DW68)),DW$242+DW$245)</f>
        <v>0</v>
      </c>
      <c r="DX252" s="34" t="n">
        <f aca="false">IF(DX$8=1,IF(Reales!$C$68="PYG",IF(DX$10&gt;0,N(Reales!DX68)/DX$10,0),N(Reales!DX68)),DX$242+DX$245)</f>
        <v>0</v>
      </c>
      <c r="DY252" s="34" t="n">
        <f aca="false">IF(DY$8=1,IF(Reales!$C$68="PYG",IF(DY$10&gt;0,N(Reales!DY68)/DY$10,0),N(Reales!DY68)),DY$242+DY$245)</f>
        <v>0</v>
      </c>
      <c r="DZ252" s="34" t="n">
        <f aca="false">IF(DZ$8=1,IF(Reales!$C$68="PYG",IF(DZ$10&gt;0,N(Reales!DZ68)/DZ$10,0),N(Reales!DZ68)),DZ$242+DZ$245)</f>
        <v>0</v>
      </c>
      <c r="EA252" s="34" t="n">
        <f aca="false">IF(EA$8=1,IF(Reales!$C$68="PYG",IF(EA$10&gt;0,N(Reales!EA68)/EA$10,0),N(Reales!EA68)),EA$242+EA$245)</f>
        <v>0</v>
      </c>
      <c r="EB252" s="34" t="n">
        <f aca="false">IF(EB$8=1,IF(Reales!$C$68="PYG",IF(EB$10&gt;0,N(Reales!EB68)/EB$10,0),N(Reales!EB68)),EB$242+EB$245)</f>
        <v>0</v>
      </c>
      <c r="EC252" s="34" t="n">
        <f aca="false">IF(EC$8=1,IF(Reales!$C$68="PYG",IF(EC$10&gt;0,N(Reales!EC68)/EC$10,0),N(Reales!EC68)),EC$242+EC$245)</f>
        <v>0</v>
      </c>
      <c r="ED252" s="34" t="n">
        <f aca="false">IF(ED$8=1,IF(Reales!$C$68="PYG",IF(ED$10&gt;0,N(Reales!ED68)/ED$10,0),N(Reales!ED68)),ED$242+ED$245)</f>
        <v>0</v>
      </c>
      <c r="EE252" s="34" t="n">
        <f aca="false">IF(EE$8=1,IF(Reales!$C$68="PYG",IF(EE$10&gt;0,N(Reales!EE68)/EE$10,0),N(Reales!EE68)),EE$242+EE$245)</f>
        <v>0</v>
      </c>
      <c r="EF252" s="34" t="n">
        <f aca="false">IF(EF$8=1,IF(Reales!$C$68="PYG",IF(EF$10&gt;0,N(Reales!EF68)/EF$10,0),N(Reales!EF68)),EF$242+EF$245)</f>
        <v>0</v>
      </c>
      <c r="EG252" s="34" t="n">
        <f aca="false">IF(EG$8=1,IF(Reales!$C$68="PYG",IF(EG$10&gt;0,N(Reales!EG68)/EG$10,0),N(Reales!EG68)),EG$242+EG$245)</f>
        <v>0</v>
      </c>
      <c r="EH252" s="34" t="n">
        <f aca="false">IF(EH$8=1,IF(Reales!$C$68="PYG",IF(EH$10&gt;0,N(Reales!EH68)/EH$10,0),N(Reales!EH68)),EH$242+EH$245)</f>
        <v>0</v>
      </c>
      <c r="EI252" s="34" t="n">
        <f aca="false">IF(EI$8=1,IF(Reales!$C$68="PYG",IF(EI$10&gt;0,N(Reales!EI68)/EI$10,0),N(Reales!EI68)),EI$242+EI$245)</f>
        <v>0</v>
      </c>
      <c r="EJ252" s="34" t="n">
        <f aca="false">IF(EJ$8=1,IF(Reales!$C$68="PYG",IF(EJ$10&gt;0,N(Reales!EJ68)/EJ$10,0),N(Reales!EJ68)),EJ$242+EJ$245)</f>
        <v>0</v>
      </c>
      <c r="EK252" s="34" t="n">
        <f aca="false">IF(EK$8=1,IF(Reales!$C$68="PYG",IF(EK$10&gt;0,N(Reales!EK68)/EK$10,0),N(Reales!EK68)),EK$242+EK$245)</f>
        <v>0</v>
      </c>
      <c r="EL252" s="34" t="n">
        <f aca="false">IF(EL$8=1,IF(Reales!$C$68="PYG",IF(EL$10&gt;0,N(Reales!EL68)/EL$10,0),N(Reales!EL68)),EL$242+EL$245)</f>
        <v>0</v>
      </c>
      <c r="EM252" s="34" t="n">
        <f aca="false">IF(EM$8=1,IF(Reales!$C$68="PYG",IF(EM$10&gt;0,N(Reales!EM68)/EM$10,0),N(Reales!EM68)),EM$242+EM$245)</f>
        <v>0</v>
      </c>
      <c r="EN252" s="34" t="n">
        <f aca="false">IF(EN$8=1,IF(Reales!$C$68="PYG",IF(EN$10&gt;0,N(Reales!EN68)/EN$10,0),N(Reales!EN68)),EN$242+EN$245)</f>
        <v>0</v>
      </c>
      <c r="EO252" s="34" t="n">
        <f aca="false">IF(EO$8=1,IF(Reales!$C$68="PYG",IF(EO$10&gt;0,N(Reales!EO68)/EO$10,0),N(Reales!EO68)),EO$242+EO$245)</f>
        <v>0</v>
      </c>
      <c r="EP252" s="34" t="n">
        <f aca="false">IF(EP$8=1,IF(Reales!$C$68="PYG",IF(EP$10&gt;0,N(Reales!EP68)/EP$10,0),N(Reales!EP68)),EP$242+EP$245)</f>
        <v>0</v>
      </c>
      <c r="EQ252" s="34" t="n">
        <f aca="false">IF(EQ$8=1,IF(Reales!$C$68="PYG",IF(EQ$10&gt;0,N(Reales!EQ68)/EQ$10,0),N(Reales!EQ68)),EQ$242+EQ$245)</f>
        <v>0</v>
      </c>
      <c r="ER252" s="34" t="n">
        <f aca="false">IF(ER$8=1,IF(Reales!$C$68="PYG",IF(ER$10&gt;0,N(Reales!ER68)/ER$10,0),N(Reales!ER68)),ER$242+ER$245)</f>
        <v>0</v>
      </c>
      <c r="ES252" s="34" t="n">
        <f aca="false">IF(ES$8=1,IF(Reales!$C$68="PYG",IF(ES$10&gt;0,N(Reales!ES68)/ES$10,0),N(Reales!ES68)),ES$242+ES$245)</f>
        <v>0</v>
      </c>
    </row>
    <row r="253" customFormat="false" ht="15" hidden="false" customHeight="false" outlineLevel="0" collapsed="false">
      <c r="A253" s="2" t="s">
        <v>893</v>
      </c>
      <c r="B253" s="52" t="s">
        <v>685</v>
      </c>
      <c r="C253" s="6" t="s">
        <v>250</v>
      </c>
      <c r="E253" s="40" t="n">
        <f aca="false">SUM(F253:ES253)</f>
        <v>21340920.4743363</v>
      </c>
      <c r="F253" s="10" t="n">
        <f aca="false">F$227-F$249-F$250-F$251-F$252</f>
        <v>79096.469288216</v>
      </c>
      <c r="G253" s="10" t="n">
        <f aca="false">G$227-G$249-G$250-G$251-G$252</f>
        <v>79096.469288216</v>
      </c>
      <c r="H253" s="10" t="n">
        <f aca="false">H$227-H$249-H$250-H$251-H$252</f>
        <v>79096.469288216</v>
      </c>
      <c r="I253" s="10" t="n">
        <f aca="false">I$227-I$249-I$250-I$251-I$252</f>
        <v>79096.469288216</v>
      </c>
      <c r="J253" s="10" t="n">
        <f aca="false">J$227-J$249-J$250-J$251-J$252</f>
        <v>79096.469288216</v>
      </c>
      <c r="K253" s="10" t="n">
        <f aca="false">K$227-K$249-K$250-K$251-K$252</f>
        <v>79096.469288216</v>
      </c>
      <c r="L253" s="10" t="n">
        <f aca="false">L$227-L$249-L$250-L$251-L$252</f>
        <v>79096.469288216</v>
      </c>
      <c r="M253" s="10" t="n">
        <f aca="false">M$227-M$249-M$250-M$251-M$252</f>
        <v>79096.469288216</v>
      </c>
      <c r="N253" s="10" t="n">
        <f aca="false">N$227-N$249-N$250-N$251-N$252</f>
        <v>79096.469288216</v>
      </c>
      <c r="O253" s="10" t="n">
        <f aca="false">O$227-O$249-O$250-O$251-O$252</f>
        <v>79096.469288216</v>
      </c>
      <c r="P253" s="10" t="n">
        <f aca="false">P$227-P$249-P$250-P$251-P$252</f>
        <v>79096.469288216</v>
      </c>
      <c r="Q253" s="10" t="n">
        <f aca="false">Q$227-Q$249-Q$250-Q$251-Q$252</f>
        <v>79096.469288216</v>
      </c>
      <c r="R253" s="10" t="n">
        <f aca="false">R$227-R$249-R$250-R$251-R$252</f>
        <v>118738.075139924</v>
      </c>
      <c r="S253" s="10" t="n">
        <f aca="false">S$227-S$249-S$250-S$251-S$252</f>
        <v>118738.075139924</v>
      </c>
      <c r="T253" s="10" t="n">
        <f aca="false">T$227-T$249-T$250-T$251-T$252</f>
        <v>118738.075139924</v>
      </c>
      <c r="U253" s="10" t="n">
        <f aca="false">U$227-U$249-U$250-U$251-U$252</f>
        <v>118738.075139924</v>
      </c>
      <c r="V253" s="10" t="n">
        <f aca="false">V$227-V$249-V$250-V$251-V$252</f>
        <v>118738.075139924</v>
      </c>
      <c r="W253" s="10" t="n">
        <f aca="false">W$227-W$249-W$250-W$251-W$252</f>
        <v>118738.075139924</v>
      </c>
      <c r="X253" s="10" t="n">
        <f aca="false">X$227-X$249-X$250-X$251-X$252</f>
        <v>118738.075139924</v>
      </c>
      <c r="Y253" s="10" t="n">
        <f aca="false">Y$227-Y$249-Y$250-Y$251-Y$252</f>
        <v>118738.075139924</v>
      </c>
      <c r="Z253" s="10" t="n">
        <f aca="false">Z$227-Z$249-Z$250-Z$251-Z$252</f>
        <v>118738.075139924</v>
      </c>
      <c r="AA253" s="10" t="n">
        <f aca="false">AA$227-AA$249-AA$250-AA$251-AA$252</f>
        <v>118738.075139924</v>
      </c>
      <c r="AB253" s="10" t="n">
        <f aca="false">AB$227-AB$249-AB$250-AB$251-AB$252</f>
        <v>118738.075139924</v>
      </c>
      <c r="AC253" s="10" t="n">
        <f aca="false">AC$227-AC$249-AC$250-AC$251-AC$252</f>
        <v>118738.075139924</v>
      </c>
      <c r="AD253" s="10" t="n">
        <f aca="false">AD$227-AD$249-AD$250-AD$251-AD$252</f>
        <v>157007.189944418</v>
      </c>
      <c r="AE253" s="10" t="n">
        <f aca="false">AE$227-AE$249-AE$250-AE$251-AE$252</f>
        <v>157007.189944418</v>
      </c>
      <c r="AF253" s="10" t="n">
        <f aca="false">AF$227-AF$249-AF$250-AF$251-AF$252</f>
        <v>157007.189944418</v>
      </c>
      <c r="AG253" s="10" t="n">
        <f aca="false">AG$227-AG$249-AG$250-AG$251-AG$252</f>
        <v>157007.189944418</v>
      </c>
      <c r="AH253" s="10" t="n">
        <f aca="false">AH$227-AH$249-AH$250-AH$251-AH$252</f>
        <v>157007.189944418</v>
      </c>
      <c r="AI253" s="10" t="n">
        <f aca="false">AI$227-AI$249-AI$250-AI$251-AI$252</f>
        <v>157007.189944418</v>
      </c>
      <c r="AJ253" s="10" t="n">
        <f aca="false">AJ$227-AJ$249-AJ$250-AJ$251-AJ$252</f>
        <v>157007.189944418</v>
      </c>
      <c r="AK253" s="10" t="n">
        <f aca="false">AK$227-AK$249-AK$250-AK$251-AK$252</f>
        <v>157007.189944418</v>
      </c>
      <c r="AL253" s="10" t="n">
        <f aca="false">AL$227-AL$249-AL$250-AL$251-AL$252</f>
        <v>157007.189944418</v>
      </c>
      <c r="AM253" s="10" t="n">
        <f aca="false">AM$227-AM$249-AM$250-AM$251-AM$252</f>
        <v>157007.189944418</v>
      </c>
      <c r="AN253" s="10" t="n">
        <f aca="false">AN$227-AN$249-AN$250-AN$251-AN$252</f>
        <v>157007.189944418</v>
      </c>
      <c r="AO253" s="10" t="n">
        <f aca="false">AO$227-AO$249-AO$250-AO$251-AO$252</f>
        <v>157007.189944418</v>
      </c>
      <c r="AP253" s="10" t="n">
        <f aca="false">AP$227-AP$249-AP$250-AP$251-AP$252</f>
        <v>191337.339883818</v>
      </c>
      <c r="AQ253" s="10" t="n">
        <f aca="false">AQ$227-AQ$249-AQ$250-AQ$251-AQ$252</f>
        <v>191337.339883818</v>
      </c>
      <c r="AR253" s="10" t="n">
        <f aca="false">AR$227-AR$249-AR$250-AR$251-AR$252</f>
        <v>191337.339883818</v>
      </c>
      <c r="AS253" s="10" t="n">
        <f aca="false">AS$227-AS$249-AS$250-AS$251-AS$252</f>
        <v>191337.339883818</v>
      </c>
      <c r="AT253" s="10" t="n">
        <f aca="false">AT$227-AT$249-AT$250-AT$251-AT$252</f>
        <v>191337.339883818</v>
      </c>
      <c r="AU253" s="10" t="n">
        <f aca="false">AU$227-AU$249-AU$250-AU$251-AU$252</f>
        <v>191337.339883818</v>
      </c>
      <c r="AV253" s="10" t="n">
        <f aca="false">AV$227-AV$249-AV$250-AV$251-AV$252</f>
        <v>191337.339883818</v>
      </c>
      <c r="AW253" s="10" t="n">
        <f aca="false">AW$227-AW$249-AW$250-AW$251-AW$252</f>
        <v>191337.339883818</v>
      </c>
      <c r="AX253" s="10" t="n">
        <f aca="false">AX$227-AX$249-AX$250-AX$251-AX$252</f>
        <v>191337.339883818</v>
      </c>
      <c r="AY253" s="10" t="n">
        <f aca="false">AY$227-AY$249-AY$250-AY$251-AY$252</f>
        <v>191337.339883818</v>
      </c>
      <c r="AZ253" s="10" t="n">
        <f aca="false">AZ$227-AZ$249-AZ$250-AZ$251-AZ$252</f>
        <v>191337.339883818</v>
      </c>
      <c r="BA253" s="10" t="n">
        <f aca="false">BA$227-BA$249-BA$250-BA$251-BA$252</f>
        <v>191337.339883818</v>
      </c>
      <c r="BB253" s="10" t="n">
        <f aca="false">BB$227-BB$249-BB$250-BB$251-BB$252</f>
        <v>193312.131325573</v>
      </c>
      <c r="BC253" s="10" t="n">
        <f aca="false">BC$227-BC$249-BC$250-BC$251-BC$252</f>
        <v>193312.131325573</v>
      </c>
      <c r="BD253" s="10" t="n">
        <f aca="false">BD$227-BD$249-BD$250-BD$251-BD$252</f>
        <v>193312.131325573</v>
      </c>
      <c r="BE253" s="10" t="n">
        <f aca="false">BE$227-BE$249-BE$250-BE$251-BE$252</f>
        <v>193312.131325573</v>
      </c>
      <c r="BF253" s="10" t="n">
        <f aca="false">BF$227-BF$249-BF$250-BF$251-BF$252</f>
        <v>193312.131325573</v>
      </c>
      <c r="BG253" s="10" t="n">
        <f aca="false">BG$227-BG$249-BG$250-BG$251-BG$252</f>
        <v>193312.131325573</v>
      </c>
      <c r="BH253" s="10" t="n">
        <f aca="false">BH$227-BH$249-BH$250-BH$251-BH$252</f>
        <v>193312.131325573</v>
      </c>
      <c r="BI253" s="10" t="n">
        <f aca="false">BI$227-BI$249-BI$250-BI$251-BI$252</f>
        <v>193312.131325573</v>
      </c>
      <c r="BJ253" s="10" t="n">
        <f aca="false">BJ$227-BJ$249-BJ$250-BJ$251-BJ$252</f>
        <v>193312.131325573</v>
      </c>
      <c r="BK253" s="10" t="n">
        <f aca="false">BK$227-BK$249-BK$250-BK$251-BK$252</f>
        <v>193312.131325573</v>
      </c>
      <c r="BL253" s="10" t="n">
        <f aca="false">BL$227-BL$249-BL$250-BL$251-BL$252</f>
        <v>193312.131325573</v>
      </c>
      <c r="BM253" s="10" t="n">
        <f aca="false">BM$227-BM$249-BM$250-BM$251-BM$252</f>
        <v>193312.131325573</v>
      </c>
      <c r="BN253" s="10" t="n">
        <f aca="false">BN$227-BN$249-BN$250-BN$251-BN$252</f>
        <v>198072.823312718</v>
      </c>
      <c r="BO253" s="10" t="n">
        <f aca="false">BO$227-BO$249-BO$250-BO$251-BO$252</f>
        <v>198072.823312718</v>
      </c>
      <c r="BP253" s="10" t="n">
        <f aca="false">BP$227-BP$249-BP$250-BP$251-BP$252</f>
        <v>198072.823312718</v>
      </c>
      <c r="BQ253" s="10" t="n">
        <f aca="false">BQ$227-BQ$249-BQ$250-BQ$251-BQ$252</f>
        <v>198072.823312718</v>
      </c>
      <c r="BR253" s="10" t="n">
        <f aca="false">BR$227-BR$249-BR$250-BR$251-BR$252</f>
        <v>198072.823312718</v>
      </c>
      <c r="BS253" s="10" t="n">
        <f aca="false">BS$227-BS$249-BS$250-BS$251-BS$252</f>
        <v>198072.823312718</v>
      </c>
      <c r="BT253" s="10" t="n">
        <f aca="false">BT$227-BT$249-BT$250-BT$251-BT$252</f>
        <v>198072.823312718</v>
      </c>
      <c r="BU253" s="10" t="n">
        <f aca="false">BU$227-BU$249-BU$250-BU$251-BU$252</f>
        <v>198072.823312718</v>
      </c>
      <c r="BV253" s="10" t="n">
        <f aca="false">BV$227-BV$249-BV$250-BV$251-BV$252</f>
        <v>198072.823312718</v>
      </c>
      <c r="BW253" s="10" t="n">
        <f aca="false">BW$227-BW$249-BW$250-BW$251-BW$252</f>
        <v>198072.823312718</v>
      </c>
      <c r="BX253" s="10" t="n">
        <f aca="false">BX$227-BX$249-BX$250-BX$251-BX$252</f>
        <v>198072.823312718</v>
      </c>
      <c r="BY253" s="10" t="n">
        <f aca="false">BY$227-BY$249-BY$250-BY$251-BY$252</f>
        <v>198072.823312718</v>
      </c>
      <c r="BZ253" s="10" t="n">
        <f aca="false">BZ$227-BZ$249-BZ$250-BZ$251-BZ$252</f>
        <v>202880.55947332</v>
      </c>
      <c r="CA253" s="10" t="n">
        <f aca="false">CA$227-CA$249-CA$250-CA$251-CA$252</f>
        <v>202880.55947332</v>
      </c>
      <c r="CB253" s="10" t="n">
        <f aca="false">CB$227-CB$249-CB$250-CB$251-CB$252</f>
        <v>202880.55947332</v>
      </c>
      <c r="CC253" s="10" t="n">
        <f aca="false">CC$227-CC$249-CC$250-CC$251-CC$252</f>
        <v>202880.55947332</v>
      </c>
      <c r="CD253" s="10" t="n">
        <f aca="false">CD$227-CD$249-CD$250-CD$251-CD$252</f>
        <v>202880.55947332</v>
      </c>
      <c r="CE253" s="10" t="n">
        <f aca="false">CE$227-CE$249-CE$250-CE$251-CE$252</f>
        <v>202880.55947332</v>
      </c>
      <c r="CF253" s="10" t="n">
        <f aca="false">CF$227-CF$249-CF$250-CF$251-CF$252</f>
        <v>202880.55947332</v>
      </c>
      <c r="CG253" s="10" t="n">
        <f aca="false">CG$227-CG$249-CG$250-CG$251-CG$252</f>
        <v>202880.55947332</v>
      </c>
      <c r="CH253" s="10" t="n">
        <f aca="false">CH$227-CH$249-CH$250-CH$251-CH$252</f>
        <v>202880.55947332</v>
      </c>
      <c r="CI253" s="10" t="n">
        <f aca="false">CI$227-CI$249-CI$250-CI$251-CI$252</f>
        <v>202880.55947332</v>
      </c>
      <c r="CJ253" s="10" t="n">
        <f aca="false">CJ$227-CJ$249-CJ$250-CJ$251-CJ$252</f>
        <v>202880.55947332</v>
      </c>
      <c r="CK253" s="10" t="n">
        <f aca="false">CK$227-CK$249-CK$250-CK$251-CK$252</f>
        <v>202880.55947332</v>
      </c>
      <c r="CL253" s="10" t="n">
        <f aca="false">CL$227-CL$249-CL$250-CL$251-CL$252</f>
        <v>207735.798994188</v>
      </c>
      <c r="CM253" s="10" t="n">
        <f aca="false">CM$227-CM$249-CM$250-CM$251-CM$252</f>
        <v>207735.798994188</v>
      </c>
      <c r="CN253" s="10" t="n">
        <f aca="false">CN$227-CN$249-CN$250-CN$251-CN$252</f>
        <v>207735.798994188</v>
      </c>
      <c r="CO253" s="10" t="n">
        <f aca="false">CO$227-CO$249-CO$250-CO$251-CO$252</f>
        <v>207735.798994188</v>
      </c>
      <c r="CP253" s="10" t="n">
        <f aca="false">CP$227-CP$249-CP$250-CP$251-CP$252</f>
        <v>207735.798994188</v>
      </c>
      <c r="CQ253" s="10" t="n">
        <f aca="false">CQ$227-CQ$249-CQ$250-CQ$251-CQ$252</f>
        <v>207735.798994188</v>
      </c>
      <c r="CR253" s="10" t="n">
        <f aca="false">CR$227-CR$249-CR$250-CR$251-CR$252</f>
        <v>207735.798994188</v>
      </c>
      <c r="CS253" s="10" t="n">
        <f aca="false">CS$227-CS$249-CS$250-CS$251-CS$252</f>
        <v>207735.798994188</v>
      </c>
      <c r="CT253" s="10" t="n">
        <f aca="false">CT$227-CT$249-CT$250-CT$251-CT$252</f>
        <v>207735.798994188</v>
      </c>
      <c r="CU253" s="10" t="n">
        <f aca="false">CU$227-CU$249-CU$250-CU$251-CU$252</f>
        <v>207735.798994188</v>
      </c>
      <c r="CV253" s="10" t="n">
        <f aca="false">CV$227-CV$249-CV$250-CV$251-CV$252</f>
        <v>207735.798994188</v>
      </c>
      <c r="CW253" s="10" t="n">
        <f aca="false">CW$227-CW$249-CW$250-CW$251-CW$252</f>
        <v>207735.798994188</v>
      </c>
      <c r="CX253" s="10" t="n">
        <f aca="false">CX$227-CX$249-CX$250-CX$251-CX$252</f>
        <v>212639.005428895</v>
      </c>
      <c r="CY253" s="10" t="n">
        <f aca="false">CY$227-CY$249-CY$250-CY$251-CY$252</f>
        <v>212639.005428895</v>
      </c>
      <c r="CZ253" s="10" t="n">
        <f aca="false">CZ$227-CZ$249-CZ$250-CZ$251-CZ$252</f>
        <v>212639.005428895</v>
      </c>
      <c r="DA253" s="10" t="n">
        <f aca="false">DA$227-DA$249-DA$250-DA$251-DA$252</f>
        <v>212639.005428895</v>
      </c>
      <c r="DB253" s="10" t="n">
        <f aca="false">DB$227-DB$249-DB$250-DB$251-DB$252</f>
        <v>212639.005428895</v>
      </c>
      <c r="DC253" s="10" t="n">
        <f aca="false">DC$227-DC$249-DC$250-DC$251-DC$252</f>
        <v>212639.005428895</v>
      </c>
      <c r="DD253" s="10" t="n">
        <f aca="false">DD$227-DD$249-DD$250-DD$251-DD$252</f>
        <v>212639.005428895</v>
      </c>
      <c r="DE253" s="10" t="n">
        <f aca="false">DE$227-DE$249-DE$250-DE$251-DE$252</f>
        <v>212639.005428895</v>
      </c>
      <c r="DF253" s="10" t="n">
        <f aca="false">DF$227-DF$249-DF$250-DF$251-DF$252</f>
        <v>212639.005428895</v>
      </c>
      <c r="DG253" s="10" t="n">
        <f aca="false">DG$227-DG$249-DG$250-DG$251-DG$252</f>
        <v>212639.005428895</v>
      </c>
      <c r="DH253" s="10" t="n">
        <f aca="false">DH$227-DH$249-DH$250-DH$251-DH$252</f>
        <v>212639.005428895</v>
      </c>
      <c r="DI253" s="10" t="n">
        <f aca="false">DI$227-DI$249-DI$250-DI$251-DI$252</f>
        <v>212639.005428895</v>
      </c>
      <c r="DJ253" s="10" t="n">
        <f aca="false">DJ$227-DJ$249-DJ$250-DJ$251-DJ$252</f>
        <v>217590.646736953</v>
      </c>
      <c r="DK253" s="10" t="n">
        <f aca="false">DK$227-DK$249-DK$250-DK$251-DK$252</f>
        <v>217590.646736953</v>
      </c>
      <c r="DL253" s="10" t="n">
        <f aca="false">DL$227-DL$249-DL$250-DL$251-DL$252</f>
        <v>217590.646736953</v>
      </c>
      <c r="DM253" s="10" t="n">
        <f aca="false">DM$227-DM$249-DM$250-DM$251-DM$252</f>
        <v>217590.646736953</v>
      </c>
      <c r="DN253" s="10" t="n">
        <f aca="false">DN$227-DN$249-DN$250-DN$251-DN$252</f>
        <v>217590.646736953</v>
      </c>
      <c r="DO253" s="10" t="n">
        <f aca="false">DO$227-DO$249-DO$250-DO$251-DO$252</f>
        <v>217590.646736953</v>
      </c>
      <c r="DP253" s="10" t="n">
        <f aca="false">DP$227-DP$249-DP$250-DP$251-DP$252</f>
        <v>217590.646736953</v>
      </c>
      <c r="DQ253" s="10" t="n">
        <f aca="false">DQ$227-DQ$249-DQ$250-DQ$251-DQ$252</f>
        <v>217590.646736953</v>
      </c>
      <c r="DR253" s="10" t="n">
        <f aca="false">DR$227-DR$249-DR$250-DR$251-DR$252</f>
        <v>217590.646736953</v>
      </c>
      <c r="DS253" s="10" t="n">
        <f aca="false">DS$227-DS$249-DS$250-DS$251-DS$252</f>
        <v>217590.646736953</v>
      </c>
      <c r="DT253" s="10" t="n">
        <f aca="false">DT$227-DT$249-DT$250-DT$251-DT$252</f>
        <v>217590.646736953</v>
      </c>
      <c r="DU253" s="10" t="n">
        <f aca="false">DU$227-DU$249-DU$250-DU$251-DU$252</f>
        <v>217590.646736953</v>
      </c>
      <c r="DV253" s="10" t="n">
        <f aca="false">DV$227-DV$249-DV$250-DV$251-DV$252</f>
        <v>0</v>
      </c>
      <c r="DW253" s="10" t="n">
        <f aca="false">DW$227-DW$249-DW$250-DW$251-DW$252</f>
        <v>0</v>
      </c>
      <c r="DX253" s="10" t="n">
        <f aca="false">DX$227-DX$249-DX$250-DX$251-DX$252</f>
        <v>0</v>
      </c>
      <c r="DY253" s="10" t="n">
        <f aca="false">DY$227-DY$249-DY$250-DY$251-DY$252</f>
        <v>0</v>
      </c>
      <c r="DZ253" s="10" t="n">
        <f aca="false">DZ$227-DZ$249-DZ$250-DZ$251-DZ$252</f>
        <v>0</v>
      </c>
      <c r="EA253" s="10" t="n">
        <f aca="false">EA$227-EA$249-EA$250-EA$251-EA$252</f>
        <v>0</v>
      </c>
      <c r="EB253" s="10" t="n">
        <f aca="false">EB$227-EB$249-EB$250-EB$251-EB$252</f>
        <v>0</v>
      </c>
      <c r="EC253" s="10" t="n">
        <f aca="false">EC$227-EC$249-EC$250-EC$251-EC$252</f>
        <v>0</v>
      </c>
      <c r="ED253" s="10" t="n">
        <f aca="false">ED$227-ED$249-ED$250-ED$251-ED$252</f>
        <v>0</v>
      </c>
      <c r="EE253" s="10" t="n">
        <f aca="false">EE$227-EE$249-EE$250-EE$251-EE$252</f>
        <v>0</v>
      </c>
      <c r="EF253" s="10" t="n">
        <f aca="false">EF$227-EF$249-EF$250-EF$251-EF$252</f>
        <v>0</v>
      </c>
      <c r="EG253" s="10" t="n">
        <f aca="false">EG$227-EG$249-EG$250-EG$251-EG$252</f>
        <v>0</v>
      </c>
      <c r="EH253" s="10" t="n">
        <f aca="false">EH$227-EH$249-EH$250-EH$251-EH$252</f>
        <v>0</v>
      </c>
      <c r="EI253" s="10" t="n">
        <f aca="false">EI$227-EI$249-EI$250-EI$251-EI$252</f>
        <v>0</v>
      </c>
      <c r="EJ253" s="10" t="n">
        <f aca="false">EJ$227-EJ$249-EJ$250-EJ$251-EJ$252</f>
        <v>0</v>
      </c>
      <c r="EK253" s="10" t="n">
        <f aca="false">EK$227-EK$249-EK$250-EK$251-EK$252</f>
        <v>0</v>
      </c>
      <c r="EL253" s="10" t="n">
        <f aca="false">EL$227-EL$249-EL$250-EL$251-EL$252</f>
        <v>0</v>
      </c>
      <c r="EM253" s="10" t="n">
        <f aca="false">EM$227-EM$249-EM$250-EM$251-EM$252</f>
        <v>0</v>
      </c>
      <c r="EN253" s="10" t="n">
        <f aca="false">EN$227-EN$249-EN$250-EN$251-EN$252</f>
        <v>0</v>
      </c>
      <c r="EO253" s="10" t="n">
        <f aca="false">EO$227-EO$249-EO$250-EO$251-EO$252</f>
        <v>0</v>
      </c>
      <c r="EP253" s="10" t="n">
        <f aca="false">EP$227-EP$249-EP$250-EP$251-EP$252</f>
        <v>0</v>
      </c>
      <c r="EQ253" s="10" t="n">
        <f aca="false">EQ$227-EQ$249-EQ$250-EQ$251-EQ$252</f>
        <v>0</v>
      </c>
      <c r="ER253" s="10" t="n">
        <f aca="false">ER$227-ER$249-ER$250-ER$251-ER$252</f>
        <v>0</v>
      </c>
      <c r="ES253" s="10" t="n">
        <f aca="false">ES$227-ES$249-ES$250-ES$251-ES$252</f>
        <v>0</v>
      </c>
    </row>
    <row r="254" customFormat="false" ht="15" hidden="false" customHeight="false" outlineLevel="0" collapsed="false">
      <c r="A254" s="2" t="s">
        <v>894</v>
      </c>
      <c r="B254" s="6" t="s">
        <v>687</v>
      </c>
      <c r="C254" s="6" t="s">
        <v>250</v>
      </c>
      <c r="E254" s="40" t="n">
        <f aca="false">SUM(F254:ES254)</f>
        <v>1075198.52627014</v>
      </c>
      <c r="F254" s="34" t="n">
        <f aca="false">IF(F$8=1,IF(Reales!$C$67="PYG",IF(F$10&gt;0,N(Reales!F67)/F$10,0),N(Reales!F67)),F$238)</f>
        <v>8959.98771891781</v>
      </c>
      <c r="G254" s="34" t="n">
        <f aca="false">IF(G$8=1,IF(Reales!$C$67="PYG",IF(G$10&gt;0,N(Reales!G67)/G$10,0),N(Reales!G67)),G$238)</f>
        <v>8959.98771891781</v>
      </c>
      <c r="H254" s="34" t="n">
        <f aca="false">IF(H$8=1,IF(Reales!$C$67="PYG",IF(H$10&gt;0,N(Reales!H67)/H$10,0),N(Reales!H67)),H$238)</f>
        <v>8959.98771891781</v>
      </c>
      <c r="I254" s="34" t="n">
        <f aca="false">IF(I$8=1,IF(Reales!$C$67="PYG",IF(I$10&gt;0,N(Reales!I67)/I$10,0),N(Reales!I67)),I$238)</f>
        <v>8959.98771891781</v>
      </c>
      <c r="J254" s="34" t="n">
        <f aca="false">IF(J$8=1,IF(Reales!$C$67="PYG",IF(J$10&gt;0,N(Reales!J67)/J$10,0),N(Reales!J67)),J$238)</f>
        <v>8959.98771891781</v>
      </c>
      <c r="K254" s="34" t="n">
        <f aca="false">IF(K$8=1,IF(Reales!$C$67="PYG",IF(K$10&gt;0,N(Reales!K67)/K$10,0),N(Reales!K67)),K$238)</f>
        <v>8959.98771891781</v>
      </c>
      <c r="L254" s="34" t="n">
        <f aca="false">IF(L$8=1,IF(Reales!$C$67="PYG",IF(L$10&gt;0,N(Reales!L67)/L$10,0),N(Reales!L67)),L$238)</f>
        <v>8959.98771891781</v>
      </c>
      <c r="M254" s="34" t="n">
        <f aca="false">IF(M$8=1,IF(Reales!$C$67="PYG",IF(M$10&gt;0,N(Reales!M67)/M$10,0),N(Reales!M67)),M$238)</f>
        <v>8959.98771891781</v>
      </c>
      <c r="N254" s="34" t="n">
        <f aca="false">IF(N$8=1,IF(Reales!$C$67="PYG",IF(N$10&gt;0,N(Reales!N67)/N$10,0),N(Reales!N67)),N$238)</f>
        <v>8959.98771891781</v>
      </c>
      <c r="O254" s="34" t="n">
        <f aca="false">IF(O$8=1,IF(Reales!$C$67="PYG",IF(O$10&gt;0,N(Reales!O67)/O$10,0),N(Reales!O67)),O$238)</f>
        <v>8959.98771891781</v>
      </c>
      <c r="P254" s="34" t="n">
        <f aca="false">IF(P$8=1,IF(Reales!$C$67="PYG",IF(P$10&gt;0,N(Reales!P67)/P$10,0),N(Reales!P67)),P$238)</f>
        <v>8959.98771891781</v>
      </c>
      <c r="Q254" s="34" t="n">
        <f aca="false">IF(Q$8=1,IF(Reales!$C$67="PYG",IF(Q$10&gt;0,N(Reales!Q67)/Q$10,0),N(Reales!Q67)),Q$238)</f>
        <v>8959.98771891781</v>
      </c>
      <c r="R254" s="34" t="n">
        <f aca="false">IF(R$8=1,IF(Reales!$C$67="PYG",IF(R$10&gt;0,N(Reales!R67)/R$10,0),N(Reales!R67)),R$238)</f>
        <v>8959.98771891781</v>
      </c>
      <c r="S254" s="34" t="n">
        <f aca="false">IF(S$8=1,IF(Reales!$C$67="PYG",IF(S$10&gt;0,N(Reales!S67)/S$10,0),N(Reales!S67)),S$238)</f>
        <v>8959.98771891781</v>
      </c>
      <c r="T254" s="34" t="n">
        <f aca="false">IF(T$8=1,IF(Reales!$C$67="PYG",IF(T$10&gt;0,N(Reales!T67)/T$10,0),N(Reales!T67)),T$238)</f>
        <v>8959.98771891781</v>
      </c>
      <c r="U254" s="34" t="n">
        <f aca="false">IF(U$8=1,IF(Reales!$C$67="PYG",IF(U$10&gt;0,N(Reales!U67)/U$10,0),N(Reales!U67)),U$238)</f>
        <v>8959.98771891781</v>
      </c>
      <c r="V254" s="34" t="n">
        <f aca="false">IF(V$8=1,IF(Reales!$C$67="PYG",IF(V$10&gt;0,N(Reales!V67)/V$10,0),N(Reales!V67)),V$238)</f>
        <v>8959.98771891781</v>
      </c>
      <c r="W254" s="34" t="n">
        <f aca="false">IF(W$8=1,IF(Reales!$C$67="PYG",IF(W$10&gt;0,N(Reales!W67)/W$10,0),N(Reales!W67)),W$238)</f>
        <v>8959.98771891781</v>
      </c>
      <c r="X254" s="34" t="n">
        <f aca="false">IF(X$8=1,IF(Reales!$C$67="PYG",IF(X$10&gt;0,N(Reales!X67)/X$10,0),N(Reales!X67)),X$238)</f>
        <v>8959.98771891781</v>
      </c>
      <c r="Y254" s="34" t="n">
        <f aca="false">IF(Y$8=1,IF(Reales!$C$67="PYG",IF(Y$10&gt;0,N(Reales!Y67)/Y$10,0),N(Reales!Y67)),Y$238)</f>
        <v>8959.98771891781</v>
      </c>
      <c r="Z254" s="34" t="n">
        <f aca="false">IF(Z$8=1,IF(Reales!$C$67="PYG",IF(Z$10&gt;0,N(Reales!Z67)/Z$10,0),N(Reales!Z67)),Z$238)</f>
        <v>8959.98771891781</v>
      </c>
      <c r="AA254" s="34" t="n">
        <f aca="false">IF(AA$8=1,IF(Reales!$C$67="PYG",IF(AA$10&gt;0,N(Reales!AA67)/AA$10,0),N(Reales!AA67)),AA$238)</f>
        <v>8959.98771891781</v>
      </c>
      <c r="AB254" s="34" t="n">
        <f aca="false">IF(AB$8=1,IF(Reales!$C$67="PYG",IF(AB$10&gt;0,N(Reales!AB67)/AB$10,0),N(Reales!AB67)),AB$238)</f>
        <v>8959.98771891781</v>
      </c>
      <c r="AC254" s="34" t="n">
        <f aca="false">IF(AC$8=1,IF(Reales!$C$67="PYG",IF(AC$10&gt;0,N(Reales!AC67)/AC$10,0),N(Reales!AC67)),AC$238)</f>
        <v>8959.98771891781</v>
      </c>
      <c r="AD254" s="34" t="n">
        <f aca="false">IF(AD$8=1,IF(Reales!$C$67="PYG",IF(AD$10&gt;0,N(Reales!AD67)/AD$10,0),N(Reales!AD67)),AD$238)</f>
        <v>8959.98771891781</v>
      </c>
      <c r="AE254" s="34" t="n">
        <f aca="false">IF(AE$8=1,IF(Reales!$C$67="PYG",IF(AE$10&gt;0,N(Reales!AE67)/AE$10,0),N(Reales!AE67)),AE$238)</f>
        <v>8959.98771891781</v>
      </c>
      <c r="AF254" s="34" t="n">
        <f aca="false">IF(AF$8=1,IF(Reales!$C$67="PYG",IF(AF$10&gt;0,N(Reales!AF67)/AF$10,0),N(Reales!AF67)),AF$238)</f>
        <v>8959.98771891781</v>
      </c>
      <c r="AG254" s="34" t="n">
        <f aca="false">IF(AG$8=1,IF(Reales!$C$67="PYG",IF(AG$10&gt;0,N(Reales!AG67)/AG$10,0),N(Reales!AG67)),AG$238)</f>
        <v>8959.98771891781</v>
      </c>
      <c r="AH254" s="34" t="n">
        <f aca="false">IF(AH$8=1,IF(Reales!$C$67="PYG",IF(AH$10&gt;0,N(Reales!AH67)/AH$10,0),N(Reales!AH67)),AH$238)</f>
        <v>8959.98771891781</v>
      </c>
      <c r="AI254" s="34" t="n">
        <f aca="false">IF(AI$8=1,IF(Reales!$C$67="PYG",IF(AI$10&gt;0,N(Reales!AI67)/AI$10,0),N(Reales!AI67)),AI$238)</f>
        <v>8959.98771891781</v>
      </c>
      <c r="AJ254" s="34" t="n">
        <f aca="false">IF(AJ$8=1,IF(Reales!$C$67="PYG",IF(AJ$10&gt;0,N(Reales!AJ67)/AJ$10,0),N(Reales!AJ67)),AJ$238)</f>
        <v>8959.98771891781</v>
      </c>
      <c r="AK254" s="34" t="n">
        <f aca="false">IF(AK$8=1,IF(Reales!$C$67="PYG",IF(AK$10&gt;0,N(Reales!AK67)/AK$10,0),N(Reales!AK67)),AK$238)</f>
        <v>8959.98771891781</v>
      </c>
      <c r="AL254" s="34" t="n">
        <f aca="false">IF(AL$8=1,IF(Reales!$C$67="PYG",IF(AL$10&gt;0,N(Reales!AL67)/AL$10,0),N(Reales!AL67)),AL$238)</f>
        <v>8959.98771891781</v>
      </c>
      <c r="AM254" s="34" t="n">
        <f aca="false">IF(AM$8=1,IF(Reales!$C$67="PYG",IF(AM$10&gt;0,N(Reales!AM67)/AM$10,0),N(Reales!AM67)),AM$238)</f>
        <v>8959.98771891781</v>
      </c>
      <c r="AN254" s="34" t="n">
        <f aca="false">IF(AN$8=1,IF(Reales!$C$67="PYG",IF(AN$10&gt;0,N(Reales!AN67)/AN$10,0),N(Reales!AN67)),AN$238)</f>
        <v>8959.98771891781</v>
      </c>
      <c r="AO254" s="34" t="n">
        <f aca="false">IF(AO$8=1,IF(Reales!$C$67="PYG",IF(AO$10&gt;0,N(Reales!AO67)/AO$10,0),N(Reales!AO67)),AO$238)</f>
        <v>8959.98771891781</v>
      </c>
      <c r="AP254" s="34" t="n">
        <f aca="false">IF(AP$8=1,IF(Reales!$C$67="PYG",IF(AP$10&gt;0,N(Reales!AP67)/AP$10,0),N(Reales!AP67)),AP$238)</f>
        <v>8959.98771891781</v>
      </c>
      <c r="AQ254" s="34" t="n">
        <f aca="false">IF(AQ$8=1,IF(Reales!$C$67="PYG",IF(AQ$10&gt;0,N(Reales!AQ67)/AQ$10,0),N(Reales!AQ67)),AQ$238)</f>
        <v>8959.98771891781</v>
      </c>
      <c r="AR254" s="34" t="n">
        <f aca="false">IF(AR$8=1,IF(Reales!$C$67="PYG",IF(AR$10&gt;0,N(Reales!AR67)/AR$10,0),N(Reales!AR67)),AR$238)</f>
        <v>8959.98771891781</v>
      </c>
      <c r="AS254" s="34" t="n">
        <f aca="false">IF(AS$8=1,IF(Reales!$C$67="PYG",IF(AS$10&gt;0,N(Reales!AS67)/AS$10,0),N(Reales!AS67)),AS$238)</f>
        <v>8959.98771891781</v>
      </c>
      <c r="AT254" s="34" t="n">
        <f aca="false">IF(AT$8=1,IF(Reales!$C$67="PYG",IF(AT$10&gt;0,N(Reales!AT67)/AT$10,0),N(Reales!AT67)),AT$238)</f>
        <v>8959.98771891781</v>
      </c>
      <c r="AU254" s="34" t="n">
        <f aca="false">IF(AU$8=1,IF(Reales!$C$67="PYG",IF(AU$10&gt;0,N(Reales!AU67)/AU$10,0),N(Reales!AU67)),AU$238)</f>
        <v>8959.98771891781</v>
      </c>
      <c r="AV254" s="34" t="n">
        <f aca="false">IF(AV$8=1,IF(Reales!$C$67="PYG",IF(AV$10&gt;0,N(Reales!AV67)/AV$10,0),N(Reales!AV67)),AV$238)</f>
        <v>8959.98771891781</v>
      </c>
      <c r="AW254" s="34" t="n">
        <f aca="false">IF(AW$8=1,IF(Reales!$C$67="PYG",IF(AW$10&gt;0,N(Reales!AW67)/AW$10,0),N(Reales!AW67)),AW$238)</f>
        <v>8959.98771891781</v>
      </c>
      <c r="AX254" s="34" t="n">
        <f aca="false">IF(AX$8=1,IF(Reales!$C$67="PYG",IF(AX$10&gt;0,N(Reales!AX67)/AX$10,0),N(Reales!AX67)),AX$238)</f>
        <v>8959.98771891781</v>
      </c>
      <c r="AY254" s="34" t="n">
        <f aca="false">IF(AY$8=1,IF(Reales!$C$67="PYG",IF(AY$10&gt;0,N(Reales!AY67)/AY$10,0),N(Reales!AY67)),AY$238)</f>
        <v>8959.98771891781</v>
      </c>
      <c r="AZ254" s="34" t="n">
        <f aca="false">IF(AZ$8=1,IF(Reales!$C$67="PYG",IF(AZ$10&gt;0,N(Reales!AZ67)/AZ$10,0),N(Reales!AZ67)),AZ$238)</f>
        <v>8959.98771891781</v>
      </c>
      <c r="BA254" s="34" t="n">
        <f aca="false">IF(BA$8=1,IF(Reales!$C$67="PYG",IF(BA$10&gt;0,N(Reales!BA67)/BA$10,0),N(Reales!BA67)),BA$238)</f>
        <v>8959.98771891781</v>
      </c>
      <c r="BB254" s="34" t="n">
        <f aca="false">IF(BB$8=1,IF(Reales!$C$67="PYG",IF(BB$10&gt;0,N(Reales!BB67)/BB$10,0),N(Reales!BB67)),BB$238)</f>
        <v>8959.98771891781</v>
      </c>
      <c r="BC254" s="34" t="n">
        <f aca="false">IF(BC$8=1,IF(Reales!$C$67="PYG",IF(BC$10&gt;0,N(Reales!BC67)/BC$10,0),N(Reales!BC67)),BC$238)</f>
        <v>8959.98771891781</v>
      </c>
      <c r="BD254" s="34" t="n">
        <f aca="false">IF(BD$8=1,IF(Reales!$C$67="PYG",IF(BD$10&gt;0,N(Reales!BD67)/BD$10,0),N(Reales!BD67)),BD$238)</f>
        <v>8959.98771891781</v>
      </c>
      <c r="BE254" s="34" t="n">
        <f aca="false">IF(BE$8=1,IF(Reales!$C$67="PYG",IF(BE$10&gt;0,N(Reales!BE67)/BE$10,0),N(Reales!BE67)),BE$238)</f>
        <v>8959.98771891781</v>
      </c>
      <c r="BF254" s="34" t="n">
        <f aca="false">IF(BF$8=1,IF(Reales!$C$67="PYG",IF(BF$10&gt;0,N(Reales!BF67)/BF$10,0),N(Reales!BF67)),BF$238)</f>
        <v>8959.98771891781</v>
      </c>
      <c r="BG254" s="34" t="n">
        <f aca="false">IF(BG$8=1,IF(Reales!$C$67="PYG",IF(BG$10&gt;0,N(Reales!BG67)/BG$10,0),N(Reales!BG67)),BG$238)</f>
        <v>8959.98771891781</v>
      </c>
      <c r="BH254" s="34" t="n">
        <f aca="false">IF(BH$8=1,IF(Reales!$C$67="PYG",IF(BH$10&gt;0,N(Reales!BH67)/BH$10,0),N(Reales!BH67)),BH$238)</f>
        <v>8959.98771891781</v>
      </c>
      <c r="BI254" s="34" t="n">
        <f aca="false">IF(BI$8=1,IF(Reales!$C$67="PYG",IF(BI$10&gt;0,N(Reales!BI67)/BI$10,0),N(Reales!BI67)),BI$238)</f>
        <v>8959.98771891781</v>
      </c>
      <c r="BJ254" s="34" t="n">
        <f aca="false">IF(BJ$8=1,IF(Reales!$C$67="PYG",IF(BJ$10&gt;0,N(Reales!BJ67)/BJ$10,0),N(Reales!BJ67)),BJ$238)</f>
        <v>8959.98771891781</v>
      </c>
      <c r="BK254" s="34" t="n">
        <f aca="false">IF(BK$8=1,IF(Reales!$C$67="PYG",IF(BK$10&gt;0,N(Reales!BK67)/BK$10,0),N(Reales!BK67)),BK$238)</f>
        <v>8959.98771891781</v>
      </c>
      <c r="BL254" s="34" t="n">
        <f aca="false">IF(BL$8=1,IF(Reales!$C$67="PYG",IF(BL$10&gt;0,N(Reales!BL67)/BL$10,0),N(Reales!BL67)),BL$238)</f>
        <v>8959.98771891781</v>
      </c>
      <c r="BM254" s="34" t="n">
        <f aca="false">IF(BM$8=1,IF(Reales!$C$67="PYG",IF(BM$10&gt;0,N(Reales!BM67)/BM$10,0),N(Reales!BM67)),BM$238)</f>
        <v>8959.98771891781</v>
      </c>
      <c r="BN254" s="34" t="n">
        <f aca="false">IF(BN$8=1,IF(Reales!$C$67="PYG",IF(BN$10&gt;0,N(Reales!BN67)/BN$10,0),N(Reales!BN67)),BN$238)</f>
        <v>8959.98771891781</v>
      </c>
      <c r="BO254" s="34" t="n">
        <f aca="false">IF(BO$8=1,IF(Reales!$C$67="PYG",IF(BO$10&gt;0,N(Reales!BO67)/BO$10,0),N(Reales!BO67)),BO$238)</f>
        <v>8959.98771891781</v>
      </c>
      <c r="BP254" s="34" t="n">
        <f aca="false">IF(BP$8=1,IF(Reales!$C$67="PYG",IF(BP$10&gt;0,N(Reales!BP67)/BP$10,0),N(Reales!BP67)),BP$238)</f>
        <v>8959.98771891781</v>
      </c>
      <c r="BQ254" s="34" t="n">
        <f aca="false">IF(BQ$8=1,IF(Reales!$C$67="PYG",IF(BQ$10&gt;0,N(Reales!BQ67)/BQ$10,0),N(Reales!BQ67)),BQ$238)</f>
        <v>8959.98771891781</v>
      </c>
      <c r="BR254" s="34" t="n">
        <f aca="false">IF(BR$8=1,IF(Reales!$C$67="PYG",IF(BR$10&gt;0,N(Reales!BR67)/BR$10,0),N(Reales!BR67)),BR$238)</f>
        <v>8959.98771891781</v>
      </c>
      <c r="BS254" s="34" t="n">
        <f aca="false">IF(BS$8=1,IF(Reales!$C$67="PYG",IF(BS$10&gt;0,N(Reales!BS67)/BS$10,0),N(Reales!BS67)),BS$238)</f>
        <v>8959.98771891781</v>
      </c>
      <c r="BT254" s="34" t="n">
        <f aca="false">IF(BT$8=1,IF(Reales!$C$67="PYG",IF(BT$10&gt;0,N(Reales!BT67)/BT$10,0),N(Reales!BT67)),BT$238)</f>
        <v>8959.98771891781</v>
      </c>
      <c r="BU254" s="34" t="n">
        <f aca="false">IF(BU$8=1,IF(Reales!$C$67="PYG",IF(BU$10&gt;0,N(Reales!BU67)/BU$10,0),N(Reales!BU67)),BU$238)</f>
        <v>8959.98771891781</v>
      </c>
      <c r="BV254" s="34" t="n">
        <f aca="false">IF(BV$8=1,IF(Reales!$C$67="PYG",IF(BV$10&gt;0,N(Reales!BV67)/BV$10,0),N(Reales!BV67)),BV$238)</f>
        <v>8959.98771891781</v>
      </c>
      <c r="BW254" s="34" t="n">
        <f aca="false">IF(BW$8=1,IF(Reales!$C$67="PYG",IF(BW$10&gt;0,N(Reales!BW67)/BW$10,0),N(Reales!BW67)),BW$238)</f>
        <v>8959.98771891781</v>
      </c>
      <c r="BX254" s="34" t="n">
        <f aca="false">IF(BX$8=1,IF(Reales!$C$67="PYG",IF(BX$10&gt;0,N(Reales!BX67)/BX$10,0),N(Reales!BX67)),BX$238)</f>
        <v>8959.98771891781</v>
      </c>
      <c r="BY254" s="34" t="n">
        <f aca="false">IF(BY$8=1,IF(Reales!$C$67="PYG",IF(BY$10&gt;0,N(Reales!BY67)/BY$10,0),N(Reales!BY67)),BY$238)</f>
        <v>8959.98771891781</v>
      </c>
      <c r="BZ254" s="34" t="n">
        <f aca="false">IF(BZ$8=1,IF(Reales!$C$67="PYG",IF(BZ$10&gt;0,N(Reales!BZ67)/BZ$10,0),N(Reales!BZ67)),BZ$238)</f>
        <v>8959.98771891781</v>
      </c>
      <c r="CA254" s="34" t="n">
        <f aca="false">IF(CA$8=1,IF(Reales!$C$67="PYG",IF(CA$10&gt;0,N(Reales!CA67)/CA$10,0),N(Reales!CA67)),CA$238)</f>
        <v>8959.98771891781</v>
      </c>
      <c r="CB254" s="34" t="n">
        <f aca="false">IF(CB$8=1,IF(Reales!$C$67="PYG",IF(CB$10&gt;0,N(Reales!CB67)/CB$10,0),N(Reales!CB67)),CB$238)</f>
        <v>8959.98771891781</v>
      </c>
      <c r="CC254" s="34" t="n">
        <f aca="false">IF(CC$8=1,IF(Reales!$C$67="PYG",IF(CC$10&gt;0,N(Reales!CC67)/CC$10,0),N(Reales!CC67)),CC$238)</f>
        <v>8959.98771891781</v>
      </c>
      <c r="CD254" s="34" t="n">
        <f aca="false">IF(CD$8=1,IF(Reales!$C$67="PYG",IF(CD$10&gt;0,N(Reales!CD67)/CD$10,0),N(Reales!CD67)),CD$238)</f>
        <v>8959.98771891781</v>
      </c>
      <c r="CE254" s="34" t="n">
        <f aca="false">IF(CE$8=1,IF(Reales!$C$67="PYG",IF(CE$10&gt;0,N(Reales!CE67)/CE$10,0),N(Reales!CE67)),CE$238)</f>
        <v>8959.98771891781</v>
      </c>
      <c r="CF254" s="34" t="n">
        <f aca="false">IF(CF$8=1,IF(Reales!$C$67="PYG",IF(CF$10&gt;0,N(Reales!CF67)/CF$10,0),N(Reales!CF67)),CF$238)</f>
        <v>8959.98771891781</v>
      </c>
      <c r="CG254" s="34" t="n">
        <f aca="false">IF(CG$8=1,IF(Reales!$C$67="PYG",IF(CG$10&gt;0,N(Reales!CG67)/CG$10,0),N(Reales!CG67)),CG$238)</f>
        <v>8959.98771891781</v>
      </c>
      <c r="CH254" s="34" t="n">
        <f aca="false">IF(CH$8=1,IF(Reales!$C$67="PYG",IF(CH$10&gt;0,N(Reales!CH67)/CH$10,0),N(Reales!CH67)),CH$238)</f>
        <v>8959.98771891781</v>
      </c>
      <c r="CI254" s="34" t="n">
        <f aca="false">IF(CI$8=1,IF(Reales!$C$67="PYG",IF(CI$10&gt;0,N(Reales!CI67)/CI$10,0),N(Reales!CI67)),CI$238)</f>
        <v>8959.98771891781</v>
      </c>
      <c r="CJ254" s="34" t="n">
        <f aca="false">IF(CJ$8=1,IF(Reales!$C$67="PYG",IF(CJ$10&gt;0,N(Reales!CJ67)/CJ$10,0),N(Reales!CJ67)),CJ$238)</f>
        <v>8959.98771891781</v>
      </c>
      <c r="CK254" s="34" t="n">
        <f aca="false">IF(CK$8=1,IF(Reales!$C$67="PYG",IF(CK$10&gt;0,N(Reales!CK67)/CK$10,0),N(Reales!CK67)),CK$238)</f>
        <v>8959.98771891781</v>
      </c>
      <c r="CL254" s="34" t="n">
        <f aca="false">IF(CL$8=1,IF(Reales!$C$67="PYG",IF(CL$10&gt;0,N(Reales!CL67)/CL$10,0),N(Reales!CL67)),CL$238)</f>
        <v>8959.98771891781</v>
      </c>
      <c r="CM254" s="34" t="n">
        <f aca="false">IF(CM$8=1,IF(Reales!$C$67="PYG",IF(CM$10&gt;0,N(Reales!CM67)/CM$10,0),N(Reales!CM67)),CM$238)</f>
        <v>8959.98771891781</v>
      </c>
      <c r="CN254" s="34" t="n">
        <f aca="false">IF(CN$8=1,IF(Reales!$C$67="PYG",IF(CN$10&gt;0,N(Reales!CN67)/CN$10,0),N(Reales!CN67)),CN$238)</f>
        <v>8959.98771891781</v>
      </c>
      <c r="CO254" s="34" t="n">
        <f aca="false">IF(CO$8=1,IF(Reales!$C$67="PYG",IF(CO$10&gt;0,N(Reales!CO67)/CO$10,0),N(Reales!CO67)),CO$238)</f>
        <v>8959.98771891781</v>
      </c>
      <c r="CP254" s="34" t="n">
        <f aca="false">IF(CP$8=1,IF(Reales!$C$67="PYG",IF(CP$10&gt;0,N(Reales!CP67)/CP$10,0),N(Reales!CP67)),CP$238)</f>
        <v>8959.98771891781</v>
      </c>
      <c r="CQ254" s="34" t="n">
        <f aca="false">IF(CQ$8=1,IF(Reales!$C$67="PYG",IF(CQ$10&gt;0,N(Reales!CQ67)/CQ$10,0),N(Reales!CQ67)),CQ$238)</f>
        <v>8959.98771891781</v>
      </c>
      <c r="CR254" s="34" t="n">
        <f aca="false">IF(CR$8=1,IF(Reales!$C$67="PYG",IF(CR$10&gt;0,N(Reales!CR67)/CR$10,0),N(Reales!CR67)),CR$238)</f>
        <v>8959.98771891781</v>
      </c>
      <c r="CS254" s="34" t="n">
        <f aca="false">IF(CS$8=1,IF(Reales!$C$67="PYG",IF(CS$10&gt;0,N(Reales!CS67)/CS$10,0),N(Reales!CS67)),CS$238)</f>
        <v>8959.98771891781</v>
      </c>
      <c r="CT254" s="34" t="n">
        <f aca="false">IF(CT$8=1,IF(Reales!$C$67="PYG",IF(CT$10&gt;0,N(Reales!CT67)/CT$10,0),N(Reales!CT67)),CT$238)</f>
        <v>8959.98771891781</v>
      </c>
      <c r="CU254" s="34" t="n">
        <f aca="false">IF(CU$8=1,IF(Reales!$C$67="PYG",IF(CU$10&gt;0,N(Reales!CU67)/CU$10,0),N(Reales!CU67)),CU$238)</f>
        <v>8959.98771891781</v>
      </c>
      <c r="CV254" s="34" t="n">
        <f aca="false">IF(CV$8=1,IF(Reales!$C$67="PYG",IF(CV$10&gt;0,N(Reales!CV67)/CV$10,0),N(Reales!CV67)),CV$238)</f>
        <v>8959.98771891781</v>
      </c>
      <c r="CW254" s="34" t="n">
        <f aca="false">IF(CW$8=1,IF(Reales!$C$67="PYG",IF(CW$10&gt;0,N(Reales!CW67)/CW$10,0),N(Reales!CW67)),CW$238)</f>
        <v>8959.98771891781</v>
      </c>
      <c r="CX254" s="34" t="n">
        <f aca="false">IF(CX$8=1,IF(Reales!$C$67="PYG",IF(CX$10&gt;0,N(Reales!CX67)/CX$10,0),N(Reales!CX67)),CX$238)</f>
        <v>8959.98771891781</v>
      </c>
      <c r="CY254" s="34" t="n">
        <f aca="false">IF(CY$8=1,IF(Reales!$C$67="PYG",IF(CY$10&gt;0,N(Reales!CY67)/CY$10,0),N(Reales!CY67)),CY$238)</f>
        <v>8959.98771891781</v>
      </c>
      <c r="CZ254" s="34" t="n">
        <f aca="false">IF(CZ$8=1,IF(Reales!$C$67="PYG",IF(CZ$10&gt;0,N(Reales!CZ67)/CZ$10,0),N(Reales!CZ67)),CZ$238)</f>
        <v>8959.98771891781</v>
      </c>
      <c r="DA254" s="34" t="n">
        <f aca="false">IF(DA$8=1,IF(Reales!$C$67="PYG",IF(DA$10&gt;0,N(Reales!DA67)/DA$10,0),N(Reales!DA67)),DA$238)</f>
        <v>8959.98771891781</v>
      </c>
      <c r="DB254" s="34" t="n">
        <f aca="false">IF(DB$8=1,IF(Reales!$C$67="PYG",IF(DB$10&gt;0,N(Reales!DB67)/DB$10,0),N(Reales!DB67)),DB$238)</f>
        <v>8959.98771891781</v>
      </c>
      <c r="DC254" s="34" t="n">
        <f aca="false">IF(DC$8=1,IF(Reales!$C$67="PYG",IF(DC$10&gt;0,N(Reales!DC67)/DC$10,0),N(Reales!DC67)),DC$238)</f>
        <v>8959.98771891781</v>
      </c>
      <c r="DD254" s="34" t="n">
        <f aca="false">IF(DD$8=1,IF(Reales!$C$67="PYG",IF(DD$10&gt;0,N(Reales!DD67)/DD$10,0),N(Reales!DD67)),DD$238)</f>
        <v>8959.98771891781</v>
      </c>
      <c r="DE254" s="34" t="n">
        <f aca="false">IF(DE$8=1,IF(Reales!$C$67="PYG",IF(DE$10&gt;0,N(Reales!DE67)/DE$10,0),N(Reales!DE67)),DE$238)</f>
        <v>8959.98771891781</v>
      </c>
      <c r="DF254" s="34" t="n">
        <f aca="false">IF(DF$8=1,IF(Reales!$C$67="PYG",IF(DF$10&gt;0,N(Reales!DF67)/DF$10,0),N(Reales!DF67)),DF$238)</f>
        <v>8959.98771891781</v>
      </c>
      <c r="DG254" s="34" t="n">
        <f aca="false">IF(DG$8=1,IF(Reales!$C$67="PYG",IF(DG$10&gt;0,N(Reales!DG67)/DG$10,0),N(Reales!DG67)),DG$238)</f>
        <v>8959.98771891781</v>
      </c>
      <c r="DH254" s="34" t="n">
        <f aca="false">IF(DH$8=1,IF(Reales!$C$67="PYG",IF(DH$10&gt;0,N(Reales!DH67)/DH$10,0),N(Reales!DH67)),DH$238)</f>
        <v>8959.98771891781</v>
      </c>
      <c r="DI254" s="34" t="n">
        <f aca="false">IF(DI$8=1,IF(Reales!$C$67="PYG",IF(DI$10&gt;0,N(Reales!DI67)/DI$10,0),N(Reales!DI67)),DI$238)</f>
        <v>8959.98771891781</v>
      </c>
      <c r="DJ254" s="34" t="n">
        <f aca="false">IF(DJ$8=1,IF(Reales!$C$67="PYG",IF(DJ$10&gt;0,N(Reales!DJ67)/DJ$10,0),N(Reales!DJ67)),DJ$238)</f>
        <v>8959.98771891781</v>
      </c>
      <c r="DK254" s="34" t="n">
        <f aca="false">IF(DK$8=1,IF(Reales!$C$67="PYG",IF(DK$10&gt;0,N(Reales!DK67)/DK$10,0),N(Reales!DK67)),DK$238)</f>
        <v>8959.98771891781</v>
      </c>
      <c r="DL254" s="34" t="n">
        <f aca="false">IF(DL$8=1,IF(Reales!$C$67="PYG",IF(DL$10&gt;0,N(Reales!DL67)/DL$10,0),N(Reales!DL67)),DL$238)</f>
        <v>8959.98771891781</v>
      </c>
      <c r="DM254" s="34" t="n">
        <f aca="false">IF(DM$8=1,IF(Reales!$C$67="PYG",IF(DM$10&gt;0,N(Reales!DM67)/DM$10,0),N(Reales!DM67)),DM$238)</f>
        <v>8959.98771891781</v>
      </c>
      <c r="DN254" s="34" t="n">
        <f aca="false">IF(DN$8=1,IF(Reales!$C$67="PYG",IF(DN$10&gt;0,N(Reales!DN67)/DN$10,0),N(Reales!DN67)),DN$238)</f>
        <v>8959.98771891781</v>
      </c>
      <c r="DO254" s="34" t="n">
        <f aca="false">IF(DO$8=1,IF(Reales!$C$67="PYG",IF(DO$10&gt;0,N(Reales!DO67)/DO$10,0),N(Reales!DO67)),DO$238)</f>
        <v>8959.98771891781</v>
      </c>
      <c r="DP254" s="34" t="n">
        <f aca="false">IF(DP$8=1,IF(Reales!$C$67="PYG",IF(DP$10&gt;0,N(Reales!DP67)/DP$10,0),N(Reales!DP67)),DP$238)</f>
        <v>8959.98771891781</v>
      </c>
      <c r="DQ254" s="34" t="n">
        <f aca="false">IF(DQ$8=1,IF(Reales!$C$67="PYG",IF(DQ$10&gt;0,N(Reales!DQ67)/DQ$10,0),N(Reales!DQ67)),DQ$238)</f>
        <v>8959.98771891781</v>
      </c>
      <c r="DR254" s="34" t="n">
        <f aca="false">IF(DR$8=1,IF(Reales!$C$67="PYG",IF(DR$10&gt;0,N(Reales!DR67)/DR$10,0),N(Reales!DR67)),DR$238)</f>
        <v>8959.98771891781</v>
      </c>
      <c r="DS254" s="34" t="n">
        <f aca="false">IF(DS$8=1,IF(Reales!$C$67="PYG",IF(DS$10&gt;0,N(Reales!DS67)/DS$10,0),N(Reales!DS67)),DS$238)</f>
        <v>8959.98771891781</v>
      </c>
      <c r="DT254" s="34" t="n">
        <f aca="false">IF(DT$8=1,IF(Reales!$C$67="PYG",IF(DT$10&gt;0,N(Reales!DT67)/DT$10,0),N(Reales!DT67)),DT$238)</f>
        <v>8959.98771891781</v>
      </c>
      <c r="DU254" s="34" t="n">
        <f aca="false">IF(DU$8=1,IF(Reales!$C$67="PYG",IF(DU$10&gt;0,N(Reales!DU67)/DU$10,0),N(Reales!DU67)),DU$238)</f>
        <v>8959.98771891781</v>
      </c>
      <c r="DV254" s="34" t="n">
        <f aca="false">IF(DV$8=1,IF(Reales!$C$67="PYG",IF(DV$10&gt;0,N(Reales!DV67)/DV$10,0),N(Reales!DV67)),DV$238)</f>
        <v>0</v>
      </c>
      <c r="DW254" s="34" t="n">
        <f aca="false">IF(DW$8=1,IF(Reales!$C$67="PYG",IF(DW$10&gt;0,N(Reales!DW67)/DW$10,0),N(Reales!DW67)),DW$238)</f>
        <v>0</v>
      </c>
      <c r="DX254" s="34" t="n">
        <f aca="false">IF(DX$8=1,IF(Reales!$C$67="PYG",IF(DX$10&gt;0,N(Reales!DX67)/DX$10,0),N(Reales!DX67)),DX$238)</f>
        <v>0</v>
      </c>
      <c r="DY254" s="34" t="n">
        <f aca="false">IF(DY$8=1,IF(Reales!$C$67="PYG",IF(DY$10&gt;0,N(Reales!DY67)/DY$10,0),N(Reales!DY67)),DY$238)</f>
        <v>0</v>
      </c>
      <c r="DZ254" s="34" t="n">
        <f aca="false">IF(DZ$8=1,IF(Reales!$C$67="PYG",IF(DZ$10&gt;0,N(Reales!DZ67)/DZ$10,0),N(Reales!DZ67)),DZ$238)</f>
        <v>0</v>
      </c>
      <c r="EA254" s="34" t="n">
        <f aca="false">IF(EA$8=1,IF(Reales!$C$67="PYG",IF(EA$10&gt;0,N(Reales!EA67)/EA$10,0),N(Reales!EA67)),EA$238)</f>
        <v>0</v>
      </c>
      <c r="EB254" s="34" t="n">
        <f aca="false">IF(EB$8=1,IF(Reales!$C$67="PYG",IF(EB$10&gt;0,N(Reales!EB67)/EB$10,0),N(Reales!EB67)),EB$238)</f>
        <v>0</v>
      </c>
      <c r="EC254" s="34" t="n">
        <f aca="false">IF(EC$8=1,IF(Reales!$C$67="PYG",IF(EC$10&gt;0,N(Reales!EC67)/EC$10,0),N(Reales!EC67)),EC$238)</f>
        <v>0</v>
      </c>
      <c r="ED254" s="34" t="n">
        <f aca="false">IF(ED$8=1,IF(Reales!$C$67="PYG",IF(ED$10&gt;0,N(Reales!ED67)/ED$10,0),N(Reales!ED67)),ED$238)</f>
        <v>0</v>
      </c>
      <c r="EE254" s="34" t="n">
        <f aca="false">IF(EE$8=1,IF(Reales!$C$67="PYG",IF(EE$10&gt;0,N(Reales!EE67)/EE$10,0),N(Reales!EE67)),EE$238)</f>
        <v>0</v>
      </c>
      <c r="EF254" s="34" t="n">
        <f aca="false">IF(EF$8=1,IF(Reales!$C$67="PYG",IF(EF$10&gt;0,N(Reales!EF67)/EF$10,0),N(Reales!EF67)),EF$238)</f>
        <v>0</v>
      </c>
      <c r="EG254" s="34" t="n">
        <f aca="false">IF(EG$8=1,IF(Reales!$C$67="PYG",IF(EG$10&gt;0,N(Reales!EG67)/EG$10,0),N(Reales!EG67)),EG$238)</f>
        <v>0</v>
      </c>
      <c r="EH254" s="34" t="n">
        <f aca="false">IF(EH$8=1,IF(Reales!$C$67="PYG",IF(EH$10&gt;0,N(Reales!EH67)/EH$10,0),N(Reales!EH67)),EH$238)</f>
        <v>0</v>
      </c>
      <c r="EI254" s="34" t="n">
        <f aca="false">IF(EI$8=1,IF(Reales!$C$67="PYG",IF(EI$10&gt;0,N(Reales!EI67)/EI$10,0),N(Reales!EI67)),EI$238)</f>
        <v>0</v>
      </c>
      <c r="EJ254" s="34" t="n">
        <f aca="false">IF(EJ$8=1,IF(Reales!$C$67="PYG",IF(EJ$10&gt;0,N(Reales!EJ67)/EJ$10,0),N(Reales!EJ67)),EJ$238)</f>
        <v>0</v>
      </c>
      <c r="EK254" s="34" t="n">
        <f aca="false">IF(EK$8=1,IF(Reales!$C$67="PYG",IF(EK$10&gt;0,N(Reales!EK67)/EK$10,0),N(Reales!EK67)),EK$238)</f>
        <v>0</v>
      </c>
      <c r="EL254" s="34" t="n">
        <f aca="false">IF(EL$8=1,IF(Reales!$C$67="PYG",IF(EL$10&gt;0,N(Reales!EL67)/EL$10,0),N(Reales!EL67)),EL$238)</f>
        <v>0</v>
      </c>
      <c r="EM254" s="34" t="n">
        <f aca="false">IF(EM$8=1,IF(Reales!$C$67="PYG",IF(EM$10&gt;0,N(Reales!EM67)/EM$10,0),N(Reales!EM67)),EM$238)</f>
        <v>0</v>
      </c>
      <c r="EN254" s="34" t="n">
        <f aca="false">IF(EN$8=1,IF(Reales!$C$67="PYG",IF(EN$10&gt;0,N(Reales!EN67)/EN$10,0),N(Reales!EN67)),EN$238)</f>
        <v>0</v>
      </c>
      <c r="EO254" s="34" t="n">
        <f aca="false">IF(EO$8=1,IF(Reales!$C$67="PYG",IF(EO$10&gt;0,N(Reales!EO67)/EO$10,0),N(Reales!EO67)),EO$238)</f>
        <v>0</v>
      </c>
      <c r="EP254" s="34" t="n">
        <f aca="false">IF(EP$8=1,IF(Reales!$C$67="PYG",IF(EP$10&gt;0,N(Reales!EP67)/EP$10,0),N(Reales!EP67)),EP$238)</f>
        <v>0</v>
      </c>
      <c r="EQ254" s="34" t="n">
        <f aca="false">IF(EQ$8=1,IF(Reales!$C$67="PYG",IF(EQ$10&gt;0,N(Reales!EQ67)/EQ$10,0),N(Reales!EQ67)),EQ$238)</f>
        <v>0</v>
      </c>
      <c r="ER254" s="34" t="n">
        <f aca="false">IF(ER$8=1,IF(Reales!$C$67="PYG",IF(ER$10&gt;0,N(Reales!ER67)/ER$10,0),N(Reales!ER67)),ER$238)</f>
        <v>0</v>
      </c>
      <c r="ES254" s="34" t="n">
        <f aca="false">IF(ES$8=1,IF(Reales!$C$67="PYG",IF(ES$10&gt;0,N(Reales!ES67)/ES$10,0),N(Reales!ES67)),ES$238)</f>
        <v>0</v>
      </c>
    </row>
    <row r="255" customFormat="false" ht="15" hidden="false" customHeight="false" outlineLevel="0" collapsed="false">
      <c r="A255" s="2" t="s">
        <v>895</v>
      </c>
      <c r="B255" s="6" t="s">
        <v>689</v>
      </c>
      <c r="C255" s="6" t="s">
        <v>250</v>
      </c>
      <c r="E255" s="40" t="n">
        <f aca="false">SUM(F255:ES255)</f>
        <v>3143993.45458867</v>
      </c>
      <c r="F255" s="34" t="n">
        <f aca="false">IF(F$8=1,IF(Reales!$C$69="PYG",IF(F$10&gt;0,N(Reales!F69)/F$10,0),N(Reales!F69)),F$243+F$246)</f>
        <v>23597.3144270418</v>
      </c>
      <c r="G255" s="34" t="n">
        <f aca="false">IF(G$8=1,IF(Reales!$C$69="PYG",IF(G$10&gt;0,N(Reales!G69)/G$10,0),N(Reales!G69)),G$243+G$246)</f>
        <v>23597.3144270418</v>
      </c>
      <c r="H255" s="34" t="n">
        <f aca="false">IF(H$8=1,IF(Reales!$C$69="PYG",IF(H$10&gt;0,N(Reales!H69)/H$10,0),N(Reales!H69)),H$243+H$246)</f>
        <v>23597.3144270418</v>
      </c>
      <c r="I255" s="34" t="n">
        <f aca="false">IF(I$8=1,IF(Reales!$C$69="PYG",IF(I$10&gt;0,N(Reales!I69)/I$10,0),N(Reales!I69)),I$243+I$246)</f>
        <v>23597.3144270418</v>
      </c>
      <c r="J255" s="34" t="n">
        <f aca="false">IF(J$8=1,IF(Reales!$C$69="PYG",IF(J$10&gt;0,N(Reales!J69)/J$10,0),N(Reales!J69)),J$243+J$246)</f>
        <v>23597.3144270418</v>
      </c>
      <c r="K255" s="34" t="n">
        <f aca="false">IF(K$8=1,IF(Reales!$C$69="PYG",IF(K$10&gt;0,N(Reales!K69)/K$10,0),N(Reales!K69)),K$243+K$246)</f>
        <v>23597.3144270418</v>
      </c>
      <c r="L255" s="34" t="n">
        <f aca="false">IF(L$8=1,IF(Reales!$C$69="PYG",IF(L$10&gt;0,N(Reales!L69)/L$10,0),N(Reales!L69)),L$243+L$246)</f>
        <v>23597.3144270418</v>
      </c>
      <c r="M255" s="34" t="n">
        <f aca="false">IF(M$8=1,IF(Reales!$C$69="PYG",IF(M$10&gt;0,N(Reales!M69)/M$10,0),N(Reales!M69)),M$243+M$246)</f>
        <v>23597.3144270418</v>
      </c>
      <c r="N255" s="34" t="n">
        <f aca="false">IF(N$8=1,IF(Reales!$C$69="PYG",IF(N$10&gt;0,N(Reales!N69)/N$10,0),N(Reales!N69)),N$243+N$246)</f>
        <v>23597.3144270418</v>
      </c>
      <c r="O255" s="34" t="n">
        <f aca="false">IF(O$8=1,IF(Reales!$C$69="PYG",IF(O$10&gt;0,N(Reales!O69)/O$10,0),N(Reales!O69)),O$243+O$246)</f>
        <v>23597.3144270418</v>
      </c>
      <c r="P255" s="34" t="n">
        <f aca="false">IF(P$8=1,IF(Reales!$C$69="PYG",IF(P$10&gt;0,N(Reales!P69)/P$10,0),N(Reales!P69)),P$243+P$246)</f>
        <v>23597.3144270418</v>
      </c>
      <c r="Q255" s="34" t="n">
        <f aca="false">IF(Q$8=1,IF(Reales!$C$69="PYG",IF(Q$10&gt;0,N(Reales!Q69)/Q$10,0),N(Reales!Q69)),Q$243+Q$246)</f>
        <v>23597.3144270418</v>
      </c>
      <c r="R255" s="34" t="n">
        <f aca="false">IF(R$8=1,IF(Reales!$C$69="PYG",IF(R$10&gt;0,N(Reales!R69)/R$10,0),N(Reales!R69)),R$243+R$246)</f>
        <v>24130.6844270418</v>
      </c>
      <c r="S255" s="34" t="n">
        <f aca="false">IF(S$8=1,IF(Reales!$C$69="PYG",IF(S$10&gt;0,N(Reales!S69)/S$10,0),N(Reales!S69)),S$243+S$246)</f>
        <v>24130.6844270418</v>
      </c>
      <c r="T255" s="34" t="n">
        <f aca="false">IF(T$8=1,IF(Reales!$C$69="PYG",IF(T$10&gt;0,N(Reales!T69)/T$10,0),N(Reales!T69)),T$243+T$246)</f>
        <v>24130.6844270418</v>
      </c>
      <c r="U255" s="34" t="n">
        <f aca="false">IF(U$8=1,IF(Reales!$C$69="PYG",IF(U$10&gt;0,N(Reales!U69)/U$10,0),N(Reales!U69)),U$243+U$246)</f>
        <v>24130.6844270418</v>
      </c>
      <c r="V255" s="34" t="n">
        <f aca="false">IF(V$8=1,IF(Reales!$C$69="PYG",IF(V$10&gt;0,N(Reales!V69)/V$10,0),N(Reales!V69)),V$243+V$246)</f>
        <v>24130.6844270418</v>
      </c>
      <c r="W255" s="34" t="n">
        <f aca="false">IF(W$8=1,IF(Reales!$C$69="PYG",IF(W$10&gt;0,N(Reales!W69)/W$10,0),N(Reales!W69)),W$243+W$246)</f>
        <v>24130.6844270418</v>
      </c>
      <c r="X255" s="34" t="n">
        <f aca="false">IF(X$8=1,IF(Reales!$C$69="PYG",IF(X$10&gt;0,N(Reales!X69)/X$10,0),N(Reales!X69)),X$243+X$246)</f>
        <v>24130.6844270418</v>
      </c>
      <c r="Y255" s="34" t="n">
        <f aca="false">IF(Y$8=1,IF(Reales!$C$69="PYG",IF(Y$10&gt;0,N(Reales!Y69)/Y$10,0),N(Reales!Y69)),Y$243+Y$246)</f>
        <v>24130.6844270418</v>
      </c>
      <c r="Z255" s="34" t="n">
        <f aca="false">IF(Z$8=1,IF(Reales!$C$69="PYG",IF(Z$10&gt;0,N(Reales!Z69)/Z$10,0),N(Reales!Z69)),Z$243+Z$246)</f>
        <v>24130.6844270418</v>
      </c>
      <c r="AA255" s="34" t="n">
        <f aca="false">IF(AA$8=1,IF(Reales!$C$69="PYG",IF(AA$10&gt;0,N(Reales!AA69)/AA$10,0),N(Reales!AA69)),AA$243+AA$246)</f>
        <v>24130.6844270418</v>
      </c>
      <c r="AB255" s="34" t="n">
        <f aca="false">IF(AB$8=1,IF(Reales!$C$69="PYG",IF(AB$10&gt;0,N(Reales!AB69)/AB$10,0),N(Reales!AB69)),AB$243+AB$246)</f>
        <v>24130.6844270418</v>
      </c>
      <c r="AC255" s="34" t="n">
        <f aca="false">IF(AC$8=1,IF(Reales!$C$69="PYG",IF(AC$10&gt;0,N(Reales!AC69)/AC$10,0),N(Reales!AC69)),AC$243+AC$246)</f>
        <v>24130.6844270418</v>
      </c>
      <c r="AD255" s="34" t="n">
        <f aca="false">IF(AD$8=1,IF(Reales!$C$69="PYG",IF(AD$10&gt;0,N(Reales!AD69)/AD$10,0),N(Reales!AD69)),AD$243+AD$246)</f>
        <v>24680.0555270418</v>
      </c>
      <c r="AE255" s="34" t="n">
        <f aca="false">IF(AE$8=1,IF(Reales!$C$69="PYG",IF(AE$10&gt;0,N(Reales!AE69)/AE$10,0),N(Reales!AE69)),AE$243+AE$246)</f>
        <v>24680.0555270418</v>
      </c>
      <c r="AF255" s="34" t="n">
        <f aca="false">IF(AF$8=1,IF(Reales!$C$69="PYG",IF(AF$10&gt;0,N(Reales!AF69)/AF$10,0),N(Reales!AF69)),AF$243+AF$246)</f>
        <v>24680.0555270418</v>
      </c>
      <c r="AG255" s="34" t="n">
        <f aca="false">IF(AG$8=1,IF(Reales!$C$69="PYG",IF(AG$10&gt;0,N(Reales!AG69)/AG$10,0),N(Reales!AG69)),AG$243+AG$246)</f>
        <v>24680.0555270418</v>
      </c>
      <c r="AH255" s="34" t="n">
        <f aca="false">IF(AH$8=1,IF(Reales!$C$69="PYG",IF(AH$10&gt;0,N(Reales!AH69)/AH$10,0),N(Reales!AH69)),AH$243+AH$246)</f>
        <v>24680.0555270418</v>
      </c>
      <c r="AI255" s="34" t="n">
        <f aca="false">IF(AI$8=1,IF(Reales!$C$69="PYG",IF(AI$10&gt;0,N(Reales!AI69)/AI$10,0),N(Reales!AI69)),AI$243+AI$246)</f>
        <v>24680.0555270418</v>
      </c>
      <c r="AJ255" s="34" t="n">
        <f aca="false">IF(AJ$8=1,IF(Reales!$C$69="PYG",IF(AJ$10&gt;0,N(Reales!AJ69)/AJ$10,0),N(Reales!AJ69)),AJ$243+AJ$246)</f>
        <v>24680.0555270418</v>
      </c>
      <c r="AK255" s="34" t="n">
        <f aca="false">IF(AK$8=1,IF(Reales!$C$69="PYG",IF(AK$10&gt;0,N(Reales!AK69)/AK$10,0),N(Reales!AK69)),AK$243+AK$246)</f>
        <v>24680.0555270418</v>
      </c>
      <c r="AL255" s="34" t="n">
        <f aca="false">IF(AL$8=1,IF(Reales!$C$69="PYG",IF(AL$10&gt;0,N(Reales!AL69)/AL$10,0),N(Reales!AL69)),AL$243+AL$246)</f>
        <v>24680.0555270418</v>
      </c>
      <c r="AM255" s="34" t="n">
        <f aca="false">IF(AM$8=1,IF(Reales!$C$69="PYG",IF(AM$10&gt;0,N(Reales!AM69)/AM$10,0),N(Reales!AM69)),AM$243+AM$246)</f>
        <v>24680.0555270418</v>
      </c>
      <c r="AN255" s="34" t="n">
        <f aca="false">IF(AN$8=1,IF(Reales!$C$69="PYG",IF(AN$10&gt;0,N(Reales!AN69)/AN$10,0),N(Reales!AN69)),AN$243+AN$246)</f>
        <v>24680.0555270418</v>
      </c>
      <c r="AO255" s="34" t="n">
        <f aca="false">IF(AO$8=1,IF(Reales!$C$69="PYG",IF(AO$10&gt;0,N(Reales!AO69)/AO$10,0),N(Reales!AO69)),AO$243+AO$246)</f>
        <v>24680.0555270418</v>
      </c>
      <c r="AP255" s="34" t="n">
        <f aca="false">IF(AP$8=1,IF(Reales!$C$69="PYG",IF(AP$10&gt;0,N(Reales!AP69)/AP$10,0),N(Reales!AP69)),AP$243+AP$246)</f>
        <v>25245.9077600418</v>
      </c>
      <c r="AQ255" s="34" t="n">
        <f aca="false">IF(AQ$8=1,IF(Reales!$C$69="PYG",IF(AQ$10&gt;0,N(Reales!AQ69)/AQ$10,0),N(Reales!AQ69)),AQ$243+AQ$246)</f>
        <v>25245.9077600418</v>
      </c>
      <c r="AR255" s="34" t="n">
        <f aca="false">IF(AR$8=1,IF(Reales!$C$69="PYG",IF(AR$10&gt;0,N(Reales!AR69)/AR$10,0),N(Reales!AR69)),AR$243+AR$246)</f>
        <v>25245.9077600418</v>
      </c>
      <c r="AS255" s="34" t="n">
        <f aca="false">IF(AS$8=1,IF(Reales!$C$69="PYG",IF(AS$10&gt;0,N(Reales!AS69)/AS$10,0),N(Reales!AS69)),AS$243+AS$246)</f>
        <v>25245.9077600418</v>
      </c>
      <c r="AT255" s="34" t="n">
        <f aca="false">IF(AT$8=1,IF(Reales!$C$69="PYG",IF(AT$10&gt;0,N(Reales!AT69)/AT$10,0),N(Reales!AT69)),AT$243+AT$246)</f>
        <v>25245.9077600418</v>
      </c>
      <c r="AU255" s="34" t="n">
        <f aca="false">IF(AU$8=1,IF(Reales!$C$69="PYG",IF(AU$10&gt;0,N(Reales!AU69)/AU$10,0),N(Reales!AU69)),AU$243+AU$246)</f>
        <v>25245.9077600418</v>
      </c>
      <c r="AV255" s="34" t="n">
        <f aca="false">IF(AV$8=1,IF(Reales!$C$69="PYG",IF(AV$10&gt;0,N(Reales!AV69)/AV$10,0),N(Reales!AV69)),AV$243+AV$246)</f>
        <v>25245.9077600418</v>
      </c>
      <c r="AW255" s="34" t="n">
        <f aca="false">IF(AW$8=1,IF(Reales!$C$69="PYG",IF(AW$10&gt;0,N(Reales!AW69)/AW$10,0),N(Reales!AW69)),AW$243+AW$246)</f>
        <v>25245.9077600418</v>
      </c>
      <c r="AX255" s="34" t="n">
        <f aca="false">IF(AX$8=1,IF(Reales!$C$69="PYG",IF(AX$10&gt;0,N(Reales!AX69)/AX$10,0),N(Reales!AX69)),AX$243+AX$246)</f>
        <v>25245.9077600418</v>
      </c>
      <c r="AY255" s="34" t="n">
        <f aca="false">IF(AY$8=1,IF(Reales!$C$69="PYG",IF(AY$10&gt;0,N(Reales!AY69)/AY$10,0),N(Reales!AY69)),AY$243+AY$246)</f>
        <v>25245.9077600418</v>
      </c>
      <c r="AZ255" s="34" t="n">
        <f aca="false">IF(AZ$8=1,IF(Reales!$C$69="PYG",IF(AZ$10&gt;0,N(Reales!AZ69)/AZ$10,0),N(Reales!AZ69)),AZ$243+AZ$246)</f>
        <v>25245.9077600418</v>
      </c>
      <c r="BA255" s="34" t="n">
        <f aca="false">IF(BA$8=1,IF(Reales!$C$69="PYG",IF(BA$10&gt;0,N(Reales!BA69)/BA$10,0),N(Reales!BA69)),BA$243+BA$246)</f>
        <v>25245.9077600418</v>
      </c>
      <c r="BB255" s="34" t="n">
        <f aca="false">IF(BB$8=1,IF(Reales!$C$69="PYG",IF(BB$10&gt;0,N(Reales!BB69)/BB$10,0),N(Reales!BB69)),BB$243+BB$246)</f>
        <v>25828.7355600318</v>
      </c>
      <c r="BC255" s="34" t="n">
        <f aca="false">IF(BC$8=1,IF(Reales!$C$69="PYG",IF(BC$10&gt;0,N(Reales!BC69)/BC$10,0),N(Reales!BC69)),BC$243+BC$246)</f>
        <v>25828.7355600318</v>
      </c>
      <c r="BD255" s="34" t="n">
        <f aca="false">IF(BD$8=1,IF(Reales!$C$69="PYG",IF(BD$10&gt;0,N(Reales!BD69)/BD$10,0),N(Reales!BD69)),BD$243+BD$246)</f>
        <v>25828.7355600318</v>
      </c>
      <c r="BE255" s="34" t="n">
        <f aca="false">IF(BE$8=1,IF(Reales!$C$69="PYG",IF(BE$10&gt;0,N(Reales!BE69)/BE$10,0),N(Reales!BE69)),BE$243+BE$246)</f>
        <v>25828.7355600318</v>
      </c>
      <c r="BF255" s="34" t="n">
        <f aca="false">IF(BF$8=1,IF(Reales!$C$69="PYG",IF(BF$10&gt;0,N(Reales!BF69)/BF$10,0),N(Reales!BF69)),BF$243+BF$246)</f>
        <v>25828.7355600318</v>
      </c>
      <c r="BG255" s="34" t="n">
        <f aca="false">IF(BG$8=1,IF(Reales!$C$69="PYG",IF(BG$10&gt;0,N(Reales!BG69)/BG$10,0),N(Reales!BG69)),BG$243+BG$246)</f>
        <v>25828.7355600318</v>
      </c>
      <c r="BH255" s="34" t="n">
        <f aca="false">IF(BH$8=1,IF(Reales!$C$69="PYG",IF(BH$10&gt;0,N(Reales!BH69)/BH$10,0),N(Reales!BH69)),BH$243+BH$246)</f>
        <v>25828.7355600318</v>
      </c>
      <c r="BI255" s="34" t="n">
        <f aca="false">IF(BI$8=1,IF(Reales!$C$69="PYG",IF(BI$10&gt;0,N(Reales!BI69)/BI$10,0),N(Reales!BI69)),BI$243+BI$246)</f>
        <v>25828.7355600318</v>
      </c>
      <c r="BJ255" s="34" t="n">
        <f aca="false">IF(BJ$8=1,IF(Reales!$C$69="PYG",IF(BJ$10&gt;0,N(Reales!BJ69)/BJ$10,0),N(Reales!BJ69)),BJ$243+BJ$246)</f>
        <v>25828.7355600318</v>
      </c>
      <c r="BK255" s="34" t="n">
        <f aca="false">IF(BK$8=1,IF(Reales!$C$69="PYG",IF(BK$10&gt;0,N(Reales!BK69)/BK$10,0),N(Reales!BK69)),BK$243+BK$246)</f>
        <v>25828.7355600318</v>
      </c>
      <c r="BL255" s="34" t="n">
        <f aca="false">IF(BL$8=1,IF(Reales!$C$69="PYG",IF(BL$10&gt;0,N(Reales!BL69)/BL$10,0),N(Reales!BL69)),BL$243+BL$246)</f>
        <v>25828.7355600318</v>
      </c>
      <c r="BM255" s="34" t="n">
        <f aca="false">IF(BM$8=1,IF(Reales!$C$69="PYG",IF(BM$10&gt;0,N(Reales!BM69)/BM$10,0),N(Reales!BM69)),BM$243+BM$246)</f>
        <v>25828.7355600318</v>
      </c>
      <c r="BN255" s="34" t="n">
        <f aca="false">IF(BN$8=1,IF(Reales!$C$69="PYG",IF(BN$10&gt;0,N(Reales!BN69)/BN$10,0),N(Reales!BN69)),BN$243+BN$246)</f>
        <v>26429.0481940215</v>
      </c>
      <c r="BO255" s="34" t="n">
        <f aca="false">IF(BO$8=1,IF(Reales!$C$69="PYG",IF(BO$10&gt;0,N(Reales!BO69)/BO$10,0),N(Reales!BO69)),BO$243+BO$246)</f>
        <v>26429.0481940215</v>
      </c>
      <c r="BP255" s="34" t="n">
        <f aca="false">IF(BP$8=1,IF(Reales!$C$69="PYG",IF(BP$10&gt;0,N(Reales!BP69)/BP$10,0),N(Reales!BP69)),BP$243+BP$246)</f>
        <v>26429.0481940215</v>
      </c>
      <c r="BQ255" s="34" t="n">
        <f aca="false">IF(BQ$8=1,IF(Reales!$C$69="PYG",IF(BQ$10&gt;0,N(Reales!BQ69)/BQ$10,0),N(Reales!BQ69)),BQ$243+BQ$246)</f>
        <v>26429.0481940215</v>
      </c>
      <c r="BR255" s="34" t="n">
        <f aca="false">IF(BR$8=1,IF(Reales!$C$69="PYG",IF(BR$10&gt;0,N(Reales!BR69)/BR$10,0),N(Reales!BR69)),BR$243+BR$246)</f>
        <v>26429.0481940215</v>
      </c>
      <c r="BS255" s="34" t="n">
        <f aca="false">IF(BS$8=1,IF(Reales!$C$69="PYG",IF(BS$10&gt;0,N(Reales!BS69)/BS$10,0),N(Reales!BS69)),BS$243+BS$246)</f>
        <v>26429.0481940215</v>
      </c>
      <c r="BT255" s="34" t="n">
        <f aca="false">IF(BT$8=1,IF(Reales!$C$69="PYG",IF(BT$10&gt;0,N(Reales!BT69)/BT$10,0),N(Reales!BT69)),BT$243+BT$246)</f>
        <v>26429.0481940215</v>
      </c>
      <c r="BU255" s="34" t="n">
        <f aca="false">IF(BU$8=1,IF(Reales!$C$69="PYG",IF(BU$10&gt;0,N(Reales!BU69)/BU$10,0),N(Reales!BU69)),BU$243+BU$246)</f>
        <v>26429.0481940215</v>
      </c>
      <c r="BV255" s="34" t="n">
        <f aca="false">IF(BV$8=1,IF(Reales!$C$69="PYG",IF(BV$10&gt;0,N(Reales!BV69)/BV$10,0),N(Reales!BV69)),BV$243+BV$246)</f>
        <v>26429.0481940215</v>
      </c>
      <c r="BW255" s="34" t="n">
        <f aca="false">IF(BW$8=1,IF(Reales!$C$69="PYG",IF(BW$10&gt;0,N(Reales!BW69)/BW$10,0),N(Reales!BW69)),BW$243+BW$246)</f>
        <v>26429.0481940215</v>
      </c>
      <c r="BX255" s="34" t="n">
        <f aca="false">IF(BX$8=1,IF(Reales!$C$69="PYG",IF(BX$10&gt;0,N(Reales!BX69)/BX$10,0),N(Reales!BX69)),BX$243+BX$246)</f>
        <v>26429.0481940215</v>
      </c>
      <c r="BY255" s="34" t="n">
        <f aca="false">IF(BY$8=1,IF(Reales!$C$69="PYG",IF(BY$10&gt;0,N(Reales!BY69)/BY$10,0),N(Reales!BY69)),BY$243+BY$246)</f>
        <v>26429.0481940215</v>
      </c>
      <c r="BZ255" s="34" t="n">
        <f aca="false">IF(BZ$8=1,IF(Reales!$C$69="PYG",IF(BZ$10&gt;0,N(Reales!BZ69)/BZ$10,0),N(Reales!BZ69)),BZ$243+BZ$246)</f>
        <v>27047.3702070309</v>
      </c>
      <c r="CA255" s="34" t="n">
        <f aca="false">IF(CA$8=1,IF(Reales!$C$69="PYG",IF(CA$10&gt;0,N(Reales!CA69)/CA$10,0),N(Reales!CA69)),CA$243+CA$246)</f>
        <v>27047.3702070309</v>
      </c>
      <c r="CB255" s="34" t="n">
        <f aca="false">IF(CB$8=1,IF(Reales!$C$69="PYG",IF(CB$10&gt;0,N(Reales!CB69)/CB$10,0),N(Reales!CB69)),CB$243+CB$246)</f>
        <v>27047.3702070309</v>
      </c>
      <c r="CC255" s="34" t="n">
        <f aca="false">IF(CC$8=1,IF(Reales!$C$69="PYG",IF(CC$10&gt;0,N(Reales!CC69)/CC$10,0),N(Reales!CC69)),CC$243+CC$246)</f>
        <v>27047.3702070309</v>
      </c>
      <c r="CD255" s="34" t="n">
        <f aca="false">IF(CD$8=1,IF(Reales!$C$69="PYG",IF(CD$10&gt;0,N(Reales!CD69)/CD$10,0),N(Reales!CD69)),CD$243+CD$246)</f>
        <v>27047.3702070309</v>
      </c>
      <c r="CE255" s="34" t="n">
        <f aca="false">IF(CE$8=1,IF(Reales!$C$69="PYG",IF(CE$10&gt;0,N(Reales!CE69)/CE$10,0),N(Reales!CE69)),CE$243+CE$246)</f>
        <v>27047.3702070309</v>
      </c>
      <c r="CF255" s="34" t="n">
        <f aca="false">IF(CF$8=1,IF(Reales!$C$69="PYG",IF(CF$10&gt;0,N(Reales!CF69)/CF$10,0),N(Reales!CF69)),CF$243+CF$246)</f>
        <v>27047.3702070309</v>
      </c>
      <c r="CG255" s="34" t="n">
        <f aca="false">IF(CG$8=1,IF(Reales!$C$69="PYG",IF(CG$10&gt;0,N(Reales!CG69)/CG$10,0),N(Reales!CG69)),CG$243+CG$246)</f>
        <v>27047.3702070309</v>
      </c>
      <c r="CH255" s="34" t="n">
        <f aca="false">IF(CH$8=1,IF(Reales!$C$69="PYG",IF(CH$10&gt;0,N(Reales!CH69)/CH$10,0),N(Reales!CH69)),CH$243+CH$246)</f>
        <v>27047.3702070309</v>
      </c>
      <c r="CI255" s="34" t="n">
        <f aca="false">IF(CI$8=1,IF(Reales!$C$69="PYG",IF(CI$10&gt;0,N(Reales!CI69)/CI$10,0),N(Reales!CI69)),CI$243+CI$246)</f>
        <v>27047.3702070309</v>
      </c>
      <c r="CJ255" s="34" t="n">
        <f aca="false">IF(CJ$8=1,IF(Reales!$C$69="PYG",IF(CJ$10&gt;0,N(Reales!CJ69)/CJ$10,0),N(Reales!CJ69)),CJ$243+CJ$246)</f>
        <v>27047.3702070309</v>
      </c>
      <c r="CK255" s="34" t="n">
        <f aca="false">IF(CK$8=1,IF(Reales!$C$69="PYG",IF(CK$10&gt;0,N(Reales!CK69)/CK$10,0),N(Reales!CK69)),CK$243+CK$246)</f>
        <v>27047.3702070309</v>
      </c>
      <c r="CL255" s="34" t="n">
        <f aca="false">IF(CL$8=1,IF(Reales!$C$69="PYG",IF(CL$10&gt;0,N(Reales!CL69)/CL$10,0),N(Reales!CL69)),CL$243+CL$246)</f>
        <v>27684.2418804306</v>
      </c>
      <c r="CM255" s="34" t="n">
        <f aca="false">IF(CM$8=1,IF(Reales!$C$69="PYG",IF(CM$10&gt;0,N(Reales!CM69)/CM$10,0),N(Reales!CM69)),CM$243+CM$246)</f>
        <v>27684.2418804306</v>
      </c>
      <c r="CN255" s="34" t="n">
        <f aca="false">IF(CN$8=1,IF(Reales!$C$69="PYG",IF(CN$10&gt;0,N(Reales!CN69)/CN$10,0),N(Reales!CN69)),CN$243+CN$246)</f>
        <v>27684.2418804306</v>
      </c>
      <c r="CO255" s="34" t="n">
        <f aca="false">IF(CO$8=1,IF(Reales!$C$69="PYG",IF(CO$10&gt;0,N(Reales!CO69)/CO$10,0),N(Reales!CO69)),CO$243+CO$246)</f>
        <v>27684.2418804306</v>
      </c>
      <c r="CP255" s="34" t="n">
        <f aca="false">IF(CP$8=1,IF(Reales!$C$69="PYG",IF(CP$10&gt;0,N(Reales!CP69)/CP$10,0),N(Reales!CP69)),CP$243+CP$246)</f>
        <v>27684.2418804306</v>
      </c>
      <c r="CQ255" s="34" t="n">
        <f aca="false">IF(CQ$8=1,IF(Reales!$C$69="PYG",IF(CQ$10&gt;0,N(Reales!CQ69)/CQ$10,0),N(Reales!CQ69)),CQ$243+CQ$246)</f>
        <v>27684.2418804306</v>
      </c>
      <c r="CR255" s="34" t="n">
        <f aca="false">IF(CR$8=1,IF(Reales!$C$69="PYG",IF(CR$10&gt;0,N(Reales!CR69)/CR$10,0),N(Reales!CR69)),CR$243+CR$246)</f>
        <v>27684.2418804306</v>
      </c>
      <c r="CS255" s="34" t="n">
        <f aca="false">IF(CS$8=1,IF(Reales!$C$69="PYG",IF(CS$10&gt;0,N(Reales!CS69)/CS$10,0),N(Reales!CS69)),CS$243+CS$246)</f>
        <v>27684.2418804306</v>
      </c>
      <c r="CT255" s="34" t="n">
        <f aca="false">IF(CT$8=1,IF(Reales!$C$69="PYG",IF(CT$10&gt;0,N(Reales!CT69)/CT$10,0),N(Reales!CT69)),CT$243+CT$246)</f>
        <v>27684.2418804306</v>
      </c>
      <c r="CU255" s="34" t="n">
        <f aca="false">IF(CU$8=1,IF(Reales!$C$69="PYG",IF(CU$10&gt;0,N(Reales!CU69)/CU$10,0),N(Reales!CU69)),CU$243+CU$246)</f>
        <v>27684.2418804306</v>
      </c>
      <c r="CV255" s="34" t="n">
        <f aca="false">IF(CV$8=1,IF(Reales!$C$69="PYG",IF(CV$10&gt;0,N(Reales!CV69)/CV$10,0),N(Reales!CV69)),CV$243+CV$246)</f>
        <v>27684.2418804306</v>
      </c>
      <c r="CW255" s="34" t="n">
        <f aca="false">IF(CW$8=1,IF(Reales!$C$69="PYG",IF(CW$10&gt;0,N(Reales!CW69)/CW$10,0),N(Reales!CW69)),CW$243+CW$246)</f>
        <v>27684.2418804306</v>
      </c>
      <c r="CX255" s="34" t="n">
        <f aca="false">IF(CX$8=1,IF(Reales!$C$69="PYG",IF(CX$10&gt;0,N(Reales!CX69)/CX$10,0),N(Reales!CX69)),CX$243+CX$246)</f>
        <v>28340.2197040322</v>
      </c>
      <c r="CY255" s="34" t="n">
        <f aca="false">IF(CY$8=1,IF(Reales!$C$69="PYG",IF(CY$10&gt;0,N(Reales!CY69)/CY$10,0),N(Reales!CY69)),CY$243+CY$246)</f>
        <v>28340.2197040322</v>
      </c>
      <c r="CZ255" s="34" t="n">
        <f aca="false">IF(CZ$8=1,IF(Reales!$C$69="PYG",IF(CZ$10&gt;0,N(Reales!CZ69)/CZ$10,0),N(Reales!CZ69)),CZ$243+CZ$246)</f>
        <v>28340.2197040322</v>
      </c>
      <c r="DA255" s="34" t="n">
        <f aca="false">IF(DA$8=1,IF(Reales!$C$69="PYG",IF(DA$10&gt;0,N(Reales!DA69)/DA$10,0),N(Reales!DA69)),DA$243+DA$246)</f>
        <v>28340.2197040322</v>
      </c>
      <c r="DB255" s="34" t="n">
        <f aca="false">IF(DB$8=1,IF(Reales!$C$69="PYG",IF(DB$10&gt;0,N(Reales!DB69)/DB$10,0),N(Reales!DB69)),DB$243+DB$246)</f>
        <v>28340.2197040322</v>
      </c>
      <c r="DC255" s="34" t="n">
        <f aca="false">IF(DC$8=1,IF(Reales!$C$69="PYG",IF(DC$10&gt;0,N(Reales!DC69)/DC$10,0),N(Reales!DC69)),DC$243+DC$246)</f>
        <v>28340.2197040322</v>
      </c>
      <c r="DD255" s="34" t="n">
        <f aca="false">IF(DD$8=1,IF(Reales!$C$69="PYG",IF(DD$10&gt;0,N(Reales!DD69)/DD$10,0),N(Reales!DD69)),DD$243+DD$246)</f>
        <v>28340.2197040322</v>
      </c>
      <c r="DE255" s="34" t="n">
        <f aca="false">IF(DE$8=1,IF(Reales!$C$69="PYG",IF(DE$10&gt;0,N(Reales!DE69)/DE$10,0),N(Reales!DE69)),DE$243+DE$246)</f>
        <v>28340.2197040322</v>
      </c>
      <c r="DF255" s="34" t="n">
        <f aca="false">IF(DF$8=1,IF(Reales!$C$69="PYG",IF(DF$10&gt;0,N(Reales!DF69)/DF$10,0),N(Reales!DF69)),DF$243+DF$246)</f>
        <v>28340.2197040322</v>
      </c>
      <c r="DG255" s="34" t="n">
        <f aca="false">IF(DG$8=1,IF(Reales!$C$69="PYG",IF(DG$10&gt;0,N(Reales!DG69)/DG$10,0),N(Reales!DG69)),DG$243+DG$246)</f>
        <v>28340.2197040322</v>
      </c>
      <c r="DH255" s="34" t="n">
        <f aca="false">IF(DH$8=1,IF(Reales!$C$69="PYG",IF(DH$10&gt;0,N(Reales!DH69)/DH$10,0),N(Reales!DH69)),DH$243+DH$246)</f>
        <v>28340.2197040322</v>
      </c>
      <c r="DI255" s="34" t="n">
        <f aca="false">IF(DI$8=1,IF(Reales!$C$69="PYG",IF(DI$10&gt;0,N(Reales!DI69)/DI$10,0),N(Reales!DI69)),DI$243+DI$246)</f>
        <v>28340.2197040322</v>
      </c>
      <c r="DJ255" s="34" t="n">
        <f aca="false">IF(DJ$8=1,IF(Reales!$C$69="PYG",IF(DJ$10&gt;0,N(Reales!DJ69)/DJ$10,0),N(Reales!DJ69)),DJ$243+DJ$246)</f>
        <v>29015.8768623419</v>
      </c>
      <c r="DK255" s="34" t="n">
        <f aca="false">IF(DK$8=1,IF(Reales!$C$69="PYG",IF(DK$10&gt;0,N(Reales!DK69)/DK$10,0),N(Reales!DK69)),DK$243+DK$246)</f>
        <v>29015.8768623419</v>
      </c>
      <c r="DL255" s="34" t="n">
        <f aca="false">IF(DL$8=1,IF(Reales!$C$69="PYG",IF(DL$10&gt;0,N(Reales!DL69)/DL$10,0),N(Reales!DL69)),DL$243+DL$246)</f>
        <v>29015.8768623419</v>
      </c>
      <c r="DM255" s="34" t="n">
        <f aca="false">IF(DM$8=1,IF(Reales!$C$69="PYG",IF(DM$10&gt;0,N(Reales!DM69)/DM$10,0),N(Reales!DM69)),DM$243+DM$246)</f>
        <v>29015.8768623419</v>
      </c>
      <c r="DN255" s="34" t="n">
        <f aca="false">IF(DN$8=1,IF(Reales!$C$69="PYG",IF(DN$10&gt;0,N(Reales!DN69)/DN$10,0),N(Reales!DN69)),DN$243+DN$246)</f>
        <v>29015.8768623419</v>
      </c>
      <c r="DO255" s="34" t="n">
        <f aca="false">IF(DO$8=1,IF(Reales!$C$69="PYG",IF(DO$10&gt;0,N(Reales!DO69)/DO$10,0),N(Reales!DO69)),DO$243+DO$246)</f>
        <v>29015.8768623419</v>
      </c>
      <c r="DP255" s="34" t="n">
        <f aca="false">IF(DP$8=1,IF(Reales!$C$69="PYG",IF(DP$10&gt;0,N(Reales!DP69)/DP$10,0),N(Reales!DP69)),DP$243+DP$246)</f>
        <v>29015.8768623419</v>
      </c>
      <c r="DQ255" s="34" t="n">
        <f aca="false">IF(DQ$8=1,IF(Reales!$C$69="PYG",IF(DQ$10&gt;0,N(Reales!DQ69)/DQ$10,0),N(Reales!DQ69)),DQ$243+DQ$246)</f>
        <v>29015.8768623419</v>
      </c>
      <c r="DR255" s="34" t="n">
        <f aca="false">IF(DR$8=1,IF(Reales!$C$69="PYG",IF(DR$10&gt;0,N(Reales!DR69)/DR$10,0),N(Reales!DR69)),DR$243+DR$246)</f>
        <v>29015.8768623419</v>
      </c>
      <c r="DS255" s="34" t="n">
        <f aca="false">IF(DS$8=1,IF(Reales!$C$69="PYG",IF(DS$10&gt;0,N(Reales!DS69)/DS$10,0),N(Reales!DS69)),DS$243+DS$246)</f>
        <v>29015.8768623419</v>
      </c>
      <c r="DT255" s="34" t="n">
        <f aca="false">IF(DT$8=1,IF(Reales!$C$69="PYG",IF(DT$10&gt;0,N(Reales!DT69)/DT$10,0),N(Reales!DT69)),DT$243+DT$246)</f>
        <v>29015.8768623419</v>
      </c>
      <c r="DU255" s="34" t="n">
        <f aca="false">IF(DU$8=1,IF(Reales!$C$69="PYG",IF(DU$10&gt;0,N(Reales!DU69)/DU$10,0),N(Reales!DU69)),DU$243+DU$246)</f>
        <v>29015.8768623419</v>
      </c>
      <c r="DV255" s="34" t="n">
        <f aca="false">IF(DV$8=1,IF(Reales!$C$69="PYG",IF(DV$10&gt;0,N(Reales!DV69)/DV$10,0),N(Reales!DV69)),DV$243+DV$246)</f>
        <v>0</v>
      </c>
      <c r="DW255" s="34" t="n">
        <f aca="false">IF(DW$8=1,IF(Reales!$C$69="PYG",IF(DW$10&gt;0,N(Reales!DW69)/DW$10,0),N(Reales!DW69)),DW$243+DW$246)</f>
        <v>0</v>
      </c>
      <c r="DX255" s="34" t="n">
        <f aca="false">IF(DX$8=1,IF(Reales!$C$69="PYG",IF(DX$10&gt;0,N(Reales!DX69)/DX$10,0),N(Reales!DX69)),DX$243+DX$246)</f>
        <v>0</v>
      </c>
      <c r="DY255" s="34" t="n">
        <f aca="false">IF(DY$8=1,IF(Reales!$C$69="PYG",IF(DY$10&gt;0,N(Reales!DY69)/DY$10,0),N(Reales!DY69)),DY$243+DY$246)</f>
        <v>0</v>
      </c>
      <c r="DZ255" s="34" t="n">
        <f aca="false">IF(DZ$8=1,IF(Reales!$C$69="PYG",IF(DZ$10&gt;0,N(Reales!DZ69)/DZ$10,0),N(Reales!DZ69)),DZ$243+DZ$246)</f>
        <v>0</v>
      </c>
      <c r="EA255" s="34" t="n">
        <f aca="false">IF(EA$8=1,IF(Reales!$C$69="PYG",IF(EA$10&gt;0,N(Reales!EA69)/EA$10,0),N(Reales!EA69)),EA$243+EA$246)</f>
        <v>0</v>
      </c>
      <c r="EB255" s="34" t="n">
        <f aca="false">IF(EB$8=1,IF(Reales!$C$69="PYG",IF(EB$10&gt;0,N(Reales!EB69)/EB$10,0),N(Reales!EB69)),EB$243+EB$246)</f>
        <v>0</v>
      </c>
      <c r="EC255" s="34" t="n">
        <f aca="false">IF(EC$8=1,IF(Reales!$C$69="PYG",IF(EC$10&gt;0,N(Reales!EC69)/EC$10,0),N(Reales!EC69)),EC$243+EC$246)</f>
        <v>0</v>
      </c>
      <c r="ED255" s="34" t="n">
        <f aca="false">IF(ED$8=1,IF(Reales!$C$69="PYG",IF(ED$10&gt;0,N(Reales!ED69)/ED$10,0),N(Reales!ED69)),ED$243+ED$246)</f>
        <v>0</v>
      </c>
      <c r="EE255" s="34" t="n">
        <f aca="false">IF(EE$8=1,IF(Reales!$C$69="PYG",IF(EE$10&gt;0,N(Reales!EE69)/EE$10,0),N(Reales!EE69)),EE$243+EE$246)</f>
        <v>0</v>
      </c>
      <c r="EF255" s="34" t="n">
        <f aca="false">IF(EF$8=1,IF(Reales!$C$69="PYG",IF(EF$10&gt;0,N(Reales!EF69)/EF$10,0),N(Reales!EF69)),EF$243+EF$246)</f>
        <v>0</v>
      </c>
      <c r="EG255" s="34" t="n">
        <f aca="false">IF(EG$8=1,IF(Reales!$C$69="PYG",IF(EG$10&gt;0,N(Reales!EG69)/EG$10,0),N(Reales!EG69)),EG$243+EG$246)</f>
        <v>0</v>
      </c>
      <c r="EH255" s="34" t="n">
        <f aca="false">IF(EH$8=1,IF(Reales!$C$69="PYG",IF(EH$10&gt;0,N(Reales!EH69)/EH$10,0),N(Reales!EH69)),EH$243+EH$246)</f>
        <v>0</v>
      </c>
      <c r="EI255" s="34" t="n">
        <f aca="false">IF(EI$8=1,IF(Reales!$C$69="PYG",IF(EI$10&gt;0,N(Reales!EI69)/EI$10,0),N(Reales!EI69)),EI$243+EI$246)</f>
        <v>0</v>
      </c>
      <c r="EJ255" s="34" t="n">
        <f aca="false">IF(EJ$8=1,IF(Reales!$C$69="PYG",IF(EJ$10&gt;0,N(Reales!EJ69)/EJ$10,0),N(Reales!EJ69)),EJ$243+EJ$246)</f>
        <v>0</v>
      </c>
      <c r="EK255" s="34" t="n">
        <f aca="false">IF(EK$8=1,IF(Reales!$C$69="PYG",IF(EK$10&gt;0,N(Reales!EK69)/EK$10,0),N(Reales!EK69)),EK$243+EK$246)</f>
        <v>0</v>
      </c>
      <c r="EL255" s="34" t="n">
        <f aca="false">IF(EL$8=1,IF(Reales!$C$69="PYG",IF(EL$10&gt;0,N(Reales!EL69)/EL$10,0),N(Reales!EL69)),EL$243+EL$246)</f>
        <v>0</v>
      </c>
      <c r="EM255" s="34" t="n">
        <f aca="false">IF(EM$8=1,IF(Reales!$C$69="PYG",IF(EM$10&gt;0,N(Reales!EM69)/EM$10,0),N(Reales!EM69)),EM$243+EM$246)</f>
        <v>0</v>
      </c>
      <c r="EN255" s="34" t="n">
        <f aca="false">IF(EN$8=1,IF(Reales!$C$69="PYG",IF(EN$10&gt;0,N(Reales!EN69)/EN$10,0),N(Reales!EN69)),EN$243+EN$246)</f>
        <v>0</v>
      </c>
      <c r="EO255" s="34" t="n">
        <f aca="false">IF(EO$8=1,IF(Reales!$C$69="PYG",IF(EO$10&gt;0,N(Reales!EO69)/EO$10,0),N(Reales!EO69)),EO$243+EO$246)</f>
        <v>0</v>
      </c>
      <c r="EP255" s="34" t="n">
        <f aca="false">IF(EP$8=1,IF(Reales!$C$69="PYG",IF(EP$10&gt;0,N(Reales!EP69)/EP$10,0),N(Reales!EP69)),EP$243+EP$246)</f>
        <v>0</v>
      </c>
      <c r="EQ255" s="34" t="n">
        <f aca="false">IF(EQ$8=1,IF(Reales!$C$69="PYG",IF(EQ$10&gt;0,N(Reales!EQ69)/EQ$10,0),N(Reales!EQ69)),EQ$243+EQ$246)</f>
        <v>0</v>
      </c>
      <c r="ER255" s="34" t="n">
        <f aca="false">IF(ER$8=1,IF(Reales!$C$69="PYG",IF(ER$10&gt;0,N(Reales!ER69)/ER$10,0),N(Reales!ER69)),ER$243+ER$246)</f>
        <v>0</v>
      </c>
      <c r="ES255" s="34" t="n">
        <f aca="false">IF(ES$8=1,IF(Reales!$C$69="PYG",IF(ES$10&gt;0,N(Reales!ES69)/ES$10,0),N(Reales!ES69)),ES$243+ES$246)</f>
        <v>0</v>
      </c>
    </row>
    <row r="256" customFormat="false" ht="15" hidden="false" customHeight="false" outlineLevel="0" collapsed="false">
      <c r="A256" s="2" t="s">
        <v>896</v>
      </c>
      <c r="B256" s="6" t="s">
        <v>529</v>
      </c>
      <c r="C256" s="6" t="s">
        <v>250</v>
      </c>
      <c r="E256" s="40" t="n">
        <f aca="false">SUM(F256:ES256)</f>
        <v>812224.477216454</v>
      </c>
      <c r="F256" s="34" t="n">
        <f aca="false">IF(F$8=1,IF(Reales!$C$70="PYG",IF(F$10&gt;0,N(Reales!F70)/F$10,0),N(Reales!F70)),F$241)</f>
        <v>4041.66666666667</v>
      </c>
      <c r="G256" s="34" t="n">
        <f aca="false">IF(G$8=1,IF(Reales!$C$70="PYG",IF(G$10&gt;0,N(Reales!G70)/G$10,0),N(Reales!G70)),G$241)</f>
        <v>4041.66666666667</v>
      </c>
      <c r="H256" s="34" t="n">
        <f aca="false">IF(H$8=1,IF(Reales!$C$70="PYG",IF(H$10&gt;0,N(Reales!H70)/H$10,0),N(Reales!H70)),H$241)</f>
        <v>4041.66666666667</v>
      </c>
      <c r="I256" s="34" t="n">
        <f aca="false">IF(I$8=1,IF(Reales!$C$70="PYG",IF(I$10&gt;0,N(Reales!I70)/I$10,0),N(Reales!I70)),I$241)</f>
        <v>4041.66666666667</v>
      </c>
      <c r="J256" s="34" t="n">
        <f aca="false">IF(J$8=1,IF(Reales!$C$70="PYG",IF(J$10&gt;0,N(Reales!J70)/J$10,0),N(Reales!J70)),J$241)</f>
        <v>4041.66666666667</v>
      </c>
      <c r="K256" s="34" t="n">
        <f aca="false">IF(K$8=1,IF(Reales!$C$70="PYG",IF(K$10&gt;0,N(Reales!K70)/K$10,0),N(Reales!K70)),K$241)</f>
        <v>4041.66666666667</v>
      </c>
      <c r="L256" s="34" t="n">
        <f aca="false">IF(L$8=1,IF(Reales!$C$70="PYG",IF(L$10&gt;0,N(Reales!L70)/L$10,0),N(Reales!L70)),L$241)</f>
        <v>4041.66666666667</v>
      </c>
      <c r="M256" s="34" t="n">
        <f aca="false">IF(M$8=1,IF(Reales!$C$70="PYG",IF(M$10&gt;0,N(Reales!M70)/M$10,0),N(Reales!M70)),M$241)</f>
        <v>4041.66666666667</v>
      </c>
      <c r="N256" s="34" t="n">
        <f aca="false">IF(N$8=1,IF(Reales!$C$70="PYG",IF(N$10&gt;0,N(Reales!N70)/N$10,0),N(Reales!N70)),N$241)</f>
        <v>4041.66666666667</v>
      </c>
      <c r="O256" s="34" t="n">
        <f aca="false">IF(O$8=1,IF(Reales!$C$70="PYG",IF(O$10&gt;0,N(Reales!O70)/O$10,0),N(Reales!O70)),O$241)</f>
        <v>4041.66666666667</v>
      </c>
      <c r="P256" s="34" t="n">
        <f aca="false">IF(P$8=1,IF(Reales!$C$70="PYG",IF(P$10&gt;0,N(Reales!P70)/P$10,0),N(Reales!P70)),P$241)</f>
        <v>4041.66666666667</v>
      </c>
      <c r="Q256" s="34" t="n">
        <f aca="false">IF(Q$8=1,IF(Reales!$C$70="PYG",IF(Q$10&gt;0,N(Reales!Q70)/Q$10,0),N(Reales!Q70)),Q$241)</f>
        <v>4041.66666666667</v>
      </c>
      <c r="R256" s="34" t="n">
        <f aca="false">IF(R$8=1,IF(Reales!$C$70="PYG",IF(R$10&gt;0,N(Reales!R70)/R$10,0),N(Reales!R70)),R$241)</f>
        <v>5151</v>
      </c>
      <c r="S256" s="34" t="n">
        <f aca="false">IF(S$8=1,IF(Reales!$C$70="PYG",IF(S$10&gt;0,N(Reales!S70)/S$10,0),N(Reales!S70)),S$241)</f>
        <v>5151</v>
      </c>
      <c r="T256" s="34" t="n">
        <f aca="false">IF(T$8=1,IF(Reales!$C$70="PYG",IF(T$10&gt;0,N(Reales!T70)/T$10,0),N(Reales!T70)),T$241)</f>
        <v>5151</v>
      </c>
      <c r="U256" s="34" t="n">
        <f aca="false">IF(U$8=1,IF(Reales!$C$70="PYG",IF(U$10&gt;0,N(Reales!U70)/U$10,0),N(Reales!U70)),U$241)</f>
        <v>5151</v>
      </c>
      <c r="V256" s="34" t="n">
        <f aca="false">IF(V$8=1,IF(Reales!$C$70="PYG",IF(V$10&gt;0,N(Reales!V70)/V$10,0),N(Reales!V70)),V$241)</f>
        <v>5151</v>
      </c>
      <c r="W256" s="34" t="n">
        <f aca="false">IF(W$8=1,IF(Reales!$C$70="PYG",IF(W$10&gt;0,N(Reales!W70)/W$10,0),N(Reales!W70)),W$241)</f>
        <v>5151</v>
      </c>
      <c r="X256" s="34" t="n">
        <f aca="false">IF(X$8=1,IF(Reales!$C$70="PYG",IF(X$10&gt;0,N(Reales!X70)/X$10,0),N(Reales!X70)),X$241)</f>
        <v>5151</v>
      </c>
      <c r="Y256" s="34" t="n">
        <f aca="false">IF(Y$8=1,IF(Reales!$C$70="PYG",IF(Y$10&gt;0,N(Reales!Y70)/Y$10,0),N(Reales!Y70)),Y$241)</f>
        <v>5151</v>
      </c>
      <c r="Z256" s="34" t="n">
        <f aca="false">IF(Z$8=1,IF(Reales!$C$70="PYG",IF(Z$10&gt;0,N(Reales!Z70)/Z$10,0),N(Reales!Z70)),Z$241)</f>
        <v>5151</v>
      </c>
      <c r="AA256" s="34" t="n">
        <f aca="false">IF(AA$8=1,IF(Reales!$C$70="PYG",IF(AA$10&gt;0,N(Reales!AA70)/AA$10,0),N(Reales!AA70)),AA$241)</f>
        <v>5151</v>
      </c>
      <c r="AB256" s="34" t="n">
        <f aca="false">IF(AB$8=1,IF(Reales!$C$70="PYG",IF(AB$10&gt;0,N(Reales!AB70)/AB$10,0),N(Reales!AB70)),AB$241)</f>
        <v>5151</v>
      </c>
      <c r="AC256" s="34" t="n">
        <f aca="false">IF(AC$8=1,IF(Reales!$C$70="PYG",IF(AC$10&gt;0,N(Reales!AC70)/AC$10,0),N(Reales!AC70)),AC$241)</f>
        <v>5151</v>
      </c>
      <c r="AD256" s="34" t="n">
        <f aca="false">IF(AD$8=1,IF(Reales!$C$70="PYG",IF(AD$10&gt;0,N(Reales!AD70)/AD$10,0),N(Reales!AD70)),AD$241)</f>
        <v>6282.11583333333</v>
      </c>
      <c r="AE256" s="34" t="n">
        <f aca="false">IF(AE$8=1,IF(Reales!$C$70="PYG",IF(AE$10&gt;0,N(Reales!AE70)/AE$10,0),N(Reales!AE70)),AE$241)</f>
        <v>6282.11583333333</v>
      </c>
      <c r="AF256" s="34" t="n">
        <f aca="false">IF(AF$8=1,IF(Reales!$C$70="PYG",IF(AF$10&gt;0,N(Reales!AF70)/AF$10,0),N(Reales!AF70)),AF$241)</f>
        <v>6282.11583333333</v>
      </c>
      <c r="AG256" s="34" t="n">
        <f aca="false">IF(AG$8=1,IF(Reales!$C$70="PYG",IF(AG$10&gt;0,N(Reales!AG70)/AG$10,0),N(Reales!AG70)),AG$241)</f>
        <v>6282.11583333333</v>
      </c>
      <c r="AH256" s="34" t="n">
        <f aca="false">IF(AH$8=1,IF(Reales!$C$70="PYG",IF(AH$10&gt;0,N(Reales!AH70)/AH$10,0),N(Reales!AH70)),AH$241)</f>
        <v>6282.11583333333</v>
      </c>
      <c r="AI256" s="34" t="n">
        <f aca="false">IF(AI$8=1,IF(Reales!$C$70="PYG",IF(AI$10&gt;0,N(Reales!AI70)/AI$10,0),N(Reales!AI70)),AI$241)</f>
        <v>6282.11583333333</v>
      </c>
      <c r="AJ256" s="34" t="n">
        <f aca="false">IF(AJ$8=1,IF(Reales!$C$70="PYG",IF(AJ$10&gt;0,N(Reales!AJ70)/AJ$10,0),N(Reales!AJ70)),AJ$241)</f>
        <v>6282.11583333333</v>
      </c>
      <c r="AK256" s="34" t="n">
        <f aca="false">IF(AK$8=1,IF(Reales!$C$70="PYG",IF(AK$10&gt;0,N(Reales!AK70)/AK$10,0),N(Reales!AK70)),AK$241)</f>
        <v>6282.11583333333</v>
      </c>
      <c r="AL256" s="34" t="n">
        <f aca="false">IF(AL$8=1,IF(Reales!$C$70="PYG",IF(AL$10&gt;0,N(Reales!AL70)/AL$10,0),N(Reales!AL70)),AL$241)</f>
        <v>6282.11583333333</v>
      </c>
      <c r="AM256" s="34" t="n">
        <f aca="false">IF(AM$8=1,IF(Reales!$C$70="PYG",IF(AM$10&gt;0,N(Reales!AM70)/AM$10,0),N(Reales!AM70)),AM$241)</f>
        <v>6282.11583333333</v>
      </c>
      <c r="AN256" s="34" t="n">
        <f aca="false">IF(AN$8=1,IF(Reales!$C$70="PYG",IF(AN$10&gt;0,N(Reales!AN70)/AN$10,0),N(Reales!AN70)),AN$241)</f>
        <v>6282.11583333333</v>
      </c>
      <c r="AO256" s="34" t="n">
        <f aca="false">IF(AO$8=1,IF(Reales!$C$70="PYG",IF(AO$10&gt;0,N(Reales!AO70)/AO$10,0),N(Reales!AO70)),AO$241)</f>
        <v>6282.11583333333</v>
      </c>
      <c r="AP256" s="34" t="n">
        <f aca="false">IF(AP$8=1,IF(Reales!$C$70="PYG",IF(AP$10&gt;0,N(Reales!AP70)/AP$10,0),N(Reales!AP70)),AP$241)</f>
        <v>7237.864525</v>
      </c>
      <c r="AQ256" s="34" t="n">
        <f aca="false">IF(AQ$8=1,IF(Reales!$C$70="PYG",IF(AQ$10&gt;0,N(Reales!AQ70)/AQ$10,0),N(Reales!AQ70)),AQ$241)</f>
        <v>7237.864525</v>
      </c>
      <c r="AR256" s="34" t="n">
        <f aca="false">IF(AR$8=1,IF(Reales!$C$70="PYG",IF(AR$10&gt;0,N(Reales!AR70)/AR$10,0),N(Reales!AR70)),AR$241)</f>
        <v>7237.864525</v>
      </c>
      <c r="AS256" s="34" t="n">
        <f aca="false">IF(AS$8=1,IF(Reales!$C$70="PYG",IF(AS$10&gt;0,N(Reales!AS70)/AS$10,0),N(Reales!AS70)),AS$241)</f>
        <v>7237.864525</v>
      </c>
      <c r="AT256" s="34" t="n">
        <f aca="false">IF(AT$8=1,IF(Reales!$C$70="PYG",IF(AT$10&gt;0,N(Reales!AT70)/AT$10,0),N(Reales!AT70)),AT$241)</f>
        <v>7237.864525</v>
      </c>
      <c r="AU256" s="34" t="n">
        <f aca="false">IF(AU$8=1,IF(Reales!$C$70="PYG",IF(AU$10&gt;0,N(Reales!AU70)/AU$10,0),N(Reales!AU70)),AU$241)</f>
        <v>7237.864525</v>
      </c>
      <c r="AV256" s="34" t="n">
        <f aca="false">IF(AV$8=1,IF(Reales!$C$70="PYG",IF(AV$10&gt;0,N(Reales!AV70)/AV$10,0),N(Reales!AV70)),AV$241)</f>
        <v>7237.864525</v>
      </c>
      <c r="AW256" s="34" t="n">
        <f aca="false">IF(AW$8=1,IF(Reales!$C$70="PYG",IF(AW$10&gt;0,N(Reales!AW70)/AW$10,0),N(Reales!AW70)),AW$241)</f>
        <v>7237.864525</v>
      </c>
      <c r="AX256" s="34" t="n">
        <f aca="false">IF(AX$8=1,IF(Reales!$C$70="PYG",IF(AX$10&gt;0,N(Reales!AX70)/AX$10,0),N(Reales!AX70)),AX$241)</f>
        <v>7237.864525</v>
      </c>
      <c r="AY256" s="34" t="n">
        <f aca="false">IF(AY$8=1,IF(Reales!$C$70="PYG",IF(AY$10&gt;0,N(Reales!AY70)/AY$10,0),N(Reales!AY70)),AY$241)</f>
        <v>7237.864525</v>
      </c>
      <c r="AZ256" s="34" t="n">
        <f aca="false">IF(AZ$8=1,IF(Reales!$C$70="PYG",IF(AZ$10&gt;0,N(Reales!AZ70)/AZ$10,0),N(Reales!AZ70)),AZ$241)</f>
        <v>7237.864525</v>
      </c>
      <c r="BA256" s="34" t="n">
        <f aca="false">IF(BA$8=1,IF(Reales!$C$70="PYG",IF(BA$10&gt;0,N(Reales!BA70)/BA$10,0),N(Reales!BA70)),BA$241)</f>
        <v>7237.864525</v>
      </c>
      <c r="BB256" s="34" t="n">
        <f aca="false">IF(BB$8=1,IF(Reales!$C$70="PYG",IF(BB$10&gt;0,N(Reales!BB70)/BB$10,0),N(Reales!BB70)),BB$241)</f>
        <v>7310.24317025</v>
      </c>
      <c r="BC256" s="34" t="n">
        <f aca="false">IF(BC$8=1,IF(Reales!$C$70="PYG",IF(BC$10&gt;0,N(Reales!BC70)/BC$10,0),N(Reales!BC70)),BC$241)</f>
        <v>7310.24317025</v>
      </c>
      <c r="BD256" s="34" t="n">
        <f aca="false">IF(BD$8=1,IF(Reales!$C$70="PYG",IF(BD$10&gt;0,N(Reales!BD70)/BD$10,0),N(Reales!BD70)),BD$241)</f>
        <v>7310.24317025</v>
      </c>
      <c r="BE256" s="34" t="n">
        <f aca="false">IF(BE$8=1,IF(Reales!$C$70="PYG",IF(BE$10&gt;0,N(Reales!BE70)/BE$10,0),N(Reales!BE70)),BE$241)</f>
        <v>7310.24317025</v>
      </c>
      <c r="BF256" s="34" t="n">
        <f aca="false">IF(BF$8=1,IF(Reales!$C$70="PYG",IF(BF$10&gt;0,N(Reales!BF70)/BF$10,0),N(Reales!BF70)),BF$241)</f>
        <v>7310.24317025</v>
      </c>
      <c r="BG256" s="34" t="n">
        <f aca="false">IF(BG$8=1,IF(Reales!$C$70="PYG",IF(BG$10&gt;0,N(Reales!BG70)/BG$10,0),N(Reales!BG70)),BG$241)</f>
        <v>7310.24317025</v>
      </c>
      <c r="BH256" s="34" t="n">
        <f aca="false">IF(BH$8=1,IF(Reales!$C$70="PYG",IF(BH$10&gt;0,N(Reales!BH70)/BH$10,0),N(Reales!BH70)),BH$241)</f>
        <v>7310.24317025</v>
      </c>
      <c r="BI256" s="34" t="n">
        <f aca="false">IF(BI$8=1,IF(Reales!$C$70="PYG",IF(BI$10&gt;0,N(Reales!BI70)/BI$10,0),N(Reales!BI70)),BI$241)</f>
        <v>7310.24317025</v>
      </c>
      <c r="BJ256" s="34" t="n">
        <f aca="false">IF(BJ$8=1,IF(Reales!$C$70="PYG",IF(BJ$10&gt;0,N(Reales!BJ70)/BJ$10,0),N(Reales!BJ70)),BJ$241)</f>
        <v>7310.24317025</v>
      </c>
      <c r="BK256" s="34" t="n">
        <f aca="false">IF(BK$8=1,IF(Reales!$C$70="PYG",IF(BK$10&gt;0,N(Reales!BK70)/BK$10,0),N(Reales!BK70)),BK$241)</f>
        <v>7310.24317025</v>
      </c>
      <c r="BL256" s="34" t="n">
        <f aca="false">IF(BL$8=1,IF(Reales!$C$70="PYG",IF(BL$10&gt;0,N(Reales!BL70)/BL$10,0),N(Reales!BL70)),BL$241)</f>
        <v>7310.24317025</v>
      </c>
      <c r="BM256" s="34" t="n">
        <f aca="false">IF(BM$8=1,IF(Reales!$C$70="PYG",IF(BM$10&gt;0,N(Reales!BM70)/BM$10,0),N(Reales!BM70)),BM$241)</f>
        <v>7310.24317025</v>
      </c>
      <c r="BN256" s="34" t="n">
        <f aca="false">IF(BN$8=1,IF(Reales!$C$70="PYG",IF(BN$10&gt;0,N(Reales!BN70)/BN$10,0),N(Reales!BN70)),BN$241)</f>
        <v>7383.3456019525</v>
      </c>
      <c r="BO256" s="34" t="n">
        <f aca="false">IF(BO$8=1,IF(Reales!$C$70="PYG",IF(BO$10&gt;0,N(Reales!BO70)/BO$10,0),N(Reales!BO70)),BO$241)</f>
        <v>7383.3456019525</v>
      </c>
      <c r="BP256" s="34" t="n">
        <f aca="false">IF(BP$8=1,IF(Reales!$C$70="PYG",IF(BP$10&gt;0,N(Reales!BP70)/BP$10,0),N(Reales!BP70)),BP$241)</f>
        <v>7383.3456019525</v>
      </c>
      <c r="BQ256" s="34" t="n">
        <f aca="false">IF(BQ$8=1,IF(Reales!$C$70="PYG",IF(BQ$10&gt;0,N(Reales!BQ70)/BQ$10,0),N(Reales!BQ70)),BQ$241)</f>
        <v>7383.3456019525</v>
      </c>
      <c r="BR256" s="34" t="n">
        <f aca="false">IF(BR$8=1,IF(Reales!$C$70="PYG",IF(BR$10&gt;0,N(Reales!BR70)/BR$10,0),N(Reales!BR70)),BR$241)</f>
        <v>7383.3456019525</v>
      </c>
      <c r="BS256" s="34" t="n">
        <f aca="false">IF(BS$8=1,IF(Reales!$C$70="PYG",IF(BS$10&gt;0,N(Reales!BS70)/BS$10,0),N(Reales!BS70)),BS$241)</f>
        <v>7383.3456019525</v>
      </c>
      <c r="BT256" s="34" t="n">
        <f aca="false">IF(BT$8=1,IF(Reales!$C$70="PYG",IF(BT$10&gt;0,N(Reales!BT70)/BT$10,0),N(Reales!BT70)),BT$241)</f>
        <v>7383.3456019525</v>
      </c>
      <c r="BU256" s="34" t="n">
        <f aca="false">IF(BU$8=1,IF(Reales!$C$70="PYG",IF(BU$10&gt;0,N(Reales!BU70)/BU$10,0),N(Reales!BU70)),BU$241)</f>
        <v>7383.3456019525</v>
      </c>
      <c r="BV256" s="34" t="n">
        <f aca="false">IF(BV$8=1,IF(Reales!$C$70="PYG",IF(BV$10&gt;0,N(Reales!BV70)/BV$10,0),N(Reales!BV70)),BV$241)</f>
        <v>7383.3456019525</v>
      </c>
      <c r="BW256" s="34" t="n">
        <f aca="false">IF(BW$8=1,IF(Reales!$C$70="PYG",IF(BW$10&gt;0,N(Reales!BW70)/BW$10,0),N(Reales!BW70)),BW$241)</f>
        <v>7383.3456019525</v>
      </c>
      <c r="BX256" s="34" t="n">
        <f aca="false">IF(BX$8=1,IF(Reales!$C$70="PYG",IF(BX$10&gt;0,N(Reales!BX70)/BX$10,0),N(Reales!BX70)),BX$241)</f>
        <v>7383.3456019525</v>
      </c>
      <c r="BY256" s="34" t="n">
        <f aca="false">IF(BY$8=1,IF(Reales!$C$70="PYG",IF(BY$10&gt;0,N(Reales!BY70)/BY$10,0),N(Reales!BY70)),BY$241)</f>
        <v>7383.3456019525</v>
      </c>
      <c r="BZ256" s="34" t="n">
        <f aca="false">IF(BZ$8=1,IF(Reales!$C$70="PYG",IF(BZ$10&gt;0,N(Reales!BZ70)/BZ$10,0),N(Reales!BZ70)),BZ$241)</f>
        <v>7457.17905797202</v>
      </c>
      <c r="CA256" s="34" t="n">
        <f aca="false">IF(CA$8=1,IF(Reales!$C$70="PYG",IF(CA$10&gt;0,N(Reales!CA70)/CA$10,0),N(Reales!CA70)),CA$241)</f>
        <v>7457.17905797202</v>
      </c>
      <c r="CB256" s="34" t="n">
        <f aca="false">IF(CB$8=1,IF(Reales!$C$70="PYG",IF(CB$10&gt;0,N(Reales!CB70)/CB$10,0),N(Reales!CB70)),CB$241)</f>
        <v>7457.17905797202</v>
      </c>
      <c r="CC256" s="34" t="n">
        <f aca="false">IF(CC$8=1,IF(Reales!$C$70="PYG",IF(CC$10&gt;0,N(Reales!CC70)/CC$10,0),N(Reales!CC70)),CC$241)</f>
        <v>7457.17905797202</v>
      </c>
      <c r="CD256" s="34" t="n">
        <f aca="false">IF(CD$8=1,IF(Reales!$C$70="PYG",IF(CD$10&gt;0,N(Reales!CD70)/CD$10,0),N(Reales!CD70)),CD$241)</f>
        <v>7457.17905797202</v>
      </c>
      <c r="CE256" s="34" t="n">
        <f aca="false">IF(CE$8=1,IF(Reales!$C$70="PYG",IF(CE$10&gt;0,N(Reales!CE70)/CE$10,0),N(Reales!CE70)),CE$241)</f>
        <v>7457.17905797202</v>
      </c>
      <c r="CF256" s="34" t="n">
        <f aca="false">IF(CF$8=1,IF(Reales!$C$70="PYG",IF(CF$10&gt;0,N(Reales!CF70)/CF$10,0),N(Reales!CF70)),CF$241)</f>
        <v>7457.17905797202</v>
      </c>
      <c r="CG256" s="34" t="n">
        <f aca="false">IF(CG$8=1,IF(Reales!$C$70="PYG",IF(CG$10&gt;0,N(Reales!CG70)/CG$10,0),N(Reales!CG70)),CG$241)</f>
        <v>7457.17905797202</v>
      </c>
      <c r="CH256" s="34" t="n">
        <f aca="false">IF(CH$8=1,IF(Reales!$C$70="PYG",IF(CH$10&gt;0,N(Reales!CH70)/CH$10,0),N(Reales!CH70)),CH$241)</f>
        <v>7457.17905797202</v>
      </c>
      <c r="CI256" s="34" t="n">
        <f aca="false">IF(CI$8=1,IF(Reales!$C$70="PYG",IF(CI$10&gt;0,N(Reales!CI70)/CI$10,0),N(Reales!CI70)),CI$241)</f>
        <v>7457.17905797202</v>
      </c>
      <c r="CJ256" s="34" t="n">
        <f aca="false">IF(CJ$8=1,IF(Reales!$C$70="PYG",IF(CJ$10&gt;0,N(Reales!CJ70)/CJ$10,0),N(Reales!CJ70)),CJ$241)</f>
        <v>7457.17905797202</v>
      </c>
      <c r="CK256" s="34" t="n">
        <f aca="false">IF(CK$8=1,IF(Reales!$C$70="PYG",IF(CK$10&gt;0,N(Reales!CK70)/CK$10,0),N(Reales!CK70)),CK$241)</f>
        <v>7457.17905797202</v>
      </c>
      <c r="CL256" s="34" t="n">
        <f aca="false">IF(CL$8=1,IF(Reales!$C$70="PYG",IF(CL$10&gt;0,N(Reales!CL70)/CL$10,0),N(Reales!CL70)),CL$241)</f>
        <v>7531.75084855175</v>
      </c>
      <c r="CM256" s="34" t="n">
        <f aca="false">IF(CM$8=1,IF(Reales!$C$70="PYG",IF(CM$10&gt;0,N(Reales!CM70)/CM$10,0),N(Reales!CM70)),CM$241)</f>
        <v>7531.75084855175</v>
      </c>
      <c r="CN256" s="34" t="n">
        <f aca="false">IF(CN$8=1,IF(Reales!$C$70="PYG",IF(CN$10&gt;0,N(Reales!CN70)/CN$10,0),N(Reales!CN70)),CN$241)</f>
        <v>7531.75084855175</v>
      </c>
      <c r="CO256" s="34" t="n">
        <f aca="false">IF(CO$8=1,IF(Reales!$C$70="PYG",IF(CO$10&gt;0,N(Reales!CO70)/CO$10,0),N(Reales!CO70)),CO$241)</f>
        <v>7531.75084855175</v>
      </c>
      <c r="CP256" s="34" t="n">
        <f aca="false">IF(CP$8=1,IF(Reales!$C$70="PYG",IF(CP$10&gt;0,N(Reales!CP70)/CP$10,0),N(Reales!CP70)),CP$241)</f>
        <v>7531.75084855175</v>
      </c>
      <c r="CQ256" s="34" t="n">
        <f aca="false">IF(CQ$8=1,IF(Reales!$C$70="PYG",IF(CQ$10&gt;0,N(Reales!CQ70)/CQ$10,0),N(Reales!CQ70)),CQ$241)</f>
        <v>7531.75084855175</v>
      </c>
      <c r="CR256" s="34" t="n">
        <f aca="false">IF(CR$8=1,IF(Reales!$C$70="PYG",IF(CR$10&gt;0,N(Reales!CR70)/CR$10,0),N(Reales!CR70)),CR$241)</f>
        <v>7531.75084855175</v>
      </c>
      <c r="CS256" s="34" t="n">
        <f aca="false">IF(CS$8=1,IF(Reales!$C$70="PYG",IF(CS$10&gt;0,N(Reales!CS70)/CS$10,0),N(Reales!CS70)),CS$241)</f>
        <v>7531.75084855175</v>
      </c>
      <c r="CT256" s="34" t="n">
        <f aca="false">IF(CT$8=1,IF(Reales!$C$70="PYG",IF(CT$10&gt;0,N(Reales!CT70)/CT$10,0),N(Reales!CT70)),CT$241)</f>
        <v>7531.75084855175</v>
      </c>
      <c r="CU256" s="34" t="n">
        <f aca="false">IF(CU$8=1,IF(Reales!$C$70="PYG",IF(CU$10&gt;0,N(Reales!CU70)/CU$10,0),N(Reales!CU70)),CU$241)</f>
        <v>7531.75084855175</v>
      </c>
      <c r="CV256" s="34" t="n">
        <f aca="false">IF(CV$8=1,IF(Reales!$C$70="PYG",IF(CV$10&gt;0,N(Reales!CV70)/CV$10,0),N(Reales!CV70)),CV$241)</f>
        <v>7531.75084855175</v>
      </c>
      <c r="CW256" s="34" t="n">
        <f aca="false">IF(CW$8=1,IF(Reales!$C$70="PYG",IF(CW$10&gt;0,N(Reales!CW70)/CW$10,0),N(Reales!CW70)),CW$241)</f>
        <v>7531.75084855175</v>
      </c>
      <c r="CX256" s="34" t="n">
        <f aca="false">IF(CX$8=1,IF(Reales!$C$70="PYG",IF(CX$10&gt;0,N(Reales!CX70)/CX$10,0),N(Reales!CX70)),CX$241)</f>
        <v>7607.06835703726</v>
      </c>
      <c r="CY256" s="34" t="n">
        <f aca="false">IF(CY$8=1,IF(Reales!$C$70="PYG",IF(CY$10&gt;0,N(Reales!CY70)/CY$10,0),N(Reales!CY70)),CY$241)</f>
        <v>7607.06835703726</v>
      </c>
      <c r="CZ256" s="34" t="n">
        <f aca="false">IF(CZ$8=1,IF(Reales!$C$70="PYG",IF(CZ$10&gt;0,N(Reales!CZ70)/CZ$10,0),N(Reales!CZ70)),CZ$241)</f>
        <v>7607.06835703726</v>
      </c>
      <c r="DA256" s="34" t="n">
        <f aca="false">IF(DA$8=1,IF(Reales!$C$70="PYG",IF(DA$10&gt;0,N(Reales!DA70)/DA$10,0),N(Reales!DA70)),DA$241)</f>
        <v>7607.06835703726</v>
      </c>
      <c r="DB256" s="34" t="n">
        <f aca="false">IF(DB$8=1,IF(Reales!$C$70="PYG",IF(DB$10&gt;0,N(Reales!DB70)/DB$10,0),N(Reales!DB70)),DB$241)</f>
        <v>7607.06835703726</v>
      </c>
      <c r="DC256" s="34" t="n">
        <f aca="false">IF(DC$8=1,IF(Reales!$C$70="PYG",IF(DC$10&gt;0,N(Reales!DC70)/DC$10,0),N(Reales!DC70)),DC$241)</f>
        <v>7607.06835703726</v>
      </c>
      <c r="DD256" s="34" t="n">
        <f aca="false">IF(DD$8=1,IF(Reales!$C$70="PYG",IF(DD$10&gt;0,N(Reales!DD70)/DD$10,0),N(Reales!DD70)),DD$241)</f>
        <v>7607.06835703726</v>
      </c>
      <c r="DE256" s="34" t="n">
        <f aca="false">IF(DE$8=1,IF(Reales!$C$70="PYG",IF(DE$10&gt;0,N(Reales!DE70)/DE$10,0),N(Reales!DE70)),DE$241)</f>
        <v>7607.06835703726</v>
      </c>
      <c r="DF256" s="34" t="n">
        <f aca="false">IF(DF$8=1,IF(Reales!$C$70="PYG",IF(DF$10&gt;0,N(Reales!DF70)/DF$10,0),N(Reales!DF70)),DF$241)</f>
        <v>7607.06835703726</v>
      </c>
      <c r="DG256" s="34" t="n">
        <f aca="false">IF(DG$8=1,IF(Reales!$C$70="PYG",IF(DG$10&gt;0,N(Reales!DG70)/DG$10,0),N(Reales!DG70)),DG$241)</f>
        <v>7607.06835703726</v>
      </c>
      <c r="DH256" s="34" t="n">
        <f aca="false">IF(DH$8=1,IF(Reales!$C$70="PYG",IF(DH$10&gt;0,N(Reales!DH70)/DH$10,0),N(Reales!DH70)),DH$241)</f>
        <v>7607.06835703726</v>
      </c>
      <c r="DI256" s="34" t="n">
        <f aca="false">IF(DI$8=1,IF(Reales!$C$70="PYG",IF(DI$10&gt;0,N(Reales!DI70)/DI$10,0),N(Reales!DI70)),DI$241)</f>
        <v>7607.06835703726</v>
      </c>
      <c r="DJ256" s="34" t="n">
        <f aca="false">IF(DJ$8=1,IF(Reales!$C$70="PYG",IF(DJ$10&gt;0,N(Reales!DJ70)/DJ$10,0),N(Reales!DJ70)),DJ$241)</f>
        <v>7683.13904060764</v>
      </c>
      <c r="DK256" s="34" t="n">
        <f aca="false">IF(DK$8=1,IF(Reales!$C$70="PYG",IF(DK$10&gt;0,N(Reales!DK70)/DK$10,0),N(Reales!DK70)),DK$241)</f>
        <v>7683.13904060764</v>
      </c>
      <c r="DL256" s="34" t="n">
        <f aca="false">IF(DL$8=1,IF(Reales!$C$70="PYG",IF(DL$10&gt;0,N(Reales!DL70)/DL$10,0),N(Reales!DL70)),DL$241)</f>
        <v>7683.13904060764</v>
      </c>
      <c r="DM256" s="34" t="n">
        <f aca="false">IF(DM$8=1,IF(Reales!$C$70="PYG",IF(DM$10&gt;0,N(Reales!DM70)/DM$10,0),N(Reales!DM70)),DM$241)</f>
        <v>7683.13904060764</v>
      </c>
      <c r="DN256" s="34" t="n">
        <f aca="false">IF(DN$8=1,IF(Reales!$C$70="PYG",IF(DN$10&gt;0,N(Reales!DN70)/DN$10,0),N(Reales!DN70)),DN$241)</f>
        <v>7683.13904060764</v>
      </c>
      <c r="DO256" s="34" t="n">
        <f aca="false">IF(DO$8=1,IF(Reales!$C$70="PYG",IF(DO$10&gt;0,N(Reales!DO70)/DO$10,0),N(Reales!DO70)),DO$241)</f>
        <v>7683.13904060764</v>
      </c>
      <c r="DP256" s="34" t="n">
        <f aca="false">IF(DP$8=1,IF(Reales!$C$70="PYG",IF(DP$10&gt;0,N(Reales!DP70)/DP$10,0),N(Reales!DP70)),DP$241)</f>
        <v>7683.13904060764</v>
      </c>
      <c r="DQ256" s="34" t="n">
        <f aca="false">IF(DQ$8=1,IF(Reales!$C$70="PYG",IF(DQ$10&gt;0,N(Reales!DQ70)/DQ$10,0),N(Reales!DQ70)),DQ$241)</f>
        <v>7683.13904060764</v>
      </c>
      <c r="DR256" s="34" t="n">
        <f aca="false">IF(DR$8=1,IF(Reales!$C$70="PYG",IF(DR$10&gt;0,N(Reales!DR70)/DR$10,0),N(Reales!DR70)),DR$241)</f>
        <v>7683.13904060764</v>
      </c>
      <c r="DS256" s="34" t="n">
        <f aca="false">IF(DS$8=1,IF(Reales!$C$70="PYG",IF(DS$10&gt;0,N(Reales!DS70)/DS$10,0),N(Reales!DS70)),DS$241)</f>
        <v>7683.13904060764</v>
      </c>
      <c r="DT256" s="34" t="n">
        <f aca="false">IF(DT$8=1,IF(Reales!$C$70="PYG",IF(DT$10&gt;0,N(Reales!DT70)/DT$10,0),N(Reales!DT70)),DT$241)</f>
        <v>7683.13904060764</v>
      </c>
      <c r="DU256" s="34" t="n">
        <f aca="false">IF(DU$8=1,IF(Reales!$C$70="PYG",IF(DU$10&gt;0,N(Reales!DU70)/DU$10,0),N(Reales!DU70)),DU$241)</f>
        <v>7683.13904060764</v>
      </c>
      <c r="DV256" s="34" t="n">
        <f aca="false">IF(DV$8=1,IF(Reales!$C$70="PYG",IF(DV$10&gt;0,N(Reales!DV70)/DV$10,0),N(Reales!DV70)),DV$241)</f>
        <v>0</v>
      </c>
      <c r="DW256" s="34" t="n">
        <f aca="false">IF(DW$8=1,IF(Reales!$C$70="PYG",IF(DW$10&gt;0,N(Reales!DW70)/DW$10,0),N(Reales!DW70)),DW$241)</f>
        <v>0</v>
      </c>
      <c r="DX256" s="34" t="n">
        <f aca="false">IF(DX$8=1,IF(Reales!$C$70="PYG",IF(DX$10&gt;0,N(Reales!DX70)/DX$10,0),N(Reales!DX70)),DX$241)</f>
        <v>0</v>
      </c>
      <c r="DY256" s="34" t="n">
        <f aca="false">IF(DY$8=1,IF(Reales!$C$70="PYG",IF(DY$10&gt;0,N(Reales!DY70)/DY$10,0),N(Reales!DY70)),DY$241)</f>
        <v>0</v>
      </c>
      <c r="DZ256" s="34" t="n">
        <f aca="false">IF(DZ$8=1,IF(Reales!$C$70="PYG",IF(DZ$10&gt;0,N(Reales!DZ70)/DZ$10,0),N(Reales!DZ70)),DZ$241)</f>
        <v>0</v>
      </c>
      <c r="EA256" s="34" t="n">
        <f aca="false">IF(EA$8=1,IF(Reales!$C$70="PYG",IF(EA$10&gt;0,N(Reales!EA70)/EA$10,0),N(Reales!EA70)),EA$241)</f>
        <v>0</v>
      </c>
      <c r="EB256" s="34" t="n">
        <f aca="false">IF(EB$8=1,IF(Reales!$C$70="PYG",IF(EB$10&gt;0,N(Reales!EB70)/EB$10,0),N(Reales!EB70)),EB$241)</f>
        <v>0</v>
      </c>
      <c r="EC256" s="34" t="n">
        <f aca="false">IF(EC$8=1,IF(Reales!$C$70="PYG",IF(EC$10&gt;0,N(Reales!EC70)/EC$10,0),N(Reales!EC70)),EC$241)</f>
        <v>0</v>
      </c>
      <c r="ED256" s="34" t="n">
        <f aca="false">IF(ED$8=1,IF(Reales!$C$70="PYG",IF(ED$10&gt;0,N(Reales!ED70)/ED$10,0),N(Reales!ED70)),ED$241)</f>
        <v>0</v>
      </c>
      <c r="EE256" s="34" t="n">
        <f aca="false">IF(EE$8=1,IF(Reales!$C$70="PYG",IF(EE$10&gt;0,N(Reales!EE70)/EE$10,0),N(Reales!EE70)),EE$241)</f>
        <v>0</v>
      </c>
      <c r="EF256" s="34" t="n">
        <f aca="false">IF(EF$8=1,IF(Reales!$C$70="PYG",IF(EF$10&gt;0,N(Reales!EF70)/EF$10,0),N(Reales!EF70)),EF$241)</f>
        <v>0</v>
      </c>
      <c r="EG256" s="34" t="n">
        <f aca="false">IF(EG$8=1,IF(Reales!$C$70="PYG",IF(EG$10&gt;0,N(Reales!EG70)/EG$10,0),N(Reales!EG70)),EG$241)</f>
        <v>0</v>
      </c>
      <c r="EH256" s="34" t="n">
        <f aca="false">IF(EH$8=1,IF(Reales!$C$70="PYG",IF(EH$10&gt;0,N(Reales!EH70)/EH$10,0),N(Reales!EH70)),EH$241)</f>
        <v>0</v>
      </c>
      <c r="EI256" s="34" t="n">
        <f aca="false">IF(EI$8=1,IF(Reales!$C$70="PYG",IF(EI$10&gt;0,N(Reales!EI70)/EI$10,0),N(Reales!EI70)),EI$241)</f>
        <v>0</v>
      </c>
      <c r="EJ256" s="34" t="n">
        <f aca="false">IF(EJ$8=1,IF(Reales!$C$70="PYG",IF(EJ$10&gt;0,N(Reales!EJ70)/EJ$10,0),N(Reales!EJ70)),EJ$241)</f>
        <v>0</v>
      </c>
      <c r="EK256" s="34" t="n">
        <f aca="false">IF(EK$8=1,IF(Reales!$C$70="PYG",IF(EK$10&gt;0,N(Reales!EK70)/EK$10,0),N(Reales!EK70)),EK$241)</f>
        <v>0</v>
      </c>
      <c r="EL256" s="34" t="n">
        <f aca="false">IF(EL$8=1,IF(Reales!$C$70="PYG",IF(EL$10&gt;0,N(Reales!EL70)/EL$10,0),N(Reales!EL70)),EL$241)</f>
        <v>0</v>
      </c>
      <c r="EM256" s="34" t="n">
        <f aca="false">IF(EM$8=1,IF(Reales!$C$70="PYG",IF(EM$10&gt;0,N(Reales!EM70)/EM$10,0),N(Reales!EM70)),EM$241)</f>
        <v>0</v>
      </c>
      <c r="EN256" s="34" t="n">
        <f aca="false">IF(EN$8=1,IF(Reales!$C$70="PYG",IF(EN$10&gt;0,N(Reales!EN70)/EN$10,0),N(Reales!EN70)),EN$241)</f>
        <v>0</v>
      </c>
      <c r="EO256" s="34" t="n">
        <f aca="false">IF(EO$8=1,IF(Reales!$C$70="PYG",IF(EO$10&gt;0,N(Reales!EO70)/EO$10,0),N(Reales!EO70)),EO$241)</f>
        <v>0</v>
      </c>
      <c r="EP256" s="34" t="n">
        <f aca="false">IF(EP$8=1,IF(Reales!$C$70="PYG",IF(EP$10&gt;0,N(Reales!EP70)/EP$10,0),N(Reales!EP70)),EP$241)</f>
        <v>0</v>
      </c>
      <c r="EQ256" s="34" t="n">
        <f aca="false">IF(EQ$8=1,IF(Reales!$C$70="PYG",IF(EQ$10&gt;0,N(Reales!EQ70)/EQ$10,0),N(Reales!EQ70)),EQ$241)</f>
        <v>0</v>
      </c>
      <c r="ER256" s="34" t="n">
        <f aca="false">IF(ER$8=1,IF(Reales!$C$70="PYG",IF(ER$10&gt;0,N(Reales!ER70)/ER$10,0),N(Reales!ER70)),ER$241)</f>
        <v>0</v>
      </c>
      <c r="ES256" s="34" t="n">
        <f aca="false">IF(ES$8=1,IF(Reales!$C$70="PYG",IF(ES$10&gt;0,N(Reales!ES70)/ES$10,0),N(Reales!ES70)),ES$241)</f>
        <v>0</v>
      </c>
    </row>
    <row r="257" customFormat="false" ht="15" hidden="false" customHeight="false" outlineLevel="0" collapsed="false">
      <c r="A257" s="2" t="s">
        <v>897</v>
      </c>
      <c r="B257" s="6" t="s">
        <v>692</v>
      </c>
      <c r="C257" s="6" t="s">
        <v>250</v>
      </c>
      <c r="E257" s="40" t="n">
        <f aca="false">SUM(F257:ES257)</f>
        <v>0</v>
      </c>
      <c r="F257" s="34" t="n">
        <f aca="false">IF(F$8=1,0,F$247*V_IVArec)</f>
        <v>0</v>
      </c>
      <c r="G257" s="34" t="n">
        <f aca="false">IF(G$8=1,0,G$247*V_IVArec)</f>
        <v>0</v>
      </c>
      <c r="H257" s="34" t="n">
        <f aca="false">IF(H$8=1,0,H$247*V_IVArec)</f>
        <v>0</v>
      </c>
      <c r="I257" s="34" t="n">
        <f aca="false">IF(I$8=1,0,I$247*V_IVArec)</f>
        <v>0</v>
      </c>
      <c r="J257" s="34" t="n">
        <f aca="false">IF(J$8=1,0,J$247*V_IVArec)</f>
        <v>0</v>
      </c>
      <c r="K257" s="34" t="n">
        <f aca="false">IF(K$8=1,0,K$247*V_IVArec)</f>
        <v>0</v>
      </c>
      <c r="L257" s="34" t="n">
        <f aca="false">IF(L$8=1,0,L$247*V_IVArec)</f>
        <v>0</v>
      </c>
      <c r="M257" s="34" t="n">
        <f aca="false">IF(M$8=1,0,M$247*V_IVArec)</f>
        <v>0</v>
      </c>
      <c r="N257" s="34" t="n">
        <f aca="false">IF(N$8=1,0,N$247*V_IVArec)</f>
        <v>0</v>
      </c>
      <c r="O257" s="34" t="n">
        <f aca="false">IF(O$8=1,0,O$247*V_IVArec)</f>
        <v>0</v>
      </c>
      <c r="P257" s="34" t="n">
        <f aca="false">IF(P$8=1,0,P$247*V_IVArec)</f>
        <v>0</v>
      </c>
      <c r="Q257" s="34" t="n">
        <f aca="false">IF(Q$8=1,0,Q$247*V_IVArec)</f>
        <v>0</v>
      </c>
      <c r="R257" s="34" t="n">
        <f aca="false">IF(R$8=1,0,R$247*V_IVArec)</f>
        <v>0</v>
      </c>
      <c r="S257" s="34" t="n">
        <f aca="false">IF(S$8=1,0,S$247*V_IVArec)</f>
        <v>0</v>
      </c>
      <c r="T257" s="34" t="n">
        <f aca="false">IF(T$8=1,0,T$247*V_IVArec)</f>
        <v>0</v>
      </c>
      <c r="U257" s="34" t="n">
        <f aca="false">IF(U$8=1,0,U$247*V_IVArec)</f>
        <v>0</v>
      </c>
      <c r="V257" s="34" t="n">
        <f aca="false">IF(V$8=1,0,V$247*V_IVArec)</f>
        <v>0</v>
      </c>
      <c r="W257" s="34" t="n">
        <f aca="false">IF(W$8=1,0,W$247*V_IVArec)</f>
        <v>0</v>
      </c>
      <c r="X257" s="34" t="n">
        <f aca="false">IF(X$8=1,0,X$247*V_IVArec)</f>
        <v>0</v>
      </c>
      <c r="Y257" s="34" t="n">
        <f aca="false">IF(Y$8=1,0,Y$247*V_IVArec)</f>
        <v>0</v>
      </c>
      <c r="Z257" s="34" t="n">
        <f aca="false">IF(Z$8=1,0,Z$247*V_IVArec)</f>
        <v>0</v>
      </c>
      <c r="AA257" s="34" t="n">
        <f aca="false">IF(AA$8=1,0,AA$247*V_IVArec)</f>
        <v>0</v>
      </c>
      <c r="AB257" s="34" t="n">
        <f aca="false">IF(AB$8=1,0,AB$247*V_IVArec)</f>
        <v>0</v>
      </c>
      <c r="AC257" s="34" t="n">
        <f aca="false">IF(AC$8=1,0,AC$247*V_IVArec)</f>
        <v>0</v>
      </c>
      <c r="AD257" s="34" t="n">
        <f aca="false">IF(AD$8=1,0,AD$247*V_IVArec)</f>
        <v>0</v>
      </c>
      <c r="AE257" s="34" t="n">
        <f aca="false">IF(AE$8=1,0,AE$247*V_IVArec)</f>
        <v>0</v>
      </c>
      <c r="AF257" s="34" t="n">
        <f aca="false">IF(AF$8=1,0,AF$247*V_IVArec)</f>
        <v>0</v>
      </c>
      <c r="AG257" s="34" t="n">
        <f aca="false">IF(AG$8=1,0,AG$247*V_IVArec)</f>
        <v>0</v>
      </c>
      <c r="AH257" s="34" t="n">
        <f aca="false">IF(AH$8=1,0,AH$247*V_IVArec)</f>
        <v>0</v>
      </c>
      <c r="AI257" s="34" t="n">
        <f aca="false">IF(AI$8=1,0,AI$247*V_IVArec)</f>
        <v>0</v>
      </c>
      <c r="AJ257" s="34" t="n">
        <f aca="false">IF(AJ$8=1,0,AJ$247*V_IVArec)</f>
        <v>0</v>
      </c>
      <c r="AK257" s="34" t="n">
        <f aca="false">IF(AK$8=1,0,AK$247*V_IVArec)</f>
        <v>0</v>
      </c>
      <c r="AL257" s="34" t="n">
        <f aca="false">IF(AL$8=1,0,AL$247*V_IVArec)</f>
        <v>0</v>
      </c>
      <c r="AM257" s="34" t="n">
        <f aca="false">IF(AM$8=1,0,AM$247*V_IVArec)</f>
        <v>0</v>
      </c>
      <c r="AN257" s="34" t="n">
        <f aca="false">IF(AN$8=1,0,AN$247*V_IVArec)</f>
        <v>0</v>
      </c>
      <c r="AO257" s="34" t="n">
        <f aca="false">IF(AO$8=1,0,AO$247*V_IVArec)</f>
        <v>0</v>
      </c>
      <c r="AP257" s="34" t="n">
        <f aca="false">IF(AP$8=1,0,AP$247*V_IVArec)</f>
        <v>0</v>
      </c>
      <c r="AQ257" s="34" t="n">
        <f aca="false">IF(AQ$8=1,0,AQ$247*V_IVArec)</f>
        <v>0</v>
      </c>
      <c r="AR257" s="34" t="n">
        <f aca="false">IF(AR$8=1,0,AR$247*V_IVArec)</f>
        <v>0</v>
      </c>
      <c r="AS257" s="34" t="n">
        <f aca="false">IF(AS$8=1,0,AS$247*V_IVArec)</f>
        <v>0</v>
      </c>
      <c r="AT257" s="34" t="n">
        <f aca="false">IF(AT$8=1,0,AT$247*V_IVArec)</f>
        <v>0</v>
      </c>
      <c r="AU257" s="34" t="n">
        <f aca="false">IF(AU$8=1,0,AU$247*V_IVArec)</f>
        <v>0</v>
      </c>
      <c r="AV257" s="34" t="n">
        <f aca="false">IF(AV$8=1,0,AV$247*V_IVArec)</f>
        <v>0</v>
      </c>
      <c r="AW257" s="34" t="n">
        <f aca="false">IF(AW$8=1,0,AW$247*V_IVArec)</f>
        <v>0</v>
      </c>
      <c r="AX257" s="34" t="n">
        <f aca="false">IF(AX$8=1,0,AX$247*V_IVArec)</f>
        <v>0</v>
      </c>
      <c r="AY257" s="34" t="n">
        <f aca="false">IF(AY$8=1,0,AY$247*V_IVArec)</f>
        <v>0</v>
      </c>
      <c r="AZ257" s="34" t="n">
        <f aca="false">IF(AZ$8=1,0,AZ$247*V_IVArec)</f>
        <v>0</v>
      </c>
      <c r="BA257" s="34" t="n">
        <f aca="false">IF(BA$8=1,0,BA$247*V_IVArec)</f>
        <v>0</v>
      </c>
      <c r="BB257" s="34" t="n">
        <f aca="false">IF(BB$8=1,0,BB$247*V_IVArec)</f>
        <v>0</v>
      </c>
      <c r="BC257" s="34" t="n">
        <f aca="false">IF(BC$8=1,0,BC$247*V_IVArec)</f>
        <v>0</v>
      </c>
      <c r="BD257" s="34" t="n">
        <f aca="false">IF(BD$8=1,0,BD$247*V_IVArec)</f>
        <v>0</v>
      </c>
      <c r="BE257" s="34" t="n">
        <f aca="false">IF(BE$8=1,0,BE$247*V_IVArec)</f>
        <v>0</v>
      </c>
      <c r="BF257" s="34" t="n">
        <f aca="false">IF(BF$8=1,0,BF$247*V_IVArec)</f>
        <v>0</v>
      </c>
      <c r="BG257" s="34" t="n">
        <f aca="false">IF(BG$8=1,0,BG$247*V_IVArec)</f>
        <v>0</v>
      </c>
      <c r="BH257" s="34" t="n">
        <f aca="false">IF(BH$8=1,0,BH$247*V_IVArec)</f>
        <v>0</v>
      </c>
      <c r="BI257" s="34" t="n">
        <f aca="false">IF(BI$8=1,0,BI$247*V_IVArec)</f>
        <v>0</v>
      </c>
      <c r="BJ257" s="34" t="n">
        <f aca="false">IF(BJ$8=1,0,BJ$247*V_IVArec)</f>
        <v>0</v>
      </c>
      <c r="BK257" s="34" t="n">
        <f aca="false">IF(BK$8=1,0,BK$247*V_IVArec)</f>
        <v>0</v>
      </c>
      <c r="BL257" s="34" t="n">
        <f aca="false">IF(BL$8=1,0,BL$247*V_IVArec)</f>
        <v>0</v>
      </c>
      <c r="BM257" s="34" t="n">
        <f aca="false">IF(BM$8=1,0,BM$247*V_IVArec)</f>
        <v>0</v>
      </c>
      <c r="BN257" s="34" t="n">
        <f aca="false">IF(BN$8=1,0,BN$247*V_IVArec)</f>
        <v>0</v>
      </c>
      <c r="BO257" s="34" t="n">
        <f aca="false">IF(BO$8=1,0,BO$247*V_IVArec)</f>
        <v>0</v>
      </c>
      <c r="BP257" s="34" t="n">
        <f aca="false">IF(BP$8=1,0,BP$247*V_IVArec)</f>
        <v>0</v>
      </c>
      <c r="BQ257" s="34" t="n">
        <f aca="false">IF(BQ$8=1,0,BQ$247*V_IVArec)</f>
        <v>0</v>
      </c>
      <c r="BR257" s="34" t="n">
        <f aca="false">IF(BR$8=1,0,BR$247*V_IVArec)</f>
        <v>0</v>
      </c>
      <c r="BS257" s="34" t="n">
        <f aca="false">IF(BS$8=1,0,BS$247*V_IVArec)</f>
        <v>0</v>
      </c>
      <c r="BT257" s="34" t="n">
        <f aca="false">IF(BT$8=1,0,BT$247*V_IVArec)</f>
        <v>0</v>
      </c>
      <c r="BU257" s="34" t="n">
        <f aca="false">IF(BU$8=1,0,BU$247*V_IVArec)</f>
        <v>0</v>
      </c>
      <c r="BV257" s="34" t="n">
        <f aca="false">IF(BV$8=1,0,BV$247*V_IVArec)</f>
        <v>0</v>
      </c>
      <c r="BW257" s="34" t="n">
        <f aca="false">IF(BW$8=1,0,BW$247*V_IVArec)</f>
        <v>0</v>
      </c>
      <c r="BX257" s="34" t="n">
        <f aca="false">IF(BX$8=1,0,BX$247*V_IVArec)</f>
        <v>0</v>
      </c>
      <c r="BY257" s="34" t="n">
        <f aca="false">IF(BY$8=1,0,BY$247*V_IVArec)</f>
        <v>0</v>
      </c>
      <c r="BZ257" s="34" t="n">
        <f aca="false">IF(BZ$8=1,0,BZ$247*V_IVArec)</f>
        <v>0</v>
      </c>
      <c r="CA257" s="34" t="n">
        <f aca="false">IF(CA$8=1,0,CA$247*V_IVArec)</f>
        <v>0</v>
      </c>
      <c r="CB257" s="34" t="n">
        <f aca="false">IF(CB$8=1,0,CB$247*V_IVArec)</f>
        <v>0</v>
      </c>
      <c r="CC257" s="34" t="n">
        <f aca="false">IF(CC$8=1,0,CC$247*V_IVArec)</f>
        <v>0</v>
      </c>
      <c r="CD257" s="34" t="n">
        <f aca="false">IF(CD$8=1,0,CD$247*V_IVArec)</f>
        <v>0</v>
      </c>
      <c r="CE257" s="34" t="n">
        <f aca="false">IF(CE$8=1,0,CE$247*V_IVArec)</f>
        <v>0</v>
      </c>
      <c r="CF257" s="34" t="n">
        <f aca="false">IF(CF$8=1,0,CF$247*V_IVArec)</f>
        <v>0</v>
      </c>
      <c r="CG257" s="34" t="n">
        <f aca="false">IF(CG$8=1,0,CG$247*V_IVArec)</f>
        <v>0</v>
      </c>
      <c r="CH257" s="34" t="n">
        <f aca="false">IF(CH$8=1,0,CH$247*V_IVArec)</f>
        <v>0</v>
      </c>
      <c r="CI257" s="34" t="n">
        <f aca="false">IF(CI$8=1,0,CI$247*V_IVArec)</f>
        <v>0</v>
      </c>
      <c r="CJ257" s="34" t="n">
        <f aca="false">IF(CJ$8=1,0,CJ$247*V_IVArec)</f>
        <v>0</v>
      </c>
      <c r="CK257" s="34" t="n">
        <f aca="false">IF(CK$8=1,0,CK$247*V_IVArec)</f>
        <v>0</v>
      </c>
      <c r="CL257" s="34" t="n">
        <f aca="false">IF(CL$8=1,0,CL$247*V_IVArec)</f>
        <v>0</v>
      </c>
      <c r="CM257" s="34" t="n">
        <f aca="false">IF(CM$8=1,0,CM$247*V_IVArec)</f>
        <v>0</v>
      </c>
      <c r="CN257" s="34" t="n">
        <f aca="false">IF(CN$8=1,0,CN$247*V_IVArec)</f>
        <v>0</v>
      </c>
      <c r="CO257" s="34" t="n">
        <f aca="false">IF(CO$8=1,0,CO$247*V_IVArec)</f>
        <v>0</v>
      </c>
      <c r="CP257" s="34" t="n">
        <f aca="false">IF(CP$8=1,0,CP$247*V_IVArec)</f>
        <v>0</v>
      </c>
      <c r="CQ257" s="34" t="n">
        <f aca="false">IF(CQ$8=1,0,CQ$247*V_IVArec)</f>
        <v>0</v>
      </c>
      <c r="CR257" s="34" t="n">
        <f aca="false">IF(CR$8=1,0,CR$247*V_IVArec)</f>
        <v>0</v>
      </c>
      <c r="CS257" s="34" t="n">
        <f aca="false">IF(CS$8=1,0,CS$247*V_IVArec)</f>
        <v>0</v>
      </c>
      <c r="CT257" s="34" t="n">
        <f aca="false">IF(CT$8=1,0,CT$247*V_IVArec)</f>
        <v>0</v>
      </c>
      <c r="CU257" s="34" t="n">
        <f aca="false">IF(CU$8=1,0,CU$247*V_IVArec)</f>
        <v>0</v>
      </c>
      <c r="CV257" s="34" t="n">
        <f aca="false">IF(CV$8=1,0,CV$247*V_IVArec)</f>
        <v>0</v>
      </c>
      <c r="CW257" s="34" t="n">
        <f aca="false">IF(CW$8=1,0,CW$247*V_IVArec)</f>
        <v>0</v>
      </c>
      <c r="CX257" s="34" t="n">
        <f aca="false">IF(CX$8=1,0,CX$247*V_IVArec)</f>
        <v>0</v>
      </c>
      <c r="CY257" s="34" t="n">
        <f aca="false">IF(CY$8=1,0,CY$247*V_IVArec)</f>
        <v>0</v>
      </c>
      <c r="CZ257" s="34" t="n">
        <f aca="false">IF(CZ$8=1,0,CZ$247*V_IVArec)</f>
        <v>0</v>
      </c>
      <c r="DA257" s="34" t="n">
        <f aca="false">IF(DA$8=1,0,DA$247*V_IVArec)</f>
        <v>0</v>
      </c>
      <c r="DB257" s="34" t="n">
        <f aca="false">IF(DB$8=1,0,DB$247*V_IVArec)</f>
        <v>0</v>
      </c>
      <c r="DC257" s="34" t="n">
        <f aca="false">IF(DC$8=1,0,DC$247*V_IVArec)</f>
        <v>0</v>
      </c>
      <c r="DD257" s="34" t="n">
        <f aca="false">IF(DD$8=1,0,DD$247*V_IVArec)</f>
        <v>0</v>
      </c>
      <c r="DE257" s="34" t="n">
        <f aca="false">IF(DE$8=1,0,DE$247*V_IVArec)</f>
        <v>0</v>
      </c>
      <c r="DF257" s="34" t="n">
        <f aca="false">IF(DF$8=1,0,DF$247*V_IVArec)</f>
        <v>0</v>
      </c>
      <c r="DG257" s="34" t="n">
        <f aca="false">IF(DG$8=1,0,DG$247*V_IVArec)</f>
        <v>0</v>
      </c>
      <c r="DH257" s="34" t="n">
        <f aca="false">IF(DH$8=1,0,DH$247*V_IVArec)</f>
        <v>0</v>
      </c>
      <c r="DI257" s="34" t="n">
        <f aca="false">IF(DI$8=1,0,DI$247*V_IVArec)</f>
        <v>0</v>
      </c>
      <c r="DJ257" s="34" t="n">
        <f aca="false">IF(DJ$8=1,0,DJ$247*V_IVArec)</f>
        <v>0</v>
      </c>
      <c r="DK257" s="34" t="n">
        <f aca="false">IF(DK$8=1,0,DK$247*V_IVArec)</f>
        <v>0</v>
      </c>
      <c r="DL257" s="34" t="n">
        <f aca="false">IF(DL$8=1,0,DL$247*V_IVArec)</f>
        <v>0</v>
      </c>
      <c r="DM257" s="34" t="n">
        <f aca="false">IF(DM$8=1,0,DM$247*V_IVArec)</f>
        <v>0</v>
      </c>
      <c r="DN257" s="34" t="n">
        <f aca="false">IF(DN$8=1,0,DN$247*V_IVArec)</f>
        <v>0</v>
      </c>
      <c r="DO257" s="34" t="n">
        <f aca="false">IF(DO$8=1,0,DO$247*V_IVArec)</f>
        <v>0</v>
      </c>
      <c r="DP257" s="34" t="n">
        <f aca="false">IF(DP$8=1,0,DP$247*V_IVArec)</f>
        <v>0</v>
      </c>
      <c r="DQ257" s="34" t="n">
        <f aca="false">IF(DQ$8=1,0,DQ$247*V_IVArec)</f>
        <v>0</v>
      </c>
      <c r="DR257" s="34" t="n">
        <f aca="false">IF(DR$8=1,0,DR$247*V_IVArec)</f>
        <v>0</v>
      </c>
      <c r="DS257" s="34" t="n">
        <f aca="false">IF(DS$8=1,0,DS$247*V_IVArec)</f>
        <v>0</v>
      </c>
      <c r="DT257" s="34" t="n">
        <f aca="false">IF(DT$8=1,0,DT$247*V_IVArec)</f>
        <v>0</v>
      </c>
      <c r="DU257" s="34" t="n">
        <f aca="false">IF(DU$8=1,0,DU$247*V_IVArec)</f>
        <v>0</v>
      </c>
      <c r="DV257" s="34" t="n">
        <f aca="false">IF(DV$8=1,0,DV$247*V_IVArec)</f>
        <v>0</v>
      </c>
      <c r="DW257" s="34" t="n">
        <f aca="false">IF(DW$8=1,0,DW$247*V_IVArec)</f>
        <v>0</v>
      </c>
      <c r="DX257" s="34" t="n">
        <f aca="false">IF(DX$8=1,0,DX$247*V_IVArec)</f>
        <v>0</v>
      </c>
      <c r="DY257" s="34" t="n">
        <f aca="false">IF(DY$8=1,0,DY$247*V_IVArec)</f>
        <v>0</v>
      </c>
      <c r="DZ257" s="34" t="n">
        <f aca="false">IF(DZ$8=1,0,DZ$247*V_IVArec)</f>
        <v>0</v>
      </c>
      <c r="EA257" s="34" t="n">
        <f aca="false">IF(EA$8=1,0,EA$247*V_IVArec)</f>
        <v>0</v>
      </c>
      <c r="EB257" s="34" t="n">
        <f aca="false">IF(EB$8=1,0,EB$247*V_IVArec)</f>
        <v>0</v>
      </c>
      <c r="EC257" s="34" t="n">
        <f aca="false">IF(EC$8=1,0,EC$247*V_IVArec)</f>
        <v>0</v>
      </c>
      <c r="ED257" s="34" t="n">
        <f aca="false">IF(ED$8=1,0,ED$247*V_IVArec)</f>
        <v>0</v>
      </c>
      <c r="EE257" s="34" t="n">
        <f aca="false">IF(EE$8=1,0,EE$247*V_IVArec)</f>
        <v>0</v>
      </c>
      <c r="EF257" s="34" t="n">
        <f aca="false">IF(EF$8=1,0,EF$247*V_IVArec)</f>
        <v>0</v>
      </c>
      <c r="EG257" s="34" t="n">
        <f aca="false">IF(EG$8=1,0,EG$247*V_IVArec)</f>
        <v>0</v>
      </c>
      <c r="EH257" s="34" t="n">
        <f aca="false">IF(EH$8=1,0,EH$247*V_IVArec)</f>
        <v>0</v>
      </c>
      <c r="EI257" s="34" t="n">
        <f aca="false">IF(EI$8=1,0,EI$247*V_IVArec)</f>
        <v>0</v>
      </c>
      <c r="EJ257" s="34" t="n">
        <f aca="false">IF(EJ$8=1,0,EJ$247*V_IVArec)</f>
        <v>0</v>
      </c>
      <c r="EK257" s="34" t="n">
        <f aca="false">IF(EK$8=1,0,EK$247*V_IVArec)</f>
        <v>0</v>
      </c>
      <c r="EL257" s="34" t="n">
        <f aca="false">IF(EL$8=1,0,EL$247*V_IVArec)</f>
        <v>0</v>
      </c>
      <c r="EM257" s="34" t="n">
        <f aca="false">IF(EM$8=1,0,EM$247*V_IVArec)</f>
        <v>0</v>
      </c>
      <c r="EN257" s="34" t="n">
        <f aca="false">IF(EN$8=1,0,EN$247*V_IVArec)</f>
        <v>0</v>
      </c>
      <c r="EO257" s="34" t="n">
        <f aca="false">IF(EO$8=1,0,EO$247*V_IVArec)</f>
        <v>0</v>
      </c>
      <c r="EP257" s="34" t="n">
        <f aca="false">IF(EP$8=1,0,EP$247*V_IVArec)</f>
        <v>0</v>
      </c>
      <c r="EQ257" s="34" t="n">
        <f aca="false">IF(EQ$8=1,0,EQ$247*V_IVArec)</f>
        <v>0</v>
      </c>
      <c r="ER257" s="34" t="n">
        <f aca="false">IF(ER$8=1,0,ER$247*V_IVArec)</f>
        <v>0</v>
      </c>
      <c r="ES257" s="34" t="n">
        <f aca="false">IF(ES$8=1,0,ES$247*V_IVArec)</f>
        <v>0</v>
      </c>
    </row>
    <row r="258" customFormat="false" ht="15" hidden="false" customHeight="false" outlineLevel="0" collapsed="false">
      <c r="A258" s="2" t="s">
        <v>898</v>
      </c>
      <c r="B258" s="52" t="s">
        <v>251</v>
      </c>
      <c r="C258" s="6" t="s">
        <v>250</v>
      </c>
      <c r="E258" s="40" t="n">
        <f aca="false">SUM(F258:ES258)</f>
        <v>16309504.016261</v>
      </c>
      <c r="F258" s="10" t="n">
        <f aca="false">F$253-F$254-F$255-F$256+F$257</f>
        <v>42497.5004755897</v>
      </c>
      <c r="G258" s="10" t="n">
        <f aca="false">G$253-G$254-G$255-G$256+G$257</f>
        <v>42497.5004755897</v>
      </c>
      <c r="H258" s="10" t="n">
        <f aca="false">H$253-H$254-H$255-H$256+H$257</f>
        <v>42497.5004755897</v>
      </c>
      <c r="I258" s="10" t="n">
        <f aca="false">I$253-I$254-I$255-I$256+I$257</f>
        <v>42497.5004755897</v>
      </c>
      <c r="J258" s="10" t="n">
        <f aca="false">J$253-J$254-J$255-J$256+J$257</f>
        <v>42497.5004755897</v>
      </c>
      <c r="K258" s="10" t="n">
        <f aca="false">K$253-K$254-K$255-K$256+K$257</f>
        <v>42497.5004755897</v>
      </c>
      <c r="L258" s="10" t="n">
        <f aca="false">L$253-L$254-L$255-L$256+L$257</f>
        <v>42497.5004755897</v>
      </c>
      <c r="M258" s="10" t="n">
        <f aca="false">M$253-M$254-M$255-M$256+M$257</f>
        <v>42497.5004755897</v>
      </c>
      <c r="N258" s="10" t="n">
        <f aca="false">N$253-N$254-N$255-N$256+N$257</f>
        <v>42497.5004755897</v>
      </c>
      <c r="O258" s="10" t="n">
        <f aca="false">O$253-O$254-O$255-O$256+O$257</f>
        <v>42497.5004755897</v>
      </c>
      <c r="P258" s="10" t="n">
        <f aca="false">P$253-P$254-P$255-P$256+P$257</f>
        <v>42497.5004755897</v>
      </c>
      <c r="Q258" s="10" t="n">
        <f aca="false">Q$253-Q$254-Q$255-Q$256+Q$257</f>
        <v>42497.5004755897</v>
      </c>
      <c r="R258" s="10" t="n">
        <f aca="false">R$253-R$254-R$255-R$256+R$257</f>
        <v>80496.4029939648</v>
      </c>
      <c r="S258" s="10" t="n">
        <f aca="false">S$253-S$254-S$255-S$256+S$257</f>
        <v>80496.4029939648</v>
      </c>
      <c r="T258" s="10" t="n">
        <f aca="false">T$253-T$254-T$255-T$256+T$257</f>
        <v>80496.4029939648</v>
      </c>
      <c r="U258" s="10" t="n">
        <f aca="false">U$253-U$254-U$255-U$256+U$257</f>
        <v>80496.4029939648</v>
      </c>
      <c r="V258" s="10" t="n">
        <f aca="false">V$253-V$254-V$255-V$256+V$257</f>
        <v>80496.4029939648</v>
      </c>
      <c r="W258" s="10" t="n">
        <f aca="false">W$253-W$254-W$255-W$256+W$257</f>
        <v>80496.4029939648</v>
      </c>
      <c r="X258" s="10" t="n">
        <f aca="false">X$253-X$254-X$255-X$256+X$257</f>
        <v>80496.4029939648</v>
      </c>
      <c r="Y258" s="10" t="n">
        <f aca="false">Y$253-Y$254-Y$255-Y$256+Y$257</f>
        <v>80496.4029939648</v>
      </c>
      <c r="Z258" s="10" t="n">
        <f aca="false">Z$253-Z$254-Z$255-Z$256+Z$257</f>
        <v>80496.4029939648</v>
      </c>
      <c r="AA258" s="10" t="n">
        <f aca="false">AA$253-AA$254-AA$255-AA$256+AA$257</f>
        <v>80496.4029939648</v>
      </c>
      <c r="AB258" s="10" t="n">
        <f aca="false">AB$253-AB$254-AB$255-AB$256+AB$257</f>
        <v>80496.4029939648</v>
      </c>
      <c r="AC258" s="10" t="n">
        <f aca="false">AC$253-AC$254-AC$255-AC$256+AC$257</f>
        <v>80496.4029939648</v>
      </c>
      <c r="AD258" s="10" t="n">
        <f aca="false">AD$253-AD$254-AD$255-AD$256+AD$257</f>
        <v>117085.030865125</v>
      </c>
      <c r="AE258" s="10" t="n">
        <f aca="false">AE$253-AE$254-AE$255-AE$256+AE$257</f>
        <v>117085.030865125</v>
      </c>
      <c r="AF258" s="10" t="n">
        <f aca="false">AF$253-AF$254-AF$255-AF$256+AF$257</f>
        <v>117085.030865125</v>
      </c>
      <c r="AG258" s="10" t="n">
        <f aca="false">AG$253-AG$254-AG$255-AG$256+AG$257</f>
        <v>117085.030865125</v>
      </c>
      <c r="AH258" s="10" t="n">
        <f aca="false">AH$253-AH$254-AH$255-AH$256+AH$257</f>
        <v>117085.030865125</v>
      </c>
      <c r="AI258" s="10" t="n">
        <f aca="false">AI$253-AI$254-AI$255-AI$256+AI$257</f>
        <v>117085.030865125</v>
      </c>
      <c r="AJ258" s="10" t="n">
        <f aca="false">AJ$253-AJ$254-AJ$255-AJ$256+AJ$257</f>
        <v>117085.030865125</v>
      </c>
      <c r="AK258" s="10" t="n">
        <f aca="false">AK$253-AK$254-AK$255-AK$256+AK$257</f>
        <v>117085.030865125</v>
      </c>
      <c r="AL258" s="10" t="n">
        <f aca="false">AL$253-AL$254-AL$255-AL$256+AL$257</f>
        <v>117085.030865125</v>
      </c>
      <c r="AM258" s="10" t="n">
        <f aca="false">AM$253-AM$254-AM$255-AM$256+AM$257</f>
        <v>117085.030865125</v>
      </c>
      <c r="AN258" s="10" t="n">
        <f aca="false">AN$253-AN$254-AN$255-AN$256+AN$257</f>
        <v>117085.030865125</v>
      </c>
      <c r="AO258" s="10" t="n">
        <f aca="false">AO$253-AO$254-AO$255-AO$256+AO$257</f>
        <v>117085.030865125</v>
      </c>
      <c r="AP258" s="10" t="n">
        <f aca="false">AP$253-AP$254-AP$255-AP$256+AP$257</f>
        <v>149893.579879858</v>
      </c>
      <c r="AQ258" s="10" t="n">
        <f aca="false">AQ$253-AQ$254-AQ$255-AQ$256+AQ$257</f>
        <v>149893.579879858</v>
      </c>
      <c r="AR258" s="10" t="n">
        <f aca="false">AR$253-AR$254-AR$255-AR$256+AR$257</f>
        <v>149893.579879858</v>
      </c>
      <c r="AS258" s="10" t="n">
        <f aca="false">AS$253-AS$254-AS$255-AS$256+AS$257</f>
        <v>149893.579879858</v>
      </c>
      <c r="AT258" s="10" t="n">
        <f aca="false">AT$253-AT$254-AT$255-AT$256+AT$257</f>
        <v>149893.579879858</v>
      </c>
      <c r="AU258" s="10" t="n">
        <f aca="false">AU$253-AU$254-AU$255-AU$256+AU$257</f>
        <v>149893.579879858</v>
      </c>
      <c r="AV258" s="10" t="n">
        <f aca="false">AV$253-AV$254-AV$255-AV$256+AV$257</f>
        <v>149893.579879858</v>
      </c>
      <c r="AW258" s="10" t="n">
        <f aca="false">AW$253-AW$254-AW$255-AW$256+AW$257</f>
        <v>149893.579879858</v>
      </c>
      <c r="AX258" s="10" t="n">
        <f aca="false">AX$253-AX$254-AX$255-AX$256+AX$257</f>
        <v>149893.579879858</v>
      </c>
      <c r="AY258" s="10" t="n">
        <f aca="false">AY$253-AY$254-AY$255-AY$256+AY$257</f>
        <v>149893.579879858</v>
      </c>
      <c r="AZ258" s="10" t="n">
        <f aca="false">AZ$253-AZ$254-AZ$255-AZ$256+AZ$257</f>
        <v>149893.579879858</v>
      </c>
      <c r="BA258" s="10" t="n">
        <f aca="false">BA$253-BA$254-BA$255-BA$256+BA$257</f>
        <v>149893.579879858</v>
      </c>
      <c r="BB258" s="10" t="n">
        <f aca="false">BB$253-BB$254-BB$255-BB$256+BB$257</f>
        <v>151213.164876374</v>
      </c>
      <c r="BC258" s="10" t="n">
        <f aca="false">BC$253-BC$254-BC$255-BC$256+BC$257</f>
        <v>151213.164876374</v>
      </c>
      <c r="BD258" s="10" t="n">
        <f aca="false">BD$253-BD$254-BD$255-BD$256+BD$257</f>
        <v>151213.164876374</v>
      </c>
      <c r="BE258" s="10" t="n">
        <f aca="false">BE$253-BE$254-BE$255-BE$256+BE$257</f>
        <v>151213.164876374</v>
      </c>
      <c r="BF258" s="10" t="n">
        <f aca="false">BF$253-BF$254-BF$255-BF$256+BF$257</f>
        <v>151213.164876374</v>
      </c>
      <c r="BG258" s="10" t="n">
        <f aca="false">BG$253-BG$254-BG$255-BG$256+BG$257</f>
        <v>151213.164876374</v>
      </c>
      <c r="BH258" s="10" t="n">
        <f aca="false">BH$253-BH$254-BH$255-BH$256+BH$257</f>
        <v>151213.164876374</v>
      </c>
      <c r="BI258" s="10" t="n">
        <f aca="false">BI$253-BI$254-BI$255-BI$256+BI$257</f>
        <v>151213.164876374</v>
      </c>
      <c r="BJ258" s="10" t="n">
        <f aca="false">BJ$253-BJ$254-BJ$255-BJ$256+BJ$257</f>
        <v>151213.164876374</v>
      </c>
      <c r="BK258" s="10" t="n">
        <f aca="false">BK$253-BK$254-BK$255-BK$256+BK$257</f>
        <v>151213.164876374</v>
      </c>
      <c r="BL258" s="10" t="n">
        <f aca="false">BL$253-BL$254-BL$255-BL$256+BL$257</f>
        <v>151213.164876374</v>
      </c>
      <c r="BM258" s="10" t="n">
        <f aca="false">BM$253-BM$254-BM$255-BM$256+BM$257</f>
        <v>151213.164876374</v>
      </c>
      <c r="BN258" s="10" t="n">
        <f aca="false">BN$253-BN$254-BN$255-BN$256+BN$257</f>
        <v>155300.441797826</v>
      </c>
      <c r="BO258" s="10" t="n">
        <f aca="false">BO$253-BO$254-BO$255-BO$256+BO$257</f>
        <v>155300.441797826</v>
      </c>
      <c r="BP258" s="10" t="n">
        <f aca="false">BP$253-BP$254-BP$255-BP$256+BP$257</f>
        <v>155300.441797826</v>
      </c>
      <c r="BQ258" s="10" t="n">
        <f aca="false">BQ$253-BQ$254-BQ$255-BQ$256+BQ$257</f>
        <v>155300.441797826</v>
      </c>
      <c r="BR258" s="10" t="n">
        <f aca="false">BR$253-BR$254-BR$255-BR$256+BR$257</f>
        <v>155300.441797826</v>
      </c>
      <c r="BS258" s="10" t="n">
        <f aca="false">BS$253-BS$254-BS$255-BS$256+BS$257</f>
        <v>155300.441797826</v>
      </c>
      <c r="BT258" s="10" t="n">
        <f aca="false">BT$253-BT$254-BT$255-BT$256+BT$257</f>
        <v>155300.441797826</v>
      </c>
      <c r="BU258" s="10" t="n">
        <f aca="false">BU$253-BU$254-BU$255-BU$256+BU$257</f>
        <v>155300.441797826</v>
      </c>
      <c r="BV258" s="10" t="n">
        <f aca="false">BV$253-BV$254-BV$255-BV$256+BV$257</f>
        <v>155300.441797826</v>
      </c>
      <c r="BW258" s="10" t="n">
        <f aca="false">BW$253-BW$254-BW$255-BW$256+BW$257</f>
        <v>155300.441797826</v>
      </c>
      <c r="BX258" s="10" t="n">
        <f aca="false">BX$253-BX$254-BX$255-BX$256+BX$257</f>
        <v>155300.441797826</v>
      </c>
      <c r="BY258" s="10" t="n">
        <f aca="false">BY$253-BY$254-BY$255-BY$256+BY$257</f>
        <v>155300.441797826</v>
      </c>
      <c r="BZ258" s="10" t="n">
        <f aca="false">BZ$253-BZ$254-BZ$255-BZ$256+BZ$257</f>
        <v>159416.0224894</v>
      </c>
      <c r="CA258" s="10" t="n">
        <f aca="false">CA$253-CA$254-CA$255-CA$256+CA$257</f>
        <v>159416.0224894</v>
      </c>
      <c r="CB258" s="10" t="n">
        <f aca="false">CB$253-CB$254-CB$255-CB$256+CB$257</f>
        <v>159416.0224894</v>
      </c>
      <c r="CC258" s="10" t="n">
        <f aca="false">CC$253-CC$254-CC$255-CC$256+CC$257</f>
        <v>159416.0224894</v>
      </c>
      <c r="CD258" s="10" t="n">
        <f aca="false">CD$253-CD$254-CD$255-CD$256+CD$257</f>
        <v>159416.0224894</v>
      </c>
      <c r="CE258" s="10" t="n">
        <f aca="false">CE$253-CE$254-CE$255-CE$256+CE$257</f>
        <v>159416.0224894</v>
      </c>
      <c r="CF258" s="10" t="n">
        <f aca="false">CF$253-CF$254-CF$255-CF$256+CF$257</f>
        <v>159416.0224894</v>
      </c>
      <c r="CG258" s="10" t="n">
        <f aca="false">CG$253-CG$254-CG$255-CG$256+CG$257</f>
        <v>159416.0224894</v>
      </c>
      <c r="CH258" s="10" t="n">
        <f aca="false">CH$253-CH$254-CH$255-CH$256+CH$257</f>
        <v>159416.0224894</v>
      </c>
      <c r="CI258" s="10" t="n">
        <f aca="false">CI$253-CI$254-CI$255-CI$256+CI$257</f>
        <v>159416.0224894</v>
      </c>
      <c r="CJ258" s="10" t="n">
        <f aca="false">CJ$253-CJ$254-CJ$255-CJ$256+CJ$257</f>
        <v>159416.0224894</v>
      </c>
      <c r="CK258" s="10" t="n">
        <f aca="false">CK$253-CK$254-CK$255-CK$256+CK$257</f>
        <v>159416.0224894</v>
      </c>
      <c r="CL258" s="10" t="n">
        <f aca="false">CL$253-CL$254-CL$255-CL$256+CL$257</f>
        <v>163559.818546288</v>
      </c>
      <c r="CM258" s="10" t="n">
        <f aca="false">CM$253-CM$254-CM$255-CM$256+CM$257</f>
        <v>163559.818546288</v>
      </c>
      <c r="CN258" s="10" t="n">
        <f aca="false">CN$253-CN$254-CN$255-CN$256+CN$257</f>
        <v>163559.818546288</v>
      </c>
      <c r="CO258" s="10" t="n">
        <f aca="false">CO$253-CO$254-CO$255-CO$256+CO$257</f>
        <v>163559.818546288</v>
      </c>
      <c r="CP258" s="10" t="n">
        <f aca="false">CP$253-CP$254-CP$255-CP$256+CP$257</f>
        <v>163559.818546288</v>
      </c>
      <c r="CQ258" s="10" t="n">
        <f aca="false">CQ$253-CQ$254-CQ$255-CQ$256+CQ$257</f>
        <v>163559.818546288</v>
      </c>
      <c r="CR258" s="10" t="n">
        <f aca="false">CR$253-CR$254-CR$255-CR$256+CR$257</f>
        <v>163559.818546288</v>
      </c>
      <c r="CS258" s="10" t="n">
        <f aca="false">CS$253-CS$254-CS$255-CS$256+CS$257</f>
        <v>163559.818546288</v>
      </c>
      <c r="CT258" s="10" t="n">
        <f aca="false">CT$253-CT$254-CT$255-CT$256+CT$257</f>
        <v>163559.818546288</v>
      </c>
      <c r="CU258" s="10" t="n">
        <f aca="false">CU$253-CU$254-CU$255-CU$256+CU$257</f>
        <v>163559.818546288</v>
      </c>
      <c r="CV258" s="10" t="n">
        <f aca="false">CV$253-CV$254-CV$255-CV$256+CV$257</f>
        <v>163559.818546288</v>
      </c>
      <c r="CW258" s="10" t="n">
        <f aca="false">CW$253-CW$254-CW$255-CW$256+CW$257</f>
        <v>163559.818546288</v>
      </c>
      <c r="CX258" s="10" t="n">
        <f aca="false">CX$253-CX$254-CX$255-CX$256+CX$257</f>
        <v>167731.729648908</v>
      </c>
      <c r="CY258" s="10" t="n">
        <f aca="false">CY$253-CY$254-CY$255-CY$256+CY$257</f>
        <v>167731.729648908</v>
      </c>
      <c r="CZ258" s="10" t="n">
        <f aca="false">CZ$253-CZ$254-CZ$255-CZ$256+CZ$257</f>
        <v>167731.729648908</v>
      </c>
      <c r="DA258" s="10" t="n">
        <f aca="false">DA$253-DA$254-DA$255-DA$256+DA$257</f>
        <v>167731.729648908</v>
      </c>
      <c r="DB258" s="10" t="n">
        <f aca="false">DB$253-DB$254-DB$255-DB$256+DB$257</f>
        <v>167731.729648908</v>
      </c>
      <c r="DC258" s="10" t="n">
        <f aca="false">DC$253-DC$254-DC$255-DC$256+DC$257</f>
        <v>167731.729648908</v>
      </c>
      <c r="DD258" s="10" t="n">
        <f aca="false">DD$253-DD$254-DD$255-DD$256+DD$257</f>
        <v>167731.729648908</v>
      </c>
      <c r="DE258" s="10" t="n">
        <f aca="false">DE$253-DE$254-DE$255-DE$256+DE$257</f>
        <v>167731.729648908</v>
      </c>
      <c r="DF258" s="10" t="n">
        <f aca="false">DF$253-DF$254-DF$255-DF$256+DF$257</f>
        <v>167731.729648908</v>
      </c>
      <c r="DG258" s="10" t="n">
        <f aca="false">DG$253-DG$254-DG$255-DG$256+DG$257</f>
        <v>167731.729648908</v>
      </c>
      <c r="DH258" s="10" t="n">
        <f aca="false">DH$253-DH$254-DH$255-DH$256+DH$257</f>
        <v>167731.729648908</v>
      </c>
      <c r="DI258" s="10" t="n">
        <f aca="false">DI$253-DI$254-DI$255-DI$256+DI$257</f>
        <v>167731.729648908</v>
      </c>
      <c r="DJ258" s="10" t="n">
        <f aca="false">DJ$253-DJ$254-DJ$255-DJ$256+DJ$257</f>
        <v>171931.643115086</v>
      </c>
      <c r="DK258" s="10" t="n">
        <f aca="false">DK$253-DK$254-DK$255-DK$256+DK$257</f>
        <v>171931.643115086</v>
      </c>
      <c r="DL258" s="10" t="n">
        <f aca="false">DL$253-DL$254-DL$255-DL$256+DL$257</f>
        <v>171931.643115086</v>
      </c>
      <c r="DM258" s="10" t="n">
        <f aca="false">DM$253-DM$254-DM$255-DM$256+DM$257</f>
        <v>171931.643115086</v>
      </c>
      <c r="DN258" s="10" t="n">
        <f aca="false">DN$253-DN$254-DN$255-DN$256+DN$257</f>
        <v>171931.643115086</v>
      </c>
      <c r="DO258" s="10" t="n">
        <f aca="false">DO$253-DO$254-DO$255-DO$256+DO$257</f>
        <v>171931.643115086</v>
      </c>
      <c r="DP258" s="10" t="n">
        <f aca="false">DP$253-DP$254-DP$255-DP$256+DP$257</f>
        <v>171931.643115086</v>
      </c>
      <c r="DQ258" s="10" t="n">
        <f aca="false">DQ$253-DQ$254-DQ$255-DQ$256+DQ$257</f>
        <v>171931.643115086</v>
      </c>
      <c r="DR258" s="10" t="n">
        <f aca="false">DR$253-DR$254-DR$255-DR$256+DR$257</f>
        <v>171931.643115086</v>
      </c>
      <c r="DS258" s="10" t="n">
        <f aca="false">DS$253-DS$254-DS$255-DS$256+DS$257</f>
        <v>171931.643115086</v>
      </c>
      <c r="DT258" s="10" t="n">
        <f aca="false">DT$253-DT$254-DT$255-DT$256+DT$257</f>
        <v>171931.643115086</v>
      </c>
      <c r="DU258" s="10" t="n">
        <f aca="false">DU$253-DU$254-DU$255-DU$256+DU$257</f>
        <v>171931.643115086</v>
      </c>
      <c r="DV258" s="10" t="n">
        <f aca="false">DV$253-DV$254-DV$255-DV$256+DV$257</f>
        <v>0</v>
      </c>
      <c r="DW258" s="10" t="n">
        <f aca="false">DW$253-DW$254-DW$255-DW$256+DW$257</f>
        <v>0</v>
      </c>
      <c r="DX258" s="10" t="n">
        <f aca="false">DX$253-DX$254-DX$255-DX$256+DX$257</f>
        <v>0</v>
      </c>
      <c r="DY258" s="10" t="n">
        <f aca="false">DY$253-DY$254-DY$255-DY$256+DY$257</f>
        <v>0</v>
      </c>
      <c r="DZ258" s="10" t="n">
        <f aca="false">DZ$253-DZ$254-DZ$255-DZ$256+DZ$257</f>
        <v>0</v>
      </c>
      <c r="EA258" s="10" t="n">
        <f aca="false">EA$253-EA$254-EA$255-EA$256+EA$257</f>
        <v>0</v>
      </c>
      <c r="EB258" s="10" t="n">
        <f aca="false">EB$253-EB$254-EB$255-EB$256+EB$257</f>
        <v>0</v>
      </c>
      <c r="EC258" s="10" t="n">
        <f aca="false">EC$253-EC$254-EC$255-EC$256+EC$257</f>
        <v>0</v>
      </c>
      <c r="ED258" s="10" t="n">
        <f aca="false">ED$253-ED$254-ED$255-ED$256+ED$257</f>
        <v>0</v>
      </c>
      <c r="EE258" s="10" t="n">
        <f aca="false">EE$253-EE$254-EE$255-EE$256+EE$257</f>
        <v>0</v>
      </c>
      <c r="EF258" s="10" t="n">
        <f aca="false">EF$253-EF$254-EF$255-EF$256+EF$257</f>
        <v>0</v>
      </c>
      <c r="EG258" s="10" t="n">
        <f aca="false">EG$253-EG$254-EG$255-EG$256+EG$257</f>
        <v>0</v>
      </c>
      <c r="EH258" s="10" t="n">
        <f aca="false">EH$253-EH$254-EH$255-EH$256+EH$257</f>
        <v>0</v>
      </c>
      <c r="EI258" s="10" t="n">
        <f aca="false">EI$253-EI$254-EI$255-EI$256+EI$257</f>
        <v>0</v>
      </c>
      <c r="EJ258" s="10" t="n">
        <f aca="false">EJ$253-EJ$254-EJ$255-EJ$256+EJ$257</f>
        <v>0</v>
      </c>
      <c r="EK258" s="10" t="n">
        <f aca="false">EK$253-EK$254-EK$255-EK$256+EK$257</f>
        <v>0</v>
      </c>
      <c r="EL258" s="10" t="n">
        <f aca="false">EL$253-EL$254-EL$255-EL$256+EL$257</f>
        <v>0</v>
      </c>
      <c r="EM258" s="10" t="n">
        <f aca="false">EM$253-EM$254-EM$255-EM$256+EM$257</f>
        <v>0</v>
      </c>
      <c r="EN258" s="10" t="n">
        <f aca="false">EN$253-EN$254-EN$255-EN$256+EN$257</f>
        <v>0</v>
      </c>
      <c r="EO258" s="10" t="n">
        <f aca="false">EO$253-EO$254-EO$255-EO$256+EO$257</f>
        <v>0</v>
      </c>
      <c r="EP258" s="10" t="n">
        <f aca="false">EP$253-EP$254-EP$255-EP$256+EP$257</f>
        <v>0</v>
      </c>
      <c r="EQ258" s="10" t="n">
        <f aca="false">EQ$253-EQ$254-EQ$255-EQ$256+EQ$257</f>
        <v>0</v>
      </c>
      <c r="ER258" s="10" t="n">
        <f aca="false">ER$253-ER$254-ER$255-ER$256+ER$257</f>
        <v>0</v>
      </c>
      <c r="ES258" s="10" t="n">
        <f aca="false">ES$253-ES$254-ES$255-ES$256+ES$257</f>
        <v>0</v>
      </c>
    </row>
    <row r="259" customFormat="false" ht="15" hidden="false" customHeight="false" outlineLevel="0" collapsed="false">
      <c r="A259" s="2" t="s">
        <v>899</v>
      </c>
      <c r="B259" s="6" t="s">
        <v>695</v>
      </c>
      <c r="C259" s="6" t="s">
        <v>250</v>
      </c>
      <c r="E259" s="40" t="n">
        <f aca="false">SUM(F259:ES259)</f>
        <v>745044.09</v>
      </c>
      <c r="F259" s="34" t="n">
        <f aca="false">SUMPRODUCT((Inv_CF*F$8+Inv_BaseV*(1-F$8))*(Inv_F&gt;0)*(1&gt;=Inv_SvcV)*(1&lt;Inv_SvcV+Inv_F*12)/(Inv_F*12+(Inv_F=0)))*F$9</f>
        <v>5966.01741666667</v>
      </c>
      <c r="G259" s="34" t="n">
        <f aca="false">SUMPRODUCT((Inv_CF*G$8+Inv_BaseV*(1-G$8))*(Inv_F&gt;0)*(2&gt;=Inv_SvcV)*(2&lt;Inv_SvcV+Inv_F*12)/(Inv_F*12+(Inv_F=0)))*G$9</f>
        <v>5966.01741666667</v>
      </c>
      <c r="H259" s="34" t="n">
        <f aca="false">SUMPRODUCT((Inv_CF*H$8+Inv_BaseV*(1-H$8))*(Inv_F&gt;0)*(3&gt;=Inv_SvcV)*(3&lt;Inv_SvcV+Inv_F*12)/(Inv_F*12+(Inv_F=0)))*H$9</f>
        <v>5966.01741666667</v>
      </c>
      <c r="I259" s="34" t="n">
        <f aca="false">SUMPRODUCT((Inv_CF*I$8+Inv_BaseV*(1-I$8))*(Inv_F&gt;0)*(4&gt;=Inv_SvcV)*(4&lt;Inv_SvcV+Inv_F*12)/(Inv_F*12+(Inv_F=0)))*I$9</f>
        <v>5966.01741666667</v>
      </c>
      <c r="J259" s="34" t="n">
        <f aca="false">SUMPRODUCT((Inv_CF*J$8+Inv_BaseV*(1-J$8))*(Inv_F&gt;0)*(5&gt;=Inv_SvcV)*(5&lt;Inv_SvcV+Inv_F*12)/(Inv_F*12+(Inv_F=0)))*J$9</f>
        <v>5966.01741666667</v>
      </c>
      <c r="K259" s="34" t="n">
        <f aca="false">SUMPRODUCT((Inv_CF*K$8+Inv_BaseV*(1-K$8))*(Inv_F&gt;0)*(6&gt;=Inv_SvcV)*(6&lt;Inv_SvcV+Inv_F*12)/(Inv_F*12+(Inv_F=0)))*K$9</f>
        <v>5966.01741666667</v>
      </c>
      <c r="L259" s="34" t="n">
        <f aca="false">SUMPRODUCT((Inv_CF*L$8+Inv_BaseV*(1-L$8))*(Inv_F&gt;0)*(7&gt;=Inv_SvcV)*(7&lt;Inv_SvcV+Inv_F*12)/(Inv_F*12+(Inv_F=0)))*L$9</f>
        <v>5966.01741666667</v>
      </c>
      <c r="M259" s="34" t="n">
        <f aca="false">SUMPRODUCT((Inv_CF*M$8+Inv_BaseV*(1-M$8))*(Inv_F&gt;0)*(8&gt;=Inv_SvcV)*(8&lt;Inv_SvcV+Inv_F*12)/(Inv_F*12+(Inv_F=0)))*M$9</f>
        <v>5966.01741666667</v>
      </c>
      <c r="N259" s="34" t="n">
        <f aca="false">SUMPRODUCT((Inv_CF*N$8+Inv_BaseV*(1-N$8))*(Inv_F&gt;0)*(9&gt;=Inv_SvcV)*(9&lt;Inv_SvcV+Inv_F*12)/(Inv_F*12+(Inv_F=0)))*N$9</f>
        <v>5966.01741666667</v>
      </c>
      <c r="O259" s="34" t="n">
        <f aca="false">SUMPRODUCT((Inv_CF*O$8+Inv_BaseV*(1-O$8))*(Inv_F&gt;0)*(10&gt;=Inv_SvcV)*(10&lt;Inv_SvcV+Inv_F*12)/(Inv_F*12+(Inv_F=0)))*O$9</f>
        <v>5966.01741666667</v>
      </c>
      <c r="P259" s="34" t="n">
        <f aca="false">SUMPRODUCT((Inv_CF*P$8+Inv_BaseV*(1-P$8))*(Inv_F&gt;0)*(11&gt;=Inv_SvcV)*(11&lt;Inv_SvcV+Inv_F*12)/(Inv_F*12+(Inv_F=0)))*P$9</f>
        <v>5966.01741666667</v>
      </c>
      <c r="Q259" s="34" t="n">
        <f aca="false">SUMPRODUCT((Inv_CF*Q$8+Inv_BaseV*(1-Q$8))*(Inv_F&gt;0)*(12&gt;=Inv_SvcV)*(12&lt;Inv_SvcV+Inv_F*12)/(Inv_F*12+(Inv_F=0)))*Q$9</f>
        <v>5966.01741666667</v>
      </c>
      <c r="R259" s="34" t="n">
        <f aca="false">SUMPRODUCT((Inv_CF*R$8+Inv_BaseV*(1-R$8))*(Inv_F&gt;0)*(13&gt;=Inv_SvcV)*(13&lt;Inv_SvcV+Inv_F*12)/(Inv_F*12+(Inv_F=0)))*R$9</f>
        <v>6799.35075</v>
      </c>
      <c r="S259" s="34" t="n">
        <f aca="false">SUMPRODUCT((Inv_CF*S$8+Inv_BaseV*(1-S$8))*(Inv_F&gt;0)*(14&gt;=Inv_SvcV)*(14&lt;Inv_SvcV+Inv_F*12)/(Inv_F*12+(Inv_F=0)))*S$9</f>
        <v>6799.35075</v>
      </c>
      <c r="T259" s="34" t="n">
        <f aca="false">SUMPRODUCT((Inv_CF*T$8+Inv_BaseV*(1-T$8))*(Inv_F&gt;0)*(15&gt;=Inv_SvcV)*(15&lt;Inv_SvcV+Inv_F*12)/(Inv_F*12+(Inv_F=0)))*T$9</f>
        <v>6799.35075</v>
      </c>
      <c r="U259" s="34" t="n">
        <f aca="false">SUMPRODUCT((Inv_CF*U$8+Inv_BaseV*(1-U$8))*(Inv_F&gt;0)*(16&gt;=Inv_SvcV)*(16&lt;Inv_SvcV+Inv_F*12)/(Inv_F*12+(Inv_F=0)))*U$9</f>
        <v>6799.35075</v>
      </c>
      <c r="V259" s="34" t="n">
        <f aca="false">SUMPRODUCT((Inv_CF*V$8+Inv_BaseV*(1-V$8))*(Inv_F&gt;0)*(17&gt;=Inv_SvcV)*(17&lt;Inv_SvcV+Inv_F*12)/(Inv_F*12+(Inv_F=0)))*V$9</f>
        <v>6799.35075</v>
      </c>
      <c r="W259" s="34" t="n">
        <f aca="false">SUMPRODUCT((Inv_CF*W$8+Inv_BaseV*(1-W$8))*(Inv_F&gt;0)*(18&gt;=Inv_SvcV)*(18&lt;Inv_SvcV+Inv_F*12)/(Inv_F*12+(Inv_F=0)))*W$9</f>
        <v>6799.35075</v>
      </c>
      <c r="X259" s="34" t="n">
        <f aca="false">SUMPRODUCT((Inv_CF*X$8+Inv_BaseV*(1-X$8))*(Inv_F&gt;0)*(19&gt;=Inv_SvcV)*(19&lt;Inv_SvcV+Inv_F*12)/(Inv_F*12+(Inv_F=0)))*X$9</f>
        <v>6799.35075</v>
      </c>
      <c r="Y259" s="34" t="n">
        <f aca="false">SUMPRODUCT((Inv_CF*Y$8+Inv_BaseV*(1-Y$8))*(Inv_F&gt;0)*(20&gt;=Inv_SvcV)*(20&lt;Inv_SvcV+Inv_F*12)/(Inv_F*12+(Inv_F=0)))*Y$9</f>
        <v>6799.35075</v>
      </c>
      <c r="Z259" s="34" t="n">
        <f aca="false">SUMPRODUCT((Inv_CF*Z$8+Inv_BaseV*(1-Z$8))*(Inv_F&gt;0)*(21&gt;=Inv_SvcV)*(21&lt;Inv_SvcV+Inv_F*12)/(Inv_F*12+(Inv_F=0)))*Z$9</f>
        <v>6799.35075</v>
      </c>
      <c r="AA259" s="34" t="n">
        <f aca="false">SUMPRODUCT((Inv_CF*AA$8+Inv_BaseV*(1-AA$8))*(Inv_F&gt;0)*(22&gt;=Inv_SvcV)*(22&lt;Inv_SvcV+Inv_F*12)/(Inv_F*12+(Inv_F=0)))*AA$9</f>
        <v>6799.35075</v>
      </c>
      <c r="AB259" s="34" t="n">
        <f aca="false">SUMPRODUCT((Inv_CF*AB$8+Inv_BaseV*(1-AB$8))*(Inv_F&gt;0)*(23&gt;=Inv_SvcV)*(23&lt;Inv_SvcV+Inv_F*12)/(Inv_F*12+(Inv_F=0)))*AB$9</f>
        <v>6799.35075</v>
      </c>
      <c r="AC259" s="34" t="n">
        <f aca="false">SUMPRODUCT((Inv_CF*AC$8+Inv_BaseV*(1-AC$8))*(Inv_F&gt;0)*(24&gt;=Inv_SvcV)*(24&lt;Inv_SvcV+Inv_F*12)/(Inv_F*12+(Inv_F=0)))*AC$9</f>
        <v>6799.35075</v>
      </c>
      <c r="AD259" s="34" t="n">
        <f aca="false">SUMPRODUCT((Inv_CF*AD$8+Inv_BaseV*(1-AD$8))*(Inv_F&gt;0)*(25&gt;=Inv_SvcV)*(25&lt;Inv_SvcV+Inv_F*12)/(Inv_F*12+(Inv_F=0)))*AD$9</f>
        <v>6799.35075</v>
      </c>
      <c r="AE259" s="34" t="n">
        <f aca="false">SUMPRODUCT((Inv_CF*AE$8+Inv_BaseV*(1-AE$8))*(Inv_F&gt;0)*(26&gt;=Inv_SvcV)*(26&lt;Inv_SvcV+Inv_F*12)/(Inv_F*12+(Inv_F=0)))*AE$9</f>
        <v>6799.35075</v>
      </c>
      <c r="AF259" s="34" t="n">
        <f aca="false">SUMPRODUCT((Inv_CF*AF$8+Inv_BaseV*(1-AF$8))*(Inv_F&gt;0)*(27&gt;=Inv_SvcV)*(27&lt;Inv_SvcV+Inv_F*12)/(Inv_F*12+(Inv_F=0)))*AF$9</f>
        <v>6799.35075</v>
      </c>
      <c r="AG259" s="34" t="n">
        <f aca="false">SUMPRODUCT((Inv_CF*AG$8+Inv_BaseV*(1-AG$8))*(Inv_F&gt;0)*(28&gt;=Inv_SvcV)*(28&lt;Inv_SvcV+Inv_F*12)/(Inv_F*12+(Inv_F=0)))*AG$9</f>
        <v>6799.35075</v>
      </c>
      <c r="AH259" s="34" t="n">
        <f aca="false">SUMPRODUCT((Inv_CF*AH$8+Inv_BaseV*(1-AH$8))*(Inv_F&gt;0)*(29&gt;=Inv_SvcV)*(29&lt;Inv_SvcV+Inv_F*12)/(Inv_F*12+(Inv_F=0)))*AH$9</f>
        <v>6799.35075</v>
      </c>
      <c r="AI259" s="34" t="n">
        <f aca="false">SUMPRODUCT((Inv_CF*AI$8+Inv_BaseV*(1-AI$8))*(Inv_F&gt;0)*(30&gt;=Inv_SvcV)*(30&lt;Inv_SvcV+Inv_F*12)/(Inv_F*12+(Inv_F=0)))*AI$9</f>
        <v>6799.35075</v>
      </c>
      <c r="AJ259" s="34" t="n">
        <f aca="false">SUMPRODUCT((Inv_CF*AJ$8+Inv_BaseV*(1-AJ$8))*(Inv_F&gt;0)*(31&gt;=Inv_SvcV)*(31&lt;Inv_SvcV+Inv_F*12)/(Inv_F*12+(Inv_F=0)))*AJ$9</f>
        <v>6799.35075</v>
      </c>
      <c r="AK259" s="34" t="n">
        <f aca="false">SUMPRODUCT((Inv_CF*AK$8+Inv_BaseV*(1-AK$8))*(Inv_F&gt;0)*(32&gt;=Inv_SvcV)*(32&lt;Inv_SvcV+Inv_F*12)/(Inv_F*12+(Inv_F=0)))*AK$9</f>
        <v>6799.35075</v>
      </c>
      <c r="AL259" s="34" t="n">
        <f aca="false">SUMPRODUCT((Inv_CF*AL$8+Inv_BaseV*(1-AL$8))*(Inv_F&gt;0)*(33&gt;=Inv_SvcV)*(33&lt;Inv_SvcV+Inv_F*12)/(Inv_F*12+(Inv_F=0)))*AL$9</f>
        <v>6799.35075</v>
      </c>
      <c r="AM259" s="34" t="n">
        <f aca="false">SUMPRODUCT((Inv_CF*AM$8+Inv_BaseV*(1-AM$8))*(Inv_F&gt;0)*(34&gt;=Inv_SvcV)*(34&lt;Inv_SvcV+Inv_F*12)/(Inv_F*12+(Inv_F=0)))*AM$9</f>
        <v>6799.35075</v>
      </c>
      <c r="AN259" s="34" t="n">
        <f aca="false">SUMPRODUCT((Inv_CF*AN$8+Inv_BaseV*(1-AN$8))*(Inv_F&gt;0)*(35&gt;=Inv_SvcV)*(35&lt;Inv_SvcV+Inv_F*12)/(Inv_F*12+(Inv_F=0)))*AN$9</f>
        <v>6799.35075</v>
      </c>
      <c r="AO259" s="34" t="n">
        <f aca="false">SUMPRODUCT((Inv_CF*AO$8+Inv_BaseV*(1-AO$8))*(Inv_F&gt;0)*(36&gt;=Inv_SvcV)*(36&lt;Inv_SvcV+Inv_F*12)/(Inv_F*12+(Inv_F=0)))*AO$9</f>
        <v>6799.35075</v>
      </c>
      <c r="AP259" s="34" t="n">
        <f aca="false">SUMPRODUCT((Inv_CF*AP$8+Inv_BaseV*(1-AP$8))*(Inv_F&gt;0)*(37&gt;=Inv_SvcV)*(37&lt;Inv_SvcV+Inv_F*12)/(Inv_F*12+(Inv_F=0)))*AP$9</f>
        <v>6799.35075</v>
      </c>
      <c r="AQ259" s="34" t="n">
        <f aca="false">SUMPRODUCT((Inv_CF*AQ$8+Inv_BaseV*(1-AQ$8))*(Inv_F&gt;0)*(38&gt;=Inv_SvcV)*(38&lt;Inv_SvcV+Inv_F*12)/(Inv_F*12+(Inv_F=0)))*AQ$9</f>
        <v>6799.35075</v>
      </c>
      <c r="AR259" s="34" t="n">
        <f aca="false">SUMPRODUCT((Inv_CF*AR$8+Inv_BaseV*(1-AR$8))*(Inv_F&gt;0)*(39&gt;=Inv_SvcV)*(39&lt;Inv_SvcV+Inv_F*12)/(Inv_F*12+(Inv_F=0)))*AR$9</f>
        <v>6799.35075</v>
      </c>
      <c r="AS259" s="34" t="n">
        <f aca="false">SUMPRODUCT((Inv_CF*AS$8+Inv_BaseV*(1-AS$8))*(Inv_F&gt;0)*(40&gt;=Inv_SvcV)*(40&lt;Inv_SvcV+Inv_F*12)/(Inv_F*12+(Inv_F=0)))*AS$9</f>
        <v>6799.35075</v>
      </c>
      <c r="AT259" s="34" t="n">
        <f aca="false">SUMPRODUCT((Inv_CF*AT$8+Inv_BaseV*(1-AT$8))*(Inv_F&gt;0)*(41&gt;=Inv_SvcV)*(41&lt;Inv_SvcV+Inv_F*12)/(Inv_F*12+(Inv_F=0)))*AT$9</f>
        <v>6799.35075</v>
      </c>
      <c r="AU259" s="34" t="n">
        <f aca="false">SUMPRODUCT((Inv_CF*AU$8+Inv_BaseV*(1-AU$8))*(Inv_F&gt;0)*(42&gt;=Inv_SvcV)*(42&lt;Inv_SvcV+Inv_F*12)/(Inv_F*12+(Inv_F=0)))*AU$9</f>
        <v>6799.35075</v>
      </c>
      <c r="AV259" s="34" t="n">
        <f aca="false">SUMPRODUCT((Inv_CF*AV$8+Inv_BaseV*(1-AV$8))*(Inv_F&gt;0)*(43&gt;=Inv_SvcV)*(43&lt;Inv_SvcV+Inv_F*12)/(Inv_F*12+(Inv_F=0)))*AV$9</f>
        <v>6799.35075</v>
      </c>
      <c r="AW259" s="34" t="n">
        <f aca="false">SUMPRODUCT((Inv_CF*AW$8+Inv_BaseV*(1-AW$8))*(Inv_F&gt;0)*(44&gt;=Inv_SvcV)*(44&lt;Inv_SvcV+Inv_F*12)/(Inv_F*12+(Inv_F=0)))*AW$9</f>
        <v>6799.35075</v>
      </c>
      <c r="AX259" s="34" t="n">
        <f aca="false">SUMPRODUCT((Inv_CF*AX$8+Inv_BaseV*(1-AX$8))*(Inv_F&gt;0)*(45&gt;=Inv_SvcV)*(45&lt;Inv_SvcV+Inv_F*12)/(Inv_F*12+(Inv_F=0)))*AX$9</f>
        <v>6799.35075</v>
      </c>
      <c r="AY259" s="34" t="n">
        <f aca="false">SUMPRODUCT((Inv_CF*AY$8+Inv_BaseV*(1-AY$8))*(Inv_F&gt;0)*(46&gt;=Inv_SvcV)*(46&lt;Inv_SvcV+Inv_F*12)/(Inv_F*12+(Inv_F=0)))*AY$9</f>
        <v>6799.35075</v>
      </c>
      <c r="AZ259" s="34" t="n">
        <f aca="false">SUMPRODUCT((Inv_CF*AZ$8+Inv_BaseV*(1-AZ$8))*(Inv_F&gt;0)*(47&gt;=Inv_SvcV)*(47&lt;Inv_SvcV+Inv_F*12)/(Inv_F*12+(Inv_F=0)))*AZ$9</f>
        <v>6799.35075</v>
      </c>
      <c r="BA259" s="34" t="n">
        <f aca="false">SUMPRODUCT((Inv_CF*BA$8+Inv_BaseV*(1-BA$8))*(Inv_F&gt;0)*(48&gt;=Inv_SvcV)*(48&lt;Inv_SvcV+Inv_F*12)/(Inv_F*12+(Inv_F=0)))*BA$9</f>
        <v>6799.35075</v>
      </c>
      <c r="BB259" s="34" t="n">
        <f aca="false">SUMPRODUCT((Inv_CF*BB$8+Inv_BaseV*(1-BB$8))*(Inv_F&gt;0)*(49&gt;=Inv_SvcV)*(49&lt;Inv_SvcV+Inv_F*12)/(Inv_F*12+(Inv_F=0)))*BB$9</f>
        <v>6799.35075</v>
      </c>
      <c r="BC259" s="34" t="n">
        <f aca="false">SUMPRODUCT((Inv_CF*BC$8+Inv_BaseV*(1-BC$8))*(Inv_F&gt;0)*(50&gt;=Inv_SvcV)*(50&lt;Inv_SvcV+Inv_F*12)/(Inv_F*12+(Inv_F=0)))*BC$9</f>
        <v>6799.35075</v>
      </c>
      <c r="BD259" s="34" t="n">
        <f aca="false">SUMPRODUCT((Inv_CF*BD$8+Inv_BaseV*(1-BD$8))*(Inv_F&gt;0)*(51&gt;=Inv_SvcV)*(51&lt;Inv_SvcV+Inv_F*12)/(Inv_F*12+(Inv_F=0)))*BD$9</f>
        <v>6799.35075</v>
      </c>
      <c r="BE259" s="34" t="n">
        <f aca="false">SUMPRODUCT((Inv_CF*BE$8+Inv_BaseV*(1-BE$8))*(Inv_F&gt;0)*(52&gt;=Inv_SvcV)*(52&lt;Inv_SvcV+Inv_F*12)/(Inv_F*12+(Inv_F=0)))*BE$9</f>
        <v>6799.35075</v>
      </c>
      <c r="BF259" s="34" t="n">
        <f aca="false">SUMPRODUCT((Inv_CF*BF$8+Inv_BaseV*(1-BF$8))*(Inv_F&gt;0)*(53&gt;=Inv_SvcV)*(53&lt;Inv_SvcV+Inv_F*12)/(Inv_F*12+(Inv_F=0)))*BF$9</f>
        <v>6799.35075</v>
      </c>
      <c r="BG259" s="34" t="n">
        <f aca="false">SUMPRODUCT((Inv_CF*BG$8+Inv_BaseV*(1-BG$8))*(Inv_F&gt;0)*(54&gt;=Inv_SvcV)*(54&lt;Inv_SvcV+Inv_F*12)/(Inv_F*12+(Inv_F=0)))*BG$9</f>
        <v>6799.35075</v>
      </c>
      <c r="BH259" s="34" t="n">
        <f aca="false">SUMPRODUCT((Inv_CF*BH$8+Inv_BaseV*(1-BH$8))*(Inv_F&gt;0)*(55&gt;=Inv_SvcV)*(55&lt;Inv_SvcV+Inv_F*12)/(Inv_F*12+(Inv_F=0)))*BH$9</f>
        <v>6799.35075</v>
      </c>
      <c r="BI259" s="34" t="n">
        <f aca="false">SUMPRODUCT((Inv_CF*BI$8+Inv_BaseV*(1-BI$8))*(Inv_F&gt;0)*(56&gt;=Inv_SvcV)*(56&lt;Inv_SvcV+Inv_F*12)/(Inv_F*12+(Inv_F=0)))*BI$9</f>
        <v>6799.35075</v>
      </c>
      <c r="BJ259" s="34" t="n">
        <f aca="false">SUMPRODUCT((Inv_CF*BJ$8+Inv_BaseV*(1-BJ$8))*(Inv_F&gt;0)*(57&gt;=Inv_SvcV)*(57&lt;Inv_SvcV+Inv_F*12)/(Inv_F*12+(Inv_F=0)))*BJ$9</f>
        <v>6799.35075</v>
      </c>
      <c r="BK259" s="34" t="n">
        <f aca="false">SUMPRODUCT((Inv_CF*BK$8+Inv_BaseV*(1-BK$8))*(Inv_F&gt;0)*(58&gt;=Inv_SvcV)*(58&lt;Inv_SvcV+Inv_F*12)/(Inv_F*12+(Inv_F=0)))*BK$9</f>
        <v>6799.35075</v>
      </c>
      <c r="BL259" s="34" t="n">
        <f aca="false">SUMPRODUCT((Inv_CF*BL$8+Inv_BaseV*(1-BL$8))*(Inv_F&gt;0)*(59&gt;=Inv_SvcV)*(59&lt;Inv_SvcV+Inv_F*12)/(Inv_F*12+(Inv_F=0)))*BL$9</f>
        <v>6799.35075</v>
      </c>
      <c r="BM259" s="34" t="n">
        <f aca="false">SUMPRODUCT((Inv_CF*BM$8+Inv_BaseV*(1-BM$8))*(Inv_F&gt;0)*(60&gt;=Inv_SvcV)*(60&lt;Inv_SvcV+Inv_F*12)/(Inv_F*12+(Inv_F=0)))*BM$9</f>
        <v>6799.35075</v>
      </c>
      <c r="BN259" s="34" t="n">
        <f aca="false">SUMPRODUCT((Inv_CF*BN$8+Inv_BaseV*(1-BN$8))*(Inv_F&gt;0)*(61&gt;=Inv_SvcV)*(61&lt;Inv_SvcV+Inv_F*12)/(Inv_F*12+(Inv_F=0)))*BN$9</f>
        <v>5784.71741666667</v>
      </c>
      <c r="BO259" s="34" t="n">
        <f aca="false">SUMPRODUCT((Inv_CF*BO$8+Inv_BaseV*(1-BO$8))*(Inv_F&gt;0)*(62&gt;=Inv_SvcV)*(62&lt;Inv_SvcV+Inv_F*12)/(Inv_F*12+(Inv_F=0)))*BO$9</f>
        <v>5784.71741666667</v>
      </c>
      <c r="BP259" s="34" t="n">
        <f aca="false">SUMPRODUCT((Inv_CF*BP$8+Inv_BaseV*(1-BP$8))*(Inv_F&gt;0)*(63&gt;=Inv_SvcV)*(63&lt;Inv_SvcV+Inv_F*12)/(Inv_F*12+(Inv_F=0)))*BP$9</f>
        <v>5784.71741666667</v>
      </c>
      <c r="BQ259" s="34" t="n">
        <f aca="false">SUMPRODUCT((Inv_CF*BQ$8+Inv_BaseV*(1-BQ$8))*(Inv_F&gt;0)*(64&gt;=Inv_SvcV)*(64&lt;Inv_SvcV+Inv_F*12)/(Inv_F*12+(Inv_F=0)))*BQ$9</f>
        <v>5784.71741666667</v>
      </c>
      <c r="BR259" s="34" t="n">
        <f aca="false">SUMPRODUCT((Inv_CF*BR$8+Inv_BaseV*(1-BR$8))*(Inv_F&gt;0)*(65&gt;=Inv_SvcV)*(65&lt;Inv_SvcV+Inv_F*12)/(Inv_F*12+(Inv_F=0)))*BR$9</f>
        <v>5784.71741666667</v>
      </c>
      <c r="BS259" s="34" t="n">
        <f aca="false">SUMPRODUCT((Inv_CF*BS$8+Inv_BaseV*(1-BS$8))*(Inv_F&gt;0)*(66&gt;=Inv_SvcV)*(66&lt;Inv_SvcV+Inv_F*12)/(Inv_F*12+(Inv_F=0)))*BS$9</f>
        <v>5784.71741666667</v>
      </c>
      <c r="BT259" s="34" t="n">
        <f aca="false">SUMPRODUCT((Inv_CF*BT$8+Inv_BaseV*(1-BT$8))*(Inv_F&gt;0)*(67&gt;=Inv_SvcV)*(67&lt;Inv_SvcV+Inv_F*12)/(Inv_F*12+(Inv_F=0)))*BT$9</f>
        <v>5784.71741666667</v>
      </c>
      <c r="BU259" s="34" t="n">
        <f aca="false">SUMPRODUCT((Inv_CF*BU$8+Inv_BaseV*(1-BU$8))*(Inv_F&gt;0)*(68&gt;=Inv_SvcV)*(68&lt;Inv_SvcV+Inv_F*12)/(Inv_F*12+(Inv_F=0)))*BU$9</f>
        <v>5784.71741666667</v>
      </c>
      <c r="BV259" s="34" t="n">
        <f aca="false">SUMPRODUCT((Inv_CF*BV$8+Inv_BaseV*(1-BV$8))*(Inv_F&gt;0)*(69&gt;=Inv_SvcV)*(69&lt;Inv_SvcV+Inv_F*12)/(Inv_F*12+(Inv_F=0)))*BV$9</f>
        <v>5784.71741666667</v>
      </c>
      <c r="BW259" s="34" t="n">
        <f aca="false">SUMPRODUCT((Inv_CF*BW$8+Inv_BaseV*(1-BW$8))*(Inv_F&gt;0)*(70&gt;=Inv_SvcV)*(70&lt;Inv_SvcV+Inv_F*12)/(Inv_F*12+(Inv_F=0)))*BW$9</f>
        <v>5784.71741666667</v>
      </c>
      <c r="BX259" s="34" t="n">
        <f aca="false">SUMPRODUCT((Inv_CF*BX$8+Inv_BaseV*(1-BX$8))*(Inv_F&gt;0)*(71&gt;=Inv_SvcV)*(71&lt;Inv_SvcV+Inv_F*12)/(Inv_F*12+(Inv_F=0)))*BX$9</f>
        <v>5784.71741666667</v>
      </c>
      <c r="BY259" s="34" t="n">
        <f aca="false">SUMPRODUCT((Inv_CF*BY$8+Inv_BaseV*(1-BY$8))*(Inv_F&gt;0)*(72&gt;=Inv_SvcV)*(72&lt;Inv_SvcV+Inv_F*12)/(Inv_F*12+(Inv_F=0)))*BY$9</f>
        <v>5784.71741666667</v>
      </c>
      <c r="BZ259" s="34" t="n">
        <f aca="false">SUMPRODUCT((Inv_CF*BZ$8+Inv_BaseV*(1-BZ$8))*(Inv_F&gt;0)*(73&gt;=Inv_SvcV)*(73&lt;Inv_SvcV+Inv_F*12)/(Inv_F*12+(Inv_F=0)))*BZ$9</f>
        <v>5784.71741666667</v>
      </c>
      <c r="CA259" s="34" t="n">
        <f aca="false">SUMPRODUCT((Inv_CF*CA$8+Inv_BaseV*(1-CA$8))*(Inv_F&gt;0)*(74&gt;=Inv_SvcV)*(74&lt;Inv_SvcV+Inv_F*12)/(Inv_F*12+(Inv_F=0)))*CA$9</f>
        <v>5784.71741666667</v>
      </c>
      <c r="CB259" s="34" t="n">
        <f aca="false">SUMPRODUCT((Inv_CF*CB$8+Inv_BaseV*(1-CB$8))*(Inv_F&gt;0)*(75&gt;=Inv_SvcV)*(75&lt;Inv_SvcV+Inv_F*12)/(Inv_F*12+(Inv_F=0)))*CB$9</f>
        <v>5784.71741666667</v>
      </c>
      <c r="CC259" s="34" t="n">
        <f aca="false">SUMPRODUCT((Inv_CF*CC$8+Inv_BaseV*(1-CC$8))*(Inv_F&gt;0)*(76&gt;=Inv_SvcV)*(76&lt;Inv_SvcV+Inv_F*12)/(Inv_F*12+(Inv_F=0)))*CC$9</f>
        <v>5784.71741666667</v>
      </c>
      <c r="CD259" s="34" t="n">
        <f aca="false">SUMPRODUCT((Inv_CF*CD$8+Inv_BaseV*(1-CD$8))*(Inv_F&gt;0)*(77&gt;=Inv_SvcV)*(77&lt;Inv_SvcV+Inv_F*12)/(Inv_F*12+(Inv_F=0)))*CD$9</f>
        <v>5784.71741666667</v>
      </c>
      <c r="CE259" s="34" t="n">
        <f aca="false">SUMPRODUCT((Inv_CF*CE$8+Inv_BaseV*(1-CE$8))*(Inv_F&gt;0)*(78&gt;=Inv_SvcV)*(78&lt;Inv_SvcV+Inv_F*12)/(Inv_F*12+(Inv_F=0)))*CE$9</f>
        <v>5784.71741666667</v>
      </c>
      <c r="CF259" s="34" t="n">
        <f aca="false">SUMPRODUCT((Inv_CF*CF$8+Inv_BaseV*(1-CF$8))*(Inv_F&gt;0)*(79&gt;=Inv_SvcV)*(79&lt;Inv_SvcV+Inv_F*12)/(Inv_F*12+(Inv_F=0)))*CF$9</f>
        <v>5784.71741666667</v>
      </c>
      <c r="CG259" s="34" t="n">
        <f aca="false">SUMPRODUCT((Inv_CF*CG$8+Inv_BaseV*(1-CG$8))*(Inv_F&gt;0)*(80&gt;=Inv_SvcV)*(80&lt;Inv_SvcV+Inv_F*12)/(Inv_F*12+(Inv_F=0)))*CG$9</f>
        <v>5784.71741666667</v>
      </c>
      <c r="CH259" s="34" t="n">
        <f aca="false">SUMPRODUCT((Inv_CF*CH$8+Inv_BaseV*(1-CH$8))*(Inv_F&gt;0)*(81&gt;=Inv_SvcV)*(81&lt;Inv_SvcV+Inv_F*12)/(Inv_F*12+(Inv_F=0)))*CH$9</f>
        <v>5784.71741666667</v>
      </c>
      <c r="CI259" s="34" t="n">
        <f aca="false">SUMPRODUCT((Inv_CF*CI$8+Inv_BaseV*(1-CI$8))*(Inv_F&gt;0)*(82&gt;=Inv_SvcV)*(82&lt;Inv_SvcV+Inv_F*12)/(Inv_F*12+(Inv_F=0)))*CI$9</f>
        <v>5784.71741666667</v>
      </c>
      <c r="CJ259" s="34" t="n">
        <f aca="false">SUMPRODUCT((Inv_CF*CJ$8+Inv_BaseV*(1-CJ$8))*(Inv_F&gt;0)*(83&gt;=Inv_SvcV)*(83&lt;Inv_SvcV+Inv_F*12)/(Inv_F*12+(Inv_F=0)))*CJ$9</f>
        <v>5784.71741666667</v>
      </c>
      <c r="CK259" s="34" t="n">
        <f aca="false">SUMPRODUCT((Inv_CF*CK$8+Inv_BaseV*(1-CK$8))*(Inv_F&gt;0)*(84&gt;=Inv_SvcV)*(84&lt;Inv_SvcV+Inv_F*12)/(Inv_F*12+(Inv_F=0)))*CK$9</f>
        <v>5784.71741666667</v>
      </c>
      <c r="CL259" s="34" t="n">
        <f aca="false">SUMPRODUCT((Inv_CF*CL$8+Inv_BaseV*(1-CL$8))*(Inv_F&gt;0)*(85&gt;=Inv_SvcV)*(85&lt;Inv_SvcV+Inv_F*12)/(Inv_F*12+(Inv_F=0)))*CL$9</f>
        <v>5784.71741666667</v>
      </c>
      <c r="CM259" s="34" t="n">
        <f aca="false">SUMPRODUCT((Inv_CF*CM$8+Inv_BaseV*(1-CM$8))*(Inv_F&gt;0)*(86&gt;=Inv_SvcV)*(86&lt;Inv_SvcV+Inv_F*12)/(Inv_F*12+(Inv_F=0)))*CM$9</f>
        <v>5784.71741666667</v>
      </c>
      <c r="CN259" s="34" t="n">
        <f aca="false">SUMPRODUCT((Inv_CF*CN$8+Inv_BaseV*(1-CN$8))*(Inv_F&gt;0)*(87&gt;=Inv_SvcV)*(87&lt;Inv_SvcV+Inv_F*12)/(Inv_F*12+(Inv_F=0)))*CN$9</f>
        <v>5784.71741666667</v>
      </c>
      <c r="CO259" s="34" t="n">
        <f aca="false">SUMPRODUCT((Inv_CF*CO$8+Inv_BaseV*(1-CO$8))*(Inv_F&gt;0)*(88&gt;=Inv_SvcV)*(88&lt;Inv_SvcV+Inv_F*12)/(Inv_F*12+(Inv_F=0)))*CO$9</f>
        <v>5784.71741666667</v>
      </c>
      <c r="CP259" s="34" t="n">
        <f aca="false">SUMPRODUCT((Inv_CF*CP$8+Inv_BaseV*(1-CP$8))*(Inv_F&gt;0)*(89&gt;=Inv_SvcV)*(89&lt;Inv_SvcV+Inv_F*12)/(Inv_F*12+(Inv_F=0)))*CP$9</f>
        <v>5784.71741666667</v>
      </c>
      <c r="CQ259" s="34" t="n">
        <f aca="false">SUMPRODUCT((Inv_CF*CQ$8+Inv_BaseV*(1-CQ$8))*(Inv_F&gt;0)*(90&gt;=Inv_SvcV)*(90&lt;Inv_SvcV+Inv_F*12)/(Inv_F*12+(Inv_F=0)))*CQ$9</f>
        <v>5784.71741666667</v>
      </c>
      <c r="CR259" s="34" t="n">
        <f aca="false">SUMPRODUCT((Inv_CF*CR$8+Inv_BaseV*(1-CR$8))*(Inv_F&gt;0)*(91&gt;=Inv_SvcV)*(91&lt;Inv_SvcV+Inv_F*12)/(Inv_F*12+(Inv_F=0)))*CR$9</f>
        <v>5784.71741666667</v>
      </c>
      <c r="CS259" s="34" t="n">
        <f aca="false">SUMPRODUCT((Inv_CF*CS$8+Inv_BaseV*(1-CS$8))*(Inv_F&gt;0)*(92&gt;=Inv_SvcV)*(92&lt;Inv_SvcV+Inv_F*12)/(Inv_F*12+(Inv_F=0)))*CS$9</f>
        <v>5784.71741666667</v>
      </c>
      <c r="CT259" s="34" t="n">
        <f aca="false">SUMPRODUCT((Inv_CF*CT$8+Inv_BaseV*(1-CT$8))*(Inv_F&gt;0)*(93&gt;=Inv_SvcV)*(93&lt;Inv_SvcV+Inv_F*12)/(Inv_F*12+(Inv_F=0)))*CT$9</f>
        <v>5784.71741666667</v>
      </c>
      <c r="CU259" s="34" t="n">
        <f aca="false">SUMPRODUCT((Inv_CF*CU$8+Inv_BaseV*(1-CU$8))*(Inv_F&gt;0)*(94&gt;=Inv_SvcV)*(94&lt;Inv_SvcV+Inv_F*12)/(Inv_F*12+(Inv_F=0)))*CU$9</f>
        <v>5784.71741666667</v>
      </c>
      <c r="CV259" s="34" t="n">
        <f aca="false">SUMPRODUCT((Inv_CF*CV$8+Inv_BaseV*(1-CV$8))*(Inv_F&gt;0)*(95&gt;=Inv_SvcV)*(95&lt;Inv_SvcV+Inv_F*12)/(Inv_F*12+(Inv_F=0)))*CV$9</f>
        <v>5784.71741666667</v>
      </c>
      <c r="CW259" s="34" t="n">
        <f aca="false">SUMPRODUCT((Inv_CF*CW$8+Inv_BaseV*(1-CW$8))*(Inv_F&gt;0)*(96&gt;=Inv_SvcV)*(96&lt;Inv_SvcV+Inv_F*12)/(Inv_F*12+(Inv_F=0)))*CW$9</f>
        <v>5784.71741666667</v>
      </c>
      <c r="CX259" s="34" t="n">
        <f aca="false">SUMPRODUCT((Inv_CF*CX$8+Inv_BaseV*(1-CX$8))*(Inv_F&gt;0)*(97&gt;=Inv_SvcV)*(97&lt;Inv_SvcV+Inv_F*12)/(Inv_F*12+(Inv_F=0)))*CX$9</f>
        <v>5784.71741666667</v>
      </c>
      <c r="CY259" s="34" t="n">
        <f aca="false">SUMPRODUCT((Inv_CF*CY$8+Inv_BaseV*(1-CY$8))*(Inv_F&gt;0)*(98&gt;=Inv_SvcV)*(98&lt;Inv_SvcV+Inv_F*12)/(Inv_F*12+(Inv_F=0)))*CY$9</f>
        <v>5784.71741666667</v>
      </c>
      <c r="CZ259" s="34" t="n">
        <f aca="false">SUMPRODUCT((Inv_CF*CZ$8+Inv_BaseV*(1-CZ$8))*(Inv_F&gt;0)*(99&gt;=Inv_SvcV)*(99&lt;Inv_SvcV+Inv_F*12)/(Inv_F*12+(Inv_F=0)))*CZ$9</f>
        <v>5784.71741666667</v>
      </c>
      <c r="DA259" s="34" t="n">
        <f aca="false">SUMPRODUCT((Inv_CF*DA$8+Inv_BaseV*(1-DA$8))*(Inv_F&gt;0)*(100&gt;=Inv_SvcV)*(100&lt;Inv_SvcV+Inv_F*12)/(Inv_F*12+(Inv_F=0)))*DA$9</f>
        <v>5784.71741666667</v>
      </c>
      <c r="DB259" s="34" t="n">
        <f aca="false">SUMPRODUCT((Inv_CF*DB$8+Inv_BaseV*(1-DB$8))*(Inv_F&gt;0)*(101&gt;=Inv_SvcV)*(101&lt;Inv_SvcV+Inv_F*12)/(Inv_F*12+(Inv_F=0)))*DB$9</f>
        <v>5784.71741666667</v>
      </c>
      <c r="DC259" s="34" t="n">
        <f aca="false">SUMPRODUCT((Inv_CF*DC$8+Inv_BaseV*(1-DC$8))*(Inv_F&gt;0)*(102&gt;=Inv_SvcV)*(102&lt;Inv_SvcV+Inv_F*12)/(Inv_F*12+(Inv_F=0)))*DC$9</f>
        <v>5784.71741666667</v>
      </c>
      <c r="DD259" s="34" t="n">
        <f aca="false">SUMPRODUCT((Inv_CF*DD$8+Inv_BaseV*(1-DD$8))*(Inv_F&gt;0)*(103&gt;=Inv_SvcV)*(103&lt;Inv_SvcV+Inv_F*12)/(Inv_F*12+(Inv_F=0)))*DD$9</f>
        <v>5784.71741666667</v>
      </c>
      <c r="DE259" s="34" t="n">
        <f aca="false">SUMPRODUCT((Inv_CF*DE$8+Inv_BaseV*(1-DE$8))*(Inv_F&gt;0)*(104&gt;=Inv_SvcV)*(104&lt;Inv_SvcV+Inv_F*12)/(Inv_F*12+(Inv_F=0)))*DE$9</f>
        <v>5784.71741666667</v>
      </c>
      <c r="DF259" s="34" t="n">
        <f aca="false">SUMPRODUCT((Inv_CF*DF$8+Inv_BaseV*(1-DF$8))*(Inv_F&gt;0)*(105&gt;=Inv_SvcV)*(105&lt;Inv_SvcV+Inv_F*12)/(Inv_F*12+(Inv_F=0)))*DF$9</f>
        <v>5784.71741666667</v>
      </c>
      <c r="DG259" s="34" t="n">
        <f aca="false">SUMPRODUCT((Inv_CF*DG$8+Inv_BaseV*(1-DG$8))*(Inv_F&gt;0)*(106&gt;=Inv_SvcV)*(106&lt;Inv_SvcV+Inv_F*12)/(Inv_F*12+(Inv_F=0)))*DG$9</f>
        <v>5784.71741666667</v>
      </c>
      <c r="DH259" s="34" t="n">
        <f aca="false">SUMPRODUCT((Inv_CF*DH$8+Inv_BaseV*(1-DH$8))*(Inv_F&gt;0)*(107&gt;=Inv_SvcV)*(107&lt;Inv_SvcV+Inv_F*12)/(Inv_F*12+(Inv_F=0)))*DH$9</f>
        <v>5784.71741666667</v>
      </c>
      <c r="DI259" s="34" t="n">
        <f aca="false">SUMPRODUCT((Inv_CF*DI$8+Inv_BaseV*(1-DI$8))*(Inv_F&gt;0)*(108&gt;=Inv_SvcV)*(108&lt;Inv_SvcV+Inv_F*12)/(Inv_F*12+(Inv_F=0)))*DI$9</f>
        <v>5784.71741666667</v>
      </c>
      <c r="DJ259" s="34" t="n">
        <f aca="false">SUMPRODUCT((Inv_CF*DJ$8+Inv_BaseV*(1-DJ$8))*(Inv_F&gt;0)*(109&gt;=Inv_SvcV)*(109&lt;Inv_SvcV+Inv_F*12)/(Inv_F*12+(Inv_F=0)))*DJ$9</f>
        <v>5784.71741666667</v>
      </c>
      <c r="DK259" s="34" t="n">
        <f aca="false">SUMPRODUCT((Inv_CF*DK$8+Inv_BaseV*(1-DK$8))*(Inv_F&gt;0)*(110&gt;=Inv_SvcV)*(110&lt;Inv_SvcV+Inv_F*12)/(Inv_F*12+(Inv_F=0)))*DK$9</f>
        <v>5784.71741666667</v>
      </c>
      <c r="DL259" s="34" t="n">
        <f aca="false">SUMPRODUCT((Inv_CF*DL$8+Inv_BaseV*(1-DL$8))*(Inv_F&gt;0)*(111&gt;=Inv_SvcV)*(111&lt;Inv_SvcV+Inv_F*12)/(Inv_F*12+(Inv_F=0)))*DL$9</f>
        <v>5784.71741666667</v>
      </c>
      <c r="DM259" s="34" t="n">
        <f aca="false">SUMPRODUCT((Inv_CF*DM$8+Inv_BaseV*(1-DM$8))*(Inv_F&gt;0)*(112&gt;=Inv_SvcV)*(112&lt;Inv_SvcV+Inv_F*12)/(Inv_F*12+(Inv_F=0)))*DM$9</f>
        <v>5784.71741666667</v>
      </c>
      <c r="DN259" s="34" t="n">
        <f aca="false">SUMPRODUCT((Inv_CF*DN$8+Inv_BaseV*(1-DN$8))*(Inv_F&gt;0)*(113&gt;=Inv_SvcV)*(113&lt;Inv_SvcV+Inv_F*12)/(Inv_F*12+(Inv_F=0)))*DN$9</f>
        <v>5784.71741666667</v>
      </c>
      <c r="DO259" s="34" t="n">
        <f aca="false">SUMPRODUCT((Inv_CF*DO$8+Inv_BaseV*(1-DO$8))*(Inv_F&gt;0)*(114&gt;=Inv_SvcV)*(114&lt;Inv_SvcV+Inv_F*12)/(Inv_F*12+(Inv_F=0)))*DO$9</f>
        <v>5784.71741666667</v>
      </c>
      <c r="DP259" s="34" t="n">
        <f aca="false">SUMPRODUCT((Inv_CF*DP$8+Inv_BaseV*(1-DP$8))*(Inv_F&gt;0)*(115&gt;=Inv_SvcV)*(115&lt;Inv_SvcV+Inv_F*12)/(Inv_F*12+(Inv_F=0)))*DP$9</f>
        <v>5784.71741666667</v>
      </c>
      <c r="DQ259" s="34" t="n">
        <f aca="false">SUMPRODUCT((Inv_CF*DQ$8+Inv_BaseV*(1-DQ$8))*(Inv_F&gt;0)*(116&gt;=Inv_SvcV)*(116&lt;Inv_SvcV+Inv_F*12)/(Inv_F*12+(Inv_F=0)))*DQ$9</f>
        <v>5784.71741666667</v>
      </c>
      <c r="DR259" s="34" t="n">
        <f aca="false">SUMPRODUCT((Inv_CF*DR$8+Inv_BaseV*(1-DR$8))*(Inv_F&gt;0)*(117&gt;=Inv_SvcV)*(117&lt;Inv_SvcV+Inv_F*12)/(Inv_F*12+(Inv_F=0)))*DR$9</f>
        <v>5784.71741666667</v>
      </c>
      <c r="DS259" s="34" t="n">
        <f aca="false">SUMPRODUCT((Inv_CF*DS$8+Inv_BaseV*(1-DS$8))*(Inv_F&gt;0)*(118&gt;=Inv_SvcV)*(118&lt;Inv_SvcV+Inv_F*12)/(Inv_F*12+(Inv_F=0)))*DS$9</f>
        <v>5784.71741666667</v>
      </c>
      <c r="DT259" s="34" t="n">
        <f aca="false">SUMPRODUCT((Inv_CF*DT$8+Inv_BaseV*(1-DT$8))*(Inv_F&gt;0)*(119&gt;=Inv_SvcV)*(119&lt;Inv_SvcV+Inv_F*12)/(Inv_F*12+(Inv_F=0)))*DT$9</f>
        <v>5784.71741666667</v>
      </c>
      <c r="DU259" s="34" t="n">
        <f aca="false">SUMPRODUCT((Inv_CF*DU$8+Inv_BaseV*(1-DU$8))*(Inv_F&gt;0)*(120&gt;=Inv_SvcV)*(120&lt;Inv_SvcV+Inv_F*12)/(Inv_F*12+(Inv_F=0)))*DU$9</f>
        <v>5784.71741666667</v>
      </c>
      <c r="DV259" s="34" t="n">
        <f aca="false">SUMPRODUCT((Inv_CF*DV$8+Inv_BaseV*(1-DV$8))*(Inv_F&gt;0)*(121&gt;=Inv_SvcV)*(121&lt;Inv_SvcV+Inv_F*12)/(Inv_F*12+(Inv_F=0)))*DV$9</f>
        <v>0</v>
      </c>
      <c r="DW259" s="34" t="n">
        <f aca="false">SUMPRODUCT((Inv_CF*DW$8+Inv_BaseV*(1-DW$8))*(Inv_F&gt;0)*(122&gt;=Inv_SvcV)*(122&lt;Inv_SvcV+Inv_F*12)/(Inv_F*12+(Inv_F=0)))*DW$9</f>
        <v>0</v>
      </c>
      <c r="DX259" s="34" t="n">
        <f aca="false">SUMPRODUCT((Inv_CF*DX$8+Inv_BaseV*(1-DX$8))*(Inv_F&gt;0)*(123&gt;=Inv_SvcV)*(123&lt;Inv_SvcV+Inv_F*12)/(Inv_F*12+(Inv_F=0)))*DX$9</f>
        <v>0</v>
      </c>
      <c r="DY259" s="34" t="n">
        <f aca="false">SUMPRODUCT((Inv_CF*DY$8+Inv_BaseV*(1-DY$8))*(Inv_F&gt;0)*(124&gt;=Inv_SvcV)*(124&lt;Inv_SvcV+Inv_F*12)/(Inv_F*12+(Inv_F=0)))*DY$9</f>
        <v>0</v>
      </c>
      <c r="DZ259" s="34" t="n">
        <f aca="false">SUMPRODUCT((Inv_CF*DZ$8+Inv_BaseV*(1-DZ$8))*(Inv_F&gt;0)*(125&gt;=Inv_SvcV)*(125&lt;Inv_SvcV+Inv_F*12)/(Inv_F*12+(Inv_F=0)))*DZ$9</f>
        <v>0</v>
      </c>
      <c r="EA259" s="34" t="n">
        <f aca="false">SUMPRODUCT((Inv_CF*EA$8+Inv_BaseV*(1-EA$8))*(Inv_F&gt;0)*(126&gt;=Inv_SvcV)*(126&lt;Inv_SvcV+Inv_F*12)/(Inv_F*12+(Inv_F=0)))*EA$9</f>
        <v>0</v>
      </c>
      <c r="EB259" s="34" t="n">
        <f aca="false">SUMPRODUCT((Inv_CF*EB$8+Inv_BaseV*(1-EB$8))*(Inv_F&gt;0)*(127&gt;=Inv_SvcV)*(127&lt;Inv_SvcV+Inv_F*12)/(Inv_F*12+(Inv_F=0)))*EB$9</f>
        <v>0</v>
      </c>
      <c r="EC259" s="34" t="n">
        <f aca="false">SUMPRODUCT((Inv_CF*EC$8+Inv_BaseV*(1-EC$8))*(Inv_F&gt;0)*(128&gt;=Inv_SvcV)*(128&lt;Inv_SvcV+Inv_F*12)/(Inv_F*12+(Inv_F=0)))*EC$9</f>
        <v>0</v>
      </c>
      <c r="ED259" s="34" t="n">
        <f aca="false">SUMPRODUCT((Inv_CF*ED$8+Inv_BaseV*(1-ED$8))*(Inv_F&gt;0)*(129&gt;=Inv_SvcV)*(129&lt;Inv_SvcV+Inv_F*12)/(Inv_F*12+(Inv_F=0)))*ED$9</f>
        <v>0</v>
      </c>
      <c r="EE259" s="34" t="n">
        <f aca="false">SUMPRODUCT((Inv_CF*EE$8+Inv_BaseV*(1-EE$8))*(Inv_F&gt;0)*(130&gt;=Inv_SvcV)*(130&lt;Inv_SvcV+Inv_F*12)/(Inv_F*12+(Inv_F=0)))*EE$9</f>
        <v>0</v>
      </c>
      <c r="EF259" s="34" t="n">
        <f aca="false">SUMPRODUCT((Inv_CF*EF$8+Inv_BaseV*(1-EF$8))*(Inv_F&gt;0)*(131&gt;=Inv_SvcV)*(131&lt;Inv_SvcV+Inv_F*12)/(Inv_F*12+(Inv_F=0)))*EF$9</f>
        <v>0</v>
      </c>
      <c r="EG259" s="34" t="n">
        <f aca="false">SUMPRODUCT((Inv_CF*EG$8+Inv_BaseV*(1-EG$8))*(Inv_F&gt;0)*(132&gt;=Inv_SvcV)*(132&lt;Inv_SvcV+Inv_F*12)/(Inv_F*12+(Inv_F=0)))*EG$9</f>
        <v>0</v>
      </c>
      <c r="EH259" s="34" t="n">
        <f aca="false">SUMPRODUCT((Inv_CF*EH$8+Inv_BaseV*(1-EH$8))*(Inv_F&gt;0)*(133&gt;=Inv_SvcV)*(133&lt;Inv_SvcV+Inv_F*12)/(Inv_F*12+(Inv_F=0)))*EH$9</f>
        <v>0</v>
      </c>
      <c r="EI259" s="34" t="n">
        <f aca="false">SUMPRODUCT((Inv_CF*EI$8+Inv_BaseV*(1-EI$8))*(Inv_F&gt;0)*(134&gt;=Inv_SvcV)*(134&lt;Inv_SvcV+Inv_F*12)/(Inv_F*12+(Inv_F=0)))*EI$9</f>
        <v>0</v>
      </c>
      <c r="EJ259" s="34" t="n">
        <f aca="false">SUMPRODUCT((Inv_CF*EJ$8+Inv_BaseV*(1-EJ$8))*(Inv_F&gt;0)*(135&gt;=Inv_SvcV)*(135&lt;Inv_SvcV+Inv_F*12)/(Inv_F*12+(Inv_F=0)))*EJ$9</f>
        <v>0</v>
      </c>
      <c r="EK259" s="34" t="n">
        <f aca="false">SUMPRODUCT((Inv_CF*EK$8+Inv_BaseV*(1-EK$8))*(Inv_F&gt;0)*(136&gt;=Inv_SvcV)*(136&lt;Inv_SvcV+Inv_F*12)/(Inv_F*12+(Inv_F=0)))*EK$9</f>
        <v>0</v>
      </c>
      <c r="EL259" s="34" t="n">
        <f aca="false">SUMPRODUCT((Inv_CF*EL$8+Inv_BaseV*(1-EL$8))*(Inv_F&gt;0)*(137&gt;=Inv_SvcV)*(137&lt;Inv_SvcV+Inv_F*12)/(Inv_F*12+(Inv_F=0)))*EL$9</f>
        <v>0</v>
      </c>
      <c r="EM259" s="34" t="n">
        <f aca="false">SUMPRODUCT((Inv_CF*EM$8+Inv_BaseV*(1-EM$8))*(Inv_F&gt;0)*(138&gt;=Inv_SvcV)*(138&lt;Inv_SvcV+Inv_F*12)/(Inv_F*12+(Inv_F=0)))*EM$9</f>
        <v>0</v>
      </c>
      <c r="EN259" s="34" t="n">
        <f aca="false">SUMPRODUCT((Inv_CF*EN$8+Inv_BaseV*(1-EN$8))*(Inv_F&gt;0)*(139&gt;=Inv_SvcV)*(139&lt;Inv_SvcV+Inv_F*12)/(Inv_F*12+(Inv_F=0)))*EN$9</f>
        <v>0</v>
      </c>
      <c r="EO259" s="34" t="n">
        <f aca="false">SUMPRODUCT((Inv_CF*EO$8+Inv_BaseV*(1-EO$8))*(Inv_F&gt;0)*(140&gt;=Inv_SvcV)*(140&lt;Inv_SvcV+Inv_F*12)/(Inv_F*12+(Inv_F=0)))*EO$9</f>
        <v>0</v>
      </c>
      <c r="EP259" s="34" t="n">
        <f aca="false">SUMPRODUCT((Inv_CF*EP$8+Inv_BaseV*(1-EP$8))*(Inv_F&gt;0)*(141&gt;=Inv_SvcV)*(141&lt;Inv_SvcV+Inv_F*12)/(Inv_F*12+(Inv_F=0)))*EP$9</f>
        <v>0</v>
      </c>
      <c r="EQ259" s="34" t="n">
        <f aca="false">SUMPRODUCT((Inv_CF*EQ$8+Inv_BaseV*(1-EQ$8))*(Inv_F&gt;0)*(142&gt;=Inv_SvcV)*(142&lt;Inv_SvcV+Inv_F*12)/(Inv_F*12+(Inv_F=0)))*EQ$9</f>
        <v>0</v>
      </c>
      <c r="ER259" s="34" t="n">
        <f aca="false">SUMPRODUCT((Inv_CF*ER$8+Inv_BaseV*(1-ER$8))*(Inv_F&gt;0)*(143&gt;=Inv_SvcV)*(143&lt;Inv_SvcV+Inv_F*12)/(Inv_F*12+(Inv_F=0)))*ER$9</f>
        <v>0</v>
      </c>
      <c r="ES259" s="34" t="n">
        <f aca="false">SUMPRODUCT((Inv_CF*ES$8+Inv_BaseV*(1-ES$8))*(Inv_F&gt;0)*(144&gt;=Inv_SvcV)*(144&lt;Inv_SvcV+Inv_F*12)/(Inv_F*12+(Inv_F=0)))*ES$9</f>
        <v>0</v>
      </c>
    </row>
    <row r="260" customFormat="false" ht="15" hidden="false" customHeight="false" outlineLevel="0" collapsed="false">
      <c r="A260" s="2" t="s">
        <v>900</v>
      </c>
      <c r="B260" s="6" t="s">
        <v>697</v>
      </c>
      <c r="C260" s="6" t="s">
        <v>250</v>
      </c>
      <c r="E260" s="40" t="n">
        <f aca="false">SUM(F260:ES260)</f>
        <v>15564459.926261</v>
      </c>
      <c r="F260" s="34" t="n">
        <f aca="false">F$258-F$259</f>
        <v>36531.4830589231</v>
      </c>
      <c r="G260" s="34" t="n">
        <f aca="false">G$258-G$259</f>
        <v>36531.4830589231</v>
      </c>
      <c r="H260" s="34" t="n">
        <f aca="false">H$258-H$259</f>
        <v>36531.4830589231</v>
      </c>
      <c r="I260" s="34" t="n">
        <f aca="false">I$258-I$259</f>
        <v>36531.4830589231</v>
      </c>
      <c r="J260" s="34" t="n">
        <f aca="false">J$258-J$259</f>
        <v>36531.4830589231</v>
      </c>
      <c r="K260" s="34" t="n">
        <f aca="false">K$258-K$259</f>
        <v>36531.4830589231</v>
      </c>
      <c r="L260" s="34" t="n">
        <f aca="false">L$258-L$259</f>
        <v>36531.4830589231</v>
      </c>
      <c r="M260" s="34" t="n">
        <f aca="false">M$258-M$259</f>
        <v>36531.4830589231</v>
      </c>
      <c r="N260" s="34" t="n">
        <f aca="false">N$258-N$259</f>
        <v>36531.4830589231</v>
      </c>
      <c r="O260" s="34" t="n">
        <f aca="false">O$258-O$259</f>
        <v>36531.4830589231</v>
      </c>
      <c r="P260" s="34" t="n">
        <f aca="false">P$258-P$259</f>
        <v>36531.4830589231</v>
      </c>
      <c r="Q260" s="34" t="n">
        <f aca="false">Q$258-Q$259</f>
        <v>36531.4830589231</v>
      </c>
      <c r="R260" s="34" t="n">
        <f aca="false">R$258-R$259</f>
        <v>73697.0522439648</v>
      </c>
      <c r="S260" s="34" t="n">
        <f aca="false">S$258-S$259</f>
        <v>73697.0522439648</v>
      </c>
      <c r="T260" s="34" t="n">
        <f aca="false">T$258-T$259</f>
        <v>73697.0522439648</v>
      </c>
      <c r="U260" s="34" t="n">
        <f aca="false">U$258-U$259</f>
        <v>73697.0522439648</v>
      </c>
      <c r="V260" s="34" t="n">
        <f aca="false">V$258-V$259</f>
        <v>73697.0522439648</v>
      </c>
      <c r="W260" s="34" t="n">
        <f aca="false">W$258-W$259</f>
        <v>73697.0522439648</v>
      </c>
      <c r="X260" s="34" t="n">
        <f aca="false">X$258-X$259</f>
        <v>73697.0522439648</v>
      </c>
      <c r="Y260" s="34" t="n">
        <f aca="false">Y$258-Y$259</f>
        <v>73697.0522439648</v>
      </c>
      <c r="Z260" s="34" t="n">
        <f aca="false">Z$258-Z$259</f>
        <v>73697.0522439648</v>
      </c>
      <c r="AA260" s="34" t="n">
        <f aca="false">AA$258-AA$259</f>
        <v>73697.0522439648</v>
      </c>
      <c r="AB260" s="34" t="n">
        <f aca="false">AB$258-AB$259</f>
        <v>73697.0522439648</v>
      </c>
      <c r="AC260" s="34" t="n">
        <f aca="false">AC$258-AC$259</f>
        <v>73697.0522439648</v>
      </c>
      <c r="AD260" s="34" t="n">
        <f aca="false">AD$258-AD$259</f>
        <v>110285.680115125</v>
      </c>
      <c r="AE260" s="34" t="n">
        <f aca="false">AE$258-AE$259</f>
        <v>110285.680115125</v>
      </c>
      <c r="AF260" s="34" t="n">
        <f aca="false">AF$258-AF$259</f>
        <v>110285.680115125</v>
      </c>
      <c r="AG260" s="34" t="n">
        <f aca="false">AG$258-AG$259</f>
        <v>110285.680115125</v>
      </c>
      <c r="AH260" s="34" t="n">
        <f aca="false">AH$258-AH$259</f>
        <v>110285.680115125</v>
      </c>
      <c r="AI260" s="34" t="n">
        <f aca="false">AI$258-AI$259</f>
        <v>110285.680115125</v>
      </c>
      <c r="AJ260" s="34" t="n">
        <f aca="false">AJ$258-AJ$259</f>
        <v>110285.680115125</v>
      </c>
      <c r="AK260" s="34" t="n">
        <f aca="false">AK$258-AK$259</f>
        <v>110285.680115125</v>
      </c>
      <c r="AL260" s="34" t="n">
        <f aca="false">AL$258-AL$259</f>
        <v>110285.680115125</v>
      </c>
      <c r="AM260" s="34" t="n">
        <f aca="false">AM$258-AM$259</f>
        <v>110285.680115125</v>
      </c>
      <c r="AN260" s="34" t="n">
        <f aca="false">AN$258-AN$259</f>
        <v>110285.680115125</v>
      </c>
      <c r="AO260" s="34" t="n">
        <f aca="false">AO$258-AO$259</f>
        <v>110285.680115125</v>
      </c>
      <c r="AP260" s="34" t="n">
        <f aca="false">AP$258-AP$259</f>
        <v>143094.229129858</v>
      </c>
      <c r="AQ260" s="34" t="n">
        <f aca="false">AQ$258-AQ$259</f>
        <v>143094.229129858</v>
      </c>
      <c r="AR260" s="34" t="n">
        <f aca="false">AR$258-AR$259</f>
        <v>143094.229129858</v>
      </c>
      <c r="AS260" s="34" t="n">
        <f aca="false">AS$258-AS$259</f>
        <v>143094.229129858</v>
      </c>
      <c r="AT260" s="34" t="n">
        <f aca="false">AT$258-AT$259</f>
        <v>143094.229129858</v>
      </c>
      <c r="AU260" s="34" t="n">
        <f aca="false">AU$258-AU$259</f>
        <v>143094.229129858</v>
      </c>
      <c r="AV260" s="34" t="n">
        <f aca="false">AV$258-AV$259</f>
        <v>143094.229129858</v>
      </c>
      <c r="AW260" s="34" t="n">
        <f aca="false">AW$258-AW$259</f>
        <v>143094.229129858</v>
      </c>
      <c r="AX260" s="34" t="n">
        <f aca="false">AX$258-AX$259</f>
        <v>143094.229129858</v>
      </c>
      <c r="AY260" s="34" t="n">
        <f aca="false">AY$258-AY$259</f>
        <v>143094.229129858</v>
      </c>
      <c r="AZ260" s="34" t="n">
        <f aca="false">AZ$258-AZ$259</f>
        <v>143094.229129858</v>
      </c>
      <c r="BA260" s="34" t="n">
        <f aca="false">BA$258-BA$259</f>
        <v>143094.229129858</v>
      </c>
      <c r="BB260" s="34" t="n">
        <f aca="false">BB$258-BB$259</f>
        <v>144413.814126374</v>
      </c>
      <c r="BC260" s="34" t="n">
        <f aca="false">BC$258-BC$259</f>
        <v>144413.814126374</v>
      </c>
      <c r="BD260" s="34" t="n">
        <f aca="false">BD$258-BD$259</f>
        <v>144413.814126374</v>
      </c>
      <c r="BE260" s="34" t="n">
        <f aca="false">BE$258-BE$259</f>
        <v>144413.814126374</v>
      </c>
      <c r="BF260" s="34" t="n">
        <f aca="false">BF$258-BF$259</f>
        <v>144413.814126374</v>
      </c>
      <c r="BG260" s="34" t="n">
        <f aca="false">BG$258-BG$259</f>
        <v>144413.814126374</v>
      </c>
      <c r="BH260" s="34" t="n">
        <f aca="false">BH$258-BH$259</f>
        <v>144413.814126374</v>
      </c>
      <c r="BI260" s="34" t="n">
        <f aca="false">BI$258-BI$259</f>
        <v>144413.814126374</v>
      </c>
      <c r="BJ260" s="34" t="n">
        <f aca="false">BJ$258-BJ$259</f>
        <v>144413.814126374</v>
      </c>
      <c r="BK260" s="34" t="n">
        <f aca="false">BK$258-BK$259</f>
        <v>144413.814126374</v>
      </c>
      <c r="BL260" s="34" t="n">
        <f aca="false">BL$258-BL$259</f>
        <v>144413.814126374</v>
      </c>
      <c r="BM260" s="34" t="n">
        <f aca="false">BM$258-BM$259</f>
        <v>144413.814126374</v>
      </c>
      <c r="BN260" s="34" t="n">
        <f aca="false">BN$258-BN$259</f>
        <v>149515.724381159</v>
      </c>
      <c r="BO260" s="34" t="n">
        <f aca="false">BO$258-BO$259</f>
        <v>149515.724381159</v>
      </c>
      <c r="BP260" s="34" t="n">
        <f aca="false">BP$258-BP$259</f>
        <v>149515.724381159</v>
      </c>
      <c r="BQ260" s="34" t="n">
        <f aca="false">BQ$258-BQ$259</f>
        <v>149515.724381159</v>
      </c>
      <c r="BR260" s="34" t="n">
        <f aca="false">BR$258-BR$259</f>
        <v>149515.724381159</v>
      </c>
      <c r="BS260" s="34" t="n">
        <f aca="false">BS$258-BS$259</f>
        <v>149515.724381159</v>
      </c>
      <c r="BT260" s="34" t="n">
        <f aca="false">BT$258-BT$259</f>
        <v>149515.724381159</v>
      </c>
      <c r="BU260" s="34" t="n">
        <f aca="false">BU$258-BU$259</f>
        <v>149515.724381159</v>
      </c>
      <c r="BV260" s="34" t="n">
        <f aca="false">BV$258-BV$259</f>
        <v>149515.724381159</v>
      </c>
      <c r="BW260" s="34" t="n">
        <f aca="false">BW$258-BW$259</f>
        <v>149515.724381159</v>
      </c>
      <c r="BX260" s="34" t="n">
        <f aca="false">BX$258-BX$259</f>
        <v>149515.724381159</v>
      </c>
      <c r="BY260" s="34" t="n">
        <f aca="false">BY$258-BY$259</f>
        <v>149515.724381159</v>
      </c>
      <c r="BZ260" s="34" t="n">
        <f aca="false">BZ$258-BZ$259</f>
        <v>153631.305072733</v>
      </c>
      <c r="CA260" s="34" t="n">
        <f aca="false">CA$258-CA$259</f>
        <v>153631.305072733</v>
      </c>
      <c r="CB260" s="34" t="n">
        <f aca="false">CB$258-CB$259</f>
        <v>153631.305072733</v>
      </c>
      <c r="CC260" s="34" t="n">
        <f aca="false">CC$258-CC$259</f>
        <v>153631.305072733</v>
      </c>
      <c r="CD260" s="34" t="n">
        <f aca="false">CD$258-CD$259</f>
        <v>153631.305072733</v>
      </c>
      <c r="CE260" s="34" t="n">
        <f aca="false">CE$258-CE$259</f>
        <v>153631.305072733</v>
      </c>
      <c r="CF260" s="34" t="n">
        <f aca="false">CF$258-CF$259</f>
        <v>153631.305072733</v>
      </c>
      <c r="CG260" s="34" t="n">
        <f aca="false">CG$258-CG$259</f>
        <v>153631.305072733</v>
      </c>
      <c r="CH260" s="34" t="n">
        <f aca="false">CH$258-CH$259</f>
        <v>153631.305072733</v>
      </c>
      <c r="CI260" s="34" t="n">
        <f aca="false">CI$258-CI$259</f>
        <v>153631.305072733</v>
      </c>
      <c r="CJ260" s="34" t="n">
        <f aca="false">CJ$258-CJ$259</f>
        <v>153631.305072733</v>
      </c>
      <c r="CK260" s="34" t="n">
        <f aca="false">CK$258-CK$259</f>
        <v>153631.305072733</v>
      </c>
      <c r="CL260" s="34" t="n">
        <f aca="false">CL$258-CL$259</f>
        <v>157775.101129621</v>
      </c>
      <c r="CM260" s="34" t="n">
        <f aca="false">CM$258-CM$259</f>
        <v>157775.101129621</v>
      </c>
      <c r="CN260" s="34" t="n">
        <f aca="false">CN$258-CN$259</f>
        <v>157775.101129621</v>
      </c>
      <c r="CO260" s="34" t="n">
        <f aca="false">CO$258-CO$259</f>
        <v>157775.101129621</v>
      </c>
      <c r="CP260" s="34" t="n">
        <f aca="false">CP$258-CP$259</f>
        <v>157775.101129621</v>
      </c>
      <c r="CQ260" s="34" t="n">
        <f aca="false">CQ$258-CQ$259</f>
        <v>157775.101129621</v>
      </c>
      <c r="CR260" s="34" t="n">
        <f aca="false">CR$258-CR$259</f>
        <v>157775.101129621</v>
      </c>
      <c r="CS260" s="34" t="n">
        <f aca="false">CS$258-CS$259</f>
        <v>157775.101129621</v>
      </c>
      <c r="CT260" s="34" t="n">
        <f aca="false">CT$258-CT$259</f>
        <v>157775.101129621</v>
      </c>
      <c r="CU260" s="34" t="n">
        <f aca="false">CU$258-CU$259</f>
        <v>157775.101129621</v>
      </c>
      <c r="CV260" s="34" t="n">
        <f aca="false">CV$258-CV$259</f>
        <v>157775.101129621</v>
      </c>
      <c r="CW260" s="34" t="n">
        <f aca="false">CW$258-CW$259</f>
        <v>157775.101129621</v>
      </c>
      <c r="CX260" s="34" t="n">
        <f aca="false">CX$258-CX$259</f>
        <v>161947.012232241</v>
      </c>
      <c r="CY260" s="34" t="n">
        <f aca="false">CY$258-CY$259</f>
        <v>161947.012232241</v>
      </c>
      <c r="CZ260" s="34" t="n">
        <f aca="false">CZ$258-CZ$259</f>
        <v>161947.012232241</v>
      </c>
      <c r="DA260" s="34" t="n">
        <f aca="false">DA$258-DA$259</f>
        <v>161947.012232241</v>
      </c>
      <c r="DB260" s="34" t="n">
        <f aca="false">DB$258-DB$259</f>
        <v>161947.012232241</v>
      </c>
      <c r="DC260" s="34" t="n">
        <f aca="false">DC$258-DC$259</f>
        <v>161947.012232241</v>
      </c>
      <c r="DD260" s="34" t="n">
        <f aca="false">DD$258-DD$259</f>
        <v>161947.012232241</v>
      </c>
      <c r="DE260" s="34" t="n">
        <f aca="false">DE$258-DE$259</f>
        <v>161947.012232241</v>
      </c>
      <c r="DF260" s="34" t="n">
        <f aca="false">DF$258-DF$259</f>
        <v>161947.012232241</v>
      </c>
      <c r="DG260" s="34" t="n">
        <f aca="false">DG$258-DG$259</f>
        <v>161947.012232241</v>
      </c>
      <c r="DH260" s="34" t="n">
        <f aca="false">DH$258-DH$259</f>
        <v>161947.012232241</v>
      </c>
      <c r="DI260" s="34" t="n">
        <f aca="false">DI$258-DI$259</f>
        <v>161947.012232241</v>
      </c>
      <c r="DJ260" s="34" t="n">
        <f aca="false">DJ$258-DJ$259</f>
        <v>166146.925698419</v>
      </c>
      <c r="DK260" s="34" t="n">
        <f aca="false">DK$258-DK$259</f>
        <v>166146.925698419</v>
      </c>
      <c r="DL260" s="34" t="n">
        <f aca="false">DL$258-DL$259</f>
        <v>166146.925698419</v>
      </c>
      <c r="DM260" s="34" t="n">
        <f aca="false">DM$258-DM$259</f>
        <v>166146.925698419</v>
      </c>
      <c r="DN260" s="34" t="n">
        <f aca="false">DN$258-DN$259</f>
        <v>166146.925698419</v>
      </c>
      <c r="DO260" s="34" t="n">
        <f aca="false">DO$258-DO$259</f>
        <v>166146.925698419</v>
      </c>
      <c r="DP260" s="34" t="n">
        <f aca="false">DP$258-DP$259</f>
        <v>166146.925698419</v>
      </c>
      <c r="DQ260" s="34" t="n">
        <f aca="false">DQ$258-DQ$259</f>
        <v>166146.925698419</v>
      </c>
      <c r="DR260" s="34" t="n">
        <f aca="false">DR$258-DR$259</f>
        <v>166146.925698419</v>
      </c>
      <c r="DS260" s="34" t="n">
        <f aca="false">DS$258-DS$259</f>
        <v>166146.925698419</v>
      </c>
      <c r="DT260" s="34" t="n">
        <f aca="false">DT$258-DT$259</f>
        <v>166146.925698419</v>
      </c>
      <c r="DU260" s="34" t="n">
        <f aca="false">DU$258-DU$259</f>
        <v>166146.925698419</v>
      </c>
      <c r="DV260" s="34" t="n">
        <f aca="false">DV$258-DV$259</f>
        <v>0</v>
      </c>
      <c r="DW260" s="34" t="n">
        <f aca="false">DW$258-DW$259</f>
        <v>0</v>
      </c>
      <c r="DX260" s="34" t="n">
        <f aca="false">DX$258-DX$259</f>
        <v>0</v>
      </c>
      <c r="DY260" s="34" t="n">
        <f aca="false">DY$258-DY$259</f>
        <v>0</v>
      </c>
      <c r="DZ260" s="34" t="n">
        <f aca="false">DZ$258-DZ$259</f>
        <v>0</v>
      </c>
      <c r="EA260" s="34" t="n">
        <f aca="false">EA$258-EA$259</f>
        <v>0</v>
      </c>
      <c r="EB260" s="34" t="n">
        <f aca="false">EB$258-EB$259</f>
        <v>0</v>
      </c>
      <c r="EC260" s="34" t="n">
        <f aca="false">EC$258-EC$259</f>
        <v>0</v>
      </c>
      <c r="ED260" s="34" t="n">
        <f aca="false">ED$258-ED$259</f>
        <v>0</v>
      </c>
      <c r="EE260" s="34" t="n">
        <f aca="false">EE$258-EE$259</f>
        <v>0</v>
      </c>
      <c r="EF260" s="34" t="n">
        <f aca="false">EF$258-EF$259</f>
        <v>0</v>
      </c>
      <c r="EG260" s="34" t="n">
        <f aca="false">EG$258-EG$259</f>
        <v>0</v>
      </c>
      <c r="EH260" s="34" t="n">
        <f aca="false">EH$258-EH$259</f>
        <v>0</v>
      </c>
      <c r="EI260" s="34" t="n">
        <f aca="false">EI$258-EI$259</f>
        <v>0</v>
      </c>
      <c r="EJ260" s="34" t="n">
        <f aca="false">EJ$258-EJ$259</f>
        <v>0</v>
      </c>
      <c r="EK260" s="34" t="n">
        <f aca="false">EK$258-EK$259</f>
        <v>0</v>
      </c>
      <c r="EL260" s="34" t="n">
        <f aca="false">EL$258-EL$259</f>
        <v>0</v>
      </c>
      <c r="EM260" s="34" t="n">
        <f aca="false">EM$258-EM$259</f>
        <v>0</v>
      </c>
      <c r="EN260" s="34" t="n">
        <f aca="false">EN$258-EN$259</f>
        <v>0</v>
      </c>
      <c r="EO260" s="34" t="n">
        <f aca="false">EO$258-EO$259</f>
        <v>0</v>
      </c>
      <c r="EP260" s="34" t="n">
        <f aca="false">EP$258-EP$259</f>
        <v>0</v>
      </c>
      <c r="EQ260" s="34" t="n">
        <f aca="false">EQ$258-EQ$259</f>
        <v>0</v>
      </c>
      <c r="ER260" s="34" t="n">
        <f aca="false">ER$258-ER$259</f>
        <v>0</v>
      </c>
      <c r="ES260" s="34" t="n">
        <f aca="false">ES$258-ES$259</f>
        <v>0</v>
      </c>
    </row>
    <row r="261" customFormat="false" ht="15" hidden="false" customHeight="false" outlineLevel="0" collapsed="false">
      <c r="A261" s="2" t="s">
        <v>901</v>
      </c>
      <c r="B261" s="6" t="s">
        <v>699</v>
      </c>
      <c r="C261" s="6" t="s">
        <v>250</v>
      </c>
      <c r="E261" s="40" t="n">
        <f aca="false">SUM(F261:ES261)</f>
        <v>813214.128224454</v>
      </c>
      <c r="F261" s="34" t="n">
        <f aca="false">IF(F$8=1,IF(Reales!$C$74="PYG",IF(F$10&gt;0,N(Reales!F74)/F$10,0),N(Reales!F74)),(F$280+F$284+F$288+F$296)*(1+V_IVAint))</f>
        <v>23030.59275</v>
      </c>
      <c r="G261" s="34" t="n">
        <f aca="false">IF(G$8=1,IF(Reales!$C$74="PYG",IF(G$10&gt;0,N(Reales!G74)/G$10,0),N(Reales!G74)),(G$280+G$284+G$288+G$296)*(1+V_IVAint))</f>
        <v>23030.59275</v>
      </c>
      <c r="H261" s="34" t="n">
        <f aca="false">IF(H$8=1,IF(Reales!$C$74="PYG",IF(H$10&gt;0,N(Reales!H74)/H$10,0),N(Reales!H74)),(H$280+H$284+H$288+H$296)*(1+V_IVAint))</f>
        <v>23030.59275</v>
      </c>
      <c r="I261" s="34" t="n">
        <f aca="false">IF(I$8=1,IF(Reales!$C$74="PYG",IF(I$10&gt;0,N(Reales!I74)/I$10,0),N(Reales!I74)),(I$280+I$284+I$288+I$296)*(1+V_IVAint))</f>
        <v>23030.59275</v>
      </c>
      <c r="J261" s="34" t="n">
        <f aca="false">IF(J$8=1,IF(Reales!$C$74="PYG",IF(J$10&gt;0,N(Reales!J74)/J$10,0),N(Reales!J74)),(J$280+J$284+J$288+J$296)*(1+V_IVAint))</f>
        <v>23030.59275</v>
      </c>
      <c r="K261" s="34" t="n">
        <f aca="false">IF(K$8=1,IF(Reales!$C$74="PYG",IF(K$10&gt;0,N(Reales!K74)/K$10,0),N(Reales!K74)),(K$280+K$284+K$288+K$296)*(1+V_IVAint))</f>
        <v>23030.59275</v>
      </c>
      <c r="L261" s="34" t="n">
        <f aca="false">IF(L$8=1,IF(Reales!$C$74="PYG",IF(L$10&gt;0,N(Reales!L74)/L$10,0),N(Reales!L74)),(L$280+L$284+L$288+L$296)*(1+V_IVAint))</f>
        <v>23030.59275</v>
      </c>
      <c r="M261" s="34" t="n">
        <f aca="false">IF(M$8=1,IF(Reales!$C$74="PYG",IF(M$10&gt;0,N(Reales!M74)/M$10,0),N(Reales!M74)),(M$280+M$284+M$288+M$296)*(1+V_IVAint))</f>
        <v>22683.0754912188</v>
      </c>
      <c r="N261" s="34" t="n">
        <f aca="false">IF(N$8=1,IF(Reales!$C$74="PYG",IF(N$10&gt;0,N(Reales!N74)/N$10,0),N(Reales!N74)),(N$280+N$284+N$288+N$296)*(1+V_IVAint))</f>
        <v>22332.9518529968</v>
      </c>
      <c r="O261" s="34" t="n">
        <f aca="false">IF(O$8=1,IF(Reales!$C$74="PYG",IF(O$10&gt;0,N(Reales!O74)/O$10,0),N(Reales!O74)),(O$280+O$284+O$288+O$296)*(1+V_IVAint))</f>
        <v>21980.2022874881</v>
      </c>
      <c r="P261" s="34" t="n">
        <f aca="false">IF(P$8=1,IF(Reales!$C$74="PYG",IF(P$10&gt;0,N(Reales!P74)/P$10,0),N(Reales!P74)),(P$280+P$284+P$288+P$296)*(1+V_IVAint))</f>
        <v>21624.8071002381</v>
      </c>
      <c r="Q261" s="34" t="n">
        <f aca="false">IF(Q$8=1,IF(Reales!$C$74="PYG",IF(Q$10&gt;0,N(Reales!Q74)/Q$10,0),N(Reales!Q74)),(Q$280+Q$284+Q$288+Q$296)*(1+V_IVAint))</f>
        <v>21266.7464490837</v>
      </c>
      <c r="R261" s="34" t="n">
        <f aca="false">IF(R$8=1,IF(Reales!$C$74="PYG",IF(R$10&gt;0,N(Reales!R74)/R$10,0),N(Reales!R74)),(R$280+R$284+R$288+R$296)*(1+V_IVAint))</f>
        <v>20906.0003430457</v>
      </c>
      <c r="S261" s="34" t="n">
        <f aca="false">IF(S$8=1,IF(Reales!$C$74="PYG",IF(S$10&gt;0,N(Reales!S74)/S$10,0),N(Reales!S74)),(S$280+S$284+S$288+S$296)*(1+V_IVAint))</f>
        <v>20542.5486412123</v>
      </c>
      <c r="T261" s="34" t="n">
        <f aca="false">IF(T$8=1,IF(Reales!$C$74="PYG",IF(T$10&gt;0,N(Reales!T74)/T$10,0),N(Reales!T74)),(T$280+T$284+T$288+T$296)*(1+V_IVAint))</f>
        <v>20176.3710516152</v>
      </c>
      <c r="U261" s="34" t="n">
        <f aca="false">IF(U$8=1,IF(Reales!$C$74="PYG",IF(U$10&gt;0,N(Reales!U74)/U$10,0),N(Reales!U74)),(U$280+U$284+U$288+U$296)*(1+V_IVAint))</f>
        <v>19807.4471300962</v>
      </c>
      <c r="V261" s="34" t="n">
        <f aca="false">IF(V$8=1,IF(Reales!$C$74="PYG",IF(V$10&gt;0,N(Reales!V74)/V$10,0),N(Reales!V74)),(V$280+V$284+V$288+V$296)*(1+V_IVAint))</f>
        <v>19435.7562791657</v>
      </c>
      <c r="W261" s="34" t="n">
        <f aca="false">IF(W$8=1,IF(Reales!$C$74="PYG",IF(W$10&gt;0,N(Reales!W74)/W$10,0),N(Reales!W74)),(W$280+W$284+W$288+W$296)*(1+V_IVAint))</f>
        <v>19061.2777468533</v>
      </c>
      <c r="X261" s="34" t="n">
        <f aca="false">IF(X$8=1,IF(Reales!$C$74="PYG",IF(X$10&gt;0,N(Reales!X74)/X$10,0),N(Reales!X74)),(X$280+X$284+X$288+X$296)*(1+V_IVAint))</f>
        <v>18683.9906255485</v>
      </c>
      <c r="Y261" s="34" t="n">
        <f aca="false">IF(Y$8=1,IF(Reales!$C$74="PYG",IF(Y$10&gt;0,N(Reales!Y74)/Y$10,0),N(Reales!Y74)),(Y$280+Y$284+Y$288+Y$296)*(1+V_IVAint))</f>
        <v>18303.873850834</v>
      </c>
      <c r="Z261" s="34" t="n">
        <f aca="false">IF(Z$8=1,IF(Reales!$C$74="PYG",IF(Z$10&gt;0,N(Reales!Z74)/Z$10,0),N(Reales!Z74)),(Z$280+Z$284+Z$288+Z$296)*(1+V_IVAint))</f>
        <v>17920.906200309</v>
      </c>
      <c r="AA261" s="34" t="n">
        <f aca="false">IF(AA$8=1,IF(Reales!$C$74="PYG",IF(AA$10&gt;0,N(Reales!AA74)/AA$10,0),N(Reales!AA74)),(AA$280+AA$284+AA$288+AA$296)*(1+V_IVAint))</f>
        <v>17535.0662924052</v>
      </c>
      <c r="AB261" s="34" t="n">
        <f aca="false">IF(AB$8=1,IF(Reales!$C$74="PYG",IF(AB$10&gt;0,N(Reales!AB74)/AB$10,0),N(Reales!AB74)),(AB$280+AB$284+AB$288+AB$296)*(1+V_IVAint))</f>
        <v>17146.3325851921</v>
      </c>
      <c r="AC261" s="34" t="n">
        <f aca="false">IF(AC$8=1,IF(Reales!$C$74="PYG",IF(AC$10&gt;0,N(Reales!AC74)/AC$10,0),N(Reales!AC74)),(AC$280+AC$284+AC$288+AC$296)*(1+V_IVAint))</f>
        <v>16754.6833751748</v>
      </c>
      <c r="AD261" s="34" t="n">
        <f aca="false">IF(AD$8=1,IF(Reales!$C$74="PYG",IF(AD$10&gt;0,N(Reales!AD74)/AD$10,0),N(Reales!AD74)),(AD$280+AD$284+AD$288+AD$296)*(1+V_IVAint))</f>
        <v>16360.0967960825</v>
      </c>
      <c r="AE261" s="34" t="n">
        <f aca="false">IF(AE$8=1,IF(Reales!$C$74="PYG",IF(AE$10&gt;0,N(Reales!AE74)/AE$10,0),N(Reales!AE74)),(AE$280+AE$284+AE$288+AE$296)*(1+V_IVAint))</f>
        <v>15962.5508176469</v>
      </c>
      <c r="AF261" s="34" t="n">
        <f aca="false">IF(AF$8=1,IF(Reales!$C$74="PYG",IF(AF$10&gt;0,N(Reales!AF74)/AF$10,0),N(Reales!AF74)),(AF$280+AF$284+AF$288+AF$296)*(1+V_IVAint))</f>
        <v>15562.0232443731</v>
      </c>
      <c r="AG261" s="34" t="n">
        <f aca="false">IF(AG$8=1,IF(Reales!$C$74="PYG",IF(AG$10&gt;0,N(Reales!AG74)/AG$10,0),N(Reales!AG74)),(AG$280+AG$284+AG$288+AG$296)*(1+V_IVAint))</f>
        <v>15158.4917142997</v>
      </c>
      <c r="AH261" s="34" t="n">
        <f aca="false">IF(AH$8=1,IF(Reales!$C$74="PYG",IF(AH$10&gt;0,N(Reales!AH74)/AH$10,0),N(Reales!AH74)),(AH$280+AH$284+AH$288+AH$296)*(1+V_IVAint))</f>
        <v>14751.9336977508</v>
      </c>
      <c r="AI261" s="34" t="n">
        <f aca="false">IF(AI$8=1,IF(Reales!$C$74="PYG",IF(AI$10&gt;0,N(Reales!AI74)/AI$10,0),N(Reales!AI74)),(AI$280+AI$284+AI$288+AI$296)*(1+V_IVAint))</f>
        <v>14342.3264960777</v>
      </c>
      <c r="AJ261" s="34" t="n">
        <f aca="false">IF(AJ$8=1,IF(Reales!$C$74="PYG",IF(AJ$10&gt;0,N(Reales!AJ74)/AJ$10,0),N(Reales!AJ74)),(AJ$280+AJ$284+AJ$288+AJ$296)*(1+V_IVAint))</f>
        <v>13929.6472403921</v>
      </c>
      <c r="AK261" s="34" t="n">
        <f aca="false">IF(AK$8=1,IF(Reales!$C$74="PYG",IF(AK$10&gt;0,N(Reales!AK74)/AK$10,0),N(Reales!AK74)),(AK$280+AK$284+AK$288+AK$296)*(1+V_IVAint))</f>
        <v>13513.8728902889</v>
      </c>
      <c r="AL261" s="34" t="n">
        <f aca="false">IF(AL$8=1,IF(Reales!$C$74="PYG",IF(AL$10&gt;0,N(Reales!AL74)/AL$10,0),N(Reales!AL74)),(AL$280+AL$284+AL$288+AL$296)*(1+V_IVAint))</f>
        <v>13094.9802325599</v>
      </c>
      <c r="AM261" s="34" t="n">
        <f aca="false">IF(AM$8=1,IF(Reales!$C$74="PYG",IF(AM$10&gt;0,N(Reales!AM74)/AM$10,0),N(Reales!AM74)),(AM$280+AM$284+AM$288+AM$296)*(1+V_IVAint))</f>
        <v>12672.9458798979</v>
      </c>
      <c r="AN261" s="34" t="n">
        <f aca="false">IF(AN$8=1,IF(Reales!$C$74="PYG",IF(AN$10&gt;0,N(Reales!AN74)/AN$10,0),N(Reales!AN74)),(AN$280+AN$284+AN$288+AN$296)*(1+V_IVAint))</f>
        <v>12247.746269591</v>
      </c>
      <c r="AO261" s="34" t="n">
        <f aca="false">IF(AO$8=1,IF(Reales!$C$74="PYG",IF(AO$10&gt;0,N(Reales!AO74)/AO$10,0),N(Reales!AO74)),(AO$280+AO$284+AO$288+AO$296)*(1+V_IVAint))</f>
        <v>11819.3576622067</v>
      </c>
      <c r="AP261" s="34" t="n">
        <f aca="false">IF(AP$8=1,IF(Reales!$C$74="PYG",IF(AP$10&gt;0,N(Reales!AP74)/AP$10,0),N(Reales!AP74)),(AP$280+AP$284+AP$288+AP$296)*(1+V_IVAint))</f>
        <v>11387.7561402671</v>
      </c>
      <c r="AQ261" s="34" t="n">
        <f aca="false">IF(AQ$8=1,IF(Reales!$C$74="PYG",IF(AQ$10&gt;0,N(Reales!AQ74)/AQ$10,0),N(Reales!AQ74)),(AQ$280+AQ$284+AQ$288+AQ$296)*(1+V_IVAint))</f>
        <v>10952.917606913</v>
      </c>
      <c r="AR261" s="34" t="n">
        <f aca="false">IF(AR$8=1,IF(Reales!$C$74="PYG",IF(AR$10&gt;0,N(Reales!AR74)/AR$10,0),N(Reales!AR74)),(AR$280+AR$284+AR$288+AR$296)*(1+V_IVAint))</f>
        <v>10514.8177845586</v>
      </c>
      <c r="AS261" s="34" t="n">
        <f aca="false">IF(AS$8=1,IF(Reales!$C$74="PYG",IF(AS$10&gt;0,N(Reales!AS74)/AS$10,0),N(Reales!AS74)),(AS$280+AS$284+AS$288+AS$296)*(1+V_IVAint))</f>
        <v>10073.4322135366</v>
      </c>
      <c r="AT261" s="34" t="n">
        <f aca="false">IF(AT$8=1,IF(Reales!$C$74="PYG",IF(AT$10&gt;0,N(Reales!AT74)/AT$10,0),N(Reales!AT74)),(AT$280+AT$284+AT$288+AT$296)*(1+V_IVAint))</f>
        <v>9628.736250732</v>
      </c>
      <c r="AU261" s="34" t="n">
        <f aca="false">IF(AU$8=1,IF(Reales!$C$74="PYG",IF(AU$10&gt;0,N(Reales!AU74)/AU$10,0),N(Reales!AU74)),(AU$280+AU$284+AU$288+AU$296)*(1+V_IVAint))</f>
        <v>9180.70506820631</v>
      </c>
      <c r="AV261" s="34" t="n">
        <f aca="false">IF(AV$8=1,IF(Reales!$C$74="PYG",IF(AV$10&gt;0,N(Reales!AV74)/AV$10,0),N(Reales!AV74)),(AV$280+AV$284+AV$288+AV$296)*(1+V_IVAint))</f>
        <v>8729.31365181168</v>
      </c>
      <c r="AW261" s="34" t="n">
        <f aca="false">IF(AW$8=1,IF(Reales!$C$74="PYG",IF(AW$10&gt;0,N(Reales!AW74)/AW$10,0),N(Reales!AW74)),(AW$280+AW$284+AW$288+AW$296)*(1+V_IVAint))</f>
        <v>8274.5367997941</v>
      </c>
      <c r="AX261" s="34" t="n">
        <f aca="false">IF(AX$8=1,IF(Reales!$C$74="PYG",IF(AX$10&gt;0,N(Reales!AX74)/AX$10,0),N(Reales!AX74)),(AX$280+AX$284+AX$288+AX$296)*(1+V_IVAint))</f>
        <v>7816.34912138638</v>
      </c>
      <c r="AY261" s="34" t="n">
        <f aca="false">IF(AY$8=1,IF(Reales!$C$74="PYG",IF(AY$10&gt;0,N(Reales!AY74)/AY$10,0),N(Reales!AY74)),(AY$280+AY$284+AY$288+AY$296)*(1+V_IVAint))</f>
        <v>7354.7250353906</v>
      </c>
      <c r="AZ261" s="34" t="n">
        <f aca="false">IF(AZ$8=1,IF(Reales!$C$74="PYG",IF(AZ$10&gt;0,N(Reales!AZ74)/AZ$10,0),N(Reales!AZ74)),(AZ$280+AZ$284+AZ$288+AZ$296)*(1+V_IVAint))</f>
        <v>6889.63876874986</v>
      </c>
      <c r="BA261" s="34" t="n">
        <f aca="false">IF(BA$8=1,IF(Reales!$C$74="PYG",IF(BA$10&gt;0,N(Reales!BA74)/BA$10,0),N(Reales!BA74)),(BA$280+BA$284+BA$288+BA$296)*(1+V_IVAint))</f>
        <v>6421.06435510931</v>
      </c>
      <c r="BB261" s="34" t="n">
        <f aca="false">IF(BB$8=1,IF(Reales!$C$74="PYG",IF(BB$10&gt;0,N(Reales!BB74)/BB$10,0),N(Reales!BB74)),(BB$280+BB$284+BB$288+BB$296)*(1+V_IVAint))</f>
        <v>5948.97563336646</v>
      </c>
      <c r="BC261" s="34" t="n">
        <f aca="false">IF(BC$8=1,IF(Reales!$C$74="PYG",IF(BC$10&gt;0,N(Reales!BC74)/BC$10,0),N(Reales!BC74)),(BC$280+BC$284+BC$288+BC$296)*(1+V_IVAint))</f>
        <v>5473.34624621053</v>
      </c>
      <c r="BD261" s="34" t="n">
        <f aca="false">IF(BD$8=1,IF(Reales!$C$74="PYG",IF(BD$10&gt;0,N(Reales!BD74)/BD$10,0),N(Reales!BD74)),(BD$280+BD$284+BD$288+BD$296)*(1+V_IVAint))</f>
        <v>4994.14963865093</v>
      </c>
      <c r="BE261" s="34" t="n">
        <f aca="false">IF(BE$8=1,IF(Reales!$C$74="PYG",IF(BE$10&gt;0,N(Reales!BE74)/BE$10,0),N(Reales!BE74)),(BE$280+BE$284+BE$288+BE$296)*(1+V_IVAint))</f>
        <v>4511.35905653464</v>
      </c>
      <c r="BF261" s="34" t="n">
        <f aca="false">IF(BF$8=1,IF(Reales!$C$74="PYG",IF(BF$10&gt;0,N(Reales!BF74)/BF$10,0),N(Reales!BF74)),(BF$280+BF$284+BF$288+BF$296)*(1+V_IVAint))</f>
        <v>4024.94754505248</v>
      </c>
      <c r="BG261" s="34" t="n">
        <f aca="false">IF(BG$8=1,IF(Reales!$C$74="PYG",IF(BG$10&gt;0,N(Reales!BG74)/BG$10,0),N(Reales!BG74)),(BG$280+BG$284+BG$288+BG$296)*(1+V_IVAint))</f>
        <v>3534.8879472342</v>
      </c>
      <c r="BH261" s="34" t="n">
        <f aca="false">IF(BH$8=1,IF(Reales!$C$74="PYG",IF(BH$10&gt;0,N(Reales!BH74)/BH$10,0),N(Reales!BH74)),(BH$280+BH$284+BH$288+BH$296)*(1+V_IVAint))</f>
        <v>3041.15290243228</v>
      </c>
      <c r="BI261" s="34" t="n">
        <f aca="false">IF(BI$8=1,IF(Reales!$C$74="PYG",IF(BI$10&gt;0,N(Reales!BI74)/BI$10,0),N(Reales!BI74)),(BI$280+BI$284+BI$288+BI$296)*(1+V_IVAint))</f>
        <v>2543.71484479435</v>
      </c>
      <c r="BJ261" s="34" t="n">
        <f aca="false">IF(BJ$8=1,IF(Reales!$C$74="PYG",IF(BJ$10&gt;0,N(Reales!BJ74)/BJ$10,0),N(Reales!BJ74)),(BJ$280+BJ$284+BJ$288+BJ$296)*(1+V_IVAint))</f>
        <v>2042.54600172413</v>
      </c>
      <c r="BK261" s="34" t="n">
        <f aca="false">IF(BK$8=1,IF(Reales!$C$74="PYG",IF(BK$10&gt;0,N(Reales!BK74)/BK$10,0),N(Reales!BK74)),(BK$280+BK$284+BK$288+BK$296)*(1+V_IVAint))</f>
        <v>1537.61839233089</v>
      </c>
      <c r="BL261" s="34" t="n">
        <f aca="false">IF(BL$8=1,IF(Reales!$C$74="PYG",IF(BL$10&gt;0,N(Reales!BL74)/BL$10,0),N(Reales!BL74)),(BL$280+BL$284+BL$288+BL$296)*(1+V_IVAint))</f>
        <v>1028.9038258672</v>
      </c>
      <c r="BM261" s="34" t="n">
        <f aca="false">IF(BM$8=1,IF(Reales!$C$74="PYG",IF(BM$10&gt;0,N(Reales!BM74)/BM$10,0),N(Reales!BM74)),(BM$280+BM$284+BM$288+BM$296)*(1+V_IVAint))</f>
        <v>516.373900155025</v>
      </c>
      <c r="BN261" s="34" t="n">
        <f aca="false">IF(BN$8=1,IF(Reales!$C$74="PYG",IF(BN$10&gt;0,N(Reales!BN74)/BN$10,0),N(Reales!BN74)),(BN$280+BN$284+BN$288+BN$296)*(1+V_IVAint))</f>
        <v>0</v>
      </c>
      <c r="BO261" s="34" t="n">
        <f aca="false">IF(BO$8=1,IF(Reales!$C$74="PYG",IF(BO$10&gt;0,N(Reales!BO74)/BO$10,0),N(Reales!BO74)),(BO$280+BO$284+BO$288+BO$296)*(1+V_IVAint))</f>
        <v>0</v>
      </c>
      <c r="BP261" s="34" t="n">
        <f aca="false">IF(BP$8=1,IF(Reales!$C$74="PYG",IF(BP$10&gt;0,N(Reales!BP74)/BP$10,0),N(Reales!BP74)),(BP$280+BP$284+BP$288+BP$296)*(1+V_IVAint))</f>
        <v>0</v>
      </c>
      <c r="BQ261" s="34" t="n">
        <f aca="false">IF(BQ$8=1,IF(Reales!$C$74="PYG",IF(BQ$10&gt;0,N(Reales!BQ74)/BQ$10,0),N(Reales!BQ74)),(BQ$280+BQ$284+BQ$288+BQ$296)*(1+V_IVAint))</f>
        <v>0</v>
      </c>
      <c r="BR261" s="34" t="n">
        <f aca="false">IF(BR$8=1,IF(Reales!$C$74="PYG",IF(BR$10&gt;0,N(Reales!BR74)/BR$10,0),N(Reales!BR74)),(BR$280+BR$284+BR$288+BR$296)*(1+V_IVAint))</f>
        <v>0</v>
      </c>
      <c r="BS261" s="34" t="n">
        <f aca="false">IF(BS$8=1,IF(Reales!$C$74="PYG",IF(BS$10&gt;0,N(Reales!BS74)/BS$10,0),N(Reales!BS74)),(BS$280+BS$284+BS$288+BS$296)*(1+V_IVAint))</f>
        <v>0</v>
      </c>
      <c r="BT261" s="34" t="n">
        <f aca="false">IF(BT$8=1,IF(Reales!$C$74="PYG",IF(BT$10&gt;0,N(Reales!BT74)/BT$10,0),N(Reales!BT74)),(BT$280+BT$284+BT$288+BT$296)*(1+V_IVAint))</f>
        <v>0</v>
      </c>
      <c r="BU261" s="34" t="n">
        <f aca="false">IF(BU$8=1,IF(Reales!$C$74="PYG",IF(BU$10&gt;0,N(Reales!BU74)/BU$10,0),N(Reales!BU74)),(BU$280+BU$284+BU$288+BU$296)*(1+V_IVAint))</f>
        <v>0</v>
      </c>
      <c r="BV261" s="34" t="n">
        <f aca="false">IF(BV$8=1,IF(Reales!$C$74="PYG",IF(BV$10&gt;0,N(Reales!BV74)/BV$10,0),N(Reales!BV74)),(BV$280+BV$284+BV$288+BV$296)*(1+V_IVAint))</f>
        <v>0</v>
      </c>
      <c r="BW261" s="34" t="n">
        <f aca="false">IF(BW$8=1,IF(Reales!$C$74="PYG",IF(BW$10&gt;0,N(Reales!BW74)/BW$10,0),N(Reales!BW74)),(BW$280+BW$284+BW$288+BW$296)*(1+V_IVAint))</f>
        <v>0</v>
      </c>
      <c r="BX261" s="34" t="n">
        <f aca="false">IF(BX$8=1,IF(Reales!$C$74="PYG",IF(BX$10&gt;0,N(Reales!BX74)/BX$10,0),N(Reales!BX74)),(BX$280+BX$284+BX$288+BX$296)*(1+V_IVAint))</f>
        <v>0</v>
      </c>
      <c r="BY261" s="34" t="n">
        <f aca="false">IF(BY$8=1,IF(Reales!$C$74="PYG",IF(BY$10&gt;0,N(Reales!BY74)/BY$10,0),N(Reales!BY74)),(BY$280+BY$284+BY$288+BY$296)*(1+V_IVAint))</f>
        <v>0</v>
      </c>
      <c r="BZ261" s="34" t="n">
        <f aca="false">IF(BZ$8=1,IF(Reales!$C$74="PYG",IF(BZ$10&gt;0,N(Reales!BZ74)/BZ$10,0),N(Reales!BZ74)),(BZ$280+BZ$284+BZ$288+BZ$296)*(1+V_IVAint))</f>
        <v>0</v>
      </c>
      <c r="CA261" s="34" t="n">
        <f aca="false">IF(CA$8=1,IF(Reales!$C$74="PYG",IF(CA$10&gt;0,N(Reales!CA74)/CA$10,0),N(Reales!CA74)),(CA$280+CA$284+CA$288+CA$296)*(1+V_IVAint))</f>
        <v>0</v>
      </c>
      <c r="CB261" s="34" t="n">
        <f aca="false">IF(CB$8=1,IF(Reales!$C$74="PYG",IF(CB$10&gt;0,N(Reales!CB74)/CB$10,0),N(Reales!CB74)),(CB$280+CB$284+CB$288+CB$296)*(1+V_IVAint))</f>
        <v>0</v>
      </c>
      <c r="CC261" s="34" t="n">
        <f aca="false">IF(CC$8=1,IF(Reales!$C$74="PYG",IF(CC$10&gt;0,N(Reales!CC74)/CC$10,0),N(Reales!CC74)),(CC$280+CC$284+CC$288+CC$296)*(1+V_IVAint))</f>
        <v>0</v>
      </c>
      <c r="CD261" s="34" t="n">
        <f aca="false">IF(CD$8=1,IF(Reales!$C$74="PYG",IF(CD$10&gt;0,N(Reales!CD74)/CD$10,0),N(Reales!CD74)),(CD$280+CD$284+CD$288+CD$296)*(1+V_IVAint))</f>
        <v>0</v>
      </c>
      <c r="CE261" s="34" t="n">
        <f aca="false">IF(CE$8=1,IF(Reales!$C$74="PYG",IF(CE$10&gt;0,N(Reales!CE74)/CE$10,0),N(Reales!CE74)),(CE$280+CE$284+CE$288+CE$296)*(1+V_IVAint))</f>
        <v>0</v>
      </c>
      <c r="CF261" s="34" t="n">
        <f aca="false">IF(CF$8=1,IF(Reales!$C$74="PYG",IF(CF$10&gt;0,N(Reales!CF74)/CF$10,0),N(Reales!CF74)),(CF$280+CF$284+CF$288+CF$296)*(1+V_IVAint))</f>
        <v>0</v>
      </c>
      <c r="CG261" s="34" t="n">
        <f aca="false">IF(CG$8=1,IF(Reales!$C$74="PYG",IF(CG$10&gt;0,N(Reales!CG74)/CG$10,0),N(Reales!CG74)),(CG$280+CG$284+CG$288+CG$296)*(1+V_IVAint))</f>
        <v>0</v>
      </c>
      <c r="CH261" s="34" t="n">
        <f aca="false">IF(CH$8=1,IF(Reales!$C$74="PYG",IF(CH$10&gt;0,N(Reales!CH74)/CH$10,0),N(Reales!CH74)),(CH$280+CH$284+CH$288+CH$296)*(1+V_IVAint))</f>
        <v>0</v>
      </c>
      <c r="CI261" s="34" t="n">
        <f aca="false">IF(CI$8=1,IF(Reales!$C$74="PYG",IF(CI$10&gt;0,N(Reales!CI74)/CI$10,0),N(Reales!CI74)),(CI$280+CI$284+CI$288+CI$296)*(1+V_IVAint))</f>
        <v>0</v>
      </c>
      <c r="CJ261" s="34" t="n">
        <f aca="false">IF(CJ$8=1,IF(Reales!$C$74="PYG",IF(CJ$10&gt;0,N(Reales!CJ74)/CJ$10,0),N(Reales!CJ74)),(CJ$280+CJ$284+CJ$288+CJ$296)*(1+V_IVAint))</f>
        <v>0</v>
      </c>
      <c r="CK261" s="34" t="n">
        <f aca="false">IF(CK$8=1,IF(Reales!$C$74="PYG",IF(CK$10&gt;0,N(Reales!CK74)/CK$10,0),N(Reales!CK74)),(CK$280+CK$284+CK$288+CK$296)*(1+V_IVAint))</f>
        <v>0</v>
      </c>
      <c r="CL261" s="34" t="n">
        <f aca="false">IF(CL$8=1,IF(Reales!$C$74="PYG",IF(CL$10&gt;0,N(Reales!CL74)/CL$10,0),N(Reales!CL74)),(CL$280+CL$284+CL$288+CL$296)*(1+V_IVAint))</f>
        <v>0</v>
      </c>
      <c r="CM261" s="34" t="n">
        <f aca="false">IF(CM$8=1,IF(Reales!$C$74="PYG",IF(CM$10&gt;0,N(Reales!CM74)/CM$10,0),N(Reales!CM74)),(CM$280+CM$284+CM$288+CM$296)*(1+V_IVAint))</f>
        <v>0</v>
      </c>
      <c r="CN261" s="34" t="n">
        <f aca="false">IF(CN$8=1,IF(Reales!$C$74="PYG",IF(CN$10&gt;0,N(Reales!CN74)/CN$10,0),N(Reales!CN74)),(CN$280+CN$284+CN$288+CN$296)*(1+V_IVAint))</f>
        <v>0</v>
      </c>
      <c r="CO261" s="34" t="n">
        <f aca="false">IF(CO$8=1,IF(Reales!$C$74="PYG",IF(CO$10&gt;0,N(Reales!CO74)/CO$10,0),N(Reales!CO74)),(CO$280+CO$284+CO$288+CO$296)*(1+V_IVAint))</f>
        <v>0</v>
      </c>
      <c r="CP261" s="34" t="n">
        <f aca="false">IF(CP$8=1,IF(Reales!$C$74="PYG",IF(CP$10&gt;0,N(Reales!CP74)/CP$10,0),N(Reales!CP74)),(CP$280+CP$284+CP$288+CP$296)*(1+V_IVAint))</f>
        <v>0</v>
      </c>
      <c r="CQ261" s="34" t="n">
        <f aca="false">IF(CQ$8=1,IF(Reales!$C$74="PYG",IF(CQ$10&gt;0,N(Reales!CQ74)/CQ$10,0),N(Reales!CQ74)),(CQ$280+CQ$284+CQ$288+CQ$296)*(1+V_IVAint))</f>
        <v>0</v>
      </c>
      <c r="CR261" s="34" t="n">
        <f aca="false">IF(CR$8=1,IF(Reales!$C$74="PYG",IF(CR$10&gt;0,N(Reales!CR74)/CR$10,0),N(Reales!CR74)),(CR$280+CR$284+CR$288+CR$296)*(1+V_IVAint))</f>
        <v>0</v>
      </c>
      <c r="CS261" s="34" t="n">
        <f aca="false">IF(CS$8=1,IF(Reales!$C$74="PYG",IF(CS$10&gt;0,N(Reales!CS74)/CS$10,0),N(Reales!CS74)),(CS$280+CS$284+CS$288+CS$296)*(1+V_IVAint))</f>
        <v>0</v>
      </c>
      <c r="CT261" s="34" t="n">
        <f aca="false">IF(CT$8=1,IF(Reales!$C$74="PYG",IF(CT$10&gt;0,N(Reales!CT74)/CT$10,0),N(Reales!CT74)),(CT$280+CT$284+CT$288+CT$296)*(1+V_IVAint))</f>
        <v>0</v>
      </c>
      <c r="CU261" s="34" t="n">
        <f aca="false">IF(CU$8=1,IF(Reales!$C$74="PYG",IF(CU$10&gt;0,N(Reales!CU74)/CU$10,0),N(Reales!CU74)),(CU$280+CU$284+CU$288+CU$296)*(1+V_IVAint))</f>
        <v>0</v>
      </c>
      <c r="CV261" s="34" t="n">
        <f aca="false">IF(CV$8=1,IF(Reales!$C$74="PYG",IF(CV$10&gt;0,N(Reales!CV74)/CV$10,0),N(Reales!CV74)),(CV$280+CV$284+CV$288+CV$296)*(1+V_IVAint))</f>
        <v>0</v>
      </c>
      <c r="CW261" s="34" t="n">
        <f aca="false">IF(CW$8=1,IF(Reales!$C$74="PYG",IF(CW$10&gt;0,N(Reales!CW74)/CW$10,0),N(Reales!CW74)),(CW$280+CW$284+CW$288+CW$296)*(1+V_IVAint))</f>
        <v>0</v>
      </c>
      <c r="CX261" s="34" t="n">
        <f aca="false">IF(CX$8=1,IF(Reales!$C$74="PYG",IF(CX$10&gt;0,N(Reales!CX74)/CX$10,0),N(Reales!CX74)),(CX$280+CX$284+CX$288+CX$296)*(1+V_IVAint))</f>
        <v>0</v>
      </c>
      <c r="CY261" s="34" t="n">
        <f aca="false">IF(CY$8=1,IF(Reales!$C$74="PYG",IF(CY$10&gt;0,N(Reales!CY74)/CY$10,0),N(Reales!CY74)),(CY$280+CY$284+CY$288+CY$296)*(1+V_IVAint))</f>
        <v>0</v>
      </c>
      <c r="CZ261" s="34" t="n">
        <f aca="false">IF(CZ$8=1,IF(Reales!$C$74="PYG",IF(CZ$10&gt;0,N(Reales!CZ74)/CZ$10,0),N(Reales!CZ74)),(CZ$280+CZ$284+CZ$288+CZ$296)*(1+V_IVAint))</f>
        <v>0</v>
      </c>
      <c r="DA261" s="34" t="n">
        <f aca="false">IF(DA$8=1,IF(Reales!$C$74="PYG",IF(DA$10&gt;0,N(Reales!DA74)/DA$10,0),N(Reales!DA74)),(DA$280+DA$284+DA$288+DA$296)*(1+V_IVAint))</f>
        <v>0</v>
      </c>
      <c r="DB261" s="34" t="n">
        <f aca="false">IF(DB$8=1,IF(Reales!$C$74="PYG",IF(DB$10&gt;0,N(Reales!DB74)/DB$10,0),N(Reales!DB74)),(DB$280+DB$284+DB$288+DB$296)*(1+V_IVAint))</f>
        <v>0</v>
      </c>
      <c r="DC261" s="34" t="n">
        <f aca="false">IF(DC$8=1,IF(Reales!$C$74="PYG",IF(DC$10&gt;0,N(Reales!DC74)/DC$10,0),N(Reales!DC74)),(DC$280+DC$284+DC$288+DC$296)*(1+V_IVAint))</f>
        <v>0</v>
      </c>
      <c r="DD261" s="34" t="n">
        <f aca="false">IF(DD$8=1,IF(Reales!$C$74="PYG",IF(DD$10&gt;0,N(Reales!DD74)/DD$10,0),N(Reales!DD74)),(DD$280+DD$284+DD$288+DD$296)*(1+V_IVAint))</f>
        <v>0</v>
      </c>
      <c r="DE261" s="34" t="n">
        <f aca="false">IF(DE$8=1,IF(Reales!$C$74="PYG",IF(DE$10&gt;0,N(Reales!DE74)/DE$10,0),N(Reales!DE74)),(DE$280+DE$284+DE$288+DE$296)*(1+V_IVAint))</f>
        <v>0</v>
      </c>
      <c r="DF261" s="34" t="n">
        <f aca="false">IF(DF$8=1,IF(Reales!$C$74="PYG",IF(DF$10&gt;0,N(Reales!DF74)/DF$10,0),N(Reales!DF74)),(DF$280+DF$284+DF$288+DF$296)*(1+V_IVAint))</f>
        <v>0</v>
      </c>
      <c r="DG261" s="34" t="n">
        <f aca="false">IF(DG$8=1,IF(Reales!$C$74="PYG",IF(DG$10&gt;0,N(Reales!DG74)/DG$10,0),N(Reales!DG74)),(DG$280+DG$284+DG$288+DG$296)*(1+V_IVAint))</f>
        <v>0</v>
      </c>
      <c r="DH261" s="34" t="n">
        <f aca="false">IF(DH$8=1,IF(Reales!$C$74="PYG",IF(DH$10&gt;0,N(Reales!DH74)/DH$10,0),N(Reales!DH74)),(DH$280+DH$284+DH$288+DH$296)*(1+V_IVAint))</f>
        <v>0</v>
      </c>
      <c r="DI261" s="34" t="n">
        <f aca="false">IF(DI$8=1,IF(Reales!$C$74="PYG",IF(DI$10&gt;0,N(Reales!DI74)/DI$10,0),N(Reales!DI74)),(DI$280+DI$284+DI$288+DI$296)*(1+V_IVAint))</f>
        <v>0</v>
      </c>
      <c r="DJ261" s="34" t="n">
        <f aca="false">IF(DJ$8=1,IF(Reales!$C$74="PYG",IF(DJ$10&gt;0,N(Reales!DJ74)/DJ$10,0),N(Reales!DJ74)),(DJ$280+DJ$284+DJ$288+DJ$296)*(1+V_IVAint))</f>
        <v>0</v>
      </c>
      <c r="DK261" s="34" t="n">
        <f aca="false">IF(DK$8=1,IF(Reales!$C$74="PYG",IF(DK$10&gt;0,N(Reales!DK74)/DK$10,0),N(Reales!DK74)),(DK$280+DK$284+DK$288+DK$296)*(1+V_IVAint))</f>
        <v>0</v>
      </c>
      <c r="DL261" s="34" t="n">
        <f aca="false">IF(DL$8=1,IF(Reales!$C$74="PYG",IF(DL$10&gt;0,N(Reales!DL74)/DL$10,0),N(Reales!DL74)),(DL$280+DL$284+DL$288+DL$296)*(1+V_IVAint))</f>
        <v>0</v>
      </c>
      <c r="DM261" s="34" t="n">
        <f aca="false">IF(DM$8=1,IF(Reales!$C$74="PYG",IF(DM$10&gt;0,N(Reales!DM74)/DM$10,0),N(Reales!DM74)),(DM$280+DM$284+DM$288+DM$296)*(1+V_IVAint))</f>
        <v>0</v>
      </c>
      <c r="DN261" s="34" t="n">
        <f aca="false">IF(DN$8=1,IF(Reales!$C$74="PYG",IF(DN$10&gt;0,N(Reales!DN74)/DN$10,0),N(Reales!DN74)),(DN$280+DN$284+DN$288+DN$296)*(1+V_IVAint))</f>
        <v>0</v>
      </c>
      <c r="DO261" s="34" t="n">
        <f aca="false">IF(DO$8=1,IF(Reales!$C$74="PYG",IF(DO$10&gt;0,N(Reales!DO74)/DO$10,0),N(Reales!DO74)),(DO$280+DO$284+DO$288+DO$296)*(1+V_IVAint))</f>
        <v>0</v>
      </c>
      <c r="DP261" s="34" t="n">
        <f aca="false">IF(DP$8=1,IF(Reales!$C$74="PYG",IF(DP$10&gt;0,N(Reales!DP74)/DP$10,0),N(Reales!DP74)),(DP$280+DP$284+DP$288+DP$296)*(1+V_IVAint))</f>
        <v>0</v>
      </c>
      <c r="DQ261" s="34" t="n">
        <f aca="false">IF(DQ$8=1,IF(Reales!$C$74="PYG",IF(DQ$10&gt;0,N(Reales!DQ74)/DQ$10,0),N(Reales!DQ74)),(DQ$280+DQ$284+DQ$288+DQ$296)*(1+V_IVAint))</f>
        <v>0</v>
      </c>
      <c r="DR261" s="34" t="n">
        <f aca="false">IF(DR$8=1,IF(Reales!$C$74="PYG",IF(DR$10&gt;0,N(Reales!DR74)/DR$10,0),N(Reales!DR74)),(DR$280+DR$284+DR$288+DR$296)*(1+V_IVAint))</f>
        <v>0</v>
      </c>
      <c r="DS261" s="34" t="n">
        <f aca="false">IF(DS$8=1,IF(Reales!$C$74="PYG",IF(DS$10&gt;0,N(Reales!DS74)/DS$10,0),N(Reales!DS74)),(DS$280+DS$284+DS$288+DS$296)*(1+V_IVAint))</f>
        <v>0</v>
      </c>
      <c r="DT261" s="34" t="n">
        <f aca="false">IF(DT$8=1,IF(Reales!$C$74="PYG",IF(DT$10&gt;0,N(Reales!DT74)/DT$10,0),N(Reales!DT74)),(DT$280+DT$284+DT$288+DT$296)*(1+V_IVAint))</f>
        <v>0</v>
      </c>
      <c r="DU261" s="34" t="n">
        <f aca="false">IF(DU$8=1,IF(Reales!$C$74="PYG",IF(DU$10&gt;0,N(Reales!DU74)/DU$10,0),N(Reales!DU74)),(DU$280+DU$284+DU$288+DU$296)*(1+V_IVAint))</f>
        <v>0</v>
      </c>
      <c r="DV261" s="34" t="n">
        <f aca="false">IF(DV$8=1,IF(Reales!$C$74="PYG",IF(DV$10&gt;0,N(Reales!DV74)/DV$10,0),N(Reales!DV74)),(DV$280+DV$284+DV$288+DV$296)*(1+V_IVAint))</f>
        <v>0</v>
      </c>
      <c r="DW261" s="34" t="n">
        <f aca="false">IF(DW$8=1,IF(Reales!$C$74="PYG",IF(DW$10&gt;0,N(Reales!DW74)/DW$10,0),N(Reales!DW74)),(DW$280+DW$284+DW$288+DW$296)*(1+V_IVAint))</f>
        <v>0</v>
      </c>
      <c r="DX261" s="34" t="n">
        <f aca="false">IF(DX$8=1,IF(Reales!$C$74="PYG",IF(DX$10&gt;0,N(Reales!DX74)/DX$10,0),N(Reales!DX74)),(DX$280+DX$284+DX$288+DX$296)*(1+V_IVAint))</f>
        <v>0</v>
      </c>
      <c r="DY261" s="34" t="n">
        <f aca="false">IF(DY$8=1,IF(Reales!$C$74="PYG",IF(DY$10&gt;0,N(Reales!DY74)/DY$10,0),N(Reales!DY74)),(DY$280+DY$284+DY$288+DY$296)*(1+V_IVAint))</f>
        <v>0</v>
      </c>
      <c r="DZ261" s="34" t="n">
        <f aca="false">IF(DZ$8=1,IF(Reales!$C$74="PYG",IF(DZ$10&gt;0,N(Reales!DZ74)/DZ$10,0),N(Reales!DZ74)),(DZ$280+DZ$284+DZ$288+DZ$296)*(1+V_IVAint))</f>
        <v>0</v>
      </c>
      <c r="EA261" s="34" t="n">
        <f aca="false">IF(EA$8=1,IF(Reales!$C$74="PYG",IF(EA$10&gt;0,N(Reales!EA74)/EA$10,0),N(Reales!EA74)),(EA$280+EA$284+EA$288+EA$296)*(1+V_IVAint))</f>
        <v>0</v>
      </c>
      <c r="EB261" s="34" t="n">
        <f aca="false">IF(EB$8=1,IF(Reales!$C$74="PYG",IF(EB$10&gt;0,N(Reales!EB74)/EB$10,0),N(Reales!EB74)),(EB$280+EB$284+EB$288+EB$296)*(1+V_IVAint))</f>
        <v>0</v>
      </c>
      <c r="EC261" s="34" t="n">
        <f aca="false">IF(EC$8=1,IF(Reales!$C$74="PYG",IF(EC$10&gt;0,N(Reales!EC74)/EC$10,0),N(Reales!EC74)),(EC$280+EC$284+EC$288+EC$296)*(1+V_IVAint))</f>
        <v>0</v>
      </c>
      <c r="ED261" s="34" t="n">
        <f aca="false">IF(ED$8=1,IF(Reales!$C$74="PYG",IF(ED$10&gt;0,N(Reales!ED74)/ED$10,0),N(Reales!ED74)),(ED$280+ED$284+ED$288+ED$296)*(1+V_IVAint))</f>
        <v>0</v>
      </c>
      <c r="EE261" s="34" t="n">
        <f aca="false">IF(EE$8=1,IF(Reales!$C$74="PYG",IF(EE$10&gt;0,N(Reales!EE74)/EE$10,0),N(Reales!EE74)),(EE$280+EE$284+EE$288+EE$296)*(1+V_IVAint))</f>
        <v>0</v>
      </c>
      <c r="EF261" s="34" t="n">
        <f aca="false">IF(EF$8=1,IF(Reales!$C$74="PYG",IF(EF$10&gt;0,N(Reales!EF74)/EF$10,0),N(Reales!EF74)),(EF$280+EF$284+EF$288+EF$296)*(1+V_IVAint))</f>
        <v>0</v>
      </c>
      <c r="EG261" s="34" t="n">
        <f aca="false">IF(EG$8=1,IF(Reales!$C$74="PYG",IF(EG$10&gt;0,N(Reales!EG74)/EG$10,0),N(Reales!EG74)),(EG$280+EG$284+EG$288+EG$296)*(1+V_IVAint))</f>
        <v>0</v>
      </c>
      <c r="EH261" s="34" t="n">
        <f aca="false">IF(EH$8=1,IF(Reales!$C$74="PYG",IF(EH$10&gt;0,N(Reales!EH74)/EH$10,0),N(Reales!EH74)),(EH$280+EH$284+EH$288+EH$296)*(1+V_IVAint))</f>
        <v>0</v>
      </c>
      <c r="EI261" s="34" t="n">
        <f aca="false">IF(EI$8=1,IF(Reales!$C$74="PYG",IF(EI$10&gt;0,N(Reales!EI74)/EI$10,0),N(Reales!EI74)),(EI$280+EI$284+EI$288+EI$296)*(1+V_IVAint))</f>
        <v>0</v>
      </c>
      <c r="EJ261" s="34" t="n">
        <f aca="false">IF(EJ$8=1,IF(Reales!$C$74="PYG",IF(EJ$10&gt;0,N(Reales!EJ74)/EJ$10,0),N(Reales!EJ74)),(EJ$280+EJ$284+EJ$288+EJ$296)*(1+V_IVAint))</f>
        <v>0</v>
      </c>
      <c r="EK261" s="34" t="n">
        <f aca="false">IF(EK$8=1,IF(Reales!$C$74="PYG",IF(EK$10&gt;0,N(Reales!EK74)/EK$10,0),N(Reales!EK74)),(EK$280+EK$284+EK$288+EK$296)*(1+V_IVAint))</f>
        <v>0</v>
      </c>
      <c r="EL261" s="34" t="n">
        <f aca="false">IF(EL$8=1,IF(Reales!$C$74="PYG",IF(EL$10&gt;0,N(Reales!EL74)/EL$10,0),N(Reales!EL74)),(EL$280+EL$284+EL$288+EL$296)*(1+V_IVAint))</f>
        <v>0</v>
      </c>
      <c r="EM261" s="34" t="n">
        <f aca="false">IF(EM$8=1,IF(Reales!$C$74="PYG",IF(EM$10&gt;0,N(Reales!EM74)/EM$10,0),N(Reales!EM74)),(EM$280+EM$284+EM$288+EM$296)*(1+V_IVAint))</f>
        <v>0</v>
      </c>
      <c r="EN261" s="34" t="n">
        <f aca="false">IF(EN$8=1,IF(Reales!$C$74="PYG",IF(EN$10&gt;0,N(Reales!EN74)/EN$10,0),N(Reales!EN74)),(EN$280+EN$284+EN$288+EN$296)*(1+V_IVAint))</f>
        <v>0</v>
      </c>
      <c r="EO261" s="34" t="n">
        <f aca="false">IF(EO$8=1,IF(Reales!$C$74="PYG",IF(EO$10&gt;0,N(Reales!EO74)/EO$10,0),N(Reales!EO74)),(EO$280+EO$284+EO$288+EO$296)*(1+V_IVAint))</f>
        <v>0</v>
      </c>
      <c r="EP261" s="34" t="n">
        <f aca="false">IF(EP$8=1,IF(Reales!$C$74="PYG",IF(EP$10&gt;0,N(Reales!EP74)/EP$10,0),N(Reales!EP74)),(EP$280+EP$284+EP$288+EP$296)*(1+V_IVAint))</f>
        <v>0</v>
      </c>
      <c r="EQ261" s="34" t="n">
        <f aca="false">IF(EQ$8=1,IF(Reales!$C$74="PYG",IF(EQ$10&gt;0,N(Reales!EQ74)/EQ$10,0),N(Reales!EQ74)),(EQ$280+EQ$284+EQ$288+EQ$296)*(1+V_IVAint))</f>
        <v>0</v>
      </c>
      <c r="ER261" s="34" t="n">
        <f aca="false">IF(ER$8=1,IF(Reales!$C$74="PYG",IF(ER$10&gt;0,N(Reales!ER74)/ER$10,0),N(Reales!ER74)),(ER$280+ER$284+ER$288+ER$296)*(1+V_IVAint))</f>
        <v>0</v>
      </c>
      <c r="ES261" s="34" t="n">
        <f aca="false">IF(ES$8=1,IF(Reales!$C$74="PYG",IF(ES$10&gt;0,N(Reales!ES74)/ES$10,0),N(Reales!ES74)),(ES$280+ES$284+ES$288+ES$296)*(1+V_IVAint))</f>
        <v>0</v>
      </c>
    </row>
    <row r="262" customFormat="false" ht="15" hidden="false" customHeight="false" outlineLevel="0" collapsed="false">
      <c r="A262" s="2" t="s">
        <v>902</v>
      </c>
      <c r="B262" s="6" t="s">
        <v>701</v>
      </c>
      <c r="C262" s="6" t="s">
        <v>250</v>
      </c>
      <c r="E262" s="40" t="n">
        <f aca="false">SUM(F262:ES262)</f>
        <v>0</v>
      </c>
      <c r="F262" s="34" t="n">
        <f aca="false">V_IRE*(F$260-F$261)</f>
        <v>0</v>
      </c>
      <c r="G262" s="34" t="n">
        <f aca="false">V_IRE*(G$260-G$261)</f>
        <v>0</v>
      </c>
      <c r="H262" s="34" t="n">
        <f aca="false">V_IRE*(H$260-H$261)</f>
        <v>0</v>
      </c>
      <c r="I262" s="34" t="n">
        <f aca="false">V_IRE*(I$260-I$261)</f>
        <v>0</v>
      </c>
      <c r="J262" s="34" t="n">
        <f aca="false">V_IRE*(J$260-J$261)</f>
        <v>0</v>
      </c>
      <c r="K262" s="34" t="n">
        <f aca="false">V_IRE*(K$260-K$261)</f>
        <v>0</v>
      </c>
      <c r="L262" s="34" t="n">
        <f aca="false">V_IRE*(L$260-L$261)</f>
        <v>0</v>
      </c>
      <c r="M262" s="34" t="n">
        <f aca="false">V_IRE*(M$260-M$261)</f>
        <v>0</v>
      </c>
      <c r="N262" s="34" t="n">
        <f aca="false">V_IRE*(N$260-N$261)</f>
        <v>0</v>
      </c>
      <c r="O262" s="34" t="n">
        <f aca="false">V_IRE*(O$260-O$261)</f>
        <v>0</v>
      </c>
      <c r="P262" s="34" t="n">
        <f aca="false">V_IRE*(P$260-P$261)</f>
        <v>0</v>
      </c>
      <c r="Q262" s="34" t="n">
        <f aca="false">V_IRE*(Q$260-Q$261)</f>
        <v>0</v>
      </c>
      <c r="R262" s="34" t="n">
        <f aca="false">V_IRE*(R$260-R$261)</f>
        <v>0</v>
      </c>
      <c r="S262" s="34" t="n">
        <f aca="false">V_IRE*(S$260-S$261)</f>
        <v>0</v>
      </c>
      <c r="T262" s="34" t="n">
        <f aca="false">V_IRE*(T$260-T$261)</f>
        <v>0</v>
      </c>
      <c r="U262" s="34" t="n">
        <f aca="false">V_IRE*(U$260-U$261)</f>
        <v>0</v>
      </c>
      <c r="V262" s="34" t="n">
        <f aca="false">V_IRE*(V$260-V$261)</f>
        <v>0</v>
      </c>
      <c r="W262" s="34" t="n">
        <f aca="false">V_IRE*(W$260-W$261)</f>
        <v>0</v>
      </c>
      <c r="X262" s="34" t="n">
        <f aca="false">V_IRE*(X$260-X$261)</f>
        <v>0</v>
      </c>
      <c r="Y262" s="34" t="n">
        <f aca="false">V_IRE*(Y$260-Y$261)</f>
        <v>0</v>
      </c>
      <c r="Z262" s="34" t="n">
        <f aca="false">V_IRE*(Z$260-Z$261)</f>
        <v>0</v>
      </c>
      <c r="AA262" s="34" t="n">
        <f aca="false">V_IRE*(AA$260-AA$261)</f>
        <v>0</v>
      </c>
      <c r="AB262" s="34" t="n">
        <f aca="false">V_IRE*(AB$260-AB$261)</f>
        <v>0</v>
      </c>
      <c r="AC262" s="34" t="n">
        <f aca="false">V_IRE*(AC$260-AC$261)</f>
        <v>0</v>
      </c>
      <c r="AD262" s="34" t="n">
        <f aca="false">V_IRE*(AD$260-AD$261)</f>
        <v>0</v>
      </c>
      <c r="AE262" s="34" t="n">
        <f aca="false">V_IRE*(AE$260-AE$261)</f>
        <v>0</v>
      </c>
      <c r="AF262" s="34" t="n">
        <f aca="false">V_IRE*(AF$260-AF$261)</f>
        <v>0</v>
      </c>
      <c r="AG262" s="34" t="n">
        <f aca="false">V_IRE*(AG$260-AG$261)</f>
        <v>0</v>
      </c>
      <c r="AH262" s="34" t="n">
        <f aca="false">V_IRE*(AH$260-AH$261)</f>
        <v>0</v>
      </c>
      <c r="AI262" s="34" t="n">
        <f aca="false">V_IRE*(AI$260-AI$261)</f>
        <v>0</v>
      </c>
      <c r="AJ262" s="34" t="n">
        <f aca="false">V_IRE*(AJ$260-AJ$261)</f>
        <v>0</v>
      </c>
      <c r="AK262" s="34" t="n">
        <f aca="false">V_IRE*(AK$260-AK$261)</f>
        <v>0</v>
      </c>
      <c r="AL262" s="34" t="n">
        <f aca="false">V_IRE*(AL$260-AL$261)</f>
        <v>0</v>
      </c>
      <c r="AM262" s="34" t="n">
        <f aca="false">V_IRE*(AM$260-AM$261)</f>
        <v>0</v>
      </c>
      <c r="AN262" s="34" t="n">
        <f aca="false">V_IRE*(AN$260-AN$261)</f>
        <v>0</v>
      </c>
      <c r="AO262" s="34" t="n">
        <f aca="false">V_IRE*(AO$260-AO$261)</f>
        <v>0</v>
      </c>
      <c r="AP262" s="34" t="n">
        <f aca="false">V_IRE*(AP$260-AP$261)</f>
        <v>0</v>
      </c>
      <c r="AQ262" s="34" t="n">
        <f aca="false">V_IRE*(AQ$260-AQ$261)</f>
        <v>0</v>
      </c>
      <c r="AR262" s="34" t="n">
        <f aca="false">V_IRE*(AR$260-AR$261)</f>
        <v>0</v>
      </c>
      <c r="AS262" s="34" t="n">
        <f aca="false">V_IRE*(AS$260-AS$261)</f>
        <v>0</v>
      </c>
      <c r="AT262" s="34" t="n">
        <f aca="false">V_IRE*(AT$260-AT$261)</f>
        <v>0</v>
      </c>
      <c r="AU262" s="34" t="n">
        <f aca="false">V_IRE*(AU$260-AU$261)</f>
        <v>0</v>
      </c>
      <c r="AV262" s="34" t="n">
        <f aca="false">V_IRE*(AV$260-AV$261)</f>
        <v>0</v>
      </c>
      <c r="AW262" s="34" t="n">
        <f aca="false">V_IRE*(AW$260-AW$261)</f>
        <v>0</v>
      </c>
      <c r="AX262" s="34" t="n">
        <f aca="false">V_IRE*(AX$260-AX$261)</f>
        <v>0</v>
      </c>
      <c r="AY262" s="34" t="n">
        <f aca="false">V_IRE*(AY$260-AY$261)</f>
        <v>0</v>
      </c>
      <c r="AZ262" s="34" t="n">
        <f aca="false">V_IRE*(AZ$260-AZ$261)</f>
        <v>0</v>
      </c>
      <c r="BA262" s="34" t="n">
        <f aca="false">V_IRE*(BA$260-BA$261)</f>
        <v>0</v>
      </c>
      <c r="BB262" s="34" t="n">
        <f aca="false">V_IRE*(BB$260-BB$261)</f>
        <v>0</v>
      </c>
      <c r="BC262" s="34" t="n">
        <f aca="false">V_IRE*(BC$260-BC$261)</f>
        <v>0</v>
      </c>
      <c r="BD262" s="34" t="n">
        <f aca="false">V_IRE*(BD$260-BD$261)</f>
        <v>0</v>
      </c>
      <c r="BE262" s="34" t="n">
        <f aca="false">V_IRE*(BE$260-BE$261)</f>
        <v>0</v>
      </c>
      <c r="BF262" s="34" t="n">
        <f aca="false">V_IRE*(BF$260-BF$261)</f>
        <v>0</v>
      </c>
      <c r="BG262" s="34" t="n">
        <f aca="false">V_IRE*(BG$260-BG$261)</f>
        <v>0</v>
      </c>
      <c r="BH262" s="34" t="n">
        <f aca="false">V_IRE*(BH$260-BH$261)</f>
        <v>0</v>
      </c>
      <c r="BI262" s="34" t="n">
        <f aca="false">V_IRE*(BI$260-BI$261)</f>
        <v>0</v>
      </c>
      <c r="BJ262" s="34" t="n">
        <f aca="false">V_IRE*(BJ$260-BJ$261)</f>
        <v>0</v>
      </c>
      <c r="BK262" s="34" t="n">
        <f aca="false">V_IRE*(BK$260-BK$261)</f>
        <v>0</v>
      </c>
      <c r="BL262" s="34" t="n">
        <f aca="false">V_IRE*(BL$260-BL$261)</f>
        <v>0</v>
      </c>
      <c r="BM262" s="34" t="n">
        <f aca="false">V_IRE*(BM$260-BM$261)</f>
        <v>0</v>
      </c>
      <c r="BN262" s="34" t="n">
        <f aca="false">V_IRE*(BN$260-BN$261)</f>
        <v>0</v>
      </c>
      <c r="BO262" s="34" t="n">
        <f aca="false">V_IRE*(BO$260-BO$261)</f>
        <v>0</v>
      </c>
      <c r="BP262" s="34" t="n">
        <f aca="false">V_IRE*(BP$260-BP$261)</f>
        <v>0</v>
      </c>
      <c r="BQ262" s="34" t="n">
        <f aca="false">V_IRE*(BQ$260-BQ$261)</f>
        <v>0</v>
      </c>
      <c r="BR262" s="34" t="n">
        <f aca="false">V_IRE*(BR$260-BR$261)</f>
        <v>0</v>
      </c>
      <c r="BS262" s="34" t="n">
        <f aca="false">V_IRE*(BS$260-BS$261)</f>
        <v>0</v>
      </c>
      <c r="BT262" s="34" t="n">
        <f aca="false">V_IRE*(BT$260-BT$261)</f>
        <v>0</v>
      </c>
      <c r="BU262" s="34" t="n">
        <f aca="false">V_IRE*(BU$260-BU$261)</f>
        <v>0</v>
      </c>
      <c r="BV262" s="34" t="n">
        <f aca="false">V_IRE*(BV$260-BV$261)</f>
        <v>0</v>
      </c>
      <c r="BW262" s="34" t="n">
        <f aca="false">V_IRE*(BW$260-BW$261)</f>
        <v>0</v>
      </c>
      <c r="BX262" s="34" t="n">
        <f aca="false">V_IRE*(BX$260-BX$261)</f>
        <v>0</v>
      </c>
      <c r="BY262" s="34" t="n">
        <f aca="false">V_IRE*(BY$260-BY$261)</f>
        <v>0</v>
      </c>
      <c r="BZ262" s="34" t="n">
        <f aca="false">V_IRE*(BZ$260-BZ$261)</f>
        <v>0</v>
      </c>
      <c r="CA262" s="34" t="n">
        <f aca="false">V_IRE*(CA$260-CA$261)</f>
        <v>0</v>
      </c>
      <c r="CB262" s="34" t="n">
        <f aca="false">V_IRE*(CB$260-CB$261)</f>
        <v>0</v>
      </c>
      <c r="CC262" s="34" t="n">
        <f aca="false">V_IRE*(CC$260-CC$261)</f>
        <v>0</v>
      </c>
      <c r="CD262" s="34" t="n">
        <f aca="false">V_IRE*(CD$260-CD$261)</f>
        <v>0</v>
      </c>
      <c r="CE262" s="34" t="n">
        <f aca="false">V_IRE*(CE$260-CE$261)</f>
        <v>0</v>
      </c>
      <c r="CF262" s="34" t="n">
        <f aca="false">V_IRE*(CF$260-CF$261)</f>
        <v>0</v>
      </c>
      <c r="CG262" s="34" t="n">
        <f aca="false">V_IRE*(CG$260-CG$261)</f>
        <v>0</v>
      </c>
      <c r="CH262" s="34" t="n">
        <f aca="false">V_IRE*(CH$260-CH$261)</f>
        <v>0</v>
      </c>
      <c r="CI262" s="34" t="n">
        <f aca="false">V_IRE*(CI$260-CI$261)</f>
        <v>0</v>
      </c>
      <c r="CJ262" s="34" t="n">
        <f aca="false">V_IRE*(CJ$260-CJ$261)</f>
        <v>0</v>
      </c>
      <c r="CK262" s="34" t="n">
        <f aca="false">V_IRE*(CK$260-CK$261)</f>
        <v>0</v>
      </c>
      <c r="CL262" s="34" t="n">
        <f aca="false">V_IRE*(CL$260-CL$261)</f>
        <v>0</v>
      </c>
      <c r="CM262" s="34" t="n">
        <f aca="false">V_IRE*(CM$260-CM$261)</f>
        <v>0</v>
      </c>
      <c r="CN262" s="34" t="n">
        <f aca="false">V_IRE*(CN$260-CN$261)</f>
        <v>0</v>
      </c>
      <c r="CO262" s="34" t="n">
        <f aca="false">V_IRE*(CO$260-CO$261)</f>
        <v>0</v>
      </c>
      <c r="CP262" s="34" t="n">
        <f aca="false">V_IRE*(CP$260-CP$261)</f>
        <v>0</v>
      </c>
      <c r="CQ262" s="34" t="n">
        <f aca="false">V_IRE*(CQ$260-CQ$261)</f>
        <v>0</v>
      </c>
      <c r="CR262" s="34" t="n">
        <f aca="false">V_IRE*(CR$260-CR$261)</f>
        <v>0</v>
      </c>
      <c r="CS262" s="34" t="n">
        <f aca="false">V_IRE*(CS$260-CS$261)</f>
        <v>0</v>
      </c>
      <c r="CT262" s="34" t="n">
        <f aca="false">V_IRE*(CT$260-CT$261)</f>
        <v>0</v>
      </c>
      <c r="CU262" s="34" t="n">
        <f aca="false">V_IRE*(CU$260-CU$261)</f>
        <v>0</v>
      </c>
      <c r="CV262" s="34" t="n">
        <f aca="false">V_IRE*(CV$260-CV$261)</f>
        <v>0</v>
      </c>
      <c r="CW262" s="34" t="n">
        <f aca="false">V_IRE*(CW$260-CW$261)</f>
        <v>0</v>
      </c>
      <c r="CX262" s="34" t="n">
        <f aca="false">V_IRE*(CX$260-CX$261)</f>
        <v>0</v>
      </c>
      <c r="CY262" s="34" t="n">
        <f aca="false">V_IRE*(CY$260-CY$261)</f>
        <v>0</v>
      </c>
      <c r="CZ262" s="34" t="n">
        <f aca="false">V_IRE*(CZ$260-CZ$261)</f>
        <v>0</v>
      </c>
      <c r="DA262" s="34" t="n">
        <f aca="false">V_IRE*(DA$260-DA$261)</f>
        <v>0</v>
      </c>
      <c r="DB262" s="34" t="n">
        <f aca="false">V_IRE*(DB$260-DB$261)</f>
        <v>0</v>
      </c>
      <c r="DC262" s="34" t="n">
        <f aca="false">V_IRE*(DC$260-DC$261)</f>
        <v>0</v>
      </c>
      <c r="DD262" s="34" t="n">
        <f aca="false">V_IRE*(DD$260-DD$261)</f>
        <v>0</v>
      </c>
      <c r="DE262" s="34" t="n">
        <f aca="false">V_IRE*(DE$260-DE$261)</f>
        <v>0</v>
      </c>
      <c r="DF262" s="34" t="n">
        <f aca="false">V_IRE*(DF$260-DF$261)</f>
        <v>0</v>
      </c>
      <c r="DG262" s="34" t="n">
        <f aca="false">V_IRE*(DG$260-DG$261)</f>
        <v>0</v>
      </c>
      <c r="DH262" s="34" t="n">
        <f aca="false">V_IRE*(DH$260-DH$261)</f>
        <v>0</v>
      </c>
      <c r="DI262" s="34" t="n">
        <f aca="false">V_IRE*(DI$260-DI$261)</f>
        <v>0</v>
      </c>
      <c r="DJ262" s="34" t="n">
        <f aca="false">V_IRE*(DJ$260-DJ$261)</f>
        <v>0</v>
      </c>
      <c r="DK262" s="34" t="n">
        <f aca="false">V_IRE*(DK$260-DK$261)</f>
        <v>0</v>
      </c>
      <c r="DL262" s="34" t="n">
        <f aca="false">V_IRE*(DL$260-DL$261)</f>
        <v>0</v>
      </c>
      <c r="DM262" s="34" t="n">
        <f aca="false">V_IRE*(DM$260-DM$261)</f>
        <v>0</v>
      </c>
      <c r="DN262" s="34" t="n">
        <f aca="false">V_IRE*(DN$260-DN$261)</f>
        <v>0</v>
      </c>
      <c r="DO262" s="34" t="n">
        <f aca="false">V_IRE*(DO$260-DO$261)</f>
        <v>0</v>
      </c>
      <c r="DP262" s="34" t="n">
        <f aca="false">V_IRE*(DP$260-DP$261)</f>
        <v>0</v>
      </c>
      <c r="DQ262" s="34" t="n">
        <f aca="false">V_IRE*(DQ$260-DQ$261)</f>
        <v>0</v>
      </c>
      <c r="DR262" s="34" t="n">
        <f aca="false">V_IRE*(DR$260-DR$261)</f>
        <v>0</v>
      </c>
      <c r="DS262" s="34" t="n">
        <f aca="false">V_IRE*(DS$260-DS$261)</f>
        <v>0</v>
      </c>
      <c r="DT262" s="34" t="n">
        <f aca="false">V_IRE*(DT$260-DT$261)</f>
        <v>0</v>
      </c>
      <c r="DU262" s="34" t="n">
        <f aca="false">V_IRE*(DU$260-DU$261)</f>
        <v>0</v>
      </c>
      <c r="DV262" s="34" t="n">
        <f aca="false">V_IRE*(DV$260-DV$261)</f>
        <v>0</v>
      </c>
      <c r="DW262" s="34" t="n">
        <f aca="false">V_IRE*(DW$260-DW$261)</f>
        <v>0</v>
      </c>
      <c r="DX262" s="34" t="n">
        <f aca="false">V_IRE*(DX$260-DX$261)</f>
        <v>0</v>
      </c>
      <c r="DY262" s="34" t="n">
        <f aca="false">V_IRE*(DY$260-DY$261)</f>
        <v>0</v>
      </c>
      <c r="DZ262" s="34" t="n">
        <f aca="false">V_IRE*(DZ$260-DZ$261)</f>
        <v>0</v>
      </c>
      <c r="EA262" s="34" t="n">
        <f aca="false">V_IRE*(EA$260-EA$261)</f>
        <v>0</v>
      </c>
      <c r="EB262" s="34" t="n">
        <f aca="false">V_IRE*(EB$260-EB$261)</f>
        <v>0</v>
      </c>
      <c r="EC262" s="34" t="n">
        <f aca="false">V_IRE*(EC$260-EC$261)</f>
        <v>0</v>
      </c>
      <c r="ED262" s="34" t="n">
        <f aca="false">V_IRE*(ED$260-ED$261)</f>
        <v>0</v>
      </c>
      <c r="EE262" s="34" t="n">
        <f aca="false">V_IRE*(EE$260-EE$261)</f>
        <v>0</v>
      </c>
      <c r="EF262" s="34" t="n">
        <f aca="false">V_IRE*(EF$260-EF$261)</f>
        <v>0</v>
      </c>
      <c r="EG262" s="34" t="n">
        <f aca="false">V_IRE*(EG$260-EG$261)</f>
        <v>0</v>
      </c>
      <c r="EH262" s="34" t="n">
        <f aca="false">V_IRE*(EH$260-EH$261)</f>
        <v>0</v>
      </c>
      <c r="EI262" s="34" t="n">
        <f aca="false">V_IRE*(EI$260-EI$261)</f>
        <v>0</v>
      </c>
      <c r="EJ262" s="34" t="n">
        <f aca="false">V_IRE*(EJ$260-EJ$261)</f>
        <v>0</v>
      </c>
      <c r="EK262" s="34" t="n">
        <f aca="false">V_IRE*(EK$260-EK$261)</f>
        <v>0</v>
      </c>
      <c r="EL262" s="34" t="n">
        <f aca="false">V_IRE*(EL$260-EL$261)</f>
        <v>0</v>
      </c>
      <c r="EM262" s="34" t="n">
        <f aca="false">V_IRE*(EM$260-EM$261)</f>
        <v>0</v>
      </c>
      <c r="EN262" s="34" t="n">
        <f aca="false">V_IRE*(EN$260-EN$261)</f>
        <v>0</v>
      </c>
      <c r="EO262" s="34" t="n">
        <f aca="false">V_IRE*(EO$260-EO$261)</f>
        <v>0</v>
      </c>
      <c r="EP262" s="34" t="n">
        <f aca="false">V_IRE*(EP$260-EP$261)</f>
        <v>0</v>
      </c>
      <c r="EQ262" s="34" t="n">
        <f aca="false">V_IRE*(EQ$260-EQ$261)</f>
        <v>0</v>
      </c>
      <c r="ER262" s="34" t="n">
        <f aca="false">V_IRE*(ER$260-ER$261)</f>
        <v>0</v>
      </c>
      <c r="ES262" s="34" t="n">
        <f aca="false">V_IRE*(ES$260-ES$261)</f>
        <v>0</v>
      </c>
    </row>
    <row r="263" customFormat="false" ht="15" hidden="false" customHeight="false" outlineLevel="0" collapsed="false">
      <c r="A263" s="2" t="s">
        <v>903</v>
      </c>
      <c r="B263" s="52" t="s">
        <v>703</v>
      </c>
      <c r="C263" s="6" t="s">
        <v>250</v>
      </c>
      <c r="E263" s="40" t="n">
        <f aca="false">SUM(F263:ES263)</f>
        <v>14751245.7980366</v>
      </c>
      <c r="F263" s="10" t="n">
        <f aca="false">F$260-F$261-F$262</f>
        <v>13500.8903089231</v>
      </c>
      <c r="G263" s="10" t="n">
        <f aca="false">G$260-G$261-G$262</f>
        <v>13500.8903089231</v>
      </c>
      <c r="H263" s="10" t="n">
        <f aca="false">H$260-H$261-H$262</f>
        <v>13500.8903089231</v>
      </c>
      <c r="I263" s="10" t="n">
        <f aca="false">I$260-I$261-I$262</f>
        <v>13500.8903089231</v>
      </c>
      <c r="J263" s="10" t="n">
        <f aca="false">J$260-J$261-J$262</f>
        <v>13500.8903089231</v>
      </c>
      <c r="K263" s="10" t="n">
        <f aca="false">K$260-K$261-K$262</f>
        <v>13500.8903089231</v>
      </c>
      <c r="L263" s="10" t="n">
        <f aca="false">L$260-L$261-L$262</f>
        <v>13500.8903089231</v>
      </c>
      <c r="M263" s="10" t="n">
        <f aca="false">M$260-M$261-M$262</f>
        <v>13848.4075677042</v>
      </c>
      <c r="N263" s="10" t="n">
        <f aca="false">N$260-N$261-N$262</f>
        <v>14198.5312059263</v>
      </c>
      <c r="O263" s="10" t="n">
        <f aca="false">O$260-O$261-O$262</f>
        <v>14551.280771435</v>
      </c>
      <c r="P263" s="10" t="n">
        <f aca="false">P$260-P$261-P$262</f>
        <v>14906.675958685</v>
      </c>
      <c r="Q263" s="10" t="n">
        <f aca="false">Q$260-Q$261-Q$262</f>
        <v>15264.7366098394</v>
      </c>
      <c r="R263" s="10" t="n">
        <f aca="false">R$260-R$261-R$262</f>
        <v>52791.0519009191</v>
      </c>
      <c r="S263" s="10" t="n">
        <f aca="false">S$260-S$261-S$262</f>
        <v>53154.5036027525</v>
      </c>
      <c r="T263" s="10" t="n">
        <f aca="false">T$260-T$261-T$262</f>
        <v>53520.6811923496</v>
      </c>
      <c r="U263" s="10" t="n">
        <f aca="false">U$260-U$261-U$262</f>
        <v>53889.6051138686</v>
      </c>
      <c r="V263" s="10" t="n">
        <f aca="false">V$260-V$261-V$262</f>
        <v>54261.2959647991</v>
      </c>
      <c r="W263" s="10" t="n">
        <f aca="false">W$260-W$261-W$262</f>
        <v>54635.7744971115</v>
      </c>
      <c r="X263" s="10" t="n">
        <f aca="false">X$260-X$261-X$262</f>
        <v>55013.0616184163</v>
      </c>
      <c r="Y263" s="10" t="n">
        <f aca="false">Y$260-Y$261-Y$262</f>
        <v>55393.1783931308</v>
      </c>
      <c r="Z263" s="10" t="n">
        <f aca="false">Z$260-Z$261-Z$262</f>
        <v>55776.1460436557</v>
      </c>
      <c r="AA263" s="10" t="n">
        <f aca="false">AA$260-AA$261-AA$262</f>
        <v>56161.9859515596</v>
      </c>
      <c r="AB263" s="10" t="n">
        <f aca="false">AB$260-AB$261-AB$262</f>
        <v>56550.7196587727</v>
      </c>
      <c r="AC263" s="10" t="n">
        <f aca="false">AC$260-AC$261-AC$262</f>
        <v>56942.36886879</v>
      </c>
      <c r="AD263" s="10" t="n">
        <f aca="false">AD$260-AD$261-AD$262</f>
        <v>93925.5833190422</v>
      </c>
      <c r="AE263" s="10" t="n">
        <f aca="false">AE$260-AE$261-AE$262</f>
        <v>94323.1292974778</v>
      </c>
      <c r="AF263" s="10" t="n">
        <f aca="false">AF$260-AF$261-AF$262</f>
        <v>94723.6568707516</v>
      </c>
      <c r="AG263" s="10" t="n">
        <f aca="false">AG$260-AG$261-AG$262</f>
        <v>95127.188400825</v>
      </c>
      <c r="AH263" s="10" t="n">
        <f aca="false">AH$260-AH$261-AH$262</f>
        <v>95533.7464173739</v>
      </c>
      <c r="AI263" s="10" t="n">
        <f aca="false">AI$260-AI$261-AI$262</f>
        <v>95943.353619047</v>
      </c>
      <c r="AJ263" s="10" t="n">
        <f aca="false">AJ$260-AJ$261-AJ$262</f>
        <v>96356.0328747325</v>
      </c>
      <c r="AK263" s="10" t="n">
        <f aca="false">AK$260-AK$261-AK$262</f>
        <v>96771.8072248358</v>
      </c>
      <c r="AL263" s="10" t="n">
        <f aca="false">AL$260-AL$261-AL$262</f>
        <v>97190.6998825648</v>
      </c>
      <c r="AM263" s="10" t="n">
        <f aca="false">AM$260-AM$261-AM$262</f>
        <v>97612.7342352267</v>
      </c>
      <c r="AN263" s="10" t="n">
        <f aca="false">AN$260-AN$261-AN$262</f>
        <v>98037.9338455337</v>
      </c>
      <c r="AO263" s="10" t="n">
        <f aca="false">AO$260-AO$261-AO$262</f>
        <v>98466.3224529179</v>
      </c>
      <c r="AP263" s="10" t="n">
        <f aca="false">AP$260-AP$261-AP$262</f>
        <v>131706.472989591</v>
      </c>
      <c r="AQ263" s="10" t="n">
        <f aca="false">AQ$260-AQ$261-AQ$262</f>
        <v>132141.311522945</v>
      </c>
      <c r="AR263" s="10" t="n">
        <f aca="false">AR$260-AR$261-AR$262</f>
        <v>132579.4113453</v>
      </c>
      <c r="AS263" s="10" t="n">
        <f aca="false">AS$260-AS$261-AS$262</f>
        <v>133020.796916322</v>
      </c>
      <c r="AT263" s="10" t="n">
        <f aca="false">AT$260-AT$261-AT$262</f>
        <v>133465.492879126</v>
      </c>
      <c r="AU263" s="10" t="n">
        <f aca="false">AU$260-AU$261-AU$262</f>
        <v>133913.524061652</v>
      </c>
      <c r="AV263" s="10" t="n">
        <f aca="false">AV$260-AV$261-AV$262</f>
        <v>134364.915478047</v>
      </c>
      <c r="AW263" s="10" t="n">
        <f aca="false">AW$260-AW$261-AW$262</f>
        <v>134819.692330064</v>
      </c>
      <c r="AX263" s="10" t="n">
        <f aca="false">AX$260-AX$261-AX$262</f>
        <v>135277.880008472</v>
      </c>
      <c r="AY263" s="10" t="n">
        <f aca="false">AY$260-AY$261-AY$262</f>
        <v>135739.504094468</v>
      </c>
      <c r="AZ263" s="10" t="n">
        <f aca="false">AZ$260-AZ$261-AZ$262</f>
        <v>136204.590361108</v>
      </c>
      <c r="BA263" s="10" t="n">
        <f aca="false">BA$260-BA$261-BA$262</f>
        <v>136673.164774749</v>
      </c>
      <c r="BB263" s="10" t="n">
        <f aca="false">BB$260-BB$261-BB$262</f>
        <v>138464.838493007</v>
      </c>
      <c r="BC263" s="10" t="n">
        <f aca="false">BC$260-BC$261-BC$262</f>
        <v>138940.467880163</v>
      </c>
      <c r="BD263" s="10" t="n">
        <f aca="false">BD$260-BD$261-BD$262</f>
        <v>139419.664487723</v>
      </c>
      <c r="BE263" s="10" t="n">
        <f aca="false">BE$260-BE$261-BE$262</f>
        <v>139902.455069839</v>
      </c>
      <c r="BF263" s="10" t="n">
        <f aca="false">BF$260-BF$261-BF$262</f>
        <v>140388.866581321</v>
      </c>
      <c r="BG263" s="10" t="n">
        <f aca="false">BG$260-BG$261-BG$262</f>
        <v>140878.926179139</v>
      </c>
      <c r="BH263" s="10" t="n">
        <f aca="false">BH$260-BH$261-BH$262</f>
        <v>141372.661223941</v>
      </c>
      <c r="BI263" s="10" t="n">
        <f aca="false">BI$260-BI$261-BI$262</f>
        <v>141870.099281579</v>
      </c>
      <c r="BJ263" s="10" t="n">
        <f aca="false">BJ$260-BJ$261-BJ$262</f>
        <v>142371.26812465</v>
      </c>
      <c r="BK263" s="10" t="n">
        <f aca="false">BK$260-BK$261-BK$262</f>
        <v>142876.195734043</v>
      </c>
      <c r="BL263" s="10" t="n">
        <f aca="false">BL$260-BL$261-BL$262</f>
        <v>143384.910300506</v>
      </c>
      <c r="BM263" s="10" t="n">
        <f aca="false">BM$260-BM$261-BM$262</f>
        <v>143897.440226219</v>
      </c>
      <c r="BN263" s="10" t="n">
        <f aca="false">BN$260-BN$261-BN$262</f>
        <v>149515.724381159</v>
      </c>
      <c r="BO263" s="10" t="n">
        <f aca="false">BO$260-BO$261-BO$262</f>
        <v>149515.724381159</v>
      </c>
      <c r="BP263" s="10" t="n">
        <f aca="false">BP$260-BP$261-BP$262</f>
        <v>149515.724381159</v>
      </c>
      <c r="BQ263" s="10" t="n">
        <f aca="false">BQ$260-BQ$261-BQ$262</f>
        <v>149515.724381159</v>
      </c>
      <c r="BR263" s="10" t="n">
        <f aca="false">BR$260-BR$261-BR$262</f>
        <v>149515.724381159</v>
      </c>
      <c r="BS263" s="10" t="n">
        <f aca="false">BS$260-BS$261-BS$262</f>
        <v>149515.724381159</v>
      </c>
      <c r="BT263" s="10" t="n">
        <f aca="false">BT$260-BT$261-BT$262</f>
        <v>149515.724381159</v>
      </c>
      <c r="BU263" s="10" t="n">
        <f aca="false">BU$260-BU$261-BU$262</f>
        <v>149515.724381159</v>
      </c>
      <c r="BV263" s="10" t="n">
        <f aca="false">BV$260-BV$261-BV$262</f>
        <v>149515.724381159</v>
      </c>
      <c r="BW263" s="10" t="n">
        <f aca="false">BW$260-BW$261-BW$262</f>
        <v>149515.724381159</v>
      </c>
      <c r="BX263" s="10" t="n">
        <f aca="false">BX$260-BX$261-BX$262</f>
        <v>149515.724381159</v>
      </c>
      <c r="BY263" s="10" t="n">
        <f aca="false">BY$260-BY$261-BY$262</f>
        <v>149515.724381159</v>
      </c>
      <c r="BZ263" s="10" t="n">
        <f aca="false">BZ$260-BZ$261-BZ$262</f>
        <v>153631.305072733</v>
      </c>
      <c r="CA263" s="10" t="n">
        <f aca="false">CA$260-CA$261-CA$262</f>
        <v>153631.305072733</v>
      </c>
      <c r="CB263" s="10" t="n">
        <f aca="false">CB$260-CB$261-CB$262</f>
        <v>153631.305072733</v>
      </c>
      <c r="CC263" s="10" t="n">
        <f aca="false">CC$260-CC$261-CC$262</f>
        <v>153631.305072733</v>
      </c>
      <c r="CD263" s="10" t="n">
        <f aca="false">CD$260-CD$261-CD$262</f>
        <v>153631.305072733</v>
      </c>
      <c r="CE263" s="10" t="n">
        <f aca="false">CE$260-CE$261-CE$262</f>
        <v>153631.305072733</v>
      </c>
      <c r="CF263" s="10" t="n">
        <f aca="false">CF$260-CF$261-CF$262</f>
        <v>153631.305072733</v>
      </c>
      <c r="CG263" s="10" t="n">
        <f aca="false">CG$260-CG$261-CG$262</f>
        <v>153631.305072733</v>
      </c>
      <c r="CH263" s="10" t="n">
        <f aca="false">CH$260-CH$261-CH$262</f>
        <v>153631.305072733</v>
      </c>
      <c r="CI263" s="10" t="n">
        <f aca="false">CI$260-CI$261-CI$262</f>
        <v>153631.305072733</v>
      </c>
      <c r="CJ263" s="10" t="n">
        <f aca="false">CJ$260-CJ$261-CJ$262</f>
        <v>153631.305072733</v>
      </c>
      <c r="CK263" s="10" t="n">
        <f aca="false">CK$260-CK$261-CK$262</f>
        <v>153631.305072733</v>
      </c>
      <c r="CL263" s="10" t="n">
        <f aca="false">CL$260-CL$261-CL$262</f>
        <v>157775.101129621</v>
      </c>
      <c r="CM263" s="10" t="n">
        <f aca="false">CM$260-CM$261-CM$262</f>
        <v>157775.101129621</v>
      </c>
      <c r="CN263" s="10" t="n">
        <f aca="false">CN$260-CN$261-CN$262</f>
        <v>157775.101129621</v>
      </c>
      <c r="CO263" s="10" t="n">
        <f aca="false">CO$260-CO$261-CO$262</f>
        <v>157775.101129621</v>
      </c>
      <c r="CP263" s="10" t="n">
        <f aca="false">CP$260-CP$261-CP$262</f>
        <v>157775.101129621</v>
      </c>
      <c r="CQ263" s="10" t="n">
        <f aca="false">CQ$260-CQ$261-CQ$262</f>
        <v>157775.101129621</v>
      </c>
      <c r="CR263" s="10" t="n">
        <f aca="false">CR$260-CR$261-CR$262</f>
        <v>157775.101129621</v>
      </c>
      <c r="CS263" s="10" t="n">
        <f aca="false">CS$260-CS$261-CS$262</f>
        <v>157775.101129621</v>
      </c>
      <c r="CT263" s="10" t="n">
        <f aca="false">CT$260-CT$261-CT$262</f>
        <v>157775.101129621</v>
      </c>
      <c r="CU263" s="10" t="n">
        <f aca="false">CU$260-CU$261-CU$262</f>
        <v>157775.101129621</v>
      </c>
      <c r="CV263" s="10" t="n">
        <f aca="false">CV$260-CV$261-CV$262</f>
        <v>157775.101129621</v>
      </c>
      <c r="CW263" s="10" t="n">
        <f aca="false">CW$260-CW$261-CW$262</f>
        <v>157775.101129621</v>
      </c>
      <c r="CX263" s="10" t="n">
        <f aca="false">CX$260-CX$261-CX$262</f>
        <v>161947.012232241</v>
      </c>
      <c r="CY263" s="10" t="n">
        <f aca="false">CY$260-CY$261-CY$262</f>
        <v>161947.012232241</v>
      </c>
      <c r="CZ263" s="10" t="n">
        <f aca="false">CZ$260-CZ$261-CZ$262</f>
        <v>161947.012232241</v>
      </c>
      <c r="DA263" s="10" t="n">
        <f aca="false">DA$260-DA$261-DA$262</f>
        <v>161947.012232241</v>
      </c>
      <c r="DB263" s="10" t="n">
        <f aca="false">DB$260-DB$261-DB$262</f>
        <v>161947.012232241</v>
      </c>
      <c r="DC263" s="10" t="n">
        <f aca="false">DC$260-DC$261-DC$262</f>
        <v>161947.012232241</v>
      </c>
      <c r="DD263" s="10" t="n">
        <f aca="false">DD$260-DD$261-DD$262</f>
        <v>161947.012232241</v>
      </c>
      <c r="DE263" s="10" t="n">
        <f aca="false">DE$260-DE$261-DE$262</f>
        <v>161947.012232241</v>
      </c>
      <c r="DF263" s="10" t="n">
        <f aca="false">DF$260-DF$261-DF$262</f>
        <v>161947.012232241</v>
      </c>
      <c r="DG263" s="10" t="n">
        <f aca="false">DG$260-DG$261-DG$262</f>
        <v>161947.012232241</v>
      </c>
      <c r="DH263" s="10" t="n">
        <f aca="false">DH$260-DH$261-DH$262</f>
        <v>161947.012232241</v>
      </c>
      <c r="DI263" s="10" t="n">
        <f aca="false">DI$260-DI$261-DI$262</f>
        <v>161947.012232241</v>
      </c>
      <c r="DJ263" s="10" t="n">
        <f aca="false">DJ$260-DJ$261-DJ$262</f>
        <v>166146.925698419</v>
      </c>
      <c r="DK263" s="10" t="n">
        <f aca="false">DK$260-DK$261-DK$262</f>
        <v>166146.925698419</v>
      </c>
      <c r="DL263" s="10" t="n">
        <f aca="false">DL$260-DL$261-DL$262</f>
        <v>166146.925698419</v>
      </c>
      <c r="DM263" s="10" t="n">
        <f aca="false">DM$260-DM$261-DM$262</f>
        <v>166146.925698419</v>
      </c>
      <c r="DN263" s="10" t="n">
        <f aca="false">DN$260-DN$261-DN$262</f>
        <v>166146.925698419</v>
      </c>
      <c r="DO263" s="10" t="n">
        <f aca="false">DO$260-DO$261-DO$262</f>
        <v>166146.925698419</v>
      </c>
      <c r="DP263" s="10" t="n">
        <f aca="false">DP$260-DP$261-DP$262</f>
        <v>166146.925698419</v>
      </c>
      <c r="DQ263" s="10" t="n">
        <f aca="false">DQ$260-DQ$261-DQ$262</f>
        <v>166146.925698419</v>
      </c>
      <c r="DR263" s="10" t="n">
        <f aca="false">DR$260-DR$261-DR$262</f>
        <v>166146.925698419</v>
      </c>
      <c r="DS263" s="10" t="n">
        <f aca="false">DS$260-DS$261-DS$262</f>
        <v>166146.925698419</v>
      </c>
      <c r="DT263" s="10" t="n">
        <f aca="false">DT$260-DT$261-DT$262</f>
        <v>166146.925698419</v>
      </c>
      <c r="DU263" s="10" t="n">
        <f aca="false">DU$260-DU$261-DU$262</f>
        <v>166146.925698419</v>
      </c>
      <c r="DV263" s="10" t="n">
        <f aca="false">DV$260-DV$261-DV$262</f>
        <v>0</v>
      </c>
      <c r="DW263" s="10" t="n">
        <f aca="false">DW$260-DW$261-DW$262</f>
        <v>0</v>
      </c>
      <c r="DX263" s="10" t="n">
        <f aca="false">DX$260-DX$261-DX$262</f>
        <v>0</v>
      </c>
      <c r="DY263" s="10" t="n">
        <f aca="false">DY$260-DY$261-DY$262</f>
        <v>0</v>
      </c>
      <c r="DZ263" s="10" t="n">
        <f aca="false">DZ$260-DZ$261-DZ$262</f>
        <v>0</v>
      </c>
      <c r="EA263" s="10" t="n">
        <f aca="false">EA$260-EA$261-EA$262</f>
        <v>0</v>
      </c>
      <c r="EB263" s="10" t="n">
        <f aca="false">EB$260-EB$261-EB$262</f>
        <v>0</v>
      </c>
      <c r="EC263" s="10" t="n">
        <f aca="false">EC$260-EC$261-EC$262</f>
        <v>0</v>
      </c>
      <c r="ED263" s="10" t="n">
        <f aca="false">ED$260-ED$261-ED$262</f>
        <v>0</v>
      </c>
      <c r="EE263" s="10" t="n">
        <f aca="false">EE$260-EE$261-EE$262</f>
        <v>0</v>
      </c>
      <c r="EF263" s="10" t="n">
        <f aca="false">EF$260-EF$261-EF$262</f>
        <v>0</v>
      </c>
      <c r="EG263" s="10" t="n">
        <f aca="false">EG$260-EG$261-EG$262</f>
        <v>0</v>
      </c>
      <c r="EH263" s="10" t="n">
        <f aca="false">EH$260-EH$261-EH$262</f>
        <v>0</v>
      </c>
      <c r="EI263" s="10" t="n">
        <f aca="false">EI$260-EI$261-EI$262</f>
        <v>0</v>
      </c>
      <c r="EJ263" s="10" t="n">
        <f aca="false">EJ$260-EJ$261-EJ$262</f>
        <v>0</v>
      </c>
      <c r="EK263" s="10" t="n">
        <f aca="false">EK$260-EK$261-EK$262</f>
        <v>0</v>
      </c>
      <c r="EL263" s="10" t="n">
        <f aca="false">EL$260-EL$261-EL$262</f>
        <v>0</v>
      </c>
      <c r="EM263" s="10" t="n">
        <f aca="false">EM$260-EM$261-EM$262</f>
        <v>0</v>
      </c>
      <c r="EN263" s="10" t="n">
        <f aca="false">EN$260-EN$261-EN$262</f>
        <v>0</v>
      </c>
      <c r="EO263" s="10" t="n">
        <f aca="false">EO$260-EO$261-EO$262</f>
        <v>0</v>
      </c>
      <c r="EP263" s="10" t="n">
        <f aca="false">EP$260-EP$261-EP$262</f>
        <v>0</v>
      </c>
      <c r="EQ263" s="10" t="n">
        <f aca="false">EQ$260-EQ$261-EQ$262</f>
        <v>0</v>
      </c>
      <c r="ER263" s="10" t="n">
        <f aca="false">ER$260-ER$261-ER$262</f>
        <v>0</v>
      </c>
      <c r="ES263" s="10" t="n">
        <f aca="false">ES$260-ES$261-ES$262</f>
        <v>0</v>
      </c>
    </row>
    <row r="264" customFormat="false" ht="15" hidden="false" customHeight="false" outlineLevel="0" collapsed="false">
      <c r="A264" s="4"/>
      <c r="B264" s="3" t="s">
        <v>704</v>
      </c>
      <c r="C264" s="4"/>
      <c r="D264" s="4"/>
      <c r="E264" s="4"/>
    </row>
    <row r="265" customFormat="false" ht="15" hidden="false" customHeight="false" outlineLevel="0" collapsed="false">
      <c r="A265" s="2" t="s">
        <v>904</v>
      </c>
      <c r="B265" s="6" t="s">
        <v>706</v>
      </c>
      <c r="C265" s="6" t="s">
        <v>250</v>
      </c>
      <c r="E265" s="40" t="n">
        <f aca="false">INDEX(F265:ES265,1,MIN(144,Fin))</f>
        <v>3031156.22423972</v>
      </c>
      <c r="F265" s="34" t="n">
        <f aca="false">IF(1&gt;Fin,0,IF(AND(F$8=1,ISNUMBER(Reales!F80)),IF(Reales!$C$80="PYG",IF(F$10&gt;0,N(Reales!F80)/F$10,0),N(Reales!F80)),F$227*IF(F$8=1,N(vg_DSO),V_DSO)/DiasMes))</f>
        <v>1594520.54794521</v>
      </c>
      <c r="G265" s="34" t="n">
        <f aca="false">IF(2&gt;Fin,F$265,IF(AND(G$8=1,ISNUMBER(Reales!G80)),IF(Reales!$C$80="PYG",IF(G$10&gt;0,N(Reales!G80)/G$10,0),N(Reales!G80)),G$227*IF(G$8=1,N(vg_DSO),V_DSO)/DiasMes))</f>
        <v>1594520.54794521</v>
      </c>
      <c r="H265" s="34" t="n">
        <f aca="false">IF(3&gt;Fin,G$265,IF(AND(H$8=1,ISNUMBER(Reales!H80)),IF(Reales!$C$80="PYG",IF(H$10&gt;0,N(Reales!H80)/H$10,0),N(Reales!H80)),H$227*IF(H$8=1,N(vg_DSO),V_DSO)/DiasMes))</f>
        <v>1594520.54794521</v>
      </c>
      <c r="I265" s="34" t="n">
        <f aca="false">IF(4&gt;Fin,H$265,IF(AND(I$8=1,ISNUMBER(Reales!I80)),IF(Reales!$C$80="PYG",IF(I$10&gt;0,N(Reales!I80)/I$10,0),N(Reales!I80)),I$227*IF(I$8=1,N(vg_DSO),V_DSO)/DiasMes))</f>
        <v>1594520.54794521</v>
      </c>
      <c r="J265" s="34" t="n">
        <f aca="false">IF(5&gt;Fin,I$265,IF(AND(J$8=1,ISNUMBER(Reales!J80)),IF(Reales!$C$80="PYG",IF(J$10&gt;0,N(Reales!J80)/J$10,0),N(Reales!J80)),J$227*IF(J$8=1,N(vg_DSO),V_DSO)/DiasMes))</f>
        <v>1594520.54794521</v>
      </c>
      <c r="K265" s="34" t="n">
        <f aca="false">IF(6&gt;Fin,J$265,IF(AND(K$8=1,ISNUMBER(Reales!K80)),IF(Reales!$C$80="PYG",IF(K$10&gt;0,N(Reales!K80)/K$10,0),N(Reales!K80)),K$227*IF(K$8=1,N(vg_DSO),V_DSO)/DiasMes))</f>
        <v>1594520.54794521</v>
      </c>
      <c r="L265" s="34" t="n">
        <f aca="false">IF(7&gt;Fin,K$265,IF(AND(L$8=1,ISNUMBER(Reales!L80)),IF(Reales!$C$80="PYG",IF(L$10&gt;0,N(Reales!L80)/L$10,0),N(Reales!L80)),L$227*IF(L$8=1,N(vg_DSO),V_DSO)/DiasMes))</f>
        <v>1594520.54794521</v>
      </c>
      <c r="M265" s="34" t="n">
        <f aca="false">IF(8&gt;Fin,L$265,IF(AND(M$8=1,ISNUMBER(Reales!M80)),IF(Reales!$C$80="PYG",IF(M$10&gt;0,N(Reales!M80)/M$10,0),N(Reales!M80)),M$227*IF(M$8=1,N(vg_DSO),V_DSO)/DiasMes))</f>
        <v>1594520.54794521</v>
      </c>
      <c r="N265" s="34" t="n">
        <f aca="false">IF(9&gt;Fin,M$265,IF(AND(N$8=1,ISNUMBER(Reales!N80)),IF(Reales!$C$80="PYG",IF(N$10&gt;0,N(Reales!N80)/N$10,0),N(Reales!N80)),N$227*IF(N$8=1,N(vg_DSO),V_DSO)/DiasMes))</f>
        <v>1594520.54794521</v>
      </c>
      <c r="O265" s="34" t="n">
        <f aca="false">IF(10&gt;Fin,N$265,IF(AND(O$8=1,ISNUMBER(Reales!O80)),IF(Reales!$C$80="PYG",IF(O$10&gt;0,N(Reales!O80)/O$10,0),N(Reales!O80)),O$227*IF(O$8=1,N(vg_DSO),V_DSO)/DiasMes))</f>
        <v>1594520.54794521</v>
      </c>
      <c r="P265" s="34" t="n">
        <f aca="false">IF(11&gt;Fin,O$265,IF(AND(P$8=1,ISNUMBER(Reales!P80)),IF(Reales!$C$80="PYG",IF(P$10&gt;0,N(Reales!P80)/P$10,0),N(Reales!P80)),P$227*IF(P$8=1,N(vg_DSO),V_DSO)/DiasMes))</f>
        <v>1594520.54794521</v>
      </c>
      <c r="Q265" s="34" t="n">
        <f aca="false">IF(12&gt;Fin,P$265,IF(AND(Q$8=1,ISNUMBER(Reales!Q80)),IF(Reales!$C$80="PYG",IF(Q$10&gt;0,N(Reales!Q80)/Q$10,0),N(Reales!Q80)),Q$227*IF(Q$8=1,N(vg_DSO),V_DSO)/DiasMes))</f>
        <v>1594520.54794521</v>
      </c>
      <c r="R265" s="34" t="n">
        <f aca="false">IF(13&gt;Fin,Q$265,IF(AND(R$8=1,ISNUMBER(Reales!R80)),IF(Reales!$C$80="PYG",IF(R$10&gt;0,N(Reales!R80)/R$10,0),N(Reales!R80)),R$227*IF(R$8=1,N(vg_DSO),V_DSO)/DiasMes))</f>
        <v>2032175.34246575</v>
      </c>
      <c r="S265" s="34" t="n">
        <f aca="false">IF(14&gt;Fin,R$265,IF(AND(S$8=1,ISNUMBER(Reales!S80)),IF(Reales!$C$80="PYG",IF(S$10&gt;0,N(Reales!S80)/S$10,0),N(Reales!S80)),S$227*IF(S$8=1,N(vg_DSO),V_DSO)/DiasMes))</f>
        <v>2032175.34246575</v>
      </c>
      <c r="T265" s="34" t="n">
        <f aca="false">IF(15&gt;Fin,S$265,IF(AND(T$8=1,ISNUMBER(Reales!T80)),IF(Reales!$C$80="PYG",IF(T$10&gt;0,N(Reales!T80)/T$10,0),N(Reales!T80)),T$227*IF(T$8=1,N(vg_DSO),V_DSO)/DiasMes))</f>
        <v>2032175.34246575</v>
      </c>
      <c r="U265" s="34" t="n">
        <f aca="false">IF(16&gt;Fin,T$265,IF(AND(U$8=1,ISNUMBER(Reales!U80)),IF(Reales!$C$80="PYG",IF(U$10&gt;0,N(Reales!U80)/U$10,0),N(Reales!U80)),U$227*IF(U$8=1,N(vg_DSO),V_DSO)/DiasMes))</f>
        <v>2032175.34246575</v>
      </c>
      <c r="V265" s="34" t="n">
        <f aca="false">IF(17&gt;Fin,U$265,IF(AND(V$8=1,ISNUMBER(Reales!V80)),IF(Reales!$C$80="PYG",IF(V$10&gt;0,N(Reales!V80)/V$10,0),N(Reales!V80)),V$227*IF(V$8=1,N(vg_DSO),V_DSO)/DiasMes))</f>
        <v>2032175.34246575</v>
      </c>
      <c r="W265" s="34" t="n">
        <f aca="false">IF(18&gt;Fin,V$265,IF(AND(W$8=1,ISNUMBER(Reales!W80)),IF(Reales!$C$80="PYG",IF(W$10&gt;0,N(Reales!W80)/W$10,0),N(Reales!W80)),W$227*IF(W$8=1,N(vg_DSO),V_DSO)/DiasMes))</f>
        <v>2032175.34246575</v>
      </c>
      <c r="X265" s="34" t="n">
        <f aca="false">IF(19&gt;Fin,W$265,IF(AND(X$8=1,ISNUMBER(Reales!X80)),IF(Reales!$C$80="PYG",IF(X$10&gt;0,N(Reales!X80)/X$10,0),N(Reales!X80)),X$227*IF(X$8=1,N(vg_DSO),V_DSO)/DiasMes))</f>
        <v>2032175.34246575</v>
      </c>
      <c r="Y265" s="34" t="n">
        <f aca="false">IF(20&gt;Fin,X$265,IF(AND(Y$8=1,ISNUMBER(Reales!Y80)),IF(Reales!$C$80="PYG",IF(Y$10&gt;0,N(Reales!Y80)/Y$10,0),N(Reales!Y80)),Y$227*IF(Y$8=1,N(vg_DSO),V_DSO)/DiasMes))</f>
        <v>2032175.34246575</v>
      </c>
      <c r="Z265" s="34" t="n">
        <f aca="false">IF(21&gt;Fin,Y$265,IF(AND(Z$8=1,ISNUMBER(Reales!Z80)),IF(Reales!$C$80="PYG",IF(Z$10&gt;0,N(Reales!Z80)/Z$10,0),N(Reales!Z80)),Z$227*IF(Z$8=1,N(vg_DSO),V_DSO)/DiasMes))</f>
        <v>2032175.34246575</v>
      </c>
      <c r="AA265" s="34" t="n">
        <f aca="false">IF(22&gt;Fin,Z$265,IF(AND(AA$8=1,ISNUMBER(Reales!AA80)),IF(Reales!$C$80="PYG",IF(AA$10&gt;0,N(Reales!AA80)/AA$10,0),N(Reales!AA80)),AA$227*IF(AA$8=1,N(vg_DSO),V_DSO)/DiasMes))</f>
        <v>2032175.34246575</v>
      </c>
      <c r="AB265" s="34" t="n">
        <f aca="false">IF(23&gt;Fin,AA$265,IF(AND(AB$8=1,ISNUMBER(Reales!AB80)),IF(Reales!$C$80="PYG",IF(AB$10&gt;0,N(Reales!AB80)/AB$10,0),N(Reales!AB80)),AB$227*IF(AB$8=1,N(vg_DSO),V_DSO)/DiasMes))</f>
        <v>2032175.34246575</v>
      </c>
      <c r="AC265" s="34" t="n">
        <f aca="false">IF(24&gt;Fin,AB$265,IF(AND(AC$8=1,ISNUMBER(Reales!AC80)),IF(Reales!$C$80="PYG",IF(AC$10&gt;0,N(Reales!AC80)/AC$10,0),N(Reales!AC80)),AC$227*IF(AC$8=1,N(vg_DSO),V_DSO)/DiasMes))</f>
        <v>2032175.34246575</v>
      </c>
      <c r="AD265" s="34" t="n">
        <f aca="false">IF(25&gt;Fin,AC$265,IF(AND(AD$8=1,ISNUMBER(Reales!AD80)),IF(Reales!$C$80="PYG",IF(AD$10&gt;0,N(Reales!AD80)/AD$10,0),N(Reales!AD80)),AD$227*IF(AD$8=1,N(vg_DSO),V_DSO)/DiasMes))</f>
        <v>2478423.78082192</v>
      </c>
      <c r="AE265" s="34" t="n">
        <f aca="false">IF(26&gt;Fin,AD$265,IF(AND(AE$8=1,ISNUMBER(Reales!AE80)),IF(Reales!$C$80="PYG",IF(AE$10&gt;0,N(Reales!AE80)/AE$10,0),N(Reales!AE80)),AE$227*IF(AE$8=1,N(vg_DSO),V_DSO)/DiasMes))</f>
        <v>2478423.78082192</v>
      </c>
      <c r="AF265" s="34" t="n">
        <f aca="false">IF(27&gt;Fin,AE$265,IF(AND(AF$8=1,ISNUMBER(Reales!AF80)),IF(Reales!$C$80="PYG",IF(AF$10&gt;0,N(Reales!AF80)/AF$10,0),N(Reales!AF80)),AF$227*IF(AF$8=1,N(vg_DSO),V_DSO)/DiasMes))</f>
        <v>2478423.78082192</v>
      </c>
      <c r="AG265" s="34" t="n">
        <f aca="false">IF(28&gt;Fin,AF$265,IF(AND(AG$8=1,ISNUMBER(Reales!AG80)),IF(Reales!$C$80="PYG",IF(AG$10&gt;0,N(Reales!AG80)/AG$10,0),N(Reales!AG80)),AG$227*IF(AG$8=1,N(vg_DSO),V_DSO)/DiasMes))</f>
        <v>2478423.78082192</v>
      </c>
      <c r="AH265" s="34" t="n">
        <f aca="false">IF(29&gt;Fin,AG$265,IF(AND(AH$8=1,ISNUMBER(Reales!AH80)),IF(Reales!$C$80="PYG",IF(AH$10&gt;0,N(Reales!AH80)/AH$10,0),N(Reales!AH80)),AH$227*IF(AH$8=1,N(vg_DSO),V_DSO)/DiasMes))</f>
        <v>2478423.78082192</v>
      </c>
      <c r="AI265" s="34" t="n">
        <f aca="false">IF(30&gt;Fin,AH$265,IF(AND(AI$8=1,ISNUMBER(Reales!AI80)),IF(Reales!$C$80="PYG",IF(AI$10&gt;0,N(Reales!AI80)/AI$10,0),N(Reales!AI80)),AI$227*IF(AI$8=1,N(vg_DSO),V_DSO)/DiasMes))</f>
        <v>2478423.78082192</v>
      </c>
      <c r="AJ265" s="34" t="n">
        <f aca="false">IF(31&gt;Fin,AI$265,IF(AND(AJ$8=1,ISNUMBER(Reales!AJ80)),IF(Reales!$C$80="PYG",IF(AJ$10&gt;0,N(Reales!AJ80)/AJ$10,0),N(Reales!AJ80)),AJ$227*IF(AJ$8=1,N(vg_DSO),V_DSO)/DiasMes))</f>
        <v>2478423.78082192</v>
      </c>
      <c r="AK265" s="34" t="n">
        <f aca="false">IF(32&gt;Fin,AJ$265,IF(AND(AK$8=1,ISNUMBER(Reales!AK80)),IF(Reales!$C$80="PYG",IF(AK$10&gt;0,N(Reales!AK80)/AK$10,0),N(Reales!AK80)),AK$227*IF(AK$8=1,N(vg_DSO),V_DSO)/DiasMes))</f>
        <v>2478423.78082192</v>
      </c>
      <c r="AL265" s="34" t="n">
        <f aca="false">IF(33&gt;Fin,AK$265,IF(AND(AL$8=1,ISNUMBER(Reales!AL80)),IF(Reales!$C$80="PYG",IF(AL$10&gt;0,N(Reales!AL80)/AL$10,0),N(Reales!AL80)),AL$227*IF(AL$8=1,N(vg_DSO),V_DSO)/DiasMes))</f>
        <v>2478423.78082192</v>
      </c>
      <c r="AM265" s="34" t="n">
        <f aca="false">IF(34&gt;Fin,AL$265,IF(AND(AM$8=1,ISNUMBER(Reales!AM80)),IF(Reales!$C$80="PYG",IF(AM$10&gt;0,N(Reales!AM80)/AM$10,0),N(Reales!AM80)),AM$227*IF(AM$8=1,N(vg_DSO),V_DSO)/DiasMes))</f>
        <v>2478423.78082192</v>
      </c>
      <c r="AN265" s="34" t="n">
        <f aca="false">IF(35&gt;Fin,AM$265,IF(AND(AN$8=1,ISNUMBER(Reales!AN80)),IF(Reales!$C$80="PYG",IF(AN$10&gt;0,N(Reales!AN80)/AN$10,0),N(Reales!AN80)),AN$227*IF(AN$8=1,N(vg_DSO),V_DSO)/DiasMes))</f>
        <v>2478423.78082192</v>
      </c>
      <c r="AO265" s="34" t="n">
        <f aca="false">IF(36&gt;Fin,AN$265,IF(AND(AO$8=1,ISNUMBER(Reales!AO80)),IF(Reales!$C$80="PYG",IF(AO$10&gt;0,N(Reales!AO80)/AO$10,0),N(Reales!AO80)),AO$227*IF(AO$8=1,N(vg_DSO),V_DSO)/DiasMes))</f>
        <v>2478423.78082192</v>
      </c>
      <c r="AP265" s="34" t="n">
        <f aca="false">IF(37&gt;Fin,AO$265,IF(AND(AP$8=1,ISNUMBER(Reales!AP80)),IF(Reales!$C$80="PYG",IF(AP$10&gt;0,N(Reales!AP80)/AP$10,0),N(Reales!AP80)),AP$227*IF(AP$8=1,N(vg_DSO),V_DSO)/DiasMes))</f>
        <v>2855486.27835616</v>
      </c>
      <c r="AQ265" s="34" t="n">
        <f aca="false">IF(38&gt;Fin,AP$265,IF(AND(AQ$8=1,ISNUMBER(Reales!AQ80)),IF(Reales!$C$80="PYG",IF(AQ$10&gt;0,N(Reales!AQ80)/AQ$10,0),N(Reales!AQ80)),AQ$227*IF(AQ$8=1,N(vg_DSO),V_DSO)/DiasMes))</f>
        <v>2855486.27835616</v>
      </c>
      <c r="AR265" s="34" t="n">
        <f aca="false">IF(39&gt;Fin,AQ$265,IF(AND(AR$8=1,ISNUMBER(Reales!AR80)),IF(Reales!$C$80="PYG",IF(AR$10&gt;0,N(Reales!AR80)/AR$10,0),N(Reales!AR80)),AR$227*IF(AR$8=1,N(vg_DSO),V_DSO)/DiasMes))</f>
        <v>2855486.27835616</v>
      </c>
      <c r="AS265" s="34" t="n">
        <f aca="false">IF(40&gt;Fin,AR$265,IF(AND(AS$8=1,ISNUMBER(Reales!AS80)),IF(Reales!$C$80="PYG",IF(AS$10&gt;0,N(Reales!AS80)/AS$10,0),N(Reales!AS80)),AS$227*IF(AS$8=1,N(vg_DSO),V_DSO)/DiasMes))</f>
        <v>2855486.27835616</v>
      </c>
      <c r="AT265" s="34" t="n">
        <f aca="false">IF(41&gt;Fin,AS$265,IF(AND(AT$8=1,ISNUMBER(Reales!AT80)),IF(Reales!$C$80="PYG",IF(AT$10&gt;0,N(Reales!AT80)/AT$10,0),N(Reales!AT80)),AT$227*IF(AT$8=1,N(vg_DSO),V_DSO)/DiasMes))</f>
        <v>2855486.27835616</v>
      </c>
      <c r="AU265" s="34" t="n">
        <f aca="false">IF(42&gt;Fin,AT$265,IF(AND(AU$8=1,ISNUMBER(Reales!AU80)),IF(Reales!$C$80="PYG",IF(AU$10&gt;0,N(Reales!AU80)/AU$10,0),N(Reales!AU80)),AU$227*IF(AU$8=1,N(vg_DSO),V_DSO)/DiasMes))</f>
        <v>2855486.27835616</v>
      </c>
      <c r="AV265" s="34" t="n">
        <f aca="false">IF(43&gt;Fin,AU$265,IF(AND(AV$8=1,ISNUMBER(Reales!AV80)),IF(Reales!$C$80="PYG",IF(AV$10&gt;0,N(Reales!AV80)/AV$10,0),N(Reales!AV80)),AV$227*IF(AV$8=1,N(vg_DSO),V_DSO)/DiasMes))</f>
        <v>2855486.27835616</v>
      </c>
      <c r="AW265" s="34" t="n">
        <f aca="false">IF(44&gt;Fin,AV$265,IF(AND(AW$8=1,ISNUMBER(Reales!AW80)),IF(Reales!$C$80="PYG",IF(AW$10&gt;0,N(Reales!AW80)/AW$10,0),N(Reales!AW80)),AW$227*IF(AW$8=1,N(vg_DSO),V_DSO)/DiasMes))</f>
        <v>2855486.27835616</v>
      </c>
      <c r="AX265" s="34" t="n">
        <f aca="false">IF(45&gt;Fin,AW$265,IF(AND(AX$8=1,ISNUMBER(Reales!AX80)),IF(Reales!$C$80="PYG",IF(AX$10&gt;0,N(Reales!AX80)/AX$10,0),N(Reales!AX80)),AX$227*IF(AX$8=1,N(vg_DSO),V_DSO)/DiasMes))</f>
        <v>2855486.27835616</v>
      </c>
      <c r="AY265" s="34" t="n">
        <f aca="false">IF(46&gt;Fin,AX$265,IF(AND(AY$8=1,ISNUMBER(Reales!AY80)),IF(Reales!$C$80="PYG",IF(AY$10&gt;0,N(Reales!AY80)/AY$10,0),N(Reales!AY80)),AY$227*IF(AY$8=1,N(vg_DSO),V_DSO)/DiasMes))</f>
        <v>2855486.27835616</v>
      </c>
      <c r="AZ265" s="34" t="n">
        <f aca="false">IF(47&gt;Fin,AY$265,IF(AND(AZ$8=1,ISNUMBER(Reales!AZ80)),IF(Reales!$C$80="PYG",IF(AZ$10&gt;0,N(Reales!AZ80)/AZ$10,0),N(Reales!AZ80)),AZ$227*IF(AZ$8=1,N(vg_DSO),V_DSO)/DiasMes))</f>
        <v>2855486.27835616</v>
      </c>
      <c r="BA265" s="34" t="n">
        <f aca="false">IF(48&gt;Fin,AZ$265,IF(AND(BA$8=1,ISNUMBER(Reales!BA80)),IF(Reales!$C$80="PYG",IF(BA$10&gt;0,N(Reales!BA80)/BA$10,0),N(Reales!BA80)),BA$227*IF(BA$8=1,N(vg_DSO),V_DSO)/DiasMes))</f>
        <v>2855486.27835616</v>
      </c>
      <c r="BB265" s="34" t="n">
        <f aca="false">IF(49&gt;Fin,BA$265,IF(AND(BB$8=1,ISNUMBER(Reales!BB80)),IF(Reales!$C$80="PYG",IF(BB$10&gt;0,N(Reales!BB80)/BB$10,0),N(Reales!BB80)),BB$227*IF(BB$8=1,N(vg_DSO),V_DSO)/DiasMes))</f>
        <v>2884041.14113973</v>
      </c>
      <c r="BC265" s="34" t="n">
        <f aca="false">IF(50&gt;Fin,BB$265,IF(AND(BC$8=1,ISNUMBER(Reales!BC80)),IF(Reales!$C$80="PYG",IF(BC$10&gt;0,N(Reales!BC80)/BC$10,0),N(Reales!BC80)),BC$227*IF(BC$8=1,N(vg_DSO),V_DSO)/DiasMes))</f>
        <v>2884041.14113973</v>
      </c>
      <c r="BD265" s="34" t="n">
        <f aca="false">IF(51&gt;Fin,BC$265,IF(AND(BD$8=1,ISNUMBER(Reales!BD80)),IF(Reales!$C$80="PYG",IF(BD$10&gt;0,N(Reales!BD80)/BD$10,0),N(Reales!BD80)),BD$227*IF(BD$8=1,N(vg_DSO),V_DSO)/DiasMes))</f>
        <v>2884041.14113973</v>
      </c>
      <c r="BE265" s="34" t="n">
        <f aca="false">IF(52&gt;Fin,BD$265,IF(AND(BE$8=1,ISNUMBER(Reales!BE80)),IF(Reales!$C$80="PYG",IF(BE$10&gt;0,N(Reales!BE80)/BE$10,0),N(Reales!BE80)),BE$227*IF(BE$8=1,N(vg_DSO),V_DSO)/DiasMes))</f>
        <v>2884041.14113973</v>
      </c>
      <c r="BF265" s="34" t="n">
        <f aca="false">IF(53&gt;Fin,BE$265,IF(AND(BF$8=1,ISNUMBER(Reales!BF80)),IF(Reales!$C$80="PYG",IF(BF$10&gt;0,N(Reales!BF80)/BF$10,0),N(Reales!BF80)),BF$227*IF(BF$8=1,N(vg_DSO),V_DSO)/DiasMes))</f>
        <v>2884041.14113973</v>
      </c>
      <c r="BG265" s="34" t="n">
        <f aca="false">IF(54&gt;Fin,BF$265,IF(AND(BG$8=1,ISNUMBER(Reales!BG80)),IF(Reales!$C$80="PYG",IF(BG$10&gt;0,N(Reales!BG80)/BG$10,0),N(Reales!BG80)),BG$227*IF(BG$8=1,N(vg_DSO),V_DSO)/DiasMes))</f>
        <v>2884041.14113973</v>
      </c>
      <c r="BH265" s="34" t="n">
        <f aca="false">IF(55&gt;Fin,BG$265,IF(AND(BH$8=1,ISNUMBER(Reales!BH80)),IF(Reales!$C$80="PYG",IF(BH$10&gt;0,N(Reales!BH80)/BH$10,0),N(Reales!BH80)),BH$227*IF(BH$8=1,N(vg_DSO),V_DSO)/DiasMes))</f>
        <v>2884041.14113973</v>
      </c>
      <c r="BI265" s="34" t="n">
        <f aca="false">IF(56&gt;Fin,BH$265,IF(AND(BI$8=1,ISNUMBER(Reales!BI80)),IF(Reales!$C$80="PYG",IF(BI$10&gt;0,N(Reales!BI80)/BI$10,0),N(Reales!BI80)),BI$227*IF(BI$8=1,N(vg_DSO),V_DSO)/DiasMes))</f>
        <v>2884041.14113973</v>
      </c>
      <c r="BJ265" s="34" t="n">
        <f aca="false">IF(57&gt;Fin,BI$265,IF(AND(BJ$8=1,ISNUMBER(Reales!BJ80)),IF(Reales!$C$80="PYG",IF(BJ$10&gt;0,N(Reales!BJ80)/BJ$10,0),N(Reales!BJ80)),BJ$227*IF(BJ$8=1,N(vg_DSO),V_DSO)/DiasMes))</f>
        <v>2884041.14113973</v>
      </c>
      <c r="BK265" s="34" t="n">
        <f aca="false">IF(58&gt;Fin,BJ$265,IF(AND(BK$8=1,ISNUMBER(Reales!BK80)),IF(Reales!$C$80="PYG",IF(BK$10&gt;0,N(Reales!BK80)/BK$10,0),N(Reales!BK80)),BK$227*IF(BK$8=1,N(vg_DSO),V_DSO)/DiasMes))</f>
        <v>2884041.14113973</v>
      </c>
      <c r="BL265" s="34" t="n">
        <f aca="false">IF(59&gt;Fin,BK$265,IF(AND(BL$8=1,ISNUMBER(Reales!BL80)),IF(Reales!$C$80="PYG",IF(BL$10&gt;0,N(Reales!BL80)/BL$10,0),N(Reales!BL80)),BL$227*IF(BL$8=1,N(vg_DSO),V_DSO)/DiasMes))</f>
        <v>2884041.14113973</v>
      </c>
      <c r="BM265" s="34" t="n">
        <f aca="false">IF(60&gt;Fin,BL$265,IF(AND(BM$8=1,ISNUMBER(Reales!BM80)),IF(Reales!$C$80="PYG",IF(BM$10&gt;0,N(Reales!BM80)/BM$10,0),N(Reales!BM80)),BM$227*IF(BM$8=1,N(vg_DSO),V_DSO)/DiasMes))</f>
        <v>2884041.14113973</v>
      </c>
      <c r="BN265" s="34" t="n">
        <f aca="false">IF(61&gt;Fin,BM$265,IF(AND(BN$8=1,ISNUMBER(Reales!BN80)),IF(Reales!$C$80="PYG",IF(BN$10&gt;0,N(Reales!BN80)/BN$10,0),N(Reales!BN80)),BN$227*IF(BN$8=1,N(vg_DSO),V_DSO)/DiasMes))</f>
        <v>2912881.55255112</v>
      </c>
      <c r="BO265" s="34" t="n">
        <f aca="false">IF(62&gt;Fin,BN$265,IF(AND(BO$8=1,ISNUMBER(Reales!BO80)),IF(Reales!$C$80="PYG",IF(BO$10&gt;0,N(Reales!BO80)/BO$10,0),N(Reales!BO80)),BO$227*IF(BO$8=1,N(vg_DSO),V_DSO)/DiasMes))</f>
        <v>2912881.55255112</v>
      </c>
      <c r="BP265" s="34" t="n">
        <f aca="false">IF(63&gt;Fin,BO$265,IF(AND(BP$8=1,ISNUMBER(Reales!BP80)),IF(Reales!$C$80="PYG",IF(BP$10&gt;0,N(Reales!BP80)/BP$10,0),N(Reales!BP80)),BP$227*IF(BP$8=1,N(vg_DSO),V_DSO)/DiasMes))</f>
        <v>2912881.55255112</v>
      </c>
      <c r="BQ265" s="34" t="n">
        <f aca="false">IF(64&gt;Fin,BP$265,IF(AND(BQ$8=1,ISNUMBER(Reales!BQ80)),IF(Reales!$C$80="PYG",IF(BQ$10&gt;0,N(Reales!BQ80)/BQ$10,0),N(Reales!BQ80)),BQ$227*IF(BQ$8=1,N(vg_DSO),V_DSO)/DiasMes))</f>
        <v>2912881.55255112</v>
      </c>
      <c r="BR265" s="34" t="n">
        <f aca="false">IF(65&gt;Fin,BQ$265,IF(AND(BR$8=1,ISNUMBER(Reales!BR80)),IF(Reales!$C$80="PYG",IF(BR$10&gt;0,N(Reales!BR80)/BR$10,0),N(Reales!BR80)),BR$227*IF(BR$8=1,N(vg_DSO),V_DSO)/DiasMes))</f>
        <v>2912881.55255112</v>
      </c>
      <c r="BS265" s="34" t="n">
        <f aca="false">IF(66&gt;Fin,BR$265,IF(AND(BS$8=1,ISNUMBER(Reales!BS80)),IF(Reales!$C$80="PYG",IF(BS$10&gt;0,N(Reales!BS80)/BS$10,0),N(Reales!BS80)),BS$227*IF(BS$8=1,N(vg_DSO),V_DSO)/DiasMes))</f>
        <v>2912881.55255112</v>
      </c>
      <c r="BT265" s="34" t="n">
        <f aca="false">IF(67&gt;Fin,BS$265,IF(AND(BT$8=1,ISNUMBER(Reales!BT80)),IF(Reales!$C$80="PYG",IF(BT$10&gt;0,N(Reales!BT80)/BT$10,0),N(Reales!BT80)),BT$227*IF(BT$8=1,N(vg_DSO),V_DSO)/DiasMes))</f>
        <v>2912881.55255112</v>
      </c>
      <c r="BU265" s="34" t="n">
        <f aca="false">IF(68&gt;Fin,BT$265,IF(AND(BU$8=1,ISNUMBER(Reales!BU80)),IF(Reales!$C$80="PYG",IF(BU$10&gt;0,N(Reales!BU80)/BU$10,0),N(Reales!BU80)),BU$227*IF(BU$8=1,N(vg_DSO),V_DSO)/DiasMes))</f>
        <v>2912881.55255112</v>
      </c>
      <c r="BV265" s="34" t="n">
        <f aca="false">IF(69&gt;Fin,BU$265,IF(AND(BV$8=1,ISNUMBER(Reales!BV80)),IF(Reales!$C$80="PYG",IF(BV$10&gt;0,N(Reales!BV80)/BV$10,0),N(Reales!BV80)),BV$227*IF(BV$8=1,N(vg_DSO),V_DSO)/DiasMes))</f>
        <v>2912881.55255112</v>
      </c>
      <c r="BW265" s="34" t="n">
        <f aca="false">IF(70&gt;Fin,BV$265,IF(AND(BW$8=1,ISNUMBER(Reales!BW80)),IF(Reales!$C$80="PYG",IF(BW$10&gt;0,N(Reales!BW80)/BW$10,0),N(Reales!BW80)),BW$227*IF(BW$8=1,N(vg_DSO),V_DSO)/DiasMes))</f>
        <v>2912881.55255112</v>
      </c>
      <c r="BX265" s="34" t="n">
        <f aca="false">IF(71&gt;Fin,BW$265,IF(AND(BX$8=1,ISNUMBER(Reales!BX80)),IF(Reales!$C$80="PYG",IF(BX$10&gt;0,N(Reales!BX80)/BX$10,0),N(Reales!BX80)),BX$227*IF(BX$8=1,N(vg_DSO),V_DSO)/DiasMes))</f>
        <v>2912881.55255112</v>
      </c>
      <c r="BY265" s="34" t="n">
        <f aca="false">IF(72&gt;Fin,BX$265,IF(AND(BY$8=1,ISNUMBER(Reales!BY80)),IF(Reales!$C$80="PYG",IF(BY$10&gt;0,N(Reales!BY80)/BY$10,0),N(Reales!BY80)),BY$227*IF(BY$8=1,N(vg_DSO),V_DSO)/DiasMes))</f>
        <v>2912881.55255112</v>
      </c>
      <c r="BZ265" s="34" t="n">
        <f aca="false">IF(73&gt;Fin,BY$265,IF(AND(BZ$8=1,ISNUMBER(Reales!BZ80)),IF(Reales!$C$80="PYG",IF(BZ$10&gt;0,N(Reales!BZ80)/BZ$10,0),N(Reales!BZ80)),BZ$227*IF(BZ$8=1,N(vg_DSO),V_DSO)/DiasMes))</f>
        <v>2942010.36807663</v>
      </c>
      <c r="CA265" s="34" t="n">
        <f aca="false">IF(74&gt;Fin,BZ$265,IF(AND(CA$8=1,ISNUMBER(Reales!CA80)),IF(Reales!$C$80="PYG",IF(CA$10&gt;0,N(Reales!CA80)/CA$10,0),N(Reales!CA80)),CA$227*IF(CA$8=1,N(vg_DSO),V_DSO)/DiasMes))</f>
        <v>2942010.36807663</v>
      </c>
      <c r="CB265" s="34" t="n">
        <f aca="false">IF(75&gt;Fin,CA$265,IF(AND(CB$8=1,ISNUMBER(Reales!CB80)),IF(Reales!$C$80="PYG",IF(CB$10&gt;0,N(Reales!CB80)/CB$10,0),N(Reales!CB80)),CB$227*IF(CB$8=1,N(vg_DSO),V_DSO)/DiasMes))</f>
        <v>2942010.36807663</v>
      </c>
      <c r="CC265" s="34" t="n">
        <f aca="false">IF(76&gt;Fin,CB$265,IF(AND(CC$8=1,ISNUMBER(Reales!CC80)),IF(Reales!$C$80="PYG",IF(CC$10&gt;0,N(Reales!CC80)/CC$10,0),N(Reales!CC80)),CC$227*IF(CC$8=1,N(vg_DSO),V_DSO)/DiasMes))</f>
        <v>2942010.36807663</v>
      </c>
      <c r="CD265" s="34" t="n">
        <f aca="false">IF(77&gt;Fin,CC$265,IF(AND(CD$8=1,ISNUMBER(Reales!CD80)),IF(Reales!$C$80="PYG",IF(CD$10&gt;0,N(Reales!CD80)/CD$10,0),N(Reales!CD80)),CD$227*IF(CD$8=1,N(vg_DSO),V_DSO)/DiasMes))</f>
        <v>2942010.36807663</v>
      </c>
      <c r="CE265" s="34" t="n">
        <f aca="false">IF(78&gt;Fin,CD$265,IF(AND(CE$8=1,ISNUMBER(Reales!CE80)),IF(Reales!$C$80="PYG",IF(CE$10&gt;0,N(Reales!CE80)/CE$10,0),N(Reales!CE80)),CE$227*IF(CE$8=1,N(vg_DSO),V_DSO)/DiasMes))</f>
        <v>2942010.36807663</v>
      </c>
      <c r="CF265" s="34" t="n">
        <f aca="false">IF(79&gt;Fin,CE$265,IF(AND(CF$8=1,ISNUMBER(Reales!CF80)),IF(Reales!$C$80="PYG",IF(CF$10&gt;0,N(Reales!CF80)/CF$10,0),N(Reales!CF80)),CF$227*IF(CF$8=1,N(vg_DSO),V_DSO)/DiasMes))</f>
        <v>2942010.36807663</v>
      </c>
      <c r="CG265" s="34" t="n">
        <f aca="false">IF(80&gt;Fin,CF$265,IF(AND(CG$8=1,ISNUMBER(Reales!CG80)),IF(Reales!$C$80="PYG",IF(CG$10&gt;0,N(Reales!CG80)/CG$10,0),N(Reales!CG80)),CG$227*IF(CG$8=1,N(vg_DSO),V_DSO)/DiasMes))</f>
        <v>2942010.36807663</v>
      </c>
      <c r="CH265" s="34" t="n">
        <f aca="false">IF(81&gt;Fin,CG$265,IF(AND(CH$8=1,ISNUMBER(Reales!CH80)),IF(Reales!$C$80="PYG",IF(CH$10&gt;0,N(Reales!CH80)/CH$10,0),N(Reales!CH80)),CH$227*IF(CH$8=1,N(vg_DSO),V_DSO)/DiasMes))</f>
        <v>2942010.36807663</v>
      </c>
      <c r="CI265" s="34" t="n">
        <f aca="false">IF(82&gt;Fin,CH$265,IF(AND(CI$8=1,ISNUMBER(Reales!CI80)),IF(Reales!$C$80="PYG",IF(CI$10&gt;0,N(Reales!CI80)/CI$10,0),N(Reales!CI80)),CI$227*IF(CI$8=1,N(vg_DSO),V_DSO)/DiasMes))</f>
        <v>2942010.36807663</v>
      </c>
      <c r="CJ265" s="34" t="n">
        <f aca="false">IF(83&gt;Fin,CI$265,IF(AND(CJ$8=1,ISNUMBER(Reales!CJ80)),IF(Reales!$C$80="PYG",IF(CJ$10&gt;0,N(Reales!CJ80)/CJ$10,0),N(Reales!CJ80)),CJ$227*IF(CJ$8=1,N(vg_DSO),V_DSO)/DiasMes))</f>
        <v>2942010.36807663</v>
      </c>
      <c r="CK265" s="34" t="n">
        <f aca="false">IF(84&gt;Fin,CJ$265,IF(AND(CK$8=1,ISNUMBER(Reales!CK80)),IF(Reales!$C$80="PYG",IF(CK$10&gt;0,N(Reales!CK80)/CK$10,0),N(Reales!CK80)),CK$227*IF(CK$8=1,N(vg_DSO),V_DSO)/DiasMes))</f>
        <v>2942010.36807663</v>
      </c>
      <c r="CL265" s="34" t="n">
        <f aca="false">IF(85&gt;Fin,CK$265,IF(AND(CL$8=1,ISNUMBER(Reales!CL80)),IF(Reales!$C$80="PYG",IF(CL$10&gt;0,N(Reales!CL80)/CL$10,0),N(Reales!CL80)),CL$227*IF(CL$8=1,N(vg_DSO),V_DSO)/DiasMes))</f>
        <v>2971430.4717574</v>
      </c>
      <c r="CM265" s="34" t="n">
        <f aca="false">IF(86&gt;Fin,CL$265,IF(AND(CM$8=1,ISNUMBER(Reales!CM80)),IF(Reales!$C$80="PYG",IF(CM$10&gt;0,N(Reales!CM80)/CM$10,0),N(Reales!CM80)),CM$227*IF(CM$8=1,N(vg_DSO),V_DSO)/DiasMes))</f>
        <v>2971430.4717574</v>
      </c>
      <c r="CN265" s="34" t="n">
        <f aca="false">IF(87&gt;Fin,CM$265,IF(AND(CN$8=1,ISNUMBER(Reales!CN80)),IF(Reales!$C$80="PYG",IF(CN$10&gt;0,N(Reales!CN80)/CN$10,0),N(Reales!CN80)),CN$227*IF(CN$8=1,N(vg_DSO),V_DSO)/DiasMes))</f>
        <v>2971430.4717574</v>
      </c>
      <c r="CO265" s="34" t="n">
        <f aca="false">IF(88&gt;Fin,CN$265,IF(AND(CO$8=1,ISNUMBER(Reales!CO80)),IF(Reales!$C$80="PYG",IF(CO$10&gt;0,N(Reales!CO80)/CO$10,0),N(Reales!CO80)),CO$227*IF(CO$8=1,N(vg_DSO),V_DSO)/DiasMes))</f>
        <v>2971430.4717574</v>
      </c>
      <c r="CP265" s="34" t="n">
        <f aca="false">IF(89&gt;Fin,CO$265,IF(AND(CP$8=1,ISNUMBER(Reales!CP80)),IF(Reales!$C$80="PYG",IF(CP$10&gt;0,N(Reales!CP80)/CP$10,0),N(Reales!CP80)),CP$227*IF(CP$8=1,N(vg_DSO),V_DSO)/DiasMes))</f>
        <v>2971430.4717574</v>
      </c>
      <c r="CQ265" s="34" t="n">
        <f aca="false">IF(90&gt;Fin,CP$265,IF(AND(CQ$8=1,ISNUMBER(Reales!CQ80)),IF(Reales!$C$80="PYG",IF(CQ$10&gt;0,N(Reales!CQ80)/CQ$10,0),N(Reales!CQ80)),CQ$227*IF(CQ$8=1,N(vg_DSO),V_DSO)/DiasMes))</f>
        <v>2971430.4717574</v>
      </c>
      <c r="CR265" s="34" t="n">
        <f aca="false">IF(91&gt;Fin,CQ$265,IF(AND(CR$8=1,ISNUMBER(Reales!CR80)),IF(Reales!$C$80="PYG",IF(CR$10&gt;0,N(Reales!CR80)/CR$10,0),N(Reales!CR80)),CR$227*IF(CR$8=1,N(vg_DSO),V_DSO)/DiasMes))</f>
        <v>2971430.4717574</v>
      </c>
      <c r="CS265" s="34" t="n">
        <f aca="false">IF(92&gt;Fin,CR$265,IF(AND(CS$8=1,ISNUMBER(Reales!CS80)),IF(Reales!$C$80="PYG",IF(CS$10&gt;0,N(Reales!CS80)/CS$10,0),N(Reales!CS80)),CS$227*IF(CS$8=1,N(vg_DSO),V_DSO)/DiasMes))</f>
        <v>2971430.4717574</v>
      </c>
      <c r="CT265" s="34" t="n">
        <f aca="false">IF(93&gt;Fin,CS$265,IF(AND(CT$8=1,ISNUMBER(Reales!CT80)),IF(Reales!$C$80="PYG",IF(CT$10&gt;0,N(Reales!CT80)/CT$10,0),N(Reales!CT80)),CT$227*IF(CT$8=1,N(vg_DSO),V_DSO)/DiasMes))</f>
        <v>2971430.4717574</v>
      </c>
      <c r="CU265" s="34" t="n">
        <f aca="false">IF(94&gt;Fin,CT$265,IF(AND(CU$8=1,ISNUMBER(Reales!CU80)),IF(Reales!$C$80="PYG",IF(CU$10&gt;0,N(Reales!CU80)/CU$10,0),N(Reales!CU80)),CU$227*IF(CU$8=1,N(vg_DSO),V_DSO)/DiasMes))</f>
        <v>2971430.4717574</v>
      </c>
      <c r="CV265" s="34" t="n">
        <f aca="false">IF(95&gt;Fin,CU$265,IF(AND(CV$8=1,ISNUMBER(Reales!CV80)),IF(Reales!$C$80="PYG",IF(CV$10&gt;0,N(Reales!CV80)/CV$10,0),N(Reales!CV80)),CV$227*IF(CV$8=1,N(vg_DSO),V_DSO)/DiasMes))</f>
        <v>2971430.4717574</v>
      </c>
      <c r="CW265" s="34" t="n">
        <f aca="false">IF(96&gt;Fin,CV$265,IF(AND(CW$8=1,ISNUMBER(Reales!CW80)),IF(Reales!$C$80="PYG",IF(CW$10&gt;0,N(Reales!CW80)/CW$10,0),N(Reales!CW80)),CW$227*IF(CW$8=1,N(vg_DSO),V_DSO)/DiasMes))</f>
        <v>2971430.4717574</v>
      </c>
      <c r="CX265" s="34" t="n">
        <f aca="false">IF(97&gt;Fin,CW$265,IF(AND(CX$8=1,ISNUMBER(Reales!CX80)),IF(Reales!$C$80="PYG",IF(CX$10&gt;0,N(Reales!CX80)/CX$10,0),N(Reales!CX80)),CX$227*IF(CX$8=1,N(vg_DSO),V_DSO)/DiasMes))</f>
        <v>3001144.77647497</v>
      </c>
      <c r="CY265" s="34" t="n">
        <f aca="false">IF(98&gt;Fin,CX$265,IF(AND(CY$8=1,ISNUMBER(Reales!CY80)),IF(Reales!$C$80="PYG",IF(CY$10&gt;0,N(Reales!CY80)/CY$10,0),N(Reales!CY80)),CY$227*IF(CY$8=1,N(vg_DSO),V_DSO)/DiasMes))</f>
        <v>3001144.77647497</v>
      </c>
      <c r="CZ265" s="34" t="n">
        <f aca="false">IF(99&gt;Fin,CY$265,IF(AND(CZ$8=1,ISNUMBER(Reales!CZ80)),IF(Reales!$C$80="PYG",IF(CZ$10&gt;0,N(Reales!CZ80)/CZ$10,0),N(Reales!CZ80)),CZ$227*IF(CZ$8=1,N(vg_DSO),V_DSO)/DiasMes))</f>
        <v>3001144.77647497</v>
      </c>
      <c r="DA265" s="34" t="n">
        <f aca="false">IF(100&gt;Fin,CZ$265,IF(AND(DA$8=1,ISNUMBER(Reales!DA80)),IF(Reales!$C$80="PYG",IF(DA$10&gt;0,N(Reales!DA80)/DA$10,0),N(Reales!DA80)),DA$227*IF(DA$8=1,N(vg_DSO),V_DSO)/DiasMes))</f>
        <v>3001144.77647497</v>
      </c>
      <c r="DB265" s="34" t="n">
        <f aca="false">IF(101&gt;Fin,DA$265,IF(AND(DB$8=1,ISNUMBER(Reales!DB80)),IF(Reales!$C$80="PYG",IF(DB$10&gt;0,N(Reales!DB80)/DB$10,0),N(Reales!DB80)),DB$227*IF(DB$8=1,N(vg_DSO),V_DSO)/DiasMes))</f>
        <v>3001144.77647497</v>
      </c>
      <c r="DC265" s="34" t="n">
        <f aca="false">IF(102&gt;Fin,DB$265,IF(AND(DC$8=1,ISNUMBER(Reales!DC80)),IF(Reales!$C$80="PYG",IF(DC$10&gt;0,N(Reales!DC80)/DC$10,0),N(Reales!DC80)),DC$227*IF(DC$8=1,N(vg_DSO),V_DSO)/DiasMes))</f>
        <v>3001144.77647497</v>
      </c>
      <c r="DD265" s="34" t="n">
        <f aca="false">IF(103&gt;Fin,DC$265,IF(AND(DD$8=1,ISNUMBER(Reales!DD80)),IF(Reales!$C$80="PYG",IF(DD$10&gt;0,N(Reales!DD80)/DD$10,0),N(Reales!DD80)),DD$227*IF(DD$8=1,N(vg_DSO),V_DSO)/DiasMes))</f>
        <v>3001144.77647497</v>
      </c>
      <c r="DE265" s="34" t="n">
        <f aca="false">IF(104&gt;Fin,DD$265,IF(AND(DE$8=1,ISNUMBER(Reales!DE80)),IF(Reales!$C$80="PYG",IF(DE$10&gt;0,N(Reales!DE80)/DE$10,0),N(Reales!DE80)),DE$227*IF(DE$8=1,N(vg_DSO),V_DSO)/DiasMes))</f>
        <v>3001144.77647497</v>
      </c>
      <c r="DF265" s="34" t="n">
        <f aca="false">IF(105&gt;Fin,DE$265,IF(AND(DF$8=1,ISNUMBER(Reales!DF80)),IF(Reales!$C$80="PYG",IF(DF$10&gt;0,N(Reales!DF80)/DF$10,0),N(Reales!DF80)),DF$227*IF(DF$8=1,N(vg_DSO),V_DSO)/DiasMes))</f>
        <v>3001144.77647497</v>
      </c>
      <c r="DG265" s="34" t="n">
        <f aca="false">IF(106&gt;Fin,DF$265,IF(AND(DG$8=1,ISNUMBER(Reales!DG80)),IF(Reales!$C$80="PYG",IF(DG$10&gt;0,N(Reales!DG80)/DG$10,0),N(Reales!DG80)),DG$227*IF(DG$8=1,N(vg_DSO),V_DSO)/DiasMes))</f>
        <v>3001144.77647497</v>
      </c>
      <c r="DH265" s="34" t="n">
        <f aca="false">IF(107&gt;Fin,DG$265,IF(AND(DH$8=1,ISNUMBER(Reales!DH80)),IF(Reales!$C$80="PYG",IF(DH$10&gt;0,N(Reales!DH80)/DH$10,0),N(Reales!DH80)),DH$227*IF(DH$8=1,N(vg_DSO),V_DSO)/DiasMes))</f>
        <v>3001144.77647497</v>
      </c>
      <c r="DI265" s="34" t="n">
        <f aca="false">IF(108&gt;Fin,DH$265,IF(AND(DI$8=1,ISNUMBER(Reales!DI80)),IF(Reales!$C$80="PYG",IF(DI$10&gt;0,N(Reales!DI80)/DI$10,0),N(Reales!DI80)),DI$227*IF(DI$8=1,N(vg_DSO),V_DSO)/DiasMes))</f>
        <v>3001144.77647497</v>
      </c>
      <c r="DJ265" s="34" t="n">
        <f aca="false">IF(109&gt;Fin,DI$265,IF(AND(DJ$8=1,ISNUMBER(Reales!DJ80)),IF(Reales!$C$80="PYG",IF(DJ$10&gt;0,N(Reales!DJ80)/DJ$10,0),N(Reales!DJ80)),DJ$227*IF(DJ$8=1,N(vg_DSO),V_DSO)/DiasMes))</f>
        <v>3031156.22423972</v>
      </c>
      <c r="DK265" s="34" t="n">
        <f aca="false">IF(110&gt;Fin,DJ$265,IF(AND(DK$8=1,ISNUMBER(Reales!DK80)),IF(Reales!$C$80="PYG",IF(DK$10&gt;0,N(Reales!DK80)/DK$10,0),N(Reales!DK80)),DK$227*IF(DK$8=1,N(vg_DSO),V_DSO)/DiasMes))</f>
        <v>3031156.22423972</v>
      </c>
      <c r="DL265" s="34" t="n">
        <f aca="false">IF(111&gt;Fin,DK$265,IF(AND(DL$8=1,ISNUMBER(Reales!DL80)),IF(Reales!$C$80="PYG",IF(DL$10&gt;0,N(Reales!DL80)/DL$10,0),N(Reales!DL80)),DL$227*IF(DL$8=1,N(vg_DSO),V_DSO)/DiasMes))</f>
        <v>3031156.22423972</v>
      </c>
      <c r="DM265" s="34" t="n">
        <f aca="false">IF(112&gt;Fin,DL$265,IF(AND(DM$8=1,ISNUMBER(Reales!DM80)),IF(Reales!$C$80="PYG",IF(DM$10&gt;0,N(Reales!DM80)/DM$10,0),N(Reales!DM80)),DM$227*IF(DM$8=1,N(vg_DSO),V_DSO)/DiasMes))</f>
        <v>3031156.22423972</v>
      </c>
      <c r="DN265" s="34" t="n">
        <f aca="false">IF(113&gt;Fin,DM$265,IF(AND(DN$8=1,ISNUMBER(Reales!DN80)),IF(Reales!$C$80="PYG",IF(DN$10&gt;0,N(Reales!DN80)/DN$10,0),N(Reales!DN80)),DN$227*IF(DN$8=1,N(vg_DSO),V_DSO)/DiasMes))</f>
        <v>3031156.22423972</v>
      </c>
      <c r="DO265" s="34" t="n">
        <f aca="false">IF(114&gt;Fin,DN$265,IF(AND(DO$8=1,ISNUMBER(Reales!DO80)),IF(Reales!$C$80="PYG",IF(DO$10&gt;0,N(Reales!DO80)/DO$10,0),N(Reales!DO80)),DO$227*IF(DO$8=1,N(vg_DSO),V_DSO)/DiasMes))</f>
        <v>3031156.22423972</v>
      </c>
      <c r="DP265" s="34" t="n">
        <f aca="false">IF(115&gt;Fin,DO$265,IF(AND(DP$8=1,ISNUMBER(Reales!DP80)),IF(Reales!$C$80="PYG",IF(DP$10&gt;0,N(Reales!DP80)/DP$10,0),N(Reales!DP80)),DP$227*IF(DP$8=1,N(vg_DSO),V_DSO)/DiasMes))</f>
        <v>3031156.22423972</v>
      </c>
      <c r="DQ265" s="34" t="n">
        <f aca="false">IF(116&gt;Fin,DP$265,IF(AND(DQ$8=1,ISNUMBER(Reales!DQ80)),IF(Reales!$C$80="PYG",IF(DQ$10&gt;0,N(Reales!DQ80)/DQ$10,0),N(Reales!DQ80)),DQ$227*IF(DQ$8=1,N(vg_DSO),V_DSO)/DiasMes))</f>
        <v>3031156.22423972</v>
      </c>
      <c r="DR265" s="34" t="n">
        <f aca="false">IF(117&gt;Fin,DQ$265,IF(AND(DR$8=1,ISNUMBER(Reales!DR80)),IF(Reales!$C$80="PYG",IF(DR$10&gt;0,N(Reales!DR80)/DR$10,0),N(Reales!DR80)),DR$227*IF(DR$8=1,N(vg_DSO),V_DSO)/DiasMes))</f>
        <v>3031156.22423972</v>
      </c>
      <c r="DS265" s="34" t="n">
        <f aca="false">IF(118&gt;Fin,DR$265,IF(AND(DS$8=1,ISNUMBER(Reales!DS80)),IF(Reales!$C$80="PYG",IF(DS$10&gt;0,N(Reales!DS80)/DS$10,0),N(Reales!DS80)),DS$227*IF(DS$8=1,N(vg_DSO),V_DSO)/DiasMes))</f>
        <v>3031156.22423972</v>
      </c>
      <c r="DT265" s="34" t="n">
        <f aca="false">IF(119&gt;Fin,DS$265,IF(AND(DT$8=1,ISNUMBER(Reales!DT80)),IF(Reales!$C$80="PYG",IF(DT$10&gt;0,N(Reales!DT80)/DT$10,0),N(Reales!DT80)),DT$227*IF(DT$8=1,N(vg_DSO),V_DSO)/DiasMes))</f>
        <v>3031156.22423972</v>
      </c>
      <c r="DU265" s="34" t="n">
        <f aca="false">IF(120&gt;Fin,DT$265,IF(AND(DU$8=1,ISNUMBER(Reales!DU80)),IF(Reales!$C$80="PYG",IF(DU$10&gt;0,N(Reales!DU80)/DU$10,0),N(Reales!DU80)),DU$227*IF(DU$8=1,N(vg_DSO),V_DSO)/DiasMes))</f>
        <v>3031156.22423972</v>
      </c>
      <c r="DV265" s="34" t="n">
        <f aca="false">IF(121&gt;Fin,DU$265,IF(AND(DV$8=1,ISNUMBER(Reales!DV80)),IF(Reales!$C$80="PYG",IF(DV$10&gt;0,N(Reales!DV80)/DV$10,0),N(Reales!DV80)),DV$227*IF(DV$8=1,N(vg_DSO),V_DSO)/DiasMes))</f>
        <v>3031156.22423972</v>
      </c>
      <c r="DW265" s="34" t="n">
        <f aca="false">IF(122&gt;Fin,DV$265,IF(AND(DW$8=1,ISNUMBER(Reales!DW80)),IF(Reales!$C$80="PYG",IF(DW$10&gt;0,N(Reales!DW80)/DW$10,0),N(Reales!DW80)),DW$227*IF(DW$8=1,N(vg_DSO),V_DSO)/DiasMes))</f>
        <v>3031156.22423972</v>
      </c>
      <c r="DX265" s="34" t="n">
        <f aca="false">IF(123&gt;Fin,DW$265,IF(AND(DX$8=1,ISNUMBER(Reales!DX80)),IF(Reales!$C$80="PYG",IF(DX$10&gt;0,N(Reales!DX80)/DX$10,0),N(Reales!DX80)),DX$227*IF(DX$8=1,N(vg_DSO),V_DSO)/DiasMes))</f>
        <v>3031156.22423972</v>
      </c>
      <c r="DY265" s="34" t="n">
        <f aca="false">IF(124&gt;Fin,DX$265,IF(AND(DY$8=1,ISNUMBER(Reales!DY80)),IF(Reales!$C$80="PYG",IF(DY$10&gt;0,N(Reales!DY80)/DY$10,0),N(Reales!DY80)),DY$227*IF(DY$8=1,N(vg_DSO),V_DSO)/DiasMes))</f>
        <v>3031156.22423972</v>
      </c>
      <c r="DZ265" s="34" t="n">
        <f aca="false">IF(125&gt;Fin,DY$265,IF(AND(DZ$8=1,ISNUMBER(Reales!DZ80)),IF(Reales!$C$80="PYG",IF(DZ$10&gt;0,N(Reales!DZ80)/DZ$10,0),N(Reales!DZ80)),DZ$227*IF(DZ$8=1,N(vg_DSO),V_DSO)/DiasMes))</f>
        <v>3031156.22423972</v>
      </c>
      <c r="EA265" s="34" t="n">
        <f aca="false">IF(126&gt;Fin,DZ$265,IF(AND(EA$8=1,ISNUMBER(Reales!EA80)),IF(Reales!$C$80="PYG",IF(EA$10&gt;0,N(Reales!EA80)/EA$10,0),N(Reales!EA80)),EA$227*IF(EA$8=1,N(vg_DSO),V_DSO)/DiasMes))</f>
        <v>3031156.22423972</v>
      </c>
      <c r="EB265" s="34" t="n">
        <f aca="false">IF(127&gt;Fin,EA$265,IF(AND(EB$8=1,ISNUMBER(Reales!EB80)),IF(Reales!$C$80="PYG",IF(EB$10&gt;0,N(Reales!EB80)/EB$10,0),N(Reales!EB80)),EB$227*IF(EB$8=1,N(vg_DSO),V_DSO)/DiasMes))</f>
        <v>3031156.22423972</v>
      </c>
      <c r="EC265" s="34" t="n">
        <f aca="false">IF(128&gt;Fin,EB$265,IF(AND(EC$8=1,ISNUMBER(Reales!EC80)),IF(Reales!$C$80="PYG",IF(EC$10&gt;0,N(Reales!EC80)/EC$10,0),N(Reales!EC80)),EC$227*IF(EC$8=1,N(vg_DSO),V_DSO)/DiasMes))</f>
        <v>3031156.22423972</v>
      </c>
      <c r="ED265" s="34" t="n">
        <f aca="false">IF(129&gt;Fin,EC$265,IF(AND(ED$8=1,ISNUMBER(Reales!ED80)),IF(Reales!$C$80="PYG",IF(ED$10&gt;0,N(Reales!ED80)/ED$10,0),N(Reales!ED80)),ED$227*IF(ED$8=1,N(vg_DSO),V_DSO)/DiasMes))</f>
        <v>3031156.22423972</v>
      </c>
      <c r="EE265" s="34" t="n">
        <f aca="false">IF(130&gt;Fin,ED$265,IF(AND(EE$8=1,ISNUMBER(Reales!EE80)),IF(Reales!$C$80="PYG",IF(EE$10&gt;0,N(Reales!EE80)/EE$10,0),N(Reales!EE80)),EE$227*IF(EE$8=1,N(vg_DSO),V_DSO)/DiasMes))</f>
        <v>3031156.22423972</v>
      </c>
      <c r="EF265" s="34" t="n">
        <f aca="false">IF(131&gt;Fin,EE$265,IF(AND(EF$8=1,ISNUMBER(Reales!EF80)),IF(Reales!$C$80="PYG",IF(EF$10&gt;0,N(Reales!EF80)/EF$10,0),N(Reales!EF80)),EF$227*IF(EF$8=1,N(vg_DSO),V_DSO)/DiasMes))</f>
        <v>3031156.22423972</v>
      </c>
      <c r="EG265" s="34" t="n">
        <f aca="false">IF(132&gt;Fin,EF$265,IF(AND(EG$8=1,ISNUMBER(Reales!EG80)),IF(Reales!$C$80="PYG",IF(EG$10&gt;0,N(Reales!EG80)/EG$10,0),N(Reales!EG80)),EG$227*IF(EG$8=1,N(vg_DSO),V_DSO)/DiasMes))</f>
        <v>3031156.22423972</v>
      </c>
      <c r="EH265" s="34" t="n">
        <f aca="false">IF(133&gt;Fin,EG$265,IF(AND(EH$8=1,ISNUMBER(Reales!EH80)),IF(Reales!$C$80="PYG",IF(EH$10&gt;0,N(Reales!EH80)/EH$10,0),N(Reales!EH80)),EH$227*IF(EH$8=1,N(vg_DSO),V_DSO)/DiasMes))</f>
        <v>3031156.22423972</v>
      </c>
      <c r="EI265" s="34" t="n">
        <f aca="false">IF(134&gt;Fin,EH$265,IF(AND(EI$8=1,ISNUMBER(Reales!EI80)),IF(Reales!$C$80="PYG",IF(EI$10&gt;0,N(Reales!EI80)/EI$10,0),N(Reales!EI80)),EI$227*IF(EI$8=1,N(vg_DSO),V_DSO)/DiasMes))</f>
        <v>3031156.22423972</v>
      </c>
      <c r="EJ265" s="34" t="n">
        <f aca="false">IF(135&gt;Fin,EI$265,IF(AND(EJ$8=1,ISNUMBER(Reales!EJ80)),IF(Reales!$C$80="PYG",IF(EJ$10&gt;0,N(Reales!EJ80)/EJ$10,0),N(Reales!EJ80)),EJ$227*IF(EJ$8=1,N(vg_DSO),V_DSO)/DiasMes))</f>
        <v>3031156.22423972</v>
      </c>
      <c r="EK265" s="34" t="n">
        <f aca="false">IF(136&gt;Fin,EJ$265,IF(AND(EK$8=1,ISNUMBER(Reales!EK80)),IF(Reales!$C$80="PYG",IF(EK$10&gt;0,N(Reales!EK80)/EK$10,0),N(Reales!EK80)),EK$227*IF(EK$8=1,N(vg_DSO),V_DSO)/DiasMes))</f>
        <v>3031156.22423972</v>
      </c>
      <c r="EL265" s="34" t="n">
        <f aca="false">IF(137&gt;Fin,EK$265,IF(AND(EL$8=1,ISNUMBER(Reales!EL80)),IF(Reales!$C$80="PYG",IF(EL$10&gt;0,N(Reales!EL80)/EL$10,0),N(Reales!EL80)),EL$227*IF(EL$8=1,N(vg_DSO),V_DSO)/DiasMes))</f>
        <v>3031156.22423972</v>
      </c>
      <c r="EM265" s="34" t="n">
        <f aca="false">IF(138&gt;Fin,EL$265,IF(AND(EM$8=1,ISNUMBER(Reales!EM80)),IF(Reales!$C$80="PYG",IF(EM$10&gt;0,N(Reales!EM80)/EM$10,0),N(Reales!EM80)),EM$227*IF(EM$8=1,N(vg_DSO),V_DSO)/DiasMes))</f>
        <v>3031156.22423972</v>
      </c>
      <c r="EN265" s="34" t="n">
        <f aca="false">IF(139&gt;Fin,EM$265,IF(AND(EN$8=1,ISNUMBER(Reales!EN80)),IF(Reales!$C$80="PYG",IF(EN$10&gt;0,N(Reales!EN80)/EN$10,0),N(Reales!EN80)),EN$227*IF(EN$8=1,N(vg_DSO),V_DSO)/DiasMes))</f>
        <v>3031156.22423972</v>
      </c>
      <c r="EO265" s="34" t="n">
        <f aca="false">IF(140&gt;Fin,EN$265,IF(AND(EO$8=1,ISNUMBER(Reales!EO80)),IF(Reales!$C$80="PYG",IF(EO$10&gt;0,N(Reales!EO80)/EO$10,0),N(Reales!EO80)),EO$227*IF(EO$8=1,N(vg_DSO),V_DSO)/DiasMes))</f>
        <v>3031156.22423972</v>
      </c>
      <c r="EP265" s="34" t="n">
        <f aca="false">IF(141&gt;Fin,EO$265,IF(AND(EP$8=1,ISNUMBER(Reales!EP80)),IF(Reales!$C$80="PYG",IF(EP$10&gt;0,N(Reales!EP80)/EP$10,0),N(Reales!EP80)),EP$227*IF(EP$8=1,N(vg_DSO),V_DSO)/DiasMes))</f>
        <v>3031156.22423972</v>
      </c>
      <c r="EQ265" s="34" t="n">
        <f aca="false">IF(142&gt;Fin,EP$265,IF(AND(EQ$8=1,ISNUMBER(Reales!EQ80)),IF(Reales!$C$80="PYG",IF(EQ$10&gt;0,N(Reales!EQ80)/EQ$10,0),N(Reales!EQ80)),EQ$227*IF(EQ$8=1,N(vg_DSO),V_DSO)/DiasMes))</f>
        <v>3031156.22423972</v>
      </c>
      <c r="ER265" s="34" t="n">
        <f aca="false">IF(143&gt;Fin,EQ$265,IF(AND(ER$8=1,ISNUMBER(Reales!ER80)),IF(Reales!$C$80="PYG",IF(ER$10&gt;0,N(Reales!ER80)/ER$10,0),N(Reales!ER80)),ER$227*IF(ER$8=1,N(vg_DSO),V_DSO)/DiasMes))</f>
        <v>3031156.22423972</v>
      </c>
      <c r="ES265" s="34" t="n">
        <f aca="false">IF(144&gt;Fin,ER$265,IF(AND(ES$8=1,ISNUMBER(Reales!ES80)),IF(Reales!$C$80="PYG",IF(ES$10&gt;0,N(Reales!ES80)/ES$10,0),N(Reales!ES80)),ES$227*IF(ES$8=1,N(vg_DSO),V_DSO)/DiasMes))</f>
        <v>3031156.22423972</v>
      </c>
    </row>
    <row r="266" customFormat="false" ht="15" hidden="false" customHeight="false" outlineLevel="0" collapsed="false">
      <c r="A266" s="2" t="s">
        <v>905</v>
      </c>
      <c r="B266" s="6" t="s">
        <v>549</v>
      </c>
      <c r="C266" s="6" t="s">
        <v>250</v>
      </c>
      <c r="E266" s="40" t="n">
        <f aca="false">INDEX(F266:ES266,1,MIN(144,Fin))</f>
        <v>1626937.98750554</v>
      </c>
      <c r="F266" s="34" t="n">
        <f aca="false">IF(1&gt;Fin,0,IF(AND(F$8=1,ISNUMBER(Reales!F81)),IF(Reales!$C$81="PYG",IF(F$10&gt;0,N(Reales!F81)/F$10,0),N(Reales!F81)),F$249*IF(F$8=1,N(vg_DInv),V_DInv)/DiasMes+(F$249+F$250+F$251+F$252)*V_DPT/DiasMes))</f>
        <v>892648.832014833</v>
      </c>
      <c r="G266" s="34" t="n">
        <f aca="false">IF(2&gt;Fin,F$266,IF(AND(G$8=1,ISNUMBER(Reales!G81)),IF(Reales!$C$81="PYG",IF(G$10&gt;0,N(Reales!G81)/G$10,0),N(Reales!G81)),G$249*IF(G$8=1,N(vg_DInv),V_DInv)/DiasMes+(G$249+G$250+G$251+G$252)*V_DPT/DiasMes))</f>
        <v>892648.832014833</v>
      </c>
      <c r="H266" s="34" t="n">
        <f aca="false">IF(3&gt;Fin,G$266,IF(AND(H$8=1,ISNUMBER(Reales!H81)),IF(Reales!$C$81="PYG",IF(H$10&gt;0,N(Reales!H81)/H$10,0),N(Reales!H81)),H$249*IF(H$8=1,N(vg_DInv),V_DInv)/DiasMes+(H$249+H$250+H$251+H$252)*V_DPT/DiasMes))</f>
        <v>892648.832014833</v>
      </c>
      <c r="I266" s="34" t="n">
        <f aca="false">IF(4&gt;Fin,H$266,IF(AND(I$8=1,ISNUMBER(Reales!I81)),IF(Reales!$C$81="PYG",IF(I$10&gt;0,N(Reales!I81)/I$10,0),N(Reales!I81)),I$249*IF(I$8=1,N(vg_DInv),V_DInv)/DiasMes+(I$249+I$250+I$251+I$252)*V_DPT/DiasMes))</f>
        <v>892648.832014833</v>
      </c>
      <c r="J266" s="34" t="n">
        <f aca="false">IF(5&gt;Fin,I$266,IF(AND(J$8=1,ISNUMBER(Reales!J81)),IF(Reales!$C$81="PYG",IF(J$10&gt;0,N(Reales!J81)/J$10,0),N(Reales!J81)),J$249*IF(J$8=1,N(vg_DInv),V_DInv)/DiasMes+(J$249+J$250+J$251+J$252)*V_DPT/DiasMes))</f>
        <v>892648.832014833</v>
      </c>
      <c r="K266" s="34" t="n">
        <f aca="false">IF(6&gt;Fin,J$266,IF(AND(K$8=1,ISNUMBER(Reales!K81)),IF(Reales!$C$81="PYG",IF(K$10&gt;0,N(Reales!K81)/K$10,0),N(Reales!K81)),K$249*IF(K$8=1,N(vg_DInv),V_DInv)/DiasMes+(K$249+K$250+K$251+K$252)*V_DPT/DiasMes))</f>
        <v>892648.832014833</v>
      </c>
      <c r="L266" s="34" t="n">
        <f aca="false">IF(7&gt;Fin,K$266,IF(AND(L$8=1,ISNUMBER(Reales!L81)),IF(Reales!$C$81="PYG",IF(L$10&gt;0,N(Reales!L81)/L$10,0),N(Reales!L81)),L$249*IF(L$8=1,N(vg_DInv),V_DInv)/DiasMes+(L$249+L$250+L$251+L$252)*V_DPT/DiasMes))</f>
        <v>892648.832014833</v>
      </c>
      <c r="M266" s="34" t="n">
        <f aca="false">IF(8&gt;Fin,L$266,IF(AND(M$8=1,ISNUMBER(Reales!M81)),IF(Reales!$C$81="PYG",IF(M$10&gt;0,N(Reales!M81)/M$10,0),N(Reales!M81)),M$249*IF(M$8=1,N(vg_DInv),V_DInv)/DiasMes+(M$249+M$250+M$251+M$252)*V_DPT/DiasMes))</f>
        <v>892648.832014833</v>
      </c>
      <c r="N266" s="34" t="n">
        <f aca="false">IF(9&gt;Fin,M$266,IF(AND(N$8=1,ISNUMBER(Reales!N81)),IF(Reales!$C$81="PYG",IF(N$10&gt;0,N(Reales!N81)/N$10,0),N(Reales!N81)),N$249*IF(N$8=1,N(vg_DInv),V_DInv)/DiasMes+(N$249+N$250+N$251+N$252)*V_DPT/DiasMes))</f>
        <v>892648.832014833</v>
      </c>
      <c r="O266" s="34" t="n">
        <f aca="false">IF(10&gt;Fin,N$266,IF(AND(O$8=1,ISNUMBER(Reales!O81)),IF(Reales!$C$81="PYG",IF(O$10&gt;0,N(Reales!O81)/O$10,0),N(Reales!O81)),O$249*IF(O$8=1,N(vg_DInv),V_DInv)/DiasMes+(O$249+O$250+O$251+O$252)*V_DPT/DiasMes))</f>
        <v>892648.832014833</v>
      </c>
      <c r="P266" s="34" t="n">
        <f aca="false">IF(11&gt;Fin,O$266,IF(AND(P$8=1,ISNUMBER(Reales!P81)),IF(Reales!$C$81="PYG",IF(P$10&gt;0,N(Reales!P81)/P$10,0),N(Reales!P81)),P$249*IF(P$8=1,N(vg_DInv),V_DInv)/DiasMes+(P$249+P$250+P$251+P$252)*V_DPT/DiasMes))</f>
        <v>892648.832014833</v>
      </c>
      <c r="Q266" s="34" t="n">
        <f aca="false">IF(12&gt;Fin,P$266,IF(AND(Q$8=1,ISNUMBER(Reales!Q81)),IF(Reales!$C$81="PYG",IF(Q$10&gt;0,N(Reales!Q81)/Q$10,0),N(Reales!Q81)),Q$249*IF(Q$8=1,N(vg_DInv),V_DInv)/DiasMes+(Q$249+Q$250+Q$251+Q$252)*V_DPT/DiasMes))</f>
        <v>892648.832014833</v>
      </c>
      <c r="R266" s="34" t="n">
        <f aca="false">IF(13&gt;Fin,Q$266,IF(AND(R$8=1,ISNUMBER(Reales!R81)),IF(Reales!$C$81="PYG",IF(R$10&gt;0,N(Reales!R81)/R$10,0),N(Reales!R81)),R$249*IF(R$8=1,N(vg_DInv),V_DInv)/DiasMes+(R$249+R$250+R$251+R$252)*V_DPT/DiasMes))</f>
        <v>1128877.29036496</v>
      </c>
      <c r="S266" s="34" t="n">
        <f aca="false">IF(14&gt;Fin,R$266,IF(AND(S$8=1,ISNUMBER(Reales!S81)),IF(Reales!$C$81="PYG",IF(S$10&gt;0,N(Reales!S81)/S$10,0),N(Reales!S81)),S$249*IF(S$8=1,N(vg_DInv),V_DInv)/DiasMes+(S$249+S$250+S$251+S$252)*V_DPT/DiasMes))</f>
        <v>1128877.29036496</v>
      </c>
      <c r="T266" s="34" t="n">
        <f aca="false">IF(15&gt;Fin,S$266,IF(AND(T$8=1,ISNUMBER(Reales!T81)),IF(Reales!$C$81="PYG",IF(T$10&gt;0,N(Reales!T81)/T$10,0),N(Reales!T81)),T$249*IF(T$8=1,N(vg_DInv),V_DInv)/DiasMes+(T$249+T$250+T$251+T$252)*V_DPT/DiasMes))</f>
        <v>1128877.29036496</v>
      </c>
      <c r="U266" s="34" t="n">
        <f aca="false">IF(16&gt;Fin,T$266,IF(AND(U$8=1,ISNUMBER(Reales!U81)),IF(Reales!$C$81="PYG",IF(U$10&gt;0,N(Reales!U81)/U$10,0),N(Reales!U81)),U$249*IF(U$8=1,N(vg_DInv),V_DInv)/DiasMes+(U$249+U$250+U$251+U$252)*V_DPT/DiasMes))</f>
        <v>1128877.29036496</v>
      </c>
      <c r="V266" s="34" t="n">
        <f aca="false">IF(17&gt;Fin,U$266,IF(AND(V$8=1,ISNUMBER(Reales!V81)),IF(Reales!$C$81="PYG",IF(V$10&gt;0,N(Reales!V81)/V$10,0),N(Reales!V81)),V$249*IF(V$8=1,N(vg_DInv),V_DInv)/DiasMes+(V$249+V$250+V$251+V$252)*V_DPT/DiasMes))</f>
        <v>1128877.29036496</v>
      </c>
      <c r="W266" s="34" t="n">
        <f aca="false">IF(18&gt;Fin,V$266,IF(AND(W$8=1,ISNUMBER(Reales!W81)),IF(Reales!$C$81="PYG",IF(W$10&gt;0,N(Reales!W81)/W$10,0),N(Reales!W81)),W$249*IF(W$8=1,N(vg_DInv),V_DInv)/DiasMes+(W$249+W$250+W$251+W$252)*V_DPT/DiasMes))</f>
        <v>1128877.29036496</v>
      </c>
      <c r="X266" s="34" t="n">
        <f aca="false">IF(19&gt;Fin,W$266,IF(AND(X$8=1,ISNUMBER(Reales!X81)),IF(Reales!$C$81="PYG",IF(X$10&gt;0,N(Reales!X81)/X$10,0),N(Reales!X81)),X$249*IF(X$8=1,N(vg_DInv),V_DInv)/DiasMes+(X$249+X$250+X$251+X$252)*V_DPT/DiasMes))</f>
        <v>1128877.29036496</v>
      </c>
      <c r="Y266" s="34" t="n">
        <f aca="false">IF(20&gt;Fin,X$266,IF(AND(Y$8=1,ISNUMBER(Reales!Y81)),IF(Reales!$C$81="PYG",IF(Y$10&gt;0,N(Reales!Y81)/Y$10,0),N(Reales!Y81)),Y$249*IF(Y$8=1,N(vg_DInv),V_DInv)/DiasMes+(Y$249+Y$250+Y$251+Y$252)*V_DPT/DiasMes))</f>
        <v>1128877.29036496</v>
      </c>
      <c r="Z266" s="34" t="n">
        <f aca="false">IF(21&gt;Fin,Y$266,IF(AND(Z$8=1,ISNUMBER(Reales!Z81)),IF(Reales!$C$81="PYG",IF(Z$10&gt;0,N(Reales!Z81)/Z$10,0),N(Reales!Z81)),Z$249*IF(Z$8=1,N(vg_DInv),V_DInv)/DiasMes+(Z$249+Z$250+Z$251+Z$252)*V_DPT/DiasMes))</f>
        <v>1128877.29036496</v>
      </c>
      <c r="AA266" s="34" t="n">
        <f aca="false">IF(22&gt;Fin,Z$266,IF(AND(AA$8=1,ISNUMBER(Reales!AA81)),IF(Reales!$C$81="PYG",IF(AA$10&gt;0,N(Reales!AA81)/AA$10,0),N(Reales!AA81)),AA$249*IF(AA$8=1,N(vg_DInv),V_DInv)/DiasMes+(AA$249+AA$250+AA$251+AA$252)*V_DPT/DiasMes))</f>
        <v>1128877.29036496</v>
      </c>
      <c r="AB266" s="34" t="n">
        <f aca="false">IF(23&gt;Fin,AA$266,IF(AND(AB$8=1,ISNUMBER(Reales!AB81)),IF(Reales!$C$81="PYG",IF(AB$10&gt;0,N(Reales!AB81)/AB$10,0),N(Reales!AB81)),AB$249*IF(AB$8=1,N(vg_DInv),V_DInv)/DiasMes+(AB$249+AB$250+AB$251+AB$252)*V_DPT/DiasMes))</f>
        <v>1128877.29036496</v>
      </c>
      <c r="AC266" s="34" t="n">
        <f aca="false">IF(24&gt;Fin,AB$266,IF(AND(AC$8=1,ISNUMBER(Reales!AC81)),IF(Reales!$C$81="PYG",IF(AC$10&gt;0,N(Reales!AC81)/AC$10,0),N(Reales!AC81)),AC$249*IF(AC$8=1,N(vg_DInv),V_DInv)/DiasMes+(AC$249+AC$250+AC$251+AC$252)*V_DPT/DiasMes))</f>
        <v>1128877.29036496</v>
      </c>
      <c r="AD266" s="34" t="n">
        <f aca="false">IF(25&gt;Fin,AC$266,IF(AND(AD$8=1,ISNUMBER(Reales!AD81)),IF(Reales!$C$81="PYG",IF(AD$10&gt;0,N(Reales!AD81)/AD$10,0),N(Reales!AD81)),AD$249*IF(AD$8=1,N(vg_DInv),V_DInv)/DiasMes+(AD$249+AD$250+AD$251+AD$252)*V_DPT/DiasMes))</f>
        <v>1368953.64604567</v>
      </c>
      <c r="AE266" s="34" t="n">
        <f aca="false">IF(26&gt;Fin,AD$266,IF(AND(AE$8=1,ISNUMBER(Reales!AE81)),IF(Reales!$C$81="PYG",IF(AE$10&gt;0,N(Reales!AE81)/AE$10,0),N(Reales!AE81)),AE$249*IF(AE$8=1,N(vg_DInv),V_DInv)/DiasMes+(AE$249+AE$250+AE$251+AE$252)*V_DPT/DiasMes))</f>
        <v>1368953.64604567</v>
      </c>
      <c r="AF266" s="34" t="n">
        <f aca="false">IF(27&gt;Fin,AE$266,IF(AND(AF$8=1,ISNUMBER(Reales!AF81)),IF(Reales!$C$81="PYG",IF(AF$10&gt;0,N(Reales!AF81)/AF$10,0),N(Reales!AF81)),AF$249*IF(AF$8=1,N(vg_DInv),V_DInv)/DiasMes+(AF$249+AF$250+AF$251+AF$252)*V_DPT/DiasMes))</f>
        <v>1368953.64604567</v>
      </c>
      <c r="AG266" s="34" t="n">
        <f aca="false">IF(28&gt;Fin,AF$266,IF(AND(AG$8=1,ISNUMBER(Reales!AG81)),IF(Reales!$C$81="PYG",IF(AG$10&gt;0,N(Reales!AG81)/AG$10,0),N(Reales!AG81)),AG$249*IF(AG$8=1,N(vg_DInv),V_DInv)/DiasMes+(AG$249+AG$250+AG$251+AG$252)*V_DPT/DiasMes))</f>
        <v>1368953.64604567</v>
      </c>
      <c r="AH266" s="34" t="n">
        <f aca="false">IF(29&gt;Fin,AG$266,IF(AND(AH$8=1,ISNUMBER(Reales!AH81)),IF(Reales!$C$81="PYG",IF(AH$10&gt;0,N(Reales!AH81)/AH$10,0),N(Reales!AH81)),AH$249*IF(AH$8=1,N(vg_DInv),V_DInv)/DiasMes+(AH$249+AH$250+AH$251+AH$252)*V_DPT/DiasMes))</f>
        <v>1368953.64604567</v>
      </c>
      <c r="AI266" s="34" t="n">
        <f aca="false">IF(30&gt;Fin,AH$266,IF(AND(AI$8=1,ISNUMBER(Reales!AI81)),IF(Reales!$C$81="PYG",IF(AI$10&gt;0,N(Reales!AI81)/AI$10,0),N(Reales!AI81)),AI$249*IF(AI$8=1,N(vg_DInv),V_DInv)/DiasMes+(AI$249+AI$250+AI$251+AI$252)*V_DPT/DiasMes))</f>
        <v>1368953.64604567</v>
      </c>
      <c r="AJ266" s="34" t="n">
        <f aca="false">IF(31&gt;Fin,AI$266,IF(AND(AJ$8=1,ISNUMBER(Reales!AJ81)),IF(Reales!$C$81="PYG",IF(AJ$10&gt;0,N(Reales!AJ81)/AJ$10,0),N(Reales!AJ81)),AJ$249*IF(AJ$8=1,N(vg_DInv),V_DInv)/DiasMes+(AJ$249+AJ$250+AJ$251+AJ$252)*V_DPT/DiasMes))</f>
        <v>1368953.64604567</v>
      </c>
      <c r="AK266" s="34" t="n">
        <f aca="false">IF(32&gt;Fin,AJ$266,IF(AND(AK$8=1,ISNUMBER(Reales!AK81)),IF(Reales!$C$81="PYG",IF(AK$10&gt;0,N(Reales!AK81)/AK$10,0),N(Reales!AK81)),AK$249*IF(AK$8=1,N(vg_DInv),V_DInv)/DiasMes+(AK$249+AK$250+AK$251+AK$252)*V_DPT/DiasMes))</f>
        <v>1368953.64604567</v>
      </c>
      <c r="AL266" s="34" t="n">
        <f aca="false">IF(33&gt;Fin,AK$266,IF(AND(AL$8=1,ISNUMBER(Reales!AL81)),IF(Reales!$C$81="PYG",IF(AL$10&gt;0,N(Reales!AL81)/AL$10,0),N(Reales!AL81)),AL$249*IF(AL$8=1,N(vg_DInv),V_DInv)/DiasMes+(AL$249+AL$250+AL$251+AL$252)*V_DPT/DiasMes))</f>
        <v>1368953.64604567</v>
      </c>
      <c r="AM266" s="34" t="n">
        <f aca="false">IF(34&gt;Fin,AL$266,IF(AND(AM$8=1,ISNUMBER(Reales!AM81)),IF(Reales!$C$81="PYG",IF(AM$10&gt;0,N(Reales!AM81)/AM$10,0),N(Reales!AM81)),AM$249*IF(AM$8=1,N(vg_DInv),V_DInv)/DiasMes+(AM$249+AM$250+AM$251+AM$252)*V_DPT/DiasMes))</f>
        <v>1368953.64604567</v>
      </c>
      <c r="AN266" s="34" t="n">
        <f aca="false">IF(35&gt;Fin,AM$266,IF(AND(AN$8=1,ISNUMBER(Reales!AN81)),IF(Reales!$C$81="PYG",IF(AN$10&gt;0,N(Reales!AN81)/AN$10,0),N(Reales!AN81)),AN$249*IF(AN$8=1,N(vg_DInv),V_DInv)/DiasMes+(AN$249+AN$250+AN$251+AN$252)*V_DPT/DiasMes))</f>
        <v>1368953.64604567</v>
      </c>
      <c r="AO266" s="34" t="n">
        <f aca="false">IF(36&gt;Fin,AN$266,IF(AND(AO$8=1,ISNUMBER(Reales!AO81)),IF(Reales!$C$81="PYG",IF(AO$10&gt;0,N(Reales!AO81)/AO$10,0),N(Reales!AO81)),AO$249*IF(AO$8=1,N(vg_DInv),V_DInv)/DiasMes+(AO$249+AO$250+AO$251+AO$252)*V_DPT/DiasMes))</f>
        <v>1368953.64604567</v>
      </c>
      <c r="AP266" s="34" t="n">
        <f aca="false">IF(37&gt;Fin,AO$266,IF(AND(AP$8=1,ISNUMBER(Reales!AP81)),IF(Reales!$C$81="PYG",IF(AP$10&gt;0,N(Reales!AP81)/AP$10,0),N(Reales!AP81)),AP$249*IF(AP$8=1,N(vg_DInv),V_DInv)/DiasMes+(AP$249+AP$250+AP$251+AP$252)*V_DPT/DiasMes))</f>
        <v>1566231.67971491</v>
      </c>
      <c r="AQ266" s="34" t="n">
        <f aca="false">IF(38&gt;Fin,AP$266,IF(AND(AQ$8=1,ISNUMBER(Reales!AQ81)),IF(Reales!$C$81="PYG",IF(AQ$10&gt;0,N(Reales!AQ81)/AQ$10,0),N(Reales!AQ81)),AQ$249*IF(AQ$8=1,N(vg_DInv),V_DInv)/DiasMes+(AQ$249+AQ$250+AQ$251+AQ$252)*V_DPT/DiasMes))</f>
        <v>1566231.67971491</v>
      </c>
      <c r="AR266" s="34" t="n">
        <f aca="false">IF(39&gt;Fin,AQ$266,IF(AND(AR$8=1,ISNUMBER(Reales!AR81)),IF(Reales!$C$81="PYG",IF(AR$10&gt;0,N(Reales!AR81)/AR$10,0),N(Reales!AR81)),AR$249*IF(AR$8=1,N(vg_DInv),V_DInv)/DiasMes+(AR$249+AR$250+AR$251+AR$252)*V_DPT/DiasMes))</f>
        <v>1566231.67971491</v>
      </c>
      <c r="AS266" s="34" t="n">
        <f aca="false">IF(40&gt;Fin,AR$266,IF(AND(AS$8=1,ISNUMBER(Reales!AS81)),IF(Reales!$C$81="PYG",IF(AS$10&gt;0,N(Reales!AS81)/AS$10,0),N(Reales!AS81)),AS$249*IF(AS$8=1,N(vg_DInv),V_DInv)/DiasMes+(AS$249+AS$250+AS$251+AS$252)*V_DPT/DiasMes))</f>
        <v>1566231.67971491</v>
      </c>
      <c r="AT266" s="34" t="n">
        <f aca="false">IF(41&gt;Fin,AS$266,IF(AND(AT$8=1,ISNUMBER(Reales!AT81)),IF(Reales!$C$81="PYG",IF(AT$10&gt;0,N(Reales!AT81)/AT$10,0),N(Reales!AT81)),AT$249*IF(AT$8=1,N(vg_DInv),V_DInv)/DiasMes+(AT$249+AT$250+AT$251+AT$252)*V_DPT/DiasMes))</f>
        <v>1566231.67971491</v>
      </c>
      <c r="AU266" s="34" t="n">
        <f aca="false">IF(42&gt;Fin,AT$266,IF(AND(AU$8=1,ISNUMBER(Reales!AU81)),IF(Reales!$C$81="PYG",IF(AU$10&gt;0,N(Reales!AU81)/AU$10,0),N(Reales!AU81)),AU$249*IF(AU$8=1,N(vg_DInv),V_DInv)/DiasMes+(AU$249+AU$250+AU$251+AU$252)*V_DPT/DiasMes))</f>
        <v>1566231.67971491</v>
      </c>
      <c r="AV266" s="34" t="n">
        <f aca="false">IF(43&gt;Fin,AU$266,IF(AND(AV$8=1,ISNUMBER(Reales!AV81)),IF(Reales!$C$81="PYG",IF(AV$10&gt;0,N(Reales!AV81)/AV$10,0),N(Reales!AV81)),AV$249*IF(AV$8=1,N(vg_DInv),V_DInv)/DiasMes+(AV$249+AV$250+AV$251+AV$252)*V_DPT/DiasMes))</f>
        <v>1566231.67971491</v>
      </c>
      <c r="AW266" s="34" t="n">
        <f aca="false">IF(44&gt;Fin,AV$266,IF(AND(AW$8=1,ISNUMBER(Reales!AW81)),IF(Reales!$C$81="PYG",IF(AW$10&gt;0,N(Reales!AW81)/AW$10,0),N(Reales!AW81)),AW$249*IF(AW$8=1,N(vg_DInv),V_DInv)/DiasMes+(AW$249+AW$250+AW$251+AW$252)*V_DPT/DiasMes))</f>
        <v>1566231.67971491</v>
      </c>
      <c r="AX266" s="34" t="n">
        <f aca="false">IF(45&gt;Fin,AW$266,IF(AND(AX$8=1,ISNUMBER(Reales!AX81)),IF(Reales!$C$81="PYG",IF(AX$10&gt;0,N(Reales!AX81)/AX$10,0),N(Reales!AX81)),AX$249*IF(AX$8=1,N(vg_DInv),V_DInv)/DiasMes+(AX$249+AX$250+AX$251+AX$252)*V_DPT/DiasMes))</f>
        <v>1566231.67971491</v>
      </c>
      <c r="AY266" s="34" t="n">
        <f aca="false">IF(46&gt;Fin,AX$266,IF(AND(AY$8=1,ISNUMBER(Reales!AY81)),IF(Reales!$C$81="PYG",IF(AY$10&gt;0,N(Reales!AY81)/AY$10,0),N(Reales!AY81)),AY$249*IF(AY$8=1,N(vg_DInv),V_DInv)/DiasMes+(AY$249+AY$250+AY$251+AY$252)*V_DPT/DiasMes))</f>
        <v>1566231.67971491</v>
      </c>
      <c r="AZ266" s="34" t="n">
        <f aca="false">IF(47&gt;Fin,AY$266,IF(AND(AZ$8=1,ISNUMBER(Reales!AZ81)),IF(Reales!$C$81="PYG",IF(AZ$10&gt;0,N(Reales!AZ81)/AZ$10,0),N(Reales!AZ81)),AZ$249*IF(AZ$8=1,N(vg_DInv),V_DInv)/DiasMes+(AZ$249+AZ$250+AZ$251+AZ$252)*V_DPT/DiasMes))</f>
        <v>1566231.67971491</v>
      </c>
      <c r="BA266" s="34" t="n">
        <f aca="false">IF(48&gt;Fin,AZ$266,IF(AND(BA$8=1,ISNUMBER(Reales!BA81)),IF(Reales!$C$81="PYG",IF(BA$10&gt;0,N(Reales!BA81)/BA$10,0),N(Reales!BA81)),BA$249*IF(BA$8=1,N(vg_DInv),V_DInv)/DiasMes+(BA$249+BA$250+BA$251+BA$252)*V_DPT/DiasMes))</f>
        <v>1566231.67971491</v>
      </c>
      <c r="BB266" s="34" t="n">
        <f aca="false">IF(49&gt;Fin,BA$266,IF(AND(BB$8=1,ISNUMBER(Reales!BB81)),IF(Reales!$C$81="PYG",IF(BB$10&gt;0,N(Reales!BB81)/BB$10,0),N(Reales!BB81)),BB$249*IF(BB$8=1,N(vg_DInv),V_DInv)/DiasMes+(BB$249+BB$250+BB$251+BB$252)*V_DPT/DiasMes))</f>
        <v>1576853.13578562</v>
      </c>
      <c r="BC266" s="34" t="n">
        <f aca="false">IF(50&gt;Fin,BB$266,IF(AND(BC$8=1,ISNUMBER(Reales!BC81)),IF(Reales!$C$81="PYG",IF(BC$10&gt;0,N(Reales!BC81)/BC$10,0),N(Reales!BC81)),BC$249*IF(BC$8=1,N(vg_DInv),V_DInv)/DiasMes+(BC$249+BC$250+BC$251+BC$252)*V_DPT/DiasMes))</f>
        <v>1576853.13578562</v>
      </c>
      <c r="BD266" s="34" t="n">
        <f aca="false">IF(51&gt;Fin,BC$266,IF(AND(BD$8=1,ISNUMBER(Reales!BD81)),IF(Reales!$C$81="PYG",IF(BD$10&gt;0,N(Reales!BD81)/BD$10,0),N(Reales!BD81)),BD$249*IF(BD$8=1,N(vg_DInv),V_DInv)/DiasMes+(BD$249+BD$250+BD$251+BD$252)*V_DPT/DiasMes))</f>
        <v>1576853.13578562</v>
      </c>
      <c r="BE266" s="34" t="n">
        <f aca="false">IF(52&gt;Fin,BD$266,IF(AND(BE$8=1,ISNUMBER(Reales!BE81)),IF(Reales!$C$81="PYG",IF(BE$10&gt;0,N(Reales!BE81)/BE$10,0),N(Reales!BE81)),BE$249*IF(BE$8=1,N(vg_DInv),V_DInv)/DiasMes+(BE$249+BE$250+BE$251+BE$252)*V_DPT/DiasMes))</f>
        <v>1576853.13578562</v>
      </c>
      <c r="BF266" s="34" t="n">
        <f aca="false">IF(53&gt;Fin,BE$266,IF(AND(BF$8=1,ISNUMBER(Reales!BF81)),IF(Reales!$C$81="PYG",IF(BF$10&gt;0,N(Reales!BF81)/BF$10,0),N(Reales!BF81)),BF$249*IF(BF$8=1,N(vg_DInv),V_DInv)/DiasMes+(BF$249+BF$250+BF$251+BF$252)*V_DPT/DiasMes))</f>
        <v>1576853.13578562</v>
      </c>
      <c r="BG266" s="34" t="n">
        <f aca="false">IF(54&gt;Fin,BF$266,IF(AND(BG$8=1,ISNUMBER(Reales!BG81)),IF(Reales!$C$81="PYG",IF(BG$10&gt;0,N(Reales!BG81)/BG$10,0),N(Reales!BG81)),BG$249*IF(BG$8=1,N(vg_DInv),V_DInv)/DiasMes+(BG$249+BG$250+BG$251+BG$252)*V_DPT/DiasMes))</f>
        <v>1576853.13578562</v>
      </c>
      <c r="BH266" s="34" t="n">
        <f aca="false">IF(55&gt;Fin,BG$266,IF(AND(BH$8=1,ISNUMBER(Reales!BH81)),IF(Reales!$C$81="PYG",IF(BH$10&gt;0,N(Reales!BH81)/BH$10,0),N(Reales!BH81)),BH$249*IF(BH$8=1,N(vg_DInv),V_DInv)/DiasMes+(BH$249+BH$250+BH$251+BH$252)*V_DPT/DiasMes))</f>
        <v>1576853.13578562</v>
      </c>
      <c r="BI266" s="34" t="n">
        <f aca="false">IF(56&gt;Fin,BH$266,IF(AND(BI$8=1,ISNUMBER(Reales!BI81)),IF(Reales!$C$81="PYG",IF(BI$10&gt;0,N(Reales!BI81)/BI$10,0),N(Reales!BI81)),BI$249*IF(BI$8=1,N(vg_DInv),V_DInv)/DiasMes+(BI$249+BI$250+BI$251+BI$252)*V_DPT/DiasMes))</f>
        <v>1576853.13578562</v>
      </c>
      <c r="BJ266" s="34" t="n">
        <f aca="false">IF(57&gt;Fin,BI$266,IF(AND(BJ$8=1,ISNUMBER(Reales!BJ81)),IF(Reales!$C$81="PYG",IF(BJ$10&gt;0,N(Reales!BJ81)/BJ$10,0),N(Reales!BJ81)),BJ$249*IF(BJ$8=1,N(vg_DInv),V_DInv)/DiasMes+(BJ$249+BJ$250+BJ$251+BJ$252)*V_DPT/DiasMes))</f>
        <v>1576853.13578562</v>
      </c>
      <c r="BK266" s="34" t="n">
        <f aca="false">IF(58&gt;Fin,BJ$266,IF(AND(BK$8=1,ISNUMBER(Reales!BK81)),IF(Reales!$C$81="PYG",IF(BK$10&gt;0,N(Reales!BK81)/BK$10,0),N(Reales!BK81)),BK$249*IF(BK$8=1,N(vg_DInv),V_DInv)/DiasMes+(BK$249+BK$250+BK$251+BK$252)*V_DPT/DiasMes))</f>
        <v>1576853.13578562</v>
      </c>
      <c r="BL266" s="34" t="n">
        <f aca="false">IF(59&gt;Fin,BK$266,IF(AND(BL$8=1,ISNUMBER(Reales!BL81)),IF(Reales!$C$81="PYG",IF(BL$10&gt;0,N(Reales!BL81)/BL$10,0),N(Reales!BL81)),BL$249*IF(BL$8=1,N(vg_DInv),V_DInv)/DiasMes+(BL$249+BL$250+BL$251+BL$252)*V_DPT/DiasMes))</f>
        <v>1576853.13578562</v>
      </c>
      <c r="BM266" s="34" t="n">
        <f aca="false">IF(60&gt;Fin,BL$266,IF(AND(BM$8=1,ISNUMBER(Reales!BM81)),IF(Reales!$C$81="PYG",IF(BM$10&gt;0,N(Reales!BM81)/BM$10,0),N(Reales!BM81)),BM$249*IF(BM$8=1,N(vg_DInv),V_DInv)/DiasMes+(BM$249+BM$250+BM$251+BM$252)*V_DPT/DiasMes))</f>
        <v>1576853.13578562</v>
      </c>
      <c r="BN266" s="34" t="n">
        <f aca="false">IF(61&gt;Fin,BM$266,IF(AND(BN$8=1,ISNUMBER(Reales!BN81)),IF(Reales!$C$81="PYG",IF(BN$10&gt;0,N(Reales!BN81)/BN$10,0),N(Reales!BN81)),BN$249*IF(BN$8=1,N(vg_DInv),V_DInv)/DiasMes+(BN$249+BN$250+BN$251+BN$252)*V_DPT/DiasMes))</f>
        <v>1586671.38637398</v>
      </c>
      <c r="BO266" s="34" t="n">
        <f aca="false">IF(62&gt;Fin,BN$266,IF(AND(BO$8=1,ISNUMBER(Reales!BO81)),IF(Reales!$C$81="PYG",IF(BO$10&gt;0,N(Reales!BO81)/BO$10,0),N(Reales!BO81)),BO$249*IF(BO$8=1,N(vg_DInv),V_DInv)/DiasMes+(BO$249+BO$250+BO$251+BO$252)*V_DPT/DiasMes))</f>
        <v>1586671.38637398</v>
      </c>
      <c r="BP266" s="34" t="n">
        <f aca="false">IF(63&gt;Fin,BO$266,IF(AND(BP$8=1,ISNUMBER(Reales!BP81)),IF(Reales!$C$81="PYG",IF(BP$10&gt;0,N(Reales!BP81)/BP$10,0),N(Reales!BP81)),BP$249*IF(BP$8=1,N(vg_DInv),V_DInv)/DiasMes+(BP$249+BP$250+BP$251+BP$252)*V_DPT/DiasMes))</f>
        <v>1586671.38637398</v>
      </c>
      <c r="BQ266" s="34" t="n">
        <f aca="false">IF(64&gt;Fin,BP$266,IF(AND(BQ$8=1,ISNUMBER(Reales!BQ81)),IF(Reales!$C$81="PYG",IF(BQ$10&gt;0,N(Reales!BQ81)/BQ$10,0),N(Reales!BQ81)),BQ$249*IF(BQ$8=1,N(vg_DInv),V_DInv)/DiasMes+(BQ$249+BQ$250+BQ$251+BQ$252)*V_DPT/DiasMes))</f>
        <v>1586671.38637398</v>
      </c>
      <c r="BR266" s="34" t="n">
        <f aca="false">IF(65&gt;Fin,BQ$266,IF(AND(BR$8=1,ISNUMBER(Reales!BR81)),IF(Reales!$C$81="PYG",IF(BR$10&gt;0,N(Reales!BR81)/BR$10,0),N(Reales!BR81)),BR$249*IF(BR$8=1,N(vg_DInv),V_DInv)/DiasMes+(BR$249+BR$250+BR$251+BR$252)*V_DPT/DiasMes))</f>
        <v>1586671.38637398</v>
      </c>
      <c r="BS266" s="34" t="n">
        <f aca="false">IF(66&gt;Fin,BR$266,IF(AND(BS$8=1,ISNUMBER(Reales!BS81)),IF(Reales!$C$81="PYG",IF(BS$10&gt;0,N(Reales!BS81)/BS$10,0),N(Reales!BS81)),BS$249*IF(BS$8=1,N(vg_DInv),V_DInv)/DiasMes+(BS$249+BS$250+BS$251+BS$252)*V_DPT/DiasMes))</f>
        <v>1586671.38637398</v>
      </c>
      <c r="BT266" s="34" t="n">
        <f aca="false">IF(67&gt;Fin,BS$266,IF(AND(BT$8=1,ISNUMBER(Reales!BT81)),IF(Reales!$C$81="PYG",IF(BT$10&gt;0,N(Reales!BT81)/BT$10,0),N(Reales!BT81)),BT$249*IF(BT$8=1,N(vg_DInv),V_DInv)/DiasMes+(BT$249+BT$250+BT$251+BT$252)*V_DPT/DiasMes))</f>
        <v>1586671.38637398</v>
      </c>
      <c r="BU266" s="34" t="n">
        <f aca="false">IF(68&gt;Fin,BT$266,IF(AND(BU$8=1,ISNUMBER(Reales!BU81)),IF(Reales!$C$81="PYG",IF(BU$10&gt;0,N(Reales!BU81)/BU$10,0),N(Reales!BU81)),BU$249*IF(BU$8=1,N(vg_DInv),V_DInv)/DiasMes+(BU$249+BU$250+BU$251+BU$252)*V_DPT/DiasMes))</f>
        <v>1586671.38637398</v>
      </c>
      <c r="BV266" s="34" t="n">
        <f aca="false">IF(69&gt;Fin,BU$266,IF(AND(BV$8=1,ISNUMBER(Reales!BV81)),IF(Reales!$C$81="PYG",IF(BV$10&gt;0,N(Reales!BV81)/BV$10,0),N(Reales!BV81)),BV$249*IF(BV$8=1,N(vg_DInv),V_DInv)/DiasMes+(BV$249+BV$250+BV$251+BV$252)*V_DPT/DiasMes))</f>
        <v>1586671.38637398</v>
      </c>
      <c r="BW266" s="34" t="n">
        <f aca="false">IF(70&gt;Fin,BV$266,IF(AND(BW$8=1,ISNUMBER(Reales!BW81)),IF(Reales!$C$81="PYG",IF(BW$10&gt;0,N(Reales!BW81)/BW$10,0),N(Reales!BW81)),BW$249*IF(BW$8=1,N(vg_DInv),V_DInv)/DiasMes+(BW$249+BW$250+BW$251+BW$252)*V_DPT/DiasMes))</f>
        <v>1586671.38637398</v>
      </c>
      <c r="BX266" s="34" t="n">
        <f aca="false">IF(71&gt;Fin,BW$266,IF(AND(BX$8=1,ISNUMBER(Reales!BX81)),IF(Reales!$C$81="PYG",IF(BX$10&gt;0,N(Reales!BX81)/BX$10,0),N(Reales!BX81)),BX$249*IF(BX$8=1,N(vg_DInv),V_DInv)/DiasMes+(BX$249+BX$250+BX$251+BX$252)*V_DPT/DiasMes))</f>
        <v>1586671.38637398</v>
      </c>
      <c r="BY266" s="34" t="n">
        <f aca="false">IF(72&gt;Fin,BX$266,IF(AND(BY$8=1,ISNUMBER(Reales!BY81)),IF(Reales!$C$81="PYG",IF(BY$10&gt;0,N(Reales!BY81)/BY$10,0),N(Reales!BY81)),BY$249*IF(BY$8=1,N(vg_DInv),V_DInv)/DiasMes+(BY$249+BY$250+BY$251+BY$252)*V_DPT/DiasMes))</f>
        <v>1586671.38637398</v>
      </c>
      <c r="BZ266" s="34" t="n">
        <f aca="false">IF(73&gt;Fin,BY$266,IF(AND(BZ$8=1,ISNUMBER(Reales!BZ81)),IF(Reales!$C$81="PYG",IF(BZ$10&gt;0,N(Reales!BZ81)/BZ$10,0),N(Reales!BZ81)),BZ$249*IF(BZ$8=1,N(vg_DInv),V_DInv)/DiasMes+(BZ$249+BZ$250+BZ$251+BZ$252)*V_DPT/DiasMes))</f>
        <v>1596588.00448074</v>
      </c>
      <c r="CA266" s="34" t="n">
        <f aca="false">IF(74&gt;Fin,BZ$266,IF(AND(CA$8=1,ISNUMBER(Reales!CA81)),IF(Reales!$C$81="PYG",IF(CA$10&gt;0,N(Reales!CA81)/CA$10,0),N(Reales!CA81)),CA$249*IF(CA$8=1,N(vg_DInv),V_DInv)/DiasMes+(CA$249+CA$250+CA$251+CA$252)*V_DPT/DiasMes))</f>
        <v>1596588.00448074</v>
      </c>
      <c r="CB266" s="34" t="n">
        <f aca="false">IF(75&gt;Fin,CA$266,IF(AND(CB$8=1,ISNUMBER(Reales!CB81)),IF(Reales!$C$81="PYG",IF(CB$10&gt;0,N(Reales!CB81)/CB$10,0),N(Reales!CB81)),CB$249*IF(CB$8=1,N(vg_DInv),V_DInv)/DiasMes+(CB$249+CB$250+CB$251+CB$252)*V_DPT/DiasMes))</f>
        <v>1596588.00448074</v>
      </c>
      <c r="CC266" s="34" t="n">
        <f aca="false">IF(76&gt;Fin,CB$266,IF(AND(CC$8=1,ISNUMBER(Reales!CC81)),IF(Reales!$C$81="PYG",IF(CC$10&gt;0,N(Reales!CC81)/CC$10,0),N(Reales!CC81)),CC$249*IF(CC$8=1,N(vg_DInv),V_DInv)/DiasMes+(CC$249+CC$250+CC$251+CC$252)*V_DPT/DiasMes))</f>
        <v>1596588.00448074</v>
      </c>
      <c r="CD266" s="34" t="n">
        <f aca="false">IF(77&gt;Fin,CC$266,IF(AND(CD$8=1,ISNUMBER(Reales!CD81)),IF(Reales!$C$81="PYG",IF(CD$10&gt;0,N(Reales!CD81)/CD$10,0),N(Reales!CD81)),CD$249*IF(CD$8=1,N(vg_DInv),V_DInv)/DiasMes+(CD$249+CD$250+CD$251+CD$252)*V_DPT/DiasMes))</f>
        <v>1596588.00448074</v>
      </c>
      <c r="CE266" s="34" t="n">
        <f aca="false">IF(78&gt;Fin,CD$266,IF(AND(CE$8=1,ISNUMBER(Reales!CE81)),IF(Reales!$C$81="PYG",IF(CE$10&gt;0,N(Reales!CE81)/CE$10,0),N(Reales!CE81)),CE$249*IF(CE$8=1,N(vg_DInv),V_DInv)/DiasMes+(CE$249+CE$250+CE$251+CE$252)*V_DPT/DiasMes))</f>
        <v>1596588.00448074</v>
      </c>
      <c r="CF266" s="34" t="n">
        <f aca="false">IF(79&gt;Fin,CE$266,IF(AND(CF$8=1,ISNUMBER(Reales!CF81)),IF(Reales!$C$81="PYG",IF(CF$10&gt;0,N(Reales!CF81)/CF$10,0),N(Reales!CF81)),CF$249*IF(CF$8=1,N(vg_DInv),V_DInv)/DiasMes+(CF$249+CF$250+CF$251+CF$252)*V_DPT/DiasMes))</f>
        <v>1596588.00448074</v>
      </c>
      <c r="CG266" s="34" t="n">
        <f aca="false">IF(80&gt;Fin,CF$266,IF(AND(CG$8=1,ISNUMBER(Reales!CG81)),IF(Reales!$C$81="PYG",IF(CG$10&gt;0,N(Reales!CG81)/CG$10,0),N(Reales!CG81)),CG$249*IF(CG$8=1,N(vg_DInv),V_DInv)/DiasMes+(CG$249+CG$250+CG$251+CG$252)*V_DPT/DiasMes))</f>
        <v>1596588.00448074</v>
      </c>
      <c r="CH266" s="34" t="n">
        <f aca="false">IF(81&gt;Fin,CG$266,IF(AND(CH$8=1,ISNUMBER(Reales!CH81)),IF(Reales!$C$81="PYG",IF(CH$10&gt;0,N(Reales!CH81)/CH$10,0),N(Reales!CH81)),CH$249*IF(CH$8=1,N(vg_DInv),V_DInv)/DiasMes+(CH$249+CH$250+CH$251+CH$252)*V_DPT/DiasMes))</f>
        <v>1596588.00448074</v>
      </c>
      <c r="CI266" s="34" t="n">
        <f aca="false">IF(82&gt;Fin,CH$266,IF(AND(CI$8=1,ISNUMBER(Reales!CI81)),IF(Reales!$C$81="PYG",IF(CI$10&gt;0,N(Reales!CI81)/CI$10,0),N(Reales!CI81)),CI$249*IF(CI$8=1,N(vg_DInv),V_DInv)/DiasMes+(CI$249+CI$250+CI$251+CI$252)*V_DPT/DiasMes))</f>
        <v>1596588.00448074</v>
      </c>
      <c r="CJ266" s="34" t="n">
        <f aca="false">IF(83&gt;Fin,CI$266,IF(AND(CJ$8=1,ISNUMBER(Reales!CJ81)),IF(Reales!$C$81="PYG",IF(CJ$10&gt;0,N(Reales!CJ81)/CJ$10,0),N(Reales!CJ81)),CJ$249*IF(CJ$8=1,N(vg_DInv),V_DInv)/DiasMes+(CJ$249+CJ$250+CJ$251+CJ$252)*V_DPT/DiasMes))</f>
        <v>1596588.00448074</v>
      </c>
      <c r="CK266" s="34" t="n">
        <f aca="false">IF(84&gt;Fin,CJ$266,IF(AND(CK$8=1,ISNUMBER(Reales!CK81)),IF(Reales!$C$81="PYG",IF(CK$10&gt;0,N(Reales!CK81)/CK$10,0),N(Reales!CK81)),CK$249*IF(CK$8=1,N(vg_DInv),V_DInv)/DiasMes+(CK$249+CK$250+CK$251+CK$252)*V_DPT/DiasMes))</f>
        <v>1596588.00448074</v>
      </c>
      <c r="CL266" s="34" t="n">
        <f aca="false">IF(85&gt;Fin,CK$266,IF(AND(CL$8=1,ISNUMBER(Reales!CL81)),IF(Reales!$C$81="PYG",IF(CL$10&gt;0,N(Reales!CL81)/CL$10,0),N(Reales!CL81)),CL$249*IF(CL$8=1,N(vg_DInv),V_DInv)/DiasMes+(CL$249+CL$250+CL$251+CL$252)*V_DPT/DiasMes))</f>
        <v>1606603.97748134</v>
      </c>
      <c r="CM266" s="34" t="n">
        <f aca="false">IF(86&gt;Fin,CL$266,IF(AND(CM$8=1,ISNUMBER(Reales!CM81)),IF(Reales!$C$81="PYG",IF(CM$10&gt;0,N(Reales!CM81)/CM$10,0),N(Reales!CM81)),CM$249*IF(CM$8=1,N(vg_DInv),V_DInv)/DiasMes+(CM$249+CM$250+CM$251+CM$252)*V_DPT/DiasMes))</f>
        <v>1606603.97748134</v>
      </c>
      <c r="CN266" s="34" t="n">
        <f aca="false">IF(87&gt;Fin,CM$266,IF(AND(CN$8=1,ISNUMBER(Reales!CN81)),IF(Reales!$C$81="PYG",IF(CN$10&gt;0,N(Reales!CN81)/CN$10,0),N(Reales!CN81)),CN$249*IF(CN$8=1,N(vg_DInv),V_DInv)/DiasMes+(CN$249+CN$250+CN$251+CN$252)*V_DPT/DiasMes))</f>
        <v>1606603.97748134</v>
      </c>
      <c r="CO266" s="34" t="n">
        <f aca="false">IF(88&gt;Fin,CN$266,IF(AND(CO$8=1,ISNUMBER(Reales!CO81)),IF(Reales!$C$81="PYG",IF(CO$10&gt;0,N(Reales!CO81)/CO$10,0),N(Reales!CO81)),CO$249*IF(CO$8=1,N(vg_DInv),V_DInv)/DiasMes+(CO$249+CO$250+CO$251+CO$252)*V_DPT/DiasMes))</f>
        <v>1606603.97748134</v>
      </c>
      <c r="CP266" s="34" t="n">
        <f aca="false">IF(89&gt;Fin,CO$266,IF(AND(CP$8=1,ISNUMBER(Reales!CP81)),IF(Reales!$C$81="PYG",IF(CP$10&gt;0,N(Reales!CP81)/CP$10,0),N(Reales!CP81)),CP$249*IF(CP$8=1,N(vg_DInv),V_DInv)/DiasMes+(CP$249+CP$250+CP$251+CP$252)*V_DPT/DiasMes))</f>
        <v>1606603.97748134</v>
      </c>
      <c r="CQ266" s="34" t="n">
        <f aca="false">IF(90&gt;Fin,CP$266,IF(AND(CQ$8=1,ISNUMBER(Reales!CQ81)),IF(Reales!$C$81="PYG",IF(CQ$10&gt;0,N(Reales!CQ81)/CQ$10,0),N(Reales!CQ81)),CQ$249*IF(CQ$8=1,N(vg_DInv),V_DInv)/DiasMes+(CQ$249+CQ$250+CQ$251+CQ$252)*V_DPT/DiasMes))</f>
        <v>1606603.97748134</v>
      </c>
      <c r="CR266" s="34" t="n">
        <f aca="false">IF(91&gt;Fin,CQ$266,IF(AND(CR$8=1,ISNUMBER(Reales!CR81)),IF(Reales!$C$81="PYG",IF(CR$10&gt;0,N(Reales!CR81)/CR$10,0),N(Reales!CR81)),CR$249*IF(CR$8=1,N(vg_DInv),V_DInv)/DiasMes+(CR$249+CR$250+CR$251+CR$252)*V_DPT/DiasMes))</f>
        <v>1606603.97748134</v>
      </c>
      <c r="CS266" s="34" t="n">
        <f aca="false">IF(92&gt;Fin,CR$266,IF(AND(CS$8=1,ISNUMBER(Reales!CS81)),IF(Reales!$C$81="PYG",IF(CS$10&gt;0,N(Reales!CS81)/CS$10,0),N(Reales!CS81)),CS$249*IF(CS$8=1,N(vg_DInv),V_DInv)/DiasMes+(CS$249+CS$250+CS$251+CS$252)*V_DPT/DiasMes))</f>
        <v>1606603.97748134</v>
      </c>
      <c r="CT266" s="34" t="n">
        <f aca="false">IF(93&gt;Fin,CS$266,IF(AND(CT$8=1,ISNUMBER(Reales!CT81)),IF(Reales!$C$81="PYG",IF(CT$10&gt;0,N(Reales!CT81)/CT$10,0),N(Reales!CT81)),CT$249*IF(CT$8=1,N(vg_DInv),V_DInv)/DiasMes+(CT$249+CT$250+CT$251+CT$252)*V_DPT/DiasMes))</f>
        <v>1606603.97748134</v>
      </c>
      <c r="CU266" s="34" t="n">
        <f aca="false">IF(94&gt;Fin,CT$266,IF(AND(CU$8=1,ISNUMBER(Reales!CU81)),IF(Reales!$C$81="PYG",IF(CU$10&gt;0,N(Reales!CU81)/CU$10,0),N(Reales!CU81)),CU$249*IF(CU$8=1,N(vg_DInv),V_DInv)/DiasMes+(CU$249+CU$250+CU$251+CU$252)*V_DPT/DiasMes))</f>
        <v>1606603.97748134</v>
      </c>
      <c r="CV266" s="34" t="n">
        <f aca="false">IF(95&gt;Fin,CU$266,IF(AND(CV$8=1,ISNUMBER(Reales!CV81)),IF(Reales!$C$81="PYG",IF(CV$10&gt;0,N(Reales!CV81)/CV$10,0),N(Reales!CV81)),CV$249*IF(CV$8=1,N(vg_DInv),V_DInv)/DiasMes+(CV$249+CV$250+CV$251+CV$252)*V_DPT/DiasMes))</f>
        <v>1606603.97748134</v>
      </c>
      <c r="CW266" s="34" t="n">
        <f aca="false">IF(96&gt;Fin,CV$266,IF(AND(CW$8=1,ISNUMBER(Reales!CW81)),IF(Reales!$C$81="PYG",IF(CW$10&gt;0,N(Reales!CW81)/CW$10,0),N(Reales!CW81)),CW$249*IF(CW$8=1,N(vg_DInv),V_DInv)/DiasMes+(CW$249+CW$250+CW$251+CW$252)*V_DPT/DiasMes))</f>
        <v>1606603.97748134</v>
      </c>
      <c r="CX266" s="34" t="n">
        <f aca="false">IF(97&gt;Fin,CW$266,IF(AND(CX$8=1,ISNUMBER(Reales!CX81)),IF(Reales!$C$81="PYG",IF(CX$10&gt;0,N(Reales!CX81)/CX$10,0),N(Reales!CX81)),CX$249*IF(CX$8=1,N(vg_DInv),V_DInv)/DiasMes+(CX$249+CX$250+CX$251+CX$252)*V_DPT/DiasMes))</f>
        <v>1616720.30269897</v>
      </c>
      <c r="CY266" s="34" t="n">
        <f aca="false">IF(98&gt;Fin,CX$266,IF(AND(CY$8=1,ISNUMBER(Reales!CY81)),IF(Reales!$C$81="PYG",IF(CY$10&gt;0,N(Reales!CY81)/CY$10,0),N(Reales!CY81)),CY$249*IF(CY$8=1,N(vg_DInv),V_DInv)/DiasMes+(CY$249+CY$250+CY$251+CY$252)*V_DPT/DiasMes))</f>
        <v>1616720.30269897</v>
      </c>
      <c r="CZ266" s="34" t="n">
        <f aca="false">IF(99&gt;Fin,CY$266,IF(AND(CZ$8=1,ISNUMBER(Reales!CZ81)),IF(Reales!$C$81="PYG",IF(CZ$10&gt;0,N(Reales!CZ81)/CZ$10,0),N(Reales!CZ81)),CZ$249*IF(CZ$8=1,N(vg_DInv),V_DInv)/DiasMes+(CZ$249+CZ$250+CZ$251+CZ$252)*V_DPT/DiasMes))</f>
        <v>1616720.30269897</v>
      </c>
      <c r="DA266" s="34" t="n">
        <f aca="false">IF(100&gt;Fin,CZ$266,IF(AND(DA$8=1,ISNUMBER(Reales!DA81)),IF(Reales!$C$81="PYG",IF(DA$10&gt;0,N(Reales!DA81)/DA$10,0),N(Reales!DA81)),DA$249*IF(DA$8=1,N(vg_DInv),V_DInv)/DiasMes+(DA$249+DA$250+DA$251+DA$252)*V_DPT/DiasMes))</f>
        <v>1616720.30269897</v>
      </c>
      <c r="DB266" s="34" t="n">
        <f aca="false">IF(101&gt;Fin,DA$266,IF(AND(DB$8=1,ISNUMBER(Reales!DB81)),IF(Reales!$C$81="PYG",IF(DB$10&gt;0,N(Reales!DB81)/DB$10,0),N(Reales!DB81)),DB$249*IF(DB$8=1,N(vg_DInv),V_DInv)/DiasMes+(DB$249+DB$250+DB$251+DB$252)*V_DPT/DiasMes))</f>
        <v>1616720.30269897</v>
      </c>
      <c r="DC266" s="34" t="n">
        <f aca="false">IF(102&gt;Fin,DB$266,IF(AND(DC$8=1,ISNUMBER(Reales!DC81)),IF(Reales!$C$81="PYG",IF(DC$10&gt;0,N(Reales!DC81)/DC$10,0),N(Reales!DC81)),DC$249*IF(DC$8=1,N(vg_DInv),V_DInv)/DiasMes+(DC$249+DC$250+DC$251+DC$252)*V_DPT/DiasMes))</f>
        <v>1616720.30269897</v>
      </c>
      <c r="DD266" s="34" t="n">
        <f aca="false">IF(103&gt;Fin,DC$266,IF(AND(DD$8=1,ISNUMBER(Reales!DD81)),IF(Reales!$C$81="PYG",IF(DD$10&gt;0,N(Reales!DD81)/DD$10,0),N(Reales!DD81)),DD$249*IF(DD$8=1,N(vg_DInv),V_DInv)/DiasMes+(DD$249+DD$250+DD$251+DD$252)*V_DPT/DiasMes))</f>
        <v>1616720.30269897</v>
      </c>
      <c r="DE266" s="34" t="n">
        <f aca="false">IF(104&gt;Fin,DD$266,IF(AND(DE$8=1,ISNUMBER(Reales!DE81)),IF(Reales!$C$81="PYG",IF(DE$10&gt;0,N(Reales!DE81)/DE$10,0),N(Reales!DE81)),DE$249*IF(DE$8=1,N(vg_DInv),V_DInv)/DiasMes+(DE$249+DE$250+DE$251+DE$252)*V_DPT/DiasMes))</f>
        <v>1616720.30269897</v>
      </c>
      <c r="DF266" s="34" t="n">
        <f aca="false">IF(105&gt;Fin,DE$266,IF(AND(DF$8=1,ISNUMBER(Reales!DF81)),IF(Reales!$C$81="PYG",IF(DF$10&gt;0,N(Reales!DF81)/DF$10,0),N(Reales!DF81)),DF$249*IF(DF$8=1,N(vg_DInv),V_DInv)/DiasMes+(DF$249+DF$250+DF$251+DF$252)*V_DPT/DiasMes))</f>
        <v>1616720.30269897</v>
      </c>
      <c r="DG266" s="34" t="n">
        <f aca="false">IF(106&gt;Fin,DF$266,IF(AND(DG$8=1,ISNUMBER(Reales!DG81)),IF(Reales!$C$81="PYG",IF(DG$10&gt;0,N(Reales!DG81)/DG$10,0),N(Reales!DG81)),DG$249*IF(DG$8=1,N(vg_DInv),V_DInv)/DiasMes+(DG$249+DG$250+DG$251+DG$252)*V_DPT/DiasMes))</f>
        <v>1616720.30269897</v>
      </c>
      <c r="DH266" s="34" t="n">
        <f aca="false">IF(107&gt;Fin,DG$266,IF(AND(DH$8=1,ISNUMBER(Reales!DH81)),IF(Reales!$C$81="PYG",IF(DH$10&gt;0,N(Reales!DH81)/DH$10,0),N(Reales!DH81)),DH$249*IF(DH$8=1,N(vg_DInv),V_DInv)/DiasMes+(DH$249+DH$250+DH$251+DH$252)*V_DPT/DiasMes))</f>
        <v>1616720.30269897</v>
      </c>
      <c r="DI266" s="34" t="n">
        <f aca="false">IF(108&gt;Fin,DH$266,IF(AND(DI$8=1,ISNUMBER(Reales!DI81)),IF(Reales!$C$81="PYG",IF(DI$10&gt;0,N(Reales!DI81)/DI$10,0),N(Reales!DI81)),DI$249*IF(DI$8=1,N(vg_DInv),V_DInv)/DiasMes+(DI$249+DI$250+DI$251+DI$252)*V_DPT/DiasMes))</f>
        <v>1616720.30269897</v>
      </c>
      <c r="DJ266" s="34" t="n">
        <f aca="false">IF(109&gt;Fin,DI$266,IF(AND(DJ$8=1,ISNUMBER(Reales!DJ81)),IF(Reales!$C$81="PYG",IF(DJ$10&gt;0,N(Reales!DJ81)/DJ$10,0),N(Reales!DJ81)),DJ$249*IF(DJ$8=1,N(vg_DInv),V_DInv)/DiasMes+(DJ$249+DJ$250+DJ$251+DJ$252)*V_DPT/DiasMes))</f>
        <v>1626937.98750554</v>
      </c>
      <c r="DK266" s="34" t="n">
        <f aca="false">IF(110&gt;Fin,DJ$266,IF(AND(DK$8=1,ISNUMBER(Reales!DK81)),IF(Reales!$C$81="PYG",IF(DK$10&gt;0,N(Reales!DK81)/DK$10,0),N(Reales!DK81)),DK$249*IF(DK$8=1,N(vg_DInv),V_DInv)/DiasMes+(DK$249+DK$250+DK$251+DK$252)*V_DPT/DiasMes))</f>
        <v>1626937.98750554</v>
      </c>
      <c r="DL266" s="34" t="n">
        <f aca="false">IF(111&gt;Fin,DK$266,IF(AND(DL$8=1,ISNUMBER(Reales!DL81)),IF(Reales!$C$81="PYG",IF(DL$10&gt;0,N(Reales!DL81)/DL$10,0),N(Reales!DL81)),DL$249*IF(DL$8=1,N(vg_DInv),V_DInv)/DiasMes+(DL$249+DL$250+DL$251+DL$252)*V_DPT/DiasMes))</f>
        <v>1626937.98750554</v>
      </c>
      <c r="DM266" s="34" t="n">
        <f aca="false">IF(112&gt;Fin,DL$266,IF(AND(DM$8=1,ISNUMBER(Reales!DM81)),IF(Reales!$C$81="PYG",IF(DM$10&gt;0,N(Reales!DM81)/DM$10,0),N(Reales!DM81)),DM$249*IF(DM$8=1,N(vg_DInv),V_DInv)/DiasMes+(DM$249+DM$250+DM$251+DM$252)*V_DPT/DiasMes))</f>
        <v>1626937.98750554</v>
      </c>
      <c r="DN266" s="34" t="n">
        <f aca="false">IF(113&gt;Fin,DM$266,IF(AND(DN$8=1,ISNUMBER(Reales!DN81)),IF(Reales!$C$81="PYG",IF(DN$10&gt;0,N(Reales!DN81)/DN$10,0),N(Reales!DN81)),DN$249*IF(DN$8=1,N(vg_DInv),V_DInv)/DiasMes+(DN$249+DN$250+DN$251+DN$252)*V_DPT/DiasMes))</f>
        <v>1626937.98750554</v>
      </c>
      <c r="DO266" s="34" t="n">
        <f aca="false">IF(114&gt;Fin,DN$266,IF(AND(DO$8=1,ISNUMBER(Reales!DO81)),IF(Reales!$C$81="PYG",IF(DO$10&gt;0,N(Reales!DO81)/DO$10,0),N(Reales!DO81)),DO$249*IF(DO$8=1,N(vg_DInv),V_DInv)/DiasMes+(DO$249+DO$250+DO$251+DO$252)*V_DPT/DiasMes))</f>
        <v>1626937.98750554</v>
      </c>
      <c r="DP266" s="34" t="n">
        <f aca="false">IF(115&gt;Fin,DO$266,IF(AND(DP$8=1,ISNUMBER(Reales!DP81)),IF(Reales!$C$81="PYG",IF(DP$10&gt;0,N(Reales!DP81)/DP$10,0),N(Reales!DP81)),DP$249*IF(DP$8=1,N(vg_DInv),V_DInv)/DiasMes+(DP$249+DP$250+DP$251+DP$252)*V_DPT/DiasMes))</f>
        <v>1626937.98750554</v>
      </c>
      <c r="DQ266" s="34" t="n">
        <f aca="false">IF(116&gt;Fin,DP$266,IF(AND(DQ$8=1,ISNUMBER(Reales!DQ81)),IF(Reales!$C$81="PYG",IF(DQ$10&gt;0,N(Reales!DQ81)/DQ$10,0),N(Reales!DQ81)),DQ$249*IF(DQ$8=1,N(vg_DInv),V_DInv)/DiasMes+(DQ$249+DQ$250+DQ$251+DQ$252)*V_DPT/DiasMes))</f>
        <v>1626937.98750554</v>
      </c>
      <c r="DR266" s="34" t="n">
        <f aca="false">IF(117&gt;Fin,DQ$266,IF(AND(DR$8=1,ISNUMBER(Reales!DR81)),IF(Reales!$C$81="PYG",IF(DR$10&gt;0,N(Reales!DR81)/DR$10,0),N(Reales!DR81)),DR$249*IF(DR$8=1,N(vg_DInv),V_DInv)/DiasMes+(DR$249+DR$250+DR$251+DR$252)*V_DPT/DiasMes))</f>
        <v>1626937.98750554</v>
      </c>
      <c r="DS266" s="34" t="n">
        <f aca="false">IF(118&gt;Fin,DR$266,IF(AND(DS$8=1,ISNUMBER(Reales!DS81)),IF(Reales!$C$81="PYG",IF(DS$10&gt;0,N(Reales!DS81)/DS$10,0),N(Reales!DS81)),DS$249*IF(DS$8=1,N(vg_DInv),V_DInv)/DiasMes+(DS$249+DS$250+DS$251+DS$252)*V_DPT/DiasMes))</f>
        <v>1626937.98750554</v>
      </c>
      <c r="DT266" s="34" t="n">
        <f aca="false">IF(119&gt;Fin,DS$266,IF(AND(DT$8=1,ISNUMBER(Reales!DT81)),IF(Reales!$C$81="PYG",IF(DT$10&gt;0,N(Reales!DT81)/DT$10,0),N(Reales!DT81)),DT$249*IF(DT$8=1,N(vg_DInv),V_DInv)/DiasMes+(DT$249+DT$250+DT$251+DT$252)*V_DPT/DiasMes))</f>
        <v>1626937.98750554</v>
      </c>
      <c r="DU266" s="34" t="n">
        <f aca="false">IF(120&gt;Fin,DT$266,IF(AND(DU$8=1,ISNUMBER(Reales!DU81)),IF(Reales!$C$81="PYG",IF(DU$10&gt;0,N(Reales!DU81)/DU$10,0),N(Reales!DU81)),DU$249*IF(DU$8=1,N(vg_DInv),V_DInv)/DiasMes+(DU$249+DU$250+DU$251+DU$252)*V_DPT/DiasMes))</f>
        <v>1626937.98750554</v>
      </c>
      <c r="DV266" s="34" t="n">
        <f aca="false">IF(121&gt;Fin,DU$266,IF(AND(DV$8=1,ISNUMBER(Reales!DV81)),IF(Reales!$C$81="PYG",IF(DV$10&gt;0,N(Reales!DV81)/DV$10,0),N(Reales!DV81)),DV$249*IF(DV$8=1,N(vg_DInv),V_DInv)/DiasMes+(DV$249+DV$250+DV$251+DV$252)*V_DPT/DiasMes))</f>
        <v>1626937.98750554</v>
      </c>
      <c r="DW266" s="34" t="n">
        <f aca="false">IF(122&gt;Fin,DV$266,IF(AND(DW$8=1,ISNUMBER(Reales!DW81)),IF(Reales!$C$81="PYG",IF(DW$10&gt;0,N(Reales!DW81)/DW$10,0),N(Reales!DW81)),DW$249*IF(DW$8=1,N(vg_DInv),V_DInv)/DiasMes+(DW$249+DW$250+DW$251+DW$252)*V_DPT/DiasMes))</f>
        <v>1626937.98750554</v>
      </c>
      <c r="DX266" s="34" t="n">
        <f aca="false">IF(123&gt;Fin,DW$266,IF(AND(DX$8=1,ISNUMBER(Reales!DX81)),IF(Reales!$C$81="PYG",IF(DX$10&gt;0,N(Reales!DX81)/DX$10,0),N(Reales!DX81)),DX$249*IF(DX$8=1,N(vg_DInv),V_DInv)/DiasMes+(DX$249+DX$250+DX$251+DX$252)*V_DPT/DiasMes))</f>
        <v>1626937.98750554</v>
      </c>
      <c r="DY266" s="34" t="n">
        <f aca="false">IF(124&gt;Fin,DX$266,IF(AND(DY$8=1,ISNUMBER(Reales!DY81)),IF(Reales!$C$81="PYG",IF(DY$10&gt;0,N(Reales!DY81)/DY$10,0),N(Reales!DY81)),DY$249*IF(DY$8=1,N(vg_DInv),V_DInv)/DiasMes+(DY$249+DY$250+DY$251+DY$252)*V_DPT/DiasMes))</f>
        <v>1626937.98750554</v>
      </c>
      <c r="DZ266" s="34" t="n">
        <f aca="false">IF(125&gt;Fin,DY$266,IF(AND(DZ$8=1,ISNUMBER(Reales!DZ81)),IF(Reales!$C$81="PYG",IF(DZ$10&gt;0,N(Reales!DZ81)/DZ$10,0),N(Reales!DZ81)),DZ$249*IF(DZ$8=1,N(vg_DInv),V_DInv)/DiasMes+(DZ$249+DZ$250+DZ$251+DZ$252)*V_DPT/DiasMes))</f>
        <v>1626937.98750554</v>
      </c>
      <c r="EA266" s="34" t="n">
        <f aca="false">IF(126&gt;Fin,DZ$266,IF(AND(EA$8=1,ISNUMBER(Reales!EA81)),IF(Reales!$C$81="PYG",IF(EA$10&gt;0,N(Reales!EA81)/EA$10,0),N(Reales!EA81)),EA$249*IF(EA$8=1,N(vg_DInv),V_DInv)/DiasMes+(EA$249+EA$250+EA$251+EA$252)*V_DPT/DiasMes))</f>
        <v>1626937.98750554</v>
      </c>
      <c r="EB266" s="34" t="n">
        <f aca="false">IF(127&gt;Fin,EA$266,IF(AND(EB$8=1,ISNUMBER(Reales!EB81)),IF(Reales!$C$81="PYG",IF(EB$10&gt;0,N(Reales!EB81)/EB$10,0),N(Reales!EB81)),EB$249*IF(EB$8=1,N(vg_DInv),V_DInv)/DiasMes+(EB$249+EB$250+EB$251+EB$252)*V_DPT/DiasMes))</f>
        <v>1626937.98750554</v>
      </c>
      <c r="EC266" s="34" t="n">
        <f aca="false">IF(128&gt;Fin,EB$266,IF(AND(EC$8=1,ISNUMBER(Reales!EC81)),IF(Reales!$C$81="PYG",IF(EC$10&gt;0,N(Reales!EC81)/EC$10,0),N(Reales!EC81)),EC$249*IF(EC$8=1,N(vg_DInv),V_DInv)/DiasMes+(EC$249+EC$250+EC$251+EC$252)*V_DPT/DiasMes))</f>
        <v>1626937.98750554</v>
      </c>
      <c r="ED266" s="34" t="n">
        <f aca="false">IF(129&gt;Fin,EC$266,IF(AND(ED$8=1,ISNUMBER(Reales!ED81)),IF(Reales!$C$81="PYG",IF(ED$10&gt;0,N(Reales!ED81)/ED$10,0),N(Reales!ED81)),ED$249*IF(ED$8=1,N(vg_DInv),V_DInv)/DiasMes+(ED$249+ED$250+ED$251+ED$252)*V_DPT/DiasMes))</f>
        <v>1626937.98750554</v>
      </c>
      <c r="EE266" s="34" t="n">
        <f aca="false">IF(130&gt;Fin,ED$266,IF(AND(EE$8=1,ISNUMBER(Reales!EE81)),IF(Reales!$C$81="PYG",IF(EE$10&gt;0,N(Reales!EE81)/EE$10,0),N(Reales!EE81)),EE$249*IF(EE$8=1,N(vg_DInv),V_DInv)/DiasMes+(EE$249+EE$250+EE$251+EE$252)*V_DPT/DiasMes))</f>
        <v>1626937.98750554</v>
      </c>
      <c r="EF266" s="34" t="n">
        <f aca="false">IF(131&gt;Fin,EE$266,IF(AND(EF$8=1,ISNUMBER(Reales!EF81)),IF(Reales!$C$81="PYG",IF(EF$10&gt;0,N(Reales!EF81)/EF$10,0),N(Reales!EF81)),EF$249*IF(EF$8=1,N(vg_DInv),V_DInv)/DiasMes+(EF$249+EF$250+EF$251+EF$252)*V_DPT/DiasMes))</f>
        <v>1626937.98750554</v>
      </c>
      <c r="EG266" s="34" t="n">
        <f aca="false">IF(132&gt;Fin,EF$266,IF(AND(EG$8=1,ISNUMBER(Reales!EG81)),IF(Reales!$C$81="PYG",IF(EG$10&gt;0,N(Reales!EG81)/EG$10,0),N(Reales!EG81)),EG$249*IF(EG$8=1,N(vg_DInv),V_DInv)/DiasMes+(EG$249+EG$250+EG$251+EG$252)*V_DPT/DiasMes))</f>
        <v>1626937.98750554</v>
      </c>
      <c r="EH266" s="34" t="n">
        <f aca="false">IF(133&gt;Fin,EG$266,IF(AND(EH$8=1,ISNUMBER(Reales!EH81)),IF(Reales!$C$81="PYG",IF(EH$10&gt;0,N(Reales!EH81)/EH$10,0),N(Reales!EH81)),EH$249*IF(EH$8=1,N(vg_DInv),V_DInv)/DiasMes+(EH$249+EH$250+EH$251+EH$252)*V_DPT/DiasMes))</f>
        <v>1626937.98750554</v>
      </c>
      <c r="EI266" s="34" t="n">
        <f aca="false">IF(134&gt;Fin,EH$266,IF(AND(EI$8=1,ISNUMBER(Reales!EI81)),IF(Reales!$C$81="PYG",IF(EI$10&gt;0,N(Reales!EI81)/EI$10,0),N(Reales!EI81)),EI$249*IF(EI$8=1,N(vg_DInv),V_DInv)/DiasMes+(EI$249+EI$250+EI$251+EI$252)*V_DPT/DiasMes))</f>
        <v>1626937.98750554</v>
      </c>
      <c r="EJ266" s="34" t="n">
        <f aca="false">IF(135&gt;Fin,EI$266,IF(AND(EJ$8=1,ISNUMBER(Reales!EJ81)),IF(Reales!$C$81="PYG",IF(EJ$10&gt;0,N(Reales!EJ81)/EJ$10,0),N(Reales!EJ81)),EJ$249*IF(EJ$8=1,N(vg_DInv),V_DInv)/DiasMes+(EJ$249+EJ$250+EJ$251+EJ$252)*V_DPT/DiasMes))</f>
        <v>1626937.98750554</v>
      </c>
      <c r="EK266" s="34" t="n">
        <f aca="false">IF(136&gt;Fin,EJ$266,IF(AND(EK$8=1,ISNUMBER(Reales!EK81)),IF(Reales!$C$81="PYG",IF(EK$10&gt;0,N(Reales!EK81)/EK$10,0),N(Reales!EK81)),EK$249*IF(EK$8=1,N(vg_DInv),V_DInv)/DiasMes+(EK$249+EK$250+EK$251+EK$252)*V_DPT/DiasMes))</f>
        <v>1626937.98750554</v>
      </c>
      <c r="EL266" s="34" t="n">
        <f aca="false">IF(137&gt;Fin,EK$266,IF(AND(EL$8=1,ISNUMBER(Reales!EL81)),IF(Reales!$C$81="PYG",IF(EL$10&gt;0,N(Reales!EL81)/EL$10,0),N(Reales!EL81)),EL$249*IF(EL$8=1,N(vg_DInv),V_DInv)/DiasMes+(EL$249+EL$250+EL$251+EL$252)*V_DPT/DiasMes))</f>
        <v>1626937.98750554</v>
      </c>
      <c r="EM266" s="34" t="n">
        <f aca="false">IF(138&gt;Fin,EL$266,IF(AND(EM$8=1,ISNUMBER(Reales!EM81)),IF(Reales!$C$81="PYG",IF(EM$10&gt;0,N(Reales!EM81)/EM$10,0),N(Reales!EM81)),EM$249*IF(EM$8=1,N(vg_DInv),V_DInv)/DiasMes+(EM$249+EM$250+EM$251+EM$252)*V_DPT/DiasMes))</f>
        <v>1626937.98750554</v>
      </c>
      <c r="EN266" s="34" t="n">
        <f aca="false">IF(139&gt;Fin,EM$266,IF(AND(EN$8=1,ISNUMBER(Reales!EN81)),IF(Reales!$C$81="PYG",IF(EN$10&gt;0,N(Reales!EN81)/EN$10,0),N(Reales!EN81)),EN$249*IF(EN$8=1,N(vg_DInv),V_DInv)/DiasMes+(EN$249+EN$250+EN$251+EN$252)*V_DPT/DiasMes))</f>
        <v>1626937.98750554</v>
      </c>
      <c r="EO266" s="34" t="n">
        <f aca="false">IF(140&gt;Fin,EN$266,IF(AND(EO$8=1,ISNUMBER(Reales!EO81)),IF(Reales!$C$81="PYG",IF(EO$10&gt;0,N(Reales!EO81)/EO$10,0),N(Reales!EO81)),EO$249*IF(EO$8=1,N(vg_DInv),V_DInv)/DiasMes+(EO$249+EO$250+EO$251+EO$252)*V_DPT/DiasMes))</f>
        <v>1626937.98750554</v>
      </c>
      <c r="EP266" s="34" t="n">
        <f aca="false">IF(141&gt;Fin,EO$266,IF(AND(EP$8=1,ISNUMBER(Reales!EP81)),IF(Reales!$C$81="PYG",IF(EP$10&gt;0,N(Reales!EP81)/EP$10,0),N(Reales!EP81)),EP$249*IF(EP$8=1,N(vg_DInv),V_DInv)/DiasMes+(EP$249+EP$250+EP$251+EP$252)*V_DPT/DiasMes))</f>
        <v>1626937.98750554</v>
      </c>
      <c r="EQ266" s="34" t="n">
        <f aca="false">IF(142&gt;Fin,EP$266,IF(AND(EQ$8=1,ISNUMBER(Reales!EQ81)),IF(Reales!$C$81="PYG",IF(EQ$10&gt;0,N(Reales!EQ81)/EQ$10,0),N(Reales!EQ81)),EQ$249*IF(EQ$8=1,N(vg_DInv),V_DInv)/DiasMes+(EQ$249+EQ$250+EQ$251+EQ$252)*V_DPT/DiasMes))</f>
        <v>1626937.98750554</v>
      </c>
      <c r="ER266" s="34" t="n">
        <f aca="false">IF(143&gt;Fin,EQ$266,IF(AND(ER$8=1,ISNUMBER(Reales!ER81)),IF(Reales!$C$81="PYG",IF(ER$10&gt;0,N(Reales!ER81)/ER$10,0),N(Reales!ER81)),ER$249*IF(ER$8=1,N(vg_DInv),V_DInv)/DiasMes+(ER$249+ER$250+ER$251+ER$252)*V_DPT/DiasMes))</f>
        <v>1626937.98750554</v>
      </c>
      <c r="ES266" s="34" t="n">
        <f aca="false">IF(144&gt;Fin,ER$266,IF(AND(ES$8=1,ISNUMBER(Reales!ES81)),IF(Reales!$C$81="PYG",IF(ES$10&gt;0,N(Reales!ES81)/ES$10,0),N(Reales!ES81)),ES$249*IF(ES$8=1,N(vg_DInv),V_DInv)/DiasMes+(ES$249+ES$250+ES$251+ES$252)*V_DPT/DiasMes))</f>
        <v>1626937.98750554</v>
      </c>
    </row>
    <row r="267" customFormat="false" ht="15" hidden="false" customHeight="false" outlineLevel="0" collapsed="false">
      <c r="A267" s="2" t="s">
        <v>906</v>
      </c>
      <c r="B267" s="6" t="s">
        <v>709</v>
      </c>
      <c r="C267" s="6" t="s">
        <v>250</v>
      </c>
      <c r="E267" s="40" t="n">
        <f aca="false">INDEX(F267:ES267,1,MIN(144,Fin))</f>
        <v>0</v>
      </c>
      <c r="F267" s="34" t="n">
        <f aca="false">IF(1&gt;Fin,0,IF(AND(F$8=1,ISNUMBER(Reales!F82)),IF(Reales!$C$82="PYG",IF(F$10&gt;0,N(Reales!F82)/F$10,0),N(Reales!F82)),F$257*V_IVAmeses))</f>
        <v>0</v>
      </c>
      <c r="G267" s="34" t="n">
        <f aca="false">IF(2&gt;Fin,F$267,IF(AND(G$8=1,ISNUMBER(Reales!G82)),IF(Reales!$C$82="PYG",IF(G$10&gt;0,N(Reales!G82)/G$10,0),N(Reales!G82)),G$257*V_IVAmeses))</f>
        <v>0</v>
      </c>
      <c r="H267" s="34" t="n">
        <f aca="false">IF(3&gt;Fin,G$267,IF(AND(H$8=1,ISNUMBER(Reales!H82)),IF(Reales!$C$82="PYG",IF(H$10&gt;0,N(Reales!H82)/H$10,0),N(Reales!H82)),H$257*V_IVAmeses))</f>
        <v>0</v>
      </c>
      <c r="I267" s="34" t="n">
        <f aca="false">IF(4&gt;Fin,H$267,IF(AND(I$8=1,ISNUMBER(Reales!I82)),IF(Reales!$C$82="PYG",IF(I$10&gt;0,N(Reales!I82)/I$10,0),N(Reales!I82)),I$257*V_IVAmeses))</f>
        <v>0</v>
      </c>
      <c r="J267" s="34" t="n">
        <f aca="false">IF(5&gt;Fin,I$267,IF(AND(J$8=1,ISNUMBER(Reales!J82)),IF(Reales!$C$82="PYG",IF(J$10&gt;0,N(Reales!J82)/J$10,0),N(Reales!J82)),J$257*V_IVAmeses))</f>
        <v>0</v>
      </c>
      <c r="K267" s="34" t="n">
        <f aca="false">IF(6&gt;Fin,J$267,IF(AND(K$8=1,ISNUMBER(Reales!K82)),IF(Reales!$C$82="PYG",IF(K$10&gt;0,N(Reales!K82)/K$10,0),N(Reales!K82)),K$257*V_IVAmeses))</f>
        <v>0</v>
      </c>
      <c r="L267" s="34" t="n">
        <f aca="false">IF(7&gt;Fin,K$267,IF(AND(L$8=1,ISNUMBER(Reales!L82)),IF(Reales!$C$82="PYG",IF(L$10&gt;0,N(Reales!L82)/L$10,0),N(Reales!L82)),L$257*V_IVAmeses))</f>
        <v>0</v>
      </c>
      <c r="M267" s="34" t="n">
        <f aca="false">IF(8&gt;Fin,L$267,IF(AND(M$8=1,ISNUMBER(Reales!M82)),IF(Reales!$C$82="PYG",IF(M$10&gt;0,N(Reales!M82)/M$10,0),N(Reales!M82)),M$257*V_IVAmeses))</f>
        <v>0</v>
      </c>
      <c r="N267" s="34" t="n">
        <f aca="false">IF(9&gt;Fin,M$267,IF(AND(N$8=1,ISNUMBER(Reales!N82)),IF(Reales!$C$82="PYG",IF(N$10&gt;0,N(Reales!N82)/N$10,0),N(Reales!N82)),N$257*V_IVAmeses))</f>
        <v>0</v>
      </c>
      <c r="O267" s="34" t="n">
        <f aca="false">IF(10&gt;Fin,N$267,IF(AND(O$8=1,ISNUMBER(Reales!O82)),IF(Reales!$C$82="PYG",IF(O$10&gt;0,N(Reales!O82)/O$10,0),N(Reales!O82)),O$257*V_IVAmeses))</f>
        <v>0</v>
      </c>
      <c r="P267" s="34" t="n">
        <f aca="false">IF(11&gt;Fin,O$267,IF(AND(P$8=1,ISNUMBER(Reales!P82)),IF(Reales!$C$82="PYG",IF(P$10&gt;0,N(Reales!P82)/P$10,0),N(Reales!P82)),P$257*V_IVAmeses))</f>
        <v>0</v>
      </c>
      <c r="Q267" s="34" t="n">
        <f aca="false">IF(12&gt;Fin,P$267,IF(AND(Q$8=1,ISNUMBER(Reales!Q82)),IF(Reales!$C$82="PYG",IF(Q$10&gt;0,N(Reales!Q82)/Q$10,0),N(Reales!Q82)),Q$257*V_IVAmeses))</f>
        <v>0</v>
      </c>
      <c r="R267" s="34" t="n">
        <f aca="false">IF(13&gt;Fin,Q$267,IF(AND(R$8=1,ISNUMBER(Reales!R82)),IF(Reales!$C$82="PYG",IF(R$10&gt;0,N(Reales!R82)/R$10,0),N(Reales!R82)),R$257*V_IVAmeses))</f>
        <v>0</v>
      </c>
      <c r="S267" s="34" t="n">
        <f aca="false">IF(14&gt;Fin,R$267,IF(AND(S$8=1,ISNUMBER(Reales!S82)),IF(Reales!$C$82="PYG",IF(S$10&gt;0,N(Reales!S82)/S$10,0),N(Reales!S82)),S$257*V_IVAmeses))</f>
        <v>0</v>
      </c>
      <c r="T267" s="34" t="n">
        <f aca="false">IF(15&gt;Fin,S$267,IF(AND(T$8=1,ISNUMBER(Reales!T82)),IF(Reales!$C$82="PYG",IF(T$10&gt;0,N(Reales!T82)/T$10,0),N(Reales!T82)),T$257*V_IVAmeses))</f>
        <v>0</v>
      </c>
      <c r="U267" s="34" t="n">
        <f aca="false">IF(16&gt;Fin,T$267,IF(AND(U$8=1,ISNUMBER(Reales!U82)),IF(Reales!$C$82="PYG",IF(U$10&gt;0,N(Reales!U82)/U$10,0),N(Reales!U82)),U$257*V_IVAmeses))</f>
        <v>0</v>
      </c>
      <c r="V267" s="34" t="n">
        <f aca="false">IF(17&gt;Fin,U$267,IF(AND(V$8=1,ISNUMBER(Reales!V82)),IF(Reales!$C$82="PYG",IF(V$10&gt;0,N(Reales!V82)/V$10,0),N(Reales!V82)),V$257*V_IVAmeses))</f>
        <v>0</v>
      </c>
      <c r="W267" s="34" t="n">
        <f aca="false">IF(18&gt;Fin,V$267,IF(AND(W$8=1,ISNUMBER(Reales!W82)),IF(Reales!$C$82="PYG",IF(W$10&gt;0,N(Reales!W82)/W$10,0),N(Reales!W82)),W$257*V_IVAmeses))</f>
        <v>0</v>
      </c>
      <c r="X267" s="34" t="n">
        <f aca="false">IF(19&gt;Fin,W$267,IF(AND(X$8=1,ISNUMBER(Reales!X82)),IF(Reales!$C$82="PYG",IF(X$10&gt;0,N(Reales!X82)/X$10,0),N(Reales!X82)),X$257*V_IVAmeses))</f>
        <v>0</v>
      </c>
      <c r="Y267" s="34" t="n">
        <f aca="false">IF(20&gt;Fin,X$267,IF(AND(Y$8=1,ISNUMBER(Reales!Y82)),IF(Reales!$C$82="PYG",IF(Y$10&gt;0,N(Reales!Y82)/Y$10,0),N(Reales!Y82)),Y$257*V_IVAmeses))</f>
        <v>0</v>
      </c>
      <c r="Z267" s="34" t="n">
        <f aca="false">IF(21&gt;Fin,Y$267,IF(AND(Z$8=1,ISNUMBER(Reales!Z82)),IF(Reales!$C$82="PYG",IF(Z$10&gt;0,N(Reales!Z82)/Z$10,0),N(Reales!Z82)),Z$257*V_IVAmeses))</f>
        <v>0</v>
      </c>
      <c r="AA267" s="34" t="n">
        <f aca="false">IF(22&gt;Fin,Z$267,IF(AND(AA$8=1,ISNUMBER(Reales!AA82)),IF(Reales!$C$82="PYG",IF(AA$10&gt;0,N(Reales!AA82)/AA$10,0),N(Reales!AA82)),AA$257*V_IVAmeses))</f>
        <v>0</v>
      </c>
      <c r="AB267" s="34" t="n">
        <f aca="false">IF(23&gt;Fin,AA$267,IF(AND(AB$8=1,ISNUMBER(Reales!AB82)),IF(Reales!$C$82="PYG",IF(AB$10&gt;0,N(Reales!AB82)/AB$10,0),N(Reales!AB82)),AB$257*V_IVAmeses))</f>
        <v>0</v>
      </c>
      <c r="AC267" s="34" t="n">
        <f aca="false">IF(24&gt;Fin,AB$267,IF(AND(AC$8=1,ISNUMBER(Reales!AC82)),IF(Reales!$C$82="PYG",IF(AC$10&gt;0,N(Reales!AC82)/AC$10,0),N(Reales!AC82)),AC$257*V_IVAmeses))</f>
        <v>0</v>
      </c>
      <c r="AD267" s="34" t="n">
        <f aca="false">IF(25&gt;Fin,AC$267,IF(AND(AD$8=1,ISNUMBER(Reales!AD82)),IF(Reales!$C$82="PYG",IF(AD$10&gt;0,N(Reales!AD82)/AD$10,0),N(Reales!AD82)),AD$257*V_IVAmeses))</f>
        <v>0</v>
      </c>
      <c r="AE267" s="34" t="n">
        <f aca="false">IF(26&gt;Fin,AD$267,IF(AND(AE$8=1,ISNUMBER(Reales!AE82)),IF(Reales!$C$82="PYG",IF(AE$10&gt;0,N(Reales!AE82)/AE$10,0),N(Reales!AE82)),AE$257*V_IVAmeses))</f>
        <v>0</v>
      </c>
      <c r="AF267" s="34" t="n">
        <f aca="false">IF(27&gt;Fin,AE$267,IF(AND(AF$8=1,ISNUMBER(Reales!AF82)),IF(Reales!$C$82="PYG",IF(AF$10&gt;0,N(Reales!AF82)/AF$10,0),N(Reales!AF82)),AF$257*V_IVAmeses))</f>
        <v>0</v>
      </c>
      <c r="AG267" s="34" t="n">
        <f aca="false">IF(28&gt;Fin,AF$267,IF(AND(AG$8=1,ISNUMBER(Reales!AG82)),IF(Reales!$C$82="PYG",IF(AG$10&gt;0,N(Reales!AG82)/AG$10,0),N(Reales!AG82)),AG$257*V_IVAmeses))</f>
        <v>0</v>
      </c>
      <c r="AH267" s="34" t="n">
        <f aca="false">IF(29&gt;Fin,AG$267,IF(AND(AH$8=1,ISNUMBER(Reales!AH82)),IF(Reales!$C$82="PYG",IF(AH$10&gt;0,N(Reales!AH82)/AH$10,0),N(Reales!AH82)),AH$257*V_IVAmeses))</f>
        <v>0</v>
      </c>
      <c r="AI267" s="34" t="n">
        <f aca="false">IF(30&gt;Fin,AH$267,IF(AND(AI$8=1,ISNUMBER(Reales!AI82)),IF(Reales!$C$82="PYG",IF(AI$10&gt;0,N(Reales!AI82)/AI$10,0),N(Reales!AI82)),AI$257*V_IVAmeses))</f>
        <v>0</v>
      </c>
      <c r="AJ267" s="34" t="n">
        <f aca="false">IF(31&gt;Fin,AI$267,IF(AND(AJ$8=1,ISNUMBER(Reales!AJ82)),IF(Reales!$C$82="PYG",IF(AJ$10&gt;0,N(Reales!AJ82)/AJ$10,0),N(Reales!AJ82)),AJ$257*V_IVAmeses))</f>
        <v>0</v>
      </c>
      <c r="AK267" s="34" t="n">
        <f aca="false">IF(32&gt;Fin,AJ$267,IF(AND(AK$8=1,ISNUMBER(Reales!AK82)),IF(Reales!$C$82="PYG",IF(AK$10&gt;0,N(Reales!AK82)/AK$10,0),N(Reales!AK82)),AK$257*V_IVAmeses))</f>
        <v>0</v>
      </c>
      <c r="AL267" s="34" t="n">
        <f aca="false">IF(33&gt;Fin,AK$267,IF(AND(AL$8=1,ISNUMBER(Reales!AL82)),IF(Reales!$C$82="PYG",IF(AL$10&gt;0,N(Reales!AL82)/AL$10,0),N(Reales!AL82)),AL$257*V_IVAmeses))</f>
        <v>0</v>
      </c>
      <c r="AM267" s="34" t="n">
        <f aca="false">IF(34&gt;Fin,AL$267,IF(AND(AM$8=1,ISNUMBER(Reales!AM82)),IF(Reales!$C$82="PYG",IF(AM$10&gt;0,N(Reales!AM82)/AM$10,0),N(Reales!AM82)),AM$257*V_IVAmeses))</f>
        <v>0</v>
      </c>
      <c r="AN267" s="34" t="n">
        <f aca="false">IF(35&gt;Fin,AM$267,IF(AND(AN$8=1,ISNUMBER(Reales!AN82)),IF(Reales!$C$82="PYG",IF(AN$10&gt;0,N(Reales!AN82)/AN$10,0),N(Reales!AN82)),AN$257*V_IVAmeses))</f>
        <v>0</v>
      </c>
      <c r="AO267" s="34" t="n">
        <f aca="false">IF(36&gt;Fin,AN$267,IF(AND(AO$8=1,ISNUMBER(Reales!AO82)),IF(Reales!$C$82="PYG",IF(AO$10&gt;0,N(Reales!AO82)/AO$10,0),N(Reales!AO82)),AO$257*V_IVAmeses))</f>
        <v>0</v>
      </c>
      <c r="AP267" s="34" t="n">
        <f aca="false">IF(37&gt;Fin,AO$267,IF(AND(AP$8=1,ISNUMBER(Reales!AP82)),IF(Reales!$C$82="PYG",IF(AP$10&gt;0,N(Reales!AP82)/AP$10,0),N(Reales!AP82)),AP$257*V_IVAmeses))</f>
        <v>0</v>
      </c>
      <c r="AQ267" s="34" t="n">
        <f aca="false">IF(38&gt;Fin,AP$267,IF(AND(AQ$8=1,ISNUMBER(Reales!AQ82)),IF(Reales!$C$82="PYG",IF(AQ$10&gt;0,N(Reales!AQ82)/AQ$10,0),N(Reales!AQ82)),AQ$257*V_IVAmeses))</f>
        <v>0</v>
      </c>
      <c r="AR267" s="34" t="n">
        <f aca="false">IF(39&gt;Fin,AQ$267,IF(AND(AR$8=1,ISNUMBER(Reales!AR82)),IF(Reales!$C$82="PYG",IF(AR$10&gt;0,N(Reales!AR82)/AR$10,0),N(Reales!AR82)),AR$257*V_IVAmeses))</f>
        <v>0</v>
      </c>
      <c r="AS267" s="34" t="n">
        <f aca="false">IF(40&gt;Fin,AR$267,IF(AND(AS$8=1,ISNUMBER(Reales!AS82)),IF(Reales!$C$82="PYG",IF(AS$10&gt;0,N(Reales!AS82)/AS$10,0),N(Reales!AS82)),AS$257*V_IVAmeses))</f>
        <v>0</v>
      </c>
      <c r="AT267" s="34" t="n">
        <f aca="false">IF(41&gt;Fin,AS$267,IF(AND(AT$8=1,ISNUMBER(Reales!AT82)),IF(Reales!$C$82="PYG",IF(AT$10&gt;0,N(Reales!AT82)/AT$10,0),N(Reales!AT82)),AT$257*V_IVAmeses))</f>
        <v>0</v>
      </c>
      <c r="AU267" s="34" t="n">
        <f aca="false">IF(42&gt;Fin,AT$267,IF(AND(AU$8=1,ISNUMBER(Reales!AU82)),IF(Reales!$C$82="PYG",IF(AU$10&gt;0,N(Reales!AU82)/AU$10,0),N(Reales!AU82)),AU$257*V_IVAmeses))</f>
        <v>0</v>
      </c>
      <c r="AV267" s="34" t="n">
        <f aca="false">IF(43&gt;Fin,AU$267,IF(AND(AV$8=1,ISNUMBER(Reales!AV82)),IF(Reales!$C$82="PYG",IF(AV$10&gt;0,N(Reales!AV82)/AV$10,0),N(Reales!AV82)),AV$257*V_IVAmeses))</f>
        <v>0</v>
      </c>
      <c r="AW267" s="34" t="n">
        <f aca="false">IF(44&gt;Fin,AV$267,IF(AND(AW$8=1,ISNUMBER(Reales!AW82)),IF(Reales!$C$82="PYG",IF(AW$10&gt;0,N(Reales!AW82)/AW$10,0),N(Reales!AW82)),AW$257*V_IVAmeses))</f>
        <v>0</v>
      </c>
      <c r="AX267" s="34" t="n">
        <f aca="false">IF(45&gt;Fin,AW$267,IF(AND(AX$8=1,ISNUMBER(Reales!AX82)),IF(Reales!$C$82="PYG",IF(AX$10&gt;0,N(Reales!AX82)/AX$10,0),N(Reales!AX82)),AX$257*V_IVAmeses))</f>
        <v>0</v>
      </c>
      <c r="AY267" s="34" t="n">
        <f aca="false">IF(46&gt;Fin,AX$267,IF(AND(AY$8=1,ISNUMBER(Reales!AY82)),IF(Reales!$C$82="PYG",IF(AY$10&gt;0,N(Reales!AY82)/AY$10,0),N(Reales!AY82)),AY$257*V_IVAmeses))</f>
        <v>0</v>
      </c>
      <c r="AZ267" s="34" t="n">
        <f aca="false">IF(47&gt;Fin,AY$267,IF(AND(AZ$8=1,ISNUMBER(Reales!AZ82)),IF(Reales!$C$82="PYG",IF(AZ$10&gt;0,N(Reales!AZ82)/AZ$10,0),N(Reales!AZ82)),AZ$257*V_IVAmeses))</f>
        <v>0</v>
      </c>
      <c r="BA267" s="34" t="n">
        <f aca="false">IF(48&gt;Fin,AZ$267,IF(AND(BA$8=1,ISNUMBER(Reales!BA82)),IF(Reales!$C$82="PYG",IF(BA$10&gt;0,N(Reales!BA82)/BA$10,0),N(Reales!BA82)),BA$257*V_IVAmeses))</f>
        <v>0</v>
      </c>
      <c r="BB267" s="34" t="n">
        <f aca="false">IF(49&gt;Fin,BA$267,IF(AND(BB$8=1,ISNUMBER(Reales!BB82)),IF(Reales!$C$82="PYG",IF(BB$10&gt;0,N(Reales!BB82)/BB$10,0),N(Reales!BB82)),BB$257*V_IVAmeses))</f>
        <v>0</v>
      </c>
      <c r="BC267" s="34" t="n">
        <f aca="false">IF(50&gt;Fin,BB$267,IF(AND(BC$8=1,ISNUMBER(Reales!BC82)),IF(Reales!$C$82="PYG",IF(BC$10&gt;0,N(Reales!BC82)/BC$10,0),N(Reales!BC82)),BC$257*V_IVAmeses))</f>
        <v>0</v>
      </c>
      <c r="BD267" s="34" t="n">
        <f aca="false">IF(51&gt;Fin,BC$267,IF(AND(BD$8=1,ISNUMBER(Reales!BD82)),IF(Reales!$C$82="PYG",IF(BD$10&gt;0,N(Reales!BD82)/BD$10,0),N(Reales!BD82)),BD$257*V_IVAmeses))</f>
        <v>0</v>
      </c>
      <c r="BE267" s="34" t="n">
        <f aca="false">IF(52&gt;Fin,BD$267,IF(AND(BE$8=1,ISNUMBER(Reales!BE82)),IF(Reales!$C$82="PYG",IF(BE$10&gt;0,N(Reales!BE82)/BE$10,0),N(Reales!BE82)),BE$257*V_IVAmeses))</f>
        <v>0</v>
      </c>
      <c r="BF267" s="34" t="n">
        <f aca="false">IF(53&gt;Fin,BE$267,IF(AND(BF$8=1,ISNUMBER(Reales!BF82)),IF(Reales!$C$82="PYG",IF(BF$10&gt;0,N(Reales!BF82)/BF$10,0),N(Reales!BF82)),BF$257*V_IVAmeses))</f>
        <v>0</v>
      </c>
      <c r="BG267" s="34" t="n">
        <f aca="false">IF(54&gt;Fin,BF$267,IF(AND(BG$8=1,ISNUMBER(Reales!BG82)),IF(Reales!$C$82="PYG",IF(BG$10&gt;0,N(Reales!BG82)/BG$10,0),N(Reales!BG82)),BG$257*V_IVAmeses))</f>
        <v>0</v>
      </c>
      <c r="BH267" s="34" t="n">
        <f aca="false">IF(55&gt;Fin,BG$267,IF(AND(BH$8=1,ISNUMBER(Reales!BH82)),IF(Reales!$C$82="PYG",IF(BH$10&gt;0,N(Reales!BH82)/BH$10,0),N(Reales!BH82)),BH$257*V_IVAmeses))</f>
        <v>0</v>
      </c>
      <c r="BI267" s="34" t="n">
        <f aca="false">IF(56&gt;Fin,BH$267,IF(AND(BI$8=1,ISNUMBER(Reales!BI82)),IF(Reales!$C$82="PYG",IF(BI$10&gt;0,N(Reales!BI82)/BI$10,0),N(Reales!BI82)),BI$257*V_IVAmeses))</f>
        <v>0</v>
      </c>
      <c r="BJ267" s="34" t="n">
        <f aca="false">IF(57&gt;Fin,BI$267,IF(AND(BJ$8=1,ISNUMBER(Reales!BJ82)),IF(Reales!$C$82="PYG",IF(BJ$10&gt;0,N(Reales!BJ82)/BJ$10,0),N(Reales!BJ82)),BJ$257*V_IVAmeses))</f>
        <v>0</v>
      </c>
      <c r="BK267" s="34" t="n">
        <f aca="false">IF(58&gt;Fin,BJ$267,IF(AND(BK$8=1,ISNUMBER(Reales!BK82)),IF(Reales!$C$82="PYG",IF(BK$10&gt;0,N(Reales!BK82)/BK$10,0),N(Reales!BK82)),BK$257*V_IVAmeses))</f>
        <v>0</v>
      </c>
      <c r="BL267" s="34" t="n">
        <f aca="false">IF(59&gt;Fin,BK$267,IF(AND(BL$8=1,ISNUMBER(Reales!BL82)),IF(Reales!$C$82="PYG",IF(BL$10&gt;0,N(Reales!BL82)/BL$10,0),N(Reales!BL82)),BL$257*V_IVAmeses))</f>
        <v>0</v>
      </c>
      <c r="BM267" s="34" t="n">
        <f aca="false">IF(60&gt;Fin,BL$267,IF(AND(BM$8=1,ISNUMBER(Reales!BM82)),IF(Reales!$C$82="PYG",IF(BM$10&gt;0,N(Reales!BM82)/BM$10,0),N(Reales!BM82)),BM$257*V_IVAmeses))</f>
        <v>0</v>
      </c>
      <c r="BN267" s="34" t="n">
        <f aca="false">IF(61&gt;Fin,BM$267,IF(AND(BN$8=1,ISNUMBER(Reales!BN82)),IF(Reales!$C$82="PYG",IF(BN$10&gt;0,N(Reales!BN82)/BN$10,0),N(Reales!BN82)),BN$257*V_IVAmeses))</f>
        <v>0</v>
      </c>
      <c r="BO267" s="34" t="n">
        <f aca="false">IF(62&gt;Fin,BN$267,IF(AND(BO$8=1,ISNUMBER(Reales!BO82)),IF(Reales!$C$82="PYG",IF(BO$10&gt;0,N(Reales!BO82)/BO$10,0),N(Reales!BO82)),BO$257*V_IVAmeses))</f>
        <v>0</v>
      </c>
      <c r="BP267" s="34" t="n">
        <f aca="false">IF(63&gt;Fin,BO$267,IF(AND(BP$8=1,ISNUMBER(Reales!BP82)),IF(Reales!$C$82="PYG",IF(BP$10&gt;0,N(Reales!BP82)/BP$10,0),N(Reales!BP82)),BP$257*V_IVAmeses))</f>
        <v>0</v>
      </c>
      <c r="BQ267" s="34" t="n">
        <f aca="false">IF(64&gt;Fin,BP$267,IF(AND(BQ$8=1,ISNUMBER(Reales!BQ82)),IF(Reales!$C$82="PYG",IF(BQ$10&gt;0,N(Reales!BQ82)/BQ$10,0),N(Reales!BQ82)),BQ$257*V_IVAmeses))</f>
        <v>0</v>
      </c>
      <c r="BR267" s="34" t="n">
        <f aca="false">IF(65&gt;Fin,BQ$267,IF(AND(BR$8=1,ISNUMBER(Reales!BR82)),IF(Reales!$C$82="PYG",IF(BR$10&gt;0,N(Reales!BR82)/BR$10,0),N(Reales!BR82)),BR$257*V_IVAmeses))</f>
        <v>0</v>
      </c>
      <c r="BS267" s="34" t="n">
        <f aca="false">IF(66&gt;Fin,BR$267,IF(AND(BS$8=1,ISNUMBER(Reales!BS82)),IF(Reales!$C$82="PYG",IF(BS$10&gt;0,N(Reales!BS82)/BS$10,0),N(Reales!BS82)),BS$257*V_IVAmeses))</f>
        <v>0</v>
      </c>
      <c r="BT267" s="34" t="n">
        <f aca="false">IF(67&gt;Fin,BS$267,IF(AND(BT$8=1,ISNUMBER(Reales!BT82)),IF(Reales!$C$82="PYG",IF(BT$10&gt;0,N(Reales!BT82)/BT$10,0),N(Reales!BT82)),BT$257*V_IVAmeses))</f>
        <v>0</v>
      </c>
      <c r="BU267" s="34" t="n">
        <f aca="false">IF(68&gt;Fin,BT$267,IF(AND(BU$8=1,ISNUMBER(Reales!BU82)),IF(Reales!$C$82="PYG",IF(BU$10&gt;0,N(Reales!BU82)/BU$10,0),N(Reales!BU82)),BU$257*V_IVAmeses))</f>
        <v>0</v>
      </c>
      <c r="BV267" s="34" t="n">
        <f aca="false">IF(69&gt;Fin,BU$267,IF(AND(BV$8=1,ISNUMBER(Reales!BV82)),IF(Reales!$C$82="PYG",IF(BV$10&gt;0,N(Reales!BV82)/BV$10,0),N(Reales!BV82)),BV$257*V_IVAmeses))</f>
        <v>0</v>
      </c>
      <c r="BW267" s="34" t="n">
        <f aca="false">IF(70&gt;Fin,BV$267,IF(AND(BW$8=1,ISNUMBER(Reales!BW82)),IF(Reales!$C$82="PYG",IF(BW$10&gt;0,N(Reales!BW82)/BW$10,0),N(Reales!BW82)),BW$257*V_IVAmeses))</f>
        <v>0</v>
      </c>
      <c r="BX267" s="34" t="n">
        <f aca="false">IF(71&gt;Fin,BW$267,IF(AND(BX$8=1,ISNUMBER(Reales!BX82)),IF(Reales!$C$82="PYG",IF(BX$10&gt;0,N(Reales!BX82)/BX$10,0),N(Reales!BX82)),BX$257*V_IVAmeses))</f>
        <v>0</v>
      </c>
      <c r="BY267" s="34" t="n">
        <f aca="false">IF(72&gt;Fin,BX$267,IF(AND(BY$8=1,ISNUMBER(Reales!BY82)),IF(Reales!$C$82="PYG",IF(BY$10&gt;0,N(Reales!BY82)/BY$10,0),N(Reales!BY82)),BY$257*V_IVAmeses))</f>
        <v>0</v>
      </c>
      <c r="BZ267" s="34" t="n">
        <f aca="false">IF(73&gt;Fin,BY$267,IF(AND(BZ$8=1,ISNUMBER(Reales!BZ82)),IF(Reales!$C$82="PYG",IF(BZ$10&gt;0,N(Reales!BZ82)/BZ$10,0),N(Reales!BZ82)),BZ$257*V_IVAmeses))</f>
        <v>0</v>
      </c>
      <c r="CA267" s="34" t="n">
        <f aca="false">IF(74&gt;Fin,BZ$267,IF(AND(CA$8=1,ISNUMBER(Reales!CA82)),IF(Reales!$C$82="PYG",IF(CA$10&gt;0,N(Reales!CA82)/CA$10,0),N(Reales!CA82)),CA$257*V_IVAmeses))</f>
        <v>0</v>
      </c>
      <c r="CB267" s="34" t="n">
        <f aca="false">IF(75&gt;Fin,CA$267,IF(AND(CB$8=1,ISNUMBER(Reales!CB82)),IF(Reales!$C$82="PYG",IF(CB$10&gt;0,N(Reales!CB82)/CB$10,0),N(Reales!CB82)),CB$257*V_IVAmeses))</f>
        <v>0</v>
      </c>
      <c r="CC267" s="34" t="n">
        <f aca="false">IF(76&gt;Fin,CB$267,IF(AND(CC$8=1,ISNUMBER(Reales!CC82)),IF(Reales!$C$82="PYG",IF(CC$10&gt;0,N(Reales!CC82)/CC$10,0),N(Reales!CC82)),CC$257*V_IVAmeses))</f>
        <v>0</v>
      </c>
      <c r="CD267" s="34" t="n">
        <f aca="false">IF(77&gt;Fin,CC$267,IF(AND(CD$8=1,ISNUMBER(Reales!CD82)),IF(Reales!$C$82="PYG",IF(CD$10&gt;0,N(Reales!CD82)/CD$10,0),N(Reales!CD82)),CD$257*V_IVAmeses))</f>
        <v>0</v>
      </c>
      <c r="CE267" s="34" t="n">
        <f aca="false">IF(78&gt;Fin,CD$267,IF(AND(CE$8=1,ISNUMBER(Reales!CE82)),IF(Reales!$C$82="PYG",IF(CE$10&gt;0,N(Reales!CE82)/CE$10,0),N(Reales!CE82)),CE$257*V_IVAmeses))</f>
        <v>0</v>
      </c>
      <c r="CF267" s="34" t="n">
        <f aca="false">IF(79&gt;Fin,CE$267,IF(AND(CF$8=1,ISNUMBER(Reales!CF82)),IF(Reales!$C$82="PYG",IF(CF$10&gt;0,N(Reales!CF82)/CF$10,0),N(Reales!CF82)),CF$257*V_IVAmeses))</f>
        <v>0</v>
      </c>
      <c r="CG267" s="34" t="n">
        <f aca="false">IF(80&gt;Fin,CF$267,IF(AND(CG$8=1,ISNUMBER(Reales!CG82)),IF(Reales!$C$82="PYG",IF(CG$10&gt;0,N(Reales!CG82)/CG$10,0),N(Reales!CG82)),CG$257*V_IVAmeses))</f>
        <v>0</v>
      </c>
      <c r="CH267" s="34" t="n">
        <f aca="false">IF(81&gt;Fin,CG$267,IF(AND(CH$8=1,ISNUMBER(Reales!CH82)),IF(Reales!$C$82="PYG",IF(CH$10&gt;0,N(Reales!CH82)/CH$10,0),N(Reales!CH82)),CH$257*V_IVAmeses))</f>
        <v>0</v>
      </c>
      <c r="CI267" s="34" t="n">
        <f aca="false">IF(82&gt;Fin,CH$267,IF(AND(CI$8=1,ISNUMBER(Reales!CI82)),IF(Reales!$C$82="PYG",IF(CI$10&gt;0,N(Reales!CI82)/CI$10,0),N(Reales!CI82)),CI$257*V_IVAmeses))</f>
        <v>0</v>
      </c>
      <c r="CJ267" s="34" t="n">
        <f aca="false">IF(83&gt;Fin,CI$267,IF(AND(CJ$8=1,ISNUMBER(Reales!CJ82)),IF(Reales!$C$82="PYG",IF(CJ$10&gt;0,N(Reales!CJ82)/CJ$10,0),N(Reales!CJ82)),CJ$257*V_IVAmeses))</f>
        <v>0</v>
      </c>
      <c r="CK267" s="34" t="n">
        <f aca="false">IF(84&gt;Fin,CJ$267,IF(AND(CK$8=1,ISNUMBER(Reales!CK82)),IF(Reales!$C$82="PYG",IF(CK$10&gt;0,N(Reales!CK82)/CK$10,0),N(Reales!CK82)),CK$257*V_IVAmeses))</f>
        <v>0</v>
      </c>
      <c r="CL267" s="34" t="n">
        <f aca="false">IF(85&gt;Fin,CK$267,IF(AND(CL$8=1,ISNUMBER(Reales!CL82)),IF(Reales!$C$82="PYG",IF(CL$10&gt;0,N(Reales!CL82)/CL$10,0),N(Reales!CL82)),CL$257*V_IVAmeses))</f>
        <v>0</v>
      </c>
      <c r="CM267" s="34" t="n">
        <f aca="false">IF(86&gt;Fin,CL$267,IF(AND(CM$8=1,ISNUMBER(Reales!CM82)),IF(Reales!$C$82="PYG",IF(CM$10&gt;0,N(Reales!CM82)/CM$10,0),N(Reales!CM82)),CM$257*V_IVAmeses))</f>
        <v>0</v>
      </c>
      <c r="CN267" s="34" t="n">
        <f aca="false">IF(87&gt;Fin,CM$267,IF(AND(CN$8=1,ISNUMBER(Reales!CN82)),IF(Reales!$C$82="PYG",IF(CN$10&gt;0,N(Reales!CN82)/CN$10,0),N(Reales!CN82)),CN$257*V_IVAmeses))</f>
        <v>0</v>
      </c>
      <c r="CO267" s="34" t="n">
        <f aca="false">IF(88&gt;Fin,CN$267,IF(AND(CO$8=1,ISNUMBER(Reales!CO82)),IF(Reales!$C$82="PYG",IF(CO$10&gt;0,N(Reales!CO82)/CO$10,0),N(Reales!CO82)),CO$257*V_IVAmeses))</f>
        <v>0</v>
      </c>
      <c r="CP267" s="34" t="n">
        <f aca="false">IF(89&gt;Fin,CO$267,IF(AND(CP$8=1,ISNUMBER(Reales!CP82)),IF(Reales!$C$82="PYG",IF(CP$10&gt;0,N(Reales!CP82)/CP$10,0),N(Reales!CP82)),CP$257*V_IVAmeses))</f>
        <v>0</v>
      </c>
      <c r="CQ267" s="34" t="n">
        <f aca="false">IF(90&gt;Fin,CP$267,IF(AND(CQ$8=1,ISNUMBER(Reales!CQ82)),IF(Reales!$C$82="PYG",IF(CQ$10&gt;0,N(Reales!CQ82)/CQ$10,0),N(Reales!CQ82)),CQ$257*V_IVAmeses))</f>
        <v>0</v>
      </c>
      <c r="CR267" s="34" t="n">
        <f aca="false">IF(91&gt;Fin,CQ$267,IF(AND(CR$8=1,ISNUMBER(Reales!CR82)),IF(Reales!$C$82="PYG",IF(CR$10&gt;0,N(Reales!CR82)/CR$10,0),N(Reales!CR82)),CR$257*V_IVAmeses))</f>
        <v>0</v>
      </c>
      <c r="CS267" s="34" t="n">
        <f aca="false">IF(92&gt;Fin,CR$267,IF(AND(CS$8=1,ISNUMBER(Reales!CS82)),IF(Reales!$C$82="PYG",IF(CS$10&gt;0,N(Reales!CS82)/CS$10,0),N(Reales!CS82)),CS$257*V_IVAmeses))</f>
        <v>0</v>
      </c>
      <c r="CT267" s="34" t="n">
        <f aca="false">IF(93&gt;Fin,CS$267,IF(AND(CT$8=1,ISNUMBER(Reales!CT82)),IF(Reales!$C$82="PYG",IF(CT$10&gt;0,N(Reales!CT82)/CT$10,0),N(Reales!CT82)),CT$257*V_IVAmeses))</f>
        <v>0</v>
      </c>
      <c r="CU267" s="34" t="n">
        <f aca="false">IF(94&gt;Fin,CT$267,IF(AND(CU$8=1,ISNUMBER(Reales!CU82)),IF(Reales!$C$82="PYG",IF(CU$10&gt;0,N(Reales!CU82)/CU$10,0),N(Reales!CU82)),CU$257*V_IVAmeses))</f>
        <v>0</v>
      </c>
      <c r="CV267" s="34" t="n">
        <f aca="false">IF(95&gt;Fin,CU$267,IF(AND(CV$8=1,ISNUMBER(Reales!CV82)),IF(Reales!$C$82="PYG",IF(CV$10&gt;0,N(Reales!CV82)/CV$10,0),N(Reales!CV82)),CV$257*V_IVAmeses))</f>
        <v>0</v>
      </c>
      <c r="CW267" s="34" t="n">
        <f aca="false">IF(96&gt;Fin,CV$267,IF(AND(CW$8=1,ISNUMBER(Reales!CW82)),IF(Reales!$C$82="PYG",IF(CW$10&gt;0,N(Reales!CW82)/CW$10,0),N(Reales!CW82)),CW$257*V_IVAmeses))</f>
        <v>0</v>
      </c>
      <c r="CX267" s="34" t="n">
        <f aca="false">IF(97&gt;Fin,CW$267,IF(AND(CX$8=1,ISNUMBER(Reales!CX82)),IF(Reales!$C$82="PYG",IF(CX$10&gt;0,N(Reales!CX82)/CX$10,0),N(Reales!CX82)),CX$257*V_IVAmeses))</f>
        <v>0</v>
      </c>
      <c r="CY267" s="34" t="n">
        <f aca="false">IF(98&gt;Fin,CX$267,IF(AND(CY$8=1,ISNUMBER(Reales!CY82)),IF(Reales!$C$82="PYG",IF(CY$10&gt;0,N(Reales!CY82)/CY$10,0),N(Reales!CY82)),CY$257*V_IVAmeses))</f>
        <v>0</v>
      </c>
      <c r="CZ267" s="34" t="n">
        <f aca="false">IF(99&gt;Fin,CY$267,IF(AND(CZ$8=1,ISNUMBER(Reales!CZ82)),IF(Reales!$C$82="PYG",IF(CZ$10&gt;0,N(Reales!CZ82)/CZ$10,0),N(Reales!CZ82)),CZ$257*V_IVAmeses))</f>
        <v>0</v>
      </c>
      <c r="DA267" s="34" t="n">
        <f aca="false">IF(100&gt;Fin,CZ$267,IF(AND(DA$8=1,ISNUMBER(Reales!DA82)),IF(Reales!$C$82="PYG",IF(DA$10&gt;0,N(Reales!DA82)/DA$10,0),N(Reales!DA82)),DA$257*V_IVAmeses))</f>
        <v>0</v>
      </c>
      <c r="DB267" s="34" t="n">
        <f aca="false">IF(101&gt;Fin,DA$267,IF(AND(DB$8=1,ISNUMBER(Reales!DB82)),IF(Reales!$C$82="PYG",IF(DB$10&gt;0,N(Reales!DB82)/DB$10,0),N(Reales!DB82)),DB$257*V_IVAmeses))</f>
        <v>0</v>
      </c>
      <c r="DC267" s="34" t="n">
        <f aca="false">IF(102&gt;Fin,DB$267,IF(AND(DC$8=1,ISNUMBER(Reales!DC82)),IF(Reales!$C$82="PYG",IF(DC$10&gt;0,N(Reales!DC82)/DC$10,0),N(Reales!DC82)),DC$257*V_IVAmeses))</f>
        <v>0</v>
      </c>
      <c r="DD267" s="34" t="n">
        <f aca="false">IF(103&gt;Fin,DC$267,IF(AND(DD$8=1,ISNUMBER(Reales!DD82)),IF(Reales!$C$82="PYG",IF(DD$10&gt;0,N(Reales!DD82)/DD$10,0),N(Reales!DD82)),DD$257*V_IVAmeses))</f>
        <v>0</v>
      </c>
      <c r="DE267" s="34" t="n">
        <f aca="false">IF(104&gt;Fin,DD$267,IF(AND(DE$8=1,ISNUMBER(Reales!DE82)),IF(Reales!$C$82="PYG",IF(DE$10&gt;0,N(Reales!DE82)/DE$10,0),N(Reales!DE82)),DE$257*V_IVAmeses))</f>
        <v>0</v>
      </c>
      <c r="DF267" s="34" t="n">
        <f aca="false">IF(105&gt;Fin,DE$267,IF(AND(DF$8=1,ISNUMBER(Reales!DF82)),IF(Reales!$C$82="PYG",IF(DF$10&gt;0,N(Reales!DF82)/DF$10,0),N(Reales!DF82)),DF$257*V_IVAmeses))</f>
        <v>0</v>
      </c>
      <c r="DG267" s="34" t="n">
        <f aca="false">IF(106&gt;Fin,DF$267,IF(AND(DG$8=1,ISNUMBER(Reales!DG82)),IF(Reales!$C$82="PYG",IF(DG$10&gt;0,N(Reales!DG82)/DG$10,0),N(Reales!DG82)),DG$257*V_IVAmeses))</f>
        <v>0</v>
      </c>
      <c r="DH267" s="34" t="n">
        <f aca="false">IF(107&gt;Fin,DG$267,IF(AND(DH$8=1,ISNUMBER(Reales!DH82)),IF(Reales!$C$82="PYG",IF(DH$10&gt;0,N(Reales!DH82)/DH$10,0),N(Reales!DH82)),DH$257*V_IVAmeses))</f>
        <v>0</v>
      </c>
      <c r="DI267" s="34" t="n">
        <f aca="false">IF(108&gt;Fin,DH$267,IF(AND(DI$8=1,ISNUMBER(Reales!DI82)),IF(Reales!$C$82="PYG",IF(DI$10&gt;0,N(Reales!DI82)/DI$10,0),N(Reales!DI82)),DI$257*V_IVAmeses))</f>
        <v>0</v>
      </c>
      <c r="DJ267" s="34" t="n">
        <f aca="false">IF(109&gt;Fin,DI$267,IF(AND(DJ$8=1,ISNUMBER(Reales!DJ82)),IF(Reales!$C$82="PYG",IF(DJ$10&gt;0,N(Reales!DJ82)/DJ$10,0),N(Reales!DJ82)),DJ$257*V_IVAmeses))</f>
        <v>0</v>
      </c>
      <c r="DK267" s="34" t="n">
        <f aca="false">IF(110&gt;Fin,DJ$267,IF(AND(DK$8=1,ISNUMBER(Reales!DK82)),IF(Reales!$C$82="PYG",IF(DK$10&gt;0,N(Reales!DK82)/DK$10,0),N(Reales!DK82)),DK$257*V_IVAmeses))</f>
        <v>0</v>
      </c>
      <c r="DL267" s="34" t="n">
        <f aca="false">IF(111&gt;Fin,DK$267,IF(AND(DL$8=1,ISNUMBER(Reales!DL82)),IF(Reales!$C$82="PYG",IF(DL$10&gt;0,N(Reales!DL82)/DL$10,0),N(Reales!DL82)),DL$257*V_IVAmeses))</f>
        <v>0</v>
      </c>
      <c r="DM267" s="34" t="n">
        <f aca="false">IF(112&gt;Fin,DL$267,IF(AND(DM$8=1,ISNUMBER(Reales!DM82)),IF(Reales!$C$82="PYG",IF(DM$10&gt;0,N(Reales!DM82)/DM$10,0),N(Reales!DM82)),DM$257*V_IVAmeses))</f>
        <v>0</v>
      </c>
      <c r="DN267" s="34" t="n">
        <f aca="false">IF(113&gt;Fin,DM$267,IF(AND(DN$8=1,ISNUMBER(Reales!DN82)),IF(Reales!$C$82="PYG",IF(DN$10&gt;0,N(Reales!DN82)/DN$10,0),N(Reales!DN82)),DN$257*V_IVAmeses))</f>
        <v>0</v>
      </c>
      <c r="DO267" s="34" t="n">
        <f aca="false">IF(114&gt;Fin,DN$267,IF(AND(DO$8=1,ISNUMBER(Reales!DO82)),IF(Reales!$C$82="PYG",IF(DO$10&gt;0,N(Reales!DO82)/DO$10,0),N(Reales!DO82)),DO$257*V_IVAmeses))</f>
        <v>0</v>
      </c>
      <c r="DP267" s="34" t="n">
        <f aca="false">IF(115&gt;Fin,DO$267,IF(AND(DP$8=1,ISNUMBER(Reales!DP82)),IF(Reales!$C$82="PYG",IF(DP$10&gt;0,N(Reales!DP82)/DP$10,0),N(Reales!DP82)),DP$257*V_IVAmeses))</f>
        <v>0</v>
      </c>
      <c r="DQ267" s="34" t="n">
        <f aca="false">IF(116&gt;Fin,DP$267,IF(AND(DQ$8=1,ISNUMBER(Reales!DQ82)),IF(Reales!$C$82="PYG",IF(DQ$10&gt;0,N(Reales!DQ82)/DQ$10,0),N(Reales!DQ82)),DQ$257*V_IVAmeses))</f>
        <v>0</v>
      </c>
      <c r="DR267" s="34" t="n">
        <f aca="false">IF(117&gt;Fin,DQ$267,IF(AND(DR$8=1,ISNUMBER(Reales!DR82)),IF(Reales!$C$82="PYG",IF(DR$10&gt;0,N(Reales!DR82)/DR$10,0),N(Reales!DR82)),DR$257*V_IVAmeses))</f>
        <v>0</v>
      </c>
      <c r="DS267" s="34" t="n">
        <f aca="false">IF(118&gt;Fin,DR$267,IF(AND(DS$8=1,ISNUMBER(Reales!DS82)),IF(Reales!$C$82="PYG",IF(DS$10&gt;0,N(Reales!DS82)/DS$10,0),N(Reales!DS82)),DS$257*V_IVAmeses))</f>
        <v>0</v>
      </c>
      <c r="DT267" s="34" t="n">
        <f aca="false">IF(119&gt;Fin,DS$267,IF(AND(DT$8=1,ISNUMBER(Reales!DT82)),IF(Reales!$C$82="PYG",IF(DT$10&gt;0,N(Reales!DT82)/DT$10,0),N(Reales!DT82)),DT$257*V_IVAmeses))</f>
        <v>0</v>
      </c>
      <c r="DU267" s="34" t="n">
        <f aca="false">IF(120&gt;Fin,DT$267,IF(AND(DU$8=1,ISNUMBER(Reales!DU82)),IF(Reales!$C$82="PYG",IF(DU$10&gt;0,N(Reales!DU82)/DU$10,0),N(Reales!DU82)),DU$257*V_IVAmeses))</f>
        <v>0</v>
      </c>
      <c r="DV267" s="34" t="n">
        <f aca="false">IF(121&gt;Fin,DU$267,IF(AND(DV$8=1,ISNUMBER(Reales!DV82)),IF(Reales!$C$82="PYG",IF(DV$10&gt;0,N(Reales!DV82)/DV$10,0),N(Reales!DV82)),DV$257*V_IVAmeses))</f>
        <v>0</v>
      </c>
      <c r="DW267" s="34" t="n">
        <f aca="false">IF(122&gt;Fin,DV$267,IF(AND(DW$8=1,ISNUMBER(Reales!DW82)),IF(Reales!$C$82="PYG",IF(DW$10&gt;0,N(Reales!DW82)/DW$10,0),N(Reales!DW82)),DW$257*V_IVAmeses))</f>
        <v>0</v>
      </c>
      <c r="DX267" s="34" t="n">
        <f aca="false">IF(123&gt;Fin,DW$267,IF(AND(DX$8=1,ISNUMBER(Reales!DX82)),IF(Reales!$C$82="PYG",IF(DX$10&gt;0,N(Reales!DX82)/DX$10,0),N(Reales!DX82)),DX$257*V_IVAmeses))</f>
        <v>0</v>
      </c>
      <c r="DY267" s="34" t="n">
        <f aca="false">IF(124&gt;Fin,DX$267,IF(AND(DY$8=1,ISNUMBER(Reales!DY82)),IF(Reales!$C$82="PYG",IF(DY$10&gt;0,N(Reales!DY82)/DY$10,0),N(Reales!DY82)),DY$257*V_IVAmeses))</f>
        <v>0</v>
      </c>
      <c r="DZ267" s="34" t="n">
        <f aca="false">IF(125&gt;Fin,DY$267,IF(AND(DZ$8=1,ISNUMBER(Reales!DZ82)),IF(Reales!$C$82="PYG",IF(DZ$10&gt;0,N(Reales!DZ82)/DZ$10,0),N(Reales!DZ82)),DZ$257*V_IVAmeses))</f>
        <v>0</v>
      </c>
      <c r="EA267" s="34" t="n">
        <f aca="false">IF(126&gt;Fin,DZ$267,IF(AND(EA$8=1,ISNUMBER(Reales!EA82)),IF(Reales!$C$82="PYG",IF(EA$10&gt;0,N(Reales!EA82)/EA$10,0),N(Reales!EA82)),EA$257*V_IVAmeses))</f>
        <v>0</v>
      </c>
      <c r="EB267" s="34" t="n">
        <f aca="false">IF(127&gt;Fin,EA$267,IF(AND(EB$8=1,ISNUMBER(Reales!EB82)),IF(Reales!$C$82="PYG",IF(EB$10&gt;0,N(Reales!EB82)/EB$10,0),N(Reales!EB82)),EB$257*V_IVAmeses))</f>
        <v>0</v>
      </c>
      <c r="EC267" s="34" t="n">
        <f aca="false">IF(128&gt;Fin,EB$267,IF(AND(EC$8=1,ISNUMBER(Reales!EC82)),IF(Reales!$C$82="PYG",IF(EC$10&gt;0,N(Reales!EC82)/EC$10,0),N(Reales!EC82)),EC$257*V_IVAmeses))</f>
        <v>0</v>
      </c>
      <c r="ED267" s="34" t="n">
        <f aca="false">IF(129&gt;Fin,EC$267,IF(AND(ED$8=1,ISNUMBER(Reales!ED82)),IF(Reales!$C$82="PYG",IF(ED$10&gt;0,N(Reales!ED82)/ED$10,0),N(Reales!ED82)),ED$257*V_IVAmeses))</f>
        <v>0</v>
      </c>
      <c r="EE267" s="34" t="n">
        <f aca="false">IF(130&gt;Fin,ED$267,IF(AND(EE$8=1,ISNUMBER(Reales!EE82)),IF(Reales!$C$82="PYG",IF(EE$10&gt;0,N(Reales!EE82)/EE$10,0),N(Reales!EE82)),EE$257*V_IVAmeses))</f>
        <v>0</v>
      </c>
      <c r="EF267" s="34" t="n">
        <f aca="false">IF(131&gt;Fin,EE$267,IF(AND(EF$8=1,ISNUMBER(Reales!EF82)),IF(Reales!$C$82="PYG",IF(EF$10&gt;0,N(Reales!EF82)/EF$10,0),N(Reales!EF82)),EF$257*V_IVAmeses))</f>
        <v>0</v>
      </c>
      <c r="EG267" s="34" t="n">
        <f aca="false">IF(132&gt;Fin,EF$267,IF(AND(EG$8=1,ISNUMBER(Reales!EG82)),IF(Reales!$C$82="PYG",IF(EG$10&gt;0,N(Reales!EG82)/EG$10,0),N(Reales!EG82)),EG$257*V_IVAmeses))</f>
        <v>0</v>
      </c>
      <c r="EH267" s="34" t="n">
        <f aca="false">IF(133&gt;Fin,EG$267,IF(AND(EH$8=1,ISNUMBER(Reales!EH82)),IF(Reales!$C$82="PYG",IF(EH$10&gt;0,N(Reales!EH82)/EH$10,0),N(Reales!EH82)),EH$257*V_IVAmeses))</f>
        <v>0</v>
      </c>
      <c r="EI267" s="34" t="n">
        <f aca="false">IF(134&gt;Fin,EH$267,IF(AND(EI$8=1,ISNUMBER(Reales!EI82)),IF(Reales!$C$82="PYG",IF(EI$10&gt;0,N(Reales!EI82)/EI$10,0),N(Reales!EI82)),EI$257*V_IVAmeses))</f>
        <v>0</v>
      </c>
      <c r="EJ267" s="34" t="n">
        <f aca="false">IF(135&gt;Fin,EI$267,IF(AND(EJ$8=1,ISNUMBER(Reales!EJ82)),IF(Reales!$C$82="PYG",IF(EJ$10&gt;0,N(Reales!EJ82)/EJ$10,0),N(Reales!EJ82)),EJ$257*V_IVAmeses))</f>
        <v>0</v>
      </c>
      <c r="EK267" s="34" t="n">
        <f aca="false">IF(136&gt;Fin,EJ$267,IF(AND(EK$8=1,ISNUMBER(Reales!EK82)),IF(Reales!$C$82="PYG",IF(EK$10&gt;0,N(Reales!EK82)/EK$10,0),N(Reales!EK82)),EK$257*V_IVAmeses))</f>
        <v>0</v>
      </c>
      <c r="EL267" s="34" t="n">
        <f aca="false">IF(137&gt;Fin,EK$267,IF(AND(EL$8=1,ISNUMBER(Reales!EL82)),IF(Reales!$C$82="PYG",IF(EL$10&gt;0,N(Reales!EL82)/EL$10,0),N(Reales!EL82)),EL$257*V_IVAmeses))</f>
        <v>0</v>
      </c>
      <c r="EM267" s="34" t="n">
        <f aca="false">IF(138&gt;Fin,EL$267,IF(AND(EM$8=1,ISNUMBER(Reales!EM82)),IF(Reales!$C$82="PYG",IF(EM$10&gt;0,N(Reales!EM82)/EM$10,0),N(Reales!EM82)),EM$257*V_IVAmeses))</f>
        <v>0</v>
      </c>
      <c r="EN267" s="34" t="n">
        <f aca="false">IF(139&gt;Fin,EM$267,IF(AND(EN$8=1,ISNUMBER(Reales!EN82)),IF(Reales!$C$82="PYG",IF(EN$10&gt;0,N(Reales!EN82)/EN$10,0),N(Reales!EN82)),EN$257*V_IVAmeses))</f>
        <v>0</v>
      </c>
      <c r="EO267" s="34" t="n">
        <f aca="false">IF(140&gt;Fin,EN$267,IF(AND(EO$8=1,ISNUMBER(Reales!EO82)),IF(Reales!$C$82="PYG",IF(EO$10&gt;0,N(Reales!EO82)/EO$10,0),N(Reales!EO82)),EO$257*V_IVAmeses))</f>
        <v>0</v>
      </c>
      <c r="EP267" s="34" t="n">
        <f aca="false">IF(141&gt;Fin,EO$267,IF(AND(EP$8=1,ISNUMBER(Reales!EP82)),IF(Reales!$C$82="PYG",IF(EP$10&gt;0,N(Reales!EP82)/EP$10,0),N(Reales!EP82)),EP$257*V_IVAmeses))</f>
        <v>0</v>
      </c>
      <c r="EQ267" s="34" t="n">
        <f aca="false">IF(142&gt;Fin,EP$267,IF(AND(EQ$8=1,ISNUMBER(Reales!EQ82)),IF(Reales!$C$82="PYG",IF(EQ$10&gt;0,N(Reales!EQ82)/EQ$10,0),N(Reales!EQ82)),EQ$257*V_IVAmeses))</f>
        <v>0</v>
      </c>
      <c r="ER267" s="34" t="n">
        <f aca="false">IF(143&gt;Fin,EQ$267,IF(AND(ER$8=1,ISNUMBER(Reales!ER82)),IF(Reales!$C$82="PYG",IF(ER$10&gt;0,N(Reales!ER82)/ER$10,0),N(Reales!ER82)),ER$257*V_IVAmeses))</f>
        <v>0</v>
      </c>
      <c r="ES267" s="34" t="n">
        <f aca="false">IF(144&gt;Fin,ER$267,IF(AND(ES$8=1,ISNUMBER(Reales!ES82)),IF(Reales!$C$82="PYG",IF(ES$10&gt;0,N(Reales!ES82)/ES$10,0),N(Reales!ES82)),ES$257*V_IVAmeses))</f>
        <v>0</v>
      </c>
    </row>
    <row r="268" customFormat="false" ht="15" hidden="false" customHeight="false" outlineLevel="0" collapsed="false">
      <c r="A268" s="2" t="s">
        <v>907</v>
      </c>
      <c r="B268" s="6" t="s">
        <v>711</v>
      </c>
      <c r="C268" s="6" t="s">
        <v>250</v>
      </c>
      <c r="E268" s="40" t="n">
        <f aca="false">INDEX(F268:ES268,1,MIN(144,Fin))</f>
        <v>158331.694422986</v>
      </c>
      <c r="F268" s="34" t="n">
        <f aca="false">IF(1&gt;Fin,0,IF(AND(F$8=1,ISNUMBER(Reales!F83)),IF(Reales!$C$83="PYG",IF(F$10&gt;0,N(Reales!F83)/F$10,0),N(Reales!F83)),F$249*V_DPOmp/DiasMes+(F$250+F$252+F$255+F$256)*V_DPOot/DiasMes))</f>
        <v>99105.4926010081</v>
      </c>
      <c r="G268" s="34" t="n">
        <f aca="false">IF(2&gt;Fin,F$268,IF(AND(G$8=1,ISNUMBER(Reales!G83)),IF(Reales!$C$83="PYG",IF(G$10&gt;0,N(Reales!G83)/G$10,0),N(Reales!G83)),G$249*V_DPOmp/DiasMes+(G$250+G$252+G$255+G$256)*V_DPOot/DiasMes))</f>
        <v>99105.4926010081</v>
      </c>
      <c r="H268" s="34" t="n">
        <f aca="false">IF(3&gt;Fin,G$268,IF(AND(H$8=1,ISNUMBER(Reales!H83)),IF(Reales!$C$83="PYG",IF(H$10&gt;0,N(Reales!H83)/H$10,0),N(Reales!H83)),H$249*V_DPOmp/DiasMes+(H$250+H$252+H$255+H$256)*V_DPOot/DiasMes))</f>
        <v>99105.4926010081</v>
      </c>
      <c r="I268" s="34" t="n">
        <f aca="false">IF(4&gt;Fin,H$268,IF(AND(I$8=1,ISNUMBER(Reales!I83)),IF(Reales!$C$83="PYG",IF(I$10&gt;0,N(Reales!I83)/I$10,0),N(Reales!I83)),I$249*V_DPOmp/DiasMes+(I$250+I$252+I$255+I$256)*V_DPOot/DiasMes))</f>
        <v>99105.4926010081</v>
      </c>
      <c r="J268" s="34" t="n">
        <f aca="false">IF(5&gt;Fin,I$268,IF(AND(J$8=1,ISNUMBER(Reales!J83)),IF(Reales!$C$83="PYG",IF(J$10&gt;0,N(Reales!J83)/J$10,0),N(Reales!J83)),J$249*V_DPOmp/DiasMes+(J$250+J$252+J$255+J$256)*V_DPOot/DiasMes))</f>
        <v>99105.4926010081</v>
      </c>
      <c r="K268" s="34" t="n">
        <f aca="false">IF(6&gt;Fin,J$268,IF(AND(K$8=1,ISNUMBER(Reales!K83)),IF(Reales!$C$83="PYG",IF(K$10&gt;0,N(Reales!K83)/K$10,0),N(Reales!K83)),K$249*V_DPOmp/DiasMes+(K$250+K$252+K$255+K$256)*V_DPOot/DiasMes))</f>
        <v>99105.4926010081</v>
      </c>
      <c r="L268" s="34" t="n">
        <f aca="false">IF(7&gt;Fin,K$268,IF(AND(L$8=1,ISNUMBER(Reales!L83)),IF(Reales!$C$83="PYG",IF(L$10&gt;0,N(Reales!L83)/L$10,0),N(Reales!L83)),L$249*V_DPOmp/DiasMes+(L$250+L$252+L$255+L$256)*V_DPOot/DiasMes))</f>
        <v>99105.4926010081</v>
      </c>
      <c r="M268" s="34" t="n">
        <f aca="false">IF(8&gt;Fin,L$268,IF(AND(M$8=1,ISNUMBER(Reales!M83)),IF(Reales!$C$83="PYG",IF(M$10&gt;0,N(Reales!M83)/M$10,0),N(Reales!M83)),M$249*V_DPOmp/DiasMes+(M$250+M$252+M$255+M$256)*V_DPOot/DiasMes))</f>
        <v>99105.4926010081</v>
      </c>
      <c r="N268" s="34" t="n">
        <f aca="false">IF(9&gt;Fin,M$268,IF(AND(N$8=1,ISNUMBER(Reales!N83)),IF(Reales!$C$83="PYG",IF(N$10&gt;0,N(Reales!N83)/N$10,0),N(Reales!N83)),N$249*V_DPOmp/DiasMes+(N$250+N$252+N$255+N$256)*V_DPOot/DiasMes))</f>
        <v>99105.4926010081</v>
      </c>
      <c r="O268" s="34" t="n">
        <f aca="false">IF(10&gt;Fin,N$268,IF(AND(O$8=1,ISNUMBER(Reales!O83)),IF(Reales!$C$83="PYG",IF(O$10&gt;0,N(Reales!O83)/O$10,0),N(Reales!O83)),O$249*V_DPOmp/DiasMes+(O$250+O$252+O$255+O$256)*V_DPOot/DiasMes))</f>
        <v>99105.4926010081</v>
      </c>
      <c r="P268" s="34" t="n">
        <f aca="false">IF(11&gt;Fin,O$268,IF(AND(P$8=1,ISNUMBER(Reales!P83)),IF(Reales!$C$83="PYG",IF(P$10&gt;0,N(Reales!P83)/P$10,0),N(Reales!P83)),P$249*V_DPOmp/DiasMes+(P$250+P$252+P$255+P$256)*V_DPOot/DiasMes))</f>
        <v>99105.4926010081</v>
      </c>
      <c r="Q268" s="34" t="n">
        <f aca="false">IF(12&gt;Fin,P$268,IF(AND(Q$8=1,ISNUMBER(Reales!Q83)),IF(Reales!$C$83="PYG",IF(Q$10&gt;0,N(Reales!Q83)/Q$10,0),N(Reales!Q83)),Q$249*V_DPOmp/DiasMes+(Q$250+Q$252+Q$255+Q$256)*V_DPOot/DiasMes))</f>
        <v>99105.4926010081</v>
      </c>
      <c r="R268" s="34" t="n">
        <f aca="false">IF(13&gt;Fin,Q$268,IF(AND(R$8=1,ISNUMBER(Reales!R83)),IF(Reales!$C$83="PYG",IF(R$10&gt;0,N(Reales!R83)/R$10,0),N(Reales!R83)),R$249*V_DPOmp/DiasMes+(R$250+R$252+R$255+R$256)*V_DPOot/DiasMes))</f>
        <v>117843.301076035</v>
      </c>
      <c r="S268" s="34" t="n">
        <f aca="false">IF(14&gt;Fin,R$268,IF(AND(S$8=1,ISNUMBER(Reales!S83)),IF(Reales!$C$83="PYG",IF(S$10&gt;0,N(Reales!S83)/S$10,0),N(Reales!S83)),S$249*V_DPOmp/DiasMes+(S$250+S$252+S$255+S$256)*V_DPOot/DiasMes))</f>
        <v>117843.301076035</v>
      </c>
      <c r="T268" s="34" t="n">
        <f aca="false">IF(15&gt;Fin,S$268,IF(AND(T$8=1,ISNUMBER(Reales!T83)),IF(Reales!$C$83="PYG",IF(T$10&gt;0,N(Reales!T83)/T$10,0),N(Reales!T83)),T$249*V_DPOmp/DiasMes+(T$250+T$252+T$255+T$256)*V_DPOot/DiasMes))</f>
        <v>117843.301076035</v>
      </c>
      <c r="U268" s="34" t="n">
        <f aca="false">IF(16&gt;Fin,T$268,IF(AND(U$8=1,ISNUMBER(Reales!U83)),IF(Reales!$C$83="PYG",IF(U$10&gt;0,N(Reales!U83)/U$10,0),N(Reales!U83)),U$249*V_DPOmp/DiasMes+(U$250+U$252+U$255+U$256)*V_DPOot/DiasMes))</f>
        <v>117843.301076035</v>
      </c>
      <c r="V268" s="34" t="n">
        <f aca="false">IF(17&gt;Fin,U$268,IF(AND(V$8=1,ISNUMBER(Reales!V83)),IF(Reales!$C$83="PYG",IF(V$10&gt;0,N(Reales!V83)/V$10,0),N(Reales!V83)),V$249*V_DPOmp/DiasMes+(V$250+V$252+V$255+V$256)*V_DPOot/DiasMes))</f>
        <v>117843.301076035</v>
      </c>
      <c r="W268" s="34" t="n">
        <f aca="false">IF(18&gt;Fin,V$268,IF(AND(W$8=1,ISNUMBER(Reales!W83)),IF(Reales!$C$83="PYG",IF(W$10&gt;0,N(Reales!W83)/W$10,0),N(Reales!W83)),W$249*V_DPOmp/DiasMes+(W$250+W$252+W$255+W$256)*V_DPOot/DiasMes))</f>
        <v>117843.301076035</v>
      </c>
      <c r="X268" s="34" t="n">
        <f aca="false">IF(19&gt;Fin,W$268,IF(AND(X$8=1,ISNUMBER(Reales!X83)),IF(Reales!$C$83="PYG",IF(X$10&gt;0,N(Reales!X83)/X$10,0),N(Reales!X83)),X$249*V_DPOmp/DiasMes+(X$250+X$252+X$255+X$256)*V_DPOot/DiasMes))</f>
        <v>117843.301076035</v>
      </c>
      <c r="Y268" s="34" t="n">
        <f aca="false">IF(20&gt;Fin,X$268,IF(AND(Y$8=1,ISNUMBER(Reales!Y83)),IF(Reales!$C$83="PYG",IF(Y$10&gt;0,N(Reales!Y83)/Y$10,0),N(Reales!Y83)),Y$249*V_DPOmp/DiasMes+(Y$250+Y$252+Y$255+Y$256)*V_DPOot/DiasMes))</f>
        <v>117843.301076035</v>
      </c>
      <c r="Z268" s="34" t="n">
        <f aca="false">IF(21&gt;Fin,Y$268,IF(AND(Z$8=1,ISNUMBER(Reales!Z83)),IF(Reales!$C$83="PYG",IF(Z$10&gt;0,N(Reales!Z83)/Z$10,0),N(Reales!Z83)),Z$249*V_DPOmp/DiasMes+(Z$250+Z$252+Z$255+Z$256)*V_DPOot/DiasMes))</f>
        <v>117843.301076035</v>
      </c>
      <c r="AA268" s="34" t="n">
        <f aca="false">IF(22&gt;Fin,Z$268,IF(AND(AA$8=1,ISNUMBER(Reales!AA83)),IF(Reales!$C$83="PYG",IF(AA$10&gt;0,N(Reales!AA83)/AA$10,0),N(Reales!AA83)),AA$249*V_DPOmp/DiasMes+(AA$250+AA$252+AA$255+AA$256)*V_DPOot/DiasMes))</f>
        <v>117843.301076035</v>
      </c>
      <c r="AB268" s="34" t="n">
        <f aca="false">IF(23&gt;Fin,AA$268,IF(AND(AB$8=1,ISNUMBER(Reales!AB83)),IF(Reales!$C$83="PYG",IF(AB$10&gt;0,N(Reales!AB83)/AB$10,0),N(Reales!AB83)),AB$249*V_DPOmp/DiasMes+(AB$250+AB$252+AB$255+AB$256)*V_DPOot/DiasMes))</f>
        <v>117843.301076035</v>
      </c>
      <c r="AC268" s="34" t="n">
        <f aca="false">IF(24&gt;Fin,AB$268,IF(AND(AC$8=1,ISNUMBER(Reales!AC83)),IF(Reales!$C$83="PYG",IF(AC$10&gt;0,N(Reales!AC83)/AC$10,0),N(Reales!AC83)),AC$249*V_DPOmp/DiasMes+(AC$250+AC$252+AC$255+AC$256)*V_DPOot/DiasMes))</f>
        <v>117843.301076035</v>
      </c>
      <c r="AD268" s="34" t="n">
        <f aca="false">IF(25&gt;Fin,AC$268,IF(AND(AD$8=1,ISNUMBER(Reales!AD83)),IF(Reales!$C$83="PYG",IF(AD$10&gt;0,N(Reales!AD83)/AD$10,0),N(Reales!AD83)),AD$249*V_DPOmp/DiasMes+(AD$250+AD$252+AD$255+AD$256)*V_DPOot/DiasMes))</f>
        <v>136841.164480491</v>
      </c>
      <c r="AE268" s="34" t="n">
        <f aca="false">IF(26&gt;Fin,AD$268,IF(AND(AE$8=1,ISNUMBER(Reales!AE83)),IF(Reales!$C$83="PYG",IF(AE$10&gt;0,N(Reales!AE83)/AE$10,0),N(Reales!AE83)),AE$249*V_DPOmp/DiasMes+(AE$250+AE$252+AE$255+AE$256)*V_DPOot/DiasMes))</f>
        <v>136841.164480491</v>
      </c>
      <c r="AF268" s="34" t="n">
        <f aca="false">IF(27&gt;Fin,AE$268,IF(AND(AF$8=1,ISNUMBER(Reales!AF83)),IF(Reales!$C$83="PYG",IF(AF$10&gt;0,N(Reales!AF83)/AF$10,0),N(Reales!AF83)),AF$249*V_DPOmp/DiasMes+(AF$250+AF$252+AF$255+AF$256)*V_DPOot/DiasMes))</f>
        <v>136841.164480491</v>
      </c>
      <c r="AG268" s="34" t="n">
        <f aca="false">IF(28&gt;Fin,AF$268,IF(AND(AG$8=1,ISNUMBER(Reales!AG83)),IF(Reales!$C$83="PYG",IF(AG$10&gt;0,N(Reales!AG83)/AG$10,0),N(Reales!AG83)),AG$249*V_DPOmp/DiasMes+(AG$250+AG$252+AG$255+AG$256)*V_DPOot/DiasMes))</f>
        <v>136841.164480491</v>
      </c>
      <c r="AH268" s="34" t="n">
        <f aca="false">IF(29&gt;Fin,AG$268,IF(AND(AH$8=1,ISNUMBER(Reales!AH83)),IF(Reales!$C$83="PYG",IF(AH$10&gt;0,N(Reales!AH83)/AH$10,0),N(Reales!AH83)),AH$249*V_DPOmp/DiasMes+(AH$250+AH$252+AH$255+AH$256)*V_DPOot/DiasMes))</f>
        <v>136841.164480491</v>
      </c>
      <c r="AI268" s="34" t="n">
        <f aca="false">IF(30&gt;Fin,AH$268,IF(AND(AI$8=1,ISNUMBER(Reales!AI83)),IF(Reales!$C$83="PYG",IF(AI$10&gt;0,N(Reales!AI83)/AI$10,0),N(Reales!AI83)),AI$249*V_DPOmp/DiasMes+(AI$250+AI$252+AI$255+AI$256)*V_DPOot/DiasMes))</f>
        <v>136841.164480491</v>
      </c>
      <c r="AJ268" s="34" t="n">
        <f aca="false">IF(31&gt;Fin,AI$268,IF(AND(AJ$8=1,ISNUMBER(Reales!AJ83)),IF(Reales!$C$83="PYG",IF(AJ$10&gt;0,N(Reales!AJ83)/AJ$10,0),N(Reales!AJ83)),AJ$249*V_DPOmp/DiasMes+(AJ$250+AJ$252+AJ$255+AJ$256)*V_DPOot/DiasMes))</f>
        <v>136841.164480491</v>
      </c>
      <c r="AK268" s="34" t="n">
        <f aca="false">IF(32&gt;Fin,AJ$268,IF(AND(AK$8=1,ISNUMBER(Reales!AK83)),IF(Reales!$C$83="PYG",IF(AK$10&gt;0,N(Reales!AK83)/AK$10,0),N(Reales!AK83)),AK$249*V_DPOmp/DiasMes+(AK$250+AK$252+AK$255+AK$256)*V_DPOot/DiasMes))</f>
        <v>136841.164480491</v>
      </c>
      <c r="AL268" s="34" t="n">
        <f aca="false">IF(33&gt;Fin,AK$268,IF(AND(AL$8=1,ISNUMBER(Reales!AL83)),IF(Reales!$C$83="PYG",IF(AL$10&gt;0,N(Reales!AL83)/AL$10,0),N(Reales!AL83)),AL$249*V_DPOmp/DiasMes+(AL$250+AL$252+AL$255+AL$256)*V_DPOot/DiasMes))</f>
        <v>136841.164480491</v>
      </c>
      <c r="AM268" s="34" t="n">
        <f aca="false">IF(34&gt;Fin,AL$268,IF(AND(AM$8=1,ISNUMBER(Reales!AM83)),IF(Reales!$C$83="PYG",IF(AM$10&gt;0,N(Reales!AM83)/AM$10,0),N(Reales!AM83)),AM$249*V_DPOmp/DiasMes+(AM$250+AM$252+AM$255+AM$256)*V_DPOot/DiasMes))</f>
        <v>136841.164480491</v>
      </c>
      <c r="AN268" s="34" t="n">
        <f aca="false">IF(35&gt;Fin,AM$268,IF(AND(AN$8=1,ISNUMBER(Reales!AN83)),IF(Reales!$C$83="PYG",IF(AN$10&gt;0,N(Reales!AN83)/AN$10,0),N(Reales!AN83)),AN$249*V_DPOmp/DiasMes+(AN$250+AN$252+AN$255+AN$256)*V_DPOot/DiasMes))</f>
        <v>136841.164480491</v>
      </c>
      <c r="AO268" s="34" t="n">
        <f aca="false">IF(36&gt;Fin,AN$268,IF(AND(AO$8=1,ISNUMBER(Reales!AO83)),IF(Reales!$C$83="PYG",IF(AO$10&gt;0,N(Reales!AO83)/AO$10,0),N(Reales!AO83)),AO$249*V_DPOmp/DiasMes+(AO$250+AO$252+AO$255+AO$256)*V_DPOot/DiasMes))</f>
        <v>136841.164480491</v>
      </c>
      <c r="AP268" s="34" t="n">
        <f aca="false">IF(37&gt;Fin,AO$268,IF(AND(AP$8=1,ISNUMBER(Reales!AP83)),IF(Reales!$C$83="PYG",IF(AP$10&gt;0,N(Reales!AP83)/AP$10,0),N(Reales!AP83)),AP$249*V_DPOmp/DiasMes+(AP$250+AP$252+AP$255+AP$256)*V_DPOot/DiasMes))</f>
        <v>152372.625750663</v>
      </c>
      <c r="AQ268" s="34" t="n">
        <f aca="false">IF(38&gt;Fin,AP$268,IF(AND(AQ$8=1,ISNUMBER(Reales!AQ83)),IF(Reales!$C$83="PYG",IF(AQ$10&gt;0,N(Reales!AQ83)/AQ$10,0),N(Reales!AQ83)),AQ$249*V_DPOmp/DiasMes+(AQ$250+AQ$252+AQ$255+AQ$256)*V_DPOot/DiasMes))</f>
        <v>152372.625750663</v>
      </c>
      <c r="AR268" s="34" t="n">
        <f aca="false">IF(39&gt;Fin,AQ$268,IF(AND(AR$8=1,ISNUMBER(Reales!AR83)),IF(Reales!$C$83="PYG",IF(AR$10&gt;0,N(Reales!AR83)/AR$10,0),N(Reales!AR83)),AR$249*V_DPOmp/DiasMes+(AR$250+AR$252+AR$255+AR$256)*V_DPOot/DiasMes))</f>
        <v>152372.625750663</v>
      </c>
      <c r="AS268" s="34" t="n">
        <f aca="false">IF(40&gt;Fin,AR$268,IF(AND(AS$8=1,ISNUMBER(Reales!AS83)),IF(Reales!$C$83="PYG",IF(AS$10&gt;0,N(Reales!AS83)/AS$10,0),N(Reales!AS83)),AS$249*V_DPOmp/DiasMes+(AS$250+AS$252+AS$255+AS$256)*V_DPOot/DiasMes))</f>
        <v>152372.625750663</v>
      </c>
      <c r="AT268" s="34" t="n">
        <f aca="false">IF(41&gt;Fin,AS$268,IF(AND(AT$8=1,ISNUMBER(Reales!AT83)),IF(Reales!$C$83="PYG",IF(AT$10&gt;0,N(Reales!AT83)/AT$10,0),N(Reales!AT83)),AT$249*V_DPOmp/DiasMes+(AT$250+AT$252+AT$255+AT$256)*V_DPOot/DiasMes))</f>
        <v>152372.625750663</v>
      </c>
      <c r="AU268" s="34" t="n">
        <f aca="false">IF(42&gt;Fin,AT$268,IF(AND(AU$8=1,ISNUMBER(Reales!AU83)),IF(Reales!$C$83="PYG",IF(AU$10&gt;0,N(Reales!AU83)/AU$10,0),N(Reales!AU83)),AU$249*V_DPOmp/DiasMes+(AU$250+AU$252+AU$255+AU$256)*V_DPOot/DiasMes))</f>
        <v>152372.625750663</v>
      </c>
      <c r="AV268" s="34" t="n">
        <f aca="false">IF(43&gt;Fin,AU$268,IF(AND(AV$8=1,ISNUMBER(Reales!AV83)),IF(Reales!$C$83="PYG",IF(AV$10&gt;0,N(Reales!AV83)/AV$10,0),N(Reales!AV83)),AV$249*V_DPOmp/DiasMes+(AV$250+AV$252+AV$255+AV$256)*V_DPOot/DiasMes))</f>
        <v>152372.625750663</v>
      </c>
      <c r="AW268" s="34" t="n">
        <f aca="false">IF(44&gt;Fin,AV$268,IF(AND(AW$8=1,ISNUMBER(Reales!AW83)),IF(Reales!$C$83="PYG",IF(AW$10&gt;0,N(Reales!AW83)/AW$10,0),N(Reales!AW83)),AW$249*V_DPOmp/DiasMes+(AW$250+AW$252+AW$255+AW$256)*V_DPOot/DiasMes))</f>
        <v>152372.625750663</v>
      </c>
      <c r="AX268" s="34" t="n">
        <f aca="false">IF(45&gt;Fin,AW$268,IF(AND(AX$8=1,ISNUMBER(Reales!AX83)),IF(Reales!$C$83="PYG",IF(AX$10&gt;0,N(Reales!AX83)/AX$10,0),N(Reales!AX83)),AX$249*V_DPOmp/DiasMes+(AX$250+AX$252+AX$255+AX$256)*V_DPOot/DiasMes))</f>
        <v>152372.625750663</v>
      </c>
      <c r="AY268" s="34" t="n">
        <f aca="false">IF(46&gt;Fin,AX$268,IF(AND(AY$8=1,ISNUMBER(Reales!AY83)),IF(Reales!$C$83="PYG",IF(AY$10&gt;0,N(Reales!AY83)/AY$10,0),N(Reales!AY83)),AY$249*V_DPOmp/DiasMes+(AY$250+AY$252+AY$255+AY$256)*V_DPOot/DiasMes))</f>
        <v>152372.625750663</v>
      </c>
      <c r="AZ268" s="34" t="n">
        <f aca="false">IF(47&gt;Fin,AY$268,IF(AND(AZ$8=1,ISNUMBER(Reales!AZ83)),IF(Reales!$C$83="PYG",IF(AZ$10&gt;0,N(Reales!AZ83)/AZ$10,0),N(Reales!AZ83)),AZ$249*V_DPOmp/DiasMes+(AZ$250+AZ$252+AZ$255+AZ$256)*V_DPOot/DiasMes))</f>
        <v>152372.625750663</v>
      </c>
      <c r="BA268" s="34" t="n">
        <f aca="false">IF(48&gt;Fin,AZ$268,IF(AND(BA$8=1,ISNUMBER(Reales!BA83)),IF(Reales!$C$83="PYG",IF(BA$10&gt;0,N(Reales!BA83)/BA$10,0),N(Reales!BA83)),BA$249*V_DPOmp/DiasMes+(BA$250+BA$252+BA$255+BA$256)*V_DPOot/DiasMes))</f>
        <v>152372.625750663</v>
      </c>
      <c r="BB268" s="34" t="n">
        <f aca="false">IF(49&gt;Fin,BA$268,IF(AND(BB$8=1,ISNUMBER(Reales!BB83)),IF(Reales!$C$83="PYG",IF(BB$10&gt;0,N(Reales!BB83)/BB$10,0),N(Reales!BB83)),BB$249*V_DPOmp/DiasMes+(BB$250+BB$252+BB$255+BB$256)*V_DPOot/DiasMes))</f>
        <v>153439.396899076</v>
      </c>
      <c r="BC268" s="34" t="n">
        <f aca="false">IF(50&gt;Fin,BB$268,IF(AND(BC$8=1,ISNUMBER(Reales!BC83)),IF(Reales!$C$83="PYG",IF(BC$10&gt;0,N(Reales!BC83)/BC$10,0),N(Reales!BC83)),BC$249*V_DPOmp/DiasMes+(BC$250+BC$252+BC$255+BC$256)*V_DPOot/DiasMes))</f>
        <v>153439.396899076</v>
      </c>
      <c r="BD268" s="34" t="n">
        <f aca="false">IF(51&gt;Fin,BC$268,IF(AND(BD$8=1,ISNUMBER(Reales!BD83)),IF(Reales!$C$83="PYG",IF(BD$10&gt;0,N(Reales!BD83)/BD$10,0),N(Reales!BD83)),BD$249*V_DPOmp/DiasMes+(BD$250+BD$252+BD$255+BD$256)*V_DPOot/DiasMes))</f>
        <v>153439.396899076</v>
      </c>
      <c r="BE268" s="34" t="n">
        <f aca="false">IF(52&gt;Fin,BD$268,IF(AND(BE$8=1,ISNUMBER(Reales!BE83)),IF(Reales!$C$83="PYG",IF(BE$10&gt;0,N(Reales!BE83)/BE$10,0),N(Reales!BE83)),BE$249*V_DPOmp/DiasMes+(BE$250+BE$252+BE$255+BE$256)*V_DPOot/DiasMes))</f>
        <v>153439.396899076</v>
      </c>
      <c r="BF268" s="34" t="n">
        <f aca="false">IF(53&gt;Fin,BE$268,IF(AND(BF$8=1,ISNUMBER(Reales!BF83)),IF(Reales!$C$83="PYG",IF(BF$10&gt;0,N(Reales!BF83)/BF$10,0),N(Reales!BF83)),BF$249*V_DPOmp/DiasMes+(BF$250+BF$252+BF$255+BF$256)*V_DPOot/DiasMes))</f>
        <v>153439.396899076</v>
      </c>
      <c r="BG268" s="34" t="n">
        <f aca="false">IF(54&gt;Fin,BF$268,IF(AND(BG$8=1,ISNUMBER(Reales!BG83)),IF(Reales!$C$83="PYG",IF(BG$10&gt;0,N(Reales!BG83)/BG$10,0),N(Reales!BG83)),BG$249*V_DPOmp/DiasMes+(BG$250+BG$252+BG$255+BG$256)*V_DPOot/DiasMes))</f>
        <v>153439.396899076</v>
      </c>
      <c r="BH268" s="34" t="n">
        <f aca="false">IF(55&gt;Fin,BG$268,IF(AND(BH$8=1,ISNUMBER(Reales!BH83)),IF(Reales!$C$83="PYG",IF(BH$10&gt;0,N(Reales!BH83)/BH$10,0),N(Reales!BH83)),BH$249*V_DPOmp/DiasMes+(BH$250+BH$252+BH$255+BH$256)*V_DPOot/DiasMes))</f>
        <v>153439.396899076</v>
      </c>
      <c r="BI268" s="34" t="n">
        <f aca="false">IF(56&gt;Fin,BH$268,IF(AND(BI$8=1,ISNUMBER(Reales!BI83)),IF(Reales!$C$83="PYG",IF(BI$10&gt;0,N(Reales!BI83)/BI$10,0),N(Reales!BI83)),BI$249*V_DPOmp/DiasMes+(BI$250+BI$252+BI$255+BI$256)*V_DPOot/DiasMes))</f>
        <v>153439.396899076</v>
      </c>
      <c r="BJ268" s="34" t="n">
        <f aca="false">IF(57&gt;Fin,BI$268,IF(AND(BJ$8=1,ISNUMBER(Reales!BJ83)),IF(Reales!$C$83="PYG",IF(BJ$10&gt;0,N(Reales!BJ83)/BJ$10,0),N(Reales!BJ83)),BJ$249*V_DPOmp/DiasMes+(BJ$250+BJ$252+BJ$255+BJ$256)*V_DPOot/DiasMes))</f>
        <v>153439.396899076</v>
      </c>
      <c r="BK268" s="34" t="n">
        <f aca="false">IF(58&gt;Fin,BJ$268,IF(AND(BK$8=1,ISNUMBER(Reales!BK83)),IF(Reales!$C$83="PYG",IF(BK$10&gt;0,N(Reales!BK83)/BK$10,0),N(Reales!BK83)),BK$249*V_DPOmp/DiasMes+(BK$250+BK$252+BK$255+BK$256)*V_DPOot/DiasMes))</f>
        <v>153439.396899076</v>
      </c>
      <c r="BL268" s="34" t="n">
        <f aca="false">IF(59&gt;Fin,BK$268,IF(AND(BL$8=1,ISNUMBER(Reales!BL83)),IF(Reales!$C$83="PYG",IF(BL$10&gt;0,N(Reales!BL83)/BL$10,0),N(Reales!BL83)),BL$249*V_DPOmp/DiasMes+(BL$250+BL$252+BL$255+BL$256)*V_DPOot/DiasMes))</f>
        <v>153439.396899076</v>
      </c>
      <c r="BM268" s="34" t="n">
        <f aca="false">IF(60&gt;Fin,BL$268,IF(AND(BM$8=1,ISNUMBER(Reales!BM83)),IF(Reales!$C$83="PYG",IF(BM$10&gt;0,N(Reales!BM83)/BM$10,0),N(Reales!BM83)),BM$249*V_DPOmp/DiasMes+(BM$250+BM$252+BM$255+BM$256)*V_DPOot/DiasMes))</f>
        <v>153439.396899076</v>
      </c>
      <c r="BN268" s="34" t="n">
        <f aca="false">IF(61&gt;Fin,BM$268,IF(AND(BN$8=1,ISNUMBER(Reales!BN83)),IF(Reales!$C$83="PYG",IF(BN$10&gt;0,N(Reales!BN83)/BN$10,0),N(Reales!BN83)),BN$249*V_DPOmp/DiasMes+(BN$250+BN$252+BN$255+BN$256)*V_DPOot/DiasMes))</f>
        <v>154373.202430234</v>
      </c>
      <c r="BO268" s="34" t="n">
        <f aca="false">IF(62&gt;Fin,BN$268,IF(AND(BO$8=1,ISNUMBER(Reales!BO83)),IF(Reales!$C$83="PYG",IF(BO$10&gt;0,N(Reales!BO83)/BO$10,0),N(Reales!BO83)),BO$249*V_DPOmp/DiasMes+(BO$250+BO$252+BO$255+BO$256)*V_DPOot/DiasMes))</f>
        <v>154373.202430234</v>
      </c>
      <c r="BP268" s="34" t="n">
        <f aca="false">IF(63&gt;Fin,BO$268,IF(AND(BP$8=1,ISNUMBER(Reales!BP83)),IF(Reales!$C$83="PYG",IF(BP$10&gt;0,N(Reales!BP83)/BP$10,0),N(Reales!BP83)),BP$249*V_DPOmp/DiasMes+(BP$250+BP$252+BP$255+BP$256)*V_DPOot/DiasMes))</f>
        <v>154373.202430234</v>
      </c>
      <c r="BQ268" s="34" t="n">
        <f aca="false">IF(64&gt;Fin,BP$268,IF(AND(BQ$8=1,ISNUMBER(Reales!BQ83)),IF(Reales!$C$83="PYG",IF(BQ$10&gt;0,N(Reales!BQ83)/BQ$10,0),N(Reales!BQ83)),BQ$249*V_DPOmp/DiasMes+(BQ$250+BQ$252+BQ$255+BQ$256)*V_DPOot/DiasMes))</f>
        <v>154373.202430234</v>
      </c>
      <c r="BR268" s="34" t="n">
        <f aca="false">IF(65&gt;Fin,BQ$268,IF(AND(BR$8=1,ISNUMBER(Reales!BR83)),IF(Reales!$C$83="PYG",IF(BR$10&gt;0,N(Reales!BR83)/BR$10,0),N(Reales!BR83)),BR$249*V_DPOmp/DiasMes+(BR$250+BR$252+BR$255+BR$256)*V_DPOot/DiasMes))</f>
        <v>154373.202430234</v>
      </c>
      <c r="BS268" s="34" t="n">
        <f aca="false">IF(66&gt;Fin,BR$268,IF(AND(BS$8=1,ISNUMBER(Reales!BS83)),IF(Reales!$C$83="PYG",IF(BS$10&gt;0,N(Reales!BS83)/BS$10,0),N(Reales!BS83)),BS$249*V_DPOmp/DiasMes+(BS$250+BS$252+BS$255+BS$256)*V_DPOot/DiasMes))</f>
        <v>154373.202430234</v>
      </c>
      <c r="BT268" s="34" t="n">
        <f aca="false">IF(67&gt;Fin,BS$268,IF(AND(BT$8=1,ISNUMBER(Reales!BT83)),IF(Reales!$C$83="PYG",IF(BT$10&gt;0,N(Reales!BT83)/BT$10,0),N(Reales!BT83)),BT$249*V_DPOmp/DiasMes+(BT$250+BT$252+BT$255+BT$256)*V_DPOot/DiasMes))</f>
        <v>154373.202430234</v>
      </c>
      <c r="BU268" s="34" t="n">
        <f aca="false">IF(68&gt;Fin,BT$268,IF(AND(BU$8=1,ISNUMBER(Reales!BU83)),IF(Reales!$C$83="PYG",IF(BU$10&gt;0,N(Reales!BU83)/BU$10,0),N(Reales!BU83)),BU$249*V_DPOmp/DiasMes+(BU$250+BU$252+BU$255+BU$256)*V_DPOot/DiasMes))</f>
        <v>154373.202430234</v>
      </c>
      <c r="BV268" s="34" t="n">
        <f aca="false">IF(69&gt;Fin,BU$268,IF(AND(BV$8=1,ISNUMBER(Reales!BV83)),IF(Reales!$C$83="PYG",IF(BV$10&gt;0,N(Reales!BV83)/BV$10,0),N(Reales!BV83)),BV$249*V_DPOmp/DiasMes+(BV$250+BV$252+BV$255+BV$256)*V_DPOot/DiasMes))</f>
        <v>154373.202430234</v>
      </c>
      <c r="BW268" s="34" t="n">
        <f aca="false">IF(70&gt;Fin,BV$268,IF(AND(BW$8=1,ISNUMBER(Reales!BW83)),IF(Reales!$C$83="PYG",IF(BW$10&gt;0,N(Reales!BW83)/BW$10,0),N(Reales!BW83)),BW$249*V_DPOmp/DiasMes+(BW$250+BW$252+BW$255+BW$256)*V_DPOot/DiasMes))</f>
        <v>154373.202430234</v>
      </c>
      <c r="BX268" s="34" t="n">
        <f aca="false">IF(71&gt;Fin,BW$268,IF(AND(BX$8=1,ISNUMBER(Reales!BX83)),IF(Reales!$C$83="PYG",IF(BX$10&gt;0,N(Reales!BX83)/BX$10,0),N(Reales!BX83)),BX$249*V_DPOmp/DiasMes+(BX$250+BX$252+BX$255+BX$256)*V_DPOot/DiasMes))</f>
        <v>154373.202430234</v>
      </c>
      <c r="BY268" s="34" t="n">
        <f aca="false">IF(72&gt;Fin,BX$268,IF(AND(BY$8=1,ISNUMBER(Reales!BY83)),IF(Reales!$C$83="PYG",IF(BY$10&gt;0,N(Reales!BY83)/BY$10,0),N(Reales!BY83)),BY$249*V_DPOmp/DiasMes+(BY$250+BY$252+BY$255+BY$256)*V_DPOot/DiasMes))</f>
        <v>154373.202430234</v>
      </c>
      <c r="BZ268" s="34" t="n">
        <f aca="false">IF(73&gt;Fin,BY$268,IF(AND(BZ$8=1,ISNUMBER(Reales!BZ83)),IF(Reales!$C$83="PYG",IF(BZ$10&gt;0,N(Reales!BZ83)/BZ$10,0),N(Reales!BZ83)),BZ$249*V_DPOmp/DiasMes+(BZ$250+BZ$252+BZ$255+BZ$256)*V_DPOot/DiasMes))</f>
        <v>155328.742837727</v>
      </c>
      <c r="CA268" s="34" t="n">
        <f aca="false">IF(74&gt;Fin,BZ$268,IF(AND(CA$8=1,ISNUMBER(Reales!CA83)),IF(Reales!$C$83="PYG",IF(CA$10&gt;0,N(Reales!CA83)/CA$10,0),N(Reales!CA83)),CA$249*V_DPOmp/DiasMes+(CA$250+CA$252+CA$255+CA$256)*V_DPOot/DiasMes))</f>
        <v>155328.742837727</v>
      </c>
      <c r="CB268" s="34" t="n">
        <f aca="false">IF(75&gt;Fin,CA$268,IF(AND(CB$8=1,ISNUMBER(Reales!CB83)),IF(Reales!$C$83="PYG",IF(CB$10&gt;0,N(Reales!CB83)/CB$10,0),N(Reales!CB83)),CB$249*V_DPOmp/DiasMes+(CB$250+CB$252+CB$255+CB$256)*V_DPOot/DiasMes))</f>
        <v>155328.742837727</v>
      </c>
      <c r="CC268" s="34" t="n">
        <f aca="false">IF(76&gt;Fin,CB$268,IF(AND(CC$8=1,ISNUMBER(Reales!CC83)),IF(Reales!$C$83="PYG",IF(CC$10&gt;0,N(Reales!CC83)/CC$10,0),N(Reales!CC83)),CC$249*V_DPOmp/DiasMes+(CC$250+CC$252+CC$255+CC$256)*V_DPOot/DiasMes))</f>
        <v>155328.742837727</v>
      </c>
      <c r="CD268" s="34" t="n">
        <f aca="false">IF(77&gt;Fin,CC$268,IF(AND(CD$8=1,ISNUMBER(Reales!CD83)),IF(Reales!$C$83="PYG",IF(CD$10&gt;0,N(Reales!CD83)/CD$10,0),N(Reales!CD83)),CD$249*V_DPOmp/DiasMes+(CD$250+CD$252+CD$255+CD$256)*V_DPOot/DiasMes))</f>
        <v>155328.742837727</v>
      </c>
      <c r="CE268" s="34" t="n">
        <f aca="false">IF(78&gt;Fin,CD$268,IF(AND(CE$8=1,ISNUMBER(Reales!CE83)),IF(Reales!$C$83="PYG",IF(CE$10&gt;0,N(Reales!CE83)/CE$10,0),N(Reales!CE83)),CE$249*V_DPOmp/DiasMes+(CE$250+CE$252+CE$255+CE$256)*V_DPOot/DiasMes))</f>
        <v>155328.742837727</v>
      </c>
      <c r="CF268" s="34" t="n">
        <f aca="false">IF(79&gt;Fin,CE$268,IF(AND(CF$8=1,ISNUMBER(Reales!CF83)),IF(Reales!$C$83="PYG",IF(CF$10&gt;0,N(Reales!CF83)/CF$10,0),N(Reales!CF83)),CF$249*V_DPOmp/DiasMes+(CF$250+CF$252+CF$255+CF$256)*V_DPOot/DiasMes))</f>
        <v>155328.742837727</v>
      </c>
      <c r="CG268" s="34" t="n">
        <f aca="false">IF(80&gt;Fin,CF$268,IF(AND(CG$8=1,ISNUMBER(Reales!CG83)),IF(Reales!$C$83="PYG",IF(CG$10&gt;0,N(Reales!CG83)/CG$10,0),N(Reales!CG83)),CG$249*V_DPOmp/DiasMes+(CG$250+CG$252+CG$255+CG$256)*V_DPOot/DiasMes))</f>
        <v>155328.742837727</v>
      </c>
      <c r="CH268" s="34" t="n">
        <f aca="false">IF(81&gt;Fin,CG$268,IF(AND(CH$8=1,ISNUMBER(Reales!CH83)),IF(Reales!$C$83="PYG",IF(CH$10&gt;0,N(Reales!CH83)/CH$10,0),N(Reales!CH83)),CH$249*V_DPOmp/DiasMes+(CH$250+CH$252+CH$255+CH$256)*V_DPOot/DiasMes))</f>
        <v>155328.742837727</v>
      </c>
      <c r="CI268" s="34" t="n">
        <f aca="false">IF(82&gt;Fin,CH$268,IF(AND(CI$8=1,ISNUMBER(Reales!CI83)),IF(Reales!$C$83="PYG",IF(CI$10&gt;0,N(Reales!CI83)/CI$10,0),N(Reales!CI83)),CI$249*V_DPOmp/DiasMes+(CI$250+CI$252+CI$255+CI$256)*V_DPOot/DiasMes))</f>
        <v>155328.742837727</v>
      </c>
      <c r="CJ268" s="34" t="n">
        <f aca="false">IF(83&gt;Fin,CI$268,IF(AND(CJ$8=1,ISNUMBER(Reales!CJ83)),IF(Reales!$C$83="PYG",IF(CJ$10&gt;0,N(Reales!CJ83)/CJ$10,0),N(Reales!CJ83)),CJ$249*V_DPOmp/DiasMes+(CJ$250+CJ$252+CJ$255+CJ$256)*V_DPOot/DiasMes))</f>
        <v>155328.742837727</v>
      </c>
      <c r="CK268" s="34" t="n">
        <f aca="false">IF(84&gt;Fin,CJ$268,IF(AND(CK$8=1,ISNUMBER(Reales!CK83)),IF(Reales!$C$83="PYG",IF(CK$10&gt;0,N(Reales!CK83)/CK$10,0),N(Reales!CK83)),CK$249*V_DPOmp/DiasMes+(CK$250+CK$252+CK$255+CK$256)*V_DPOot/DiasMes))</f>
        <v>155328.742837727</v>
      </c>
      <c r="CL268" s="34" t="n">
        <f aca="false">IF(85&gt;Fin,CK$268,IF(AND(CL$8=1,ISNUMBER(Reales!CL83)),IF(Reales!$C$83="PYG",IF(CL$10&gt;0,N(Reales!CL83)/CL$10,0),N(Reales!CL83)),CL$249*V_DPOmp/DiasMes+(CL$250+CL$252+CL$255+CL$256)*V_DPOot/DiasMes))</f>
        <v>156306.601824573</v>
      </c>
      <c r="CM268" s="34" t="n">
        <f aca="false">IF(86&gt;Fin,CL$268,IF(AND(CM$8=1,ISNUMBER(Reales!CM83)),IF(Reales!$C$83="PYG",IF(CM$10&gt;0,N(Reales!CM83)/CM$10,0),N(Reales!CM83)),CM$249*V_DPOmp/DiasMes+(CM$250+CM$252+CM$255+CM$256)*V_DPOot/DiasMes))</f>
        <v>156306.601824573</v>
      </c>
      <c r="CN268" s="34" t="n">
        <f aca="false">IF(87&gt;Fin,CM$268,IF(AND(CN$8=1,ISNUMBER(Reales!CN83)),IF(Reales!$C$83="PYG",IF(CN$10&gt;0,N(Reales!CN83)/CN$10,0),N(Reales!CN83)),CN$249*V_DPOmp/DiasMes+(CN$250+CN$252+CN$255+CN$256)*V_DPOot/DiasMes))</f>
        <v>156306.601824573</v>
      </c>
      <c r="CO268" s="34" t="n">
        <f aca="false">IF(88&gt;Fin,CN$268,IF(AND(CO$8=1,ISNUMBER(Reales!CO83)),IF(Reales!$C$83="PYG",IF(CO$10&gt;0,N(Reales!CO83)/CO$10,0),N(Reales!CO83)),CO$249*V_DPOmp/DiasMes+(CO$250+CO$252+CO$255+CO$256)*V_DPOot/DiasMes))</f>
        <v>156306.601824573</v>
      </c>
      <c r="CP268" s="34" t="n">
        <f aca="false">IF(89&gt;Fin,CO$268,IF(AND(CP$8=1,ISNUMBER(Reales!CP83)),IF(Reales!$C$83="PYG",IF(CP$10&gt;0,N(Reales!CP83)/CP$10,0),N(Reales!CP83)),CP$249*V_DPOmp/DiasMes+(CP$250+CP$252+CP$255+CP$256)*V_DPOot/DiasMes))</f>
        <v>156306.601824573</v>
      </c>
      <c r="CQ268" s="34" t="n">
        <f aca="false">IF(90&gt;Fin,CP$268,IF(AND(CQ$8=1,ISNUMBER(Reales!CQ83)),IF(Reales!$C$83="PYG",IF(CQ$10&gt;0,N(Reales!CQ83)/CQ$10,0),N(Reales!CQ83)),CQ$249*V_DPOmp/DiasMes+(CQ$250+CQ$252+CQ$255+CQ$256)*V_DPOot/DiasMes))</f>
        <v>156306.601824573</v>
      </c>
      <c r="CR268" s="34" t="n">
        <f aca="false">IF(91&gt;Fin,CQ$268,IF(AND(CR$8=1,ISNUMBER(Reales!CR83)),IF(Reales!$C$83="PYG",IF(CR$10&gt;0,N(Reales!CR83)/CR$10,0),N(Reales!CR83)),CR$249*V_DPOmp/DiasMes+(CR$250+CR$252+CR$255+CR$256)*V_DPOot/DiasMes))</f>
        <v>156306.601824573</v>
      </c>
      <c r="CS268" s="34" t="n">
        <f aca="false">IF(92&gt;Fin,CR$268,IF(AND(CS$8=1,ISNUMBER(Reales!CS83)),IF(Reales!$C$83="PYG",IF(CS$10&gt;0,N(Reales!CS83)/CS$10,0),N(Reales!CS83)),CS$249*V_DPOmp/DiasMes+(CS$250+CS$252+CS$255+CS$256)*V_DPOot/DiasMes))</f>
        <v>156306.601824573</v>
      </c>
      <c r="CT268" s="34" t="n">
        <f aca="false">IF(93&gt;Fin,CS$268,IF(AND(CT$8=1,ISNUMBER(Reales!CT83)),IF(Reales!$C$83="PYG",IF(CT$10&gt;0,N(Reales!CT83)/CT$10,0),N(Reales!CT83)),CT$249*V_DPOmp/DiasMes+(CT$250+CT$252+CT$255+CT$256)*V_DPOot/DiasMes))</f>
        <v>156306.601824573</v>
      </c>
      <c r="CU268" s="34" t="n">
        <f aca="false">IF(94&gt;Fin,CT$268,IF(AND(CU$8=1,ISNUMBER(Reales!CU83)),IF(Reales!$C$83="PYG",IF(CU$10&gt;0,N(Reales!CU83)/CU$10,0),N(Reales!CU83)),CU$249*V_DPOmp/DiasMes+(CU$250+CU$252+CU$255+CU$256)*V_DPOot/DiasMes))</f>
        <v>156306.601824573</v>
      </c>
      <c r="CV268" s="34" t="n">
        <f aca="false">IF(95&gt;Fin,CU$268,IF(AND(CV$8=1,ISNUMBER(Reales!CV83)),IF(Reales!$C$83="PYG",IF(CV$10&gt;0,N(Reales!CV83)/CV$10,0),N(Reales!CV83)),CV$249*V_DPOmp/DiasMes+(CV$250+CV$252+CV$255+CV$256)*V_DPOot/DiasMes))</f>
        <v>156306.601824573</v>
      </c>
      <c r="CW268" s="34" t="n">
        <f aca="false">IF(96&gt;Fin,CV$268,IF(AND(CW$8=1,ISNUMBER(Reales!CW83)),IF(Reales!$C$83="PYG",IF(CW$10&gt;0,N(Reales!CW83)/CW$10,0),N(Reales!CW83)),CW$249*V_DPOmp/DiasMes+(CW$250+CW$252+CW$255+CW$256)*V_DPOot/DiasMes))</f>
        <v>156306.601824573</v>
      </c>
      <c r="CX268" s="34" t="n">
        <f aca="false">IF(97&gt;Fin,CW$268,IF(AND(CX$8=1,ISNUMBER(Reales!CX83)),IF(Reales!$C$83="PYG",IF(CX$10&gt;0,N(Reales!CX83)/CX$10,0),N(Reales!CX83)),CX$249*V_DPOmp/DiasMes+(CX$250+CX$252+CX$255+CX$256)*V_DPOot/DiasMes))</f>
        <v>157307.379810441</v>
      </c>
      <c r="CY268" s="34" t="n">
        <f aca="false">IF(98&gt;Fin,CX$268,IF(AND(CY$8=1,ISNUMBER(Reales!CY83)),IF(Reales!$C$83="PYG",IF(CY$10&gt;0,N(Reales!CY83)/CY$10,0),N(Reales!CY83)),CY$249*V_DPOmp/DiasMes+(CY$250+CY$252+CY$255+CY$256)*V_DPOot/DiasMes))</f>
        <v>157307.379810441</v>
      </c>
      <c r="CZ268" s="34" t="n">
        <f aca="false">IF(99&gt;Fin,CY$268,IF(AND(CZ$8=1,ISNUMBER(Reales!CZ83)),IF(Reales!$C$83="PYG",IF(CZ$10&gt;0,N(Reales!CZ83)/CZ$10,0),N(Reales!CZ83)),CZ$249*V_DPOmp/DiasMes+(CZ$250+CZ$252+CZ$255+CZ$256)*V_DPOot/DiasMes))</f>
        <v>157307.379810441</v>
      </c>
      <c r="DA268" s="34" t="n">
        <f aca="false">IF(100&gt;Fin,CZ$268,IF(AND(DA$8=1,ISNUMBER(Reales!DA83)),IF(Reales!$C$83="PYG",IF(DA$10&gt;0,N(Reales!DA83)/DA$10,0),N(Reales!DA83)),DA$249*V_DPOmp/DiasMes+(DA$250+DA$252+DA$255+DA$256)*V_DPOot/DiasMes))</f>
        <v>157307.379810441</v>
      </c>
      <c r="DB268" s="34" t="n">
        <f aca="false">IF(101&gt;Fin,DA$268,IF(AND(DB$8=1,ISNUMBER(Reales!DB83)),IF(Reales!$C$83="PYG",IF(DB$10&gt;0,N(Reales!DB83)/DB$10,0),N(Reales!DB83)),DB$249*V_DPOmp/DiasMes+(DB$250+DB$252+DB$255+DB$256)*V_DPOot/DiasMes))</f>
        <v>157307.379810441</v>
      </c>
      <c r="DC268" s="34" t="n">
        <f aca="false">IF(102&gt;Fin,DB$268,IF(AND(DC$8=1,ISNUMBER(Reales!DC83)),IF(Reales!$C$83="PYG",IF(DC$10&gt;0,N(Reales!DC83)/DC$10,0),N(Reales!DC83)),DC$249*V_DPOmp/DiasMes+(DC$250+DC$252+DC$255+DC$256)*V_DPOot/DiasMes))</f>
        <v>157307.379810441</v>
      </c>
      <c r="DD268" s="34" t="n">
        <f aca="false">IF(103&gt;Fin,DC$268,IF(AND(DD$8=1,ISNUMBER(Reales!DD83)),IF(Reales!$C$83="PYG",IF(DD$10&gt;0,N(Reales!DD83)/DD$10,0),N(Reales!DD83)),DD$249*V_DPOmp/DiasMes+(DD$250+DD$252+DD$255+DD$256)*V_DPOot/DiasMes))</f>
        <v>157307.379810441</v>
      </c>
      <c r="DE268" s="34" t="n">
        <f aca="false">IF(104&gt;Fin,DD$268,IF(AND(DE$8=1,ISNUMBER(Reales!DE83)),IF(Reales!$C$83="PYG",IF(DE$10&gt;0,N(Reales!DE83)/DE$10,0),N(Reales!DE83)),DE$249*V_DPOmp/DiasMes+(DE$250+DE$252+DE$255+DE$256)*V_DPOot/DiasMes))</f>
        <v>157307.379810441</v>
      </c>
      <c r="DF268" s="34" t="n">
        <f aca="false">IF(105&gt;Fin,DE$268,IF(AND(DF$8=1,ISNUMBER(Reales!DF83)),IF(Reales!$C$83="PYG",IF(DF$10&gt;0,N(Reales!DF83)/DF$10,0),N(Reales!DF83)),DF$249*V_DPOmp/DiasMes+(DF$250+DF$252+DF$255+DF$256)*V_DPOot/DiasMes))</f>
        <v>157307.379810441</v>
      </c>
      <c r="DG268" s="34" t="n">
        <f aca="false">IF(106&gt;Fin,DF$268,IF(AND(DG$8=1,ISNUMBER(Reales!DG83)),IF(Reales!$C$83="PYG",IF(DG$10&gt;0,N(Reales!DG83)/DG$10,0),N(Reales!DG83)),DG$249*V_DPOmp/DiasMes+(DG$250+DG$252+DG$255+DG$256)*V_DPOot/DiasMes))</f>
        <v>157307.379810441</v>
      </c>
      <c r="DH268" s="34" t="n">
        <f aca="false">IF(107&gt;Fin,DG$268,IF(AND(DH$8=1,ISNUMBER(Reales!DH83)),IF(Reales!$C$83="PYG",IF(DH$10&gt;0,N(Reales!DH83)/DH$10,0),N(Reales!DH83)),DH$249*V_DPOmp/DiasMes+(DH$250+DH$252+DH$255+DH$256)*V_DPOot/DiasMes))</f>
        <v>157307.379810441</v>
      </c>
      <c r="DI268" s="34" t="n">
        <f aca="false">IF(108&gt;Fin,DH$268,IF(AND(DI$8=1,ISNUMBER(Reales!DI83)),IF(Reales!$C$83="PYG",IF(DI$10&gt;0,N(Reales!DI83)/DI$10,0),N(Reales!DI83)),DI$249*V_DPOmp/DiasMes+(DI$250+DI$252+DI$255+DI$256)*V_DPOot/DiasMes))</f>
        <v>157307.379810441</v>
      </c>
      <c r="DJ268" s="34" t="n">
        <f aca="false">IF(109&gt;Fin,DI$268,IF(AND(DJ$8=1,ISNUMBER(Reales!DJ83)),IF(Reales!$C$83="PYG",IF(DJ$10&gt;0,N(Reales!DJ83)/DJ$10,0),N(Reales!DJ83)),DJ$249*V_DPOmp/DiasMes+(DJ$250+DJ$252+DJ$255+DJ$256)*V_DPOot/DiasMes))</f>
        <v>158331.694422986</v>
      </c>
      <c r="DK268" s="34" t="n">
        <f aca="false">IF(110&gt;Fin,DJ$268,IF(AND(DK$8=1,ISNUMBER(Reales!DK83)),IF(Reales!$C$83="PYG",IF(DK$10&gt;0,N(Reales!DK83)/DK$10,0),N(Reales!DK83)),DK$249*V_DPOmp/DiasMes+(DK$250+DK$252+DK$255+DK$256)*V_DPOot/DiasMes))</f>
        <v>158331.694422986</v>
      </c>
      <c r="DL268" s="34" t="n">
        <f aca="false">IF(111&gt;Fin,DK$268,IF(AND(DL$8=1,ISNUMBER(Reales!DL83)),IF(Reales!$C$83="PYG",IF(DL$10&gt;0,N(Reales!DL83)/DL$10,0),N(Reales!DL83)),DL$249*V_DPOmp/DiasMes+(DL$250+DL$252+DL$255+DL$256)*V_DPOot/DiasMes))</f>
        <v>158331.694422986</v>
      </c>
      <c r="DM268" s="34" t="n">
        <f aca="false">IF(112&gt;Fin,DL$268,IF(AND(DM$8=1,ISNUMBER(Reales!DM83)),IF(Reales!$C$83="PYG",IF(DM$10&gt;0,N(Reales!DM83)/DM$10,0),N(Reales!DM83)),DM$249*V_DPOmp/DiasMes+(DM$250+DM$252+DM$255+DM$256)*V_DPOot/DiasMes))</f>
        <v>158331.694422986</v>
      </c>
      <c r="DN268" s="34" t="n">
        <f aca="false">IF(113&gt;Fin,DM$268,IF(AND(DN$8=1,ISNUMBER(Reales!DN83)),IF(Reales!$C$83="PYG",IF(DN$10&gt;0,N(Reales!DN83)/DN$10,0),N(Reales!DN83)),DN$249*V_DPOmp/DiasMes+(DN$250+DN$252+DN$255+DN$256)*V_DPOot/DiasMes))</f>
        <v>158331.694422986</v>
      </c>
      <c r="DO268" s="34" t="n">
        <f aca="false">IF(114&gt;Fin,DN$268,IF(AND(DO$8=1,ISNUMBER(Reales!DO83)),IF(Reales!$C$83="PYG",IF(DO$10&gt;0,N(Reales!DO83)/DO$10,0),N(Reales!DO83)),DO$249*V_DPOmp/DiasMes+(DO$250+DO$252+DO$255+DO$256)*V_DPOot/DiasMes))</f>
        <v>158331.694422986</v>
      </c>
      <c r="DP268" s="34" t="n">
        <f aca="false">IF(115&gt;Fin,DO$268,IF(AND(DP$8=1,ISNUMBER(Reales!DP83)),IF(Reales!$C$83="PYG",IF(DP$10&gt;0,N(Reales!DP83)/DP$10,0),N(Reales!DP83)),DP$249*V_DPOmp/DiasMes+(DP$250+DP$252+DP$255+DP$256)*V_DPOot/DiasMes))</f>
        <v>158331.694422986</v>
      </c>
      <c r="DQ268" s="34" t="n">
        <f aca="false">IF(116&gt;Fin,DP$268,IF(AND(DQ$8=1,ISNUMBER(Reales!DQ83)),IF(Reales!$C$83="PYG",IF(DQ$10&gt;0,N(Reales!DQ83)/DQ$10,0),N(Reales!DQ83)),DQ$249*V_DPOmp/DiasMes+(DQ$250+DQ$252+DQ$255+DQ$256)*V_DPOot/DiasMes))</f>
        <v>158331.694422986</v>
      </c>
      <c r="DR268" s="34" t="n">
        <f aca="false">IF(117&gt;Fin,DQ$268,IF(AND(DR$8=1,ISNUMBER(Reales!DR83)),IF(Reales!$C$83="PYG",IF(DR$10&gt;0,N(Reales!DR83)/DR$10,0),N(Reales!DR83)),DR$249*V_DPOmp/DiasMes+(DR$250+DR$252+DR$255+DR$256)*V_DPOot/DiasMes))</f>
        <v>158331.694422986</v>
      </c>
      <c r="DS268" s="34" t="n">
        <f aca="false">IF(118&gt;Fin,DR$268,IF(AND(DS$8=1,ISNUMBER(Reales!DS83)),IF(Reales!$C$83="PYG",IF(DS$10&gt;0,N(Reales!DS83)/DS$10,0),N(Reales!DS83)),DS$249*V_DPOmp/DiasMes+(DS$250+DS$252+DS$255+DS$256)*V_DPOot/DiasMes))</f>
        <v>158331.694422986</v>
      </c>
      <c r="DT268" s="34" t="n">
        <f aca="false">IF(119&gt;Fin,DS$268,IF(AND(DT$8=1,ISNUMBER(Reales!DT83)),IF(Reales!$C$83="PYG",IF(DT$10&gt;0,N(Reales!DT83)/DT$10,0),N(Reales!DT83)),DT$249*V_DPOmp/DiasMes+(DT$250+DT$252+DT$255+DT$256)*V_DPOot/DiasMes))</f>
        <v>158331.694422986</v>
      </c>
      <c r="DU268" s="34" t="n">
        <f aca="false">IF(120&gt;Fin,DT$268,IF(AND(DU$8=1,ISNUMBER(Reales!DU83)),IF(Reales!$C$83="PYG",IF(DU$10&gt;0,N(Reales!DU83)/DU$10,0),N(Reales!DU83)),DU$249*V_DPOmp/DiasMes+(DU$250+DU$252+DU$255+DU$256)*V_DPOot/DiasMes))</f>
        <v>158331.694422986</v>
      </c>
      <c r="DV268" s="34" t="n">
        <f aca="false">IF(121&gt;Fin,DU$268,IF(AND(DV$8=1,ISNUMBER(Reales!DV83)),IF(Reales!$C$83="PYG",IF(DV$10&gt;0,N(Reales!DV83)/DV$10,0),N(Reales!DV83)),DV$249*V_DPOmp/DiasMes+(DV$250+DV$252+DV$255+DV$256)*V_DPOot/DiasMes))</f>
        <v>158331.694422986</v>
      </c>
      <c r="DW268" s="34" t="n">
        <f aca="false">IF(122&gt;Fin,DV$268,IF(AND(DW$8=1,ISNUMBER(Reales!DW83)),IF(Reales!$C$83="PYG",IF(DW$10&gt;0,N(Reales!DW83)/DW$10,0),N(Reales!DW83)),DW$249*V_DPOmp/DiasMes+(DW$250+DW$252+DW$255+DW$256)*V_DPOot/DiasMes))</f>
        <v>158331.694422986</v>
      </c>
      <c r="DX268" s="34" t="n">
        <f aca="false">IF(123&gt;Fin,DW$268,IF(AND(DX$8=1,ISNUMBER(Reales!DX83)),IF(Reales!$C$83="PYG",IF(DX$10&gt;0,N(Reales!DX83)/DX$10,0),N(Reales!DX83)),DX$249*V_DPOmp/DiasMes+(DX$250+DX$252+DX$255+DX$256)*V_DPOot/DiasMes))</f>
        <v>158331.694422986</v>
      </c>
      <c r="DY268" s="34" t="n">
        <f aca="false">IF(124&gt;Fin,DX$268,IF(AND(DY$8=1,ISNUMBER(Reales!DY83)),IF(Reales!$C$83="PYG",IF(DY$10&gt;0,N(Reales!DY83)/DY$10,0),N(Reales!DY83)),DY$249*V_DPOmp/DiasMes+(DY$250+DY$252+DY$255+DY$256)*V_DPOot/DiasMes))</f>
        <v>158331.694422986</v>
      </c>
      <c r="DZ268" s="34" t="n">
        <f aca="false">IF(125&gt;Fin,DY$268,IF(AND(DZ$8=1,ISNUMBER(Reales!DZ83)),IF(Reales!$C$83="PYG",IF(DZ$10&gt;0,N(Reales!DZ83)/DZ$10,0),N(Reales!DZ83)),DZ$249*V_DPOmp/DiasMes+(DZ$250+DZ$252+DZ$255+DZ$256)*V_DPOot/DiasMes))</f>
        <v>158331.694422986</v>
      </c>
      <c r="EA268" s="34" t="n">
        <f aca="false">IF(126&gt;Fin,DZ$268,IF(AND(EA$8=1,ISNUMBER(Reales!EA83)),IF(Reales!$C$83="PYG",IF(EA$10&gt;0,N(Reales!EA83)/EA$10,0),N(Reales!EA83)),EA$249*V_DPOmp/DiasMes+(EA$250+EA$252+EA$255+EA$256)*V_DPOot/DiasMes))</f>
        <v>158331.694422986</v>
      </c>
      <c r="EB268" s="34" t="n">
        <f aca="false">IF(127&gt;Fin,EA$268,IF(AND(EB$8=1,ISNUMBER(Reales!EB83)),IF(Reales!$C$83="PYG",IF(EB$10&gt;0,N(Reales!EB83)/EB$10,0),N(Reales!EB83)),EB$249*V_DPOmp/DiasMes+(EB$250+EB$252+EB$255+EB$256)*V_DPOot/DiasMes))</f>
        <v>158331.694422986</v>
      </c>
      <c r="EC268" s="34" t="n">
        <f aca="false">IF(128&gt;Fin,EB$268,IF(AND(EC$8=1,ISNUMBER(Reales!EC83)),IF(Reales!$C$83="PYG",IF(EC$10&gt;0,N(Reales!EC83)/EC$10,0),N(Reales!EC83)),EC$249*V_DPOmp/DiasMes+(EC$250+EC$252+EC$255+EC$256)*V_DPOot/DiasMes))</f>
        <v>158331.694422986</v>
      </c>
      <c r="ED268" s="34" t="n">
        <f aca="false">IF(129&gt;Fin,EC$268,IF(AND(ED$8=1,ISNUMBER(Reales!ED83)),IF(Reales!$C$83="PYG",IF(ED$10&gt;0,N(Reales!ED83)/ED$10,0),N(Reales!ED83)),ED$249*V_DPOmp/DiasMes+(ED$250+ED$252+ED$255+ED$256)*V_DPOot/DiasMes))</f>
        <v>158331.694422986</v>
      </c>
      <c r="EE268" s="34" t="n">
        <f aca="false">IF(130&gt;Fin,ED$268,IF(AND(EE$8=1,ISNUMBER(Reales!EE83)),IF(Reales!$C$83="PYG",IF(EE$10&gt;0,N(Reales!EE83)/EE$10,0),N(Reales!EE83)),EE$249*V_DPOmp/DiasMes+(EE$250+EE$252+EE$255+EE$256)*V_DPOot/DiasMes))</f>
        <v>158331.694422986</v>
      </c>
      <c r="EF268" s="34" t="n">
        <f aca="false">IF(131&gt;Fin,EE$268,IF(AND(EF$8=1,ISNUMBER(Reales!EF83)),IF(Reales!$C$83="PYG",IF(EF$10&gt;0,N(Reales!EF83)/EF$10,0),N(Reales!EF83)),EF$249*V_DPOmp/DiasMes+(EF$250+EF$252+EF$255+EF$256)*V_DPOot/DiasMes))</f>
        <v>158331.694422986</v>
      </c>
      <c r="EG268" s="34" t="n">
        <f aca="false">IF(132&gt;Fin,EF$268,IF(AND(EG$8=1,ISNUMBER(Reales!EG83)),IF(Reales!$C$83="PYG",IF(EG$10&gt;0,N(Reales!EG83)/EG$10,0),N(Reales!EG83)),EG$249*V_DPOmp/DiasMes+(EG$250+EG$252+EG$255+EG$256)*V_DPOot/DiasMes))</f>
        <v>158331.694422986</v>
      </c>
      <c r="EH268" s="34" t="n">
        <f aca="false">IF(133&gt;Fin,EG$268,IF(AND(EH$8=1,ISNUMBER(Reales!EH83)),IF(Reales!$C$83="PYG",IF(EH$10&gt;0,N(Reales!EH83)/EH$10,0),N(Reales!EH83)),EH$249*V_DPOmp/DiasMes+(EH$250+EH$252+EH$255+EH$256)*V_DPOot/DiasMes))</f>
        <v>158331.694422986</v>
      </c>
      <c r="EI268" s="34" t="n">
        <f aca="false">IF(134&gt;Fin,EH$268,IF(AND(EI$8=1,ISNUMBER(Reales!EI83)),IF(Reales!$C$83="PYG",IF(EI$10&gt;0,N(Reales!EI83)/EI$10,0),N(Reales!EI83)),EI$249*V_DPOmp/DiasMes+(EI$250+EI$252+EI$255+EI$256)*V_DPOot/DiasMes))</f>
        <v>158331.694422986</v>
      </c>
      <c r="EJ268" s="34" t="n">
        <f aca="false">IF(135&gt;Fin,EI$268,IF(AND(EJ$8=1,ISNUMBER(Reales!EJ83)),IF(Reales!$C$83="PYG",IF(EJ$10&gt;0,N(Reales!EJ83)/EJ$10,0),N(Reales!EJ83)),EJ$249*V_DPOmp/DiasMes+(EJ$250+EJ$252+EJ$255+EJ$256)*V_DPOot/DiasMes))</f>
        <v>158331.694422986</v>
      </c>
      <c r="EK268" s="34" t="n">
        <f aca="false">IF(136&gt;Fin,EJ$268,IF(AND(EK$8=1,ISNUMBER(Reales!EK83)),IF(Reales!$C$83="PYG",IF(EK$10&gt;0,N(Reales!EK83)/EK$10,0),N(Reales!EK83)),EK$249*V_DPOmp/DiasMes+(EK$250+EK$252+EK$255+EK$256)*V_DPOot/DiasMes))</f>
        <v>158331.694422986</v>
      </c>
      <c r="EL268" s="34" t="n">
        <f aca="false">IF(137&gt;Fin,EK$268,IF(AND(EL$8=1,ISNUMBER(Reales!EL83)),IF(Reales!$C$83="PYG",IF(EL$10&gt;0,N(Reales!EL83)/EL$10,0),N(Reales!EL83)),EL$249*V_DPOmp/DiasMes+(EL$250+EL$252+EL$255+EL$256)*V_DPOot/DiasMes))</f>
        <v>158331.694422986</v>
      </c>
      <c r="EM268" s="34" t="n">
        <f aca="false">IF(138&gt;Fin,EL$268,IF(AND(EM$8=1,ISNUMBER(Reales!EM83)),IF(Reales!$C$83="PYG",IF(EM$10&gt;0,N(Reales!EM83)/EM$10,0),N(Reales!EM83)),EM$249*V_DPOmp/DiasMes+(EM$250+EM$252+EM$255+EM$256)*V_DPOot/DiasMes))</f>
        <v>158331.694422986</v>
      </c>
      <c r="EN268" s="34" t="n">
        <f aca="false">IF(139&gt;Fin,EM$268,IF(AND(EN$8=1,ISNUMBER(Reales!EN83)),IF(Reales!$C$83="PYG",IF(EN$10&gt;0,N(Reales!EN83)/EN$10,0),N(Reales!EN83)),EN$249*V_DPOmp/DiasMes+(EN$250+EN$252+EN$255+EN$256)*V_DPOot/DiasMes))</f>
        <v>158331.694422986</v>
      </c>
      <c r="EO268" s="34" t="n">
        <f aca="false">IF(140&gt;Fin,EN$268,IF(AND(EO$8=1,ISNUMBER(Reales!EO83)),IF(Reales!$C$83="PYG",IF(EO$10&gt;0,N(Reales!EO83)/EO$10,0),N(Reales!EO83)),EO$249*V_DPOmp/DiasMes+(EO$250+EO$252+EO$255+EO$256)*V_DPOot/DiasMes))</f>
        <v>158331.694422986</v>
      </c>
      <c r="EP268" s="34" t="n">
        <f aca="false">IF(141&gt;Fin,EO$268,IF(AND(EP$8=1,ISNUMBER(Reales!EP83)),IF(Reales!$C$83="PYG",IF(EP$10&gt;0,N(Reales!EP83)/EP$10,0),N(Reales!EP83)),EP$249*V_DPOmp/DiasMes+(EP$250+EP$252+EP$255+EP$256)*V_DPOot/DiasMes))</f>
        <v>158331.694422986</v>
      </c>
      <c r="EQ268" s="34" t="n">
        <f aca="false">IF(142&gt;Fin,EP$268,IF(AND(EQ$8=1,ISNUMBER(Reales!EQ83)),IF(Reales!$C$83="PYG",IF(EQ$10&gt;0,N(Reales!EQ83)/EQ$10,0),N(Reales!EQ83)),EQ$249*V_DPOmp/DiasMes+(EQ$250+EQ$252+EQ$255+EQ$256)*V_DPOot/DiasMes))</f>
        <v>158331.694422986</v>
      </c>
      <c r="ER268" s="34" t="n">
        <f aca="false">IF(143&gt;Fin,EQ$268,IF(AND(ER$8=1,ISNUMBER(Reales!ER83)),IF(Reales!$C$83="PYG",IF(ER$10&gt;0,N(Reales!ER83)/ER$10,0),N(Reales!ER83)),ER$249*V_DPOmp/DiasMes+(ER$250+ER$252+ER$255+ER$256)*V_DPOot/DiasMes))</f>
        <v>158331.694422986</v>
      </c>
      <c r="ES268" s="34" t="n">
        <f aca="false">IF(144&gt;Fin,ER$268,IF(AND(ES$8=1,ISNUMBER(Reales!ES83)),IF(Reales!$C$83="PYG",IF(ES$10&gt;0,N(Reales!ES83)/ES$10,0),N(Reales!ES83)),ES$249*V_DPOmp/DiasMes+(ES$250+ES$252+ES$255+ES$256)*V_DPOot/DiasMes))</f>
        <v>158331.694422986</v>
      </c>
    </row>
    <row r="269" customFormat="false" ht="15" hidden="false" customHeight="false" outlineLevel="0" collapsed="false">
      <c r="A269" s="2" t="s">
        <v>908</v>
      </c>
      <c r="B269" s="52" t="s">
        <v>713</v>
      </c>
      <c r="C269" s="6" t="s">
        <v>250</v>
      </c>
      <c r="E269" s="40" t="n">
        <f aca="false">MAX(F269:ES269)</f>
        <v>4499762.51732228</v>
      </c>
      <c r="F269" s="10" t="n">
        <f aca="false">F$265+F$266+F$267-F$268</f>
        <v>2388063.88735903</v>
      </c>
      <c r="G269" s="10" t="n">
        <f aca="false">G$265+G$266+G$267-G$268</f>
        <v>2388063.88735903</v>
      </c>
      <c r="H269" s="10" t="n">
        <f aca="false">H$265+H$266+H$267-H$268</f>
        <v>2388063.88735903</v>
      </c>
      <c r="I269" s="10" t="n">
        <f aca="false">I$265+I$266+I$267-I$268</f>
        <v>2388063.88735903</v>
      </c>
      <c r="J269" s="10" t="n">
        <f aca="false">J$265+J$266+J$267-J$268</f>
        <v>2388063.88735903</v>
      </c>
      <c r="K269" s="10" t="n">
        <f aca="false">K$265+K$266+K$267-K$268</f>
        <v>2388063.88735903</v>
      </c>
      <c r="L269" s="10" t="n">
        <f aca="false">L$265+L$266+L$267-L$268</f>
        <v>2388063.88735903</v>
      </c>
      <c r="M269" s="10" t="n">
        <f aca="false">M$265+M$266+M$267-M$268</f>
        <v>2388063.88735903</v>
      </c>
      <c r="N269" s="10" t="n">
        <f aca="false">N$265+N$266+N$267-N$268</f>
        <v>2388063.88735903</v>
      </c>
      <c r="O269" s="10" t="n">
        <f aca="false">O$265+O$266+O$267-O$268</f>
        <v>2388063.88735903</v>
      </c>
      <c r="P269" s="10" t="n">
        <f aca="false">P$265+P$266+P$267-P$268</f>
        <v>2388063.88735903</v>
      </c>
      <c r="Q269" s="10" t="n">
        <f aca="false">Q$265+Q$266+Q$267-Q$268</f>
        <v>2388063.88735903</v>
      </c>
      <c r="R269" s="10" t="n">
        <f aca="false">R$265+R$266+R$267-R$268</f>
        <v>3043209.33175467</v>
      </c>
      <c r="S269" s="10" t="n">
        <f aca="false">S$265+S$266+S$267-S$268</f>
        <v>3043209.33175467</v>
      </c>
      <c r="T269" s="10" t="n">
        <f aca="false">T$265+T$266+T$267-T$268</f>
        <v>3043209.33175467</v>
      </c>
      <c r="U269" s="10" t="n">
        <f aca="false">U$265+U$266+U$267-U$268</f>
        <v>3043209.33175467</v>
      </c>
      <c r="V269" s="10" t="n">
        <f aca="false">V$265+V$266+V$267-V$268</f>
        <v>3043209.33175467</v>
      </c>
      <c r="W269" s="10" t="n">
        <f aca="false">W$265+W$266+W$267-W$268</f>
        <v>3043209.33175467</v>
      </c>
      <c r="X269" s="10" t="n">
        <f aca="false">X$265+X$266+X$267-X$268</f>
        <v>3043209.33175467</v>
      </c>
      <c r="Y269" s="10" t="n">
        <f aca="false">Y$265+Y$266+Y$267-Y$268</f>
        <v>3043209.33175467</v>
      </c>
      <c r="Z269" s="10" t="n">
        <f aca="false">Z$265+Z$266+Z$267-Z$268</f>
        <v>3043209.33175467</v>
      </c>
      <c r="AA269" s="10" t="n">
        <f aca="false">AA$265+AA$266+AA$267-AA$268</f>
        <v>3043209.33175467</v>
      </c>
      <c r="AB269" s="10" t="n">
        <f aca="false">AB$265+AB$266+AB$267-AB$268</f>
        <v>3043209.33175467</v>
      </c>
      <c r="AC269" s="10" t="n">
        <f aca="false">AC$265+AC$266+AC$267-AC$268</f>
        <v>3043209.33175467</v>
      </c>
      <c r="AD269" s="10" t="n">
        <f aca="false">AD$265+AD$266+AD$267-AD$268</f>
        <v>3710536.2623871</v>
      </c>
      <c r="AE269" s="10" t="n">
        <f aca="false">AE$265+AE$266+AE$267-AE$268</f>
        <v>3710536.2623871</v>
      </c>
      <c r="AF269" s="10" t="n">
        <f aca="false">AF$265+AF$266+AF$267-AF$268</f>
        <v>3710536.2623871</v>
      </c>
      <c r="AG269" s="10" t="n">
        <f aca="false">AG$265+AG$266+AG$267-AG$268</f>
        <v>3710536.2623871</v>
      </c>
      <c r="AH269" s="10" t="n">
        <f aca="false">AH$265+AH$266+AH$267-AH$268</f>
        <v>3710536.2623871</v>
      </c>
      <c r="AI269" s="10" t="n">
        <f aca="false">AI$265+AI$266+AI$267-AI$268</f>
        <v>3710536.2623871</v>
      </c>
      <c r="AJ269" s="10" t="n">
        <f aca="false">AJ$265+AJ$266+AJ$267-AJ$268</f>
        <v>3710536.2623871</v>
      </c>
      <c r="AK269" s="10" t="n">
        <f aca="false">AK$265+AK$266+AK$267-AK$268</f>
        <v>3710536.2623871</v>
      </c>
      <c r="AL269" s="10" t="n">
        <f aca="false">AL$265+AL$266+AL$267-AL$268</f>
        <v>3710536.2623871</v>
      </c>
      <c r="AM269" s="10" t="n">
        <f aca="false">AM$265+AM$266+AM$267-AM$268</f>
        <v>3710536.2623871</v>
      </c>
      <c r="AN269" s="10" t="n">
        <f aca="false">AN$265+AN$266+AN$267-AN$268</f>
        <v>3710536.2623871</v>
      </c>
      <c r="AO269" s="10" t="n">
        <f aca="false">AO$265+AO$266+AO$267-AO$268</f>
        <v>3710536.2623871</v>
      </c>
      <c r="AP269" s="10" t="n">
        <f aca="false">AP$265+AP$266+AP$267-AP$268</f>
        <v>4269345.33232041</v>
      </c>
      <c r="AQ269" s="10" t="n">
        <f aca="false">AQ$265+AQ$266+AQ$267-AQ$268</f>
        <v>4269345.33232041</v>
      </c>
      <c r="AR269" s="10" t="n">
        <f aca="false">AR$265+AR$266+AR$267-AR$268</f>
        <v>4269345.33232041</v>
      </c>
      <c r="AS269" s="10" t="n">
        <f aca="false">AS$265+AS$266+AS$267-AS$268</f>
        <v>4269345.33232041</v>
      </c>
      <c r="AT269" s="10" t="n">
        <f aca="false">AT$265+AT$266+AT$267-AT$268</f>
        <v>4269345.33232041</v>
      </c>
      <c r="AU269" s="10" t="n">
        <f aca="false">AU$265+AU$266+AU$267-AU$268</f>
        <v>4269345.33232041</v>
      </c>
      <c r="AV269" s="10" t="n">
        <f aca="false">AV$265+AV$266+AV$267-AV$268</f>
        <v>4269345.33232041</v>
      </c>
      <c r="AW269" s="10" t="n">
        <f aca="false">AW$265+AW$266+AW$267-AW$268</f>
        <v>4269345.33232041</v>
      </c>
      <c r="AX269" s="10" t="n">
        <f aca="false">AX$265+AX$266+AX$267-AX$268</f>
        <v>4269345.33232041</v>
      </c>
      <c r="AY269" s="10" t="n">
        <f aca="false">AY$265+AY$266+AY$267-AY$268</f>
        <v>4269345.33232041</v>
      </c>
      <c r="AZ269" s="10" t="n">
        <f aca="false">AZ$265+AZ$266+AZ$267-AZ$268</f>
        <v>4269345.33232041</v>
      </c>
      <c r="BA269" s="10" t="n">
        <f aca="false">BA$265+BA$266+BA$267-BA$268</f>
        <v>4269345.33232041</v>
      </c>
      <c r="BB269" s="10" t="n">
        <f aca="false">BB$265+BB$266+BB$267-BB$268</f>
        <v>4307454.88002627</v>
      </c>
      <c r="BC269" s="10" t="n">
        <f aca="false">BC$265+BC$266+BC$267-BC$268</f>
        <v>4307454.88002627</v>
      </c>
      <c r="BD269" s="10" t="n">
        <f aca="false">BD$265+BD$266+BD$267-BD$268</f>
        <v>4307454.88002627</v>
      </c>
      <c r="BE269" s="10" t="n">
        <f aca="false">BE$265+BE$266+BE$267-BE$268</f>
        <v>4307454.88002627</v>
      </c>
      <c r="BF269" s="10" t="n">
        <f aca="false">BF$265+BF$266+BF$267-BF$268</f>
        <v>4307454.88002627</v>
      </c>
      <c r="BG269" s="10" t="n">
        <f aca="false">BG$265+BG$266+BG$267-BG$268</f>
        <v>4307454.88002627</v>
      </c>
      <c r="BH269" s="10" t="n">
        <f aca="false">BH$265+BH$266+BH$267-BH$268</f>
        <v>4307454.88002627</v>
      </c>
      <c r="BI269" s="10" t="n">
        <f aca="false">BI$265+BI$266+BI$267-BI$268</f>
        <v>4307454.88002627</v>
      </c>
      <c r="BJ269" s="10" t="n">
        <f aca="false">BJ$265+BJ$266+BJ$267-BJ$268</f>
        <v>4307454.88002627</v>
      </c>
      <c r="BK269" s="10" t="n">
        <f aca="false">BK$265+BK$266+BK$267-BK$268</f>
        <v>4307454.88002627</v>
      </c>
      <c r="BL269" s="10" t="n">
        <f aca="false">BL$265+BL$266+BL$267-BL$268</f>
        <v>4307454.88002627</v>
      </c>
      <c r="BM269" s="10" t="n">
        <f aca="false">BM$265+BM$266+BM$267-BM$268</f>
        <v>4307454.88002627</v>
      </c>
      <c r="BN269" s="10" t="n">
        <f aca="false">BN$265+BN$266+BN$267-BN$268</f>
        <v>4345179.73649487</v>
      </c>
      <c r="BO269" s="10" t="n">
        <f aca="false">BO$265+BO$266+BO$267-BO$268</f>
        <v>4345179.73649487</v>
      </c>
      <c r="BP269" s="10" t="n">
        <f aca="false">BP$265+BP$266+BP$267-BP$268</f>
        <v>4345179.73649487</v>
      </c>
      <c r="BQ269" s="10" t="n">
        <f aca="false">BQ$265+BQ$266+BQ$267-BQ$268</f>
        <v>4345179.73649487</v>
      </c>
      <c r="BR269" s="10" t="n">
        <f aca="false">BR$265+BR$266+BR$267-BR$268</f>
        <v>4345179.73649487</v>
      </c>
      <c r="BS269" s="10" t="n">
        <f aca="false">BS$265+BS$266+BS$267-BS$268</f>
        <v>4345179.73649487</v>
      </c>
      <c r="BT269" s="10" t="n">
        <f aca="false">BT$265+BT$266+BT$267-BT$268</f>
        <v>4345179.73649487</v>
      </c>
      <c r="BU269" s="10" t="n">
        <f aca="false">BU$265+BU$266+BU$267-BU$268</f>
        <v>4345179.73649487</v>
      </c>
      <c r="BV269" s="10" t="n">
        <f aca="false">BV$265+BV$266+BV$267-BV$268</f>
        <v>4345179.73649487</v>
      </c>
      <c r="BW269" s="10" t="n">
        <f aca="false">BW$265+BW$266+BW$267-BW$268</f>
        <v>4345179.73649487</v>
      </c>
      <c r="BX269" s="10" t="n">
        <f aca="false">BX$265+BX$266+BX$267-BX$268</f>
        <v>4345179.73649487</v>
      </c>
      <c r="BY269" s="10" t="n">
        <f aca="false">BY$265+BY$266+BY$267-BY$268</f>
        <v>4345179.73649487</v>
      </c>
      <c r="BZ269" s="10" t="n">
        <f aca="false">BZ$265+BZ$266+BZ$267-BZ$268</f>
        <v>4383269.62971965</v>
      </c>
      <c r="CA269" s="10" t="n">
        <f aca="false">CA$265+CA$266+CA$267-CA$268</f>
        <v>4383269.62971965</v>
      </c>
      <c r="CB269" s="10" t="n">
        <f aca="false">CB$265+CB$266+CB$267-CB$268</f>
        <v>4383269.62971965</v>
      </c>
      <c r="CC269" s="10" t="n">
        <f aca="false">CC$265+CC$266+CC$267-CC$268</f>
        <v>4383269.62971965</v>
      </c>
      <c r="CD269" s="10" t="n">
        <f aca="false">CD$265+CD$266+CD$267-CD$268</f>
        <v>4383269.62971965</v>
      </c>
      <c r="CE269" s="10" t="n">
        <f aca="false">CE$265+CE$266+CE$267-CE$268</f>
        <v>4383269.62971965</v>
      </c>
      <c r="CF269" s="10" t="n">
        <f aca="false">CF$265+CF$266+CF$267-CF$268</f>
        <v>4383269.62971965</v>
      </c>
      <c r="CG269" s="10" t="n">
        <f aca="false">CG$265+CG$266+CG$267-CG$268</f>
        <v>4383269.62971965</v>
      </c>
      <c r="CH269" s="10" t="n">
        <f aca="false">CH$265+CH$266+CH$267-CH$268</f>
        <v>4383269.62971965</v>
      </c>
      <c r="CI269" s="10" t="n">
        <f aca="false">CI$265+CI$266+CI$267-CI$268</f>
        <v>4383269.62971965</v>
      </c>
      <c r="CJ269" s="10" t="n">
        <f aca="false">CJ$265+CJ$266+CJ$267-CJ$268</f>
        <v>4383269.62971965</v>
      </c>
      <c r="CK269" s="10" t="n">
        <f aca="false">CK$265+CK$266+CK$267-CK$268</f>
        <v>4383269.62971965</v>
      </c>
      <c r="CL269" s="10" t="n">
        <f aca="false">CL$265+CL$266+CL$267-CL$268</f>
        <v>4421727.84741417</v>
      </c>
      <c r="CM269" s="10" t="n">
        <f aca="false">CM$265+CM$266+CM$267-CM$268</f>
        <v>4421727.84741417</v>
      </c>
      <c r="CN269" s="10" t="n">
        <f aca="false">CN$265+CN$266+CN$267-CN$268</f>
        <v>4421727.84741417</v>
      </c>
      <c r="CO269" s="10" t="n">
        <f aca="false">CO$265+CO$266+CO$267-CO$268</f>
        <v>4421727.84741417</v>
      </c>
      <c r="CP269" s="10" t="n">
        <f aca="false">CP$265+CP$266+CP$267-CP$268</f>
        <v>4421727.84741417</v>
      </c>
      <c r="CQ269" s="10" t="n">
        <f aca="false">CQ$265+CQ$266+CQ$267-CQ$268</f>
        <v>4421727.84741417</v>
      </c>
      <c r="CR269" s="10" t="n">
        <f aca="false">CR$265+CR$266+CR$267-CR$268</f>
        <v>4421727.84741417</v>
      </c>
      <c r="CS269" s="10" t="n">
        <f aca="false">CS$265+CS$266+CS$267-CS$268</f>
        <v>4421727.84741417</v>
      </c>
      <c r="CT269" s="10" t="n">
        <f aca="false">CT$265+CT$266+CT$267-CT$268</f>
        <v>4421727.84741417</v>
      </c>
      <c r="CU269" s="10" t="n">
        <f aca="false">CU$265+CU$266+CU$267-CU$268</f>
        <v>4421727.84741417</v>
      </c>
      <c r="CV269" s="10" t="n">
        <f aca="false">CV$265+CV$266+CV$267-CV$268</f>
        <v>4421727.84741417</v>
      </c>
      <c r="CW269" s="10" t="n">
        <f aca="false">CW$265+CW$266+CW$267-CW$268</f>
        <v>4421727.84741417</v>
      </c>
      <c r="CX269" s="10" t="n">
        <f aca="false">CX$265+CX$266+CX$267-CX$268</f>
        <v>4460557.6993635</v>
      </c>
      <c r="CY269" s="10" t="n">
        <f aca="false">CY$265+CY$266+CY$267-CY$268</f>
        <v>4460557.6993635</v>
      </c>
      <c r="CZ269" s="10" t="n">
        <f aca="false">CZ$265+CZ$266+CZ$267-CZ$268</f>
        <v>4460557.6993635</v>
      </c>
      <c r="DA269" s="10" t="n">
        <f aca="false">DA$265+DA$266+DA$267-DA$268</f>
        <v>4460557.6993635</v>
      </c>
      <c r="DB269" s="10" t="n">
        <f aca="false">DB$265+DB$266+DB$267-DB$268</f>
        <v>4460557.6993635</v>
      </c>
      <c r="DC269" s="10" t="n">
        <f aca="false">DC$265+DC$266+DC$267-DC$268</f>
        <v>4460557.6993635</v>
      </c>
      <c r="DD269" s="10" t="n">
        <f aca="false">DD$265+DD$266+DD$267-DD$268</f>
        <v>4460557.6993635</v>
      </c>
      <c r="DE269" s="10" t="n">
        <f aca="false">DE$265+DE$266+DE$267-DE$268</f>
        <v>4460557.6993635</v>
      </c>
      <c r="DF269" s="10" t="n">
        <f aca="false">DF$265+DF$266+DF$267-DF$268</f>
        <v>4460557.6993635</v>
      </c>
      <c r="DG269" s="10" t="n">
        <f aca="false">DG$265+DG$266+DG$267-DG$268</f>
        <v>4460557.6993635</v>
      </c>
      <c r="DH269" s="10" t="n">
        <f aca="false">DH$265+DH$266+DH$267-DH$268</f>
        <v>4460557.6993635</v>
      </c>
      <c r="DI269" s="10" t="n">
        <f aca="false">DI$265+DI$266+DI$267-DI$268</f>
        <v>4460557.6993635</v>
      </c>
      <c r="DJ269" s="10" t="n">
        <f aca="false">DJ$265+DJ$266+DJ$267-DJ$268</f>
        <v>4499762.51732228</v>
      </c>
      <c r="DK269" s="10" t="n">
        <f aca="false">DK$265+DK$266+DK$267-DK$268</f>
        <v>4499762.51732228</v>
      </c>
      <c r="DL269" s="10" t="n">
        <f aca="false">DL$265+DL$266+DL$267-DL$268</f>
        <v>4499762.51732228</v>
      </c>
      <c r="DM269" s="10" t="n">
        <f aca="false">DM$265+DM$266+DM$267-DM$268</f>
        <v>4499762.51732228</v>
      </c>
      <c r="DN269" s="10" t="n">
        <f aca="false">DN$265+DN$266+DN$267-DN$268</f>
        <v>4499762.51732228</v>
      </c>
      <c r="DO269" s="10" t="n">
        <f aca="false">DO$265+DO$266+DO$267-DO$268</f>
        <v>4499762.51732228</v>
      </c>
      <c r="DP269" s="10" t="n">
        <f aca="false">DP$265+DP$266+DP$267-DP$268</f>
        <v>4499762.51732228</v>
      </c>
      <c r="DQ269" s="10" t="n">
        <f aca="false">DQ$265+DQ$266+DQ$267-DQ$268</f>
        <v>4499762.51732228</v>
      </c>
      <c r="DR269" s="10" t="n">
        <f aca="false">DR$265+DR$266+DR$267-DR$268</f>
        <v>4499762.51732228</v>
      </c>
      <c r="DS269" s="10" t="n">
        <f aca="false">DS$265+DS$266+DS$267-DS$268</f>
        <v>4499762.51732228</v>
      </c>
      <c r="DT269" s="10" t="n">
        <f aca="false">DT$265+DT$266+DT$267-DT$268</f>
        <v>4499762.51732228</v>
      </c>
      <c r="DU269" s="10" t="n">
        <f aca="false">DU$265+DU$266+DU$267-DU$268</f>
        <v>4499762.51732228</v>
      </c>
      <c r="DV269" s="10" t="n">
        <f aca="false">DV$265+DV$266+DV$267-DV$268</f>
        <v>4499762.51732228</v>
      </c>
      <c r="DW269" s="10" t="n">
        <f aca="false">DW$265+DW$266+DW$267-DW$268</f>
        <v>4499762.51732228</v>
      </c>
      <c r="DX269" s="10" t="n">
        <f aca="false">DX$265+DX$266+DX$267-DX$268</f>
        <v>4499762.51732228</v>
      </c>
      <c r="DY269" s="10" t="n">
        <f aca="false">DY$265+DY$266+DY$267-DY$268</f>
        <v>4499762.51732228</v>
      </c>
      <c r="DZ269" s="10" t="n">
        <f aca="false">DZ$265+DZ$266+DZ$267-DZ$268</f>
        <v>4499762.51732228</v>
      </c>
      <c r="EA269" s="10" t="n">
        <f aca="false">EA$265+EA$266+EA$267-EA$268</f>
        <v>4499762.51732228</v>
      </c>
      <c r="EB269" s="10" t="n">
        <f aca="false">EB$265+EB$266+EB$267-EB$268</f>
        <v>4499762.51732228</v>
      </c>
      <c r="EC269" s="10" t="n">
        <f aca="false">EC$265+EC$266+EC$267-EC$268</f>
        <v>4499762.51732228</v>
      </c>
      <c r="ED269" s="10" t="n">
        <f aca="false">ED$265+ED$266+ED$267-ED$268</f>
        <v>4499762.51732228</v>
      </c>
      <c r="EE269" s="10" t="n">
        <f aca="false">EE$265+EE$266+EE$267-EE$268</f>
        <v>4499762.51732228</v>
      </c>
      <c r="EF269" s="10" t="n">
        <f aca="false">EF$265+EF$266+EF$267-EF$268</f>
        <v>4499762.51732228</v>
      </c>
      <c r="EG269" s="10" t="n">
        <f aca="false">EG$265+EG$266+EG$267-EG$268</f>
        <v>4499762.51732228</v>
      </c>
      <c r="EH269" s="10" t="n">
        <f aca="false">EH$265+EH$266+EH$267-EH$268</f>
        <v>4499762.51732228</v>
      </c>
      <c r="EI269" s="10" t="n">
        <f aca="false">EI$265+EI$266+EI$267-EI$268</f>
        <v>4499762.51732228</v>
      </c>
      <c r="EJ269" s="10" t="n">
        <f aca="false">EJ$265+EJ$266+EJ$267-EJ$268</f>
        <v>4499762.51732228</v>
      </c>
      <c r="EK269" s="10" t="n">
        <f aca="false">EK$265+EK$266+EK$267-EK$268</f>
        <v>4499762.51732228</v>
      </c>
      <c r="EL269" s="10" t="n">
        <f aca="false">EL$265+EL$266+EL$267-EL$268</f>
        <v>4499762.51732228</v>
      </c>
      <c r="EM269" s="10" t="n">
        <f aca="false">EM$265+EM$266+EM$267-EM$268</f>
        <v>4499762.51732228</v>
      </c>
      <c r="EN269" s="10" t="n">
        <f aca="false">EN$265+EN$266+EN$267-EN$268</f>
        <v>4499762.51732228</v>
      </c>
      <c r="EO269" s="10" t="n">
        <f aca="false">EO$265+EO$266+EO$267-EO$268</f>
        <v>4499762.51732228</v>
      </c>
      <c r="EP269" s="10" t="n">
        <f aca="false">EP$265+EP$266+EP$267-EP$268</f>
        <v>4499762.51732228</v>
      </c>
      <c r="EQ269" s="10" t="n">
        <f aca="false">EQ$265+EQ$266+EQ$267-EQ$268</f>
        <v>4499762.51732228</v>
      </c>
      <c r="ER269" s="10" t="n">
        <f aca="false">ER$265+ER$266+ER$267-ER$268</f>
        <v>4499762.51732228</v>
      </c>
      <c r="ES269" s="10" t="n">
        <f aca="false">ES$265+ES$266+ES$267-ES$268</f>
        <v>4499762.51732228</v>
      </c>
    </row>
    <row r="270" customFormat="false" ht="15" hidden="false" customHeight="false" outlineLevel="0" collapsed="false">
      <c r="A270" s="2" t="s">
        <v>909</v>
      </c>
      <c r="B270" s="6" t="s">
        <v>715</v>
      </c>
      <c r="C270" s="6" t="s">
        <v>250</v>
      </c>
      <c r="E270" s="40" t="n">
        <f aca="false">SUM(F270:ES270)</f>
        <v>4499762.51732228</v>
      </c>
      <c r="F270" s="34" t="n">
        <f aca="false">F$269-0</f>
        <v>2388063.88735903</v>
      </c>
      <c r="G270" s="34" t="n">
        <f aca="false">G$269-F$269</f>
        <v>0</v>
      </c>
      <c r="H270" s="34" t="n">
        <f aca="false">H$269-G$269</f>
        <v>0</v>
      </c>
      <c r="I270" s="34" t="n">
        <f aca="false">I$269-H$269</f>
        <v>0</v>
      </c>
      <c r="J270" s="34" t="n">
        <f aca="false">J$269-I$269</f>
        <v>0</v>
      </c>
      <c r="K270" s="34" t="n">
        <f aca="false">K$269-J$269</f>
        <v>0</v>
      </c>
      <c r="L270" s="34" t="n">
        <f aca="false">L$269-K$269</f>
        <v>0</v>
      </c>
      <c r="M270" s="34" t="n">
        <f aca="false">M$269-L$269</f>
        <v>0</v>
      </c>
      <c r="N270" s="34" t="n">
        <f aca="false">N$269-M$269</f>
        <v>0</v>
      </c>
      <c r="O270" s="34" t="n">
        <f aca="false">O$269-N$269</f>
        <v>0</v>
      </c>
      <c r="P270" s="34" t="n">
        <f aca="false">P$269-O$269</f>
        <v>0</v>
      </c>
      <c r="Q270" s="34" t="n">
        <f aca="false">Q$269-P$269</f>
        <v>0</v>
      </c>
      <c r="R270" s="34" t="n">
        <f aca="false">R$269-Q$269</f>
        <v>655145.444395644</v>
      </c>
      <c r="S270" s="34" t="n">
        <f aca="false">S$269-R$269</f>
        <v>0</v>
      </c>
      <c r="T270" s="34" t="n">
        <f aca="false">T$269-S$269</f>
        <v>0</v>
      </c>
      <c r="U270" s="34" t="n">
        <f aca="false">U$269-T$269</f>
        <v>0</v>
      </c>
      <c r="V270" s="34" t="n">
        <f aca="false">V$269-U$269</f>
        <v>0</v>
      </c>
      <c r="W270" s="34" t="n">
        <f aca="false">W$269-V$269</f>
        <v>0</v>
      </c>
      <c r="X270" s="34" t="n">
        <f aca="false">X$269-W$269</f>
        <v>0</v>
      </c>
      <c r="Y270" s="34" t="n">
        <f aca="false">Y$269-X$269</f>
        <v>0</v>
      </c>
      <c r="Z270" s="34" t="n">
        <f aca="false">Z$269-Y$269</f>
        <v>0</v>
      </c>
      <c r="AA270" s="34" t="n">
        <f aca="false">AA$269-Z$269</f>
        <v>0</v>
      </c>
      <c r="AB270" s="34" t="n">
        <f aca="false">AB$269-AA$269</f>
        <v>0</v>
      </c>
      <c r="AC270" s="34" t="n">
        <f aca="false">AC$269-AB$269</f>
        <v>0</v>
      </c>
      <c r="AD270" s="34" t="n">
        <f aca="false">AD$269-AC$269</f>
        <v>667326.930632423</v>
      </c>
      <c r="AE270" s="34" t="n">
        <f aca="false">AE$269-AD$269</f>
        <v>0</v>
      </c>
      <c r="AF270" s="34" t="n">
        <f aca="false">AF$269-AE$269</f>
        <v>0</v>
      </c>
      <c r="AG270" s="34" t="n">
        <f aca="false">AG$269-AF$269</f>
        <v>0</v>
      </c>
      <c r="AH270" s="34" t="n">
        <f aca="false">AH$269-AG$269</f>
        <v>0</v>
      </c>
      <c r="AI270" s="34" t="n">
        <f aca="false">AI$269-AH$269</f>
        <v>0</v>
      </c>
      <c r="AJ270" s="34" t="n">
        <f aca="false">AJ$269-AI$269</f>
        <v>0</v>
      </c>
      <c r="AK270" s="34" t="n">
        <f aca="false">AK$269-AJ$269</f>
        <v>0</v>
      </c>
      <c r="AL270" s="34" t="n">
        <f aca="false">AL$269-AK$269</f>
        <v>0</v>
      </c>
      <c r="AM270" s="34" t="n">
        <f aca="false">AM$269-AL$269</f>
        <v>0</v>
      </c>
      <c r="AN270" s="34" t="n">
        <f aca="false">AN$269-AM$269</f>
        <v>0</v>
      </c>
      <c r="AO270" s="34" t="n">
        <f aca="false">AO$269-AN$269</f>
        <v>0</v>
      </c>
      <c r="AP270" s="34" t="n">
        <f aca="false">AP$269-AO$269</f>
        <v>558809.069933313</v>
      </c>
      <c r="AQ270" s="34" t="n">
        <f aca="false">AQ$269-AP$269</f>
        <v>0</v>
      </c>
      <c r="AR270" s="34" t="n">
        <f aca="false">AR$269-AQ$269</f>
        <v>0</v>
      </c>
      <c r="AS270" s="34" t="n">
        <f aca="false">AS$269-AR$269</f>
        <v>0</v>
      </c>
      <c r="AT270" s="34" t="n">
        <f aca="false">AT$269-AS$269</f>
        <v>0</v>
      </c>
      <c r="AU270" s="34" t="n">
        <f aca="false">AU$269-AT$269</f>
        <v>0</v>
      </c>
      <c r="AV270" s="34" t="n">
        <f aca="false">AV$269-AU$269</f>
        <v>0</v>
      </c>
      <c r="AW270" s="34" t="n">
        <f aca="false">AW$269-AV$269</f>
        <v>0</v>
      </c>
      <c r="AX270" s="34" t="n">
        <f aca="false">AX$269-AW$269</f>
        <v>0</v>
      </c>
      <c r="AY270" s="34" t="n">
        <f aca="false">AY$269-AX$269</f>
        <v>0</v>
      </c>
      <c r="AZ270" s="34" t="n">
        <f aca="false">AZ$269-AY$269</f>
        <v>0</v>
      </c>
      <c r="BA270" s="34" t="n">
        <f aca="false">BA$269-AZ$269</f>
        <v>0</v>
      </c>
      <c r="BB270" s="34" t="n">
        <f aca="false">BB$269-BA$269</f>
        <v>38109.5477058599</v>
      </c>
      <c r="BC270" s="34" t="n">
        <f aca="false">BC$269-BB$269</f>
        <v>0</v>
      </c>
      <c r="BD270" s="34" t="n">
        <f aca="false">BD$269-BC$269</f>
        <v>0</v>
      </c>
      <c r="BE270" s="34" t="n">
        <f aca="false">BE$269-BD$269</f>
        <v>0</v>
      </c>
      <c r="BF270" s="34" t="n">
        <f aca="false">BF$269-BE$269</f>
        <v>0</v>
      </c>
      <c r="BG270" s="34" t="n">
        <f aca="false">BG$269-BF$269</f>
        <v>0</v>
      </c>
      <c r="BH270" s="34" t="n">
        <f aca="false">BH$269-BG$269</f>
        <v>0</v>
      </c>
      <c r="BI270" s="34" t="n">
        <f aca="false">BI$269-BH$269</f>
        <v>0</v>
      </c>
      <c r="BJ270" s="34" t="n">
        <f aca="false">BJ$269-BI$269</f>
        <v>0</v>
      </c>
      <c r="BK270" s="34" t="n">
        <f aca="false">BK$269-BJ$269</f>
        <v>0</v>
      </c>
      <c r="BL270" s="34" t="n">
        <f aca="false">BL$269-BK$269</f>
        <v>0</v>
      </c>
      <c r="BM270" s="34" t="n">
        <f aca="false">BM$269-BL$269</f>
        <v>0</v>
      </c>
      <c r="BN270" s="34" t="n">
        <f aca="false">BN$269-BM$269</f>
        <v>37724.8564685965</v>
      </c>
      <c r="BO270" s="34" t="n">
        <f aca="false">BO$269-BN$269</f>
        <v>0</v>
      </c>
      <c r="BP270" s="34" t="n">
        <f aca="false">BP$269-BO$269</f>
        <v>0</v>
      </c>
      <c r="BQ270" s="34" t="n">
        <f aca="false">BQ$269-BP$269</f>
        <v>0</v>
      </c>
      <c r="BR270" s="34" t="n">
        <f aca="false">BR$269-BQ$269</f>
        <v>0</v>
      </c>
      <c r="BS270" s="34" t="n">
        <f aca="false">BS$269-BR$269</f>
        <v>0</v>
      </c>
      <c r="BT270" s="34" t="n">
        <f aca="false">BT$269-BS$269</f>
        <v>0</v>
      </c>
      <c r="BU270" s="34" t="n">
        <f aca="false">BU$269-BT$269</f>
        <v>0</v>
      </c>
      <c r="BV270" s="34" t="n">
        <f aca="false">BV$269-BU$269</f>
        <v>0</v>
      </c>
      <c r="BW270" s="34" t="n">
        <f aca="false">BW$269-BV$269</f>
        <v>0</v>
      </c>
      <c r="BX270" s="34" t="n">
        <f aca="false">BX$269-BW$269</f>
        <v>0</v>
      </c>
      <c r="BY270" s="34" t="n">
        <f aca="false">BY$269-BX$269</f>
        <v>0</v>
      </c>
      <c r="BZ270" s="34" t="n">
        <f aca="false">BZ$269-BY$269</f>
        <v>38089.8932247805</v>
      </c>
      <c r="CA270" s="34" t="n">
        <f aca="false">CA$269-BZ$269</f>
        <v>0</v>
      </c>
      <c r="CB270" s="34" t="n">
        <f aca="false">CB$269-CA$269</f>
        <v>0</v>
      </c>
      <c r="CC270" s="34" t="n">
        <f aca="false">CC$269-CB$269</f>
        <v>0</v>
      </c>
      <c r="CD270" s="34" t="n">
        <f aca="false">CD$269-CC$269</f>
        <v>0</v>
      </c>
      <c r="CE270" s="34" t="n">
        <f aca="false">CE$269-CD$269</f>
        <v>0</v>
      </c>
      <c r="CF270" s="34" t="n">
        <f aca="false">CF$269-CE$269</f>
        <v>0</v>
      </c>
      <c r="CG270" s="34" t="n">
        <f aca="false">CG$269-CF$269</f>
        <v>0</v>
      </c>
      <c r="CH270" s="34" t="n">
        <f aca="false">CH$269-CG$269</f>
        <v>0</v>
      </c>
      <c r="CI270" s="34" t="n">
        <f aca="false">CI$269-CH$269</f>
        <v>0</v>
      </c>
      <c r="CJ270" s="34" t="n">
        <f aca="false">CJ$269-CI$269</f>
        <v>0</v>
      </c>
      <c r="CK270" s="34" t="n">
        <f aca="false">CK$269-CJ$269</f>
        <v>0</v>
      </c>
      <c r="CL270" s="34" t="n">
        <f aca="false">CL$269-CK$269</f>
        <v>38458.2176945191</v>
      </c>
      <c r="CM270" s="34" t="n">
        <f aca="false">CM$269-CL$269</f>
        <v>0</v>
      </c>
      <c r="CN270" s="34" t="n">
        <f aca="false">CN$269-CM$269</f>
        <v>0</v>
      </c>
      <c r="CO270" s="34" t="n">
        <f aca="false">CO$269-CN$269</f>
        <v>0</v>
      </c>
      <c r="CP270" s="34" t="n">
        <f aca="false">CP$269-CO$269</f>
        <v>0</v>
      </c>
      <c r="CQ270" s="34" t="n">
        <f aca="false">CQ$269-CP$269</f>
        <v>0</v>
      </c>
      <c r="CR270" s="34" t="n">
        <f aca="false">CR$269-CQ$269</f>
        <v>0</v>
      </c>
      <c r="CS270" s="34" t="n">
        <f aca="false">CS$269-CR$269</f>
        <v>0</v>
      </c>
      <c r="CT270" s="34" t="n">
        <f aca="false">CT$269-CS$269</f>
        <v>0</v>
      </c>
      <c r="CU270" s="34" t="n">
        <f aca="false">CU$269-CT$269</f>
        <v>0</v>
      </c>
      <c r="CV270" s="34" t="n">
        <f aca="false">CV$269-CU$269</f>
        <v>0</v>
      </c>
      <c r="CW270" s="34" t="n">
        <f aca="false">CW$269-CV$269</f>
        <v>0</v>
      </c>
      <c r="CX270" s="34" t="n">
        <f aca="false">CX$269-CW$269</f>
        <v>38829.851949336</v>
      </c>
      <c r="CY270" s="34" t="n">
        <f aca="false">CY$269-CX$269</f>
        <v>0</v>
      </c>
      <c r="CZ270" s="34" t="n">
        <f aca="false">CZ$269-CY$269</f>
        <v>0</v>
      </c>
      <c r="DA270" s="34" t="n">
        <f aca="false">DA$269-CZ$269</f>
        <v>0</v>
      </c>
      <c r="DB270" s="34" t="n">
        <f aca="false">DB$269-DA$269</f>
        <v>0</v>
      </c>
      <c r="DC270" s="34" t="n">
        <f aca="false">DC$269-DB$269</f>
        <v>0</v>
      </c>
      <c r="DD270" s="34" t="n">
        <f aca="false">DD$269-DC$269</f>
        <v>0</v>
      </c>
      <c r="DE270" s="34" t="n">
        <f aca="false">DE$269-DD$269</f>
        <v>0</v>
      </c>
      <c r="DF270" s="34" t="n">
        <f aca="false">DF$269-DE$269</f>
        <v>0</v>
      </c>
      <c r="DG270" s="34" t="n">
        <f aca="false">DG$269-DF$269</f>
        <v>0</v>
      </c>
      <c r="DH270" s="34" t="n">
        <f aca="false">DH$269-DG$269</f>
        <v>0</v>
      </c>
      <c r="DI270" s="34" t="n">
        <f aca="false">DI$269-DH$269</f>
        <v>0</v>
      </c>
      <c r="DJ270" s="34" t="n">
        <f aca="false">DJ$269-DI$269</f>
        <v>39204.8179587778</v>
      </c>
      <c r="DK270" s="34" t="n">
        <f aca="false">DK$269-DJ$269</f>
        <v>0</v>
      </c>
      <c r="DL270" s="34" t="n">
        <f aca="false">DL$269-DK$269</f>
        <v>0</v>
      </c>
      <c r="DM270" s="34" t="n">
        <f aca="false">DM$269-DL$269</f>
        <v>0</v>
      </c>
      <c r="DN270" s="34" t="n">
        <f aca="false">DN$269-DM$269</f>
        <v>0</v>
      </c>
      <c r="DO270" s="34" t="n">
        <f aca="false">DO$269-DN$269</f>
        <v>0</v>
      </c>
      <c r="DP270" s="34" t="n">
        <f aca="false">DP$269-DO$269</f>
        <v>0</v>
      </c>
      <c r="DQ270" s="34" t="n">
        <f aca="false">DQ$269-DP$269</f>
        <v>0</v>
      </c>
      <c r="DR270" s="34" t="n">
        <f aca="false">DR$269-DQ$269</f>
        <v>0</v>
      </c>
      <c r="DS270" s="34" t="n">
        <f aca="false">DS$269-DR$269</f>
        <v>0</v>
      </c>
      <c r="DT270" s="34" t="n">
        <f aca="false">DT$269-DS$269</f>
        <v>0</v>
      </c>
      <c r="DU270" s="34" t="n">
        <f aca="false">DU$269-DT$269</f>
        <v>0</v>
      </c>
      <c r="DV270" s="34" t="n">
        <f aca="false">DV$269-DU$269</f>
        <v>0</v>
      </c>
      <c r="DW270" s="34" t="n">
        <f aca="false">DW$269-DV$269</f>
        <v>0</v>
      </c>
      <c r="DX270" s="34" t="n">
        <f aca="false">DX$269-DW$269</f>
        <v>0</v>
      </c>
      <c r="DY270" s="34" t="n">
        <f aca="false">DY$269-DX$269</f>
        <v>0</v>
      </c>
      <c r="DZ270" s="34" t="n">
        <f aca="false">DZ$269-DY$269</f>
        <v>0</v>
      </c>
      <c r="EA270" s="34" t="n">
        <f aca="false">EA$269-DZ$269</f>
        <v>0</v>
      </c>
      <c r="EB270" s="34" t="n">
        <f aca="false">EB$269-EA$269</f>
        <v>0</v>
      </c>
      <c r="EC270" s="34" t="n">
        <f aca="false">EC$269-EB$269</f>
        <v>0</v>
      </c>
      <c r="ED270" s="34" t="n">
        <f aca="false">ED$269-EC$269</f>
        <v>0</v>
      </c>
      <c r="EE270" s="34" t="n">
        <f aca="false">EE$269-ED$269</f>
        <v>0</v>
      </c>
      <c r="EF270" s="34" t="n">
        <f aca="false">EF$269-EE$269</f>
        <v>0</v>
      </c>
      <c r="EG270" s="34" t="n">
        <f aca="false">EG$269-EF$269</f>
        <v>0</v>
      </c>
      <c r="EH270" s="34" t="n">
        <f aca="false">EH$269-EG$269</f>
        <v>0</v>
      </c>
      <c r="EI270" s="34" t="n">
        <f aca="false">EI$269-EH$269</f>
        <v>0</v>
      </c>
      <c r="EJ270" s="34" t="n">
        <f aca="false">EJ$269-EI$269</f>
        <v>0</v>
      </c>
      <c r="EK270" s="34" t="n">
        <f aca="false">EK$269-EJ$269</f>
        <v>0</v>
      </c>
      <c r="EL270" s="34" t="n">
        <f aca="false">EL$269-EK$269</f>
        <v>0</v>
      </c>
      <c r="EM270" s="34" t="n">
        <f aca="false">EM$269-EL$269</f>
        <v>0</v>
      </c>
      <c r="EN270" s="34" t="n">
        <f aca="false">EN$269-EM$269</f>
        <v>0</v>
      </c>
      <c r="EO270" s="34" t="n">
        <f aca="false">EO$269-EN$269</f>
        <v>0</v>
      </c>
      <c r="EP270" s="34" t="n">
        <f aca="false">EP$269-EO$269</f>
        <v>0</v>
      </c>
      <c r="EQ270" s="34" t="n">
        <f aca="false">EQ$269-EP$269</f>
        <v>0</v>
      </c>
      <c r="ER270" s="34" t="n">
        <f aca="false">ER$269-EQ$269</f>
        <v>0</v>
      </c>
      <c r="ES270" s="34" t="n">
        <f aca="false">ES$269-ER$269</f>
        <v>0</v>
      </c>
    </row>
    <row r="271" customFormat="false" ht="15" hidden="false" customHeight="false" outlineLevel="0" collapsed="false">
      <c r="A271" s="4"/>
      <c r="B271" s="3" t="s">
        <v>716</v>
      </c>
      <c r="C271" s="4"/>
      <c r="D271" s="4"/>
      <c r="E271" s="4"/>
    </row>
    <row r="272" customFormat="false" ht="15" hidden="false" customHeight="false" outlineLevel="0" collapsed="false">
      <c r="A272" s="2" t="s">
        <v>910</v>
      </c>
      <c r="B272" s="52" t="s">
        <v>718</v>
      </c>
      <c r="C272" s="6" t="s">
        <v>250</v>
      </c>
      <c r="E272" s="40" t="n">
        <f aca="false">SUM(F272:ES272)</f>
        <v>11809741.4989387</v>
      </c>
      <c r="F272" s="10" t="n">
        <f aca="false">(F$258-F$262-F$270)*F$9</f>
        <v>-2345566.38688344</v>
      </c>
      <c r="G272" s="10" t="n">
        <f aca="false">(G$258-G$262-G$270)*G$9</f>
        <v>42497.5004755897</v>
      </c>
      <c r="H272" s="10" t="n">
        <f aca="false">(H$258-H$262-H$270)*H$9</f>
        <v>42497.5004755897</v>
      </c>
      <c r="I272" s="10" t="n">
        <f aca="false">(I$258-I$262-I$270)*I$9</f>
        <v>42497.5004755897</v>
      </c>
      <c r="J272" s="10" t="n">
        <f aca="false">(J$258-J$262-J$270)*J$9</f>
        <v>42497.5004755897</v>
      </c>
      <c r="K272" s="10" t="n">
        <f aca="false">(K$258-K$262-K$270)*K$9</f>
        <v>42497.5004755897</v>
      </c>
      <c r="L272" s="10" t="n">
        <f aca="false">(L$258-L$262-L$270)*L$9</f>
        <v>42497.5004755897</v>
      </c>
      <c r="M272" s="10" t="n">
        <f aca="false">(M$258-M$262-M$270)*M$9</f>
        <v>42497.5004755897</v>
      </c>
      <c r="N272" s="10" t="n">
        <f aca="false">(N$258-N$262-N$270)*N$9</f>
        <v>42497.5004755897</v>
      </c>
      <c r="O272" s="10" t="n">
        <f aca="false">(O$258-O$262-O$270)*O$9</f>
        <v>42497.5004755897</v>
      </c>
      <c r="P272" s="10" t="n">
        <f aca="false">(P$258-P$262-P$270)*P$9</f>
        <v>42497.5004755897</v>
      </c>
      <c r="Q272" s="10" t="n">
        <f aca="false">(Q$258-Q$262-Q$270)*Q$9</f>
        <v>42497.5004755897</v>
      </c>
      <c r="R272" s="10" t="n">
        <f aca="false">(R$258-R$262-R$270)*R$9</f>
        <v>-574649.041401679</v>
      </c>
      <c r="S272" s="10" t="n">
        <f aca="false">(S$258-S$262-S$270)*S$9</f>
        <v>80496.4029939648</v>
      </c>
      <c r="T272" s="10" t="n">
        <f aca="false">(T$258-T$262-T$270)*T$9</f>
        <v>80496.4029939648</v>
      </c>
      <c r="U272" s="10" t="n">
        <f aca="false">(U$258-U$262-U$270)*U$9</f>
        <v>80496.4029939648</v>
      </c>
      <c r="V272" s="10" t="n">
        <f aca="false">(V$258-V$262-V$270)*V$9</f>
        <v>80496.4029939648</v>
      </c>
      <c r="W272" s="10" t="n">
        <f aca="false">(W$258-W$262-W$270)*W$9</f>
        <v>80496.4029939648</v>
      </c>
      <c r="X272" s="10" t="n">
        <f aca="false">(X$258-X$262-X$270)*X$9</f>
        <v>80496.4029939648</v>
      </c>
      <c r="Y272" s="10" t="n">
        <f aca="false">(Y$258-Y$262-Y$270)*Y$9</f>
        <v>80496.4029939648</v>
      </c>
      <c r="Z272" s="10" t="n">
        <f aca="false">(Z$258-Z$262-Z$270)*Z$9</f>
        <v>80496.4029939648</v>
      </c>
      <c r="AA272" s="10" t="n">
        <f aca="false">(AA$258-AA$262-AA$270)*AA$9</f>
        <v>80496.4029939648</v>
      </c>
      <c r="AB272" s="10" t="n">
        <f aca="false">(AB$258-AB$262-AB$270)*AB$9</f>
        <v>80496.4029939648</v>
      </c>
      <c r="AC272" s="10" t="n">
        <f aca="false">(AC$258-AC$262-AC$270)*AC$9</f>
        <v>80496.4029939648</v>
      </c>
      <c r="AD272" s="10" t="n">
        <f aca="false">(AD$258-AD$262-AD$270)*AD$9</f>
        <v>-550241.899767298</v>
      </c>
      <c r="AE272" s="10" t="n">
        <f aca="false">(AE$258-AE$262-AE$270)*AE$9</f>
        <v>117085.030865125</v>
      </c>
      <c r="AF272" s="10" t="n">
        <f aca="false">(AF$258-AF$262-AF$270)*AF$9</f>
        <v>117085.030865125</v>
      </c>
      <c r="AG272" s="10" t="n">
        <f aca="false">(AG$258-AG$262-AG$270)*AG$9</f>
        <v>117085.030865125</v>
      </c>
      <c r="AH272" s="10" t="n">
        <f aca="false">(AH$258-AH$262-AH$270)*AH$9</f>
        <v>117085.030865125</v>
      </c>
      <c r="AI272" s="10" t="n">
        <f aca="false">(AI$258-AI$262-AI$270)*AI$9</f>
        <v>117085.030865125</v>
      </c>
      <c r="AJ272" s="10" t="n">
        <f aca="false">(AJ$258-AJ$262-AJ$270)*AJ$9</f>
        <v>117085.030865125</v>
      </c>
      <c r="AK272" s="10" t="n">
        <f aca="false">(AK$258-AK$262-AK$270)*AK$9</f>
        <v>117085.030865125</v>
      </c>
      <c r="AL272" s="10" t="n">
        <f aca="false">(AL$258-AL$262-AL$270)*AL$9</f>
        <v>117085.030865125</v>
      </c>
      <c r="AM272" s="10" t="n">
        <f aca="false">(AM$258-AM$262-AM$270)*AM$9</f>
        <v>117085.030865125</v>
      </c>
      <c r="AN272" s="10" t="n">
        <f aca="false">(AN$258-AN$262-AN$270)*AN$9</f>
        <v>117085.030865125</v>
      </c>
      <c r="AO272" s="10" t="n">
        <f aca="false">(AO$258-AO$262-AO$270)*AO$9</f>
        <v>117085.030865125</v>
      </c>
      <c r="AP272" s="10" t="n">
        <f aca="false">(AP$258-AP$262-AP$270)*AP$9</f>
        <v>-408915.490053455</v>
      </c>
      <c r="AQ272" s="10" t="n">
        <f aca="false">(AQ$258-AQ$262-AQ$270)*AQ$9</f>
        <v>149893.579879858</v>
      </c>
      <c r="AR272" s="10" t="n">
        <f aca="false">(AR$258-AR$262-AR$270)*AR$9</f>
        <v>149893.579879858</v>
      </c>
      <c r="AS272" s="10" t="n">
        <f aca="false">(AS$258-AS$262-AS$270)*AS$9</f>
        <v>149893.579879858</v>
      </c>
      <c r="AT272" s="10" t="n">
        <f aca="false">(AT$258-AT$262-AT$270)*AT$9</f>
        <v>149893.579879858</v>
      </c>
      <c r="AU272" s="10" t="n">
        <f aca="false">(AU$258-AU$262-AU$270)*AU$9</f>
        <v>149893.579879858</v>
      </c>
      <c r="AV272" s="10" t="n">
        <f aca="false">(AV$258-AV$262-AV$270)*AV$9</f>
        <v>149893.579879858</v>
      </c>
      <c r="AW272" s="10" t="n">
        <f aca="false">(AW$258-AW$262-AW$270)*AW$9</f>
        <v>149893.579879858</v>
      </c>
      <c r="AX272" s="10" t="n">
        <f aca="false">(AX$258-AX$262-AX$270)*AX$9</f>
        <v>149893.579879858</v>
      </c>
      <c r="AY272" s="10" t="n">
        <f aca="false">(AY$258-AY$262-AY$270)*AY$9</f>
        <v>149893.579879858</v>
      </c>
      <c r="AZ272" s="10" t="n">
        <f aca="false">(AZ$258-AZ$262-AZ$270)*AZ$9</f>
        <v>149893.579879858</v>
      </c>
      <c r="BA272" s="10" t="n">
        <f aca="false">(BA$258-BA$262-BA$270)*BA$9</f>
        <v>149893.579879858</v>
      </c>
      <c r="BB272" s="10" t="n">
        <f aca="false">(BB$258-BB$262-BB$270)*BB$9</f>
        <v>113103.617170514</v>
      </c>
      <c r="BC272" s="10" t="n">
        <f aca="false">(BC$258-BC$262-BC$270)*BC$9</f>
        <v>151213.164876374</v>
      </c>
      <c r="BD272" s="10" t="n">
        <f aca="false">(BD$258-BD$262-BD$270)*BD$9</f>
        <v>151213.164876374</v>
      </c>
      <c r="BE272" s="10" t="n">
        <f aca="false">(BE$258-BE$262-BE$270)*BE$9</f>
        <v>151213.164876374</v>
      </c>
      <c r="BF272" s="10" t="n">
        <f aca="false">(BF$258-BF$262-BF$270)*BF$9</f>
        <v>151213.164876374</v>
      </c>
      <c r="BG272" s="10" t="n">
        <f aca="false">(BG$258-BG$262-BG$270)*BG$9</f>
        <v>151213.164876374</v>
      </c>
      <c r="BH272" s="10" t="n">
        <f aca="false">(BH$258-BH$262-BH$270)*BH$9</f>
        <v>151213.164876374</v>
      </c>
      <c r="BI272" s="10" t="n">
        <f aca="false">(BI$258-BI$262-BI$270)*BI$9</f>
        <v>151213.164876374</v>
      </c>
      <c r="BJ272" s="10" t="n">
        <f aca="false">(BJ$258-BJ$262-BJ$270)*BJ$9</f>
        <v>151213.164876374</v>
      </c>
      <c r="BK272" s="10" t="n">
        <f aca="false">(BK$258-BK$262-BK$270)*BK$9</f>
        <v>151213.164876374</v>
      </c>
      <c r="BL272" s="10" t="n">
        <f aca="false">(BL$258-BL$262-BL$270)*BL$9</f>
        <v>151213.164876374</v>
      </c>
      <c r="BM272" s="10" t="n">
        <f aca="false">(BM$258-BM$262-BM$270)*BM$9</f>
        <v>151213.164876374</v>
      </c>
      <c r="BN272" s="10" t="n">
        <f aca="false">(BN$258-BN$262-BN$270)*BN$9</f>
        <v>117575.58532923</v>
      </c>
      <c r="BO272" s="10" t="n">
        <f aca="false">(BO$258-BO$262-BO$270)*BO$9</f>
        <v>155300.441797826</v>
      </c>
      <c r="BP272" s="10" t="n">
        <f aca="false">(BP$258-BP$262-BP$270)*BP$9</f>
        <v>155300.441797826</v>
      </c>
      <c r="BQ272" s="10" t="n">
        <f aca="false">(BQ$258-BQ$262-BQ$270)*BQ$9</f>
        <v>155300.441797826</v>
      </c>
      <c r="BR272" s="10" t="n">
        <f aca="false">(BR$258-BR$262-BR$270)*BR$9</f>
        <v>155300.441797826</v>
      </c>
      <c r="BS272" s="10" t="n">
        <f aca="false">(BS$258-BS$262-BS$270)*BS$9</f>
        <v>155300.441797826</v>
      </c>
      <c r="BT272" s="10" t="n">
        <f aca="false">(BT$258-BT$262-BT$270)*BT$9</f>
        <v>155300.441797826</v>
      </c>
      <c r="BU272" s="10" t="n">
        <f aca="false">(BU$258-BU$262-BU$270)*BU$9</f>
        <v>155300.441797826</v>
      </c>
      <c r="BV272" s="10" t="n">
        <f aca="false">(BV$258-BV$262-BV$270)*BV$9</f>
        <v>155300.441797826</v>
      </c>
      <c r="BW272" s="10" t="n">
        <f aca="false">(BW$258-BW$262-BW$270)*BW$9</f>
        <v>155300.441797826</v>
      </c>
      <c r="BX272" s="10" t="n">
        <f aca="false">(BX$258-BX$262-BX$270)*BX$9</f>
        <v>155300.441797826</v>
      </c>
      <c r="BY272" s="10" t="n">
        <f aca="false">(BY$258-BY$262-BY$270)*BY$9</f>
        <v>155300.441797826</v>
      </c>
      <c r="BZ272" s="10" t="n">
        <f aca="false">(BZ$258-BZ$262-BZ$270)*BZ$9</f>
        <v>121326.129264619</v>
      </c>
      <c r="CA272" s="10" t="n">
        <f aca="false">(CA$258-CA$262-CA$270)*CA$9</f>
        <v>159416.0224894</v>
      </c>
      <c r="CB272" s="10" t="n">
        <f aca="false">(CB$258-CB$262-CB$270)*CB$9</f>
        <v>159416.0224894</v>
      </c>
      <c r="CC272" s="10" t="n">
        <f aca="false">(CC$258-CC$262-CC$270)*CC$9</f>
        <v>159416.0224894</v>
      </c>
      <c r="CD272" s="10" t="n">
        <f aca="false">(CD$258-CD$262-CD$270)*CD$9</f>
        <v>159416.0224894</v>
      </c>
      <c r="CE272" s="10" t="n">
        <f aca="false">(CE$258-CE$262-CE$270)*CE$9</f>
        <v>159416.0224894</v>
      </c>
      <c r="CF272" s="10" t="n">
        <f aca="false">(CF$258-CF$262-CF$270)*CF$9</f>
        <v>159416.0224894</v>
      </c>
      <c r="CG272" s="10" t="n">
        <f aca="false">(CG$258-CG$262-CG$270)*CG$9</f>
        <v>159416.0224894</v>
      </c>
      <c r="CH272" s="10" t="n">
        <f aca="false">(CH$258-CH$262-CH$270)*CH$9</f>
        <v>159416.0224894</v>
      </c>
      <c r="CI272" s="10" t="n">
        <f aca="false">(CI$258-CI$262-CI$270)*CI$9</f>
        <v>159416.0224894</v>
      </c>
      <c r="CJ272" s="10" t="n">
        <f aca="false">(CJ$258-CJ$262-CJ$270)*CJ$9</f>
        <v>159416.0224894</v>
      </c>
      <c r="CK272" s="10" t="n">
        <f aca="false">(CK$258-CK$262-CK$270)*CK$9</f>
        <v>159416.0224894</v>
      </c>
      <c r="CL272" s="10" t="n">
        <f aca="false">(CL$258-CL$262-CL$270)*CL$9</f>
        <v>125101.600851768</v>
      </c>
      <c r="CM272" s="10" t="n">
        <f aca="false">(CM$258-CM$262-CM$270)*CM$9</f>
        <v>163559.818546288</v>
      </c>
      <c r="CN272" s="10" t="n">
        <f aca="false">(CN$258-CN$262-CN$270)*CN$9</f>
        <v>163559.818546288</v>
      </c>
      <c r="CO272" s="10" t="n">
        <f aca="false">(CO$258-CO$262-CO$270)*CO$9</f>
        <v>163559.818546288</v>
      </c>
      <c r="CP272" s="10" t="n">
        <f aca="false">(CP$258-CP$262-CP$270)*CP$9</f>
        <v>163559.818546288</v>
      </c>
      <c r="CQ272" s="10" t="n">
        <f aca="false">(CQ$258-CQ$262-CQ$270)*CQ$9</f>
        <v>163559.818546288</v>
      </c>
      <c r="CR272" s="10" t="n">
        <f aca="false">(CR$258-CR$262-CR$270)*CR$9</f>
        <v>163559.818546288</v>
      </c>
      <c r="CS272" s="10" t="n">
        <f aca="false">(CS$258-CS$262-CS$270)*CS$9</f>
        <v>163559.818546288</v>
      </c>
      <c r="CT272" s="10" t="n">
        <f aca="false">(CT$258-CT$262-CT$270)*CT$9</f>
        <v>163559.818546288</v>
      </c>
      <c r="CU272" s="10" t="n">
        <f aca="false">(CU$258-CU$262-CU$270)*CU$9</f>
        <v>163559.818546288</v>
      </c>
      <c r="CV272" s="10" t="n">
        <f aca="false">(CV$258-CV$262-CV$270)*CV$9</f>
        <v>163559.818546288</v>
      </c>
      <c r="CW272" s="10" t="n">
        <f aca="false">(CW$258-CW$262-CW$270)*CW$9</f>
        <v>163559.818546288</v>
      </c>
      <c r="CX272" s="10" t="n">
        <f aca="false">(CX$258-CX$262-CX$270)*CX$9</f>
        <v>128901.877699572</v>
      </c>
      <c r="CY272" s="10" t="n">
        <f aca="false">(CY$258-CY$262-CY$270)*CY$9</f>
        <v>167731.729648908</v>
      </c>
      <c r="CZ272" s="10" t="n">
        <f aca="false">(CZ$258-CZ$262-CZ$270)*CZ$9</f>
        <v>167731.729648908</v>
      </c>
      <c r="DA272" s="10" t="n">
        <f aca="false">(DA$258-DA$262-DA$270)*DA$9</f>
        <v>167731.729648908</v>
      </c>
      <c r="DB272" s="10" t="n">
        <f aca="false">(DB$258-DB$262-DB$270)*DB$9</f>
        <v>167731.729648908</v>
      </c>
      <c r="DC272" s="10" t="n">
        <f aca="false">(DC$258-DC$262-DC$270)*DC$9</f>
        <v>167731.729648908</v>
      </c>
      <c r="DD272" s="10" t="n">
        <f aca="false">(DD$258-DD$262-DD$270)*DD$9</f>
        <v>167731.729648908</v>
      </c>
      <c r="DE272" s="10" t="n">
        <f aca="false">(DE$258-DE$262-DE$270)*DE$9</f>
        <v>167731.729648908</v>
      </c>
      <c r="DF272" s="10" t="n">
        <f aca="false">(DF$258-DF$262-DF$270)*DF$9</f>
        <v>167731.729648908</v>
      </c>
      <c r="DG272" s="10" t="n">
        <f aca="false">(DG$258-DG$262-DG$270)*DG$9</f>
        <v>167731.729648908</v>
      </c>
      <c r="DH272" s="10" t="n">
        <f aca="false">(DH$258-DH$262-DH$270)*DH$9</f>
        <v>167731.729648908</v>
      </c>
      <c r="DI272" s="10" t="n">
        <f aca="false">(DI$258-DI$262-DI$270)*DI$9</f>
        <v>167731.729648908</v>
      </c>
      <c r="DJ272" s="10" t="n">
        <f aca="false">(DJ$258-DJ$262-DJ$270)*DJ$9</f>
        <v>132726.825156308</v>
      </c>
      <c r="DK272" s="10" t="n">
        <f aca="false">(DK$258-DK$262-DK$270)*DK$9</f>
        <v>171931.643115086</v>
      </c>
      <c r="DL272" s="10" t="n">
        <f aca="false">(DL$258-DL$262-DL$270)*DL$9</f>
        <v>171931.643115086</v>
      </c>
      <c r="DM272" s="10" t="n">
        <f aca="false">(DM$258-DM$262-DM$270)*DM$9</f>
        <v>171931.643115086</v>
      </c>
      <c r="DN272" s="10" t="n">
        <f aca="false">(DN$258-DN$262-DN$270)*DN$9</f>
        <v>171931.643115086</v>
      </c>
      <c r="DO272" s="10" t="n">
        <f aca="false">(DO$258-DO$262-DO$270)*DO$9</f>
        <v>171931.643115086</v>
      </c>
      <c r="DP272" s="10" t="n">
        <f aca="false">(DP$258-DP$262-DP$270)*DP$9</f>
        <v>171931.643115086</v>
      </c>
      <c r="DQ272" s="10" t="n">
        <f aca="false">(DQ$258-DQ$262-DQ$270)*DQ$9</f>
        <v>171931.643115086</v>
      </c>
      <c r="DR272" s="10" t="n">
        <f aca="false">(DR$258-DR$262-DR$270)*DR$9</f>
        <v>171931.643115086</v>
      </c>
      <c r="DS272" s="10" t="n">
        <f aca="false">(DS$258-DS$262-DS$270)*DS$9</f>
        <v>171931.643115086</v>
      </c>
      <c r="DT272" s="10" t="n">
        <f aca="false">(DT$258-DT$262-DT$270)*DT$9</f>
        <v>171931.643115086</v>
      </c>
      <c r="DU272" s="10" t="n">
        <f aca="false">(DU$258-DU$262-DU$270)*DU$9</f>
        <v>171931.643115086</v>
      </c>
      <c r="DV272" s="10" t="n">
        <f aca="false">(DV$258-DV$262-DV$270)*DV$9</f>
        <v>0</v>
      </c>
      <c r="DW272" s="10" t="n">
        <f aca="false">(DW$258-DW$262-DW$270)*DW$9</f>
        <v>0</v>
      </c>
      <c r="DX272" s="10" t="n">
        <f aca="false">(DX$258-DX$262-DX$270)*DX$9</f>
        <v>0</v>
      </c>
      <c r="DY272" s="10" t="n">
        <f aca="false">(DY$258-DY$262-DY$270)*DY$9</f>
        <v>0</v>
      </c>
      <c r="DZ272" s="10" t="n">
        <f aca="false">(DZ$258-DZ$262-DZ$270)*DZ$9</f>
        <v>0</v>
      </c>
      <c r="EA272" s="10" t="n">
        <f aca="false">(EA$258-EA$262-EA$270)*EA$9</f>
        <v>0</v>
      </c>
      <c r="EB272" s="10" t="n">
        <f aca="false">(EB$258-EB$262-EB$270)*EB$9</f>
        <v>0</v>
      </c>
      <c r="EC272" s="10" t="n">
        <f aca="false">(EC$258-EC$262-EC$270)*EC$9</f>
        <v>0</v>
      </c>
      <c r="ED272" s="10" t="n">
        <f aca="false">(ED$258-ED$262-ED$270)*ED$9</f>
        <v>0</v>
      </c>
      <c r="EE272" s="10" t="n">
        <f aca="false">(EE$258-EE$262-EE$270)*EE$9</f>
        <v>0</v>
      </c>
      <c r="EF272" s="10" t="n">
        <f aca="false">(EF$258-EF$262-EF$270)*EF$9</f>
        <v>0</v>
      </c>
      <c r="EG272" s="10" t="n">
        <f aca="false">(EG$258-EG$262-EG$270)*EG$9</f>
        <v>0</v>
      </c>
      <c r="EH272" s="10" t="n">
        <f aca="false">(EH$258-EH$262-EH$270)*EH$9</f>
        <v>0</v>
      </c>
      <c r="EI272" s="10" t="n">
        <f aca="false">(EI$258-EI$262-EI$270)*EI$9</f>
        <v>0</v>
      </c>
      <c r="EJ272" s="10" t="n">
        <f aca="false">(EJ$258-EJ$262-EJ$270)*EJ$9</f>
        <v>0</v>
      </c>
      <c r="EK272" s="10" t="n">
        <f aca="false">(EK$258-EK$262-EK$270)*EK$9</f>
        <v>0</v>
      </c>
      <c r="EL272" s="10" t="n">
        <f aca="false">(EL$258-EL$262-EL$270)*EL$9</f>
        <v>0</v>
      </c>
      <c r="EM272" s="10" t="n">
        <f aca="false">(EM$258-EM$262-EM$270)*EM$9</f>
        <v>0</v>
      </c>
      <c r="EN272" s="10" t="n">
        <f aca="false">(EN$258-EN$262-EN$270)*EN$9</f>
        <v>0</v>
      </c>
      <c r="EO272" s="10" t="n">
        <f aca="false">(EO$258-EO$262-EO$270)*EO$9</f>
        <v>0</v>
      </c>
      <c r="EP272" s="10" t="n">
        <f aca="false">(EP$258-EP$262-EP$270)*EP$9</f>
        <v>0</v>
      </c>
      <c r="EQ272" s="10" t="n">
        <f aca="false">(EQ$258-EQ$262-EQ$270)*EQ$9</f>
        <v>0</v>
      </c>
      <c r="ER272" s="10" t="n">
        <f aca="false">(ER$258-ER$262-ER$270)*ER$9</f>
        <v>0</v>
      </c>
      <c r="ES272" s="10" t="n">
        <f aca="false">(ES$258-ES$262-ES$270)*ES$9</f>
        <v>0</v>
      </c>
    </row>
    <row r="273" customFormat="false" ht="15" hidden="false" customHeight="false" outlineLevel="0" collapsed="false">
      <c r="A273" s="2" t="s">
        <v>911</v>
      </c>
      <c r="B273" s="6" t="s">
        <v>532</v>
      </c>
      <c r="C273" s="6" t="s">
        <v>250</v>
      </c>
      <c r="E273" s="40" t="n">
        <f aca="false">SUM(F273:ES273)</f>
        <v>755044.09</v>
      </c>
      <c r="F273" s="34" t="n">
        <f aca="false">IF(F$8=1,IF(Reales!$C$72="PYG",IF(F$10&gt;0,N(Reales!F72)/F$10,0),N(Reales!F72)),(SUMIF(Inv_Q,1,Inv_R)+SUMIF(Inv_Q,1,Inv_M)*(1+V_dCapex))*F$9)</f>
        <v>655044.09</v>
      </c>
      <c r="G273" s="34" t="n">
        <f aca="false">IF(G$8=1,IF(Reales!$C$72="PYG",IF(G$10&gt;0,N(Reales!G72)/G$10,0),N(Reales!G72)),(SUMIF(Inv_Q,2,Inv_R)+SUMIF(Inv_Q,2,Inv_M)*(1+V_dCapex))*G$9)</f>
        <v>0</v>
      </c>
      <c r="H273" s="34" t="n">
        <f aca="false">IF(H$8=1,IF(Reales!$C$72="PYG",IF(H$10&gt;0,N(Reales!H72)/H$10,0),N(Reales!H72)),(SUMIF(Inv_Q,3,Inv_R)+SUMIF(Inv_Q,3,Inv_M)*(1+V_dCapex))*H$9)</f>
        <v>0</v>
      </c>
      <c r="I273" s="34" t="n">
        <f aca="false">IF(I$8=1,IF(Reales!$C$72="PYG",IF(I$10&gt;0,N(Reales!I72)/I$10,0),N(Reales!I72)),(SUMIF(Inv_Q,4,Inv_R)+SUMIF(Inv_Q,4,Inv_M)*(1+V_dCapex))*I$9)</f>
        <v>0</v>
      </c>
      <c r="J273" s="34" t="n">
        <f aca="false">IF(J$8=1,IF(Reales!$C$72="PYG",IF(J$10&gt;0,N(Reales!J72)/J$10,0),N(Reales!J72)),(SUMIF(Inv_Q,5,Inv_R)+SUMIF(Inv_Q,5,Inv_M)*(1+V_dCapex))*J$9)</f>
        <v>0</v>
      </c>
      <c r="K273" s="34" t="n">
        <f aca="false">IF(K$8=1,IF(Reales!$C$72="PYG",IF(K$10&gt;0,N(Reales!K72)/K$10,0),N(Reales!K72)),(SUMIF(Inv_Q,6,Inv_R)+SUMIF(Inv_Q,6,Inv_M)*(1+V_dCapex))*K$9)</f>
        <v>0</v>
      </c>
      <c r="L273" s="34" t="n">
        <f aca="false">IF(L$8=1,IF(Reales!$C$72="PYG",IF(L$10&gt;0,N(Reales!L72)/L$10,0),N(Reales!L72)),(SUMIF(Inv_Q,7,Inv_R)+SUMIF(Inv_Q,7,Inv_M)*(1+V_dCapex))*L$9)</f>
        <v>0</v>
      </c>
      <c r="M273" s="34" t="n">
        <f aca="false">IF(M$8=1,IF(Reales!$C$72="PYG",IF(M$10&gt;0,N(Reales!M72)/M$10,0),N(Reales!M72)),(SUMIF(Inv_Q,8,Inv_R)+SUMIF(Inv_Q,8,Inv_M)*(1+V_dCapex))*M$9)</f>
        <v>0</v>
      </c>
      <c r="N273" s="34" t="n">
        <f aca="false">IF(N$8=1,IF(Reales!$C$72="PYG",IF(N$10&gt;0,N(Reales!N72)/N$10,0),N(Reales!N72)),(SUMIF(Inv_Q,9,Inv_R)+SUMIF(Inv_Q,9,Inv_M)*(1+V_dCapex))*N$9)</f>
        <v>0</v>
      </c>
      <c r="O273" s="34" t="n">
        <f aca="false">IF(O$8=1,IF(Reales!$C$72="PYG",IF(O$10&gt;0,N(Reales!O72)/O$10,0),N(Reales!O72)),(SUMIF(Inv_Q,10,Inv_R)+SUMIF(Inv_Q,10,Inv_M)*(1+V_dCapex))*O$9)</f>
        <v>0</v>
      </c>
      <c r="P273" s="34" t="n">
        <f aca="false">IF(P$8=1,IF(Reales!$C$72="PYG",IF(P$10&gt;0,N(Reales!P72)/P$10,0),N(Reales!P72)),(SUMIF(Inv_Q,11,Inv_R)+SUMIF(Inv_Q,11,Inv_M)*(1+V_dCapex))*P$9)</f>
        <v>0</v>
      </c>
      <c r="Q273" s="34" t="n">
        <f aca="false">IF(Q$8=1,IF(Reales!$C$72="PYG",IF(Q$10&gt;0,N(Reales!Q72)/Q$10,0),N(Reales!Q72)),(SUMIF(Inv_Q,12,Inv_R)+SUMIF(Inv_Q,12,Inv_M)*(1+V_dCapex))*Q$9)</f>
        <v>0</v>
      </c>
      <c r="R273" s="34" t="n">
        <f aca="false">IF(R$8=1,IF(Reales!$C$72="PYG",IF(R$10&gt;0,N(Reales!R72)/R$10,0),N(Reales!R72)),(SUMIF(Inv_Q,13,Inv_R)+SUMIF(Inv_Q,13,Inv_M)*(1+V_dCapex))*R$9)</f>
        <v>100000</v>
      </c>
      <c r="S273" s="34" t="n">
        <f aca="false">IF(S$8=1,IF(Reales!$C$72="PYG",IF(S$10&gt;0,N(Reales!S72)/S$10,0),N(Reales!S72)),(SUMIF(Inv_Q,14,Inv_R)+SUMIF(Inv_Q,14,Inv_M)*(1+V_dCapex))*S$9)</f>
        <v>0</v>
      </c>
      <c r="T273" s="34" t="n">
        <f aca="false">IF(T$8=1,IF(Reales!$C$72="PYG",IF(T$10&gt;0,N(Reales!T72)/T$10,0),N(Reales!T72)),(SUMIF(Inv_Q,15,Inv_R)+SUMIF(Inv_Q,15,Inv_M)*(1+V_dCapex))*T$9)</f>
        <v>0</v>
      </c>
      <c r="U273" s="34" t="n">
        <f aca="false">IF(U$8=1,IF(Reales!$C$72="PYG",IF(U$10&gt;0,N(Reales!U72)/U$10,0),N(Reales!U72)),(SUMIF(Inv_Q,16,Inv_R)+SUMIF(Inv_Q,16,Inv_M)*(1+V_dCapex))*U$9)</f>
        <v>0</v>
      </c>
      <c r="V273" s="34" t="n">
        <f aca="false">IF(V$8=1,IF(Reales!$C$72="PYG",IF(V$10&gt;0,N(Reales!V72)/V$10,0),N(Reales!V72)),(SUMIF(Inv_Q,17,Inv_R)+SUMIF(Inv_Q,17,Inv_M)*(1+V_dCapex))*V$9)</f>
        <v>0</v>
      </c>
      <c r="W273" s="34" t="n">
        <f aca="false">IF(W$8=1,IF(Reales!$C$72="PYG",IF(W$10&gt;0,N(Reales!W72)/W$10,0),N(Reales!W72)),(SUMIF(Inv_Q,18,Inv_R)+SUMIF(Inv_Q,18,Inv_M)*(1+V_dCapex))*W$9)</f>
        <v>0</v>
      </c>
      <c r="X273" s="34" t="n">
        <f aca="false">IF(X$8=1,IF(Reales!$C$72="PYG",IF(X$10&gt;0,N(Reales!X72)/X$10,0),N(Reales!X72)),(SUMIF(Inv_Q,19,Inv_R)+SUMIF(Inv_Q,19,Inv_M)*(1+V_dCapex))*X$9)</f>
        <v>0</v>
      </c>
      <c r="Y273" s="34" t="n">
        <f aca="false">IF(Y$8=1,IF(Reales!$C$72="PYG",IF(Y$10&gt;0,N(Reales!Y72)/Y$10,0),N(Reales!Y72)),(SUMIF(Inv_Q,20,Inv_R)+SUMIF(Inv_Q,20,Inv_M)*(1+V_dCapex))*Y$9)</f>
        <v>0</v>
      </c>
      <c r="Z273" s="34" t="n">
        <f aca="false">IF(Z$8=1,IF(Reales!$C$72="PYG",IF(Z$10&gt;0,N(Reales!Z72)/Z$10,0),N(Reales!Z72)),(SUMIF(Inv_Q,21,Inv_R)+SUMIF(Inv_Q,21,Inv_M)*(1+V_dCapex))*Z$9)</f>
        <v>0</v>
      </c>
      <c r="AA273" s="34" t="n">
        <f aca="false">IF(AA$8=1,IF(Reales!$C$72="PYG",IF(AA$10&gt;0,N(Reales!AA72)/AA$10,0),N(Reales!AA72)),(SUMIF(Inv_Q,22,Inv_R)+SUMIF(Inv_Q,22,Inv_M)*(1+V_dCapex))*AA$9)</f>
        <v>0</v>
      </c>
      <c r="AB273" s="34" t="n">
        <f aca="false">IF(AB$8=1,IF(Reales!$C$72="PYG",IF(AB$10&gt;0,N(Reales!AB72)/AB$10,0),N(Reales!AB72)),(SUMIF(Inv_Q,23,Inv_R)+SUMIF(Inv_Q,23,Inv_M)*(1+V_dCapex))*AB$9)</f>
        <v>0</v>
      </c>
      <c r="AC273" s="34" t="n">
        <f aca="false">IF(AC$8=1,IF(Reales!$C$72="PYG",IF(AC$10&gt;0,N(Reales!AC72)/AC$10,0),N(Reales!AC72)),(SUMIF(Inv_Q,24,Inv_R)+SUMIF(Inv_Q,24,Inv_M)*(1+V_dCapex))*AC$9)</f>
        <v>0</v>
      </c>
      <c r="AD273" s="34" t="n">
        <f aca="false">IF(AD$8=1,IF(Reales!$C$72="PYG",IF(AD$10&gt;0,N(Reales!AD72)/AD$10,0),N(Reales!AD72)),(SUMIF(Inv_Q,25,Inv_R)+SUMIF(Inv_Q,25,Inv_M)*(1+V_dCapex))*AD$9)</f>
        <v>0</v>
      </c>
      <c r="AE273" s="34" t="n">
        <f aca="false">IF(AE$8=1,IF(Reales!$C$72="PYG",IF(AE$10&gt;0,N(Reales!AE72)/AE$10,0),N(Reales!AE72)),(SUMIF(Inv_Q,26,Inv_R)+SUMIF(Inv_Q,26,Inv_M)*(1+V_dCapex))*AE$9)</f>
        <v>0</v>
      </c>
      <c r="AF273" s="34" t="n">
        <f aca="false">IF(AF$8=1,IF(Reales!$C$72="PYG",IF(AF$10&gt;0,N(Reales!AF72)/AF$10,0),N(Reales!AF72)),(SUMIF(Inv_Q,27,Inv_R)+SUMIF(Inv_Q,27,Inv_M)*(1+V_dCapex))*AF$9)</f>
        <v>0</v>
      </c>
      <c r="AG273" s="34" t="n">
        <f aca="false">IF(AG$8=1,IF(Reales!$C$72="PYG",IF(AG$10&gt;0,N(Reales!AG72)/AG$10,0),N(Reales!AG72)),(SUMIF(Inv_Q,28,Inv_R)+SUMIF(Inv_Q,28,Inv_M)*(1+V_dCapex))*AG$9)</f>
        <v>0</v>
      </c>
      <c r="AH273" s="34" t="n">
        <f aca="false">IF(AH$8=1,IF(Reales!$C$72="PYG",IF(AH$10&gt;0,N(Reales!AH72)/AH$10,0),N(Reales!AH72)),(SUMIF(Inv_Q,29,Inv_R)+SUMIF(Inv_Q,29,Inv_M)*(1+V_dCapex))*AH$9)</f>
        <v>0</v>
      </c>
      <c r="AI273" s="34" t="n">
        <f aca="false">IF(AI$8=1,IF(Reales!$C$72="PYG",IF(AI$10&gt;0,N(Reales!AI72)/AI$10,0),N(Reales!AI72)),(SUMIF(Inv_Q,30,Inv_R)+SUMIF(Inv_Q,30,Inv_M)*(1+V_dCapex))*AI$9)</f>
        <v>0</v>
      </c>
      <c r="AJ273" s="34" t="n">
        <f aca="false">IF(AJ$8=1,IF(Reales!$C$72="PYG",IF(AJ$10&gt;0,N(Reales!AJ72)/AJ$10,0),N(Reales!AJ72)),(SUMIF(Inv_Q,31,Inv_R)+SUMIF(Inv_Q,31,Inv_M)*(1+V_dCapex))*AJ$9)</f>
        <v>0</v>
      </c>
      <c r="AK273" s="34" t="n">
        <f aca="false">IF(AK$8=1,IF(Reales!$C$72="PYG",IF(AK$10&gt;0,N(Reales!AK72)/AK$10,0),N(Reales!AK72)),(SUMIF(Inv_Q,32,Inv_R)+SUMIF(Inv_Q,32,Inv_M)*(1+V_dCapex))*AK$9)</f>
        <v>0</v>
      </c>
      <c r="AL273" s="34" t="n">
        <f aca="false">IF(AL$8=1,IF(Reales!$C$72="PYG",IF(AL$10&gt;0,N(Reales!AL72)/AL$10,0),N(Reales!AL72)),(SUMIF(Inv_Q,33,Inv_R)+SUMIF(Inv_Q,33,Inv_M)*(1+V_dCapex))*AL$9)</f>
        <v>0</v>
      </c>
      <c r="AM273" s="34" t="n">
        <f aca="false">IF(AM$8=1,IF(Reales!$C$72="PYG",IF(AM$10&gt;0,N(Reales!AM72)/AM$10,0),N(Reales!AM72)),(SUMIF(Inv_Q,34,Inv_R)+SUMIF(Inv_Q,34,Inv_M)*(1+V_dCapex))*AM$9)</f>
        <v>0</v>
      </c>
      <c r="AN273" s="34" t="n">
        <f aca="false">IF(AN$8=1,IF(Reales!$C$72="PYG",IF(AN$10&gt;0,N(Reales!AN72)/AN$10,0),N(Reales!AN72)),(SUMIF(Inv_Q,35,Inv_R)+SUMIF(Inv_Q,35,Inv_M)*(1+V_dCapex))*AN$9)</f>
        <v>0</v>
      </c>
      <c r="AO273" s="34" t="n">
        <f aca="false">IF(AO$8=1,IF(Reales!$C$72="PYG",IF(AO$10&gt;0,N(Reales!AO72)/AO$10,0),N(Reales!AO72)),(SUMIF(Inv_Q,36,Inv_R)+SUMIF(Inv_Q,36,Inv_M)*(1+V_dCapex))*AO$9)</f>
        <v>0</v>
      </c>
      <c r="AP273" s="34" t="n">
        <f aca="false">IF(AP$8=1,IF(Reales!$C$72="PYG",IF(AP$10&gt;0,N(Reales!AP72)/AP$10,0),N(Reales!AP72)),(SUMIF(Inv_Q,37,Inv_R)+SUMIF(Inv_Q,37,Inv_M)*(1+V_dCapex))*AP$9)</f>
        <v>0</v>
      </c>
      <c r="AQ273" s="34" t="n">
        <f aca="false">IF(AQ$8=1,IF(Reales!$C$72="PYG",IF(AQ$10&gt;0,N(Reales!AQ72)/AQ$10,0),N(Reales!AQ72)),(SUMIF(Inv_Q,38,Inv_R)+SUMIF(Inv_Q,38,Inv_M)*(1+V_dCapex))*AQ$9)</f>
        <v>0</v>
      </c>
      <c r="AR273" s="34" t="n">
        <f aca="false">IF(AR$8=1,IF(Reales!$C$72="PYG",IF(AR$10&gt;0,N(Reales!AR72)/AR$10,0),N(Reales!AR72)),(SUMIF(Inv_Q,39,Inv_R)+SUMIF(Inv_Q,39,Inv_M)*(1+V_dCapex))*AR$9)</f>
        <v>0</v>
      </c>
      <c r="AS273" s="34" t="n">
        <f aca="false">IF(AS$8=1,IF(Reales!$C$72="PYG",IF(AS$10&gt;0,N(Reales!AS72)/AS$10,0),N(Reales!AS72)),(SUMIF(Inv_Q,40,Inv_R)+SUMIF(Inv_Q,40,Inv_M)*(1+V_dCapex))*AS$9)</f>
        <v>0</v>
      </c>
      <c r="AT273" s="34" t="n">
        <f aca="false">IF(AT$8=1,IF(Reales!$C$72="PYG",IF(AT$10&gt;0,N(Reales!AT72)/AT$10,0),N(Reales!AT72)),(SUMIF(Inv_Q,41,Inv_R)+SUMIF(Inv_Q,41,Inv_M)*(1+V_dCapex))*AT$9)</f>
        <v>0</v>
      </c>
      <c r="AU273" s="34" t="n">
        <f aca="false">IF(AU$8=1,IF(Reales!$C$72="PYG",IF(AU$10&gt;0,N(Reales!AU72)/AU$10,0),N(Reales!AU72)),(SUMIF(Inv_Q,42,Inv_R)+SUMIF(Inv_Q,42,Inv_M)*(1+V_dCapex))*AU$9)</f>
        <v>0</v>
      </c>
      <c r="AV273" s="34" t="n">
        <f aca="false">IF(AV$8=1,IF(Reales!$C$72="PYG",IF(AV$10&gt;0,N(Reales!AV72)/AV$10,0),N(Reales!AV72)),(SUMIF(Inv_Q,43,Inv_R)+SUMIF(Inv_Q,43,Inv_M)*(1+V_dCapex))*AV$9)</f>
        <v>0</v>
      </c>
      <c r="AW273" s="34" t="n">
        <f aca="false">IF(AW$8=1,IF(Reales!$C$72="PYG",IF(AW$10&gt;0,N(Reales!AW72)/AW$10,0),N(Reales!AW72)),(SUMIF(Inv_Q,44,Inv_R)+SUMIF(Inv_Q,44,Inv_M)*(1+V_dCapex))*AW$9)</f>
        <v>0</v>
      </c>
      <c r="AX273" s="34" t="n">
        <f aca="false">IF(AX$8=1,IF(Reales!$C$72="PYG",IF(AX$10&gt;0,N(Reales!AX72)/AX$10,0),N(Reales!AX72)),(SUMIF(Inv_Q,45,Inv_R)+SUMIF(Inv_Q,45,Inv_M)*(1+V_dCapex))*AX$9)</f>
        <v>0</v>
      </c>
      <c r="AY273" s="34" t="n">
        <f aca="false">IF(AY$8=1,IF(Reales!$C$72="PYG",IF(AY$10&gt;0,N(Reales!AY72)/AY$10,0),N(Reales!AY72)),(SUMIF(Inv_Q,46,Inv_R)+SUMIF(Inv_Q,46,Inv_M)*(1+V_dCapex))*AY$9)</f>
        <v>0</v>
      </c>
      <c r="AZ273" s="34" t="n">
        <f aca="false">IF(AZ$8=1,IF(Reales!$C$72="PYG",IF(AZ$10&gt;0,N(Reales!AZ72)/AZ$10,0),N(Reales!AZ72)),(SUMIF(Inv_Q,47,Inv_R)+SUMIF(Inv_Q,47,Inv_M)*(1+V_dCapex))*AZ$9)</f>
        <v>0</v>
      </c>
      <c r="BA273" s="34" t="n">
        <f aca="false">IF(BA$8=1,IF(Reales!$C$72="PYG",IF(BA$10&gt;0,N(Reales!BA72)/BA$10,0),N(Reales!BA72)),(SUMIF(Inv_Q,48,Inv_R)+SUMIF(Inv_Q,48,Inv_M)*(1+V_dCapex))*BA$9)</f>
        <v>0</v>
      </c>
      <c r="BB273" s="34" t="n">
        <f aca="false">IF(BB$8=1,IF(Reales!$C$72="PYG",IF(BB$10&gt;0,N(Reales!BB72)/BB$10,0),N(Reales!BB72)),(SUMIF(Inv_Q,49,Inv_R)+SUMIF(Inv_Q,49,Inv_M)*(1+V_dCapex))*BB$9)</f>
        <v>0</v>
      </c>
      <c r="BC273" s="34" t="n">
        <f aca="false">IF(BC$8=1,IF(Reales!$C$72="PYG",IF(BC$10&gt;0,N(Reales!BC72)/BC$10,0),N(Reales!BC72)),(SUMIF(Inv_Q,50,Inv_R)+SUMIF(Inv_Q,50,Inv_M)*(1+V_dCapex))*BC$9)</f>
        <v>0</v>
      </c>
      <c r="BD273" s="34" t="n">
        <f aca="false">IF(BD$8=1,IF(Reales!$C$72="PYG",IF(BD$10&gt;0,N(Reales!BD72)/BD$10,0),N(Reales!BD72)),(SUMIF(Inv_Q,51,Inv_R)+SUMIF(Inv_Q,51,Inv_M)*(1+V_dCapex))*BD$9)</f>
        <v>0</v>
      </c>
      <c r="BE273" s="34" t="n">
        <f aca="false">IF(BE$8=1,IF(Reales!$C$72="PYG",IF(BE$10&gt;0,N(Reales!BE72)/BE$10,0),N(Reales!BE72)),(SUMIF(Inv_Q,52,Inv_R)+SUMIF(Inv_Q,52,Inv_M)*(1+V_dCapex))*BE$9)</f>
        <v>0</v>
      </c>
      <c r="BF273" s="34" t="n">
        <f aca="false">IF(BF$8=1,IF(Reales!$C$72="PYG",IF(BF$10&gt;0,N(Reales!BF72)/BF$10,0),N(Reales!BF72)),(SUMIF(Inv_Q,53,Inv_R)+SUMIF(Inv_Q,53,Inv_M)*(1+V_dCapex))*BF$9)</f>
        <v>0</v>
      </c>
      <c r="BG273" s="34" t="n">
        <f aca="false">IF(BG$8=1,IF(Reales!$C$72="PYG",IF(BG$10&gt;0,N(Reales!BG72)/BG$10,0),N(Reales!BG72)),(SUMIF(Inv_Q,54,Inv_R)+SUMIF(Inv_Q,54,Inv_M)*(1+V_dCapex))*BG$9)</f>
        <v>0</v>
      </c>
      <c r="BH273" s="34" t="n">
        <f aca="false">IF(BH$8=1,IF(Reales!$C$72="PYG",IF(BH$10&gt;0,N(Reales!BH72)/BH$10,0),N(Reales!BH72)),(SUMIF(Inv_Q,55,Inv_R)+SUMIF(Inv_Q,55,Inv_M)*(1+V_dCapex))*BH$9)</f>
        <v>0</v>
      </c>
      <c r="BI273" s="34" t="n">
        <f aca="false">IF(BI$8=1,IF(Reales!$C$72="PYG",IF(BI$10&gt;0,N(Reales!BI72)/BI$10,0),N(Reales!BI72)),(SUMIF(Inv_Q,56,Inv_R)+SUMIF(Inv_Q,56,Inv_M)*(1+V_dCapex))*BI$9)</f>
        <v>0</v>
      </c>
      <c r="BJ273" s="34" t="n">
        <f aca="false">IF(BJ$8=1,IF(Reales!$C$72="PYG",IF(BJ$10&gt;0,N(Reales!BJ72)/BJ$10,0),N(Reales!BJ72)),(SUMIF(Inv_Q,57,Inv_R)+SUMIF(Inv_Q,57,Inv_M)*(1+V_dCapex))*BJ$9)</f>
        <v>0</v>
      </c>
      <c r="BK273" s="34" t="n">
        <f aca="false">IF(BK$8=1,IF(Reales!$C$72="PYG",IF(BK$10&gt;0,N(Reales!BK72)/BK$10,0),N(Reales!BK72)),(SUMIF(Inv_Q,58,Inv_R)+SUMIF(Inv_Q,58,Inv_M)*(1+V_dCapex))*BK$9)</f>
        <v>0</v>
      </c>
      <c r="BL273" s="34" t="n">
        <f aca="false">IF(BL$8=1,IF(Reales!$C$72="PYG",IF(BL$10&gt;0,N(Reales!BL72)/BL$10,0),N(Reales!BL72)),(SUMIF(Inv_Q,59,Inv_R)+SUMIF(Inv_Q,59,Inv_M)*(1+V_dCapex))*BL$9)</f>
        <v>0</v>
      </c>
      <c r="BM273" s="34" t="n">
        <f aca="false">IF(BM$8=1,IF(Reales!$C$72="PYG",IF(BM$10&gt;0,N(Reales!BM72)/BM$10,0),N(Reales!BM72)),(SUMIF(Inv_Q,60,Inv_R)+SUMIF(Inv_Q,60,Inv_M)*(1+V_dCapex))*BM$9)</f>
        <v>0</v>
      </c>
      <c r="BN273" s="34" t="n">
        <f aca="false">IF(BN$8=1,IF(Reales!$C$72="PYG",IF(BN$10&gt;0,N(Reales!BN72)/BN$10,0),N(Reales!BN72)),(SUMIF(Inv_Q,61,Inv_R)+SUMIF(Inv_Q,61,Inv_M)*(1+V_dCapex))*BN$9)</f>
        <v>0</v>
      </c>
      <c r="BO273" s="34" t="n">
        <f aca="false">IF(BO$8=1,IF(Reales!$C$72="PYG",IF(BO$10&gt;0,N(Reales!BO72)/BO$10,0),N(Reales!BO72)),(SUMIF(Inv_Q,62,Inv_R)+SUMIF(Inv_Q,62,Inv_M)*(1+V_dCapex))*BO$9)</f>
        <v>0</v>
      </c>
      <c r="BP273" s="34" t="n">
        <f aca="false">IF(BP$8=1,IF(Reales!$C$72="PYG",IF(BP$10&gt;0,N(Reales!BP72)/BP$10,0),N(Reales!BP72)),(SUMIF(Inv_Q,63,Inv_R)+SUMIF(Inv_Q,63,Inv_M)*(1+V_dCapex))*BP$9)</f>
        <v>0</v>
      </c>
      <c r="BQ273" s="34" t="n">
        <f aca="false">IF(BQ$8=1,IF(Reales!$C$72="PYG",IF(BQ$10&gt;0,N(Reales!BQ72)/BQ$10,0),N(Reales!BQ72)),(SUMIF(Inv_Q,64,Inv_R)+SUMIF(Inv_Q,64,Inv_M)*(1+V_dCapex))*BQ$9)</f>
        <v>0</v>
      </c>
      <c r="BR273" s="34" t="n">
        <f aca="false">IF(BR$8=1,IF(Reales!$C$72="PYG",IF(BR$10&gt;0,N(Reales!BR72)/BR$10,0),N(Reales!BR72)),(SUMIF(Inv_Q,65,Inv_R)+SUMIF(Inv_Q,65,Inv_M)*(1+V_dCapex))*BR$9)</f>
        <v>0</v>
      </c>
      <c r="BS273" s="34" t="n">
        <f aca="false">IF(BS$8=1,IF(Reales!$C$72="PYG",IF(BS$10&gt;0,N(Reales!BS72)/BS$10,0),N(Reales!BS72)),(SUMIF(Inv_Q,66,Inv_R)+SUMIF(Inv_Q,66,Inv_M)*(1+V_dCapex))*BS$9)</f>
        <v>0</v>
      </c>
      <c r="BT273" s="34" t="n">
        <f aca="false">IF(BT$8=1,IF(Reales!$C$72="PYG",IF(BT$10&gt;0,N(Reales!BT72)/BT$10,0),N(Reales!BT72)),(SUMIF(Inv_Q,67,Inv_R)+SUMIF(Inv_Q,67,Inv_M)*(1+V_dCapex))*BT$9)</f>
        <v>0</v>
      </c>
      <c r="BU273" s="34" t="n">
        <f aca="false">IF(BU$8=1,IF(Reales!$C$72="PYG",IF(BU$10&gt;0,N(Reales!BU72)/BU$10,0),N(Reales!BU72)),(SUMIF(Inv_Q,68,Inv_R)+SUMIF(Inv_Q,68,Inv_M)*(1+V_dCapex))*BU$9)</f>
        <v>0</v>
      </c>
      <c r="BV273" s="34" t="n">
        <f aca="false">IF(BV$8=1,IF(Reales!$C$72="PYG",IF(BV$10&gt;0,N(Reales!BV72)/BV$10,0),N(Reales!BV72)),(SUMIF(Inv_Q,69,Inv_R)+SUMIF(Inv_Q,69,Inv_M)*(1+V_dCapex))*BV$9)</f>
        <v>0</v>
      </c>
      <c r="BW273" s="34" t="n">
        <f aca="false">IF(BW$8=1,IF(Reales!$C$72="PYG",IF(BW$10&gt;0,N(Reales!BW72)/BW$10,0),N(Reales!BW72)),(SUMIF(Inv_Q,70,Inv_R)+SUMIF(Inv_Q,70,Inv_M)*(1+V_dCapex))*BW$9)</f>
        <v>0</v>
      </c>
      <c r="BX273" s="34" t="n">
        <f aca="false">IF(BX$8=1,IF(Reales!$C$72="PYG",IF(BX$10&gt;0,N(Reales!BX72)/BX$10,0),N(Reales!BX72)),(SUMIF(Inv_Q,71,Inv_R)+SUMIF(Inv_Q,71,Inv_M)*(1+V_dCapex))*BX$9)</f>
        <v>0</v>
      </c>
      <c r="BY273" s="34" t="n">
        <f aca="false">IF(BY$8=1,IF(Reales!$C$72="PYG",IF(BY$10&gt;0,N(Reales!BY72)/BY$10,0),N(Reales!BY72)),(SUMIF(Inv_Q,72,Inv_R)+SUMIF(Inv_Q,72,Inv_M)*(1+V_dCapex))*BY$9)</f>
        <v>0</v>
      </c>
      <c r="BZ273" s="34" t="n">
        <f aca="false">IF(BZ$8=1,IF(Reales!$C$72="PYG",IF(BZ$10&gt;0,N(Reales!BZ72)/BZ$10,0),N(Reales!BZ72)),(SUMIF(Inv_Q,73,Inv_R)+SUMIF(Inv_Q,73,Inv_M)*(1+V_dCapex))*BZ$9)</f>
        <v>0</v>
      </c>
      <c r="CA273" s="34" t="n">
        <f aca="false">IF(CA$8=1,IF(Reales!$C$72="PYG",IF(CA$10&gt;0,N(Reales!CA72)/CA$10,0),N(Reales!CA72)),(SUMIF(Inv_Q,74,Inv_R)+SUMIF(Inv_Q,74,Inv_M)*(1+V_dCapex))*CA$9)</f>
        <v>0</v>
      </c>
      <c r="CB273" s="34" t="n">
        <f aca="false">IF(CB$8=1,IF(Reales!$C$72="PYG",IF(CB$10&gt;0,N(Reales!CB72)/CB$10,0),N(Reales!CB72)),(SUMIF(Inv_Q,75,Inv_R)+SUMIF(Inv_Q,75,Inv_M)*(1+V_dCapex))*CB$9)</f>
        <v>0</v>
      </c>
      <c r="CC273" s="34" t="n">
        <f aca="false">IF(CC$8=1,IF(Reales!$C$72="PYG",IF(CC$10&gt;0,N(Reales!CC72)/CC$10,0),N(Reales!CC72)),(SUMIF(Inv_Q,76,Inv_R)+SUMIF(Inv_Q,76,Inv_M)*(1+V_dCapex))*CC$9)</f>
        <v>0</v>
      </c>
      <c r="CD273" s="34" t="n">
        <f aca="false">IF(CD$8=1,IF(Reales!$C$72="PYG",IF(CD$10&gt;0,N(Reales!CD72)/CD$10,0),N(Reales!CD72)),(SUMIF(Inv_Q,77,Inv_R)+SUMIF(Inv_Q,77,Inv_M)*(1+V_dCapex))*CD$9)</f>
        <v>0</v>
      </c>
      <c r="CE273" s="34" t="n">
        <f aca="false">IF(CE$8=1,IF(Reales!$C$72="PYG",IF(CE$10&gt;0,N(Reales!CE72)/CE$10,0),N(Reales!CE72)),(SUMIF(Inv_Q,78,Inv_R)+SUMIF(Inv_Q,78,Inv_M)*(1+V_dCapex))*CE$9)</f>
        <v>0</v>
      </c>
      <c r="CF273" s="34" t="n">
        <f aca="false">IF(CF$8=1,IF(Reales!$C$72="PYG",IF(CF$10&gt;0,N(Reales!CF72)/CF$10,0),N(Reales!CF72)),(SUMIF(Inv_Q,79,Inv_R)+SUMIF(Inv_Q,79,Inv_M)*(1+V_dCapex))*CF$9)</f>
        <v>0</v>
      </c>
      <c r="CG273" s="34" t="n">
        <f aca="false">IF(CG$8=1,IF(Reales!$C$72="PYG",IF(CG$10&gt;0,N(Reales!CG72)/CG$10,0),N(Reales!CG72)),(SUMIF(Inv_Q,80,Inv_R)+SUMIF(Inv_Q,80,Inv_M)*(1+V_dCapex))*CG$9)</f>
        <v>0</v>
      </c>
      <c r="CH273" s="34" t="n">
        <f aca="false">IF(CH$8=1,IF(Reales!$C$72="PYG",IF(CH$10&gt;0,N(Reales!CH72)/CH$10,0),N(Reales!CH72)),(SUMIF(Inv_Q,81,Inv_R)+SUMIF(Inv_Q,81,Inv_M)*(1+V_dCapex))*CH$9)</f>
        <v>0</v>
      </c>
      <c r="CI273" s="34" t="n">
        <f aca="false">IF(CI$8=1,IF(Reales!$C$72="PYG",IF(CI$10&gt;0,N(Reales!CI72)/CI$10,0),N(Reales!CI72)),(SUMIF(Inv_Q,82,Inv_R)+SUMIF(Inv_Q,82,Inv_M)*(1+V_dCapex))*CI$9)</f>
        <v>0</v>
      </c>
      <c r="CJ273" s="34" t="n">
        <f aca="false">IF(CJ$8=1,IF(Reales!$C$72="PYG",IF(CJ$10&gt;0,N(Reales!CJ72)/CJ$10,0),N(Reales!CJ72)),(SUMIF(Inv_Q,83,Inv_R)+SUMIF(Inv_Q,83,Inv_M)*(1+V_dCapex))*CJ$9)</f>
        <v>0</v>
      </c>
      <c r="CK273" s="34" t="n">
        <f aca="false">IF(CK$8=1,IF(Reales!$C$72="PYG",IF(CK$10&gt;0,N(Reales!CK72)/CK$10,0),N(Reales!CK72)),(SUMIF(Inv_Q,84,Inv_R)+SUMIF(Inv_Q,84,Inv_M)*(1+V_dCapex))*CK$9)</f>
        <v>0</v>
      </c>
      <c r="CL273" s="34" t="n">
        <f aca="false">IF(CL$8=1,IF(Reales!$C$72="PYG",IF(CL$10&gt;0,N(Reales!CL72)/CL$10,0),N(Reales!CL72)),(SUMIF(Inv_Q,85,Inv_R)+SUMIF(Inv_Q,85,Inv_M)*(1+V_dCapex))*CL$9)</f>
        <v>0</v>
      </c>
      <c r="CM273" s="34" t="n">
        <f aca="false">IF(CM$8=1,IF(Reales!$C$72="PYG",IF(CM$10&gt;0,N(Reales!CM72)/CM$10,0),N(Reales!CM72)),(SUMIF(Inv_Q,86,Inv_R)+SUMIF(Inv_Q,86,Inv_M)*(1+V_dCapex))*CM$9)</f>
        <v>0</v>
      </c>
      <c r="CN273" s="34" t="n">
        <f aca="false">IF(CN$8=1,IF(Reales!$C$72="PYG",IF(CN$10&gt;0,N(Reales!CN72)/CN$10,0),N(Reales!CN72)),(SUMIF(Inv_Q,87,Inv_R)+SUMIF(Inv_Q,87,Inv_M)*(1+V_dCapex))*CN$9)</f>
        <v>0</v>
      </c>
      <c r="CO273" s="34" t="n">
        <f aca="false">IF(CO$8=1,IF(Reales!$C$72="PYG",IF(CO$10&gt;0,N(Reales!CO72)/CO$10,0),N(Reales!CO72)),(SUMIF(Inv_Q,88,Inv_R)+SUMIF(Inv_Q,88,Inv_M)*(1+V_dCapex))*CO$9)</f>
        <v>0</v>
      </c>
      <c r="CP273" s="34" t="n">
        <f aca="false">IF(CP$8=1,IF(Reales!$C$72="PYG",IF(CP$10&gt;0,N(Reales!CP72)/CP$10,0),N(Reales!CP72)),(SUMIF(Inv_Q,89,Inv_R)+SUMIF(Inv_Q,89,Inv_M)*(1+V_dCapex))*CP$9)</f>
        <v>0</v>
      </c>
      <c r="CQ273" s="34" t="n">
        <f aca="false">IF(CQ$8=1,IF(Reales!$C$72="PYG",IF(CQ$10&gt;0,N(Reales!CQ72)/CQ$10,0),N(Reales!CQ72)),(SUMIF(Inv_Q,90,Inv_R)+SUMIF(Inv_Q,90,Inv_M)*(1+V_dCapex))*CQ$9)</f>
        <v>0</v>
      </c>
      <c r="CR273" s="34" t="n">
        <f aca="false">IF(CR$8=1,IF(Reales!$C$72="PYG",IF(CR$10&gt;0,N(Reales!CR72)/CR$10,0),N(Reales!CR72)),(SUMIF(Inv_Q,91,Inv_R)+SUMIF(Inv_Q,91,Inv_M)*(1+V_dCapex))*CR$9)</f>
        <v>0</v>
      </c>
      <c r="CS273" s="34" t="n">
        <f aca="false">IF(CS$8=1,IF(Reales!$C$72="PYG",IF(CS$10&gt;0,N(Reales!CS72)/CS$10,0),N(Reales!CS72)),(SUMIF(Inv_Q,92,Inv_R)+SUMIF(Inv_Q,92,Inv_M)*(1+V_dCapex))*CS$9)</f>
        <v>0</v>
      </c>
      <c r="CT273" s="34" t="n">
        <f aca="false">IF(CT$8=1,IF(Reales!$C$72="PYG",IF(CT$10&gt;0,N(Reales!CT72)/CT$10,0),N(Reales!CT72)),(SUMIF(Inv_Q,93,Inv_R)+SUMIF(Inv_Q,93,Inv_M)*(1+V_dCapex))*CT$9)</f>
        <v>0</v>
      </c>
      <c r="CU273" s="34" t="n">
        <f aca="false">IF(CU$8=1,IF(Reales!$C$72="PYG",IF(CU$10&gt;0,N(Reales!CU72)/CU$10,0),N(Reales!CU72)),(SUMIF(Inv_Q,94,Inv_R)+SUMIF(Inv_Q,94,Inv_M)*(1+V_dCapex))*CU$9)</f>
        <v>0</v>
      </c>
      <c r="CV273" s="34" t="n">
        <f aca="false">IF(CV$8=1,IF(Reales!$C$72="PYG",IF(CV$10&gt;0,N(Reales!CV72)/CV$10,0),N(Reales!CV72)),(SUMIF(Inv_Q,95,Inv_R)+SUMIF(Inv_Q,95,Inv_M)*(1+V_dCapex))*CV$9)</f>
        <v>0</v>
      </c>
      <c r="CW273" s="34" t="n">
        <f aca="false">IF(CW$8=1,IF(Reales!$C$72="PYG",IF(CW$10&gt;0,N(Reales!CW72)/CW$10,0),N(Reales!CW72)),(SUMIF(Inv_Q,96,Inv_R)+SUMIF(Inv_Q,96,Inv_M)*(1+V_dCapex))*CW$9)</f>
        <v>0</v>
      </c>
      <c r="CX273" s="34" t="n">
        <f aca="false">IF(CX$8=1,IF(Reales!$C$72="PYG",IF(CX$10&gt;0,N(Reales!CX72)/CX$10,0),N(Reales!CX72)),(SUMIF(Inv_Q,97,Inv_R)+SUMIF(Inv_Q,97,Inv_M)*(1+V_dCapex))*CX$9)</f>
        <v>0</v>
      </c>
      <c r="CY273" s="34" t="n">
        <f aca="false">IF(CY$8=1,IF(Reales!$C$72="PYG",IF(CY$10&gt;0,N(Reales!CY72)/CY$10,0),N(Reales!CY72)),(SUMIF(Inv_Q,98,Inv_R)+SUMIF(Inv_Q,98,Inv_M)*(1+V_dCapex))*CY$9)</f>
        <v>0</v>
      </c>
      <c r="CZ273" s="34" t="n">
        <f aca="false">IF(CZ$8=1,IF(Reales!$C$72="PYG",IF(CZ$10&gt;0,N(Reales!CZ72)/CZ$10,0),N(Reales!CZ72)),(SUMIF(Inv_Q,99,Inv_R)+SUMIF(Inv_Q,99,Inv_M)*(1+V_dCapex))*CZ$9)</f>
        <v>0</v>
      </c>
      <c r="DA273" s="34" t="n">
        <f aca="false">IF(DA$8=1,IF(Reales!$C$72="PYG",IF(DA$10&gt;0,N(Reales!DA72)/DA$10,0),N(Reales!DA72)),(SUMIF(Inv_Q,100,Inv_R)+SUMIF(Inv_Q,100,Inv_M)*(1+V_dCapex))*DA$9)</f>
        <v>0</v>
      </c>
      <c r="DB273" s="34" t="n">
        <f aca="false">IF(DB$8=1,IF(Reales!$C$72="PYG",IF(DB$10&gt;0,N(Reales!DB72)/DB$10,0),N(Reales!DB72)),(SUMIF(Inv_Q,101,Inv_R)+SUMIF(Inv_Q,101,Inv_M)*(1+V_dCapex))*DB$9)</f>
        <v>0</v>
      </c>
      <c r="DC273" s="34" t="n">
        <f aca="false">IF(DC$8=1,IF(Reales!$C$72="PYG",IF(DC$10&gt;0,N(Reales!DC72)/DC$10,0),N(Reales!DC72)),(SUMIF(Inv_Q,102,Inv_R)+SUMIF(Inv_Q,102,Inv_M)*(1+V_dCapex))*DC$9)</f>
        <v>0</v>
      </c>
      <c r="DD273" s="34" t="n">
        <f aca="false">IF(DD$8=1,IF(Reales!$C$72="PYG",IF(DD$10&gt;0,N(Reales!DD72)/DD$10,0),N(Reales!DD72)),(SUMIF(Inv_Q,103,Inv_R)+SUMIF(Inv_Q,103,Inv_M)*(1+V_dCapex))*DD$9)</f>
        <v>0</v>
      </c>
      <c r="DE273" s="34" t="n">
        <f aca="false">IF(DE$8=1,IF(Reales!$C$72="PYG",IF(DE$10&gt;0,N(Reales!DE72)/DE$10,0),N(Reales!DE72)),(SUMIF(Inv_Q,104,Inv_R)+SUMIF(Inv_Q,104,Inv_M)*(1+V_dCapex))*DE$9)</f>
        <v>0</v>
      </c>
      <c r="DF273" s="34" t="n">
        <f aca="false">IF(DF$8=1,IF(Reales!$C$72="PYG",IF(DF$10&gt;0,N(Reales!DF72)/DF$10,0),N(Reales!DF72)),(SUMIF(Inv_Q,105,Inv_R)+SUMIF(Inv_Q,105,Inv_M)*(1+V_dCapex))*DF$9)</f>
        <v>0</v>
      </c>
      <c r="DG273" s="34" t="n">
        <f aca="false">IF(DG$8=1,IF(Reales!$C$72="PYG",IF(DG$10&gt;0,N(Reales!DG72)/DG$10,0),N(Reales!DG72)),(SUMIF(Inv_Q,106,Inv_R)+SUMIF(Inv_Q,106,Inv_M)*(1+V_dCapex))*DG$9)</f>
        <v>0</v>
      </c>
      <c r="DH273" s="34" t="n">
        <f aca="false">IF(DH$8=1,IF(Reales!$C$72="PYG",IF(DH$10&gt;0,N(Reales!DH72)/DH$10,0),N(Reales!DH72)),(SUMIF(Inv_Q,107,Inv_R)+SUMIF(Inv_Q,107,Inv_M)*(1+V_dCapex))*DH$9)</f>
        <v>0</v>
      </c>
      <c r="DI273" s="34" t="n">
        <f aca="false">IF(DI$8=1,IF(Reales!$C$72="PYG",IF(DI$10&gt;0,N(Reales!DI72)/DI$10,0),N(Reales!DI72)),(SUMIF(Inv_Q,108,Inv_R)+SUMIF(Inv_Q,108,Inv_M)*(1+V_dCapex))*DI$9)</f>
        <v>0</v>
      </c>
      <c r="DJ273" s="34" t="n">
        <f aca="false">IF(DJ$8=1,IF(Reales!$C$72="PYG",IF(DJ$10&gt;0,N(Reales!DJ72)/DJ$10,0),N(Reales!DJ72)),(SUMIF(Inv_Q,109,Inv_R)+SUMIF(Inv_Q,109,Inv_M)*(1+V_dCapex))*DJ$9)</f>
        <v>0</v>
      </c>
      <c r="DK273" s="34" t="n">
        <f aca="false">IF(DK$8=1,IF(Reales!$C$72="PYG",IF(DK$10&gt;0,N(Reales!DK72)/DK$10,0),N(Reales!DK72)),(SUMIF(Inv_Q,110,Inv_R)+SUMIF(Inv_Q,110,Inv_M)*(1+V_dCapex))*DK$9)</f>
        <v>0</v>
      </c>
      <c r="DL273" s="34" t="n">
        <f aca="false">IF(DL$8=1,IF(Reales!$C$72="PYG",IF(DL$10&gt;0,N(Reales!DL72)/DL$10,0),N(Reales!DL72)),(SUMIF(Inv_Q,111,Inv_R)+SUMIF(Inv_Q,111,Inv_M)*(1+V_dCapex))*DL$9)</f>
        <v>0</v>
      </c>
      <c r="DM273" s="34" t="n">
        <f aca="false">IF(DM$8=1,IF(Reales!$C$72="PYG",IF(DM$10&gt;0,N(Reales!DM72)/DM$10,0),N(Reales!DM72)),(SUMIF(Inv_Q,112,Inv_R)+SUMIF(Inv_Q,112,Inv_M)*(1+V_dCapex))*DM$9)</f>
        <v>0</v>
      </c>
      <c r="DN273" s="34" t="n">
        <f aca="false">IF(DN$8=1,IF(Reales!$C$72="PYG",IF(DN$10&gt;0,N(Reales!DN72)/DN$10,0),N(Reales!DN72)),(SUMIF(Inv_Q,113,Inv_R)+SUMIF(Inv_Q,113,Inv_M)*(1+V_dCapex))*DN$9)</f>
        <v>0</v>
      </c>
      <c r="DO273" s="34" t="n">
        <f aca="false">IF(DO$8=1,IF(Reales!$C$72="PYG",IF(DO$10&gt;0,N(Reales!DO72)/DO$10,0),N(Reales!DO72)),(SUMIF(Inv_Q,114,Inv_R)+SUMIF(Inv_Q,114,Inv_M)*(1+V_dCapex))*DO$9)</f>
        <v>0</v>
      </c>
      <c r="DP273" s="34" t="n">
        <f aca="false">IF(DP$8=1,IF(Reales!$C$72="PYG",IF(DP$10&gt;0,N(Reales!DP72)/DP$10,0),N(Reales!DP72)),(SUMIF(Inv_Q,115,Inv_R)+SUMIF(Inv_Q,115,Inv_M)*(1+V_dCapex))*DP$9)</f>
        <v>0</v>
      </c>
      <c r="DQ273" s="34" t="n">
        <f aca="false">IF(DQ$8=1,IF(Reales!$C$72="PYG",IF(DQ$10&gt;0,N(Reales!DQ72)/DQ$10,0),N(Reales!DQ72)),(SUMIF(Inv_Q,116,Inv_R)+SUMIF(Inv_Q,116,Inv_M)*(1+V_dCapex))*DQ$9)</f>
        <v>0</v>
      </c>
      <c r="DR273" s="34" t="n">
        <f aca="false">IF(DR$8=1,IF(Reales!$C$72="PYG",IF(DR$10&gt;0,N(Reales!DR72)/DR$10,0),N(Reales!DR72)),(SUMIF(Inv_Q,117,Inv_R)+SUMIF(Inv_Q,117,Inv_M)*(1+V_dCapex))*DR$9)</f>
        <v>0</v>
      </c>
      <c r="DS273" s="34" t="n">
        <f aca="false">IF(DS$8=1,IF(Reales!$C$72="PYG",IF(DS$10&gt;0,N(Reales!DS72)/DS$10,0),N(Reales!DS72)),(SUMIF(Inv_Q,118,Inv_R)+SUMIF(Inv_Q,118,Inv_M)*(1+V_dCapex))*DS$9)</f>
        <v>0</v>
      </c>
      <c r="DT273" s="34" t="n">
        <f aca="false">IF(DT$8=1,IF(Reales!$C$72="PYG",IF(DT$10&gt;0,N(Reales!DT72)/DT$10,0),N(Reales!DT72)),(SUMIF(Inv_Q,119,Inv_R)+SUMIF(Inv_Q,119,Inv_M)*(1+V_dCapex))*DT$9)</f>
        <v>0</v>
      </c>
      <c r="DU273" s="34" t="n">
        <f aca="false">IF(DU$8=1,IF(Reales!$C$72="PYG",IF(DU$10&gt;0,N(Reales!DU72)/DU$10,0),N(Reales!DU72)),(SUMIF(Inv_Q,120,Inv_R)+SUMIF(Inv_Q,120,Inv_M)*(1+V_dCapex))*DU$9)</f>
        <v>0</v>
      </c>
      <c r="DV273" s="34" t="n">
        <f aca="false">IF(DV$8=1,IF(Reales!$C$72="PYG",IF(DV$10&gt;0,N(Reales!DV72)/DV$10,0),N(Reales!DV72)),(SUMIF(Inv_Q,121,Inv_R)+SUMIF(Inv_Q,121,Inv_M)*(1+V_dCapex))*DV$9)</f>
        <v>0</v>
      </c>
      <c r="DW273" s="34" t="n">
        <f aca="false">IF(DW$8=1,IF(Reales!$C$72="PYG",IF(DW$10&gt;0,N(Reales!DW72)/DW$10,0),N(Reales!DW72)),(SUMIF(Inv_Q,122,Inv_R)+SUMIF(Inv_Q,122,Inv_M)*(1+V_dCapex))*DW$9)</f>
        <v>0</v>
      </c>
      <c r="DX273" s="34" t="n">
        <f aca="false">IF(DX$8=1,IF(Reales!$C$72="PYG",IF(DX$10&gt;0,N(Reales!DX72)/DX$10,0),N(Reales!DX72)),(SUMIF(Inv_Q,123,Inv_R)+SUMIF(Inv_Q,123,Inv_M)*(1+V_dCapex))*DX$9)</f>
        <v>0</v>
      </c>
      <c r="DY273" s="34" t="n">
        <f aca="false">IF(DY$8=1,IF(Reales!$C$72="PYG",IF(DY$10&gt;0,N(Reales!DY72)/DY$10,0),N(Reales!DY72)),(SUMIF(Inv_Q,124,Inv_R)+SUMIF(Inv_Q,124,Inv_M)*(1+V_dCapex))*DY$9)</f>
        <v>0</v>
      </c>
      <c r="DZ273" s="34" t="n">
        <f aca="false">IF(DZ$8=1,IF(Reales!$C$72="PYG",IF(DZ$10&gt;0,N(Reales!DZ72)/DZ$10,0),N(Reales!DZ72)),(SUMIF(Inv_Q,125,Inv_R)+SUMIF(Inv_Q,125,Inv_M)*(1+V_dCapex))*DZ$9)</f>
        <v>0</v>
      </c>
      <c r="EA273" s="34" t="n">
        <f aca="false">IF(EA$8=1,IF(Reales!$C$72="PYG",IF(EA$10&gt;0,N(Reales!EA72)/EA$10,0),N(Reales!EA72)),(SUMIF(Inv_Q,126,Inv_R)+SUMIF(Inv_Q,126,Inv_M)*(1+V_dCapex))*EA$9)</f>
        <v>0</v>
      </c>
      <c r="EB273" s="34" t="n">
        <f aca="false">IF(EB$8=1,IF(Reales!$C$72="PYG",IF(EB$10&gt;0,N(Reales!EB72)/EB$10,0),N(Reales!EB72)),(SUMIF(Inv_Q,127,Inv_R)+SUMIF(Inv_Q,127,Inv_M)*(1+V_dCapex))*EB$9)</f>
        <v>0</v>
      </c>
      <c r="EC273" s="34" t="n">
        <f aca="false">IF(EC$8=1,IF(Reales!$C$72="PYG",IF(EC$10&gt;0,N(Reales!EC72)/EC$10,0),N(Reales!EC72)),(SUMIF(Inv_Q,128,Inv_R)+SUMIF(Inv_Q,128,Inv_M)*(1+V_dCapex))*EC$9)</f>
        <v>0</v>
      </c>
      <c r="ED273" s="34" t="n">
        <f aca="false">IF(ED$8=1,IF(Reales!$C$72="PYG",IF(ED$10&gt;0,N(Reales!ED72)/ED$10,0),N(Reales!ED72)),(SUMIF(Inv_Q,129,Inv_R)+SUMIF(Inv_Q,129,Inv_M)*(1+V_dCapex))*ED$9)</f>
        <v>0</v>
      </c>
      <c r="EE273" s="34" t="n">
        <f aca="false">IF(EE$8=1,IF(Reales!$C$72="PYG",IF(EE$10&gt;0,N(Reales!EE72)/EE$10,0),N(Reales!EE72)),(SUMIF(Inv_Q,130,Inv_R)+SUMIF(Inv_Q,130,Inv_M)*(1+V_dCapex))*EE$9)</f>
        <v>0</v>
      </c>
      <c r="EF273" s="34" t="n">
        <f aca="false">IF(EF$8=1,IF(Reales!$C$72="PYG",IF(EF$10&gt;0,N(Reales!EF72)/EF$10,0),N(Reales!EF72)),(SUMIF(Inv_Q,131,Inv_R)+SUMIF(Inv_Q,131,Inv_M)*(1+V_dCapex))*EF$9)</f>
        <v>0</v>
      </c>
      <c r="EG273" s="34" t="n">
        <f aca="false">IF(EG$8=1,IF(Reales!$C$72="PYG",IF(EG$10&gt;0,N(Reales!EG72)/EG$10,0),N(Reales!EG72)),(SUMIF(Inv_Q,132,Inv_R)+SUMIF(Inv_Q,132,Inv_M)*(1+V_dCapex))*EG$9)</f>
        <v>0</v>
      </c>
      <c r="EH273" s="34" t="n">
        <f aca="false">IF(EH$8=1,IF(Reales!$C$72="PYG",IF(EH$10&gt;0,N(Reales!EH72)/EH$10,0),N(Reales!EH72)),(SUMIF(Inv_Q,133,Inv_R)+SUMIF(Inv_Q,133,Inv_M)*(1+V_dCapex))*EH$9)</f>
        <v>0</v>
      </c>
      <c r="EI273" s="34" t="n">
        <f aca="false">IF(EI$8=1,IF(Reales!$C$72="PYG",IF(EI$10&gt;0,N(Reales!EI72)/EI$10,0),N(Reales!EI72)),(SUMIF(Inv_Q,134,Inv_R)+SUMIF(Inv_Q,134,Inv_M)*(1+V_dCapex))*EI$9)</f>
        <v>0</v>
      </c>
      <c r="EJ273" s="34" t="n">
        <f aca="false">IF(EJ$8=1,IF(Reales!$C$72="PYG",IF(EJ$10&gt;0,N(Reales!EJ72)/EJ$10,0),N(Reales!EJ72)),(SUMIF(Inv_Q,135,Inv_R)+SUMIF(Inv_Q,135,Inv_M)*(1+V_dCapex))*EJ$9)</f>
        <v>0</v>
      </c>
      <c r="EK273" s="34" t="n">
        <f aca="false">IF(EK$8=1,IF(Reales!$C$72="PYG",IF(EK$10&gt;0,N(Reales!EK72)/EK$10,0),N(Reales!EK72)),(SUMIF(Inv_Q,136,Inv_R)+SUMIF(Inv_Q,136,Inv_M)*(1+V_dCapex))*EK$9)</f>
        <v>0</v>
      </c>
      <c r="EL273" s="34" t="n">
        <f aca="false">IF(EL$8=1,IF(Reales!$C$72="PYG",IF(EL$10&gt;0,N(Reales!EL72)/EL$10,0),N(Reales!EL72)),(SUMIF(Inv_Q,137,Inv_R)+SUMIF(Inv_Q,137,Inv_M)*(1+V_dCapex))*EL$9)</f>
        <v>0</v>
      </c>
      <c r="EM273" s="34" t="n">
        <f aca="false">IF(EM$8=1,IF(Reales!$C$72="PYG",IF(EM$10&gt;0,N(Reales!EM72)/EM$10,0),N(Reales!EM72)),(SUMIF(Inv_Q,138,Inv_R)+SUMIF(Inv_Q,138,Inv_M)*(1+V_dCapex))*EM$9)</f>
        <v>0</v>
      </c>
      <c r="EN273" s="34" t="n">
        <f aca="false">IF(EN$8=1,IF(Reales!$C$72="PYG",IF(EN$10&gt;0,N(Reales!EN72)/EN$10,0),N(Reales!EN72)),(SUMIF(Inv_Q,139,Inv_R)+SUMIF(Inv_Q,139,Inv_M)*(1+V_dCapex))*EN$9)</f>
        <v>0</v>
      </c>
      <c r="EO273" s="34" t="n">
        <f aca="false">IF(EO$8=1,IF(Reales!$C$72="PYG",IF(EO$10&gt;0,N(Reales!EO72)/EO$10,0),N(Reales!EO72)),(SUMIF(Inv_Q,140,Inv_R)+SUMIF(Inv_Q,140,Inv_M)*(1+V_dCapex))*EO$9)</f>
        <v>0</v>
      </c>
      <c r="EP273" s="34" t="n">
        <f aca="false">IF(EP$8=1,IF(Reales!$C$72="PYG",IF(EP$10&gt;0,N(Reales!EP72)/EP$10,0),N(Reales!EP72)),(SUMIF(Inv_Q,141,Inv_R)+SUMIF(Inv_Q,141,Inv_M)*(1+V_dCapex))*EP$9)</f>
        <v>0</v>
      </c>
      <c r="EQ273" s="34" t="n">
        <f aca="false">IF(EQ$8=1,IF(Reales!$C$72="PYG",IF(EQ$10&gt;0,N(Reales!EQ72)/EQ$10,0),N(Reales!EQ72)),(SUMIF(Inv_Q,142,Inv_R)+SUMIF(Inv_Q,142,Inv_M)*(1+V_dCapex))*EQ$9)</f>
        <v>0</v>
      </c>
      <c r="ER273" s="34" t="n">
        <f aca="false">IF(ER$8=1,IF(Reales!$C$72="PYG",IF(ER$10&gt;0,N(Reales!ER72)/ER$10,0),N(Reales!ER72)),(SUMIF(Inv_Q,143,Inv_R)+SUMIF(Inv_Q,143,Inv_M)*(1+V_dCapex))*ER$9)</f>
        <v>0</v>
      </c>
      <c r="ES273" s="34" t="n">
        <f aca="false">IF(ES$8=1,IF(Reales!$C$72="PYG",IF(ES$10&gt;0,N(Reales!ES72)/ES$10,0),N(Reales!ES72)),(SUMIF(Inv_Q,144,Inv_R)+SUMIF(Inv_Q,144,Inv_M)*(1+V_dCapex))*ES$9)</f>
        <v>0</v>
      </c>
    </row>
    <row r="274" customFormat="false" ht="15" hidden="false" customHeight="false" outlineLevel="0" collapsed="false">
      <c r="A274" s="2" t="s">
        <v>912</v>
      </c>
      <c r="B274" s="6" t="s">
        <v>721</v>
      </c>
      <c r="C274" s="6" t="s">
        <v>250</v>
      </c>
      <c r="E274" s="40" t="n">
        <f aca="false">INDEX(F274:ES274,1,MIN(144,Fin))</f>
        <v>10000.0000000009</v>
      </c>
      <c r="F274" s="34" t="n">
        <f aca="false">0+F$273-F$259</f>
        <v>649078.072583333</v>
      </c>
      <c r="G274" s="34" t="n">
        <f aca="false">F$274+G$273-G$259</f>
        <v>643112.055166667</v>
      </c>
      <c r="H274" s="34" t="n">
        <f aca="false">G$274+H$273-H$259</f>
        <v>637146.03775</v>
      </c>
      <c r="I274" s="34" t="n">
        <f aca="false">H$274+I$273-I$259</f>
        <v>631180.020333334</v>
      </c>
      <c r="J274" s="34" t="n">
        <f aca="false">I$274+J$273-J$259</f>
        <v>625214.002916667</v>
      </c>
      <c r="K274" s="34" t="n">
        <f aca="false">J$274+K$273-K$259</f>
        <v>619247.9855</v>
      </c>
      <c r="L274" s="34" t="n">
        <f aca="false">K$274+L$273-L$259</f>
        <v>613281.968083334</v>
      </c>
      <c r="M274" s="34" t="n">
        <f aca="false">L$274+M$273-M$259</f>
        <v>607315.950666667</v>
      </c>
      <c r="N274" s="34" t="n">
        <f aca="false">M$274+N$273-N$259</f>
        <v>601349.933250001</v>
      </c>
      <c r="O274" s="34" t="n">
        <f aca="false">N$274+O$273-O$259</f>
        <v>595383.915833334</v>
      </c>
      <c r="P274" s="34" t="n">
        <f aca="false">O$274+P$273-P$259</f>
        <v>589417.898416667</v>
      </c>
      <c r="Q274" s="34" t="n">
        <f aca="false">P$274+Q$273-Q$259</f>
        <v>583451.881000001</v>
      </c>
      <c r="R274" s="34" t="n">
        <f aca="false">Q$274+R$273-R$259</f>
        <v>676652.530250001</v>
      </c>
      <c r="S274" s="34" t="n">
        <f aca="false">R$274+S$273-S$259</f>
        <v>669853.179500001</v>
      </c>
      <c r="T274" s="34" t="n">
        <f aca="false">S$274+T$273-T$259</f>
        <v>663053.828750001</v>
      </c>
      <c r="U274" s="34" t="n">
        <f aca="false">T$274+U$273-U$259</f>
        <v>656254.478000001</v>
      </c>
      <c r="V274" s="34" t="n">
        <f aca="false">U$274+V$273-V$259</f>
        <v>649455.127250001</v>
      </c>
      <c r="W274" s="34" t="n">
        <f aca="false">V$274+W$273-W$259</f>
        <v>642655.776500001</v>
      </c>
      <c r="X274" s="34" t="n">
        <f aca="false">W$274+X$273-X$259</f>
        <v>635856.425750001</v>
      </c>
      <c r="Y274" s="34" t="n">
        <f aca="false">X$274+Y$273-Y$259</f>
        <v>629057.075000001</v>
      </c>
      <c r="Z274" s="34" t="n">
        <f aca="false">Y$274+Z$273-Z$259</f>
        <v>622257.724250001</v>
      </c>
      <c r="AA274" s="34" t="n">
        <f aca="false">Z$274+AA$273-AA$259</f>
        <v>615458.373500001</v>
      </c>
      <c r="AB274" s="34" t="n">
        <f aca="false">AA$274+AB$273-AB$259</f>
        <v>608659.022750001</v>
      </c>
      <c r="AC274" s="34" t="n">
        <f aca="false">AB$274+AC$273-AC$259</f>
        <v>601859.672000001</v>
      </c>
      <c r="AD274" s="34" t="n">
        <f aca="false">AC$274+AD$273-AD$259</f>
        <v>595060.321250001</v>
      </c>
      <c r="AE274" s="34" t="n">
        <f aca="false">AD$274+AE$273-AE$259</f>
        <v>588260.970500001</v>
      </c>
      <c r="AF274" s="34" t="n">
        <f aca="false">AE$274+AF$273-AF$259</f>
        <v>581461.619750001</v>
      </c>
      <c r="AG274" s="34" t="n">
        <f aca="false">AF$274+AG$273-AG$259</f>
        <v>574662.269000001</v>
      </c>
      <c r="AH274" s="34" t="n">
        <f aca="false">AG$274+AH$273-AH$259</f>
        <v>567862.918250001</v>
      </c>
      <c r="AI274" s="34" t="n">
        <f aca="false">AH$274+AI$273-AI$259</f>
        <v>561063.567500001</v>
      </c>
      <c r="AJ274" s="34" t="n">
        <f aca="false">AI$274+AJ$273-AJ$259</f>
        <v>554264.216750001</v>
      </c>
      <c r="AK274" s="34" t="n">
        <f aca="false">AJ$274+AK$273-AK$259</f>
        <v>547464.866000001</v>
      </c>
      <c r="AL274" s="34" t="n">
        <f aca="false">AK$274+AL$273-AL$259</f>
        <v>540665.515250001</v>
      </c>
      <c r="AM274" s="34" t="n">
        <f aca="false">AL$274+AM$273-AM$259</f>
        <v>533866.164500001</v>
      </c>
      <c r="AN274" s="34" t="n">
        <f aca="false">AM$274+AN$273-AN$259</f>
        <v>527066.813750001</v>
      </c>
      <c r="AO274" s="34" t="n">
        <f aca="false">AN$274+AO$273-AO$259</f>
        <v>520267.463000001</v>
      </c>
      <c r="AP274" s="34" t="n">
        <f aca="false">AO$274+AP$273-AP$259</f>
        <v>513468.112250001</v>
      </c>
      <c r="AQ274" s="34" t="n">
        <f aca="false">AP$274+AQ$273-AQ$259</f>
        <v>506668.761500001</v>
      </c>
      <c r="AR274" s="34" t="n">
        <f aca="false">AQ$274+AR$273-AR$259</f>
        <v>499869.410750001</v>
      </c>
      <c r="AS274" s="34" t="n">
        <f aca="false">AR$274+AS$273-AS$259</f>
        <v>493070.060000001</v>
      </c>
      <c r="AT274" s="34" t="n">
        <f aca="false">AS$274+AT$273-AT$259</f>
        <v>486270.709250001</v>
      </c>
      <c r="AU274" s="34" t="n">
        <f aca="false">AT$274+AU$273-AU$259</f>
        <v>479471.358500001</v>
      </c>
      <c r="AV274" s="34" t="n">
        <f aca="false">AU$274+AV$273-AV$259</f>
        <v>472672.007750001</v>
      </c>
      <c r="AW274" s="34" t="n">
        <f aca="false">AV$274+AW$273-AW$259</f>
        <v>465872.657000001</v>
      </c>
      <c r="AX274" s="34" t="n">
        <f aca="false">AW$274+AX$273-AX$259</f>
        <v>459073.306250001</v>
      </c>
      <c r="AY274" s="34" t="n">
        <f aca="false">AX$274+AY$273-AY$259</f>
        <v>452273.955500001</v>
      </c>
      <c r="AZ274" s="34" t="n">
        <f aca="false">AY$274+AZ$273-AZ$259</f>
        <v>445474.604750001</v>
      </c>
      <c r="BA274" s="34" t="n">
        <f aca="false">AZ$274+BA$273-BA$259</f>
        <v>438675.254000001</v>
      </c>
      <c r="BB274" s="34" t="n">
        <f aca="false">BA$274+BB$273-BB$259</f>
        <v>431875.903250001</v>
      </c>
      <c r="BC274" s="34" t="n">
        <f aca="false">BB$274+BC$273-BC$259</f>
        <v>425076.552500001</v>
      </c>
      <c r="BD274" s="34" t="n">
        <f aca="false">BC$274+BD$273-BD$259</f>
        <v>418277.201750001</v>
      </c>
      <c r="BE274" s="34" t="n">
        <f aca="false">BD$274+BE$273-BE$259</f>
        <v>411477.851000001</v>
      </c>
      <c r="BF274" s="34" t="n">
        <f aca="false">BE$274+BF$273-BF$259</f>
        <v>404678.500250001</v>
      </c>
      <c r="BG274" s="34" t="n">
        <f aca="false">BF$274+BG$273-BG$259</f>
        <v>397879.149500001</v>
      </c>
      <c r="BH274" s="34" t="n">
        <f aca="false">BG$274+BH$273-BH$259</f>
        <v>391079.798750001</v>
      </c>
      <c r="BI274" s="34" t="n">
        <f aca="false">BH$274+BI$273-BI$259</f>
        <v>384280.448000001</v>
      </c>
      <c r="BJ274" s="34" t="n">
        <f aca="false">BI$274+BJ$273-BJ$259</f>
        <v>377481.097250001</v>
      </c>
      <c r="BK274" s="34" t="n">
        <f aca="false">BJ$274+BK$273-BK$259</f>
        <v>370681.746500001</v>
      </c>
      <c r="BL274" s="34" t="n">
        <f aca="false">BK$274+BL$273-BL$259</f>
        <v>363882.395750001</v>
      </c>
      <c r="BM274" s="34" t="n">
        <f aca="false">BL$274+BM$273-BM$259</f>
        <v>357083.045000001</v>
      </c>
      <c r="BN274" s="34" t="n">
        <f aca="false">BM$274+BN$273-BN$259</f>
        <v>351298.327583335</v>
      </c>
      <c r="BO274" s="34" t="n">
        <f aca="false">BN$274+BO$273-BO$259</f>
        <v>345513.610166668</v>
      </c>
      <c r="BP274" s="34" t="n">
        <f aca="false">BO$274+BP$273-BP$259</f>
        <v>339728.892750001</v>
      </c>
      <c r="BQ274" s="34" t="n">
        <f aca="false">BP$274+BQ$273-BQ$259</f>
        <v>333944.175333335</v>
      </c>
      <c r="BR274" s="34" t="n">
        <f aca="false">BQ$274+BR$273-BR$259</f>
        <v>328159.457916668</v>
      </c>
      <c r="BS274" s="34" t="n">
        <f aca="false">BR$274+BS$273-BS$259</f>
        <v>322374.740500001</v>
      </c>
      <c r="BT274" s="34" t="n">
        <f aca="false">BS$274+BT$273-BT$259</f>
        <v>316590.023083335</v>
      </c>
      <c r="BU274" s="34" t="n">
        <f aca="false">BT$274+BU$273-BU$259</f>
        <v>310805.305666668</v>
      </c>
      <c r="BV274" s="34" t="n">
        <f aca="false">BU$274+BV$273-BV$259</f>
        <v>305020.588250001</v>
      </c>
      <c r="BW274" s="34" t="n">
        <f aca="false">BV$274+BW$273-BW$259</f>
        <v>299235.870833335</v>
      </c>
      <c r="BX274" s="34" t="n">
        <f aca="false">BW$274+BX$273-BX$259</f>
        <v>293451.153416668</v>
      </c>
      <c r="BY274" s="34" t="n">
        <f aca="false">BX$274+BY$273-BY$259</f>
        <v>287666.436000001</v>
      </c>
      <c r="BZ274" s="34" t="n">
        <f aca="false">BY$274+BZ$273-BZ$259</f>
        <v>281881.718583335</v>
      </c>
      <c r="CA274" s="34" t="n">
        <f aca="false">BZ$274+CA$273-CA$259</f>
        <v>276097.001166668</v>
      </c>
      <c r="CB274" s="34" t="n">
        <f aca="false">CA$274+CB$273-CB$259</f>
        <v>270312.283750001</v>
      </c>
      <c r="CC274" s="34" t="n">
        <f aca="false">CB$274+CC$273-CC$259</f>
        <v>264527.566333335</v>
      </c>
      <c r="CD274" s="34" t="n">
        <f aca="false">CC$274+CD$273-CD$259</f>
        <v>258742.848916668</v>
      </c>
      <c r="CE274" s="34" t="n">
        <f aca="false">CD$274+CE$273-CE$259</f>
        <v>252958.131500001</v>
      </c>
      <c r="CF274" s="34" t="n">
        <f aca="false">CE$274+CF$273-CF$259</f>
        <v>247173.414083335</v>
      </c>
      <c r="CG274" s="34" t="n">
        <f aca="false">CF$274+CG$273-CG$259</f>
        <v>241388.696666668</v>
      </c>
      <c r="CH274" s="34" t="n">
        <f aca="false">CG$274+CH$273-CH$259</f>
        <v>235603.979250001</v>
      </c>
      <c r="CI274" s="34" t="n">
        <f aca="false">CH$274+CI$273-CI$259</f>
        <v>229819.261833334</v>
      </c>
      <c r="CJ274" s="34" t="n">
        <f aca="false">CI$274+CJ$273-CJ$259</f>
        <v>224034.544416668</v>
      </c>
      <c r="CK274" s="34" t="n">
        <f aca="false">CJ$274+CK$273-CK$259</f>
        <v>218249.827000001</v>
      </c>
      <c r="CL274" s="34" t="n">
        <f aca="false">CK$274+CL$273-CL$259</f>
        <v>212465.109583334</v>
      </c>
      <c r="CM274" s="34" t="n">
        <f aca="false">CL$274+CM$273-CM$259</f>
        <v>206680.392166668</v>
      </c>
      <c r="CN274" s="34" t="n">
        <f aca="false">CM$274+CN$273-CN$259</f>
        <v>200895.674750001</v>
      </c>
      <c r="CO274" s="34" t="n">
        <f aca="false">CN$274+CO$273-CO$259</f>
        <v>195110.957333334</v>
      </c>
      <c r="CP274" s="34" t="n">
        <f aca="false">CO$274+CP$273-CP$259</f>
        <v>189326.239916668</v>
      </c>
      <c r="CQ274" s="34" t="n">
        <f aca="false">CP$274+CQ$273-CQ$259</f>
        <v>183541.522500001</v>
      </c>
      <c r="CR274" s="34" t="n">
        <f aca="false">CQ$274+CR$273-CR$259</f>
        <v>177756.805083334</v>
      </c>
      <c r="CS274" s="34" t="n">
        <f aca="false">CR$274+CS$273-CS$259</f>
        <v>171972.087666668</v>
      </c>
      <c r="CT274" s="34" t="n">
        <f aca="false">CS$274+CT$273-CT$259</f>
        <v>166187.370250001</v>
      </c>
      <c r="CU274" s="34" t="n">
        <f aca="false">CT$274+CU$273-CU$259</f>
        <v>160402.652833334</v>
      </c>
      <c r="CV274" s="34" t="n">
        <f aca="false">CU$274+CV$273-CV$259</f>
        <v>154617.935416668</v>
      </c>
      <c r="CW274" s="34" t="n">
        <f aca="false">CV$274+CW$273-CW$259</f>
        <v>148833.218000001</v>
      </c>
      <c r="CX274" s="34" t="n">
        <f aca="false">CW$274+CX$273-CX$259</f>
        <v>143048.500583334</v>
      </c>
      <c r="CY274" s="34" t="n">
        <f aca="false">CX$274+CY$273-CY$259</f>
        <v>137263.783166668</v>
      </c>
      <c r="CZ274" s="34" t="n">
        <f aca="false">CY$274+CZ$273-CZ$259</f>
        <v>131479.065750001</v>
      </c>
      <c r="DA274" s="34" t="n">
        <f aca="false">CZ$274+DA$273-DA$259</f>
        <v>125694.348333334</v>
      </c>
      <c r="DB274" s="34" t="n">
        <f aca="false">DA$274+DB$273-DB$259</f>
        <v>119909.630916668</v>
      </c>
      <c r="DC274" s="34" t="n">
        <f aca="false">DB$274+DC$273-DC$259</f>
        <v>114124.913500001</v>
      </c>
      <c r="DD274" s="34" t="n">
        <f aca="false">DC$274+DD$273-DD$259</f>
        <v>108340.196083334</v>
      </c>
      <c r="DE274" s="34" t="n">
        <f aca="false">DD$274+DE$273-DE$259</f>
        <v>102555.478666668</v>
      </c>
      <c r="DF274" s="34" t="n">
        <f aca="false">DE$274+DF$273-DF$259</f>
        <v>96770.7612500009</v>
      </c>
      <c r="DG274" s="34" t="n">
        <f aca="false">DF$274+DG$273-DG$259</f>
        <v>90986.0438333342</v>
      </c>
      <c r="DH274" s="34" t="n">
        <f aca="false">DG$274+DH$273-DH$259</f>
        <v>85201.3264166676</v>
      </c>
      <c r="DI274" s="34" t="n">
        <f aca="false">DH$274+DI$273-DI$259</f>
        <v>79416.6090000009</v>
      </c>
      <c r="DJ274" s="34" t="n">
        <f aca="false">DI$274+DJ$273-DJ$259</f>
        <v>73631.8915833342</v>
      </c>
      <c r="DK274" s="34" t="n">
        <f aca="false">DJ$274+DK$273-DK$259</f>
        <v>67847.1741666676</v>
      </c>
      <c r="DL274" s="34" t="n">
        <f aca="false">DK$274+DL$273-DL$259</f>
        <v>62062.4567500009</v>
      </c>
      <c r="DM274" s="34" t="n">
        <f aca="false">DL$274+DM$273-DM$259</f>
        <v>56277.7393333342</v>
      </c>
      <c r="DN274" s="34" t="n">
        <f aca="false">DM$274+DN$273-DN$259</f>
        <v>50493.0219166676</v>
      </c>
      <c r="DO274" s="34" t="n">
        <f aca="false">DN$274+DO$273-DO$259</f>
        <v>44708.3045000009</v>
      </c>
      <c r="DP274" s="34" t="n">
        <f aca="false">DO$274+DP$273-DP$259</f>
        <v>38923.5870833342</v>
      </c>
      <c r="DQ274" s="34" t="n">
        <f aca="false">DP$274+DQ$273-DQ$259</f>
        <v>33138.8696666676</v>
      </c>
      <c r="DR274" s="34" t="n">
        <f aca="false">DQ$274+DR$273-DR$259</f>
        <v>27354.1522500009</v>
      </c>
      <c r="DS274" s="34" t="n">
        <f aca="false">DR$274+DS$273-DS$259</f>
        <v>21569.4348333342</v>
      </c>
      <c r="DT274" s="34" t="n">
        <f aca="false">DS$274+DT$273-DT$259</f>
        <v>15784.7174166676</v>
      </c>
      <c r="DU274" s="34" t="n">
        <f aca="false">DT$274+DU$273-DU$259</f>
        <v>10000.0000000009</v>
      </c>
      <c r="DV274" s="34" t="n">
        <f aca="false">DU$274+DV$273-DV$259</f>
        <v>10000.0000000009</v>
      </c>
      <c r="DW274" s="34" t="n">
        <f aca="false">DV$274+DW$273-DW$259</f>
        <v>10000.0000000009</v>
      </c>
      <c r="DX274" s="34" t="n">
        <f aca="false">DW$274+DX$273-DX$259</f>
        <v>10000.0000000009</v>
      </c>
      <c r="DY274" s="34" t="n">
        <f aca="false">DX$274+DY$273-DY$259</f>
        <v>10000.0000000009</v>
      </c>
      <c r="DZ274" s="34" t="n">
        <f aca="false">DY$274+DZ$273-DZ$259</f>
        <v>10000.0000000009</v>
      </c>
      <c r="EA274" s="34" t="n">
        <f aca="false">DZ$274+EA$273-EA$259</f>
        <v>10000.0000000009</v>
      </c>
      <c r="EB274" s="34" t="n">
        <f aca="false">EA$274+EB$273-EB$259</f>
        <v>10000.0000000009</v>
      </c>
      <c r="EC274" s="34" t="n">
        <f aca="false">EB$274+EC$273-EC$259</f>
        <v>10000.0000000009</v>
      </c>
      <c r="ED274" s="34" t="n">
        <f aca="false">EC$274+ED$273-ED$259</f>
        <v>10000.0000000009</v>
      </c>
      <c r="EE274" s="34" t="n">
        <f aca="false">ED$274+EE$273-EE$259</f>
        <v>10000.0000000009</v>
      </c>
      <c r="EF274" s="34" t="n">
        <f aca="false">EE$274+EF$273-EF$259</f>
        <v>10000.0000000009</v>
      </c>
      <c r="EG274" s="34" t="n">
        <f aca="false">EF$274+EG$273-EG$259</f>
        <v>10000.0000000009</v>
      </c>
      <c r="EH274" s="34" t="n">
        <f aca="false">EG$274+EH$273-EH$259</f>
        <v>10000.0000000009</v>
      </c>
      <c r="EI274" s="34" t="n">
        <f aca="false">EH$274+EI$273-EI$259</f>
        <v>10000.0000000009</v>
      </c>
      <c r="EJ274" s="34" t="n">
        <f aca="false">EI$274+EJ$273-EJ$259</f>
        <v>10000.0000000009</v>
      </c>
      <c r="EK274" s="34" t="n">
        <f aca="false">EJ$274+EK$273-EK$259</f>
        <v>10000.0000000009</v>
      </c>
      <c r="EL274" s="34" t="n">
        <f aca="false">EK$274+EL$273-EL$259</f>
        <v>10000.0000000009</v>
      </c>
      <c r="EM274" s="34" t="n">
        <f aca="false">EL$274+EM$273-EM$259</f>
        <v>10000.0000000009</v>
      </c>
      <c r="EN274" s="34" t="n">
        <f aca="false">EM$274+EN$273-EN$259</f>
        <v>10000.0000000009</v>
      </c>
      <c r="EO274" s="34" t="n">
        <f aca="false">EN$274+EO$273-EO$259</f>
        <v>10000.0000000009</v>
      </c>
      <c r="EP274" s="34" t="n">
        <f aca="false">EO$274+EP$273-EP$259</f>
        <v>10000.0000000009</v>
      </c>
      <c r="EQ274" s="34" t="n">
        <f aca="false">EP$274+EQ$273-EQ$259</f>
        <v>10000.0000000009</v>
      </c>
      <c r="ER274" s="34" t="n">
        <f aca="false">EQ$274+ER$273-ER$259</f>
        <v>10000.0000000009</v>
      </c>
      <c r="ES274" s="34" t="n">
        <f aca="false">ER$274+ES$273-ES$259</f>
        <v>10000.0000000009</v>
      </c>
    </row>
    <row r="275" customFormat="false" ht="15" hidden="false" customHeight="false" outlineLevel="0" collapsed="false">
      <c r="A275" s="2" t="s">
        <v>913</v>
      </c>
      <c r="B275" s="6" t="s">
        <v>723</v>
      </c>
      <c r="C275" s="6" t="s">
        <v>250</v>
      </c>
      <c r="E275" s="40" t="n">
        <f aca="false">SUM(F275:ES275)</f>
        <v>4509762.51732228</v>
      </c>
      <c r="F275" s="34" t="n">
        <f aca="false">IF(1=Fin,F$269*V_RealCT+F$274*V_RealAF,0)</f>
        <v>0</v>
      </c>
      <c r="G275" s="34" t="n">
        <f aca="false">IF(2=Fin,G$269*V_RealCT+G$274*V_RealAF,0)</f>
        <v>0</v>
      </c>
      <c r="H275" s="34" t="n">
        <f aca="false">IF(3=Fin,H$269*V_RealCT+H$274*V_RealAF,0)</f>
        <v>0</v>
      </c>
      <c r="I275" s="34" t="n">
        <f aca="false">IF(4=Fin,I$269*V_RealCT+I$274*V_RealAF,0)</f>
        <v>0</v>
      </c>
      <c r="J275" s="34" t="n">
        <f aca="false">IF(5=Fin,J$269*V_RealCT+J$274*V_RealAF,0)</f>
        <v>0</v>
      </c>
      <c r="K275" s="34" t="n">
        <f aca="false">IF(6=Fin,K$269*V_RealCT+K$274*V_RealAF,0)</f>
        <v>0</v>
      </c>
      <c r="L275" s="34" t="n">
        <f aca="false">IF(7=Fin,L$269*V_RealCT+L$274*V_RealAF,0)</f>
        <v>0</v>
      </c>
      <c r="M275" s="34" t="n">
        <f aca="false">IF(8=Fin,M$269*V_RealCT+M$274*V_RealAF,0)</f>
        <v>0</v>
      </c>
      <c r="N275" s="34" t="n">
        <f aca="false">IF(9=Fin,N$269*V_RealCT+N$274*V_RealAF,0)</f>
        <v>0</v>
      </c>
      <c r="O275" s="34" t="n">
        <f aca="false">IF(10=Fin,O$269*V_RealCT+O$274*V_RealAF,0)</f>
        <v>0</v>
      </c>
      <c r="P275" s="34" t="n">
        <f aca="false">IF(11=Fin,P$269*V_RealCT+P$274*V_RealAF,0)</f>
        <v>0</v>
      </c>
      <c r="Q275" s="34" t="n">
        <f aca="false">IF(12=Fin,Q$269*V_RealCT+Q$274*V_RealAF,0)</f>
        <v>0</v>
      </c>
      <c r="R275" s="34" t="n">
        <f aca="false">IF(13=Fin,R$269*V_RealCT+R$274*V_RealAF,0)</f>
        <v>0</v>
      </c>
      <c r="S275" s="34" t="n">
        <f aca="false">IF(14=Fin,S$269*V_RealCT+S$274*V_RealAF,0)</f>
        <v>0</v>
      </c>
      <c r="T275" s="34" t="n">
        <f aca="false">IF(15=Fin,T$269*V_RealCT+T$274*V_RealAF,0)</f>
        <v>0</v>
      </c>
      <c r="U275" s="34" t="n">
        <f aca="false">IF(16=Fin,U$269*V_RealCT+U$274*V_RealAF,0)</f>
        <v>0</v>
      </c>
      <c r="V275" s="34" t="n">
        <f aca="false">IF(17=Fin,V$269*V_RealCT+V$274*V_RealAF,0)</f>
        <v>0</v>
      </c>
      <c r="W275" s="34" t="n">
        <f aca="false">IF(18=Fin,W$269*V_RealCT+W$274*V_RealAF,0)</f>
        <v>0</v>
      </c>
      <c r="X275" s="34" t="n">
        <f aca="false">IF(19=Fin,X$269*V_RealCT+X$274*V_RealAF,0)</f>
        <v>0</v>
      </c>
      <c r="Y275" s="34" t="n">
        <f aca="false">IF(20=Fin,Y$269*V_RealCT+Y$274*V_RealAF,0)</f>
        <v>0</v>
      </c>
      <c r="Z275" s="34" t="n">
        <f aca="false">IF(21=Fin,Z$269*V_RealCT+Z$274*V_RealAF,0)</f>
        <v>0</v>
      </c>
      <c r="AA275" s="34" t="n">
        <f aca="false">IF(22=Fin,AA$269*V_RealCT+AA$274*V_RealAF,0)</f>
        <v>0</v>
      </c>
      <c r="AB275" s="34" t="n">
        <f aca="false">IF(23=Fin,AB$269*V_RealCT+AB$274*V_RealAF,0)</f>
        <v>0</v>
      </c>
      <c r="AC275" s="34" t="n">
        <f aca="false">IF(24=Fin,AC$269*V_RealCT+AC$274*V_RealAF,0)</f>
        <v>0</v>
      </c>
      <c r="AD275" s="34" t="n">
        <f aca="false">IF(25=Fin,AD$269*V_RealCT+AD$274*V_RealAF,0)</f>
        <v>0</v>
      </c>
      <c r="AE275" s="34" t="n">
        <f aca="false">IF(26=Fin,AE$269*V_RealCT+AE$274*V_RealAF,0)</f>
        <v>0</v>
      </c>
      <c r="AF275" s="34" t="n">
        <f aca="false">IF(27=Fin,AF$269*V_RealCT+AF$274*V_RealAF,0)</f>
        <v>0</v>
      </c>
      <c r="AG275" s="34" t="n">
        <f aca="false">IF(28=Fin,AG$269*V_RealCT+AG$274*V_RealAF,0)</f>
        <v>0</v>
      </c>
      <c r="AH275" s="34" t="n">
        <f aca="false">IF(29=Fin,AH$269*V_RealCT+AH$274*V_RealAF,0)</f>
        <v>0</v>
      </c>
      <c r="AI275" s="34" t="n">
        <f aca="false">IF(30=Fin,AI$269*V_RealCT+AI$274*V_RealAF,0)</f>
        <v>0</v>
      </c>
      <c r="AJ275" s="34" t="n">
        <f aca="false">IF(31=Fin,AJ$269*V_RealCT+AJ$274*V_RealAF,0)</f>
        <v>0</v>
      </c>
      <c r="AK275" s="34" t="n">
        <f aca="false">IF(32=Fin,AK$269*V_RealCT+AK$274*V_RealAF,0)</f>
        <v>0</v>
      </c>
      <c r="AL275" s="34" t="n">
        <f aca="false">IF(33=Fin,AL$269*V_RealCT+AL$274*V_RealAF,0)</f>
        <v>0</v>
      </c>
      <c r="AM275" s="34" t="n">
        <f aca="false">IF(34=Fin,AM$269*V_RealCT+AM$274*V_RealAF,0)</f>
        <v>0</v>
      </c>
      <c r="AN275" s="34" t="n">
        <f aca="false">IF(35=Fin,AN$269*V_RealCT+AN$274*V_RealAF,0)</f>
        <v>0</v>
      </c>
      <c r="AO275" s="34" t="n">
        <f aca="false">IF(36=Fin,AO$269*V_RealCT+AO$274*V_RealAF,0)</f>
        <v>0</v>
      </c>
      <c r="AP275" s="34" t="n">
        <f aca="false">IF(37=Fin,AP$269*V_RealCT+AP$274*V_RealAF,0)</f>
        <v>0</v>
      </c>
      <c r="AQ275" s="34" t="n">
        <f aca="false">IF(38=Fin,AQ$269*V_RealCT+AQ$274*V_RealAF,0)</f>
        <v>0</v>
      </c>
      <c r="AR275" s="34" t="n">
        <f aca="false">IF(39=Fin,AR$269*V_RealCT+AR$274*V_RealAF,0)</f>
        <v>0</v>
      </c>
      <c r="AS275" s="34" t="n">
        <f aca="false">IF(40=Fin,AS$269*V_RealCT+AS$274*V_RealAF,0)</f>
        <v>0</v>
      </c>
      <c r="AT275" s="34" t="n">
        <f aca="false">IF(41=Fin,AT$269*V_RealCT+AT$274*V_RealAF,0)</f>
        <v>0</v>
      </c>
      <c r="AU275" s="34" t="n">
        <f aca="false">IF(42=Fin,AU$269*V_RealCT+AU$274*V_RealAF,0)</f>
        <v>0</v>
      </c>
      <c r="AV275" s="34" t="n">
        <f aca="false">IF(43=Fin,AV$269*V_RealCT+AV$274*V_RealAF,0)</f>
        <v>0</v>
      </c>
      <c r="AW275" s="34" t="n">
        <f aca="false">IF(44=Fin,AW$269*V_RealCT+AW$274*V_RealAF,0)</f>
        <v>0</v>
      </c>
      <c r="AX275" s="34" t="n">
        <f aca="false">IF(45=Fin,AX$269*V_RealCT+AX$274*V_RealAF,0)</f>
        <v>0</v>
      </c>
      <c r="AY275" s="34" t="n">
        <f aca="false">IF(46=Fin,AY$269*V_RealCT+AY$274*V_RealAF,0)</f>
        <v>0</v>
      </c>
      <c r="AZ275" s="34" t="n">
        <f aca="false">IF(47=Fin,AZ$269*V_RealCT+AZ$274*V_RealAF,0)</f>
        <v>0</v>
      </c>
      <c r="BA275" s="34" t="n">
        <f aca="false">IF(48=Fin,BA$269*V_RealCT+BA$274*V_RealAF,0)</f>
        <v>0</v>
      </c>
      <c r="BB275" s="34" t="n">
        <f aca="false">IF(49=Fin,BB$269*V_RealCT+BB$274*V_RealAF,0)</f>
        <v>0</v>
      </c>
      <c r="BC275" s="34" t="n">
        <f aca="false">IF(50=Fin,BC$269*V_RealCT+BC$274*V_RealAF,0)</f>
        <v>0</v>
      </c>
      <c r="BD275" s="34" t="n">
        <f aca="false">IF(51=Fin,BD$269*V_RealCT+BD$274*V_RealAF,0)</f>
        <v>0</v>
      </c>
      <c r="BE275" s="34" t="n">
        <f aca="false">IF(52=Fin,BE$269*V_RealCT+BE$274*V_RealAF,0)</f>
        <v>0</v>
      </c>
      <c r="BF275" s="34" t="n">
        <f aca="false">IF(53=Fin,BF$269*V_RealCT+BF$274*V_RealAF,0)</f>
        <v>0</v>
      </c>
      <c r="BG275" s="34" t="n">
        <f aca="false">IF(54=Fin,BG$269*V_RealCT+BG$274*V_RealAF,0)</f>
        <v>0</v>
      </c>
      <c r="BH275" s="34" t="n">
        <f aca="false">IF(55=Fin,BH$269*V_RealCT+BH$274*V_RealAF,0)</f>
        <v>0</v>
      </c>
      <c r="BI275" s="34" t="n">
        <f aca="false">IF(56=Fin,BI$269*V_RealCT+BI$274*V_RealAF,0)</f>
        <v>0</v>
      </c>
      <c r="BJ275" s="34" t="n">
        <f aca="false">IF(57=Fin,BJ$269*V_RealCT+BJ$274*V_RealAF,0)</f>
        <v>0</v>
      </c>
      <c r="BK275" s="34" t="n">
        <f aca="false">IF(58=Fin,BK$269*V_RealCT+BK$274*V_RealAF,0)</f>
        <v>0</v>
      </c>
      <c r="BL275" s="34" t="n">
        <f aca="false">IF(59=Fin,BL$269*V_RealCT+BL$274*V_RealAF,0)</f>
        <v>0</v>
      </c>
      <c r="BM275" s="34" t="n">
        <f aca="false">IF(60=Fin,BM$269*V_RealCT+BM$274*V_RealAF,0)</f>
        <v>0</v>
      </c>
      <c r="BN275" s="34" t="n">
        <f aca="false">IF(61=Fin,BN$269*V_RealCT+BN$274*V_RealAF,0)</f>
        <v>0</v>
      </c>
      <c r="BO275" s="34" t="n">
        <f aca="false">IF(62=Fin,BO$269*V_RealCT+BO$274*V_RealAF,0)</f>
        <v>0</v>
      </c>
      <c r="BP275" s="34" t="n">
        <f aca="false">IF(63=Fin,BP$269*V_RealCT+BP$274*V_RealAF,0)</f>
        <v>0</v>
      </c>
      <c r="BQ275" s="34" t="n">
        <f aca="false">IF(64=Fin,BQ$269*V_RealCT+BQ$274*V_RealAF,0)</f>
        <v>0</v>
      </c>
      <c r="BR275" s="34" t="n">
        <f aca="false">IF(65=Fin,BR$269*V_RealCT+BR$274*V_RealAF,0)</f>
        <v>0</v>
      </c>
      <c r="BS275" s="34" t="n">
        <f aca="false">IF(66=Fin,BS$269*V_RealCT+BS$274*V_RealAF,0)</f>
        <v>0</v>
      </c>
      <c r="BT275" s="34" t="n">
        <f aca="false">IF(67=Fin,BT$269*V_RealCT+BT$274*V_RealAF,0)</f>
        <v>0</v>
      </c>
      <c r="BU275" s="34" t="n">
        <f aca="false">IF(68=Fin,BU$269*V_RealCT+BU$274*V_RealAF,0)</f>
        <v>0</v>
      </c>
      <c r="BV275" s="34" t="n">
        <f aca="false">IF(69=Fin,BV$269*V_RealCT+BV$274*V_RealAF,0)</f>
        <v>0</v>
      </c>
      <c r="BW275" s="34" t="n">
        <f aca="false">IF(70=Fin,BW$269*V_RealCT+BW$274*V_RealAF,0)</f>
        <v>0</v>
      </c>
      <c r="BX275" s="34" t="n">
        <f aca="false">IF(71=Fin,BX$269*V_RealCT+BX$274*V_RealAF,0)</f>
        <v>0</v>
      </c>
      <c r="BY275" s="34" t="n">
        <f aca="false">IF(72=Fin,BY$269*V_RealCT+BY$274*V_RealAF,0)</f>
        <v>0</v>
      </c>
      <c r="BZ275" s="34" t="n">
        <f aca="false">IF(73=Fin,BZ$269*V_RealCT+BZ$274*V_RealAF,0)</f>
        <v>0</v>
      </c>
      <c r="CA275" s="34" t="n">
        <f aca="false">IF(74=Fin,CA$269*V_RealCT+CA$274*V_RealAF,0)</f>
        <v>0</v>
      </c>
      <c r="CB275" s="34" t="n">
        <f aca="false">IF(75=Fin,CB$269*V_RealCT+CB$274*V_RealAF,0)</f>
        <v>0</v>
      </c>
      <c r="CC275" s="34" t="n">
        <f aca="false">IF(76=Fin,CC$269*V_RealCT+CC$274*V_RealAF,0)</f>
        <v>0</v>
      </c>
      <c r="CD275" s="34" t="n">
        <f aca="false">IF(77=Fin,CD$269*V_RealCT+CD$274*V_RealAF,0)</f>
        <v>0</v>
      </c>
      <c r="CE275" s="34" t="n">
        <f aca="false">IF(78=Fin,CE$269*V_RealCT+CE$274*V_RealAF,0)</f>
        <v>0</v>
      </c>
      <c r="CF275" s="34" t="n">
        <f aca="false">IF(79=Fin,CF$269*V_RealCT+CF$274*V_RealAF,0)</f>
        <v>0</v>
      </c>
      <c r="CG275" s="34" t="n">
        <f aca="false">IF(80=Fin,CG$269*V_RealCT+CG$274*V_RealAF,0)</f>
        <v>0</v>
      </c>
      <c r="CH275" s="34" t="n">
        <f aca="false">IF(81=Fin,CH$269*V_RealCT+CH$274*V_RealAF,0)</f>
        <v>0</v>
      </c>
      <c r="CI275" s="34" t="n">
        <f aca="false">IF(82=Fin,CI$269*V_RealCT+CI$274*V_RealAF,0)</f>
        <v>0</v>
      </c>
      <c r="CJ275" s="34" t="n">
        <f aca="false">IF(83=Fin,CJ$269*V_RealCT+CJ$274*V_RealAF,0)</f>
        <v>0</v>
      </c>
      <c r="CK275" s="34" t="n">
        <f aca="false">IF(84=Fin,CK$269*V_RealCT+CK$274*V_RealAF,0)</f>
        <v>0</v>
      </c>
      <c r="CL275" s="34" t="n">
        <f aca="false">IF(85=Fin,CL$269*V_RealCT+CL$274*V_RealAF,0)</f>
        <v>0</v>
      </c>
      <c r="CM275" s="34" t="n">
        <f aca="false">IF(86=Fin,CM$269*V_RealCT+CM$274*V_RealAF,0)</f>
        <v>0</v>
      </c>
      <c r="CN275" s="34" t="n">
        <f aca="false">IF(87=Fin,CN$269*V_RealCT+CN$274*V_RealAF,0)</f>
        <v>0</v>
      </c>
      <c r="CO275" s="34" t="n">
        <f aca="false">IF(88=Fin,CO$269*V_RealCT+CO$274*V_RealAF,0)</f>
        <v>0</v>
      </c>
      <c r="CP275" s="34" t="n">
        <f aca="false">IF(89=Fin,CP$269*V_RealCT+CP$274*V_RealAF,0)</f>
        <v>0</v>
      </c>
      <c r="CQ275" s="34" t="n">
        <f aca="false">IF(90=Fin,CQ$269*V_RealCT+CQ$274*V_RealAF,0)</f>
        <v>0</v>
      </c>
      <c r="CR275" s="34" t="n">
        <f aca="false">IF(91=Fin,CR$269*V_RealCT+CR$274*V_RealAF,0)</f>
        <v>0</v>
      </c>
      <c r="CS275" s="34" t="n">
        <f aca="false">IF(92=Fin,CS$269*V_RealCT+CS$274*V_RealAF,0)</f>
        <v>0</v>
      </c>
      <c r="CT275" s="34" t="n">
        <f aca="false">IF(93=Fin,CT$269*V_RealCT+CT$274*V_RealAF,0)</f>
        <v>0</v>
      </c>
      <c r="CU275" s="34" t="n">
        <f aca="false">IF(94=Fin,CU$269*V_RealCT+CU$274*V_RealAF,0)</f>
        <v>0</v>
      </c>
      <c r="CV275" s="34" t="n">
        <f aca="false">IF(95=Fin,CV$269*V_RealCT+CV$274*V_RealAF,0)</f>
        <v>0</v>
      </c>
      <c r="CW275" s="34" t="n">
        <f aca="false">IF(96=Fin,CW$269*V_RealCT+CW$274*V_RealAF,0)</f>
        <v>0</v>
      </c>
      <c r="CX275" s="34" t="n">
        <f aca="false">IF(97=Fin,CX$269*V_RealCT+CX$274*V_RealAF,0)</f>
        <v>0</v>
      </c>
      <c r="CY275" s="34" t="n">
        <f aca="false">IF(98=Fin,CY$269*V_RealCT+CY$274*V_RealAF,0)</f>
        <v>0</v>
      </c>
      <c r="CZ275" s="34" t="n">
        <f aca="false">IF(99=Fin,CZ$269*V_RealCT+CZ$274*V_RealAF,0)</f>
        <v>0</v>
      </c>
      <c r="DA275" s="34" t="n">
        <f aca="false">IF(100=Fin,DA$269*V_RealCT+DA$274*V_RealAF,0)</f>
        <v>0</v>
      </c>
      <c r="DB275" s="34" t="n">
        <f aca="false">IF(101=Fin,DB$269*V_RealCT+DB$274*V_RealAF,0)</f>
        <v>0</v>
      </c>
      <c r="DC275" s="34" t="n">
        <f aca="false">IF(102=Fin,DC$269*V_RealCT+DC$274*V_RealAF,0)</f>
        <v>0</v>
      </c>
      <c r="DD275" s="34" t="n">
        <f aca="false">IF(103=Fin,DD$269*V_RealCT+DD$274*V_RealAF,0)</f>
        <v>0</v>
      </c>
      <c r="DE275" s="34" t="n">
        <f aca="false">IF(104=Fin,DE$269*V_RealCT+DE$274*V_RealAF,0)</f>
        <v>0</v>
      </c>
      <c r="DF275" s="34" t="n">
        <f aca="false">IF(105=Fin,DF$269*V_RealCT+DF$274*V_RealAF,0)</f>
        <v>0</v>
      </c>
      <c r="DG275" s="34" t="n">
        <f aca="false">IF(106=Fin,DG$269*V_RealCT+DG$274*V_RealAF,0)</f>
        <v>0</v>
      </c>
      <c r="DH275" s="34" t="n">
        <f aca="false">IF(107=Fin,DH$269*V_RealCT+DH$274*V_RealAF,0)</f>
        <v>0</v>
      </c>
      <c r="DI275" s="34" t="n">
        <f aca="false">IF(108=Fin,DI$269*V_RealCT+DI$274*V_RealAF,0)</f>
        <v>0</v>
      </c>
      <c r="DJ275" s="34" t="n">
        <f aca="false">IF(109=Fin,DJ$269*V_RealCT+DJ$274*V_RealAF,0)</f>
        <v>0</v>
      </c>
      <c r="DK275" s="34" t="n">
        <f aca="false">IF(110=Fin,DK$269*V_RealCT+DK$274*V_RealAF,0)</f>
        <v>0</v>
      </c>
      <c r="DL275" s="34" t="n">
        <f aca="false">IF(111=Fin,DL$269*V_RealCT+DL$274*V_RealAF,0)</f>
        <v>0</v>
      </c>
      <c r="DM275" s="34" t="n">
        <f aca="false">IF(112=Fin,DM$269*V_RealCT+DM$274*V_RealAF,0)</f>
        <v>0</v>
      </c>
      <c r="DN275" s="34" t="n">
        <f aca="false">IF(113=Fin,DN$269*V_RealCT+DN$274*V_RealAF,0)</f>
        <v>0</v>
      </c>
      <c r="DO275" s="34" t="n">
        <f aca="false">IF(114=Fin,DO$269*V_RealCT+DO$274*V_RealAF,0)</f>
        <v>0</v>
      </c>
      <c r="DP275" s="34" t="n">
        <f aca="false">IF(115=Fin,DP$269*V_RealCT+DP$274*V_RealAF,0)</f>
        <v>0</v>
      </c>
      <c r="DQ275" s="34" t="n">
        <f aca="false">IF(116=Fin,DQ$269*V_RealCT+DQ$274*V_RealAF,0)</f>
        <v>0</v>
      </c>
      <c r="DR275" s="34" t="n">
        <f aca="false">IF(117=Fin,DR$269*V_RealCT+DR$274*V_RealAF,0)</f>
        <v>0</v>
      </c>
      <c r="DS275" s="34" t="n">
        <f aca="false">IF(118=Fin,DS$269*V_RealCT+DS$274*V_RealAF,0)</f>
        <v>0</v>
      </c>
      <c r="DT275" s="34" t="n">
        <f aca="false">IF(119=Fin,DT$269*V_RealCT+DT$274*V_RealAF,0)</f>
        <v>0</v>
      </c>
      <c r="DU275" s="34" t="n">
        <f aca="false">IF(120=Fin,DU$269*V_RealCT+DU$274*V_RealAF,0)</f>
        <v>4509762.51732228</v>
      </c>
      <c r="DV275" s="34" t="n">
        <f aca="false">IF(121=Fin,DV$269*V_RealCT+DV$274*V_RealAF,0)</f>
        <v>0</v>
      </c>
      <c r="DW275" s="34" t="n">
        <f aca="false">IF(122=Fin,DW$269*V_RealCT+DW$274*V_RealAF,0)</f>
        <v>0</v>
      </c>
      <c r="DX275" s="34" t="n">
        <f aca="false">IF(123=Fin,DX$269*V_RealCT+DX$274*V_RealAF,0)</f>
        <v>0</v>
      </c>
      <c r="DY275" s="34" t="n">
        <f aca="false">IF(124=Fin,DY$269*V_RealCT+DY$274*V_RealAF,0)</f>
        <v>0</v>
      </c>
      <c r="DZ275" s="34" t="n">
        <f aca="false">IF(125=Fin,DZ$269*V_RealCT+DZ$274*V_RealAF,0)</f>
        <v>0</v>
      </c>
      <c r="EA275" s="34" t="n">
        <f aca="false">IF(126=Fin,EA$269*V_RealCT+EA$274*V_RealAF,0)</f>
        <v>0</v>
      </c>
      <c r="EB275" s="34" t="n">
        <f aca="false">IF(127=Fin,EB$269*V_RealCT+EB$274*V_RealAF,0)</f>
        <v>0</v>
      </c>
      <c r="EC275" s="34" t="n">
        <f aca="false">IF(128=Fin,EC$269*V_RealCT+EC$274*V_RealAF,0)</f>
        <v>0</v>
      </c>
      <c r="ED275" s="34" t="n">
        <f aca="false">IF(129=Fin,ED$269*V_RealCT+ED$274*V_RealAF,0)</f>
        <v>0</v>
      </c>
      <c r="EE275" s="34" t="n">
        <f aca="false">IF(130=Fin,EE$269*V_RealCT+EE$274*V_RealAF,0)</f>
        <v>0</v>
      </c>
      <c r="EF275" s="34" t="n">
        <f aca="false">IF(131=Fin,EF$269*V_RealCT+EF$274*V_RealAF,0)</f>
        <v>0</v>
      </c>
      <c r="EG275" s="34" t="n">
        <f aca="false">IF(132=Fin,EG$269*V_RealCT+EG$274*V_RealAF,0)</f>
        <v>0</v>
      </c>
      <c r="EH275" s="34" t="n">
        <f aca="false">IF(133=Fin,EH$269*V_RealCT+EH$274*V_RealAF,0)</f>
        <v>0</v>
      </c>
      <c r="EI275" s="34" t="n">
        <f aca="false">IF(134=Fin,EI$269*V_RealCT+EI$274*V_RealAF,0)</f>
        <v>0</v>
      </c>
      <c r="EJ275" s="34" t="n">
        <f aca="false">IF(135=Fin,EJ$269*V_RealCT+EJ$274*V_RealAF,0)</f>
        <v>0</v>
      </c>
      <c r="EK275" s="34" t="n">
        <f aca="false">IF(136=Fin,EK$269*V_RealCT+EK$274*V_RealAF,0)</f>
        <v>0</v>
      </c>
      <c r="EL275" s="34" t="n">
        <f aca="false">IF(137=Fin,EL$269*V_RealCT+EL$274*V_RealAF,0)</f>
        <v>0</v>
      </c>
      <c r="EM275" s="34" t="n">
        <f aca="false">IF(138=Fin,EM$269*V_RealCT+EM$274*V_RealAF,0)</f>
        <v>0</v>
      </c>
      <c r="EN275" s="34" t="n">
        <f aca="false">IF(139=Fin,EN$269*V_RealCT+EN$274*V_RealAF,0)</f>
        <v>0</v>
      </c>
      <c r="EO275" s="34" t="n">
        <f aca="false">IF(140=Fin,EO$269*V_RealCT+EO$274*V_RealAF,0)</f>
        <v>0</v>
      </c>
      <c r="EP275" s="34" t="n">
        <f aca="false">IF(141=Fin,EP$269*V_RealCT+EP$274*V_RealAF,0)</f>
        <v>0</v>
      </c>
      <c r="EQ275" s="34" t="n">
        <f aca="false">IF(142=Fin,EQ$269*V_RealCT+EQ$274*V_RealAF,0)</f>
        <v>0</v>
      </c>
      <c r="ER275" s="34" t="n">
        <f aca="false">IF(143=Fin,ER$269*V_RealCT+ER$274*V_RealAF,0)</f>
        <v>0</v>
      </c>
      <c r="ES275" s="34" t="n">
        <f aca="false">IF(144=Fin,ES$269*V_RealCT+ES$274*V_RealAF,0)</f>
        <v>0</v>
      </c>
    </row>
    <row r="276" customFormat="false" ht="15" hidden="false" customHeight="false" outlineLevel="0" collapsed="false">
      <c r="A276" s="2" t="s">
        <v>914</v>
      </c>
      <c r="B276" s="52" t="s">
        <v>725</v>
      </c>
      <c r="C276" s="6" t="s">
        <v>250</v>
      </c>
      <c r="E276" s="40" t="n">
        <f aca="false">SUM(F276:ES276)</f>
        <v>15564459.926261</v>
      </c>
      <c r="F276" s="10" t="n">
        <f aca="false">F$272-F$273+F$275</f>
        <v>-3000610.47688344</v>
      </c>
      <c r="G276" s="10" t="n">
        <f aca="false">G$272-G$273+G$275</f>
        <v>42497.5004755897</v>
      </c>
      <c r="H276" s="10" t="n">
        <f aca="false">H$272-H$273+H$275</f>
        <v>42497.5004755897</v>
      </c>
      <c r="I276" s="10" t="n">
        <f aca="false">I$272-I$273+I$275</f>
        <v>42497.5004755897</v>
      </c>
      <c r="J276" s="10" t="n">
        <f aca="false">J$272-J$273+J$275</f>
        <v>42497.5004755897</v>
      </c>
      <c r="K276" s="10" t="n">
        <f aca="false">K$272-K$273+K$275</f>
        <v>42497.5004755897</v>
      </c>
      <c r="L276" s="10" t="n">
        <f aca="false">L$272-L$273+L$275</f>
        <v>42497.5004755897</v>
      </c>
      <c r="M276" s="10" t="n">
        <f aca="false">M$272-M$273+M$275</f>
        <v>42497.5004755897</v>
      </c>
      <c r="N276" s="10" t="n">
        <f aca="false">N$272-N$273+N$275</f>
        <v>42497.5004755897</v>
      </c>
      <c r="O276" s="10" t="n">
        <f aca="false">O$272-O$273+O$275</f>
        <v>42497.5004755897</v>
      </c>
      <c r="P276" s="10" t="n">
        <f aca="false">P$272-P$273+P$275</f>
        <v>42497.5004755897</v>
      </c>
      <c r="Q276" s="10" t="n">
        <f aca="false">Q$272-Q$273+Q$275</f>
        <v>42497.5004755897</v>
      </c>
      <c r="R276" s="10" t="n">
        <f aca="false">R$272-R$273+R$275</f>
        <v>-674649.041401679</v>
      </c>
      <c r="S276" s="10" t="n">
        <f aca="false">S$272-S$273+S$275</f>
        <v>80496.4029939648</v>
      </c>
      <c r="T276" s="10" t="n">
        <f aca="false">T$272-T$273+T$275</f>
        <v>80496.4029939648</v>
      </c>
      <c r="U276" s="10" t="n">
        <f aca="false">U$272-U$273+U$275</f>
        <v>80496.4029939648</v>
      </c>
      <c r="V276" s="10" t="n">
        <f aca="false">V$272-V$273+V$275</f>
        <v>80496.4029939648</v>
      </c>
      <c r="W276" s="10" t="n">
        <f aca="false">W$272-W$273+W$275</f>
        <v>80496.4029939648</v>
      </c>
      <c r="X276" s="10" t="n">
        <f aca="false">X$272-X$273+X$275</f>
        <v>80496.4029939648</v>
      </c>
      <c r="Y276" s="10" t="n">
        <f aca="false">Y$272-Y$273+Y$275</f>
        <v>80496.4029939648</v>
      </c>
      <c r="Z276" s="10" t="n">
        <f aca="false">Z$272-Z$273+Z$275</f>
        <v>80496.4029939648</v>
      </c>
      <c r="AA276" s="10" t="n">
        <f aca="false">AA$272-AA$273+AA$275</f>
        <v>80496.4029939648</v>
      </c>
      <c r="AB276" s="10" t="n">
        <f aca="false">AB$272-AB$273+AB$275</f>
        <v>80496.4029939648</v>
      </c>
      <c r="AC276" s="10" t="n">
        <f aca="false">AC$272-AC$273+AC$275</f>
        <v>80496.4029939648</v>
      </c>
      <c r="AD276" s="10" t="n">
        <f aca="false">AD$272-AD$273+AD$275</f>
        <v>-550241.899767298</v>
      </c>
      <c r="AE276" s="10" t="n">
        <f aca="false">AE$272-AE$273+AE$275</f>
        <v>117085.030865125</v>
      </c>
      <c r="AF276" s="10" t="n">
        <f aca="false">AF$272-AF$273+AF$275</f>
        <v>117085.030865125</v>
      </c>
      <c r="AG276" s="10" t="n">
        <f aca="false">AG$272-AG$273+AG$275</f>
        <v>117085.030865125</v>
      </c>
      <c r="AH276" s="10" t="n">
        <f aca="false">AH$272-AH$273+AH$275</f>
        <v>117085.030865125</v>
      </c>
      <c r="AI276" s="10" t="n">
        <f aca="false">AI$272-AI$273+AI$275</f>
        <v>117085.030865125</v>
      </c>
      <c r="AJ276" s="10" t="n">
        <f aca="false">AJ$272-AJ$273+AJ$275</f>
        <v>117085.030865125</v>
      </c>
      <c r="AK276" s="10" t="n">
        <f aca="false">AK$272-AK$273+AK$275</f>
        <v>117085.030865125</v>
      </c>
      <c r="AL276" s="10" t="n">
        <f aca="false">AL$272-AL$273+AL$275</f>
        <v>117085.030865125</v>
      </c>
      <c r="AM276" s="10" t="n">
        <f aca="false">AM$272-AM$273+AM$275</f>
        <v>117085.030865125</v>
      </c>
      <c r="AN276" s="10" t="n">
        <f aca="false">AN$272-AN$273+AN$275</f>
        <v>117085.030865125</v>
      </c>
      <c r="AO276" s="10" t="n">
        <f aca="false">AO$272-AO$273+AO$275</f>
        <v>117085.030865125</v>
      </c>
      <c r="AP276" s="10" t="n">
        <f aca="false">AP$272-AP$273+AP$275</f>
        <v>-408915.490053455</v>
      </c>
      <c r="AQ276" s="10" t="n">
        <f aca="false">AQ$272-AQ$273+AQ$275</f>
        <v>149893.579879858</v>
      </c>
      <c r="AR276" s="10" t="n">
        <f aca="false">AR$272-AR$273+AR$275</f>
        <v>149893.579879858</v>
      </c>
      <c r="AS276" s="10" t="n">
        <f aca="false">AS$272-AS$273+AS$275</f>
        <v>149893.579879858</v>
      </c>
      <c r="AT276" s="10" t="n">
        <f aca="false">AT$272-AT$273+AT$275</f>
        <v>149893.579879858</v>
      </c>
      <c r="AU276" s="10" t="n">
        <f aca="false">AU$272-AU$273+AU$275</f>
        <v>149893.579879858</v>
      </c>
      <c r="AV276" s="10" t="n">
        <f aca="false">AV$272-AV$273+AV$275</f>
        <v>149893.579879858</v>
      </c>
      <c r="AW276" s="10" t="n">
        <f aca="false">AW$272-AW$273+AW$275</f>
        <v>149893.579879858</v>
      </c>
      <c r="AX276" s="10" t="n">
        <f aca="false">AX$272-AX$273+AX$275</f>
        <v>149893.579879858</v>
      </c>
      <c r="AY276" s="10" t="n">
        <f aca="false">AY$272-AY$273+AY$275</f>
        <v>149893.579879858</v>
      </c>
      <c r="AZ276" s="10" t="n">
        <f aca="false">AZ$272-AZ$273+AZ$275</f>
        <v>149893.579879858</v>
      </c>
      <c r="BA276" s="10" t="n">
        <f aca="false">BA$272-BA$273+BA$275</f>
        <v>149893.579879858</v>
      </c>
      <c r="BB276" s="10" t="n">
        <f aca="false">BB$272-BB$273+BB$275</f>
        <v>113103.617170514</v>
      </c>
      <c r="BC276" s="10" t="n">
        <f aca="false">BC$272-BC$273+BC$275</f>
        <v>151213.164876374</v>
      </c>
      <c r="BD276" s="10" t="n">
        <f aca="false">BD$272-BD$273+BD$275</f>
        <v>151213.164876374</v>
      </c>
      <c r="BE276" s="10" t="n">
        <f aca="false">BE$272-BE$273+BE$275</f>
        <v>151213.164876374</v>
      </c>
      <c r="BF276" s="10" t="n">
        <f aca="false">BF$272-BF$273+BF$275</f>
        <v>151213.164876374</v>
      </c>
      <c r="BG276" s="10" t="n">
        <f aca="false">BG$272-BG$273+BG$275</f>
        <v>151213.164876374</v>
      </c>
      <c r="BH276" s="10" t="n">
        <f aca="false">BH$272-BH$273+BH$275</f>
        <v>151213.164876374</v>
      </c>
      <c r="BI276" s="10" t="n">
        <f aca="false">BI$272-BI$273+BI$275</f>
        <v>151213.164876374</v>
      </c>
      <c r="BJ276" s="10" t="n">
        <f aca="false">BJ$272-BJ$273+BJ$275</f>
        <v>151213.164876374</v>
      </c>
      <c r="BK276" s="10" t="n">
        <f aca="false">BK$272-BK$273+BK$275</f>
        <v>151213.164876374</v>
      </c>
      <c r="BL276" s="10" t="n">
        <f aca="false">BL$272-BL$273+BL$275</f>
        <v>151213.164876374</v>
      </c>
      <c r="BM276" s="10" t="n">
        <f aca="false">BM$272-BM$273+BM$275</f>
        <v>151213.164876374</v>
      </c>
      <c r="BN276" s="10" t="n">
        <f aca="false">BN$272-BN$273+BN$275</f>
        <v>117575.58532923</v>
      </c>
      <c r="BO276" s="10" t="n">
        <f aca="false">BO$272-BO$273+BO$275</f>
        <v>155300.441797826</v>
      </c>
      <c r="BP276" s="10" t="n">
        <f aca="false">BP$272-BP$273+BP$275</f>
        <v>155300.441797826</v>
      </c>
      <c r="BQ276" s="10" t="n">
        <f aca="false">BQ$272-BQ$273+BQ$275</f>
        <v>155300.441797826</v>
      </c>
      <c r="BR276" s="10" t="n">
        <f aca="false">BR$272-BR$273+BR$275</f>
        <v>155300.441797826</v>
      </c>
      <c r="BS276" s="10" t="n">
        <f aca="false">BS$272-BS$273+BS$275</f>
        <v>155300.441797826</v>
      </c>
      <c r="BT276" s="10" t="n">
        <f aca="false">BT$272-BT$273+BT$275</f>
        <v>155300.441797826</v>
      </c>
      <c r="BU276" s="10" t="n">
        <f aca="false">BU$272-BU$273+BU$275</f>
        <v>155300.441797826</v>
      </c>
      <c r="BV276" s="10" t="n">
        <f aca="false">BV$272-BV$273+BV$275</f>
        <v>155300.441797826</v>
      </c>
      <c r="BW276" s="10" t="n">
        <f aca="false">BW$272-BW$273+BW$275</f>
        <v>155300.441797826</v>
      </c>
      <c r="BX276" s="10" t="n">
        <f aca="false">BX$272-BX$273+BX$275</f>
        <v>155300.441797826</v>
      </c>
      <c r="BY276" s="10" t="n">
        <f aca="false">BY$272-BY$273+BY$275</f>
        <v>155300.441797826</v>
      </c>
      <c r="BZ276" s="10" t="n">
        <f aca="false">BZ$272-BZ$273+BZ$275</f>
        <v>121326.129264619</v>
      </c>
      <c r="CA276" s="10" t="n">
        <f aca="false">CA$272-CA$273+CA$275</f>
        <v>159416.0224894</v>
      </c>
      <c r="CB276" s="10" t="n">
        <f aca="false">CB$272-CB$273+CB$275</f>
        <v>159416.0224894</v>
      </c>
      <c r="CC276" s="10" t="n">
        <f aca="false">CC$272-CC$273+CC$275</f>
        <v>159416.0224894</v>
      </c>
      <c r="CD276" s="10" t="n">
        <f aca="false">CD$272-CD$273+CD$275</f>
        <v>159416.0224894</v>
      </c>
      <c r="CE276" s="10" t="n">
        <f aca="false">CE$272-CE$273+CE$275</f>
        <v>159416.0224894</v>
      </c>
      <c r="CF276" s="10" t="n">
        <f aca="false">CF$272-CF$273+CF$275</f>
        <v>159416.0224894</v>
      </c>
      <c r="CG276" s="10" t="n">
        <f aca="false">CG$272-CG$273+CG$275</f>
        <v>159416.0224894</v>
      </c>
      <c r="CH276" s="10" t="n">
        <f aca="false">CH$272-CH$273+CH$275</f>
        <v>159416.0224894</v>
      </c>
      <c r="CI276" s="10" t="n">
        <f aca="false">CI$272-CI$273+CI$275</f>
        <v>159416.0224894</v>
      </c>
      <c r="CJ276" s="10" t="n">
        <f aca="false">CJ$272-CJ$273+CJ$275</f>
        <v>159416.0224894</v>
      </c>
      <c r="CK276" s="10" t="n">
        <f aca="false">CK$272-CK$273+CK$275</f>
        <v>159416.0224894</v>
      </c>
      <c r="CL276" s="10" t="n">
        <f aca="false">CL$272-CL$273+CL$275</f>
        <v>125101.600851768</v>
      </c>
      <c r="CM276" s="10" t="n">
        <f aca="false">CM$272-CM$273+CM$275</f>
        <v>163559.818546288</v>
      </c>
      <c r="CN276" s="10" t="n">
        <f aca="false">CN$272-CN$273+CN$275</f>
        <v>163559.818546288</v>
      </c>
      <c r="CO276" s="10" t="n">
        <f aca="false">CO$272-CO$273+CO$275</f>
        <v>163559.818546288</v>
      </c>
      <c r="CP276" s="10" t="n">
        <f aca="false">CP$272-CP$273+CP$275</f>
        <v>163559.818546288</v>
      </c>
      <c r="CQ276" s="10" t="n">
        <f aca="false">CQ$272-CQ$273+CQ$275</f>
        <v>163559.818546288</v>
      </c>
      <c r="CR276" s="10" t="n">
        <f aca="false">CR$272-CR$273+CR$275</f>
        <v>163559.818546288</v>
      </c>
      <c r="CS276" s="10" t="n">
        <f aca="false">CS$272-CS$273+CS$275</f>
        <v>163559.818546288</v>
      </c>
      <c r="CT276" s="10" t="n">
        <f aca="false">CT$272-CT$273+CT$275</f>
        <v>163559.818546288</v>
      </c>
      <c r="CU276" s="10" t="n">
        <f aca="false">CU$272-CU$273+CU$275</f>
        <v>163559.818546288</v>
      </c>
      <c r="CV276" s="10" t="n">
        <f aca="false">CV$272-CV$273+CV$275</f>
        <v>163559.818546288</v>
      </c>
      <c r="CW276" s="10" t="n">
        <f aca="false">CW$272-CW$273+CW$275</f>
        <v>163559.818546288</v>
      </c>
      <c r="CX276" s="10" t="n">
        <f aca="false">CX$272-CX$273+CX$275</f>
        <v>128901.877699572</v>
      </c>
      <c r="CY276" s="10" t="n">
        <f aca="false">CY$272-CY$273+CY$275</f>
        <v>167731.729648908</v>
      </c>
      <c r="CZ276" s="10" t="n">
        <f aca="false">CZ$272-CZ$273+CZ$275</f>
        <v>167731.729648908</v>
      </c>
      <c r="DA276" s="10" t="n">
        <f aca="false">DA$272-DA$273+DA$275</f>
        <v>167731.729648908</v>
      </c>
      <c r="DB276" s="10" t="n">
        <f aca="false">DB$272-DB$273+DB$275</f>
        <v>167731.729648908</v>
      </c>
      <c r="DC276" s="10" t="n">
        <f aca="false">DC$272-DC$273+DC$275</f>
        <v>167731.729648908</v>
      </c>
      <c r="DD276" s="10" t="n">
        <f aca="false">DD$272-DD$273+DD$275</f>
        <v>167731.729648908</v>
      </c>
      <c r="DE276" s="10" t="n">
        <f aca="false">DE$272-DE$273+DE$275</f>
        <v>167731.729648908</v>
      </c>
      <c r="DF276" s="10" t="n">
        <f aca="false">DF$272-DF$273+DF$275</f>
        <v>167731.729648908</v>
      </c>
      <c r="DG276" s="10" t="n">
        <f aca="false">DG$272-DG$273+DG$275</f>
        <v>167731.729648908</v>
      </c>
      <c r="DH276" s="10" t="n">
        <f aca="false">DH$272-DH$273+DH$275</f>
        <v>167731.729648908</v>
      </c>
      <c r="DI276" s="10" t="n">
        <f aca="false">DI$272-DI$273+DI$275</f>
        <v>167731.729648908</v>
      </c>
      <c r="DJ276" s="10" t="n">
        <f aca="false">DJ$272-DJ$273+DJ$275</f>
        <v>132726.825156308</v>
      </c>
      <c r="DK276" s="10" t="n">
        <f aca="false">DK$272-DK$273+DK$275</f>
        <v>171931.643115086</v>
      </c>
      <c r="DL276" s="10" t="n">
        <f aca="false">DL$272-DL$273+DL$275</f>
        <v>171931.643115086</v>
      </c>
      <c r="DM276" s="10" t="n">
        <f aca="false">DM$272-DM$273+DM$275</f>
        <v>171931.643115086</v>
      </c>
      <c r="DN276" s="10" t="n">
        <f aca="false">DN$272-DN$273+DN$275</f>
        <v>171931.643115086</v>
      </c>
      <c r="DO276" s="10" t="n">
        <f aca="false">DO$272-DO$273+DO$275</f>
        <v>171931.643115086</v>
      </c>
      <c r="DP276" s="10" t="n">
        <f aca="false">DP$272-DP$273+DP$275</f>
        <v>171931.643115086</v>
      </c>
      <c r="DQ276" s="10" t="n">
        <f aca="false">DQ$272-DQ$273+DQ$275</f>
        <v>171931.643115086</v>
      </c>
      <c r="DR276" s="10" t="n">
        <f aca="false">DR$272-DR$273+DR$275</f>
        <v>171931.643115086</v>
      </c>
      <c r="DS276" s="10" t="n">
        <f aca="false">DS$272-DS$273+DS$275</f>
        <v>171931.643115086</v>
      </c>
      <c r="DT276" s="10" t="n">
        <f aca="false">DT$272-DT$273+DT$275</f>
        <v>171931.643115086</v>
      </c>
      <c r="DU276" s="10" t="n">
        <f aca="false">DU$272-DU$273+DU$275</f>
        <v>4681694.16043737</v>
      </c>
      <c r="DV276" s="10" t="n">
        <f aca="false">DV$272-DV$273+DV$275</f>
        <v>0</v>
      </c>
      <c r="DW276" s="10" t="n">
        <f aca="false">DW$272-DW$273+DW$275</f>
        <v>0</v>
      </c>
      <c r="DX276" s="10" t="n">
        <f aca="false">DX$272-DX$273+DX$275</f>
        <v>0</v>
      </c>
      <c r="DY276" s="10" t="n">
        <f aca="false">DY$272-DY$273+DY$275</f>
        <v>0</v>
      </c>
      <c r="DZ276" s="10" t="n">
        <f aca="false">DZ$272-DZ$273+DZ$275</f>
        <v>0</v>
      </c>
      <c r="EA276" s="10" t="n">
        <f aca="false">EA$272-EA$273+EA$275</f>
        <v>0</v>
      </c>
      <c r="EB276" s="10" t="n">
        <f aca="false">EB$272-EB$273+EB$275</f>
        <v>0</v>
      </c>
      <c r="EC276" s="10" t="n">
        <f aca="false">EC$272-EC$273+EC$275</f>
        <v>0</v>
      </c>
      <c r="ED276" s="10" t="n">
        <f aca="false">ED$272-ED$273+ED$275</f>
        <v>0</v>
      </c>
      <c r="EE276" s="10" t="n">
        <f aca="false">EE$272-EE$273+EE$275</f>
        <v>0</v>
      </c>
      <c r="EF276" s="10" t="n">
        <f aca="false">EF$272-EF$273+EF$275</f>
        <v>0</v>
      </c>
      <c r="EG276" s="10" t="n">
        <f aca="false">EG$272-EG$273+EG$275</f>
        <v>0</v>
      </c>
      <c r="EH276" s="10" t="n">
        <f aca="false">EH$272-EH$273+EH$275</f>
        <v>0</v>
      </c>
      <c r="EI276" s="10" t="n">
        <f aca="false">EI$272-EI$273+EI$275</f>
        <v>0</v>
      </c>
      <c r="EJ276" s="10" t="n">
        <f aca="false">EJ$272-EJ$273+EJ$275</f>
        <v>0</v>
      </c>
      <c r="EK276" s="10" t="n">
        <f aca="false">EK$272-EK$273+EK$275</f>
        <v>0</v>
      </c>
      <c r="EL276" s="10" t="n">
        <f aca="false">EL$272-EL$273+EL$275</f>
        <v>0</v>
      </c>
      <c r="EM276" s="10" t="n">
        <f aca="false">EM$272-EM$273+EM$275</f>
        <v>0</v>
      </c>
      <c r="EN276" s="10" t="n">
        <f aca="false">EN$272-EN$273+EN$275</f>
        <v>0</v>
      </c>
      <c r="EO276" s="10" t="n">
        <f aca="false">EO$272-EO$273+EO$275</f>
        <v>0</v>
      </c>
      <c r="EP276" s="10" t="n">
        <f aca="false">EP$272-EP$273+EP$275</f>
        <v>0</v>
      </c>
      <c r="EQ276" s="10" t="n">
        <f aca="false">EQ$272-EQ$273+EQ$275</f>
        <v>0</v>
      </c>
      <c r="ER276" s="10" t="n">
        <f aca="false">ER$272-ER$273+ER$275</f>
        <v>0</v>
      </c>
      <c r="ES276" s="10" t="n">
        <f aca="false">ES$272-ES$273+ES$275</f>
        <v>0</v>
      </c>
    </row>
    <row r="277" customFormat="false" ht="15" hidden="false" customHeight="false" outlineLevel="0" collapsed="false">
      <c r="A277" s="2" t="s">
        <v>915</v>
      </c>
      <c r="B277" s="6" t="s">
        <v>727</v>
      </c>
      <c r="C277" s="6" t="s">
        <v>250</v>
      </c>
      <c r="E277" s="40" t="n">
        <f aca="false">MIN(F277:ES277)</f>
        <v>-3207787.01305363</v>
      </c>
      <c r="F277" s="34" t="n">
        <f aca="false">0+F$272-F$273</f>
        <v>-3000610.47688344</v>
      </c>
      <c r="G277" s="34" t="n">
        <f aca="false">F$277+G$272-G$273</f>
        <v>-2958112.97640785</v>
      </c>
      <c r="H277" s="34" t="n">
        <f aca="false">G$277+H$272-H$273</f>
        <v>-2915615.47593226</v>
      </c>
      <c r="I277" s="34" t="n">
        <f aca="false">H$277+I$272-I$273</f>
        <v>-2873117.97545667</v>
      </c>
      <c r="J277" s="34" t="n">
        <f aca="false">I$277+J$272-J$273</f>
        <v>-2830620.47498108</v>
      </c>
      <c r="K277" s="34" t="n">
        <f aca="false">J$277+K$272-K$273</f>
        <v>-2788122.97450549</v>
      </c>
      <c r="L277" s="34" t="n">
        <f aca="false">K$277+L$272-L$273</f>
        <v>-2745625.4740299</v>
      </c>
      <c r="M277" s="34" t="n">
        <f aca="false">L$277+M$272-M$273</f>
        <v>-2703127.97355431</v>
      </c>
      <c r="N277" s="34" t="n">
        <f aca="false">M$277+N$272-N$273</f>
        <v>-2660630.47307872</v>
      </c>
      <c r="O277" s="34" t="n">
        <f aca="false">N$277+O$272-O$273</f>
        <v>-2618132.97260313</v>
      </c>
      <c r="P277" s="34" t="n">
        <f aca="false">O$277+P$272-P$273</f>
        <v>-2575635.47212754</v>
      </c>
      <c r="Q277" s="34" t="n">
        <f aca="false">P$277+Q$272-Q$273</f>
        <v>-2533137.97165195</v>
      </c>
      <c r="R277" s="34" t="n">
        <f aca="false">Q$277+R$272-R$273</f>
        <v>-3207787.01305363</v>
      </c>
      <c r="S277" s="34" t="n">
        <f aca="false">R$277+S$272-S$273</f>
        <v>-3127290.61005967</v>
      </c>
      <c r="T277" s="34" t="n">
        <f aca="false">S$277+T$272-T$273</f>
        <v>-3046794.2070657</v>
      </c>
      <c r="U277" s="34" t="n">
        <f aca="false">T$277+U$272-U$273</f>
        <v>-2966297.80407174</v>
      </c>
      <c r="V277" s="34" t="n">
        <f aca="false">U$277+V$272-V$273</f>
        <v>-2885801.40107777</v>
      </c>
      <c r="W277" s="34" t="n">
        <f aca="false">V$277+W$272-W$273</f>
        <v>-2805304.99808381</v>
      </c>
      <c r="X277" s="34" t="n">
        <f aca="false">W$277+X$272-X$273</f>
        <v>-2724808.59508984</v>
      </c>
      <c r="Y277" s="34" t="n">
        <f aca="false">X$277+Y$272-Y$273</f>
        <v>-2644312.19209588</v>
      </c>
      <c r="Z277" s="34" t="n">
        <f aca="false">Y$277+Z$272-Z$273</f>
        <v>-2563815.78910191</v>
      </c>
      <c r="AA277" s="34" t="n">
        <f aca="false">Z$277+AA$272-AA$273</f>
        <v>-2483319.38610795</v>
      </c>
      <c r="AB277" s="34" t="n">
        <f aca="false">AA$277+AB$272-AB$273</f>
        <v>-2402822.98311398</v>
      </c>
      <c r="AC277" s="34" t="n">
        <f aca="false">AB$277+AC$272-AC$273</f>
        <v>-2322326.58012002</v>
      </c>
      <c r="AD277" s="34" t="n">
        <f aca="false">AC$277+AD$272-AD$273</f>
        <v>-2872568.47988732</v>
      </c>
      <c r="AE277" s="34" t="n">
        <f aca="false">AD$277+AE$272-AE$273</f>
        <v>-2755483.44902219</v>
      </c>
      <c r="AF277" s="34" t="n">
        <f aca="false">AE$277+AF$272-AF$273</f>
        <v>-2638398.41815707</v>
      </c>
      <c r="AG277" s="34" t="n">
        <f aca="false">AF$277+AG$272-AG$273</f>
        <v>-2521313.38729194</v>
      </c>
      <c r="AH277" s="34" t="n">
        <f aca="false">AG$277+AH$272-AH$273</f>
        <v>-2404228.35642682</v>
      </c>
      <c r="AI277" s="34" t="n">
        <f aca="false">AH$277+AI$272-AI$273</f>
        <v>-2287143.32556169</v>
      </c>
      <c r="AJ277" s="34" t="n">
        <f aca="false">AI$277+AJ$272-AJ$273</f>
        <v>-2170058.29469657</v>
      </c>
      <c r="AK277" s="34" t="n">
        <f aca="false">AJ$277+AK$272-AK$273</f>
        <v>-2052973.26383144</v>
      </c>
      <c r="AL277" s="34" t="n">
        <f aca="false">AK$277+AL$272-AL$273</f>
        <v>-1935888.23296632</v>
      </c>
      <c r="AM277" s="34" t="n">
        <f aca="false">AL$277+AM$272-AM$273</f>
        <v>-1818803.20210119</v>
      </c>
      <c r="AN277" s="34" t="n">
        <f aca="false">AM$277+AN$272-AN$273</f>
        <v>-1701718.17123607</v>
      </c>
      <c r="AO277" s="34" t="n">
        <f aca="false">AN$277+AO$272-AO$273</f>
        <v>-1584633.14037094</v>
      </c>
      <c r="AP277" s="34" t="n">
        <f aca="false">AO$277+AP$272-AP$273</f>
        <v>-1993548.6304244</v>
      </c>
      <c r="AQ277" s="34" t="n">
        <f aca="false">AP$277+AQ$272-AQ$273</f>
        <v>-1843655.05054454</v>
      </c>
      <c r="AR277" s="34" t="n">
        <f aca="false">AQ$277+AR$272-AR$273</f>
        <v>-1693761.47066468</v>
      </c>
      <c r="AS277" s="34" t="n">
        <f aca="false">AR$277+AS$272-AS$273</f>
        <v>-1543867.89078482</v>
      </c>
      <c r="AT277" s="34" t="n">
        <f aca="false">AS$277+AT$272-AT$273</f>
        <v>-1393974.31090497</v>
      </c>
      <c r="AU277" s="34" t="n">
        <f aca="false">AT$277+AU$272-AU$273</f>
        <v>-1244080.73102511</v>
      </c>
      <c r="AV277" s="34" t="n">
        <f aca="false">AU$277+AV$272-AV$273</f>
        <v>-1094187.15114525</v>
      </c>
      <c r="AW277" s="34" t="n">
        <f aca="false">AV$277+AW$272-AW$273</f>
        <v>-944293.571265391</v>
      </c>
      <c r="AX277" s="34" t="n">
        <f aca="false">AW$277+AX$272-AX$273</f>
        <v>-794399.991385533</v>
      </c>
      <c r="AY277" s="34" t="n">
        <f aca="false">AX$277+AY$272-AY$273</f>
        <v>-644506.411505674</v>
      </c>
      <c r="AZ277" s="34" t="n">
        <f aca="false">AY$277+AZ$272-AZ$273</f>
        <v>-494612.831625816</v>
      </c>
      <c r="BA277" s="34" t="n">
        <f aca="false">AZ$277+BA$272-BA$273</f>
        <v>-344719.251745958</v>
      </c>
      <c r="BB277" s="34" t="n">
        <f aca="false">BA$277+BB$272-BB$273</f>
        <v>-231615.634575444</v>
      </c>
      <c r="BC277" s="34" t="n">
        <f aca="false">BB$277+BC$272-BC$273</f>
        <v>-80402.4696990702</v>
      </c>
      <c r="BD277" s="34" t="n">
        <f aca="false">BC$277+BD$272-BD$273</f>
        <v>70810.6951773035</v>
      </c>
      <c r="BE277" s="34" t="n">
        <f aca="false">BD$277+BE$272-BE$273</f>
        <v>222023.860053677</v>
      </c>
      <c r="BF277" s="34" t="n">
        <f aca="false">BE$277+BF$272-BF$273</f>
        <v>373237.024930051</v>
      </c>
      <c r="BG277" s="34" t="n">
        <f aca="false">BF$277+BG$272-BG$273</f>
        <v>524450.189806425</v>
      </c>
      <c r="BH277" s="34" t="n">
        <f aca="false">BG$277+BH$272-BH$273</f>
        <v>675663.354682798</v>
      </c>
      <c r="BI277" s="34" t="n">
        <f aca="false">BH$277+BI$272-BI$273</f>
        <v>826876.519559172</v>
      </c>
      <c r="BJ277" s="34" t="n">
        <f aca="false">BI$277+BJ$272-BJ$273</f>
        <v>978089.684435546</v>
      </c>
      <c r="BK277" s="34" t="n">
        <f aca="false">BJ$277+BK$272-BK$273</f>
        <v>1129302.84931192</v>
      </c>
      <c r="BL277" s="34" t="n">
        <f aca="false">BK$277+BL$272-BL$273</f>
        <v>1280516.01418829</v>
      </c>
      <c r="BM277" s="34" t="n">
        <f aca="false">BL$277+BM$272-BM$273</f>
        <v>1431729.17906467</v>
      </c>
      <c r="BN277" s="34" t="n">
        <f aca="false">BM$277+BN$272-BN$273</f>
        <v>1549304.7643939</v>
      </c>
      <c r="BO277" s="34" t="n">
        <f aca="false">BN$277+BO$272-BO$273</f>
        <v>1704605.20619172</v>
      </c>
      <c r="BP277" s="34" t="n">
        <f aca="false">BO$277+BP$272-BP$273</f>
        <v>1859905.64798955</v>
      </c>
      <c r="BQ277" s="34" t="n">
        <f aca="false">BP$277+BQ$272-BQ$273</f>
        <v>2015206.08978738</v>
      </c>
      <c r="BR277" s="34" t="n">
        <f aca="false">BQ$277+BR$272-BR$273</f>
        <v>2170506.5315852</v>
      </c>
      <c r="BS277" s="34" t="n">
        <f aca="false">BR$277+BS$272-BS$273</f>
        <v>2325806.97338303</v>
      </c>
      <c r="BT277" s="34" t="n">
        <f aca="false">BS$277+BT$272-BT$273</f>
        <v>2481107.41518085</v>
      </c>
      <c r="BU277" s="34" t="n">
        <f aca="false">BT$277+BU$272-BU$273</f>
        <v>2636407.85697868</v>
      </c>
      <c r="BV277" s="34" t="n">
        <f aca="false">BU$277+BV$272-BV$273</f>
        <v>2791708.29877651</v>
      </c>
      <c r="BW277" s="34" t="n">
        <f aca="false">BV$277+BW$272-BW$273</f>
        <v>2947008.74057433</v>
      </c>
      <c r="BX277" s="34" t="n">
        <f aca="false">BW$277+BX$272-BX$273</f>
        <v>3102309.18237216</v>
      </c>
      <c r="BY277" s="34" t="n">
        <f aca="false">BX$277+BY$272-BY$273</f>
        <v>3257609.62416998</v>
      </c>
      <c r="BZ277" s="34" t="n">
        <f aca="false">BY$277+BZ$272-BZ$273</f>
        <v>3378935.7534346</v>
      </c>
      <c r="CA277" s="34" t="n">
        <f aca="false">BZ$277+CA$272-CA$273</f>
        <v>3538351.775924</v>
      </c>
      <c r="CB277" s="34" t="n">
        <f aca="false">CA$277+CB$272-CB$273</f>
        <v>3697767.7984134</v>
      </c>
      <c r="CC277" s="34" t="n">
        <f aca="false">CB$277+CC$272-CC$273</f>
        <v>3857183.8209028</v>
      </c>
      <c r="CD277" s="34" t="n">
        <f aca="false">CC$277+CD$272-CD$273</f>
        <v>4016599.8433922</v>
      </c>
      <c r="CE277" s="34" t="n">
        <f aca="false">CD$277+CE$272-CE$273</f>
        <v>4176015.8658816</v>
      </c>
      <c r="CF277" s="34" t="n">
        <f aca="false">CE$277+CF$272-CF$273</f>
        <v>4335431.888371</v>
      </c>
      <c r="CG277" s="34" t="n">
        <f aca="false">CF$277+CG$272-CG$273</f>
        <v>4494847.9108604</v>
      </c>
      <c r="CH277" s="34" t="n">
        <f aca="false">CG$277+CH$272-CH$273</f>
        <v>4654263.9333498</v>
      </c>
      <c r="CI277" s="34" t="n">
        <f aca="false">CH$277+CI$272-CI$273</f>
        <v>4813679.9558392</v>
      </c>
      <c r="CJ277" s="34" t="n">
        <f aca="false">CI$277+CJ$272-CJ$273</f>
        <v>4973095.9783286</v>
      </c>
      <c r="CK277" s="34" t="n">
        <f aca="false">CJ$277+CK$272-CK$273</f>
        <v>5132512.000818</v>
      </c>
      <c r="CL277" s="34" t="n">
        <f aca="false">CK$277+CL$272-CL$273</f>
        <v>5257613.60166977</v>
      </c>
      <c r="CM277" s="34" t="n">
        <f aca="false">CL$277+CM$272-CM$273</f>
        <v>5421173.42021606</v>
      </c>
      <c r="CN277" s="34" t="n">
        <f aca="false">CM$277+CN$272-CN$273</f>
        <v>5584733.23876234</v>
      </c>
      <c r="CO277" s="34" t="n">
        <f aca="false">CN$277+CO$272-CO$273</f>
        <v>5748293.05730863</v>
      </c>
      <c r="CP277" s="34" t="n">
        <f aca="false">CO$277+CP$272-CP$273</f>
        <v>5911852.87585492</v>
      </c>
      <c r="CQ277" s="34" t="n">
        <f aca="false">CP$277+CQ$272-CQ$273</f>
        <v>6075412.69440121</v>
      </c>
      <c r="CR277" s="34" t="n">
        <f aca="false">CQ$277+CR$272-CR$273</f>
        <v>6238972.51294749</v>
      </c>
      <c r="CS277" s="34" t="n">
        <f aca="false">CR$277+CS$272-CS$273</f>
        <v>6402532.33149378</v>
      </c>
      <c r="CT277" s="34" t="n">
        <f aca="false">CS$277+CT$272-CT$273</f>
        <v>6566092.15004007</v>
      </c>
      <c r="CU277" s="34" t="n">
        <f aca="false">CT$277+CU$272-CU$273</f>
        <v>6729651.96858636</v>
      </c>
      <c r="CV277" s="34" t="n">
        <f aca="false">CU$277+CV$272-CV$273</f>
        <v>6893211.78713264</v>
      </c>
      <c r="CW277" s="34" t="n">
        <f aca="false">CV$277+CW$272-CW$273</f>
        <v>7056771.60567893</v>
      </c>
      <c r="CX277" s="34" t="n">
        <f aca="false">CW$277+CX$272-CX$273</f>
        <v>7185673.4833785</v>
      </c>
      <c r="CY277" s="34" t="n">
        <f aca="false">CX$277+CY$272-CY$273</f>
        <v>7353405.21302741</v>
      </c>
      <c r="CZ277" s="34" t="n">
        <f aca="false">CY$277+CZ$272-CZ$273</f>
        <v>7521136.94267632</v>
      </c>
      <c r="DA277" s="34" t="n">
        <f aca="false">CZ$277+DA$272-DA$273</f>
        <v>7688868.67232523</v>
      </c>
      <c r="DB277" s="34" t="n">
        <f aca="false">DA$277+DB$272-DB$273</f>
        <v>7856600.40197413</v>
      </c>
      <c r="DC277" s="34" t="n">
        <f aca="false">DB$277+DC$272-DC$273</f>
        <v>8024332.13162304</v>
      </c>
      <c r="DD277" s="34" t="n">
        <f aca="false">DC$277+DD$272-DD$273</f>
        <v>8192063.86127195</v>
      </c>
      <c r="DE277" s="34" t="n">
        <f aca="false">DD$277+DE$272-DE$273</f>
        <v>8359795.59092086</v>
      </c>
      <c r="DF277" s="34" t="n">
        <f aca="false">DE$277+DF$272-DF$273</f>
        <v>8527527.32056977</v>
      </c>
      <c r="DG277" s="34" t="n">
        <f aca="false">DF$277+DG$272-DG$273</f>
        <v>8695259.05021867</v>
      </c>
      <c r="DH277" s="34" t="n">
        <f aca="false">DG$277+DH$272-DH$273</f>
        <v>8862990.77986758</v>
      </c>
      <c r="DI277" s="34" t="n">
        <f aca="false">DH$277+DI$272-DI$273</f>
        <v>9030722.50951649</v>
      </c>
      <c r="DJ277" s="34" t="n">
        <f aca="false">DI$277+DJ$272-DJ$273</f>
        <v>9163449.33467279</v>
      </c>
      <c r="DK277" s="34" t="n">
        <f aca="false">DJ$277+DK$272-DK$273</f>
        <v>9335380.97778788</v>
      </c>
      <c r="DL277" s="34" t="n">
        <f aca="false">DK$277+DL$272-DL$273</f>
        <v>9507312.62090297</v>
      </c>
      <c r="DM277" s="34" t="n">
        <f aca="false">DL$277+DM$272-DM$273</f>
        <v>9679244.26401805</v>
      </c>
      <c r="DN277" s="34" t="n">
        <f aca="false">DM$277+DN$272-DN$273</f>
        <v>9851175.90713314</v>
      </c>
      <c r="DO277" s="34" t="n">
        <f aca="false">DN$277+DO$272-DO$273</f>
        <v>10023107.5502482</v>
      </c>
      <c r="DP277" s="34" t="n">
        <f aca="false">DO$277+DP$272-DP$273</f>
        <v>10195039.1933633</v>
      </c>
      <c r="DQ277" s="34" t="n">
        <f aca="false">DP$277+DQ$272-DQ$273</f>
        <v>10366970.8364784</v>
      </c>
      <c r="DR277" s="34" t="n">
        <f aca="false">DQ$277+DR$272-DR$273</f>
        <v>10538902.4795935</v>
      </c>
      <c r="DS277" s="34" t="n">
        <f aca="false">DR$277+DS$272-DS$273</f>
        <v>10710834.1227086</v>
      </c>
      <c r="DT277" s="34" t="n">
        <f aca="false">DS$277+DT$272-DT$273</f>
        <v>10882765.7658237</v>
      </c>
      <c r="DU277" s="34" t="n">
        <f aca="false">DT$277+DU$272-DU$273</f>
        <v>11054697.4089387</v>
      </c>
      <c r="DV277" s="34" t="n">
        <f aca="false">DU$277+DV$272-DV$273</f>
        <v>11054697.4089387</v>
      </c>
      <c r="DW277" s="34" t="n">
        <f aca="false">DV$277+DW$272-DW$273</f>
        <v>11054697.4089387</v>
      </c>
      <c r="DX277" s="34" t="n">
        <f aca="false">DW$277+DX$272-DX$273</f>
        <v>11054697.4089387</v>
      </c>
      <c r="DY277" s="34" t="n">
        <f aca="false">DX$277+DY$272-DY$273</f>
        <v>11054697.4089387</v>
      </c>
      <c r="DZ277" s="34" t="n">
        <f aca="false">DY$277+DZ$272-DZ$273</f>
        <v>11054697.4089387</v>
      </c>
      <c r="EA277" s="34" t="n">
        <f aca="false">DZ$277+EA$272-EA$273</f>
        <v>11054697.4089387</v>
      </c>
      <c r="EB277" s="34" t="n">
        <f aca="false">EA$277+EB$272-EB$273</f>
        <v>11054697.4089387</v>
      </c>
      <c r="EC277" s="34" t="n">
        <f aca="false">EB$277+EC$272-EC$273</f>
        <v>11054697.4089387</v>
      </c>
      <c r="ED277" s="34" t="n">
        <f aca="false">EC$277+ED$272-ED$273</f>
        <v>11054697.4089387</v>
      </c>
      <c r="EE277" s="34" t="n">
        <f aca="false">ED$277+EE$272-EE$273</f>
        <v>11054697.4089387</v>
      </c>
      <c r="EF277" s="34" t="n">
        <f aca="false">EE$277+EF$272-EF$273</f>
        <v>11054697.4089387</v>
      </c>
      <c r="EG277" s="34" t="n">
        <f aca="false">EF$277+EG$272-EG$273</f>
        <v>11054697.4089387</v>
      </c>
      <c r="EH277" s="34" t="n">
        <f aca="false">EG$277+EH$272-EH$273</f>
        <v>11054697.4089387</v>
      </c>
      <c r="EI277" s="34" t="n">
        <f aca="false">EH$277+EI$272-EI$273</f>
        <v>11054697.4089387</v>
      </c>
      <c r="EJ277" s="34" t="n">
        <f aca="false">EI$277+EJ$272-EJ$273</f>
        <v>11054697.4089387</v>
      </c>
      <c r="EK277" s="34" t="n">
        <f aca="false">EJ$277+EK$272-EK$273</f>
        <v>11054697.4089387</v>
      </c>
      <c r="EL277" s="34" t="n">
        <f aca="false">EK$277+EL$272-EL$273</f>
        <v>11054697.4089387</v>
      </c>
      <c r="EM277" s="34" t="n">
        <f aca="false">EL$277+EM$272-EM$273</f>
        <v>11054697.4089387</v>
      </c>
      <c r="EN277" s="34" t="n">
        <f aca="false">EM$277+EN$272-EN$273</f>
        <v>11054697.4089387</v>
      </c>
      <c r="EO277" s="34" t="n">
        <f aca="false">EN$277+EO$272-EO$273</f>
        <v>11054697.4089387</v>
      </c>
      <c r="EP277" s="34" t="n">
        <f aca="false">EO$277+EP$272-EP$273</f>
        <v>11054697.4089387</v>
      </c>
      <c r="EQ277" s="34" t="n">
        <f aca="false">EP$277+EQ$272-EQ$273</f>
        <v>11054697.4089387</v>
      </c>
      <c r="ER277" s="34" t="n">
        <f aca="false">EQ$277+ER$272-ER$273</f>
        <v>11054697.4089387</v>
      </c>
      <c r="ES277" s="34" t="n">
        <f aca="false">ER$277+ES$272-ES$273</f>
        <v>11054697.4089387</v>
      </c>
    </row>
    <row r="278" customFormat="false" ht="15" hidden="false" customHeight="false" outlineLevel="0" collapsed="false">
      <c r="A278" s="4"/>
      <c r="B278" s="3" t="s">
        <v>728</v>
      </c>
      <c r="C278" s="4"/>
      <c r="D278" s="4"/>
      <c r="E278" s="4"/>
    </row>
    <row r="279" customFormat="false" ht="15" hidden="false" customHeight="false" outlineLevel="0" collapsed="false">
      <c r="A279" s="2" t="s">
        <v>916</v>
      </c>
      <c r="B279" s="6" t="s">
        <v>730</v>
      </c>
      <c r="C279" s="6" t="s">
        <v>250</v>
      </c>
      <c r="E279" s="40" t="n">
        <f aca="false">SUM(F279:ES279)</f>
        <v>2791587</v>
      </c>
      <c r="F279" s="34" t="n">
        <f aca="false">IF((1-N(V_L1_Mes)+1)=1,N(V_L1_Monto),0)*F$9</f>
        <v>2791587</v>
      </c>
      <c r="G279" s="34" t="n">
        <f aca="false">IF((2-N(V_L1_Mes)+1)=1,N(V_L1_Monto),0)*G$9</f>
        <v>0</v>
      </c>
      <c r="H279" s="34" t="n">
        <f aca="false">IF((3-N(V_L1_Mes)+1)=1,N(V_L1_Monto),0)*H$9</f>
        <v>0</v>
      </c>
      <c r="I279" s="34" t="n">
        <f aca="false">IF((4-N(V_L1_Mes)+1)=1,N(V_L1_Monto),0)*I$9</f>
        <v>0</v>
      </c>
      <c r="J279" s="34" t="n">
        <f aca="false">IF((5-N(V_L1_Mes)+1)=1,N(V_L1_Monto),0)*J$9</f>
        <v>0</v>
      </c>
      <c r="K279" s="34" t="n">
        <f aca="false">IF((6-N(V_L1_Mes)+1)=1,N(V_L1_Monto),0)*K$9</f>
        <v>0</v>
      </c>
      <c r="L279" s="34" t="n">
        <f aca="false">IF((7-N(V_L1_Mes)+1)=1,N(V_L1_Monto),0)*L$9</f>
        <v>0</v>
      </c>
      <c r="M279" s="34" t="n">
        <f aca="false">IF((8-N(V_L1_Mes)+1)=1,N(V_L1_Monto),0)*M$9</f>
        <v>0</v>
      </c>
      <c r="N279" s="34" t="n">
        <f aca="false">IF((9-N(V_L1_Mes)+1)=1,N(V_L1_Monto),0)*N$9</f>
        <v>0</v>
      </c>
      <c r="O279" s="34" t="n">
        <f aca="false">IF((10-N(V_L1_Mes)+1)=1,N(V_L1_Monto),0)*O$9</f>
        <v>0</v>
      </c>
      <c r="P279" s="34" t="n">
        <f aca="false">IF((11-N(V_L1_Mes)+1)=1,N(V_L1_Monto),0)*P$9</f>
        <v>0</v>
      </c>
      <c r="Q279" s="34" t="n">
        <f aca="false">IF((12-N(V_L1_Mes)+1)=1,N(V_L1_Monto),0)*Q$9</f>
        <v>0</v>
      </c>
      <c r="R279" s="34" t="n">
        <f aca="false">IF((13-N(V_L1_Mes)+1)=1,N(V_L1_Monto),0)*R$9</f>
        <v>0</v>
      </c>
      <c r="S279" s="34" t="n">
        <f aca="false">IF((14-N(V_L1_Mes)+1)=1,N(V_L1_Monto),0)*S$9</f>
        <v>0</v>
      </c>
      <c r="T279" s="34" t="n">
        <f aca="false">IF((15-N(V_L1_Mes)+1)=1,N(V_L1_Monto),0)*T$9</f>
        <v>0</v>
      </c>
      <c r="U279" s="34" t="n">
        <f aca="false">IF((16-N(V_L1_Mes)+1)=1,N(V_L1_Monto),0)*U$9</f>
        <v>0</v>
      </c>
      <c r="V279" s="34" t="n">
        <f aca="false">IF((17-N(V_L1_Mes)+1)=1,N(V_L1_Monto),0)*V$9</f>
        <v>0</v>
      </c>
      <c r="W279" s="34" t="n">
        <f aca="false">IF((18-N(V_L1_Mes)+1)=1,N(V_L1_Monto),0)*W$9</f>
        <v>0</v>
      </c>
      <c r="X279" s="34" t="n">
        <f aca="false">IF((19-N(V_L1_Mes)+1)=1,N(V_L1_Monto),0)*X$9</f>
        <v>0</v>
      </c>
      <c r="Y279" s="34" t="n">
        <f aca="false">IF((20-N(V_L1_Mes)+1)=1,N(V_L1_Monto),0)*Y$9</f>
        <v>0</v>
      </c>
      <c r="Z279" s="34" t="n">
        <f aca="false">IF((21-N(V_L1_Mes)+1)=1,N(V_L1_Monto),0)*Z$9</f>
        <v>0</v>
      </c>
      <c r="AA279" s="34" t="n">
        <f aca="false">IF((22-N(V_L1_Mes)+1)=1,N(V_L1_Monto),0)*AA$9</f>
        <v>0</v>
      </c>
      <c r="AB279" s="34" t="n">
        <f aca="false">IF((23-N(V_L1_Mes)+1)=1,N(V_L1_Monto),0)*AB$9</f>
        <v>0</v>
      </c>
      <c r="AC279" s="34" t="n">
        <f aca="false">IF((24-N(V_L1_Mes)+1)=1,N(V_L1_Monto),0)*AC$9</f>
        <v>0</v>
      </c>
      <c r="AD279" s="34" t="n">
        <f aca="false">IF((25-N(V_L1_Mes)+1)=1,N(V_L1_Monto),0)*AD$9</f>
        <v>0</v>
      </c>
      <c r="AE279" s="34" t="n">
        <f aca="false">IF((26-N(V_L1_Mes)+1)=1,N(V_L1_Monto),0)*AE$9</f>
        <v>0</v>
      </c>
      <c r="AF279" s="34" t="n">
        <f aca="false">IF((27-N(V_L1_Mes)+1)=1,N(V_L1_Monto),0)*AF$9</f>
        <v>0</v>
      </c>
      <c r="AG279" s="34" t="n">
        <f aca="false">IF((28-N(V_L1_Mes)+1)=1,N(V_L1_Monto),0)*AG$9</f>
        <v>0</v>
      </c>
      <c r="AH279" s="34" t="n">
        <f aca="false">IF((29-N(V_L1_Mes)+1)=1,N(V_L1_Monto),0)*AH$9</f>
        <v>0</v>
      </c>
      <c r="AI279" s="34" t="n">
        <f aca="false">IF((30-N(V_L1_Mes)+1)=1,N(V_L1_Monto),0)*AI$9</f>
        <v>0</v>
      </c>
      <c r="AJ279" s="34" t="n">
        <f aca="false">IF((31-N(V_L1_Mes)+1)=1,N(V_L1_Monto),0)*AJ$9</f>
        <v>0</v>
      </c>
      <c r="AK279" s="34" t="n">
        <f aca="false">IF((32-N(V_L1_Mes)+1)=1,N(V_L1_Monto),0)*AK$9</f>
        <v>0</v>
      </c>
      <c r="AL279" s="34" t="n">
        <f aca="false">IF((33-N(V_L1_Mes)+1)=1,N(V_L1_Monto),0)*AL$9</f>
        <v>0</v>
      </c>
      <c r="AM279" s="34" t="n">
        <f aca="false">IF((34-N(V_L1_Mes)+1)=1,N(V_L1_Monto),0)*AM$9</f>
        <v>0</v>
      </c>
      <c r="AN279" s="34" t="n">
        <f aca="false">IF((35-N(V_L1_Mes)+1)=1,N(V_L1_Monto),0)*AN$9</f>
        <v>0</v>
      </c>
      <c r="AO279" s="34" t="n">
        <f aca="false">IF((36-N(V_L1_Mes)+1)=1,N(V_L1_Monto),0)*AO$9</f>
        <v>0</v>
      </c>
      <c r="AP279" s="34" t="n">
        <f aca="false">IF((37-N(V_L1_Mes)+1)=1,N(V_L1_Monto),0)*AP$9</f>
        <v>0</v>
      </c>
      <c r="AQ279" s="34" t="n">
        <f aca="false">IF((38-N(V_L1_Mes)+1)=1,N(V_L1_Monto),0)*AQ$9</f>
        <v>0</v>
      </c>
      <c r="AR279" s="34" t="n">
        <f aca="false">IF((39-N(V_L1_Mes)+1)=1,N(V_L1_Monto),0)*AR$9</f>
        <v>0</v>
      </c>
      <c r="AS279" s="34" t="n">
        <f aca="false">IF((40-N(V_L1_Mes)+1)=1,N(V_L1_Monto),0)*AS$9</f>
        <v>0</v>
      </c>
      <c r="AT279" s="34" t="n">
        <f aca="false">IF((41-N(V_L1_Mes)+1)=1,N(V_L1_Monto),0)*AT$9</f>
        <v>0</v>
      </c>
      <c r="AU279" s="34" t="n">
        <f aca="false">IF((42-N(V_L1_Mes)+1)=1,N(V_L1_Monto),0)*AU$9</f>
        <v>0</v>
      </c>
      <c r="AV279" s="34" t="n">
        <f aca="false">IF((43-N(V_L1_Mes)+1)=1,N(V_L1_Monto),0)*AV$9</f>
        <v>0</v>
      </c>
      <c r="AW279" s="34" t="n">
        <f aca="false">IF((44-N(V_L1_Mes)+1)=1,N(V_L1_Monto),0)*AW$9</f>
        <v>0</v>
      </c>
      <c r="AX279" s="34" t="n">
        <f aca="false">IF((45-N(V_L1_Mes)+1)=1,N(V_L1_Monto),0)*AX$9</f>
        <v>0</v>
      </c>
      <c r="AY279" s="34" t="n">
        <f aca="false">IF((46-N(V_L1_Mes)+1)=1,N(V_L1_Monto),0)*AY$9</f>
        <v>0</v>
      </c>
      <c r="AZ279" s="34" t="n">
        <f aca="false">IF((47-N(V_L1_Mes)+1)=1,N(V_L1_Monto),0)*AZ$9</f>
        <v>0</v>
      </c>
      <c r="BA279" s="34" t="n">
        <f aca="false">IF((48-N(V_L1_Mes)+1)=1,N(V_L1_Monto),0)*BA$9</f>
        <v>0</v>
      </c>
      <c r="BB279" s="34" t="n">
        <f aca="false">IF((49-N(V_L1_Mes)+1)=1,N(V_L1_Monto),0)*BB$9</f>
        <v>0</v>
      </c>
      <c r="BC279" s="34" t="n">
        <f aca="false">IF((50-N(V_L1_Mes)+1)=1,N(V_L1_Monto),0)*BC$9</f>
        <v>0</v>
      </c>
      <c r="BD279" s="34" t="n">
        <f aca="false">IF((51-N(V_L1_Mes)+1)=1,N(V_L1_Monto),0)*BD$9</f>
        <v>0</v>
      </c>
      <c r="BE279" s="34" t="n">
        <f aca="false">IF((52-N(V_L1_Mes)+1)=1,N(V_L1_Monto),0)*BE$9</f>
        <v>0</v>
      </c>
      <c r="BF279" s="34" t="n">
        <f aca="false">IF((53-N(V_L1_Mes)+1)=1,N(V_L1_Monto),0)*BF$9</f>
        <v>0</v>
      </c>
      <c r="BG279" s="34" t="n">
        <f aca="false">IF((54-N(V_L1_Mes)+1)=1,N(V_L1_Monto),0)*BG$9</f>
        <v>0</v>
      </c>
      <c r="BH279" s="34" t="n">
        <f aca="false">IF((55-N(V_L1_Mes)+1)=1,N(V_L1_Monto),0)*BH$9</f>
        <v>0</v>
      </c>
      <c r="BI279" s="34" t="n">
        <f aca="false">IF((56-N(V_L1_Mes)+1)=1,N(V_L1_Monto),0)*BI$9</f>
        <v>0</v>
      </c>
      <c r="BJ279" s="34" t="n">
        <f aca="false">IF((57-N(V_L1_Mes)+1)=1,N(V_L1_Monto),0)*BJ$9</f>
        <v>0</v>
      </c>
      <c r="BK279" s="34" t="n">
        <f aca="false">IF((58-N(V_L1_Mes)+1)=1,N(V_L1_Monto),0)*BK$9</f>
        <v>0</v>
      </c>
      <c r="BL279" s="34" t="n">
        <f aca="false">IF((59-N(V_L1_Mes)+1)=1,N(V_L1_Monto),0)*BL$9</f>
        <v>0</v>
      </c>
      <c r="BM279" s="34" t="n">
        <f aca="false">IF((60-N(V_L1_Mes)+1)=1,N(V_L1_Monto),0)*BM$9</f>
        <v>0</v>
      </c>
      <c r="BN279" s="34" t="n">
        <f aca="false">IF((61-N(V_L1_Mes)+1)=1,N(V_L1_Monto),0)*BN$9</f>
        <v>0</v>
      </c>
      <c r="BO279" s="34" t="n">
        <f aca="false">IF((62-N(V_L1_Mes)+1)=1,N(V_L1_Monto),0)*BO$9</f>
        <v>0</v>
      </c>
      <c r="BP279" s="34" t="n">
        <f aca="false">IF((63-N(V_L1_Mes)+1)=1,N(V_L1_Monto),0)*BP$9</f>
        <v>0</v>
      </c>
      <c r="BQ279" s="34" t="n">
        <f aca="false">IF((64-N(V_L1_Mes)+1)=1,N(V_L1_Monto),0)*BQ$9</f>
        <v>0</v>
      </c>
      <c r="BR279" s="34" t="n">
        <f aca="false">IF((65-N(V_L1_Mes)+1)=1,N(V_L1_Monto),0)*BR$9</f>
        <v>0</v>
      </c>
      <c r="BS279" s="34" t="n">
        <f aca="false">IF((66-N(V_L1_Mes)+1)=1,N(V_L1_Monto),0)*BS$9</f>
        <v>0</v>
      </c>
      <c r="BT279" s="34" t="n">
        <f aca="false">IF((67-N(V_L1_Mes)+1)=1,N(V_L1_Monto),0)*BT$9</f>
        <v>0</v>
      </c>
      <c r="BU279" s="34" t="n">
        <f aca="false">IF((68-N(V_L1_Mes)+1)=1,N(V_L1_Monto),0)*BU$9</f>
        <v>0</v>
      </c>
      <c r="BV279" s="34" t="n">
        <f aca="false">IF((69-N(V_L1_Mes)+1)=1,N(V_L1_Monto),0)*BV$9</f>
        <v>0</v>
      </c>
      <c r="BW279" s="34" t="n">
        <f aca="false">IF((70-N(V_L1_Mes)+1)=1,N(V_L1_Monto),0)*BW$9</f>
        <v>0</v>
      </c>
      <c r="BX279" s="34" t="n">
        <f aca="false">IF((71-N(V_L1_Mes)+1)=1,N(V_L1_Monto),0)*BX$9</f>
        <v>0</v>
      </c>
      <c r="BY279" s="34" t="n">
        <f aca="false">IF((72-N(V_L1_Mes)+1)=1,N(V_L1_Monto),0)*BY$9</f>
        <v>0</v>
      </c>
      <c r="BZ279" s="34" t="n">
        <f aca="false">IF((73-N(V_L1_Mes)+1)=1,N(V_L1_Monto),0)*BZ$9</f>
        <v>0</v>
      </c>
      <c r="CA279" s="34" t="n">
        <f aca="false">IF((74-N(V_L1_Mes)+1)=1,N(V_L1_Monto),0)*CA$9</f>
        <v>0</v>
      </c>
      <c r="CB279" s="34" t="n">
        <f aca="false">IF((75-N(V_L1_Mes)+1)=1,N(V_L1_Monto),0)*CB$9</f>
        <v>0</v>
      </c>
      <c r="CC279" s="34" t="n">
        <f aca="false">IF((76-N(V_L1_Mes)+1)=1,N(V_L1_Monto),0)*CC$9</f>
        <v>0</v>
      </c>
      <c r="CD279" s="34" t="n">
        <f aca="false">IF((77-N(V_L1_Mes)+1)=1,N(V_L1_Monto),0)*CD$9</f>
        <v>0</v>
      </c>
      <c r="CE279" s="34" t="n">
        <f aca="false">IF((78-N(V_L1_Mes)+1)=1,N(V_L1_Monto),0)*CE$9</f>
        <v>0</v>
      </c>
      <c r="CF279" s="34" t="n">
        <f aca="false">IF((79-N(V_L1_Mes)+1)=1,N(V_L1_Monto),0)*CF$9</f>
        <v>0</v>
      </c>
      <c r="CG279" s="34" t="n">
        <f aca="false">IF((80-N(V_L1_Mes)+1)=1,N(V_L1_Monto),0)*CG$9</f>
        <v>0</v>
      </c>
      <c r="CH279" s="34" t="n">
        <f aca="false">IF((81-N(V_L1_Mes)+1)=1,N(V_L1_Monto),0)*CH$9</f>
        <v>0</v>
      </c>
      <c r="CI279" s="34" t="n">
        <f aca="false">IF((82-N(V_L1_Mes)+1)=1,N(V_L1_Monto),0)*CI$9</f>
        <v>0</v>
      </c>
      <c r="CJ279" s="34" t="n">
        <f aca="false">IF((83-N(V_L1_Mes)+1)=1,N(V_L1_Monto),0)*CJ$9</f>
        <v>0</v>
      </c>
      <c r="CK279" s="34" t="n">
        <f aca="false">IF((84-N(V_L1_Mes)+1)=1,N(V_L1_Monto),0)*CK$9</f>
        <v>0</v>
      </c>
      <c r="CL279" s="34" t="n">
        <f aca="false">IF((85-N(V_L1_Mes)+1)=1,N(V_L1_Monto),0)*CL$9</f>
        <v>0</v>
      </c>
      <c r="CM279" s="34" t="n">
        <f aca="false">IF((86-N(V_L1_Mes)+1)=1,N(V_L1_Monto),0)*CM$9</f>
        <v>0</v>
      </c>
      <c r="CN279" s="34" t="n">
        <f aca="false">IF((87-N(V_L1_Mes)+1)=1,N(V_L1_Monto),0)*CN$9</f>
        <v>0</v>
      </c>
      <c r="CO279" s="34" t="n">
        <f aca="false">IF((88-N(V_L1_Mes)+1)=1,N(V_L1_Monto),0)*CO$9</f>
        <v>0</v>
      </c>
      <c r="CP279" s="34" t="n">
        <f aca="false">IF((89-N(V_L1_Mes)+1)=1,N(V_L1_Monto),0)*CP$9</f>
        <v>0</v>
      </c>
      <c r="CQ279" s="34" t="n">
        <f aca="false">IF((90-N(V_L1_Mes)+1)=1,N(V_L1_Monto),0)*CQ$9</f>
        <v>0</v>
      </c>
      <c r="CR279" s="34" t="n">
        <f aca="false">IF((91-N(V_L1_Mes)+1)=1,N(V_L1_Monto),0)*CR$9</f>
        <v>0</v>
      </c>
      <c r="CS279" s="34" t="n">
        <f aca="false">IF((92-N(V_L1_Mes)+1)=1,N(V_L1_Monto),0)*CS$9</f>
        <v>0</v>
      </c>
      <c r="CT279" s="34" t="n">
        <f aca="false">IF((93-N(V_L1_Mes)+1)=1,N(V_L1_Monto),0)*CT$9</f>
        <v>0</v>
      </c>
      <c r="CU279" s="34" t="n">
        <f aca="false">IF((94-N(V_L1_Mes)+1)=1,N(V_L1_Monto),0)*CU$9</f>
        <v>0</v>
      </c>
      <c r="CV279" s="34" t="n">
        <f aca="false">IF((95-N(V_L1_Mes)+1)=1,N(V_L1_Monto),0)*CV$9</f>
        <v>0</v>
      </c>
      <c r="CW279" s="34" t="n">
        <f aca="false">IF((96-N(V_L1_Mes)+1)=1,N(V_L1_Monto),0)*CW$9</f>
        <v>0</v>
      </c>
      <c r="CX279" s="34" t="n">
        <f aca="false">IF((97-N(V_L1_Mes)+1)=1,N(V_L1_Monto),0)*CX$9</f>
        <v>0</v>
      </c>
      <c r="CY279" s="34" t="n">
        <f aca="false">IF((98-N(V_L1_Mes)+1)=1,N(V_L1_Monto),0)*CY$9</f>
        <v>0</v>
      </c>
      <c r="CZ279" s="34" t="n">
        <f aca="false">IF((99-N(V_L1_Mes)+1)=1,N(V_L1_Monto),0)*CZ$9</f>
        <v>0</v>
      </c>
      <c r="DA279" s="34" t="n">
        <f aca="false">IF((100-N(V_L1_Mes)+1)=1,N(V_L1_Monto),0)*DA$9</f>
        <v>0</v>
      </c>
      <c r="DB279" s="34" t="n">
        <f aca="false">IF((101-N(V_L1_Mes)+1)=1,N(V_L1_Monto),0)*DB$9</f>
        <v>0</v>
      </c>
      <c r="DC279" s="34" t="n">
        <f aca="false">IF((102-N(V_L1_Mes)+1)=1,N(V_L1_Monto),0)*DC$9</f>
        <v>0</v>
      </c>
      <c r="DD279" s="34" t="n">
        <f aca="false">IF((103-N(V_L1_Mes)+1)=1,N(V_L1_Monto),0)*DD$9</f>
        <v>0</v>
      </c>
      <c r="DE279" s="34" t="n">
        <f aca="false">IF((104-N(V_L1_Mes)+1)=1,N(V_L1_Monto),0)*DE$9</f>
        <v>0</v>
      </c>
      <c r="DF279" s="34" t="n">
        <f aca="false">IF((105-N(V_L1_Mes)+1)=1,N(V_L1_Monto),0)*DF$9</f>
        <v>0</v>
      </c>
      <c r="DG279" s="34" t="n">
        <f aca="false">IF((106-N(V_L1_Mes)+1)=1,N(V_L1_Monto),0)*DG$9</f>
        <v>0</v>
      </c>
      <c r="DH279" s="34" t="n">
        <f aca="false">IF((107-N(V_L1_Mes)+1)=1,N(V_L1_Monto),0)*DH$9</f>
        <v>0</v>
      </c>
      <c r="DI279" s="34" t="n">
        <f aca="false">IF((108-N(V_L1_Mes)+1)=1,N(V_L1_Monto),0)*DI$9</f>
        <v>0</v>
      </c>
      <c r="DJ279" s="34" t="n">
        <f aca="false">IF((109-N(V_L1_Mes)+1)=1,N(V_L1_Monto),0)*DJ$9</f>
        <v>0</v>
      </c>
      <c r="DK279" s="34" t="n">
        <f aca="false">IF((110-N(V_L1_Mes)+1)=1,N(V_L1_Monto),0)*DK$9</f>
        <v>0</v>
      </c>
      <c r="DL279" s="34" t="n">
        <f aca="false">IF((111-N(V_L1_Mes)+1)=1,N(V_L1_Monto),0)*DL$9</f>
        <v>0</v>
      </c>
      <c r="DM279" s="34" t="n">
        <f aca="false">IF((112-N(V_L1_Mes)+1)=1,N(V_L1_Monto),0)*DM$9</f>
        <v>0</v>
      </c>
      <c r="DN279" s="34" t="n">
        <f aca="false">IF((113-N(V_L1_Mes)+1)=1,N(V_L1_Monto),0)*DN$9</f>
        <v>0</v>
      </c>
      <c r="DO279" s="34" t="n">
        <f aca="false">IF((114-N(V_L1_Mes)+1)=1,N(V_L1_Monto),0)*DO$9</f>
        <v>0</v>
      </c>
      <c r="DP279" s="34" t="n">
        <f aca="false">IF((115-N(V_L1_Mes)+1)=1,N(V_L1_Monto),0)*DP$9</f>
        <v>0</v>
      </c>
      <c r="DQ279" s="34" t="n">
        <f aca="false">IF((116-N(V_L1_Mes)+1)=1,N(V_L1_Monto),0)*DQ$9</f>
        <v>0</v>
      </c>
      <c r="DR279" s="34" t="n">
        <f aca="false">IF((117-N(V_L1_Mes)+1)=1,N(V_L1_Monto),0)*DR$9</f>
        <v>0</v>
      </c>
      <c r="DS279" s="34" t="n">
        <f aca="false">IF((118-N(V_L1_Mes)+1)=1,N(V_L1_Monto),0)*DS$9</f>
        <v>0</v>
      </c>
      <c r="DT279" s="34" t="n">
        <f aca="false">IF((119-N(V_L1_Mes)+1)=1,N(V_L1_Monto),0)*DT$9</f>
        <v>0</v>
      </c>
      <c r="DU279" s="34" t="n">
        <f aca="false">IF((120-N(V_L1_Mes)+1)=1,N(V_L1_Monto),0)*DU$9</f>
        <v>0</v>
      </c>
      <c r="DV279" s="34" t="n">
        <f aca="false">IF((121-N(V_L1_Mes)+1)=1,N(V_L1_Monto),0)*DV$9</f>
        <v>0</v>
      </c>
      <c r="DW279" s="34" t="n">
        <f aca="false">IF((122-N(V_L1_Mes)+1)=1,N(V_L1_Monto),0)*DW$9</f>
        <v>0</v>
      </c>
      <c r="DX279" s="34" t="n">
        <f aca="false">IF((123-N(V_L1_Mes)+1)=1,N(V_L1_Monto),0)*DX$9</f>
        <v>0</v>
      </c>
      <c r="DY279" s="34" t="n">
        <f aca="false">IF((124-N(V_L1_Mes)+1)=1,N(V_L1_Monto),0)*DY$9</f>
        <v>0</v>
      </c>
      <c r="DZ279" s="34" t="n">
        <f aca="false">IF((125-N(V_L1_Mes)+1)=1,N(V_L1_Monto),0)*DZ$9</f>
        <v>0</v>
      </c>
      <c r="EA279" s="34" t="n">
        <f aca="false">IF((126-N(V_L1_Mes)+1)=1,N(V_L1_Monto),0)*EA$9</f>
        <v>0</v>
      </c>
      <c r="EB279" s="34" t="n">
        <f aca="false">IF((127-N(V_L1_Mes)+1)=1,N(V_L1_Monto),0)*EB$9</f>
        <v>0</v>
      </c>
      <c r="EC279" s="34" t="n">
        <f aca="false">IF((128-N(V_L1_Mes)+1)=1,N(V_L1_Monto),0)*EC$9</f>
        <v>0</v>
      </c>
      <c r="ED279" s="34" t="n">
        <f aca="false">IF((129-N(V_L1_Mes)+1)=1,N(V_L1_Monto),0)*ED$9</f>
        <v>0</v>
      </c>
      <c r="EE279" s="34" t="n">
        <f aca="false">IF((130-N(V_L1_Mes)+1)=1,N(V_L1_Monto),0)*EE$9</f>
        <v>0</v>
      </c>
      <c r="EF279" s="34" t="n">
        <f aca="false">IF((131-N(V_L1_Mes)+1)=1,N(V_L1_Monto),0)*EF$9</f>
        <v>0</v>
      </c>
      <c r="EG279" s="34" t="n">
        <f aca="false">IF((132-N(V_L1_Mes)+1)=1,N(V_L1_Monto),0)*EG$9</f>
        <v>0</v>
      </c>
      <c r="EH279" s="34" t="n">
        <f aca="false">IF((133-N(V_L1_Mes)+1)=1,N(V_L1_Monto),0)*EH$9</f>
        <v>0</v>
      </c>
      <c r="EI279" s="34" t="n">
        <f aca="false">IF((134-N(V_L1_Mes)+1)=1,N(V_L1_Monto),0)*EI$9</f>
        <v>0</v>
      </c>
      <c r="EJ279" s="34" t="n">
        <f aca="false">IF((135-N(V_L1_Mes)+1)=1,N(V_L1_Monto),0)*EJ$9</f>
        <v>0</v>
      </c>
      <c r="EK279" s="34" t="n">
        <f aca="false">IF((136-N(V_L1_Mes)+1)=1,N(V_L1_Monto),0)*EK$9</f>
        <v>0</v>
      </c>
      <c r="EL279" s="34" t="n">
        <f aca="false">IF((137-N(V_L1_Mes)+1)=1,N(V_L1_Monto),0)*EL$9</f>
        <v>0</v>
      </c>
      <c r="EM279" s="34" t="n">
        <f aca="false">IF((138-N(V_L1_Mes)+1)=1,N(V_L1_Monto),0)*EM$9</f>
        <v>0</v>
      </c>
      <c r="EN279" s="34" t="n">
        <f aca="false">IF((139-N(V_L1_Mes)+1)=1,N(V_L1_Monto),0)*EN$9</f>
        <v>0</v>
      </c>
      <c r="EO279" s="34" t="n">
        <f aca="false">IF((140-N(V_L1_Mes)+1)=1,N(V_L1_Monto),0)*EO$9</f>
        <v>0</v>
      </c>
      <c r="EP279" s="34" t="n">
        <f aca="false">IF((141-N(V_L1_Mes)+1)=1,N(V_L1_Monto),0)*EP$9</f>
        <v>0</v>
      </c>
      <c r="EQ279" s="34" t="n">
        <f aca="false">IF((142-N(V_L1_Mes)+1)=1,N(V_L1_Monto),0)*EQ$9</f>
        <v>0</v>
      </c>
      <c r="ER279" s="34" t="n">
        <f aca="false">IF((143-N(V_L1_Mes)+1)=1,N(V_L1_Monto),0)*ER$9</f>
        <v>0</v>
      </c>
      <c r="ES279" s="34" t="n">
        <f aca="false">IF((144-N(V_L1_Mes)+1)=1,N(V_L1_Monto),0)*ES$9</f>
        <v>0</v>
      </c>
    </row>
    <row r="280" customFormat="false" ht="15" hidden="false" customHeight="false" outlineLevel="0" collapsed="false">
      <c r="A280" s="2" t="s">
        <v>917</v>
      </c>
      <c r="B280" s="6" t="s">
        <v>732</v>
      </c>
      <c r="C280" s="6" t="s">
        <v>250</v>
      </c>
      <c r="E280" s="40" t="n">
        <f aca="false">SUM(F280:ES280)</f>
        <v>739285.57111314</v>
      </c>
      <c r="F280" s="34" t="n">
        <f aca="false">IF((1-N(V_L1_Mes)+1)&gt;=1,IF((1-N(V_L1_Mes)+1)=1,N(V_L1_Monto),0)*N(V_L1_Tasa)/12,0)*F$9</f>
        <v>20936.9025</v>
      </c>
      <c r="G280" s="34" t="n">
        <f aca="false">IF((2-N(V_L1_Mes)+1)&gt;=1,IF((2-N(V_L1_Mes)+1)=1,N(V_L1_Monto),F$282)*N(V_L1_Tasa)/12,0)*G$9</f>
        <v>20936.9025</v>
      </c>
      <c r="H280" s="34" t="n">
        <f aca="false">IF((3-N(V_L1_Mes)+1)&gt;=1,IF((3-N(V_L1_Mes)+1)=1,N(V_L1_Monto),G$282)*N(V_L1_Tasa)/12,0)*H$9</f>
        <v>20936.9025</v>
      </c>
      <c r="I280" s="34" t="n">
        <f aca="false">IF((4-N(V_L1_Mes)+1)&gt;=1,IF((4-N(V_L1_Mes)+1)=1,N(V_L1_Monto),H$282)*N(V_L1_Tasa)/12,0)*I$9</f>
        <v>20936.9025</v>
      </c>
      <c r="J280" s="34" t="n">
        <f aca="false">IF((5-N(V_L1_Mes)+1)&gt;=1,IF((5-N(V_L1_Mes)+1)=1,N(V_L1_Monto),I$282)*N(V_L1_Tasa)/12,0)*J$9</f>
        <v>20936.9025</v>
      </c>
      <c r="K280" s="34" t="n">
        <f aca="false">IF((6-N(V_L1_Mes)+1)&gt;=1,IF((6-N(V_L1_Mes)+1)=1,N(V_L1_Monto),J$282)*N(V_L1_Tasa)/12,0)*K$9</f>
        <v>20936.9025</v>
      </c>
      <c r="L280" s="34" t="n">
        <f aca="false">IF((7-N(V_L1_Mes)+1)&gt;=1,IF((7-N(V_L1_Mes)+1)=1,N(V_L1_Monto),K$282)*N(V_L1_Tasa)/12,0)*L$9</f>
        <v>20936.9025</v>
      </c>
      <c r="M280" s="34" t="n">
        <f aca="false">IF((8-N(V_L1_Mes)+1)&gt;=1,IF((8-N(V_L1_Mes)+1)=1,N(V_L1_Monto),L$282)*N(V_L1_Tasa)/12,0)*M$9</f>
        <v>20620.9777192898</v>
      </c>
      <c r="N280" s="34" t="n">
        <f aca="false">IF((9-N(V_L1_Mes)+1)&gt;=1,IF((9-N(V_L1_Mes)+1)=1,N(V_L1_Monto),M$282)*N(V_L1_Tasa)/12,0)*N$9</f>
        <v>20302.6835027244</v>
      </c>
      <c r="O280" s="34" t="n">
        <f aca="false">IF((10-N(V_L1_Mes)+1)&gt;=1,IF((10-N(V_L1_Mes)+1)=1,N(V_L1_Monto),N$282)*N(V_L1_Tasa)/12,0)*O$9</f>
        <v>19982.0020795346</v>
      </c>
      <c r="P280" s="34" t="n">
        <f aca="false">IF((11-N(V_L1_Mes)+1)&gt;=1,IF((11-N(V_L1_Mes)+1)=1,N(V_L1_Monto),O$282)*N(V_L1_Tasa)/12,0)*P$9</f>
        <v>19658.915545671</v>
      </c>
      <c r="Q280" s="34" t="n">
        <f aca="false">IF((12-N(V_L1_Mes)+1)&gt;=1,IF((12-N(V_L1_Mes)+1)=1,N(V_L1_Monto),P$282)*N(V_L1_Tasa)/12,0)*Q$9</f>
        <v>19333.4058628034</v>
      </c>
      <c r="R280" s="34" t="n">
        <f aca="false">IF((13-N(V_L1_Mes)+1)&gt;=1,IF((13-N(V_L1_Mes)+1)=1,N(V_L1_Monto),Q$282)*N(V_L1_Tasa)/12,0)*R$9</f>
        <v>19005.4548573142</v>
      </c>
      <c r="S280" s="34" t="n">
        <f aca="false">IF((14-N(V_L1_Mes)+1)&gt;=1,IF((14-N(V_L1_Mes)+1)=1,N(V_L1_Monto),R$282)*N(V_L1_Tasa)/12,0)*S$9</f>
        <v>18675.0442192839</v>
      </c>
      <c r="T280" s="34" t="n">
        <f aca="false">IF((15-N(V_L1_Mes)+1)&gt;=1,IF((15-N(V_L1_Mes)+1)=1,N(V_L1_Monto),S$282)*N(V_L1_Tasa)/12,0)*T$9</f>
        <v>18342.1555014684</v>
      </c>
      <c r="U280" s="34" t="n">
        <f aca="false">IF((16-N(V_L1_Mes)+1)&gt;=1,IF((16-N(V_L1_Mes)+1)=1,N(V_L1_Monto),T$282)*N(V_L1_Tasa)/12,0)*U$9</f>
        <v>18006.7701182693</v>
      </c>
      <c r="V280" s="34" t="n">
        <f aca="false">IF((17-N(V_L1_Mes)+1)&gt;=1,IF((17-N(V_L1_Mes)+1)=1,N(V_L1_Monto),U$282)*N(V_L1_Tasa)/12,0)*V$9</f>
        <v>17668.8693446961</v>
      </c>
      <c r="W280" s="34" t="n">
        <f aca="false">IF((18-N(V_L1_Mes)+1)&gt;=1,IF((18-N(V_L1_Mes)+1)=1,N(V_L1_Monto),V$282)*N(V_L1_Tasa)/12,0)*W$9</f>
        <v>17328.4343153212</v>
      </c>
      <c r="X280" s="34" t="n">
        <f aca="false">IF((19-N(V_L1_Mes)+1)&gt;=1,IF((19-N(V_L1_Mes)+1)=1,N(V_L1_Monto),W$282)*N(V_L1_Tasa)/12,0)*X$9</f>
        <v>16985.4460232259</v>
      </c>
      <c r="Y280" s="34" t="n">
        <f aca="false">IF((20-N(V_L1_Mes)+1)&gt;=1,IF((20-N(V_L1_Mes)+1)=1,N(V_L1_Monto),X$282)*N(V_L1_Tasa)/12,0)*Y$9</f>
        <v>16639.88531894</v>
      </c>
      <c r="Z280" s="34" t="n">
        <f aca="false">IF((21-N(V_L1_Mes)+1)&gt;=1,IF((21-N(V_L1_Mes)+1)=1,N(V_L1_Monto),Y$282)*N(V_L1_Tasa)/12,0)*Z$9</f>
        <v>16291.7329093719</v>
      </c>
      <c r="AA280" s="34" t="n">
        <f aca="false">IF((22-N(V_L1_Mes)+1)&gt;=1,IF((22-N(V_L1_Mes)+1)=1,N(V_L1_Monto),Z$282)*N(V_L1_Tasa)/12,0)*AA$9</f>
        <v>15940.969356732</v>
      </c>
      <c r="AB280" s="34" t="n">
        <f aca="false">IF((23-N(V_L1_Mes)+1)&gt;=1,IF((23-N(V_L1_Mes)+1)=1,N(V_L1_Monto),AA$282)*N(V_L1_Tasa)/12,0)*AB$9</f>
        <v>15587.5750774473</v>
      </c>
      <c r="AC280" s="34" t="n">
        <f aca="false">IF((24-N(V_L1_Mes)+1)&gt;=1,IF((24-N(V_L1_Mes)+1)=1,N(V_L1_Monto),AB$282)*N(V_L1_Tasa)/12,0)*AC$9</f>
        <v>15231.530341068</v>
      </c>
      <c r="AD280" s="34" t="n">
        <f aca="false">IF((25-N(V_L1_Mes)+1)&gt;=1,IF((25-N(V_L1_Mes)+1)=1,N(V_L1_Monto),AC$282)*N(V_L1_Tasa)/12,0)*AD$9</f>
        <v>14872.8152691659</v>
      </c>
      <c r="AE280" s="34" t="n">
        <f aca="false">IF((26-N(V_L1_Mes)+1)&gt;=1,IF((26-N(V_L1_Mes)+1)=1,N(V_L1_Monto),AD$282)*N(V_L1_Tasa)/12,0)*AE$9</f>
        <v>14511.4098342245</v>
      </c>
      <c r="AF280" s="34" t="n">
        <f aca="false">IF((27-N(V_L1_Mes)+1)&gt;=1,IF((27-N(V_L1_Mes)+1)=1,N(V_L1_Monto),AE$282)*N(V_L1_Tasa)/12,0)*AF$9</f>
        <v>14147.293858521</v>
      </c>
      <c r="AG280" s="34" t="n">
        <f aca="false">IF((28-N(V_L1_Mes)+1)&gt;=1,IF((28-N(V_L1_Mes)+1)=1,N(V_L1_Monto),AF$282)*N(V_L1_Tasa)/12,0)*AG$9</f>
        <v>13780.4470129997</v>
      </c>
      <c r="AH280" s="34" t="n">
        <f aca="false">IF((29-N(V_L1_Mes)+1)&gt;=1,IF((29-N(V_L1_Mes)+1)=1,N(V_L1_Monto),AG$282)*N(V_L1_Tasa)/12,0)*AH$9</f>
        <v>13410.8488161371</v>
      </c>
      <c r="AI280" s="34" t="n">
        <f aca="false">IF((30-N(V_L1_Mes)+1)&gt;=1,IF((30-N(V_L1_Mes)+1)=1,N(V_L1_Monto),AH$282)*N(V_L1_Tasa)/12,0)*AI$9</f>
        <v>13038.4786327979</v>
      </c>
      <c r="AJ280" s="34" t="n">
        <f aca="false">IF((31-N(V_L1_Mes)+1)&gt;=1,IF((31-N(V_L1_Mes)+1)=1,N(V_L1_Monto),AI$282)*N(V_L1_Tasa)/12,0)*AJ$9</f>
        <v>12663.3156730838</v>
      </c>
      <c r="AK280" s="34" t="n">
        <f aca="false">IF((32-N(V_L1_Mes)+1)&gt;=1,IF((32-N(V_L1_Mes)+1)=1,N(V_L1_Monto),AJ$282)*N(V_L1_Tasa)/12,0)*AK$9</f>
        <v>12285.3389911717</v>
      </c>
      <c r="AL280" s="34" t="n">
        <f aca="false">IF((33-N(V_L1_Mes)+1)&gt;=1,IF((33-N(V_L1_Mes)+1)=1,N(V_L1_Monto),AK$282)*N(V_L1_Tasa)/12,0)*AL$9</f>
        <v>11904.5274841454</v>
      </c>
      <c r="AM280" s="34" t="n">
        <f aca="false">IF((34-N(V_L1_Mes)+1)&gt;=1,IF((34-N(V_L1_Mes)+1)=1,N(V_L1_Monto),AL$282)*N(V_L1_Tasa)/12,0)*AM$9</f>
        <v>11520.8598908163</v>
      </c>
      <c r="AN280" s="34" t="n">
        <f aca="false">IF((35-N(V_L1_Mes)+1)&gt;=1,IF((35-N(V_L1_Mes)+1)=1,N(V_L1_Monto),AM$282)*N(V_L1_Tasa)/12,0)*AN$9</f>
        <v>11134.3147905373</v>
      </c>
      <c r="AO280" s="34" t="n">
        <f aca="false">IF((36-N(V_L1_Mes)+1)&gt;=1,IF((36-N(V_L1_Mes)+1)=1,N(V_L1_Monto),AN$282)*N(V_L1_Tasa)/12,0)*AO$9</f>
        <v>10744.8706020061</v>
      </c>
      <c r="AP280" s="34" t="n">
        <f aca="false">IF((37-N(V_L1_Mes)+1)&gt;=1,IF((37-N(V_L1_Mes)+1)=1,N(V_L1_Monto),AO$282)*N(V_L1_Tasa)/12,0)*AP$9</f>
        <v>10352.505582061</v>
      </c>
      <c r="AQ280" s="34" t="n">
        <f aca="false">IF((38-N(V_L1_Mes)+1)&gt;=1,IF((38-N(V_L1_Mes)+1)=1,N(V_L1_Monto),AP$282)*N(V_L1_Tasa)/12,0)*AQ$9</f>
        <v>9957.19782446632</v>
      </c>
      <c r="AR280" s="34" t="n">
        <f aca="false">IF((39-N(V_L1_Mes)+1)&gt;=1,IF((39-N(V_L1_Mes)+1)=1,N(V_L1_Monto),AQ$282)*N(V_L1_Tasa)/12,0)*AR$9</f>
        <v>9558.92525868966</v>
      </c>
      <c r="AS280" s="34" t="n">
        <f aca="false">IF((40-N(V_L1_Mes)+1)&gt;=1,IF((40-N(V_L1_Mes)+1)=1,N(V_L1_Monto),AR$282)*N(V_L1_Tasa)/12,0)*AS$9</f>
        <v>9157.66564866968</v>
      </c>
      <c r="AT280" s="34" t="n">
        <f aca="false">IF((41-N(V_L1_Mes)+1)&gt;=1,IF((41-N(V_L1_Mes)+1)=1,N(V_L1_Monto),AS$282)*N(V_L1_Tasa)/12,0)*AT$9</f>
        <v>8753.39659157454</v>
      </c>
      <c r="AU280" s="34" t="n">
        <f aca="false">IF((42-N(V_L1_Mes)+1)&gt;=1,IF((42-N(V_L1_Mes)+1)=1,N(V_L1_Monto),AT$282)*N(V_L1_Tasa)/12,0)*AU$9</f>
        <v>8346.09551655119</v>
      </c>
      <c r="AV280" s="34" t="n">
        <f aca="false">IF((43-N(V_L1_Mes)+1)&gt;=1,IF((43-N(V_L1_Mes)+1)=1,N(V_L1_Monto),AU$282)*N(V_L1_Tasa)/12,0)*AV$9</f>
        <v>7935.73968346517</v>
      </c>
      <c r="AW280" s="34" t="n">
        <f aca="false">IF((44-N(V_L1_Mes)+1)&gt;=1,IF((44-N(V_L1_Mes)+1)=1,N(V_L1_Monto),AV$282)*N(V_L1_Tasa)/12,0)*AW$9</f>
        <v>7522.306181631</v>
      </c>
      <c r="AX280" s="34" t="n">
        <f aca="false">IF((45-N(V_L1_Mes)+1)&gt;=1,IF((45-N(V_L1_Mes)+1)=1,N(V_L1_Monto),AW$282)*N(V_L1_Tasa)/12,0)*AX$9</f>
        <v>7105.77192853307</v>
      </c>
      <c r="AY280" s="34" t="n">
        <f aca="false">IF((46-N(V_L1_Mes)+1)&gt;=1,IF((46-N(V_L1_Mes)+1)=1,N(V_L1_Monto),AX$282)*N(V_L1_Tasa)/12,0)*AY$9</f>
        <v>6686.11366853691</v>
      </c>
      <c r="AZ280" s="34" t="n">
        <f aca="false">IF((47-N(V_L1_Mes)+1)&gt;=1,IF((47-N(V_L1_Mes)+1)=1,N(V_L1_Monto),AY$282)*N(V_L1_Tasa)/12,0)*AZ$9</f>
        <v>6263.30797159078</v>
      </c>
      <c r="BA280" s="34" t="n">
        <f aca="false">IF((48-N(V_L1_Mes)+1)&gt;=1,IF((48-N(V_L1_Mes)+1)=1,N(V_L1_Monto),AZ$282)*N(V_L1_Tasa)/12,0)*BA$9</f>
        <v>5837.33123191755</v>
      </c>
      <c r="BB280" s="34" t="n">
        <f aca="false">IF((49-N(V_L1_Mes)+1)&gt;=1,IF((49-N(V_L1_Mes)+1)=1,N(V_L1_Monto),BA$282)*N(V_L1_Tasa)/12,0)*BB$9</f>
        <v>5408.15966669678</v>
      </c>
      <c r="BC280" s="34" t="n">
        <f aca="false">IF((50-N(V_L1_Mes)+1)&gt;=1,IF((50-N(V_L1_Mes)+1)=1,N(V_L1_Monto),BB$282)*N(V_L1_Tasa)/12,0)*BC$9</f>
        <v>4975.76931473684</v>
      </c>
      <c r="BD280" s="34" t="n">
        <f aca="false">IF((51-N(V_L1_Mes)+1)&gt;=1,IF((51-N(V_L1_Mes)+1)=1,N(V_L1_Monto),BC$282)*N(V_L1_Tasa)/12,0)*BD$9</f>
        <v>4540.13603513721</v>
      </c>
      <c r="BE280" s="34" t="n">
        <f aca="false">IF((52-N(V_L1_Mes)+1)&gt;=1,IF((52-N(V_L1_Mes)+1)=1,N(V_L1_Monto),BD$282)*N(V_L1_Tasa)/12,0)*BE$9</f>
        <v>4101.23550594058</v>
      </c>
      <c r="BF280" s="34" t="n">
        <f aca="false">IF((53-N(V_L1_Mes)+1)&gt;=1,IF((53-N(V_L1_Mes)+1)=1,N(V_L1_Monto),BE$282)*N(V_L1_Tasa)/12,0)*BF$9</f>
        <v>3659.04322277498</v>
      </c>
      <c r="BG280" s="34" t="n">
        <f aca="false">IF((54-N(V_L1_Mes)+1)&gt;=1,IF((54-N(V_L1_Mes)+1)=1,N(V_L1_Monto),BF$282)*N(V_L1_Tasa)/12,0)*BG$9</f>
        <v>3213.53449748563</v>
      </c>
      <c r="BH280" s="34" t="n">
        <f aca="false">IF((55-N(V_L1_Mes)+1)&gt;=1,IF((55-N(V_L1_Mes)+1)=1,N(V_L1_Monto),BG$282)*N(V_L1_Tasa)/12,0)*BH$9</f>
        <v>2764.68445675662</v>
      </c>
      <c r="BI280" s="34" t="n">
        <f aca="false">IF((56-N(V_L1_Mes)+1)&gt;=1,IF((56-N(V_L1_Mes)+1)=1,N(V_L1_Monto),BH$282)*N(V_L1_Tasa)/12,0)*BI$9</f>
        <v>2312.46804072213</v>
      </c>
      <c r="BJ280" s="34" t="n">
        <f aca="false">IF((57-N(V_L1_Mes)+1)&gt;=1,IF((57-N(V_L1_Mes)+1)=1,N(V_L1_Monto),BI$282)*N(V_L1_Tasa)/12,0)*BJ$9</f>
        <v>1856.86000156739</v>
      </c>
      <c r="BK280" s="34" t="n">
        <f aca="false">IF((58-N(V_L1_Mes)+1)&gt;=1,IF((58-N(V_L1_Mes)+1)=1,N(V_L1_Monto),BJ$282)*N(V_L1_Tasa)/12,0)*BK$9</f>
        <v>1397.83490211899</v>
      </c>
      <c r="BL280" s="34" t="n">
        <f aca="false">IF((59-N(V_L1_Mes)+1)&gt;=1,IF((59-N(V_L1_Mes)+1)=1,N(V_L1_Monto),BK$282)*N(V_L1_Tasa)/12,0)*BL$9</f>
        <v>935.367114424723</v>
      </c>
      <c r="BM280" s="34" t="n">
        <f aca="false">IF((60-N(V_L1_Mes)+1)&gt;=1,IF((60-N(V_L1_Mes)+1)=1,N(V_L1_Monto),BL$282)*N(V_L1_Tasa)/12,0)*BM$9</f>
        <v>469.43081832275</v>
      </c>
      <c r="BN280" s="34" t="n">
        <f aca="false">IF((61-N(V_L1_Mes)+1)&gt;=1,IF((61-N(V_L1_Mes)+1)=1,N(V_L1_Monto),BM$282)*N(V_L1_Tasa)/12,0)*BN$9</f>
        <v>0</v>
      </c>
      <c r="BO280" s="34" t="n">
        <f aca="false">IF((62-N(V_L1_Mes)+1)&gt;=1,IF((62-N(V_L1_Mes)+1)=1,N(V_L1_Monto),BN$282)*N(V_L1_Tasa)/12,0)*BO$9</f>
        <v>0</v>
      </c>
      <c r="BP280" s="34" t="n">
        <f aca="false">IF((63-N(V_L1_Mes)+1)&gt;=1,IF((63-N(V_L1_Mes)+1)=1,N(V_L1_Monto),BO$282)*N(V_L1_Tasa)/12,0)*BP$9</f>
        <v>0</v>
      </c>
      <c r="BQ280" s="34" t="n">
        <f aca="false">IF((64-N(V_L1_Mes)+1)&gt;=1,IF((64-N(V_L1_Mes)+1)=1,N(V_L1_Monto),BP$282)*N(V_L1_Tasa)/12,0)*BQ$9</f>
        <v>0</v>
      </c>
      <c r="BR280" s="34" t="n">
        <f aca="false">IF((65-N(V_L1_Mes)+1)&gt;=1,IF((65-N(V_L1_Mes)+1)=1,N(V_L1_Monto),BQ$282)*N(V_L1_Tasa)/12,0)*BR$9</f>
        <v>0</v>
      </c>
      <c r="BS280" s="34" t="n">
        <f aca="false">IF((66-N(V_L1_Mes)+1)&gt;=1,IF((66-N(V_L1_Mes)+1)=1,N(V_L1_Monto),BR$282)*N(V_L1_Tasa)/12,0)*BS$9</f>
        <v>0</v>
      </c>
      <c r="BT280" s="34" t="n">
        <f aca="false">IF((67-N(V_L1_Mes)+1)&gt;=1,IF((67-N(V_L1_Mes)+1)=1,N(V_L1_Monto),BS$282)*N(V_L1_Tasa)/12,0)*BT$9</f>
        <v>0</v>
      </c>
      <c r="BU280" s="34" t="n">
        <f aca="false">IF((68-N(V_L1_Mes)+1)&gt;=1,IF((68-N(V_L1_Mes)+1)=1,N(V_L1_Monto),BT$282)*N(V_L1_Tasa)/12,0)*BU$9</f>
        <v>0</v>
      </c>
      <c r="BV280" s="34" t="n">
        <f aca="false">IF((69-N(V_L1_Mes)+1)&gt;=1,IF((69-N(V_L1_Mes)+1)=1,N(V_L1_Monto),BU$282)*N(V_L1_Tasa)/12,0)*BV$9</f>
        <v>0</v>
      </c>
      <c r="BW280" s="34" t="n">
        <f aca="false">IF((70-N(V_L1_Mes)+1)&gt;=1,IF((70-N(V_L1_Mes)+1)=1,N(V_L1_Monto),BV$282)*N(V_L1_Tasa)/12,0)*BW$9</f>
        <v>0</v>
      </c>
      <c r="BX280" s="34" t="n">
        <f aca="false">IF((71-N(V_L1_Mes)+1)&gt;=1,IF((71-N(V_L1_Mes)+1)=1,N(V_L1_Monto),BW$282)*N(V_L1_Tasa)/12,0)*BX$9</f>
        <v>0</v>
      </c>
      <c r="BY280" s="34" t="n">
        <f aca="false">IF((72-N(V_L1_Mes)+1)&gt;=1,IF((72-N(V_L1_Mes)+1)=1,N(V_L1_Monto),BX$282)*N(V_L1_Tasa)/12,0)*BY$9</f>
        <v>0</v>
      </c>
      <c r="BZ280" s="34" t="n">
        <f aca="false">IF((73-N(V_L1_Mes)+1)&gt;=1,IF((73-N(V_L1_Mes)+1)=1,N(V_L1_Monto),BY$282)*N(V_L1_Tasa)/12,0)*BZ$9</f>
        <v>0</v>
      </c>
      <c r="CA280" s="34" t="n">
        <f aca="false">IF((74-N(V_L1_Mes)+1)&gt;=1,IF((74-N(V_L1_Mes)+1)=1,N(V_L1_Monto),BZ$282)*N(V_L1_Tasa)/12,0)*CA$9</f>
        <v>0</v>
      </c>
      <c r="CB280" s="34" t="n">
        <f aca="false">IF((75-N(V_L1_Mes)+1)&gt;=1,IF((75-N(V_L1_Mes)+1)=1,N(V_L1_Monto),CA$282)*N(V_L1_Tasa)/12,0)*CB$9</f>
        <v>0</v>
      </c>
      <c r="CC280" s="34" t="n">
        <f aca="false">IF((76-N(V_L1_Mes)+1)&gt;=1,IF((76-N(V_L1_Mes)+1)=1,N(V_L1_Monto),CB$282)*N(V_L1_Tasa)/12,0)*CC$9</f>
        <v>0</v>
      </c>
      <c r="CD280" s="34" t="n">
        <f aca="false">IF((77-N(V_L1_Mes)+1)&gt;=1,IF((77-N(V_L1_Mes)+1)=1,N(V_L1_Monto),CC$282)*N(V_L1_Tasa)/12,0)*CD$9</f>
        <v>0</v>
      </c>
      <c r="CE280" s="34" t="n">
        <f aca="false">IF((78-N(V_L1_Mes)+1)&gt;=1,IF((78-N(V_L1_Mes)+1)=1,N(V_L1_Monto),CD$282)*N(V_L1_Tasa)/12,0)*CE$9</f>
        <v>0</v>
      </c>
      <c r="CF280" s="34" t="n">
        <f aca="false">IF((79-N(V_L1_Mes)+1)&gt;=1,IF((79-N(V_L1_Mes)+1)=1,N(V_L1_Monto),CE$282)*N(V_L1_Tasa)/12,0)*CF$9</f>
        <v>0</v>
      </c>
      <c r="CG280" s="34" t="n">
        <f aca="false">IF((80-N(V_L1_Mes)+1)&gt;=1,IF((80-N(V_L1_Mes)+1)=1,N(V_L1_Monto),CF$282)*N(V_L1_Tasa)/12,0)*CG$9</f>
        <v>0</v>
      </c>
      <c r="CH280" s="34" t="n">
        <f aca="false">IF((81-N(V_L1_Mes)+1)&gt;=1,IF((81-N(V_L1_Mes)+1)=1,N(V_L1_Monto),CG$282)*N(V_L1_Tasa)/12,0)*CH$9</f>
        <v>0</v>
      </c>
      <c r="CI280" s="34" t="n">
        <f aca="false">IF((82-N(V_L1_Mes)+1)&gt;=1,IF((82-N(V_L1_Mes)+1)=1,N(V_L1_Monto),CH$282)*N(V_L1_Tasa)/12,0)*CI$9</f>
        <v>0</v>
      </c>
      <c r="CJ280" s="34" t="n">
        <f aca="false">IF((83-N(V_L1_Mes)+1)&gt;=1,IF((83-N(V_L1_Mes)+1)=1,N(V_L1_Monto),CI$282)*N(V_L1_Tasa)/12,0)*CJ$9</f>
        <v>0</v>
      </c>
      <c r="CK280" s="34" t="n">
        <f aca="false">IF((84-N(V_L1_Mes)+1)&gt;=1,IF((84-N(V_L1_Mes)+1)=1,N(V_L1_Monto),CJ$282)*N(V_L1_Tasa)/12,0)*CK$9</f>
        <v>0</v>
      </c>
      <c r="CL280" s="34" t="n">
        <f aca="false">IF((85-N(V_L1_Mes)+1)&gt;=1,IF((85-N(V_L1_Mes)+1)=1,N(V_L1_Monto),CK$282)*N(V_L1_Tasa)/12,0)*CL$9</f>
        <v>0</v>
      </c>
      <c r="CM280" s="34" t="n">
        <f aca="false">IF((86-N(V_L1_Mes)+1)&gt;=1,IF((86-N(V_L1_Mes)+1)=1,N(V_L1_Monto),CL$282)*N(V_L1_Tasa)/12,0)*CM$9</f>
        <v>0</v>
      </c>
      <c r="CN280" s="34" t="n">
        <f aca="false">IF((87-N(V_L1_Mes)+1)&gt;=1,IF((87-N(V_L1_Mes)+1)=1,N(V_L1_Monto),CM$282)*N(V_L1_Tasa)/12,0)*CN$9</f>
        <v>0</v>
      </c>
      <c r="CO280" s="34" t="n">
        <f aca="false">IF((88-N(V_L1_Mes)+1)&gt;=1,IF((88-N(V_L1_Mes)+1)=1,N(V_L1_Monto),CN$282)*N(V_L1_Tasa)/12,0)*CO$9</f>
        <v>0</v>
      </c>
      <c r="CP280" s="34" t="n">
        <f aca="false">IF((89-N(V_L1_Mes)+1)&gt;=1,IF((89-N(V_L1_Mes)+1)=1,N(V_L1_Monto),CO$282)*N(V_L1_Tasa)/12,0)*CP$9</f>
        <v>0</v>
      </c>
      <c r="CQ280" s="34" t="n">
        <f aca="false">IF((90-N(V_L1_Mes)+1)&gt;=1,IF((90-N(V_L1_Mes)+1)=1,N(V_L1_Monto),CP$282)*N(V_L1_Tasa)/12,0)*CQ$9</f>
        <v>0</v>
      </c>
      <c r="CR280" s="34" t="n">
        <f aca="false">IF((91-N(V_L1_Mes)+1)&gt;=1,IF((91-N(V_L1_Mes)+1)=1,N(V_L1_Monto),CQ$282)*N(V_L1_Tasa)/12,0)*CR$9</f>
        <v>0</v>
      </c>
      <c r="CS280" s="34" t="n">
        <f aca="false">IF((92-N(V_L1_Mes)+1)&gt;=1,IF((92-N(V_L1_Mes)+1)=1,N(V_L1_Monto),CR$282)*N(V_L1_Tasa)/12,0)*CS$9</f>
        <v>0</v>
      </c>
      <c r="CT280" s="34" t="n">
        <f aca="false">IF((93-N(V_L1_Mes)+1)&gt;=1,IF((93-N(V_L1_Mes)+1)=1,N(V_L1_Monto),CS$282)*N(V_L1_Tasa)/12,0)*CT$9</f>
        <v>0</v>
      </c>
      <c r="CU280" s="34" t="n">
        <f aca="false">IF((94-N(V_L1_Mes)+1)&gt;=1,IF((94-N(V_L1_Mes)+1)=1,N(V_L1_Monto),CT$282)*N(V_L1_Tasa)/12,0)*CU$9</f>
        <v>0</v>
      </c>
      <c r="CV280" s="34" t="n">
        <f aca="false">IF((95-N(V_L1_Mes)+1)&gt;=1,IF((95-N(V_L1_Mes)+1)=1,N(V_L1_Monto),CU$282)*N(V_L1_Tasa)/12,0)*CV$9</f>
        <v>0</v>
      </c>
      <c r="CW280" s="34" t="n">
        <f aca="false">IF((96-N(V_L1_Mes)+1)&gt;=1,IF((96-N(V_L1_Mes)+1)=1,N(V_L1_Monto),CV$282)*N(V_L1_Tasa)/12,0)*CW$9</f>
        <v>0</v>
      </c>
      <c r="CX280" s="34" t="n">
        <f aca="false">IF((97-N(V_L1_Mes)+1)&gt;=1,IF((97-N(V_L1_Mes)+1)=1,N(V_L1_Monto),CW$282)*N(V_L1_Tasa)/12,0)*CX$9</f>
        <v>0</v>
      </c>
      <c r="CY280" s="34" t="n">
        <f aca="false">IF((98-N(V_L1_Mes)+1)&gt;=1,IF((98-N(V_L1_Mes)+1)=1,N(V_L1_Monto),CX$282)*N(V_L1_Tasa)/12,0)*CY$9</f>
        <v>0</v>
      </c>
      <c r="CZ280" s="34" t="n">
        <f aca="false">IF((99-N(V_L1_Mes)+1)&gt;=1,IF((99-N(V_L1_Mes)+1)=1,N(V_L1_Monto),CY$282)*N(V_L1_Tasa)/12,0)*CZ$9</f>
        <v>0</v>
      </c>
      <c r="DA280" s="34" t="n">
        <f aca="false">IF((100-N(V_L1_Mes)+1)&gt;=1,IF((100-N(V_L1_Mes)+1)=1,N(V_L1_Monto),CZ$282)*N(V_L1_Tasa)/12,0)*DA$9</f>
        <v>0</v>
      </c>
      <c r="DB280" s="34" t="n">
        <f aca="false">IF((101-N(V_L1_Mes)+1)&gt;=1,IF((101-N(V_L1_Mes)+1)=1,N(V_L1_Monto),DA$282)*N(V_L1_Tasa)/12,0)*DB$9</f>
        <v>0</v>
      </c>
      <c r="DC280" s="34" t="n">
        <f aca="false">IF((102-N(V_L1_Mes)+1)&gt;=1,IF((102-N(V_L1_Mes)+1)=1,N(V_L1_Monto),DB$282)*N(V_L1_Tasa)/12,0)*DC$9</f>
        <v>0</v>
      </c>
      <c r="DD280" s="34" t="n">
        <f aca="false">IF((103-N(V_L1_Mes)+1)&gt;=1,IF((103-N(V_L1_Mes)+1)=1,N(V_L1_Monto),DC$282)*N(V_L1_Tasa)/12,0)*DD$9</f>
        <v>0</v>
      </c>
      <c r="DE280" s="34" t="n">
        <f aca="false">IF((104-N(V_L1_Mes)+1)&gt;=1,IF((104-N(V_L1_Mes)+1)=1,N(V_L1_Monto),DD$282)*N(V_L1_Tasa)/12,0)*DE$9</f>
        <v>0</v>
      </c>
      <c r="DF280" s="34" t="n">
        <f aca="false">IF((105-N(V_L1_Mes)+1)&gt;=1,IF((105-N(V_L1_Mes)+1)=1,N(V_L1_Monto),DE$282)*N(V_L1_Tasa)/12,0)*DF$9</f>
        <v>0</v>
      </c>
      <c r="DG280" s="34" t="n">
        <f aca="false">IF((106-N(V_L1_Mes)+1)&gt;=1,IF((106-N(V_L1_Mes)+1)=1,N(V_L1_Monto),DF$282)*N(V_L1_Tasa)/12,0)*DG$9</f>
        <v>0</v>
      </c>
      <c r="DH280" s="34" t="n">
        <f aca="false">IF((107-N(V_L1_Mes)+1)&gt;=1,IF((107-N(V_L1_Mes)+1)=1,N(V_L1_Monto),DG$282)*N(V_L1_Tasa)/12,0)*DH$9</f>
        <v>0</v>
      </c>
      <c r="DI280" s="34" t="n">
        <f aca="false">IF((108-N(V_L1_Mes)+1)&gt;=1,IF((108-N(V_L1_Mes)+1)=1,N(V_L1_Monto),DH$282)*N(V_L1_Tasa)/12,0)*DI$9</f>
        <v>0</v>
      </c>
      <c r="DJ280" s="34" t="n">
        <f aca="false">IF((109-N(V_L1_Mes)+1)&gt;=1,IF((109-N(V_L1_Mes)+1)=1,N(V_L1_Monto),DI$282)*N(V_L1_Tasa)/12,0)*DJ$9</f>
        <v>0</v>
      </c>
      <c r="DK280" s="34" t="n">
        <f aca="false">IF((110-N(V_L1_Mes)+1)&gt;=1,IF((110-N(V_L1_Mes)+1)=1,N(V_L1_Monto),DJ$282)*N(V_L1_Tasa)/12,0)*DK$9</f>
        <v>0</v>
      </c>
      <c r="DL280" s="34" t="n">
        <f aca="false">IF((111-N(V_L1_Mes)+1)&gt;=1,IF((111-N(V_L1_Mes)+1)=1,N(V_L1_Monto),DK$282)*N(V_L1_Tasa)/12,0)*DL$9</f>
        <v>0</v>
      </c>
      <c r="DM280" s="34" t="n">
        <f aca="false">IF((112-N(V_L1_Mes)+1)&gt;=1,IF((112-N(V_L1_Mes)+1)=1,N(V_L1_Monto),DL$282)*N(V_L1_Tasa)/12,0)*DM$9</f>
        <v>0</v>
      </c>
      <c r="DN280" s="34" t="n">
        <f aca="false">IF((113-N(V_L1_Mes)+1)&gt;=1,IF((113-N(V_L1_Mes)+1)=1,N(V_L1_Monto),DM$282)*N(V_L1_Tasa)/12,0)*DN$9</f>
        <v>0</v>
      </c>
      <c r="DO280" s="34" t="n">
        <f aca="false">IF((114-N(V_L1_Mes)+1)&gt;=1,IF((114-N(V_L1_Mes)+1)=1,N(V_L1_Monto),DN$282)*N(V_L1_Tasa)/12,0)*DO$9</f>
        <v>0</v>
      </c>
      <c r="DP280" s="34" t="n">
        <f aca="false">IF((115-N(V_L1_Mes)+1)&gt;=1,IF((115-N(V_L1_Mes)+1)=1,N(V_L1_Monto),DO$282)*N(V_L1_Tasa)/12,0)*DP$9</f>
        <v>0</v>
      </c>
      <c r="DQ280" s="34" t="n">
        <f aca="false">IF((116-N(V_L1_Mes)+1)&gt;=1,IF((116-N(V_L1_Mes)+1)=1,N(V_L1_Monto),DP$282)*N(V_L1_Tasa)/12,0)*DQ$9</f>
        <v>0</v>
      </c>
      <c r="DR280" s="34" t="n">
        <f aca="false">IF((117-N(V_L1_Mes)+1)&gt;=1,IF((117-N(V_L1_Mes)+1)=1,N(V_L1_Monto),DQ$282)*N(V_L1_Tasa)/12,0)*DR$9</f>
        <v>0</v>
      </c>
      <c r="DS280" s="34" t="n">
        <f aca="false">IF((118-N(V_L1_Mes)+1)&gt;=1,IF((118-N(V_L1_Mes)+1)=1,N(V_L1_Monto),DR$282)*N(V_L1_Tasa)/12,0)*DS$9</f>
        <v>0</v>
      </c>
      <c r="DT280" s="34" t="n">
        <f aca="false">IF((119-N(V_L1_Mes)+1)&gt;=1,IF((119-N(V_L1_Mes)+1)=1,N(V_L1_Monto),DS$282)*N(V_L1_Tasa)/12,0)*DT$9</f>
        <v>0</v>
      </c>
      <c r="DU280" s="34" t="n">
        <f aca="false">IF((120-N(V_L1_Mes)+1)&gt;=1,IF((120-N(V_L1_Mes)+1)=1,N(V_L1_Monto),DT$282)*N(V_L1_Tasa)/12,0)*DU$9</f>
        <v>0</v>
      </c>
      <c r="DV280" s="34" t="n">
        <f aca="false">IF((121-N(V_L1_Mes)+1)&gt;=1,IF((121-N(V_L1_Mes)+1)=1,N(V_L1_Monto),DU$282)*N(V_L1_Tasa)/12,0)*DV$9</f>
        <v>0</v>
      </c>
      <c r="DW280" s="34" t="n">
        <f aca="false">IF((122-N(V_L1_Mes)+1)&gt;=1,IF((122-N(V_L1_Mes)+1)=1,N(V_L1_Monto),DV$282)*N(V_L1_Tasa)/12,0)*DW$9</f>
        <v>0</v>
      </c>
      <c r="DX280" s="34" t="n">
        <f aca="false">IF((123-N(V_L1_Mes)+1)&gt;=1,IF((123-N(V_L1_Mes)+1)=1,N(V_L1_Monto),DW$282)*N(V_L1_Tasa)/12,0)*DX$9</f>
        <v>0</v>
      </c>
      <c r="DY280" s="34" t="n">
        <f aca="false">IF((124-N(V_L1_Mes)+1)&gt;=1,IF((124-N(V_L1_Mes)+1)=1,N(V_L1_Monto),DX$282)*N(V_L1_Tasa)/12,0)*DY$9</f>
        <v>0</v>
      </c>
      <c r="DZ280" s="34" t="n">
        <f aca="false">IF((125-N(V_L1_Mes)+1)&gt;=1,IF((125-N(V_L1_Mes)+1)=1,N(V_L1_Monto),DY$282)*N(V_L1_Tasa)/12,0)*DZ$9</f>
        <v>0</v>
      </c>
      <c r="EA280" s="34" t="n">
        <f aca="false">IF((126-N(V_L1_Mes)+1)&gt;=1,IF((126-N(V_L1_Mes)+1)=1,N(V_L1_Monto),DZ$282)*N(V_L1_Tasa)/12,0)*EA$9</f>
        <v>0</v>
      </c>
      <c r="EB280" s="34" t="n">
        <f aca="false">IF((127-N(V_L1_Mes)+1)&gt;=1,IF((127-N(V_L1_Mes)+1)=1,N(V_L1_Monto),EA$282)*N(V_L1_Tasa)/12,0)*EB$9</f>
        <v>0</v>
      </c>
      <c r="EC280" s="34" t="n">
        <f aca="false">IF((128-N(V_L1_Mes)+1)&gt;=1,IF((128-N(V_L1_Mes)+1)=1,N(V_L1_Monto),EB$282)*N(V_L1_Tasa)/12,0)*EC$9</f>
        <v>0</v>
      </c>
      <c r="ED280" s="34" t="n">
        <f aca="false">IF((129-N(V_L1_Mes)+1)&gt;=1,IF((129-N(V_L1_Mes)+1)=1,N(V_L1_Monto),EC$282)*N(V_L1_Tasa)/12,0)*ED$9</f>
        <v>0</v>
      </c>
      <c r="EE280" s="34" t="n">
        <f aca="false">IF((130-N(V_L1_Mes)+1)&gt;=1,IF((130-N(V_L1_Mes)+1)=1,N(V_L1_Monto),ED$282)*N(V_L1_Tasa)/12,0)*EE$9</f>
        <v>0</v>
      </c>
      <c r="EF280" s="34" t="n">
        <f aca="false">IF((131-N(V_L1_Mes)+1)&gt;=1,IF((131-N(V_L1_Mes)+1)=1,N(V_L1_Monto),EE$282)*N(V_L1_Tasa)/12,0)*EF$9</f>
        <v>0</v>
      </c>
      <c r="EG280" s="34" t="n">
        <f aca="false">IF((132-N(V_L1_Mes)+1)&gt;=1,IF((132-N(V_L1_Mes)+1)=1,N(V_L1_Monto),EF$282)*N(V_L1_Tasa)/12,0)*EG$9</f>
        <v>0</v>
      </c>
      <c r="EH280" s="34" t="n">
        <f aca="false">IF((133-N(V_L1_Mes)+1)&gt;=1,IF((133-N(V_L1_Mes)+1)=1,N(V_L1_Monto),EG$282)*N(V_L1_Tasa)/12,0)*EH$9</f>
        <v>0</v>
      </c>
      <c r="EI280" s="34" t="n">
        <f aca="false">IF((134-N(V_L1_Mes)+1)&gt;=1,IF((134-N(V_L1_Mes)+1)=1,N(V_L1_Monto),EH$282)*N(V_L1_Tasa)/12,0)*EI$9</f>
        <v>0</v>
      </c>
      <c r="EJ280" s="34" t="n">
        <f aca="false">IF((135-N(V_L1_Mes)+1)&gt;=1,IF((135-N(V_L1_Mes)+1)=1,N(V_L1_Monto),EI$282)*N(V_L1_Tasa)/12,0)*EJ$9</f>
        <v>0</v>
      </c>
      <c r="EK280" s="34" t="n">
        <f aca="false">IF((136-N(V_L1_Mes)+1)&gt;=1,IF((136-N(V_L1_Mes)+1)=1,N(V_L1_Monto),EJ$282)*N(V_L1_Tasa)/12,0)*EK$9</f>
        <v>0</v>
      </c>
      <c r="EL280" s="34" t="n">
        <f aca="false">IF((137-N(V_L1_Mes)+1)&gt;=1,IF((137-N(V_L1_Mes)+1)=1,N(V_L1_Monto),EK$282)*N(V_L1_Tasa)/12,0)*EL$9</f>
        <v>0</v>
      </c>
      <c r="EM280" s="34" t="n">
        <f aca="false">IF((138-N(V_L1_Mes)+1)&gt;=1,IF((138-N(V_L1_Mes)+1)=1,N(V_L1_Monto),EL$282)*N(V_L1_Tasa)/12,0)*EM$9</f>
        <v>0</v>
      </c>
      <c r="EN280" s="34" t="n">
        <f aca="false">IF((139-N(V_L1_Mes)+1)&gt;=1,IF((139-N(V_L1_Mes)+1)=1,N(V_L1_Monto),EM$282)*N(V_L1_Tasa)/12,0)*EN$9</f>
        <v>0</v>
      </c>
      <c r="EO280" s="34" t="n">
        <f aca="false">IF((140-N(V_L1_Mes)+1)&gt;=1,IF((140-N(V_L1_Mes)+1)=1,N(V_L1_Monto),EN$282)*N(V_L1_Tasa)/12,0)*EO$9</f>
        <v>0</v>
      </c>
      <c r="EP280" s="34" t="n">
        <f aca="false">IF((141-N(V_L1_Mes)+1)&gt;=1,IF((141-N(V_L1_Mes)+1)=1,N(V_L1_Monto),EO$282)*N(V_L1_Tasa)/12,0)*EP$9</f>
        <v>0</v>
      </c>
      <c r="EQ280" s="34" t="n">
        <f aca="false">IF((142-N(V_L1_Mes)+1)&gt;=1,IF((142-N(V_L1_Mes)+1)=1,N(V_L1_Monto),EP$282)*N(V_L1_Tasa)/12,0)*EQ$9</f>
        <v>0</v>
      </c>
      <c r="ER280" s="34" t="n">
        <f aca="false">IF((143-N(V_L1_Mes)+1)&gt;=1,IF((143-N(V_L1_Mes)+1)=1,N(V_L1_Monto),EQ$282)*N(V_L1_Tasa)/12,0)*ER$9</f>
        <v>0</v>
      </c>
      <c r="ES280" s="34" t="n">
        <f aca="false">IF((144-N(V_L1_Mes)+1)&gt;=1,IF((144-N(V_L1_Mes)+1)=1,N(V_L1_Monto),ER$282)*N(V_L1_Tasa)/12,0)*ES$9</f>
        <v>0</v>
      </c>
    </row>
    <row r="281" customFormat="false" ht="15" hidden="false" customHeight="false" outlineLevel="0" collapsed="false">
      <c r="A281" s="2" t="s">
        <v>918</v>
      </c>
      <c r="B281" s="6" t="s">
        <v>734</v>
      </c>
      <c r="C281" s="6" t="s">
        <v>250</v>
      </c>
      <c r="E281" s="40" t="n">
        <f aca="false">SUM(F281:ES281)</f>
        <v>2791587</v>
      </c>
      <c r="F281" s="34" t="n">
        <f aca="false">IF(AND((1-N(V_L1_Mes)+1)&gt;N(V_L1_Gracia),(1-N(V_L1_Mes)+1)&lt;=N(V_L1_Gracia)+N(V_L1_Cuotas),N(V_L1_Cuotas)&gt;0),IF((1-N(V_L1_Mes)+1)=N(V_L1_Gracia)+N(V_L1_Cuotas),IF((1-N(V_L1_Mes)+1)=1,N(V_L1_Monto),0),PMT(N(V_L1_Tasa)/12,N(V_L1_Cuotas),-N(V_L1_Monto))-F$280),0)*F$9</f>
        <v>0</v>
      </c>
      <c r="G281" s="34" t="n">
        <f aca="false">IF(AND((2-N(V_L1_Mes)+1)&gt;N(V_L1_Gracia),(2-N(V_L1_Mes)+1)&lt;=N(V_L1_Gracia)+N(V_L1_Cuotas),N(V_L1_Cuotas)&gt;0),IF((2-N(V_L1_Mes)+1)=N(V_L1_Gracia)+N(V_L1_Cuotas),IF((2-N(V_L1_Mes)+1)=1,N(V_L1_Monto),F$282),PMT(N(V_L1_Tasa)/12,N(V_L1_Cuotas),-N(V_L1_Monto))-G$280),0)*G$9</f>
        <v>0</v>
      </c>
      <c r="H281" s="34" t="n">
        <f aca="false">IF(AND((3-N(V_L1_Mes)+1)&gt;N(V_L1_Gracia),(3-N(V_L1_Mes)+1)&lt;=N(V_L1_Gracia)+N(V_L1_Cuotas),N(V_L1_Cuotas)&gt;0),IF((3-N(V_L1_Mes)+1)=N(V_L1_Gracia)+N(V_L1_Cuotas),IF((3-N(V_L1_Mes)+1)=1,N(V_L1_Monto),G$282),PMT(N(V_L1_Tasa)/12,N(V_L1_Cuotas),-N(V_L1_Monto))-H$280),0)*H$9</f>
        <v>0</v>
      </c>
      <c r="I281" s="34" t="n">
        <f aca="false">IF(AND((4-N(V_L1_Mes)+1)&gt;N(V_L1_Gracia),(4-N(V_L1_Mes)+1)&lt;=N(V_L1_Gracia)+N(V_L1_Cuotas),N(V_L1_Cuotas)&gt;0),IF((4-N(V_L1_Mes)+1)=N(V_L1_Gracia)+N(V_L1_Cuotas),IF((4-N(V_L1_Mes)+1)=1,N(V_L1_Monto),H$282),PMT(N(V_L1_Tasa)/12,N(V_L1_Cuotas),-N(V_L1_Monto))-I$280),0)*I$9</f>
        <v>0</v>
      </c>
      <c r="J281" s="34" t="n">
        <f aca="false">IF(AND((5-N(V_L1_Mes)+1)&gt;N(V_L1_Gracia),(5-N(V_L1_Mes)+1)&lt;=N(V_L1_Gracia)+N(V_L1_Cuotas),N(V_L1_Cuotas)&gt;0),IF((5-N(V_L1_Mes)+1)=N(V_L1_Gracia)+N(V_L1_Cuotas),IF((5-N(V_L1_Mes)+1)=1,N(V_L1_Monto),I$282),PMT(N(V_L1_Tasa)/12,N(V_L1_Cuotas),-N(V_L1_Monto))-J$280),0)*J$9</f>
        <v>0</v>
      </c>
      <c r="K281" s="34" t="n">
        <f aca="false">IF(AND((6-N(V_L1_Mes)+1)&gt;N(V_L1_Gracia),(6-N(V_L1_Mes)+1)&lt;=N(V_L1_Gracia)+N(V_L1_Cuotas),N(V_L1_Cuotas)&gt;0),IF((6-N(V_L1_Mes)+1)=N(V_L1_Gracia)+N(V_L1_Cuotas),IF((6-N(V_L1_Mes)+1)=1,N(V_L1_Monto),J$282),PMT(N(V_L1_Tasa)/12,N(V_L1_Cuotas),-N(V_L1_Monto))-K$280),0)*K$9</f>
        <v>0</v>
      </c>
      <c r="L281" s="34" t="n">
        <f aca="false">IF(AND((7-N(V_L1_Mes)+1)&gt;N(V_L1_Gracia),(7-N(V_L1_Mes)+1)&lt;=N(V_L1_Gracia)+N(V_L1_Cuotas),N(V_L1_Cuotas)&gt;0),IF((7-N(V_L1_Mes)+1)=N(V_L1_Gracia)+N(V_L1_Cuotas),IF((7-N(V_L1_Mes)+1)=1,N(V_L1_Monto),K$282),PMT(N(V_L1_Tasa)/12,N(V_L1_Cuotas),-N(V_L1_Monto))-L$280),0)*L$9</f>
        <v>42123.3040946878</v>
      </c>
      <c r="M281" s="34" t="n">
        <f aca="false">IF(AND((8-N(V_L1_Mes)+1)&gt;N(V_L1_Gracia),(8-N(V_L1_Mes)+1)&lt;=N(V_L1_Gracia)+N(V_L1_Cuotas),N(V_L1_Cuotas)&gt;0),IF((8-N(V_L1_Mes)+1)=N(V_L1_Gracia)+N(V_L1_Cuotas),IF((8-N(V_L1_Mes)+1)=1,N(V_L1_Monto),L$282),PMT(N(V_L1_Tasa)/12,N(V_L1_Cuotas),-N(V_L1_Monto))-M$280),0)*M$9</f>
        <v>42439.2288753979</v>
      </c>
      <c r="N281" s="34" t="n">
        <f aca="false">IF(AND((9-N(V_L1_Mes)+1)&gt;N(V_L1_Gracia),(9-N(V_L1_Mes)+1)&lt;=N(V_L1_Gracia)+N(V_L1_Cuotas),N(V_L1_Cuotas)&gt;0),IF((9-N(V_L1_Mes)+1)=N(V_L1_Gracia)+N(V_L1_Cuotas),IF((9-N(V_L1_Mes)+1)=1,N(V_L1_Monto),M$282),PMT(N(V_L1_Tasa)/12,N(V_L1_Cuotas),-N(V_L1_Monto))-N$280),0)*N$9</f>
        <v>42757.5230919634</v>
      </c>
      <c r="O281" s="34" t="n">
        <f aca="false">IF(AND((10-N(V_L1_Mes)+1)&gt;N(V_L1_Gracia),(10-N(V_L1_Mes)+1)&lt;=N(V_L1_Gracia)+N(V_L1_Cuotas),N(V_L1_Cuotas)&gt;0),IF((10-N(V_L1_Mes)+1)=N(V_L1_Gracia)+N(V_L1_Cuotas),IF((10-N(V_L1_Mes)+1)=1,N(V_L1_Monto),N$282),PMT(N(V_L1_Tasa)/12,N(V_L1_Cuotas),-N(V_L1_Monto))-O$280),0)*O$9</f>
        <v>43078.2045151531</v>
      </c>
      <c r="P281" s="34" t="n">
        <f aca="false">IF(AND((11-N(V_L1_Mes)+1)&gt;N(V_L1_Gracia),(11-N(V_L1_Mes)+1)&lt;=N(V_L1_Gracia)+N(V_L1_Cuotas),N(V_L1_Cuotas)&gt;0),IF((11-N(V_L1_Mes)+1)=N(V_L1_Gracia)+N(V_L1_Cuotas),IF((11-N(V_L1_Mes)+1)=1,N(V_L1_Monto),O$282),PMT(N(V_L1_Tasa)/12,N(V_L1_Cuotas),-N(V_L1_Monto))-P$280),0)*P$9</f>
        <v>43401.2910490168</v>
      </c>
      <c r="Q281" s="34" t="n">
        <f aca="false">IF(AND((12-N(V_L1_Mes)+1)&gt;N(V_L1_Gracia),(12-N(V_L1_Mes)+1)&lt;=N(V_L1_Gracia)+N(V_L1_Cuotas),N(V_L1_Cuotas)&gt;0),IF((12-N(V_L1_Mes)+1)=N(V_L1_Gracia)+N(V_L1_Cuotas),IF((12-N(V_L1_Mes)+1)=1,N(V_L1_Monto),P$282),PMT(N(V_L1_Tasa)/12,N(V_L1_Cuotas),-N(V_L1_Monto))-Q$280),0)*Q$9</f>
        <v>43726.8007318844</v>
      </c>
      <c r="R281" s="34" t="n">
        <f aca="false">IF(AND((13-N(V_L1_Mes)+1)&gt;N(V_L1_Gracia),(13-N(V_L1_Mes)+1)&lt;=N(V_L1_Gracia)+N(V_L1_Cuotas),N(V_L1_Cuotas)&gt;0),IF((13-N(V_L1_Mes)+1)=N(V_L1_Gracia)+N(V_L1_Cuotas),IF((13-N(V_L1_Mes)+1)=1,N(V_L1_Monto),Q$282),PMT(N(V_L1_Tasa)/12,N(V_L1_Cuotas),-N(V_L1_Monto))-R$280),0)*R$9</f>
        <v>44054.7517373735</v>
      </c>
      <c r="S281" s="34" t="n">
        <f aca="false">IF(AND((14-N(V_L1_Mes)+1)&gt;N(V_L1_Gracia),(14-N(V_L1_Mes)+1)&lt;=N(V_L1_Gracia)+N(V_L1_Cuotas),N(V_L1_Cuotas)&gt;0),IF((14-N(V_L1_Mes)+1)=N(V_L1_Gracia)+N(V_L1_Cuotas),IF((14-N(V_L1_Mes)+1)=1,N(V_L1_Monto),R$282),PMT(N(V_L1_Tasa)/12,N(V_L1_Cuotas),-N(V_L1_Monto))-S$280),0)*S$9</f>
        <v>44385.1623754038</v>
      </c>
      <c r="T281" s="34" t="n">
        <f aca="false">IF(AND((15-N(V_L1_Mes)+1)&gt;N(V_L1_Gracia),(15-N(V_L1_Mes)+1)&lt;=N(V_L1_Gracia)+N(V_L1_Cuotas),N(V_L1_Cuotas)&gt;0),IF((15-N(V_L1_Mes)+1)=N(V_L1_Gracia)+N(V_L1_Cuotas),IF((15-N(V_L1_Mes)+1)=1,N(V_L1_Monto),S$282),PMT(N(V_L1_Tasa)/12,N(V_L1_Cuotas),-N(V_L1_Monto))-T$280),0)*T$9</f>
        <v>44718.0510932194</v>
      </c>
      <c r="U281" s="34" t="n">
        <f aca="false">IF(AND((16-N(V_L1_Mes)+1)&gt;N(V_L1_Gracia),(16-N(V_L1_Mes)+1)&lt;=N(V_L1_Gracia)+N(V_L1_Cuotas),N(V_L1_Cuotas)&gt;0),IF((16-N(V_L1_Mes)+1)=N(V_L1_Gracia)+N(V_L1_Cuotas),IF((16-N(V_L1_Mes)+1)=1,N(V_L1_Monto),T$282),PMT(N(V_L1_Tasa)/12,N(V_L1_Cuotas),-N(V_L1_Monto))-U$280),0)*U$9</f>
        <v>45053.4364764185</v>
      </c>
      <c r="V281" s="34" t="n">
        <f aca="false">IF(AND((17-N(V_L1_Mes)+1)&gt;N(V_L1_Gracia),(17-N(V_L1_Mes)+1)&lt;=N(V_L1_Gracia)+N(V_L1_Cuotas),N(V_L1_Cuotas)&gt;0),IF((17-N(V_L1_Mes)+1)=N(V_L1_Gracia)+N(V_L1_Cuotas),IF((17-N(V_L1_Mes)+1)=1,N(V_L1_Monto),U$282),PMT(N(V_L1_Tasa)/12,N(V_L1_Cuotas),-N(V_L1_Monto))-V$280),0)*V$9</f>
        <v>45391.3372499916</v>
      </c>
      <c r="W281" s="34" t="n">
        <f aca="false">IF(AND((18-N(V_L1_Mes)+1)&gt;N(V_L1_Gracia),(18-N(V_L1_Mes)+1)&lt;=N(V_L1_Gracia)+N(V_L1_Cuotas),N(V_L1_Cuotas)&gt;0),IF((18-N(V_L1_Mes)+1)=N(V_L1_Gracia)+N(V_L1_Cuotas),IF((18-N(V_L1_Mes)+1)=1,N(V_L1_Monto),V$282),PMT(N(V_L1_Tasa)/12,N(V_L1_Cuotas),-N(V_L1_Monto))-W$280),0)*W$9</f>
        <v>45731.7722793666</v>
      </c>
      <c r="X281" s="34" t="n">
        <f aca="false">IF(AND((19-N(V_L1_Mes)+1)&gt;N(V_L1_Gracia),(19-N(V_L1_Mes)+1)&lt;=N(V_L1_Gracia)+N(V_L1_Cuotas),N(V_L1_Cuotas)&gt;0),IF((19-N(V_L1_Mes)+1)=N(V_L1_Gracia)+N(V_L1_Cuotas),IF((19-N(V_L1_Mes)+1)=1,N(V_L1_Monto),W$282),PMT(N(V_L1_Tasa)/12,N(V_L1_Cuotas),-N(V_L1_Monto))-X$280),0)*X$9</f>
        <v>46074.7605714618</v>
      </c>
      <c r="Y281" s="34" t="n">
        <f aca="false">IF(AND((20-N(V_L1_Mes)+1)&gt;N(V_L1_Gracia),(20-N(V_L1_Mes)+1)&lt;=N(V_L1_Gracia)+N(V_L1_Cuotas),N(V_L1_Cuotas)&gt;0),IF((20-N(V_L1_Mes)+1)=N(V_L1_Gracia)+N(V_L1_Cuotas),IF((20-N(V_L1_Mes)+1)=1,N(V_L1_Monto),X$282),PMT(N(V_L1_Tasa)/12,N(V_L1_Cuotas),-N(V_L1_Monto))-Y$280),0)*Y$9</f>
        <v>46420.3212757478</v>
      </c>
      <c r="Z281" s="34" t="n">
        <f aca="false">IF(AND((21-N(V_L1_Mes)+1)&gt;N(V_L1_Gracia),(21-N(V_L1_Mes)+1)&lt;=N(V_L1_Gracia)+N(V_L1_Cuotas),N(V_L1_Cuotas)&gt;0),IF((21-N(V_L1_Mes)+1)=N(V_L1_Gracia)+N(V_L1_Cuotas),IF((21-N(V_L1_Mes)+1)=1,N(V_L1_Monto),Y$282),PMT(N(V_L1_Tasa)/12,N(V_L1_Cuotas),-N(V_L1_Monto))-Z$280),0)*Z$9</f>
        <v>46768.4736853159</v>
      </c>
      <c r="AA281" s="34" t="n">
        <f aca="false">IF(AND((22-N(V_L1_Mes)+1)&gt;N(V_L1_Gracia),(22-N(V_L1_Mes)+1)&lt;=N(V_L1_Gracia)+N(V_L1_Cuotas),N(V_L1_Cuotas)&gt;0),IF((22-N(V_L1_Mes)+1)=N(V_L1_Gracia)+N(V_L1_Cuotas),IF((22-N(V_L1_Mes)+1)=1,N(V_L1_Monto),Z$282),PMT(N(V_L1_Tasa)/12,N(V_L1_Cuotas),-N(V_L1_Monto))-AA$280),0)*AA$9</f>
        <v>47119.2372379558</v>
      </c>
      <c r="AB281" s="34" t="n">
        <f aca="false">IF(AND((23-N(V_L1_Mes)+1)&gt;N(V_L1_Gracia),(23-N(V_L1_Mes)+1)&lt;=N(V_L1_Gracia)+N(V_L1_Cuotas),N(V_L1_Cuotas)&gt;0),IF((23-N(V_L1_Mes)+1)=N(V_L1_Gracia)+N(V_L1_Cuotas),IF((23-N(V_L1_Mes)+1)=1,N(V_L1_Monto),AA$282),PMT(N(V_L1_Tasa)/12,N(V_L1_Cuotas),-N(V_L1_Monto))-AB$280),0)*AB$9</f>
        <v>47472.6315172404</v>
      </c>
      <c r="AC281" s="34" t="n">
        <f aca="false">IF(AND((24-N(V_L1_Mes)+1)&gt;N(V_L1_Gracia),(24-N(V_L1_Mes)+1)&lt;=N(V_L1_Gracia)+N(V_L1_Cuotas),N(V_L1_Cuotas)&gt;0),IF((24-N(V_L1_Mes)+1)=N(V_L1_Gracia)+N(V_L1_Cuotas),IF((24-N(V_L1_Mes)+1)=1,N(V_L1_Monto),AB$282),PMT(N(V_L1_Tasa)/12,N(V_L1_Cuotas),-N(V_L1_Monto))-AC$280),0)*AC$9</f>
        <v>47828.6762536197</v>
      </c>
      <c r="AD281" s="34" t="n">
        <f aca="false">IF(AND((25-N(V_L1_Mes)+1)&gt;N(V_L1_Gracia),(25-N(V_L1_Mes)+1)&lt;=N(V_L1_Gracia)+N(V_L1_Cuotas),N(V_L1_Cuotas)&gt;0),IF((25-N(V_L1_Mes)+1)=N(V_L1_Gracia)+N(V_L1_Cuotas),IF((25-N(V_L1_Mes)+1)=1,N(V_L1_Monto),AC$282),PMT(N(V_L1_Tasa)/12,N(V_L1_Cuotas),-N(V_L1_Monto))-AD$280),0)*AD$9</f>
        <v>48187.3913255219</v>
      </c>
      <c r="AE281" s="34" t="n">
        <f aca="false">IF(AND((26-N(V_L1_Mes)+1)&gt;N(V_L1_Gracia),(26-N(V_L1_Mes)+1)&lt;=N(V_L1_Gracia)+N(V_L1_Cuotas),N(V_L1_Cuotas)&gt;0),IF((26-N(V_L1_Mes)+1)=N(V_L1_Gracia)+N(V_L1_Cuotas),IF((26-N(V_L1_Mes)+1)=1,N(V_L1_Monto),AD$282),PMT(N(V_L1_Tasa)/12,N(V_L1_Cuotas),-N(V_L1_Monto))-AE$280),0)*AE$9</f>
        <v>48548.7967604633</v>
      </c>
      <c r="AF281" s="34" t="n">
        <f aca="false">IF(AND((27-N(V_L1_Mes)+1)&gt;N(V_L1_Gracia),(27-N(V_L1_Mes)+1)&lt;=N(V_L1_Gracia)+N(V_L1_Cuotas),N(V_L1_Cuotas)&gt;0),IF((27-N(V_L1_Mes)+1)=N(V_L1_Gracia)+N(V_L1_Cuotas),IF((27-N(V_L1_Mes)+1)=1,N(V_L1_Monto),AE$282),PMT(N(V_L1_Tasa)/12,N(V_L1_Cuotas),-N(V_L1_Monto))-AF$280),0)*AF$9</f>
        <v>48912.9127361668</v>
      </c>
      <c r="AG281" s="34" t="n">
        <f aca="false">IF(AND((28-N(V_L1_Mes)+1)&gt;N(V_L1_Gracia),(28-N(V_L1_Mes)+1)&lt;=N(V_L1_Gracia)+N(V_L1_Cuotas),N(V_L1_Cuotas)&gt;0),IF((28-N(V_L1_Mes)+1)=N(V_L1_Gracia)+N(V_L1_Cuotas),IF((28-N(V_L1_Mes)+1)=1,N(V_L1_Monto),AF$282),PMT(N(V_L1_Tasa)/12,N(V_L1_Cuotas),-N(V_L1_Monto))-AG$280),0)*AG$9</f>
        <v>49279.759581688</v>
      </c>
      <c r="AH281" s="34" t="n">
        <f aca="false">IF(AND((29-N(V_L1_Mes)+1)&gt;N(V_L1_Gracia),(29-N(V_L1_Mes)+1)&lt;=N(V_L1_Gracia)+N(V_L1_Cuotas),N(V_L1_Cuotas)&gt;0),IF((29-N(V_L1_Mes)+1)=N(V_L1_Gracia)+N(V_L1_Cuotas),IF((29-N(V_L1_Mes)+1)=1,N(V_L1_Monto),AG$282),PMT(N(V_L1_Tasa)/12,N(V_L1_Cuotas),-N(V_L1_Monto))-AH$280),0)*AH$9</f>
        <v>49649.3577785507</v>
      </c>
      <c r="AI281" s="34" t="n">
        <f aca="false">IF(AND((30-N(V_L1_Mes)+1)&gt;N(V_L1_Gracia),(30-N(V_L1_Mes)+1)&lt;=N(V_L1_Gracia)+N(V_L1_Cuotas),N(V_L1_Cuotas)&gt;0),IF((30-N(V_L1_Mes)+1)=N(V_L1_Gracia)+N(V_L1_Cuotas),IF((30-N(V_L1_Mes)+1)=1,N(V_L1_Monto),AH$282),PMT(N(V_L1_Tasa)/12,N(V_L1_Cuotas),-N(V_L1_Monto))-AI$280),0)*AI$9</f>
        <v>50021.7279618898</v>
      </c>
      <c r="AJ281" s="34" t="n">
        <f aca="false">IF(AND((31-N(V_L1_Mes)+1)&gt;N(V_L1_Gracia),(31-N(V_L1_Mes)+1)&lt;=N(V_L1_Gracia)+N(V_L1_Cuotas),N(V_L1_Cuotas)&gt;0),IF((31-N(V_L1_Mes)+1)=N(V_L1_Gracia)+N(V_L1_Cuotas),IF((31-N(V_L1_Mes)+1)=1,N(V_L1_Monto),AI$282),PMT(N(V_L1_Tasa)/12,N(V_L1_Cuotas),-N(V_L1_Monto))-AJ$280),0)*AJ$9</f>
        <v>50396.890921604</v>
      </c>
      <c r="AK281" s="34" t="n">
        <f aca="false">IF(AND((32-N(V_L1_Mes)+1)&gt;N(V_L1_Gracia),(32-N(V_L1_Mes)+1)&lt;=N(V_L1_Gracia)+N(V_L1_Cuotas),N(V_L1_Cuotas)&gt;0),IF((32-N(V_L1_Mes)+1)=N(V_L1_Gracia)+N(V_L1_Cuotas),IF((32-N(V_L1_Mes)+1)=1,N(V_L1_Monto),AJ$282),PMT(N(V_L1_Tasa)/12,N(V_L1_Cuotas),-N(V_L1_Monto))-AK$280),0)*AK$9</f>
        <v>50774.867603516</v>
      </c>
      <c r="AL281" s="34" t="n">
        <f aca="false">IF(AND((33-N(V_L1_Mes)+1)&gt;N(V_L1_Gracia),(33-N(V_L1_Mes)+1)&lt;=N(V_L1_Gracia)+N(V_L1_Cuotas),N(V_L1_Cuotas)&gt;0),IF((33-N(V_L1_Mes)+1)=N(V_L1_Gracia)+N(V_L1_Cuotas),IF((33-N(V_L1_Mes)+1)=1,N(V_L1_Monto),AK$282),PMT(N(V_L1_Tasa)/12,N(V_L1_Cuotas),-N(V_L1_Monto))-AL$280),0)*AL$9</f>
        <v>51155.6791105424</v>
      </c>
      <c r="AM281" s="34" t="n">
        <f aca="false">IF(AND((34-N(V_L1_Mes)+1)&gt;N(V_L1_Gracia),(34-N(V_L1_Mes)+1)&lt;=N(V_L1_Gracia)+N(V_L1_Cuotas),N(V_L1_Cuotas)&gt;0),IF((34-N(V_L1_Mes)+1)=N(V_L1_Gracia)+N(V_L1_Cuotas),IF((34-N(V_L1_Mes)+1)=1,N(V_L1_Monto),AL$282),PMT(N(V_L1_Tasa)/12,N(V_L1_Cuotas),-N(V_L1_Monto))-AM$280),0)*AM$9</f>
        <v>51539.3467038715</v>
      </c>
      <c r="AN281" s="34" t="n">
        <f aca="false">IF(AND((35-N(V_L1_Mes)+1)&gt;N(V_L1_Gracia),(35-N(V_L1_Mes)+1)&lt;=N(V_L1_Gracia)+N(V_L1_Cuotas),N(V_L1_Cuotas)&gt;0),IF((35-N(V_L1_Mes)+1)=N(V_L1_Gracia)+N(V_L1_Cuotas),IF((35-N(V_L1_Mes)+1)=1,N(V_L1_Monto),AM$282),PMT(N(V_L1_Tasa)/12,N(V_L1_Cuotas),-N(V_L1_Monto))-AN$280),0)*AN$9</f>
        <v>51925.8918041505</v>
      </c>
      <c r="AO281" s="34" t="n">
        <f aca="false">IF(AND((36-N(V_L1_Mes)+1)&gt;N(V_L1_Gracia),(36-N(V_L1_Mes)+1)&lt;=N(V_L1_Gracia)+N(V_L1_Cuotas),N(V_L1_Cuotas)&gt;0),IF((36-N(V_L1_Mes)+1)=N(V_L1_Gracia)+N(V_L1_Cuotas),IF((36-N(V_L1_Mes)+1)=1,N(V_L1_Monto),AN$282),PMT(N(V_L1_Tasa)/12,N(V_L1_Cuotas),-N(V_L1_Monto))-AO$280),0)*AO$9</f>
        <v>52315.3359926816</v>
      </c>
      <c r="AP281" s="34" t="n">
        <f aca="false">IF(AND((37-N(V_L1_Mes)+1)&gt;N(V_L1_Gracia),(37-N(V_L1_Mes)+1)&lt;=N(V_L1_Gracia)+N(V_L1_Cuotas),N(V_L1_Cuotas)&gt;0),IF((37-N(V_L1_Mes)+1)=N(V_L1_Gracia)+N(V_L1_Cuotas),IF((37-N(V_L1_Mes)+1)=1,N(V_L1_Monto),AO$282),PMT(N(V_L1_Tasa)/12,N(V_L1_Cuotas),-N(V_L1_Monto))-AP$280),0)*AP$9</f>
        <v>52707.7010126267</v>
      </c>
      <c r="AQ281" s="34" t="n">
        <f aca="false">IF(AND((38-N(V_L1_Mes)+1)&gt;N(V_L1_Gracia),(38-N(V_L1_Mes)+1)&lt;=N(V_L1_Gracia)+N(V_L1_Cuotas),N(V_L1_Cuotas)&gt;0),IF((38-N(V_L1_Mes)+1)=N(V_L1_Gracia)+N(V_L1_Cuotas),IF((38-N(V_L1_Mes)+1)=1,N(V_L1_Monto),AP$282),PMT(N(V_L1_Tasa)/12,N(V_L1_Cuotas),-N(V_L1_Monto))-AQ$280),0)*AQ$9</f>
        <v>53103.0087702214</v>
      </c>
      <c r="AR281" s="34" t="n">
        <f aca="false">IF(AND((39-N(V_L1_Mes)+1)&gt;N(V_L1_Gracia),(39-N(V_L1_Mes)+1)&lt;=N(V_L1_Gracia)+N(V_L1_Cuotas),N(V_L1_Cuotas)&gt;0),IF((39-N(V_L1_Mes)+1)=N(V_L1_Gracia)+N(V_L1_Cuotas),IF((39-N(V_L1_Mes)+1)=1,N(V_L1_Monto),AQ$282),PMT(N(V_L1_Tasa)/12,N(V_L1_Cuotas),-N(V_L1_Monto))-AR$280),0)*AR$9</f>
        <v>53501.2813359981</v>
      </c>
      <c r="AS281" s="34" t="n">
        <f aca="false">IF(AND((40-N(V_L1_Mes)+1)&gt;N(V_L1_Gracia),(40-N(V_L1_Mes)+1)&lt;=N(V_L1_Gracia)+N(V_L1_Cuotas),N(V_L1_Cuotas)&gt;0),IF((40-N(V_L1_Mes)+1)=N(V_L1_Gracia)+N(V_L1_Cuotas),IF((40-N(V_L1_Mes)+1)=1,N(V_L1_Monto),AR$282),PMT(N(V_L1_Tasa)/12,N(V_L1_Cuotas),-N(V_L1_Monto))-AS$280),0)*AS$9</f>
        <v>53902.5409460181</v>
      </c>
      <c r="AT281" s="34" t="n">
        <f aca="false">IF(AND((41-N(V_L1_Mes)+1)&gt;N(V_L1_Gracia),(41-N(V_L1_Mes)+1)&lt;=N(V_L1_Gracia)+N(V_L1_Cuotas),N(V_L1_Cuotas)&gt;0),IF((41-N(V_L1_Mes)+1)=N(V_L1_Gracia)+N(V_L1_Cuotas),IF((41-N(V_L1_Mes)+1)=1,N(V_L1_Monto),AS$282),PMT(N(V_L1_Tasa)/12,N(V_L1_Cuotas),-N(V_L1_Monto))-AT$280),0)*AT$9</f>
        <v>54306.8100031132</v>
      </c>
      <c r="AU281" s="34" t="n">
        <f aca="false">IF(AND((42-N(V_L1_Mes)+1)&gt;N(V_L1_Gracia),(42-N(V_L1_Mes)+1)&lt;=N(V_L1_Gracia)+N(V_L1_Cuotas),N(V_L1_Cuotas)&gt;0),IF((42-N(V_L1_Mes)+1)=N(V_L1_Gracia)+N(V_L1_Cuotas),IF((42-N(V_L1_Mes)+1)=1,N(V_L1_Monto),AT$282),PMT(N(V_L1_Tasa)/12,N(V_L1_Cuotas),-N(V_L1_Monto))-AU$280),0)*AU$9</f>
        <v>54714.1110781366</v>
      </c>
      <c r="AV281" s="34" t="n">
        <f aca="false">IF(AND((43-N(V_L1_Mes)+1)&gt;N(V_L1_Gracia),(43-N(V_L1_Mes)+1)&lt;=N(V_L1_Gracia)+N(V_L1_Cuotas),N(V_L1_Cuotas)&gt;0),IF((43-N(V_L1_Mes)+1)=N(V_L1_Gracia)+N(V_L1_Cuotas),IF((43-N(V_L1_Mes)+1)=1,N(V_L1_Monto),AU$282),PMT(N(V_L1_Tasa)/12,N(V_L1_Cuotas),-N(V_L1_Monto))-AV$280),0)*AV$9</f>
        <v>55124.4669112226</v>
      </c>
      <c r="AW281" s="34" t="n">
        <f aca="false">IF(AND((44-N(V_L1_Mes)+1)&gt;N(V_L1_Gracia),(44-N(V_L1_Mes)+1)&lt;=N(V_L1_Gracia)+N(V_L1_Cuotas),N(V_L1_Cuotas)&gt;0),IF((44-N(V_L1_Mes)+1)=N(V_L1_Gracia)+N(V_L1_Cuotas),IF((44-N(V_L1_Mes)+1)=1,N(V_L1_Monto),AV$282),PMT(N(V_L1_Tasa)/12,N(V_L1_Cuotas),-N(V_L1_Monto))-AW$280),0)*AW$9</f>
        <v>55537.9004130568</v>
      </c>
      <c r="AX281" s="34" t="n">
        <f aca="false">IF(AND((45-N(V_L1_Mes)+1)&gt;N(V_L1_Gracia),(45-N(V_L1_Mes)+1)&lt;=N(V_L1_Gracia)+N(V_L1_Cuotas),N(V_L1_Cuotas)&gt;0),IF((45-N(V_L1_Mes)+1)=N(V_L1_Gracia)+N(V_L1_Cuotas),IF((45-N(V_L1_Mes)+1)=1,N(V_L1_Monto),AW$282),PMT(N(V_L1_Tasa)/12,N(V_L1_Cuotas),-N(V_L1_Monto))-AX$280),0)*AX$9</f>
        <v>55954.4346661547</v>
      </c>
      <c r="AY281" s="34" t="n">
        <f aca="false">IF(AND((46-N(V_L1_Mes)+1)&gt;N(V_L1_Gracia),(46-N(V_L1_Mes)+1)&lt;=N(V_L1_Gracia)+N(V_L1_Cuotas),N(V_L1_Cuotas)&gt;0),IF((46-N(V_L1_Mes)+1)=N(V_L1_Gracia)+N(V_L1_Cuotas),IF((46-N(V_L1_Mes)+1)=1,N(V_L1_Monto),AX$282),PMT(N(V_L1_Tasa)/12,N(V_L1_Cuotas),-N(V_L1_Monto))-AY$280),0)*AY$9</f>
        <v>56374.0929261509</v>
      </c>
      <c r="AZ281" s="34" t="n">
        <f aca="false">IF(AND((47-N(V_L1_Mes)+1)&gt;N(V_L1_Gracia),(47-N(V_L1_Mes)+1)&lt;=N(V_L1_Gracia)+N(V_L1_Cuotas),N(V_L1_Cuotas)&gt;0),IF((47-N(V_L1_Mes)+1)=N(V_L1_Gracia)+N(V_L1_Cuotas),IF((47-N(V_L1_Mes)+1)=1,N(V_L1_Monto),AY$282),PMT(N(V_L1_Tasa)/12,N(V_L1_Cuotas),-N(V_L1_Monto))-AZ$280),0)*AZ$9</f>
        <v>56796.898623097</v>
      </c>
      <c r="BA281" s="34" t="n">
        <f aca="false">IF(AND((48-N(V_L1_Mes)+1)&gt;N(V_L1_Gracia),(48-N(V_L1_Mes)+1)&lt;=N(V_L1_Gracia)+N(V_L1_Cuotas),N(V_L1_Cuotas)&gt;0),IF((48-N(V_L1_Mes)+1)=N(V_L1_Gracia)+N(V_L1_Cuotas),IF((48-N(V_L1_Mes)+1)=1,N(V_L1_Monto),AZ$282),PMT(N(V_L1_Tasa)/12,N(V_L1_Cuotas),-N(V_L1_Monto))-BA$280),0)*BA$9</f>
        <v>57222.8753627702</v>
      </c>
      <c r="BB281" s="34" t="n">
        <f aca="false">IF(AND((49-N(V_L1_Mes)+1)&gt;N(V_L1_Gracia),(49-N(V_L1_Mes)+1)&lt;=N(V_L1_Gracia)+N(V_L1_Cuotas),N(V_L1_Cuotas)&gt;0),IF((49-N(V_L1_Mes)+1)=N(V_L1_Gracia)+N(V_L1_Cuotas),IF((49-N(V_L1_Mes)+1)=1,N(V_L1_Monto),BA$282),PMT(N(V_L1_Tasa)/12,N(V_L1_Cuotas),-N(V_L1_Monto))-BB$280),0)*BB$9</f>
        <v>57652.046927991</v>
      </c>
      <c r="BC281" s="34" t="n">
        <f aca="false">IF(AND((50-N(V_L1_Mes)+1)&gt;N(V_L1_Gracia),(50-N(V_L1_Mes)+1)&lt;=N(V_L1_Gracia)+N(V_L1_Cuotas),N(V_L1_Cuotas)&gt;0),IF((50-N(V_L1_Mes)+1)=N(V_L1_Gracia)+N(V_L1_Cuotas),IF((50-N(V_L1_Mes)+1)=1,N(V_L1_Monto),BB$282),PMT(N(V_L1_Tasa)/12,N(V_L1_Cuotas),-N(V_L1_Monto))-BC$280),0)*BC$9</f>
        <v>58084.4372799509</v>
      </c>
      <c r="BD281" s="34" t="n">
        <f aca="false">IF(AND((51-N(V_L1_Mes)+1)&gt;N(V_L1_Gracia),(51-N(V_L1_Mes)+1)&lt;=N(V_L1_Gracia)+N(V_L1_Cuotas),N(V_L1_Cuotas)&gt;0),IF((51-N(V_L1_Mes)+1)=N(V_L1_Gracia)+N(V_L1_Cuotas),IF((51-N(V_L1_Mes)+1)=1,N(V_L1_Monto),BC$282),PMT(N(V_L1_Tasa)/12,N(V_L1_Cuotas),-N(V_L1_Monto))-BD$280),0)*BD$9</f>
        <v>58520.0705595506</v>
      </c>
      <c r="BE281" s="34" t="n">
        <f aca="false">IF(AND((52-N(V_L1_Mes)+1)&gt;N(V_L1_Gracia),(52-N(V_L1_Mes)+1)&lt;=N(V_L1_Gracia)+N(V_L1_Cuotas),N(V_L1_Cuotas)&gt;0),IF((52-N(V_L1_Mes)+1)=N(V_L1_Gracia)+N(V_L1_Cuotas),IF((52-N(V_L1_Mes)+1)=1,N(V_L1_Monto),BD$282),PMT(N(V_L1_Tasa)/12,N(V_L1_Cuotas),-N(V_L1_Monto))-BE$280),0)*BE$9</f>
        <v>58958.9710887472</v>
      </c>
      <c r="BF281" s="34" t="n">
        <f aca="false">IF(AND((53-N(V_L1_Mes)+1)&gt;N(V_L1_Gracia),(53-N(V_L1_Mes)+1)&lt;=N(V_L1_Gracia)+N(V_L1_Cuotas),N(V_L1_Cuotas)&gt;0),IF((53-N(V_L1_Mes)+1)=N(V_L1_Gracia)+N(V_L1_Cuotas),IF((53-N(V_L1_Mes)+1)=1,N(V_L1_Monto),BE$282),PMT(N(V_L1_Tasa)/12,N(V_L1_Cuotas),-N(V_L1_Monto))-BF$280),0)*BF$9</f>
        <v>59401.1633719128</v>
      </c>
      <c r="BG281" s="34" t="n">
        <f aca="false">IF(AND((54-N(V_L1_Mes)+1)&gt;N(V_L1_Gracia),(54-N(V_L1_Mes)+1)&lt;=N(V_L1_Gracia)+N(V_L1_Cuotas),N(V_L1_Cuotas)&gt;0),IF((54-N(V_L1_Mes)+1)=N(V_L1_Gracia)+N(V_L1_Cuotas),IF((54-N(V_L1_Mes)+1)=1,N(V_L1_Monto),BF$282),PMT(N(V_L1_Tasa)/12,N(V_L1_Cuotas),-N(V_L1_Monto))-BG$280),0)*BG$9</f>
        <v>59846.6720972021</v>
      </c>
      <c r="BH281" s="34" t="n">
        <f aca="false">IF(AND((55-N(V_L1_Mes)+1)&gt;N(V_L1_Gracia),(55-N(V_L1_Mes)+1)&lt;=N(V_L1_Gracia)+N(V_L1_Cuotas),N(V_L1_Cuotas)&gt;0),IF((55-N(V_L1_Mes)+1)=N(V_L1_Gracia)+N(V_L1_Cuotas),IF((55-N(V_L1_Mes)+1)=1,N(V_L1_Monto),BG$282),PMT(N(V_L1_Tasa)/12,N(V_L1_Cuotas),-N(V_L1_Monto))-BH$280),0)*BH$9</f>
        <v>60295.5221379312</v>
      </c>
      <c r="BI281" s="34" t="n">
        <f aca="false">IF(AND((56-N(V_L1_Mes)+1)&gt;N(V_L1_Gracia),(56-N(V_L1_Mes)+1)&lt;=N(V_L1_Gracia)+N(V_L1_Cuotas),N(V_L1_Cuotas)&gt;0),IF((56-N(V_L1_Mes)+1)=N(V_L1_Gracia)+N(V_L1_Cuotas),IF((56-N(V_L1_Mes)+1)=1,N(V_L1_Monto),BH$282),PMT(N(V_L1_Tasa)/12,N(V_L1_Cuotas),-N(V_L1_Monto))-BI$280),0)*BI$9</f>
        <v>60747.7385539656</v>
      </c>
      <c r="BJ281" s="34" t="n">
        <f aca="false">IF(AND((57-N(V_L1_Mes)+1)&gt;N(V_L1_Gracia),(57-N(V_L1_Mes)+1)&lt;=N(V_L1_Gracia)+N(V_L1_Cuotas),N(V_L1_Cuotas)&gt;0),IF((57-N(V_L1_Mes)+1)=N(V_L1_Gracia)+N(V_L1_Cuotas),IF((57-N(V_L1_Mes)+1)=1,N(V_L1_Monto),BI$282),PMT(N(V_L1_Tasa)/12,N(V_L1_Cuotas),-N(V_L1_Monto))-BJ$280),0)*BJ$9</f>
        <v>61203.3465931204</v>
      </c>
      <c r="BK281" s="34" t="n">
        <f aca="false">IF(AND((58-N(V_L1_Mes)+1)&gt;N(V_L1_Gracia),(58-N(V_L1_Mes)+1)&lt;=N(V_L1_Gracia)+N(V_L1_Cuotas),N(V_L1_Cuotas)&gt;0),IF((58-N(V_L1_Mes)+1)=N(V_L1_Gracia)+N(V_L1_Cuotas),IF((58-N(V_L1_Mes)+1)=1,N(V_L1_Monto),BJ$282),PMT(N(V_L1_Tasa)/12,N(V_L1_Cuotas),-N(V_L1_Monto))-BK$280),0)*BK$9</f>
        <v>61662.3716925688</v>
      </c>
      <c r="BL281" s="34" t="n">
        <f aca="false">IF(AND((59-N(V_L1_Mes)+1)&gt;N(V_L1_Gracia),(59-N(V_L1_Mes)+1)&lt;=N(V_L1_Gracia)+N(V_L1_Cuotas),N(V_L1_Cuotas)&gt;0),IF((59-N(V_L1_Mes)+1)=N(V_L1_Gracia)+N(V_L1_Cuotas),IF((59-N(V_L1_Mes)+1)=1,N(V_L1_Monto),BK$282),PMT(N(V_L1_Tasa)/12,N(V_L1_Cuotas),-N(V_L1_Monto))-BL$280),0)*BL$9</f>
        <v>62124.839480263</v>
      </c>
      <c r="BM281" s="34" t="n">
        <f aca="false">IF(AND((60-N(V_L1_Mes)+1)&gt;N(V_L1_Gracia),(60-N(V_L1_Mes)+1)&lt;=N(V_L1_Gracia)+N(V_L1_Cuotas),N(V_L1_Cuotas)&gt;0),IF((60-N(V_L1_Mes)+1)=N(V_L1_Gracia)+N(V_L1_Cuotas),IF((60-N(V_L1_Mes)+1)=1,N(V_L1_Monto),BL$282),PMT(N(V_L1_Tasa)/12,N(V_L1_Cuotas),-N(V_L1_Monto))-BM$280),0)*BM$9</f>
        <v>62590.7757763667</v>
      </c>
      <c r="BN281" s="34" t="n">
        <f aca="false">IF(AND((61-N(V_L1_Mes)+1)&gt;N(V_L1_Gracia),(61-N(V_L1_Mes)+1)&lt;=N(V_L1_Gracia)+N(V_L1_Cuotas),N(V_L1_Cuotas)&gt;0),IF((61-N(V_L1_Mes)+1)=N(V_L1_Gracia)+N(V_L1_Cuotas),IF((61-N(V_L1_Mes)+1)=1,N(V_L1_Monto),BM$282),PMT(N(V_L1_Tasa)/12,N(V_L1_Cuotas),-N(V_L1_Monto))-BN$280),0)*BN$9</f>
        <v>0</v>
      </c>
      <c r="BO281" s="34" t="n">
        <f aca="false">IF(AND((62-N(V_L1_Mes)+1)&gt;N(V_L1_Gracia),(62-N(V_L1_Mes)+1)&lt;=N(V_L1_Gracia)+N(V_L1_Cuotas),N(V_L1_Cuotas)&gt;0),IF((62-N(V_L1_Mes)+1)=N(V_L1_Gracia)+N(V_L1_Cuotas),IF((62-N(V_L1_Mes)+1)=1,N(V_L1_Monto),BN$282),PMT(N(V_L1_Tasa)/12,N(V_L1_Cuotas),-N(V_L1_Monto))-BO$280),0)*BO$9</f>
        <v>0</v>
      </c>
      <c r="BP281" s="34" t="n">
        <f aca="false">IF(AND((63-N(V_L1_Mes)+1)&gt;N(V_L1_Gracia),(63-N(V_L1_Mes)+1)&lt;=N(V_L1_Gracia)+N(V_L1_Cuotas),N(V_L1_Cuotas)&gt;0),IF((63-N(V_L1_Mes)+1)=N(V_L1_Gracia)+N(V_L1_Cuotas),IF((63-N(V_L1_Mes)+1)=1,N(V_L1_Monto),BO$282),PMT(N(V_L1_Tasa)/12,N(V_L1_Cuotas),-N(V_L1_Monto))-BP$280),0)*BP$9</f>
        <v>0</v>
      </c>
      <c r="BQ281" s="34" t="n">
        <f aca="false">IF(AND((64-N(V_L1_Mes)+1)&gt;N(V_L1_Gracia),(64-N(V_L1_Mes)+1)&lt;=N(V_L1_Gracia)+N(V_L1_Cuotas),N(V_L1_Cuotas)&gt;0),IF((64-N(V_L1_Mes)+1)=N(V_L1_Gracia)+N(V_L1_Cuotas),IF((64-N(V_L1_Mes)+1)=1,N(V_L1_Monto),BP$282),PMT(N(V_L1_Tasa)/12,N(V_L1_Cuotas),-N(V_L1_Monto))-BQ$280),0)*BQ$9</f>
        <v>0</v>
      </c>
      <c r="BR281" s="34" t="n">
        <f aca="false">IF(AND((65-N(V_L1_Mes)+1)&gt;N(V_L1_Gracia),(65-N(V_L1_Mes)+1)&lt;=N(V_L1_Gracia)+N(V_L1_Cuotas),N(V_L1_Cuotas)&gt;0),IF((65-N(V_L1_Mes)+1)=N(V_L1_Gracia)+N(V_L1_Cuotas),IF((65-N(V_L1_Mes)+1)=1,N(V_L1_Monto),BQ$282),PMT(N(V_L1_Tasa)/12,N(V_L1_Cuotas),-N(V_L1_Monto))-BR$280),0)*BR$9</f>
        <v>0</v>
      </c>
      <c r="BS281" s="34" t="n">
        <f aca="false">IF(AND((66-N(V_L1_Mes)+1)&gt;N(V_L1_Gracia),(66-N(V_L1_Mes)+1)&lt;=N(V_L1_Gracia)+N(V_L1_Cuotas),N(V_L1_Cuotas)&gt;0),IF((66-N(V_L1_Mes)+1)=N(V_L1_Gracia)+N(V_L1_Cuotas),IF((66-N(V_L1_Mes)+1)=1,N(V_L1_Monto),BR$282),PMT(N(V_L1_Tasa)/12,N(V_L1_Cuotas),-N(V_L1_Monto))-BS$280),0)*BS$9</f>
        <v>0</v>
      </c>
      <c r="BT281" s="34" t="n">
        <f aca="false">IF(AND((67-N(V_L1_Mes)+1)&gt;N(V_L1_Gracia),(67-N(V_L1_Mes)+1)&lt;=N(V_L1_Gracia)+N(V_L1_Cuotas),N(V_L1_Cuotas)&gt;0),IF((67-N(V_L1_Mes)+1)=N(V_L1_Gracia)+N(V_L1_Cuotas),IF((67-N(V_L1_Mes)+1)=1,N(V_L1_Monto),BS$282),PMT(N(V_L1_Tasa)/12,N(V_L1_Cuotas),-N(V_L1_Monto))-BT$280),0)*BT$9</f>
        <v>0</v>
      </c>
      <c r="BU281" s="34" t="n">
        <f aca="false">IF(AND((68-N(V_L1_Mes)+1)&gt;N(V_L1_Gracia),(68-N(V_L1_Mes)+1)&lt;=N(V_L1_Gracia)+N(V_L1_Cuotas),N(V_L1_Cuotas)&gt;0),IF((68-N(V_L1_Mes)+1)=N(V_L1_Gracia)+N(V_L1_Cuotas),IF((68-N(V_L1_Mes)+1)=1,N(V_L1_Monto),BT$282),PMT(N(V_L1_Tasa)/12,N(V_L1_Cuotas),-N(V_L1_Monto))-BU$280),0)*BU$9</f>
        <v>0</v>
      </c>
      <c r="BV281" s="34" t="n">
        <f aca="false">IF(AND((69-N(V_L1_Mes)+1)&gt;N(V_L1_Gracia),(69-N(V_L1_Mes)+1)&lt;=N(V_L1_Gracia)+N(V_L1_Cuotas),N(V_L1_Cuotas)&gt;0),IF((69-N(V_L1_Mes)+1)=N(V_L1_Gracia)+N(V_L1_Cuotas),IF((69-N(V_L1_Mes)+1)=1,N(V_L1_Monto),BU$282),PMT(N(V_L1_Tasa)/12,N(V_L1_Cuotas),-N(V_L1_Monto))-BV$280),0)*BV$9</f>
        <v>0</v>
      </c>
      <c r="BW281" s="34" t="n">
        <f aca="false">IF(AND((70-N(V_L1_Mes)+1)&gt;N(V_L1_Gracia),(70-N(V_L1_Mes)+1)&lt;=N(V_L1_Gracia)+N(V_L1_Cuotas),N(V_L1_Cuotas)&gt;0),IF((70-N(V_L1_Mes)+1)=N(V_L1_Gracia)+N(V_L1_Cuotas),IF((70-N(V_L1_Mes)+1)=1,N(V_L1_Monto),BV$282),PMT(N(V_L1_Tasa)/12,N(V_L1_Cuotas),-N(V_L1_Monto))-BW$280),0)*BW$9</f>
        <v>0</v>
      </c>
      <c r="BX281" s="34" t="n">
        <f aca="false">IF(AND((71-N(V_L1_Mes)+1)&gt;N(V_L1_Gracia),(71-N(V_L1_Mes)+1)&lt;=N(V_L1_Gracia)+N(V_L1_Cuotas),N(V_L1_Cuotas)&gt;0),IF((71-N(V_L1_Mes)+1)=N(V_L1_Gracia)+N(V_L1_Cuotas),IF((71-N(V_L1_Mes)+1)=1,N(V_L1_Monto),BW$282),PMT(N(V_L1_Tasa)/12,N(V_L1_Cuotas),-N(V_L1_Monto))-BX$280),0)*BX$9</f>
        <v>0</v>
      </c>
      <c r="BY281" s="34" t="n">
        <f aca="false">IF(AND((72-N(V_L1_Mes)+1)&gt;N(V_L1_Gracia),(72-N(V_L1_Mes)+1)&lt;=N(V_L1_Gracia)+N(V_L1_Cuotas),N(V_L1_Cuotas)&gt;0),IF((72-N(V_L1_Mes)+1)=N(V_L1_Gracia)+N(V_L1_Cuotas),IF((72-N(V_L1_Mes)+1)=1,N(V_L1_Monto),BX$282),PMT(N(V_L1_Tasa)/12,N(V_L1_Cuotas),-N(V_L1_Monto))-BY$280),0)*BY$9</f>
        <v>0</v>
      </c>
      <c r="BZ281" s="34" t="n">
        <f aca="false">IF(AND((73-N(V_L1_Mes)+1)&gt;N(V_L1_Gracia),(73-N(V_L1_Mes)+1)&lt;=N(V_L1_Gracia)+N(V_L1_Cuotas),N(V_L1_Cuotas)&gt;0),IF((73-N(V_L1_Mes)+1)=N(V_L1_Gracia)+N(V_L1_Cuotas),IF((73-N(V_L1_Mes)+1)=1,N(V_L1_Monto),BY$282),PMT(N(V_L1_Tasa)/12,N(V_L1_Cuotas),-N(V_L1_Monto))-BZ$280),0)*BZ$9</f>
        <v>0</v>
      </c>
      <c r="CA281" s="34" t="n">
        <f aca="false">IF(AND((74-N(V_L1_Mes)+1)&gt;N(V_L1_Gracia),(74-N(V_L1_Mes)+1)&lt;=N(V_L1_Gracia)+N(V_L1_Cuotas),N(V_L1_Cuotas)&gt;0),IF((74-N(V_L1_Mes)+1)=N(V_L1_Gracia)+N(V_L1_Cuotas),IF((74-N(V_L1_Mes)+1)=1,N(V_L1_Monto),BZ$282),PMT(N(V_L1_Tasa)/12,N(V_L1_Cuotas),-N(V_L1_Monto))-CA$280),0)*CA$9</f>
        <v>0</v>
      </c>
      <c r="CB281" s="34" t="n">
        <f aca="false">IF(AND((75-N(V_L1_Mes)+1)&gt;N(V_L1_Gracia),(75-N(V_L1_Mes)+1)&lt;=N(V_L1_Gracia)+N(V_L1_Cuotas),N(V_L1_Cuotas)&gt;0),IF((75-N(V_L1_Mes)+1)=N(V_L1_Gracia)+N(V_L1_Cuotas),IF((75-N(V_L1_Mes)+1)=1,N(V_L1_Monto),CA$282),PMT(N(V_L1_Tasa)/12,N(V_L1_Cuotas),-N(V_L1_Monto))-CB$280),0)*CB$9</f>
        <v>0</v>
      </c>
      <c r="CC281" s="34" t="n">
        <f aca="false">IF(AND((76-N(V_L1_Mes)+1)&gt;N(V_L1_Gracia),(76-N(V_L1_Mes)+1)&lt;=N(V_L1_Gracia)+N(V_L1_Cuotas),N(V_L1_Cuotas)&gt;0),IF((76-N(V_L1_Mes)+1)=N(V_L1_Gracia)+N(V_L1_Cuotas),IF((76-N(V_L1_Mes)+1)=1,N(V_L1_Monto),CB$282),PMT(N(V_L1_Tasa)/12,N(V_L1_Cuotas),-N(V_L1_Monto))-CC$280),0)*CC$9</f>
        <v>0</v>
      </c>
      <c r="CD281" s="34" t="n">
        <f aca="false">IF(AND((77-N(V_L1_Mes)+1)&gt;N(V_L1_Gracia),(77-N(V_L1_Mes)+1)&lt;=N(V_L1_Gracia)+N(V_L1_Cuotas),N(V_L1_Cuotas)&gt;0),IF((77-N(V_L1_Mes)+1)=N(V_L1_Gracia)+N(V_L1_Cuotas),IF((77-N(V_L1_Mes)+1)=1,N(V_L1_Monto),CC$282),PMT(N(V_L1_Tasa)/12,N(V_L1_Cuotas),-N(V_L1_Monto))-CD$280),0)*CD$9</f>
        <v>0</v>
      </c>
      <c r="CE281" s="34" t="n">
        <f aca="false">IF(AND((78-N(V_L1_Mes)+1)&gt;N(V_L1_Gracia),(78-N(V_L1_Mes)+1)&lt;=N(V_L1_Gracia)+N(V_L1_Cuotas),N(V_L1_Cuotas)&gt;0),IF((78-N(V_L1_Mes)+1)=N(V_L1_Gracia)+N(V_L1_Cuotas),IF((78-N(V_L1_Mes)+1)=1,N(V_L1_Monto),CD$282),PMT(N(V_L1_Tasa)/12,N(V_L1_Cuotas),-N(V_L1_Monto))-CE$280),0)*CE$9</f>
        <v>0</v>
      </c>
      <c r="CF281" s="34" t="n">
        <f aca="false">IF(AND((79-N(V_L1_Mes)+1)&gt;N(V_L1_Gracia),(79-N(V_L1_Mes)+1)&lt;=N(V_L1_Gracia)+N(V_L1_Cuotas),N(V_L1_Cuotas)&gt;0),IF((79-N(V_L1_Mes)+1)=N(V_L1_Gracia)+N(V_L1_Cuotas),IF((79-N(V_L1_Mes)+1)=1,N(V_L1_Monto),CE$282),PMT(N(V_L1_Tasa)/12,N(V_L1_Cuotas),-N(V_L1_Monto))-CF$280),0)*CF$9</f>
        <v>0</v>
      </c>
      <c r="CG281" s="34" t="n">
        <f aca="false">IF(AND((80-N(V_L1_Mes)+1)&gt;N(V_L1_Gracia),(80-N(V_L1_Mes)+1)&lt;=N(V_L1_Gracia)+N(V_L1_Cuotas),N(V_L1_Cuotas)&gt;0),IF((80-N(V_L1_Mes)+1)=N(V_L1_Gracia)+N(V_L1_Cuotas),IF((80-N(V_L1_Mes)+1)=1,N(V_L1_Monto),CF$282),PMT(N(V_L1_Tasa)/12,N(V_L1_Cuotas),-N(V_L1_Monto))-CG$280),0)*CG$9</f>
        <v>0</v>
      </c>
      <c r="CH281" s="34" t="n">
        <f aca="false">IF(AND((81-N(V_L1_Mes)+1)&gt;N(V_L1_Gracia),(81-N(V_L1_Mes)+1)&lt;=N(V_L1_Gracia)+N(V_L1_Cuotas),N(V_L1_Cuotas)&gt;0),IF((81-N(V_L1_Mes)+1)=N(V_L1_Gracia)+N(V_L1_Cuotas),IF((81-N(V_L1_Mes)+1)=1,N(V_L1_Monto),CG$282),PMT(N(V_L1_Tasa)/12,N(V_L1_Cuotas),-N(V_L1_Monto))-CH$280),0)*CH$9</f>
        <v>0</v>
      </c>
      <c r="CI281" s="34" t="n">
        <f aca="false">IF(AND((82-N(V_L1_Mes)+1)&gt;N(V_L1_Gracia),(82-N(V_L1_Mes)+1)&lt;=N(V_L1_Gracia)+N(V_L1_Cuotas),N(V_L1_Cuotas)&gt;0),IF((82-N(V_L1_Mes)+1)=N(V_L1_Gracia)+N(V_L1_Cuotas),IF((82-N(V_L1_Mes)+1)=1,N(V_L1_Monto),CH$282),PMT(N(V_L1_Tasa)/12,N(V_L1_Cuotas),-N(V_L1_Monto))-CI$280),0)*CI$9</f>
        <v>0</v>
      </c>
      <c r="CJ281" s="34" t="n">
        <f aca="false">IF(AND((83-N(V_L1_Mes)+1)&gt;N(V_L1_Gracia),(83-N(V_L1_Mes)+1)&lt;=N(V_L1_Gracia)+N(V_L1_Cuotas),N(V_L1_Cuotas)&gt;0),IF((83-N(V_L1_Mes)+1)=N(V_L1_Gracia)+N(V_L1_Cuotas),IF((83-N(V_L1_Mes)+1)=1,N(V_L1_Monto),CI$282),PMT(N(V_L1_Tasa)/12,N(V_L1_Cuotas),-N(V_L1_Monto))-CJ$280),0)*CJ$9</f>
        <v>0</v>
      </c>
      <c r="CK281" s="34" t="n">
        <f aca="false">IF(AND((84-N(V_L1_Mes)+1)&gt;N(V_L1_Gracia),(84-N(V_L1_Mes)+1)&lt;=N(V_L1_Gracia)+N(V_L1_Cuotas),N(V_L1_Cuotas)&gt;0),IF((84-N(V_L1_Mes)+1)=N(V_L1_Gracia)+N(V_L1_Cuotas),IF((84-N(V_L1_Mes)+1)=1,N(V_L1_Monto),CJ$282),PMT(N(V_L1_Tasa)/12,N(V_L1_Cuotas),-N(V_L1_Monto))-CK$280),0)*CK$9</f>
        <v>0</v>
      </c>
      <c r="CL281" s="34" t="n">
        <f aca="false">IF(AND((85-N(V_L1_Mes)+1)&gt;N(V_L1_Gracia),(85-N(V_L1_Mes)+1)&lt;=N(V_L1_Gracia)+N(V_L1_Cuotas),N(V_L1_Cuotas)&gt;0),IF((85-N(V_L1_Mes)+1)=N(V_L1_Gracia)+N(V_L1_Cuotas),IF((85-N(V_L1_Mes)+1)=1,N(V_L1_Monto),CK$282),PMT(N(V_L1_Tasa)/12,N(V_L1_Cuotas),-N(V_L1_Monto))-CL$280),0)*CL$9</f>
        <v>0</v>
      </c>
      <c r="CM281" s="34" t="n">
        <f aca="false">IF(AND((86-N(V_L1_Mes)+1)&gt;N(V_L1_Gracia),(86-N(V_L1_Mes)+1)&lt;=N(V_L1_Gracia)+N(V_L1_Cuotas),N(V_L1_Cuotas)&gt;0),IF((86-N(V_L1_Mes)+1)=N(V_L1_Gracia)+N(V_L1_Cuotas),IF((86-N(V_L1_Mes)+1)=1,N(V_L1_Monto),CL$282),PMT(N(V_L1_Tasa)/12,N(V_L1_Cuotas),-N(V_L1_Monto))-CM$280),0)*CM$9</f>
        <v>0</v>
      </c>
      <c r="CN281" s="34" t="n">
        <f aca="false">IF(AND((87-N(V_L1_Mes)+1)&gt;N(V_L1_Gracia),(87-N(V_L1_Mes)+1)&lt;=N(V_L1_Gracia)+N(V_L1_Cuotas),N(V_L1_Cuotas)&gt;0),IF((87-N(V_L1_Mes)+1)=N(V_L1_Gracia)+N(V_L1_Cuotas),IF((87-N(V_L1_Mes)+1)=1,N(V_L1_Monto),CM$282),PMT(N(V_L1_Tasa)/12,N(V_L1_Cuotas),-N(V_L1_Monto))-CN$280),0)*CN$9</f>
        <v>0</v>
      </c>
      <c r="CO281" s="34" t="n">
        <f aca="false">IF(AND((88-N(V_L1_Mes)+1)&gt;N(V_L1_Gracia),(88-N(V_L1_Mes)+1)&lt;=N(V_L1_Gracia)+N(V_L1_Cuotas),N(V_L1_Cuotas)&gt;0),IF((88-N(V_L1_Mes)+1)=N(V_L1_Gracia)+N(V_L1_Cuotas),IF((88-N(V_L1_Mes)+1)=1,N(V_L1_Monto),CN$282),PMT(N(V_L1_Tasa)/12,N(V_L1_Cuotas),-N(V_L1_Monto))-CO$280),0)*CO$9</f>
        <v>0</v>
      </c>
      <c r="CP281" s="34" t="n">
        <f aca="false">IF(AND((89-N(V_L1_Mes)+1)&gt;N(V_L1_Gracia),(89-N(V_L1_Mes)+1)&lt;=N(V_L1_Gracia)+N(V_L1_Cuotas),N(V_L1_Cuotas)&gt;0),IF((89-N(V_L1_Mes)+1)=N(V_L1_Gracia)+N(V_L1_Cuotas),IF((89-N(V_L1_Mes)+1)=1,N(V_L1_Monto),CO$282),PMT(N(V_L1_Tasa)/12,N(V_L1_Cuotas),-N(V_L1_Monto))-CP$280),0)*CP$9</f>
        <v>0</v>
      </c>
      <c r="CQ281" s="34" t="n">
        <f aca="false">IF(AND((90-N(V_L1_Mes)+1)&gt;N(V_L1_Gracia),(90-N(V_L1_Mes)+1)&lt;=N(V_L1_Gracia)+N(V_L1_Cuotas),N(V_L1_Cuotas)&gt;0),IF((90-N(V_L1_Mes)+1)=N(V_L1_Gracia)+N(V_L1_Cuotas),IF((90-N(V_L1_Mes)+1)=1,N(V_L1_Monto),CP$282),PMT(N(V_L1_Tasa)/12,N(V_L1_Cuotas),-N(V_L1_Monto))-CQ$280),0)*CQ$9</f>
        <v>0</v>
      </c>
      <c r="CR281" s="34" t="n">
        <f aca="false">IF(AND((91-N(V_L1_Mes)+1)&gt;N(V_L1_Gracia),(91-N(V_L1_Mes)+1)&lt;=N(V_L1_Gracia)+N(V_L1_Cuotas),N(V_L1_Cuotas)&gt;0),IF((91-N(V_L1_Mes)+1)=N(V_L1_Gracia)+N(V_L1_Cuotas),IF((91-N(V_L1_Mes)+1)=1,N(V_L1_Monto),CQ$282),PMT(N(V_L1_Tasa)/12,N(V_L1_Cuotas),-N(V_L1_Monto))-CR$280),0)*CR$9</f>
        <v>0</v>
      </c>
      <c r="CS281" s="34" t="n">
        <f aca="false">IF(AND((92-N(V_L1_Mes)+1)&gt;N(V_L1_Gracia),(92-N(V_L1_Mes)+1)&lt;=N(V_L1_Gracia)+N(V_L1_Cuotas),N(V_L1_Cuotas)&gt;0),IF((92-N(V_L1_Mes)+1)=N(V_L1_Gracia)+N(V_L1_Cuotas),IF((92-N(V_L1_Mes)+1)=1,N(V_L1_Monto),CR$282),PMT(N(V_L1_Tasa)/12,N(V_L1_Cuotas),-N(V_L1_Monto))-CS$280),0)*CS$9</f>
        <v>0</v>
      </c>
      <c r="CT281" s="34" t="n">
        <f aca="false">IF(AND((93-N(V_L1_Mes)+1)&gt;N(V_L1_Gracia),(93-N(V_L1_Mes)+1)&lt;=N(V_L1_Gracia)+N(V_L1_Cuotas),N(V_L1_Cuotas)&gt;0),IF((93-N(V_L1_Mes)+1)=N(V_L1_Gracia)+N(V_L1_Cuotas),IF((93-N(V_L1_Mes)+1)=1,N(V_L1_Monto),CS$282),PMT(N(V_L1_Tasa)/12,N(V_L1_Cuotas),-N(V_L1_Monto))-CT$280),0)*CT$9</f>
        <v>0</v>
      </c>
      <c r="CU281" s="34" t="n">
        <f aca="false">IF(AND((94-N(V_L1_Mes)+1)&gt;N(V_L1_Gracia),(94-N(V_L1_Mes)+1)&lt;=N(V_L1_Gracia)+N(V_L1_Cuotas),N(V_L1_Cuotas)&gt;0),IF((94-N(V_L1_Mes)+1)=N(V_L1_Gracia)+N(V_L1_Cuotas),IF((94-N(V_L1_Mes)+1)=1,N(V_L1_Monto),CT$282),PMT(N(V_L1_Tasa)/12,N(V_L1_Cuotas),-N(V_L1_Monto))-CU$280),0)*CU$9</f>
        <v>0</v>
      </c>
      <c r="CV281" s="34" t="n">
        <f aca="false">IF(AND((95-N(V_L1_Mes)+1)&gt;N(V_L1_Gracia),(95-N(V_L1_Mes)+1)&lt;=N(V_L1_Gracia)+N(V_L1_Cuotas),N(V_L1_Cuotas)&gt;0),IF((95-N(V_L1_Mes)+1)=N(V_L1_Gracia)+N(V_L1_Cuotas),IF((95-N(V_L1_Mes)+1)=1,N(V_L1_Monto),CU$282),PMT(N(V_L1_Tasa)/12,N(V_L1_Cuotas),-N(V_L1_Monto))-CV$280),0)*CV$9</f>
        <v>0</v>
      </c>
      <c r="CW281" s="34" t="n">
        <f aca="false">IF(AND((96-N(V_L1_Mes)+1)&gt;N(V_L1_Gracia),(96-N(V_L1_Mes)+1)&lt;=N(V_L1_Gracia)+N(V_L1_Cuotas),N(V_L1_Cuotas)&gt;0),IF((96-N(V_L1_Mes)+1)=N(V_L1_Gracia)+N(V_L1_Cuotas),IF((96-N(V_L1_Mes)+1)=1,N(V_L1_Monto),CV$282),PMT(N(V_L1_Tasa)/12,N(V_L1_Cuotas),-N(V_L1_Monto))-CW$280),0)*CW$9</f>
        <v>0</v>
      </c>
      <c r="CX281" s="34" t="n">
        <f aca="false">IF(AND((97-N(V_L1_Mes)+1)&gt;N(V_L1_Gracia),(97-N(V_L1_Mes)+1)&lt;=N(V_L1_Gracia)+N(V_L1_Cuotas),N(V_L1_Cuotas)&gt;0),IF((97-N(V_L1_Mes)+1)=N(V_L1_Gracia)+N(V_L1_Cuotas),IF((97-N(V_L1_Mes)+1)=1,N(V_L1_Monto),CW$282),PMT(N(V_L1_Tasa)/12,N(V_L1_Cuotas),-N(V_L1_Monto))-CX$280),0)*CX$9</f>
        <v>0</v>
      </c>
      <c r="CY281" s="34" t="n">
        <f aca="false">IF(AND((98-N(V_L1_Mes)+1)&gt;N(V_L1_Gracia),(98-N(V_L1_Mes)+1)&lt;=N(V_L1_Gracia)+N(V_L1_Cuotas),N(V_L1_Cuotas)&gt;0),IF((98-N(V_L1_Mes)+1)=N(V_L1_Gracia)+N(V_L1_Cuotas),IF((98-N(V_L1_Mes)+1)=1,N(V_L1_Monto),CX$282),PMT(N(V_L1_Tasa)/12,N(V_L1_Cuotas),-N(V_L1_Monto))-CY$280),0)*CY$9</f>
        <v>0</v>
      </c>
      <c r="CZ281" s="34" t="n">
        <f aca="false">IF(AND((99-N(V_L1_Mes)+1)&gt;N(V_L1_Gracia),(99-N(V_L1_Mes)+1)&lt;=N(V_L1_Gracia)+N(V_L1_Cuotas),N(V_L1_Cuotas)&gt;0),IF((99-N(V_L1_Mes)+1)=N(V_L1_Gracia)+N(V_L1_Cuotas),IF((99-N(V_L1_Mes)+1)=1,N(V_L1_Monto),CY$282),PMT(N(V_L1_Tasa)/12,N(V_L1_Cuotas),-N(V_L1_Monto))-CZ$280),0)*CZ$9</f>
        <v>0</v>
      </c>
      <c r="DA281" s="34" t="n">
        <f aca="false">IF(AND((100-N(V_L1_Mes)+1)&gt;N(V_L1_Gracia),(100-N(V_L1_Mes)+1)&lt;=N(V_L1_Gracia)+N(V_L1_Cuotas),N(V_L1_Cuotas)&gt;0),IF((100-N(V_L1_Mes)+1)=N(V_L1_Gracia)+N(V_L1_Cuotas),IF((100-N(V_L1_Mes)+1)=1,N(V_L1_Monto),CZ$282),PMT(N(V_L1_Tasa)/12,N(V_L1_Cuotas),-N(V_L1_Monto))-DA$280),0)*DA$9</f>
        <v>0</v>
      </c>
      <c r="DB281" s="34" t="n">
        <f aca="false">IF(AND((101-N(V_L1_Mes)+1)&gt;N(V_L1_Gracia),(101-N(V_L1_Mes)+1)&lt;=N(V_L1_Gracia)+N(V_L1_Cuotas),N(V_L1_Cuotas)&gt;0),IF((101-N(V_L1_Mes)+1)=N(V_L1_Gracia)+N(V_L1_Cuotas),IF((101-N(V_L1_Mes)+1)=1,N(V_L1_Monto),DA$282),PMT(N(V_L1_Tasa)/12,N(V_L1_Cuotas),-N(V_L1_Monto))-DB$280),0)*DB$9</f>
        <v>0</v>
      </c>
      <c r="DC281" s="34" t="n">
        <f aca="false">IF(AND((102-N(V_L1_Mes)+1)&gt;N(V_L1_Gracia),(102-N(V_L1_Mes)+1)&lt;=N(V_L1_Gracia)+N(V_L1_Cuotas),N(V_L1_Cuotas)&gt;0),IF((102-N(V_L1_Mes)+1)=N(V_L1_Gracia)+N(V_L1_Cuotas),IF((102-N(V_L1_Mes)+1)=1,N(V_L1_Monto),DB$282),PMT(N(V_L1_Tasa)/12,N(V_L1_Cuotas),-N(V_L1_Monto))-DC$280),0)*DC$9</f>
        <v>0</v>
      </c>
      <c r="DD281" s="34" t="n">
        <f aca="false">IF(AND((103-N(V_L1_Mes)+1)&gt;N(V_L1_Gracia),(103-N(V_L1_Mes)+1)&lt;=N(V_L1_Gracia)+N(V_L1_Cuotas),N(V_L1_Cuotas)&gt;0),IF((103-N(V_L1_Mes)+1)=N(V_L1_Gracia)+N(V_L1_Cuotas),IF((103-N(V_L1_Mes)+1)=1,N(V_L1_Monto),DC$282),PMT(N(V_L1_Tasa)/12,N(V_L1_Cuotas),-N(V_L1_Monto))-DD$280),0)*DD$9</f>
        <v>0</v>
      </c>
      <c r="DE281" s="34" t="n">
        <f aca="false">IF(AND((104-N(V_L1_Mes)+1)&gt;N(V_L1_Gracia),(104-N(V_L1_Mes)+1)&lt;=N(V_L1_Gracia)+N(V_L1_Cuotas),N(V_L1_Cuotas)&gt;0),IF((104-N(V_L1_Mes)+1)=N(V_L1_Gracia)+N(V_L1_Cuotas),IF((104-N(V_L1_Mes)+1)=1,N(V_L1_Monto),DD$282),PMT(N(V_L1_Tasa)/12,N(V_L1_Cuotas),-N(V_L1_Monto))-DE$280),0)*DE$9</f>
        <v>0</v>
      </c>
      <c r="DF281" s="34" t="n">
        <f aca="false">IF(AND((105-N(V_L1_Mes)+1)&gt;N(V_L1_Gracia),(105-N(V_L1_Mes)+1)&lt;=N(V_L1_Gracia)+N(V_L1_Cuotas),N(V_L1_Cuotas)&gt;0),IF((105-N(V_L1_Mes)+1)=N(V_L1_Gracia)+N(V_L1_Cuotas),IF((105-N(V_L1_Mes)+1)=1,N(V_L1_Monto),DE$282),PMT(N(V_L1_Tasa)/12,N(V_L1_Cuotas),-N(V_L1_Monto))-DF$280),0)*DF$9</f>
        <v>0</v>
      </c>
      <c r="DG281" s="34" t="n">
        <f aca="false">IF(AND((106-N(V_L1_Mes)+1)&gt;N(V_L1_Gracia),(106-N(V_L1_Mes)+1)&lt;=N(V_L1_Gracia)+N(V_L1_Cuotas),N(V_L1_Cuotas)&gt;0),IF((106-N(V_L1_Mes)+1)=N(V_L1_Gracia)+N(V_L1_Cuotas),IF((106-N(V_L1_Mes)+1)=1,N(V_L1_Monto),DF$282),PMT(N(V_L1_Tasa)/12,N(V_L1_Cuotas),-N(V_L1_Monto))-DG$280),0)*DG$9</f>
        <v>0</v>
      </c>
      <c r="DH281" s="34" t="n">
        <f aca="false">IF(AND((107-N(V_L1_Mes)+1)&gt;N(V_L1_Gracia),(107-N(V_L1_Mes)+1)&lt;=N(V_L1_Gracia)+N(V_L1_Cuotas),N(V_L1_Cuotas)&gt;0),IF((107-N(V_L1_Mes)+1)=N(V_L1_Gracia)+N(V_L1_Cuotas),IF((107-N(V_L1_Mes)+1)=1,N(V_L1_Monto),DG$282),PMT(N(V_L1_Tasa)/12,N(V_L1_Cuotas),-N(V_L1_Monto))-DH$280),0)*DH$9</f>
        <v>0</v>
      </c>
      <c r="DI281" s="34" t="n">
        <f aca="false">IF(AND((108-N(V_L1_Mes)+1)&gt;N(V_L1_Gracia),(108-N(V_L1_Mes)+1)&lt;=N(V_L1_Gracia)+N(V_L1_Cuotas),N(V_L1_Cuotas)&gt;0),IF((108-N(V_L1_Mes)+1)=N(V_L1_Gracia)+N(V_L1_Cuotas),IF((108-N(V_L1_Mes)+1)=1,N(V_L1_Monto),DH$282),PMT(N(V_L1_Tasa)/12,N(V_L1_Cuotas),-N(V_L1_Monto))-DI$280),0)*DI$9</f>
        <v>0</v>
      </c>
      <c r="DJ281" s="34" t="n">
        <f aca="false">IF(AND((109-N(V_L1_Mes)+1)&gt;N(V_L1_Gracia),(109-N(V_L1_Mes)+1)&lt;=N(V_L1_Gracia)+N(V_L1_Cuotas),N(V_L1_Cuotas)&gt;0),IF((109-N(V_L1_Mes)+1)=N(V_L1_Gracia)+N(V_L1_Cuotas),IF((109-N(V_L1_Mes)+1)=1,N(V_L1_Monto),DI$282),PMT(N(V_L1_Tasa)/12,N(V_L1_Cuotas),-N(V_L1_Monto))-DJ$280),0)*DJ$9</f>
        <v>0</v>
      </c>
      <c r="DK281" s="34" t="n">
        <f aca="false">IF(AND((110-N(V_L1_Mes)+1)&gt;N(V_L1_Gracia),(110-N(V_L1_Mes)+1)&lt;=N(V_L1_Gracia)+N(V_L1_Cuotas),N(V_L1_Cuotas)&gt;0),IF((110-N(V_L1_Mes)+1)=N(V_L1_Gracia)+N(V_L1_Cuotas),IF((110-N(V_L1_Mes)+1)=1,N(V_L1_Monto),DJ$282),PMT(N(V_L1_Tasa)/12,N(V_L1_Cuotas),-N(V_L1_Monto))-DK$280),0)*DK$9</f>
        <v>0</v>
      </c>
      <c r="DL281" s="34" t="n">
        <f aca="false">IF(AND((111-N(V_L1_Mes)+1)&gt;N(V_L1_Gracia),(111-N(V_L1_Mes)+1)&lt;=N(V_L1_Gracia)+N(V_L1_Cuotas),N(V_L1_Cuotas)&gt;0),IF((111-N(V_L1_Mes)+1)=N(V_L1_Gracia)+N(V_L1_Cuotas),IF((111-N(V_L1_Mes)+1)=1,N(V_L1_Monto),DK$282),PMT(N(V_L1_Tasa)/12,N(V_L1_Cuotas),-N(V_L1_Monto))-DL$280),0)*DL$9</f>
        <v>0</v>
      </c>
      <c r="DM281" s="34" t="n">
        <f aca="false">IF(AND((112-N(V_L1_Mes)+1)&gt;N(V_L1_Gracia),(112-N(V_L1_Mes)+1)&lt;=N(V_L1_Gracia)+N(V_L1_Cuotas),N(V_L1_Cuotas)&gt;0),IF((112-N(V_L1_Mes)+1)=N(V_L1_Gracia)+N(V_L1_Cuotas),IF((112-N(V_L1_Mes)+1)=1,N(V_L1_Monto),DL$282),PMT(N(V_L1_Tasa)/12,N(V_L1_Cuotas),-N(V_L1_Monto))-DM$280),0)*DM$9</f>
        <v>0</v>
      </c>
      <c r="DN281" s="34" t="n">
        <f aca="false">IF(AND((113-N(V_L1_Mes)+1)&gt;N(V_L1_Gracia),(113-N(V_L1_Mes)+1)&lt;=N(V_L1_Gracia)+N(V_L1_Cuotas),N(V_L1_Cuotas)&gt;0),IF((113-N(V_L1_Mes)+1)=N(V_L1_Gracia)+N(V_L1_Cuotas),IF((113-N(V_L1_Mes)+1)=1,N(V_L1_Monto),DM$282),PMT(N(V_L1_Tasa)/12,N(V_L1_Cuotas),-N(V_L1_Monto))-DN$280),0)*DN$9</f>
        <v>0</v>
      </c>
      <c r="DO281" s="34" t="n">
        <f aca="false">IF(AND((114-N(V_L1_Mes)+1)&gt;N(V_L1_Gracia),(114-N(V_L1_Mes)+1)&lt;=N(V_L1_Gracia)+N(V_L1_Cuotas),N(V_L1_Cuotas)&gt;0),IF((114-N(V_L1_Mes)+1)=N(V_L1_Gracia)+N(V_L1_Cuotas),IF((114-N(V_L1_Mes)+1)=1,N(V_L1_Monto),DN$282),PMT(N(V_L1_Tasa)/12,N(V_L1_Cuotas),-N(V_L1_Monto))-DO$280),0)*DO$9</f>
        <v>0</v>
      </c>
      <c r="DP281" s="34" t="n">
        <f aca="false">IF(AND((115-N(V_L1_Mes)+1)&gt;N(V_L1_Gracia),(115-N(V_L1_Mes)+1)&lt;=N(V_L1_Gracia)+N(V_L1_Cuotas),N(V_L1_Cuotas)&gt;0),IF((115-N(V_L1_Mes)+1)=N(V_L1_Gracia)+N(V_L1_Cuotas),IF((115-N(V_L1_Mes)+1)=1,N(V_L1_Monto),DO$282),PMT(N(V_L1_Tasa)/12,N(V_L1_Cuotas),-N(V_L1_Monto))-DP$280),0)*DP$9</f>
        <v>0</v>
      </c>
      <c r="DQ281" s="34" t="n">
        <f aca="false">IF(AND((116-N(V_L1_Mes)+1)&gt;N(V_L1_Gracia),(116-N(V_L1_Mes)+1)&lt;=N(V_L1_Gracia)+N(V_L1_Cuotas),N(V_L1_Cuotas)&gt;0),IF((116-N(V_L1_Mes)+1)=N(V_L1_Gracia)+N(V_L1_Cuotas),IF((116-N(V_L1_Mes)+1)=1,N(V_L1_Monto),DP$282),PMT(N(V_L1_Tasa)/12,N(V_L1_Cuotas),-N(V_L1_Monto))-DQ$280),0)*DQ$9</f>
        <v>0</v>
      </c>
      <c r="DR281" s="34" t="n">
        <f aca="false">IF(AND((117-N(V_L1_Mes)+1)&gt;N(V_L1_Gracia),(117-N(V_L1_Mes)+1)&lt;=N(V_L1_Gracia)+N(V_L1_Cuotas),N(V_L1_Cuotas)&gt;0),IF((117-N(V_L1_Mes)+1)=N(V_L1_Gracia)+N(V_L1_Cuotas),IF((117-N(V_L1_Mes)+1)=1,N(V_L1_Monto),DQ$282),PMT(N(V_L1_Tasa)/12,N(V_L1_Cuotas),-N(V_L1_Monto))-DR$280),0)*DR$9</f>
        <v>0</v>
      </c>
      <c r="DS281" s="34" t="n">
        <f aca="false">IF(AND((118-N(V_L1_Mes)+1)&gt;N(V_L1_Gracia),(118-N(V_L1_Mes)+1)&lt;=N(V_L1_Gracia)+N(V_L1_Cuotas),N(V_L1_Cuotas)&gt;0),IF((118-N(V_L1_Mes)+1)=N(V_L1_Gracia)+N(V_L1_Cuotas),IF((118-N(V_L1_Mes)+1)=1,N(V_L1_Monto),DR$282),PMT(N(V_L1_Tasa)/12,N(V_L1_Cuotas),-N(V_L1_Monto))-DS$280),0)*DS$9</f>
        <v>0</v>
      </c>
      <c r="DT281" s="34" t="n">
        <f aca="false">IF(AND((119-N(V_L1_Mes)+1)&gt;N(V_L1_Gracia),(119-N(V_L1_Mes)+1)&lt;=N(V_L1_Gracia)+N(V_L1_Cuotas),N(V_L1_Cuotas)&gt;0),IF((119-N(V_L1_Mes)+1)=N(V_L1_Gracia)+N(V_L1_Cuotas),IF((119-N(V_L1_Mes)+1)=1,N(V_L1_Monto),DS$282),PMT(N(V_L1_Tasa)/12,N(V_L1_Cuotas),-N(V_L1_Monto))-DT$280),0)*DT$9</f>
        <v>0</v>
      </c>
      <c r="DU281" s="34" t="n">
        <f aca="false">IF(AND((120-N(V_L1_Mes)+1)&gt;N(V_L1_Gracia),(120-N(V_L1_Mes)+1)&lt;=N(V_L1_Gracia)+N(V_L1_Cuotas),N(V_L1_Cuotas)&gt;0),IF((120-N(V_L1_Mes)+1)=N(V_L1_Gracia)+N(V_L1_Cuotas),IF((120-N(V_L1_Mes)+1)=1,N(V_L1_Monto),DT$282),PMT(N(V_L1_Tasa)/12,N(V_L1_Cuotas),-N(V_L1_Monto))-DU$280),0)*DU$9</f>
        <v>0</v>
      </c>
      <c r="DV281" s="34" t="n">
        <f aca="false">IF(AND((121-N(V_L1_Mes)+1)&gt;N(V_L1_Gracia),(121-N(V_L1_Mes)+1)&lt;=N(V_L1_Gracia)+N(V_L1_Cuotas),N(V_L1_Cuotas)&gt;0),IF((121-N(V_L1_Mes)+1)=N(V_L1_Gracia)+N(V_L1_Cuotas),IF((121-N(V_L1_Mes)+1)=1,N(V_L1_Monto),DU$282),PMT(N(V_L1_Tasa)/12,N(V_L1_Cuotas),-N(V_L1_Monto))-DV$280),0)*DV$9</f>
        <v>0</v>
      </c>
      <c r="DW281" s="34" t="n">
        <f aca="false">IF(AND((122-N(V_L1_Mes)+1)&gt;N(V_L1_Gracia),(122-N(V_L1_Mes)+1)&lt;=N(V_L1_Gracia)+N(V_L1_Cuotas),N(V_L1_Cuotas)&gt;0),IF((122-N(V_L1_Mes)+1)=N(V_L1_Gracia)+N(V_L1_Cuotas),IF((122-N(V_L1_Mes)+1)=1,N(V_L1_Monto),DV$282),PMT(N(V_L1_Tasa)/12,N(V_L1_Cuotas),-N(V_L1_Monto))-DW$280),0)*DW$9</f>
        <v>0</v>
      </c>
      <c r="DX281" s="34" t="n">
        <f aca="false">IF(AND((123-N(V_L1_Mes)+1)&gt;N(V_L1_Gracia),(123-N(V_L1_Mes)+1)&lt;=N(V_L1_Gracia)+N(V_L1_Cuotas),N(V_L1_Cuotas)&gt;0),IF((123-N(V_L1_Mes)+1)=N(V_L1_Gracia)+N(V_L1_Cuotas),IF((123-N(V_L1_Mes)+1)=1,N(V_L1_Monto),DW$282),PMT(N(V_L1_Tasa)/12,N(V_L1_Cuotas),-N(V_L1_Monto))-DX$280),0)*DX$9</f>
        <v>0</v>
      </c>
      <c r="DY281" s="34" t="n">
        <f aca="false">IF(AND((124-N(V_L1_Mes)+1)&gt;N(V_L1_Gracia),(124-N(V_L1_Mes)+1)&lt;=N(V_L1_Gracia)+N(V_L1_Cuotas),N(V_L1_Cuotas)&gt;0),IF((124-N(V_L1_Mes)+1)=N(V_L1_Gracia)+N(V_L1_Cuotas),IF((124-N(V_L1_Mes)+1)=1,N(V_L1_Monto),DX$282),PMT(N(V_L1_Tasa)/12,N(V_L1_Cuotas),-N(V_L1_Monto))-DY$280),0)*DY$9</f>
        <v>0</v>
      </c>
      <c r="DZ281" s="34" t="n">
        <f aca="false">IF(AND((125-N(V_L1_Mes)+1)&gt;N(V_L1_Gracia),(125-N(V_L1_Mes)+1)&lt;=N(V_L1_Gracia)+N(V_L1_Cuotas),N(V_L1_Cuotas)&gt;0),IF((125-N(V_L1_Mes)+1)=N(V_L1_Gracia)+N(V_L1_Cuotas),IF((125-N(V_L1_Mes)+1)=1,N(V_L1_Monto),DY$282),PMT(N(V_L1_Tasa)/12,N(V_L1_Cuotas),-N(V_L1_Monto))-DZ$280),0)*DZ$9</f>
        <v>0</v>
      </c>
      <c r="EA281" s="34" t="n">
        <f aca="false">IF(AND((126-N(V_L1_Mes)+1)&gt;N(V_L1_Gracia),(126-N(V_L1_Mes)+1)&lt;=N(V_L1_Gracia)+N(V_L1_Cuotas),N(V_L1_Cuotas)&gt;0),IF((126-N(V_L1_Mes)+1)=N(V_L1_Gracia)+N(V_L1_Cuotas),IF((126-N(V_L1_Mes)+1)=1,N(V_L1_Monto),DZ$282),PMT(N(V_L1_Tasa)/12,N(V_L1_Cuotas),-N(V_L1_Monto))-EA$280),0)*EA$9</f>
        <v>0</v>
      </c>
      <c r="EB281" s="34" t="n">
        <f aca="false">IF(AND((127-N(V_L1_Mes)+1)&gt;N(V_L1_Gracia),(127-N(V_L1_Mes)+1)&lt;=N(V_L1_Gracia)+N(V_L1_Cuotas),N(V_L1_Cuotas)&gt;0),IF((127-N(V_L1_Mes)+1)=N(V_L1_Gracia)+N(V_L1_Cuotas),IF((127-N(V_L1_Mes)+1)=1,N(V_L1_Monto),EA$282),PMT(N(V_L1_Tasa)/12,N(V_L1_Cuotas),-N(V_L1_Monto))-EB$280),0)*EB$9</f>
        <v>0</v>
      </c>
      <c r="EC281" s="34" t="n">
        <f aca="false">IF(AND((128-N(V_L1_Mes)+1)&gt;N(V_L1_Gracia),(128-N(V_L1_Mes)+1)&lt;=N(V_L1_Gracia)+N(V_L1_Cuotas),N(V_L1_Cuotas)&gt;0),IF((128-N(V_L1_Mes)+1)=N(V_L1_Gracia)+N(V_L1_Cuotas),IF((128-N(V_L1_Mes)+1)=1,N(V_L1_Monto),EB$282),PMT(N(V_L1_Tasa)/12,N(V_L1_Cuotas),-N(V_L1_Monto))-EC$280),0)*EC$9</f>
        <v>0</v>
      </c>
      <c r="ED281" s="34" t="n">
        <f aca="false">IF(AND((129-N(V_L1_Mes)+1)&gt;N(V_L1_Gracia),(129-N(V_L1_Mes)+1)&lt;=N(V_L1_Gracia)+N(V_L1_Cuotas),N(V_L1_Cuotas)&gt;0),IF((129-N(V_L1_Mes)+1)=N(V_L1_Gracia)+N(V_L1_Cuotas),IF((129-N(V_L1_Mes)+1)=1,N(V_L1_Monto),EC$282),PMT(N(V_L1_Tasa)/12,N(V_L1_Cuotas),-N(V_L1_Monto))-ED$280),0)*ED$9</f>
        <v>0</v>
      </c>
      <c r="EE281" s="34" t="n">
        <f aca="false">IF(AND((130-N(V_L1_Mes)+1)&gt;N(V_L1_Gracia),(130-N(V_L1_Mes)+1)&lt;=N(V_L1_Gracia)+N(V_L1_Cuotas),N(V_L1_Cuotas)&gt;0),IF((130-N(V_L1_Mes)+1)=N(V_L1_Gracia)+N(V_L1_Cuotas),IF((130-N(V_L1_Mes)+1)=1,N(V_L1_Monto),ED$282),PMT(N(V_L1_Tasa)/12,N(V_L1_Cuotas),-N(V_L1_Monto))-EE$280),0)*EE$9</f>
        <v>0</v>
      </c>
      <c r="EF281" s="34" t="n">
        <f aca="false">IF(AND((131-N(V_L1_Mes)+1)&gt;N(V_L1_Gracia),(131-N(V_L1_Mes)+1)&lt;=N(V_L1_Gracia)+N(V_L1_Cuotas),N(V_L1_Cuotas)&gt;0),IF((131-N(V_L1_Mes)+1)=N(V_L1_Gracia)+N(V_L1_Cuotas),IF((131-N(V_L1_Mes)+1)=1,N(V_L1_Monto),EE$282),PMT(N(V_L1_Tasa)/12,N(V_L1_Cuotas),-N(V_L1_Monto))-EF$280),0)*EF$9</f>
        <v>0</v>
      </c>
      <c r="EG281" s="34" t="n">
        <f aca="false">IF(AND((132-N(V_L1_Mes)+1)&gt;N(V_L1_Gracia),(132-N(V_L1_Mes)+1)&lt;=N(V_L1_Gracia)+N(V_L1_Cuotas),N(V_L1_Cuotas)&gt;0),IF((132-N(V_L1_Mes)+1)=N(V_L1_Gracia)+N(V_L1_Cuotas),IF((132-N(V_L1_Mes)+1)=1,N(V_L1_Monto),EF$282),PMT(N(V_L1_Tasa)/12,N(V_L1_Cuotas),-N(V_L1_Monto))-EG$280),0)*EG$9</f>
        <v>0</v>
      </c>
      <c r="EH281" s="34" t="n">
        <f aca="false">IF(AND((133-N(V_L1_Mes)+1)&gt;N(V_L1_Gracia),(133-N(V_L1_Mes)+1)&lt;=N(V_L1_Gracia)+N(V_L1_Cuotas),N(V_L1_Cuotas)&gt;0),IF((133-N(V_L1_Mes)+1)=N(V_L1_Gracia)+N(V_L1_Cuotas),IF((133-N(V_L1_Mes)+1)=1,N(V_L1_Monto),EG$282),PMT(N(V_L1_Tasa)/12,N(V_L1_Cuotas),-N(V_L1_Monto))-EH$280),0)*EH$9</f>
        <v>0</v>
      </c>
      <c r="EI281" s="34" t="n">
        <f aca="false">IF(AND((134-N(V_L1_Mes)+1)&gt;N(V_L1_Gracia),(134-N(V_L1_Mes)+1)&lt;=N(V_L1_Gracia)+N(V_L1_Cuotas),N(V_L1_Cuotas)&gt;0),IF((134-N(V_L1_Mes)+1)=N(V_L1_Gracia)+N(V_L1_Cuotas),IF((134-N(V_L1_Mes)+1)=1,N(V_L1_Monto),EH$282),PMT(N(V_L1_Tasa)/12,N(V_L1_Cuotas),-N(V_L1_Monto))-EI$280),0)*EI$9</f>
        <v>0</v>
      </c>
      <c r="EJ281" s="34" t="n">
        <f aca="false">IF(AND((135-N(V_L1_Mes)+1)&gt;N(V_L1_Gracia),(135-N(V_L1_Mes)+1)&lt;=N(V_L1_Gracia)+N(V_L1_Cuotas),N(V_L1_Cuotas)&gt;0),IF((135-N(V_L1_Mes)+1)=N(V_L1_Gracia)+N(V_L1_Cuotas),IF((135-N(V_L1_Mes)+1)=1,N(V_L1_Monto),EI$282),PMT(N(V_L1_Tasa)/12,N(V_L1_Cuotas),-N(V_L1_Monto))-EJ$280),0)*EJ$9</f>
        <v>0</v>
      </c>
      <c r="EK281" s="34" t="n">
        <f aca="false">IF(AND((136-N(V_L1_Mes)+1)&gt;N(V_L1_Gracia),(136-N(V_L1_Mes)+1)&lt;=N(V_L1_Gracia)+N(V_L1_Cuotas),N(V_L1_Cuotas)&gt;0),IF((136-N(V_L1_Mes)+1)=N(V_L1_Gracia)+N(V_L1_Cuotas),IF((136-N(V_L1_Mes)+1)=1,N(V_L1_Monto),EJ$282),PMT(N(V_L1_Tasa)/12,N(V_L1_Cuotas),-N(V_L1_Monto))-EK$280),0)*EK$9</f>
        <v>0</v>
      </c>
      <c r="EL281" s="34" t="n">
        <f aca="false">IF(AND((137-N(V_L1_Mes)+1)&gt;N(V_L1_Gracia),(137-N(V_L1_Mes)+1)&lt;=N(V_L1_Gracia)+N(V_L1_Cuotas),N(V_L1_Cuotas)&gt;0),IF((137-N(V_L1_Mes)+1)=N(V_L1_Gracia)+N(V_L1_Cuotas),IF((137-N(V_L1_Mes)+1)=1,N(V_L1_Monto),EK$282),PMT(N(V_L1_Tasa)/12,N(V_L1_Cuotas),-N(V_L1_Monto))-EL$280),0)*EL$9</f>
        <v>0</v>
      </c>
      <c r="EM281" s="34" t="n">
        <f aca="false">IF(AND((138-N(V_L1_Mes)+1)&gt;N(V_L1_Gracia),(138-N(V_L1_Mes)+1)&lt;=N(V_L1_Gracia)+N(V_L1_Cuotas),N(V_L1_Cuotas)&gt;0),IF((138-N(V_L1_Mes)+1)=N(V_L1_Gracia)+N(V_L1_Cuotas),IF((138-N(V_L1_Mes)+1)=1,N(V_L1_Monto),EL$282),PMT(N(V_L1_Tasa)/12,N(V_L1_Cuotas),-N(V_L1_Monto))-EM$280),0)*EM$9</f>
        <v>0</v>
      </c>
      <c r="EN281" s="34" t="n">
        <f aca="false">IF(AND((139-N(V_L1_Mes)+1)&gt;N(V_L1_Gracia),(139-N(V_L1_Mes)+1)&lt;=N(V_L1_Gracia)+N(V_L1_Cuotas),N(V_L1_Cuotas)&gt;0),IF((139-N(V_L1_Mes)+1)=N(V_L1_Gracia)+N(V_L1_Cuotas),IF((139-N(V_L1_Mes)+1)=1,N(V_L1_Monto),EM$282),PMT(N(V_L1_Tasa)/12,N(V_L1_Cuotas),-N(V_L1_Monto))-EN$280),0)*EN$9</f>
        <v>0</v>
      </c>
      <c r="EO281" s="34" t="n">
        <f aca="false">IF(AND((140-N(V_L1_Mes)+1)&gt;N(V_L1_Gracia),(140-N(V_L1_Mes)+1)&lt;=N(V_L1_Gracia)+N(V_L1_Cuotas),N(V_L1_Cuotas)&gt;0),IF((140-N(V_L1_Mes)+1)=N(V_L1_Gracia)+N(V_L1_Cuotas),IF((140-N(V_L1_Mes)+1)=1,N(V_L1_Monto),EN$282),PMT(N(V_L1_Tasa)/12,N(V_L1_Cuotas),-N(V_L1_Monto))-EO$280),0)*EO$9</f>
        <v>0</v>
      </c>
      <c r="EP281" s="34" t="n">
        <f aca="false">IF(AND((141-N(V_L1_Mes)+1)&gt;N(V_L1_Gracia),(141-N(V_L1_Mes)+1)&lt;=N(V_L1_Gracia)+N(V_L1_Cuotas),N(V_L1_Cuotas)&gt;0),IF((141-N(V_L1_Mes)+1)=N(V_L1_Gracia)+N(V_L1_Cuotas),IF((141-N(V_L1_Mes)+1)=1,N(V_L1_Monto),EO$282),PMT(N(V_L1_Tasa)/12,N(V_L1_Cuotas),-N(V_L1_Monto))-EP$280),0)*EP$9</f>
        <v>0</v>
      </c>
      <c r="EQ281" s="34" t="n">
        <f aca="false">IF(AND((142-N(V_L1_Mes)+1)&gt;N(V_L1_Gracia),(142-N(V_L1_Mes)+1)&lt;=N(V_L1_Gracia)+N(V_L1_Cuotas),N(V_L1_Cuotas)&gt;0),IF((142-N(V_L1_Mes)+1)=N(V_L1_Gracia)+N(V_L1_Cuotas),IF((142-N(V_L1_Mes)+1)=1,N(V_L1_Monto),EP$282),PMT(N(V_L1_Tasa)/12,N(V_L1_Cuotas),-N(V_L1_Monto))-EQ$280),0)*EQ$9</f>
        <v>0</v>
      </c>
      <c r="ER281" s="34" t="n">
        <f aca="false">IF(AND((143-N(V_L1_Mes)+1)&gt;N(V_L1_Gracia),(143-N(V_L1_Mes)+1)&lt;=N(V_L1_Gracia)+N(V_L1_Cuotas),N(V_L1_Cuotas)&gt;0),IF((143-N(V_L1_Mes)+1)=N(V_L1_Gracia)+N(V_L1_Cuotas),IF((143-N(V_L1_Mes)+1)=1,N(V_L1_Monto),EQ$282),PMT(N(V_L1_Tasa)/12,N(V_L1_Cuotas),-N(V_L1_Monto))-ER$280),0)*ER$9</f>
        <v>0</v>
      </c>
      <c r="ES281" s="34" t="n">
        <f aca="false">IF(AND((144-N(V_L1_Mes)+1)&gt;N(V_L1_Gracia),(144-N(V_L1_Mes)+1)&lt;=N(V_L1_Gracia)+N(V_L1_Cuotas),N(V_L1_Cuotas)&gt;0),IF((144-N(V_L1_Mes)+1)=N(V_L1_Gracia)+N(V_L1_Cuotas),IF((144-N(V_L1_Mes)+1)=1,N(V_L1_Monto),ER$282),PMT(N(V_L1_Tasa)/12,N(V_L1_Cuotas),-N(V_L1_Monto))-ES$280),0)*ES$9</f>
        <v>0</v>
      </c>
    </row>
    <row r="282" customFormat="false" ht="15" hidden="false" customHeight="false" outlineLevel="0" collapsed="false">
      <c r="A282" s="2" t="s">
        <v>919</v>
      </c>
      <c r="B282" s="6" t="s">
        <v>736</v>
      </c>
      <c r="C282" s="6" t="s">
        <v>250</v>
      </c>
      <c r="E282" s="40" t="n">
        <f aca="false">INDEX(F282:ES282,1,MIN(144,Fin))</f>
        <v>0</v>
      </c>
      <c r="F282" s="34" t="n">
        <f aca="false">IF((1-N(V_L1_Mes)+1)&lt;1,0,IF((1-N(V_L1_Mes)+1)=1,N(V_L1_Monto),0)-F$281)</f>
        <v>2791587</v>
      </c>
      <c r="G282" s="34" t="n">
        <f aca="false">IF((2-N(V_L1_Mes)+1)&lt;1,0,IF((2-N(V_L1_Mes)+1)=1,N(V_L1_Monto),F$282)-G$281)</f>
        <v>2791587</v>
      </c>
      <c r="H282" s="34" t="n">
        <f aca="false">IF((3-N(V_L1_Mes)+1)&lt;1,0,IF((3-N(V_L1_Mes)+1)=1,N(V_L1_Monto),G$282)-H$281)</f>
        <v>2791587</v>
      </c>
      <c r="I282" s="34" t="n">
        <f aca="false">IF((4-N(V_L1_Mes)+1)&lt;1,0,IF((4-N(V_L1_Mes)+1)=1,N(V_L1_Monto),H$282)-I$281)</f>
        <v>2791587</v>
      </c>
      <c r="J282" s="34" t="n">
        <f aca="false">IF((5-N(V_L1_Mes)+1)&lt;1,0,IF((5-N(V_L1_Mes)+1)=1,N(V_L1_Monto),I$282)-J$281)</f>
        <v>2791587</v>
      </c>
      <c r="K282" s="34" t="n">
        <f aca="false">IF((6-N(V_L1_Mes)+1)&lt;1,0,IF((6-N(V_L1_Mes)+1)=1,N(V_L1_Monto),J$282)-K$281)</f>
        <v>2791587</v>
      </c>
      <c r="L282" s="34" t="n">
        <f aca="false">IF((7-N(V_L1_Mes)+1)&lt;1,0,IF((7-N(V_L1_Mes)+1)=1,N(V_L1_Monto),K$282)-L$281)</f>
        <v>2749463.69590531</v>
      </c>
      <c r="M282" s="34" t="n">
        <f aca="false">IF((8-N(V_L1_Mes)+1)&lt;1,0,IF((8-N(V_L1_Mes)+1)=1,N(V_L1_Monto),L$282)-M$281)</f>
        <v>2707024.46702991</v>
      </c>
      <c r="N282" s="34" t="n">
        <f aca="false">IF((9-N(V_L1_Mes)+1)&lt;1,0,IF((9-N(V_L1_Mes)+1)=1,N(V_L1_Monto),M$282)-N$281)</f>
        <v>2664266.94393795</v>
      </c>
      <c r="O282" s="34" t="n">
        <f aca="false">IF((10-N(V_L1_Mes)+1)&lt;1,0,IF((10-N(V_L1_Mes)+1)=1,N(V_L1_Monto),N$282)-O$281)</f>
        <v>2621188.7394228</v>
      </c>
      <c r="P282" s="34" t="n">
        <f aca="false">IF((11-N(V_L1_Mes)+1)&lt;1,0,IF((11-N(V_L1_Mes)+1)=1,N(V_L1_Monto),O$282)-P$281)</f>
        <v>2577787.44837378</v>
      </c>
      <c r="Q282" s="34" t="n">
        <f aca="false">IF((12-N(V_L1_Mes)+1)&lt;1,0,IF((12-N(V_L1_Mes)+1)=1,N(V_L1_Monto),P$282)-Q$281)</f>
        <v>2534060.6476419</v>
      </c>
      <c r="R282" s="34" t="n">
        <f aca="false">IF((13-N(V_L1_Mes)+1)&lt;1,0,IF((13-N(V_L1_Mes)+1)=1,N(V_L1_Monto),Q$282)-R$281)</f>
        <v>2490005.89590452</v>
      </c>
      <c r="S282" s="34" t="n">
        <f aca="false">IF((14-N(V_L1_Mes)+1)&lt;1,0,IF((14-N(V_L1_Mes)+1)=1,N(V_L1_Monto),R$282)-S$281)</f>
        <v>2445620.73352912</v>
      </c>
      <c r="T282" s="34" t="n">
        <f aca="false">IF((15-N(V_L1_Mes)+1)&lt;1,0,IF((15-N(V_L1_Mes)+1)=1,N(V_L1_Monto),S$282)-T$281)</f>
        <v>2400902.6824359</v>
      </c>
      <c r="U282" s="34" t="n">
        <f aca="false">IF((16-N(V_L1_Mes)+1)&lt;1,0,IF((16-N(V_L1_Mes)+1)=1,N(V_L1_Monto),T$282)-U$281)</f>
        <v>2355849.24595948</v>
      </c>
      <c r="V282" s="34" t="n">
        <f aca="false">IF((17-N(V_L1_Mes)+1)&lt;1,0,IF((17-N(V_L1_Mes)+1)=1,N(V_L1_Monto),U$282)-V$281)</f>
        <v>2310457.90870949</v>
      </c>
      <c r="W282" s="34" t="n">
        <f aca="false">IF((18-N(V_L1_Mes)+1)&lt;1,0,IF((18-N(V_L1_Mes)+1)=1,N(V_L1_Monto),V$282)-W$281)</f>
        <v>2264726.13643012</v>
      </c>
      <c r="X282" s="34" t="n">
        <f aca="false">IF((19-N(V_L1_Mes)+1)&lt;1,0,IF((19-N(V_L1_Mes)+1)=1,N(V_L1_Monto),W$282)-X$281)</f>
        <v>2218651.37585866</v>
      </c>
      <c r="Y282" s="34" t="n">
        <f aca="false">IF((20-N(V_L1_Mes)+1)&lt;1,0,IF((20-N(V_L1_Mes)+1)=1,N(V_L1_Monto),X$282)-Y$281)</f>
        <v>2172231.05458292</v>
      </c>
      <c r="Z282" s="34" t="n">
        <f aca="false">IF((21-N(V_L1_Mes)+1)&lt;1,0,IF((21-N(V_L1_Mes)+1)=1,N(V_L1_Monto),Y$282)-Z$281)</f>
        <v>2125462.5808976</v>
      </c>
      <c r="AA282" s="34" t="n">
        <f aca="false">IF((22-N(V_L1_Mes)+1)&lt;1,0,IF((22-N(V_L1_Mes)+1)=1,N(V_L1_Monto),Z$282)-AA$281)</f>
        <v>2078343.34365964</v>
      </c>
      <c r="AB282" s="34" t="n">
        <f aca="false">IF((23-N(V_L1_Mes)+1)&lt;1,0,IF((23-N(V_L1_Mes)+1)=1,N(V_L1_Monto),AA$282)-AB$281)</f>
        <v>2030870.7121424</v>
      </c>
      <c r="AC282" s="34" t="n">
        <f aca="false">IF((24-N(V_L1_Mes)+1)&lt;1,0,IF((24-N(V_L1_Mes)+1)=1,N(V_L1_Monto),AB$282)-AC$281)</f>
        <v>1983042.03588878</v>
      </c>
      <c r="AD282" s="34" t="n">
        <f aca="false">IF((25-N(V_L1_Mes)+1)&lt;1,0,IF((25-N(V_L1_Mes)+1)=1,N(V_L1_Monto),AC$282)-AD$281)</f>
        <v>1934854.64456326</v>
      </c>
      <c r="AE282" s="34" t="n">
        <f aca="false">IF((26-N(V_L1_Mes)+1)&lt;1,0,IF((26-N(V_L1_Mes)+1)=1,N(V_L1_Monto),AD$282)-AE$281)</f>
        <v>1886305.8478028</v>
      </c>
      <c r="AF282" s="34" t="n">
        <f aca="false">IF((27-N(V_L1_Mes)+1)&lt;1,0,IF((27-N(V_L1_Mes)+1)=1,N(V_L1_Monto),AE$282)-AF$281)</f>
        <v>1837392.93506663</v>
      </c>
      <c r="AG282" s="34" t="n">
        <f aca="false">IF((28-N(V_L1_Mes)+1)&lt;1,0,IF((28-N(V_L1_Mes)+1)=1,N(V_L1_Monto),AF$282)-AG$281)</f>
        <v>1788113.17548494</v>
      </c>
      <c r="AH282" s="34" t="n">
        <f aca="false">IF((29-N(V_L1_Mes)+1)&lt;1,0,IF((29-N(V_L1_Mes)+1)=1,N(V_L1_Monto),AG$282)-AH$281)</f>
        <v>1738463.81770639</v>
      </c>
      <c r="AI282" s="34" t="n">
        <f aca="false">IF((30-N(V_L1_Mes)+1)&lt;1,0,IF((30-N(V_L1_Mes)+1)=1,N(V_L1_Monto),AH$282)-AI$281)</f>
        <v>1688442.0897445</v>
      </c>
      <c r="AJ282" s="34" t="n">
        <f aca="false">IF((31-N(V_L1_Mes)+1)&lt;1,0,IF((31-N(V_L1_Mes)+1)=1,N(V_L1_Monto),AI$282)-AJ$281)</f>
        <v>1638045.1988229</v>
      </c>
      <c r="AK282" s="34" t="n">
        <f aca="false">IF((32-N(V_L1_Mes)+1)&lt;1,0,IF((32-N(V_L1_Mes)+1)=1,N(V_L1_Monto),AJ$282)-AK$281)</f>
        <v>1587270.33121938</v>
      </c>
      <c r="AL282" s="34" t="n">
        <f aca="false">IF((33-N(V_L1_Mes)+1)&lt;1,0,IF((33-N(V_L1_Mes)+1)=1,N(V_L1_Monto),AK$282)-AL$281)</f>
        <v>1536114.65210884</v>
      </c>
      <c r="AM282" s="34" t="n">
        <f aca="false">IF((34-N(V_L1_Mes)+1)&lt;1,0,IF((34-N(V_L1_Mes)+1)=1,N(V_L1_Monto),AL$282)-AM$281)</f>
        <v>1484575.30540497</v>
      </c>
      <c r="AN282" s="34" t="n">
        <f aca="false">IF((35-N(V_L1_Mes)+1)&lt;1,0,IF((35-N(V_L1_Mes)+1)=1,N(V_L1_Monto),AM$282)-AN$281)</f>
        <v>1432649.41360082</v>
      </c>
      <c r="AO282" s="34" t="n">
        <f aca="false">IF((36-N(V_L1_Mes)+1)&lt;1,0,IF((36-N(V_L1_Mes)+1)=1,N(V_L1_Monto),AN$282)-AO$281)</f>
        <v>1380334.07760814</v>
      </c>
      <c r="AP282" s="34" t="n">
        <f aca="false">IF((37-N(V_L1_Mes)+1)&lt;1,0,IF((37-N(V_L1_Mes)+1)=1,N(V_L1_Monto),AO$282)-AP$281)</f>
        <v>1327626.37659551</v>
      </c>
      <c r="AQ282" s="34" t="n">
        <f aca="false">IF((38-N(V_L1_Mes)+1)&lt;1,0,IF((38-N(V_L1_Mes)+1)=1,N(V_L1_Monto),AP$282)-AQ$281)</f>
        <v>1274523.36782529</v>
      </c>
      <c r="AR282" s="34" t="n">
        <f aca="false">IF((39-N(V_L1_Mes)+1)&lt;1,0,IF((39-N(V_L1_Mes)+1)=1,N(V_L1_Monto),AQ$282)-AR$281)</f>
        <v>1221022.08648929</v>
      </c>
      <c r="AS282" s="34" t="n">
        <f aca="false">IF((40-N(V_L1_Mes)+1)&lt;1,0,IF((40-N(V_L1_Mes)+1)=1,N(V_L1_Monto),AR$282)-AS$281)</f>
        <v>1167119.54554327</v>
      </c>
      <c r="AT282" s="34" t="n">
        <f aca="false">IF((41-N(V_L1_Mes)+1)&lt;1,0,IF((41-N(V_L1_Mes)+1)=1,N(V_L1_Monto),AS$282)-AT$281)</f>
        <v>1112812.73554016</v>
      </c>
      <c r="AU282" s="34" t="n">
        <f aca="false">IF((42-N(V_L1_Mes)+1)&lt;1,0,IF((42-N(V_L1_Mes)+1)=1,N(V_L1_Monto),AT$282)-AU$281)</f>
        <v>1058098.62446202</v>
      </c>
      <c r="AV282" s="34" t="n">
        <f aca="false">IF((43-N(V_L1_Mes)+1)&lt;1,0,IF((43-N(V_L1_Mes)+1)=1,N(V_L1_Monto),AU$282)-AV$281)</f>
        <v>1002974.1575508</v>
      </c>
      <c r="AW282" s="34" t="n">
        <f aca="false">IF((44-N(V_L1_Mes)+1)&lt;1,0,IF((44-N(V_L1_Mes)+1)=1,N(V_L1_Monto),AV$282)-AW$281)</f>
        <v>947436.257137743</v>
      </c>
      <c r="AX282" s="34" t="n">
        <f aca="false">IF((45-N(V_L1_Mes)+1)&lt;1,0,IF((45-N(V_L1_Mes)+1)=1,N(V_L1_Monto),AW$282)-AX$281)</f>
        <v>891481.822471588</v>
      </c>
      <c r="AY282" s="34" t="n">
        <f aca="false">IF((46-N(V_L1_Mes)+1)&lt;1,0,IF((46-N(V_L1_Mes)+1)=1,N(V_L1_Monto),AX$282)-AY$281)</f>
        <v>835107.729545437</v>
      </c>
      <c r="AZ282" s="34" t="n">
        <f aca="false">IF((47-N(V_L1_Mes)+1)&lt;1,0,IF((47-N(V_L1_Mes)+1)=1,N(V_L1_Monto),AY$282)-AZ$281)</f>
        <v>778310.83092234</v>
      </c>
      <c r="BA282" s="34" t="n">
        <f aca="false">IF((48-N(V_L1_Mes)+1)&lt;1,0,IF((48-N(V_L1_Mes)+1)=1,N(V_L1_Monto),AZ$282)-BA$281)</f>
        <v>721087.95555957</v>
      </c>
      <c r="BB282" s="34" t="n">
        <f aca="false">IF((49-N(V_L1_Mes)+1)&lt;1,0,IF((49-N(V_L1_Mes)+1)=1,N(V_L1_Monto),BA$282)-BB$281)</f>
        <v>663435.908631579</v>
      </c>
      <c r="BC282" s="34" t="n">
        <f aca="false">IF((50-N(V_L1_Mes)+1)&lt;1,0,IF((50-N(V_L1_Mes)+1)=1,N(V_L1_Monto),BB$282)-BC$281)</f>
        <v>605351.471351628</v>
      </c>
      <c r="BD282" s="34" t="n">
        <f aca="false">IF((51-N(V_L1_Mes)+1)&lt;1,0,IF((51-N(V_L1_Mes)+1)=1,N(V_L1_Monto),BC$282)-BD$281)</f>
        <v>546831.400792078</v>
      </c>
      <c r="BE282" s="34" t="n">
        <f aca="false">IF((52-N(V_L1_Mes)+1)&lt;1,0,IF((52-N(V_L1_Mes)+1)=1,N(V_L1_Monto),BD$282)-BE$281)</f>
        <v>487872.429703331</v>
      </c>
      <c r="BF282" s="34" t="n">
        <f aca="false">IF((53-N(V_L1_Mes)+1)&lt;1,0,IF((53-N(V_L1_Mes)+1)=1,N(V_L1_Monto),BE$282)-BF$281)</f>
        <v>428471.266331418</v>
      </c>
      <c r="BG282" s="34" t="n">
        <f aca="false">IF((54-N(V_L1_Mes)+1)&lt;1,0,IF((54-N(V_L1_Mes)+1)=1,N(V_L1_Monto),BF$282)-BG$281)</f>
        <v>368624.594234216</v>
      </c>
      <c r="BH282" s="34" t="n">
        <f aca="false">IF((55-N(V_L1_Mes)+1)&lt;1,0,IF((55-N(V_L1_Mes)+1)=1,N(V_L1_Monto),BG$282)-BH$281)</f>
        <v>308329.072096285</v>
      </c>
      <c r="BI282" s="34" t="n">
        <f aca="false">IF((56-N(V_L1_Mes)+1)&lt;1,0,IF((56-N(V_L1_Mes)+1)=1,N(V_L1_Monto),BH$282)-BI$281)</f>
        <v>247581.333542319</v>
      </c>
      <c r="BJ282" s="34" t="n">
        <f aca="false">IF((57-N(V_L1_Mes)+1)&lt;1,0,IF((57-N(V_L1_Mes)+1)=1,N(V_L1_Monto),BI$282)-BJ$281)</f>
        <v>186377.986949199</v>
      </c>
      <c r="BK282" s="34" t="n">
        <f aca="false">IF((58-N(V_L1_Mes)+1)&lt;1,0,IF((58-N(V_L1_Mes)+1)=1,N(V_L1_Monto),BJ$282)-BK$281)</f>
        <v>124715.61525663</v>
      </c>
      <c r="BL282" s="34" t="n">
        <f aca="false">IF((59-N(V_L1_Mes)+1)&lt;1,0,IF((59-N(V_L1_Mes)+1)=1,N(V_L1_Monto),BK$282)-BL$281)</f>
        <v>62590.7757763667</v>
      </c>
      <c r="BM282" s="34" t="n">
        <f aca="false">IF((60-N(V_L1_Mes)+1)&lt;1,0,IF((60-N(V_L1_Mes)+1)=1,N(V_L1_Monto),BL$282)-BM$281)</f>
        <v>0</v>
      </c>
      <c r="BN282" s="34" t="n">
        <f aca="false">IF((61-N(V_L1_Mes)+1)&lt;1,0,IF((61-N(V_L1_Mes)+1)=1,N(V_L1_Monto),BM$282)-BN$281)</f>
        <v>0</v>
      </c>
      <c r="BO282" s="34" t="n">
        <f aca="false">IF((62-N(V_L1_Mes)+1)&lt;1,0,IF((62-N(V_L1_Mes)+1)=1,N(V_L1_Monto),BN$282)-BO$281)</f>
        <v>0</v>
      </c>
      <c r="BP282" s="34" t="n">
        <f aca="false">IF((63-N(V_L1_Mes)+1)&lt;1,0,IF((63-N(V_L1_Mes)+1)=1,N(V_L1_Monto),BO$282)-BP$281)</f>
        <v>0</v>
      </c>
      <c r="BQ282" s="34" t="n">
        <f aca="false">IF((64-N(V_L1_Mes)+1)&lt;1,0,IF((64-N(V_L1_Mes)+1)=1,N(V_L1_Monto),BP$282)-BQ$281)</f>
        <v>0</v>
      </c>
      <c r="BR282" s="34" t="n">
        <f aca="false">IF((65-N(V_L1_Mes)+1)&lt;1,0,IF((65-N(V_L1_Mes)+1)=1,N(V_L1_Monto),BQ$282)-BR$281)</f>
        <v>0</v>
      </c>
      <c r="BS282" s="34" t="n">
        <f aca="false">IF((66-N(V_L1_Mes)+1)&lt;1,0,IF((66-N(V_L1_Mes)+1)=1,N(V_L1_Monto),BR$282)-BS$281)</f>
        <v>0</v>
      </c>
      <c r="BT282" s="34" t="n">
        <f aca="false">IF((67-N(V_L1_Mes)+1)&lt;1,0,IF((67-N(V_L1_Mes)+1)=1,N(V_L1_Monto),BS$282)-BT$281)</f>
        <v>0</v>
      </c>
      <c r="BU282" s="34" t="n">
        <f aca="false">IF((68-N(V_L1_Mes)+1)&lt;1,0,IF((68-N(V_L1_Mes)+1)=1,N(V_L1_Monto),BT$282)-BU$281)</f>
        <v>0</v>
      </c>
      <c r="BV282" s="34" t="n">
        <f aca="false">IF((69-N(V_L1_Mes)+1)&lt;1,0,IF((69-N(V_L1_Mes)+1)=1,N(V_L1_Monto),BU$282)-BV$281)</f>
        <v>0</v>
      </c>
      <c r="BW282" s="34" t="n">
        <f aca="false">IF((70-N(V_L1_Mes)+1)&lt;1,0,IF((70-N(V_L1_Mes)+1)=1,N(V_L1_Monto),BV$282)-BW$281)</f>
        <v>0</v>
      </c>
      <c r="BX282" s="34" t="n">
        <f aca="false">IF((71-N(V_L1_Mes)+1)&lt;1,0,IF((71-N(V_L1_Mes)+1)=1,N(V_L1_Monto),BW$282)-BX$281)</f>
        <v>0</v>
      </c>
      <c r="BY282" s="34" t="n">
        <f aca="false">IF((72-N(V_L1_Mes)+1)&lt;1,0,IF((72-N(V_L1_Mes)+1)=1,N(V_L1_Monto),BX$282)-BY$281)</f>
        <v>0</v>
      </c>
      <c r="BZ282" s="34" t="n">
        <f aca="false">IF((73-N(V_L1_Mes)+1)&lt;1,0,IF((73-N(V_L1_Mes)+1)=1,N(V_L1_Monto),BY$282)-BZ$281)</f>
        <v>0</v>
      </c>
      <c r="CA282" s="34" t="n">
        <f aca="false">IF((74-N(V_L1_Mes)+1)&lt;1,0,IF((74-N(V_L1_Mes)+1)=1,N(V_L1_Monto),BZ$282)-CA$281)</f>
        <v>0</v>
      </c>
      <c r="CB282" s="34" t="n">
        <f aca="false">IF((75-N(V_L1_Mes)+1)&lt;1,0,IF((75-N(V_L1_Mes)+1)=1,N(V_L1_Monto),CA$282)-CB$281)</f>
        <v>0</v>
      </c>
      <c r="CC282" s="34" t="n">
        <f aca="false">IF((76-N(V_L1_Mes)+1)&lt;1,0,IF((76-N(V_L1_Mes)+1)=1,N(V_L1_Monto),CB$282)-CC$281)</f>
        <v>0</v>
      </c>
      <c r="CD282" s="34" t="n">
        <f aca="false">IF((77-N(V_L1_Mes)+1)&lt;1,0,IF((77-N(V_L1_Mes)+1)=1,N(V_L1_Monto),CC$282)-CD$281)</f>
        <v>0</v>
      </c>
      <c r="CE282" s="34" t="n">
        <f aca="false">IF((78-N(V_L1_Mes)+1)&lt;1,0,IF((78-N(V_L1_Mes)+1)=1,N(V_L1_Monto),CD$282)-CE$281)</f>
        <v>0</v>
      </c>
      <c r="CF282" s="34" t="n">
        <f aca="false">IF((79-N(V_L1_Mes)+1)&lt;1,0,IF((79-N(V_L1_Mes)+1)=1,N(V_L1_Monto),CE$282)-CF$281)</f>
        <v>0</v>
      </c>
      <c r="CG282" s="34" t="n">
        <f aca="false">IF((80-N(V_L1_Mes)+1)&lt;1,0,IF((80-N(V_L1_Mes)+1)=1,N(V_L1_Monto),CF$282)-CG$281)</f>
        <v>0</v>
      </c>
      <c r="CH282" s="34" t="n">
        <f aca="false">IF((81-N(V_L1_Mes)+1)&lt;1,0,IF((81-N(V_L1_Mes)+1)=1,N(V_L1_Monto),CG$282)-CH$281)</f>
        <v>0</v>
      </c>
      <c r="CI282" s="34" t="n">
        <f aca="false">IF((82-N(V_L1_Mes)+1)&lt;1,0,IF((82-N(V_L1_Mes)+1)=1,N(V_L1_Monto),CH$282)-CI$281)</f>
        <v>0</v>
      </c>
      <c r="CJ282" s="34" t="n">
        <f aca="false">IF((83-N(V_L1_Mes)+1)&lt;1,0,IF((83-N(V_L1_Mes)+1)=1,N(V_L1_Monto),CI$282)-CJ$281)</f>
        <v>0</v>
      </c>
      <c r="CK282" s="34" t="n">
        <f aca="false">IF((84-N(V_L1_Mes)+1)&lt;1,0,IF((84-N(V_L1_Mes)+1)=1,N(V_L1_Monto),CJ$282)-CK$281)</f>
        <v>0</v>
      </c>
      <c r="CL282" s="34" t="n">
        <f aca="false">IF((85-N(V_L1_Mes)+1)&lt;1,0,IF((85-N(V_L1_Mes)+1)=1,N(V_L1_Monto),CK$282)-CL$281)</f>
        <v>0</v>
      </c>
      <c r="CM282" s="34" t="n">
        <f aca="false">IF((86-N(V_L1_Mes)+1)&lt;1,0,IF((86-N(V_L1_Mes)+1)=1,N(V_L1_Monto),CL$282)-CM$281)</f>
        <v>0</v>
      </c>
      <c r="CN282" s="34" t="n">
        <f aca="false">IF((87-N(V_L1_Mes)+1)&lt;1,0,IF((87-N(V_L1_Mes)+1)=1,N(V_L1_Monto),CM$282)-CN$281)</f>
        <v>0</v>
      </c>
      <c r="CO282" s="34" t="n">
        <f aca="false">IF((88-N(V_L1_Mes)+1)&lt;1,0,IF((88-N(V_L1_Mes)+1)=1,N(V_L1_Monto),CN$282)-CO$281)</f>
        <v>0</v>
      </c>
      <c r="CP282" s="34" t="n">
        <f aca="false">IF((89-N(V_L1_Mes)+1)&lt;1,0,IF((89-N(V_L1_Mes)+1)=1,N(V_L1_Monto),CO$282)-CP$281)</f>
        <v>0</v>
      </c>
      <c r="CQ282" s="34" t="n">
        <f aca="false">IF((90-N(V_L1_Mes)+1)&lt;1,0,IF((90-N(V_L1_Mes)+1)=1,N(V_L1_Monto),CP$282)-CQ$281)</f>
        <v>0</v>
      </c>
      <c r="CR282" s="34" t="n">
        <f aca="false">IF((91-N(V_L1_Mes)+1)&lt;1,0,IF((91-N(V_L1_Mes)+1)=1,N(V_L1_Monto),CQ$282)-CR$281)</f>
        <v>0</v>
      </c>
      <c r="CS282" s="34" t="n">
        <f aca="false">IF((92-N(V_L1_Mes)+1)&lt;1,0,IF((92-N(V_L1_Mes)+1)=1,N(V_L1_Monto),CR$282)-CS$281)</f>
        <v>0</v>
      </c>
      <c r="CT282" s="34" t="n">
        <f aca="false">IF((93-N(V_L1_Mes)+1)&lt;1,0,IF((93-N(V_L1_Mes)+1)=1,N(V_L1_Monto),CS$282)-CT$281)</f>
        <v>0</v>
      </c>
      <c r="CU282" s="34" t="n">
        <f aca="false">IF((94-N(V_L1_Mes)+1)&lt;1,0,IF((94-N(V_L1_Mes)+1)=1,N(V_L1_Monto),CT$282)-CU$281)</f>
        <v>0</v>
      </c>
      <c r="CV282" s="34" t="n">
        <f aca="false">IF((95-N(V_L1_Mes)+1)&lt;1,0,IF((95-N(V_L1_Mes)+1)=1,N(V_L1_Monto),CU$282)-CV$281)</f>
        <v>0</v>
      </c>
      <c r="CW282" s="34" t="n">
        <f aca="false">IF((96-N(V_L1_Mes)+1)&lt;1,0,IF((96-N(V_L1_Mes)+1)=1,N(V_L1_Monto),CV$282)-CW$281)</f>
        <v>0</v>
      </c>
      <c r="CX282" s="34" t="n">
        <f aca="false">IF((97-N(V_L1_Mes)+1)&lt;1,0,IF((97-N(V_L1_Mes)+1)=1,N(V_L1_Monto),CW$282)-CX$281)</f>
        <v>0</v>
      </c>
      <c r="CY282" s="34" t="n">
        <f aca="false">IF((98-N(V_L1_Mes)+1)&lt;1,0,IF((98-N(V_L1_Mes)+1)=1,N(V_L1_Monto),CX$282)-CY$281)</f>
        <v>0</v>
      </c>
      <c r="CZ282" s="34" t="n">
        <f aca="false">IF((99-N(V_L1_Mes)+1)&lt;1,0,IF((99-N(V_L1_Mes)+1)=1,N(V_L1_Monto),CY$282)-CZ$281)</f>
        <v>0</v>
      </c>
      <c r="DA282" s="34" t="n">
        <f aca="false">IF((100-N(V_L1_Mes)+1)&lt;1,0,IF((100-N(V_L1_Mes)+1)=1,N(V_L1_Monto),CZ$282)-DA$281)</f>
        <v>0</v>
      </c>
      <c r="DB282" s="34" t="n">
        <f aca="false">IF((101-N(V_L1_Mes)+1)&lt;1,0,IF((101-N(V_L1_Mes)+1)=1,N(V_L1_Monto),DA$282)-DB$281)</f>
        <v>0</v>
      </c>
      <c r="DC282" s="34" t="n">
        <f aca="false">IF((102-N(V_L1_Mes)+1)&lt;1,0,IF((102-N(V_L1_Mes)+1)=1,N(V_L1_Monto),DB$282)-DC$281)</f>
        <v>0</v>
      </c>
      <c r="DD282" s="34" t="n">
        <f aca="false">IF((103-N(V_L1_Mes)+1)&lt;1,0,IF((103-N(V_L1_Mes)+1)=1,N(V_L1_Monto),DC$282)-DD$281)</f>
        <v>0</v>
      </c>
      <c r="DE282" s="34" t="n">
        <f aca="false">IF((104-N(V_L1_Mes)+1)&lt;1,0,IF((104-N(V_L1_Mes)+1)=1,N(V_L1_Monto),DD$282)-DE$281)</f>
        <v>0</v>
      </c>
      <c r="DF282" s="34" t="n">
        <f aca="false">IF((105-N(V_L1_Mes)+1)&lt;1,0,IF((105-N(V_L1_Mes)+1)=1,N(V_L1_Monto),DE$282)-DF$281)</f>
        <v>0</v>
      </c>
      <c r="DG282" s="34" t="n">
        <f aca="false">IF((106-N(V_L1_Mes)+1)&lt;1,0,IF((106-N(V_L1_Mes)+1)=1,N(V_L1_Monto),DF$282)-DG$281)</f>
        <v>0</v>
      </c>
      <c r="DH282" s="34" t="n">
        <f aca="false">IF((107-N(V_L1_Mes)+1)&lt;1,0,IF((107-N(V_L1_Mes)+1)=1,N(V_L1_Monto),DG$282)-DH$281)</f>
        <v>0</v>
      </c>
      <c r="DI282" s="34" t="n">
        <f aca="false">IF((108-N(V_L1_Mes)+1)&lt;1,0,IF((108-N(V_L1_Mes)+1)=1,N(V_L1_Monto),DH$282)-DI$281)</f>
        <v>0</v>
      </c>
      <c r="DJ282" s="34" t="n">
        <f aca="false">IF((109-N(V_L1_Mes)+1)&lt;1,0,IF((109-N(V_L1_Mes)+1)=1,N(V_L1_Monto),DI$282)-DJ$281)</f>
        <v>0</v>
      </c>
      <c r="DK282" s="34" t="n">
        <f aca="false">IF((110-N(V_L1_Mes)+1)&lt;1,0,IF((110-N(V_L1_Mes)+1)=1,N(V_L1_Monto),DJ$282)-DK$281)</f>
        <v>0</v>
      </c>
      <c r="DL282" s="34" t="n">
        <f aca="false">IF((111-N(V_L1_Mes)+1)&lt;1,0,IF((111-N(V_L1_Mes)+1)=1,N(V_L1_Monto),DK$282)-DL$281)</f>
        <v>0</v>
      </c>
      <c r="DM282" s="34" t="n">
        <f aca="false">IF((112-N(V_L1_Mes)+1)&lt;1,0,IF((112-N(V_L1_Mes)+1)=1,N(V_L1_Monto),DL$282)-DM$281)</f>
        <v>0</v>
      </c>
      <c r="DN282" s="34" t="n">
        <f aca="false">IF((113-N(V_L1_Mes)+1)&lt;1,0,IF((113-N(V_L1_Mes)+1)=1,N(V_L1_Monto),DM$282)-DN$281)</f>
        <v>0</v>
      </c>
      <c r="DO282" s="34" t="n">
        <f aca="false">IF((114-N(V_L1_Mes)+1)&lt;1,0,IF((114-N(V_L1_Mes)+1)=1,N(V_L1_Monto),DN$282)-DO$281)</f>
        <v>0</v>
      </c>
      <c r="DP282" s="34" t="n">
        <f aca="false">IF((115-N(V_L1_Mes)+1)&lt;1,0,IF((115-N(V_L1_Mes)+1)=1,N(V_L1_Monto),DO$282)-DP$281)</f>
        <v>0</v>
      </c>
      <c r="DQ282" s="34" t="n">
        <f aca="false">IF((116-N(V_L1_Mes)+1)&lt;1,0,IF((116-N(V_L1_Mes)+1)=1,N(V_L1_Monto),DP$282)-DQ$281)</f>
        <v>0</v>
      </c>
      <c r="DR282" s="34" t="n">
        <f aca="false">IF((117-N(V_L1_Mes)+1)&lt;1,0,IF((117-N(V_L1_Mes)+1)=1,N(V_L1_Monto),DQ$282)-DR$281)</f>
        <v>0</v>
      </c>
      <c r="DS282" s="34" t="n">
        <f aca="false">IF((118-N(V_L1_Mes)+1)&lt;1,0,IF((118-N(V_L1_Mes)+1)=1,N(V_L1_Monto),DR$282)-DS$281)</f>
        <v>0</v>
      </c>
      <c r="DT282" s="34" t="n">
        <f aca="false">IF((119-N(V_L1_Mes)+1)&lt;1,0,IF((119-N(V_L1_Mes)+1)=1,N(V_L1_Monto),DS$282)-DT$281)</f>
        <v>0</v>
      </c>
      <c r="DU282" s="34" t="n">
        <f aca="false">IF((120-N(V_L1_Mes)+1)&lt;1,0,IF((120-N(V_L1_Mes)+1)=1,N(V_L1_Monto),DT$282)-DU$281)</f>
        <v>0</v>
      </c>
      <c r="DV282" s="34" t="n">
        <f aca="false">IF((121-N(V_L1_Mes)+1)&lt;1,0,IF((121-N(V_L1_Mes)+1)=1,N(V_L1_Monto),DU$282)-DV$281)</f>
        <v>0</v>
      </c>
      <c r="DW282" s="34" t="n">
        <f aca="false">IF((122-N(V_L1_Mes)+1)&lt;1,0,IF((122-N(V_L1_Mes)+1)=1,N(V_L1_Monto),DV$282)-DW$281)</f>
        <v>0</v>
      </c>
      <c r="DX282" s="34" t="n">
        <f aca="false">IF((123-N(V_L1_Mes)+1)&lt;1,0,IF((123-N(V_L1_Mes)+1)=1,N(V_L1_Monto),DW$282)-DX$281)</f>
        <v>0</v>
      </c>
      <c r="DY282" s="34" t="n">
        <f aca="false">IF((124-N(V_L1_Mes)+1)&lt;1,0,IF((124-N(V_L1_Mes)+1)=1,N(V_L1_Monto),DX$282)-DY$281)</f>
        <v>0</v>
      </c>
      <c r="DZ282" s="34" t="n">
        <f aca="false">IF((125-N(V_L1_Mes)+1)&lt;1,0,IF((125-N(V_L1_Mes)+1)=1,N(V_L1_Monto),DY$282)-DZ$281)</f>
        <v>0</v>
      </c>
      <c r="EA282" s="34" t="n">
        <f aca="false">IF((126-N(V_L1_Mes)+1)&lt;1,0,IF((126-N(V_L1_Mes)+1)=1,N(V_L1_Monto),DZ$282)-EA$281)</f>
        <v>0</v>
      </c>
      <c r="EB282" s="34" t="n">
        <f aca="false">IF((127-N(V_L1_Mes)+1)&lt;1,0,IF((127-N(V_L1_Mes)+1)=1,N(V_L1_Monto),EA$282)-EB$281)</f>
        <v>0</v>
      </c>
      <c r="EC282" s="34" t="n">
        <f aca="false">IF((128-N(V_L1_Mes)+1)&lt;1,0,IF((128-N(V_L1_Mes)+1)=1,N(V_L1_Monto),EB$282)-EC$281)</f>
        <v>0</v>
      </c>
      <c r="ED282" s="34" t="n">
        <f aca="false">IF((129-N(V_L1_Mes)+1)&lt;1,0,IF((129-N(V_L1_Mes)+1)=1,N(V_L1_Monto),EC$282)-ED$281)</f>
        <v>0</v>
      </c>
      <c r="EE282" s="34" t="n">
        <f aca="false">IF((130-N(V_L1_Mes)+1)&lt;1,0,IF((130-N(V_L1_Mes)+1)=1,N(V_L1_Monto),ED$282)-EE$281)</f>
        <v>0</v>
      </c>
      <c r="EF282" s="34" t="n">
        <f aca="false">IF((131-N(V_L1_Mes)+1)&lt;1,0,IF((131-N(V_L1_Mes)+1)=1,N(V_L1_Monto),EE$282)-EF$281)</f>
        <v>0</v>
      </c>
      <c r="EG282" s="34" t="n">
        <f aca="false">IF((132-N(V_L1_Mes)+1)&lt;1,0,IF((132-N(V_L1_Mes)+1)=1,N(V_L1_Monto),EF$282)-EG$281)</f>
        <v>0</v>
      </c>
      <c r="EH282" s="34" t="n">
        <f aca="false">IF((133-N(V_L1_Mes)+1)&lt;1,0,IF((133-N(V_L1_Mes)+1)=1,N(V_L1_Monto),EG$282)-EH$281)</f>
        <v>0</v>
      </c>
      <c r="EI282" s="34" t="n">
        <f aca="false">IF((134-N(V_L1_Mes)+1)&lt;1,0,IF((134-N(V_L1_Mes)+1)=1,N(V_L1_Monto),EH$282)-EI$281)</f>
        <v>0</v>
      </c>
      <c r="EJ282" s="34" t="n">
        <f aca="false">IF((135-N(V_L1_Mes)+1)&lt;1,0,IF((135-N(V_L1_Mes)+1)=1,N(V_L1_Monto),EI$282)-EJ$281)</f>
        <v>0</v>
      </c>
      <c r="EK282" s="34" t="n">
        <f aca="false">IF((136-N(V_L1_Mes)+1)&lt;1,0,IF((136-N(V_L1_Mes)+1)=1,N(V_L1_Monto),EJ$282)-EK$281)</f>
        <v>0</v>
      </c>
      <c r="EL282" s="34" t="n">
        <f aca="false">IF((137-N(V_L1_Mes)+1)&lt;1,0,IF((137-N(V_L1_Mes)+1)=1,N(V_L1_Monto),EK$282)-EL$281)</f>
        <v>0</v>
      </c>
      <c r="EM282" s="34" t="n">
        <f aca="false">IF((138-N(V_L1_Mes)+1)&lt;1,0,IF((138-N(V_L1_Mes)+1)=1,N(V_L1_Monto),EL$282)-EM$281)</f>
        <v>0</v>
      </c>
      <c r="EN282" s="34" t="n">
        <f aca="false">IF((139-N(V_L1_Mes)+1)&lt;1,0,IF((139-N(V_L1_Mes)+1)=1,N(V_L1_Monto),EM$282)-EN$281)</f>
        <v>0</v>
      </c>
      <c r="EO282" s="34" t="n">
        <f aca="false">IF((140-N(V_L1_Mes)+1)&lt;1,0,IF((140-N(V_L1_Mes)+1)=1,N(V_L1_Monto),EN$282)-EO$281)</f>
        <v>0</v>
      </c>
      <c r="EP282" s="34" t="n">
        <f aca="false">IF((141-N(V_L1_Mes)+1)&lt;1,0,IF((141-N(V_L1_Mes)+1)=1,N(V_L1_Monto),EO$282)-EP$281)</f>
        <v>0</v>
      </c>
      <c r="EQ282" s="34" t="n">
        <f aca="false">IF((142-N(V_L1_Mes)+1)&lt;1,0,IF((142-N(V_L1_Mes)+1)=1,N(V_L1_Monto),EP$282)-EQ$281)</f>
        <v>0</v>
      </c>
      <c r="ER282" s="34" t="n">
        <f aca="false">IF((143-N(V_L1_Mes)+1)&lt;1,0,IF((143-N(V_L1_Mes)+1)=1,N(V_L1_Monto),EQ$282)-ER$281)</f>
        <v>0</v>
      </c>
      <c r="ES282" s="34" t="n">
        <f aca="false">IF((144-N(V_L1_Mes)+1)&lt;1,0,IF((144-N(V_L1_Mes)+1)=1,N(V_L1_Monto),ER$282)-ES$281)</f>
        <v>0</v>
      </c>
    </row>
    <row r="283" customFormat="false" ht="15" hidden="false" customHeight="false" outlineLevel="0" collapsed="false">
      <c r="A283" s="2" t="s">
        <v>920</v>
      </c>
      <c r="B283" s="6" t="s">
        <v>738</v>
      </c>
      <c r="C283" s="6" t="s">
        <v>250</v>
      </c>
      <c r="E283" s="40" t="n">
        <f aca="false">SUM(F283:ES283)</f>
        <v>0</v>
      </c>
      <c r="F283" s="34" t="n">
        <f aca="false">IF((1-N(V_L2_Mes)+1)=1,N(V_L2_Monto),0)*F$9</f>
        <v>0</v>
      </c>
      <c r="G283" s="34" t="n">
        <f aca="false">IF((2-N(V_L2_Mes)+1)=1,N(V_L2_Monto),0)*G$9</f>
        <v>0</v>
      </c>
      <c r="H283" s="34" t="n">
        <f aca="false">IF((3-N(V_L2_Mes)+1)=1,N(V_L2_Monto),0)*H$9</f>
        <v>0</v>
      </c>
      <c r="I283" s="34" t="n">
        <f aca="false">IF((4-N(V_L2_Mes)+1)=1,N(V_L2_Monto),0)*I$9</f>
        <v>0</v>
      </c>
      <c r="J283" s="34" t="n">
        <f aca="false">IF((5-N(V_L2_Mes)+1)=1,N(V_L2_Monto),0)*J$9</f>
        <v>0</v>
      </c>
      <c r="K283" s="34" t="n">
        <f aca="false">IF((6-N(V_L2_Mes)+1)=1,N(V_L2_Monto),0)*K$9</f>
        <v>0</v>
      </c>
      <c r="L283" s="34" t="n">
        <f aca="false">IF((7-N(V_L2_Mes)+1)=1,N(V_L2_Monto),0)*L$9</f>
        <v>0</v>
      </c>
      <c r="M283" s="34" t="n">
        <f aca="false">IF((8-N(V_L2_Mes)+1)=1,N(V_L2_Monto),0)*M$9</f>
        <v>0</v>
      </c>
      <c r="N283" s="34" t="n">
        <f aca="false">IF((9-N(V_L2_Mes)+1)=1,N(V_L2_Monto),0)*N$9</f>
        <v>0</v>
      </c>
      <c r="O283" s="34" t="n">
        <f aca="false">IF((10-N(V_L2_Mes)+1)=1,N(V_L2_Monto),0)*O$9</f>
        <v>0</v>
      </c>
      <c r="P283" s="34" t="n">
        <f aca="false">IF((11-N(V_L2_Mes)+1)=1,N(V_L2_Monto),0)*P$9</f>
        <v>0</v>
      </c>
      <c r="Q283" s="34" t="n">
        <f aca="false">IF((12-N(V_L2_Mes)+1)=1,N(V_L2_Monto),0)*Q$9</f>
        <v>0</v>
      </c>
      <c r="R283" s="34" t="n">
        <f aca="false">IF((13-N(V_L2_Mes)+1)=1,N(V_L2_Monto),0)*R$9</f>
        <v>0</v>
      </c>
      <c r="S283" s="34" t="n">
        <f aca="false">IF((14-N(V_L2_Mes)+1)=1,N(V_L2_Monto),0)*S$9</f>
        <v>0</v>
      </c>
      <c r="T283" s="34" t="n">
        <f aca="false">IF((15-N(V_L2_Mes)+1)=1,N(V_L2_Monto),0)*T$9</f>
        <v>0</v>
      </c>
      <c r="U283" s="34" t="n">
        <f aca="false">IF((16-N(V_L2_Mes)+1)=1,N(V_L2_Monto),0)*U$9</f>
        <v>0</v>
      </c>
      <c r="V283" s="34" t="n">
        <f aca="false">IF((17-N(V_L2_Mes)+1)=1,N(V_L2_Monto),0)*V$9</f>
        <v>0</v>
      </c>
      <c r="W283" s="34" t="n">
        <f aca="false">IF((18-N(V_L2_Mes)+1)=1,N(V_L2_Monto),0)*W$9</f>
        <v>0</v>
      </c>
      <c r="X283" s="34" t="n">
        <f aca="false">IF((19-N(V_L2_Mes)+1)=1,N(V_L2_Monto),0)*X$9</f>
        <v>0</v>
      </c>
      <c r="Y283" s="34" t="n">
        <f aca="false">IF((20-N(V_L2_Mes)+1)=1,N(V_L2_Monto),0)*Y$9</f>
        <v>0</v>
      </c>
      <c r="Z283" s="34" t="n">
        <f aca="false">IF((21-N(V_L2_Mes)+1)=1,N(V_L2_Monto),0)*Z$9</f>
        <v>0</v>
      </c>
      <c r="AA283" s="34" t="n">
        <f aca="false">IF((22-N(V_L2_Mes)+1)=1,N(V_L2_Monto),0)*AA$9</f>
        <v>0</v>
      </c>
      <c r="AB283" s="34" t="n">
        <f aca="false">IF((23-N(V_L2_Mes)+1)=1,N(V_L2_Monto),0)*AB$9</f>
        <v>0</v>
      </c>
      <c r="AC283" s="34" t="n">
        <f aca="false">IF((24-N(V_L2_Mes)+1)=1,N(V_L2_Monto),0)*AC$9</f>
        <v>0</v>
      </c>
      <c r="AD283" s="34" t="n">
        <f aca="false">IF((25-N(V_L2_Mes)+1)=1,N(V_L2_Monto),0)*AD$9</f>
        <v>0</v>
      </c>
      <c r="AE283" s="34" t="n">
        <f aca="false">IF((26-N(V_L2_Mes)+1)=1,N(V_L2_Monto),0)*AE$9</f>
        <v>0</v>
      </c>
      <c r="AF283" s="34" t="n">
        <f aca="false">IF((27-N(V_L2_Mes)+1)=1,N(V_L2_Monto),0)*AF$9</f>
        <v>0</v>
      </c>
      <c r="AG283" s="34" t="n">
        <f aca="false">IF((28-N(V_L2_Mes)+1)=1,N(V_L2_Monto),0)*AG$9</f>
        <v>0</v>
      </c>
      <c r="AH283" s="34" t="n">
        <f aca="false">IF((29-N(V_L2_Mes)+1)=1,N(V_L2_Monto),0)*AH$9</f>
        <v>0</v>
      </c>
      <c r="AI283" s="34" t="n">
        <f aca="false">IF((30-N(V_L2_Mes)+1)=1,N(V_L2_Monto),0)*AI$9</f>
        <v>0</v>
      </c>
      <c r="AJ283" s="34" t="n">
        <f aca="false">IF((31-N(V_L2_Mes)+1)=1,N(V_L2_Monto),0)*AJ$9</f>
        <v>0</v>
      </c>
      <c r="AK283" s="34" t="n">
        <f aca="false">IF((32-N(V_L2_Mes)+1)=1,N(V_L2_Monto),0)*AK$9</f>
        <v>0</v>
      </c>
      <c r="AL283" s="34" t="n">
        <f aca="false">IF((33-N(V_L2_Mes)+1)=1,N(V_L2_Monto),0)*AL$9</f>
        <v>0</v>
      </c>
      <c r="AM283" s="34" t="n">
        <f aca="false">IF((34-N(V_L2_Mes)+1)=1,N(V_L2_Monto),0)*AM$9</f>
        <v>0</v>
      </c>
      <c r="AN283" s="34" t="n">
        <f aca="false">IF((35-N(V_L2_Mes)+1)=1,N(V_L2_Monto),0)*AN$9</f>
        <v>0</v>
      </c>
      <c r="AO283" s="34" t="n">
        <f aca="false">IF((36-N(V_L2_Mes)+1)=1,N(V_L2_Monto),0)*AO$9</f>
        <v>0</v>
      </c>
      <c r="AP283" s="34" t="n">
        <f aca="false">IF((37-N(V_L2_Mes)+1)=1,N(V_L2_Monto),0)*AP$9</f>
        <v>0</v>
      </c>
      <c r="AQ283" s="34" t="n">
        <f aca="false">IF((38-N(V_L2_Mes)+1)=1,N(V_L2_Monto),0)*AQ$9</f>
        <v>0</v>
      </c>
      <c r="AR283" s="34" t="n">
        <f aca="false">IF((39-N(V_L2_Mes)+1)=1,N(V_L2_Monto),0)*AR$9</f>
        <v>0</v>
      </c>
      <c r="AS283" s="34" t="n">
        <f aca="false">IF((40-N(V_L2_Mes)+1)=1,N(V_L2_Monto),0)*AS$9</f>
        <v>0</v>
      </c>
      <c r="AT283" s="34" t="n">
        <f aca="false">IF((41-N(V_L2_Mes)+1)=1,N(V_L2_Monto),0)*AT$9</f>
        <v>0</v>
      </c>
      <c r="AU283" s="34" t="n">
        <f aca="false">IF((42-N(V_L2_Mes)+1)=1,N(V_L2_Monto),0)*AU$9</f>
        <v>0</v>
      </c>
      <c r="AV283" s="34" t="n">
        <f aca="false">IF((43-N(V_L2_Mes)+1)=1,N(V_L2_Monto),0)*AV$9</f>
        <v>0</v>
      </c>
      <c r="AW283" s="34" t="n">
        <f aca="false">IF((44-N(V_L2_Mes)+1)=1,N(V_L2_Monto),0)*AW$9</f>
        <v>0</v>
      </c>
      <c r="AX283" s="34" t="n">
        <f aca="false">IF((45-N(V_L2_Mes)+1)=1,N(V_L2_Monto),0)*AX$9</f>
        <v>0</v>
      </c>
      <c r="AY283" s="34" t="n">
        <f aca="false">IF((46-N(V_L2_Mes)+1)=1,N(V_L2_Monto),0)*AY$9</f>
        <v>0</v>
      </c>
      <c r="AZ283" s="34" t="n">
        <f aca="false">IF((47-N(V_L2_Mes)+1)=1,N(V_L2_Monto),0)*AZ$9</f>
        <v>0</v>
      </c>
      <c r="BA283" s="34" t="n">
        <f aca="false">IF((48-N(V_L2_Mes)+1)=1,N(V_L2_Monto),0)*BA$9</f>
        <v>0</v>
      </c>
      <c r="BB283" s="34" t="n">
        <f aca="false">IF((49-N(V_L2_Mes)+1)=1,N(V_L2_Monto),0)*BB$9</f>
        <v>0</v>
      </c>
      <c r="BC283" s="34" t="n">
        <f aca="false">IF((50-N(V_L2_Mes)+1)=1,N(V_L2_Monto),0)*BC$9</f>
        <v>0</v>
      </c>
      <c r="BD283" s="34" t="n">
        <f aca="false">IF((51-N(V_L2_Mes)+1)=1,N(V_L2_Monto),0)*BD$9</f>
        <v>0</v>
      </c>
      <c r="BE283" s="34" t="n">
        <f aca="false">IF((52-N(V_L2_Mes)+1)=1,N(V_L2_Monto),0)*BE$9</f>
        <v>0</v>
      </c>
      <c r="BF283" s="34" t="n">
        <f aca="false">IF((53-N(V_L2_Mes)+1)=1,N(V_L2_Monto),0)*BF$9</f>
        <v>0</v>
      </c>
      <c r="BG283" s="34" t="n">
        <f aca="false">IF((54-N(V_L2_Mes)+1)=1,N(V_L2_Monto),0)*BG$9</f>
        <v>0</v>
      </c>
      <c r="BH283" s="34" t="n">
        <f aca="false">IF((55-N(V_L2_Mes)+1)=1,N(V_L2_Monto),0)*BH$9</f>
        <v>0</v>
      </c>
      <c r="BI283" s="34" t="n">
        <f aca="false">IF((56-N(V_L2_Mes)+1)=1,N(V_L2_Monto),0)*BI$9</f>
        <v>0</v>
      </c>
      <c r="BJ283" s="34" t="n">
        <f aca="false">IF((57-N(V_L2_Mes)+1)=1,N(V_L2_Monto),0)*BJ$9</f>
        <v>0</v>
      </c>
      <c r="BK283" s="34" t="n">
        <f aca="false">IF((58-N(V_L2_Mes)+1)=1,N(V_L2_Monto),0)*BK$9</f>
        <v>0</v>
      </c>
      <c r="BL283" s="34" t="n">
        <f aca="false">IF((59-N(V_L2_Mes)+1)=1,N(V_L2_Monto),0)*BL$9</f>
        <v>0</v>
      </c>
      <c r="BM283" s="34" t="n">
        <f aca="false">IF((60-N(V_L2_Mes)+1)=1,N(V_L2_Monto),0)*BM$9</f>
        <v>0</v>
      </c>
      <c r="BN283" s="34" t="n">
        <f aca="false">IF((61-N(V_L2_Mes)+1)=1,N(V_L2_Monto),0)*BN$9</f>
        <v>0</v>
      </c>
      <c r="BO283" s="34" t="n">
        <f aca="false">IF((62-N(V_L2_Mes)+1)=1,N(V_L2_Monto),0)*BO$9</f>
        <v>0</v>
      </c>
      <c r="BP283" s="34" t="n">
        <f aca="false">IF((63-N(V_L2_Mes)+1)=1,N(V_L2_Monto),0)*BP$9</f>
        <v>0</v>
      </c>
      <c r="BQ283" s="34" t="n">
        <f aca="false">IF((64-N(V_L2_Mes)+1)=1,N(V_L2_Monto),0)*BQ$9</f>
        <v>0</v>
      </c>
      <c r="BR283" s="34" t="n">
        <f aca="false">IF((65-N(V_L2_Mes)+1)=1,N(V_L2_Monto),0)*BR$9</f>
        <v>0</v>
      </c>
      <c r="BS283" s="34" t="n">
        <f aca="false">IF((66-N(V_L2_Mes)+1)=1,N(V_L2_Monto),0)*BS$9</f>
        <v>0</v>
      </c>
      <c r="BT283" s="34" t="n">
        <f aca="false">IF((67-N(V_L2_Mes)+1)=1,N(V_L2_Monto),0)*BT$9</f>
        <v>0</v>
      </c>
      <c r="BU283" s="34" t="n">
        <f aca="false">IF((68-N(V_L2_Mes)+1)=1,N(V_L2_Monto),0)*BU$9</f>
        <v>0</v>
      </c>
      <c r="BV283" s="34" t="n">
        <f aca="false">IF((69-N(V_L2_Mes)+1)=1,N(V_L2_Monto),0)*BV$9</f>
        <v>0</v>
      </c>
      <c r="BW283" s="34" t="n">
        <f aca="false">IF((70-N(V_L2_Mes)+1)=1,N(V_L2_Monto),0)*BW$9</f>
        <v>0</v>
      </c>
      <c r="BX283" s="34" t="n">
        <f aca="false">IF((71-N(V_L2_Mes)+1)=1,N(V_L2_Monto),0)*BX$9</f>
        <v>0</v>
      </c>
      <c r="BY283" s="34" t="n">
        <f aca="false">IF((72-N(V_L2_Mes)+1)=1,N(V_L2_Monto),0)*BY$9</f>
        <v>0</v>
      </c>
      <c r="BZ283" s="34" t="n">
        <f aca="false">IF((73-N(V_L2_Mes)+1)=1,N(V_L2_Monto),0)*BZ$9</f>
        <v>0</v>
      </c>
      <c r="CA283" s="34" t="n">
        <f aca="false">IF((74-N(V_L2_Mes)+1)=1,N(V_L2_Monto),0)*CA$9</f>
        <v>0</v>
      </c>
      <c r="CB283" s="34" t="n">
        <f aca="false">IF((75-N(V_L2_Mes)+1)=1,N(V_L2_Monto),0)*CB$9</f>
        <v>0</v>
      </c>
      <c r="CC283" s="34" t="n">
        <f aca="false">IF((76-N(V_L2_Mes)+1)=1,N(V_L2_Monto),0)*CC$9</f>
        <v>0</v>
      </c>
      <c r="CD283" s="34" t="n">
        <f aca="false">IF((77-N(V_L2_Mes)+1)=1,N(V_L2_Monto),0)*CD$9</f>
        <v>0</v>
      </c>
      <c r="CE283" s="34" t="n">
        <f aca="false">IF((78-N(V_L2_Mes)+1)=1,N(V_L2_Monto),0)*CE$9</f>
        <v>0</v>
      </c>
      <c r="CF283" s="34" t="n">
        <f aca="false">IF((79-N(V_L2_Mes)+1)=1,N(V_L2_Monto),0)*CF$9</f>
        <v>0</v>
      </c>
      <c r="CG283" s="34" t="n">
        <f aca="false">IF((80-N(V_L2_Mes)+1)=1,N(V_L2_Monto),0)*CG$9</f>
        <v>0</v>
      </c>
      <c r="CH283" s="34" t="n">
        <f aca="false">IF((81-N(V_L2_Mes)+1)=1,N(V_L2_Monto),0)*CH$9</f>
        <v>0</v>
      </c>
      <c r="CI283" s="34" t="n">
        <f aca="false">IF((82-N(V_L2_Mes)+1)=1,N(V_L2_Monto),0)*CI$9</f>
        <v>0</v>
      </c>
      <c r="CJ283" s="34" t="n">
        <f aca="false">IF((83-N(V_L2_Mes)+1)=1,N(V_L2_Monto),0)*CJ$9</f>
        <v>0</v>
      </c>
      <c r="CK283" s="34" t="n">
        <f aca="false">IF((84-N(V_L2_Mes)+1)=1,N(V_L2_Monto),0)*CK$9</f>
        <v>0</v>
      </c>
      <c r="CL283" s="34" t="n">
        <f aca="false">IF((85-N(V_L2_Mes)+1)=1,N(V_L2_Monto),0)*CL$9</f>
        <v>0</v>
      </c>
      <c r="CM283" s="34" t="n">
        <f aca="false">IF((86-N(V_L2_Mes)+1)=1,N(V_L2_Monto),0)*CM$9</f>
        <v>0</v>
      </c>
      <c r="CN283" s="34" t="n">
        <f aca="false">IF((87-N(V_L2_Mes)+1)=1,N(V_L2_Monto),0)*CN$9</f>
        <v>0</v>
      </c>
      <c r="CO283" s="34" t="n">
        <f aca="false">IF((88-N(V_L2_Mes)+1)=1,N(V_L2_Monto),0)*CO$9</f>
        <v>0</v>
      </c>
      <c r="CP283" s="34" t="n">
        <f aca="false">IF((89-N(V_L2_Mes)+1)=1,N(V_L2_Monto),0)*CP$9</f>
        <v>0</v>
      </c>
      <c r="CQ283" s="34" t="n">
        <f aca="false">IF((90-N(V_L2_Mes)+1)=1,N(V_L2_Monto),0)*CQ$9</f>
        <v>0</v>
      </c>
      <c r="CR283" s="34" t="n">
        <f aca="false">IF((91-N(V_L2_Mes)+1)=1,N(V_L2_Monto),0)*CR$9</f>
        <v>0</v>
      </c>
      <c r="CS283" s="34" t="n">
        <f aca="false">IF((92-N(V_L2_Mes)+1)=1,N(V_L2_Monto),0)*CS$9</f>
        <v>0</v>
      </c>
      <c r="CT283" s="34" t="n">
        <f aca="false">IF((93-N(V_L2_Mes)+1)=1,N(V_L2_Monto),0)*CT$9</f>
        <v>0</v>
      </c>
      <c r="CU283" s="34" t="n">
        <f aca="false">IF((94-N(V_L2_Mes)+1)=1,N(V_L2_Monto),0)*CU$9</f>
        <v>0</v>
      </c>
      <c r="CV283" s="34" t="n">
        <f aca="false">IF((95-N(V_L2_Mes)+1)=1,N(V_L2_Monto),0)*CV$9</f>
        <v>0</v>
      </c>
      <c r="CW283" s="34" t="n">
        <f aca="false">IF((96-N(V_L2_Mes)+1)=1,N(V_L2_Monto),0)*CW$9</f>
        <v>0</v>
      </c>
      <c r="CX283" s="34" t="n">
        <f aca="false">IF((97-N(V_L2_Mes)+1)=1,N(V_L2_Monto),0)*CX$9</f>
        <v>0</v>
      </c>
      <c r="CY283" s="34" t="n">
        <f aca="false">IF((98-N(V_L2_Mes)+1)=1,N(V_L2_Monto),0)*CY$9</f>
        <v>0</v>
      </c>
      <c r="CZ283" s="34" t="n">
        <f aca="false">IF((99-N(V_L2_Mes)+1)=1,N(V_L2_Monto),0)*CZ$9</f>
        <v>0</v>
      </c>
      <c r="DA283" s="34" t="n">
        <f aca="false">IF((100-N(V_L2_Mes)+1)=1,N(V_L2_Monto),0)*DA$9</f>
        <v>0</v>
      </c>
      <c r="DB283" s="34" t="n">
        <f aca="false">IF((101-N(V_L2_Mes)+1)=1,N(V_L2_Monto),0)*DB$9</f>
        <v>0</v>
      </c>
      <c r="DC283" s="34" t="n">
        <f aca="false">IF((102-N(V_L2_Mes)+1)=1,N(V_L2_Monto),0)*DC$9</f>
        <v>0</v>
      </c>
      <c r="DD283" s="34" t="n">
        <f aca="false">IF((103-N(V_L2_Mes)+1)=1,N(V_L2_Monto),0)*DD$9</f>
        <v>0</v>
      </c>
      <c r="DE283" s="34" t="n">
        <f aca="false">IF((104-N(V_L2_Mes)+1)=1,N(V_L2_Monto),0)*DE$9</f>
        <v>0</v>
      </c>
      <c r="DF283" s="34" t="n">
        <f aca="false">IF((105-N(V_L2_Mes)+1)=1,N(V_L2_Monto),0)*DF$9</f>
        <v>0</v>
      </c>
      <c r="DG283" s="34" t="n">
        <f aca="false">IF((106-N(V_L2_Mes)+1)=1,N(V_L2_Monto),0)*DG$9</f>
        <v>0</v>
      </c>
      <c r="DH283" s="34" t="n">
        <f aca="false">IF((107-N(V_L2_Mes)+1)=1,N(V_L2_Monto),0)*DH$9</f>
        <v>0</v>
      </c>
      <c r="DI283" s="34" t="n">
        <f aca="false">IF((108-N(V_L2_Mes)+1)=1,N(V_L2_Monto),0)*DI$9</f>
        <v>0</v>
      </c>
      <c r="DJ283" s="34" t="n">
        <f aca="false">IF((109-N(V_L2_Mes)+1)=1,N(V_L2_Monto),0)*DJ$9</f>
        <v>0</v>
      </c>
      <c r="DK283" s="34" t="n">
        <f aca="false">IF((110-N(V_L2_Mes)+1)=1,N(V_L2_Monto),0)*DK$9</f>
        <v>0</v>
      </c>
      <c r="DL283" s="34" t="n">
        <f aca="false">IF((111-N(V_L2_Mes)+1)=1,N(V_L2_Monto),0)*DL$9</f>
        <v>0</v>
      </c>
      <c r="DM283" s="34" t="n">
        <f aca="false">IF((112-N(V_L2_Mes)+1)=1,N(V_L2_Monto),0)*DM$9</f>
        <v>0</v>
      </c>
      <c r="DN283" s="34" t="n">
        <f aca="false">IF((113-N(V_L2_Mes)+1)=1,N(V_L2_Monto),0)*DN$9</f>
        <v>0</v>
      </c>
      <c r="DO283" s="34" t="n">
        <f aca="false">IF((114-N(V_L2_Mes)+1)=1,N(V_L2_Monto),0)*DO$9</f>
        <v>0</v>
      </c>
      <c r="DP283" s="34" t="n">
        <f aca="false">IF((115-N(V_L2_Mes)+1)=1,N(V_L2_Monto),0)*DP$9</f>
        <v>0</v>
      </c>
      <c r="DQ283" s="34" t="n">
        <f aca="false">IF((116-N(V_L2_Mes)+1)=1,N(V_L2_Monto),0)*DQ$9</f>
        <v>0</v>
      </c>
      <c r="DR283" s="34" t="n">
        <f aca="false">IF((117-N(V_L2_Mes)+1)=1,N(V_L2_Monto),0)*DR$9</f>
        <v>0</v>
      </c>
      <c r="DS283" s="34" t="n">
        <f aca="false">IF((118-N(V_L2_Mes)+1)=1,N(V_L2_Monto),0)*DS$9</f>
        <v>0</v>
      </c>
      <c r="DT283" s="34" t="n">
        <f aca="false">IF((119-N(V_L2_Mes)+1)=1,N(V_L2_Monto),0)*DT$9</f>
        <v>0</v>
      </c>
      <c r="DU283" s="34" t="n">
        <f aca="false">IF((120-N(V_L2_Mes)+1)=1,N(V_L2_Monto),0)*DU$9</f>
        <v>0</v>
      </c>
      <c r="DV283" s="34" t="n">
        <f aca="false">IF((121-N(V_L2_Mes)+1)=1,N(V_L2_Monto),0)*DV$9</f>
        <v>0</v>
      </c>
      <c r="DW283" s="34" t="n">
        <f aca="false">IF((122-N(V_L2_Mes)+1)=1,N(V_L2_Monto),0)*DW$9</f>
        <v>0</v>
      </c>
      <c r="DX283" s="34" t="n">
        <f aca="false">IF((123-N(V_L2_Mes)+1)=1,N(V_L2_Monto),0)*DX$9</f>
        <v>0</v>
      </c>
      <c r="DY283" s="34" t="n">
        <f aca="false">IF((124-N(V_L2_Mes)+1)=1,N(V_L2_Monto),0)*DY$9</f>
        <v>0</v>
      </c>
      <c r="DZ283" s="34" t="n">
        <f aca="false">IF((125-N(V_L2_Mes)+1)=1,N(V_L2_Monto),0)*DZ$9</f>
        <v>0</v>
      </c>
      <c r="EA283" s="34" t="n">
        <f aca="false">IF((126-N(V_L2_Mes)+1)=1,N(V_L2_Monto),0)*EA$9</f>
        <v>0</v>
      </c>
      <c r="EB283" s="34" t="n">
        <f aca="false">IF((127-N(V_L2_Mes)+1)=1,N(V_L2_Monto),0)*EB$9</f>
        <v>0</v>
      </c>
      <c r="EC283" s="34" t="n">
        <f aca="false">IF((128-N(V_L2_Mes)+1)=1,N(V_L2_Monto),0)*EC$9</f>
        <v>0</v>
      </c>
      <c r="ED283" s="34" t="n">
        <f aca="false">IF((129-N(V_L2_Mes)+1)=1,N(V_L2_Monto),0)*ED$9</f>
        <v>0</v>
      </c>
      <c r="EE283" s="34" t="n">
        <f aca="false">IF((130-N(V_L2_Mes)+1)=1,N(V_L2_Monto),0)*EE$9</f>
        <v>0</v>
      </c>
      <c r="EF283" s="34" t="n">
        <f aca="false">IF((131-N(V_L2_Mes)+1)=1,N(V_L2_Monto),0)*EF$9</f>
        <v>0</v>
      </c>
      <c r="EG283" s="34" t="n">
        <f aca="false">IF((132-N(V_L2_Mes)+1)=1,N(V_L2_Monto),0)*EG$9</f>
        <v>0</v>
      </c>
      <c r="EH283" s="34" t="n">
        <f aca="false">IF((133-N(V_L2_Mes)+1)=1,N(V_L2_Monto),0)*EH$9</f>
        <v>0</v>
      </c>
      <c r="EI283" s="34" t="n">
        <f aca="false">IF((134-N(V_L2_Mes)+1)=1,N(V_L2_Monto),0)*EI$9</f>
        <v>0</v>
      </c>
      <c r="EJ283" s="34" t="n">
        <f aca="false">IF((135-N(V_L2_Mes)+1)=1,N(V_L2_Monto),0)*EJ$9</f>
        <v>0</v>
      </c>
      <c r="EK283" s="34" t="n">
        <f aca="false">IF((136-N(V_L2_Mes)+1)=1,N(V_L2_Monto),0)*EK$9</f>
        <v>0</v>
      </c>
      <c r="EL283" s="34" t="n">
        <f aca="false">IF((137-N(V_L2_Mes)+1)=1,N(V_L2_Monto),0)*EL$9</f>
        <v>0</v>
      </c>
      <c r="EM283" s="34" t="n">
        <f aca="false">IF((138-N(V_L2_Mes)+1)=1,N(V_L2_Monto),0)*EM$9</f>
        <v>0</v>
      </c>
      <c r="EN283" s="34" t="n">
        <f aca="false">IF((139-N(V_L2_Mes)+1)=1,N(V_L2_Monto),0)*EN$9</f>
        <v>0</v>
      </c>
      <c r="EO283" s="34" t="n">
        <f aca="false">IF((140-N(V_L2_Mes)+1)=1,N(V_L2_Monto),0)*EO$9</f>
        <v>0</v>
      </c>
      <c r="EP283" s="34" t="n">
        <f aca="false">IF((141-N(V_L2_Mes)+1)=1,N(V_L2_Monto),0)*EP$9</f>
        <v>0</v>
      </c>
      <c r="EQ283" s="34" t="n">
        <f aca="false">IF((142-N(V_L2_Mes)+1)=1,N(V_L2_Monto),0)*EQ$9</f>
        <v>0</v>
      </c>
      <c r="ER283" s="34" t="n">
        <f aca="false">IF((143-N(V_L2_Mes)+1)=1,N(V_L2_Monto),0)*ER$9</f>
        <v>0</v>
      </c>
      <c r="ES283" s="34" t="n">
        <f aca="false">IF((144-N(V_L2_Mes)+1)=1,N(V_L2_Monto),0)*ES$9</f>
        <v>0</v>
      </c>
    </row>
    <row r="284" customFormat="false" ht="15" hidden="false" customHeight="false" outlineLevel="0" collapsed="false">
      <c r="A284" s="2" t="s">
        <v>921</v>
      </c>
      <c r="B284" s="6" t="s">
        <v>740</v>
      </c>
      <c r="C284" s="6" t="s">
        <v>250</v>
      </c>
      <c r="E284" s="40" t="n">
        <f aca="false">SUM(F284:ES284)</f>
        <v>0</v>
      </c>
      <c r="F284" s="34" t="n">
        <f aca="false">IF((1-N(V_L2_Mes)+1)&gt;=1,IF((1-N(V_L2_Mes)+1)=1,N(V_L2_Monto),0)*N(V_L2_Tasa)/12,0)*F$9</f>
        <v>0</v>
      </c>
      <c r="G284" s="34" t="n">
        <f aca="false">IF((2-N(V_L2_Mes)+1)&gt;=1,IF((2-N(V_L2_Mes)+1)=1,N(V_L2_Monto),F$286)*N(V_L2_Tasa)/12,0)*G$9</f>
        <v>0</v>
      </c>
      <c r="H284" s="34" t="n">
        <f aca="false">IF((3-N(V_L2_Mes)+1)&gt;=1,IF((3-N(V_L2_Mes)+1)=1,N(V_L2_Monto),G$286)*N(V_L2_Tasa)/12,0)*H$9</f>
        <v>0</v>
      </c>
      <c r="I284" s="34" t="n">
        <f aca="false">IF((4-N(V_L2_Mes)+1)&gt;=1,IF((4-N(V_L2_Mes)+1)=1,N(V_L2_Monto),H$286)*N(V_L2_Tasa)/12,0)*I$9</f>
        <v>0</v>
      </c>
      <c r="J284" s="34" t="n">
        <f aca="false">IF((5-N(V_L2_Mes)+1)&gt;=1,IF((5-N(V_L2_Mes)+1)=1,N(V_L2_Monto),I$286)*N(V_L2_Tasa)/12,0)*J$9</f>
        <v>0</v>
      </c>
      <c r="K284" s="34" t="n">
        <f aca="false">IF((6-N(V_L2_Mes)+1)&gt;=1,IF((6-N(V_L2_Mes)+1)=1,N(V_L2_Monto),J$286)*N(V_L2_Tasa)/12,0)*K$9</f>
        <v>0</v>
      </c>
      <c r="L284" s="34" t="n">
        <f aca="false">IF((7-N(V_L2_Mes)+1)&gt;=1,IF((7-N(V_L2_Mes)+1)=1,N(V_L2_Monto),K$286)*N(V_L2_Tasa)/12,0)*L$9</f>
        <v>0</v>
      </c>
      <c r="M284" s="34" t="n">
        <f aca="false">IF((8-N(V_L2_Mes)+1)&gt;=1,IF((8-N(V_L2_Mes)+1)=1,N(V_L2_Monto),L$286)*N(V_L2_Tasa)/12,0)*M$9</f>
        <v>0</v>
      </c>
      <c r="N284" s="34" t="n">
        <f aca="false">IF((9-N(V_L2_Mes)+1)&gt;=1,IF((9-N(V_L2_Mes)+1)=1,N(V_L2_Monto),M$286)*N(V_L2_Tasa)/12,0)*N$9</f>
        <v>0</v>
      </c>
      <c r="O284" s="34" t="n">
        <f aca="false">IF((10-N(V_L2_Mes)+1)&gt;=1,IF((10-N(V_L2_Mes)+1)=1,N(V_L2_Monto),N$286)*N(V_L2_Tasa)/12,0)*O$9</f>
        <v>0</v>
      </c>
      <c r="P284" s="34" t="n">
        <f aca="false">IF((11-N(V_L2_Mes)+1)&gt;=1,IF((11-N(V_L2_Mes)+1)=1,N(V_L2_Monto),O$286)*N(V_L2_Tasa)/12,0)*P$9</f>
        <v>0</v>
      </c>
      <c r="Q284" s="34" t="n">
        <f aca="false">IF((12-N(V_L2_Mes)+1)&gt;=1,IF((12-N(V_L2_Mes)+1)=1,N(V_L2_Monto),P$286)*N(V_L2_Tasa)/12,0)*Q$9</f>
        <v>0</v>
      </c>
      <c r="R284" s="34" t="n">
        <f aca="false">IF((13-N(V_L2_Mes)+1)&gt;=1,IF((13-N(V_L2_Mes)+1)=1,N(V_L2_Monto),Q$286)*N(V_L2_Tasa)/12,0)*R$9</f>
        <v>0</v>
      </c>
      <c r="S284" s="34" t="n">
        <f aca="false">IF((14-N(V_L2_Mes)+1)&gt;=1,IF((14-N(V_L2_Mes)+1)=1,N(V_L2_Monto),R$286)*N(V_L2_Tasa)/12,0)*S$9</f>
        <v>0</v>
      </c>
      <c r="T284" s="34" t="n">
        <f aca="false">IF((15-N(V_L2_Mes)+1)&gt;=1,IF((15-N(V_L2_Mes)+1)=1,N(V_L2_Monto),S$286)*N(V_L2_Tasa)/12,0)*T$9</f>
        <v>0</v>
      </c>
      <c r="U284" s="34" t="n">
        <f aca="false">IF((16-N(V_L2_Mes)+1)&gt;=1,IF((16-N(V_L2_Mes)+1)=1,N(V_L2_Monto),T$286)*N(V_L2_Tasa)/12,0)*U$9</f>
        <v>0</v>
      </c>
      <c r="V284" s="34" t="n">
        <f aca="false">IF((17-N(V_L2_Mes)+1)&gt;=1,IF((17-N(V_L2_Mes)+1)=1,N(V_L2_Monto),U$286)*N(V_L2_Tasa)/12,0)*V$9</f>
        <v>0</v>
      </c>
      <c r="W284" s="34" t="n">
        <f aca="false">IF((18-N(V_L2_Mes)+1)&gt;=1,IF((18-N(V_L2_Mes)+1)=1,N(V_L2_Monto),V$286)*N(V_L2_Tasa)/12,0)*W$9</f>
        <v>0</v>
      </c>
      <c r="X284" s="34" t="n">
        <f aca="false">IF((19-N(V_L2_Mes)+1)&gt;=1,IF((19-N(V_L2_Mes)+1)=1,N(V_L2_Monto),W$286)*N(V_L2_Tasa)/12,0)*X$9</f>
        <v>0</v>
      </c>
      <c r="Y284" s="34" t="n">
        <f aca="false">IF((20-N(V_L2_Mes)+1)&gt;=1,IF((20-N(V_L2_Mes)+1)=1,N(V_L2_Monto),X$286)*N(V_L2_Tasa)/12,0)*Y$9</f>
        <v>0</v>
      </c>
      <c r="Z284" s="34" t="n">
        <f aca="false">IF((21-N(V_L2_Mes)+1)&gt;=1,IF((21-N(V_L2_Mes)+1)=1,N(V_L2_Monto),Y$286)*N(V_L2_Tasa)/12,0)*Z$9</f>
        <v>0</v>
      </c>
      <c r="AA284" s="34" t="n">
        <f aca="false">IF((22-N(V_L2_Mes)+1)&gt;=1,IF((22-N(V_L2_Mes)+1)=1,N(V_L2_Monto),Z$286)*N(V_L2_Tasa)/12,0)*AA$9</f>
        <v>0</v>
      </c>
      <c r="AB284" s="34" t="n">
        <f aca="false">IF((23-N(V_L2_Mes)+1)&gt;=1,IF((23-N(V_L2_Mes)+1)=1,N(V_L2_Monto),AA$286)*N(V_L2_Tasa)/12,0)*AB$9</f>
        <v>0</v>
      </c>
      <c r="AC284" s="34" t="n">
        <f aca="false">IF((24-N(V_L2_Mes)+1)&gt;=1,IF((24-N(V_L2_Mes)+1)=1,N(V_L2_Monto),AB$286)*N(V_L2_Tasa)/12,0)*AC$9</f>
        <v>0</v>
      </c>
      <c r="AD284" s="34" t="n">
        <f aca="false">IF((25-N(V_L2_Mes)+1)&gt;=1,IF((25-N(V_L2_Mes)+1)=1,N(V_L2_Monto),AC$286)*N(V_L2_Tasa)/12,0)*AD$9</f>
        <v>0</v>
      </c>
      <c r="AE284" s="34" t="n">
        <f aca="false">IF((26-N(V_L2_Mes)+1)&gt;=1,IF((26-N(V_L2_Mes)+1)=1,N(V_L2_Monto),AD$286)*N(V_L2_Tasa)/12,0)*AE$9</f>
        <v>0</v>
      </c>
      <c r="AF284" s="34" t="n">
        <f aca="false">IF((27-N(V_L2_Mes)+1)&gt;=1,IF((27-N(V_L2_Mes)+1)=1,N(V_L2_Monto),AE$286)*N(V_L2_Tasa)/12,0)*AF$9</f>
        <v>0</v>
      </c>
      <c r="AG284" s="34" t="n">
        <f aca="false">IF((28-N(V_L2_Mes)+1)&gt;=1,IF((28-N(V_L2_Mes)+1)=1,N(V_L2_Monto),AF$286)*N(V_L2_Tasa)/12,0)*AG$9</f>
        <v>0</v>
      </c>
      <c r="AH284" s="34" t="n">
        <f aca="false">IF((29-N(V_L2_Mes)+1)&gt;=1,IF((29-N(V_L2_Mes)+1)=1,N(V_L2_Monto),AG$286)*N(V_L2_Tasa)/12,0)*AH$9</f>
        <v>0</v>
      </c>
      <c r="AI284" s="34" t="n">
        <f aca="false">IF((30-N(V_L2_Mes)+1)&gt;=1,IF((30-N(V_L2_Mes)+1)=1,N(V_L2_Monto),AH$286)*N(V_L2_Tasa)/12,0)*AI$9</f>
        <v>0</v>
      </c>
      <c r="AJ284" s="34" t="n">
        <f aca="false">IF((31-N(V_L2_Mes)+1)&gt;=1,IF((31-N(V_L2_Mes)+1)=1,N(V_L2_Monto),AI$286)*N(V_L2_Tasa)/12,0)*AJ$9</f>
        <v>0</v>
      </c>
      <c r="AK284" s="34" t="n">
        <f aca="false">IF((32-N(V_L2_Mes)+1)&gt;=1,IF((32-N(V_L2_Mes)+1)=1,N(V_L2_Monto),AJ$286)*N(V_L2_Tasa)/12,0)*AK$9</f>
        <v>0</v>
      </c>
      <c r="AL284" s="34" t="n">
        <f aca="false">IF((33-N(V_L2_Mes)+1)&gt;=1,IF((33-N(V_L2_Mes)+1)=1,N(V_L2_Monto),AK$286)*N(V_L2_Tasa)/12,0)*AL$9</f>
        <v>0</v>
      </c>
      <c r="AM284" s="34" t="n">
        <f aca="false">IF((34-N(V_L2_Mes)+1)&gt;=1,IF((34-N(V_L2_Mes)+1)=1,N(V_L2_Monto),AL$286)*N(V_L2_Tasa)/12,0)*AM$9</f>
        <v>0</v>
      </c>
      <c r="AN284" s="34" t="n">
        <f aca="false">IF((35-N(V_L2_Mes)+1)&gt;=1,IF((35-N(V_L2_Mes)+1)=1,N(V_L2_Monto),AM$286)*N(V_L2_Tasa)/12,0)*AN$9</f>
        <v>0</v>
      </c>
      <c r="AO284" s="34" t="n">
        <f aca="false">IF((36-N(V_L2_Mes)+1)&gt;=1,IF((36-N(V_L2_Mes)+1)=1,N(V_L2_Monto),AN$286)*N(V_L2_Tasa)/12,0)*AO$9</f>
        <v>0</v>
      </c>
      <c r="AP284" s="34" t="n">
        <f aca="false">IF((37-N(V_L2_Mes)+1)&gt;=1,IF((37-N(V_L2_Mes)+1)=1,N(V_L2_Monto),AO$286)*N(V_L2_Tasa)/12,0)*AP$9</f>
        <v>0</v>
      </c>
      <c r="AQ284" s="34" t="n">
        <f aca="false">IF((38-N(V_L2_Mes)+1)&gt;=1,IF((38-N(V_L2_Mes)+1)=1,N(V_L2_Monto),AP$286)*N(V_L2_Tasa)/12,0)*AQ$9</f>
        <v>0</v>
      </c>
      <c r="AR284" s="34" t="n">
        <f aca="false">IF((39-N(V_L2_Mes)+1)&gt;=1,IF((39-N(V_L2_Mes)+1)=1,N(V_L2_Monto),AQ$286)*N(V_L2_Tasa)/12,0)*AR$9</f>
        <v>0</v>
      </c>
      <c r="AS284" s="34" t="n">
        <f aca="false">IF((40-N(V_L2_Mes)+1)&gt;=1,IF((40-N(V_L2_Mes)+1)=1,N(V_L2_Monto),AR$286)*N(V_L2_Tasa)/12,0)*AS$9</f>
        <v>0</v>
      </c>
      <c r="AT284" s="34" t="n">
        <f aca="false">IF((41-N(V_L2_Mes)+1)&gt;=1,IF((41-N(V_L2_Mes)+1)=1,N(V_L2_Monto),AS$286)*N(V_L2_Tasa)/12,0)*AT$9</f>
        <v>0</v>
      </c>
      <c r="AU284" s="34" t="n">
        <f aca="false">IF((42-N(V_L2_Mes)+1)&gt;=1,IF((42-N(V_L2_Mes)+1)=1,N(V_L2_Monto),AT$286)*N(V_L2_Tasa)/12,0)*AU$9</f>
        <v>0</v>
      </c>
      <c r="AV284" s="34" t="n">
        <f aca="false">IF((43-N(V_L2_Mes)+1)&gt;=1,IF((43-N(V_L2_Mes)+1)=1,N(V_L2_Monto),AU$286)*N(V_L2_Tasa)/12,0)*AV$9</f>
        <v>0</v>
      </c>
      <c r="AW284" s="34" t="n">
        <f aca="false">IF((44-N(V_L2_Mes)+1)&gt;=1,IF((44-N(V_L2_Mes)+1)=1,N(V_L2_Monto),AV$286)*N(V_L2_Tasa)/12,0)*AW$9</f>
        <v>0</v>
      </c>
      <c r="AX284" s="34" t="n">
        <f aca="false">IF((45-N(V_L2_Mes)+1)&gt;=1,IF((45-N(V_L2_Mes)+1)=1,N(V_L2_Monto),AW$286)*N(V_L2_Tasa)/12,0)*AX$9</f>
        <v>0</v>
      </c>
      <c r="AY284" s="34" t="n">
        <f aca="false">IF((46-N(V_L2_Mes)+1)&gt;=1,IF((46-N(V_L2_Mes)+1)=1,N(V_L2_Monto),AX$286)*N(V_L2_Tasa)/12,0)*AY$9</f>
        <v>0</v>
      </c>
      <c r="AZ284" s="34" t="n">
        <f aca="false">IF((47-N(V_L2_Mes)+1)&gt;=1,IF((47-N(V_L2_Mes)+1)=1,N(V_L2_Monto),AY$286)*N(V_L2_Tasa)/12,0)*AZ$9</f>
        <v>0</v>
      </c>
      <c r="BA284" s="34" t="n">
        <f aca="false">IF((48-N(V_L2_Mes)+1)&gt;=1,IF((48-N(V_L2_Mes)+1)=1,N(V_L2_Monto),AZ$286)*N(V_L2_Tasa)/12,0)*BA$9</f>
        <v>0</v>
      </c>
      <c r="BB284" s="34" t="n">
        <f aca="false">IF((49-N(V_L2_Mes)+1)&gt;=1,IF((49-N(V_L2_Mes)+1)=1,N(V_L2_Monto),BA$286)*N(V_L2_Tasa)/12,0)*BB$9</f>
        <v>0</v>
      </c>
      <c r="BC284" s="34" t="n">
        <f aca="false">IF((50-N(V_L2_Mes)+1)&gt;=1,IF((50-N(V_L2_Mes)+1)=1,N(V_L2_Monto),BB$286)*N(V_L2_Tasa)/12,0)*BC$9</f>
        <v>0</v>
      </c>
      <c r="BD284" s="34" t="n">
        <f aca="false">IF((51-N(V_L2_Mes)+1)&gt;=1,IF((51-N(V_L2_Mes)+1)=1,N(V_L2_Monto),BC$286)*N(V_L2_Tasa)/12,0)*BD$9</f>
        <v>0</v>
      </c>
      <c r="BE284" s="34" t="n">
        <f aca="false">IF((52-N(V_L2_Mes)+1)&gt;=1,IF((52-N(V_L2_Mes)+1)=1,N(V_L2_Monto),BD$286)*N(V_L2_Tasa)/12,0)*BE$9</f>
        <v>0</v>
      </c>
      <c r="BF284" s="34" t="n">
        <f aca="false">IF((53-N(V_L2_Mes)+1)&gt;=1,IF((53-N(V_L2_Mes)+1)=1,N(V_L2_Monto),BE$286)*N(V_L2_Tasa)/12,0)*BF$9</f>
        <v>0</v>
      </c>
      <c r="BG284" s="34" t="n">
        <f aca="false">IF((54-N(V_L2_Mes)+1)&gt;=1,IF((54-N(V_L2_Mes)+1)=1,N(V_L2_Monto),BF$286)*N(V_L2_Tasa)/12,0)*BG$9</f>
        <v>0</v>
      </c>
      <c r="BH284" s="34" t="n">
        <f aca="false">IF((55-N(V_L2_Mes)+1)&gt;=1,IF((55-N(V_L2_Mes)+1)=1,N(V_L2_Monto),BG$286)*N(V_L2_Tasa)/12,0)*BH$9</f>
        <v>0</v>
      </c>
      <c r="BI284" s="34" t="n">
        <f aca="false">IF((56-N(V_L2_Mes)+1)&gt;=1,IF((56-N(V_L2_Mes)+1)=1,N(V_L2_Monto),BH$286)*N(V_L2_Tasa)/12,0)*BI$9</f>
        <v>0</v>
      </c>
      <c r="BJ284" s="34" t="n">
        <f aca="false">IF((57-N(V_L2_Mes)+1)&gt;=1,IF((57-N(V_L2_Mes)+1)=1,N(V_L2_Monto),BI$286)*N(V_L2_Tasa)/12,0)*BJ$9</f>
        <v>0</v>
      </c>
      <c r="BK284" s="34" t="n">
        <f aca="false">IF((58-N(V_L2_Mes)+1)&gt;=1,IF((58-N(V_L2_Mes)+1)=1,N(V_L2_Monto),BJ$286)*N(V_L2_Tasa)/12,0)*BK$9</f>
        <v>0</v>
      </c>
      <c r="BL284" s="34" t="n">
        <f aca="false">IF((59-N(V_L2_Mes)+1)&gt;=1,IF((59-N(V_L2_Mes)+1)=1,N(V_L2_Monto),BK$286)*N(V_L2_Tasa)/12,0)*BL$9</f>
        <v>0</v>
      </c>
      <c r="BM284" s="34" t="n">
        <f aca="false">IF((60-N(V_L2_Mes)+1)&gt;=1,IF((60-N(V_L2_Mes)+1)=1,N(V_L2_Monto),BL$286)*N(V_L2_Tasa)/12,0)*BM$9</f>
        <v>0</v>
      </c>
      <c r="BN284" s="34" t="n">
        <f aca="false">IF((61-N(V_L2_Mes)+1)&gt;=1,IF((61-N(V_L2_Mes)+1)=1,N(V_L2_Monto),BM$286)*N(V_L2_Tasa)/12,0)*BN$9</f>
        <v>0</v>
      </c>
      <c r="BO284" s="34" t="n">
        <f aca="false">IF((62-N(V_L2_Mes)+1)&gt;=1,IF((62-N(V_L2_Mes)+1)=1,N(V_L2_Monto),BN$286)*N(V_L2_Tasa)/12,0)*BO$9</f>
        <v>0</v>
      </c>
      <c r="BP284" s="34" t="n">
        <f aca="false">IF((63-N(V_L2_Mes)+1)&gt;=1,IF((63-N(V_L2_Mes)+1)=1,N(V_L2_Monto),BO$286)*N(V_L2_Tasa)/12,0)*BP$9</f>
        <v>0</v>
      </c>
      <c r="BQ284" s="34" t="n">
        <f aca="false">IF((64-N(V_L2_Mes)+1)&gt;=1,IF((64-N(V_L2_Mes)+1)=1,N(V_L2_Monto),BP$286)*N(V_L2_Tasa)/12,0)*BQ$9</f>
        <v>0</v>
      </c>
      <c r="BR284" s="34" t="n">
        <f aca="false">IF((65-N(V_L2_Mes)+1)&gt;=1,IF((65-N(V_L2_Mes)+1)=1,N(V_L2_Monto),BQ$286)*N(V_L2_Tasa)/12,0)*BR$9</f>
        <v>0</v>
      </c>
      <c r="BS284" s="34" t="n">
        <f aca="false">IF((66-N(V_L2_Mes)+1)&gt;=1,IF((66-N(V_L2_Mes)+1)=1,N(V_L2_Monto),BR$286)*N(V_L2_Tasa)/12,0)*BS$9</f>
        <v>0</v>
      </c>
      <c r="BT284" s="34" t="n">
        <f aca="false">IF((67-N(V_L2_Mes)+1)&gt;=1,IF((67-N(V_L2_Mes)+1)=1,N(V_L2_Monto),BS$286)*N(V_L2_Tasa)/12,0)*BT$9</f>
        <v>0</v>
      </c>
      <c r="BU284" s="34" t="n">
        <f aca="false">IF((68-N(V_L2_Mes)+1)&gt;=1,IF((68-N(V_L2_Mes)+1)=1,N(V_L2_Monto),BT$286)*N(V_L2_Tasa)/12,0)*BU$9</f>
        <v>0</v>
      </c>
      <c r="BV284" s="34" t="n">
        <f aca="false">IF((69-N(V_L2_Mes)+1)&gt;=1,IF((69-N(V_L2_Mes)+1)=1,N(V_L2_Monto),BU$286)*N(V_L2_Tasa)/12,0)*BV$9</f>
        <v>0</v>
      </c>
      <c r="BW284" s="34" t="n">
        <f aca="false">IF((70-N(V_L2_Mes)+1)&gt;=1,IF((70-N(V_L2_Mes)+1)=1,N(V_L2_Monto),BV$286)*N(V_L2_Tasa)/12,0)*BW$9</f>
        <v>0</v>
      </c>
      <c r="BX284" s="34" t="n">
        <f aca="false">IF((71-N(V_L2_Mes)+1)&gt;=1,IF((71-N(V_L2_Mes)+1)=1,N(V_L2_Monto),BW$286)*N(V_L2_Tasa)/12,0)*BX$9</f>
        <v>0</v>
      </c>
      <c r="BY284" s="34" t="n">
        <f aca="false">IF((72-N(V_L2_Mes)+1)&gt;=1,IF((72-N(V_L2_Mes)+1)=1,N(V_L2_Monto),BX$286)*N(V_L2_Tasa)/12,0)*BY$9</f>
        <v>0</v>
      </c>
      <c r="BZ284" s="34" t="n">
        <f aca="false">IF((73-N(V_L2_Mes)+1)&gt;=1,IF((73-N(V_L2_Mes)+1)=1,N(V_L2_Monto),BY$286)*N(V_L2_Tasa)/12,0)*BZ$9</f>
        <v>0</v>
      </c>
      <c r="CA284" s="34" t="n">
        <f aca="false">IF((74-N(V_L2_Mes)+1)&gt;=1,IF((74-N(V_L2_Mes)+1)=1,N(V_L2_Monto),BZ$286)*N(V_L2_Tasa)/12,0)*CA$9</f>
        <v>0</v>
      </c>
      <c r="CB284" s="34" t="n">
        <f aca="false">IF((75-N(V_L2_Mes)+1)&gt;=1,IF((75-N(V_L2_Mes)+1)=1,N(V_L2_Monto),CA$286)*N(V_L2_Tasa)/12,0)*CB$9</f>
        <v>0</v>
      </c>
      <c r="CC284" s="34" t="n">
        <f aca="false">IF((76-N(V_L2_Mes)+1)&gt;=1,IF((76-N(V_L2_Mes)+1)=1,N(V_L2_Monto),CB$286)*N(V_L2_Tasa)/12,0)*CC$9</f>
        <v>0</v>
      </c>
      <c r="CD284" s="34" t="n">
        <f aca="false">IF((77-N(V_L2_Mes)+1)&gt;=1,IF((77-N(V_L2_Mes)+1)=1,N(V_L2_Monto),CC$286)*N(V_L2_Tasa)/12,0)*CD$9</f>
        <v>0</v>
      </c>
      <c r="CE284" s="34" t="n">
        <f aca="false">IF((78-N(V_L2_Mes)+1)&gt;=1,IF((78-N(V_L2_Mes)+1)=1,N(V_L2_Monto),CD$286)*N(V_L2_Tasa)/12,0)*CE$9</f>
        <v>0</v>
      </c>
      <c r="CF284" s="34" t="n">
        <f aca="false">IF((79-N(V_L2_Mes)+1)&gt;=1,IF((79-N(V_L2_Mes)+1)=1,N(V_L2_Monto),CE$286)*N(V_L2_Tasa)/12,0)*CF$9</f>
        <v>0</v>
      </c>
      <c r="CG284" s="34" t="n">
        <f aca="false">IF((80-N(V_L2_Mes)+1)&gt;=1,IF((80-N(V_L2_Mes)+1)=1,N(V_L2_Monto),CF$286)*N(V_L2_Tasa)/12,0)*CG$9</f>
        <v>0</v>
      </c>
      <c r="CH284" s="34" t="n">
        <f aca="false">IF((81-N(V_L2_Mes)+1)&gt;=1,IF((81-N(V_L2_Mes)+1)=1,N(V_L2_Monto),CG$286)*N(V_L2_Tasa)/12,0)*CH$9</f>
        <v>0</v>
      </c>
      <c r="CI284" s="34" t="n">
        <f aca="false">IF((82-N(V_L2_Mes)+1)&gt;=1,IF((82-N(V_L2_Mes)+1)=1,N(V_L2_Monto),CH$286)*N(V_L2_Tasa)/12,0)*CI$9</f>
        <v>0</v>
      </c>
      <c r="CJ284" s="34" t="n">
        <f aca="false">IF((83-N(V_L2_Mes)+1)&gt;=1,IF((83-N(V_L2_Mes)+1)=1,N(V_L2_Monto),CI$286)*N(V_L2_Tasa)/12,0)*CJ$9</f>
        <v>0</v>
      </c>
      <c r="CK284" s="34" t="n">
        <f aca="false">IF((84-N(V_L2_Mes)+1)&gt;=1,IF((84-N(V_L2_Mes)+1)=1,N(V_L2_Monto),CJ$286)*N(V_L2_Tasa)/12,0)*CK$9</f>
        <v>0</v>
      </c>
      <c r="CL284" s="34" t="n">
        <f aca="false">IF((85-N(V_L2_Mes)+1)&gt;=1,IF((85-N(V_L2_Mes)+1)=1,N(V_L2_Monto),CK$286)*N(V_L2_Tasa)/12,0)*CL$9</f>
        <v>0</v>
      </c>
      <c r="CM284" s="34" t="n">
        <f aca="false">IF((86-N(V_L2_Mes)+1)&gt;=1,IF((86-N(V_L2_Mes)+1)=1,N(V_L2_Monto),CL$286)*N(V_L2_Tasa)/12,0)*CM$9</f>
        <v>0</v>
      </c>
      <c r="CN284" s="34" t="n">
        <f aca="false">IF((87-N(V_L2_Mes)+1)&gt;=1,IF((87-N(V_L2_Mes)+1)=1,N(V_L2_Monto),CM$286)*N(V_L2_Tasa)/12,0)*CN$9</f>
        <v>0</v>
      </c>
      <c r="CO284" s="34" t="n">
        <f aca="false">IF((88-N(V_L2_Mes)+1)&gt;=1,IF((88-N(V_L2_Mes)+1)=1,N(V_L2_Monto),CN$286)*N(V_L2_Tasa)/12,0)*CO$9</f>
        <v>0</v>
      </c>
      <c r="CP284" s="34" t="n">
        <f aca="false">IF((89-N(V_L2_Mes)+1)&gt;=1,IF((89-N(V_L2_Mes)+1)=1,N(V_L2_Monto),CO$286)*N(V_L2_Tasa)/12,0)*CP$9</f>
        <v>0</v>
      </c>
      <c r="CQ284" s="34" t="n">
        <f aca="false">IF((90-N(V_L2_Mes)+1)&gt;=1,IF((90-N(V_L2_Mes)+1)=1,N(V_L2_Monto),CP$286)*N(V_L2_Tasa)/12,0)*CQ$9</f>
        <v>0</v>
      </c>
      <c r="CR284" s="34" t="n">
        <f aca="false">IF((91-N(V_L2_Mes)+1)&gt;=1,IF((91-N(V_L2_Mes)+1)=1,N(V_L2_Monto),CQ$286)*N(V_L2_Tasa)/12,0)*CR$9</f>
        <v>0</v>
      </c>
      <c r="CS284" s="34" t="n">
        <f aca="false">IF((92-N(V_L2_Mes)+1)&gt;=1,IF((92-N(V_L2_Mes)+1)=1,N(V_L2_Monto),CR$286)*N(V_L2_Tasa)/12,0)*CS$9</f>
        <v>0</v>
      </c>
      <c r="CT284" s="34" t="n">
        <f aca="false">IF((93-N(V_L2_Mes)+1)&gt;=1,IF((93-N(V_L2_Mes)+1)=1,N(V_L2_Monto),CS$286)*N(V_L2_Tasa)/12,0)*CT$9</f>
        <v>0</v>
      </c>
      <c r="CU284" s="34" t="n">
        <f aca="false">IF((94-N(V_L2_Mes)+1)&gt;=1,IF((94-N(V_L2_Mes)+1)=1,N(V_L2_Monto),CT$286)*N(V_L2_Tasa)/12,0)*CU$9</f>
        <v>0</v>
      </c>
      <c r="CV284" s="34" t="n">
        <f aca="false">IF((95-N(V_L2_Mes)+1)&gt;=1,IF((95-N(V_L2_Mes)+1)=1,N(V_L2_Monto),CU$286)*N(V_L2_Tasa)/12,0)*CV$9</f>
        <v>0</v>
      </c>
      <c r="CW284" s="34" t="n">
        <f aca="false">IF((96-N(V_L2_Mes)+1)&gt;=1,IF((96-N(V_L2_Mes)+1)=1,N(V_L2_Monto),CV$286)*N(V_L2_Tasa)/12,0)*CW$9</f>
        <v>0</v>
      </c>
      <c r="CX284" s="34" t="n">
        <f aca="false">IF((97-N(V_L2_Mes)+1)&gt;=1,IF((97-N(V_L2_Mes)+1)=1,N(V_L2_Monto),CW$286)*N(V_L2_Tasa)/12,0)*CX$9</f>
        <v>0</v>
      </c>
      <c r="CY284" s="34" t="n">
        <f aca="false">IF((98-N(V_L2_Mes)+1)&gt;=1,IF((98-N(V_L2_Mes)+1)=1,N(V_L2_Monto),CX$286)*N(V_L2_Tasa)/12,0)*CY$9</f>
        <v>0</v>
      </c>
      <c r="CZ284" s="34" t="n">
        <f aca="false">IF((99-N(V_L2_Mes)+1)&gt;=1,IF((99-N(V_L2_Mes)+1)=1,N(V_L2_Monto),CY$286)*N(V_L2_Tasa)/12,0)*CZ$9</f>
        <v>0</v>
      </c>
      <c r="DA284" s="34" t="n">
        <f aca="false">IF((100-N(V_L2_Mes)+1)&gt;=1,IF((100-N(V_L2_Mes)+1)=1,N(V_L2_Monto),CZ$286)*N(V_L2_Tasa)/12,0)*DA$9</f>
        <v>0</v>
      </c>
      <c r="DB284" s="34" t="n">
        <f aca="false">IF((101-N(V_L2_Mes)+1)&gt;=1,IF((101-N(V_L2_Mes)+1)=1,N(V_L2_Monto),DA$286)*N(V_L2_Tasa)/12,0)*DB$9</f>
        <v>0</v>
      </c>
      <c r="DC284" s="34" t="n">
        <f aca="false">IF((102-N(V_L2_Mes)+1)&gt;=1,IF((102-N(V_L2_Mes)+1)=1,N(V_L2_Monto),DB$286)*N(V_L2_Tasa)/12,0)*DC$9</f>
        <v>0</v>
      </c>
      <c r="DD284" s="34" t="n">
        <f aca="false">IF((103-N(V_L2_Mes)+1)&gt;=1,IF((103-N(V_L2_Mes)+1)=1,N(V_L2_Monto),DC$286)*N(V_L2_Tasa)/12,0)*DD$9</f>
        <v>0</v>
      </c>
      <c r="DE284" s="34" t="n">
        <f aca="false">IF((104-N(V_L2_Mes)+1)&gt;=1,IF((104-N(V_L2_Mes)+1)=1,N(V_L2_Monto),DD$286)*N(V_L2_Tasa)/12,0)*DE$9</f>
        <v>0</v>
      </c>
      <c r="DF284" s="34" t="n">
        <f aca="false">IF((105-N(V_L2_Mes)+1)&gt;=1,IF((105-N(V_L2_Mes)+1)=1,N(V_L2_Monto),DE$286)*N(V_L2_Tasa)/12,0)*DF$9</f>
        <v>0</v>
      </c>
      <c r="DG284" s="34" t="n">
        <f aca="false">IF((106-N(V_L2_Mes)+1)&gt;=1,IF((106-N(V_L2_Mes)+1)=1,N(V_L2_Monto),DF$286)*N(V_L2_Tasa)/12,0)*DG$9</f>
        <v>0</v>
      </c>
      <c r="DH284" s="34" t="n">
        <f aca="false">IF((107-N(V_L2_Mes)+1)&gt;=1,IF((107-N(V_L2_Mes)+1)=1,N(V_L2_Monto),DG$286)*N(V_L2_Tasa)/12,0)*DH$9</f>
        <v>0</v>
      </c>
      <c r="DI284" s="34" t="n">
        <f aca="false">IF((108-N(V_L2_Mes)+1)&gt;=1,IF((108-N(V_L2_Mes)+1)=1,N(V_L2_Monto),DH$286)*N(V_L2_Tasa)/12,0)*DI$9</f>
        <v>0</v>
      </c>
      <c r="DJ284" s="34" t="n">
        <f aca="false">IF((109-N(V_L2_Mes)+1)&gt;=1,IF((109-N(V_L2_Mes)+1)=1,N(V_L2_Monto),DI$286)*N(V_L2_Tasa)/12,0)*DJ$9</f>
        <v>0</v>
      </c>
      <c r="DK284" s="34" t="n">
        <f aca="false">IF((110-N(V_L2_Mes)+1)&gt;=1,IF((110-N(V_L2_Mes)+1)=1,N(V_L2_Monto),DJ$286)*N(V_L2_Tasa)/12,0)*DK$9</f>
        <v>0</v>
      </c>
      <c r="DL284" s="34" t="n">
        <f aca="false">IF((111-N(V_L2_Mes)+1)&gt;=1,IF((111-N(V_L2_Mes)+1)=1,N(V_L2_Monto),DK$286)*N(V_L2_Tasa)/12,0)*DL$9</f>
        <v>0</v>
      </c>
      <c r="DM284" s="34" t="n">
        <f aca="false">IF((112-N(V_L2_Mes)+1)&gt;=1,IF((112-N(V_L2_Mes)+1)=1,N(V_L2_Monto),DL$286)*N(V_L2_Tasa)/12,0)*DM$9</f>
        <v>0</v>
      </c>
      <c r="DN284" s="34" t="n">
        <f aca="false">IF((113-N(V_L2_Mes)+1)&gt;=1,IF((113-N(V_L2_Mes)+1)=1,N(V_L2_Monto),DM$286)*N(V_L2_Tasa)/12,0)*DN$9</f>
        <v>0</v>
      </c>
      <c r="DO284" s="34" t="n">
        <f aca="false">IF((114-N(V_L2_Mes)+1)&gt;=1,IF((114-N(V_L2_Mes)+1)=1,N(V_L2_Monto),DN$286)*N(V_L2_Tasa)/12,0)*DO$9</f>
        <v>0</v>
      </c>
      <c r="DP284" s="34" t="n">
        <f aca="false">IF((115-N(V_L2_Mes)+1)&gt;=1,IF((115-N(V_L2_Mes)+1)=1,N(V_L2_Monto),DO$286)*N(V_L2_Tasa)/12,0)*DP$9</f>
        <v>0</v>
      </c>
      <c r="DQ284" s="34" t="n">
        <f aca="false">IF((116-N(V_L2_Mes)+1)&gt;=1,IF((116-N(V_L2_Mes)+1)=1,N(V_L2_Monto),DP$286)*N(V_L2_Tasa)/12,0)*DQ$9</f>
        <v>0</v>
      </c>
      <c r="DR284" s="34" t="n">
        <f aca="false">IF((117-N(V_L2_Mes)+1)&gt;=1,IF((117-N(V_L2_Mes)+1)=1,N(V_L2_Monto),DQ$286)*N(V_L2_Tasa)/12,0)*DR$9</f>
        <v>0</v>
      </c>
      <c r="DS284" s="34" t="n">
        <f aca="false">IF((118-N(V_L2_Mes)+1)&gt;=1,IF((118-N(V_L2_Mes)+1)=1,N(V_L2_Monto),DR$286)*N(V_L2_Tasa)/12,0)*DS$9</f>
        <v>0</v>
      </c>
      <c r="DT284" s="34" t="n">
        <f aca="false">IF((119-N(V_L2_Mes)+1)&gt;=1,IF((119-N(V_L2_Mes)+1)=1,N(V_L2_Monto),DS$286)*N(V_L2_Tasa)/12,0)*DT$9</f>
        <v>0</v>
      </c>
      <c r="DU284" s="34" t="n">
        <f aca="false">IF((120-N(V_L2_Mes)+1)&gt;=1,IF((120-N(V_L2_Mes)+1)=1,N(V_L2_Monto),DT$286)*N(V_L2_Tasa)/12,0)*DU$9</f>
        <v>0</v>
      </c>
      <c r="DV284" s="34" t="n">
        <f aca="false">IF((121-N(V_L2_Mes)+1)&gt;=1,IF((121-N(V_L2_Mes)+1)=1,N(V_L2_Monto),DU$286)*N(V_L2_Tasa)/12,0)*DV$9</f>
        <v>0</v>
      </c>
      <c r="DW284" s="34" t="n">
        <f aca="false">IF((122-N(V_L2_Mes)+1)&gt;=1,IF((122-N(V_L2_Mes)+1)=1,N(V_L2_Monto),DV$286)*N(V_L2_Tasa)/12,0)*DW$9</f>
        <v>0</v>
      </c>
      <c r="DX284" s="34" t="n">
        <f aca="false">IF((123-N(V_L2_Mes)+1)&gt;=1,IF((123-N(V_L2_Mes)+1)=1,N(V_L2_Monto),DW$286)*N(V_L2_Tasa)/12,0)*DX$9</f>
        <v>0</v>
      </c>
      <c r="DY284" s="34" t="n">
        <f aca="false">IF((124-N(V_L2_Mes)+1)&gt;=1,IF((124-N(V_L2_Mes)+1)=1,N(V_L2_Monto),DX$286)*N(V_L2_Tasa)/12,0)*DY$9</f>
        <v>0</v>
      </c>
      <c r="DZ284" s="34" t="n">
        <f aca="false">IF((125-N(V_L2_Mes)+1)&gt;=1,IF((125-N(V_L2_Mes)+1)=1,N(V_L2_Monto),DY$286)*N(V_L2_Tasa)/12,0)*DZ$9</f>
        <v>0</v>
      </c>
      <c r="EA284" s="34" t="n">
        <f aca="false">IF((126-N(V_L2_Mes)+1)&gt;=1,IF((126-N(V_L2_Mes)+1)=1,N(V_L2_Monto),DZ$286)*N(V_L2_Tasa)/12,0)*EA$9</f>
        <v>0</v>
      </c>
      <c r="EB284" s="34" t="n">
        <f aca="false">IF((127-N(V_L2_Mes)+1)&gt;=1,IF((127-N(V_L2_Mes)+1)=1,N(V_L2_Monto),EA$286)*N(V_L2_Tasa)/12,0)*EB$9</f>
        <v>0</v>
      </c>
      <c r="EC284" s="34" t="n">
        <f aca="false">IF((128-N(V_L2_Mes)+1)&gt;=1,IF((128-N(V_L2_Mes)+1)=1,N(V_L2_Monto),EB$286)*N(V_L2_Tasa)/12,0)*EC$9</f>
        <v>0</v>
      </c>
      <c r="ED284" s="34" t="n">
        <f aca="false">IF((129-N(V_L2_Mes)+1)&gt;=1,IF((129-N(V_L2_Mes)+1)=1,N(V_L2_Monto),EC$286)*N(V_L2_Tasa)/12,0)*ED$9</f>
        <v>0</v>
      </c>
      <c r="EE284" s="34" t="n">
        <f aca="false">IF((130-N(V_L2_Mes)+1)&gt;=1,IF((130-N(V_L2_Mes)+1)=1,N(V_L2_Monto),ED$286)*N(V_L2_Tasa)/12,0)*EE$9</f>
        <v>0</v>
      </c>
      <c r="EF284" s="34" t="n">
        <f aca="false">IF((131-N(V_L2_Mes)+1)&gt;=1,IF((131-N(V_L2_Mes)+1)=1,N(V_L2_Monto),EE$286)*N(V_L2_Tasa)/12,0)*EF$9</f>
        <v>0</v>
      </c>
      <c r="EG284" s="34" t="n">
        <f aca="false">IF((132-N(V_L2_Mes)+1)&gt;=1,IF((132-N(V_L2_Mes)+1)=1,N(V_L2_Monto),EF$286)*N(V_L2_Tasa)/12,0)*EG$9</f>
        <v>0</v>
      </c>
      <c r="EH284" s="34" t="n">
        <f aca="false">IF((133-N(V_L2_Mes)+1)&gt;=1,IF((133-N(V_L2_Mes)+1)=1,N(V_L2_Monto),EG$286)*N(V_L2_Tasa)/12,0)*EH$9</f>
        <v>0</v>
      </c>
      <c r="EI284" s="34" t="n">
        <f aca="false">IF((134-N(V_L2_Mes)+1)&gt;=1,IF((134-N(V_L2_Mes)+1)=1,N(V_L2_Monto),EH$286)*N(V_L2_Tasa)/12,0)*EI$9</f>
        <v>0</v>
      </c>
      <c r="EJ284" s="34" t="n">
        <f aca="false">IF((135-N(V_L2_Mes)+1)&gt;=1,IF((135-N(V_L2_Mes)+1)=1,N(V_L2_Monto),EI$286)*N(V_L2_Tasa)/12,0)*EJ$9</f>
        <v>0</v>
      </c>
      <c r="EK284" s="34" t="n">
        <f aca="false">IF((136-N(V_L2_Mes)+1)&gt;=1,IF((136-N(V_L2_Mes)+1)=1,N(V_L2_Monto),EJ$286)*N(V_L2_Tasa)/12,0)*EK$9</f>
        <v>0</v>
      </c>
      <c r="EL284" s="34" t="n">
        <f aca="false">IF((137-N(V_L2_Mes)+1)&gt;=1,IF((137-N(V_L2_Mes)+1)=1,N(V_L2_Monto),EK$286)*N(V_L2_Tasa)/12,0)*EL$9</f>
        <v>0</v>
      </c>
      <c r="EM284" s="34" t="n">
        <f aca="false">IF((138-N(V_L2_Mes)+1)&gt;=1,IF((138-N(V_L2_Mes)+1)=1,N(V_L2_Monto),EL$286)*N(V_L2_Tasa)/12,0)*EM$9</f>
        <v>0</v>
      </c>
      <c r="EN284" s="34" t="n">
        <f aca="false">IF((139-N(V_L2_Mes)+1)&gt;=1,IF((139-N(V_L2_Mes)+1)=1,N(V_L2_Monto),EM$286)*N(V_L2_Tasa)/12,0)*EN$9</f>
        <v>0</v>
      </c>
      <c r="EO284" s="34" t="n">
        <f aca="false">IF((140-N(V_L2_Mes)+1)&gt;=1,IF((140-N(V_L2_Mes)+1)=1,N(V_L2_Monto),EN$286)*N(V_L2_Tasa)/12,0)*EO$9</f>
        <v>0</v>
      </c>
      <c r="EP284" s="34" t="n">
        <f aca="false">IF((141-N(V_L2_Mes)+1)&gt;=1,IF((141-N(V_L2_Mes)+1)=1,N(V_L2_Monto),EO$286)*N(V_L2_Tasa)/12,0)*EP$9</f>
        <v>0</v>
      </c>
      <c r="EQ284" s="34" t="n">
        <f aca="false">IF((142-N(V_L2_Mes)+1)&gt;=1,IF((142-N(V_L2_Mes)+1)=1,N(V_L2_Monto),EP$286)*N(V_L2_Tasa)/12,0)*EQ$9</f>
        <v>0</v>
      </c>
      <c r="ER284" s="34" t="n">
        <f aca="false">IF((143-N(V_L2_Mes)+1)&gt;=1,IF((143-N(V_L2_Mes)+1)=1,N(V_L2_Monto),EQ$286)*N(V_L2_Tasa)/12,0)*ER$9</f>
        <v>0</v>
      </c>
      <c r="ES284" s="34" t="n">
        <f aca="false">IF((144-N(V_L2_Mes)+1)&gt;=1,IF((144-N(V_L2_Mes)+1)=1,N(V_L2_Monto),ER$286)*N(V_L2_Tasa)/12,0)*ES$9</f>
        <v>0</v>
      </c>
    </row>
    <row r="285" customFormat="false" ht="15" hidden="false" customHeight="false" outlineLevel="0" collapsed="false">
      <c r="A285" s="2" t="s">
        <v>922</v>
      </c>
      <c r="B285" s="6" t="s">
        <v>742</v>
      </c>
      <c r="C285" s="6" t="s">
        <v>250</v>
      </c>
      <c r="E285" s="40" t="n">
        <f aca="false">SUM(F285:ES285)</f>
        <v>0</v>
      </c>
      <c r="F285" s="34" t="n">
        <f aca="false">IF(AND((1-N(V_L2_Mes)+1)&gt;N(V_L2_Gracia),(1-N(V_L2_Mes)+1)&lt;=N(V_L2_Gracia)+N(V_L2_Cuotas),N(V_L2_Cuotas)&gt;0),IF((1-N(V_L2_Mes)+1)=N(V_L2_Gracia)+N(V_L2_Cuotas),IF((1-N(V_L2_Mes)+1)=1,N(V_L2_Monto),0),PMT(N(V_L2_Tasa)/12,N(V_L2_Cuotas),-N(V_L2_Monto))-F$284),0)*F$9</f>
        <v>0</v>
      </c>
      <c r="G285" s="34" t="n">
        <f aca="false">IF(AND((2-N(V_L2_Mes)+1)&gt;N(V_L2_Gracia),(2-N(V_L2_Mes)+1)&lt;=N(V_L2_Gracia)+N(V_L2_Cuotas),N(V_L2_Cuotas)&gt;0),IF((2-N(V_L2_Mes)+1)=N(V_L2_Gracia)+N(V_L2_Cuotas),IF((2-N(V_L2_Mes)+1)=1,N(V_L2_Monto),F$286),PMT(N(V_L2_Tasa)/12,N(V_L2_Cuotas),-N(V_L2_Monto))-G$284),0)*G$9</f>
        <v>0</v>
      </c>
      <c r="H285" s="34" t="n">
        <f aca="false">IF(AND((3-N(V_L2_Mes)+1)&gt;N(V_L2_Gracia),(3-N(V_L2_Mes)+1)&lt;=N(V_L2_Gracia)+N(V_L2_Cuotas),N(V_L2_Cuotas)&gt;0),IF((3-N(V_L2_Mes)+1)=N(V_L2_Gracia)+N(V_L2_Cuotas),IF((3-N(V_L2_Mes)+1)=1,N(V_L2_Monto),G$286),PMT(N(V_L2_Tasa)/12,N(V_L2_Cuotas),-N(V_L2_Monto))-H$284),0)*H$9</f>
        <v>0</v>
      </c>
      <c r="I285" s="34" t="n">
        <f aca="false">IF(AND((4-N(V_L2_Mes)+1)&gt;N(V_L2_Gracia),(4-N(V_L2_Mes)+1)&lt;=N(V_L2_Gracia)+N(V_L2_Cuotas),N(V_L2_Cuotas)&gt;0),IF((4-N(V_L2_Mes)+1)=N(V_L2_Gracia)+N(V_L2_Cuotas),IF((4-N(V_L2_Mes)+1)=1,N(V_L2_Monto),H$286),PMT(N(V_L2_Tasa)/12,N(V_L2_Cuotas),-N(V_L2_Monto))-I$284),0)*I$9</f>
        <v>0</v>
      </c>
      <c r="J285" s="34" t="n">
        <f aca="false">IF(AND((5-N(V_L2_Mes)+1)&gt;N(V_L2_Gracia),(5-N(V_L2_Mes)+1)&lt;=N(V_L2_Gracia)+N(V_L2_Cuotas),N(V_L2_Cuotas)&gt;0),IF((5-N(V_L2_Mes)+1)=N(V_L2_Gracia)+N(V_L2_Cuotas),IF((5-N(V_L2_Mes)+1)=1,N(V_L2_Monto),I$286),PMT(N(V_L2_Tasa)/12,N(V_L2_Cuotas),-N(V_L2_Monto))-J$284),0)*J$9</f>
        <v>0</v>
      </c>
      <c r="K285" s="34" t="n">
        <f aca="false">IF(AND((6-N(V_L2_Mes)+1)&gt;N(V_L2_Gracia),(6-N(V_L2_Mes)+1)&lt;=N(V_L2_Gracia)+N(V_L2_Cuotas),N(V_L2_Cuotas)&gt;0),IF((6-N(V_L2_Mes)+1)=N(V_L2_Gracia)+N(V_L2_Cuotas),IF((6-N(V_L2_Mes)+1)=1,N(V_L2_Monto),J$286),PMT(N(V_L2_Tasa)/12,N(V_L2_Cuotas),-N(V_L2_Monto))-K$284),0)*K$9</f>
        <v>0</v>
      </c>
      <c r="L285" s="34" t="n">
        <f aca="false">IF(AND((7-N(V_L2_Mes)+1)&gt;N(V_L2_Gracia),(7-N(V_L2_Mes)+1)&lt;=N(V_L2_Gracia)+N(V_L2_Cuotas),N(V_L2_Cuotas)&gt;0),IF((7-N(V_L2_Mes)+1)=N(V_L2_Gracia)+N(V_L2_Cuotas),IF((7-N(V_L2_Mes)+1)=1,N(V_L2_Monto),K$286),PMT(N(V_L2_Tasa)/12,N(V_L2_Cuotas),-N(V_L2_Monto))-L$284),0)*L$9</f>
        <v>0</v>
      </c>
      <c r="M285" s="34" t="n">
        <f aca="false">IF(AND((8-N(V_L2_Mes)+1)&gt;N(V_L2_Gracia),(8-N(V_L2_Mes)+1)&lt;=N(V_L2_Gracia)+N(V_L2_Cuotas),N(V_L2_Cuotas)&gt;0),IF((8-N(V_L2_Mes)+1)=N(V_L2_Gracia)+N(V_L2_Cuotas),IF((8-N(V_L2_Mes)+1)=1,N(V_L2_Monto),L$286),PMT(N(V_L2_Tasa)/12,N(V_L2_Cuotas),-N(V_L2_Monto))-M$284),0)*M$9</f>
        <v>0</v>
      </c>
      <c r="N285" s="34" t="n">
        <f aca="false">IF(AND((9-N(V_L2_Mes)+1)&gt;N(V_L2_Gracia),(9-N(V_L2_Mes)+1)&lt;=N(V_L2_Gracia)+N(V_L2_Cuotas),N(V_L2_Cuotas)&gt;0),IF((9-N(V_L2_Mes)+1)=N(V_L2_Gracia)+N(V_L2_Cuotas),IF((9-N(V_L2_Mes)+1)=1,N(V_L2_Monto),M$286),PMT(N(V_L2_Tasa)/12,N(V_L2_Cuotas),-N(V_L2_Monto))-N$284),0)*N$9</f>
        <v>0</v>
      </c>
      <c r="O285" s="34" t="n">
        <f aca="false">IF(AND((10-N(V_L2_Mes)+1)&gt;N(V_L2_Gracia),(10-N(V_L2_Mes)+1)&lt;=N(V_L2_Gracia)+N(V_L2_Cuotas),N(V_L2_Cuotas)&gt;0),IF((10-N(V_L2_Mes)+1)=N(V_L2_Gracia)+N(V_L2_Cuotas),IF((10-N(V_L2_Mes)+1)=1,N(V_L2_Monto),N$286),PMT(N(V_L2_Tasa)/12,N(V_L2_Cuotas),-N(V_L2_Monto))-O$284),0)*O$9</f>
        <v>0</v>
      </c>
      <c r="P285" s="34" t="n">
        <f aca="false">IF(AND((11-N(V_L2_Mes)+1)&gt;N(V_L2_Gracia),(11-N(V_L2_Mes)+1)&lt;=N(V_L2_Gracia)+N(V_L2_Cuotas),N(V_L2_Cuotas)&gt;0),IF((11-N(V_L2_Mes)+1)=N(V_L2_Gracia)+N(V_L2_Cuotas),IF((11-N(V_L2_Mes)+1)=1,N(V_L2_Monto),O$286),PMT(N(V_L2_Tasa)/12,N(V_L2_Cuotas),-N(V_L2_Monto))-P$284),0)*P$9</f>
        <v>0</v>
      </c>
      <c r="Q285" s="34" t="n">
        <f aca="false">IF(AND((12-N(V_L2_Mes)+1)&gt;N(V_L2_Gracia),(12-N(V_L2_Mes)+1)&lt;=N(V_L2_Gracia)+N(V_L2_Cuotas),N(V_L2_Cuotas)&gt;0),IF((12-N(V_L2_Mes)+1)=N(V_L2_Gracia)+N(V_L2_Cuotas),IF((12-N(V_L2_Mes)+1)=1,N(V_L2_Monto),P$286),PMT(N(V_L2_Tasa)/12,N(V_L2_Cuotas),-N(V_L2_Monto))-Q$284),0)*Q$9</f>
        <v>0</v>
      </c>
      <c r="R285" s="34" t="n">
        <f aca="false">IF(AND((13-N(V_L2_Mes)+1)&gt;N(V_L2_Gracia),(13-N(V_L2_Mes)+1)&lt;=N(V_L2_Gracia)+N(V_L2_Cuotas),N(V_L2_Cuotas)&gt;0),IF((13-N(V_L2_Mes)+1)=N(V_L2_Gracia)+N(V_L2_Cuotas),IF((13-N(V_L2_Mes)+1)=1,N(V_L2_Monto),Q$286),PMT(N(V_L2_Tasa)/12,N(V_L2_Cuotas),-N(V_L2_Monto))-R$284),0)*R$9</f>
        <v>0</v>
      </c>
      <c r="S285" s="34" t="n">
        <f aca="false">IF(AND((14-N(V_L2_Mes)+1)&gt;N(V_L2_Gracia),(14-N(V_L2_Mes)+1)&lt;=N(V_L2_Gracia)+N(V_L2_Cuotas),N(V_L2_Cuotas)&gt;0),IF((14-N(V_L2_Mes)+1)=N(V_L2_Gracia)+N(V_L2_Cuotas),IF((14-N(V_L2_Mes)+1)=1,N(V_L2_Monto),R$286),PMT(N(V_L2_Tasa)/12,N(V_L2_Cuotas),-N(V_L2_Monto))-S$284),0)*S$9</f>
        <v>0</v>
      </c>
      <c r="T285" s="34" t="n">
        <f aca="false">IF(AND((15-N(V_L2_Mes)+1)&gt;N(V_L2_Gracia),(15-N(V_L2_Mes)+1)&lt;=N(V_L2_Gracia)+N(V_L2_Cuotas),N(V_L2_Cuotas)&gt;0),IF((15-N(V_L2_Mes)+1)=N(V_L2_Gracia)+N(V_L2_Cuotas),IF((15-N(V_L2_Mes)+1)=1,N(V_L2_Monto),S$286),PMT(N(V_L2_Tasa)/12,N(V_L2_Cuotas),-N(V_L2_Monto))-T$284),0)*T$9</f>
        <v>0</v>
      </c>
      <c r="U285" s="34" t="n">
        <f aca="false">IF(AND((16-N(V_L2_Mes)+1)&gt;N(V_L2_Gracia),(16-N(V_L2_Mes)+1)&lt;=N(V_L2_Gracia)+N(V_L2_Cuotas),N(V_L2_Cuotas)&gt;0),IF((16-N(V_L2_Mes)+1)=N(V_L2_Gracia)+N(V_L2_Cuotas),IF((16-N(V_L2_Mes)+1)=1,N(V_L2_Monto),T$286),PMT(N(V_L2_Tasa)/12,N(V_L2_Cuotas),-N(V_L2_Monto))-U$284),0)*U$9</f>
        <v>0</v>
      </c>
      <c r="V285" s="34" t="n">
        <f aca="false">IF(AND((17-N(V_L2_Mes)+1)&gt;N(V_L2_Gracia),(17-N(V_L2_Mes)+1)&lt;=N(V_L2_Gracia)+N(V_L2_Cuotas),N(V_L2_Cuotas)&gt;0),IF((17-N(V_L2_Mes)+1)=N(V_L2_Gracia)+N(V_L2_Cuotas),IF((17-N(V_L2_Mes)+1)=1,N(V_L2_Monto),U$286),PMT(N(V_L2_Tasa)/12,N(V_L2_Cuotas),-N(V_L2_Monto))-V$284),0)*V$9</f>
        <v>0</v>
      </c>
      <c r="W285" s="34" t="n">
        <f aca="false">IF(AND((18-N(V_L2_Mes)+1)&gt;N(V_L2_Gracia),(18-N(V_L2_Mes)+1)&lt;=N(V_L2_Gracia)+N(V_L2_Cuotas),N(V_L2_Cuotas)&gt;0),IF((18-N(V_L2_Mes)+1)=N(V_L2_Gracia)+N(V_L2_Cuotas),IF((18-N(V_L2_Mes)+1)=1,N(V_L2_Monto),V$286),PMT(N(V_L2_Tasa)/12,N(V_L2_Cuotas),-N(V_L2_Monto))-W$284),0)*W$9</f>
        <v>0</v>
      </c>
      <c r="X285" s="34" t="n">
        <f aca="false">IF(AND((19-N(V_L2_Mes)+1)&gt;N(V_L2_Gracia),(19-N(V_L2_Mes)+1)&lt;=N(V_L2_Gracia)+N(V_L2_Cuotas),N(V_L2_Cuotas)&gt;0),IF((19-N(V_L2_Mes)+1)=N(V_L2_Gracia)+N(V_L2_Cuotas),IF((19-N(V_L2_Mes)+1)=1,N(V_L2_Monto),W$286),PMT(N(V_L2_Tasa)/12,N(V_L2_Cuotas),-N(V_L2_Monto))-X$284),0)*X$9</f>
        <v>0</v>
      </c>
      <c r="Y285" s="34" t="n">
        <f aca="false">IF(AND((20-N(V_L2_Mes)+1)&gt;N(V_L2_Gracia),(20-N(V_L2_Mes)+1)&lt;=N(V_L2_Gracia)+N(V_L2_Cuotas),N(V_L2_Cuotas)&gt;0),IF((20-N(V_L2_Mes)+1)=N(V_L2_Gracia)+N(V_L2_Cuotas),IF((20-N(V_L2_Mes)+1)=1,N(V_L2_Monto),X$286),PMT(N(V_L2_Tasa)/12,N(V_L2_Cuotas),-N(V_L2_Monto))-Y$284),0)*Y$9</f>
        <v>0</v>
      </c>
      <c r="Z285" s="34" t="n">
        <f aca="false">IF(AND((21-N(V_L2_Mes)+1)&gt;N(V_L2_Gracia),(21-N(V_L2_Mes)+1)&lt;=N(V_L2_Gracia)+N(V_L2_Cuotas),N(V_L2_Cuotas)&gt;0),IF((21-N(V_L2_Mes)+1)=N(V_L2_Gracia)+N(V_L2_Cuotas),IF((21-N(V_L2_Mes)+1)=1,N(V_L2_Monto),Y$286),PMT(N(V_L2_Tasa)/12,N(V_L2_Cuotas),-N(V_L2_Monto))-Z$284),0)*Z$9</f>
        <v>0</v>
      </c>
      <c r="AA285" s="34" t="n">
        <f aca="false">IF(AND((22-N(V_L2_Mes)+1)&gt;N(V_L2_Gracia),(22-N(V_L2_Mes)+1)&lt;=N(V_L2_Gracia)+N(V_L2_Cuotas),N(V_L2_Cuotas)&gt;0),IF((22-N(V_L2_Mes)+1)=N(V_L2_Gracia)+N(V_L2_Cuotas),IF((22-N(V_L2_Mes)+1)=1,N(V_L2_Monto),Z$286),PMT(N(V_L2_Tasa)/12,N(V_L2_Cuotas),-N(V_L2_Monto))-AA$284),0)*AA$9</f>
        <v>0</v>
      </c>
      <c r="AB285" s="34" t="n">
        <f aca="false">IF(AND((23-N(V_L2_Mes)+1)&gt;N(V_L2_Gracia),(23-N(V_L2_Mes)+1)&lt;=N(V_L2_Gracia)+N(V_L2_Cuotas),N(V_L2_Cuotas)&gt;0),IF((23-N(V_L2_Mes)+1)=N(V_L2_Gracia)+N(V_L2_Cuotas),IF((23-N(V_L2_Mes)+1)=1,N(V_L2_Monto),AA$286),PMT(N(V_L2_Tasa)/12,N(V_L2_Cuotas),-N(V_L2_Monto))-AB$284),0)*AB$9</f>
        <v>0</v>
      </c>
      <c r="AC285" s="34" t="n">
        <f aca="false">IF(AND((24-N(V_L2_Mes)+1)&gt;N(V_L2_Gracia),(24-N(V_L2_Mes)+1)&lt;=N(V_L2_Gracia)+N(V_L2_Cuotas),N(V_L2_Cuotas)&gt;0),IF((24-N(V_L2_Mes)+1)=N(V_L2_Gracia)+N(V_L2_Cuotas),IF((24-N(V_L2_Mes)+1)=1,N(V_L2_Monto),AB$286),PMT(N(V_L2_Tasa)/12,N(V_L2_Cuotas),-N(V_L2_Monto))-AC$284),0)*AC$9</f>
        <v>0</v>
      </c>
      <c r="AD285" s="34" t="n">
        <f aca="false">IF(AND((25-N(V_L2_Mes)+1)&gt;N(V_L2_Gracia),(25-N(V_L2_Mes)+1)&lt;=N(V_L2_Gracia)+N(V_L2_Cuotas),N(V_L2_Cuotas)&gt;0),IF((25-N(V_L2_Mes)+1)=N(V_L2_Gracia)+N(V_L2_Cuotas),IF((25-N(V_L2_Mes)+1)=1,N(V_L2_Monto),AC$286),PMT(N(V_L2_Tasa)/12,N(V_L2_Cuotas),-N(V_L2_Monto))-AD$284),0)*AD$9</f>
        <v>0</v>
      </c>
      <c r="AE285" s="34" t="n">
        <f aca="false">IF(AND((26-N(V_L2_Mes)+1)&gt;N(V_L2_Gracia),(26-N(V_L2_Mes)+1)&lt;=N(V_L2_Gracia)+N(V_L2_Cuotas),N(V_L2_Cuotas)&gt;0),IF((26-N(V_L2_Mes)+1)=N(V_L2_Gracia)+N(V_L2_Cuotas),IF((26-N(V_L2_Mes)+1)=1,N(V_L2_Monto),AD$286),PMT(N(V_L2_Tasa)/12,N(V_L2_Cuotas),-N(V_L2_Monto))-AE$284),0)*AE$9</f>
        <v>0</v>
      </c>
      <c r="AF285" s="34" t="n">
        <f aca="false">IF(AND((27-N(V_L2_Mes)+1)&gt;N(V_L2_Gracia),(27-N(V_L2_Mes)+1)&lt;=N(V_L2_Gracia)+N(V_L2_Cuotas),N(V_L2_Cuotas)&gt;0),IF((27-N(V_L2_Mes)+1)=N(V_L2_Gracia)+N(V_L2_Cuotas),IF((27-N(V_L2_Mes)+1)=1,N(V_L2_Monto),AE$286),PMT(N(V_L2_Tasa)/12,N(V_L2_Cuotas),-N(V_L2_Monto))-AF$284),0)*AF$9</f>
        <v>0</v>
      </c>
      <c r="AG285" s="34" t="n">
        <f aca="false">IF(AND((28-N(V_L2_Mes)+1)&gt;N(V_L2_Gracia),(28-N(V_L2_Mes)+1)&lt;=N(V_L2_Gracia)+N(V_L2_Cuotas),N(V_L2_Cuotas)&gt;0),IF((28-N(V_L2_Mes)+1)=N(V_L2_Gracia)+N(V_L2_Cuotas),IF((28-N(V_L2_Mes)+1)=1,N(V_L2_Monto),AF$286),PMT(N(V_L2_Tasa)/12,N(V_L2_Cuotas),-N(V_L2_Monto))-AG$284),0)*AG$9</f>
        <v>0</v>
      </c>
      <c r="AH285" s="34" t="n">
        <f aca="false">IF(AND((29-N(V_L2_Mes)+1)&gt;N(V_L2_Gracia),(29-N(V_L2_Mes)+1)&lt;=N(V_L2_Gracia)+N(V_L2_Cuotas),N(V_L2_Cuotas)&gt;0),IF((29-N(V_L2_Mes)+1)=N(V_L2_Gracia)+N(V_L2_Cuotas),IF((29-N(V_L2_Mes)+1)=1,N(V_L2_Monto),AG$286),PMT(N(V_L2_Tasa)/12,N(V_L2_Cuotas),-N(V_L2_Monto))-AH$284),0)*AH$9</f>
        <v>0</v>
      </c>
      <c r="AI285" s="34" t="n">
        <f aca="false">IF(AND((30-N(V_L2_Mes)+1)&gt;N(V_L2_Gracia),(30-N(V_L2_Mes)+1)&lt;=N(V_L2_Gracia)+N(V_L2_Cuotas),N(V_L2_Cuotas)&gt;0),IF((30-N(V_L2_Mes)+1)=N(V_L2_Gracia)+N(V_L2_Cuotas),IF((30-N(V_L2_Mes)+1)=1,N(V_L2_Monto),AH$286),PMT(N(V_L2_Tasa)/12,N(V_L2_Cuotas),-N(V_L2_Monto))-AI$284),0)*AI$9</f>
        <v>0</v>
      </c>
      <c r="AJ285" s="34" t="n">
        <f aca="false">IF(AND((31-N(V_L2_Mes)+1)&gt;N(V_L2_Gracia),(31-N(V_L2_Mes)+1)&lt;=N(V_L2_Gracia)+N(V_L2_Cuotas),N(V_L2_Cuotas)&gt;0),IF((31-N(V_L2_Mes)+1)=N(V_L2_Gracia)+N(V_L2_Cuotas),IF((31-N(V_L2_Mes)+1)=1,N(V_L2_Monto),AI$286),PMT(N(V_L2_Tasa)/12,N(V_L2_Cuotas),-N(V_L2_Monto))-AJ$284),0)*AJ$9</f>
        <v>0</v>
      </c>
      <c r="AK285" s="34" t="n">
        <f aca="false">IF(AND((32-N(V_L2_Mes)+1)&gt;N(V_L2_Gracia),(32-N(V_L2_Mes)+1)&lt;=N(V_L2_Gracia)+N(V_L2_Cuotas),N(V_L2_Cuotas)&gt;0),IF((32-N(V_L2_Mes)+1)=N(V_L2_Gracia)+N(V_L2_Cuotas),IF((32-N(V_L2_Mes)+1)=1,N(V_L2_Monto),AJ$286),PMT(N(V_L2_Tasa)/12,N(V_L2_Cuotas),-N(V_L2_Monto))-AK$284),0)*AK$9</f>
        <v>0</v>
      </c>
      <c r="AL285" s="34" t="n">
        <f aca="false">IF(AND((33-N(V_L2_Mes)+1)&gt;N(V_L2_Gracia),(33-N(V_L2_Mes)+1)&lt;=N(V_L2_Gracia)+N(V_L2_Cuotas),N(V_L2_Cuotas)&gt;0),IF((33-N(V_L2_Mes)+1)=N(V_L2_Gracia)+N(V_L2_Cuotas),IF((33-N(V_L2_Mes)+1)=1,N(V_L2_Monto),AK$286),PMT(N(V_L2_Tasa)/12,N(V_L2_Cuotas),-N(V_L2_Monto))-AL$284),0)*AL$9</f>
        <v>0</v>
      </c>
      <c r="AM285" s="34" t="n">
        <f aca="false">IF(AND((34-N(V_L2_Mes)+1)&gt;N(V_L2_Gracia),(34-N(V_L2_Mes)+1)&lt;=N(V_L2_Gracia)+N(V_L2_Cuotas),N(V_L2_Cuotas)&gt;0),IF((34-N(V_L2_Mes)+1)=N(V_L2_Gracia)+N(V_L2_Cuotas),IF((34-N(V_L2_Mes)+1)=1,N(V_L2_Monto),AL$286),PMT(N(V_L2_Tasa)/12,N(V_L2_Cuotas),-N(V_L2_Monto))-AM$284),0)*AM$9</f>
        <v>0</v>
      </c>
      <c r="AN285" s="34" t="n">
        <f aca="false">IF(AND((35-N(V_L2_Mes)+1)&gt;N(V_L2_Gracia),(35-N(V_L2_Mes)+1)&lt;=N(V_L2_Gracia)+N(V_L2_Cuotas),N(V_L2_Cuotas)&gt;0),IF((35-N(V_L2_Mes)+1)=N(V_L2_Gracia)+N(V_L2_Cuotas),IF((35-N(V_L2_Mes)+1)=1,N(V_L2_Monto),AM$286),PMT(N(V_L2_Tasa)/12,N(V_L2_Cuotas),-N(V_L2_Monto))-AN$284),0)*AN$9</f>
        <v>0</v>
      </c>
      <c r="AO285" s="34" t="n">
        <f aca="false">IF(AND((36-N(V_L2_Mes)+1)&gt;N(V_L2_Gracia),(36-N(V_L2_Mes)+1)&lt;=N(V_L2_Gracia)+N(V_L2_Cuotas),N(V_L2_Cuotas)&gt;0),IF((36-N(V_L2_Mes)+1)=N(V_L2_Gracia)+N(V_L2_Cuotas),IF((36-N(V_L2_Mes)+1)=1,N(V_L2_Monto),AN$286),PMT(N(V_L2_Tasa)/12,N(V_L2_Cuotas),-N(V_L2_Monto))-AO$284),0)*AO$9</f>
        <v>0</v>
      </c>
      <c r="AP285" s="34" t="n">
        <f aca="false">IF(AND((37-N(V_L2_Mes)+1)&gt;N(V_L2_Gracia),(37-N(V_L2_Mes)+1)&lt;=N(V_L2_Gracia)+N(V_L2_Cuotas),N(V_L2_Cuotas)&gt;0),IF((37-N(V_L2_Mes)+1)=N(V_L2_Gracia)+N(V_L2_Cuotas),IF((37-N(V_L2_Mes)+1)=1,N(V_L2_Monto),AO$286),PMT(N(V_L2_Tasa)/12,N(V_L2_Cuotas),-N(V_L2_Monto))-AP$284),0)*AP$9</f>
        <v>0</v>
      </c>
      <c r="AQ285" s="34" t="n">
        <f aca="false">IF(AND((38-N(V_L2_Mes)+1)&gt;N(V_L2_Gracia),(38-N(V_L2_Mes)+1)&lt;=N(V_L2_Gracia)+N(V_L2_Cuotas),N(V_L2_Cuotas)&gt;0),IF((38-N(V_L2_Mes)+1)=N(V_L2_Gracia)+N(V_L2_Cuotas),IF((38-N(V_L2_Mes)+1)=1,N(V_L2_Monto),AP$286),PMT(N(V_L2_Tasa)/12,N(V_L2_Cuotas),-N(V_L2_Monto))-AQ$284),0)*AQ$9</f>
        <v>0</v>
      </c>
      <c r="AR285" s="34" t="n">
        <f aca="false">IF(AND((39-N(V_L2_Mes)+1)&gt;N(V_L2_Gracia),(39-N(V_L2_Mes)+1)&lt;=N(V_L2_Gracia)+N(V_L2_Cuotas),N(V_L2_Cuotas)&gt;0),IF((39-N(V_L2_Mes)+1)=N(V_L2_Gracia)+N(V_L2_Cuotas),IF((39-N(V_L2_Mes)+1)=1,N(V_L2_Monto),AQ$286),PMT(N(V_L2_Tasa)/12,N(V_L2_Cuotas),-N(V_L2_Monto))-AR$284),0)*AR$9</f>
        <v>0</v>
      </c>
      <c r="AS285" s="34" t="n">
        <f aca="false">IF(AND((40-N(V_L2_Mes)+1)&gt;N(V_L2_Gracia),(40-N(V_L2_Mes)+1)&lt;=N(V_L2_Gracia)+N(V_L2_Cuotas),N(V_L2_Cuotas)&gt;0),IF((40-N(V_L2_Mes)+1)=N(V_L2_Gracia)+N(V_L2_Cuotas),IF((40-N(V_L2_Mes)+1)=1,N(V_L2_Monto),AR$286),PMT(N(V_L2_Tasa)/12,N(V_L2_Cuotas),-N(V_L2_Monto))-AS$284),0)*AS$9</f>
        <v>0</v>
      </c>
      <c r="AT285" s="34" t="n">
        <f aca="false">IF(AND((41-N(V_L2_Mes)+1)&gt;N(V_L2_Gracia),(41-N(V_L2_Mes)+1)&lt;=N(V_L2_Gracia)+N(V_L2_Cuotas),N(V_L2_Cuotas)&gt;0),IF((41-N(V_L2_Mes)+1)=N(V_L2_Gracia)+N(V_L2_Cuotas),IF((41-N(V_L2_Mes)+1)=1,N(V_L2_Monto),AS$286),PMT(N(V_L2_Tasa)/12,N(V_L2_Cuotas),-N(V_L2_Monto))-AT$284),0)*AT$9</f>
        <v>0</v>
      </c>
      <c r="AU285" s="34" t="n">
        <f aca="false">IF(AND((42-N(V_L2_Mes)+1)&gt;N(V_L2_Gracia),(42-N(V_L2_Mes)+1)&lt;=N(V_L2_Gracia)+N(V_L2_Cuotas),N(V_L2_Cuotas)&gt;0),IF((42-N(V_L2_Mes)+1)=N(V_L2_Gracia)+N(V_L2_Cuotas),IF((42-N(V_L2_Mes)+1)=1,N(V_L2_Monto),AT$286),PMT(N(V_L2_Tasa)/12,N(V_L2_Cuotas),-N(V_L2_Monto))-AU$284),0)*AU$9</f>
        <v>0</v>
      </c>
      <c r="AV285" s="34" t="n">
        <f aca="false">IF(AND((43-N(V_L2_Mes)+1)&gt;N(V_L2_Gracia),(43-N(V_L2_Mes)+1)&lt;=N(V_L2_Gracia)+N(V_L2_Cuotas),N(V_L2_Cuotas)&gt;0),IF((43-N(V_L2_Mes)+1)=N(V_L2_Gracia)+N(V_L2_Cuotas),IF((43-N(V_L2_Mes)+1)=1,N(V_L2_Monto),AU$286),PMT(N(V_L2_Tasa)/12,N(V_L2_Cuotas),-N(V_L2_Monto))-AV$284),0)*AV$9</f>
        <v>0</v>
      </c>
      <c r="AW285" s="34" t="n">
        <f aca="false">IF(AND((44-N(V_L2_Mes)+1)&gt;N(V_L2_Gracia),(44-N(V_L2_Mes)+1)&lt;=N(V_L2_Gracia)+N(V_L2_Cuotas),N(V_L2_Cuotas)&gt;0),IF((44-N(V_L2_Mes)+1)=N(V_L2_Gracia)+N(V_L2_Cuotas),IF((44-N(V_L2_Mes)+1)=1,N(V_L2_Monto),AV$286),PMT(N(V_L2_Tasa)/12,N(V_L2_Cuotas),-N(V_L2_Monto))-AW$284),0)*AW$9</f>
        <v>0</v>
      </c>
      <c r="AX285" s="34" t="n">
        <f aca="false">IF(AND((45-N(V_L2_Mes)+1)&gt;N(V_L2_Gracia),(45-N(V_L2_Mes)+1)&lt;=N(V_L2_Gracia)+N(V_L2_Cuotas),N(V_L2_Cuotas)&gt;0),IF((45-N(V_L2_Mes)+1)=N(V_L2_Gracia)+N(V_L2_Cuotas),IF((45-N(V_L2_Mes)+1)=1,N(V_L2_Monto),AW$286),PMT(N(V_L2_Tasa)/12,N(V_L2_Cuotas),-N(V_L2_Monto))-AX$284),0)*AX$9</f>
        <v>0</v>
      </c>
      <c r="AY285" s="34" t="n">
        <f aca="false">IF(AND((46-N(V_L2_Mes)+1)&gt;N(V_L2_Gracia),(46-N(V_L2_Mes)+1)&lt;=N(V_L2_Gracia)+N(V_L2_Cuotas),N(V_L2_Cuotas)&gt;0),IF((46-N(V_L2_Mes)+1)=N(V_L2_Gracia)+N(V_L2_Cuotas),IF((46-N(V_L2_Mes)+1)=1,N(V_L2_Monto),AX$286),PMT(N(V_L2_Tasa)/12,N(V_L2_Cuotas),-N(V_L2_Monto))-AY$284),0)*AY$9</f>
        <v>0</v>
      </c>
      <c r="AZ285" s="34" t="n">
        <f aca="false">IF(AND((47-N(V_L2_Mes)+1)&gt;N(V_L2_Gracia),(47-N(V_L2_Mes)+1)&lt;=N(V_L2_Gracia)+N(V_L2_Cuotas),N(V_L2_Cuotas)&gt;0),IF((47-N(V_L2_Mes)+1)=N(V_L2_Gracia)+N(V_L2_Cuotas),IF((47-N(V_L2_Mes)+1)=1,N(V_L2_Monto),AY$286),PMT(N(V_L2_Tasa)/12,N(V_L2_Cuotas),-N(V_L2_Monto))-AZ$284),0)*AZ$9</f>
        <v>0</v>
      </c>
      <c r="BA285" s="34" t="n">
        <f aca="false">IF(AND((48-N(V_L2_Mes)+1)&gt;N(V_L2_Gracia),(48-N(V_L2_Mes)+1)&lt;=N(V_L2_Gracia)+N(V_L2_Cuotas),N(V_L2_Cuotas)&gt;0),IF((48-N(V_L2_Mes)+1)=N(V_L2_Gracia)+N(V_L2_Cuotas),IF((48-N(V_L2_Mes)+1)=1,N(V_L2_Monto),AZ$286),PMT(N(V_L2_Tasa)/12,N(V_L2_Cuotas),-N(V_L2_Monto))-BA$284),0)*BA$9</f>
        <v>0</v>
      </c>
      <c r="BB285" s="34" t="n">
        <f aca="false">IF(AND((49-N(V_L2_Mes)+1)&gt;N(V_L2_Gracia),(49-N(V_L2_Mes)+1)&lt;=N(V_L2_Gracia)+N(V_L2_Cuotas),N(V_L2_Cuotas)&gt;0),IF((49-N(V_L2_Mes)+1)=N(V_L2_Gracia)+N(V_L2_Cuotas),IF((49-N(V_L2_Mes)+1)=1,N(V_L2_Monto),BA$286),PMT(N(V_L2_Tasa)/12,N(V_L2_Cuotas),-N(V_L2_Monto))-BB$284),0)*BB$9</f>
        <v>0</v>
      </c>
      <c r="BC285" s="34" t="n">
        <f aca="false">IF(AND((50-N(V_L2_Mes)+1)&gt;N(V_L2_Gracia),(50-N(V_L2_Mes)+1)&lt;=N(V_L2_Gracia)+N(V_L2_Cuotas),N(V_L2_Cuotas)&gt;0),IF((50-N(V_L2_Mes)+1)=N(V_L2_Gracia)+N(V_L2_Cuotas),IF((50-N(V_L2_Mes)+1)=1,N(V_L2_Monto),BB$286),PMT(N(V_L2_Tasa)/12,N(V_L2_Cuotas),-N(V_L2_Monto))-BC$284),0)*BC$9</f>
        <v>0</v>
      </c>
      <c r="BD285" s="34" t="n">
        <f aca="false">IF(AND((51-N(V_L2_Mes)+1)&gt;N(V_L2_Gracia),(51-N(V_L2_Mes)+1)&lt;=N(V_L2_Gracia)+N(V_L2_Cuotas),N(V_L2_Cuotas)&gt;0),IF((51-N(V_L2_Mes)+1)=N(V_L2_Gracia)+N(V_L2_Cuotas),IF((51-N(V_L2_Mes)+1)=1,N(V_L2_Monto),BC$286),PMT(N(V_L2_Tasa)/12,N(V_L2_Cuotas),-N(V_L2_Monto))-BD$284),0)*BD$9</f>
        <v>0</v>
      </c>
      <c r="BE285" s="34" t="n">
        <f aca="false">IF(AND((52-N(V_L2_Mes)+1)&gt;N(V_L2_Gracia),(52-N(V_L2_Mes)+1)&lt;=N(V_L2_Gracia)+N(V_L2_Cuotas),N(V_L2_Cuotas)&gt;0),IF((52-N(V_L2_Mes)+1)=N(V_L2_Gracia)+N(V_L2_Cuotas),IF((52-N(V_L2_Mes)+1)=1,N(V_L2_Monto),BD$286),PMT(N(V_L2_Tasa)/12,N(V_L2_Cuotas),-N(V_L2_Monto))-BE$284),0)*BE$9</f>
        <v>0</v>
      </c>
      <c r="BF285" s="34" t="n">
        <f aca="false">IF(AND((53-N(V_L2_Mes)+1)&gt;N(V_L2_Gracia),(53-N(V_L2_Mes)+1)&lt;=N(V_L2_Gracia)+N(V_L2_Cuotas),N(V_L2_Cuotas)&gt;0),IF((53-N(V_L2_Mes)+1)=N(V_L2_Gracia)+N(V_L2_Cuotas),IF((53-N(V_L2_Mes)+1)=1,N(V_L2_Monto),BE$286),PMT(N(V_L2_Tasa)/12,N(V_L2_Cuotas),-N(V_L2_Monto))-BF$284),0)*BF$9</f>
        <v>0</v>
      </c>
      <c r="BG285" s="34" t="n">
        <f aca="false">IF(AND((54-N(V_L2_Mes)+1)&gt;N(V_L2_Gracia),(54-N(V_L2_Mes)+1)&lt;=N(V_L2_Gracia)+N(V_L2_Cuotas),N(V_L2_Cuotas)&gt;0),IF((54-N(V_L2_Mes)+1)=N(V_L2_Gracia)+N(V_L2_Cuotas),IF((54-N(V_L2_Mes)+1)=1,N(V_L2_Monto),BF$286),PMT(N(V_L2_Tasa)/12,N(V_L2_Cuotas),-N(V_L2_Monto))-BG$284),0)*BG$9</f>
        <v>0</v>
      </c>
      <c r="BH285" s="34" t="n">
        <f aca="false">IF(AND((55-N(V_L2_Mes)+1)&gt;N(V_L2_Gracia),(55-N(V_L2_Mes)+1)&lt;=N(V_L2_Gracia)+N(V_L2_Cuotas),N(V_L2_Cuotas)&gt;0),IF((55-N(V_L2_Mes)+1)=N(V_L2_Gracia)+N(V_L2_Cuotas),IF((55-N(V_L2_Mes)+1)=1,N(V_L2_Monto),BG$286),PMT(N(V_L2_Tasa)/12,N(V_L2_Cuotas),-N(V_L2_Monto))-BH$284),0)*BH$9</f>
        <v>0</v>
      </c>
      <c r="BI285" s="34" t="n">
        <f aca="false">IF(AND((56-N(V_L2_Mes)+1)&gt;N(V_L2_Gracia),(56-N(V_L2_Mes)+1)&lt;=N(V_L2_Gracia)+N(V_L2_Cuotas),N(V_L2_Cuotas)&gt;0),IF((56-N(V_L2_Mes)+1)=N(V_L2_Gracia)+N(V_L2_Cuotas),IF((56-N(V_L2_Mes)+1)=1,N(V_L2_Monto),BH$286),PMT(N(V_L2_Tasa)/12,N(V_L2_Cuotas),-N(V_L2_Monto))-BI$284),0)*BI$9</f>
        <v>0</v>
      </c>
      <c r="BJ285" s="34" t="n">
        <f aca="false">IF(AND((57-N(V_L2_Mes)+1)&gt;N(V_L2_Gracia),(57-N(V_L2_Mes)+1)&lt;=N(V_L2_Gracia)+N(V_L2_Cuotas),N(V_L2_Cuotas)&gt;0),IF((57-N(V_L2_Mes)+1)=N(V_L2_Gracia)+N(V_L2_Cuotas),IF((57-N(V_L2_Mes)+1)=1,N(V_L2_Monto),BI$286),PMT(N(V_L2_Tasa)/12,N(V_L2_Cuotas),-N(V_L2_Monto))-BJ$284),0)*BJ$9</f>
        <v>0</v>
      </c>
      <c r="BK285" s="34" t="n">
        <f aca="false">IF(AND((58-N(V_L2_Mes)+1)&gt;N(V_L2_Gracia),(58-N(V_L2_Mes)+1)&lt;=N(V_L2_Gracia)+N(V_L2_Cuotas),N(V_L2_Cuotas)&gt;0),IF((58-N(V_L2_Mes)+1)=N(V_L2_Gracia)+N(V_L2_Cuotas),IF((58-N(V_L2_Mes)+1)=1,N(V_L2_Monto),BJ$286),PMT(N(V_L2_Tasa)/12,N(V_L2_Cuotas),-N(V_L2_Monto))-BK$284),0)*BK$9</f>
        <v>0</v>
      </c>
      <c r="BL285" s="34" t="n">
        <f aca="false">IF(AND((59-N(V_L2_Mes)+1)&gt;N(V_L2_Gracia),(59-N(V_L2_Mes)+1)&lt;=N(V_L2_Gracia)+N(V_L2_Cuotas),N(V_L2_Cuotas)&gt;0),IF((59-N(V_L2_Mes)+1)=N(V_L2_Gracia)+N(V_L2_Cuotas),IF((59-N(V_L2_Mes)+1)=1,N(V_L2_Monto),BK$286),PMT(N(V_L2_Tasa)/12,N(V_L2_Cuotas),-N(V_L2_Monto))-BL$284),0)*BL$9</f>
        <v>0</v>
      </c>
      <c r="BM285" s="34" t="n">
        <f aca="false">IF(AND((60-N(V_L2_Mes)+1)&gt;N(V_L2_Gracia),(60-N(V_L2_Mes)+1)&lt;=N(V_L2_Gracia)+N(V_L2_Cuotas),N(V_L2_Cuotas)&gt;0),IF((60-N(V_L2_Mes)+1)=N(V_L2_Gracia)+N(V_L2_Cuotas),IF((60-N(V_L2_Mes)+1)=1,N(V_L2_Monto),BL$286),PMT(N(V_L2_Tasa)/12,N(V_L2_Cuotas),-N(V_L2_Monto))-BM$284),0)*BM$9</f>
        <v>0</v>
      </c>
      <c r="BN285" s="34" t="n">
        <f aca="false">IF(AND((61-N(V_L2_Mes)+1)&gt;N(V_L2_Gracia),(61-N(V_L2_Mes)+1)&lt;=N(V_L2_Gracia)+N(V_L2_Cuotas),N(V_L2_Cuotas)&gt;0),IF((61-N(V_L2_Mes)+1)=N(V_L2_Gracia)+N(V_L2_Cuotas),IF((61-N(V_L2_Mes)+1)=1,N(V_L2_Monto),BM$286),PMT(N(V_L2_Tasa)/12,N(V_L2_Cuotas),-N(V_L2_Monto))-BN$284),0)*BN$9</f>
        <v>0</v>
      </c>
      <c r="BO285" s="34" t="n">
        <f aca="false">IF(AND((62-N(V_L2_Mes)+1)&gt;N(V_L2_Gracia),(62-N(V_L2_Mes)+1)&lt;=N(V_L2_Gracia)+N(V_L2_Cuotas),N(V_L2_Cuotas)&gt;0),IF((62-N(V_L2_Mes)+1)=N(V_L2_Gracia)+N(V_L2_Cuotas),IF((62-N(V_L2_Mes)+1)=1,N(V_L2_Monto),BN$286),PMT(N(V_L2_Tasa)/12,N(V_L2_Cuotas),-N(V_L2_Monto))-BO$284),0)*BO$9</f>
        <v>0</v>
      </c>
      <c r="BP285" s="34" t="n">
        <f aca="false">IF(AND((63-N(V_L2_Mes)+1)&gt;N(V_L2_Gracia),(63-N(V_L2_Mes)+1)&lt;=N(V_L2_Gracia)+N(V_L2_Cuotas),N(V_L2_Cuotas)&gt;0),IF((63-N(V_L2_Mes)+1)=N(V_L2_Gracia)+N(V_L2_Cuotas),IF((63-N(V_L2_Mes)+1)=1,N(V_L2_Monto),BO$286),PMT(N(V_L2_Tasa)/12,N(V_L2_Cuotas),-N(V_L2_Monto))-BP$284),0)*BP$9</f>
        <v>0</v>
      </c>
      <c r="BQ285" s="34" t="n">
        <f aca="false">IF(AND((64-N(V_L2_Mes)+1)&gt;N(V_L2_Gracia),(64-N(V_L2_Mes)+1)&lt;=N(V_L2_Gracia)+N(V_L2_Cuotas),N(V_L2_Cuotas)&gt;0),IF((64-N(V_L2_Mes)+1)=N(V_L2_Gracia)+N(V_L2_Cuotas),IF((64-N(V_L2_Mes)+1)=1,N(V_L2_Monto),BP$286),PMT(N(V_L2_Tasa)/12,N(V_L2_Cuotas),-N(V_L2_Monto))-BQ$284),0)*BQ$9</f>
        <v>0</v>
      </c>
      <c r="BR285" s="34" t="n">
        <f aca="false">IF(AND((65-N(V_L2_Mes)+1)&gt;N(V_L2_Gracia),(65-N(V_L2_Mes)+1)&lt;=N(V_L2_Gracia)+N(V_L2_Cuotas),N(V_L2_Cuotas)&gt;0),IF((65-N(V_L2_Mes)+1)=N(V_L2_Gracia)+N(V_L2_Cuotas),IF((65-N(V_L2_Mes)+1)=1,N(V_L2_Monto),BQ$286),PMT(N(V_L2_Tasa)/12,N(V_L2_Cuotas),-N(V_L2_Monto))-BR$284),0)*BR$9</f>
        <v>0</v>
      </c>
      <c r="BS285" s="34" t="n">
        <f aca="false">IF(AND((66-N(V_L2_Mes)+1)&gt;N(V_L2_Gracia),(66-N(V_L2_Mes)+1)&lt;=N(V_L2_Gracia)+N(V_L2_Cuotas),N(V_L2_Cuotas)&gt;0),IF((66-N(V_L2_Mes)+1)=N(V_L2_Gracia)+N(V_L2_Cuotas),IF((66-N(V_L2_Mes)+1)=1,N(V_L2_Monto),BR$286),PMT(N(V_L2_Tasa)/12,N(V_L2_Cuotas),-N(V_L2_Monto))-BS$284),0)*BS$9</f>
        <v>0</v>
      </c>
      <c r="BT285" s="34" t="n">
        <f aca="false">IF(AND((67-N(V_L2_Mes)+1)&gt;N(V_L2_Gracia),(67-N(V_L2_Mes)+1)&lt;=N(V_L2_Gracia)+N(V_L2_Cuotas),N(V_L2_Cuotas)&gt;0),IF((67-N(V_L2_Mes)+1)=N(V_L2_Gracia)+N(V_L2_Cuotas),IF((67-N(V_L2_Mes)+1)=1,N(V_L2_Monto),BS$286),PMT(N(V_L2_Tasa)/12,N(V_L2_Cuotas),-N(V_L2_Monto))-BT$284),0)*BT$9</f>
        <v>0</v>
      </c>
      <c r="BU285" s="34" t="n">
        <f aca="false">IF(AND((68-N(V_L2_Mes)+1)&gt;N(V_L2_Gracia),(68-N(V_L2_Mes)+1)&lt;=N(V_L2_Gracia)+N(V_L2_Cuotas),N(V_L2_Cuotas)&gt;0),IF((68-N(V_L2_Mes)+1)=N(V_L2_Gracia)+N(V_L2_Cuotas),IF((68-N(V_L2_Mes)+1)=1,N(V_L2_Monto),BT$286),PMT(N(V_L2_Tasa)/12,N(V_L2_Cuotas),-N(V_L2_Monto))-BU$284),0)*BU$9</f>
        <v>0</v>
      </c>
      <c r="BV285" s="34" t="n">
        <f aca="false">IF(AND((69-N(V_L2_Mes)+1)&gt;N(V_L2_Gracia),(69-N(V_L2_Mes)+1)&lt;=N(V_L2_Gracia)+N(V_L2_Cuotas),N(V_L2_Cuotas)&gt;0),IF((69-N(V_L2_Mes)+1)=N(V_L2_Gracia)+N(V_L2_Cuotas),IF((69-N(V_L2_Mes)+1)=1,N(V_L2_Monto),BU$286),PMT(N(V_L2_Tasa)/12,N(V_L2_Cuotas),-N(V_L2_Monto))-BV$284),0)*BV$9</f>
        <v>0</v>
      </c>
      <c r="BW285" s="34" t="n">
        <f aca="false">IF(AND((70-N(V_L2_Mes)+1)&gt;N(V_L2_Gracia),(70-N(V_L2_Mes)+1)&lt;=N(V_L2_Gracia)+N(V_L2_Cuotas),N(V_L2_Cuotas)&gt;0),IF((70-N(V_L2_Mes)+1)=N(V_L2_Gracia)+N(V_L2_Cuotas),IF((70-N(V_L2_Mes)+1)=1,N(V_L2_Monto),BV$286),PMT(N(V_L2_Tasa)/12,N(V_L2_Cuotas),-N(V_L2_Monto))-BW$284),0)*BW$9</f>
        <v>0</v>
      </c>
      <c r="BX285" s="34" t="n">
        <f aca="false">IF(AND((71-N(V_L2_Mes)+1)&gt;N(V_L2_Gracia),(71-N(V_L2_Mes)+1)&lt;=N(V_L2_Gracia)+N(V_L2_Cuotas),N(V_L2_Cuotas)&gt;0),IF((71-N(V_L2_Mes)+1)=N(V_L2_Gracia)+N(V_L2_Cuotas),IF((71-N(V_L2_Mes)+1)=1,N(V_L2_Monto),BW$286),PMT(N(V_L2_Tasa)/12,N(V_L2_Cuotas),-N(V_L2_Monto))-BX$284),0)*BX$9</f>
        <v>0</v>
      </c>
      <c r="BY285" s="34" t="n">
        <f aca="false">IF(AND((72-N(V_L2_Mes)+1)&gt;N(V_L2_Gracia),(72-N(V_L2_Mes)+1)&lt;=N(V_L2_Gracia)+N(V_L2_Cuotas),N(V_L2_Cuotas)&gt;0),IF((72-N(V_L2_Mes)+1)=N(V_L2_Gracia)+N(V_L2_Cuotas),IF((72-N(V_L2_Mes)+1)=1,N(V_L2_Monto),BX$286),PMT(N(V_L2_Tasa)/12,N(V_L2_Cuotas),-N(V_L2_Monto))-BY$284),0)*BY$9</f>
        <v>0</v>
      </c>
      <c r="BZ285" s="34" t="n">
        <f aca="false">IF(AND((73-N(V_L2_Mes)+1)&gt;N(V_L2_Gracia),(73-N(V_L2_Mes)+1)&lt;=N(V_L2_Gracia)+N(V_L2_Cuotas),N(V_L2_Cuotas)&gt;0),IF((73-N(V_L2_Mes)+1)=N(V_L2_Gracia)+N(V_L2_Cuotas),IF((73-N(V_L2_Mes)+1)=1,N(V_L2_Monto),BY$286),PMT(N(V_L2_Tasa)/12,N(V_L2_Cuotas),-N(V_L2_Monto))-BZ$284),0)*BZ$9</f>
        <v>0</v>
      </c>
      <c r="CA285" s="34" t="n">
        <f aca="false">IF(AND((74-N(V_L2_Mes)+1)&gt;N(V_L2_Gracia),(74-N(V_L2_Mes)+1)&lt;=N(V_L2_Gracia)+N(V_L2_Cuotas),N(V_L2_Cuotas)&gt;0),IF((74-N(V_L2_Mes)+1)=N(V_L2_Gracia)+N(V_L2_Cuotas),IF((74-N(V_L2_Mes)+1)=1,N(V_L2_Monto),BZ$286),PMT(N(V_L2_Tasa)/12,N(V_L2_Cuotas),-N(V_L2_Monto))-CA$284),0)*CA$9</f>
        <v>0</v>
      </c>
      <c r="CB285" s="34" t="n">
        <f aca="false">IF(AND((75-N(V_L2_Mes)+1)&gt;N(V_L2_Gracia),(75-N(V_L2_Mes)+1)&lt;=N(V_L2_Gracia)+N(V_L2_Cuotas),N(V_L2_Cuotas)&gt;0),IF((75-N(V_L2_Mes)+1)=N(V_L2_Gracia)+N(V_L2_Cuotas),IF((75-N(V_L2_Mes)+1)=1,N(V_L2_Monto),CA$286),PMT(N(V_L2_Tasa)/12,N(V_L2_Cuotas),-N(V_L2_Monto))-CB$284),0)*CB$9</f>
        <v>0</v>
      </c>
      <c r="CC285" s="34" t="n">
        <f aca="false">IF(AND((76-N(V_L2_Mes)+1)&gt;N(V_L2_Gracia),(76-N(V_L2_Mes)+1)&lt;=N(V_L2_Gracia)+N(V_L2_Cuotas),N(V_L2_Cuotas)&gt;0),IF((76-N(V_L2_Mes)+1)=N(V_L2_Gracia)+N(V_L2_Cuotas),IF((76-N(V_L2_Mes)+1)=1,N(V_L2_Monto),CB$286),PMT(N(V_L2_Tasa)/12,N(V_L2_Cuotas),-N(V_L2_Monto))-CC$284),0)*CC$9</f>
        <v>0</v>
      </c>
      <c r="CD285" s="34" t="n">
        <f aca="false">IF(AND((77-N(V_L2_Mes)+1)&gt;N(V_L2_Gracia),(77-N(V_L2_Mes)+1)&lt;=N(V_L2_Gracia)+N(V_L2_Cuotas),N(V_L2_Cuotas)&gt;0),IF((77-N(V_L2_Mes)+1)=N(V_L2_Gracia)+N(V_L2_Cuotas),IF((77-N(V_L2_Mes)+1)=1,N(V_L2_Monto),CC$286),PMT(N(V_L2_Tasa)/12,N(V_L2_Cuotas),-N(V_L2_Monto))-CD$284),0)*CD$9</f>
        <v>0</v>
      </c>
      <c r="CE285" s="34" t="n">
        <f aca="false">IF(AND((78-N(V_L2_Mes)+1)&gt;N(V_L2_Gracia),(78-N(V_L2_Mes)+1)&lt;=N(V_L2_Gracia)+N(V_L2_Cuotas),N(V_L2_Cuotas)&gt;0),IF((78-N(V_L2_Mes)+1)=N(V_L2_Gracia)+N(V_L2_Cuotas),IF((78-N(V_L2_Mes)+1)=1,N(V_L2_Monto),CD$286),PMT(N(V_L2_Tasa)/12,N(V_L2_Cuotas),-N(V_L2_Monto))-CE$284),0)*CE$9</f>
        <v>0</v>
      </c>
      <c r="CF285" s="34" t="n">
        <f aca="false">IF(AND((79-N(V_L2_Mes)+1)&gt;N(V_L2_Gracia),(79-N(V_L2_Mes)+1)&lt;=N(V_L2_Gracia)+N(V_L2_Cuotas),N(V_L2_Cuotas)&gt;0),IF((79-N(V_L2_Mes)+1)=N(V_L2_Gracia)+N(V_L2_Cuotas),IF((79-N(V_L2_Mes)+1)=1,N(V_L2_Monto),CE$286),PMT(N(V_L2_Tasa)/12,N(V_L2_Cuotas),-N(V_L2_Monto))-CF$284),0)*CF$9</f>
        <v>0</v>
      </c>
      <c r="CG285" s="34" t="n">
        <f aca="false">IF(AND((80-N(V_L2_Mes)+1)&gt;N(V_L2_Gracia),(80-N(V_L2_Mes)+1)&lt;=N(V_L2_Gracia)+N(V_L2_Cuotas),N(V_L2_Cuotas)&gt;0),IF((80-N(V_L2_Mes)+1)=N(V_L2_Gracia)+N(V_L2_Cuotas),IF((80-N(V_L2_Mes)+1)=1,N(V_L2_Monto),CF$286),PMT(N(V_L2_Tasa)/12,N(V_L2_Cuotas),-N(V_L2_Monto))-CG$284),0)*CG$9</f>
        <v>0</v>
      </c>
      <c r="CH285" s="34" t="n">
        <f aca="false">IF(AND((81-N(V_L2_Mes)+1)&gt;N(V_L2_Gracia),(81-N(V_L2_Mes)+1)&lt;=N(V_L2_Gracia)+N(V_L2_Cuotas),N(V_L2_Cuotas)&gt;0),IF((81-N(V_L2_Mes)+1)=N(V_L2_Gracia)+N(V_L2_Cuotas),IF((81-N(V_L2_Mes)+1)=1,N(V_L2_Monto),CG$286),PMT(N(V_L2_Tasa)/12,N(V_L2_Cuotas),-N(V_L2_Monto))-CH$284),0)*CH$9</f>
        <v>0</v>
      </c>
      <c r="CI285" s="34" t="n">
        <f aca="false">IF(AND((82-N(V_L2_Mes)+1)&gt;N(V_L2_Gracia),(82-N(V_L2_Mes)+1)&lt;=N(V_L2_Gracia)+N(V_L2_Cuotas),N(V_L2_Cuotas)&gt;0),IF((82-N(V_L2_Mes)+1)=N(V_L2_Gracia)+N(V_L2_Cuotas),IF((82-N(V_L2_Mes)+1)=1,N(V_L2_Monto),CH$286),PMT(N(V_L2_Tasa)/12,N(V_L2_Cuotas),-N(V_L2_Monto))-CI$284),0)*CI$9</f>
        <v>0</v>
      </c>
      <c r="CJ285" s="34" t="n">
        <f aca="false">IF(AND((83-N(V_L2_Mes)+1)&gt;N(V_L2_Gracia),(83-N(V_L2_Mes)+1)&lt;=N(V_L2_Gracia)+N(V_L2_Cuotas),N(V_L2_Cuotas)&gt;0),IF((83-N(V_L2_Mes)+1)=N(V_L2_Gracia)+N(V_L2_Cuotas),IF((83-N(V_L2_Mes)+1)=1,N(V_L2_Monto),CI$286),PMT(N(V_L2_Tasa)/12,N(V_L2_Cuotas),-N(V_L2_Monto))-CJ$284),0)*CJ$9</f>
        <v>0</v>
      </c>
      <c r="CK285" s="34" t="n">
        <f aca="false">IF(AND((84-N(V_L2_Mes)+1)&gt;N(V_L2_Gracia),(84-N(V_L2_Mes)+1)&lt;=N(V_L2_Gracia)+N(V_L2_Cuotas),N(V_L2_Cuotas)&gt;0),IF((84-N(V_L2_Mes)+1)=N(V_L2_Gracia)+N(V_L2_Cuotas),IF((84-N(V_L2_Mes)+1)=1,N(V_L2_Monto),CJ$286),PMT(N(V_L2_Tasa)/12,N(V_L2_Cuotas),-N(V_L2_Monto))-CK$284),0)*CK$9</f>
        <v>0</v>
      </c>
      <c r="CL285" s="34" t="n">
        <f aca="false">IF(AND((85-N(V_L2_Mes)+1)&gt;N(V_L2_Gracia),(85-N(V_L2_Mes)+1)&lt;=N(V_L2_Gracia)+N(V_L2_Cuotas),N(V_L2_Cuotas)&gt;0),IF((85-N(V_L2_Mes)+1)=N(V_L2_Gracia)+N(V_L2_Cuotas),IF((85-N(V_L2_Mes)+1)=1,N(V_L2_Monto),CK$286),PMT(N(V_L2_Tasa)/12,N(V_L2_Cuotas),-N(V_L2_Monto))-CL$284),0)*CL$9</f>
        <v>0</v>
      </c>
      <c r="CM285" s="34" t="n">
        <f aca="false">IF(AND((86-N(V_L2_Mes)+1)&gt;N(V_L2_Gracia),(86-N(V_L2_Mes)+1)&lt;=N(V_L2_Gracia)+N(V_L2_Cuotas),N(V_L2_Cuotas)&gt;0),IF((86-N(V_L2_Mes)+1)=N(V_L2_Gracia)+N(V_L2_Cuotas),IF((86-N(V_L2_Mes)+1)=1,N(V_L2_Monto),CL$286),PMT(N(V_L2_Tasa)/12,N(V_L2_Cuotas),-N(V_L2_Monto))-CM$284),0)*CM$9</f>
        <v>0</v>
      </c>
      <c r="CN285" s="34" t="n">
        <f aca="false">IF(AND((87-N(V_L2_Mes)+1)&gt;N(V_L2_Gracia),(87-N(V_L2_Mes)+1)&lt;=N(V_L2_Gracia)+N(V_L2_Cuotas),N(V_L2_Cuotas)&gt;0),IF((87-N(V_L2_Mes)+1)=N(V_L2_Gracia)+N(V_L2_Cuotas),IF((87-N(V_L2_Mes)+1)=1,N(V_L2_Monto),CM$286),PMT(N(V_L2_Tasa)/12,N(V_L2_Cuotas),-N(V_L2_Monto))-CN$284),0)*CN$9</f>
        <v>0</v>
      </c>
      <c r="CO285" s="34" t="n">
        <f aca="false">IF(AND((88-N(V_L2_Mes)+1)&gt;N(V_L2_Gracia),(88-N(V_L2_Mes)+1)&lt;=N(V_L2_Gracia)+N(V_L2_Cuotas),N(V_L2_Cuotas)&gt;0),IF((88-N(V_L2_Mes)+1)=N(V_L2_Gracia)+N(V_L2_Cuotas),IF((88-N(V_L2_Mes)+1)=1,N(V_L2_Monto),CN$286),PMT(N(V_L2_Tasa)/12,N(V_L2_Cuotas),-N(V_L2_Monto))-CO$284),0)*CO$9</f>
        <v>0</v>
      </c>
      <c r="CP285" s="34" t="n">
        <f aca="false">IF(AND((89-N(V_L2_Mes)+1)&gt;N(V_L2_Gracia),(89-N(V_L2_Mes)+1)&lt;=N(V_L2_Gracia)+N(V_L2_Cuotas),N(V_L2_Cuotas)&gt;0),IF((89-N(V_L2_Mes)+1)=N(V_L2_Gracia)+N(V_L2_Cuotas),IF((89-N(V_L2_Mes)+1)=1,N(V_L2_Monto),CO$286),PMT(N(V_L2_Tasa)/12,N(V_L2_Cuotas),-N(V_L2_Monto))-CP$284),0)*CP$9</f>
        <v>0</v>
      </c>
      <c r="CQ285" s="34" t="n">
        <f aca="false">IF(AND((90-N(V_L2_Mes)+1)&gt;N(V_L2_Gracia),(90-N(V_L2_Mes)+1)&lt;=N(V_L2_Gracia)+N(V_L2_Cuotas),N(V_L2_Cuotas)&gt;0),IF((90-N(V_L2_Mes)+1)=N(V_L2_Gracia)+N(V_L2_Cuotas),IF((90-N(V_L2_Mes)+1)=1,N(V_L2_Monto),CP$286),PMT(N(V_L2_Tasa)/12,N(V_L2_Cuotas),-N(V_L2_Monto))-CQ$284),0)*CQ$9</f>
        <v>0</v>
      </c>
      <c r="CR285" s="34" t="n">
        <f aca="false">IF(AND((91-N(V_L2_Mes)+1)&gt;N(V_L2_Gracia),(91-N(V_L2_Mes)+1)&lt;=N(V_L2_Gracia)+N(V_L2_Cuotas),N(V_L2_Cuotas)&gt;0),IF((91-N(V_L2_Mes)+1)=N(V_L2_Gracia)+N(V_L2_Cuotas),IF((91-N(V_L2_Mes)+1)=1,N(V_L2_Monto),CQ$286),PMT(N(V_L2_Tasa)/12,N(V_L2_Cuotas),-N(V_L2_Monto))-CR$284),0)*CR$9</f>
        <v>0</v>
      </c>
      <c r="CS285" s="34" t="n">
        <f aca="false">IF(AND((92-N(V_L2_Mes)+1)&gt;N(V_L2_Gracia),(92-N(V_L2_Mes)+1)&lt;=N(V_L2_Gracia)+N(V_L2_Cuotas),N(V_L2_Cuotas)&gt;0),IF((92-N(V_L2_Mes)+1)=N(V_L2_Gracia)+N(V_L2_Cuotas),IF((92-N(V_L2_Mes)+1)=1,N(V_L2_Monto),CR$286),PMT(N(V_L2_Tasa)/12,N(V_L2_Cuotas),-N(V_L2_Monto))-CS$284),0)*CS$9</f>
        <v>0</v>
      </c>
      <c r="CT285" s="34" t="n">
        <f aca="false">IF(AND((93-N(V_L2_Mes)+1)&gt;N(V_L2_Gracia),(93-N(V_L2_Mes)+1)&lt;=N(V_L2_Gracia)+N(V_L2_Cuotas),N(V_L2_Cuotas)&gt;0),IF((93-N(V_L2_Mes)+1)=N(V_L2_Gracia)+N(V_L2_Cuotas),IF((93-N(V_L2_Mes)+1)=1,N(V_L2_Monto),CS$286),PMT(N(V_L2_Tasa)/12,N(V_L2_Cuotas),-N(V_L2_Monto))-CT$284),0)*CT$9</f>
        <v>0</v>
      </c>
      <c r="CU285" s="34" t="n">
        <f aca="false">IF(AND((94-N(V_L2_Mes)+1)&gt;N(V_L2_Gracia),(94-N(V_L2_Mes)+1)&lt;=N(V_L2_Gracia)+N(V_L2_Cuotas),N(V_L2_Cuotas)&gt;0),IF((94-N(V_L2_Mes)+1)=N(V_L2_Gracia)+N(V_L2_Cuotas),IF((94-N(V_L2_Mes)+1)=1,N(V_L2_Monto),CT$286),PMT(N(V_L2_Tasa)/12,N(V_L2_Cuotas),-N(V_L2_Monto))-CU$284),0)*CU$9</f>
        <v>0</v>
      </c>
      <c r="CV285" s="34" t="n">
        <f aca="false">IF(AND((95-N(V_L2_Mes)+1)&gt;N(V_L2_Gracia),(95-N(V_L2_Mes)+1)&lt;=N(V_L2_Gracia)+N(V_L2_Cuotas),N(V_L2_Cuotas)&gt;0),IF((95-N(V_L2_Mes)+1)=N(V_L2_Gracia)+N(V_L2_Cuotas),IF((95-N(V_L2_Mes)+1)=1,N(V_L2_Monto),CU$286),PMT(N(V_L2_Tasa)/12,N(V_L2_Cuotas),-N(V_L2_Monto))-CV$284),0)*CV$9</f>
        <v>0</v>
      </c>
      <c r="CW285" s="34" t="n">
        <f aca="false">IF(AND((96-N(V_L2_Mes)+1)&gt;N(V_L2_Gracia),(96-N(V_L2_Mes)+1)&lt;=N(V_L2_Gracia)+N(V_L2_Cuotas),N(V_L2_Cuotas)&gt;0),IF((96-N(V_L2_Mes)+1)=N(V_L2_Gracia)+N(V_L2_Cuotas),IF((96-N(V_L2_Mes)+1)=1,N(V_L2_Monto),CV$286),PMT(N(V_L2_Tasa)/12,N(V_L2_Cuotas),-N(V_L2_Monto))-CW$284),0)*CW$9</f>
        <v>0</v>
      </c>
      <c r="CX285" s="34" t="n">
        <f aca="false">IF(AND((97-N(V_L2_Mes)+1)&gt;N(V_L2_Gracia),(97-N(V_L2_Mes)+1)&lt;=N(V_L2_Gracia)+N(V_L2_Cuotas),N(V_L2_Cuotas)&gt;0),IF((97-N(V_L2_Mes)+1)=N(V_L2_Gracia)+N(V_L2_Cuotas),IF((97-N(V_L2_Mes)+1)=1,N(V_L2_Monto),CW$286),PMT(N(V_L2_Tasa)/12,N(V_L2_Cuotas),-N(V_L2_Monto))-CX$284),0)*CX$9</f>
        <v>0</v>
      </c>
      <c r="CY285" s="34" t="n">
        <f aca="false">IF(AND((98-N(V_L2_Mes)+1)&gt;N(V_L2_Gracia),(98-N(V_L2_Mes)+1)&lt;=N(V_L2_Gracia)+N(V_L2_Cuotas),N(V_L2_Cuotas)&gt;0),IF((98-N(V_L2_Mes)+1)=N(V_L2_Gracia)+N(V_L2_Cuotas),IF((98-N(V_L2_Mes)+1)=1,N(V_L2_Monto),CX$286),PMT(N(V_L2_Tasa)/12,N(V_L2_Cuotas),-N(V_L2_Monto))-CY$284),0)*CY$9</f>
        <v>0</v>
      </c>
      <c r="CZ285" s="34" t="n">
        <f aca="false">IF(AND((99-N(V_L2_Mes)+1)&gt;N(V_L2_Gracia),(99-N(V_L2_Mes)+1)&lt;=N(V_L2_Gracia)+N(V_L2_Cuotas),N(V_L2_Cuotas)&gt;0),IF((99-N(V_L2_Mes)+1)=N(V_L2_Gracia)+N(V_L2_Cuotas),IF((99-N(V_L2_Mes)+1)=1,N(V_L2_Monto),CY$286),PMT(N(V_L2_Tasa)/12,N(V_L2_Cuotas),-N(V_L2_Monto))-CZ$284),0)*CZ$9</f>
        <v>0</v>
      </c>
      <c r="DA285" s="34" t="n">
        <f aca="false">IF(AND((100-N(V_L2_Mes)+1)&gt;N(V_L2_Gracia),(100-N(V_L2_Mes)+1)&lt;=N(V_L2_Gracia)+N(V_L2_Cuotas),N(V_L2_Cuotas)&gt;0),IF((100-N(V_L2_Mes)+1)=N(V_L2_Gracia)+N(V_L2_Cuotas),IF((100-N(V_L2_Mes)+1)=1,N(V_L2_Monto),CZ$286),PMT(N(V_L2_Tasa)/12,N(V_L2_Cuotas),-N(V_L2_Monto))-DA$284),0)*DA$9</f>
        <v>0</v>
      </c>
      <c r="DB285" s="34" t="n">
        <f aca="false">IF(AND((101-N(V_L2_Mes)+1)&gt;N(V_L2_Gracia),(101-N(V_L2_Mes)+1)&lt;=N(V_L2_Gracia)+N(V_L2_Cuotas),N(V_L2_Cuotas)&gt;0),IF((101-N(V_L2_Mes)+1)=N(V_L2_Gracia)+N(V_L2_Cuotas),IF((101-N(V_L2_Mes)+1)=1,N(V_L2_Monto),DA$286),PMT(N(V_L2_Tasa)/12,N(V_L2_Cuotas),-N(V_L2_Monto))-DB$284),0)*DB$9</f>
        <v>0</v>
      </c>
      <c r="DC285" s="34" t="n">
        <f aca="false">IF(AND((102-N(V_L2_Mes)+1)&gt;N(V_L2_Gracia),(102-N(V_L2_Mes)+1)&lt;=N(V_L2_Gracia)+N(V_L2_Cuotas),N(V_L2_Cuotas)&gt;0),IF((102-N(V_L2_Mes)+1)=N(V_L2_Gracia)+N(V_L2_Cuotas),IF((102-N(V_L2_Mes)+1)=1,N(V_L2_Monto),DB$286),PMT(N(V_L2_Tasa)/12,N(V_L2_Cuotas),-N(V_L2_Monto))-DC$284),0)*DC$9</f>
        <v>0</v>
      </c>
      <c r="DD285" s="34" t="n">
        <f aca="false">IF(AND((103-N(V_L2_Mes)+1)&gt;N(V_L2_Gracia),(103-N(V_L2_Mes)+1)&lt;=N(V_L2_Gracia)+N(V_L2_Cuotas),N(V_L2_Cuotas)&gt;0),IF((103-N(V_L2_Mes)+1)=N(V_L2_Gracia)+N(V_L2_Cuotas),IF((103-N(V_L2_Mes)+1)=1,N(V_L2_Monto),DC$286),PMT(N(V_L2_Tasa)/12,N(V_L2_Cuotas),-N(V_L2_Monto))-DD$284),0)*DD$9</f>
        <v>0</v>
      </c>
      <c r="DE285" s="34" t="n">
        <f aca="false">IF(AND((104-N(V_L2_Mes)+1)&gt;N(V_L2_Gracia),(104-N(V_L2_Mes)+1)&lt;=N(V_L2_Gracia)+N(V_L2_Cuotas),N(V_L2_Cuotas)&gt;0),IF((104-N(V_L2_Mes)+1)=N(V_L2_Gracia)+N(V_L2_Cuotas),IF((104-N(V_L2_Mes)+1)=1,N(V_L2_Monto),DD$286),PMT(N(V_L2_Tasa)/12,N(V_L2_Cuotas),-N(V_L2_Monto))-DE$284),0)*DE$9</f>
        <v>0</v>
      </c>
      <c r="DF285" s="34" t="n">
        <f aca="false">IF(AND((105-N(V_L2_Mes)+1)&gt;N(V_L2_Gracia),(105-N(V_L2_Mes)+1)&lt;=N(V_L2_Gracia)+N(V_L2_Cuotas),N(V_L2_Cuotas)&gt;0),IF((105-N(V_L2_Mes)+1)=N(V_L2_Gracia)+N(V_L2_Cuotas),IF((105-N(V_L2_Mes)+1)=1,N(V_L2_Monto),DE$286),PMT(N(V_L2_Tasa)/12,N(V_L2_Cuotas),-N(V_L2_Monto))-DF$284),0)*DF$9</f>
        <v>0</v>
      </c>
      <c r="DG285" s="34" t="n">
        <f aca="false">IF(AND((106-N(V_L2_Mes)+1)&gt;N(V_L2_Gracia),(106-N(V_L2_Mes)+1)&lt;=N(V_L2_Gracia)+N(V_L2_Cuotas),N(V_L2_Cuotas)&gt;0),IF((106-N(V_L2_Mes)+1)=N(V_L2_Gracia)+N(V_L2_Cuotas),IF((106-N(V_L2_Mes)+1)=1,N(V_L2_Monto),DF$286),PMT(N(V_L2_Tasa)/12,N(V_L2_Cuotas),-N(V_L2_Monto))-DG$284),0)*DG$9</f>
        <v>0</v>
      </c>
      <c r="DH285" s="34" t="n">
        <f aca="false">IF(AND((107-N(V_L2_Mes)+1)&gt;N(V_L2_Gracia),(107-N(V_L2_Mes)+1)&lt;=N(V_L2_Gracia)+N(V_L2_Cuotas),N(V_L2_Cuotas)&gt;0),IF((107-N(V_L2_Mes)+1)=N(V_L2_Gracia)+N(V_L2_Cuotas),IF((107-N(V_L2_Mes)+1)=1,N(V_L2_Monto),DG$286),PMT(N(V_L2_Tasa)/12,N(V_L2_Cuotas),-N(V_L2_Monto))-DH$284),0)*DH$9</f>
        <v>0</v>
      </c>
      <c r="DI285" s="34" t="n">
        <f aca="false">IF(AND((108-N(V_L2_Mes)+1)&gt;N(V_L2_Gracia),(108-N(V_L2_Mes)+1)&lt;=N(V_L2_Gracia)+N(V_L2_Cuotas),N(V_L2_Cuotas)&gt;0),IF((108-N(V_L2_Mes)+1)=N(V_L2_Gracia)+N(V_L2_Cuotas),IF((108-N(V_L2_Mes)+1)=1,N(V_L2_Monto),DH$286),PMT(N(V_L2_Tasa)/12,N(V_L2_Cuotas),-N(V_L2_Monto))-DI$284),0)*DI$9</f>
        <v>0</v>
      </c>
      <c r="DJ285" s="34" t="n">
        <f aca="false">IF(AND((109-N(V_L2_Mes)+1)&gt;N(V_L2_Gracia),(109-N(V_L2_Mes)+1)&lt;=N(V_L2_Gracia)+N(V_L2_Cuotas),N(V_L2_Cuotas)&gt;0),IF((109-N(V_L2_Mes)+1)=N(V_L2_Gracia)+N(V_L2_Cuotas),IF((109-N(V_L2_Mes)+1)=1,N(V_L2_Monto),DI$286),PMT(N(V_L2_Tasa)/12,N(V_L2_Cuotas),-N(V_L2_Monto))-DJ$284),0)*DJ$9</f>
        <v>0</v>
      </c>
      <c r="DK285" s="34" t="n">
        <f aca="false">IF(AND((110-N(V_L2_Mes)+1)&gt;N(V_L2_Gracia),(110-N(V_L2_Mes)+1)&lt;=N(V_L2_Gracia)+N(V_L2_Cuotas),N(V_L2_Cuotas)&gt;0),IF((110-N(V_L2_Mes)+1)=N(V_L2_Gracia)+N(V_L2_Cuotas),IF((110-N(V_L2_Mes)+1)=1,N(V_L2_Monto),DJ$286),PMT(N(V_L2_Tasa)/12,N(V_L2_Cuotas),-N(V_L2_Monto))-DK$284),0)*DK$9</f>
        <v>0</v>
      </c>
      <c r="DL285" s="34" t="n">
        <f aca="false">IF(AND((111-N(V_L2_Mes)+1)&gt;N(V_L2_Gracia),(111-N(V_L2_Mes)+1)&lt;=N(V_L2_Gracia)+N(V_L2_Cuotas),N(V_L2_Cuotas)&gt;0),IF((111-N(V_L2_Mes)+1)=N(V_L2_Gracia)+N(V_L2_Cuotas),IF((111-N(V_L2_Mes)+1)=1,N(V_L2_Monto),DK$286),PMT(N(V_L2_Tasa)/12,N(V_L2_Cuotas),-N(V_L2_Monto))-DL$284),0)*DL$9</f>
        <v>0</v>
      </c>
      <c r="DM285" s="34" t="n">
        <f aca="false">IF(AND((112-N(V_L2_Mes)+1)&gt;N(V_L2_Gracia),(112-N(V_L2_Mes)+1)&lt;=N(V_L2_Gracia)+N(V_L2_Cuotas),N(V_L2_Cuotas)&gt;0),IF((112-N(V_L2_Mes)+1)=N(V_L2_Gracia)+N(V_L2_Cuotas),IF((112-N(V_L2_Mes)+1)=1,N(V_L2_Monto),DL$286),PMT(N(V_L2_Tasa)/12,N(V_L2_Cuotas),-N(V_L2_Monto))-DM$284),0)*DM$9</f>
        <v>0</v>
      </c>
      <c r="DN285" s="34" t="n">
        <f aca="false">IF(AND((113-N(V_L2_Mes)+1)&gt;N(V_L2_Gracia),(113-N(V_L2_Mes)+1)&lt;=N(V_L2_Gracia)+N(V_L2_Cuotas),N(V_L2_Cuotas)&gt;0),IF((113-N(V_L2_Mes)+1)=N(V_L2_Gracia)+N(V_L2_Cuotas),IF((113-N(V_L2_Mes)+1)=1,N(V_L2_Monto),DM$286),PMT(N(V_L2_Tasa)/12,N(V_L2_Cuotas),-N(V_L2_Monto))-DN$284),0)*DN$9</f>
        <v>0</v>
      </c>
      <c r="DO285" s="34" t="n">
        <f aca="false">IF(AND((114-N(V_L2_Mes)+1)&gt;N(V_L2_Gracia),(114-N(V_L2_Mes)+1)&lt;=N(V_L2_Gracia)+N(V_L2_Cuotas),N(V_L2_Cuotas)&gt;0),IF((114-N(V_L2_Mes)+1)=N(V_L2_Gracia)+N(V_L2_Cuotas),IF((114-N(V_L2_Mes)+1)=1,N(V_L2_Monto),DN$286),PMT(N(V_L2_Tasa)/12,N(V_L2_Cuotas),-N(V_L2_Monto))-DO$284),0)*DO$9</f>
        <v>0</v>
      </c>
      <c r="DP285" s="34" t="n">
        <f aca="false">IF(AND((115-N(V_L2_Mes)+1)&gt;N(V_L2_Gracia),(115-N(V_L2_Mes)+1)&lt;=N(V_L2_Gracia)+N(V_L2_Cuotas),N(V_L2_Cuotas)&gt;0),IF((115-N(V_L2_Mes)+1)=N(V_L2_Gracia)+N(V_L2_Cuotas),IF((115-N(V_L2_Mes)+1)=1,N(V_L2_Monto),DO$286),PMT(N(V_L2_Tasa)/12,N(V_L2_Cuotas),-N(V_L2_Monto))-DP$284),0)*DP$9</f>
        <v>0</v>
      </c>
      <c r="DQ285" s="34" t="n">
        <f aca="false">IF(AND((116-N(V_L2_Mes)+1)&gt;N(V_L2_Gracia),(116-N(V_L2_Mes)+1)&lt;=N(V_L2_Gracia)+N(V_L2_Cuotas),N(V_L2_Cuotas)&gt;0),IF((116-N(V_L2_Mes)+1)=N(V_L2_Gracia)+N(V_L2_Cuotas),IF((116-N(V_L2_Mes)+1)=1,N(V_L2_Monto),DP$286),PMT(N(V_L2_Tasa)/12,N(V_L2_Cuotas),-N(V_L2_Monto))-DQ$284),0)*DQ$9</f>
        <v>0</v>
      </c>
      <c r="DR285" s="34" t="n">
        <f aca="false">IF(AND((117-N(V_L2_Mes)+1)&gt;N(V_L2_Gracia),(117-N(V_L2_Mes)+1)&lt;=N(V_L2_Gracia)+N(V_L2_Cuotas),N(V_L2_Cuotas)&gt;0),IF((117-N(V_L2_Mes)+1)=N(V_L2_Gracia)+N(V_L2_Cuotas),IF((117-N(V_L2_Mes)+1)=1,N(V_L2_Monto),DQ$286),PMT(N(V_L2_Tasa)/12,N(V_L2_Cuotas),-N(V_L2_Monto))-DR$284),0)*DR$9</f>
        <v>0</v>
      </c>
      <c r="DS285" s="34" t="n">
        <f aca="false">IF(AND((118-N(V_L2_Mes)+1)&gt;N(V_L2_Gracia),(118-N(V_L2_Mes)+1)&lt;=N(V_L2_Gracia)+N(V_L2_Cuotas),N(V_L2_Cuotas)&gt;0),IF((118-N(V_L2_Mes)+1)=N(V_L2_Gracia)+N(V_L2_Cuotas),IF((118-N(V_L2_Mes)+1)=1,N(V_L2_Monto),DR$286),PMT(N(V_L2_Tasa)/12,N(V_L2_Cuotas),-N(V_L2_Monto))-DS$284),0)*DS$9</f>
        <v>0</v>
      </c>
      <c r="DT285" s="34" t="n">
        <f aca="false">IF(AND((119-N(V_L2_Mes)+1)&gt;N(V_L2_Gracia),(119-N(V_L2_Mes)+1)&lt;=N(V_L2_Gracia)+N(V_L2_Cuotas),N(V_L2_Cuotas)&gt;0),IF((119-N(V_L2_Mes)+1)=N(V_L2_Gracia)+N(V_L2_Cuotas),IF((119-N(V_L2_Mes)+1)=1,N(V_L2_Monto),DS$286),PMT(N(V_L2_Tasa)/12,N(V_L2_Cuotas),-N(V_L2_Monto))-DT$284),0)*DT$9</f>
        <v>0</v>
      </c>
      <c r="DU285" s="34" t="n">
        <f aca="false">IF(AND((120-N(V_L2_Mes)+1)&gt;N(V_L2_Gracia),(120-N(V_L2_Mes)+1)&lt;=N(V_L2_Gracia)+N(V_L2_Cuotas),N(V_L2_Cuotas)&gt;0),IF((120-N(V_L2_Mes)+1)=N(V_L2_Gracia)+N(V_L2_Cuotas),IF((120-N(V_L2_Mes)+1)=1,N(V_L2_Monto),DT$286),PMT(N(V_L2_Tasa)/12,N(V_L2_Cuotas),-N(V_L2_Monto))-DU$284),0)*DU$9</f>
        <v>0</v>
      </c>
      <c r="DV285" s="34" t="n">
        <f aca="false">IF(AND((121-N(V_L2_Mes)+1)&gt;N(V_L2_Gracia),(121-N(V_L2_Mes)+1)&lt;=N(V_L2_Gracia)+N(V_L2_Cuotas),N(V_L2_Cuotas)&gt;0),IF((121-N(V_L2_Mes)+1)=N(V_L2_Gracia)+N(V_L2_Cuotas),IF((121-N(V_L2_Mes)+1)=1,N(V_L2_Monto),DU$286),PMT(N(V_L2_Tasa)/12,N(V_L2_Cuotas),-N(V_L2_Monto))-DV$284),0)*DV$9</f>
        <v>0</v>
      </c>
      <c r="DW285" s="34" t="n">
        <f aca="false">IF(AND((122-N(V_L2_Mes)+1)&gt;N(V_L2_Gracia),(122-N(V_L2_Mes)+1)&lt;=N(V_L2_Gracia)+N(V_L2_Cuotas),N(V_L2_Cuotas)&gt;0),IF((122-N(V_L2_Mes)+1)=N(V_L2_Gracia)+N(V_L2_Cuotas),IF((122-N(V_L2_Mes)+1)=1,N(V_L2_Monto),DV$286),PMT(N(V_L2_Tasa)/12,N(V_L2_Cuotas),-N(V_L2_Monto))-DW$284),0)*DW$9</f>
        <v>0</v>
      </c>
      <c r="DX285" s="34" t="n">
        <f aca="false">IF(AND((123-N(V_L2_Mes)+1)&gt;N(V_L2_Gracia),(123-N(V_L2_Mes)+1)&lt;=N(V_L2_Gracia)+N(V_L2_Cuotas),N(V_L2_Cuotas)&gt;0),IF((123-N(V_L2_Mes)+1)=N(V_L2_Gracia)+N(V_L2_Cuotas),IF((123-N(V_L2_Mes)+1)=1,N(V_L2_Monto),DW$286),PMT(N(V_L2_Tasa)/12,N(V_L2_Cuotas),-N(V_L2_Monto))-DX$284),0)*DX$9</f>
        <v>0</v>
      </c>
      <c r="DY285" s="34" t="n">
        <f aca="false">IF(AND((124-N(V_L2_Mes)+1)&gt;N(V_L2_Gracia),(124-N(V_L2_Mes)+1)&lt;=N(V_L2_Gracia)+N(V_L2_Cuotas),N(V_L2_Cuotas)&gt;0),IF((124-N(V_L2_Mes)+1)=N(V_L2_Gracia)+N(V_L2_Cuotas),IF((124-N(V_L2_Mes)+1)=1,N(V_L2_Monto),DX$286),PMT(N(V_L2_Tasa)/12,N(V_L2_Cuotas),-N(V_L2_Monto))-DY$284),0)*DY$9</f>
        <v>0</v>
      </c>
      <c r="DZ285" s="34" t="n">
        <f aca="false">IF(AND((125-N(V_L2_Mes)+1)&gt;N(V_L2_Gracia),(125-N(V_L2_Mes)+1)&lt;=N(V_L2_Gracia)+N(V_L2_Cuotas),N(V_L2_Cuotas)&gt;0),IF((125-N(V_L2_Mes)+1)=N(V_L2_Gracia)+N(V_L2_Cuotas),IF((125-N(V_L2_Mes)+1)=1,N(V_L2_Monto),DY$286),PMT(N(V_L2_Tasa)/12,N(V_L2_Cuotas),-N(V_L2_Monto))-DZ$284),0)*DZ$9</f>
        <v>0</v>
      </c>
      <c r="EA285" s="34" t="n">
        <f aca="false">IF(AND((126-N(V_L2_Mes)+1)&gt;N(V_L2_Gracia),(126-N(V_L2_Mes)+1)&lt;=N(V_L2_Gracia)+N(V_L2_Cuotas),N(V_L2_Cuotas)&gt;0),IF((126-N(V_L2_Mes)+1)=N(V_L2_Gracia)+N(V_L2_Cuotas),IF((126-N(V_L2_Mes)+1)=1,N(V_L2_Monto),DZ$286),PMT(N(V_L2_Tasa)/12,N(V_L2_Cuotas),-N(V_L2_Monto))-EA$284),0)*EA$9</f>
        <v>0</v>
      </c>
      <c r="EB285" s="34" t="n">
        <f aca="false">IF(AND((127-N(V_L2_Mes)+1)&gt;N(V_L2_Gracia),(127-N(V_L2_Mes)+1)&lt;=N(V_L2_Gracia)+N(V_L2_Cuotas),N(V_L2_Cuotas)&gt;0),IF((127-N(V_L2_Mes)+1)=N(V_L2_Gracia)+N(V_L2_Cuotas),IF((127-N(V_L2_Mes)+1)=1,N(V_L2_Monto),EA$286),PMT(N(V_L2_Tasa)/12,N(V_L2_Cuotas),-N(V_L2_Monto))-EB$284),0)*EB$9</f>
        <v>0</v>
      </c>
      <c r="EC285" s="34" t="n">
        <f aca="false">IF(AND((128-N(V_L2_Mes)+1)&gt;N(V_L2_Gracia),(128-N(V_L2_Mes)+1)&lt;=N(V_L2_Gracia)+N(V_L2_Cuotas),N(V_L2_Cuotas)&gt;0),IF((128-N(V_L2_Mes)+1)=N(V_L2_Gracia)+N(V_L2_Cuotas),IF((128-N(V_L2_Mes)+1)=1,N(V_L2_Monto),EB$286),PMT(N(V_L2_Tasa)/12,N(V_L2_Cuotas),-N(V_L2_Monto))-EC$284),0)*EC$9</f>
        <v>0</v>
      </c>
      <c r="ED285" s="34" t="n">
        <f aca="false">IF(AND((129-N(V_L2_Mes)+1)&gt;N(V_L2_Gracia),(129-N(V_L2_Mes)+1)&lt;=N(V_L2_Gracia)+N(V_L2_Cuotas),N(V_L2_Cuotas)&gt;0),IF((129-N(V_L2_Mes)+1)=N(V_L2_Gracia)+N(V_L2_Cuotas),IF((129-N(V_L2_Mes)+1)=1,N(V_L2_Monto),EC$286),PMT(N(V_L2_Tasa)/12,N(V_L2_Cuotas),-N(V_L2_Monto))-ED$284),0)*ED$9</f>
        <v>0</v>
      </c>
      <c r="EE285" s="34" t="n">
        <f aca="false">IF(AND((130-N(V_L2_Mes)+1)&gt;N(V_L2_Gracia),(130-N(V_L2_Mes)+1)&lt;=N(V_L2_Gracia)+N(V_L2_Cuotas),N(V_L2_Cuotas)&gt;0),IF((130-N(V_L2_Mes)+1)=N(V_L2_Gracia)+N(V_L2_Cuotas),IF((130-N(V_L2_Mes)+1)=1,N(V_L2_Monto),ED$286),PMT(N(V_L2_Tasa)/12,N(V_L2_Cuotas),-N(V_L2_Monto))-EE$284),0)*EE$9</f>
        <v>0</v>
      </c>
      <c r="EF285" s="34" t="n">
        <f aca="false">IF(AND((131-N(V_L2_Mes)+1)&gt;N(V_L2_Gracia),(131-N(V_L2_Mes)+1)&lt;=N(V_L2_Gracia)+N(V_L2_Cuotas),N(V_L2_Cuotas)&gt;0),IF((131-N(V_L2_Mes)+1)=N(V_L2_Gracia)+N(V_L2_Cuotas),IF((131-N(V_L2_Mes)+1)=1,N(V_L2_Monto),EE$286),PMT(N(V_L2_Tasa)/12,N(V_L2_Cuotas),-N(V_L2_Monto))-EF$284),0)*EF$9</f>
        <v>0</v>
      </c>
      <c r="EG285" s="34" t="n">
        <f aca="false">IF(AND((132-N(V_L2_Mes)+1)&gt;N(V_L2_Gracia),(132-N(V_L2_Mes)+1)&lt;=N(V_L2_Gracia)+N(V_L2_Cuotas),N(V_L2_Cuotas)&gt;0),IF((132-N(V_L2_Mes)+1)=N(V_L2_Gracia)+N(V_L2_Cuotas),IF((132-N(V_L2_Mes)+1)=1,N(V_L2_Monto),EF$286),PMT(N(V_L2_Tasa)/12,N(V_L2_Cuotas),-N(V_L2_Monto))-EG$284),0)*EG$9</f>
        <v>0</v>
      </c>
      <c r="EH285" s="34" t="n">
        <f aca="false">IF(AND((133-N(V_L2_Mes)+1)&gt;N(V_L2_Gracia),(133-N(V_L2_Mes)+1)&lt;=N(V_L2_Gracia)+N(V_L2_Cuotas),N(V_L2_Cuotas)&gt;0),IF((133-N(V_L2_Mes)+1)=N(V_L2_Gracia)+N(V_L2_Cuotas),IF((133-N(V_L2_Mes)+1)=1,N(V_L2_Monto),EG$286),PMT(N(V_L2_Tasa)/12,N(V_L2_Cuotas),-N(V_L2_Monto))-EH$284),0)*EH$9</f>
        <v>0</v>
      </c>
      <c r="EI285" s="34" t="n">
        <f aca="false">IF(AND((134-N(V_L2_Mes)+1)&gt;N(V_L2_Gracia),(134-N(V_L2_Mes)+1)&lt;=N(V_L2_Gracia)+N(V_L2_Cuotas),N(V_L2_Cuotas)&gt;0),IF((134-N(V_L2_Mes)+1)=N(V_L2_Gracia)+N(V_L2_Cuotas),IF((134-N(V_L2_Mes)+1)=1,N(V_L2_Monto),EH$286),PMT(N(V_L2_Tasa)/12,N(V_L2_Cuotas),-N(V_L2_Monto))-EI$284),0)*EI$9</f>
        <v>0</v>
      </c>
      <c r="EJ285" s="34" t="n">
        <f aca="false">IF(AND((135-N(V_L2_Mes)+1)&gt;N(V_L2_Gracia),(135-N(V_L2_Mes)+1)&lt;=N(V_L2_Gracia)+N(V_L2_Cuotas),N(V_L2_Cuotas)&gt;0),IF((135-N(V_L2_Mes)+1)=N(V_L2_Gracia)+N(V_L2_Cuotas),IF((135-N(V_L2_Mes)+1)=1,N(V_L2_Monto),EI$286),PMT(N(V_L2_Tasa)/12,N(V_L2_Cuotas),-N(V_L2_Monto))-EJ$284),0)*EJ$9</f>
        <v>0</v>
      </c>
      <c r="EK285" s="34" t="n">
        <f aca="false">IF(AND((136-N(V_L2_Mes)+1)&gt;N(V_L2_Gracia),(136-N(V_L2_Mes)+1)&lt;=N(V_L2_Gracia)+N(V_L2_Cuotas),N(V_L2_Cuotas)&gt;0),IF((136-N(V_L2_Mes)+1)=N(V_L2_Gracia)+N(V_L2_Cuotas),IF((136-N(V_L2_Mes)+1)=1,N(V_L2_Monto),EJ$286),PMT(N(V_L2_Tasa)/12,N(V_L2_Cuotas),-N(V_L2_Monto))-EK$284),0)*EK$9</f>
        <v>0</v>
      </c>
      <c r="EL285" s="34" t="n">
        <f aca="false">IF(AND((137-N(V_L2_Mes)+1)&gt;N(V_L2_Gracia),(137-N(V_L2_Mes)+1)&lt;=N(V_L2_Gracia)+N(V_L2_Cuotas),N(V_L2_Cuotas)&gt;0),IF((137-N(V_L2_Mes)+1)=N(V_L2_Gracia)+N(V_L2_Cuotas),IF((137-N(V_L2_Mes)+1)=1,N(V_L2_Monto),EK$286),PMT(N(V_L2_Tasa)/12,N(V_L2_Cuotas),-N(V_L2_Monto))-EL$284),0)*EL$9</f>
        <v>0</v>
      </c>
      <c r="EM285" s="34" t="n">
        <f aca="false">IF(AND((138-N(V_L2_Mes)+1)&gt;N(V_L2_Gracia),(138-N(V_L2_Mes)+1)&lt;=N(V_L2_Gracia)+N(V_L2_Cuotas),N(V_L2_Cuotas)&gt;0),IF((138-N(V_L2_Mes)+1)=N(V_L2_Gracia)+N(V_L2_Cuotas),IF((138-N(V_L2_Mes)+1)=1,N(V_L2_Monto),EL$286),PMT(N(V_L2_Tasa)/12,N(V_L2_Cuotas),-N(V_L2_Monto))-EM$284),0)*EM$9</f>
        <v>0</v>
      </c>
      <c r="EN285" s="34" t="n">
        <f aca="false">IF(AND((139-N(V_L2_Mes)+1)&gt;N(V_L2_Gracia),(139-N(V_L2_Mes)+1)&lt;=N(V_L2_Gracia)+N(V_L2_Cuotas),N(V_L2_Cuotas)&gt;0),IF((139-N(V_L2_Mes)+1)=N(V_L2_Gracia)+N(V_L2_Cuotas),IF((139-N(V_L2_Mes)+1)=1,N(V_L2_Monto),EM$286),PMT(N(V_L2_Tasa)/12,N(V_L2_Cuotas),-N(V_L2_Monto))-EN$284),0)*EN$9</f>
        <v>0</v>
      </c>
      <c r="EO285" s="34" t="n">
        <f aca="false">IF(AND((140-N(V_L2_Mes)+1)&gt;N(V_L2_Gracia),(140-N(V_L2_Mes)+1)&lt;=N(V_L2_Gracia)+N(V_L2_Cuotas),N(V_L2_Cuotas)&gt;0),IF((140-N(V_L2_Mes)+1)=N(V_L2_Gracia)+N(V_L2_Cuotas),IF((140-N(V_L2_Mes)+1)=1,N(V_L2_Monto),EN$286),PMT(N(V_L2_Tasa)/12,N(V_L2_Cuotas),-N(V_L2_Monto))-EO$284),0)*EO$9</f>
        <v>0</v>
      </c>
      <c r="EP285" s="34" t="n">
        <f aca="false">IF(AND((141-N(V_L2_Mes)+1)&gt;N(V_L2_Gracia),(141-N(V_L2_Mes)+1)&lt;=N(V_L2_Gracia)+N(V_L2_Cuotas),N(V_L2_Cuotas)&gt;0),IF((141-N(V_L2_Mes)+1)=N(V_L2_Gracia)+N(V_L2_Cuotas),IF((141-N(V_L2_Mes)+1)=1,N(V_L2_Monto),EO$286),PMT(N(V_L2_Tasa)/12,N(V_L2_Cuotas),-N(V_L2_Monto))-EP$284),0)*EP$9</f>
        <v>0</v>
      </c>
      <c r="EQ285" s="34" t="n">
        <f aca="false">IF(AND((142-N(V_L2_Mes)+1)&gt;N(V_L2_Gracia),(142-N(V_L2_Mes)+1)&lt;=N(V_L2_Gracia)+N(V_L2_Cuotas),N(V_L2_Cuotas)&gt;0),IF((142-N(V_L2_Mes)+1)=N(V_L2_Gracia)+N(V_L2_Cuotas),IF((142-N(V_L2_Mes)+1)=1,N(V_L2_Monto),EP$286),PMT(N(V_L2_Tasa)/12,N(V_L2_Cuotas),-N(V_L2_Monto))-EQ$284),0)*EQ$9</f>
        <v>0</v>
      </c>
      <c r="ER285" s="34" t="n">
        <f aca="false">IF(AND((143-N(V_L2_Mes)+1)&gt;N(V_L2_Gracia),(143-N(V_L2_Mes)+1)&lt;=N(V_L2_Gracia)+N(V_L2_Cuotas),N(V_L2_Cuotas)&gt;0),IF((143-N(V_L2_Mes)+1)=N(V_L2_Gracia)+N(V_L2_Cuotas),IF((143-N(V_L2_Mes)+1)=1,N(V_L2_Monto),EQ$286),PMT(N(V_L2_Tasa)/12,N(V_L2_Cuotas),-N(V_L2_Monto))-ER$284),0)*ER$9</f>
        <v>0</v>
      </c>
      <c r="ES285" s="34" t="n">
        <f aca="false">IF(AND((144-N(V_L2_Mes)+1)&gt;N(V_L2_Gracia),(144-N(V_L2_Mes)+1)&lt;=N(V_L2_Gracia)+N(V_L2_Cuotas),N(V_L2_Cuotas)&gt;0),IF((144-N(V_L2_Mes)+1)=N(V_L2_Gracia)+N(V_L2_Cuotas),IF((144-N(V_L2_Mes)+1)=1,N(V_L2_Monto),ER$286),PMT(N(V_L2_Tasa)/12,N(V_L2_Cuotas),-N(V_L2_Monto))-ES$284),0)*ES$9</f>
        <v>0</v>
      </c>
    </row>
    <row r="286" customFormat="false" ht="15" hidden="false" customHeight="false" outlineLevel="0" collapsed="false">
      <c r="A286" s="2" t="s">
        <v>923</v>
      </c>
      <c r="B286" s="6" t="s">
        <v>744</v>
      </c>
      <c r="C286" s="6" t="s">
        <v>250</v>
      </c>
      <c r="E286" s="40" t="n">
        <f aca="false">INDEX(F286:ES286,1,MIN(144,Fin))</f>
        <v>0</v>
      </c>
      <c r="F286" s="34" t="n">
        <f aca="false">IF((1-N(V_L2_Mes)+1)&lt;1,0,IF((1-N(V_L2_Mes)+1)=1,N(V_L2_Monto),0)-F$285)</f>
        <v>0</v>
      </c>
      <c r="G286" s="34" t="n">
        <f aca="false">IF((2-N(V_L2_Mes)+1)&lt;1,0,IF((2-N(V_L2_Mes)+1)=1,N(V_L2_Monto),F$286)-G$285)</f>
        <v>0</v>
      </c>
      <c r="H286" s="34" t="n">
        <f aca="false">IF((3-N(V_L2_Mes)+1)&lt;1,0,IF((3-N(V_L2_Mes)+1)=1,N(V_L2_Monto),G$286)-H$285)</f>
        <v>0</v>
      </c>
      <c r="I286" s="34" t="n">
        <f aca="false">IF((4-N(V_L2_Mes)+1)&lt;1,0,IF((4-N(V_L2_Mes)+1)=1,N(V_L2_Monto),H$286)-I$285)</f>
        <v>0</v>
      </c>
      <c r="J286" s="34" t="n">
        <f aca="false">IF((5-N(V_L2_Mes)+1)&lt;1,0,IF((5-N(V_L2_Mes)+1)=1,N(V_L2_Monto),I$286)-J$285)</f>
        <v>0</v>
      </c>
      <c r="K286" s="34" t="n">
        <f aca="false">IF((6-N(V_L2_Mes)+1)&lt;1,0,IF((6-N(V_L2_Mes)+1)=1,N(V_L2_Monto),J$286)-K$285)</f>
        <v>0</v>
      </c>
      <c r="L286" s="34" t="n">
        <f aca="false">IF((7-N(V_L2_Mes)+1)&lt;1,0,IF((7-N(V_L2_Mes)+1)=1,N(V_L2_Monto),K$286)-L$285)</f>
        <v>0</v>
      </c>
      <c r="M286" s="34" t="n">
        <f aca="false">IF((8-N(V_L2_Mes)+1)&lt;1,0,IF((8-N(V_L2_Mes)+1)=1,N(V_L2_Monto),L$286)-M$285)</f>
        <v>0</v>
      </c>
      <c r="N286" s="34" t="n">
        <f aca="false">IF((9-N(V_L2_Mes)+1)&lt;1,0,IF((9-N(V_L2_Mes)+1)=1,N(V_L2_Monto),M$286)-N$285)</f>
        <v>0</v>
      </c>
      <c r="O286" s="34" t="n">
        <f aca="false">IF((10-N(V_L2_Mes)+1)&lt;1,0,IF((10-N(V_L2_Mes)+1)=1,N(V_L2_Monto),N$286)-O$285)</f>
        <v>0</v>
      </c>
      <c r="P286" s="34" t="n">
        <f aca="false">IF((11-N(V_L2_Mes)+1)&lt;1,0,IF((11-N(V_L2_Mes)+1)=1,N(V_L2_Monto),O$286)-P$285)</f>
        <v>0</v>
      </c>
      <c r="Q286" s="34" t="n">
        <f aca="false">IF((12-N(V_L2_Mes)+1)&lt;1,0,IF((12-N(V_L2_Mes)+1)=1,N(V_L2_Monto),P$286)-Q$285)</f>
        <v>0</v>
      </c>
      <c r="R286" s="34" t="n">
        <f aca="false">IF((13-N(V_L2_Mes)+1)&lt;1,0,IF((13-N(V_L2_Mes)+1)=1,N(V_L2_Monto),Q$286)-R$285)</f>
        <v>0</v>
      </c>
      <c r="S286" s="34" t="n">
        <f aca="false">IF((14-N(V_L2_Mes)+1)&lt;1,0,IF((14-N(V_L2_Mes)+1)=1,N(V_L2_Monto),R$286)-S$285)</f>
        <v>0</v>
      </c>
      <c r="T286" s="34" t="n">
        <f aca="false">IF((15-N(V_L2_Mes)+1)&lt;1,0,IF((15-N(V_L2_Mes)+1)=1,N(V_L2_Monto),S$286)-T$285)</f>
        <v>0</v>
      </c>
      <c r="U286" s="34" t="n">
        <f aca="false">IF((16-N(V_L2_Mes)+1)&lt;1,0,IF((16-N(V_L2_Mes)+1)=1,N(V_L2_Monto),T$286)-U$285)</f>
        <v>0</v>
      </c>
      <c r="V286" s="34" t="n">
        <f aca="false">IF((17-N(V_L2_Mes)+1)&lt;1,0,IF((17-N(V_L2_Mes)+1)=1,N(V_L2_Monto),U$286)-V$285)</f>
        <v>0</v>
      </c>
      <c r="W286" s="34" t="n">
        <f aca="false">IF((18-N(V_L2_Mes)+1)&lt;1,0,IF((18-N(V_L2_Mes)+1)=1,N(V_L2_Monto),V$286)-W$285)</f>
        <v>0</v>
      </c>
      <c r="X286" s="34" t="n">
        <f aca="false">IF((19-N(V_L2_Mes)+1)&lt;1,0,IF((19-N(V_L2_Mes)+1)=1,N(V_L2_Monto),W$286)-X$285)</f>
        <v>0</v>
      </c>
      <c r="Y286" s="34" t="n">
        <f aca="false">IF((20-N(V_L2_Mes)+1)&lt;1,0,IF((20-N(V_L2_Mes)+1)=1,N(V_L2_Monto),X$286)-Y$285)</f>
        <v>0</v>
      </c>
      <c r="Z286" s="34" t="n">
        <f aca="false">IF((21-N(V_L2_Mes)+1)&lt;1,0,IF((21-N(V_L2_Mes)+1)=1,N(V_L2_Monto),Y$286)-Z$285)</f>
        <v>0</v>
      </c>
      <c r="AA286" s="34" t="n">
        <f aca="false">IF((22-N(V_L2_Mes)+1)&lt;1,0,IF((22-N(V_L2_Mes)+1)=1,N(V_L2_Monto),Z$286)-AA$285)</f>
        <v>0</v>
      </c>
      <c r="AB286" s="34" t="n">
        <f aca="false">IF((23-N(V_L2_Mes)+1)&lt;1,0,IF((23-N(V_L2_Mes)+1)=1,N(V_L2_Monto),AA$286)-AB$285)</f>
        <v>0</v>
      </c>
      <c r="AC286" s="34" t="n">
        <f aca="false">IF((24-N(V_L2_Mes)+1)&lt;1,0,IF((24-N(V_L2_Mes)+1)=1,N(V_L2_Monto),AB$286)-AC$285)</f>
        <v>0</v>
      </c>
      <c r="AD286" s="34" t="n">
        <f aca="false">IF((25-N(V_L2_Mes)+1)&lt;1,0,IF((25-N(V_L2_Mes)+1)=1,N(V_L2_Monto),AC$286)-AD$285)</f>
        <v>0</v>
      </c>
      <c r="AE286" s="34" t="n">
        <f aca="false">IF((26-N(V_L2_Mes)+1)&lt;1,0,IF((26-N(V_L2_Mes)+1)=1,N(V_L2_Monto),AD$286)-AE$285)</f>
        <v>0</v>
      </c>
      <c r="AF286" s="34" t="n">
        <f aca="false">IF((27-N(V_L2_Mes)+1)&lt;1,0,IF((27-N(V_L2_Mes)+1)=1,N(V_L2_Monto),AE$286)-AF$285)</f>
        <v>0</v>
      </c>
      <c r="AG286" s="34" t="n">
        <f aca="false">IF((28-N(V_L2_Mes)+1)&lt;1,0,IF((28-N(V_L2_Mes)+1)=1,N(V_L2_Monto),AF$286)-AG$285)</f>
        <v>0</v>
      </c>
      <c r="AH286" s="34" t="n">
        <f aca="false">IF((29-N(V_L2_Mes)+1)&lt;1,0,IF((29-N(V_L2_Mes)+1)=1,N(V_L2_Monto),AG$286)-AH$285)</f>
        <v>0</v>
      </c>
      <c r="AI286" s="34" t="n">
        <f aca="false">IF((30-N(V_L2_Mes)+1)&lt;1,0,IF((30-N(V_L2_Mes)+1)=1,N(V_L2_Monto),AH$286)-AI$285)</f>
        <v>0</v>
      </c>
      <c r="AJ286" s="34" t="n">
        <f aca="false">IF((31-N(V_L2_Mes)+1)&lt;1,0,IF((31-N(V_L2_Mes)+1)=1,N(V_L2_Monto),AI$286)-AJ$285)</f>
        <v>0</v>
      </c>
      <c r="AK286" s="34" t="n">
        <f aca="false">IF((32-N(V_L2_Mes)+1)&lt;1,0,IF((32-N(V_L2_Mes)+1)=1,N(V_L2_Monto),AJ$286)-AK$285)</f>
        <v>0</v>
      </c>
      <c r="AL286" s="34" t="n">
        <f aca="false">IF((33-N(V_L2_Mes)+1)&lt;1,0,IF((33-N(V_L2_Mes)+1)=1,N(V_L2_Monto),AK$286)-AL$285)</f>
        <v>0</v>
      </c>
      <c r="AM286" s="34" t="n">
        <f aca="false">IF((34-N(V_L2_Mes)+1)&lt;1,0,IF((34-N(V_L2_Mes)+1)=1,N(V_L2_Monto),AL$286)-AM$285)</f>
        <v>0</v>
      </c>
      <c r="AN286" s="34" t="n">
        <f aca="false">IF((35-N(V_L2_Mes)+1)&lt;1,0,IF((35-N(V_L2_Mes)+1)=1,N(V_L2_Monto),AM$286)-AN$285)</f>
        <v>0</v>
      </c>
      <c r="AO286" s="34" t="n">
        <f aca="false">IF((36-N(V_L2_Mes)+1)&lt;1,0,IF((36-N(V_L2_Mes)+1)=1,N(V_L2_Monto),AN$286)-AO$285)</f>
        <v>0</v>
      </c>
      <c r="AP286" s="34" t="n">
        <f aca="false">IF((37-N(V_L2_Mes)+1)&lt;1,0,IF((37-N(V_L2_Mes)+1)=1,N(V_L2_Monto),AO$286)-AP$285)</f>
        <v>0</v>
      </c>
      <c r="AQ286" s="34" t="n">
        <f aca="false">IF((38-N(V_L2_Mes)+1)&lt;1,0,IF((38-N(V_L2_Mes)+1)=1,N(V_L2_Monto),AP$286)-AQ$285)</f>
        <v>0</v>
      </c>
      <c r="AR286" s="34" t="n">
        <f aca="false">IF((39-N(V_L2_Mes)+1)&lt;1,0,IF((39-N(V_L2_Mes)+1)=1,N(V_L2_Monto),AQ$286)-AR$285)</f>
        <v>0</v>
      </c>
      <c r="AS286" s="34" t="n">
        <f aca="false">IF((40-N(V_L2_Mes)+1)&lt;1,0,IF((40-N(V_L2_Mes)+1)=1,N(V_L2_Monto),AR$286)-AS$285)</f>
        <v>0</v>
      </c>
      <c r="AT286" s="34" t="n">
        <f aca="false">IF((41-N(V_L2_Mes)+1)&lt;1,0,IF((41-N(V_L2_Mes)+1)=1,N(V_L2_Monto),AS$286)-AT$285)</f>
        <v>0</v>
      </c>
      <c r="AU286" s="34" t="n">
        <f aca="false">IF((42-N(V_L2_Mes)+1)&lt;1,0,IF((42-N(V_L2_Mes)+1)=1,N(V_L2_Monto),AT$286)-AU$285)</f>
        <v>0</v>
      </c>
      <c r="AV286" s="34" t="n">
        <f aca="false">IF((43-N(V_L2_Mes)+1)&lt;1,0,IF((43-N(V_L2_Mes)+1)=1,N(V_L2_Monto),AU$286)-AV$285)</f>
        <v>0</v>
      </c>
      <c r="AW286" s="34" t="n">
        <f aca="false">IF((44-N(V_L2_Mes)+1)&lt;1,0,IF((44-N(V_L2_Mes)+1)=1,N(V_L2_Monto),AV$286)-AW$285)</f>
        <v>0</v>
      </c>
      <c r="AX286" s="34" t="n">
        <f aca="false">IF((45-N(V_L2_Mes)+1)&lt;1,0,IF((45-N(V_L2_Mes)+1)=1,N(V_L2_Monto),AW$286)-AX$285)</f>
        <v>0</v>
      </c>
      <c r="AY286" s="34" t="n">
        <f aca="false">IF((46-N(V_L2_Mes)+1)&lt;1,0,IF((46-N(V_L2_Mes)+1)=1,N(V_L2_Monto),AX$286)-AY$285)</f>
        <v>0</v>
      </c>
      <c r="AZ286" s="34" t="n">
        <f aca="false">IF((47-N(V_L2_Mes)+1)&lt;1,0,IF((47-N(V_L2_Mes)+1)=1,N(V_L2_Monto),AY$286)-AZ$285)</f>
        <v>0</v>
      </c>
      <c r="BA286" s="34" t="n">
        <f aca="false">IF((48-N(V_L2_Mes)+1)&lt;1,0,IF((48-N(V_L2_Mes)+1)=1,N(V_L2_Monto),AZ$286)-BA$285)</f>
        <v>0</v>
      </c>
      <c r="BB286" s="34" t="n">
        <f aca="false">IF((49-N(V_L2_Mes)+1)&lt;1,0,IF((49-N(V_L2_Mes)+1)=1,N(V_L2_Monto),BA$286)-BB$285)</f>
        <v>0</v>
      </c>
      <c r="BC286" s="34" t="n">
        <f aca="false">IF((50-N(V_L2_Mes)+1)&lt;1,0,IF((50-N(V_L2_Mes)+1)=1,N(V_L2_Monto),BB$286)-BC$285)</f>
        <v>0</v>
      </c>
      <c r="BD286" s="34" t="n">
        <f aca="false">IF((51-N(V_L2_Mes)+1)&lt;1,0,IF((51-N(V_L2_Mes)+1)=1,N(V_L2_Monto),BC$286)-BD$285)</f>
        <v>0</v>
      </c>
      <c r="BE286" s="34" t="n">
        <f aca="false">IF((52-N(V_L2_Mes)+1)&lt;1,0,IF((52-N(V_L2_Mes)+1)=1,N(V_L2_Monto),BD$286)-BE$285)</f>
        <v>0</v>
      </c>
      <c r="BF286" s="34" t="n">
        <f aca="false">IF((53-N(V_L2_Mes)+1)&lt;1,0,IF((53-N(V_L2_Mes)+1)=1,N(V_L2_Monto),BE$286)-BF$285)</f>
        <v>0</v>
      </c>
      <c r="BG286" s="34" t="n">
        <f aca="false">IF((54-N(V_L2_Mes)+1)&lt;1,0,IF((54-N(V_L2_Mes)+1)=1,N(V_L2_Monto),BF$286)-BG$285)</f>
        <v>0</v>
      </c>
      <c r="BH286" s="34" t="n">
        <f aca="false">IF((55-N(V_L2_Mes)+1)&lt;1,0,IF((55-N(V_L2_Mes)+1)=1,N(V_L2_Monto),BG$286)-BH$285)</f>
        <v>0</v>
      </c>
      <c r="BI286" s="34" t="n">
        <f aca="false">IF((56-N(V_L2_Mes)+1)&lt;1,0,IF((56-N(V_L2_Mes)+1)=1,N(V_L2_Monto),BH$286)-BI$285)</f>
        <v>0</v>
      </c>
      <c r="BJ286" s="34" t="n">
        <f aca="false">IF((57-N(V_L2_Mes)+1)&lt;1,0,IF((57-N(V_L2_Mes)+1)=1,N(V_L2_Monto),BI$286)-BJ$285)</f>
        <v>0</v>
      </c>
      <c r="BK286" s="34" t="n">
        <f aca="false">IF((58-N(V_L2_Mes)+1)&lt;1,0,IF((58-N(V_L2_Mes)+1)=1,N(V_L2_Monto),BJ$286)-BK$285)</f>
        <v>0</v>
      </c>
      <c r="BL286" s="34" t="n">
        <f aca="false">IF((59-N(V_L2_Mes)+1)&lt;1,0,IF((59-N(V_L2_Mes)+1)=1,N(V_L2_Monto),BK$286)-BL$285)</f>
        <v>0</v>
      </c>
      <c r="BM286" s="34" t="n">
        <f aca="false">IF((60-N(V_L2_Mes)+1)&lt;1,0,IF((60-N(V_L2_Mes)+1)=1,N(V_L2_Monto),BL$286)-BM$285)</f>
        <v>0</v>
      </c>
      <c r="BN286" s="34" t="n">
        <f aca="false">IF((61-N(V_L2_Mes)+1)&lt;1,0,IF((61-N(V_L2_Mes)+1)=1,N(V_L2_Monto),BM$286)-BN$285)</f>
        <v>0</v>
      </c>
      <c r="BO286" s="34" t="n">
        <f aca="false">IF((62-N(V_L2_Mes)+1)&lt;1,0,IF((62-N(V_L2_Mes)+1)=1,N(V_L2_Monto),BN$286)-BO$285)</f>
        <v>0</v>
      </c>
      <c r="BP286" s="34" t="n">
        <f aca="false">IF((63-N(V_L2_Mes)+1)&lt;1,0,IF((63-N(V_L2_Mes)+1)=1,N(V_L2_Monto),BO$286)-BP$285)</f>
        <v>0</v>
      </c>
      <c r="BQ286" s="34" t="n">
        <f aca="false">IF((64-N(V_L2_Mes)+1)&lt;1,0,IF((64-N(V_L2_Mes)+1)=1,N(V_L2_Monto),BP$286)-BQ$285)</f>
        <v>0</v>
      </c>
      <c r="BR286" s="34" t="n">
        <f aca="false">IF((65-N(V_L2_Mes)+1)&lt;1,0,IF((65-N(V_L2_Mes)+1)=1,N(V_L2_Monto),BQ$286)-BR$285)</f>
        <v>0</v>
      </c>
      <c r="BS286" s="34" t="n">
        <f aca="false">IF((66-N(V_L2_Mes)+1)&lt;1,0,IF((66-N(V_L2_Mes)+1)=1,N(V_L2_Monto),BR$286)-BS$285)</f>
        <v>0</v>
      </c>
      <c r="BT286" s="34" t="n">
        <f aca="false">IF((67-N(V_L2_Mes)+1)&lt;1,0,IF((67-N(V_L2_Mes)+1)=1,N(V_L2_Monto),BS$286)-BT$285)</f>
        <v>0</v>
      </c>
      <c r="BU286" s="34" t="n">
        <f aca="false">IF((68-N(V_L2_Mes)+1)&lt;1,0,IF((68-N(V_L2_Mes)+1)=1,N(V_L2_Monto),BT$286)-BU$285)</f>
        <v>0</v>
      </c>
      <c r="BV286" s="34" t="n">
        <f aca="false">IF((69-N(V_L2_Mes)+1)&lt;1,0,IF((69-N(V_L2_Mes)+1)=1,N(V_L2_Monto),BU$286)-BV$285)</f>
        <v>0</v>
      </c>
      <c r="BW286" s="34" t="n">
        <f aca="false">IF((70-N(V_L2_Mes)+1)&lt;1,0,IF((70-N(V_L2_Mes)+1)=1,N(V_L2_Monto),BV$286)-BW$285)</f>
        <v>0</v>
      </c>
      <c r="BX286" s="34" t="n">
        <f aca="false">IF((71-N(V_L2_Mes)+1)&lt;1,0,IF((71-N(V_L2_Mes)+1)=1,N(V_L2_Monto),BW$286)-BX$285)</f>
        <v>0</v>
      </c>
      <c r="BY286" s="34" t="n">
        <f aca="false">IF((72-N(V_L2_Mes)+1)&lt;1,0,IF((72-N(V_L2_Mes)+1)=1,N(V_L2_Monto),BX$286)-BY$285)</f>
        <v>0</v>
      </c>
      <c r="BZ286" s="34" t="n">
        <f aca="false">IF((73-N(V_L2_Mes)+1)&lt;1,0,IF((73-N(V_L2_Mes)+1)=1,N(V_L2_Monto),BY$286)-BZ$285)</f>
        <v>0</v>
      </c>
      <c r="CA286" s="34" t="n">
        <f aca="false">IF((74-N(V_L2_Mes)+1)&lt;1,0,IF((74-N(V_L2_Mes)+1)=1,N(V_L2_Monto),BZ$286)-CA$285)</f>
        <v>0</v>
      </c>
      <c r="CB286" s="34" t="n">
        <f aca="false">IF((75-N(V_L2_Mes)+1)&lt;1,0,IF((75-N(V_L2_Mes)+1)=1,N(V_L2_Monto),CA$286)-CB$285)</f>
        <v>0</v>
      </c>
      <c r="CC286" s="34" t="n">
        <f aca="false">IF((76-N(V_L2_Mes)+1)&lt;1,0,IF((76-N(V_L2_Mes)+1)=1,N(V_L2_Monto),CB$286)-CC$285)</f>
        <v>0</v>
      </c>
      <c r="CD286" s="34" t="n">
        <f aca="false">IF((77-N(V_L2_Mes)+1)&lt;1,0,IF((77-N(V_L2_Mes)+1)=1,N(V_L2_Monto),CC$286)-CD$285)</f>
        <v>0</v>
      </c>
      <c r="CE286" s="34" t="n">
        <f aca="false">IF((78-N(V_L2_Mes)+1)&lt;1,0,IF((78-N(V_L2_Mes)+1)=1,N(V_L2_Monto),CD$286)-CE$285)</f>
        <v>0</v>
      </c>
      <c r="CF286" s="34" t="n">
        <f aca="false">IF((79-N(V_L2_Mes)+1)&lt;1,0,IF((79-N(V_L2_Mes)+1)=1,N(V_L2_Monto),CE$286)-CF$285)</f>
        <v>0</v>
      </c>
      <c r="CG286" s="34" t="n">
        <f aca="false">IF((80-N(V_L2_Mes)+1)&lt;1,0,IF((80-N(V_L2_Mes)+1)=1,N(V_L2_Monto),CF$286)-CG$285)</f>
        <v>0</v>
      </c>
      <c r="CH286" s="34" t="n">
        <f aca="false">IF((81-N(V_L2_Mes)+1)&lt;1,0,IF((81-N(V_L2_Mes)+1)=1,N(V_L2_Monto),CG$286)-CH$285)</f>
        <v>0</v>
      </c>
      <c r="CI286" s="34" t="n">
        <f aca="false">IF((82-N(V_L2_Mes)+1)&lt;1,0,IF((82-N(V_L2_Mes)+1)=1,N(V_L2_Monto),CH$286)-CI$285)</f>
        <v>0</v>
      </c>
      <c r="CJ286" s="34" t="n">
        <f aca="false">IF((83-N(V_L2_Mes)+1)&lt;1,0,IF((83-N(V_L2_Mes)+1)=1,N(V_L2_Monto),CI$286)-CJ$285)</f>
        <v>0</v>
      </c>
      <c r="CK286" s="34" t="n">
        <f aca="false">IF((84-N(V_L2_Mes)+1)&lt;1,0,IF((84-N(V_L2_Mes)+1)=1,N(V_L2_Monto),CJ$286)-CK$285)</f>
        <v>0</v>
      </c>
      <c r="CL286" s="34" t="n">
        <f aca="false">IF((85-N(V_L2_Mes)+1)&lt;1,0,IF((85-N(V_L2_Mes)+1)=1,N(V_L2_Monto),CK$286)-CL$285)</f>
        <v>0</v>
      </c>
      <c r="CM286" s="34" t="n">
        <f aca="false">IF((86-N(V_L2_Mes)+1)&lt;1,0,IF((86-N(V_L2_Mes)+1)=1,N(V_L2_Monto),CL$286)-CM$285)</f>
        <v>0</v>
      </c>
      <c r="CN286" s="34" t="n">
        <f aca="false">IF((87-N(V_L2_Mes)+1)&lt;1,0,IF((87-N(V_L2_Mes)+1)=1,N(V_L2_Monto),CM$286)-CN$285)</f>
        <v>0</v>
      </c>
      <c r="CO286" s="34" t="n">
        <f aca="false">IF((88-N(V_L2_Mes)+1)&lt;1,0,IF((88-N(V_L2_Mes)+1)=1,N(V_L2_Monto),CN$286)-CO$285)</f>
        <v>0</v>
      </c>
      <c r="CP286" s="34" t="n">
        <f aca="false">IF((89-N(V_L2_Mes)+1)&lt;1,0,IF((89-N(V_L2_Mes)+1)=1,N(V_L2_Monto),CO$286)-CP$285)</f>
        <v>0</v>
      </c>
      <c r="CQ286" s="34" t="n">
        <f aca="false">IF((90-N(V_L2_Mes)+1)&lt;1,0,IF((90-N(V_L2_Mes)+1)=1,N(V_L2_Monto),CP$286)-CQ$285)</f>
        <v>0</v>
      </c>
      <c r="CR286" s="34" t="n">
        <f aca="false">IF((91-N(V_L2_Mes)+1)&lt;1,0,IF((91-N(V_L2_Mes)+1)=1,N(V_L2_Monto),CQ$286)-CR$285)</f>
        <v>0</v>
      </c>
      <c r="CS286" s="34" t="n">
        <f aca="false">IF((92-N(V_L2_Mes)+1)&lt;1,0,IF((92-N(V_L2_Mes)+1)=1,N(V_L2_Monto),CR$286)-CS$285)</f>
        <v>0</v>
      </c>
      <c r="CT286" s="34" t="n">
        <f aca="false">IF((93-N(V_L2_Mes)+1)&lt;1,0,IF((93-N(V_L2_Mes)+1)=1,N(V_L2_Monto),CS$286)-CT$285)</f>
        <v>0</v>
      </c>
      <c r="CU286" s="34" t="n">
        <f aca="false">IF((94-N(V_L2_Mes)+1)&lt;1,0,IF((94-N(V_L2_Mes)+1)=1,N(V_L2_Monto),CT$286)-CU$285)</f>
        <v>0</v>
      </c>
      <c r="CV286" s="34" t="n">
        <f aca="false">IF((95-N(V_L2_Mes)+1)&lt;1,0,IF((95-N(V_L2_Mes)+1)=1,N(V_L2_Monto),CU$286)-CV$285)</f>
        <v>0</v>
      </c>
      <c r="CW286" s="34" t="n">
        <f aca="false">IF((96-N(V_L2_Mes)+1)&lt;1,0,IF((96-N(V_L2_Mes)+1)=1,N(V_L2_Monto),CV$286)-CW$285)</f>
        <v>0</v>
      </c>
      <c r="CX286" s="34" t="n">
        <f aca="false">IF((97-N(V_L2_Mes)+1)&lt;1,0,IF((97-N(V_L2_Mes)+1)=1,N(V_L2_Monto),CW$286)-CX$285)</f>
        <v>0</v>
      </c>
      <c r="CY286" s="34" t="n">
        <f aca="false">IF((98-N(V_L2_Mes)+1)&lt;1,0,IF((98-N(V_L2_Mes)+1)=1,N(V_L2_Monto),CX$286)-CY$285)</f>
        <v>0</v>
      </c>
      <c r="CZ286" s="34" t="n">
        <f aca="false">IF((99-N(V_L2_Mes)+1)&lt;1,0,IF((99-N(V_L2_Mes)+1)=1,N(V_L2_Monto),CY$286)-CZ$285)</f>
        <v>0</v>
      </c>
      <c r="DA286" s="34" t="n">
        <f aca="false">IF((100-N(V_L2_Mes)+1)&lt;1,0,IF((100-N(V_L2_Mes)+1)=1,N(V_L2_Monto),CZ$286)-DA$285)</f>
        <v>0</v>
      </c>
      <c r="DB286" s="34" t="n">
        <f aca="false">IF((101-N(V_L2_Mes)+1)&lt;1,0,IF((101-N(V_L2_Mes)+1)=1,N(V_L2_Monto),DA$286)-DB$285)</f>
        <v>0</v>
      </c>
      <c r="DC286" s="34" t="n">
        <f aca="false">IF((102-N(V_L2_Mes)+1)&lt;1,0,IF((102-N(V_L2_Mes)+1)=1,N(V_L2_Monto),DB$286)-DC$285)</f>
        <v>0</v>
      </c>
      <c r="DD286" s="34" t="n">
        <f aca="false">IF((103-N(V_L2_Mes)+1)&lt;1,0,IF((103-N(V_L2_Mes)+1)=1,N(V_L2_Monto),DC$286)-DD$285)</f>
        <v>0</v>
      </c>
      <c r="DE286" s="34" t="n">
        <f aca="false">IF((104-N(V_L2_Mes)+1)&lt;1,0,IF((104-N(V_L2_Mes)+1)=1,N(V_L2_Monto),DD$286)-DE$285)</f>
        <v>0</v>
      </c>
      <c r="DF286" s="34" t="n">
        <f aca="false">IF((105-N(V_L2_Mes)+1)&lt;1,0,IF((105-N(V_L2_Mes)+1)=1,N(V_L2_Monto),DE$286)-DF$285)</f>
        <v>0</v>
      </c>
      <c r="DG286" s="34" t="n">
        <f aca="false">IF((106-N(V_L2_Mes)+1)&lt;1,0,IF((106-N(V_L2_Mes)+1)=1,N(V_L2_Monto),DF$286)-DG$285)</f>
        <v>0</v>
      </c>
      <c r="DH286" s="34" t="n">
        <f aca="false">IF((107-N(V_L2_Mes)+1)&lt;1,0,IF((107-N(V_L2_Mes)+1)=1,N(V_L2_Monto),DG$286)-DH$285)</f>
        <v>0</v>
      </c>
      <c r="DI286" s="34" t="n">
        <f aca="false">IF((108-N(V_L2_Mes)+1)&lt;1,0,IF((108-N(V_L2_Mes)+1)=1,N(V_L2_Monto),DH$286)-DI$285)</f>
        <v>0</v>
      </c>
      <c r="DJ286" s="34" t="n">
        <f aca="false">IF((109-N(V_L2_Mes)+1)&lt;1,0,IF((109-N(V_L2_Mes)+1)=1,N(V_L2_Monto),DI$286)-DJ$285)</f>
        <v>0</v>
      </c>
      <c r="DK286" s="34" t="n">
        <f aca="false">IF((110-N(V_L2_Mes)+1)&lt;1,0,IF((110-N(V_L2_Mes)+1)=1,N(V_L2_Monto),DJ$286)-DK$285)</f>
        <v>0</v>
      </c>
      <c r="DL286" s="34" t="n">
        <f aca="false">IF((111-N(V_L2_Mes)+1)&lt;1,0,IF((111-N(V_L2_Mes)+1)=1,N(V_L2_Monto),DK$286)-DL$285)</f>
        <v>0</v>
      </c>
      <c r="DM286" s="34" t="n">
        <f aca="false">IF((112-N(V_L2_Mes)+1)&lt;1,0,IF((112-N(V_L2_Mes)+1)=1,N(V_L2_Monto),DL$286)-DM$285)</f>
        <v>0</v>
      </c>
      <c r="DN286" s="34" t="n">
        <f aca="false">IF((113-N(V_L2_Mes)+1)&lt;1,0,IF((113-N(V_L2_Mes)+1)=1,N(V_L2_Monto),DM$286)-DN$285)</f>
        <v>0</v>
      </c>
      <c r="DO286" s="34" t="n">
        <f aca="false">IF((114-N(V_L2_Mes)+1)&lt;1,0,IF((114-N(V_L2_Mes)+1)=1,N(V_L2_Monto),DN$286)-DO$285)</f>
        <v>0</v>
      </c>
      <c r="DP286" s="34" t="n">
        <f aca="false">IF((115-N(V_L2_Mes)+1)&lt;1,0,IF((115-N(V_L2_Mes)+1)=1,N(V_L2_Monto),DO$286)-DP$285)</f>
        <v>0</v>
      </c>
      <c r="DQ286" s="34" t="n">
        <f aca="false">IF((116-N(V_L2_Mes)+1)&lt;1,0,IF((116-N(V_L2_Mes)+1)=1,N(V_L2_Monto),DP$286)-DQ$285)</f>
        <v>0</v>
      </c>
      <c r="DR286" s="34" t="n">
        <f aca="false">IF((117-N(V_L2_Mes)+1)&lt;1,0,IF((117-N(V_L2_Mes)+1)=1,N(V_L2_Monto),DQ$286)-DR$285)</f>
        <v>0</v>
      </c>
      <c r="DS286" s="34" t="n">
        <f aca="false">IF((118-N(V_L2_Mes)+1)&lt;1,0,IF((118-N(V_L2_Mes)+1)=1,N(V_L2_Monto),DR$286)-DS$285)</f>
        <v>0</v>
      </c>
      <c r="DT286" s="34" t="n">
        <f aca="false">IF((119-N(V_L2_Mes)+1)&lt;1,0,IF((119-N(V_L2_Mes)+1)=1,N(V_L2_Monto),DS$286)-DT$285)</f>
        <v>0</v>
      </c>
      <c r="DU286" s="34" t="n">
        <f aca="false">IF((120-N(V_L2_Mes)+1)&lt;1,0,IF((120-N(V_L2_Mes)+1)=1,N(V_L2_Monto),DT$286)-DU$285)</f>
        <v>0</v>
      </c>
      <c r="DV286" s="34" t="n">
        <f aca="false">IF((121-N(V_L2_Mes)+1)&lt;1,0,IF((121-N(V_L2_Mes)+1)=1,N(V_L2_Monto),DU$286)-DV$285)</f>
        <v>0</v>
      </c>
      <c r="DW286" s="34" t="n">
        <f aca="false">IF((122-N(V_L2_Mes)+1)&lt;1,0,IF((122-N(V_L2_Mes)+1)=1,N(V_L2_Monto),DV$286)-DW$285)</f>
        <v>0</v>
      </c>
      <c r="DX286" s="34" t="n">
        <f aca="false">IF((123-N(V_L2_Mes)+1)&lt;1,0,IF((123-N(V_L2_Mes)+1)=1,N(V_L2_Monto),DW$286)-DX$285)</f>
        <v>0</v>
      </c>
      <c r="DY286" s="34" t="n">
        <f aca="false">IF((124-N(V_L2_Mes)+1)&lt;1,0,IF((124-N(V_L2_Mes)+1)=1,N(V_L2_Monto),DX$286)-DY$285)</f>
        <v>0</v>
      </c>
      <c r="DZ286" s="34" t="n">
        <f aca="false">IF((125-N(V_L2_Mes)+1)&lt;1,0,IF((125-N(V_L2_Mes)+1)=1,N(V_L2_Monto),DY$286)-DZ$285)</f>
        <v>0</v>
      </c>
      <c r="EA286" s="34" t="n">
        <f aca="false">IF((126-N(V_L2_Mes)+1)&lt;1,0,IF((126-N(V_L2_Mes)+1)=1,N(V_L2_Monto),DZ$286)-EA$285)</f>
        <v>0</v>
      </c>
      <c r="EB286" s="34" t="n">
        <f aca="false">IF((127-N(V_L2_Mes)+1)&lt;1,0,IF((127-N(V_L2_Mes)+1)=1,N(V_L2_Monto),EA$286)-EB$285)</f>
        <v>0</v>
      </c>
      <c r="EC286" s="34" t="n">
        <f aca="false">IF((128-N(V_L2_Mes)+1)&lt;1,0,IF((128-N(V_L2_Mes)+1)=1,N(V_L2_Monto),EB$286)-EC$285)</f>
        <v>0</v>
      </c>
      <c r="ED286" s="34" t="n">
        <f aca="false">IF((129-N(V_L2_Mes)+1)&lt;1,0,IF((129-N(V_L2_Mes)+1)=1,N(V_L2_Monto),EC$286)-ED$285)</f>
        <v>0</v>
      </c>
      <c r="EE286" s="34" t="n">
        <f aca="false">IF((130-N(V_L2_Mes)+1)&lt;1,0,IF((130-N(V_L2_Mes)+1)=1,N(V_L2_Monto),ED$286)-EE$285)</f>
        <v>0</v>
      </c>
      <c r="EF286" s="34" t="n">
        <f aca="false">IF((131-N(V_L2_Mes)+1)&lt;1,0,IF((131-N(V_L2_Mes)+1)=1,N(V_L2_Monto),EE$286)-EF$285)</f>
        <v>0</v>
      </c>
      <c r="EG286" s="34" t="n">
        <f aca="false">IF((132-N(V_L2_Mes)+1)&lt;1,0,IF((132-N(V_L2_Mes)+1)=1,N(V_L2_Monto),EF$286)-EG$285)</f>
        <v>0</v>
      </c>
      <c r="EH286" s="34" t="n">
        <f aca="false">IF((133-N(V_L2_Mes)+1)&lt;1,0,IF((133-N(V_L2_Mes)+1)=1,N(V_L2_Monto),EG$286)-EH$285)</f>
        <v>0</v>
      </c>
      <c r="EI286" s="34" t="n">
        <f aca="false">IF((134-N(V_L2_Mes)+1)&lt;1,0,IF((134-N(V_L2_Mes)+1)=1,N(V_L2_Monto),EH$286)-EI$285)</f>
        <v>0</v>
      </c>
      <c r="EJ286" s="34" t="n">
        <f aca="false">IF((135-N(V_L2_Mes)+1)&lt;1,0,IF((135-N(V_L2_Mes)+1)=1,N(V_L2_Monto),EI$286)-EJ$285)</f>
        <v>0</v>
      </c>
      <c r="EK286" s="34" t="n">
        <f aca="false">IF((136-N(V_L2_Mes)+1)&lt;1,0,IF((136-N(V_L2_Mes)+1)=1,N(V_L2_Monto),EJ$286)-EK$285)</f>
        <v>0</v>
      </c>
      <c r="EL286" s="34" t="n">
        <f aca="false">IF((137-N(V_L2_Mes)+1)&lt;1,0,IF((137-N(V_L2_Mes)+1)=1,N(V_L2_Monto),EK$286)-EL$285)</f>
        <v>0</v>
      </c>
      <c r="EM286" s="34" t="n">
        <f aca="false">IF((138-N(V_L2_Mes)+1)&lt;1,0,IF((138-N(V_L2_Mes)+1)=1,N(V_L2_Monto),EL$286)-EM$285)</f>
        <v>0</v>
      </c>
      <c r="EN286" s="34" t="n">
        <f aca="false">IF((139-N(V_L2_Mes)+1)&lt;1,0,IF((139-N(V_L2_Mes)+1)=1,N(V_L2_Monto),EM$286)-EN$285)</f>
        <v>0</v>
      </c>
      <c r="EO286" s="34" t="n">
        <f aca="false">IF((140-N(V_L2_Mes)+1)&lt;1,0,IF((140-N(V_L2_Mes)+1)=1,N(V_L2_Monto),EN$286)-EO$285)</f>
        <v>0</v>
      </c>
      <c r="EP286" s="34" t="n">
        <f aca="false">IF((141-N(V_L2_Mes)+1)&lt;1,0,IF((141-N(V_L2_Mes)+1)=1,N(V_L2_Monto),EO$286)-EP$285)</f>
        <v>0</v>
      </c>
      <c r="EQ286" s="34" t="n">
        <f aca="false">IF((142-N(V_L2_Mes)+1)&lt;1,0,IF((142-N(V_L2_Mes)+1)=1,N(V_L2_Monto),EP$286)-EQ$285)</f>
        <v>0</v>
      </c>
      <c r="ER286" s="34" t="n">
        <f aca="false">IF((143-N(V_L2_Mes)+1)&lt;1,0,IF((143-N(V_L2_Mes)+1)=1,N(V_L2_Monto),EQ$286)-ER$285)</f>
        <v>0</v>
      </c>
      <c r="ES286" s="34" t="n">
        <f aca="false">IF((144-N(V_L2_Mes)+1)&lt;1,0,IF((144-N(V_L2_Mes)+1)=1,N(V_L2_Monto),ER$286)-ES$285)</f>
        <v>0</v>
      </c>
    </row>
    <row r="287" customFormat="false" ht="15" hidden="false" customHeight="false" outlineLevel="0" collapsed="false">
      <c r="A287" s="2" t="s">
        <v>924</v>
      </c>
      <c r="B287" s="6" t="s">
        <v>746</v>
      </c>
      <c r="C287" s="6" t="s">
        <v>250</v>
      </c>
      <c r="E287" s="40" t="n">
        <f aca="false">SUM(F287:ES287)</f>
        <v>0</v>
      </c>
      <c r="F287" s="34" t="n">
        <f aca="false">IF((1-N(V_L3_Mes)+1)=1,N(V_L3_Monto),0)*F$9</f>
        <v>0</v>
      </c>
      <c r="G287" s="34" t="n">
        <f aca="false">IF((2-N(V_L3_Mes)+1)=1,N(V_L3_Monto),0)*G$9</f>
        <v>0</v>
      </c>
      <c r="H287" s="34" t="n">
        <f aca="false">IF((3-N(V_L3_Mes)+1)=1,N(V_L3_Monto),0)*H$9</f>
        <v>0</v>
      </c>
      <c r="I287" s="34" t="n">
        <f aca="false">IF((4-N(V_L3_Mes)+1)=1,N(V_L3_Monto),0)*I$9</f>
        <v>0</v>
      </c>
      <c r="J287" s="34" t="n">
        <f aca="false">IF((5-N(V_L3_Mes)+1)=1,N(V_L3_Monto),0)*J$9</f>
        <v>0</v>
      </c>
      <c r="K287" s="34" t="n">
        <f aca="false">IF((6-N(V_L3_Mes)+1)=1,N(V_L3_Monto),0)*K$9</f>
        <v>0</v>
      </c>
      <c r="L287" s="34" t="n">
        <f aca="false">IF((7-N(V_L3_Mes)+1)=1,N(V_L3_Monto),0)*L$9</f>
        <v>0</v>
      </c>
      <c r="M287" s="34" t="n">
        <f aca="false">IF((8-N(V_L3_Mes)+1)=1,N(V_L3_Monto),0)*M$9</f>
        <v>0</v>
      </c>
      <c r="N287" s="34" t="n">
        <f aca="false">IF((9-N(V_L3_Mes)+1)=1,N(V_L3_Monto),0)*N$9</f>
        <v>0</v>
      </c>
      <c r="O287" s="34" t="n">
        <f aca="false">IF((10-N(V_L3_Mes)+1)=1,N(V_L3_Monto),0)*O$9</f>
        <v>0</v>
      </c>
      <c r="P287" s="34" t="n">
        <f aca="false">IF((11-N(V_L3_Mes)+1)=1,N(V_L3_Monto),0)*P$9</f>
        <v>0</v>
      </c>
      <c r="Q287" s="34" t="n">
        <f aca="false">IF((12-N(V_L3_Mes)+1)=1,N(V_L3_Monto),0)*Q$9</f>
        <v>0</v>
      </c>
      <c r="R287" s="34" t="n">
        <f aca="false">IF((13-N(V_L3_Mes)+1)=1,N(V_L3_Monto),0)*R$9</f>
        <v>0</v>
      </c>
      <c r="S287" s="34" t="n">
        <f aca="false">IF((14-N(V_L3_Mes)+1)=1,N(V_L3_Monto),0)*S$9</f>
        <v>0</v>
      </c>
      <c r="T287" s="34" t="n">
        <f aca="false">IF((15-N(V_L3_Mes)+1)=1,N(V_L3_Monto),0)*T$9</f>
        <v>0</v>
      </c>
      <c r="U287" s="34" t="n">
        <f aca="false">IF((16-N(V_L3_Mes)+1)=1,N(V_L3_Monto),0)*U$9</f>
        <v>0</v>
      </c>
      <c r="V287" s="34" t="n">
        <f aca="false">IF((17-N(V_L3_Mes)+1)=1,N(V_L3_Monto),0)*V$9</f>
        <v>0</v>
      </c>
      <c r="W287" s="34" t="n">
        <f aca="false">IF((18-N(V_L3_Mes)+1)=1,N(V_L3_Monto),0)*W$9</f>
        <v>0</v>
      </c>
      <c r="X287" s="34" t="n">
        <f aca="false">IF((19-N(V_L3_Mes)+1)=1,N(V_L3_Monto),0)*X$9</f>
        <v>0</v>
      </c>
      <c r="Y287" s="34" t="n">
        <f aca="false">IF((20-N(V_L3_Mes)+1)=1,N(V_L3_Monto),0)*Y$9</f>
        <v>0</v>
      </c>
      <c r="Z287" s="34" t="n">
        <f aca="false">IF((21-N(V_L3_Mes)+1)=1,N(V_L3_Monto),0)*Z$9</f>
        <v>0</v>
      </c>
      <c r="AA287" s="34" t="n">
        <f aca="false">IF((22-N(V_L3_Mes)+1)=1,N(V_L3_Monto),0)*AA$9</f>
        <v>0</v>
      </c>
      <c r="AB287" s="34" t="n">
        <f aca="false">IF((23-N(V_L3_Mes)+1)=1,N(V_L3_Monto),0)*AB$9</f>
        <v>0</v>
      </c>
      <c r="AC287" s="34" t="n">
        <f aca="false">IF((24-N(V_L3_Mes)+1)=1,N(V_L3_Monto),0)*AC$9</f>
        <v>0</v>
      </c>
      <c r="AD287" s="34" t="n">
        <f aca="false">IF((25-N(V_L3_Mes)+1)=1,N(V_L3_Monto),0)*AD$9</f>
        <v>0</v>
      </c>
      <c r="AE287" s="34" t="n">
        <f aca="false">IF((26-N(V_L3_Mes)+1)=1,N(V_L3_Monto),0)*AE$9</f>
        <v>0</v>
      </c>
      <c r="AF287" s="34" t="n">
        <f aca="false">IF((27-N(V_L3_Mes)+1)=1,N(V_L3_Monto),0)*AF$9</f>
        <v>0</v>
      </c>
      <c r="AG287" s="34" t="n">
        <f aca="false">IF((28-N(V_L3_Mes)+1)=1,N(V_L3_Monto),0)*AG$9</f>
        <v>0</v>
      </c>
      <c r="AH287" s="34" t="n">
        <f aca="false">IF((29-N(V_L3_Mes)+1)=1,N(V_L3_Monto),0)*AH$9</f>
        <v>0</v>
      </c>
      <c r="AI287" s="34" t="n">
        <f aca="false">IF((30-N(V_L3_Mes)+1)=1,N(V_L3_Monto),0)*AI$9</f>
        <v>0</v>
      </c>
      <c r="AJ287" s="34" t="n">
        <f aca="false">IF((31-N(V_L3_Mes)+1)=1,N(V_L3_Monto),0)*AJ$9</f>
        <v>0</v>
      </c>
      <c r="AK287" s="34" t="n">
        <f aca="false">IF((32-N(V_L3_Mes)+1)=1,N(V_L3_Monto),0)*AK$9</f>
        <v>0</v>
      </c>
      <c r="AL287" s="34" t="n">
        <f aca="false">IF((33-N(V_L3_Mes)+1)=1,N(V_L3_Monto),0)*AL$9</f>
        <v>0</v>
      </c>
      <c r="AM287" s="34" t="n">
        <f aca="false">IF((34-N(V_L3_Mes)+1)=1,N(V_L3_Monto),0)*AM$9</f>
        <v>0</v>
      </c>
      <c r="AN287" s="34" t="n">
        <f aca="false">IF((35-N(V_L3_Mes)+1)=1,N(V_L3_Monto),0)*AN$9</f>
        <v>0</v>
      </c>
      <c r="AO287" s="34" t="n">
        <f aca="false">IF((36-N(V_L3_Mes)+1)=1,N(V_L3_Monto),0)*AO$9</f>
        <v>0</v>
      </c>
      <c r="AP287" s="34" t="n">
        <f aca="false">IF((37-N(V_L3_Mes)+1)=1,N(V_L3_Monto),0)*AP$9</f>
        <v>0</v>
      </c>
      <c r="AQ287" s="34" t="n">
        <f aca="false">IF((38-N(V_L3_Mes)+1)=1,N(V_L3_Monto),0)*AQ$9</f>
        <v>0</v>
      </c>
      <c r="AR287" s="34" t="n">
        <f aca="false">IF((39-N(V_L3_Mes)+1)=1,N(V_L3_Monto),0)*AR$9</f>
        <v>0</v>
      </c>
      <c r="AS287" s="34" t="n">
        <f aca="false">IF((40-N(V_L3_Mes)+1)=1,N(V_L3_Monto),0)*AS$9</f>
        <v>0</v>
      </c>
      <c r="AT287" s="34" t="n">
        <f aca="false">IF((41-N(V_L3_Mes)+1)=1,N(V_L3_Monto),0)*AT$9</f>
        <v>0</v>
      </c>
      <c r="AU287" s="34" t="n">
        <f aca="false">IF((42-N(V_L3_Mes)+1)=1,N(V_L3_Monto),0)*AU$9</f>
        <v>0</v>
      </c>
      <c r="AV287" s="34" t="n">
        <f aca="false">IF((43-N(V_L3_Mes)+1)=1,N(V_L3_Monto),0)*AV$9</f>
        <v>0</v>
      </c>
      <c r="AW287" s="34" t="n">
        <f aca="false">IF((44-N(V_L3_Mes)+1)=1,N(V_L3_Monto),0)*AW$9</f>
        <v>0</v>
      </c>
      <c r="AX287" s="34" t="n">
        <f aca="false">IF((45-N(V_L3_Mes)+1)=1,N(V_L3_Monto),0)*AX$9</f>
        <v>0</v>
      </c>
      <c r="AY287" s="34" t="n">
        <f aca="false">IF((46-N(V_L3_Mes)+1)=1,N(V_L3_Monto),0)*AY$9</f>
        <v>0</v>
      </c>
      <c r="AZ287" s="34" t="n">
        <f aca="false">IF((47-N(V_L3_Mes)+1)=1,N(V_L3_Monto),0)*AZ$9</f>
        <v>0</v>
      </c>
      <c r="BA287" s="34" t="n">
        <f aca="false">IF((48-N(V_L3_Mes)+1)=1,N(V_L3_Monto),0)*BA$9</f>
        <v>0</v>
      </c>
      <c r="BB287" s="34" t="n">
        <f aca="false">IF((49-N(V_L3_Mes)+1)=1,N(V_L3_Monto),0)*BB$9</f>
        <v>0</v>
      </c>
      <c r="BC287" s="34" t="n">
        <f aca="false">IF((50-N(V_L3_Mes)+1)=1,N(V_L3_Monto),0)*BC$9</f>
        <v>0</v>
      </c>
      <c r="BD287" s="34" t="n">
        <f aca="false">IF((51-N(V_L3_Mes)+1)=1,N(V_L3_Monto),0)*BD$9</f>
        <v>0</v>
      </c>
      <c r="BE287" s="34" t="n">
        <f aca="false">IF((52-N(V_L3_Mes)+1)=1,N(V_L3_Monto),0)*BE$9</f>
        <v>0</v>
      </c>
      <c r="BF287" s="34" t="n">
        <f aca="false">IF((53-N(V_L3_Mes)+1)=1,N(V_L3_Monto),0)*BF$9</f>
        <v>0</v>
      </c>
      <c r="BG287" s="34" t="n">
        <f aca="false">IF((54-N(V_L3_Mes)+1)=1,N(V_L3_Monto),0)*BG$9</f>
        <v>0</v>
      </c>
      <c r="BH287" s="34" t="n">
        <f aca="false">IF((55-N(V_L3_Mes)+1)=1,N(V_L3_Monto),0)*BH$9</f>
        <v>0</v>
      </c>
      <c r="BI287" s="34" t="n">
        <f aca="false">IF((56-N(V_L3_Mes)+1)=1,N(V_L3_Monto),0)*BI$9</f>
        <v>0</v>
      </c>
      <c r="BJ287" s="34" t="n">
        <f aca="false">IF((57-N(V_L3_Mes)+1)=1,N(V_L3_Monto),0)*BJ$9</f>
        <v>0</v>
      </c>
      <c r="BK287" s="34" t="n">
        <f aca="false">IF((58-N(V_L3_Mes)+1)=1,N(V_L3_Monto),0)*BK$9</f>
        <v>0</v>
      </c>
      <c r="BL287" s="34" t="n">
        <f aca="false">IF((59-N(V_L3_Mes)+1)=1,N(V_L3_Monto),0)*BL$9</f>
        <v>0</v>
      </c>
      <c r="BM287" s="34" t="n">
        <f aca="false">IF((60-N(V_L3_Mes)+1)=1,N(V_L3_Monto),0)*BM$9</f>
        <v>0</v>
      </c>
      <c r="BN287" s="34" t="n">
        <f aca="false">IF((61-N(V_L3_Mes)+1)=1,N(V_L3_Monto),0)*BN$9</f>
        <v>0</v>
      </c>
      <c r="BO287" s="34" t="n">
        <f aca="false">IF((62-N(V_L3_Mes)+1)=1,N(V_L3_Monto),0)*BO$9</f>
        <v>0</v>
      </c>
      <c r="BP287" s="34" t="n">
        <f aca="false">IF((63-N(V_L3_Mes)+1)=1,N(V_L3_Monto),0)*BP$9</f>
        <v>0</v>
      </c>
      <c r="BQ287" s="34" t="n">
        <f aca="false">IF((64-N(V_L3_Mes)+1)=1,N(V_L3_Monto),0)*BQ$9</f>
        <v>0</v>
      </c>
      <c r="BR287" s="34" t="n">
        <f aca="false">IF((65-N(V_L3_Mes)+1)=1,N(V_L3_Monto),0)*BR$9</f>
        <v>0</v>
      </c>
      <c r="BS287" s="34" t="n">
        <f aca="false">IF((66-N(V_L3_Mes)+1)=1,N(V_L3_Monto),0)*BS$9</f>
        <v>0</v>
      </c>
      <c r="BT287" s="34" t="n">
        <f aca="false">IF((67-N(V_L3_Mes)+1)=1,N(V_L3_Monto),0)*BT$9</f>
        <v>0</v>
      </c>
      <c r="BU287" s="34" t="n">
        <f aca="false">IF((68-N(V_L3_Mes)+1)=1,N(V_L3_Monto),0)*BU$9</f>
        <v>0</v>
      </c>
      <c r="BV287" s="34" t="n">
        <f aca="false">IF((69-N(V_L3_Mes)+1)=1,N(V_L3_Monto),0)*BV$9</f>
        <v>0</v>
      </c>
      <c r="BW287" s="34" t="n">
        <f aca="false">IF((70-N(V_L3_Mes)+1)=1,N(V_L3_Monto),0)*BW$9</f>
        <v>0</v>
      </c>
      <c r="BX287" s="34" t="n">
        <f aca="false">IF((71-N(V_L3_Mes)+1)=1,N(V_L3_Monto),0)*BX$9</f>
        <v>0</v>
      </c>
      <c r="BY287" s="34" t="n">
        <f aca="false">IF((72-N(V_L3_Mes)+1)=1,N(V_L3_Monto),0)*BY$9</f>
        <v>0</v>
      </c>
      <c r="BZ287" s="34" t="n">
        <f aca="false">IF((73-N(V_L3_Mes)+1)=1,N(V_L3_Monto),0)*BZ$9</f>
        <v>0</v>
      </c>
      <c r="CA287" s="34" t="n">
        <f aca="false">IF((74-N(V_L3_Mes)+1)=1,N(V_L3_Monto),0)*CA$9</f>
        <v>0</v>
      </c>
      <c r="CB287" s="34" t="n">
        <f aca="false">IF((75-N(V_L3_Mes)+1)=1,N(V_L3_Monto),0)*CB$9</f>
        <v>0</v>
      </c>
      <c r="CC287" s="34" t="n">
        <f aca="false">IF((76-N(V_L3_Mes)+1)=1,N(V_L3_Monto),0)*CC$9</f>
        <v>0</v>
      </c>
      <c r="CD287" s="34" t="n">
        <f aca="false">IF((77-N(V_L3_Mes)+1)=1,N(V_L3_Monto),0)*CD$9</f>
        <v>0</v>
      </c>
      <c r="CE287" s="34" t="n">
        <f aca="false">IF((78-N(V_L3_Mes)+1)=1,N(V_L3_Monto),0)*CE$9</f>
        <v>0</v>
      </c>
      <c r="CF287" s="34" t="n">
        <f aca="false">IF((79-N(V_L3_Mes)+1)=1,N(V_L3_Monto),0)*CF$9</f>
        <v>0</v>
      </c>
      <c r="CG287" s="34" t="n">
        <f aca="false">IF((80-N(V_L3_Mes)+1)=1,N(V_L3_Monto),0)*CG$9</f>
        <v>0</v>
      </c>
      <c r="CH287" s="34" t="n">
        <f aca="false">IF((81-N(V_L3_Mes)+1)=1,N(V_L3_Monto),0)*CH$9</f>
        <v>0</v>
      </c>
      <c r="CI287" s="34" t="n">
        <f aca="false">IF((82-N(V_L3_Mes)+1)=1,N(V_L3_Monto),0)*CI$9</f>
        <v>0</v>
      </c>
      <c r="CJ287" s="34" t="n">
        <f aca="false">IF((83-N(V_L3_Mes)+1)=1,N(V_L3_Monto),0)*CJ$9</f>
        <v>0</v>
      </c>
      <c r="CK287" s="34" t="n">
        <f aca="false">IF((84-N(V_L3_Mes)+1)=1,N(V_L3_Monto),0)*CK$9</f>
        <v>0</v>
      </c>
      <c r="CL287" s="34" t="n">
        <f aca="false">IF((85-N(V_L3_Mes)+1)=1,N(V_L3_Monto),0)*CL$9</f>
        <v>0</v>
      </c>
      <c r="CM287" s="34" t="n">
        <f aca="false">IF((86-N(V_L3_Mes)+1)=1,N(V_L3_Monto),0)*CM$9</f>
        <v>0</v>
      </c>
      <c r="CN287" s="34" t="n">
        <f aca="false">IF((87-N(V_L3_Mes)+1)=1,N(V_L3_Monto),0)*CN$9</f>
        <v>0</v>
      </c>
      <c r="CO287" s="34" t="n">
        <f aca="false">IF((88-N(V_L3_Mes)+1)=1,N(V_L3_Monto),0)*CO$9</f>
        <v>0</v>
      </c>
      <c r="CP287" s="34" t="n">
        <f aca="false">IF((89-N(V_L3_Mes)+1)=1,N(V_L3_Monto),0)*CP$9</f>
        <v>0</v>
      </c>
      <c r="CQ287" s="34" t="n">
        <f aca="false">IF((90-N(V_L3_Mes)+1)=1,N(V_L3_Monto),0)*CQ$9</f>
        <v>0</v>
      </c>
      <c r="CR287" s="34" t="n">
        <f aca="false">IF((91-N(V_L3_Mes)+1)=1,N(V_L3_Monto),0)*CR$9</f>
        <v>0</v>
      </c>
      <c r="CS287" s="34" t="n">
        <f aca="false">IF((92-N(V_L3_Mes)+1)=1,N(V_L3_Monto),0)*CS$9</f>
        <v>0</v>
      </c>
      <c r="CT287" s="34" t="n">
        <f aca="false">IF((93-N(V_L3_Mes)+1)=1,N(V_L3_Monto),0)*CT$9</f>
        <v>0</v>
      </c>
      <c r="CU287" s="34" t="n">
        <f aca="false">IF((94-N(V_L3_Mes)+1)=1,N(V_L3_Monto),0)*CU$9</f>
        <v>0</v>
      </c>
      <c r="CV287" s="34" t="n">
        <f aca="false">IF((95-N(V_L3_Mes)+1)=1,N(V_L3_Monto),0)*CV$9</f>
        <v>0</v>
      </c>
      <c r="CW287" s="34" t="n">
        <f aca="false">IF((96-N(V_L3_Mes)+1)=1,N(V_L3_Monto),0)*CW$9</f>
        <v>0</v>
      </c>
      <c r="CX287" s="34" t="n">
        <f aca="false">IF((97-N(V_L3_Mes)+1)=1,N(V_L3_Monto),0)*CX$9</f>
        <v>0</v>
      </c>
      <c r="CY287" s="34" t="n">
        <f aca="false">IF((98-N(V_L3_Mes)+1)=1,N(V_L3_Monto),0)*CY$9</f>
        <v>0</v>
      </c>
      <c r="CZ287" s="34" t="n">
        <f aca="false">IF((99-N(V_L3_Mes)+1)=1,N(V_L3_Monto),0)*CZ$9</f>
        <v>0</v>
      </c>
      <c r="DA287" s="34" t="n">
        <f aca="false">IF((100-N(V_L3_Mes)+1)=1,N(V_L3_Monto),0)*DA$9</f>
        <v>0</v>
      </c>
      <c r="DB287" s="34" t="n">
        <f aca="false">IF((101-N(V_L3_Mes)+1)=1,N(V_L3_Monto),0)*DB$9</f>
        <v>0</v>
      </c>
      <c r="DC287" s="34" t="n">
        <f aca="false">IF((102-N(V_L3_Mes)+1)=1,N(V_L3_Monto),0)*DC$9</f>
        <v>0</v>
      </c>
      <c r="DD287" s="34" t="n">
        <f aca="false">IF((103-N(V_L3_Mes)+1)=1,N(V_L3_Monto),0)*DD$9</f>
        <v>0</v>
      </c>
      <c r="DE287" s="34" t="n">
        <f aca="false">IF((104-N(V_L3_Mes)+1)=1,N(V_L3_Monto),0)*DE$9</f>
        <v>0</v>
      </c>
      <c r="DF287" s="34" t="n">
        <f aca="false">IF((105-N(V_L3_Mes)+1)=1,N(V_L3_Monto),0)*DF$9</f>
        <v>0</v>
      </c>
      <c r="DG287" s="34" t="n">
        <f aca="false">IF((106-N(V_L3_Mes)+1)=1,N(V_L3_Monto),0)*DG$9</f>
        <v>0</v>
      </c>
      <c r="DH287" s="34" t="n">
        <f aca="false">IF((107-N(V_L3_Mes)+1)=1,N(V_L3_Monto),0)*DH$9</f>
        <v>0</v>
      </c>
      <c r="DI287" s="34" t="n">
        <f aca="false">IF((108-N(V_L3_Mes)+1)=1,N(V_L3_Monto),0)*DI$9</f>
        <v>0</v>
      </c>
      <c r="DJ287" s="34" t="n">
        <f aca="false">IF((109-N(V_L3_Mes)+1)=1,N(V_L3_Monto),0)*DJ$9</f>
        <v>0</v>
      </c>
      <c r="DK287" s="34" t="n">
        <f aca="false">IF((110-N(V_L3_Mes)+1)=1,N(V_L3_Monto),0)*DK$9</f>
        <v>0</v>
      </c>
      <c r="DL287" s="34" t="n">
        <f aca="false">IF((111-N(V_L3_Mes)+1)=1,N(V_L3_Monto),0)*DL$9</f>
        <v>0</v>
      </c>
      <c r="DM287" s="34" t="n">
        <f aca="false">IF((112-N(V_L3_Mes)+1)=1,N(V_L3_Monto),0)*DM$9</f>
        <v>0</v>
      </c>
      <c r="DN287" s="34" t="n">
        <f aca="false">IF((113-N(V_L3_Mes)+1)=1,N(V_L3_Monto),0)*DN$9</f>
        <v>0</v>
      </c>
      <c r="DO287" s="34" t="n">
        <f aca="false">IF((114-N(V_L3_Mes)+1)=1,N(V_L3_Monto),0)*DO$9</f>
        <v>0</v>
      </c>
      <c r="DP287" s="34" t="n">
        <f aca="false">IF((115-N(V_L3_Mes)+1)=1,N(V_L3_Monto),0)*DP$9</f>
        <v>0</v>
      </c>
      <c r="DQ287" s="34" t="n">
        <f aca="false">IF((116-N(V_L3_Mes)+1)=1,N(V_L3_Monto),0)*DQ$9</f>
        <v>0</v>
      </c>
      <c r="DR287" s="34" t="n">
        <f aca="false">IF((117-N(V_L3_Mes)+1)=1,N(V_L3_Monto),0)*DR$9</f>
        <v>0</v>
      </c>
      <c r="DS287" s="34" t="n">
        <f aca="false">IF((118-N(V_L3_Mes)+1)=1,N(V_L3_Monto),0)*DS$9</f>
        <v>0</v>
      </c>
      <c r="DT287" s="34" t="n">
        <f aca="false">IF((119-N(V_L3_Mes)+1)=1,N(V_L3_Monto),0)*DT$9</f>
        <v>0</v>
      </c>
      <c r="DU287" s="34" t="n">
        <f aca="false">IF((120-N(V_L3_Mes)+1)=1,N(V_L3_Monto),0)*DU$9</f>
        <v>0</v>
      </c>
      <c r="DV287" s="34" t="n">
        <f aca="false">IF((121-N(V_L3_Mes)+1)=1,N(V_L3_Monto),0)*DV$9</f>
        <v>0</v>
      </c>
      <c r="DW287" s="34" t="n">
        <f aca="false">IF((122-N(V_L3_Mes)+1)=1,N(V_L3_Monto),0)*DW$9</f>
        <v>0</v>
      </c>
      <c r="DX287" s="34" t="n">
        <f aca="false">IF((123-N(V_L3_Mes)+1)=1,N(V_L3_Monto),0)*DX$9</f>
        <v>0</v>
      </c>
      <c r="DY287" s="34" t="n">
        <f aca="false">IF((124-N(V_L3_Mes)+1)=1,N(V_L3_Monto),0)*DY$9</f>
        <v>0</v>
      </c>
      <c r="DZ287" s="34" t="n">
        <f aca="false">IF((125-N(V_L3_Mes)+1)=1,N(V_L3_Monto),0)*DZ$9</f>
        <v>0</v>
      </c>
      <c r="EA287" s="34" t="n">
        <f aca="false">IF((126-N(V_L3_Mes)+1)=1,N(V_L3_Monto),0)*EA$9</f>
        <v>0</v>
      </c>
      <c r="EB287" s="34" t="n">
        <f aca="false">IF((127-N(V_L3_Mes)+1)=1,N(V_L3_Monto),0)*EB$9</f>
        <v>0</v>
      </c>
      <c r="EC287" s="34" t="n">
        <f aca="false">IF((128-N(V_L3_Mes)+1)=1,N(V_L3_Monto),0)*EC$9</f>
        <v>0</v>
      </c>
      <c r="ED287" s="34" t="n">
        <f aca="false">IF((129-N(V_L3_Mes)+1)=1,N(V_L3_Monto),0)*ED$9</f>
        <v>0</v>
      </c>
      <c r="EE287" s="34" t="n">
        <f aca="false">IF((130-N(V_L3_Mes)+1)=1,N(V_L3_Monto),0)*EE$9</f>
        <v>0</v>
      </c>
      <c r="EF287" s="34" t="n">
        <f aca="false">IF((131-N(V_L3_Mes)+1)=1,N(V_L3_Monto),0)*EF$9</f>
        <v>0</v>
      </c>
      <c r="EG287" s="34" t="n">
        <f aca="false">IF((132-N(V_L3_Mes)+1)=1,N(V_L3_Monto),0)*EG$9</f>
        <v>0</v>
      </c>
      <c r="EH287" s="34" t="n">
        <f aca="false">IF((133-N(V_L3_Mes)+1)=1,N(V_L3_Monto),0)*EH$9</f>
        <v>0</v>
      </c>
      <c r="EI287" s="34" t="n">
        <f aca="false">IF((134-N(V_L3_Mes)+1)=1,N(V_L3_Monto),0)*EI$9</f>
        <v>0</v>
      </c>
      <c r="EJ287" s="34" t="n">
        <f aca="false">IF((135-N(V_L3_Mes)+1)=1,N(V_L3_Monto),0)*EJ$9</f>
        <v>0</v>
      </c>
      <c r="EK287" s="34" t="n">
        <f aca="false">IF((136-N(V_L3_Mes)+1)=1,N(V_L3_Monto),0)*EK$9</f>
        <v>0</v>
      </c>
      <c r="EL287" s="34" t="n">
        <f aca="false">IF((137-N(V_L3_Mes)+1)=1,N(V_L3_Monto),0)*EL$9</f>
        <v>0</v>
      </c>
      <c r="EM287" s="34" t="n">
        <f aca="false">IF((138-N(V_L3_Mes)+1)=1,N(V_L3_Monto),0)*EM$9</f>
        <v>0</v>
      </c>
      <c r="EN287" s="34" t="n">
        <f aca="false">IF((139-N(V_L3_Mes)+1)=1,N(V_L3_Monto),0)*EN$9</f>
        <v>0</v>
      </c>
      <c r="EO287" s="34" t="n">
        <f aca="false">IF((140-N(V_L3_Mes)+1)=1,N(V_L3_Monto),0)*EO$9</f>
        <v>0</v>
      </c>
      <c r="EP287" s="34" t="n">
        <f aca="false">IF((141-N(V_L3_Mes)+1)=1,N(V_L3_Monto),0)*EP$9</f>
        <v>0</v>
      </c>
      <c r="EQ287" s="34" t="n">
        <f aca="false">IF((142-N(V_L3_Mes)+1)=1,N(V_L3_Monto),0)*EQ$9</f>
        <v>0</v>
      </c>
      <c r="ER287" s="34" t="n">
        <f aca="false">IF((143-N(V_L3_Mes)+1)=1,N(V_L3_Monto),0)*ER$9</f>
        <v>0</v>
      </c>
      <c r="ES287" s="34" t="n">
        <f aca="false">IF((144-N(V_L3_Mes)+1)=1,N(V_L3_Monto),0)*ES$9</f>
        <v>0</v>
      </c>
    </row>
    <row r="288" customFormat="false" ht="15" hidden="false" customHeight="false" outlineLevel="0" collapsed="false">
      <c r="A288" s="2" t="s">
        <v>925</v>
      </c>
      <c r="B288" s="6" t="s">
        <v>748</v>
      </c>
      <c r="C288" s="6" t="s">
        <v>250</v>
      </c>
      <c r="E288" s="40" t="n">
        <f aca="false">SUM(F288:ES288)</f>
        <v>0</v>
      </c>
      <c r="F288" s="34" t="n">
        <f aca="false">IF((1-N(V_L3_Mes)+1)&gt;=1,IF((1-N(V_L3_Mes)+1)=1,N(V_L3_Monto),0)*N(V_L3_Tasa)/12,0)*F$9</f>
        <v>0</v>
      </c>
      <c r="G288" s="34" t="n">
        <f aca="false">IF((2-N(V_L3_Mes)+1)&gt;=1,IF((2-N(V_L3_Mes)+1)=1,N(V_L3_Monto),F$290)*N(V_L3_Tasa)/12,0)*G$9</f>
        <v>0</v>
      </c>
      <c r="H288" s="34" t="n">
        <f aca="false">IF((3-N(V_L3_Mes)+1)&gt;=1,IF((3-N(V_L3_Mes)+1)=1,N(V_L3_Monto),G$290)*N(V_L3_Tasa)/12,0)*H$9</f>
        <v>0</v>
      </c>
      <c r="I288" s="34" t="n">
        <f aca="false">IF((4-N(V_L3_Mes)+1)&gt;=1,IF((4-N(V_L3_Mes)+1)=1,N(V_L3_Monto),H$290)*N(V_L3_Tasa)/12,0)*I$9</f>
        <v>0</v>
      </c>
      <c r="J288" s="34" t="n">
        <f aca="false">IF((5-N(V_L3_Mes)+1)&gt;=1,IF((5-N(V_L3_Mes)+1)=1,N(V_L3_Monto),I$290)*N(V_L3_Tasa)/12,0)*J$9</f>
        <v>0</v>
      </c>
      <c r="K288" s="34" t="n">
        <f aca="false">IF((6-N(V_L3_Mes)+1)&gt;=1,IF((6-N(V_L3_Mes)+1)=1,N(V_L3_Monto),J$290)*N(V_L3_Tasa)/12,0)*K$9</f>
        <v>0</v>
      </c>
      <c r="L288" s="34" t="n">
        <f aca="false">IF((7-N(V_L3_Mes)+1)&gt;=1,IF((7-N(V_L3_Mes)+1)=1,N(V_L3_Monto),K$290)*N(V_L3_Tasa)/12,0)*L$9</f>
        <v>0</v>
      </c>
      <c r="M288" s="34" t="n">
        <f aca="false">IF((8-N(V_L3_Mes)+1)&gt;=1,IF((8-N(V_L3_Mes)+1)=1,N(V_L3_Monto),L$290)*N(V_L3_Tasa)/12,0)*M$9</f>
        <v>0</v>
      </c>
      <c r="N288" s="34" t="n">
        <f aca="false">IF((9-N(V_L3_Mes)+1)&gt;=1,IF((9-N(V_L3_Mes)+1)=1,N(V_L3_Monto),M$290)*N(V_L3_Tasa)/12,0)*N$9</f>
        <v>0</v>
      </c>
      <c r="O288" s="34" t="n">
        <f aca="false">IF((10-N(V_L3_Mes)+1)&gt;=1,IF((10-N(V_L3_Mes)+1)=1,N(V_L3_Monto),N$290)*N(V_L3_Tasa)/12,0)*O$9</f>
        <v>0</v>
      </c>
      <c r="P288" s="34" t="n">
        <f aca="false">IF((11-N(V_L3_Mes)+1)&gt;=1,IF((11-N(V_L3_Mes)+1)=1,N(V_L3_Monto),O$290)*N(V_L3_Tasa)/12,0)*P$9</f>
        <v>0</v>
      </c>
      <c r="Q288" s="34" t="n">
        <f aca="false">IF((12-N(V_L3_Mes)+1)&gt;=1,IF((12-N(V_L3_Mes)+1)=1,N(V_L3_Monto),P$290)*N(V_L3_Tasa)/12,0)*Q$9</f>
        <v>0</v>
      </c>
      <c r="R288" s="34" t="n">
        <f aca="false">IF((13-N(V_L3_Mes)+1)&gt;=1,IF((13-N(V_L3_Mes)+1)=1,N(V_L3_Monto),Q$290)*N(V_L3_Tasa)/12,0)*R$9</f>
        <v>0</v>
      </c>
      <c r="S288" s="34" t="n">
        <f aca="false">IF((14-N(V_L3_Mes)+1)&gt;=1,IF((14-N(V_L3_Mes)+1)=1,N(V_L3_Monto),R$290)*N(V_L3_Tasa)/12,0)*S$9</f>
        <v>0</v>
      </c>
      <c r="T288" s="34" t="n">
        <f aca="false">IF((15-N(V_L3_Mes)+1)&gt;=1,IF((15-N(V_L3_Mes)+1)=1,N(V_L3_Monto),S$290)*N(V_L3_Tasa)/12,0)*T$9</f>
        <v>0</v>
      </c>
      <c r="U288" s="34" t="n">
        <f aca="false">IF((16-N(V_L3_Mes)+1)&gt;=1,IF((16-N(V_L3_Mes)+1)=1,N(V_L3_Monto),T$290)*N(V_L3_Tasa)/12,0)*U$9</f>
        <v>0</v>
      </c>
      <c r="V288" s="34" t="n">
        <f aca="false">IF((17-N(V_L3_Mes)+1)&gt;=1,IF((17-N(V_L3_Mes)+1)=1,N(V_L3_Monto),U$290)*N(V_L3_Tasa)/12,0)*V$9</f>
        <v>0</v>
      </c>
      <c r="W288" s="34" t="n">
        <f aca="false">IF((18-N(V_L3_Mes)+1)&gt;=1,IF((18-N(V_L3_Mes)+1)=1,N(V_L3_Monto),V$290)*N(V_L3_Tasa)/12,0)*W$9</f>
        <v>0</v>
      </c>
      <c r="X288" s="34" t="n">
        <f aca="false">IF((19-N(V_L3_Mes)+1)&gt;=1,IF((19-N(V_L3_Mes)+1)=1,N(V_L3_Monto),W$290)*N(V_L3_Tasa)/12,0)*X$9</f>
        <v>0</v>
      </c>
      <c r="Y288" s="34" t="n">
        <f aca="false">IF((20-N(V_L3_Mes)+1)&gt;=1,IF((20-N(V_L3_Mes)+1)=1,N(V_L3_Monto),X$290)*N(V_L3_Tasa)/12,0)*Y$9</f>
        <v>0</v>
      </c>
      <c r="Z288" s="34" t="n">
        <f aca="false">IF((21-N(V_L3_Mes)+1)&gt;=1,IF((21-N(V_L3_Mes)+1)=1,N(V_L3_Monto),Y$290)*N(V_L3_Tasa)/12,0)*Z$9</f>
        <v>0</v>
      </c>
      <c r="AA288" s="34" t="n">
        <f aca="false">IF((22-N(V_L3_Mes)+1)&gt;=1,IF((22-N(V_L3_Mes)+1)=1,N(V_L3_Monto),Z$290)*N(V_L3_Tasa)/12,0)*AA$9</f>
        <v>0</v>
      </c>
      <c r="AB288" s="34" t="n">
        <f aca="false">IF((23-N(V_L3_Mes)+1)&gt;=1,IF((23-N(V_L3_Mes)+1)=1,N(V_L3_Monto),AA$290)*N(V_L3_Tasa)/12,0)*AB$9</f>
        <v>0</v>
      </c>
      <c r="AC288" s="34" t="n">
        <f aca="false">IF((24-N(V_L3_Mes)+1)&gt;=1,IF((24-N(V_L3_Mes)+1)=1,N(V_L3_Monto),AB$290)*N(V_L3_Tasa)/12,0)*AC$9</f>
        <v>0</v>
      </c>
      <c r="AD288" s="34" t="n">
        <f aca="false">IF((25-N(V_L3_Mes)+1)&gt;=1,IF((25-N(V_L3_Mes)+1)=1,N(V_L3_Monto),AC$290)*N(V_L3_Tasa)/12,0)*AD$9</f>
        <v>0</v>
      </c>
      <c r="AE288" s="34" t="n">
        <f aca="false">IF((26-N(V_L3_Mes)+1)&gt;=1,IF((26-N(V_L3_Mes)+1)=1,N(V_L3_Monto),AD$290)*N(V_L3_Tasa)/12,0)*AE$9</f>
        <v>0</v>
      </c>
      <c r="AF288" s="34" t="n">
        <f aca="false">IF((27-N(V_L3_Mes)+1)&gt;=1,IF((27-N(V_L3_Mes)+1)=1,N(V_L3_Monto),AE$290)*N(V_L3_Tasa)/12,0)*AF$9</f>
        <v>0</v>
      </c>
      <c r="AG288" s="34" t="n">
        <f aca="false">IF((28-N(V_L3_Mes)+1)&gt;=1,IF((28-N(V_L3_Mes)+1)=1,N(V_L3_Monto),AF$290)*N(V_L3_Tasa)/12,0)*AG$9</f>
        <v>0</v>
      </c>
      <c r="AH288" s="34" t="n">
        <f aca="false">IF((29-N(V_L3_Mes)+1)&gt;=1,IF((29-N(V_L3_Mes)+1)=1,N(V_L3_Monto),AG$290)*N(V_L3_Tasa)/12,0)*AH$9</f>
        <v>0</v>
      </c>
      <c r="AI288" s="34" t="n">
        <f aca="false">IF((30-N(V_L3_Mes)+1)&gt;=1,IF((30-N(V_L3_Mes)+1)=1,N(V_L3_Monto),AH$290)*N(V_L3_Tasa)/12,0)*AI$9</f>
        <v>0</v>
      </c>
      <c r="AJ288" s="34" t="n">
        <f aca="false">IF((31-N(V_L3_Mes)+1)&gt;=1,IF((31-N(V_L3_Mes)+1)=1,N(V_L3_Monto),AI$290)*N(V_L3_Tasa)/12,0)*AJ$9</f>
        <v>0</v>
      </c>
      <c r="AK288" s="34" t="n">
        <f aca="false">IF((32-N(V_L3_Mes)+1)&gt;=1,IF((32-N(V_L3_Mes)+1)=1,N(V_L3_Monto),AJ$290)*N(V_L3_Tasa)/12,0)*AK$9</f>
        <v>0</v>
      </c>
      <c r="AL288" s="34" t="n">
        <f aca="false">IF((33-N(V_L3_Mes)+1)&gt;=1,IF((33-N(V_L3_Mes)+1)=1,N(V_L3_Monto),AK$290)*N(V_L3_Tasa)/12,0)*AL$9</f>
        <v>0</v>
      </c>
      <c r="AM288" s="34" t="n">
        <f aca="false">IF((34-N(V_L3_Mes)+1)&gt;=1,IF((34-N(V_L3_Mes)+1)=1,N(V_L3_Monto),AL$290)*N(V_L3_Tasa)/12,0)*AM$9</f>
        <v>0</v>
      </c>
      <c r="AN288" s="34" t="n">
        <f aca="false">IF((35-N(V_L3_Mes)+1)&gt;=1,IF((35-N(V_L3_Mes)+1)=1,N(V_L3_Monto),AM$290)*N(V_L3_Tasa)/12,0)*AN$9</f>
        <v>0</v>
      </c>
      <c r="AO288" s="34" t="n">
        <f aca="false">IF((36-N(V_L3_Mes)+1)&gt;=1,IF((36-N(V_L3_Mes)+1)=1,N(V_L3_Monto),AN$290)*N(V_L3_Tasa)/12,0)*AO$9</f>
        <v>0</v>
      </c>
      <c r="AP288" s="34" t="n">
        <f aca="false">IF((37-N(V_L3_Mes)+1)&gt;=1,IF((37-N(V_L3_Mes)+1)=1,N(V_L3_Monto),AO$290)*N(V_L3_Tasa)/12,0)*AP$9</f>
        <v>0</v>
      </c>
      <c r="AQ288" s="34" t="n">
        <f aca="false">IF((38-N(V_L3_Mes)+1)&gt;=1,IF((38-N(V_L3_Mes)+1)=1,N(V_L3_Monto),AP$290)*N(V_L3_Tasa)/12,0)*AQ$9</f>
        <v>0</v>
      </c>
      <c r="AR288" s="34" t="n">
        <f aca="false">IF((39-N(V_L3_Mes)+1)&gt;=1,IF((39-N(V_L3_Mes)+1)=1,N(V_L3_Monto),AQ$290)*N(V_L3_Tasa)/12,0)*AR$9</f>
        <v>0</v>
      </c>
      <c r="AS288" s="34" t="n">
        <f aca="false">IF((40-N(V_L3_Mes)+1)&gt;=1,IF((40-N(V_L3_Mes)+1)=1,N(V_L3_Monto),AR$290)*N(V_L3_Tasa)/12,0)*AS$9</f>
        <v>0</v>
      </c>
      <c r="AT288" s="34" t="n">
        <f aca="false">IF((41-N(V_L3_Mes)+1)&gt;=1,IF((41-N(V_L3_Mes)+1)=1,N(V_L3_Monto),AS$290)*N(V_L3_Tasa)/12,0)*AT$9</f>
        <v>0</v>
      </c>
      <c r="AU288" s="34" t="n">
        <f aca="false">IF((42-N(V_L3_Mes)+1)&gt;=1,IF((42-N(V_L3_Mes)+1)=1,N(V_L3_Monto),AT$290)*N(V_L3_Tasa)/12,0)*AU$9</f>
        <v>0</v>
      </c>
      <c r="AV288" s="34" t="n">
        <f aca="false">IF((43-N(V_L3_Mes)+1)&gt;=1,IF((43-N(V_L3_Mes)+1)=1,N(V_L3_Monto),AU$290)*N(V_L3_Tasa)/12,0)*AV$9</f>
        <v>0</v>
      </c>
      <c r="AW288" s="34" t="n">
        <f aca="false">IF((44-N(V_L3_Mes)+1)&gt;=1,IF((44-N(V_L3_Mes)+1)=1,N(V_L3_Monto),AV$290)*N(V_L3_Tasa)/12,0)*AW$9</f>
        <v>0</v>
      </c>
      <c r="AX288" s="34" t="n">
        <f aca="false">IF((45-N(V_L3_Mes)+1)&gt;=1,IF((45-N(V_L3_Mes)+1)=1,N(V_L3_Monto),AW$290)*N(V_L3_Tasa)/12,0)*AX$9</f>
        <v>0</v>
      </c>
      <c r="AY288" s="34" t="n">
        <f aca="false">IF((46-N(V_L3_Mes)+1)&gt;=1,IF((46-N(V_L3_Mes)+1)=1,N(V_L3_Monto),AX$290)*N(V_L3_Tasa)/12,0)*AY$9</f>
        <v>0</v>
      </c>
      <c r="AZ288" s="34" t="n">
        <f aca="false">IF((47-N(V_L3_Mes)+1)&gt;=1,IF((47-N(V_L3_Mes)+1)=1,N(V_L3_Monto),AY$290)*N(V_L3_Tasa)/12,0)*AZ$9</f>
        <v>0</v>
      </c>
      <c r="BA288" s="34" t="n">
        <f aca="false">IF((48-N(V_L3_Mes)+1)&gt;=1,IF((48-N(V_L3_Mes)+1)=1,N(V_L3_Monto),AZ$290)*N(V_L3_Tasa)/12,0)*BA$9</f>
        <v>0</v>
      </c>
      <c r="BB288" s="34" t="n">
        <f aca="false">IF((49-N(V_L3_Mes)+1)&gt;=1,IF((49-N(V_L3_Mes)+1)=1,N(V_L3_Monto),BA$290)*N(V_L3_Tasa)/12,0)*BB$9</f>
        <v>0</v>
      </c>
      <c r="BC288" s="34" t="n">
        <f aca="false">IF((50-N(V_L3_Mes)+1)&gt;=1,IF((50-N(V_L3_Mes)+1)=1,N(V_L3_Monto),BB$290)*N(V_L3_Tasa)/12,0)*BC$9</f>
        <v>0</v>
      </c>
      <c r="BD288" s="34" t="n">
        <f aca="false">IF((51-N(V_L3_Mes)+1)&gt;=1,IF((51-N(V_L3_Mes)+1)=1,N(V_L3_Monto),BC$290)*N(V_L3_Tasa)/12,0)*BD$9</f>
        <v>0</v>
      </c>
      <c r="BE288" s="34" t="n">
        <f aca="false">IF((52-N(V_L3_Mes)+1)&gt;=1,IF((52-N(V_L3_Mes)+1)=1,N(V_L3_Monto),BD$290)*N(V_L3_Tasa)/12,0)*BE$9</f>
        <v>0</v>
      </c>
      <c r="BF288" s="34" t="n">
        <f aca="false">IF((53-N(V_L3_Mes)+1)&gt;=1,IF((53-N(V_L3_Mes)+1)=1,N(V_L3_Monto),BE$290)*N(V_L3_Tasa)/12,0)*BF$9</f>
        <v>0</v>
      </c>
      <c r="BG288" s="34" t="n">
        <f aca="false">IF((54-N(V_L3_Mes)+1)&gt;=1,IF((54-N(V_L3_Mes)+1)=1,N(V_L3_Monto),BF$290)*N(V_L3_Tasa)/12,0)*BG$9</f>
        <v>0</v>
      </c>
      <c r="BH288" s="34" t="n">
        <f aca="false">IF((55-N(V_L3_Mes)+1)&gt;=1,IF((55-N(V_L3_Mes)+1)=1,N(V_L3_Monto),BG$290)*N(V_L3_Tasa)/12,0)*BH$9</f>
        <v>0</v>
      </c>
      <c r="BI288" s="34" t="n">
        <f aca="false">IF((56-N(V_L3_Mes)+1)&gt;=1,IF((56-N(V_L3_Mes)+1)=1,N(V_L3_Monto),BH$290)*N(V_L3_Tasa)/12,0)*BI$9</f>
        <v>0</v>
      </c>
      <c r="BJ288" s="34" t="n">
        <f aca="false">IF((57-N(V_L3_Mes)+1)&gt;=1,IF((57-N(V_L3_Mes)+1)=1,N(V_L3_Monto),BI$290)*N(V_L3_Tasa)/12,0)*BJ$9</f>
        <v>0</v>
      </c>
      <c r="BK288" s="34" t="n">
        <f aca="false">IF((58-N(V_L3_Mes)+1)&gt;=1,IF((58-N(V_L3_Mes)+1)=1,N(V_L3_Monto),BJ$290)*N(V_L3_Tasa)/12,0)*BK$9</f>
        <v>0</v>
      </c>
      <c r="BL288" s="34" t="n">
        <f aca="false">IF((59-N(V_L3_Mes)+1)&gt;=1,IF((59-N(V_L3_Mes)+1)=1,N(V_L3_Monto),BK$290)*N(V_L3_Tasa)/12,0)*BL$9</f>
        <v>0</v>
      </c>
      <c r="BM288" s="34" t="n">
        <f aca="false">IF((60-N(V_L3_Mes)+1)&gt;=1,IF((60-N(V_L3_Mes)+1)=1,N(V_L3_Monto),BL$290)*N(V_L3_Tasa)/12,0)*BM$9</f>
        <v>0</v>
      </c>
      <c r="BN288" s="34" t="n">
        <f aca="false">IF((61-N(V_L3_Mes)+1)&gt;=1,IF((61-N(V_L3_Mes)+1)=1,N(V_L3_Monto),BM$290)*N(V_L3_Tasa)/12,0)*BN$9</f>
        <v>0</v>
      </c>
      <c r="BO288" s="34" t="n">
        <f aca="false">IF((62-N(V_L3_Mes)+1)&gt;=1,IF((62-N(V_L3_Mes)+1)=1,N(V_L3_Monto),BN$290)*N(V_L3_Tasa)/12,0)*BO$9</f>
        <v>0</v>
      </c>
      <c r="BP288" s="34" t="n">
        <f aca="false">IF((63-N(V_L3_Mes)+1)&gt;=1,IF((63-N(V_L3_Mes)+1)=1,N(V_L3_Monto),BO$290)*N(V_L3_Tasa)/12,0)*BP$9</f>
        <v>0</v>
      </c>
      <c r="BQ288" s="34" t="n">
        <f aca="false">IF((64-N(V_L3_Mes)+1)&gt;=1,IF((64-N(V_L3_Mes)+1)=1,N(V_L3_Monto),BP$290)*N(V_L3_Tasa)/12,0)*BQ$9</f>
        <v>0</v>
      </c>
      <c r="BR288" s="34" t="n">
        <f aca="false">IF((65-N(V_L3_Mes)+1)&gt;=1,IF((65-N(V_L3_Mes)+1)=1,N(V_L3_Monto),BQ$290)*N(V_L3_Tasa)/12,0)*BR$9</f>
        <v>0</v>
      </c>
      <c r="BS288" s="34" t="n">
        <f aca="false">IF((66-N(V_L3_Mes)+1)&gt;=1,IF((66-N(V_L3_Mes)+1)=1,N(V_L3_Monto),BR$290)*N(V_L3_Tasa)/12,0)*BS$9</f>
        <v>0</v>
      </c>
      <c r="BT288" s="34" t="n">
        <f aca="false">IF((67-N(V_L3_Mes)+1)&gt;=1,IF((67-N(V_L3_Mes)+1)=1,N(V_L3_Monto),BS$290)*N(V_L3_Tasa)/12,0)*BT$9</f>
        <v>0</v>
      </c>
      <c r="BU288" s="34" t="n">
        <f aca="false">IF((68-N(V_L3_Mes)+1)&gt;=1,IF((68-N(V_L3_Mes)+1)=1,N(V_L3_Monto),BT$290)*N(V_L3_Tasa)/12,0)*BU$9</f>
        <v>0</v>
      </c>
      <c r="BV288" s="34" t="n">
        <f aca="false">IF((69-N(V_L3_Mes)+1)&gt;=1,IF((69-N(V_L3_Mes)+1)=1,N(V_L3_Monto),BU$290)*N(V_L3_Tasa)/12,0)*BV$9</f>
        <v>0</v>
      </c>
      <c r="BW288" s="34" t="n">
        <f aca="false">IF((70-N(V_L3_Mes)+1)&gt;=1,IF((70-N(V_L3_Mes)+1)=1,N(V_L3_Monto),BV$290)*N(V_L3_Tasa)/12,0)*BW$9</f>
        <v>0</v>
      </c>
      <c r="BX288" s="34" t="n">
        <f aca="false">IF((71-N(V_L3_Mes)+1)&gt;=1,IF((71-N(V_L3_Mes)+1)=1,N(V_L3_Monto),BW$290)*N(V_L3_Tasa)/12,0)*BX$9</f>
        <v>0</v>
      </c>
      <c r="BY288" s="34" t="n">
        <f aca="false">IF((72-N(V_L3_Mes)+1)&gt;=1,IF((72-N(V_L3_Mes)+1)=1,N(V_L3_Monto),BX$290)*N(V_L3_Tasa)/12,0)*BY$9</f>
        <v>0</v>
      </c>
      <c r="BZ288" s="34" t="n">
        <f aca="false">IF((73-N(V_L3_Mes)+1)&gt;=1,IF((73-N(V_L3_Mes)+1)=1,N(V_L3_Monto),BY$290)*N(V_L3_Tasa)/12,0)*BZ$9</f>
        <v>0</v>
      </c>
      <c r="CA288" s="34" t="n">
        <f aca="false">IF((74-N(V_L3_Mes)+1)&gt;=1,IF((74-N(V_L3_Mes)+1)=1,N(V_L3_Monto),BZ$290)*N(V_L3_Tasa)/12,0)*CA$9</f>
        <v>0</v>
      </c>
      <c r="CB288" s="34" t="n">
        <f aca="false">IF((75-N(V_L3_Mes)+1)&gt;=1,IF((75-N(V_L3_Mes)+1)=1,N(V_L3_Monto),CA$290)*N(V_L3_Tasa)/12,0)*CB$9</f>
        <v>0</v>
      </c>
      <c r="CC288" s="34" t="n">
        <f aca="false">IF((76-N(V_L3_Mes)+1)&gt;=1,IF((76-N(V_L3_Mes)+1)=1,N(V_L3_Monto),CB$290)*N(V_L3_Tasa)/12,0)*CC$9</f>
        <v>0</v>
      </c>
      <c r="CD288" s="34" t="n">
        <f aca="false">IF((77-N(V_L3_Mes)+1)&gt;=1,IF((77-N(V_L3_Mes)+1)=1,N(V_L3_Monto),CC$290)*N(V_L3_Tasa)/12,0)*CD$9</f>
        <v>0</v>
      </c>
      <c r="CE288" s="34" t="n">
        <f aca="false">IF((78-N(V_L3_Mes)+1)&gt;=1,IF((78-N(V_L3_Mes)+1)=1,N(V_L3_Monto),CD$290)*N(V_L3_Tasa)/12,0)*CE$9</f>
        <v>0</v>
      </c>
      <c r="CF288" s="34" t="n">
        <f aca="false">IF((79-N(V_L3_Mes)+1)&gt;=1,IF((79-N(V_L3_Mes)+1)=1,N(V_L3_Monto),CE$290)*N(V_L3_Tasa)/12,0)*CF$9</f>
        <v>0</v>
      </c>
      <c r="CG288" s="34" t="n">
        <f aca="false">IF((80-N(V_L3_Mes)+1)&gt;=1,IF((80-N(V_L3_Mes)+1)=1,N(V_L3_Monto),CF$290)*N(V_L3_Tasa)/12,0)*CG$9</f>
        <v>0</v>
      </c>
      <c r="CH288" s="34" t="n">
        <f aca="false">IF((81-N(V_L3_Mes)+1)&gt;=1,IF((81-N(V_L3_Mes)+1)=1,N(V_L3_Monto),CG$290)*N(V_L3_Tasa)/12,0)*CH$9</f>
        <v>0</v>
      </c>
      <c r="CI288" s="34" t="n">
        <f aca="false">IF((82-N(V_L3_Mes)+1)&gt;=1,IF((82-N(V_L3_Mes)+1)=1,N(V_L3_Monto),CH$290)*N(V_L3_Tasa)/12,0)*CI$9</f>
        <v>0</v>
      </c>
      <c r="CJ288" s="34" t="n">
        <f aca="false">IF((83-N(V_L3_Mes)+1)&gt;=1,IF((83-N(V_L3_Mes)+1)=1,N(V_L3_Monto),CI$290)*N(V_L3_Tasa)/12,0)*CJ$9</f>
        <v>0</v>
      </c>
      <c r="CK288" s="34" t="n">
        <f aca="false">IF((84-N(V_L3_Mes)+1)&gt;=1,IF((84-N(V_L3_Mes)+1)=1,N(V_L3_Monto),CJ$290)*N(V_L3_Tasa)/12,0)*CK$9</f>
        <v>0</v>
      </c>
      <c r="CL288" s="34" t="n">
        <f aca="false">IF((85-N(V_L3_Mes)+1)&gt;=1,IF((85-N(V_L3_Mes)+1)=1,N(V_L3_Monto),CK$290)*N(V_L3_Tasa)/12,0)*CL$9</f>
        <v>0</v>
      </c>
      <c r="CM288" s="34" t="n">
        <f aca="false">IF((86-N(V_L3_Mes)+1)&gt;=1,IF((86-N(V_L3_Mes)+1)=1,N(V_L3_Monto),CL$290)*N(V_L3_Tasa)/12,0)*CM$9</f>
        <v>0</v>
      </c>
      <c r="CN288" s="34" t="n">
        <f aca="false">IF((87-N(V_L3_Mes)+1)&gt;=1,IF((87-N(V_L3_Mes)+1)=1,N(V_L3_Monto),CM$290)*N(V_L3_Tasa)/12,0)*CN$9</f>
        <v>0</v>
      </c>
      <c r="CO288" s="34" t="n">
        <f aca="false">IF((88-N(V_L3_Mes)+1)&gt;=1,IF((88-N(V_L3_Mes)+1)=1,N(V_L3_Monto),CN$290)*N(V_L3_Tasa)/12,0)*CO$9</f>
        <v>0</v>
      </c>
      <c r="CP288" s="34" t="n">
        <f aca="false">IF((89-N(V_L3_Mes)+1)&gt;=1,IF((89-N(V_L3_Mes)+1)=1,N(V_L3_Monto),CO$290)*N(V_L3_Tasa)/12,0)*CP$9</f>
        <v>0</v>
      </c>
      <c r="CQ288" s="34" t="n">
        <f aca="false">IF((90-N(V_L3_Mes)+1)&gt;=1,IF((90-N(V_L3_Mes)+1)=1,N(V_L3_Monto),CP$290)*N(V_L3_Tasa)/12,0)*CQ$9</f>
        <v>0</v>
      </c>
      <c r="CR288" s="34" t="n">
        <f aca="false">IF((91-N(V_L3_Mes)+1)&gt;=1,IF((91-N(V_L3_Mes)+1)=1,N(V_L3_Monto),CQ$290)*N(V_L3_Tasa)/12,0)*CR$9</f>
        <v>0</v>
      </c>
      <c r="CS288" s="34" t="n">
        <f aca="false">IF((92-N(V_L3_Mes)+1)&gt;=1,IF((92-N(V_L3_Mes)+1)=1,N(V_L3_Monto),CR$290)*N(V_L3_Tasa)/12,0)*CS$9</f>
        <v>0</v>
      </c>
      <c r="CT288" s="34" t="n">
        <f aca="false">IF((93-N(V_L3_Mes)+1)&gt;=1,IF((93-N(V_L3_Mes)+1)=1,N(V_L3_Monto),CS$290)*N(V_L3_Tasa)/12,0)*CT$9</f>
        <v>0</v>
      </c>
      <c r="CU288" s="34" t="n">
        <f aca="false">IF((94-N(V_L3_Mes)+1)&gt;=1,IF((94-N(V_L3_Mes)+1)=1,N(V_L3_Monto),CT$290)*N(V_L3_Tasa)/12,0)*CU$9</f>
        <v>0</v>
      </c>
      <c r="CV288" s="34" t="n">
        <f aca="false">IF((95-N(V_L3_Mes)+1)&gt;=1,IF((95-N(V_L3_Mes)+1)=1,N(V_L3_Monto),CU$290)*N(V_L3_Tasa)/12,0)*CV$9</f>
        <v>0</v>
      </c>
      <c r="CW288" s="34" t="n">
        <f aca="false">IF((96-N(V_L3_Mes)+1)&gt;=1,IF((96-N(V_L3_Mes)+1)=1,N(V_L3_Monto),CV$290)*N(V_L3_Tasa)/12,0)*CW$9</f>
        <v>0</v>
      </c>
      <c r="CX288" s="34" t="n">
        <f aca="false">IF((97-N(V_L3_Mes)+1)&gt;=1,IF((97-N(V_L3_Mes)+1)=1,N(V_L3_Monto),CW$290)*N(V_L3_Tasa)/12,0)*CX$9</f>
        <v>0</v>
      </c>
      <c r="CY288" s="34" t="n">
        <f aca="false">IF((98-N(V_L3_Mes)+1)&gt;=1,IF((98-N(V_L3_Mes)+1)=1,N(V_L3_Monto),CX$290)*N(V_L3_Tasa)/12,0)*CY$9</f>
        <v>0</v>
      </c>
      <c r="CZ288" s="34" t="n">
        <f aca="false">IF((99-N(V_L3_Mes)+1)&gt;=1,IF((99-N(V_L3_Mes)+1)=1,N(V_L3_Monto),CY$290)*N(V_L3_Tasa)/12,0)*CZ$9</f>
        <v>0</v>
      </c>
      <c r="DA288" s="34" t="n">
        <f aca="false">IF((100-N(V_L3_Mes)+1)&gt;=1,IF((100-N(V_L3_Mes)+1)=1,N(V_L3_Monto),CZ$290)*N(V_L3_Tasa)/12,0)*DA$9</f>
        <v>0</v>
      </c>
      <c r="DB288" s="34" t="n">
        <f aca="false">IF((101-N(V_L3_Mes)+1)&gt;=1,IF((101-N(V_L3_Mes)+1)=1,N(V_L3_Monto),DA$290)*N(V_L3_Tasa)/12,0)*DB$9</f>
        <v>0</v>
      </c>
      <c r="DC288" s="34" t="n">
        <f aca="false">IF((102-N(V_L3_Mes)+1)&gt;=1,IF((102-N(V_L3_Mes)+1)=1,N(V_L3_Monto),DB$290)*N(V_L3_Tasa)/12,0)*DC$9</f>
        <v>0</v>
      </c>
      <c r="DD288" s="34" t="n">
        <f aca="false">IF((103-N(V_L3_Mes)+1)&gt;=1,IF((103-N(V_L3_Mes)+1)=1,N(V_L3_Monto),DC$290)*N(V_L3_Tasa)/12,0)*DD$9</f>
        <v>0</v>
      </c>
      <c r="DE288" s="34" t="n">
        <f aca="false">IF((104-N(V_L3_Mes)+1)&gt;=1,IF((104-N(V_L3_Mes)+1)=1,N(V_L3_Monto),DD$290)*N(V_L3_Tasa)/12,0)*DE$9</f>
        <v>0</v>
      </c>
      <c r="DF288" s="34" t="n">
        <f aca="false">IF((105-N(V_L3_Mes)+1)&gt;=1,IF((105-N(V_L3_Mes)+1)=1,N(V_L3_Monto),DE$290)*N(V_L3_Tasa)/12,0)*DF$9</f>
        <v>0</v>
      </c>
      <c r="DG288" s="34" t="n">
        <f aca="false">IF((106-N(V_L3_Mes)+1)&gt;=1,IF((106-N(V_L3_Mes)+1)=1,N(V_L3_Monto),DF$290)*N(V_L3_Tasa)/12,0)*DG$9</f>
        <v>0</v>
      </c>
      <c r="DH288" s="34" t="n">
        <f aca="false">IF((107-N(V_L3_Mes)+1)&gt;=1,IF((107-N(V_L3_Mes)+1)=1,N(V_L3_Monto),DG$290)*N(V_L3_Tasa)/12,0)*DH$9</f>
        <v>0</v>
      </c>
      <c r="DI288" s="34" t="n">
        <f aca="false">IF((108-N(V_L3_Mes)+1)&gt;=1,IF((108-N(V_L3_Mes)+1)=1,N(V_L3_Monto),DH$290)*N(V_L3_Tasa)/12,0)*DI$9</f>
        <v>0</v>
      </c>
      <c r="DJ288" s="34" t="n">
        <f aca="false">IF((109-N(V_L3_Mes)+1)&gt;=1,IF((109-N(V_L3_Mes)+1)=1,N(V_L3_Monto),DI$290)*N(V_L3_Tasa)/12,0)*DJ$9</f>
        <v>0</v>
      </c>
      <c r="DK288" s="34" t="n">
        <f aca="false">IF((110-N(V_L3_Mes)+1)&gt;=1,IF((110-N(V_L3_Mes)+1)=1,N(V_L3_Monto),DJ$290)*N(V_L3_Tasa)/12,0)*DK$9</f>
        <v>0</v>
      </c>
      <c r="DL288" s="34" t="n">
        <f aca="false">IF((111-N(V_L3_Mes)+1)&gt;=1,IF((111-N(V_L3_Mes)+1)=1,N(V_L3_Monto),DK$290)*N(V_L3_Tasa)/12,0)*DL$9</f>
        <v>0</v>
      </c>
      <c r="DM288" s="34" t="n">
        <f aca="false">IF((112-N(V_L3_Mes)+1)&gt;=1,IF((112-N(V_L3_Mes)+1)=1,N(V_L3_Monto),DL$290)*N(V_L3_Tasa)/12,0)*DM$9</f>
        <v>0</v>
      </c>
      <c r="DN288" s="34" t="n">
        <f aca="false">IF((113-N(V_L3_Mes)+1)&gt;=1,IF((113-N(V_L3_Mes)+1)=1,N(V_L3_Monto),DM$290)*N(V_L3_Tasa)/12,0)*DN$9</f>
        <v>0</v>
      </c>
      <c r="DO288" s="34" t="n">
        <f aca="false">IF((114-N(V_L3_Mes)+1)&gt;=1,IF((114-N(V_L3_Mes)+1)=1,N(V_L3_Monto),DN$290)*N(V_L3_Tasa)/12,0)*DO$9</f>
        <v>0</v>
      </c>
      <c r="DP288" s="34" t="n">
        <f aca="false">IF((115-N(V_L3_Mes)+1)&gt;=1,IF((115-N(V_L3_Mes)+1)=1,N(V_L3_Monto),DO$290)*N(V_L3_Tasa)/12,0)*DP$9</f>
        <v>0</v>
      </c>
      <c r="DQ288" s="34" t="n">
        <f aca="false">IF((116-N(V_L3_Mes)+1)&gt;=1,IF((116-N(V_L3_Mes)+1)=1,N(V_L3_Monto),DP$290)*N(V_L3_Tasa)/12,0)*DQ$9</f>
        <v>0</v>
      </c>
      <c r="DR288" s="34" t="n">
        <f aca="false">IF((117-N(V_L3_Mes)+1)&gt;=1,IF((117-N(V_L3_Mes)+1)=1,N(V_L3_Monto),DQ$290)*N(V_L3_Tasa)/12,0)*DR$9</f>
        <v>0</v>
      </c>
      <c r="DS288" s="34" t="n">
        <f aca="false">IF((118-N(V_L3_Mes)+1)&gt;=1,IF((118-N(V_L3_Mes)+1)=1,N(V_L3_Monto),DR$290)*N(V_L3_Tasa)/12,0)*DS$9</f>
        <v>0</v>
      </c>
      <c r="DT288" s="34" t="n">
        <f aca="false">IF((119-N(V_L3_Mes)+1)&gt;=1,IF((119-N(V_L3_Mes)+1)=1,N(V_L3_Monto),DS$290)*N(V_L3_Tasa)/12,0)*DT$9</f>
        <v>0</v>
      </c>
      <c r="DU288" s="34" t="n">
        <f aca="false">IF((120-N(V_L3_Mes)+1)&gt;=1,IF((120-N(V_L3_Mes)+1)=1,N(V_L3_Monto),DT$290)*N(V_L3_Tasa)/12,0)*DU$9</f>
        <v>0</v>
      </c>
      <c r="DV288" s="34" t="n">
        <f aca="false">IF((121-N(V_L3_Mes)+1)&gt;=1,IF((121-N(V_L3_Mes)+1)=1,N(V_L3_Monto),DU$290)*N(V_L3_Tasa)/12,0)*DV$9</f>
        <v>0</v>
      </c>
      <c r="DW288" s="34" t="n">
        <f aca="false">IF((122-N(V_L3_Mes)+1)&gt;=1,IF((122-N(V_L3_Mes)+1)=1,N(V_L3_Monto),DV$290)*N(V_L3_Tasa)/12,0)*DW$9</f>
        <v>0</v>
      </c>
      <c r="DX288" s="34" t="n">
        <f aca="false">IF((123-N(V_L3_Mes)+1)&gt;=1,IF((123-N(V_L3_Mes)+1)=1,N(V_L3_Monto),DW$290)*N(V_L3_Tasa)/12,0)*DX$9</f>
        <v>0</v>
      </c>
      <c r="DY288" s="34" t="n">
        <f aca="false">IF((124-N(V_L3_Mes)+1)&gt;=1,IF((124-N(V_L3_Mes)+1)=1,N(V_L3_Monto),DX$290)*N(V_L3_Tasa)/12,0)*DY$9</f>
        <v>0</v>
      </c>
      <c r="DZ288" s="34" t="n">
        <f aca="false">IF((125-N(V_L3_Mes)+1)&gt;=1,IF((125-N(V_L3_Mes)+1)=1,N(V_L3_Monto),DY$290)*N(V_L3_Tasa)/12,0)*DZ$9</f>
        <v>0</v>
      </c>
      <c r="EA288" s="34" t="n">
        <f aca="false">IF((126-N(V_L3_Mes)+1)&gt;=1,IF((126-N(V_L3_Mes)+1)=1,N(V_L3_Monto),DZ$290)*N(V_L3_Tasa)/12,0)*EA$9</f>
        <v>0</v>
      </c>
      <c r="EB288" s="34" t="n">
        <f aca="false">IF((127-N(V_L3_Mes)+1)&gt;=1,IF((127-N(V_L3_Mes)+1)=1,N(V_L3_Monto),EA$290)*N(V_L3_Tasa)/12,0)*EB$9</f>
        <v>0</v>
      </c>
      <c r="EC288" s="34" t="n">
        <f aca="false">IF((128-N(V_L3_Mes)+1)&gt;=1,IF((128-N(V_L3_Mes)+1)=1,N(V_L3_Monto),EB$290)*N(V_L3_Tasa)/12,0)*EC$9</f>
        <v>0</v>
      </c>
      <c r="ED288" s="34" t="n">
        <f aca="false">IF((129-N(V_L3_Mes)+1)&gt;=1,IF((129-N(V_L3_Mes)+1)=1,N(V_L3_Monto),EC$290)*N(V_L3_Tasa)/12,0)*ED$9</f>
        <v>0</v>
      </c>
      <c r="EE288" s="34" t="n">
        <f aca="false">IF((130-N(V_L3_Mes)+1)&gt;=1,IF((130-N(V_L3_Mes)+1)=1,N(V_L3_Monto),ED$290)*N(V_L3_Tasa)/12,0)*EE$9</f>
        <v>0</v>
      </c>
      <c r="EF288" s="34" t="n">
        <f aca="false">IF((131-N(V_L3_Mes)+1)&gt;=1,IF((131-N(V_L3_Mes)+1)=1,N(V_L3_Monto),EE$290)*N(V_L3_Tasa)/12,0)*EF$9</f>
        <v>0</v>
      </c>
      <c r="EG288" s="34" t="n">
        <f aca="false">IF((132-N(V_L3_Mes)+1)&gt;=1,IF((132-N(V_L3_Mes)+1)=1,N(V_L3_Monto),EF$290)*N(V_L3_Tasa)/12,0)*EG$9</f>
        <v>0</v>
      </c>
      <c r="EH288" s="34" t="n">
        <f aca="false">IF((133-N(V_L3_Mes)+1)&gt;=1,IF((133-N(V_L3_Mes)+1)=1,N(V_L3_Monto),EG$290)*N(V_L3_Tasa)/12,0)*EH$9</f>
        <v>0</v>
      </c>
      <c r="EI288" s="34" t="n">
        <f aca="false">IF((134-N(V_L3_Mes)+1)&gt;=1,IF((134-N(V_L3_Mes)+1)=1,N(V_L3_Monto),EH$290)*N(V_L3_Tasa)/12,0)*EI$9</f>
        <v>0</v>
      </c>
      <c r="EJ288" s="34" t="n">
        <f aca="false">IF((135-N(V_L3_Mes)+1)&gt;=1,IF((135-N(V_L3_Mes)+1)=1,N(V_L3_Monto),EI$290)*N(V_L3_Tasa)/12,0)*EJ$9</f>
        <v>0</v>
      </c>
      <c r="EK288" s="34" t="n">
        <f aca="false">IF((136-N(V_L3_Mes)+1)&gt;=1,IF((136-N(V_L3_Mes)+1)=1,N(V_L3_Monto),EJ$290)*N(V_L3_Tasa)/12,0)*EK$9</f>
        <v>0</v>
      </c>
      <c r="EL288" s="34" t="n">
        <f aca="false">IF((137-N(V_L3_Mes)+1)&gt;=1,IF((137-N(V_L3_Mes)+1)=1,N(V_L3_Monto),EK$290)*N(V_L3_Tasa)/12,0)*EL$9</f>
        <v>0</v>
      </c>
      <c r="EM288" s="34" t="n">
        <f aca="false">IF((138-N(V_L3_Mes)+1)&gt;=1,IF((138-N(V_L3_Mes)+1)=1,N(V_L3_Monto),EL$290)*N(V_L3_Tasa)/12,0)*EM$9</f>
        <v>0</v>
      </c>
      <c r="EN288" s="34" t="n">
        <f aca="false">IF((139-N(V_L3_Mes)+1)&gt;=1,IF((139-N(V_L3_Mes)+1)=1,N(V_L3_Monto),EM$290)*N(V_L3_Tasa)/12,0)*EN$9</f>
        <v>0</v>
      </c>
      <c r="EO288" s="34" t="n">
        <f aca="false">IF((140-N(V_L3_Mes)+1)&gt;=1,IF((140-N(V_L3_Mes)+1)=1,N(V_L3_Monto),EN$290)*N(V_L3_Tasa)/12,0)*EO$9</f>
        <v>0</v>
      </c>
      <c r="EP288" s="34" t="n">
        <f aca="false">IF((141-N(V_L3_Mes)+1)&gt;=1,IF((141-N(V_L3_Mes)+1)=1,N(V_L3_Monto),EO$290)*N(V_L3_Tasa)/12,0)*EP$9</f>
        <v>0</v>
      </c>
      <c r="EQ288" s="34" t="n">
        <f aca="false">IF((142-N(V_L3_Mes)+1)&gt;=1,IF((142-N(V_L3_Mes)+1)=1,N(V_L3_Monto),EP$290)*N(V_L3_Tasa)/12,0)*EQ$9</f>
        <v>0</v>
      </c>
      <c r="ER288" s="34" t="n">
        <f aca="false">IF((143-N(V_L3_Mes)+1)&gt;=1,IF((143-N(V_L3_Mes)+1)=1,N(V_L3_Monto),EQ$290)*N(V_L3_Tasa)/12,0)*ER$9</f>
        <v>0</v>
      </c>
      <c r="ES288" s="34" t="n">
        <f aca="false">IF((144-N(V_L3_Mes)+1)&gt;=1,IF((144-N(V_L3_Mes)+1)=1,N(V_L3_Monto),ER$290)*N(V_L3_Tasa)/12,0)*ES$9</f>
        <v>0</v>
      </c>
    </row>
    <row r="289" customFormat="false" ht="15" hidden="false" customHeight="false" outlineLevel="0" collapsed="false">
      <c r="A289" s="2" t="s">
        <v>926</v>
      </c>
      <c r="B289" s="6" t="s">
        <v>750</v>
      </c>
      <c r="C289" s="6" t="s">
        <v>250</v>
      </c>
      <c r="E289" s="40" t="n">
        <f aca="false">SUM(F289:ES289)</f>
        <v>0</v>
      </c>
      <c r="F289" s="34" t="n">
        <f aca="false">IF(AND((1-N(V_L3_Mes)+1)&gt;N(V_L3_Gracia),(1-N(V_L3_Mes)+1)&lt;=N(V_L3_Gracia)+N(V_L3_Cuotas),N(V_L3_Cuotas)&gt;0),IF((1-N(V_L3_Mes)+1)=N(V_L3_Gracia)+N(V_L3_Cuotas),IF((1-N(V_L3_Mes)+1)=1,N(V_L3_Monto),0),PMT(N(V_L3_Tasa)/12,N(V_L3_Cuotas),-N(V_L3_Monto))-F$288),0)*F$9</f>
        <v>0</v>
      </c>
      <c r="G289" s="34" t="n">
        <f aca="false">IF(AND((2-N(V_L3_Mes)+1)&gt;N(V_L3_Gracia),(2-N(V_L3_Mes)+1)&lt;=N(V_L3_Gracia)+N(V_L3_Cuotas),N(V_L3_Cuotas)&gt;0),IF((2-N(V_L3_Mes)+1)=N(V_L3_Gracia)+N(V_L3_Cuotas),IF((2-N(V_L3_Mes)+1)=1,N(V_L3_Monto),F$290),PMT(N(V_L3_Tasa)/12,N(V_L3_Cuotas),-N(V_L3_Monto))-G$288),0)*G$9</f>
        <v>0</v>
      </c>
      <c r="H289" s="34" t="n">
        <f aca="false">IF(AND((3-N(V_L3_Mes)+1)&gt;N(V_L3_Gracia),(3-N(V_L3_Mes)+1)&lt;=N(V_L3_Gracia)+N(V_L3_Cuotas),N(V_L3_Cuotas)&gt;0),IF((3-N(V_L3_Mes)+1)=N(V_L3_Gracia)+N(V_L3_Cuotas),IF((3-N(V_L3_Mes)+1)=1,N(V_L3_Monto),G$290),PMT(N(V_L3_Tasa)/12,N(V_L3_Cuotas),-N(V_L3_Monto))-H$288),0)*H$9</f>
        <v>0</v>
      </c>
      <c r="I289" s="34" t="n">
        <f aca="false">IF(AND((4-N(V_L3_Mes)+1)&gt;N(V_L3_Gracia),(4-N(V_L3_Mes)+1)&lt;=N(V_L3_Gracia)+N(V_L3_Cuotas),N(V_L3_Cuotas)&gt;0),IF((4-N(V_L3_Mes)+1)=N(V_L3_Gracia)+N(V_L3_Cuotas),IF((4-N(V_L3_Mes)+1)=1,N(V_L3_Monto),H$290),PMT(N(V_L3_Tasa)/12,N(V_L3_Cuotas),-N(V_L3_Monto))-I$288),0)*I$9</f>
        <v>0</v>
      </c>
      <c r="J289" s="34" t="n">
        <f aca="false">IF(AND((5-N(V_L3_Mes)+1)&gt;N(V_L3_Gracia),(5-N(V_L3_Mes)+1)&lt;=N(V_L3_Gracia)+N(V_L3_Cuotas),N(V_L3_Cuotas)&gt;0),IF((5-N(V_L3_Mes)+1)=N(V_L3_Gracia)+N(V_L3_Cuotas),IF((5-N(V_L3_Mes)+1)=1,N(V_L3_Monto),I$290),PMT(N(V_L3_Tasa)/12,N(V_L3_Cuotas),-N(V_L3_Monto))-J$288),0)*J$9</f>
        <v>0</v>
      </c>
      <c r="K289" s="34" t="n">
        <f aca="false">IF(AND((6-N(V_L3_Mes)+1)&gt;N(V_L3_Gracia),(6-N(V_L3_Mes)+1)&lt;=N(V_L3_Gracia)+N(V_L3_Cuotas),N(V_L3_Cuotas)&gt;0),IF((6-N(V_L3_Mes)+1)=N(V_L3_Gracia)+N(V_L3_Cuotas),IF((6-N(V_L3_Mes)+1)=1,N(V_L3_Monto),J$290),PMT(N(V_L3_Tasa)/12,N(V_L3_Cuotas),-N(V_L3_Monto))-K$288),0)*K$9</f>
        <v>0</v>
      </c>
      <c r="L289" s="34" t="n">
        <f aca="false">IF(AND((7-N(V_L3_Mes)+1)&gt;N(V_L3_Gracia),(7-N(V_L3_Mes)+1)&lt;=N(V_L3_Gracia)+N(V_L3_Cuotas),N(V_L3_Cuotas)&gt;0),IF((7-N(V_L3_Mes)+1)=N(V_L3_Gracia)+N(V_L3_Cuotas),IF((7-N(V_L3_Mes)+1)=1,N(V_L3_Monto),K$290),PMT(N(V_L3_Tasa)/12,N(V_L3_Cuotas),-N(V_L3_Monto))-L$288),0)*L$9</f>
        <v>0</v>
      </c>
      <c r="M289" s="34" t="n">
        <f aca="false">IF(AND((8-N(V_L3_Mes)+1)&gt;N(V_L3_Gracia),(8-N(V_L3_Mes)+1)&lt;=N(V_L3_Gracia)+N(V_L3_Cuotas),N(V_L3_Cuotas)&gt;0),IF((8-N(V_L3_Mes)+1)=N(V_L3_Gracia)+N(V_L3_Cuotas),IF((8-N(V_L3_Mes)+1)=1,N(V_L3_Monto),L$290),PMT(N(V_L3_Tasa)/12,N(V_L3_Cuotas),-N(V_L3_Monto))-M$288),0)*M$9</f>
        <v>0</v>
      </c>
      <c r="N289" s="34" t="n">
        <f aca="false">IF(AND((9-N(V_L3_Mes)+1)&gt;N(V_L3_Gracia),(9-N(V_L3_Mes)+1)&lt;=N(V_L3_Gracia)+N(V_L3_Cuotas),N(V_L3_Cuotas)&gt;0),IF((9-N(V_L3_Mes)+1)=N(V_L3_Gracia)+N(V_L3_Cuotas),IF((9-N(V_L3_Mes)+1)=1,N(V_L3_Monto),M$290),PMT(N(V_L3_Tasa)/12,N(V_L3_Cuotas),-N(V_L3_Monto))-N$288),0)*N$9</f>
        <v>0</v>
      </c>
      <c r="O289" s="34" t="n">
        <f aca="false">IF(AND((10-N(V_L3_Mes)+1)&gt;N(V_L3_Gracia),(10-N(V_L3_Mes)+1)&lt;=N(V_L3_Gracia)+N(V_L3_Cuotas),N(V_L3_Cuotas)&gt;0),IF((10-N(V_L3_Mes)+1)=N(V_L3_Gracia)+N(V_L3_Cuotas),IF((10-N(V_L3_Mes)+1)=1,N(V_L3_Monto),N$290),PMT(N(V_L3_Tasa)/12,N(V_L3_Cuotas),-N(V_L3_Monto))-O$288),0)*O$9</f>
        <v>0</v>
      </c>
      <c r="P289" s="34" t="n">
        <f aca="false">IF(AND((11-N(V_L3_Mes)+1)&gt;N(V_L3_Gracia),(11-N(V_L3_Mes)+1)&lt;=N(V_L3_Gracia)+N(V_L3_Cuotas),N(V_L3_Cuotas)&gt;0),IF((11-N(V_L3_Mes)+1)=N(V_L3_Gracia)+N(V_L3_Cuotas),IF((11-N(V_L3_Mes)+1)=1,N(V_L3_Monto),O$290),PMT(N(V_L3_Tasa)/12,N(V_L3_Cuotas),-N(V_L3_Monto))-P$288),0)*P$9</f>
        <v>0</v>
      </c>
      <c r="Q289" s="34" t="n">
        <f aca="false">IF(AND((12-N(V_L3_Mes)+1)&gt;N(V_L3_Gracia),(12-N(V_L3_Mes)+1)&lt;=N(V_L3_Gracia)+N(V_L3_Cuotas),N(V_L3_Cuotas)&gt;0),IF((12-N(V_L3_Mes)+1)=N(V_L3_Gracia)+N(V_L3_Cuotas),IF((12-N(V_L3_Mes)+1)=1,N(V_L3_Monto),P$290),PMT(N(V_L3_Tasa)/12,N(V_L3_Cuotas),-N(V_L3_Monto))-Q$288),0)*Q$9</f>
        <v>0</v>
      </c>
      <c r="R289" s="34" t="n">
        <f aca="false">IF(AND((13-N(V_L3_Mes)+1)&gt;N(V_L3_Gracia),(13-N(V_L3_Mes)+1)&lt;=N(V_L3_Gracia)+N(V_L3_Cuotas),N(V_L3_Cuotas)&gt;0),IF((13-N(V_L3_Mes)+1)=N(V_L3_Gracia)+N(V_L3_Cuotas),IF((13-N(V_L3_Mes)+1)=1,N(V_L3_Monto),Q$290),PMT(N(V_L3_Tasa)/12,N(V_L3_Cuotas),-N(V_L3_Monto))-R$288),0)*R$9</f>
        <v>0</v>
      </c>
      <c r="S289" s="34" t="n">
        <f aca="false">IF(AND((14-N(V_L3_Mes)+1)&gt;N(V_L3_Gracia),(14-N(V_L3_Mes)+1)&lt;=N(V_L3_Gracia)+N(V_L3_Cuotas),N(V_L3_Cuotas)&gt;0),IF((14-N(V_L3_Mes)+1)=N(V_L3_Gracia)+N(V_L3_Cuotas),IF((14-N(V_L3_Mes)+1)=1,N(V_L3_Monto),R$290),PMT(N(V_L3_Tasa)/12,N(V_L3_Cuotas),-N(V_L3_Monto))-S$288),0)*S$9</f>
        <v>0</v>
      </c>
      <c r="T289" s="34" t="n">
        <f aca="false">IF(AND((15-N(V_L3_Mes)+1)&gt;N(V_L3_Gracia),(15-N(V_L3_Mes)+1)&lt;=N(V_L3_Gracia)+N(V_L3_Cuotas),N(V_L3_Cuotas)&gt;0),IF((15-N(V_L3_Mes)+1)=N(V_L3_Gracia)+N(V_L3_Cuotas),IF((15-N(V_L3_Mes)+1)=1,N(V_L3_Monto),S$290),PMT(N(V_L3_Tasa)/12,N(V_L3_Cuotas),-N(V_L3_Monto))-T$288),0)*T$9</f>
        <v>0</v>
      </c>
      <c r="U289" s="34" t="n">
        <f aca="false">IF(AND((16-N(V_L3_Mes)+1)&gt;N(V_L3_Gracia),(16-N(V_L3_Mes)+1)&lt;=N(V_L3_Gracia)+N(V_L3_Cuotas),N(V_L3_Cuotas)&gt;0),IF((16-N(V_L3_Mes)+1)=N(V_L3_Gracia)+N(V_L3_Cuotas),IF((16-N(V_L3_Mes)+1)=1,N(V_L3_Monto),T$290),PMT(N(V_L3_Tasa)/12,N(V_L3_Cuotas),-N(V_L3_Monto))-U$288),0)*U$9</f>
        <v>0</v>
      </c>
      <c r="V289" s="34" t="n">
        <f aca="false">IF(AND((17-N(V_L3_Mes)+1)&gt;N(V_L3_Gracia),(17-N(V_L3_Mes)+1)&lt;=N(V_L3_Gracia)+N(V_L3_Cuotas),N(V_L3_Cuotas)&gt;0),IF((17-N(V_L3_Mes)+1)=N(V_L3_Gracia)+N(V_L3_Cuotas),IF((17-N(V_L3_Mes)+1)=1,N(V_L3_Monto),U$290),PMT(N(V_L3_Tasa)/12,N(V_L3_Cuotas),-N(V_L3_Monto))-V$288),0)*V$9</f>
        <v>0</v>
      </c>
      <c r="W289" s="34" t="n">
        <f aca="false">IF(AND((18-N(V_L3_Mes)+1)&gt;N(V_L3_Gracia),(18-N(V_L3_Mes)+1)&lt;=N(V_L3_Gracia)+N(V_L3_Cuotas),N(V_L3_Cuotas)&gt;0),IF((18-N(V_L3_Mes)+1)=N(V_L3_Gracia)+N(V_L3_Cuotas),IF((18-N(V_L3_Mes)+1)=1,N(V_L3_Monto),V$290),PMT(N(V_L3_Tasa)/12,N(V_L3_Cuotas),-N(V_L3_Monto))-W$288),0)*W$9</f>
        <v>0</v>
      </c>
      <c r="X289" s="34" t="n">
        <f aca="false">IF(AND((19-N(V_L3_Mes)+1)&gt;N(V_L3_Gracia),(19-N(V_L3_Mes)+1)&lt;=N(V_L3_Gracia)+N(V_L3_Cuotas),N(V_L3_Cuotas)&gt;0),IF((19-N(V_L3_Mes)+1)=N(V_L3_Gracia)+N(V_L3_Cuotas),IF((19-N(V_L3_Mes)+1)=1,N(V_L3_Monto),W$290),PMT(N(V_L3_Tasa)/12,N(V_L3_Cuotas),-N(V_L3_Monto))-X$288),0)*X$9</f>
        <v>0</v>
      </c>
      <c r="Y289" s="34" t="n">
        <f aca="false">IF(AND((20-N(V_L3_Mes)+1)&gt;N(V_L3_Gracia),(20-N(V_L3_Mes)+1)&lt;=N(V_L3_Gracia)+N(V_L3_Cuotas),N(V_L3_Cuotas)&gt;0),IF((20-N(V_L3_Mes)+1)=N(V_L3_Gracia)+N(V_L3_Cuotas),IF((20-N(V_L3_Mes)+1)=1,N(V_L3_Monto),X$290),PMT(N(V_L3_Tasa)/12,N(V_L3_Cuotas),-N(V_L3_Monto))-Y$288),0)*Y$9</f>
        <v>0</v>
      </c>
      <c r="Z289" s="34" t="n">
        <f aca="false">IF(AND((21-N(V_L3_Mes)+1)&gt;N(V_L3_Gracia),(21-N(V_L3_Mes)+1)&lt;=N(V_L3_Gracia)+N(V_L3_Cuotas),N(V_L3_Cuotas)&gt;0),IF((21-N(V_L3_Mes)+1)=N(V_L3_Gracia)+N(V_L3_Cuotas),IF((21-N(V_L3_Mes)+1)=1,N(V_L3_Monto),Y$290),PMT(N(V_L3_Tasa)/12,N(V_L3_Cuotas),-N(V_L3_Monto))-Z$288),0)*Z$9</f>
        <v>0</v>
      </c>
      <c r="AA289" s="34" t="n">
        <f aca="false">IF(AND((22-N(V_L3_Mes)+1)&gt;N(V_L3_Gracia),(22-N(V_L3_Mes)+1)&lt;=N(V_L3_Gracia)+N(V_L3_Cuotas),N(V_L3_Cuotas)&gt;0),IF((22-N(V_L3_Mes)+1)=N(V_L3_Gracia)+N(V_L3_Cuotas),IF((22-N(V_L3_Mes)+1)=1,N(V_L3_Monto),Z$290),PMT(N(V_L3_Tasa)/12,N(V_L3_Cuotas),-N(V_L3_Monto))-AA$288),0)*AA$9</f>
        <v>0</v>
      </c>
      <c r="AB289" s="34" t="n">
        <f aca="false">IF(AND((23-N(V_L3_Mes)+1)&gt;N(V_L3_Gracia),(23-N(V_L3_Mes)+1)&lt;=N(V_L3_Gracia)+N(V_L3_Cuotas),N(V_L3_Cuotas)&gt;0),IF((23-N(V_L3_Mes)+1)=N(V_L3_Gracia)+N(V_L3_Cuotas),IF((23-N(V_L3_Mes)+1)=1,N(V_L3_Monto),AA$290),PMT(N(V_L3_Tasa)/12,N(V_L3_Cuotas),-N(V_L3_Monto))-AB$288),0)*AB$9</f>
        <v>0</v>
      </c>
      <c r="AC289" s="34" t="n">
        <f aca="false">IF(AND((24-N(V_L3_Mes)+1)&gt;N(V_L3_Gracia),(24-N(V_L3_Mes)+1)&lt;=N(V_L3_Gracia)+N(V_L3_Cuotas),N(V_L3_Cuotas)&gt;0),IF((24-N(V_L3_Mes)+1)=N(V_L3_Gracia)+N(V_L3_Cuotas),IF((24-N(V_L3_Mes)+1)=1,N(V_L3_Monto),AB$290),PMT(N(V_L3_Tasa)/12,N(V_L3_Cuotas),-N(V_L3_Monto))-AC$288),0)*AC$9</f>
        <v>0</v>
      </c>
      <c r="AD289" s="34" t="n">
        <f aca="false">IF(AND((25-N(V_L3_Mes)+1)&gt;N(V_L3_Gracia),(25-N(V_L3_Mes)+1)&lt;=N(V_L3_Gracia)+N(V_L3_Cuotas),N(V_L3_Cuotas)&gt;0),IF((25-N(V_L3_Mes)+1)=N(V_L3_Gracia)+N(V_L3_Cuotas),IF((25-N(V_L3_Mes)+1)=1,N(V_L3_Monto),AC$290),PMT(N(V_L3_Tasa)/12,N(V_L3_Cuotas),-N(V_L3_Monto))-AD$288),0)*AD$9</f>
        <v>0</v>
      </c>
      <c r="AE289" s="34" t="n">
        <f aca="false">IF(AND((26-N(V_L3_Mes)+1)&gt;N(V_L3_Gracia),(26-N(V_L3_Mes)+1)&lt;=N(V_L3_Gracia)+N(V_L3_Cuotas),N(V_L3_Cuotas)&gt;0),IF((26-N(V_L3_Mes)+1)=N(V_L3_Gracia)+N(V_L3_Cuotas),IF((26-N(V_L3_Mes)+1)=1,N(V_L3_Monto),AD$290),PMT(N(V_L3_Tasa)/12,N(V_L3_Cuotas),-N(V_L3_Monto))-AE$288),0)*AE$9</f>
        <v>0</v>
      </c>
      <c r="AF289" s="34" t="n">
        <f aca="false">IF(AND((27-N(V_L3_Mes)+1)&gt;N(V_L3_Gracia),(27-N(V_L3_Mes)+1)&lt;=N(V_L3_Gracia)+N(V_L3_Cuotas),N(V_L3_Cuotas)&gt;0),IF((27-N(V_L3_Mes)+1)=N(V_L3_Gracia)+N(V_L3_Cuotas),IF((27-N(V_L3_Mes)+1)=1,N(V_L3_Monto),AE$290),PMT(N(V_L3_Tasa)/12,N(V_L3_Cuotas),-N(V_L3_Monto))-AF$288),0)*AF$9</f>
        <v>0</v>
      </c>
      <c r="AG289" s="34" t="n">
        <f aca="false">IF(AND((28-N(V_L3_Mes)+1)&gt;N(V_L3_Gracia),(28-N(V_L3_Mes)+1)&lt;=N(V_L3_Gracia)+N(V_L3_Cuotas),N(V_L3_Cuotas)&gt;0),IF((28-N(V_L3_Mes)+1)=N(V_L3_Gracia)+N(V_L3_Cuotas),IF((28-N(V_L3_Mes)+1)=1,N(V_L3_Monto),AF$290),PMT(N(V_L3_Tasa)/12,N(V_L3_Cuotas),-N(V_L3_Monto))-AG$288),0)*AG$9</f>
        <v>0</v>
      </c>
      <c r="AH289" s="34" t="n">
        <f aca="false">IF(AND((29-N(V_L3_Mes)+1)&gt;N(V_L3_Gracia),(29-N(V_L3_Mes)+1)&lt;=N(V_L3_Gracia)+N(V_L3_Cuotas),N(V_L3_Cuotas)&gt;0),IF((29-N(V_L3_Mes)+1)=N(V_L3_Gracia)+N(V_L3_Cuotas),IF((29-N(V_L3_Mes)+1)=1,N(V_L3_Monto),AG$290),PMT(N(V_L3_Tasa)/12,N(V_L3_Cuotas),-N(V_L3_Monto))-AH$288),0)*AH$9</f>
        <v>0</v>
      </c>
      <c r="AI289" s="34" t="n">
        <f aca="false">IF(AND((30-N(V_L3_Mes)+1)&gt;N(V_L3_Gracia),(30-N(V_L3_Mes)+1)&lt;=N(V_L3_Gracia)+N(V_L3_Cuotas),N(V_L3_Cuotas)&gt;0),IF((30-N(V_L3_Mes)+1)=N(V_L3_Gracia)+N(V_L3_Cuotas),IF((30-N(V_L3_Mes)+1)=1,N(V_L3_Monto),AH$290),PMT(N(V_L3_Tasa)/12,N(V_L3_Cuotas),-N(V_L3_Monto))-AI$288),0)*AI$9</f>
        <v>0</v>
      </c>
      <c r="AJ289" s="34" t="n">
        <f aca="false">IF(AND((31-N(V_L3_Mes)+1)&gt;N(V_L3_Gracia),(31-N(V_L3_Mes)+1)&lt;=N(V_L3_Gracia)+N(V_L3_Cuotas),N(V_L3_Cuotas)&gt;0),IF((31-N(V_L3_Mes)+1)=N(V_L3_Gracia)+N(V_L3_Cuotas),IF((31-N(V_L3_Mes)+1)=1,N(V_L3_Monto),AI$290),PMT(N(V_L3_Tasa)/12,N(V_L3_Cuotas),-N(V_L3_Monto))-AJ$288),0)*AJ$9</f>
        <v>0</v>
      </c>
      <c r="AK289" s="34" t="n">
        <f aca="false">IF(AND((32-N(V_L3_Mes)+1)&gt;N(V_L3_Gracia),(32-N(V_L3_Mes)+1)&lt;=N(V_L3_Gracia)+N(V_L3_Cuotas),N(V_L3_Cuotas)&gt;0),IF((32-N(V_L3_Mes)+1)=N(V_L3_Gracia)+N(V_L3_Cuotas),IF((32-N(V_L3_Mes)+1)=1,N(V_L3_Monto),AJ$290),PMT(N(V_L3_Tasa)/12,N(V_L3_Cuotas),-N(V_L3_Monto))-AK$288),0)*AK$9</f>
        <v>0</v>
      </c>
      <c r="AL289" s="34" t="n">
        <f aca="false">IF(AND((33-N(V_L3_Mes)+1)&gt;N(V_L3_Gracia),(33-N(V_L3_Mes)+1)&lt;=N(V_L3_Gracia)+N(V_L3_Cuotas),N(V_L3_Cuotas)&gt;0),IF((33-N(V_L3_Mes)+1)=N(V_L3_Gracia)+N(V_L3_Cuotas),IF((33-N(V_L3_Mes)+1)=1,N(V_L3_Monto),AK$290),PMT(N(V_L3_Tasa)/12,N(V_L3_Cuotas),-N(V_L3_Monto))-AL$288),0)*AL$9</f>
        <v>0</v>
      </c>
      <c r="AM289" s="34" t="n">
        <f aca="false">IF(AND((34-N(V_L3_Mes)+1)&gt;N(V_L3_Gracia),(34-N(V_L3_Mes)+1)&lt;=N(V_L3_Gracia)+N(V_L3_Cuotas),N(V_L3_Cuotas)&gt;0),IF((34-N(V_L3_Mes)+1)=N(V_L3_Gracia)+N(V_L3_Cuotas),IF((34-N(V_L3_Mes)+1)=1,N(V_L3_Monto),AL$290),PMT(N(V_L3_Tasa)/12,N(V_L3_Cuotas),-N(V_L3_Monto))-AM$288),0)*AM$9</f>
        <v>0</v>
      </c>
      <c r="AN289" s="34" t="n">
        <f aca="false">IF(AND((35-N(V_L3_Mes)+1)&gt;N(V_L3_Gracia),(35-N(V_L3_Mes)+1)&lt;=N(V_L3_Gracia)+N(V_L3_Cuotas),N(V_L3_Cuotas)&gt;0),IF((35-N(V_L3_Mes)+1)=N(V_L3_Gracia)+N(V_L3_Cuotas),IF((35-N(V_L3_Mes)+1)=1,N(V_L3_Monto),AM$290),PMT(N(V_L3_Tasa)/12,N(V_L3_Cuotas),-N(V_L3_Monto))-AN$288),0)*AN$9</f>
        <v>0</v>
      </c>
      <c r="AO289" s="34" t="n">
        <f aca="false">IF(AND((36-N(V_L3_Mes)+1)&gt;N(V_L3_Gracia),(36-N(V_L3_Mes)+1)&lt;=N(V_L3_Gracia)+N(V_L3_Cuotas),N(V_L3_Cuotas)&gt;0),IF((36-N(V_L3_Mes)+1)=N(V_L3_Gracia)+N(V_L3_Cuotas),IF((36-N(V_L3_Mes)+1)=1,N(V_L3_Monto),AN$290),PMT(N(V_L3_Tasa)/12,N(V_L3_Cuotas),-N(V_L3_Monto))-AO$288),0)*AO$9</f>
        <v>0</v>
      </c>
      <c r="AP289" s="34" t="n">
        <f aca="false">IF(AND((37-N(V_L3_Mes)+1)&gt;N(V_L3_Gracia),(37-N(V_L3_Mes)+1)&lt;=N(V_L3_Gracia)+N(V_L3_Cuotas),N(V_L3_Cuotas)&gt;0),IF((37-N(V_L3_Mes)+1)=N(V_L3_Gracia)+N(V_L3_Cuotas),IF((37-N(V_L3_Mes)+1)=1,N(V_L3_Monto),AO$290),PMT(N(V_L3_Tasa)/12,N(V_L3_Cuotas),-N(V_L3_Monto))-AP$288),0)*AP$9</f>
        <v>0</v>
      </c>
      <c r="AQ289" s="34" t="n">
        <f aca="false">IF(AND((38-N(V_L3_Mes)+1)&gt;N(V_L3_Gracia),(38-N(V_L3_Mes)+1)&lt;=N(V_L3_Gracia)+N(V_L3_Cuotas),N(V_L3_Cuotas)&gt;0),IF((38-N(V_L3_Mes)+1)=N(V_L3_Gracia)+N(V_L3_Cuotas),IF((38-N(V_L3_Mes)+1)=1,N(V_L3_Monto),AP$290),PMT(N(V_L3_Tasa)/12,N(V_L3_Cuotas),-N(V_L3_Monto))-AQ$288),0)*AQ$9</f>
        <v>0</v>
      </c>
      <c r="AR289" s="34" t="n">
        <f aca="false">IF(AND((39-N(V_L3_Mes)+1)&gt;N(V_L3_Gracia),(39-N(V_L3_Mes)+1)&lt;=N(V_L3_Gracia)+N(V_L3_Cuotas),N(V_L3_Cuotas)&gt;0),IF((39-N(V_L3_Mes)+1)=N(V_L3_Gracia)+N(V_L3_Cuotas),IF((39-N(V_L3_Mes)+1)=1,N(V_L3_Monto),AQ$290),PMT(N(V_L3_Tasa)/12,N(V_L3_Cuotas),-N(V_L3_Monto))-AR$288),0)*AR$9</f>
        <v>0</v>
      </c>
      <c r="AS289" s="34" t="n">
        <f aca="false">IF(AND((40-N(V_L3_Mes)+1)&gt;N(V_L3_Gracia),(40-N(V_L3_Mes)+1)&lt;=N(V_L3_Gracia)+N(V_L3_Cuotas),N(V_L3_Cuotas)&gt;0),IF((40-N(V_L3_Mes)+1)=N(V_L3_Gracia)+N(V_L3_Cuotas),IF((40-N(V_L3_Mes)+1)=1,N(V_L3_Monto),AR$290),PMT(N(V_L3_Tasa)/12,N(V_L3_Cuotas),-N(V_L3_Monto))-AS$288),0)*AS$9</f>
        <v>0</v>
      </c>
      <c r="AT289" s="34" t="n">
        <f aca="false">IF(AND((41-N(V_L3_Mes)+1)&gt;N(V_L3_Gracia),(41-N(V_L3_Mes)+1)&lt;=N(V_L3_Gracia)+N(V_L3_Cuotas),N(V_L3_Cuotas)&gt;0),IF((41-N(V_L3_Mes)+1)=N(V_L3_Gracia)+N(V_L3_Cuotas),IF((41-N(V_L3_Mes)+1)=1,N(V_L3_Monto),AS$290),PMT(N(V_L3_Tasa)/12,N(V_L3_Cuotas),-N(V_L3_Monto))-AT$288),0)*AT$9</f>
        <v>0</v>
      </c>
      <c r="AU289" s="34" t="n">
        <f aca="false">IF(AND((42-N(V_L3_Mes)+1)&gt;N(V_L3_Gracia),(42-N(V_L3_Mes)+1)&lt;=N(V_L3_Gracia)+N(V_L3_Cuotas),N(V_L3_Cuotas)&gt;0),IF((42-N(V_L3_Mes)+1)=N(V_L3_Gracia)+N(V_L3_Cuotas),IF((42-N(V_L3_Mes)+1)=1,N(V_L3_Monto),AT$290),PMT(N(V_L3_Tasa)/12,N(V_L3_Cuotas),-N(V_L3_Monto))-AU$288),0)*AU$9</f>
        <v>0</v>
      </c>
      <c r="AV289" s="34" t="n">
        <f aca="false">IF(AND((43-N(V_L3_Mes)+1)&gt;N(V_L3_Gracia),(43-N(V_L3_Mes)+1)&lt;=N(V_L3_Gracia)+N(V_L3_Cuotas),N(V_L3_Cuotas)&gt;0),IF((43-N(V_L3_Mes)+1)=N(V_L3_Gracia)+N(V_L3_Cuotas),IF((43-N(V_L3_Mes)+1)=1,N(V_L3_Monto),AU$290),PMT(N(V_L3_Tasa)/12,N(V_L3_Cuotas),-N(V_L3_Monto))-AV$288),0)*AV$9</f>
        <v>0</v>
      </c>
      <c r="AW289" s="34" t="n">
        <f aca="false">IF(AND((44-N(V_L3_Mes)+1)&gt;N(V_L3_Gracia),(44-N(V_L3_Mes)+1)&lt;=N(V_L3_Gracia)+N(V_L3_Cuotas),N(V_L3_Cuotas)&gt;0),IF((44-N(V_L3_Mes)+1)=N(V_L3_Gracia)+N(V_L3_Cuotas),IF((44-N(V_L3_Mes)+1)=1,N(V_L3_Monto),AV$290),PMT(N(V_L3_Tasa)/12,N(V_L3_Cuotas),-N(V_L3_Monto))-AW$288),0)*AW$9</f>
        <v>0</v>
      </c>
      <c r="AX289" s="34" t="n">
        <f aca="false">IF(AND((45-N(V_L3_Mes)+1)&gt;N(V_L3_Gracia),(45-N(V_L3_Mes)+1)&lt;=N(V_L3_Gracia)+N(V_L3_Cuotas),N(V_L3_Cuotas)&gt;0),IF((45-N(V_L3_Mes)+1)=N(V_L3_Gracia)+N(V_L3_Cuotas),IF((45-N(V_L3_Mes)+1)=1,N(V_L3_Monto),AW$290),PMT(N(V_L3_Tasa)/12,N(V_L3_Cuotas),-N(V_L3_Monto))-AX$288),0)*AX$9</f>
        <v>0</v>
      </c>
      <c r="AY289" s="34" t="n">
        <f aca="false">IF(AND((46-N(V_L3_Mes)+1)&gt;N(V_L3_Gracia),(46-N(V_L3_Mes)+1)&lt;=N(V_L3_Gracia)+N(V_L3_Cuotas),N(V_L3_Cuotas)&gt;0),IF((46-N(V_L3_Mes)+1)=N(V_L3_Gracia)+N(V_L3_Cuotas),IF((46-N(V_L3_Mes)+1)=1,N(V_L3_Monto),AX$290),PMT(N(V_L3_Tasa)/12,N(V_L3_Cuotas),-N(V_L3_Monto))-AY$288),0)*AY$9</f>
        <v>0</v>
      </c>
      <c r="AZ289" s="34" t="n">
        <f aca="false">IF(AND((47-N(V_L3_Mes)+1)&gt;N(V_L3_Gracia),(47-N(V_L3_Mes)+1)&lt;=N(V_L3_Gracia)+N(V_L3_Cuotas),N(V_L3_Cuotas)&gt;0),IF((47-N(V_L3_Mes)+1)=N(V_L3_Gracia)+N(V_L3_Cuotas),IF((47-N(V_L3_Mes)+1)=1,N(V_L3_Monto),AY$290),PMT(N(V_L3_Tasa)/12,N(V_L3_Cuotas),-N(V_L3_Monto))-AZ$288),0)*AZ$9</f>
        <v>0</v>
      </c>
      <c r="BA289" s="34" t="n">
        <f aca="false">IF(AND((48-N(V_L3_Mes)+1)&gt;N(V_L3_Gracia),(48-N(V_L3_Mes)+1)&lt;=N(V_L3_Gracia)+N(V_L3_Cuotas),N(V_L3_Cuotas)&gt;0),IF((48-N(V_L3_Mes)+1)=N(V_L3_Gracia)+N(V_L3_Cuotas),IF((48-N(V_L3_Mes)+1)=1,N(V_L3_Monto),AZ$290),PMT(N(V_L3_Tasa)/12,N(V_L3_Cuotas),-N(V_L3_Monto))-BA$288),0)*BA$9</f>
        <v>0</v>
      </c>
      <c r="BB289" s="34" t="n">
        <f aca="false">IF(AND((49-N(V_L3_Mes)+1)&gt;N(V_L3_Gracia),(49-N(V_L3_Mes)+1)&lt;=N(V_L3_Gracia)+N(V_L3_Cuotas),N(V_L3_Cuotas)&gt;0),IF((49-N(V_L3_Mes)+1)=N(V_L3_Gracia)+N(V_L3_Cuotas),IF((49-N(V_L3_Mes)+1)=1,N(V_L3_Monto),BA$290),PMT(N(V_L3_Tasa)/12,N(V_L3_Cuotas),-N(V_L3_Monto))-BB$288),0)*BB$9</f>
        <v>0</v>
      </c>
      <c r="BC289" s="34" t="n">
        <f aca="false">IF(AND((50-N(V_L3_Mes)+1)&gt;N(V_L3_Gracia),(50-N(V_L3_Mes)+1)&lt;=N(V_L3_Gracia)+N(V_L3_Cuotas),N(V_L3_Cuotas)&gt;0),IF((50-N(V_L3_Mes)+1)=N(V_L3_Gracia)+N(V_L3_Cuotas),IF((50-N(V_L3_Mes)+1)=1,N(V_L3_Monto),BB$290),PMT(N(V_L3_Tasa)/12,N(V_L3_Cuotas),-N(V_L3_Monto))-BC$288),0)*BC$9</f>
        <v>0</v>
      </c>
      <c r="BD289" s="34" t="n">
        <f aca="false">IF(AND((51-N(V_L3_Mes)+1)&gt;N(V_L3_Gracia),(51-N(V_L3_Mes)+1)&lt;=N(V_L3_Gracia)+N(V_L3_Cuotas),N(V_L3_Cuotas)&gt;0),IF((51-N(V_L3_Mes)+1)=N(V_L3_Gracia)+N(V_L3_Cuotas),IF((51-N(V_L3_Mes)+1)=1,N(V_L3_Monto),BC$290),PMT(N(V_L3_Tasa)/12,N(V_L3_Cuotas),-N(V_L3_Monto))-BD$288),0)*BD$9</f>
        <v>0</v>
      </c>
      <c r="BE289" s="34" t="n">
        <f aca="false">IF(AND((52-N(V_L3_Mes)+1)&gt;N(V_L3_Gracia),(52-N(V_L3_Mes)+1)&lt;=N(V_L3_Gracia)+N(V_L3_Cuotas),N(V_L3_Cuotas)&gt;0),IF((52-N(V_L3_Mes)+1)=N(V_L3_Gracia)+N(V_L3_Cuotas),IF((52-N(V_L3_Mes)+1)=1,N(V_L3_Monto),BD$290),PMT(N(V_L3_Tasa)/12,N(V_L3_Cuotas),-N(V_L3_Monto))-BE$288),0)*BE$9</f>
        <v>0</v>
      </c>
      <c r="BF289" s="34" t="n">
        <f aca="false">IF(AND((53-N(V_L3_Mes)+1)&gt;N(V_L3_Gracia),(53-N(V_L3_Mes)+1)&lt;=N(V_L3_Gracia)+N(V_L3_Cuotas),N(V_L3_Cuotas)&gt;0),IF((53-N(V_L3_Mes)+1)=N(V_L3_Gracia)+N(V_L3_Cuotas),IF((53-N(V_L3_Mes)+1)=1,N(V_L3_Monto),BE$290),PMT(N(V_L3_Tasa)/12,N(V_L3_Cuotas),-N(V_L3_Monto))-BF$288),0)*BF$9</f>
        <v>0</v>
      </c>
      <c r="BG289" s="34" t="n">
        <f aca="false">IF(AND((54-N(V_L3_Mes)+1)&gt;N(V_L3_Gracia),(54-N(V_L3_Mes)+1)&lt;=N(V_L3_Gracia)+N(V_L3_Cuotas),N(V_L3_Cuotas)&gt;0),IF((54-N(V_L3_Mes)+1)=N(V_L3_Gracia)+N(V_L3_Cuotas),IF((54-N(V_L3_Mes)+1)=1,N(V_L3_Monto),BF$290),PMT(N(V_L3_Tasa)/12,N(V_L3_Cuotas),-N(V_L3_Monto))-BG$288),0)*BG$9</f>
        <v>0</v>
      </c>
      <c r="BH289" s="34" t="n">
        <f aca="false">IF(AND((55-N(V_L3_Mes)+1)&gt;N(V_L3_Gracia),(55-N(V_L3_Mes)+1)&lt;=N(V_L3_Gracia)+N(V_L3_Cuotas),N(V_L3_Cuotas)&gt;0),IF((55-N(V_L3_Mes)+1)=N(V_L3_Gracia)+N(V_L3_Cuotas),IF((55-N(V_L3_Mes)+1)=1,N(V_L3_Monto),BG$290),PMT(N(V_L3_Tasa)/12,N(V_L3_Cuotas),-N(V_L3_Monto))-BH$288),0)*BH$9</f>
        <v>0</v>
      </c>
      <c r="BI289" s="34" t="n">
        <f aca="false">IF(AND((56-N(V_L3_Mes)+1)&gt;N(V_L3_Gracia),(56-N(V_L3_Mes)+1)&lt;=N(V_L3_Gracia)+N(V_L3_Cuotas),N(V_L3_Cuotas)&gt;0),IF((56-N(V_L3_Mes)+1)=N(V_L3_Gracia)+N(V_L3_Cuotas),IF((56-N(V_L3_Mes)+1)=1,N(V_L3_Monto),BH$290),PMT(N(V_L3_Tasa)/12,N(V_L3_Cuotas),-N(V_L3_Monto))-BI$288),0)*BI$9</f>
        <v>0</v>
      </c>
      <c r="BJ289" s="34" t="n">
        <f aca="false">IF(AND((57-N(V_L3_Mes)+1)&gt;N(V_L3_Gracia),(57-N(V_L3_Mes)+1)&lt;=N(V_L3_Gracia)+N(V_L3_Cuotas),N(V_L3_Cuotas)&gt;0),IF((57-N(V_L3_Mes)+1)=N(V_L3_Gracia)+N(V_L3_Cuotas),IF((57-N(V_L3_Mes)+1)=1,N(V_L3_Monto),BI$290),PMT(N(V_L3_Tasa)/12,N(V_L3_Cuotas),-N(V_L3_Monto))-BJ$288),0)*BJ$9</f>
        <v>0</v>
      </c>
      <c r="BK289" s="34" t="n">
        <f aca="false">IF(AND((58-N(V_L3_Mes)+1)&gt;N(V_L3_Gracia),(58-N(V_L3_Mes)+1)&lt;=N(V_L3_Gracia)+N(V_L3_Cuotas),N(V_L3_Cuotas)&gt;0),IF((58-N(V_L3_Mes)+1)=N(V_L3_Gracia)+N(V_L3_Cuotas),IF((58-N(V_L3_Mes)+1)=1,N(V_L3_Monto),BJ$290),PMT(N(V_L3_Tasa)/12,N(V_L3_Cuotas),-N(V_L3_Monto))-BK$288),0)*BK$9</f>
        <v>0</v>
      </c>
      <c r="BL289" s="34" t="n">
        <f aca="false">IF(AND((59-N(V_L3_Mes)+1)&gt;N(V_L3_Gracia),(59-N(V_L3_Mes)+1)&lt;=N(V_L3_Gracia)+N(V_L3_Cuotas),N(V_L3_Cuotas)&gt;0),IF((59-N(V_L3_Mes)+1)=N(V_L3_Gracia)+N(V_L3_Cuotas),IF((59-N(V_L3_Mes)+1)=1,N(V_L3_Monto),BK$290),PMT(N(V_L3_Tasa)/12,N(V_L3_Cuotas),-N(V_L3_Monto))-BL$288),0)*BL$9</f>
        <v>0</v>
      </c>
      <c r="BM289" s="34" t="n">
        <f aca="false">IF(AND((60-N(V_L3_Mes)+1)&gt;N(V_L3_Gracia),(60-N(V_L3_Mes)+1)&lt;=N(V_L3_Gracia)+N(V_L3_Cuotas),N(V_L3_Cuotas)&gt;0),IF((60-N(V_L3_Mes)+1)=N(V_L3_Gracia)+N(V_L3_Cuotas),IF((60-N(V_L3_Mes)+1)=1,N(V_L3_Monto),BL$290),PMT(N(V_L3_Tasa)/12,N(V_L3_Cuotas),-N(V_L3_Monto))-BM$288),0)*BM$9</f>
        <v>0</v>
      </c>
      <c r="BN289" s="34" t="n">
        <f aca="false">IF(AND((61-N(V_L3_Mes)+1)&gt;N(V_L3_Gracia),(61-N(V_L3_Mes)+1)&lt;=N(V_L3_Gracia)+N(V_L3_Cuotas),N(V_L3_Cuotas)&gt;0),IF((61-N(V_L3_Mes)+1)=N(V_L3_Gracia)+N(V_L3_Cuotas),IF((61-N(V_L3_Mes)+1)=1,N(V_L3_Monto),BM$290),PMT(N(V_L3_Tasa)/12,N(V_L3_Cuotas),-N(V_L3_Monto))-BN$288),0)*BN$9</f>
        <v>0</v>
      </c>
      <c r="BO289" s="34" t="n">
        <f aca="false">IF(AND((62-N(V_L3_Mes)+1)&gt;N(V_L3_Gracia),(62-N(V_L3_Mes)+1)&lt;=N(V_L3_Gracia)+N(V_L3_Cuotas),N(V_L3_Cuotas)&gt;0),IF((62-N(V_L3_Mes)+1)=N(V_L3_Gracia)+N(V_L3_Cuotas),IF((62-N(V_L3_Mes)+1)=1,N(V_L3_Monto),BN$290),PMT(N(V_L3_Tasa)/12,N(V_L3_Cuotas),-N(V_L3_Monto))-BO$288),0)*BO$9</f>
        <v>0</v>
      </c>
      <c r="BP289" s="34" t="n">
        <f aca="false">IF(AND((63-N(V_L3_Mes)+1)&gt;N(V_L3_Gracia),(63-N(V_L3_Mes)+1)&lt;=N(V_L3_Gracia)+N(V_L3_Cuotas),N(V_L3_Cuotas)&gt;0),IF((63-N(V_L3_Mes)+1)=N(V_L3_Gracia)+N(V_L3_Cuotas),IF((63-N(V_L3_Mes)+1)=1,N(V_L3_Monto),BO$290),PMT(N(V_L3_Tasa)/12,N(V_L3_Cuotas),-N(V_L3_Monto))-BP$288),0)*BP$9</f>
        <v>0</v>
      </c>
      <c r="BQ289" s="34" t="n">
        <f aca="false">IF(AND((64-N(V_L3_Mes)+1)&gt;N(V_L3_Gracia),(64-N(V_L3_Mes)+1)&lt;=N(V_L3_Gracia)+N(V_L3_Cuotas),N(V_L3_Cuotas)&gt;0),IF((64-N(V_L3_Mes)+1)=N(V_L3_Gracia)+N(V_L3_Cuotas),IF((64-N(V_L3_Mes)+1)=1,N(V_L3_Monto),BP$290),PMT(N(V_L3_Tasa)/12,N(V_L3_Cuotas),-N(V_L3_Monto))-BQ$288),0)*BQ$9</f>
        <v>0</v>
      </c>
      <c r="BR289" s="34" t="n">
        <f aca="false">IF(AND((65-N(V_L3_Mes)+1)&gt;N(V_L3_Gracia),(65-N(V_L3_Mes)+1)&lt;=N(V_L3_Gracia)+N(V_L3_Cuotas),N(V_L3_Cuotas)&gt;0),IF((65-N(V_L3_Mes)+1)=N(V_L3_Gracia)+N(V_L3_Cuotas),IF((65-N(V_L3_Mes)+1)=1,N(V_L3_Monto),BQ$290),PMT(N(V_L3_Tasa)/12,N(V_L3_Cuotas),-N(V_L3_Monto))-BR$288),0)*BR$9</f>
        <v>0</v>
      </c>
      <c r="BS289" s="34" t="n">
        <f aca="false">IF(AND((66-N(V_L3_Mes)+1)&gt;N(V_L3_Gracia),(66-N(V_L3_Mes)+1)&lt;=N(V_L3_Gracia)+N(V_L3_Cuotas),N(V_L3_Cuotas)&gt;0),IF((66-N(V_L3_Mes)+1)=N(V_L3_Gracia)+N(V_L3_Cuotas),IF((66-N(V_L3_Mes)+1)=1,N(V_L3_Monto),BR$290),PMT(N(V_L3_Tasa)/12,N(V_L3_Cuotas),-N(V_L3_Monto))-BS$288),0)*BS$9</f>
        <v>0</v>
      </c>
      <c r="BT289" s="34" t="n">
        <f aca="false">IF(AND((67-N(V_L3_Mes)+1)&gt;N(V_L3_Gracia),(67-N(V_L3_Mes)+1)&lt;=N(V_L3_Gracia)+N(V_L3_Cuotas),N(V_L3_Cuotas)&gt;0),IF((67-N(V_L3_Mes)+1)=N(V_L3_Gracia)+N(V_L3_Cuotas),IF((67-N(V_L3_Mes)+1)=1,N(V_L3_Monto),BS$290),PMT(N(V_L3_Tasa)/12,N(V_L3_Cuotas),-N(V_L3_Monto))-BT$288),0)*BT$9</f>
        <v>0</v>
      </c>
      <c r="BU289" s="34" t="n">
        <f aca="false">IF(AND((68-N(V_L3_Mes)+1)&gt;N(V_L3_Gracia),(68-N(V_L3_Mes)+1)&lt;=N(V_L3_Gracia)+N(V_L3_Cuotas),N(V_L3_Cuotas)&gt;0),IF((68-N(V_L3_Mes)+1)=N(V_L3_Gracia)+N(V_L3_Cuotas),IF((68-N(V_L3_Mes)+1)=1,N(V_L3_Monto),BT$290),PMT(N(V_L3_Tasa)/12,N(V_L3_Cuotas),-N(V_L3_Monto))-BU$288),0)*BU$9</f>
        <v>0</v>
      </c>
      <c r="BV289" s="34" t="n">
        <f aca="false">IF(AND((69-N(V_L3_Mes)+1)&gt;N(V_L3_Gracia),(69-N(V_L3_Mes)+1)&lt;=N(V_L3_Gracia)+N(V_L3_Cuotas),N(V_L3_Cuotas)&gt;0),IF((69-N(V_L3_Mes)+1)=N(V_L3_Gracia)+N(V_L3_Cuotas),IF((69-N(V_L3_Mes)+1)=1,N(V_L3_Monto),BU$290),PMT(N(V_L3_Tasa)/12,N(V_L3_Cuotas),-N(V_L3_Monto))-BV$288),0)*BV$9</f>
        <v>0</v>
      </c>
      <c r="BW289" s="34" t="n">
        <f aca="false">IF(AND((70-N(V_L3_Mes)+1)&gt;N(V_L3_Gracia),(70-N(V_L3_Mes)+1)&lt;=N(V_L3_Gracia)+N(V_L3_Cuotas),N(V_L3_Cuotas)&gt;0),IF((70-N(V_L3_Mes)+1)=N(V_L3_Gracia)+N(V_L3_Cuotas),IF((70-N(V_L3_Mes)+1)=1,N(V_L3_Monto),BV$290),PMT(N(V_L3_Tasa)/12,N(V_L3_Cuotas),-N(V_L3_Monto))-BW$288),0)*BW$9</f>
        <v>0</v>
      </c>
      <c r="BX289" s="34" t="n">
        <f aca="false">IF(AND((71-N(V_L3_Mes)+1)&gt;N(V_L3_Gracia),(71-N(V_L3_Mes)+1)&lt;=N(V_L3_Gracia)+N(V_L3_Cuotas),N(V_L3_Cuotas)&gt;0),IF((71-N(V_L3_Mes)+1)=N(V_L3_Gracia)+N(V_L3_Cuotas),IF((71-N(V_L3_Mes)+1)=1,N(V_L3_Monto),BW$290),PMT(N(V_L3_Tasa)/12,N(V_L3_Cuotas),-N(V_L3_Monto))-BX$288),0)*BX$9</f>
        <v>0</v>
      </c>
      <c r="BY289" s="34" t="n">
        <f aca="false">IF(AND((72-N(V_L3_Mes)+1)&gt;N(V_L3_Gracia),(72-N(V_L3_Mes)+1)&lt;=N(V_L3_Gracia)+N(V_L3_Cuotas),N(V_L3_Cuotas)&gt;0),IF((72-N(V_L3_Mes)+1)=N(V_L3_Gracia)+N(V_L3_Cuotas),IF((72-N(V_L3_Mes)+1)=1,N(V_L3_Monto),BX$290),PMT(N(V_L3_Tasa)/12,N(V_L3_Cuotas),-N(V_L3_Monto))-BY$288),0)*BY$9</f>
        <v>0</v>
      </c>
      <c r="BZ289" s="34" t="n">
        <f aca="false">IF(AND((73-N(V_L3_Mes)+1)&gt;N(V_L3_Gracia),(73-N(V_L3_Mes)+1)&lt;=N(V_L3_Gracia)+N(V_L3_Cuotas),N(V_L3_Cuotas)&gt;0),IF((73-N(V_L3_Mes)+1)=N(V_L3_Gracia)+N(V_L3_Cuotas),IF((73-N(V_L3_Mes)+1)=1,N(V_L3_Monto),BY$290),PMT(N(V_L3_Tasa)/12,N(V_L3_Cuotas),-N(V_L3_Monto))-BZ$288),0)*BZ$9</f>
        <v>0</v>
      </c>
      <c r="CA289" s="34" t="n">
        <f aca="false">IF(AND((74-N(V_L3_Mes)+1)&gt;N(V_L3_Gracia),(74-N(V_L3_Mes)+1)&lt;=N(V_L3_Gracia)+N(V_L3_Cuotas),N(V_L3_Cuotas)&gt;0),IF((74-N(V_L3_Mes)+1)=N(V_L3_Gracia)+N(V_L3_Cuotas),IF((74-N(V_L3_Mes)+1)=1,N(V_L3_Monto),BZ$290),PMT(N(V_L3_Tasa)/12,N(V_L3_Cuotas),-N(V_L3_Monto))-CA$288),0)*CA$9</f>
        <v>0</v>
      </c>
      <c r="CB289" s="34" t="n">
        <f aca="false">IF(AND((75-N(V_L3_Mes)+1)&gt;N(V_L3_Gracia),(75-N(V_L3_Mes)+1)&lt;=N(V_L3_Gracia)+N(V_L3_Cuotas),N(V_L3_Cuotas)&gt;0),IF((75-N(V_L3_Mes)+1)=N(V_L3_Gracia)+N(V_L3_Cuotas),IF((75-N(V_L3_Mes)+1)=1,N(V_L3_Monto),CA$290),PMT(N(V_L3_Tasa)/12,N(V_L3_Cuotas),-N(V_L3_Monto))-CB$288),0)*CB$9</f>
        <v>0</v>
      </c>
      <c r="CC289" s="34" t="n">
        <f aca="false">IF(AND((76-N(V_L3_Mes)+1)&gt;N(V_L3_Gracia),(76-N(V_L3_Mes)+1)&lt;=N(V_L3_Gracia)+N(V_L3_Cuotas),N(V_L3_Cuotas)&gt;0),IF((76-N(V_L3_Mes)+1)=N(V_L3_Gracia)+N(V_L3_Cuotas),IF((76-N(V_L3_Mes)+1)=1,N(V_L3_Monto),CB$290),PMT(N(V_L3_Tasa)/12,N(V_L3_Cuotas),-N(V_L3_Monto))-CC$288),0)*CC$9</f>
        <v>0</v>
      </c>
      <c r="CD289" s="34" t="n">
        <f aca="false">IF(AND((77-N(V_L3_Mes)+1)&gt;N(V_L3_Gracia),(77-N(V_L3_Mes)+1)&lt;=N(V_L3_Gracia)+N(V_L3_Cuotas),N(V_L3_Cuotas)&gt;0),IF((77-N(V_L3_Mes)+1)=N(V_L3_Gracia)+N(V_L3_Cuotas),IF((77-N(V_L3_Mes)+1)=1,N(V_L3_Monto),CC$290),PMT(N(V_L3_Tasa)/12,N(V_L3_Cuotas),-N(V_L3_Monto))-CD$288),0)*CD$9</f>
        <v>0</v>
      </c>
      <c r="CE289" s="34" t="n">
        <f aca="false">IF(AND((78-N(V_L3_Mes)+1)&gt;N(V_L3_Gracia),(78-N(V_L3_Mes)+1)&lt;=N(V_L3_Gracia)+N(V_L3_Cuotas),N(V_L3_Cuotas)&gt;0),IF((78-N(V_L3_Mes)+1)=N(V_L3_Gracia)+N(V_L3_Cuotas),IF((78-N(V_L3_Mes)+1)=1,N(V_L3_Monto),CD$290),PMT(N(V_L3_Tasa)/12,N(V_L3_Cuotas),-N(V_L3_Monto))-CE$288),0)*CE$9</f>
        <v>0</v>
      </c>
      <c r="CF289" s="34" t="n">
        <f aca="false">IF(AND((79-N(V_L3_Mes)+1)&gt;N(V_L3_Gracia),(79-N(V_L3_Mes)+1)&lt;=N(V_L3_Gracia)+N(V_L3_Cuotas),N(V_L3_Cuotas)&gt;0),IF((79-N(V_L3_Mes)+1)=N(V_L3_Gracia)+N(V_L3_Cuotas),IF((79-N(V_L3_Mes)+1)=1,N(V_L3_Monto),CE$290),PMT(N(V_L3_Tasa)/12,N(V_L3_Cuotas),-N(V_L3_Monto))-CF$288),0)*CF$9</f>
        <v>0</v>
      </c>
      <c r="CG289" s="34" t="n">
        <f aca="false">IF(AND((80-N(V_L3_Mes)+1)&gt;N(V_L3_Gracia),(80-N(V_L3_Mes)+1)&lt;=N(V_L3_Gracia)+N(V_L3_Cuotas),N(V_L3_Cuotas)&gt;0),IF((80-N(V_L3_Mes)+1)=N(V_L3_Gracia)+N(V_L3_Cuotas),IF((80-N(V_L3_Mes)+1)=1,N(V_L3_Monto),CF$290),PMT(N(V_L3_Tasa)/12,N(V_L3_Cuotas),-N(V_L3_Monto))-CG$288),0)*CG$9</f>
        <v>0</v>
      </c>
      <c r="CH289" s="34" t="n">
        <f aca="false">IF(AND((81-N(V_L3_Mes)+1)&gt;N(V_L3_Gracia),(81-N(V_L3_Mes)+1)&lt;=N(V_L3_Gracia)+N(V_L3_Cuotas),N(V_L3_Cuotas)&gt;0),IF((81-N(V_L3_Mes)+1)=N(V_L3_Gracia)+N(V_L3_Cuotas),IF((81-N(V_L3_Mes)+1)=1,N(V_L3_Monto),CG$290),PMT(N(V_L3_Tasa)/12,N(V_L3_Cuotas),-N(V_L3_Monto))-CH$288),0)*CH$9</f>
        <v>0</v>
      </c>
      <c r="CI289" s="34" t="n">
        <f aca="false">IF(AND((82-N(V_L3_Mes)+1)&gt;N(V_L3_Gracia),(82-N(V_L3_Mes)+1)&lt;=N(V_L3_Gracia)+N(V_L3_Cuotas),N(V_L3_Cuotas)&gt;0),IF((82-N(V_L3_Mes)+1)=N(V_L3_Gracia)+N(V_L3_Cuotas),IF((82-N(V_L3_Mes)+1)=1,N(V_L3_Monto),CH$290),PMT(N(V_L3_Tasa)/12,N(V_L3_Cuotas),-N(V_L3_Monto))-CI$288),0)*CI$9</f>
        <v>0</v>
      </c>
      <c r="CJ289" s="34" t="n">
        <f aca="false">IF(AND((83-N(V_L3_Mes)+1)&gt;N(V_L3_Gracia),(83-N(V_L3_Mes)+1)&lt;=N(V_L3_Gracia)+N(V_L3_Cuotas),N(V_L3_Cuotas)&gt;0),IF((83-N(V_L3_Mes)+1)=N(V_L3_Gracia)+N(V_L3_Cuotas),IF((83-N(V_L3_Mes)+1)=1,N(V_L3_Monto),CI$290),PMT(N(V_L3_Tasa)/12,N(V_L3_Cuotas),-N(V_L3_Monto))-CJ$288),0)*CJ$9</f>
        <v>0</v>
      </c>
      <c r="CK289" s="34" t="n">
        <f aca="false">IF(AND((84-N(V_L3_Mes)+1)&gt;N(V_L3_Gracia),(84-N(V_L3_Mes)+1)&lt;=N(V_L3_Gracia)+N(V_L3_Cuotas),N(V_L3_Cuotas)&gt;0),IF((84-N(V_L3_Mes)+1)=N(V_L3_Gracia)+N(V_L3_Cuotas),IF((84-N(V_L3_Mes)+1)=1,N(V_L3_Monto),CJ$290),PMT(N(V_L3_Tasa)/12,N(V_L3_Cuotas),-N(V_L3_Monto))-CK$288),0)*CK$9</f>
        <v>0</v>
      </c>
      <c r="CL289" s="34" t="n">
        <f aca="false">IF(AND((85-N(V_L3_Mes)+1)&gt;N(V_L3_Gracia),(85-N(V_L3_Mes)+1)&lt;=N(V_L3_Gracia)+N(V_L3_Cuotas),N(V_L3_Cuotas)&gt;0),IF((85-N(V_L3_Mes)+1)=N(V_L3_Gracia)+N(V_L3_Cuotas),IF((85-N(V_L3_Mes)+1)=1,N(V_L3_Monto),CK$290),PMT(N(V_L3_Tasa)/12,N(V_L3_Cuotas),-N(V_L3_Monto))-CL$288),0)*CL$9</f>
        <v>0</v>
      </c>
      <c r="CM289" s="34" t="n">
        <f aca="false">IF(AND((86-N(V_L3_Mes)+1)&gt;N(V_L3_Gracia),(86-N(V_L3_Mes)+1)&lt;=N(V_L3_Gracia)+N(V_L3_Cuotas),N(V_L3_Cuotas)&gt;0),IF((86-N(V_L3_Mes)+1)=N(V_L3_Gracia)+N(V_L3_Cuotas),IF((86-N(V_L3_Mes)+1)=1,N(V_L3_Monto),CL$290),PMT(N(V_L3_Tasa)/12,N(V_L3_Cuotas),-N(V_L3_Monto))-CM$288),0)*CM$9</f>
        <v>0</v>
      </c>
      <c r="CN289" s="34" t="n">
        <f aca="false">IF(AND((87-N(V_L3_Mes)+1)&gt;N(V_L3_Gracia),(87-N(V_L3_Mes)+1)&lt;=N(V_L3_Gracia)+N(V_L3_Cuotas),N(V_L3_Cuotas)&gt;0),IF((87-N(V_L3_Mes)+1)=N(V_L3_Gracia)+N(V_L3_Cuotas),IF((87-N(V_L3_Mes)+1)=1,N(V_L3_Monto),CM$290),PMT(N(V_L3_Tasa)/12,N(V_L3_Cuotas),-N(V_L3_Monto))-CN$288),0)*CN$9</f>
        <v>0</v>
      </c>
      <c r="CO289" s="34" t="n">
        <f aca="false">IF(AND((88-N(V_L3_Mes)+1)&gt;N(V_L3_Gracia),(88-N(V_L3_Mes)+1)&lt;=N(V_L3_Gracia)+N(V_L3_Cuotas),N(V_L3_Cuotas)&gt;0),IF((88-N(V_L3_Mes)+1)=N(V_L3_Gracia)+N(V_L3_Cuotas),IF((88-N(V_L3_Mes)+1)=1,N(V_L3_Monto),CN$290),PMT(N(V_L3_Tasa)/12,N(V_L3_Cuotas),-N(V_L3_Monto))-CO$288),0)*CO$9</f>
        <v>0</v>
      </c>
      <c r="CP289" s="34" t="n">
        <f aca="false">IF(AND((89-N(V_L3_Mes)+1)&gt;N(V_L3_Gracia),(89-N(V_L3_Mes)+1)&lt;=N(V_L3_Gracia)+N(V_L3_Cuotas),N(V_L3_Cuotas)&gt;0),IF((89-N(V_L3_Mes)+1)=N(V_L3_Gracia)+N(V_L3_Cuotas),IF((89-N(V_L3_Mes)+1)=1,N(V_L3_Monto),CO$290),PMT(N(V_L3_Tasa)/12,N(V_L3_Cuotas),-N(V_L3_Monto))-CP$288),0)*CP$9</f>
        <v>0</v>
      </c>
      <c r="CQ289" s="34" t="n">
        <f aca="false">IF(AND((90-N(V_L3_Mes)+1)&gt;N(V_L3_Gracia),(90-N(V_L3_Mes)+1)&lt;=N(V_L3_Gracia)+N(V_L3_Cuotas),N(V_L3_Cuotas)&gt;0),IF((90-N(V_L3_Mes)+1)=N(V_L3_Gracia)+N(V_L3_Cuotas),IF((90-N(V_L3_Mes)+1)=1,N(V_L3_Monto),CP$290),PMT(N(V_L3_Tasa)/12,N(V_L3_Cuotas),-N(V_L3_Monto))-CQ$288),0)*CQ$9</f>
        <v>0</v>
      </c>
      <c r="CR289" s="34" t="n">
        <f aca="false">IF(AND((91-N(V_L3_Mes)+1)&gt;N(V_L3_Gracia),(91-N(V_L3_Mes)+1)&lt;=N(V_L3_Gracia)+N(V_L3_Cuotas),N(V_L3_Cuotas)&gt;0),IF((91-N(V_L3_Mes)+1)=N(V_L3_Gracia)+N(V_L3_Cuotas),IF((91-N(V_L3_Mes)+1)=1,N(V_L3_Monto),CQ$290),PMT(N(V_L3_Tasa)/12,N(V_L3_Cuotas),-N(V_L3_Monto))-CR$288),0)*CR$9</f>
        <v>0</v>
      </c>
      <c r="CS289" s="34" t="n">
        <f aca="false">IF(AND((92-N(V_L3_Mes)+1)&gt;N(V_L3_Gracia),(92-N(V_L3_Mes)+1)&lt;=N(V_L3_Gracia)+N(V_L3_Cuotas),N(V_L3_Cuotas)&gt;0),IF((92-N(V_L3_Mes)+1)=N(V_L3_Gracia)+N(V_L3_Cuotas),IF((92-N(V_L3_Mes)+1)=1,N(V_L3_Monto),CR$290),PMT(N(V_L3_Tasa)/12,N(V_L3_Cuotas),-N(V_L3_Monto))-CS$288),0)*CS$9</f>
        <v>0</v>
      </c>
      <c r="CT289" s="34" t="n">
        <f aca="false">IF(AND((93-N(V_L3_Mes)+1)&gt;N(V_L3_Gracia),(93-N(V_L3_Mes)+1)&lt;=N(V_L3_Gracia)+N(V_L3_Cuotas),N(V_L3_Cuotas)&gt;0),IF((93-N(V_L3_Mes)+1)=N(V_L3_Gracia)+N(V_L3_Cuotas),IF((93-N(V_L3_Mes)+1)=1,N(V_L3_Monto),CS$290),PMT(N(V_L3_Tasa)/12,N(V_L3_Cuotas),-N(V_L3_Monto))-CT$288),0)*CT$9</f>
        <v>0</v>
      </c>
      <c r="CU289" s="34" t="n">
        <f aca="false">IF(AND((94-N(V_L3_Mes)+1)&gt;N(V_L3_Gracia),(94-N(V_L3_Mes)+1)&lt;=N(V_L3_Gracia)+N(V_L3_Cuotas),N(V_L3_Cuotas)&gt;0),IF((94-N(V_L3_Mes)+1)=N(V_L3_Gracia)+N(V_L3_Cuotas),IF((94-N(V_L3_Mes)+1)=1,N(V_L3_Monto),CT$290),PMT(N(V_L3_Tasa)/12,N(V_L3_Cuotas),-N(V_L3_Monto))-CU$288),0)*CU$9</f>
        <v>0</v>
      </c>
      <c r="CV289" s="34" t="n">
        <f aca="false">IF(AND((95-N(V_L3_Mes)+1)&gt;N(V_L3_Gracia),(95-N(V_L3_Mes)+1)&lt;=N(V_L3_Gracia)+N(V_L3_Cuotas),N(V_L3_Cuotas)&gt;0),IF((95-N(V_L3_Mes)+1)=N(V_L3_Gracia)+N(V_L3_Cuotas),IF((95-N(V_L3_Mes)+1)=1,N(V_L3_Monto),CU$290),PMT(N(V_L3_Tasa)/12,N(V_L3_Cuotas),-N(V_L3_Monto))-CV$288),0)*CV$9</f>
        <v>0</v>
      </c>
      <c r="CW289" s="34" t="n">
        <f aca="false">IF(AND((96-N(V_L3_Mes)+1)&gt;N(V_L3_Gracia),(96-N(V_L3_Mes)+1)&lt;=N(V_L3_Gracia)+N(V_L3_Cuotas),N(V_L3_Cuotas)&gt;0),IF((96-N(V_L3_Mes)+1)=N(V_L3_Gracia)+N(V_L3_Cuotas),IF((96-N(V_L3_Mes)+1)=1,N(V_L3_Monto),CV$290),PMT(N(V_L3_Tasa)/12,N(V_L3_Cuotas),-N(V_L3_Monto))-CW$288),0)*CW$9</f>
        <v>0</v>
      </c>
      <c r="CX289" s="34" t="n">
        <f aca="false">IF(AND((97-N(V_L3_Mes)+1)&gt;N(V_L3_Gracia),(97-N(V_L3_Mes)+1)&lt;=N(V_L3_Gracia)+N(V_L3_Cuotas),N(V_L3_Cuotas)&gt;0),IF((97-N(V_L3_Mes)+1)=N(V_L3_Gracia)+N(V_L3_Cuotas),IF((97-N(V_L3_Mes)+1)=1,N(V_L3_Monto),CW$290),PMT(N(V_L3_Tasa)/12,N(V_L3_Cuotas),-N(V_L3_Monto))-CX$288),0)*CX$9</f>
        <v>0</v>
      </c>
      <c r="CY289" s="34" t="n">
        <f aca="false">IF(AND((98-N(V_L3_Mes)+1)&gt;N(V_L3_Gracia),(98-N(V_L3_Mes)+1)&lt;=N(V_L3_Gracia)+N(V_L3_Cuotas),N(V_L3_Cuotas)&gt;0),IF((98-N(V_L3_Mes)+1)=N(V_L3_Gracia)+N(V_L3_Cuotas),IF((98-N(V_L3_Mes)+1)=1,N(V_L3_Monto),CX$290),PMT(N(V_L3_Tasa)/12,N(V_L3_Cuotas),-N(V_L3_Monto))-CY$288),0)*CY$9</f>
        <v>0</v>
      </c>
      <c r="CZ289" s="34" t="n">
        <f aca="false">IF(AND((99-N(V_L3_Mes)+1)&gt;N(V_L3_Gracia),(99-N(V_L3_Mes)+1)&lt;=N(V_L3_Gracia)+N(V_L3_Cuotas),N(V_L3_Cuotas)&gt;0),IF((99-N(V_L3_Mes)+1)=N(V_L3_Gracia)+N(V_L3_Cuotas),IF((99-N(V_L3_Mes)+1)=1,N(V_L3_Monto),CY$290),PMT(N(V_L3_Tasa)/12,N(V_L3_Cuotas),-N(V_L3_Monto))-CZ$288),0)*CZ$9</f>
        <v>0</v>
      </c>
      <c r="DA289" s="34" t="n">
        <f aca="false">IF(AND((100-N(V_L3_Mes)+1)&gt;N(V_L3_Gracia),(100-N(V_L3_Mes)+1)&lt;=N(V_L3_Gracia)+N(V_L3_Cuotas),N(V_L3_Cuotas)&gt;0),IF((100-N(V_L3_Mes)+1)=N(V_L3_Gracia)+N(V_L3_Cuotas),IF((100-N(V_L3_Mes)+1)=1,N(V_L3_Monto),CZ$290),PMT(N(V_L3_Tasa)/12,N(V_L3_Cuotas),-N(V_L3_Monto))-DA$288),0)*DA$9</f>
        <v>0</v>
      </c>
      <c r="DB289" s="34" t="n">
        <f aca="false">IF(AND((101-N(V_L3_Mes)+1)&gt;N(V_L3_Gracia),(101-N(V_L3_Mes)+1)&lt;=N(V_L3_Gracia)+N(V_L3_Cuotas),N(V_L3_Cuotas)&gt;0),IF((101-N(V_L3_Mes)+1)=N(V_L3_Gracia)+N(V_L3_Cuotas),IF((101-N(V_L3_Mes)+1)=1,N(V_L3_Monto),DA$290),PMT(N(V_L3_Tasa)/12,N(V_L3_Cuotas),-N(V_L3_Monto))-DB$288),0)*DB$9</f>
        <v>0</v>
      </c>
      <c r="DC289" s="34" t="n">
        <f aca="false">IF(AND((102-N(V_L3_Mes)+1)&gt;N(V_L3_Gracia),(102-N(V_L3_Mes)+1)&lt;=N(V_L3_Gracia)+N(V_L3_Cuotas),N(V_L3_Cuotas)&gt;0),IF((102-N(V_L3_Mes)+1)=N(V_L3_Gracia)+N(V_L3_Cuotas),IF((102-N(V_L3_Mes)+1)=1,N(V_L3_Monto),DB$290),PMT(N(V_L3_Tasa)/12,N(V_L3_Cuotas),-N(V_L3_Monto))-DC$288),0)*DC$9</f>
        <v>0</v>
      </c>
      <c r="DD289" s="34" t="n">
        <f aca="false">IF(AND((103-N(V_L3_Mes)+1)&gt;N(V_L3_Gracia),(103-N(V_L3_Mes)+1)&lt;=N(V_L3_Gracia)+N(V_L3_Cuotas),N(V_L3_Cuotas)&gt;0),IF((103-N(V_L3_Mes)+1)=N(V_L3_Gracia)+N(V_L3_Cuotas),IF((103-N(V_L3_Mes)+1)=1,N(V_L3_Monto),DC$290),PMT(N(V_L3_Tasa)/12,N(V_L3_Cuotas),-N(V_L3_Monto))-DD$288),0)*DD$9</f>
        <v>0</v>
      </c>
      <c r="DE289" s="34" t="n">
        <f aca="false">IF(AND((104-N(V_L3_Mes)+1)&gt;N(V_L3_Gracia),(104-N(V_L3_Mes)+1)&lt;=N(V_L3_Gracia)+N(V_L3_Cuotas),N(V_L3_Cuotas)&gt;0),IF((104-N(V_L3_Mes)+1)=N(V_L3_Gracia)+N(V_L3_Cuotas),IF((104-N(V_L3_Mes)+1)=1,N(V_L3_Monto),DD$290),PMT(N(V_L3_Tasa)/12,N(V_L3_Cuotas),-N(V_L3_Monto))-DE$288),0)*DE$9</f>
        <v>0</v>
      </c>
      <c r="DF289" s="34" t="n">
        <f aca="false">IF(AND((105-N(V_L3_Mes)+1)&gt;N(V_L3_Gracia),(105-N(V_L3_Mes)+1)&lt;=N(V_L3_Gracia)+N(V_L3_Cuotas),N(V_L3_Cuotas)&gt;0),IF((105-N(V_L3_Mes)+1)=N(V_L3_Gracia)+N(V_L3_Cuotas),IF((105-N(V_L3_Mes)+1)=1,N(V_L3_Monto),DE$290),PMT(N(V_L3_Tasa)/12,N(V_L3_Cuotas),-N(V_L3_Monto))-DF$288),0)*DF$9</f>
        <v>0</v>
      </c>
      <c r="DG289" s="34" t="n">
        <f aca="false">IF(AND((106-N(V_L3_Mes)+1)&gt;N(V_L3_Gracia),(106-N(V_L3_Mes)+1)&lt;=N(V_L3_Gracia)+N(V_L3_Cuotas),N(V_L3_Cuotas)&gt;0),IF((106-N(V_L3_Mes)+1)=N(V_L3_Gracia)+N(V_L3_Cuotas),IF((106-N(V_L3_Mes)+1)=1,N(V_L3_Monto),DF$290),PMT(N(V_L3_Tasa)/12,N(V_L3_Cuotas),-N(V_L3_Monto))-DG$288),0)*DG$9</f>
        <v>0</v>
      </c>
      <c r="DH289" s="34" t="n">
        <f aca="false">IF(AND((107-N(V_L3_Mes)+1)&gt;N(V_L3_Gracia),(107-N(V_L3_Mes)+1)&lt;=N(V_L3_Gracia)+N(V_L3_Cuotas),N(V_L3_Cuotas)&gt;0),IF((107-N(V_L3_Mes)+1)=N(V_L3_Gracia)+N(V_L3_Cuotas),IF((107-N(V_L3_Mes)+1)=1,N(V_L3_Monto),DG$290),PMT(N(V_L3_Tasa)/12,N(V_L3_Cuotas),-N(V_L3_Monto))-DH$288),0)*DH$9</f>
        <v>0</v>
      </c>
      <c r="DI289" s="34" t="n">
        <f aca="false">IF(AND((108-N(V_L3_Mes)+1)&gt;N(V_L3_Gracia),(108-N(V_L3_Mes)+1)&lt;=N(V_L3_Gracia)+N(V_L3_Cuotas),N(V_L3_Cuotas)&gt;0),IF((108-N(V_L3_Mes)+1)=N(V_L3_Gracia)+N(V_L3_Cuotas),IF((108-N(V_L3_Mes)+1)=1,N(V_L3_Monto),DH$290),PMT(N(V_L3_Tasa)/12,N(V_L3_Cuotas),-N(V_L3_Monto))-DI$288),0)*DI$9</f>
        <v>0</v>
      </c>
      <c r="DJ289" s="34" t="n">
        <f aca="false">IF(AND((109-N(V_L3_Mes)+1)&gt;N(V_L3_Gracia),(109-N(V_L3_Mes)+1)&lt;=N(V_L3_Gracia)+N(V_L3_Cuotas),N(V_L3_Cuotas)&gt;0),IF((109-N(V_L3_Mes)+1)=N(V_L3_Gracia)+N(V_L3_Cuotas),IF((109-N(V_L3_Mes)+1)=1,N(V_L3_Monto),DI$290),PMT(N(V_L3_Tasa)/12,N(V_L3_Cuotas),-N(V_L3_Monto))-DJ$288),0)*DJ$9</f>
        <v>0</v>
      </c>
      <c r="DK289" s="34" t="n">
        <f aca="false">IF(AND((110-N(V_L3_Mes)+1)&gt;N(V_L3_Gracia),(110-N(V_L3_Mes)+1)&lt;=N(V_L3_Gracia)+N(V_L3_Cuotas),N(V_L3_Cuotas)&gt;0),IF((110-N(V_L3_Mes)+1)=N(V_L3_Gracia)+N(V_L3_Cuotas),IF((110-N(V_L3_Mes)+1)=1,N(V_L3_Monto),DJ$290),PMT(N(V_L3_Tasa)/12,N(V_L3_Cuotas),-N(V_L3_Monto))-DK$288),0)*DK$9</f>
        <v>0</v>
      </c>
      <c r="DL289" s="34" t="n">
        <f aca="false">IF(AND((111-N(V_L3_Mes)+1)&gt;N(V_L3_Gracia),(111-N(V_L3_Mes)+1)&lt;=N(V_L3_Gracia)+N(V_L3_Cuotas),N(V_L3_Cuotas)&gt;0),IF((111-N(V_L3_Mes)+1)=N(V_L3_Gracia)+N(V_L3_Cuotas),IF((111-N(V_L3_Mes)+1)=1,N(V_L3_Monto),DK$290),PMT(N(V_L3_Tasa)/12,N(V_L3_Cuotas),-N(V_L3_Monto))-DL$288),0)*DL$9</f>
        <v>0</v>
      </c>
      <c r="DM289" s="34" t="n">
        <f aca="false">IF(AND((112-N(V_L3_Mes)+1)&gt;N(V_L3_Gracia),(112-N(V_L3_Mes)+1)&lt;=N(V_L3_Gracia)+N(V_L3_Cuotas),N(V_L3_Cuotas)&gt;0),IF((112-N(V_L3_Mes)+1)=N(V_L3_Gracia)+N(V_L3_Cuotas),IF((112-N(V_L3_Mes)+1)=1,N(V_L3_Monto),DL$290),PMT(N(V_L3_Tasa)/12,N(V_L3_Cuotas),-N(V_L3_Monto))-DM$288),0)*DM$9</f>
        <v>0</v>
      </c>
      <c r="DN289" s="34" t="n">
        <f aca="false">IF(AND((113-N(V_L3_Mes)+1)&gt;N(V_L3_Gracia),(113-N(V_L3_Mes)+1)&lt;=N(V_L3_Gracia)+N(V_L3_Cuotas),N(V_L3_Cuotas)&gt;0),IF((113-N(V_L3_Mes)+1)=N(V_L3_Gracia)+N(V_L3_Cuotas),IF((113-N(V_L3_Mes)+1)=1,N(V_L3_Monto),DM$290),PMT(N(V_L3_Tasa)/12,N(V_L3_Cuotas),-N(V_L3_Monto))-DN$288),0)*DN$9</f>
        <v>0</v>
      </c>
      <c r="DO289" s="34" t="n">
        <f aca="false">IF(AND((114-N(V_L3_Mes)+1)&gt;N(V_L3_Gracia),(114-N(V_L3_Mes)+1)&lt;=N(V_L3_Gracia)+N(V_L3_Cuotas),N(V_L3_Cuotas)&gt;0),IF((114-N(V_L3_Mes)+1)=N(V_L3_Gracia)+N(V_L3_Cuotas),IF((114-N(V_L3_Mes)+1)=1,N(V_L3_Monto),DN$290),PMT(N(V_L3_Tasa)/12,N(V_L3_Cuotas),-N(V_L3_Monto))-DO$288),0)*DO$9</f>
        <v>0</v>
      </c>
      <c r="DP289" s="34" t="n">
        <f aca="false">IF(AND((115-N(V_L3_Mes)+1)&gt;N(V_L3_Gracia),(115-N(V_L3_Mes)+1)&lt;=N(V_L3_Gracia)+N(V_L3_Cuotas),N(V_L3_Cuotas)&gt;0),IF((115-N(V_L3_Mes)+1)=N(V_L3_Gracia)+N(V_L3_Cuotas),IF((115-N(V_L3_Mes)+1)=1,N(V_L3_Monto),DO$290),PMT(N(V_L3_Tasa)/12,N(V_L3_Cuotas),-N(V_L3_Monto))-DP$288),0)*DP$9</f>
        <v>0</v>
      </c>
      <c r="DQ289" s="34" t="n">
        <f aca="false">IF(AND((116-N(V_L3_Mes)+1)&gt;N(V_L3_Gracia),(116-N(V_L3_Mes)+1)&lt;=N(V_L3_Gracia)+N(V_L3_Cuotas),N(V_L3_Cuotas)&gt;0),IF((116-N(V_L3_Mes)+1)=N(V_L3_Gracia)+N(V_L3_Cuotas),IF((116-N(V_L3_Mes)+1)=1,N(V_L3_Monto),DP$290),PMT(N(V_L3_Tasa)/12,N(V_L3_Cuotas),-N(V_L3_Monto))-DQ$288),0)*DQ$9</f>
        <v>0</v>
      </c>
      <c r="DR289" s="34" t="n">
        <f aca="false">IF(AND((117-N(V_L3_Mes)+1)&gt;N(V_L3_Gracia),(117-N(V_L3_Mes)+1)&lt;=N(V_L3_Gracia)+N(V_L3_Cuotas),N(V_L3_Cuotas)&gt;0),IF((117-N(V_L3_Mes)+1)=N(V_L3_Gracia)+N(V_L3_Cuotas),IF((117-N(V_L3_Mes)+1)=1,N(V_L3_Monto),DQ$290),PMT(N(V_L3_Tasa)/12,N(V_L3_Cuotas),-N(V_L3_Monto))-DR$288),0)*DR$9</f>
        <v>0</v>
      </c>
      <c r="DS289" s="34" t="n">
        <f aca="false">IF(AND((118-N(V_L3_Mes)+1)&gt;N(V_L3_Gracia),(118-N(V_L3_Mes)+1)&lt;=N(V_L3_Gracia)+N(V_L3_Cuotas),N(V_L3_Cuotas)&gt;0),IF((118-N(V_L3_Mes)+1)=N(V_L3_Gracia)+N(V_L3_Cuotas),IF((118-N(V_L3_Mes)+1)=1,N(V_L3_Monto),DR$290),PMT(N(V_L3_Tasa)/12,N(V_L3_Cuotas),-N(V_L3_Monto))-DS$288),0)*DS$9</f>
        <v>0</v>
      </c>
      <c r="DT289" s="34" t="n">
        <f aca="false">IF(AND((119-N(V_L3_Mes)+1)&gt;N(V_L3_Gracia),(119-N(V_L3_Mes)+1)&lt;=N(V_L3_Gracia)+N(V_L3_Cuotas),N(V_L3_Cuotas)&gt;0),IF((119-N(V_L3_Mes)+1)=N(V_L3_Gracia)+N(V_L3_Cuotas),IF((119-N(V_L3_Mes)+1)=1,N(V_L3_Monto),DS$290),PMT(N(V_L3_Tasa)/12,N(V_L3_Cuotas),-N(V_L3_Monto))-DT$288),0)*DT$9</f>
        <v>0</v>
      </c>
      <c r="DU289" s="34" t="n">
        <f aca="false">IF(AND((120-N(V_L3_Mes)+1)&gt;N(V_L3_Gracia),(120-N(V_L3_Mes)+1)&lt;=N(V_L3_Gracia)+N(V_L3_Cuotas),N(V_L3_Cuotas)&gt;0),IF((120-N(V_L3_Mes)+1)=N(V_L3_Gracia)+N(V_L3_Cuotas),IF((120-N(V_L3_Mes)+1)=1,N(V_L3_Monto),DT$290),PMT(N(V_L3_Tasa)/12,N(V_L3_Cuotas),-N(V_L3_Monto))-DU$288),0)*DU$9</f>
        <v>0</v>
      </c>
      <c r="DV289" s="34" t="n">
        <f aca="false">IF(AND((121-N(V_L3_Mes)+1)&gt;N(V_L3_Gracia),(121-N(V_L3_Mes)+1)&lt;=N(V_L3_Gracia)+N(V_L3_Cuotas),N(V_L3_Cuotas)&gt;0),IF((121-N(V_L3_Mes)+1)=N(V_L3_Gracia)+N(V_L3_Cuotas),IF((121-N(V_L3_Mes)+1)=1,N(V_L3_Monto),DU$290),PMT(N(V_L3_Tasa)/12,N(V_L3_Cuotas),-N(V_L3_Monto))-DV$288),0)*DV$9</f>
        <v>0</v>
      </c>
      <c r="DW289" s="34" t="n">
        <f aca="false">IF(AND((122-N(V_L3_Mes)+1)&gt;N(V_L3_Gracia),(122-N(V_L3_Mes)+1)&lt;=N(V_L3_Gracia)+N(V_L3_Cuotas),N(V_L3_Cuotas)&gt;0),IF((122-N(V_L3_Mes)+1)=N(V_L3_Gracia)+N(V_L3_Cuotas),IF((122-N(V_L3_Mes)+1)=1,N(V_L3_Monto),DV$290),PMT(N(V_L3_Tasa)/12,N(V_L3_Cuotas),-N(V_L3_Monto))-DW$288),0)*DW$9</f>
        <v>0</v>
      </c>
      <c r="DX289" s="34" t="n">
        <f aca="false">IF(AND((123-N(V_L3_Mes)+1)&gt;N(V_L3_Gracia),(123-N(V_L3_Mes)+1)&lt;=N(V_L3_Gracia)+N(V_L3_Cuotas),N(V_L3_Cuotas)&gt;0),IF((123-N(V_L3_Mes)+1)=N(V_L3_Gracia)+N(V_L3_Cuotas),IF((123-N(V_L3_Mes)+1)=1,N(V_L3_Monto),DW$290),PMT(N(V_L3_Tasa)/12,N(V_L3_Cuotas),-N(V_L3_Monto))-DX$288),0)*DX$9</f>
        <v>0</v>
      </c>
      <c r="DY289" s="34" t="n">
        <f aca="false">IF(AND((124-N(V_L3_Mes)+1)&gt;N(V_L3_Gracia),(124-N(V_L3_Mes)+1)&lt;=N(V_L3_Gracia)+N(V_L3_Cuotas),N(V_L3_Cuotas)&gt;0),IF((124-N(V_L3_Mes)+1)=N(V_L3_Gracia)+N(V_L3_Cuotas),IF((124-N(V_L3_Mes)+1)=1,N(V_L3_Monto),DX$290),PMT(N(V_L3_Tasa)/12,N(V_L3_Cuotas),-N(V_L3_Monto))-DY$288),0)*DY$9</f>
        <v>0</v>
      </c>
      <c r="DZ289" s="34" t="n">
        <f aca="false">IF(AND((125-N(V_L3_Mes)+1)&gt;N(V_L3_Gracia),(125-N(V_L3_Mes)+1)&lt;=N(V_L3_Gracia)+N(V_L3_Cuotas),N(V_L3_Cuotas)&gt;0),IF((125-N(V_L3_Mes)+1)=N(V_L3_Gracia)+N(V_L3_Cuotas),IF((125-N(V_L3_Mes)+1)=1,N(V_L3_Monto),DY$290),PMT(N(V_L3_Tasa)/12,N(V_L3_Cuotas),-N(V_L3_Monto))-DZ$288),0)*DZ$9</f>
        <v>0</v>
      </c>
      <c r="EA289" s="34" t="n">
        <f aca="false">IF(AND((126-N(V_L3_Mes)+1)&gt;N(V_L3_Gracia),(126-N(V_L3_Mes)+1)&lt;=N(V_L3_Gracia)+N(V_L3_Cuotas),N(V_L3_Cuotas)&gt;0),IF((126-N(V_L3_Mes)+1)=N(V_L3_Gracia)+N(V_L3_Cuotas),IF((126-N(V_L3_Mes)+1)=1,N(V_L3_Monto),DZ$290),PMT(N(V_L3_Tasa)/12,N(V_L3_Cuotas),-N(V_L3_Monto))-EA$288),0)*EA$9</f>
        <v>0</v>
      </c>
      <c r="EB289" s="34" t="n">
        <f aca="false">IF(AND((127-N(V_L3_Mes)+1)&gt;N(V_L3_Gracia),(127-N(V_L3_Mes)+1)&lt;=N(V_L3_Gracia)+N(V_L3_Cuotas),N(V_L3_Cuotas)&gt;0),IF((127-N(V_L3_Mes)+1)=N(V_L3_Gracia)+N(V_L3_Cuotas),IF((127-N(V_L3_Mes)+1)=1,N(V_L3_Monto),EA$290),PMT(N(V_L3_Tasa)/12,N(V_L3_Cuotas),-N(V_L3_Monto))-EB$288),0)*EB$9</f>
        <v>0</v>
      </c>
      <c r="EC289" s="34" t="n">
        <f aca="false">IF(AND((128-N(V_L3_Mes)+1)&gt;N(V_L3_Gracia),(128-N(V_L3_Mes)+1)&lt;=N(V_L3_Gracia)+N(V_L3_Cuotas),N(V_L3_Cuotas)&gt;0),IF((128-N(V_L3_Mes)+1)=N(V_L3_Gracia)+N(V_L3_Cuotas),IF((128-N(V_L3_Mes)+1)=1,N(V_L3_Monto),EB$290),PMT(N(V_L3_Tasa)/12,N(V_L3_Cuotas),-N(V_L3_Monto))-EC$288),0)*EC$9</f>
        <v>0</v>
      </c>
      <c r="ED289" s="34" t="n">
        <f aca="false">IF(AND((129-N(V_L3_Mes)+1)&gt;N(V_L3_Gracia),(129-N(V_L3_Mes)+1)&lt;=N(V_L3_Gracia)+N(V_L3_Cuotas),N(V_L3_Cuotas)&gt;0),IF((129-N(V_L3_Mes)+1)=N(V_L3_Gracia)+N(V_L3_Cuotas),IF((129-N(V_L3_Mes)+1)=1,N(V_L3_Monto),EC$290),PMT(N(V_L3_Tasa)/12,N(V_L3_Cuotas),-N(V_L3_Monto))-ED$288),0)*ED$9</f>
        <v>0</v>
      </c>
      <c r="EE289" s="34" t="n">
        <f aca="false">IF(AND((130-N(V_L3_Mes)+1)&gt;N(V_L3_Gracia),(130-N(V_L3_Mes)+1)&lt;=N(V_L3_Gracia)+N(V_L3_Cuotas),N(V_L3_Cuotas)&gt;0),IF((130-N(V_L3_Mes)+1)=N(V_L3_Gracia)+N(V_L3_Cuotas),IF((130-N(V_L3_Mes)+1)=1,N(V_L3_Monto),ED$290),PMT(N(V_L3_Tasa)/12,N(V_L3_Cuotas),-N(V_L3_Monto))-EE$288),0)*EE$9</f>
        <v>0</v>
      </c>
      <c r="EF289" s="34" t="n">
        <f aca="false">IF(AND((131-N(V_L3_Mes)+1)&gt;N(V_L3_Gracia),(131-N(V_L3_Mes)+1)&lt;=N(V_L3_Gracia)+N(V_L3_Cuotas),N(V_L3_Cuotas)&gt;0),IF((131-N(V_L3_Mes)+1)=N(V_L3_Gracia)+N(V_L3_Cuotas),IF((131-N(V_L3_Mes)+1)=1,N(V_L3_Monto),EE$290),PMT(N(V_L3_Tasa)/12,N(V_L3_Cuotas),-N(V_L3_Monto))-EF$288),0)*EF$9</f>
        <v>0</v>
      </c>
      <c r="EG289" s="34" t="n">
        <f aca="false">IF(AND((132-N(V_L3_Mes)+1)&gt;N(V_L3_Gracia),(132-N(V_L3_Mes)+1)&lt;=N(V_L3_Gracia)+N(V_L3_Cuotas),N(V_L3_Cuotas)&gt;0),IF((132-N(V_L3_Mes)+1)=N(V_L3_Gracia)+N(V_L3_Cuotas),IF((132-N(V_L3_Mes)+1)=1,N(V_L3_Monto),EF$290),PMT(N(V_L3_Tasa)/12,N(V_L3_Cuotas),-N(V_L3_Monto))-EG$288),0)*EG$9</f>
        <v>0</v>
      </c>
      <c r="EH289" s="34" t="n">
        <f aca="false">IF(AND((133-N(V_L3_Mes)+1)&gt;N(V_L3_Gracia),(133-N(V_L3_Mes)+1)&lt;=N(V_L3_Gracia)+N(V_L3_Cuotas),N(V_L3_Cuotas)&gt;0),IF((133-N(V_L3_Mes)+1)=N(V_L3_Gracia)+N(V_L3_Cuotas),IF((133-N(V_L3_Mes)+1)=1,N(V_L3_Monto),EG$290),PMT(N(V_L3_Tasa)/12,N(V_L3_Cuotas),-N(V_L3_Monto))-EH$288),0)*EH$9</f>
        <v>0</v>
      </c>
      <c r="EI289" s="34" t="n">
        <f aca="false">IF(AND((134-N(V_L3_Mes)+1)&gt;N(V_L3_Gracia),(134-N(V_L3_Mes)+1)&lt;=N(V_L3_Gracia)+N(V_L3_Cuotas),N(V_L3_Cuotas)&gt;0),IF((134-N(V_L3_Mes)+1)=N(V_L3_Gracia)+N(V_L3_Cuotas),IF((134-N(V_L3_Mes)+1)=1,N(V_L3_Monto),EH$290),PMT(N(V_L3_Tasa)/12,N(V_L3_Cuotas),-N(V_L3_Monto))-EI$288),0)*EI$9</f>
        <v>0</v>
      </c>
      <c r="EJ289" s="34" t="n">
        <f aca="false">IF(AND((135-N(V_L3_Mes)+1)&gt;N(V_L3_Gracia),(135-N(V_L3_Mes)+1)&lt;=N(V_L3_Gracia)+N(V_L3_Cuotas),N(V_L3_Cuotas)&gt;0),IF((135-N(V_L3_Mes)+1)=N(V_L3_Gracia)+N(V_L3_Cuotas),IF((135-N(V_L3_Mes)+1)=1,N(V_L3_Monto),EI$290),PMT(N(V_L3_Tasa)/12,N(V_L3_Cuotas),-N(V_L3_Monto))-EJ$288),0)*EJ$9</f>
        <v>0</v>
      </c>
      <c r="EK289" s="34" t="n">
        <f aca="false">IF(AND((136-N(V_L3_Mes)+1)&gt;N(V_L3_Gracia),(136-N(V_L3_Mes)+1)&lt;=N(V_L3_Gracia)+N(V_L3_Cuotas),N(V_L3_Cuotas)&gt;0),IF((136-N(V_L3_Mes)+1)=N(V_L3_Gracia)+N(V_L3_Cuotas),IF((136-N(V_L3_Mes)+1)=1,N(V_L3_Monto),EJ$290),PMT(N(V_L3_Tasa)/12,N(V_L3_Cuotas),-N(V_L3_Monto))-EK$288),0)*EK$9</f>
        <v>0</v>
      </c>
      <c r="EL289" s="34" t="n">
        <f aca="false">IF(AND((137-N(V_L3_Mes)+1)&gt;N(V_L3_Gracia),(137-N(V_L3_Mes)+1)&lt;=N(V_L3_Gracia)+N(V_L3_Cuotas),N(V_L3_Cuotas)&gt;0),IF((137-N(V_L3_Mes)+1)=N(V_L3_Gracia)+N(V_L3_Cuotas),IF((137-N(V_L3_Mes)+1)=1,N(V_L3_Monto),EK$290),PMT(N(V_L3_Tasa)/12,N(V_L3_Cuotas),-N(V_L3_Monto))-EL$288),0)*EL$9</f>
        <v>0</v>
      </c>
      <c r="EM289" s="34" t="n">
        <f aca="false">IF(AND((138-N(V_L3_Mes)+1)&gt;N(V_L3_Gracia),(138-N(V_L3_Mes)+1)&lt;=N(V_L3_Gracia)+N(V_L3_Cuotas),N(V_L3_Cuotas)&gt;0),IF((138-N(V_L3_Mes)+1)=N(V_L3_Gracia)+N(V_L3_Cuotas),IF((138-N(V_L3_Mes)+1)=1,N(V_L3_Monto),EL$290),PMT(N(V_L3_Tasa)/12,N(V_L3_Cuotas),-N(V_L3_Monto))-EM$288),0)*EM$9</f>
        <v>0</v>
      </c>
      <c r="EN289" s="34" t="n">
        <f aca="false">IF(AND((139-N(V_L3_Mes)+1)&gt;N(V_L3_Gracia),(139-N(V_L3_Mes)+1)&lt;=N(V_L3_Gracia)+N(V_L3_Cuotas),N(V_L3_Cuotas)&gt;0),IF((139-N(V_L3_Mes)+1)=N(V_L3_Gracia)+N(V_L3_Cuotas),IF((139-N(V_L3_Mes)+1)=1,N(V_L3_Monto),EM$290),PMT(N(V_L3_Tasa)/12,N(V_L3_Cuotas),-N(V_L3_Monto))-EN$288),0)*EN$9</f>
        <v>0</v>
      </c>
      <c r="EO289" s="34" t="n">
        <f aca="false">IF(AND((140-N(V_L3_Mes)+1)&gt;N(V_L3_Gracia),(140-N(V_L3_Mes)+1)&lt;=N(V_L3_Gracia)+N(V_L3_Cuotas),N(V_L3_Cuotas)&gt;0),IF((140-N(V_L3_Mes)+1)=N(V_L3_Gracia)+N(V_L3_Cuotas),IF((140-N(V_L3_Mes)+1)=1,N(V_L3_Monto),EN$290),PMT(N(V_L3_Tasa)/12,N(V_L3_Cuotas),-N(V_L3_Monto))-EO$288),0)*EO$9</f>
        <v>0</v>
      </c>
      <c r="EP289" s="34" t="n">
        <f aca="false">IF(AND((141-N(V_L3_Mes)+1)&gt;N(V_L3_Gracia),(141-N(V_L3_Mes)+1)&lt;=N(V_L3_Gracia)+N(V_L3_Cuotas),N(V_L3_Cuotas)&gt;0),IF((141-N(V_L3_Mes)+1)=N(V_L3_Gracia)+N(V_L3_Cuotas),IF((141-N(V_L3_Mes)+1)=1,N(V_L3_Monto),EO$290),PMT(N(V_L3_Tasa)/12,N(V_L3_Cuotas),-N(V_L3_Monto))-EP$288),0)*EP$9</f>
        <v>0</v>
      </c>
      <c r="EQ289" s="34" t="n">
        <f aca="false">IF(AND((142-N(V_L3_Mes)+1)&gt;N(V_L3_Gracia),(142-N(V_L3_Mes)+1)&lt;=N(V_L3_Gracia)+N(V_L3_Cuotas),N(V_L3_Cuotas)&gt;0),IF((142-N(V_L3_Mes)+1)=N(V_L3_Gracia)+N(V_L3_Cuotas),IF((142-N(V_L3_Mes)+1)=1,N(V_L3_Monto),EP$290),PMT(N(V_L3_Tasa)/12,N(V_L3_Cuotas),-N(V_L3_Monto))-EQ$288),0)*EQ$9</f>
        <v>0</v>
      </c>
      <c r="ER289" s="34" t="n">
        <f aca="false">IF(AND((143-N(V_L3_Mes)+1)&gt;N(V_L3_Gracia),(143-N(V_L3_Mes)+1)&lt;=N(V_L3_Gracia)+N(V_L3_Cuotas),N(V_L3_Cuotas)&gt;0),IF((143-N(V_L3_Mes)+1)=N(V_L3_Gracia)+N(V_L3_Cuotas),IF((143-N(V_L3_Mes)+1)=1,N(V_L3_Monto),EQ$290),PMT(N(V_L3_Tasa)/12,N(V_L3_Cuotas),-N(V_L3_Monto))-ER$288),0)*ER$9</f>
        <v>0</v>
      </c>
      <c r="ES289" s="34" t="n">
        <f aca="false">IF(AND((144-N(V_L3_Mes)+1)&gt;N(V_L3_Gracia),(144-N(V_L3_Mes)+1)&lt;=N(V_L3_Gracia)+N(V_L3_Cuotas),N(V_L3_Cuotas)&gt;0),IF((144-N(V_L3_Mes)+1)=N(V_L3_Gracia)+N(V_L3_Cuotas),IF((144-N(V_L3_Mes)+1)=1,N(V_L3_Monto),ER$290),PMT(N(V_L3_Tasa)/12,N(V_L3_Cuotas),-N(V_L3_Monto))-ES$288),0)*ES$9</f>
        <v>0</v>
      </c>
    </row>
    <row r="290" customFormat="false" ht="15" hidden="false" customHeight="false" outlineLevel="0" collapsed="false">
      <c r="A290" s="2" t="s">
        <v>927</v>
      </c>
      <c r="B290" s="6" t="s">
        <v>752</v>
      </c>
      <c r="C290" s="6" t="s">
        <v>250</v>
      </c>
      <c r="E290" s="40" t="n">
        <f aca="false">INDEX(F290:ES290,1,MIN(144,Fin))</f>
        <v>0</v>
      </c>
      <c r="F290" s="34" t="n">
        <f aca="false">IF((1-N(V_L3_Mes)+1)&lt;1,0,IF((1-N(V_L3_Mes)+1)=1,N(V_L3_Monto),0)-F$289)</f>
        <v>0</v>
      </c>
      <c r="G290" s="34" t="n">
        <f aca="false">IF((2-N(V_L3_Mes)+1)&lt;1,0,IF((2-N(V_L3_Mes)+1)=1,N(V_L3_Monto),F$290)-G$289)</f>
        <v>0</v>
      </c>
      <c r="H290" s="34" t="n">
        <f aca="false">IF((3-N(V_L3_Mes)+1)&lt;1,0,IF((3-N(V_L3_Mes)+1)=1,N(V_L3_Monto),G$290)-H$289)</f>
        <v>0</v>
      </c>
      <c r="I290" s="34" t="n">
        <f aca="false">IF((4-N(V_L3_Mes)+1)&lt;1,0,IF((4-N(V_L3_Mes)+1)=1,N(V_L3_Monto),H$290)-I$289)</f>
        <v>0</v>
      </c>
      <c r="J290" s="34" t="n">
        <f aca="false">IF((5-N(V_L3_Mes)+1)&lt;1,0,IF((5-N(V_L3_Mes)+1)=1,N(V_L3_Monto),I$290)-J$289)</f>
        <v>0</v>
      </c>
      <c r="K290" s="34" t="n">
        <f aca="false">IF((6-N(V_L3_Mes)+1)&lt;1,0,IF((6-N(V_L3_Mes)+1)=1,N(V_L3_Monto),J$290)-K$289)</f>
        <v>0</v>
      </c>
      <c r="L290" s="34" t="n">
        <f aca="false">IF((7-N(V_L3_Mes)+1)&lt;1,0,IF((7-N(V_L3_Mes)+1)=1,N(V_L3_Monto),K$290)-L$289)</f>
        <v>0</v>
      </c>
      <c r="M290" s="34" t="n">
        <f aca="false">IF((8-N(V_L3_Mes)+1)&lt;1,0,IF((8-N(V_L3_Mes)+1)=1,N(V_L3_Monto),L$290)-M$289)</f>
        <v>0</v>
      </c>
      <c r="N290" s="34" t="n">
        <f aca="false">IF((9-N(V_L3_Mes)+1)&lt;1,0,IF((9-N(V_L3_Mes)+1)=1,N(V_L3_Monto),M$290)-N$289)</f>
        <v>0</v>
      </c>
      <c r="O290" s="34" t="n">
        <f aca="false">IF((10-N(V_L3_Mes)+1)&lt;1,0,IF((10-N(V_L3_Mes)+1)=1,N(V_L3_Monto),N$290)-O$289)</f>
        <v>0</v>
      </c>
      <c r="P290" s="34" t="n">
        <f aca="false">IF((11-N(V_L3_Mes)+1)&lt;1,0,IF((11-N(V_L3_Mes)+1)=1,N(V_L3_Monto),O$290)-P$289)</f>
        <v>0</v>
      </c>
      <c r="Q290" s="34" t="n">
        <f aca="false">IF((12-N(V_L3_Mes)+1)&lt;1,0,IF((12-N(V_L3_Mes)+1)=1,N(V_L3_Monto),P$290)-Q$289)</f>
        <v>0</v>
      </c>
      <c r="R290" s="34" t="n">
        <f aca="false">IF((13-N(V_L3_Mes)+1)&lt;1,0,IF((13-N(V_L3_Mes)+1)=1,N(V_L3_Monto),Q$290)-R$289)</f>
        <v>0</v>
      </c>
      <c r="S290" s="34" t="n">
        <f aca="false">IF((14-N(V_L3_Mes)+1)&lt;1,0,IF((14-N(V_L3_Mes)+1)=1,N(V_L3_Monto),R$290)-S$289)</f>
        <v>0</v>
      </c>
      <c r="T290" s="34" t="n">
        <f aca="false">IF((15-N(V_L3_Mes)+1)&lt;1,0,IF((15-N(V_L3_Mes)+1)=1,N(V_L3_Monto),S$290)-T$289)</f>
        <v>0</v>
      </c>
      <c r="U290" s="34" t="n">
        <f aca="false">IF((16-N(V_L3_Mes)+1)&lt;1,0,IF((16-N(V_L3_Mes)+1)=1,N(V_L3_Monto),T$290)-U$289)</f>
        <v>0</v>
      </c>
      <c r="V290" s="34" t="n">
        <f aca="false">IF((17-N(V_L3_Mes)+1)&lt;1,0,IF((17-N(V_L3_Mes)+1)=1,N(V_L3_Monto),U$290)-V$289)</f>
        <v>0</v>
      </c>
      <c r="W290" s="34" t="n">
        <f aca="false">IF((18-N(V_L3_Mes)+1)&lt;1,0,IF((18-N(V_L3_Mes)+1)=1,N(V_L3_Monto),V$290)-W$289)</f>
        <v>0</v>
      </c>
      <c r="X290" s="34" t="n">
        <f aca="false">IF((19-N(V_L3_Mes)+1)&lt;1,0,IF((19-N(V_L3_Mes)+1)=1,N(V_L3_Monto),W$290)-X$289)</f>
        <v>0</v>
      </c>
      <c r="Y290" s="34" t="n">
        <f aca="false">IF((20-N(V_L3_Mes)+1)&lt;1,0,IF((20-N(V_L3_Mes)+1)=1,N(V_L3_Monto),X$290)-Y$289)</f>
        <v>0</v>
      </c>
      <c r="Z290" s="34" t="n">
        <f aca="false">IF((21-N(V_L3_Mes)+1)&lt;1,0,IF((21-N(V_L3_Mes)+1)=1,N(V_L3_Monto),Y$290)-Z$289)</f>
        <v>0</v>
      </c>
      <c r="AA290" s="34" t="n">
        <f aca="false">IF((22-N(V_L3_Mes)+1)&lt;1,0,IF((22-N(V_L3_Mes)+1)=1,N(V_L3_Monto),Z$290)-AA$289)</f>
        <v>0</v>
      </c>
      <c r="AB290" s="34" t="n">
        <f aca="false">IF((23-N(V_L3_Mes)+1)&lt;1,0,IF((23-N(V_L3_Mes)+1)=1,N(V_L3_Monto),AA$290)-AB$289)</f>
        <v>0</v>
      </c>
      <c r="AC290" s="34" t="n">
        <f aca="false">IF((24-N(V_L3_Mes)+1)&lt;1,0,IF((24-N(V_L3_Mes)+1)=1,N(V_L3_Monto),AB$290)-AC$289)</f>
        <v>0</v>
      </c>
      <c r="AD290" s="34" t="n">
        <f aca="false">IF((25-N(V_L3_Mes)+1)&lt;1,0,IF((25-N(V_L3_Mes)+1)=1,N(V_L3_Monto),AC$290)-AD$289)</f>
        <v>0</v>
      </c>
      <c r="AE290" s="34" t="n">
        <f aca="false">IF((26-N(V_L3_Mes)+1)&lt;1,0,IF((26-N(V_L3_Mes)+1)=1,N(V_L3_Monto),AD$290)-AE$289)</f>
        <v>0</v>
      </c>
      <c r="AF290" s="34" t="n">
        <f aca="false">IF((27-N(V_L3_Mes)+1)&lt;1,0,IF((27-N(V_L3_Mes)+1)=1,N(V_L3_Monto),AE$290)-AF$289)</f>
        <v>0</v>
      </c>
      <c r="AG290" s="34" t="n">
        <f aca="false">IF((28-N(V_L3_Mes)+1)&lt;1,0,IF((28-N(V_L3_Mes)+1)=1,N(V_L3_Monto),AF$290)-AG$289)</f>
        <v>0</v>
      </c>
      <c r="AH290" s="34" t="n">
        <f aca="false">IF((29-N(V_L3_Mes)+1)&lt;1,0,IF((29-N(V_L3_Mes)+1)=1,N(V_L3_Monto),AG$290)-AH$289)</f>
        <v>0</v>
      </c>
      <c r="AI290" s="34" t="n">
        <f aca="false">IF((30-N(V_L3_Mes)+1)&lt;1,0,IF((30-N(V_L3_Mes)+1)=1,N(V_L3_Monto),AH$290)-AI$289)</f>
        <v>0</v>
      </c>
      <c r="AJ290" s="34" t="n">
        <f aca="false">IF((31-N(V_L3_Mes)+1)&lt;1,0,IF((31-N(V_L3_Mes)+1)=1,N(V_L3_Monto),AI$290)-AJ$289)</f>
        <v>0</v>
      </c>
      <c r="AK290" s="34" t="n">
        <f aca="false">IF((32-N(V_L3_Mes)+1)&lt;1,0,IF((32-N(V_L3_Mes)+1)=1,N(V_L3_Monto),AJ$290)-AK$289)</f>
        <v>0</v>
      </c>
      <c r="AL290" s="34" t="n">
        <f aca="false">IF((33-N(V_L3_Mes)+1)&lt;1,0,IF((33-N(V_L3_Mes)+1)=1,N(V_L3_Monto),AK$290)-AL$289)</f>
        <v>0</v>
      </c>
      <c r="AM290" s="34" t="n">
        <f aca="false">IF((34-N(V_L3_Mes)+1)&lt;1,0,IF((34-N(V_L3_Mes)+1)=1,N(V_L3_Monto),AL$290)-AM$289)</f>
        <v>0</v>
      </c>
      <c r="AN290" s="34" t="n">
        <f aca="false">IF((35-N(V_L3_Mes)+1)&lt;1,0,IF((35-N(V_L3_Mes)+1)=1,N(V_L3_Monto),AM$290)-AN$289)</f>
        <v>0</v>
      </c>
      <c r="AO290" s="34" t="n">
        <f aca="false">IF((36-N(V_L3_Mes)+1)&lt;1,0,IF((36-N(V_L3_Mes)+1)=1,N(V_L3_Monto),AN$290)-AO$289)</f>
        <v>0</v>
      </c>
      <c r="AP290" s="34" t="n">
        <f aca="false">IF((37-N(V_L3_Mes)+1)&lt;1,0,IF((37-N(V_L3_Mes)+1)=1,N(V_L3_Monto),AO$290)-AP$289)</f>
        <v>0</v>
      </c>
      <c r="AQ290" s="34" t="n">
        <f aca="false">IF((38-N(V_L3_Mes)+1)&lt;1,0,IF((38-N(V_L3_Mes)+1)=1,N(V_L3_Monto),AP$290)-AQ$289)</f>
        <v>0</v>
      </c>
      <c r="AR290" s="34" t="n">
        <f aca="false">IF((39-N(V_L3_Mes)+1)&lt;1,0,IF((39-N(V_L3_Mes)+1)=1,N(V_L3_Monto),AQ$290)-AR$289)</f>
        <v>0</v>
      </c>
      <c r="AS290" s="34" t="n">
        <f aca="false">IF((40-N(V_L3_Mes)+1)&lt;1,0,IF((40-N(V_L3_Mes)+1)=1,N(V_L3_Monto),AR$290)-AS$289)</f>
        <v>0</v>
      </c>
      <c r="AT290" s="34" t="n">
        <f aca="false">IF((41-N(V_L3_Mes)+1)&lt;1,0,IF((41-N(V_L3_Mes)+1)=1,N(V_L3_Monto),AS$290)-AT$289)</f>
        <v>0</v>
      </c>
      <c r="AU290" s="34" t="n">
        <f aca="false">IF((42-N(V_L3_Mes)+1)&lt;1,0,IF((42-N(V_L3_Mes)+1)=1,N(V_L3_Monto),AT$290)-AU$289)</f>
        <v>0</v>
      </c>
      <c r="AV290" s="34" t="n">
        <f aca="false">IF((43-N(V_L3_Mes)+1)&lt;1,0,IF((43-N(V_L3_Mes)+1)=1,N(V_L3_Monto),AU$290)-AV$289)</f>
        <v>0</v>
      </c>
      <c r="AW290" s="34" t="n">
        <f aca="false">IF((44-N(V_L3_Mes)+1)&lt;1,0,IF((44-N(V_L3_Mes)+1)=1,N(V_L3_Monto),AV$290)-AW$289)</f>
        <v>0</v>
      </c>
      <c r="AX290" s="34" t="n">
        <f aca="false">IF((45-N(V_L3_Mes)+1)&lt;1,0,IF((45-N(V_L3_Mes)+1)=1,N(V_L3_Monto),AW$290)-AX$289)</f>
        <v>0</v>
      </c>
      <c r="AY290" s="34" t="n">
        <f aca="false">IF((46-N(V_L3_Mes)+1)&lt;1,0,IF((46-N(V_L3_Mes)+1)=1,N(V_L3_Monto),AX$290)-AY$289)</f>
        <v>0</v>
      </c>
      <c r="AZ290" s="34" t="n">
        <f aca="false">IF((47-N(V_L3_Mes)+1)&lt;1,0,IF((47-N(V_L3_Mes)+1)=1,N(V_L3_Monto),AY$290)-AZ$289)</f>
        <v>0</v>
      </c>
      <c r="BA290" s="34" t="n">
        <f aca="false">IF((48-N(V_L3_Mes)+1)&lt;1,0,IF((48-N(V_L3_Mes)+1)=1,N(V_L3_Monto),AZ$290)-BA$289)</f>
        <v>0</v>
      </c>
      <c r="BB290" s="34" t="n">
        <f aca="false">IF((49-N(V_L3_Mes)+1)&lt;1,0,IF((49-N(V_L3_Mes)+1)=1,N(V_L3_Monto),BA$290)-BB$289)</f>
        <v>0</v>
      </c>
      <c r="BC290" s="34" t="n">
        <f aca="false">IF((50-N(V_L3_Mes)+1)&lt;1,0,IF((50-N(V_L3_Mes)+1)=1,N(V_L3_Monto),BB$290)-BC$289)</f>
        <v>0</v>
      </c>
      <c r="BD290" s="34" t="n">
        <f aca="false">IF((51-N(V_L3_Mes)+1)&lt;1,0,IF((51-N(V_L3_Mes)+1)=1,N(V_L3_Monto),BC$290)-BD$289)</f>
        <v>0</v>
      </c>
      <c r="BE290" s="34" t="n">
        <f aca="false">IF((52-N(V_L3_Mes)+1)&lt;1,0,IF((52-N(V_L3_Mes)+1)=1,N(V_L3_Monto),BD$290)-BE$289)</f>
        <v>0</v>
      </c>
      <c r="BF290" s="34" t="n">
        <f aca="false">IF((53-N(V_L3_Mes)+1)&lt;1,0,IF((53-N(V_L3_Mes)+1)=1,N(V_L3_Monto),BE$290)-BF$289)</f>
        <v>0</v>
      </c>
      <c r="BG290" s="34" t="n">
        <f aca="false">IF((54-N(V_L3_Mes)+1)&lt;1,0,IF((54-N(V_L3_Mes)+1)=1,N(V_L3_Monto),BF$290)-BG$289)</f>
        <v>0</v>
      </c>
      <c r="BH290" s="34" t="n">
        <f aca="false">IF((55-N(V_L3_Mes)+1)&lt;1,0,IF((55-N(V_L3_Mes)+1)=1,N(V_L3_Monto),BG$290)-BH$289)</f>
        <v>0</v>
      </c>
      <c r="BI290" s="34" t="n">
        <f aca="false">IF((56-N(V_L3_Mes)+1)&lt;1,0,IF((56-N(V_L3_Mes)+1)=1,N(V_L3_Monto),BH$290)-BI$289)</f>
        <v>0</v>
      </c>
      <c r="BJ290" s="34" t="n">
        <f aca="false">IF((57-N(V_L3_Mes)+1)&lt;1,0,IF((57-N(V_L3_Mes)+1)=1,N(V_L3_Monto),BI$290)-BJ$289)</f>
        <v>0</v>
      </c>
      <c r="BK290" s="34" t="n">
        <f aca="false">IF((58-N(V_L3_Mes)+1)&lt;1,0,IF((58-N(V_L3_Mes)+1)=1,N(V_L3_Monto),BJ$290)-BK$289)</f>
        <v>0</v>
      </c>
      <c r="BL290" s="34" t="n">
        <f aca="false">IF((59-N(V_L3_Mes)+1)&lt;1,0,IF((59-N(V_L3_Mes)+1)=1,N(V_L3_Monto),BK$290)-BL$289)</f>
        <v>0</v>
      </c>
      <c r="BM290" s="34" t="n">
        <f aca="false">IF((60-N(V_L3_Mes)+1)&lt;1,0,IF((60-N(V_L3_Mes)+1)=1,N(V_L3_Monto),BL$290)-BM$289)</f>
        <v>0</v>
      </c>
      <c r="BN290" s="34" t="n">
        <f aca="false">IF((61-N(V_L3_Mes)+1)&lt;1,0,IF((61-N(V_L3_Mes)+1)=1,N(V_L3_Monto),BM$290)-BN$289)</f>
        <v>0</v>
      </c>
      <c r="BO290" s="34" t="n">
        <f aca="false">IF((62-N(V_L3_Mes)+1)&lt;1,0,IF((62-N(V_L3_Mes)+1)=1,N(V_L3_Monto),BN$290)-BO$289)</f>
        <v>0</v>
      </c>
      <c r="BP290" s="34" t="n">
        <f aca="false">IF((63-N(V_L3_Mes)+1)&lt;1,0,IF((63-N(V_L3_Mes)+1)=1,N(V_L3_Monto),BO$290)-BP$289)</f>
        <v>0</v>
      </c>
      <c r="BQ290" s="34" t="n">
        <f aca="false">IF((64-N(V_L3_Mes)+1)&lt;1,0,IF((64-N(V_L3_Mes)+1)=1,N(V_L3_Monto),BP$290)-BQ$289)</f>
        <v>0</v>
      </c>
      <c r="BR290" s="34" t="n">
        <f aca="false">IF((65-N(V_L3_Mes)+1)&lt;1,0,IF((65-N(V_L3_Mes)+1)=1,N(V_L3_Monto),BQ$290)-BR$289)</f>
        <v>0</v>
      </c>
      <c r="BS290" s="34" t="n">
        <f aca="false">IF((66-N(V_L3_Mes)+1)&lt;1,0,IF((66-N(V_L3_Mes)+1)=1,N(V_L3_Monto),BR$290)-BS$289)</f>
        <v>0</v>
      </c>
      <c r="BT290" s="34" t="n">
        <f aca="false">IF((67-N(V_L3_Mes)+1)&lt;1,0,IF((67-N(V_L3_Mes)+1)=1,N(V_L3_Monto),BS$290)-BT$289)</f>
        <v>0</v>
      </c>
      <c r="BU290" s="34" t="n">
        <f aca="false">IF((68-N(V_L3_Mes)+1)&lt;1,0,IF((68-N(V_L3_Mes)+1)=1,N(V_L3_Monto),BT$290)-BU$289)</f>
        <v>0</v>
      </c>
      <c r="BV290" s="34" t="n">
        <f aca="false">IF((69-N(V_L3_Mes)+1)&lt;1,0,IF((69-N(V_L3_Mes)+1)=1,N(V_L3_Monto),BU$290)-BV$289)</f>
        <v>0</v>
      </c>
      <c r="BW290" s="34" t="n">
        <f aca="false">IF((70-N(V_L3_Mes)+1)&lt;1,0,IF((70-N(V_L3_Mes)+1)=1,N(V_L3_Monto),BV$290)-BW$289)</f>
        <v>0</v>
      </c>
      <c r="BX290" s="34" t="n">
        <f aca="false">IF((71-N(V_L3_Mes)+1)&lt;1,0,IF((71-N(V_L3_Mes)+1)=1,N(V_L3_Monto),BW$290)-BX$289)</f>
        <v>0</v>
      </c>
      <c r="BY290" s="34" t="n">
        <f aca="false">IF((72-N(V_L3_Mes)+1)&lt;1,0,IF((72-N(V_L3_Mes)+1)=1,N(V_L3_Monto),BX$290)-BY$289)</f>
        <v>0</v>
      </c>
      <c r="BZ290" s="34" t="n">
        <f aca="false">IF((73-N(V_L3_Mes)+1)&lt;1,0,IF((73-N(V_L3_Mes)+1)=1,N(V_L3_Monto),BY$290)-BZ$289)</f>
        <v>0</v>
      </c>
      <c r="CA290" s="34" t="n">
        <f aca="false">IF((74-N(V_L3_Mes)+1)&lt;1,0,IF((74-N(V_L3_Mes)+1)=1,N(V_L3_Monto),BZ$290)-CA$289)</f>
        <v>0</v>
      </c>
      <c r="CB290" s="34" t="n">
        <f aca="false">IF((75-N(V_L3_Mes)+1)&lt;1,0,IF((75-N(V_L3_Mes)+1)=1,N(V_L3_Monto),CA$290)-CB$289)</f>
        <v>0</v>
      </c>
      <c r="CC290" s="34" t="n">
        <f aca="false">IF((76-N(V_L3_Mes)+1)&lt;1,0,IF((76-N(V_L3_Mes)+1)=1,N(V_L3_Monto),CB$290)-CC$289)</f>
        <v>0</v>
      </c>
      <c r="CD290" s="34" t="n">
        <f aca="false">IF((77-N(V_L3_Mes)+1)&lt;1,0,IF((77-N(V_L3_Mes)+1)=1,N(V_L3_Monto),CC$290)-CD$289)</f>
        <v>0</v>
      </c>
      <c r="CE290" s="34" t="n">
        <f aca="false">IF((78-N(V_L3_Mes)+1)&lt;1,0,IF((78-N(V_L3_Mes)+1)=1,N(V_L3_Monto),CD$290)-CE$289)</f>
        <v>0</v>
      </c>
      <c r="CF290" s="34" t="n">
        <f aca="false">IF((79-N(V_L3_Mes)+1)&lt;1,0,IF((79-N(V_L3_Mes)+1)=1,N(V_L3_Monto),CE$290)-CF$289)</f>
        <v>0</v>
      </c>
      <c r="CG290" s="34" t="n">
        <f aca="false">IF((80-N(V_L3_Mes)+1)&lt;1,0,IF((80-N(V_L3_Mes)+1)=1,N(V_L3_Monto),CF$290)-CG$289)</f>
        <v>0</v>
      </c>
      <c r="CH290" s="34" t="n">
        <f aca="false">IF((81-N(V_L3_Mes)+1)&lt;1,0,IF((81-N(V_L3_Mes)+1)=1,N(V_L3_Monto),CG$290)-CH$289)</f>
        <v>0</v>
      </c>
      <c r="CI290" s="34" t="n">
        <f aca="false">IF((82-N(V_L3_Mes)+1)&lt;1,0,IF((82-N(V_L3_Mes)+1)=1,N(V_L3_Monto),CH$290)-CI$289)</f>
        <v>0</v>
      </c>
      <c r="CJ290" s="34" t="n">
        <f aca="false">IF((83-N(V_L3_Mes)+1)&lt;1,0,IF((83-N(V_L3_Mes)+1)=1,N(V_L3_Monto),CI$290)-CJ$289)</f>
        <v>0</v>
      </c>
      <c r="CK290" s="34" t="n">
        <f aca="false">IF((84-N(V_L3_Mes)+1)&lt;1,0,IF((84-N(V_L3_Mes)+1)=1,N(V_L3_Monto),CJ$290)-CK$289)</f>
        <v>0</v>
      </c>
      <c r="CL290" s="34" t="n">
        <f aca="false">IF((85-N(V_L3_Mes)+1)&lt;1,0,IF((85-N(V_L3_Mes)+1)=1,N(V_L3_Monto),CK$290)-CL$289)</f>
        <v>0</v>
      </c>
      <c r="CM290" s="34" t="n">
        <f aca="false">IF((86-N(V_L3_Mes)+1)&lt;1,0,IF((86-N(V_L3_Mes)+1)=1,N(V_L3_Monto),CL$290)-CM$289)</f>
        <v>0</v>
      </c>
      <c r="CN290" s="34" t="n">
        <f aca="false">IF((87-N(V_L3_Mes)+1)&lt;1,0,IF((87-N(V_L3_Mes)+1)=1,N(V_L3_Monto),CM$290)-CN$289)</f>
        <v>0</v>
      </c>
      <c r="CO290" s="34" t="n">
        <f aca="false">IF((88-N(V_L3_Mes)+1)&lt;1,0,IF((88-N(V_L3_Mes)+1)=1,N(V_L3_Monto),CN$290)-CO$289)</f>
        <v>0</v>
      </c>
      <c r="CP290" s="34" t="n">
        <f aca="false">IF((89-N(V_L3_Mes)+1)&lt;1,0,IF((89-N(V_L3_Mes)+1)=1,N(V_L3_Monto),CO$290)-CP$289)</f>
        <v>0</v>
      </c>
      <c r="CQ290" s="34" t="n">
        <f aca="false">IF((90-N(V_L3_Mes)+1)&lt;1,0,IF((90-N(V_L3_Mes)+1)=1,N(V_L3_Monto),CP$290)-CQ$289)</f>
        <v>0</v>
      </c>
      <c r="CR290" s="34" t="n">
        <f aca="false">IF((91-N(V_L3_Mes)+1)&lt;1,0,IF((91-N(V_L3_Mes)+1)=1,N(V_L3_Monto),CQ$290)-CR$289)</f>
        <v>0</v>
      </c>
      <c r="CS290" s="34" t="n">
        <f aca="false">IF((92-N(V_L3_Mes)+1)&lt;1,0,IF((92-N(V_L3_Mes)+1)=1,N(V_L3_Monto),CR$290)-CS$289)</f>
        <v>0</v>
      </c>
      <c r="CT290" s="34" t="n">
        <f aca="false">IF((93-N(V_L3_Mes)+1)&lt;1,0,IF((93-N(V_L3_Mes)+1)=1,N(V_L3_Monto),CS$290)-CT$289)</f>
        <v>0</v>
      </c>
      <c r="CU290" s="34" t="n">
        <f aca="false">IF((94-N(V_L3_Mes)+1)&lt;1,0,IF((94-N(V_L3_Mes)+1)=1,N(V_L3_Monto),CT$290)-CU$289)</f>
        <v>0</v>
      </c>
      <c r="CV290" s="34" t="n">
        <f aca="false">IF((95-N(V_L3_Mes)+1)&lt;1,0,IF((95-N(V_L3_Mes)+1)=1,N(V_L3_Monto),CU$290)-CV$289)</f>
        <v>0</v>
      </c>
      <c r="CW290" s="34" t="n">
        <f aca="false">IF((96-N(V_L3_Mes)+1)&lt;1,0,IF((96-N(V_L3_Mes)+1)=1,N(V_L3_Monto),CV$290)-CW$289)</f>
        <v>0</v>
      </c>
      <c r="CX290" s="34" t="n">
        <f aca="false">IF((97-N(V_L3_Mes)+1)&lt;1,0,IF((97-N(V_L3_Mes)+1)=1,N(V_L3_Monto),CW$290)-CX$289)</f>
        <v>0</v>
      </c>
      <c r="CY290" s="34" t="n">
        <f aca="false">IF((98-N(V_L3_Mes)+1)&lt;1,0,IF((98-N(V_L3_Mes)+1)=1,N(V_L3_Monto),CX$290)-CY$289)</f>
        <v>0</v>
      </c>
      <c r="CZ290" s="34" t="n">
        <f aca="false">IF((99-N(V_L3_Mes)+1)&lt;1,0,IF((99-N(V_L3_Mes)+1)=1,N(V_L3_Monto),CY$290)-CZ$289)</f>
        <v>0</v>
      </c>
      <c r="DA290" s="34" t="n">
        <f aca="false">IF((100-N(V_L3_Mes)+1)&lt;1,0,IF((100-N(V_L3_Mes)+1)=1,N(V_L3_Monto),CZ$290)-DA$289)</f>
        <v>0</v>
      </c>
      <c r="DB290" s="34" t="n">
        <f aca="false">IF((101-N(V_L3_Mes)+1)&lt;1,0,IF((101-N(V_L3_Mes)+1)=1,N(V_L3_Monto),DA$290)-DB$289)</f>
        <v>0</v>
      </c>
      <c r="DC290" s="34" t="n">
        <f aca="false">IF((102-N(V_L3_Mes)+1)&lt;1,0,IF((102-N(V_L3_Mes)+1)=1,N(V_L3_Monto),DB$290)-DC$289)</f>
        <v>0</v>
      </c>
      <c r="DD290" s="34" t="n">
        <f aca="false">IF((103-N(V_L3_Mes)+1)&lt;1,0,IF((103-N(V_L3_Mes)+1)=1,N(V_L3_Monto),DC$290)-DD$289)</f>
        <v>0</v>
      </c>
      <c r="DE290" s="34" t="n">
        <f aca="false">IF((104-N(V_L3_Mes)+1)&lt;1,0,IF((104-N(V_L3_Mes)+1)=1,N(V_L3_Monto),DD$290)-DE$289)</f>
        <v>0</v>
      </c>
      <c r="DF290" s="34" t="n">
        <f aca="false">IF((105-N(V_L3_Mes)+1)&lt;1,0,IF((105-N(V_L3_Mes)+1)=1,N(V_L3_Monto),DE$290)-DF$289)</f>
        <v>0</v>
      </c>
      <c r="DG290" s="34" t="n">
        <f aca="false">IF((106-N(V_L3_Mes)+1)&lt;1,0,IF((106-N(V_L3_Mes)+1)=1,N(V_L3_Monto),DF$290)-DG$289)</f>
        <v>0</v>
      </c>
      <c r="DH290" s="34" t="n">
        <f aca="false">IF((107-N(V_L3_Mes)+1)&lt;1,0,IF((107-N(V_L3_Mes)+1)=1,N(V_L3_Monto),DG$290)-DH$289)</f>
        <v>0</v>
      </c>
      <c r="DI290" s="34" t="n">
        <f aca="false">IF((108-N(V_L3_Mes)+1)&lt;1,0,IF((108-N(V_L3_Mes)+1)=1,N(V_L3_Monto),DH$290)-DI$289)</f>
        <v>0</v>
      </c>
      <c r="DJ290" s="34" t="n">
        <f aca="false">IF((109-N(V_L3_Mes)+1)&lt;1,0,IF((109-N(V_L3_Mes)+1)=1,N(V_L3_Monto),DI$290)-DJ$289)</f>
        <v>0</v>
      </c>
      <c r="DK290" s="34" t="n">
        <f aca="false">IF((110-N(V_L3_Mes)+1)&lt;1,0,IF((110-N(V_L3_Mes)+1)=1,N(V_L3_Monto),DJ$290)-DK$289)</f>
        <v>0</v>
      </c>
      <c r="DL290" s="34" t="n">
        <f aca="false">IF((111-N(V_L3_Mes)+1)&lt;1,0,IF((111-N(V_L3_Mes)+1)=1,N(V_L3_Monto),DK$290)-DL$289)</f>
        <v>0</v>
      </c>
      <c r="DM290" s="34" t="n">
        <f aca="false">IF((112-N(V_L3_Mes)+1)&lt;1,0,IF((112-N(V_L3_Mes)+1)=1,N(V_L3_Monto),DL$290)-DM$289)</f>
        <v>0</v>
      </c>
      <c r="DN290" s="34" t="n">
        <f aca="false">IF((113-N(V_L3_Mes)+1)&lt;1,0,IF((113-N(V_L3_Mes)+1)=1,N(V_L3_Monto),DM$290)-DN$289)</f>
        <v>0</v>
      </c>
      <c r="DO290" s="34" t="n">
        <f aca="false">IF((114-N(V_L3_Mes)+1)&lt;1,0,IF((114-N(V_L3_Mes)+1)=1,N(V_L3_Monto),DN$290)-DO$289)</f>
        <v>0</v>
      </c>
      <c r="DP290" s="34" t="n">
        <f aca="false">IF((115-N(V_L3_Mes)+1)&lt;1,0,IF((115-N(V_L3_Mes)+1)=1,N(V_L3_Monto),DO$290)-DP$289)</f>
        <v>0</v>
      </c>
      <c r="DQ290" s="34" t="n">
        <f aca="false">IF((116-N(V_L3_Mes)+1)&lt;1,0,IF((116-N(V_L3_Mes)+1)=1,N(V_L3_Monto),DP$290)-DQ$289)</f>
        <v>0</v>
      </c>
      <c r="DR290" s="34" t="n">
        <f aca="false">IF((117-N(V_L3_Mes)+1)&lt;1,0,IF((117-N(V_L3_Mes)+1)=1,N(V_L3_Monto),DQ$290)-DR$289)</f>
        <v>0</v>
      </c>
      <c r="DS290" s="34" t="n">
        <f aca="false">IF((118-N(V_L3_Mes)+1)&lt;1,0,IF((118-N(V_L3_Mes)+1)=1,N(V_L3_Monto),DR$290)-DS$289)</f>
        <v>0</v>
      </c>
      <c r="DT290" s="34" t="n">
        <f aca="false">IF((119-N(V_L3_Mes)+1)&lt;1,0,IF((119-N(V_L3_Mes)+1)=1,N(V_L3_Monto),DS$290)-DT$289)</f>
        <v>0</v>
      </c>
      <c r="DU290" s="34" t="n">
        <f aca="false">IF((120-N(V_L3_Mes)+1)&lt;1,0,IF((120-N(V_L3_Mes)+1)=1,N(V_L3_Monto),DT$290)-DU$289)</f>
        <v>0</v>
      </c>
      <c r="DV290" s="34" t="n">
        <f aca="false">IF((121-N(V_L3_Mes)+1)&lt;1,0,IF((121-N(V_L3_Mes)+1)=1,N(V_L3_Monto),DU$290)-DV$289)</f>
        <v>0</v>
      </c>
      <c r="DW290" s="34" t="n">
        <f aca="false">IF((122-N(V_L3_Mes)+1)&lt;1,0,IF((122-N(V_L3_Mes)+1)=1,N(V_L3_Monto),DV$290)-DW$289)</f>
        <v>0</v>
      </c>
      <c r="DX290" s="34" t="n">
        <f aca="false">IF((123-N(V_L3_Mes)+1)&lt;1,0,IF((123-N(V_L3_Mes)+1)=1,N(V_L3_Monto),DW$290)-DX$289)</f>
        <v>0</v>
      </c>
      <c r="DY290" s="34" t="n">
        <f aca="false">IF((124-N(V_L3_Mes)+1)&lt;1,0,IF((124-N(V_L3_Mes)+1)=1,N(V_L3_Monto),DX$290)-DY$289)</f>
        <v>0</v>
      </c>
      <c r="DZ290" s="34" t="n">
        <f aca="false">IF((125-N(V_L3_Mes)+1)&lt;1,0,IF((125-N(V_L3_Mes)+1)=1,N(V_L3_Monto),DY$290)-DZ$289)</f>
        <v>0</v>
      </c>
      <c r="EA290" s="34" t="n">
        <f aca="false">IF((126-N(V_L3_Mes)+1)&lt;1,0,IF((126-N(V_L3_Mes)+1)=1,N(V_L3_Monto),DZ$290)-EA$289)</f>
        <v>0</v>
      </c>
      <c r="EB290" s="34" t="n">
        <f aca="false">IF((127-N(V_L3_Mes)+1)&lt;1,0,IF((127-N(V_L3_Mes)+1)=1,N(V_L3_Monto),EA$290)-EB$289)</f>
        <v>0</v>
      </c>
      <c r="EC290" s="34" t="n">
        <f aca="false">IF((128-N(V_L3_Mes)+1)&lt;1,0,IF((128-N(V_L3_Mes)+1)=1,N(V_L3_Monto),EB$290)-EC$289)</f>
        <v>0</v>
      </c>
      <c r="ED290" s="34" t="n">
        <f aca="false">IF((129-N(V_L3_Mes)+1)&lt;1,0,IF((129-N(V_L3_Mes)+1)=1,N(V_L3_Monto),EC$290)-ED$289)</f>
        <v>0</v>
      </c>
      <c r="EE290" s="34" t="n">
        <f aca="false">IF((130-N(V_L3_Mes)+1)&lt;1,0,IF((130-N(V_L3_Mes)+1)=1,N(V_L3_Monto),ED$290)-EE$289)</f>
        <v>0</v>
      </c>
      <c r="EF290" s="34" t="n">
        <f aca="false">IF((131-N(V_L3_Mes)+1)&lt;1,0,IF((131-N(V_L3_Mes)+1)=1,N(V_L3_Monto),EE$290)-EF$289)</f>
        <v>0</v>
      </c>
      <c r="EG290" s="34" t="n">
        <f aca="false">IF((132-N(V_L3_Mes)+1)&lt;1,0,IF((132-N(V_L3_Mes)+1)=1,N(V_L3_Monto),EF$290)-EG$289)</f>
        <v>0</v>
      </c>
      <c r="EH290" s="34" t="n">
        <f aca="false">IF((133-N(V_L3_Mes)+1)&lt;1,0,IF((133-N(V_L3_Mes)+1)=1,N(V_L3_Monto),EG$290)-EH$289)</f>
        <v>0</v>
      </c>
      <c r="EI290" s="34" t="n">
        <f aca="false">IF((134-N(V_L3_Mes)+1)&lt;1,0,IF((134-N(V_L3_Mes)+1)=1,N(V_L3_Monto),EH$290)-EI$289)</f>
        <v>0</v>
      </c>
      <c r="EJ290" s="34" t="n">
        <f aca="false">IF((135-N(V_L3_Mes)+1)&lt;1,0,IF((135-N(V_L3_Mes)+1)=1,N(V_L3_Monto),EI$290)-EJ$289)</f>
        <v>0</v>
      </c>
      <c r="EK290" s="34" t="n">
        <f aca="false">IF((136-N(V_L3_Mes)+1)&lt;1,0,IF((136-N(V_L3_Mes)+1)=1,N(V_L3_Monto),EJ$290)-EK$289)</f>
        <v>0</v>
      </c>
      <c r="EL290" s="34" t="n">
        <f aca="false">IF((137-N(V_L3_Mes)+1)&lt;1,0,IF((137-N(V_L3_Mes)+1)=1,N(V_L3_Monto),EK$290)-EL$289)</f>
        <v>0</v>
      </c>
      <c r="EM290" s="34" t="n">
        <f aca="false">IF((138-N(V_L3_Mes)+1)&lt;1,0,IF((138-N(V_L3_Mes)+1)=1,N(V_L3_Monto),EL$290)-EM$289)</f>
        <v>0</v>
      </c>
      <c r="EN290" s="34" t="n">
        <f aca="false">IF((139-N(V_L3_Mes)+1)&lt;1,0,IF((139-N(V_L3_Mes)+1)=1,N(V_L3_Monto),EM$290)-EN$289)</f>
        <v>0</v>
      </c>
      <c r="EO290" s="34" t="n">
        <f aca="false">IF((140-N(V_L3_Mes)+1)&lt;1,0,IF((140-N(V_L3_Mes)+1)=1,N(V_L3_Monto),EN$290)-EO$289)</f>
        <v>0</v>
      </c>
      <c r="EP290" s="34" t="n">
        <f aca="false">IF((141-N(V_L3_Mes)+1)&lt;1,0,IF((141-N(V_L3_Mes)+1)=1,N(V_L3_Monto),EO$290)-EP$289)</f>
        <v>0</v>
      </c>
      <c r="EQ290" s="34" t="n">
        <f aca="false">IF((142-N(V_L3_Mes)+1)&lt;1,0,IF((142-N(V_L3_Mes)+1)=1,N(V_L3_Monto),EP$290)-EQ$289)</f>
        <v>0</v>
      </c>
      <c r="ER290" s="34" t="n">
        <f aca="false">IF((143-N(V_L3_Mes)+1)&lt;1,0,IF((143-N(V_L3_Mes)+1)=1,N(V_L3_Monto),EQ$290)-ER$289)</f>
        <v>0</v>
      </c>
      <c r="ES290" s="34" t="n">
        <f aca="false">IF((144-N(V_L3_Mes)+1)&lt;1,0,IF((144-N(V_L3_Mes)+1)=1,N(V_L3_Monto),ER$290)-ES$289)</f>
        <v>0</v>
      </c>
    </row>
    <row r="291" customFormat="false" ht="15" hidden="false" customHeight="false" outlineLevel="0" collapsed="false">
      <c r="A291" s="4"/>
      <c r="B291" s="3" t="s">
        <v>753</v>
      </c>
      <c r="C291" s="4"/>
      <c r="D291" s="4"/>
      <c r="E291" s="4"/>
    </row>
    <row r="292" customFormat="false" ht="15" hidden="false" customHeight="false" outlineLevel="0" collapsed="false">
      <c r="A292" s="2" t="s">
        <v>928</v>
      </c>
      <c r="B292" s="6" t="s">
        <v>755</v>
      </c>
      <c r="C292" s="6" t="s">
        <v>250</v>
      </c>
      <c r="E292" s="40" t="n">
        <f aca="false">SUM(F292:ES292)</f>
        <v>2791587</v>
      </c>
      <c r="F292" s="34" t="n">
        <f aca="false">IF(F$8=1,IF(Reales!$C$73="PYG",IF(F$10&gt;0,N(Reales!F73)/F$10,0),N(Reales!F73)),F$279+F$283+F$287)</f>
        <v>2791587</v>
      </c>
      <c r="G292" s="34" t="n">
        <f aca="false">IF(G$8=1,IF(Reales!$C$73="PYG",IF(G$10&gt;0,N(Reales!G73)/G$10,0),N(Reales!G73)),G$279+G$283+G$287)</f>
        <v>0</v>
      </c>
      <c r="H292" s="34" t="n">
        <f aca="false">IF(H$8=1,IF(Reales!$C$73="PYG",IF(H$10&gt;0,N(Reales!H73)/H$10,0),N(Reales!H73)),H$279+H$283+H$287)</f>
        <v>0</v>
      </c>
      <c r="I292" s="34" t="n">
        <f aca="false">IF(I$8=1,IF(Reales!$C$73="PYG",IF(I$10&gt;0,N(Reales!I73)/I$10,0),N(Reales!I73)),I$279+I$283+I$287)</f>
        <v>0</v>
      </c>
      <c r="J292" s="34" t="n">
        <f aca="false">IF(J$8=1,IF(Reales!$C$73="PYG",IF(J$10&gt;0,N(Reales!J73)/J$10,0),N(Reales!J73)),J$279+J$283+J$287)</f>
        <v>0</v>
      </c>
      <c r="K292" s="34" t="n">
        <f aca="false">IF(K$8=1,IF(Reales!$C$73="PYG",IF(K$10&gt;0,N(Reales!K73)/K$10,0),N(Reales!K73)),K$279+K$283+K$287)</f>
        <v>0</v>
      </c>
      <c r="L292" s="34" t="n">
        <f aca="false">IF(L$8=1,IF(Reales!$C$73="PYG",IF(L$10&gt;0,N(Reales!L73)/L$10,0),N(Reales!L73)),L$279+L$283+L$287)</f>
        <v>0</v>
      </c>
      <c r="M292" s="34" t="n">
        <f aca="false">IF(M$8=1,IF(Reales!$C$73="PYG",IF(M$10&gt;0,N(Reales!M73)/M$10,0),N(Reales!M73)),M$279+M$283+M$287)</f>
        <v>0</v>
      </c>
      <c r="N292" s="34" t="n">
        <f aca="false">IF(N$8=1,IF(Reales!$C$73="PYG",IF(N$10&gt;0,N(Reales!N73)/N$10,0),N(Reales!N73)),N$279+N$283+N$287)</f>
        <v>0</v>
      </c>
      <c r="O292" s="34" t="n">
        <f aca="false">IF(O$8=1,IF(Reales!$C$73="PYG",IF(O$10&gt;0,N(Reales!O73)/O$10,0),N(Reales!O73)),O$279+O$283+O$287)</f>
        <v>0</v>
      </c>
      <c r="P292" s="34" t="n">
        <f aca="false">IF(P$8=1,IF(Reales!$C$73="PYG",IF(P$10&gt;0,N(Reales!P73)/P$10,0),N(Reales!P73)),P$279+P$283+P$287)</f>
        <v>0</v>
      </c>
      <c r="Q292" s="34" t="n">
        <f aca="false">IF(Q$8=1,IF(Reales!$C$73="PYG",IF(Q$10&gt;0,N(Reales!Q73)/Q$10,0),N(Reales!Q73)),Q$279+Q$283+Q$287)</f>
        <v>0</v>
      </c>
      <c r="R292" s="34" t="n">
        <f aca="false">IF(R$8=1,IF(Reales!$C$73="PYG",IF(R$10&gt;0,N(Reales!R73)/R$10,0),N(Reales!R73)),R$279+R$283+R$287)</f>
        <v>0</v>
      </c>
      <c r="S292" s="34" t="n">
        <f aca="false">IF(S$8=1,IF(Reales!$C$73="PYG",IF(S$10&gt;0,N(Reales!S73)/S$10,0),N(Reales!S73)),S$279+S$283+S$287)</f>
        <v>0</v>
      </c>
      <c r="T292" s="34" t="n">
        <f aca="false">IF(T$8=1,IF(Reales!$C$73="PYG",IF(T$10&gt;0,N(Reales!T73)/T$10,0),N(Reales!T73)),T$279+T$283+T$287)</f>
        <v>0</v>
      </c>
      <c r="U292" s="34" t="n">
        <f aca="false">IF(U$8=1,IF(Reales!$C$73="PYG",IF(U$10&gt;0,N(Reales!U73)/U$10,0),N(Reales!U73)),U$279+U$283+U$287)</f>
        <v>0</v>
      </c>
      <c r="V292" s="34" t="n">
        <f aca="false">IF(V$8=1,IF(Reales!$C$73="PYG",IF(V$10&gt;0,N(Reales!V73)/V$10,0),N(Reales!V73)),V$279+V$283+V$287)</f>
        <v>0</v>
      </c>
      <c r="W292" s="34" t="n">
        <f aca="false">IF(W$8=1,IF(Reales!$C$73="PYG",IF(W$10&gt;0,N(Reales!W73)/W$10,0),N(Reales!W73)),W$279+W$283+W$287)</f>
        <v>0</v>
      </c>
      <c r="X292" s="34" t="n">
        <f aca="false">IF(X$8=1,IF(Reales!$C$73="PYG",IF(X$10&gt;0,N(Reales!X73)/X$10,0),N(Reales!X73)),X$279+X$283+X$287)</f>
        <v>0</v>
      </c>
      <c r="Y292" s="34" t="n">
        <f aca="false">IF(Y$8=1,IF(Reales!$C$73="PYG",IF(Y$10&gt;0,N(Reales!Y73)/Y$10,0),N(Reales!Y73)),Y$279+Y$283+Y$287)</f>
        <v>0</v>
      </c>
      <c r="Z292" s="34" t="n">
        <f aca="false">IF(Z$8=1,IF(Reales!$C$73="PYG",IF(Z$10&gt;0,N(Reales!Z73)/Z$10,0),N(Reales!Z73)),Z$279+Z$283+Z$287)</f>
        <v>0</v>
      </c>
      <c r="AA292" s="34" t="n">
        <f aca="false">IF(AA$8=1,IF(Reales!$C$73="PYG",IF(AA$10&gt;0,N(Reales!AA73)/AA$10,0),N(Reales!AA73)),AA$279+AA$283+AA$287)</f>
        <v>0</v>
      </c>
      <c r="AB292" s="34" t="n">
        <f aca="false">IF(AB$8=1,IF(Reales!$C$73="PYG",IF(AB$10&gt;0,N(Reales!AB73)/AB$10,0),N(Reales!AB73)),AB$279+AB$283+AB$287)</f>
        <v>0</v>
      </c>
      <c r="AC292" s="34" t="n">
        <f aca="false">IF(AC$8=1,IF(Reales!$C$73="PYG",IF(AC$10&gt;0,N(Reales!AC73)/AC$10,0),N(Reales!AC73)),AC$279+AC$283+AC$287)</f>
        <v>0</v>
      </c>
      <c r="AD292" s="34" t="n">
        <f aca="false">IF(AD$8=1,IF(Reales!$C$73="PYG",IF(AD$10&gt;0,N(Reales!AD73)/AD$10,0),N(Reales!AD73)),AD$279+AD$283+AD$287)</f>
        <v>0</v>
      </c>
      <c r="AE292" s="34" t="n">
        <f aca="false">IF(AE$8=1,IF(Reales!$C$73="PYG",IF(AE$10&gt;0,N(Reales!AE73)/AE$10,0),N(Reales!AE73)),AE$279+AE$283+AE$287)</f>
        <v>0</v>
      </c>
      <c r="AF292" s="34" t="n">
        <f aca="false">IF(AF$8=1,IF(Reales!$C$73="PYG",IF(AF$10&gt;0,N(Reales!AF73)/AF$10,0),N(Reales!AF73)),AF$279+AF$283+AF$287)</f>
        <v>0</v>
      </c>
      <c r="AG292" s="34" t="n">
        <f aca="false">IF(AG$8=1,IF(Reales!$C$73="PYG",IF(AG$10&gt;0,N(Reales!AG73)/AG$10,0),N(Reales!AG73)),AG$279+AG$283+AG$287)</f>
        <v>0</v>
      </c>
      <c r="AH292" s="34" t="n">
        <f aca="false">IF(AH$8=1,IF(Reales!$C$73="PYG",IF(AH$10&gt;0,N(Reales!AH73)/AH$10,0),N(Reales!AH73)),AH$279+AH$283+AH$287)</f>
        <v>0</v>
      </c>
      <c r="AI292" s="34" t="n">
        <f aca="false">IF(AI$8=1,IF(Reales!$C$73="PYG",IF(AI$10&gt;0,N(Reales!AI73)/AI$10,0),N(Reales!AI73)),AI$279+AI$283+AI$287)</f>
        <v>0</v>
      </c>
      <c r="AJ292" s="34" t="n">
        <f aca="false">IF(AJ$8=1,IF(Reales!$C$73="PYG",IF(AJ$10&gt;0,N(Reales!AJ73)/AJ$10,0),N(Reales!AJ73)),AJ$279+AJ$283+AJ$287)</f>
        <v>0</v>
      </c>
      <c r="AK292" s="34" t="n">
        <f aca="false">IF(AK$8=1,IF(Reales!$C$73="PYG",IF(AK$10&gt;0,N(Reales!AK73)/AK$10,0),N(Reales!AK73)),AK$279+AK$283+AK$287)</f>
        <v>0</v>
      </c>
      <c r="AL292" s="34" t="n">
        <f aca="false">IF(AL$8=1,IF(Reales!$C$73="PYG",IF(AL$10&gt;0,N(Reales!AL73)/AL$10,0),N(Reales!AL73)),AL$279+AL$283+AL$287)</f>
        <v>0</v>
      </c>
      <c r="AM292" s="34" t="n">
        <f aca="false">IF(AM$8=1,IF(Reales!$C$73="PYG",IF(AM$10&gt;0,N(Reales!AM73)/AM$10,0),N(Reales!AM73)),AM$279+AM$283+AM$287)</f>
        <v>0</v>
      </c>
      <c r="AN292" s="34" t="n">
        <f aca="false">IF(AN$8=1,IF(Reales!$C$73="PYG",IF(AN$10&gt;0,N(Reales!AN73)/AN$10,0),N(Reales!AN73)),AN$279+AN$283+AN$287)</f>
        <v>0</v>
      </c>
      <c r="AO292" s="34" t="n">
        <f aca="false">IF(AO$8=1,IF(Reales!$C$73="PYG",IF(AO$10&gt;0,N(Reales!AO73)/AO$10,0),N(Reales!AO73)),AO$279+AO$283+AO$287)</f>
        <v>0</v>
      </c>
      <c r="AP292" s="34" t="n">
        <f aca="false">IF(AP$8=1,IF(Reales!$C$73="PYG",IF(AP$10&gt;0,N(Reales!AP73)/AP$10,0),N(Reales!AP73)),AP$279+AP$283+AP$287)</f>
        <v>0</v>
      </c>
      <c r="AQ292" s="34" t="n">
        <f aca="false">IF(AQ$8=1,IF(Reales!$C$73="PYG",IF(AQ$10&gt;0,N(Reales!AQ73)/AQ$10,0),N(Reales!AQ73)),AQ$279+AQ$283+AQ$287)</f>
        <v>0</v>
      </c>
      <c r="AR292" s="34" t="n">
        <f aca="false">IF(AR$8=1,IF(Reales!$C$73="PYG",IF(AR$10&gt;0,N(Reales!AR73)/AR$10,0),N(Reales!AR73)),AR$279+AR$283+AR$287)</f>
        <v>0</v>
      </c>
      <c r="AS292" s="34" t="n">
        <f aca="false">IF(AS$8=1,IF(Reales!$C$73="PYG",IF(AS$10&gt;0,N(Reales!AS73)/AS$10,0),N(Reales!AS73)),AS$279+AS$283+AS$287)</f>
        <v>0</v>
      </c>
      <c r="AT292" s="34" t="n">
        <f aca="false">IF(AT$8=1,IF(Reales!$C$73="PYG",IF(AT$10&gt;0,N(Reales!AT73)/AT$10,0),N(Reales!AT73)),AT$279+AT$283+AT$287)</f>
        <v>0</v>
      </c>
      <c r="AU292" s="34" t="n">
        <f aca="false">IF(AU$8=1,IF(Reales!$C$73="PYG",IF(AU$10&gt;0,N(Reales!AU73)/AU$10,0),N(Reales!AU73)),AU$279+AU$283+AU$287)</f>
        <v>0</v>
      </c>
      <c r="AV292" s="34" t="n">
        <f aca="false">IF(AV$8=1,IF(Reales!$C$73="PYG",IF(AV$10&gt;0,N(Reales!AV73)/AV$10,0),N(Reales!AV73)),AV$279+AV$283+AV$287)</f>
        <v>0</v>
      </c>
      <c r="AW292" s="34" t="n">
        <f aca="false">IF(AW$8=1,IF(Reales!$C$73="PYG",IF(AW$10&gt;0,N(Reales!AW73)/AW$10,0),N(Reales!AW73)),AW$279+AW$283+AW$287)</f>
        <v>0</v>
      </c>
      <c r="AX292" s="34" t="n">
        <f aca="false">IF(AX$8=1,IF(Reales!$C$73="PYG",IF(AX$10&gt;0,N(Reales!AX73)/AX$10,0),N(Reales!AX73)),AX$279+AX$283+AX$287)</f>
        <v>0</v>
      </c>
      <c r="AY292" s="34" t="n">
        <f aca="false">IF(AY$8=1,IF(Reales!$C$73="PYG",IF(AY$10&gt;0,N(Reales!AY73)/AY$10,0),N(Reales!AY73)),AY$279+AY$283+AY$287)</f>
        <v>0</v>
      </c>
      <c r="AZ292" s="34" t="n">
        <f aca="false">IF(AZ$8=1,IF(Reales!$C$73="PYG",IF(AZ$10&gt;0,N(Reales!AZ73)/AZ$10,0),N(Reales!AZ73)),AZ$279+AZ$283+AZ$287)</f>
        <v>0</v>
      </c>
      <c r="BA292" s="34" t="n">
        <f aca="false">IF(BA$8=1,IF(Reales!$C$73="PYG",IF(BA$10&gt;0,N(Reales!BA73)/BA$10,0),N(Reales!BA73)),BA$279+BA$283+BA$287)</f>
        <v>0</v>
      </c>
      <c r="BB292" s="34" t="n">
        <f aca="false">IF(BB$8=1,IF(Reales!$C$73="PYG",IF(BB$10&gt;0,N(Reales!BB73)/BB$10,0),N(Reales!BB73)),BB$279+BB$283+BB$287)</f>
        <v>0</v>
      </c>
      <c r="BC292" s="34" t="n">
        <f aca="false">IF(BC$8=1,IF(Reales!$C$73="PYG",IF(BC$10&gt;0,N(Reales!BC73)/BC$10,0),N(Reales!BC73)),BC$279+BC$283+BC$287)</f>
        <v>0</v>
      </c>
      <c r="BD292" s="34" t="n">
        <f aca="false">IF(BD$8=1,IF(Reales!$C$73="PYG",IF(BD$10&gt;0,N(Reales!BD73)/BD$10,0),N(Reales!BD73)),BD$279+BD$283+BD$287)</f>
        <v>0</v>
      </c>
      <c r="BE292" s="34" t="n">
        <f aca="false">IF(BE$8=1,IF(Reales!$C$73="PYG",IF(BE$10&gt;0,N(Reales!BE73)/BE$10,0),N(Reales!BE73)),BE$279+BE$283+BE$287)</f>
        <v>0</v>
      </c>
      <c r="BF292" s="34" t="n">
        <f aca="false">IF(BF$8=1,IF(Reales!$C$73="PYG",IF(BF$10&gt;0,N(Reales!BF73)/BF$10,0),N(Reales!BF73)),BF$279+BF$283+BF$287)</f>
        <v>0</v>
      </c>
      <c r="BG292" s="34" t="n">
        <f aca="false">IF(BG$8=1,IF(Reales!$C$73="PYG",IF(BG$10&gt;0,N(Reales!BG73)/BG$10,0),N(Reales!BG73)),BG$279+BG$283+BG$287)</f>
        <v>0</v>
      </c>
      <c r="BH292" s="34" t="n">
        <f aca="false">IF(BH$8=1,IF(Reales!$C$73="PYG",IF(BH$10&gt;0,N(Reales!BH73)/BH$10,0),N(Reales!BH73)),BH$279+BH$283+BH$287)</f>
        <v>0</v>
      </c>
      <c r="BI292" s="34" t="n">
        <f aca="false">IF(BI$8=1,IF(Reales!$C$73="PYG",IF(BI$10&gt;0,N(Reales!BI73)/BI$10,0),N(Reales!BI73)),BI$279+BI$283+BI$287)</f>
        <v>0</v>
      </c>
      <c r="BJ292" s="34" t="n">
        <f aca="false">IF(BJ$8=1,IF(Reales!$C$73="PYG",IF(BJ$10&gt;0,N(Reales!BJ73)/BJ$10,0),N(Reales!BJ73)),BJ$279+BJ$283+BJ$287)</f>
        <v>0</v>
      </c>
      <c r="BK292" s="34" t="n">
        <f aca="false">IF(BK$8=1,IF(Reales!$C$73="PYG",IF(BK$10&gt;0,N(Reales!BK73)/BK$10,0),N(Reales!BK73)),BK$279+BK$283+BK$287)</f>
        <v>0</v>
      </c>
      <c r="BL292" s="34" t="n">
        <f aca="false">IF(BL$8=1,IF(Reales!$C$73="PYG",IF(BL$10&gt;0,N(Reales!BL73)/BL$10,0),N(Reales!BL73)),BL$279+BL$283+BL$287)</f>
        <v>0</v>
      </c>
      <c r="BM292" s="34" t="n">
        <f aca="false">IF(BM$8=1,IF(Reales!$C$73="PYG",IF(BM$10&gt;0,N(Reales!BM73)/BM$10,0),N(Reales!BM73)),BM$279+BM$283+BM$287)</f>
        <v>0</v>
      </c>
      <c r="BN292" s="34" t="n">
        <f aca="false">IF(BN$8=1,IF(Reales!$C$73="PYG",IF(BN$10&gt;0,N(Reales!BN73)/BN$10,0),N(Reales!BN73)),BN$279+BN$283+BN$287)</f>
        <v>0</v>
      </c>
      <c r="BO292" s="34" t="n">
        <f aca="false">IF(BO$8=1,IF(Reales!$C$73="PYG",IF(BO$10&gt;0,N(Reales!BO73)/BO$10,0),N(Reales!BO73)),BO$279+BO$283+BO$287)</f>
        <v>0</v>
      </c>
      <c r="BP292" s="34" t="n">
        <f aca="false">IF(BP$8=1,IF(Reales!$C$73="PYG",IF(BP$10&gt;0,N(Reales!BP73)/BP$10,0),N(Reales!BP73)),BP$279+BP$283+BP$287)</f>
        <v>0</v>
      </c>
      <c r="BQ292" s="34" t="n">
        <f aca="false">IF(BQ$8=1,IF(Reales!$C$73="PYG",IF(BQ$10&gt;0,N(Reales!BQ73)/BQ$10,0),N(Reales!BQ73)),BQ$279+BQ$283+BQ$287)</f>
        <v>0</v>
      </c>
      <c r="BR292" s="34" t="n">
        <f aca="false">IF(BR$8=1,IF(Reales!$C$73="PYG",IF(BR$10&gt;0,N(Reales!BR73)/BR$10,0),N(Reales!BR73)),BR$279+BR$283+BR$287)</f>
        <v>0</v>
      </c>
      <c r="BS292" s="34" t="n">
        <f aca="false">IF(BS$8=1,IF(Reales!$C$73="PYG",IF(BS$10&gt;0,N(Reales!BS73)/BS$10,0),N(Reales!BS73)),BS$279+BS$283+BS$287)</f>
        <v>0</v>
      </c>
      <c r="BT292" s="34" t="n">
        <f aca="false">IF(BT$8=1,IF(Reales!$C$73="PYG",IF(BT$10&gt;0,N(Reales!BT73)/BT$10,0),N(Reales!BT73)),BT$279+BT$283+BT$287)</f>
        <v>0</v>
      </c>
      <c r="BU292" s="34" t="n">
        <f aca="false">IF(BU$8=1,IF(Reales!$C$73="PYG",IF(BU$10&gt;0,N(Reales!BU73)/BU$10,0),N(Reales!BU73)),BU$279+BU$283+BU$287)</f>
        <v>0</v>
      </c>
      <c r="BV292" s="34" t="n">
        <f aca="false">IF(BV$8=1,IF(Reales!$C$73="PYG",IF(BV$10&gt;0,N(Reales!BV73)/BV$10,0),N(Reales!BV73)),BV$279+BV$283+BV$287)</f>
        <v>0</v>
      </c>
      <c r="BW292" s="34" t="n">
        <f aca="false">IF(BW$8=1,IF(Reales!$C$73="PYG",IF(BW$10&gt;0,N(Reales!BW73)/BW$10,0),N(Reales!BW73)),BW$279+BW$283+BW$287)</f>
        <v>0</v>
      </c>
      <c r="BX292" s="34" t="n">
        <f aca="false">IF(BX$8=1,IF(Reales!$C$73="PYG",IF(BX$10&gt;0,N(Reales!BX73)/BX$10,0),N(Reales!BX73)),BX$279+BX$283+BX$287)</f>
        <v>0</v>
      </c>
      <c r="BY292" s="34" t="n">
        <f aca="false">IF(BY$8=1,IF(Reales!$C$73="PYG",IF(BY$10&gt;0,N(Reales!BY73)/BY$10,0),N(Reales!BY73)),BY$279+BY$283+BY$287)</f>
        <v>0</v>
      </c>
      <c r="BZ292" s="34" t="n">
        <f aca="false">IF(BZ$8=1,IF(Reales!$C$73="PYG",IF(BZ$10&gt;0,N(Reales!BZ73)/BZ$10,0),N(Reales!BZ73)),BZ$279+BZ$283+BZ$287)</f>
        <v>0</v>
      </c>
      <c r="CA292" s="34" t="n">
        <f aca="false">IF(CA$8=1,IF(Reales!$C$73="PYG",IF(CA$10&gt;0,N(Reales!CA73)/CA$10,0),N(Reales!CA73)),CA$279+CA$283+CA$287)</f>
        <v>0</v>
      </c>
      <c r="CB292" s="34" t="n">
        <f aca="false">IF(CB$8=1,IF(Reales!$C$73="PYG",IF(CB$10&gt;0,N(Reales!CB73)/CB$10,0),N(Reales!CB73)),CB$279+CB$283+CB$287)</f>
        <v>0</v>
      </c>
      <c r="CC292" s="34" t="n">
        <f aca="false">IF(CC$8=1,IF(Reales!$C$73="PYG",IF(CC$10&gt;0,N(Reales!CC73)/CC$10,0),N(Reales!CC73)),CC$279+CC$283+CC$287)</f>
        <v>0</v>
      </c>
      <c r="CD292" s="34" t="n">
        <f aca="false">IF(CD$8=1,IF(Reales!$C$73="PYG",IF(CD$10&gt;0,N(Reales!CD73)/CD$10,0),N(Reales!CD73)),CD$279+CD$283+CD$287)</f>
        <v>0</v>
      </c>
      <c r="CE292" s="34" t="n">
        <f aca="false">IF(CE$8=1,IF(Reales!$C$73="PYG",IF(CE$10&gt;0,N(Reales!CE73)/CE$10,0),N(Reales!CE73)),CE$279+CE$283+CE$287)</f>
        <v>0</v>
      </c>
      <c r="CF292" s="34" t="n">
        <f aca="false">IF(CF$8=1,IF(Reales!$C$73="PYG",IF(CF$10&gt;0,N(Reales!CF73)/CF$10,0),N(Reales!CF73)),CF$279+CF$283+CF$287)</f>
        <v>0</v>
      </c>
      <c r="CG292" s="34" t="n">
        <f aca="false">IF(CG$8=1,IF(Reales!$C$73="PYG",IF(CG$10&gt;0,N(Reales!CG73)/CG$10,0),N(Reales!CG73)),CG$279+CG$283+CG$287)</f>
        <v>0</v>
      </c>
      <c r="CH292" s="34" t="n">
        <f aca="false">IF(CH$8=1,IF(Reales!$C$73="PYG",IF(CH$10&gt;0,N(Reales!CH73)/CH$10,0),N(Reales!CH73)),CH$279+CH$283+CH$287)</f>
        <v>0</v>
      </c>
      <c r="CI292" s="34" t="n">
        <f aca="false">IF(CI$8=1,IF(Reales!$C$73="PYG",IF(CI$10&gt;0,N(Reales!CI73)/CI$10,0),N(Reales!CI73)),CI$279+CI$283+CI$287)</f>
        <v>0</v>
      </c>
      <c r="CJ292" s="34" t="n">
        <f aca="false">IF(CJ$8=1,IF(Reales!$C$73="PYG",IF(CJ$10&gt;0,N(Reales!CJ73)/CJ$10,0),N(Reales!CJ73)),CJ$279+CJ$283+CJ$287)</f>
        <v>0</v>
      </c>
      <c r="CK292" s="34" t="n">
        <f aca="false">IF(CK$8=1,IF(Reales!$C$73="PYG",IF(CK$10&gt;0,N(Reales!CK73)/CK$10,0),N(Reales!CK73)),CK$279+CK$283+CK$287)</f>
        <v>0</v>
      </c>
      <c r="CL292" s="34" t="n">
        <f aca="false">IF(CL$8=1,IF(Reales!$C$73="PYG",IF(CL$10&gt;0,N(Reales!CL73)/CL$10,0),N(Reales!CL73)),CL$279+CL$283+CL$287)</f>
        <v>0</v>
      </c>
      <c r="CM292" s="34" t="n">
        <f aca="false">IF(CM$8=1,IF(Reales!$C$73="PYG",IF(CM$10&gt;0,N(Reales!CM73)/CM$10,0),N(Reales!CM73)),CM$279+CM$283+CM$287)</f>
        <v>0</v>
      </c>
      <c r="CN292" s="34" t="n">
        <f aca="false">IF(CN$8=1,IF(Reales!$C$73="PYG",IF(CN$10&gt;0,N(Reales!CN73)/CN$10,0),N(Reales!CN73)),CN$279+CN$283+CN$287)</f>
        <v>0</v>
      </c>
      <c r="CO292" s="34" t="n">
        <f aca="false">IF(CO$8=1,IF(Reales!$C$73="PYG",IF(CO$10&gt;0,N(Reales!CO73)/CO$10,0),N(Reales!CO73)),CO$279+CO$283+CO$287)</f>
        <v>0</v>
      </c>
      <c r="CP292" s="34" t="n">
        <f aca="false">IF(CP$8=1,IF(Reales!$C$73="PYG",IF(CP$10&gt;0,N(Reales!CP73)/CP$10,0),N(Reales!CP73)),CP$279+CP$283+CP$287)</f>
        <v>0</v>
      </c>
      <c r="CQ292" s="34" t="n">
        <f aca="false">IF(CQ$8=1,IF(Reales!$C$73="PYG",IF(CQ$10&gt;0,N(Reales!CQ73)/CQ$10,0),N(Reales!CQ73)),CQ$279+CQ$283+CQ$287)</f>
        <v>0</v>
      </c>
      <c r="CR292" s="34" t="n">
        <f aca="false">IF(CR$8=1,IF(Reales!$C$73="PYG",IF(CR$10&gt;0,N(Reales!CR73)/CR$10,0),N(Reales!CR73)),CR$279+CR$283+CR$287)</f>
        <v>0</v>
      </c>
      <c r="CS292" s="34" t="n">
        <f aca="false">IF(CS$8=1,IF(Reales!$C$73="PYG",IF(CS$10&gt;0,N(Reales!CS73)/CS$10,0),N(Reales!CS73)),CS$279+CS$283+CS$287)</f>
        <v>0</v>
      </c>
      <c r="CT292" s="34" t="n">
        <f aca="false">IF(CT$8=1,IF(Reales!$C$73="PYG",IF(CT$10&gt;0,N(Reales!CT73)/CT$10,0),N(Reales!CT73)),CT$279+CT$283+CT$287)</f>
        <v>0</v>
      </c>
      <c r="CU292" s="34" t="n">
        <f aca="false">IF(CU$8=1,IF(Reales!$C$73="PYG",IF(CU$10&gt;0,N(Reales!CU73)/CU$10,0),N(Reales!CU73)),CU$279+CU$283+CU$287)</f>
        <v>0</v>
      </c>
      <c r="CV292" s="34" t="n">
        <f aca="false">IF(CV$8=1,IF(Reales!$C$73="PYG",IF(CV$10&gt;0,N(Reales!CV73)/CV$10,0),N(Reales!CV73)),CV$279+CV$283+CV$287)</f>
        <v>0</v>
      </c>
      <c r="CW292" s="34" t="n">
        <f aca="false">IF(CW$8=1,IF(Reales!$C$73="PYG",IF(CW$10&gt;0,N(Reales!CW73)/CW$10,0),N(Reales!CW73)),CW$279+CW$283+CW$287)</f>
        <v>0</v>
      </c>
      <c r="CX292" s="34" t="n">
        <f aca="false">IF(CX$8=1,IF(Reales!$C$73="PYG",IF(CX$10&gt;0,N(Reales!CX73)/CX$10,0),N(Reales!CX73)),CX$279+CX$283+CX$287)</f>
        <v>0</v>
      </c>
      <c r="CY292" s="34" t="n">
        <f aca="false">IF(CY$8=1,IF(Reales!$C$73="PYG",IF(CY$10&gt;0,N(Reales!CY73)/CY$10,0),N(Reales!CY73)),CY$279+CY$283+CY$287)</f>
        <v>0</v>
      </c>
      <c r="CZ292" s="34" t="n">
        <f aca="false">IF(CZ$8=1,IF(Reales!$C$73="PYG",IF(CZ$10&gt;0,N(Reales!CZ73)/CZ$10,0),N(Reales!CZ73)),CZ$279+CZ$283+CZ$287)</f>
        <v>0</v>
      </c>
      <c r="DA292" s="34" t="n">
        <f aca="false">IF(DA$8=1,IF(Reales!$C$73="PYG",IF(DA$10&gt;0,N(Reales!DA73)/DA$10,0),N(Reales!DA73)),DA$279+DA$283+DA$287)</f>
        <v>0</v>
      </c>
      <c r="DB292" s="34" t="n">
        <f aca="false">IF(DB$8=1,IF(Reales!$C$73="PYG",IF(DB$10&gt;0,N(Reales!DB73)/DB$10,0),N(Reales!DB73)),DB$279+DB$283+DB$287)</f>
        <v>0</v>
      </c>
      <c r="DC292" s="34" t="n">
        <f aca="false">IF(DC$8=1,IF(Reales!$C$73="PYG",IF(DC$10&gt;0,N(Reales!DC73)/DC$10,0),N(Reales!DC73)),DC$279+DC$283+DC$287)</f>
        <v>0</v>
      </c>
      <c r="DD292" s="34" t="n">
        <f aca="false">IF(DD$8=1,IF(Reales!$C$73="PYG",IF(DD$10&gt;0,N(Reales!DD73)/DD$10,0),N(Reales!DD73)),DD$279+DD$283+DD$287)</f>
        <v>0</v>
      </c>
      <c r="DE292" s="34" t="n">
        <f aca="false">IF(DE$8=1,IF(Reales!$C$73="PYG",IF(DE$10&gt;0,N(Reales!DE73)/DE$10,0),N(Reales!DE73)),DE$279+DE$283+DE$287)</f>
        <v>0</v>
      </c>
      <c r="DF292" s="34" t="n">
        <f aca="false">IF(DF$8=1,IF(Reales!$C$73="PYG",IF(DF$10&gt;0,N(Reales!DF73)/DF$10,0),N(Reales!DF73)),DF$279+DF$283+DF$287)</f>
        <v>0</v>
      </c>
      <c r="DG292" s="34" t="n">
        <f aca="false">IF(DG$8=1,IF(Reales!$C$73="PYG",IF(DG$10&gt;0,N(Reales!DG73)/DG$10,0),N(Reales!DG73)),DG$279+DG$283+DG$287)</f>
        <v>0</v>
      </c>
      <c r="DH292" s="34" t="n">
        <f aca="false">IF(DH$8=1,IF(Reales!$C$73="PYG",IF(DH$10&gt;0,N(Reales!DH73)/DH$10,0),N(Reales!DH73)),DH$279+DH$283+DH$287)</f>
        <v>0</v>
      </c>
      <c r="DI292" s="34" t="n">
        <f aca="false">IF(DI$8=1,IF(Reales!$C$73="PYG",IF(DI$10&gt;0,N(Reales!DI73)/DI$10,0),N(Reales!DI73)),DI$279+DI$283+DI$287)</f>
        <v>0</v>
      </c>
      <c r="DJ292" s="34" t="n">
        <f aca="false">IF(DJ$8=1,IF(Reales!$C$73="PYG",IF(DJ$10&gt;0,N(Reales!DJ73)/DJ$10,0),N(Reales!DJ73)),DJ$279+DJ$283+DJ$287)</f>
        <v>0</v>
      </c>
      <c r="DK292" s="34" t="n">
        <f aca="false">IF(DK$8=1,IF(Reales!$C$73="PYG",IF(DK$10&gt;0,N(Reales!DK73)/DK$10,0),N(Reales!DK73)),DK$279+DK$283+DK$287)</f>
        <v>0</v>
      </c>
      <c r="DL292" s="34" t="n">
        <f aca="false">IF(DL$8=1,IF(Reales!$C$73="PYG",IF(DL$10&gt;0,N(Reales!DL73)/DL$10,0),N(Reales!DL73)),DL$279+DL$283+DL$287)</f>
        <v>0</v>
      </c>
      <c r="DM292" s="34" t="n">
        <f aca="false">IF(DM$8=1,IF(Reales!$C$73="PYG",IF(DM$10&gt;0,N(Reales!DM73)/DM$10,0),N(Reales!DM73)),DM$279+DM$283+DM$287)</f>
        <v>0</v>
      </c>
      <c r="DN292" s="34" t="n">
        <f aca="false">IF(DN$8=1,IF(Reales!$C$73="PYG",IF(DN$10&gt;0,N(Reales!DN73)/DN$10,0),N(Reales!DN73)),DN$279+DN$283+DN$287)</f>
        <v>0</v>
      </c>
      <c r="DO292" s="34" t="n">
        <f aca="false">IF(DO$8=1,IF(Reales!$C$73="PYG",IF(DO$10&gt;0,N(Reales!DO73)/DO$10,0),N(Reales!DO73)),DO$279+DO$283+DO$287)</f>
        <v>0</v>
      </c>
      <c r="DP292" s="34" t="n">
        <f aca="false">IF(DP$8=1,IF(Reales!$C$73="PYG",IF(DP$10&gt;0,N(Reales!DP73)/DP$10,0),N(Reales!DP73)),DP$279+DP$283+DP$287)</f>
        <v>0</v>
      </c>
      <c r="DQ292" s="34" t="n">
        <f aca="false">IF(DQ$8=1,IF(Reales!$C$73="PYG",IF(DQ$10&gt;0,N(Reales!DQ73)/DQ$10,0),N(Reales!DQ73)),DQ$279+DQ$283+DQ$287)</f>
        <v>0</v>
      </c>
      <c r="DR292" s="34" t="n">
        <f aca="false">IF(DR$8=1,IF(Reales!$C$73="PYG",IF(DR$10&gt;0,N(Reales!DR73)/DR$10,0),N(Reales!DR73)),DR$279+DR$283+DR$287)</f>
        <v>0</v>
      </c>
      <c r="DS292" s="34" t="n">
        <f aca="false">IF(DS$8=1,IF(Reales!$C$73="PYG",IF(DS$10&gt;0,N(Reales!DS73)/DS$10,0),N(Reales!DS73)),DS$279+DS$283+DS$287)</f>
        <v>0</v>
      </c>
      <c r="DT292" s="34" t="n">
        <f aca="false">IF(DT$8=1,IF(Reales!$C$73="PYG",IF(DT$10&gt;0,N(Reales!DT73)/DT$10,0),N(Reales!DT73)),DT$279+DT$283+DT$287)</f>
        <v>0</v>
      </c>
      <c r="DU292" s="34" t="n">
        <f aca="false">IF(DU$8=1,IF(Reales!$C$73="PYG",IF(DU$10&gt;0,N(Reales!DU73)/DU$10,0),N(Reales!DU73)),DU$279+DU$283+DU$287)</f>
        <v>0</v>
      </c>
      <c r="DV292" s="34" t="n">
        <f aca="false">IF(DV$8=1,IF(Reales!$C$73="PYG",IF(DV$10&gt;0,N(Reales!DV73)/DV$10,0),N(Reales!DV73)),DV$279+DV$283+DV$287)</f>
        <v>0</v>
      </c>
      <c r="DW292" s="34" t="n">
        <f aca="false">IF(DW$8=1,IF(Reales!$C$73="PYG",IF(DW$10&gt;0,N(Reales!DW73)/DW$10,0),N(Reales!DW73)),DW$279+DW$283+DW$287)</f>
        <v>0</v>
      </c>
      <c r="DX292" s="34" t="n">
        <f aca="false">IF(DX$8=1,IF(Reales!$C$73="PYG",IF(DX$10&gt;0,N(Reales!DX73)/DX$10,0),N(Reales!DX73)),DX$279+DX$283+DX$287)</f>
        <v>0</v>
      </c>
      <c r="DY292" s="34" t="n">
        <f aca="false">IF(DY$8=1,IF(Reales!$C$73="PYG",IF(DY$10&gt;0,N(Reales!DY73)/DY$10,0),N(Reales!DY73)),DY$279+DY$283+DY$287)</f>
        <v>0</v>
      </c>
      <c r="DZ292" s="34" t="n">
        <f aca="false">IF(DZ$8=1,IF(Reales!$C$73="PYG",IF(DZ$10&gt;0,N(Reales!DZ73)/DZ$10,0),N(Reales!DZ73)),DZ$279+DZ$283+DZ$287)</f>
        <v>0</v>
      </c>
      <c r="EA292" s="34" t="n">
        <f aca="false">IF(EA$8=1,IF(Reales!$C$73="PYG",IF(EA$10&gt;0,N(Reales!EA73)/EA$10,0),N(Reales!EA73)),EA$279+EA$283+EA$287)</f>
        <v>0</v>
      </c>
      <c r="EB292" s="34" t="n">
        <f aca="false">IF(EB$8=1,IF(Reales!$C$73="PYG",IF(EB$10&gt;0,N(Reales!EB73)/EB$10,0),N(Reales!EB73)),EB$279+EB$283+EB$287)</f>
        <v>0</v>
      </c>
      <c r="EC292" s="34" t="n">
        <f aca="false">IF(EC$8=1,IF(Reales!$C$73="PYG",IF(EC$10&gt;0,N(Reales!EC73)/EC$10,0),N(Reales!EC73)),EC$279+EC$283+EC$287)</f>
        <v>0</v>
      </c>
      <c r="ED292" s="34" t="n">
        <f aca="false">IF(ED$8=1,IF(Reales!$C$73="PYG",IF(ED$10&gt;0,N(Reales!ED73)/ED$10,0),N(Reales!ED73)),ED$279+ED$283+ED$287)</f>
        <v>0</v>
      </c>
      <c r="EE292" s="34" t="n">
        <f aca="false">IF(EE$8=1,IF(Reales!$C$73="PYG",IF(EE$10&gt;0,N(Reales!EE73)/EE$10,0),N(Reales!EE73)),EE$279+EE$283+EE$287)</f>
        <v>0</v>
      </c>
      <c r="EF292" s="34" t="n">
        <f aca="false">IF(EF$8=1,IF(Reales!$C$73="PYG",IF(EF$10&gt;0,N(Reales!EF73)/EF$10,0),N(Reales!EF73)),EF$279+EF$283+EF$287)</f>
        <v>0</v>
      </c>
      <c r="EG292" s="34" t="n">
        <f aca="false">IF(EG$8=1,IF(Reales!$C$73="PYG",IF(EG$10&gt;0,N(Reales!EG73)/EG$10,0),N(Reales!EG73)),EG$279+EG$283+EG$287)</f>
        <v>0</v>
      </c>
      <c r="EH292" s="34" t="n">
        <f aca="false">IF(EH$8=1,IF(Reales!$C$73="PYG",IF(EH$10&gt;0,N(Reales!EH73)/EH$10,0),N(Reales!EH73)),EH$279+EH$283+EH$287)</f>
        <v>0</v>
      </c>
      <c r="EI292" s="34" t="n">
        <f aca="false">IF(EI$8=1,IF(Reales!$C$73="PYG",IF(EI$10&gt;0,N(Reales!EI73)/EI$10,0),N(Reales!EI73)),EI$279+EI$283+EI$287)</f>
        <v>0</v>
      </c>
      <c r="EJ292" s="34" t="n">
        <f aca="false">IF(EJ$8=1,IF(Reales!$C$73="PYG",IF(EJ$10&gt;0,N(Reales!EJ73)/EJ$10,0),N(Reales!EJ73)),EJ$279+EJ$283+EJ$287)</f>
        <v>0</v>
      </c>
      <c r="EK292" s="34" t="n">
        <f aca="false">IF(EK$8=1,IF(Reales!$C$73="PYG",IF(EK$10&gt;0,N(Reales!EK73)/EK$10,0),N(Reales!EK73)),EK$279+EK$283+EK$287)</f>
        <v>0</v>
      </c>
      <c r="EL292" s="34" t="n">
        <f aca="false">IF(EL$8=1,IF(Reales!$C$73="PYG",IF(EL$10&gt;0,N(Reales!EL73)/EL$10,0),N(Reales!EL73)),EL$279+EL$283+EL$287)</f>
        <v>0</v>
      </c>
      <c r="EM292" s="34" t="n">
        <f aca="false">IF(EM$8=1,IF(Reales!$C$73="PYG",IF(EM$10&gt;0,N(Reales!EM73)/EM$10,0),N(Reales!EM73)),EM$279+EM$283+EM$287)</f>
        <v>0</v>
      </c>
      <c r="EN292" s="34" t="n">
        <f aca="false">IF(EN$8=1,IF(Reales!$C$73="PYG",IF(EN$10&gt;0,N(Reales!EN73)/EN$10,0),N(Reales!EN73)),EN$279+EN$283+EN$287)</f>
        <v>0</v>
      </c>
      <c r="EO292" s="34" t="n">
        <f aca="false">IF(EO$8=1,IF(Reales!$C$73="PYG",IF(EO$10&gt;0,N(Reales!EO73)/EO$10,0),N(Reales!EO73)),EO$279+EO$283+EO$287)</f>
        <v>0</v>
      </c>
      <c r="EP292" s="34" t="n">
        <f aca="false">IF(EP$8=1,IF(Reales!$C$73="PYG",IF(EP$10&gt;0,N(Reales!EP73)/EP$10,0),N(Reales!EP73)),EP$279+EP$283+EP$287)</f>
        <v>0</v>
      </c>
      <c r="EQ292" s="34" t="n">
        <f aca="false">IF(EQ$8=1,IF(Reales!$C$73="PYG",IF(EQ$10&gt;0,N(Reales!EQ73)/EQ$10,0),N(Reales!EQ73)),EQ$279+EQ$283+EQ$287)</f>
        <v>0</v>
      </c>
      <c r="ER292" s="34" t="n">
        <f aca="false">IF(ER$8=1,IF(Reales!$C$73="PYG",IF(ER$10&gt;0,N(Reales!ER73)/ER$10,0),N(Reales!ER73)),ER$279+ER$283+ER$287)</f>
        <v>0</v>
      </c>
      <c r="ES292" s="34" t="n">
        <f aca="false">IF(ES$8=1,IF(Reales!$C$73="PYG",IF(ES$10&gt;0,N(Reales!ES73)/ES$10,0),N(Reales!ES73)),ES$279+ES$283+ES$287)</f>
        <v>0</v>
      </c>
    </row>
    <row r="293" customFormat="false" ht="15" hidden="false" customHeight="false" outlineLevel="0" collapsed="false">
      <c r="A293" s="2" t="s">
        <v>929</v>
      </c>
      <c r="B293" s="6" t="s">
        <v>757</v>
      </c>
      <c r="C293" s="6" t="s">
        <v>250</v>
      </c>
      <c r="E293" s="40" t="n">
        <f aca="false">SUM(F293:ES293)</f>
        <v>2791587</v>
      </c>
      <c r="F293" s="34" t="n">
        <f aca="false">IF(F$8=1,IF(Reales!$C$75="PYG",IF(F$10&gt;0,N(Reales!F75)/F$10,0),N(Reales!F75)),MAX(0,MIN(0-0+F$292,F$281+F$285+F$289)))</f>
        <v>0</v>
      </c>
      <c r="G293" s="34" t="n">
        <f aca="false">IF(G$8=1,IF(Reales!$C$75="PYG",IF(G$10&gt;0,N(Reales!G75)/G$10,0),N(Reales!G75)),MAX(0,MIN(F$304-F$301+G$292,G$281+G$285+G$289)))</f>
        <v>0</v>
      </c>
      <c r="H293" s="34" t="n">
        <f aca="false">IF(H$8=1,IF(Reales!$C$75="PYG",IF(H$10&gt;0,N(Reales!H75)/H$10,0),N(Reales!H75)),MAX(0,MIN(G$304-G$301+H$292,H$281+H$285+H$289)))</f>
        <v>0</v>
      </c>
      <c r="I293" s="34" t="n">
        <f aca="false">IF(I$8=1,IF(Reales!$C$75="PYG",IF(I$10&gt;0,N(Reales!I75)/I$10,0),N(Reales!I75)),MAX(0,MIN(H$304-H$301+I$292,I$281+I$285+I$289)))</f>
        <v>0</v>
      </c>
      <c r="J293" s="34" t="n">
        <f aca="false">IF(J$8=1,IF(Reales!$C$75="PYG",IF(J$10&gt;0,N(Reales!J75)/J$10,0),N(Reales!J75)),MAX(0,MIN(I$304-I$301+J$292,J$281+J$285+J$289)))</f>
        <v>0</v>
      </c>
      <c r="K293" s="34" t="n">
        <f aca="false">IF(K$8=1,IF(Reales!$C$75="PYG",IF(K$10&gt;0,N(Reales!K75)/K$10,0),N(Reales!K75)),MAX(0,MIN(J$304-J$301+K$292,K$281+K$285+K$289)))</f>
        <v>0</v>
      </c>
      <c r="L293" s="34" t="n">
        <f aca="false">IF(L$8=1,IF(Reales!$C$75="PYG",IF(L$10&gt;0,N(Reales!L75)/L$10,0),N(Reales!L75)),MAX(0,MIN(K$304-K$301+L$292,L$281+L$285+L$289)))</f>
        <v>42123.3040946878</v>
      </c>
      <c r="M293" s="34" t="n">
        <f aca="false">IF(M$8=1,IF(Reales!$C$75="PYG",IF(M$10&gt;0,N(Reales!M75)/M$10,0),N(Reales!M75)),MAX(0,MIN(L$304-L$301+M$292,M$281+M$285+M$289)))</f>
        <v>42439.2288753979</v>
      </c>
      <c r="N293" s="34" t="n">
        <f aca="false">IF(N$8=1,IF(Reales!$C$75="PYG",IF(N$10&gt;0,N(Reales!N75)/N$10,0),N(Reales!N75)),MAX(0,MIN(M$304-M$301+N$292,N$281+N$285+N$289)))</f>
        <v>42757.5230919634</v>
      </c>
      <c r="O293" s="34" t="n">
        <f aca="false">IF(O$8=1,IF(Reales!$C$75="PYG",IF(O$10&gt;0,N(Reales!O75)/O$10,0),N(Reales!O75)),MAX(0,MIN(N$304-N$301+O$292,O$281+O$285+O$289)))</f>
        <v>43078.2045151531</v>
      </c>
      <c r="P293" s="34" t="n">
        <f aca="false">IF(P$8=1,IF(Reales!$C$75="PYG",IF(P$10&gt;0,N(Reales!P75)/P$10,0),N(Reales!P75)),MAX(0,MIN(O$304-O$301+P$292,P$281+P$285+P$289)))</f>
        <v>43401.2910490168</v>
      </c>
      <c r="Q293" s="34" t="n">
        <f aca="false">IF(Q$8=1,IF(Reales!$C$75="PYG",IF(Q$10&gt;0,N(Reales!Q75)/Q$10,0),N(Reales!Q75)),MAX(0,MIN(P$304-P$301+Q$292,Q$281+Q$285+Q$289)))</f>
        <v>43726.8007318844</v>
      </c>
      <c r="R293" s="34" t="n">
        <f aca="false">IF(R$8=1,IF(Reales!$C$75="PYG",IF(R$10&gt;0,N(Reales!R75)/R$10,0),N(Reales!R75)),MAX(0,MIN(Q$304-Q$301+R$292,R$281+R$285+R$289)))</f>
        <v>44054.7517373735</v>
      </c>
      <c r="S293" s="34" t="n">
        <f aca="false">IF(S$8=1,IF(Reales!$C$75="PYG",IF(S$10&gt;0,N(Reales!S75)/S$10,0),N(Reales!S75)),MAX(0,MIN(R$304-R$301+S$292,S$281+S$285+S$289)))</f>
        <v>44385.1623754038</v>
      </c>
      <c r="T293" s="34" t="n">
        <f aca="false">IF(T$8=1,IF(Reales!$C$75="PYG",IF(T$10&gt;0,N(Reales!T75)/T$10,0),N(Reales!T75)),MAX(0,MIN(S$304-S$301+T$292,T$281+T$285+T$289)))</f>
        <v>44718.0510932194</v>
      </c>
      <c r="U293" s="34" t="n">
        <f aca="false">IF(U$8=1,IF(Reales!$C$75="PYG",IF(U$10&gt;0,N(Reales!U75)/U$10,0),N(Reales!U75)),MAX(0,MIN(T$304-T$301+U$292,U$281+U$285+U$289)))</f>
        <v>45053.4364764185</v>
      </c>
      <c r="V293" s="34" t="n">
        <f aca="false">IF(V$8=1,IF(Reales!$C$75="PYG",IF(V$10&gt;0,N(Reales!V75)/V$10,0),N(Reales!V75)),MAX(0,MIN(U$304-U$301+V$292,V$281+V$285+V$289)))</f>
        <v>45391.3372499916</v>
      </c>
      <c r="W293" s="34" t="n">
        <f aca="false">IF(W$8=1,IF(Reales!$C$75="PYG",IF(W$10&gt;0,N(Reales!W75)/W$10,0),N(Reales!W75)),MAX(0,MIN(V$304-V$301+W$292,W$281+W$285+W$289)))</f>
        <v>45731.7722793666</v>
      </c>
      <c r="X293" s="34" t="n">
        <f aca="false">IF(X$8=1,IF(Reales!$C$75="PYG",IF(X$10&gt;0,N(Reales!X75)/X$10,0),N(Reales!X75)),MAX(0,MIN(W$304-W$301+X$292,X$281+X$285+X$289)))</f>
        <v>46074.7605714618</v>
      </c>
      <c r="Y293" s="34" t="n">
        <f aca="false">IF(Y$8=1,IF(Reales!$C$75="PYG",IF(Y$10&gt;0,N(Reales!Y75)/Y$10,0),N(Reales!Y75)),MAX(0,MIN(X$304-X$301+Y$292,Y$281+Y$285+Y$289)))</f>
        <v>46420.3212757478</v>
      </c>
      <c r="Z293" s="34" t="n">
        <f aca="false">IF(Z$8=1,IF(Reales!$C$75="PYG",IF(Z$10&gt;0,N(Reales!Z75)/Z$10,0),N(Reales!Z75)),MAX(0,MIN(Y$304-Y$301+Z$292,Z$281+Z$285+Z$289)))</f>
        <v>46768.4736853159</v>
      </c>
      <c r="AA293" s="34" t="n">
        <f aca="false">IF(AA$8=1,IF(Reales!$C$75="PYG",IF(AA$10&gt;0,N(Reales!AA75)/AA$10,0),N(Reales!AA75)),MAX(0,MIN(Z$304-Z$301+AA$292,AA$281+AA$285+AA$289)))</f>
        <v>47119.2372379558</v>
      </c>
      <c r="AB293" s="34" t="n">
        <f aca="false">IF(AB$8=1,IF(Reales!$C$75="PYG",IF(AB$10&gt;0,N(Reales!AB75)/AB$10,0),N(Reales!AB75)),MAX(0,MIN(AA$304-AA$301+AB$292,AB$281+AB$285+AB$289)))</f>
        <v>47472.6315172404</v>
      </c>
      <c r="AC293" s="34" t="n">
        <f aca="false">IF(AC$8=1,IF(Reales!$C$75="PYG",IF(AC$10&gt;0,N(Reales!AC75)/AC$10,0),N(Reales!AC75)),MAX(0,MIN(AB$304-AB$301+AC$292,AC$281+AC$285+AC$289)))</f>
        <v>47828.6762536197</v>
      </c>
      <c r="AD293" s="34" t="n">
        <f aca="false">IF(AD$8=1,IF(Reales!$C$75="PYG",IF(AD$10&gt;0,N(Reales!AD75)/AD$10,0),N(Reales!AD75)),MAX(0,MIN(AC$304-AC$301+AD$292,AD$281+AD$285+AD$289)))</f>
        <v>48187.3913255219</v>
      </c>
      <c r="AE293" s="34" t="n">
        <f aca="false">IF(AE$8=1,IF(Reales!$C$75="PYG",IF(AE$10&gt;0,N(Reales!AE75)/AE$10,0),N(Reales!AE75)),MAX(0,MIN(AD$304-AD$301+AE$292,AE$281+AE$285+AE$289)))</f>
        <v>48548.7967604633</v>
      </c>
      <c r="AF293" s="34" t="n">
        <f aca="false">IF(AF$8=1,IF(Reales!$C$75="PYG",IF(AF$10&gt;0,N(Reales!AF75)/AF$10,0),N(Reales!AF75)),MAX(0,MIN(AE$304-AE$301+AF$292,AF$281+AF$285+AF$289)))</f>
        <v>48912.9127361668</v>
      </c>
      <c r="AG293" s="34" t="n">
        <f aca="false">IF(AG$8=1,IF(Reales!$C$75="PYG",IF(AG$10&gt;0,N(Reales!AG75)/AG$10,0),N(Reales!AG75)),MAX(0,MIN(AF$304-AF$301+AG$292,AG$281+AG$285+AG$289)))</f>
        <v>49279.759581688</v>
      </c>
      <c r="AH293" s="34" t="n">
        <f aca="false">IF(AH$8=1,IF(Reales!$C$75="PYG",IF(AH$10&gt;0,N(Reales!AH75)/AH$10,0),N(Reales!AH75)),MAX(0,MIN(AG$304-AG$301+AH$292,AH$281+AH$285+AH$289)))</f>
        <v>49649.3577785507</v>
      </c>
      <c r="AI293" s="34" t="n">
        <f aca="false">IF(AI$8=1,IF(Reales!$C$75="PYG",IF(AI$10&gt;0,N(Reales!AI75)/AI$10,0),N(Reales!AI75)),MAX(0,MIN(AH$304-AH$301+AI$292,AI$281+AI$285+AI$289)))</f>
        <v>50021.7279618898</v>
      </c>
      <c r="AJ293" s="34" t="n">
        <f aca="false">IF(AJ$8=1,IF(Reales!$C$75="PYG",IF(AJ$10&gt;0,N(Reales!AJ75)/AJ$10,0),N(Reales!AJ75)),MAX(0,MIN(AI$304-AI$301+AJ$292,AJ$281+AJ$285+AJ$289)))</f>
        <v>50396.890921604</v>
      </c>
      <c r="AK293" s="34" t="n">
        <f aca="false">IF(AK$8=1,IF(Reales!$C$75="PYG",IF(AK$10&gt;0,N(Reales!AK75)/AK$10,0),N(Reales!AK75)),MAX(0,MIN(AJ$304-AJ$301+AK$292,AK$281+AK$285+AK$289)))</f>
        <v>50774.867603516</v>
      </c>
      <c r="AL293" s="34" t="n">
        <f aca="false">IF(AL$8=1,IF(Reales!$C$75="PYG",IF(AL$10&gt;0,N(Reales!AL75)/AL$10,0),N(Reales!AL75)),MAX(0,MIN(AK$304-AK$301+AL$292,AL$281+AL$285+AL$289)))</f>
        <v>51155.6791105424</v>
      </c>
      <c r="AM293" s="34" t="n">
        <f aca="false">IF(AM$8=1,IF(Reales!$C$75="PYG",IF(AM$10&gt;0,N(Reales!AM75)/AM$10,0),N(Reales!AM75)),MAX(0,MIN(AL$304-AL$301+AM$292,AM$281+AM$285+AM$289)))</f>
        <v>51539.3467038715</v>
      </c>
      <c r="AN293" s="34" t="n">
        <f aca="false">IF(AN$8=1,IF(Reales!$C$75="PYG",IF(AN$10&gt;0,N(Reales!AN75)/AN$10,0),N(Reales!AN75)),MAX(0,MIN(AM$304-AM$301+AN$292,AN$281+AN$285+AN$289)))</f>
        <v>51925.8918041505</v>
      </c>
      <c r="AO293" s="34" t="n">
        <f aca="false">IF(AO$8=1,IF(Reales!$C$75="PYG",IF(AO$10&gt;0,N(Reales!AO75)/AO$10,0),N(Reales!AO75)),MAX(0,MIN(AN$304-AN$301+AO$292,AO$281+AO$285+AO$289)))</f>
        <v>52315.3359926816</v>
      </c>
      <c r="AP293" s="34" t="n">
        <f aca="false">IF(AP$8=1,IF(Reales!$C$75="PYG",IF(AP$10&gt;0,N(Reales!AP75)/AP$10,0),N(Reales!AP75)),MAX(0,MIN(AO$304-AO$301+AP$292,AP$281+AP$285+AP$289)))</f>
        <v>52707.7010126267</v>
      </c>
      <c r="AQ293" s="34" t="n">
        <f aca="false">IF(AQ$8=1,IF(Reales!$C$75="PYG",IF(AQ$10&gt;0,N(Reales!AQ75)/AQ$10,0),N(Reales!AQ75)),MAX(0,MIN(AP$304-AP$301+AQ$292,AQ$281+AQ$285+AQ$289)))</f>
        <v>53103.0087702214</v>
      </c>
      <c r="AR293" s="34" t="n">
        <f aca="false">IF(AR$8=1,IF(Reales!$C$75="PYG",IF(AR$10&gt;0,N(Reales!AR75)/AR$10,0),N(Reales!AR75)),MAX(0,MIN(AQ$304-AQ$301+AR$292,AR$281+AR$285+AR$289)))</f>
        <v>53501.2813359981</v>
      </c>
      <c r="AS293" s="34" t="n">
        <f aca="false">IF(AS$8=1,IF(Reales!$C$75="PYG",IF(AS$10&gt;0,N(Reales!AS75)/AS$10,0),N(Reales!AS75)),MAX(0,MIN(AR$304-AR$301+AS$292,AS$281+AS$285+AS$289)))</f>
        <v>53902.5409460181</v>
      </c>
      <c r="AT293" s="34" t="n">
        <f aca="false">IF(AT$8=1,IF(Reales!$C$75="PYG",IF(AT$10&gt;0,N(Reales!AT75)/AT$10,0),N(Reales!AT75)),MAX(0,MIN(AS$304-AS$301+AT$292,AT$281+AT$285+AT$289)))</f>
        <v>54306.8100031132</v>
      </c>
      <c r="AU293" s="34" t="n">
        <f aca="false">IF(AU$8=1,IF(Reales!$C$75="PYG",IF(AU$10&gt;0,N(Reales!AU75)/AU$10,0),N(Reales!AU75)),MAX(0,MIN(AT$304-AT$301+AU$292,AU$281+AU$285+AU$289)))</f>
        <v>54714.1110781366</v>
      </c>
      <c r="AV293" s="34" t="n">
        <f aca="false">IF(AV$8=1,IF(Reales!$C$75="PYG",IF(AV$10&gt;0,N(Reales!AV75)/AV$10,0),N(Reales!AV75)),MAX(0,MIN(AU$304-AU$301+AV$292,AV$281+AV$285+AV$289)))</f>
        <v>55124.4669112226</v>
      </c>
      <c r="AW293" s="34" t="n">
        <f aca="false">IF(AW$8=1,IF(Reales!$C$75="PYG",IF(AW$10&gt;0,N(Reales!AW75)/AW$10,0),N(Reales!AW75)),MAX(0,MIN(AV$304-AV$301+AW$292,AW$281+AW$285+AW$289)))</f>
        <v>55537.9004130568</v>
      </c>
      <c r="AX293" s="34" t="n">
        <f aca="false">IF(AX$8=1,IF(Reales!$C$75="PYG",IF(AX$10&gt;0,N(Reales!AX75)/AX$10,0),N(Reales!AX75)),MAX(0,MIN(AW$304-AW$301+AX$292,AX$281+AX$285+AX$289)))</f>
        <v>55954.4346661547</v>
      </c>
      <c r="AY293" s="34" t="n">
        <f aca="false">IF(AY$8=1,IF(Reales!$C$75="PYG",IF(AY$10&gt;0,N(Reales!AY75)/AY$10,0),N(Reales!AY75)),MAX(0,MIN(AX$304-AX$301+AY$292,AY$281+AY$285+AY$289)))</f>
        <v>56374.0929261509</v>
      </c>
      <c r="AZ293" s="34" t="n">
        <f aca="false">IF(AZ$8=1,IF(Reales!$C$75="PYG",IF(AZ$10&gt;0,N(Reales!AZ75)/AZ$10,0),N(Reales!AZ75)),MAX(0,MIN(AY$304-AY$301+AZ$292,AZ$281+AZ$285+AZ$289)))</f>
        <v>56796.898623097</v>
      </c>
      <c r="BA293" s="34" t="n">
        <f aca="false">IF(BA$8=1,IF(Reales!$C$75="PYG",IF(BA$10&gt;0,N(Reales!BA75)/BA$10,0),N(Reales!BA75)),MAX(0,MIN(AZ$304-AZ$301+BA$292,BA$281+BA$285+BA$289)))</f>
        <v>57222.8753627702</v>
      </c>
      <c r="BB293" s="34" t="n">
        <f aca="false">IF(BB$8=1,IF(Reales!$C$75="PYG",IF(BB$10&gt;0,N(Reales!BB75)/BB$10,0),N(Reales!BB75)),MAX(0,MIN(BA$304-BA$301+BB$292,BB$281+BB$285+BB$289)))</f>
        <v>57652.046927991</v>
      </c>
      <c r="BC293" s="34" t="n">
        <f aca="false">IF(BC$8=1,IF(Reales!$C$75="PYG",IF(BC$10&gt;0,N(Reales!BC75)/BC$10,0),N(Reales!BC75)),MAX(0,MIN(BB$304-BB$301+BC$292,BC$281+BC$285+BC$289)))</f>
        <v>58084.4372799509</v>
      </c>
      <c r="BD293" s="34" t="n">
        <f aca="false">IF(BD$8=1,IF(Reales!$C$75="PYG",IF(BD$10&gt;0,N(Reales!BD75)/BD$10,0),N(Reales!BD75)),MAX(0,MIN(BC$304-BC$301+BD$292,BD$281+BD$285+BD$289)))</f>
        <v>58520.0705595506</v>
      </c>
      <c r="BE293" s="34" t="n">
        <f aca="false">IF(BE$8=1,IF(Reales!$C$75="PYG",IF(BE$10&gt;0,N(Reales!BE75)/BE$10,0),N(Reales!BE75)),MAX(0,MIN(BD$304-BD$301+BE$292,BE$281+BE$285+BE$289)))</f>
        <v>58958.9710887472</v>
      </c>
      <c r="BF293" s="34" t="n">
        <f aca="false">IF(BF$8=1,IF(Reales!$C$75="PYG",IF(BF$10&gt;0,N(Reales!BF75)/BF$10,0),N(Reales!BF75)),MAX(0,MIN(BE$304-BE$301+BF$292,BF$281+BF$285+BF$289)))</f>
        <v>59401.1633719128</v>
      </c>
      <c r="BG293" s="34" t="n">
        <f aca="false">IF(BG$8=1,IF(Reales!$C$75="PYG",IF(BG$10&gt;0,N(Reales!BG75)/BG$10,0),N(Reales!BG75)),MAX(0,MIN(BF$304-BF$301+BG$292,BG$281+BG$285+BG$289)))</f>
        <v>59846.6720972021</v>
      </c>
      <c r="BH293" s="34" t="n">
        <f aca="false">IF(BH$8=1,IF(Reales!$C$75="PYG",IF(BH$10&gt;0,N(Reales!BH75)/BH$10,0),N(Reales!BH75)),MAX(0,MIN(BG$304-BG$301+BH$292,BH$281+BH$285+BH$289)))</f>
        <v>60295.5221379312</v>
      </c>
      <c r="BI293" s="34" t="n">
        <f aca="false">IF(BI$8=1,IF(Reales!$C$75="PYG",IF(BI$10&gt;0,N(Reales!BI75)/BI$10,0),N(Reales!BI75)),MAX(0,MIN(BH$304-BH$301+BI$292,BI$281+BI$285+BI$289)))</f>
        <v>60747.7385539656</v>
      </c>
      <c r="BJ293" s="34" t="n">
        <f aca="false">IF(BJ$8=1,IF(Reales!$C$75="PYG",IF(BJ$10&gt;0,N(Reales!BJ75)/BJ$10,0),N(Reales!BJ75)),MAX(0,MIN(BI$304-BI$301+BJ$292,BJ$281+BJ$285+BJ$289)))</f>
        <v>61203.3465931204</v>
      </c>
      <c r="BK293" s="34" t="n">
        <f aca="false">IF(BK$8=1,IF(Reales!$C$75="PYG",IF(BK$10&gt;0,N(Reales!BK75)/BK$10,0),N(Reales!BK75)),MAX(0,MIN(BJ$304-BJ$301+BK$292,BK$281+BK$285+BK$289)))</f>
        <v>61662.3716925688</v>
      </c>
      <c r="BL293" s="34" t="n">
        <f aca="false">IF(BL$8=1,IF(Reales!$C$75="PYG",IF(BL$10&gt;0,N(Reales!BL75)/BL$10,0),N(Reales!BL75)),MAX(0,MIN(BK$304-BK$301+BL$292,BL$281+BL$285+BL$289)))</f>
        <v>62124.839480263</v>
      </c>
      <c r="BM293" s="34" t="n">
        <f aca="false">IF(BM$8=1,IF(Reales!$C$75="PYG",IF(BM$10&gt;0,N(Reales!BM75)/BM$10,0),N(Reales!BM75)),MAX(0,MIN(BL$304-BL$301+BM$292,BM$281+BM$285+BM$289)))</f>
        <v>62590.7757763667</v>
      </c>
      <c r="BN293" s="34" t="n">
        <f aca="false">IF(BN$8=1,IF(Reales!$C$75="PYG",IF(BN$10&gt;0,N(Reales!BN75)/BN$10,0),N(Reales!BN75)),MAX(0,MIN(BM$304-BM$301+BN$292,BN$281+BN$285+BN$289)))</f>
        <v>0</v>
      </c>
      <c r="BO293" s="34" t="n">
        <f aca="false">IF(BO$8=1,IF(Reales!$C$75="PYG",IF(BO$10&gt;0,N(Reales!BO75)/BO$10,0),N(Reales!BO75)),MAX(0,MIN(BN$304-BN$301+BO$292,BO$281+BO$285+BO$289)))</f>
        <v>0</v>
      </c>
      <c r="BP293" s="34" t="n">
        <f aca="false">IF(BP$8=1,IF(Reales!$C$75="PYG",IF(BP$10&gt;0,N(Reales!BP75)/BP$10,0),N(Reales!BP75)),MAX(0,MIN(BO$304-BO$301+BP$292,BP$281+BP$285+BP$289)))</f>
        <v>0</v>
      </c>
      <c r="BQ293" s="34" t="n">
        <f aca="false">IF(BQ$8=1,IF(Reales!$C$75="PYG",IF(BQ$10&gt;0,N(Reales!BQ75)/BQ$10,0),N(Reales!BQ75)),MAX(0,MIN(BP$304-BP$301+BQ$292,BQ$281+BQ$285+BQ$289)))</f>
        <v>0</v>
      </c>
      <c r="BR293" s="34" t="n">
        <f aca="false">IF(BR$8=1,IF(Reales!$C$75="PYG",IF(BR$10&gt;0,N(Reales!BR75)/BR$10,0),N(Reales!BR75)),MAX(0,MIN(BQ$304-BQ$301+BR$292,BR$281+BR$285+BR$289)))</f>
        <v>0</v>
      </c>
      <c r="BS293" s="34" t="n">
        <f aca="false">IF(BS$8=1,IF(Reales!$C$75="PYG",IF(BS$10&gt;0,N(Reales!BS75)/BS$10,0),N(Reales!BS75)),MAX(0,MIN(BR$304-BR$301+BS$292,BS$281+BS$285+BS$289)))</f>
        <v>0</v>
      </c>
      <c r="BT293" s="34" t="n">
        <f aca="false">IF(BT$8=1,IF(Reales!$C$75="PYG",IF(BT$10&gt;0,N(Reales!BT75)/BT$10,0),N(Reales!BT75)),MAX(0,MIN(BS$304-BS$301+BT$292,BT$281+BT$285+BT$289)))</f>
        <v>0</v>
      </c>
      <c r="BU293" s="34" t="n">
        <f aca="false">IF(BU$8=1,IF(Reales!$C$75="PYG",IF(BU$10&gt;0,N(Reales!BU75)/BU$10,0),N(Reales!BU75)),MAX(0,MIN(BT$304-BT$301+BU$292,BU$281+BU$285+BU$289)))</f>
        <v>0</v>
      </c>
      <c r="BV293" s="34" t="n">
        <f aca="false">IF(BV$8=1,IF(Reales!$C$75="PYG",IF(BV$10&gt;0,N(Reales!BV75)/BV$10,0),N(Reales!BV75)),MAX(0,MIN(BU$304-BU$301+BV$292,BV$281+BV$285+BV$289)))</f>
        <v>0</v>
      </c>
      <c r="BW293" s="34" t="n">
        <f aca="false">IF(BW$8=1,IF(Reales!$C$75="PYG",IF(BW$10&gt;0,N(Reales!BW75)/BW$10,0),N(Reales!BW75)),MAX(0,MIN(BV$304-BV$301+BW$292,BW$281+BW$285+BW$289)))</f>
        <v>0</v>
      </c>
      <c r="BX293" s="34" t="n">
        <f aca="false">IF(BX$8=1,IF(Reales!$C$75="PYG",IF(BX$10&gt;0,N(Reales!BX75)/BX$10,0),N(Reales!BX75)),MAX(0,MIN(BW$304-BW$301+BX$292,BX$281+BX$285+BX$289)))</f>
        <v>0</v>
      </c>
      <c r="BY293" s="34" t="n">
        <f aca="false">IF(BY$8=1,IF(Reales!$C$75="PYG",IF(BY$10&gt;0,N(Reales!BY75)/BY$10,0),N(Reales!BY75)),MAX(0,MIN(BX$304-BX$301+BY$292,BY$281+BY$285+BY$289)))</f>
        <v>0</v>
      </c>
      <c r="BZ293" s="34" t="n">
        <f aca="false">IF(BZ$8=1,IF(Reales!$C$75="PYG",IF(BZ$10&gt;0,N(Reales!BZ75)/BZ$10,0),N(Reales!BZ75)),MAX(0,MIN(BY$304-BY$301+BZ$292,BZ$281+BZ$285+BZ$289)))</f>
        <v>0</v>
      </c>
      <c r="CA293" s="34" t="n">
        <f aca="false">IF(CA$8=1,IF(Reales!$C$75="PYG",IF(CA$10&gt;0,N(Reales!CA75)/CA$10,0),N(Reales!CA75)),MAX(0,MIN(BZ$304-BZ$301+CA$292,CA$281+CA$285+CA$289)))</f>
        <v>0</v>
      </c>
      <c r="CB293" s="34" t="n">
        <f aca="false">IF(CB$8=1,IF(Reales!$C$75="PYG",IF(CB$10&gt;0,N(Reales!CB75)/CB$10,0),N(Reales!CB75)),MAX(0,MIN(CA$304-CA$301+CB$292,CB$281+CB$285+CB$289)))</f>
        <v>0</v>
      </c>
      <c r="CC293" s="34" t="n">
        <f aca="false">IF(CC$8=1,IF(Reales!$C$75="PYG",IF(CC$10&gt;0,N(Reales!CC75)/CC$10,0),N(Reales!CC75)),MAX(0,MIN(CB$304-CB$301+CC$292,CC$281+CC$285+CC$289)))</f>
        <v>0</v>
      </c>
      <c r="CD293" s="34" t="n">
        <f aca="false">IF(CD$8=1,IF(Reales!$C$75="PYG",IF(CD$10&gt;0,N(Reales!CD75)/CD$10,0),N(Reales!CD75)),MAX(0,MIN(CC$304-CC$301+CD$292,CD$281+CD$285+CD$289)))</f>
        <v>0</v>
      </c>
      <c r="CE293" s="34" t="n">
        <f aca="false">IF(CE$8=1,IF(Reales!$C$75="PYG",IF(CE$10&gt;0,N(Reales!CE75)/CE$10,0),N(Reales!CE75)),MAX(0,MIN(CD$304-CD$301+CE$292,CE$281+CE$285+CE$289)))</f>
        <v>0</v>
      </c>
      <c r="CF293" s="34" t="n">
        <f aca="false">IF(CF$8=1,IF(Reales!$C$75="PYG",IF(CF$10&gt;0,N(Reales!CF75)/CF$10,0),N(Reales!CF75)),MAX(0,MIN(CE$304-CE$301+CF$292,CF$281+CF$285+CF$289)))</f>
        <v>0</v>
      </c>
      <c r="CG293" s="34" t="n">
        <f aca="false">IF(CG$8=1,IF(Reales!$C$75="PYG",IF(CG$10&gt;0,N(Reales!CG75)/CG$10,0),N(Reales!CG75)),MAX(0,MIN(CF$304-CF$301+CG$292,CG$281+CG$285+CG$289)))</f>
        <v>0</v>
      </c>
      <c r="CH293" s="34" t="n">
        <f aca="false">IF(CH$8=1,IF(Reales!$C$75="PYG",IF(CH$10&gt;0,N(Reales!CH75)/CH$10,0),N(Reales!CH75)),MAX(0,MIN(CG$304-CG$301+CH$292,CH$281+CH$285+CH$289)))</f>
        <v>0</v>
      </c>
      <c r="CI293" s="34" t="n">
        <f aca="false">IF(CI$8=1,IF(Reales!$C$75="PYG",IF(CI$10&gt;0,N(Reales!CI75)/CI$10,0),N(Reales!CI75)),MAX(0,MIN(CH$304-CH$301+CI$292,CI$281+CI$285+CI$289)))</f>
        <v>0</v>
      </c>
      <c r="CJ293" s="34" t="n">
        <f aca="false">IF(CJ$8=1,IF(Reales!$C$75="PYG",IF(CJ$10&gt;0,N(Reales!CJ75)/CJ$10,0),N(Reales!CJ75)),MAX(0,MIN(CI$304-CI$301+CJ$292,CJ$281+CJ$285+CJ$289)))</f>
        <v>0</v>
      </c>
      <c r="CK293" s="34" t="n">
        <f aca="false">IF(CK$8=1,IF(Reales!$C$75="PYG",IF(CK$10&gt;0,N(Reales!CK75)/CK$10,0),N(Reales!CK75)),MAX(0,MIN(CJ$304-CJ$301+CK$292,CK$281+CK$285+CK$289)))</f>
        <v>0</v>
      </c>
      <c r="CL293" s="34" t="n">
        <f aca="false">IF(CL$8=1,IF(Reales!$C$75="PYG",IF(CL$10&gt;0,N(Reales!CL75)/CL$10,0),N(Reales!CL75)),MAX(0,MIN(CK$304-CK$301+CL$292,CL$281+CL$285+CL$289)))</f>
        <v>0</v>
      </c>
      <c r="CM293" s="34" t="n">
        <f aca="false">IF(CM$8=1,IF(Reales!$C$75="PYG",IF(CM$10&gt;0,N(Reales!CM75)/CM$10,0),N(Reales!CM75)),MAX(0,MIN(CL$304-CL$301+CM$292,CM$281+CM$285+CM$289)))</f>
        <v>0</v>
      </c>
      <c r="CN293" s="34" t="n">
        <f aca="false">IF(CN$8=1,IF(Reales!$C$75="PYG",IF(CN$10&gt;0,N(Reales!CN75)/CN$10,0),N(Reales!CN75)),MAX(0,MIN(CM$304-CM$301+CN$292,CN$281+CN$285+CN$289)))</f>
        <v>0</v>
      </c>
      <c r="CO293" s="34" t="n">
        <f aca="false">IF(CO$8=1,IF(Reales!$C$75="PYG",IF(CO$10&gt;0,N(Reales!CO75)/CO$10,0),N(Reales!CO75)),MAX(0,MIN(CN$304-CN$301+CO$292,CO$281+CO$285+CO$289)))</f>
        <v>0</v>
      </c>
      <c r="CP293" s="34" t="n">
        <f aca="false">IF(CP$8=1,IF(Reales!$C$75="PYG",IF(CP$10&gt;0,N(Reales!CP75)/CP$10,0),N(Reales!CP75)),MAX(0,MIN(CO$304-CO$301+CP$292,CP$281+CP$285+CP$289)))</f>
        <v>0</v>
      </c>
      <c r="CQ293" s="34" t="n">
        <f aca="false">IF(CQ$8=1,IF(Reales!$C$75="PYG",IF(CQ$10&gt;0,N(Reales!CQ75)/CQ$10,0),N(Reales!CQ75)),MAX(0,MIN(CP$304-CP$301+CQ$292,CQ$281+CQ$285+CQ$289)))</f>
        <v>0</v>
      </c>
      <c r="CR293" s="34" t="n">
        <f aca="false">IF(CR$8=1,IF(Reales!$C$75="PYG",IF(CR$10&gt;0,N(Reales!CR75)/CR$10,0),N(Reales!CR75)),MAX(0,MIN(CQ$304-CQ$301+CR$292,CR$281+CR$285+CR$289)))</f>
        <v>0</v>
      </c>
      <c r="CS293" s="34" t="n">
        <f aca="false">IF(CS$8=1,IF(Reales!$C$75="PYG",IF(CS$10&gt;0,N(Reales!CS75)/CS$10,0),N(Reales!CS75)),MAX(0,MIN(CR$304-CR$301+CS$292,CS$281+CS$285+CS$289)))</f>
        <v>0</v>
      </c>
      <c r="CT293" s="34" t="n">
        <f aca="false">IF(CT$8=1,IF(Reales!$C$75="PYG",IF(CT$10&gt;0,N(Reales!CT75)/CT$10,0),N(Reales!CT75)),MAX(0,MIN(CS$304-CS$301+CT$292,CT$281+CT$285+CT$289)))</f>
        <v>0</v>
      </c>
      <c r="CU293" s="34" t="n">
        <f aca="false">IF(CU$8=1,IF(Reales!$C$75="PYG",IF(CU$10&gt;0,N(Reales!CU75)/CU$10,0),N(Reales!CU75)),MAX(0,MIN(CT$304-CT$301+CU$292,CU$281+CU$285+CU$289)))</f>
        <v>0</v>
      </c>
      <c r="CV293" s="34" t="n">
        <f aca="false">IF(CV$8=1,IF(Reales!$C$75="PYG",IF(CV$10&gt;0,N(Reales!CV75)/CV$10,0),N(Reales!CV75)),MAX(0,MIN(CU$304-CU$301+CV$292,CV$281+CV$285+CV$289)))</f>
        <v>0</v>
      </c>
      <c r="CW293" s="34" t="n">
        <f aca="false">IF(CW$8=1,IF(Reales!$C$75="PYG",IF(CW$10&gt;0,N(Reales!CW75)/CW$10,0),N(Reales!CW75)),MAX(0,MIN(CV$304-CV$301+CW$292,CW$281+CW$285+CW$289)))</f>
        <v>0</v>
      </c>
      <c r="CX293" s="34" t="n">
        <f aca="false">IF(CX$8=1,IF(Reales!$C$75="PYG",IF(CX$10&gt;0,N(Reales!CX75)/CX$10,0),N(Reales!CX75)),MAX(0,MIN(CW$304-CW$301+CX$292,CX$281+CX$285+CX$289)))</f>
        <v>0</v>
      </c>
      <c r="CY293" s="34" t="n">
        <f aca="false">IF(CY$8=1,IF(Reales!$C$75="PYG",IF(CY$10&gt;0,N(Reales!CY75)/CY$10,0),N(Reales!CY75)),MAX(0,MIN(CX$304-CX$301+CY$292,CY$281+CY$285+CY$289)))</f>
        <v>0</v>
      </c>
      <c r="CZ293" s="34" t="n">
        <f aca="false">IF(CZ$8=1,IF(Reales!$C$75="PYG",IF(CZ$10&gt;0,N(Reales!CZ75)/CZ$10,0),N(Reales!CZ75)),MAX(0,MIN(CY$304-CY$301+CZ$292,CZ$281+CZ$285+CZ$289)))</f>
        <v>0</v>
      </c>
      <c r="DA293" s="34" t="n">
        <f aca="false">IF(DA$8=1,IF(Reales!$C$75="PYG",IF(DA$10&gt;0,N(Reales!DA75)/DA$10,0),N(Reales!DA75)),MAX(0,MIN(CZ$304-CZ$301+DA$292,DA$281+DA$285+DA$289)))</f>
        <v>0</v>
      </c>
      <c r="DB293" s="34" t="n">
        <f aca="false">IF(DB$8=1,IF(Reales!$C$75="PYG",IF(DB$10&gt;0,N(Reales!DB75)/DB$10,0),N(Reales!DB75)),MAX(0,MIN(DA$304-DA$301+DB$292,DB$281+DB$285+DB$289)))</f>
        <v>0</v>
      </c>
      <c r="DC293" s="34" t="n">
        <f aca="false">IF(DC$8=1,IF(Reales!$C$75="PYG",IF(DC$10&gt;0,N(Reales!DC75)/DC$10,0),N(Reales!DC75)),MAX(0,MIN(DB$304-DB$301+DC$292,DC$281+DC$285+DC$289)))</f>
        <v>0</v>
      </c>
      <c r="DD293" s="34" t="n">
        <f aca="false">IF(DD$8=1,IF(Reales!$C$75="PYG",IF(DD$10&gt;0,N(Reales!DD75)/DD$10,0),N(Reales!DD75)),MAX(0,MIN(DC$304-DC$301+DD$292,DD$281+DD$285+DD$289)))</f>
        <v>0</v>
      </c>
      <c r="DE293" s="34" t="n">
        <f aca="false">IF(DE$8=1,IF(Reales!$C$75="PYG",IF(DE$10&gt;0,N(Reales!DE75)/DE$10,0),N(Reales!DE75)),MAX(0,MIN(DD$304-DD$301+DE$292,DE$281+DE$285+DE$289)))</f>
        <v>0</v>
      </c>
      <c r="DF293" s="34" t="n">
        <f aca="false">IF(DF$8=1,IF(Reales!$C$75="PYG",IF(DF$10&gt;0,N(Reales!DF75)/DF$10,0),N(Reales!DF75)),MAX(0,MIN(DE$304-DE$301+DF$292,DF$281+DF$285+DF$289)))</f>
        <v>0</v>
      </c>
      <c r="DG293" s="34" t="n">
        <f aca="false">IF(DG$8=1,IF(Reales!$C$75="PYG",IF(DG$10&gt;0,N(Reales!DG75)/DG$10,0),N(Reales!DG75)),MAX(0,MIN(DF$304-DF$301+DG$292,DG$281+DG$285+DG$289)))</f>
        <v>0</v>
      </c>
      <c r="DH293" s="34" t="n">
        <f aca="false">IF(DH$8=1,IF(Reales!$C$75="PYG",IF(DH$10&gt;0,N(Reales!DH75)/DH$10,0),N(Reales!DH75)),MAX(0,MIN(DG$304-DG$301+DH$292,DH$281+DH$285+DH$289)))</f>
        <v>0</v>
      </c>
      <c r="DI293" s="34" t="n">
        <f aca="false">IF(DI$8=1,IF(Reales!$C$75="PYG",IF(DI$10&gt;0,N(Reales!DI75)/DI$10,0),N(Reales!DI75)),MAX(0,MIN(DH$304-DH$301+DI$292,DI$281+DI$285+DI$289)))</f>
        <v>0</v>
      </c>
      <c r="DJ293" s="34" t="n">
        <f aca="false">IF(DJ$8=1,IF(Reales!$C$75="PYG",IF(DJ$10&gt;0,N(Reales!DJ75)/DJ$10,0),N(Reales!DJ75)),MAX(0,MIN(DI$304-DI$301+DJ$292,DJ$281+DJ$285+DJ$289)))</f>
        <v>0</v>
      </c>
      <c r="DK293" s="34" t="n">
        <f aca="false">IF(DK$8=1,IF(Reales!$C$75="PYG",IF(DK$10&gt;0,N(Reales!DK75)/DK$10,0),N(Reales!DK75)),MAX(0,MIN(DJ$304-DJ$301+DK$292,DK$281+DK$285+DK$289)))</f>
        <v>0</v>
      </c>
      <c r="DL293" s="34" t="n">
        <f aca="false">IF(DL$8=1,IF(Reales!$C$75="PYG",IF(DL$10&gt;0,N(Reales!DL75)/DL$10,0),N(Reales!DL75)),MAX(0,MIN(DK$304-DK$301+DL$292,DL$281+DL$285+DL$289)))</f>
        <v>0</v>
      </c>
      <c r="DM293" s="34" t="n">
        <f aca="false">IF(DM$8=1,IF(Reales!$C$75="PYG",IF(DM$10&gt;0,N(Reales!DM75)/DM$10,0),N(Reales!DM75)),MAX(0,MIN(DL$304-DL$301+DM$292,DM$281+DM$285+DM$289)))</f>
        <v>0</v>
      </c>
      <c r="DN293" s="34" t="n">
        <f aca="false">IF(DN$8=1,IF(Reales!$C$75="PYG",IF(DN$10&gt;0,N(Reales!DN75)/DN$10,0),N(Reales!DN75)),MAX(0,MIN(DM$304-DM$301+DN$292,DN$281+DN$285+DN$289)))</f>
        <v>0</v>
      </c>
      <c r="DO293" s="34" t="n">
        <f aca="false">IF(DO$8=1,IF(Reales!$C$75="PYG",IF(DO$10&gt;0,N(Reales!DO75)/DO$10,0),N(Reales!DO75)),MAX(0,MIN(DN$304-DN$301+DO$292,DO$281+DO$285+DO$289)))</f>
        <v>0</v>
      </c>
      <c r="DP293" s="34" t="n">
        <f aca="false">IF(DP$8=1,IF(Reales!$C$75="PYG",IF(DP$10&gt;0,N(Reales!DP75)/DP$10,0),N(Reales!DP75)),MAX(0,MIN(DO$304-DO$301+DP$292,DP$281+DP$285+DP$289)))</f>
        <v>0</v>
      </c>
      <c r="DQ293" s="34" t="n">
        <f aca="false">IF(DQ$8=1,IF(Reales!$C$75="PYG",IF(DQ$10&gt;0,N(Reales!DQ75)/DQ$10,0),N(Reales!DQ75)),MAX(0,MIN(DP$304-DP$301+DQ$292,DQ$281+DQ$285+DQ$289)))</f>
        <v>0</v>
      </c>
      <c r="DR293" s="34" t="n">
        <f aca="false">IF(DR$8=1,IF(Reales!$C$75="PYG",IF(DR$10&gt;0,N(Reales!DR75)/DR$10,0),N(Reales!DR75)),MAX(0,MIN(DQ$304-DQ$301+DR$292,DR$281+DR$285+DR$289)))</f>
        <v>0</v>
      </c>
      <c r="DS293" s="34" t="n">
        <f aca="false">IF(DS$8=1,IF(Reales!$C$75="PYG",IF(DS$10&gt;0,N(Reales!DS75)/DS$10,0),N(Reales!DS75)),MAX(0,MIN(DR$304-DR$301+DS$292,DS$281+DS$285+DS$289)))</f>
        <v>0</v>
      </c>
      <c r="DT293" s="34" t="n">
        <f aca="false">IF(DT$8=1,IF(Reales!$C$75="PYG",IF(DT$10&gt;0,N(Reales!DT75)/DT$10,0),N(Reales!DT75)),MAX(0,MIN(DS$304-DS$301+DT$292,DT$281+DT$285+DT$289)))</f>
        <v>0</v>
      </c>
      <c r="DU293" s="34" t="n">
        <f aca="false">IF(DU$8=1,IF(Reales!$C$75="PYG",IF(DU$10&gt;0,N(Reales!DU75)/DU$10,0),N(Reales!DU75)),MAX(0,MIN(DT$304-DT$301+DU$292,DU$281+DU$285+DU$289)))</f>
        <v>0</v>
      </c>
      <c r="DV293" s="34" t="n">
        <f aca="false">IF(DV$8=1,IF(Reales!$C$75="PYG",IF(DV$10&gt;0,N(Reales!DV75)/DV$10,0),N(Reales!DV75)),MAX(0,MIN(DU$304-DU$301+DV$292,DV$281+DV$285+DV$289)))</f>
        <v>0</v>
      </c>
      <c r="DW293" s="34" t="n">
        <f aca="false">IF(DW$8=1,IF(Reales!$C$75="PYG",IF(DW$10&gt;0,N(Reales!DW75)/DW$10,0),N(Reales!DW75)),MAX(0,MIN(DV$304-DV$301+DW$292,DW$281+DW$285+DW$289)))</f>
        <v>0</v>
      </c>
      <c r="DX293" s="34" t="n">
        <f aca="false">IF(DX$8=1,IF(Reales!$C$75="PYG",IF(DX$10&gt;0,N(Reales!DX75)/DX$10,0),N(Reales!DX75)),MAX(0,MIN(DW$304-DW$301+DX$292,DX$281+DX$285+DX$289)))</f>
        <v>0</v>
      </c>
      <c r="DY293" s="34" t="n">
        <f aca="false">IF(DY$8=1,IF(Reales!$C$75="PYG",IF(DY$10&gt;0,N(Reales!DY75)/DY$10,0),N(Reales!DY75)),MAX(0,MIN(DX$304-DX$301+DY$292,DY$281+DY$285+DY$289)))</f>
        <v>0</v>
      </c>
      <c r="DZ293" s="34" t="n">
        <f aca="false">IF(DZ$8=1,IF(Reales!$C$75="PYG",IF(DZ$10&gt;0,N(Reales!DZ75)/DZ$10,0),N(Reales!DZ75)),MAX(0,MIN(DY$304-DY$301+DZ$292,DZ$281+DZ$285+DZ$289)))</f>
        <v>0</v>
      </c>
      <c r="EA293" s="34" t="n">
        <f aca="false">IF(EA$8=1,IF(Reales!$C$75="PYG",IF(EA$10&gt;0,N(Reales!EA75)/EA$10,0),N(Reales!EA75)),MAX(0,MIN(DZ$304-DZ$301+EA$292,EA$281+EA$285+EA$289)))</f>
        <v>0</v>
      </c>
      <c r="EB293" s="34" t="n">
        <f aca="false">IF(EB$8=1,IF(Reales!$C$75="PYG",IF(EB$10&gt;0,N(Reales!EB75)/EB$10,0),N(Reales!EB75)),MAX(0,MIN(EA$304-EA$301+EB$292,EB$281+EB$285+EB$289)))</f>
        <v>0</v>
      </c>
      <c r="EC293" s="34" t="n">
        <f aca="false">IF(EC$8=1,IF(Reales!$C$75="PYG",IF(EC$10&gt;0,N(Reales!EC75)/EC$10,0),N(Reales!EC75)),MAX(0,MIN(EB$304-EB$301+EC$292,EC$281+EC$285+EC$289)))</f>
        <v>0</v>
      </c>
      <c r="ED293" s="34" t="n">
        <f aca="false">IF(ED$8=1,IF(Reales!$C$75="PYG",IF(ED$10&gt;0,N(Reales!ED75)/ED$10,0),N(Reales!ED75)),MAX(0,MIN(EC$304-EC$301+ED$292,ED$281+ED$285+ED$289)))</f>
        <v>0</v>
      </c>
      <c r="EE293" s="34" t="n">
        <f aca="false">IF(EE$8=1,IF(Reales!$C$75="PYG",IF(EE$10&gt;0,N(Reales!EE75)/EE$10,0),N(Reales!EE75)),MAX(0,MIN(ED$304-ED$301+EE$292,EE$281+EE$285+EE$289)))</f>
        <v>0</v>
      </c>
      <c r="EF293" s="34" t="n">
        <f aca="false">IF(EF$8=1,IF(Reales!$C$75="PYG",IF(EF$10&gt;0,N(Reales!EF75)/EF$10,0),N(Reales!EF75)),MAX(0,MIN(EE$304-EE$301+EF$292,EF$281+EF$285+EF$289)))</f>
        <v>0</v>
      </c>
      <c r="EG293" s="34" t="n">
        <f aca="false">IF(EG$8=1,IF(Reales!$C$75="PYG",IF(EG$10&gt;0,N(Reales!EG75)/EG$10,0),N(Reales!EG75)),MAX(0,MIN(EF$304-EF$301+EG$292,EG$281+EG$285+EG$289)))</f>
        <v>0</v>
      </c>
      <c r="EH293" s="34" t="n">
        <f aca="false">IF(EH$8=1,IF(Reales!$C$75="PYG",IF(EH$10&gt;0,N(Reales!EH75)/EH$10,0),N(Reales!EH75)),MAX(0,MIN(EG$304-EG$301+EH$292,EH$281+EH$285+EH$289)))</f>
        <v>0</v>
      </c>
      <c r="EI293" s="34" t="n">
        <f aca="false">IF(EI$8=1,IF(Reales!$C$75="PYG",IF(EI$10&gt;0,N(Reales!EI75)/EI$10,0),N(Reales!EI75)),MAX(0,MIN(EH$304-EH$301+EI$292,EI$281+EI$285+EI$289)))</f>
        <v>0</v>
      </c>
      <c r="EJ293" s="34" t="n">
        <f aca="false">IF(EJ$8=1,IF(Reales!$C$75="PYG",IF(EJ$10&gt;0,N(Reales!EJ75)/EJ$10,0),N(Reales!EJ75)),MAX(0,MIN(EI$304-EI$301+EJ$292,EJ$281+EJ$285+EJ$289)))</f>
        <v>0</v>
      </c>
      <c r="EK293" s="34" t="n">
        <f aca="false">IF(EK$8=1,IF(Reales!$C$75="PYG",IF(EK$10&gt;0,N(Reales!EK75)/EK$10,0),N(Reales!EK75)),MAX(0,MIN(EJ$304-EJ$301+EK$292,EK$281+EK$285+EK$289)))</f>
        <v>0</v>
      </c>
      <c r="EL293" s="34" t="n">
        <f aca="false">IF(EL$8=1,IF(Reales!$C$75="PYG",IF(EL$10&gt;0,N(Reales!EL75)/EL$10,0),N(Reales!EL75)),MAX(0,MIN(EK$304-EK$301+EL$292,EL$281+EL$285+EL$289)))</f>
        <v>0</v>
      </c>
      <c r="EM293" s="34" t="n">
        <f aca="false">IF(EM$8=1,IF(Reales!$C$75="PYG",IF(EM$10&gt;0,N(Reales!EM75)/EM$10,0),N(Reales!EM75)),MAX(0,MIN(EL$304-EL$301+EM$292,EM$281+EM$285+EM$289)))</f>
        <v>0</v>
      </c>
      <c r="EN293" s="34" t="n">
        <f aca="false">IF(EN$8=1,IF(Reales!$C$75="PYG",IF(EN$10&gt;0,N(Reales!EN75)/EN$10,0),N(Reales!EN75)),MAX(0,MIN(EM$304-EM$301+EN$292,EN$281+EN$285+EN$289)))</f>
        <v>0</v>
      </c>
      <c r="EO293" s="34" t="n">
        <f aca="false">IF(EO$8=1,IF(Reales!$C$75="PYG",IF(EO$10&gt;0,N(Reales!EO75)/EO$10,0),N(Reales!EO75)),MAX(0,MIN(EN$304-EN$301+EO$292,EO$281+EO$285+EO$289)))</f>
        <v>0</v>
      </c>
      <c r="EP293" s="34" t="n">
        <f aca="false">IF(EP$8=1,IF(Reales!$C$75="PYG",IF(EP$10&gt;0,N(Reales!EP75)/EP$10,0),N(Reales!EP75)),MAX(0,MIN(EO$304-EO$301+EP$292,EP$281+EP$285+EP$289)))</f>
        <v>0</v>
      </c>
      <c r="EQ293" s="34" t="n">
        <f aca="false">IF(EQ$8=1,IF(Reales!$C$75="PYG",IF(EQ$10&gt;0,N(Reales!EQ75)/EQ$10,0),N(Reales!EQ75)),MAX(0,MIN(EP$304-EP$301+EQ$292,EQ$281+EQ$285+EQ$289)))</f>
        <v>0</v>
      </c>
      <c r="ER293" s="34" t="n">
        <f aca="false">IF(ER$8=1,IF(Reales!$C$75="PYG",IF(ER$10&gt;0,N(Reales!ER75)/ER$10,0),N(Reales!ER75)),MAX(0,MIN(EQ$304-EQ$301+ER$292,ER$281+ER$285+ER$289)))</f>
        <v>0</v>
      </c>
      <c r="ES293" s="34" t="n">
        <f aca="false">IF(ES$8=1,IF(Reales!$C$75="PYG",IF(ES$10&gt;0,N(Reales!ES75)/ES$10,0),N(Reales!ES75)),MAX(0,MIN(ER$304-ER$301+ES$292,ES$281+ES$285+ES$289)))</f>
        <v>0</v>
      </c>
    </row>
    <row r="294" customFormat="false" ht="15" hidden="false" customHeight="false" outlineLevel="0" collapsed="false">
      <c r="A294" s="2" t="s">
        <v>930</v>
      </c>
      <c r="B294" s="6" t="s">
        <v>759</v>
      </c>
      <c r="C294" s="6" t="s">
        <v>250</v>
      </c>
      <c r="E294" s="40" t="n">
        <f aca="false">SUM(F294:ES294)</f>
        <v>1139710</v>
      </c>
      <c r="F294" s="34" t="n">
        <f aca="false">IF(F$8=1,IF(Reales!$C$76="PYG",IF(F$10&gt;0,N(Reales!F76)/F$10,0),N(Reales!F76)),SUMIF(Ap_MesV,1,Ap_MontoV)*F$9)</f>
        <v>767782</v>
      </c>
      <c r="G294" s="34" t="n">
        <f aca="false">IF(G$8=1,IF(Reales!$C$76="PYG",IF(G$10&gt;0,N(Reales!G76)/G$10,0),N(Reales!G76)),SUMIF(Ap_MesV,2,Ap_MontoV)*G$9)</f>
        <v>0</v>
      </c>
      <c r="H294" s="34" t="n">
        <f aca="false">IF(H$8=1,IF(Reales!$C$76="PYG",IF(H$10&gt;0,N(Reales!H76)/H$10,0),N(Reales!H76)),SUMIF(Ap_MesV,3,Ap_MontoV)*H$9)</f>
        <v>0</v>
      </c>
      <c r="I294" s="34" t="n">
        <f aca="false">IF(I$8=1,IF(Reales!$C$76="PYG",IF(I$10&gt;0,N(Reales!I76)/I$10,0),N(Reales!I76)),SUMIF(Ap_MesV,4,Ap_MontoV)*I$9)</f>
        <v>0</v>
      </c>
      <c r="J294" s="34" t="n">
        <f aca="false">IF(J$8=1,IF(Reales!$C$76="PYG",IF(J$10&gt;0,N(Reales!J76)/J$10,0),N(Reales!J76)),SUMIF(Ap_MesV,5,Ap_MontoV)*J$9)</f>
        <v>0</v>
      </c>
      <c r="K294" s="34" t="n">
        <f aca="false">IF(K$8=1,IF(Reales!$C$76="PYG",IF(K$10&gt;0,N(Reales!K76)/K$10,0),N(Reales!K76)),SUMIF(Ap_MesV,6,Ap_MontoV)*K$9)</f>
        <v>0</v>
      </c>
      <c r="L294" s="34" t="n">
        <f aca="false">IF(L$8=1,IF(Reales!$C$76="PYG",IF(L$10&gt;0,N(Reales!L76)/L$10,0),N(Reales!L76)),SUMIF(Ap_MesV,7,Ap_MontoV)*L$9)</f>
        <v>0</v>
      </c>
      <c r="M294" s="34" t="n">
        <f aca="false">IF(M$8=1,IF(Reales!$C$76="PYG",IF(M$10&gt;0,N(Reales!M76)/M$10,0),N(Reales!M76)),SUMIF(Ap_MesV,8,Ap_MontoV)*M$9)</f>
        <v>0</v>
      </c>
      <c r="N294" s="34" t="n">
        <f aca="false">IF(N$8=1,IF(Reales!$C$76="PYG",IF(N$10&gt;0,N(Reales!N76)/N$10,0),N(Reales!N76)),SUMIF(Ap_MesV,9,Ap_MontoV)*N$9)</f>
        <v>0</v>
      </c>
      <c r="O294" s="34" t="n">
        <f aca="false">IF(O$8=1,IF(Reales!$C$76="PYG",IF(O$10&gt;0,N(Reales!O76)/O$10,0),N(Reales!O76)),SUMIF(Ap_MesV,10,Ap_MontoV)*O$9)</f>
        <v>0</v>
      </c>
      <c r="P294" s="34" t="n">
        <f aca="false">IF(P$8=1,IF(Reales!$C$76="PYG",IF(P$10&gt;0,N(Reales!P76)/P$10,0),N(Reales!P76)),SUMIF(Ap_MesV,11,Ap_MontoV)*P$9)</f>
        <v>0</v>
      </c>
      <c r="Q294" s="34" t="n">
        <f aca="false">IF(Q$8=1,IF(Reales!$C$76="PYG",IF(Q$10&gt;0,N(Reales!Q76)/Q$10,0),N(Reales!Q76)),SUMIF(Ap_MesV,12,Ap_MontoV)*Q$9)</f>
        <v>0</v>
      </c>
      <c r="R294" s="34" t="n">
        <f aca="false">IF(R$8=1,IF(Reales!$C$76="PYG",IF(R$10&gt;0,N(Reales!R76)/R$10,0),N(Reales!R76)),SUMIF(Ap_MesV,13,Ap_MontoV)*R$9)</f>
        <v>371928</v>
      </c>
      <c r="S294" s="34" t="n">
        <f aca="false">IF(S$8=1,IF(Reales!$C$76="PYG",IF(S$10&gt;0,N(Reales!S76)/S$10,0),N(Reales!S76)),SUMIF(Ap_MesV,14,Ap_MontoV)*S$9)</f>
        <v>0</v>
      </c>
      <c r="T294" s="34" t="n">
        <f aca="false">IF(T$8=1,IF(Reales!$C$76="PYG",IF(T$10&gt;0,N(Reales!T76)/T$10,0),N(Reales!T76)),SUMIF(Ap_MesV,15,Ap_MontoV)*T$9)</f>
        <v>0</v>
      </c>
      <c r="U294" s="34" t="n">
        <f aca="false">IF(U$8=1,IF(Reales!$C$76="PYG",IF(U$10&gt;0,N(Reales!U76)/U$10,0),N(Reales!U76)),SUMIF(Ap_MesV,16,Ap_MontoV)*U$9)</f>
        <v>0</v>
      </c>
      <c r="V294" s="34" t="n">
        <f aca="false">IF(V$8=1,IF(Reales!$C$76="PYG",IF(V$10&gt;0,N(Reales!V76)/V$10,0),N(Reales!V76)),SUMIF(Ap_MesV,17,Ap_MontoV)*V$9)</f>
        <v>0</v>
      </c>
      <c r="W294" s="34" t="n">
        <f aca="false">IF(W$8=1,IF(Reales!$C$76="PYG",IF(W$10&gt;0,N(Reales!W76)/W$10,0),N(Reales!W76)),SUMIF(Ap_MesV,18,Ap_MontoV)*W$9)</f>
        <v>0</v>
      </c>
      <c r="X294" s="34" t="n">
        <f aca="false">IF(X$8=1,IF(Reales!$C$76="PYG",IF(X$10&gt;0,N(Reales!X76)/X$10,0),N(Reales!X76)),SUMIF(Ap_MesV,19,Ap_MontoV)*X$9)</f>
        <v>0</v>
      </c>
      <c r="Y294" s="34" t="n">
        <f aca="false">IF(Y$8=1,IF(Reales!$C$76="PYG",IF(Y$10&gt;0,N(Reales!Y76)/Y$10,0),N(Reales!Y76)),SUMIF(Ap_MesV,20,Ap_MontoV)*Y$9)</f>
        <v>0</v>
      </c>
      <c r="Z294" s="34" t="n">
        <f aca="false">IF(Z$8=1,IF(Reales!$C$76="PYG",IF(Z$10&gt;0,N(Reales!Z76)/Z$10,0),N(Reales!Z76)),SUMIF(Ap_MesV,21,Ap_MontoV)*Z$9)</f>
        <v>0</v>
      </c>
      <c r="AA294" s="34" t="n">
        <f aca="false">IF(AA$8=1,IF(Reales!$C$76="PYG",IF(AA$10&gt;0,N(Reales!AA76)/AA$10,0),N(Reales!AA76)),SUMIF(Ap_MesV,22,Ap_MontoV)*AA$9)</f>
        <v>0</v>
      </c>
      <c r="AB294" s="34" t="n">
        <f aca="false">IF(AB$8=1,IF(Reales!$C$76="PYG",IF(AB$10&gt;0,N(Reales!AB76)/AB$10,0),N(Reales!AB76)),SUMIF(Ap_MesV,23,Ap_MontoV)*AB$9)</f>
        <v>0</v>
      </c>
      <c r="AC294" s="34" t="n">
        <f aca="false">IF(AC$8=1,IF(Reales!$C$76="PYG",IF(AC$10&gt;0,N(Reales!AC76)/AC$10,0),N(Reales!AC76)),SUMIF(Ap_MesV,24,Ap_MontoV)*AC$9)</f>
        <v>0</v>
      </c>
      <c r="AD294" s="34" t="n">
        <f aca="false">IF(AD$8=1,IF(Reales!$C$76="PYG",IF(AD$10&gt;0,N(Reales!AD76)/AD$10,0),N(Reales!AD76)),SUMIF(Ap_MesV,25,Ap_MontoV)*AD$9)</f>
        <v>0</v>
      </c>
      <c r="AE294" s="34" t="n">
        <f aca="false">IF(AE$8=1,IF(Reales!$C$76="PYG",IF(AE$10&gt;0,N(Reales!AE76)/AE$10,0),N(Reales!AE76)),SUMIF(Ap_MesV,26,Ap_MontoV)*AE$9)</f>
        <v>0</v>
      </c>
      <c r="AF294" s="34" t="n">
        <f aca="false">IF(AF$8=1,IF(Reales!$C$76="PYG",IF(AF$10&gt;0,N(Reales!AF76)/AF$10,0),N(Reales!AF76)),SUMIF(Ap_MesV,27,Ap_MontoV)*AF$9)</f>
        <v>0</v>
      </c>
      <c r="AG294" s="34" t="n">
        <f aca="false">IF(AG$8=1,IF(Reales!$C$76="PYG",IF(AG$10&gt;0,N(Reales!AG76)/AG$10,0),N(Reales!AG76)),SUMIF(Ap_MesV,28,Ap_MontoV)*AG$9)</f>
        <v>0</v>
      </c>
      <c r="AH294" s="34" t="n">
        <f aca="false">IF(AH$8=1,IF(Reales!$C$76="PYG",IF(AH$10&gt;0,N(Reales!AH76)/AH$10,0),N(Reales!AH76)),SUMIF(Ap_MesV,29,Ap_MontoV)*AH$9)</f>
        <v>0</v>
      </c>
      <c r="AI294" s="34" t="n">
        <f aca="false">IF(AI$8=1,IF(Reales!$C$76="PYG",IF(AI$10&gt;0,N(Reales!AI76)/AI$10,0),N(Reales!AI76)),SUMIF(Ap_MesV,30,Ap_MontoV)*AI$9)</f>
        <v>0</v>
      </c>
      <c r="AJ294" s="34" t="n">
        <f aca="false">IF(AJ$8=1,IF(Reales!$C$76="PYG",IF(AJ$10&gt;0,N(Reales!AJ76)/AJ$10,0),N(Reales!AJ76)),SUMIF(Ap_MesV,31,Ap_MontoV)*AJ$9)</f>
        <v>0</v>
      </c>
      <c r="AK294" s="34" t="n">
        <f aca="false">IF(AK$8=1,IF(Reales!$C$76="PYG",IF(AK$10&gt;0,N(Reales!AK76)/AK$10,0),N(Reales!AK76)),SUMIF(Ap_MesV,32,Ap_MontoV)*AK$9)</f>
        <v>0</v>
      </c>
      <c r="AL294" s="34" t="n">
        <f aca="false">IF(AL$8=1,IF(Reales!$C$76="PYG",IF(AL$10&gt;0,N(Reales!AL76)/AL$10,0),N(Reales!AL76)),SUMIF(Ap_MesV,33,Ap_MontoV)*AL$9)</f>
        <v>0</v>
      </c>
      <c r="AM294" s="34" t="n">
        <f aca="false">IF(AM$8=1,IF(Reales!$C$76="PYG",IF(AM$10&gt;0,N(Reales!AM76)/AM$10,0),N(Reales!AM76)),SUMIF(Ap_MesV,34,Ap_MontoV)*AM$9)</f>
        <v>0</v>
      </c>
      <c r="AN294" s="34" t="n">
        <f aca="false">IF(AN$8=1,IF(Reales!$C$76="PYG",IF(AN$10&gt;0,N(Reales!AN76)/AN$10,0),N(Reales!AN76)),SUMIF(Ap_MesV,35,Ap_MontoV)*AN$9)</f>
        <v>0</v>
      </c>
      <c r="AO294" s="34" t="n">
        <f aca="false">IF(AO$8=1,IF(Reales!$C$76="PYG",IF(AO$10&gt;0,N(Reales!AO76)/AO$10,0),N(Reales!AO76)),SUMIF(Ap_MesV,36,Ap_MontoV)*AO$9)</f>
        <v>0</v>
      </c>
      <c r="AP294" s="34" t="n">
        <f aca="false">IF(AP$8=1,IF(Reales!$C$76="PYG",IF(AP$10&gt;0,N(Reales!AP76)/AP$10,0),N(Reales!AP76)),SUMIF(Ap_MesV,37,Ap_MontoV)*AP$9)</f>
        <v>0</v>
      </c>
      <c r="AQ294" s="34" t="n">
        <f aca="false">IF(AQ$8=1,IF(Reales!$C$76="PYG",IF(AQ$10&gt;0,N(Reales!AQ76)/AQ$10,0),N(Reales!AQ76)),SUMIF(Ap_MesV,38,Ap_MontoV)*AQ$9)</f>
        <v>0</v>
      </c>
      <c r="AR294" s="34" t="n">
        <f aca="false">IF(AR$8=1,IF(Reales!$C$76="PYG",IF(AR$10&gt;0,N(Reales!AR76)/AR$10,0),N(Reales!AR76)),SUMIF(Ap_MesV,39,Ap_MontoV)*AR$9)</f>
        <v>0</v>
      </c>
      <c r="AS294" s="34" t="n">
        <f aca="false">IF(AS$8=1,IF(Reales!$C$76="PYG",IF(AS$10&gt;0,N(Reales!AS76)/AS$10,0),N(Reales!AS76)),SUMIF(Ap_MesV,40,Ap_MontoV)*AS$9)</f>
        <v>0</v>
      </c>
      <c r="AT294" s="34" t="n">
        <f aca="false">IF(AT$8=1,IF(Reales!$C$76="PYG",IF(AT$10&gt;0,N(Reales!AT76)/AT$10,0),N(Reales!AT76)),SUMIF(Ap_MesV,41,Ap_MontoV)*AT$9)</f>
        <v>0</v>
      </c>
      <c r="AU294" s="34" t="n">
        <f aca="false">IF(AU$8=1,IF(Reales!$C$76="PYG",IF(AU$10&gt;0,N(Reales!AU76)/AU$10,0),N(Reales!AU76)),SUMIF(Ap_MesV,42,Ap_MontoV)*AU$9)</f>
        <v>0</v>
      </c>
      <c r="AV294" s="34" t="n">
        <f aca="false">IF(AV$8=1,IF(Reales!$C$76="PYG",IF(AV$10&gt;0,N(Reales!AV76)/AV$10,0),N(Reales!AV76)),SUMIF(Ap_MesV,43,Ap_MontoV)*AV$9)</f>
        <v>0</v>
      </c>
      <c r="AW294" s="34" t="n">
        <f aca="false">IF(AW$8=1,IF(Reales!$C$76="PYG",IF(AW$10&gt;0,N(Reales!AW76)/AW$10,0),N(Reales!AW76)),SUMIF(Ap_MesV,44,Ap_MontoV)*AW$9)</f>
        <v>0</v>
      </c>
      <c r="AX294" s="34" t="n">
        <f aca="false">IF(AX$8=1,IF(Reales!$C$76="PYG",IF(AX$10&gt;0,N(Reales!AX76)/AX$10,0),N(Reales!AX76)),SUMIF(Ap_MesV,45,Ap_MontoV)*AX$9)</f>
        <v>0</v>
      </c>
      <c r="AY294" s="34" t="n">
        <f aca="false">IF(AY$8=1,IF(Reales!$C$76="PYG",IF(AY$10&gt;0,N(Reales!AY76)/AY$10,0),N(Reales!AY76)),SUMIF(Ap_MesV,46,Ap_MontoV)*AY$9)</f>
        <v>0</v>
      </c>
      <c r="AZ294" s="34" t="n">
        <f aca="false">IF(AZ$8=1,IF(Reales!$C$76="PYG",IF(AZ$10&gt;0,N(Reales!AZ76)/AZ$10,0),N(Reales!AZ76)),SUMIF(Ap_MesV,47,Ap_MontoV)*AZ$9)</f>
        <v>0</v>
      </c>
      <c r="BA294" s="34" t="n">
        <f aca="false">IF(BA$8=1,IF(Reales!$C$76="PYG",IF(BA$10&gt;0,N(Reales!BA76)/BA$10,0),N(Reales!BA76)),SUMIF(Ap_MesV,48,Ap_MontoV)*BA$9)</f>
        <v>0</v>
      </c>
      <c r="BB294" s="34" t="n">
        <f aca="false">IF(BB$8=1,IF(Reales!$C$76="PYG",IF(BB$10&gt;0,N(Reales!BB76)/BB$10,0),N(Reales!BB76)),SUMIF(Ap_MesV,49,Ap_MontoV)*BB$9)</f>
        <v>0</v>
      </c>
      <c r="BC294" s="34" t="n">
        <f aca="false">IF(BC$8=1,IF(Reales!$C$76="PYG",IF(BC$10&gt;0,N(Reales!BC76)/BC$10,0),N(Reales!BC76)),SUMIF(Ap_MesV,50,Ap_MontoV)*BC$9)</f>
        <v>0</v>
      </c>
      <c r="BD294" s="34" t="n">
        <f aca="false">IF(BD$8=1,IF(Reales!$C$76="PYG",IF(BD$10&gt;0,N(Reales!BD76)/BD$10,0),N(Reales!BD76)),SUMIF(Ap_MesV,51,Ap_MontoV)*BD$9)</f>
        <v>0</v>
      </c>
      <c r="BE294" s="34" t="n">
        <f aca="false">IF(BE$8=1,IF(Reales!$C$76="PYG",IF(BE$10&gt;0,N(Reales!BE76)/BE$10,0),N(Reales!BE76)),SUMIF(Ap_MesV,52,Ap_MontoV)*BE$9)</f>
        <v>0</v>
      </c>
      <c r="BF294" s="34" t="n">
        <f aca="false">IF(BF$8=1,IF(Reales!$C$76="PYG",IF(BF$10&gt;0,N(Reales!BF76)/BF$10,0),N(Reales!BF76)),SUMIF(Ap_MesV,53,Ap_MontoV)*BF$9)</f>
        <v>0</v>
      </c>
      <c r="BG294" s="34" t="n">
        <f aca="false">IF(BG$8=1,IF(Reales!$C$76="PYG",IF(BG$10&gt;0,N(Reales!BG76)/BG$10,0),N(Reales!BG76)),SUMIF(Ap_MesV,54,Ap_MontoV)*BG$9)</f>
        <v>0</v>
      </c>
      <c r="BH294" s="34" t="n">
        <f aca="false">IF(BH$8=1,IF(Reales!$C$76="PYG",IF(BH$10&gt;0,N(Reales!BH76)/BH$10,0),N(Reales!BH76)),SUMIF(Ap_MesV,55,Ap_MontoV)*BH$9)</f>
        <v>0</v>
      </c>
      <c r="BI294" s="34" t="n">
        <f aca="false">IF(BI$8=1,IF(Reales!$C$76="PYG",IF(BI$10&gt;0,N(Reales!BI76)/BI$10,0),N(Reales!BI76)),SUMIF(Ap_MesV,56,Ap_MontoV)*BI$9)</f>
        <v>0</v>
      </c>
      <c r="BJ294" s="34" t="n">
        <f aca="false">IF(BJ$8=1,IF(Reales!$C$76="PYG",IF(BJ$10&gt;0,N(Reales!BJ76)/BJ$10,0),N(Reales!BJ76)),SUMIF(Ap_MesV,57,Ap_MontoV)*BJ$9)</f>
        <v>0</v>
      </c>
      <c r="BK294" s="34" t="n">
        <f aca="false">IF(BK$8=1,IF(Reales!$C$76="PYG",IF(BK$10&gt;0,N(Reales!BK76)/BK$10,0),N(Reales!BK76)),SUMIF(Ap_MesV,58,Ap_MontoV)*BK$9)</f>
        <v>0</v>
      </c>
      <c r="BL294" s="34" t="n">
        <f aca="false">IF(BL$8=1,IF(Reales!$C$76="PYG",IF(BL$10&gt;0,N(Reales!BL76)/BL$10,0),N(Reales!BL76)),SUMIF(Ap_MesV,59,Ap_MontoV)*BL$9)</f>
        <v>0</v>
      </c>
      <c r="BM294" s="34" t="n">
        <f aca="false">IF(BM$8=1,IF(Reales!$C$76="PYG",IF(BM$10&gt;0,N(Reales!BM76)/BM$10,0),N(Reales!BM76)),SUMIF(Ap_MesV,60,Ap_MontoV)*BM$9)</f>
        <v>0</v>
      </c>
      <c r="BN294" s="34" t="n">
        <f aca="false">IF(BN$8=1,IF(Reales!$C$76="PYG",IF(BN$10&gt;0,N(Reales!BN76)/BN$10,0),N(Reales!BN76)),SUMIF(Ap_MesV,61,Ap_MontoV)*BN$9)</f>
        <v>0</v>
      </c>
      <c r="BO294" s="34" t="n">
        <f aca="false">IF(BO$8=1,IF(Reales!$C$76="PYG",IF(BO$10&gt;0,N(Reales!BO76)/BO$10,0),N(Reales!BO76)),SUMIF(Ap_MesV,62,Ap_MontoV)*BO$9)</f>
        <v>0</v>
      </c>
      <c r="BP294" s="34" t="n">
        <f aca="false">IF(BP$8=1,IF(Reales!$C$76="PYG",IF(BP$10&gt;0,N(Reales!BP76)/BP$10,0),N(Reales!BP76)),SUMIF(Ap_MesV,63,Ap_MontoV)*BP$9)</f>
        <v>0</v>
      </c>
      <c r="BQ294" s="34" t="n">
        <f aca="false">IF(BQ$8=1,IF(Reales!$C$76="PYG",IF(BQ$10&gt;0,N(Reales!BQ76)/BQ$10,0),N(Reales!BQ76)),SUMIF(Ap_MesV,64,Ap_MontoV)*BQ$9)</f>
        <v>0</v>
      </c>
      <c r="BR294" s="34" t="n">
        <f aca="false">IF(BR$8=1,IF(Reales!$C$76="PYG",IF(BR$10&gt;0,N(Reales!BR76)/BR$10,0),N(Reales!BR76)),SUMIF(Ap_MesV,65,Ap_MontoV)*BR$9)</f>
        <v>0</v>
      </c>
      <c r="BS294" s="34" t="n">
        <f aca="false">IF(BS$8=1,IF(Reales!$C$76="PYG",IF(BS$10&gt;0,N(Reales!BS76)/BS$10,0),N(Reales!BS76)),SUMIF(Ap_MesV,66,Ap_MontoV)*BS$9)</f>
        <v>0</v>
      </c>
      <c r="BT294" s="34" t="n">
        <f aca="false">IF(BT$8=1,IF(Reales!$C$76="PYG",IF(BT$10&gt;0,N(Reales!BT76)/BT$10,0),N(Reales!BT76)),SUMIF(Ap_MesV,67,Ap_MontoV)*BT$9)</f>
        <v>0</v>
      </c>
      <c r="BU294" s="34" t="n">
        <f aca="false">IF(BU$8=1,IF(Reales!$C$76="PYG",IF(BU$10&gt;0,N(Reales!BU76)/BU$10,0),N(Reales!BU76)),SUMIF(Ap_MesV,68,Ap_MontoV)*BU$9)</f>
        <v>0</v>
      </c>
      <c r="BV294" s="34" t="n">
        <f aca="false">IF(BV$8=1,IF(Reales!$C$76="PYG",IF(BV$10&gt;0,N(Reales!BV76)/BV$10,0),N(Reales!BV76)),SUMIF(Ap_MesV,69,Ap_MontoV)*BV$9)</f>
        <v>0</v>
      </c>
      <c r="BW294" s="34" t="n">
        <f aca="false">IF(BW$8=1,IF(Reales!$C$76="PYG",IF(BW$10&gt;0,N(Reales!BW76)/BW$10,0),N(Reales!BW76)),SUMIF(Ap_MesV,70,Ap_MontoV)*BW$9)</f>
        <v>0</v>
      </c>
      <c r="BX294" s="34" t="n">
        <f aca="false">IF(BX$8=1,IF(Reales!$C$76="PYG",IF(BX$10&gt;0,N(Reales!BX76)/BX$10,0),N(Reales!BX76)),SUMIF(Ap_MesV,71,Ap_MontoV)*BX$9)</f>
        <v>0</v>
      </c>
      <c r="BY294" s="34" t="n">
        <f aca="false">IF(BY$8=1,IF(Reales!$C$76="PYG",IF(BY$10&gt;0,N(Reales!BY76)/BY$10,0),N(Reales!BY76)),SUMIF(Ap_MesV,72,Ap_MontoV)*BY$9)</f>
        <v>0</v>
      </c>
      <c r="BZ294" s="34" t="n">
        <f aca="false">IF(BZ$8=1,IF(Reales!$C$76="PYG",IF(BZ$10&gt;0,N(Reales!BZ76)/BZ$10,0),N(Reales!BZ76)),SUMIF(Ap_MesV,73,Ap_MontoV)*BZ$9)</f>
        <v>0</v>
      </c>
      <c r="CA294" s="34" t="n">
        <f aca="false">IF(CA$8=1,IF(Reales!$C$76="PYG",IF(CA$10&gt;0,N(Reales!CA76)/CA$10,0),N(Reales!CA76)),SUMIF(Ap_MesV,74,Ap_MontoV)*CA$9)</f>
        <v>0</v>
      </c>
      <c r="CB294" s="34" t="n">
        <f aca="false">IF(CB$8=1,IF(Reales!$C$76="PYG",IF(CB$10&gt;0,N(Reales!CB76)/CB$10,0),N(Reales!CB76)),SUMIF(Ap_MesV,75,Ap_MontoV)*CB$9)</f>
        <v>0</v>
      </c>
      <c r="CC294" s="34" t="n">
        <f aca="false">IF(CC$8=1,IF(Reales!$C$76="PYG",IF(CC$10&gt;0,N(Reales!CC76)/CC$10,0),N(Reales!CC76)),SUMIF(Ap_MesV,76,Ap_MontoV)*CC$9)</f>
        <v>0</v>
      </c>
      <c r="CD294" s="34" t="n">
        <f aca="false">IF(CD$8=1,IF(Reales!$C$76="PYG",IF(CD$10&gt;0,N(Reales!CD76)/CD$10,0),N(Reales!CD76)),SUMIF(Ap_MesV,77,Ap_MontoV)*CD$9)</f>
        <v>0</v>
      </c>
      <c r="CE294" s="34" t="n">
        <f aca="false">IF(CE$8=1,IF(Reales!$C$76="PYG",IF(CE$10&gt;0,N(Reales!CE76)/CE$10,0),N(Reales!CE76)),SUMIF(Ap_MesV,78,Ap_MontoV)*CE$9)</f>
        <v>0</v>
      </c>
      <c r="CF294" s="34" t="n">
        <f aca="false">IF(CF$8=1,IF(Reales!$C$76="PYG",IF(CF$10&gt;0,N(Reales!CF76)/CF$10,0),N(Reales!CF76)),SUMIF(Ap_MesV,79,Ap_MontoV)*CF$9)</f>
        <v>0</v>
      </c>
      <c r="CG294" s="34" t="n">
        <f aca="false">IF(CG$8=1,IF(Reales!$C$76="PYG",IF(CG$10&gt;0,N(Reales!CG76)/CG$10,0),N(Reales!CG76)),SUMIF(Ap_MesV,80,Ap_MontoV)*CG$9)</f>
        <v>0</v>
      </c>
      <c r="CH294" s="34" t="n">
        <f aca="false">IF(CH$8=1,IF(Reales!$C$76="PYG",IF(CH$10&gt;0,N(Reales!CH76)/CH$10,0),N(Reales!CH76)),SUMIF(Ap_MesV,81,Ap_MontoV)*CH$9)</f>
        <v>0</v>
      </c>
      <c r="CI294" s="34" t="n">
        <f aca="false">IF(CI$8=1,IF(Reales!$C$76="PYG",IF(CI$10&gt;0,N(Reales!CI76)/CI$10,0),N(Reales!CI76)),SUMIF(Ap_MesV,82,Ap_MontoV)*CI$9)</f>
        <v>0</v>
      </c>
      <c r="CJ294" s="34" t="n">
        <f aca="false">IF(CJ$8=1,IF(Reales!$C$76="PYG",IF(CJ$10&gt;0,N(Reales!CJ76)/CJ$10,0),N(Reales!CJ76)),SUMIF(Ap_MesV,83,Ap_MontoV)*CJ$9)</f>
        <v>0</v>
      </c>
      <c r="CK294" s="34" t="n">
        <f aca="false">IF(CK$8=1,IF(Reales!$C$76="PYG",IF(CK$10&gt;0,N(Reales!CK76)/CK$10,0),N(Reales!CK76)),SUMIF(Ap_MesV,84,Ap_MontoV)*CK$9)</f>
        <v>0</v>
      </c>
      <c r="CL294" s="34" t="n">
        <f aca="false">IF(CL$8=1,IF(Reales!$C$76="PYG",IF(CL$10&gt;0,N(Reales!CL76)/CL$10,0),N(Reales!CL76)),SUMIF(Ap_MesV,85,Ap_MontoV)*CL$9)</f>
        <v>0</v>
      </c>
      <c r="CM294" s="34" t="n">
        <f aca="false">IF(CM$8=1,IF(Reales!$C$76="PYG",IF(CM$10&gt;0,N(Reales!CM76)/CM$10,0),N(Reales!CM76)),SUMIF(Ap_MesV,86,Ap_MontoV)*CM$9)</f>
        <v>0</v>
      </c>
      <c r="CN294" s="34" t="n">
        <f aca="false">IF(CN$8=1,IF(Reales!$C$76="PYG",IF(CN$10&gt;0,N(Reales!CN76)/CN$10,0),N(Reales!CN76)),SUMIF(Ap_MesV,87,Ap_MontoV)*CN$9)</f>
        <v>0</v>
      </c>
      <c r="CO294" s="34" t="n">
        <f aca="false">IF(CO$8=1,IF(Reales!$C$76="PYG",IF(CO$10&gt;0,N(Reales!CO76)/CO$10,0),N(Reales!CO76)),SUMIF(Ap_MesV,88,Ap_MontoV)*CO$9)</f>
        <v>0</v>
      </c>
      <c r="CP294" s="34" t="n">
        <f aca="false">IF(CP$8=1,IF(Reales!$C$76="PYG",IF(CP$10&gt;0,N(Reales!CP76)/CP$10,0),N(Reales!CP76)),SUMIF(Ap_MesV,89,Ap_MontoV)*CP$9)</f>
        <v>0</v>
      </c>
      <c r="CQ294" s="34" t="n">
        <f aca="false">IF(CQ$8=1,IF(Reales!$C$76="PYG",IF(CQ$10&gt;0,N(Reales!CQ76)/CQ$10,0),N(Reales!CQ76)),SUMIF(Ap_MesV,90,Ap_MontoV)*CQ$9)</f>
        <v>0</v>
      </c>
      <c r="CR294" s="34" t="n">
        <f aca="false">IF(CR$8=1,IF(Reales!$C$76="PYG",IF(CR$10&gt;0,N(Reales!CR76)/CR$10,0),N(Reales!CR76)),SUMIF(Ap_MesV,91,Ap_MontoV)*CR$9)</f>
        <v>0</v>
      </c>
      <c r="CS294" s="34" t="n">
        <f aca="false">IF(CS$8=1,IF(Reales!$C$76="PYG",IF(CS$10&gt;0,N(Reales!CS76)/CS$10,0),N(Reales!CS76)),SUMIF(Ap_MesV,92,Ap_MontoV)*CS$9)</f>
        <v>0</v>
      </c>
      <c r="CT294" s="34" t="n">
        <f aca="false">IF(CT$8=1,IF(Reales!$C$76="PYG",IF(CT$10&gt;0,N(Reales!CT76)/CT$10,0),N(Reales!CT76)),SUMIF(Ap_MesV,93,Ap_MontoV)*CT$9)</f>
        <v>0</v>
      </c>
      <c r="CU294" s="34" t="n">
        <f aca="false">IF(CU$8=1,IF(Reales!$C$76="PYG",IF(CU$10&gt;0,N(Reales!CU76)/CU$10,0),N(Reales!CU76)),SUMIF(Ap_MesV,94,Ap_MontoV)*CU$9)</f>
        <v>0</v>
      </c>
      <c r="CV294" s="34" t="n">
        <f aca="false">IF(CV$8=1,IF(Reales!$C$76="PYG",IF(CV$10&gt;0,N(Reales!CV76)/CV$10,0),N(Reales!CV76)),SUMIF(Ap_MesV,95,Ap_MontoV)*CV$9)</f>
        <v>0</v>
      </c>
      <c r="CW294" s="34" t="n">
        <f aca="false">IF(CW$8=1,IF(Reales!$C$76="PYG",IF(CW$10&gt;0,N(Reales!CW76)/CW$10,0),N(Reales!CW76)),SUMIF(Ap_MesV,96,Ap_MontoV)*CW$9)</f>
        <v>0</v>
      </c>
      <c r="CX294" s="34" t="n">
        <f aca="false">IF(CX$8=1,IF(Reales!$C$76="PYG",IF(CX$10&gt;0,N(Reales!CX76)/CX$10,0),N(Reales!CX76)),SUMIF(Ap_MesV,97,Ap_MontoV)*CX$9)</f>
        <v>0</v>
      </c>
      <c r="CY294" s="34" t="n">
        <f aca="false">IF(CY$8=1,IF(Reales!$C$76="PYG",IF(CY$10&gt;0,N(Reales!CY76)/CY$10,0),N(Reales!CY76)),SUMIF(Ap_MesV,98,Ap_MontoV)*CY$9)</f>
        <v>0</v>
      </c>
      <c r="CZ294" s="34" t="n">
        <f aca="false">IF(CZ$8=1,IF(Reales!$C$76="PYG",IF(CZ$10&gt;0,N(Reales!CZ76)/CZ$10,0),N(Reales!CZ76)),SUMIF(Ap_MesV,99,Ap_MontoV)*CZ$9)</f>
        <v>0</v>
      </c>
      <c r="DA294" s="34" t="n">
        <f aca="false">IF(DA$8=1,IF(Reales!$C$76="PYG",IF(DA$10&gt;0,N(Reales!DA76)/DA$10,0),N(Reales!DA76)),SUMIF(Ap_MesV,100,Ap_MontoV)*DA$9)</f>
        <v>0</v>
      </c>
      <c r="DB294" s="34" t="n">
        <f aca="false">IF(DB$8=1,IF(Reales!$C$76="PYG",IF(DB$10&gt;0,N(Reales!DB76)/DB$10,0),N(Reales!DB76)),SUMIF(Ap_MesV,101,Ap_MontoV)*DB$9)</f>
        <v>0</v>
      </c>
      <c r="DC294" s="34" t="n">
        <f aca="false">IF(DC$8=1,IF(Reales!$C$76="PYG",IF(DC$10&gt;0,N(Reales!DC76)/DC$10,0),N(Reales!DC76)),SUMIF(Ap_MesV,102,Ap_MontoV)*DC$9)</f>
        <v>0</v>
      </c>
      <c r="DD294" s="34" t="n">
        <f aca="false">IF(DD$8=1,IF(Reales!$C$76="PYG",IF(DD$10&gt;0,N(Reales!DD76)/DD$10,0),N(Reales!DD76)),SUMIF(Ap_MesV,103,Ap_MontoV)*DD$9)</f>
        <v>0</v>
      </c>
      <c r="DE294" s="34" t="n">
        <f aca="false">IF(DE$8=1,IF(Reales!$C$76="PYG",IF(DE$10&gt;0,N(Reales!DE76)/DE$10,0),N(Reales!DE76)),SUMIF(Ap_MesV,104,Ap_MontoV)*DE$9)</f>
        <v>0</v>
      </c>
      <c r="DF294" s="34" t="n">
        <f aca="false">IF(DF$8=1,IF(Reales!$C$76="PYG",IF(DF$10&gt;0,N(Reales!DF76)/DF$10,0),N(Reales!DF76)),SUMIF(Ap_MesV,105,Ap_MontoV)*DF$9)</f>
        <v>0</v>
      </c>
      <c r="DG294" s="34" t="n">
        <f aca="false">IF(DG$8=1,IF(Reales!$C$76="PYG",IF(DG$10&gt;0,N(Reales!DG76)/DG$10,0),N(Reales!DG76)),SUMIF(Ap_MesV,106,Ap_MontoV)*DG$9)</f>
        <v>0</v>
      </c>
      <c r="DH294" s="34" t="n">
        <f aca="false">IF(DH$8=1,IF(Reales!$C$76="PYG",IF(DH$10&gt;0,N(Reales!DH76)/DH$10,0),N(Reales!DH76)),SUMIF(Ap_MesV,107,Ap_MontoV)*DH$9)</f>
        <v>0</v>
      </c>
      <c r="DI294" s="34" t="n">
        <f aca="false">IF(DI$8=1,IF(Reales!$C$76="PYG",IF(DI$10&gt;0,N(Reales!DI76)/DI$10,0),N(Reales!DI76)),SUMIF(Ap_MesV,108,Ap_MontoV)*DI$9)</f>
        <v>0</v>
      </c>
      <c r="DJ294" s="34" t="n">
        <f aca="false">IF(DJ$8=1,IF(Reales!$C$76="PYG",IF(DJ$10&gt;0,N(Reales!DJ76)/DJ$10,0),N(Reales!DJ76)),SUMIF(Ap_MesV,109,Ap_MontoV)*DJ$9)</f>
        <v>0</v>
      </c>
      <c r="DK294" s="34" t="n">
        <f aca="false">IF(DK$8=1,IF(Reales!$C$76="PYG",IF(DK$10&gt;0,N(Reales!DK76)/DK$10,0),N(Reales!DK76)),SUMIF(Ap_MesV,110,Ap_MontoV)*DK$9)</f>
        <v>0</v>
      </c>
      <c r="DL294" s="34" t="n">
        <f aca="false">IF(DL$8=1,IF(Reales!$C$76="PYG",IF(DL$10&gt;0,N(Reales!DL76)/DL$10,0),N(Reales!DL76)),SUMIF(Ap_MesV,111,Ap_MontoV)*DL$9)</f>
        <v>0</v>
      </c>
      <c r="DM294" s="34" t="n">
        <f aca="false">IF(DM$8=1,IF(Reales!$C$76="PYG",IF(DM$10&gt;0,N(Reales!DM76)/DM$10,0),N(Reales!DM76)),SUMIF(Ap_MesV,112,Ap_MontoV)*DM$9)</f>
        <v>0</v>
      </c>
      <c r="DN294" s="34" t="n">
        <f aca="false">IF(DN$8=1,IF(Reales!$C$76="PYG",IF(DN$10&gt;0,N(Reales!DN76)/DN$10,0),N(Reales!DN76)),SUMIF(Ap_MesV,113,Ap_MontoV)*DN$9)</f>
        <v>0</v>
      </c>
      <c r="DO294" s="34" t="n">
        <f aca="false">IF(DO$8=1,IF(Reales!$C$76="PYG",IF(DO$10&gt;0,N(Reales!DO76)/DO$10,0),N(Reales!DO76)),SUMIF(Ap_MesV,114,Ap_MontoV)*DO$9)</f>
        <v>0</v>
      </c>
      <c r="DP294" s="34" t="n">
        <f aca="false">IF(DP$8=1,IF(Reales!$C$76="PYG",IF(DP$10&gt;0,N(Reales!DP76)/DP$10,0),N(Reales!DP76)),SUMIF(Ap_MesV,115,Ap_MontoV)*DP$9)</f>
        <v>0</v>
      </c>
      <c r="DQ294" s="34" t="n">
        <f aca="false">IF(DQ$8=1,IF(Reales!$C$76="PYG",IF(DQ$10&gt;0,N(Reales!DQ76)/DQ$10,0),N(Reales!DQ76)),SUMIF(Ap_MesV,116,Ap_MontoV)*DQ$9)</f>
        <v>0</v>
      </c>
      <c r="DR294" s="34" t="n">
        <f aca="false">IF(DR$8=1,IF(Reales!$C$76="PYG",IF(DR$10&gt;0,N(Reales!DR76)/DR$10,0),N(Reales!DR76)),SUMIF(Ap_MesV,117,Ap_MontoV)*DR$9)</f>
        <v>0</v>
      </c>
      <c r="DS294" s="34" t="n">
        <f aca="false">IF(DS$8=1,IF(Reales!$C$76="PYG",IF(DS$10&gt;0,N(Reales!DS76)/DS$10,0),N(Reales!DS76)),SUMIF(Ap_MesV,118,Ap_MontoV)*DS$9)</f>
        <v>0</v>
      </c>
      <c r="DT294" s="34" t="n">
        <f aca="false">IF(DT$8=1,IF(Reales!$C$76="PYG",IF(DT$10&gt;0,N(Reales!DT76)/DT$10,0),N(Reales!DT76)),SUMIF(Ap_MesV,119,Ap_MontoV)*DT$9)</f>
        <v>0</v>
      </c>
      <c r="DU294" s="34" t="n">
        <f aca="false">IF(DU$8=1,IF(Reales!$C$76="PYG",IF(DU$10&gt;0,N(Reales!DU76)/DU$10,0),N(Reales!DU76)),SUMIF(Ap_MesV,120,Ap_MontoV)*DU$9)</f>
        <v>0</v>
      </c>
      <c r="DV294" s="34" t="n">
        <f aca="false">IF(DV$8=1,IF(Reales!$C$76="PYG",IF(DV$10&gt;0,N(Reales!DV76)/DV$10,0),N(Reales!DV76)),SUMIF(Ap_MesV,121,Ap_MontoV)*DV$9)</f>
        <v>0</v>
      </c>
      <c r="DW294" s="34" t="n">
        <f aca="false">IF(DW$8=1,IF(Reales!$C$76="PYG",IF(DW$10&gt;0,N(Reales!DW76)/DW$10,0),N(Reales!DW76)),SUMIF(Ap_MesV,122,Ap_MontoV)*DW$9)</f>
        <v>0</v>
      </c>
      <c r="DX294" s="34" t="n">
        <f aca="false">IF(DX$8=1,IF(Reales!$C$76="PYG",IF(DX$10&gt;0,N(Reales!DX76)/DX$10,0),N(Reales!DX76)),SUMIF(Ap_MesV,123,Ap_MontoV)*DX$9)</f>
        <v>0</v>
      </c>
      <c r="DY294" s="34" t="n">
        <f aca="false">IF(DY$8=1,IF(Reales!$C$76="PYG",IF(DY$10&gt;0,N(Reales!DY76)/DY$10,0),N(Reales!DY76)),SUMIF(Ap_MesV,124,Ap_MontoV)*DY$9)</f>
        <v>0</v>
      </c>
      <c r="DZ294" s="34" t="n">
        <f aca="false">IF(DZ$8=1,IF(Reales!$C$76="PYG",IF(DZ$10&gt;0,N(Reales!DZ76)/DZ$10,0),N(Reales!DZ76)),SUMIF(Ap_MesV,125,Ap_MontoV)*DZ$9)</f>
        <v>0</v>
      </c>
      <c r="EA294" s="34" t="n">
        <f aca="false">IF(EA$8=1,IF(Reales!$C$76="PYG",IF(EA$10&gt;0,N(Reales!EA76)/EA$10,0),N(Reales!EA76)),SUMIF(Ap_MesV,126,Ap_MontoV)*EA$9)</f>
        <v>0</v>
      </c>
      <c r="EB294" s="34" t="n">
        <f aca="false">IF(EB$8=1,IF(Reales!$C$76="PYG",IF(EB$10&gt;0,N(Reales!EB76)/EB$10,0),N(Reales!EB76)),SUMIF(Ap_MesV,127,Ap_MontoV)*EB$9)</f>
        <v>0</v>
      </c>
      <c r="EC294" s="34" t="n">
        <f aca="false">IF(EC$8=1,IF(Reales!$C$76="PYG",IF(EC$10&gt;0,N(Reales!EC76)/EC$10,0),N(Reales!EC76)),SUMIF(Ap_MesV,128,Ap_MontoV)*EC$9)</f>
        <v>0</v>
      </c>
      <c r="ED294" s="34" t="n">
        <f aca="false">IF(ED$8=1,IF(Reales!$C$76="PYG",IF(ED$10&gt;0,N(Reales!ED76)/ED$10,0),N(Reales!ED76)),SUMIF(Ap_MesV,129,Ap_MontoV)*ED$9)</f>
        <v>0</v>
      </c>
      <c r="EE294" s="34" t="n">
        <f aca="false">IF(EE$8=1,IF(Reales!$C$76="PYG",IF(EE$10&gt;0,N(Reales!EE76)/EE$10,0),N(Reales!EE76)),SUMIF(Ap_MesV,130,Ap_MontoV)*EE$9)</f>
        <v>0</v>
      </c>
      <c r="EF294" s="34" t="n">
        <f aca="false">IF(EF$8=1,IF(Reales!$C$76="PYG",IF(EF$10&gt;0,N(Reales!EF76)/EF$10,0),N(Reales!EF76)),SUMIF(Ap_MesV,131,Ap_MontoV)*EF$9)</f>
        <v>0</v>
      </c>
      <c r="EG294" s="34" t="n">
        <f aca="false">IF(EG$8=1,IF(Reales!$C$76="PYG",IF(EG$10&gt;0,N(Reales!EG76)/EG$10,0),N(Reales!EG76)),SUMIF(Ap_MesV,132,Ap_MontoV)*EG$9)</f>
        <v>0</v>
      </c>
      <c r="EH294" s="34" t="n">
        <f aca="false">IF(EH$8=1,IF(Reales!$C$76="PYG",IF(EH$10&gt;0,N(Reales!EH76)/EH$10,0),N(Reales!EH76)),SUMIF(Ap_MesV,133,Ap_MontoV)*EH$9)</f>
        <v>0</v>
      </c>
      <c r="EI294" s="34" t="n">
        <f aca="false">IF(EI$8=1,IF(Reales!$C$76="PYG",IF(EI$10&gt;0,N(Reales!EI76)/EI$10,0),N(Reales!EI76)),SUMIF(Ap_MesV,134,Ap_MontoV)*EI$9)</f>
        <v>0</v>
      </c>
      <c r="EJ294" s="34" t="n">
        <f aca="false">IF(EJ$8=1,IF(Reales!$C$76="PYG",IF(EJ$10&gt;0,N(Reales!EJ76)/EJ$10,0),N(Reales!EJ76)),SUMIF(Ap_MesV,135,Ap_MontoV)*EJ$9)</f>
        <v>0</v>
      </c>
      <c r="EK294" s="34" t="n">
        <f aca="false">IF(EK$8=1,IF(Reales!$C$76="PYG",IF(EK$10&gt;0,N(Reales!EK76)/EK$10,0),N(Reales!EK76)),SUMIF(Ap_MesV,136,Ap_MontoV)*EK$9)</f>
        <v>0</v>
      </c>
      <c r="EL294" s="34" t="n">
        <f aca="false">IF(EL$8=1,IF(Reales!$C$76="PYG",IF(EL$10&gt;0,N(Reales!EL76)/EL$10,0),N(Reales!EL76)),SUMIF(Ap_MesV,137,Ap_MontoV)*EL$9)</f>
        <v>0</v>
      </c>
      <c r="EM294" s="34" t="n">
        <f aca="false">IF(EM$8=1,IF(Reales!$C$76="PYG",IF(EM$10&gt;0,N(Reales!EM76)/EM$10,0),N(Reales!EM76)),SUMIF(Ap_MesV,138,Ap_MontoV)*EM$9)</f>
        <v>0</v>
      </c>
      <c r="EN294" s="34" t="n">
        <f aca="false">IF(EN$8=1,IF(Reales!$C$76="PYG",IF(EN$10&gt;0,N(Reales!EN76)/EN$10,0),N(Reales!EN76)),SUMIF(Ap_MesV,139,Ap_MontoV)*EN$9)</f>
        <v>0</v>
      </c>
      <c r="EO294" s="34" t="n">
        <f aca="false">IF(EO$8=1,IF(Reales!$C$76="PYG",IF(EO$10&gt;0,N(Reales!EO76)/EO$10,0),N(Reales!EO76)),SUMIF(Ap_MesV,140,Ap_MontoV)*EO$9)</f>
        <v>0</v>
      </c>
      <c r="EP294" s="34" t="n">
        <f aca="false">IF(EP$8=1,IF(Reales!$C$76="PYG",IF(EP$10&gt;0,N(Reales!EP76)/EP$10,0),N(Reales!EP76)),SUMIF(Ap_MesV,141,Ap_MontoV)*EP$9)</f>
        <v>0</v>
      </c>
      <c r="EQ294" s="34" t="n">
        <f aca="false">IF(EQ$8=1,IF(Reales!$C$76="PYG",IF(EQ$10&gt;0,N(Reales!EQ76)/EQ$10,0),N(Reales!EQ76)),SUMIF(Ap_MesV,142,Ap_MontoV)*EQ$9)</f>
        <v>0</v>
      </c>
      <c r="ER294" s="34" t="n">
        <f aca="false">IF(ER$8=1,IF(Reales!$C$76="PYG",IF(ER$10&gt;0,N(Reales!ER76)/ER$10,0),N(Reales!ER76)),SUMIF(Ap_MesV,143,Ap_MontoV)*ER$9)</f>
        <v>0</v>
      </c>
      <c r="ES294" s="34" t="n">
        <f aca="false">IF(ES$8=1,IF(Reales!$C$76="PYG",IF(ES$10&gt;0,N(Reales!ES76)/ES$10,0),N(Reales!ES76)),SUMIF(Ap_MesV,144,Ap_MontoV)*ES$9)</f>
        <v>0</v>
      </c>
    </row>
    <row r="295" customFormat="false" ht="15" hidden="false" customHeight="false" outlineLevel="0" collapsed="false">
      <c r="A295" s="2" t="s">
        <v>931</v>
      </c>
      <c r="B295" s="6" t="s">
        <v>761</v>
      </c>
      <c r="C295" s="6" t="s">
        <v>575</v>
      </c>
      <c r="F295" s="19" t="n">
        <f aca="false">IF(AND(N(V_LC_Lim)&gt;0,1&gt;=MAX(1,N(V_LC_Desde)),1&lt;=IF(N(V_LC_Hasta)=0,Fin,N(V_LC_Hasta))),1,0)</f>
        <v>0</v>
      </c>
      <c r="G295" s="19" t="n">
        <f aca="false">IF(AND(N(V_LC_Lim)&gt;0,2&gt;=MAX(1,N(V_LC_Desde)),2&lt;=IF(N(V_LC_Hasta)=0,Fin,N(V_LC_Hasta))),1,0)</f>
        <v>0</v>
      </c>
      <c r="H295" s="19" t="n">
        <f aca="false">IF(AND(N(V_LC_Lim)&gt;0,3&gt;=MAX(1,N(V_LC_Desde)),3&lt;=IF(N(V_LC_Hasta)=0,Fin,N(V_LC_Hasta))),1,0)</f>
        <v>0</v>
      </c>
      <c r="I295" s="19" t="n">
        <f aca="false">IF(AND(N(V_LC_Lim)&gt;0,4&gt;=MAX(1,N(V_LC_Desde)),4&lt;=IF(N(V_LC_Hasta)=0,Fin,N(V_LC_Hasta))),1,0)</f>
        <v>0</v>
      </c>
      <c r="J295" s="19" t="n">
        <f aca="false">IF(AND(N(V_LC_Lim)&gt;0,5&gt;=MAX(1,N(V_LC_Desde)),5&lt;=IF(N(V_LC_Hasta)=0,Fin,N(V_LC_Hasta))),1,0)</f>
        <v>0</v>
      </c>
      <c r="K295" s="19" t="n">
        <f aca="false">IF(AND(N(V_LC_Lim)&gt;0,6&gt;=MAX(1,N(V_LC_Desde)),6&lt;=IF(N(V_LC_Hasta)=0,Fin,N(V_LC_Hasta))),1,0)</f>
        <v>0</v>
      </c>
      <c r="L295" s="19" t="n">
        <f aca="false">IF(AND(N(V_LC_Lim)&gt;0,7&gt;=MAX(1,N(V_LC_Desde)),7&lt;=IF(N(V_LC_Hasta)=0,Fin,N(V_LC_Hasta))),1,0)</f>
        <v>0</v>
      </c>
      <c r="M295" s="19" t="n">
        <f aca="false">IF(AND(N(V_LC_Lim)&gt;0,8&gt;=MAX(1,N(V_LC_Desde)),8&lt;=IF(N(V_LC_Hasta)=0,Fin,N(V_LC_Hasta))),1,0)</f>
        <v>0</v>
      </c>
      <c r="N295" s="19" t="n">
        <f aca="false">IF(AND(N(V_LC_Lim)&gt;0,9&gt;=MAX(1,N(V_LC_Desde)),9&lt;=IF(N(V_LC_Hasta)=0,Fin,N(V_LC_Hasta))),1,0)</f>
        <v>0</v>
      </c>
      <c r="O295" s="19" t="n">
        <f aca="false">IF(AND(N(V_LC_Lim)&gt;0,10&gt;=MAX(1,N(V_LC_Desde)),10&lt;=IF(N(V_LC_Hasta)=0,Fin,N(V_LC_Hasta))),1,0)</f>
        <v>0</v>
      </c>
      <c r="P295" s="19" t="n">
        <f aca="false">IF(AND(N(V_LC_Lim)&gt;0,11&gt;=MAX(1,N(V_LC_Desde)),11&lt;=IF(N(V_LC_Hasta)=0,Fin,N(V_LC_Hasta))),1,0)</f>
        <v>0</v>
      </c>
      <c r="Q295" s="19" t="n">
        <f aca="false">IF(AND(N(V_LC_Lim)&gt;0,12&gt;=MAX(1,N(V_LC_Desde)),12&lt;=IF(N(V_LC_Hasta)=0,Fin,N(V_LC_Hasta))),1,0)</f>
        <v>0</v>
      </c>
      <c r="R295" s="19" t="n">
        <f aca="false">IF(AND(N(V_LC_Lim)&gt;0,13&gt;=MAX(1,N(V_LC_Desde)),13&lt;=IF(N(V_LC_Hasta)=0,Fin,N(V_LC_Hasta))),1,0)</f>
        <v>0</v>
      </c>
      <c r="S295" s="19" t="n">
        <f aca="false">IF(AND(N(V_LC_Lim)&gt;0,14&gt;=MAX(1,N(V_LC_Desde)),14&lt;=IF(N(V_LC_Hasta)=0,Fin,N(V_LC_Hasta))),1,0)</f>
        <v>0</v>
      </c>
      <c r="T295" s="19" t="n">
        <f aca="false">IF(AND(N(V_LC_Lim)&gt;0,15&gt;=MAX(1,N(V_LC_Desde)),15&lt;=IF(N(V_LC_Hasta)=0,Fin,N(V_LC_Hasta))),1,0)</f>
        <v>0</v>
      </c>
      <c r="U295" s="19" t="n">
        <f aca="false">IF(AND(N(V_LC_Lim)&gt;0,16&gt;=MAX(1,N(V_LC_Desde)),16&lt;=IF(N(V_LC_Hasta)=0,Fin,N(V_LC_Hasta))),1,0)</f>
        <v>0</v>
      </c>
      <c r="V295" s="19" t="n">
        <f aca="false">IF(AND(N(V_LC_Lim)&gt;0,17&gt;=MAX(1,N(V_LC_Desde)),17&lt;=IF(N(V_LC_Hasta)=0,Fin,N(V_LC_Hasta))),1,0)</f>
        <v>0</v>
      </c>
      <c r="W295" s="19" t="n">
        <f aca="false">IF(AND(N(V_LC_Lim)&gt;0,18&gt;=MAX(1,N(V_LC_Desde)),18&lt;=IF(N(V_LC_Hasta)=0,Fin,N(V_LC_Hasta))),1,0)</f>
        <v>0</v>
      </c>
      <c r="X295" s="19" t="n">
        <f aca="false">IF(AND(N(V_LC_Lim)&gt;0,19&gt;=MAX(1,N(V_LC_Desde)),19&lt;=IF(N(V_LC_Hasta)=0,Fin,N(V_LC_Hasta))),1,0)</f>
        <v>0</v>
      </c>
      <c r="Y295" s="19" t="n">
        <f aca="false">IF(AND(N(V_LC_Lim)&gt;0,20&gt;=MAX(1,N(V_LC_Desde)),20&lt;=IF(N(V_LC_Hasta)=0,Fin,N(V_LC_Hasta))),1,0)</f>
        <v>0</v>
      </c>
      <c r="Z295" s="19" t="n">
        <f aca="false">IF(AND(N(V_LC_Lim)&gt;0,21&gt;=MAX(1,N(V_LC_Desde)),21&lt;=IF(N(V_LC_Hasta)=0,Fin,N(V_LC_Hasta))),1,0)</f>
        <v>0</v>
      </c>
      <c r="AA295" s="19" t="n">
        <f aca="false">IF(AND(N(V_LC_Lim)&gt;0,22&gt;=MAX(1,N(V_LC_Desde)),22&lt;=IF(N(V_LC_Hasta)=0,Fin,N(V_LC_Hasta))),1,0)</f>
        <v>0</v>
      </c>
      <c r="AB295" s="19" t="n">
        <f aca="false">IF(AND(N(V_LC_Lim)&gt;0,23&gt;=MAX(1,N(V_LC_Desde)),23&lt;=IF(N(V_LC_Hasta)=0,Fin,N(V_LC_Hasta))),1,0)</f>
        <v>0</v>
      </c>
      <c r="AC295" s="19" t="n">
        <f aca="false">IF(AND(N(V_LC_Lim)&gt;0,24&gt;=MAX(1,N(V_LC_Desde)),24&lt;=IF(N(V_LC_Hasta)=0,Fin,N(V_LC_Hasta))),1,0)</f>
        <v>0</v>
      </c>
      <c r="AD295" s="19" t="n">
        <f aca="false">IF(AND(N(V_LC_Lim)&gt;0,25&gt;=MAX(1,N(V_LC_Desde)),25&lt;=IF(N(V_LC_Hasta)=0,Fin,N(V_LC_Hasta))),1,0)</f>
        <v>0</v>
      </c>
      <c r="AE295" s="19" t="n">
        <f aca="false">IF(AND(N(V_LC_Lim)&gt;0,26&gt;=MAX(1,N(V_LC_Desde)),26&lt;=IF(N(V_LC_Hasta)=0,Fin,N(V_LC_Hasta))),1,0)</f>
        <v>0</v>
      </c>
      <c r="AF295" s="19" t="n">
        <f aca="false">IF(AND(N(V_LC_Lim)&gt;0,27&gt;=MAX(1,N(V_LC_Desde)),27&lt;=IF(N(V_LC_Hasta)=0,Fin,N(V_LC_Hasta))),1,0)</f>
        <v>0</v>
      </c>
      <c r="AG295" s="19" t="n">
        <f aca="false">IF(AND(N(V_LC_Lim)&gt;0,28&gt;=MAX(1,N(V_LC_Desde)),28&lt;=IF(N(V_LC_Hasta)=0,Fin,N(V_LC_Hasta))),1,0)</f>
        <v>0</v>
      </c>
      <c r="AH295" s="19" t="n">
        <f aca="false">IF(AND(N(V_LC_Lim)&gt;0,29&gt;=MAX(1,N(V_LC_Desde)),29&lt;=IF(N(V_LC_Hasta)=0,Fin,N(V_LC_Hasta))),1,0)</f>
        <v>0</v>
      </c>
      <c r="AI295" s="19" t="n">
        <f aca="false">IF(AND(N(V_LC_Lim)&gt;0,30&gt;=MAX(1,N(V_LC_Desde)),30&lt;=IF(N(V_LC_Hasta)=0,Fin,N(V_LC_Hasta))),1,0)</f>
        <v>0</v>
      </c>
      <c r="AJ295" s="19" t="n">
        <f aca="false">IF(AND(N(V_LC_Lim)&gt;0,31&gt;=MAX(1,N(V_LC_Desde)),31&lt;=IF(N(V_LC_Hasta)=0,Fin,N(V_LC_Hasta))),1,0)</f>
        <v>0</v>
      </c>
      <c r="AK295" s="19" t="n">
        <f aca="false">IF(AND(N(V_LC_Lim)&gt;0,32&gt;=MAX(1,N(V_LC_Desde)),32&lt;=IF(N(V_LC_Hasta)=0,Fin,N(V_LC_Hasta))),1,0)</f>
        <v>0</v>
      </c>
      <c r="AL295" s="19" t="n">
        <f aca="false">IF(AND(N(V_LC_Lim)&gt;0,33&gt;=MAX(1,N(V_LC_Desde)),33&lt;=IF(N(V_LC_Hasta)=0,Fin,N(V_LC_Hasta))),1,0)</f>
        <v>0</v>
      </c>
      <c r="AM295" s="19" t="n">
        <f aca="false">IF(AND(N(V_LC_Lim)&gt;0,34&gt;=MAX(1,N(V_LC_Desde)),34&lt;=IF(N(V_LC_Hasta)=0,Fin,N(V_LC_Hasta))),1,0)</f>
        <v>0</v>
      </c>
      <c r="AN295" s="19" t="n">
        <f aca="false">IF(AND(N(V_LC_Lim)&gt;0,35&gt;=MAX(1,N(V_LC_Desde)),35&lt;=IF(N(V_LC_Hasta)=0,Fin,N(V_LC_Hasta))),1,0)</f>
        <v>0</v>
      </c>
      <c r="AO295" s="19" t="n">
        <f aca="false">IF(AND(N(V_LC_Lim)&gt;0,36&gt;=MAX(1,N(V_LC_Desde)),36&lt;=IF(N(V_LC_Hasta)=0,Fin,N(V_LC_Hasta))),1,0)</f>
        <v>0</v>
      </c>
      <c r="AP295" s="19" t="n">
        <f aca="false">IF(AND(N(V_LC_Lim)&gt;0,37&gt;=MAX(1,N(V_LC_Desde)),37&lt;=IF(N(V_LC_Hasta)=0,Fin,N(V_LC_Hasta))),1,0)</f>
        <v>0</v>
      </c>
      <c r="AQ295" s="19" t="n">
        <f aca="false">IF(AND(N(V_LC_Lim)&gt;0,38&gt;=MAX(1,N(V_LC_Desde)),38&lt;=IF(N(V_LC_Hasta)=0,Fin,N(V_LC_Hasta))),1,0)</f>
        <v>0</v>
      </c>
      <c r="AR295" s="19" t="n">
        <f aca="false">IF(AND(N(V_LC_Lim)&gt;0,39&gt;=MAX(1,N(V_LC_Desde)),39&lt;=IF(N(V_LC_Hasta)=0,Fin,N(V_LC_Hasta))),1,0)</f>
        <v>0</v>
      </c>
      <c r="AS295" s="19" t="n">
        <f aca="false">IF(AND(N(V_LC_Lim)&gt;0,40&gt;=MAX(1,N(V_LC_Desde)),40&lt;=IF(N(V_LC_Hasta)=0,Fin,N(V_LC_Hasta))),1,0)</f>
        <v>0</v>
      </c>
      <c r="AT295" s="19" t="n">
        <f aca="false">IF(AND(N(V_LC_Lim)&gt;0,41&gt;=MAX(1,N(V_LC_Desde)),41&lt;=IF(N(V_LC_Hasta)=0,Fin,N(V_LC_Hasta))),1,0)</f>
        <v>0</v>
      </c>
      <c r="AU295" s="19" t="n">
        <f aca="false">IF(AND(N(V_LC_Lim)&gt;0,42&gt;=MAX(1,N(V_LC_Desde)),42&lt;=IF(N(V_LC_Hasta)=0,Fin,N(V_LC_Hasta))),1,0)</f>
        <v>0</v>
      </c>
      <c r="AV295" s="19" t="n">
        <f aca="false">IF(AND(N(V_LC_Lim)&gt;0,43&gt;=MAX(1,N(V_LC_Desde)),43&lt;=IF(N(V_LC_Hasta)=0,Fin,N(V_LC_Hasta))),1,0)</f>
        <v>0</v>
      </c>
      <c r="AW295" s="19" t="n">
        <f aca="false">IF(AND(N(V_LC_Lim)&gt;0,44&gt;=MAX(1,N(V_LC_Desde)),44&lt;=IF(N(V_LC_Hasta)=0,Fin,N(V_LC_Hasta))),1,0)</f>
        <v>0</v>
      </c>
      <c r="AX295" s="19" t="n">
        <f aca="false">IF(AND(N(V_LC_Lim)&gt;0,45&gt;=MAX(1,N(V_LC_Desde)),45&lt;=IF(N(V_LC_Hasta)=0,Fin,N(V_LC_Hasta))),1,0)</f>
        <v>0</v>
      </c>
      <c r="AY295" s="19" t="n">
        <f aca="false">IF(AND(N(V_LC_Lim)&gt;0,46&gt;=MAX(1,N(V_LC_Desde)),46&lt;=IF(N(V_LC_Hasta)=0,Fin,N(V_LC_Hasta))),1,0)</f>
        <v>0</v>
      </c>
      <c r="AZ295" s="19" t="n">
        <f aca="false">IF(AND(N(V_LC_Lim)&gt;0,47&gt;=MAX(1,N(V_LC_Desde)),47&lt;=IF(N(V_LC_Hasta)=0,Fin,N(V_LC_Hasta))),1,0)</f>
        <v>0</v>
      </c>
      <c r="BA295" s="19" t="n">
        <f aca="false">IF(AND(N(V_LC_Lim)&gt;0,48&gt;=MAX(1,N(V_LC_Desde)),48&lt;=IF(N(V_LC_Hasta)=0,Fin,N(V_LC_Hasta))),1,0)</f>
        <v>0</v>
      </c>
      <c r="BB295" s="19" t="n">
        <f aca="false">IF(AND(N(V_LC_Lim)&gt;0,49&gt;=MAX(1,N(V_LC_Desde)),49&lt;=IF(N(V_LC_Hasta)=0,Fin,N(V_LC_Hasta))),1,0)</f>
        <v>0</v>
      </c>
      <c r="BC295" s="19" t="n">
        <f aca="false">IF(AND(N(V_LC_Lim)&gt;0,50&gt;=MAX(1,N(V_LC_Desde)),50&lt;=IF(N(V_LC_Hasta)=0,Fin,N(V_LC_Hasta))),1,0)</f>
        <v>0</v>
      </c>
      <c r="BD295" s="19" t="n">
        <f aca="false">IF(AND(N(V_LC_Lim)&gt;0,51&gt;=MAX(1,N(V_LC_Desde)),51&lt;=IF(N(V_LC_Hasta)=0,Fin,N(V_LC_Hasta))),1,0)</f>
        <v>0</v>
      </c>
      <c r="BE295" s="19" t="n">
        <f aca="false">IF(AND(N(V_LC_Lim)&gt;0,52&gt;=MAX(1,N(V_LC_Desde)),52&lt;=IF(N(V_LC_Hasta)=0,Fin,N(V_LC_Hasta))),1,0)</f>
        <v>0</v>
      </c>
      <c r="BF295" s="19" t="n">
        <f aca="false">IF(AND(N(V_LC_Lim)&gt;0,53&gt;=MAX(1,N(V_LC_Desde)),53&lt;=IF(N(V_LC_Hasta)=0,Fin,N(V_LC_Hasta))),1,0)</f>
        <v>0</v>
      </c>
      <c r="BG295" s="19" t="n">
        <f aca="false">IF(AND(N(V_LC_Lim)&gt;0,54&gt;=MAX(1,N(V_LC_Desde)),54&lt;=IF(N(V_LC_Hasta)=0,Fin,N(V_LC_Hasta))),1,0)</f>
        <v>0</v>
      </c>
      <c r="BH295" s="19" t="n">
        <f aca="false">IF(AND(N(V_LC_Lim)&gt;0,55&gt;=MAX(1,N(V_LC_Desde)),55&lt;=IF(N(V_LC_Hasta)=0,Fin,N(V_LC_Hasta))),1,0)</f>
        <v>0</v>
      </c>
      <c r="BI295" s="19" t="n">
        <f aca="false">IF(AND(N(V_LC_Lim)&gt;0,56&gt;=MAX(1,N(V_LC_Desde)),56&lt;=IF(N(V_LC_Hasta)=0,Fin,N(V_LC_Hasta))),1,0)</f>
        <v>0</v>
      </c>
      <c r="BJ295" s="19" t="n">
        <f aca="false">IF(AND(N(V_LC_Lim)&gt;0,57&gt;=MAX(1,N(V_LC_Desde)),57&lt;=IF(N(V_LC_Hasta)=0,Fin,N(V_LC_Hasta))),1,0)</f>
        <v>0</v>
      </c>
      <c r="BK295" s="19" t="n">
        <f aca="false">IF(AND(N(V_LC_Lim)&gt;0,58&gt;=MAX(1,N(V_LC_Desde)),58&lt;=IF(N(V_LC_Hasta)=0,Fin,N(V_LC_Hasta))),1,0)</f>
        <v>0</v>
      </c>
      <c r="BL295" s="19" t="n">
        <f aca="false">IF(AND(N(V_LC_Lim)&gt;0,59&gt;=MAX(1,N(V_LC_Desde)),59&lt;=IF(N(V_LC_Hasta)=0,Fin,N(V_LC_Hasta))),1,0)</f>
        <v>0</v>
      </c>
      <c r="BM295" s="19" t="n">
        <f aca="false">IF(AND(N(V_LC_Lim)&gt;0,60&gt;=MAX(1,N(V_LC_Desde)),60&lt;=IF(N(V_LC_Hasta)=0,Fin,N(V_LC_Hasta))),1,0)</f>
        <v>0</v>
      </c>
      <c r="BN295" s="19" t="n">
        <f aca="false">IF(AND(N(V_LC_Lim)&gt;0,61&gt;=MAX(1,N(V_LC_Desde)),61&lt;=IF(N(V_LC_Hasta)=0,Fin,N(V_LC_Hasta))),1,0)</f>
        <v>0</v>
      </c>
      <c r="BO295" s="19" t="n">
        <f aca="false">IF(AND(N(V_LC_Lim)&gt;0,62&gt;=MAX(1,N(V_LC_Desde)),62&lt;=IF(N(V_LC_Hasta)=0,Fin,N(V_LC_Hasta))),1,0)</f>
        <v>0</v>
      </c>
      <c r="BP295" s="19" t="n">
        <f aca="false">IF(AND(N(V_LC_Lim)&gt;0,63&gt;=MAX(1,N(V_LC_Desde)),63&lt;=IF(N(V_LC_Hasta)=0,Fin,N(V_LC_Hasta))),1,0)</f>
        <v>0</v>
      </c>
      <c r="BQ295" s="19" t="n">
        <f aca="false">IF(AND(N(V_LC_Lim)&gt;0,64&gt;=MAX(1,N(V_LC_Desde)),64&lt;=IF(N(V_LC_Hasta)=0,Fin,N(V_LC_Hasta))),1,0)</f>
        <v>0</v>
      </c>
      <c r="BR295" s="19" t="n">
        <f aca="false">IF(AND(N(V_LC_Lim)&gt;0,65&gt;=MAX(1,N(V_LC_Desde)),65&lt;=IF(N(V_LC_Hasta)=0,Fin,N(V_LC_Hasta))),1,0)</f>
        <v>0</v>
      </c>
      <c r="BS295" s="19" t="n">
        <f aca="false">IF(AND(N(V_LC_Lim)&gt;0,66&gt;=MAX(1,N(V_LC_Desde)),66&lt;=IF(N(V_LC_Hasta)=0,Fin,N(V_LC_Hasta))),1,0)</f>
        <v>0</v>
      </c>
      <c r="BT295" s="19" t="n">
        <f aca="false">IF(AND(N(V_LC_Lim)&gt;0,67&gt;=MAX(1,N(V_LC_Desde)),67&lt;=IF(N(V_LC_Hasta)=0,Fin,N(V_LC_Hasta))),1,0)</f>
        <v>0</v>
      </c>
      <c r="BU295" s="19" t="n">
        <f aca="false">IF(AND(N(V_LC_Lim)&gt;0,68&gt;=MAX(1,N(V_LC_Desde)),68&lt;=IF(N(V_LC_Hasta)=0,Fin,N(V_LC_Hasta))),1,0)</f>
        <v>0</v>
      </c>
      <c r="BV295" s="19" t="n">
        <f aca="false">IF(AND(N(V_LC_Lim)&gt;0,69&gt;=MAX(1,N(V_LC_Desde)),69&lt;=IF(N(V_LC_Hasta)=0,Fin,N(V_LC_Hasta))),1,0)</f>
        <v>0</v>
      </c>
      <c r="BW295" s="19" t="n">
        <f aca="false">IF(AND(N(V_LC_Lim)&gt;0,70&gt;=MAX(1,N(V_LC_Desde)),70&lt;=IF(N(V_LC_Hasta)=0,Fin,N(V_LC_Hasta))),1,0)</f>
        <v>0</v>
      </c>
      <c r="BX295" s="19" t="n">
        <f aca="false">IF(AND(N(V_LC_Lim)&gt;0,71&gt;=MAX(1,N(V_LC_Desde)),71&lt;=IF(N(V_LC_Hasta)=0,Fin,N(V_LC_Hasta))),1,0)</f>
        <v>0</v>
      </c>
      <c r="BY295" s="19" t="n">
        <f aca="false">IF(AND(N(V_LC_Lim)&gt;0,72&gt;=MAX(1,N(V_LC_Desde)),72&lt;=IF(N(V_LC_Hasta)=0,Fin,N(V_LC_Hasta))),1,0)</f>
        <v>0</v>
      </c>
      <c r="BZ295" s="19" t="n">
        <f aca="false">IF(AND(N(V_LC_Lim)&gt;0,73&gt;=MAX(1,N(V_LC_Desde)),73&lt;=IF(N(V_LC_Hasta)=0,Fin,N(V_LC_Hasta))),1,0)</f>
        <v>0</v>
      </c>
      <c r="CA295" s="19" t="n">
        <f aca="false">IF(AND(N(V_LC_Lim)&gt;0,74&gt;=MAX(1,N(V_LC_Desde)),74&lt;=IF(N(V_LC_Hasta)=0,Fin,N(V_LC_Hasta))),1,0)</f>
        <v>0</v>
      </c>
      <c r="CB295" s="19" t="n">
        <f aca="false">IF(AND(N(V_LC_Lim)&gt;0,75&gt;=MAX(1,N(V_LC_Desde)),75&lt;=IF(N(V_LC_Hasta)=0,Fin,N(V_LC_Hasta))),1,0)</f>
        <v>0</v>
      </c>
      <c r="CC295" s="19" t="n">
        <f aca="false">IF(AND(N(V_LC_Lim)&gt;0,76&gt;=MAX(1,N(V_LC_Desde)),76&lt;=IF(N(V_LC_Hasta)=0,Fin,N(V_LC_Hasta))),1,0)</f>
        <v>0</v>
      </c>
      <c r="CD295" s="19" t="n">
        <f aca="false">IF(AND(N(V_LC_Lim)&gt;0,77&gt;=MAX(1,N(V_LC_Desde)),77&lt;=IF(N(V_LC_Hasta)=0,Fin,N(V_LC_Hasta))),1,0)</f>
        <v>0</v>
      </c>
      <c r="CE295" s="19" t="n">
        <f aca="false">IF(AND(N(V_LC_Lim)&gt;0,78&gt;=MAX(1,N(V_LC_Desde)),78&lt;=IF(N(V_LC_Hasta)=0,Fin,N(V_LC_Hasta))),1,0)</f>
        <v>0</v>
      </c>
      <c r="CF295" s="19" t="n">
        <f aca="false">IF(AND(N(V_LC_Lim)&gt;0,79&gt;=MAX(1,N(V_LC_Desde)),79&lt;=IF(N(V_LC_Hasta)=0,Fin,N(V_LC_Hasta))),1,0)</f>
        <v>0</v>
      </c>
      <c r="CG295" s="19" t="n">
        <f aca="false">IF(AND(N(V_LC_Lim)&gt;0,80&gt;=MAX(1,N(V_LC_Desde)),80&lt;=IF(N(V_LC_Hasta)=0,Fin,N(V_LC_Hasta))),1,0)</f>
        <v>0</v>
      </c>
      <c r="CH295" s="19" t="n">
        <f aca="false">IF(AND(N(V_LC_Lim)&gt;0,81&gt;=MAX(1,N(V_LC_Desde)),81&lt;=IF(N(V_LC_Hasta)=0,Fin,N(V_LC_Hasta))),1,0)</f>
        <v>0</v>
      </c>
      <c r="CI295" s="19" t="n">
        <f aca="false">IF(AND(N(V_LC_Lim)&gt;0,82&gt;=MAX(1,N(V_LC_Desde)),82&lt;=IF(N(V_LC_Hasta)=0,Fin,N(V_LC_Hasta))),1,0)</f>
        <v>0</v>
      </c>
      <c r="CJ295" s="19" t="n">
        <f aca="false">IF(AND(N(V_LC_Lim)&gt;0,83&gt;=MAX(1,N(V_LC_Desde)),83&lt;=IF(N(V_LC_Hasta)=0,Fin,N(V_LC_Hasta))),1,0)</f>
        <v>0</v>
      </c>
      <c r="CK295" s="19" t="n">
        <f aca="false">IF(AND(N(V_LC_Lim)&gt;0,84&gt;=MAX(1,N(V_LC_Desde)),84&lt;=IF(N(V_LC_Hasta)=0,Fin,N(V_LC_Hasta))),1,0)</f>
        <v>0</v>
      </c>
      <c r="CL295" s="19" t="n">
        <f aca="false">IF(AND(N(V_LC_Lim)&gt;0,85&gt;=MAX(1,N(V_LC_Desde)),85&lt;=IF(N(V_LC_Hasta)=0,Fin,N(V_LC_Hasta))),1,0)</f>
        <v>0</v>
      </c>
      <c r="CM295" s="19" t="n">
        <f aca="false">IF(AND(N(V_LC_Lim)&gt;0,86&gt;=MAX(1,N(V_LC_Desde)),86&lt;=IF(N(V_LC_Hasta)=0,Fin,N(V_LC_Hasta))),1,0)</f>
        <v>0</v>
      </c>
      <c r="CN295" s="19" t="n">
        <f aca="false">IF(AND(N(V_LC_Lim)&gt;0,87&gt;=MAX(1,N(V_LC_Desde)),87&lt;=IF(N(V_LC_Hasta)=0,Fin,N(V_LC_Hasta))),1,0)</f>
        <v>0</v>
      </c>
      <c r="CO295" s="19" t="n">
        <f aca="false">IF(AND(N(V_LC_Lim)&gt;0,88&gt;=MAX(1,N(V_LC_Desde)),88&lt;=IF(N(V_LC_Hasta)=0,Fin,N(V_LC_Hasta))),1,0)</f>
        <v>0</v>
      </c>
      <c r="CP295" s="19" t="n">
        <f aca="false">IF(AND(N(V_LC_Lim)&gt;0,89&gt;=MAX(1,N(V_LC_Desde)),89&lt;=IF(N(V_LC_Hasta)=0,Fin,N(V_LC_Hasta))),1,0)</f>
        <v>0</v>
      </c>
      <c r="CQ295" s="19" t="n">
        <f aca="false">IF(AND(N(V_LC_Lim)&gt;0,90&gt;=MAX(1,N(V_LC_Desde)),90&lt;=IF(N(V_LC_Hasta)=0,Fin,N(V_LC_Hasta))),1,0)</f>
        <v>0</v>
      </c>
      <c r="CR295" s="19" t="n">
        <f aca="false">IF(AND(N(V_LC_Lim)&gt;0,91&gt;=MAX(1,N(V_LC_Desde)),91&lt;=IF(N(V_LC_Hasta)=0,Fin,N(V_LC_Hasta))),1,0)</f>
        <v>0</v>
      </c>
      <c r="CS295" s="19" t="n">
        <f aca="false">IF(AND(N(V_LC_Lim)&gt;0,92&gt;=MAX(1,N(V_LC_Desde)),92&lt;=IF(N(V_LC_Hasta)=0,Fin,N(V_LC_Hasta))),1,0)</f>
        <v>0</v>
      </c>
      <c r="CT295" s="19" t="n">
        <f aca="false">IF(AND(N(V_LC_Lim)&gt;0,93&gt;=MAX(1,N(V_LC_Desde)),93&lt;=IF(N(V_LC_Hasta)=0,Fin,N(V_LC_Hasta))),1,0)</f>
        <v>0</v>
      </c>
      <c r="CU295" s="19" t="n">
        <f aca="false">IF(AND(N(V_LC_Lim)&gt;0,94&gt;=MAX(1,N(V_LC_Desde)),94&lt;=IF(N(V_LC_Hasta)=0,Fin,N(V_LC_Hasta))),1,0)</f>
        <v>0</v>
      </c>
      <c r="CV295" s="19" t="n">
        <f aca="false">IF(AND(N(V_LC_Lim)&gt;0,95&gt;=MAX(1,N(V_LC_Desde)),95&lt;=IF(N(V_LC_Hasta)=0,Fin,N(V_LC_Hasta))),1,0)</f>
        <v>0</v>
      </c>
      <c r="CW295" s="19" t="n">
        <f aca="false">IF(AND(N(V_LC_Lim)&gt;0,96&gt;=MAX(1,N(V_LC_Desde)),96&lt;=IF(N(V_LC_Hasta)=0,Fin,N(V_LC_Hasta))),1,0)</f>
        <v>0</v>
      </c>
      <c r="CX295" s="19" t="n">
        <f aca="false">IF(AND(N(V_LC_Lim)&gt;0,97&gt;=MAX(1,N(V_LC_Desde)),97&lt;=IF(N(V_LC_Hasta)=0,Fin,N(V_LC_Hasta))),1,0)</f>
        <v>0</v>
      </c>
      <c r="CY295" s="19" t="n">
        <f aca="false">IF(AND(N(V_LC_Lim)&gt;0,98&gt;=MAX(1,N(V_LC_Desde)),98&lt;=IF(N(V_LC_Hasta)=0,Fin,N(V_LC_Hasta))),1,0)</f>
        <v>0</v>
      </c>
      <c r="CZ295" s="19" t="n">
        <f aca="false">IF(AND(N(V_LC_Lim)&gt;0,99&gt;=MAX(1,N(V_LC_Desde)),99&lt;=IF(N(V_LC_Hasta)=0,Fin,N(V_LC_Hasta))),1,0)</f>
        <v>0</v>
      </c>
      <c r="DA295" s="19" t="n">
        <f aca="false">IF(AND(N(V_LC_Lim)&gt;0,100&gt;=MAX(1,N(V_LC_Desde)),100&lt;=IF(N(V_LC_Hasta)=0,Fin,N(V_LC_Hasta))),1,0)</f>
        <v>0</v>
      </c>
      <c r="DB295" s="19" t="n">
        <f aca="false">IF(AND(N(V_LC_Lim)&gt;0,101&gt;=MAX(1,N(V_LC_Desde)),101&lt;=IF(N(V_LC_Hasta)=0,Fin,N(V_LC_Hasta))),1,0)</f>
        <v>0</v>
      </c>
      <c r="DC295" s="19" t="n">
        <f aca="false">IF(AND(N(V_LC_Lim)&gt;0,102&gt;=MAX(1,N(V_LC_Desde)),102&lt;=IF(N(V_LC_Hasta)=0,Fin,N(V_LC_Hasta))),1,0)</f>
        <v>0</v>
      </c>
      <c r="DD295" s="19" t="n">
        <f aca="false">IF(AND(N(V_LC_Lim)&gt;0,103&gt;=MAX(1,N(V_LC_Desde)),103&lt;=IF(N(V_LC_Hasta)=0,Fin,N(V_LC_Hasta))),1,0)</f>
        <v>0</v>
      </c>
      <c r="DE295" s="19" t="n">
        <f aca="false">IF(AND(N(V_LC_Lim)&gt;0,104&gt;=MAX(1,N(V_LC_Desde)),104&lt;=IF(N(V_LC_Hasta)=0,Fin,N(V_LC_Hasta))),1,0)</f>
        <v>0</v>
      </c>
      <c r="DF295" s="19" t="n">
        <f aca="false">IF(AND(N(V_LC_Lim)&gt;0,105&gt;=MAX(1,N(V_LC_Desde)),105&lt;=IF(N(V_LC_Hasta)=0,Fin,N(V_LC_Hasta))),1,0)</f>
        <v>0</v>
      </c>
      <c r="DG295" s="19" t="n">
        <f aca="false">IF(AND(N(V_LC_Lim)&gt;0,106&gt;=MAX(1,N(V_LC_Desde)),106&lt;=IF(N(V_LC_Hasta)=0,Fin,N(V_LC_Hasta))),1,0)</f>
        <v>0</v>
      </c>
      <c r="DH295" s="19" t="n">
        <f aca="false">IF(AND(N(V_LC_Lim)&gt;0,107&gt;=MAX(1,N(V_LC_Desde)),107&lt;=IF(N(V_LC_Hasta)=0,Fin,N(V_LC_Hasta))),1,0)</f>
        <v>0</v>
      </c>
      <c r="DI295" s="19" t="n">
        <f aca="false">IF(AND(N(V_LC_Lim)&gt;0,108&gt;=MAX(1,N(V_LC_Desde)),108&lt;=IF(N(V_LC_Hasta)=0,Fin,N(V_LC_Hasta))),1,0)</f>
        <v>0</v>
      </c>
      <c r="DJ295" s="19" t="n">
        <f aca="false">IF(AND(N(V_LC_Lim)&gt;0,109&gt;=MAX(1,N(V_LC_Desde)),109&lt;=IF(N(V_LC_Hasta)=0,Fin,N(V_LC_Hasta))),1,0)</f>
        <v>0</v>
      </c>
      <c r="DK295" s="19" t="n">
        <f aca="false">IF(AND(N(V_LC_Lim)&gt;0,110&gt;=MAX(1,N(V_LC_Desde)),110&lt;=IF(N(V_LC_Hasta)=0,Fin,N(V_LC_Hasta))),1,0)</f>
        <v>0</v>
      </c>
      <c r="DL295" s="19" t="n">
        <f aca="false">IF(AND(N(V_LC_Lim)&gt;0,111&gt;=MAX(1,N(V_LC_Desde)),111&lt;=IF(N(V_LC_Hasta)=0,Fin,N(V_LC_Hasta))),1,0)</f>
        <v>0</v>
      </c>
      <c r="DM295" s="19" t="n">
        <f aca="false">IF(AND(N(V_LC_Lim)&gt;0,112&gt;=MAX(1,N(V_LC_Desde)),112&lt;=IF(N(V_LC_Hasta)=0,Fin,N(V_LC_Hasta))),1,0)</f>
        <v>0</v>
      </c>
      <c r="DN295" s="19" t="n">
        <f aca="false">IF(AND(N(V_LC_Lim)&gt;0,113&gt;=MAX(1,N(V_LC_Desde)),113&lt;=IF(N(V_LC_Hasta)=0,Fin,N(V_LC_Hasta))),1,0)</f>
        <v>0</v>
      </c>
      <c r="DO295" s="19" t="n">
        <f aca="false">IF(AND(N(V_LC_Lim)&gt;0,114&gt;=MAX(1,N(V_LC_Desde)),114&lt;=IF(N(V_LC_Hasta)=0,Fin,N(V_LC_Hasta))),1,0)</f>
        <v>0</v>
      </c>
      <c r="DP295" s="19" t="n">
        <f aca="false">IF(AND(N(V_LC_Lim)&gt;0,115&gt;=MAX(1,N(V_LC_Desde)),115&lt;=IF(N(V_LC_Hasta)=0,Fin,N(V_LC_Hasta))),1,0)</f>
        <v>0</v>
      </c>
      <c r="DQ295" s="19" t="n">
        <f aca="false">IF(AND(N(V_LC_Lim)&gt;0,116&gt;=MAX(1,N(V_LC_Desde)),116&lt;=IF(N(V_LC_Hasta)=0,Fin,N(V_LC_Hasta))),1,0)</f>
        <v>0</v>
      </c>
      <c r="DR295" s="19" t="n">
        <f aca="false">IF(AND(N(V_LC_Lim)&gt;0,117&gt;=MAX(1,N(V_LC_Desde)),117&lt;=IF(N(V_LC_Hasta)=0,Fin,N(V_LC_Hasta))),1,0)</f>
        <v>0</v>
      </c>
      <c r="DS295" s="19" t="n">
        <f aca="false">IF(AND(N(V_LC_Lim)&gt;0,118&gt;=MAX(1,N(V_LC_Desde)),118&lt;=IF(N(V_LC_Hasta)=0,Fin,N(V_LC_Hasta))),1,0)</f>
        <v>0</v>
      </c>
      <c r="DT295" s="19" t="n">
        <f aca="false">IF(AND(N(V_LC_Lim)&gt;0,119&gt;=MAX(1,N(V_LC_Desde)),119&lt;=IF(N(V_LC_Hasta)=0,Fin,N(V_LC_Hasta))),1,0)</f>
        <v>0</v>
      </c>
      <c r="DU295" s="19" t="n">
        <f aca="false">IF(AND(N(V_LC_Lim)&gt;0,120&gt;=MAX(1,N(V_LC_Desde)),120&lt;=IF(N(V_LC_Hasta)=0,Fin,N(V_LC_Hasta))),1,0)</f>
        <v>0</v>
      </c>
      <c r="DV295" s="19" t="n">
        <f aca="false">IF(AND(N(V_LC_Lim)&gt;0,121&gt;=MAX(1,N(V_LC_Desde)),121&lt;=IF(N(V_LC_Hasta)=0,Fin,N(V_LC_Hasta))),1,0)</f>
        <v>0</v>
      </c>
      <c r="DW295" s="19" t="n">
        <f aca="false">IF(AND(N(V_LC_Lim)&gt;0,122&gt;=MAX(1,N(V_LC_Desde)),122&lt;=IF(N(V_LC_Hasta)=0,Fin,N(V_LC_Hasta))),1,0)</f>
        <v>0</v>
      </c>
      <c r="DX295" s="19" t="n">
        <f aca="false">IF(AND(N(V_LC_Lim)&gt;0,123&gt;=MAX(1,N(V_LC_Desde)),123&lt;=IF(N(V_LC_Hasta)=0,Fin,N(V_LC_Hasta))),1,0)</f>
        <v>0</v>
      </c>
      <c r="DY295" s="19" t="n">
        <f aca="false">IF(AND(N(V_LC_Lim)&gt;0,124&gt;=MAX(1,N(V_LC_Desde)),124&lt;=IF(N(V_LC_Hasta)=0,Fin,N(V_LC_Hasta))),1,0)</f>
        <v>0</v>
      </c>
      <c r="DZ295" s="19" t="n">
        <f aca="false">IF(AND(N(V_LC_Lim)&gt;0,125&gt;=MAX(1,N(V_LC_Desde)),125&lt;=IF(N(V_LC_Hasta)=0,Fin,N(V_LC_Hasta))),1,0)</f>
        <v>0</v>
      </c>
      <c r="EA295" s="19" t="n">
        <f aca="false">IF(AND(N(V_LC_Lim)&gt;0,126&gt;=MAX(1,N(V_LC_Desde)),126&lt;=IF(N(V_LC_Hasta)=0,Fin,N(V_LC_Hasta))),1,0)</f>
        <v>0</v>
      </c>
      <c r="EB295" s="19" t="n">
        <f aca="false">IF(AND(N(V_LC_Lim)&gt;0,127&gt;=MAX(1,N(V_LC_Desde)),127&lt;=IF(N(V_LC_Hasta)=0,Fin,N(V_LC_Hasta))),1,0)</f>
        <v>0</v>
      </c>
      <c r="EC295" s="19" t="n">
        <f aca="false">IF(AND(N(V_LC_Lim)&gt;0,128&gt;=MAX(1,N(V_LC_Desde)),128&lt;=IF(N(V_LC_Hasta)=0,Fin,N(V_LC_Hasta))),1,0)</f>
        <v>0</v>
      </c>
      <c r="ED295" s="19" t="n">
        <f aca="false">IF(AND(N(V_LC_Lim)&gt;0,129&gt;=MAX(1,N(V_LC_Desde)),129&lt;=IF(N(V_LC_Hasta)=0,Fin,N(V_LC_Hasta))),1,0)</f>
        <v>0</v>
      </c>
      <c r="EE295" s="19" t="n">
        <f aca="false">IF(AND(N(V_LC_Lim)&gt;0,130&gt;=MAX(1,N(V_LC_Desde)),130&lt;=IF(N(V_LC_Hasta)=0,Fin,N(V_LC_Hasta))),1,0)</f>
        <v>0</v>
      </c>
      <c r="EF295" s="19" t="n">
        <f aca="false">IF(AND(N(V_LC_Lim)&gt;0,131&gt;=MAX(1,N(V_LC_Desde)),131&lt;=IF(N(V_LC_Hasta)=0,Fin,N(V_LC_Hasta))),1,0)</f>
        <v>0</v>
      </c>
      <c r="EG295" s="19" t="n">
        <f aca="false">IF(AND(N(V_LC_Lim)&gt;0,132&gt;=MAX(1,N(V_LC_Desde)),132&lt;=IF(N(V_LC_Hasta)=0,Fin,N(V_LC_Hasta))),1,0)</f>
        <v>0</v>
      </c>
      <c r="EH295" s="19" t="n">
        <f aca="false">IF(AND(N(V_LC_Lim)&gt;0,133&gt;=MAX(1,N(V_LC_Desde)),133&lt;=IF(N(V_LC_Hasta)=0,Fin,N(V_LC_Hasta))),1,0)</f>
        <v>0</v>
      </c>
      <c r="EI295" s="19" t="n">
        <f aca="false">IF(AND(N(V_LC_Lim)&gt;0,134&gt;=MAX(1,N(V_LC_Desde)),134&lt;=IF(N(V_LC_Hasta)=0,Fin,N(V_LC_Hasta))),1,0)</f>
        <v>0</v>
      </c>
      <c r="EJ295" s="19" t="n">
        <f aca="false">IF(AND(N(V_LC_Lim)&gt;0,135&gt;=MAX(1,N(V_LC_Desde)),135&lt;=IF(N(V_LC_Hasta)=0,Fin,N(V_LC_Hasta))),1,0)</f>
        <v>0</v>
      </c>
      <c r="EK295" s="19" t="n">
        <f aca="false">IF(AND(N(V_LC_Lim)&gt;0,136&gt;=MAX(1,N(V_LC_Desde)),136&lt;=IF(N(V_LC_Hasta)=0,Fin,N(V_LC_Hasta))),1,0)</f>
        <v>0</v>
      </c>
      <c r="EL295" s="19" t="n">
        <f aca="false">IF(AND(N(V_LC_Lim)&gt;0,137&gt;=MAX(1,N(V_LC_Desde)),137&lt;=IF(N(V_LC_Hasta)=0,Fin,N(V_LC_Hasta))),1,0)</f>
        <v>0</v>
      </c>
      <c r="EM295" s="19" t="n">
        <f aca="false">IF(AND(N(V_LC_Lim)&gt;0,138&gt;=MAX(1,N(V_LC_Desde)),138&lt;=IF(N(V_LC_Hasta)=0,Fin,N(V_LC_Hasta))),1,0)</f>
        <v>0</v>
      </c>
      <c r="EN295" s="19" t="n">
        <f aca="false">IF(AND(N(V_LC_Lim)&gt;0,139&gt;=MAX(1,N(V_LC_Desde)),139&lt;=IF(N(V_LC_Hasta)=0,Fin,N(V_LC_Hasta))),1,0)</f>
        <v>0</v>
      </c>
      <c r="EO295" s="19" t="n">
        <f aca="false">IF(AND(N(V_LC_Lim)&gt;0,140&gt;=MAX(1,N(V_LC_Desde)),140&lt;=IF(N(V_LC_Hasta)=0,Fin,N(V_LC_Hasta))),1,0)</f>
        <v>0</v>
      </c>
      <c r="EP295" s="19" t="n">
        <f aca="false">IF(AND(N(V_LC_Lim)&gt;0,141&gt;=MAX(1,N(V_LC_Desde)),141&lt;=IF(N(V_LC_Hasta)=0,Fin,N(V_LC_Hasta))),1,0)</f>
        <v>0</v>
      </c>
      <c r="EQ295" s="19" t="n">
        <f aca="false">IF(AND(N(V_LC_Lim)&gt;0,142&gt;=MAX(1,N(V_LC_Desde)),142&lt;=IF(N(V_LC_Hasta)=0,Fin,N(V_LC_Hasta))),1,0)</f>
        <v>0</v>
      </c>
      <c r="ER295" s="19" t="n">
        <f aca="false">IF(AND(N(V_LC_Lim)&gt;0,143&gt;=MAX(1,N(V_LC_Desde)),143&lt;=IF(N(V_LC_Hasta)=0,Fin,N(V_LC_Hasta))),1,0)</f>
        <v>0</v>
      </c>
      <c r="ES295" s="19" t="n">
        <f aca="false">IF(AND(N(V_LC_Lim)&gt;0,144&gt;=MAX(1,N(V_LC_Desde)),144&lt;=IF(N(V_LC_Hasta)=0,Fin,N(V_LC_Hasta))),1,0)</f>
        <v>0</v>
      </c>
    </row>
    <row r="296" customFormat="false" ht="15" hidden="false" customHeight="false" outlineLevel="0" collapsed="false">
      <c r="A296" s="2" t="s">
        <v>932</v>
      </c>
      <c r="B296" s="6" t="s">
        <v>763</v>
      </c>
      <c r="C296" s="6" t="s">
        <v>250</v>
      </c>
      <c r="E296" s="40" t="n">
        <f aca="false">SUM(F296:ES296)</f>
        <v>0</v>
      </c>
      <c r="F296" s="34" t="n">
        <f aca="false">IF(F$8=1,0,0*N(V_LC_Tasa)/12*F$9)</f>
        <v>0</v>
      </c>
      <c r="G296" s="34" t="n">
        <f aca="false">IF(G$8=1,0,F$301*N(V_LC_Tasa)/12*G$9)</f>
        <v>0</v>
      </c>
      <c r="H296" s="34" t="n">
        <f aca="false">IF(H$8=1,0,G$301*N(V_LC_Tasa)/12*H$9)</f>
        <v>0</v>
      </c>
      <c r="I296" s="34" t="n">
        <f aca="false">IF(I$8=1,0,H$301*N(V_LC_Tasa)/12*I$9)</f>
        <v>0</v>
      </c>
      <c r="J296" s="34" t="n">
        <f aca="false">IF(J$8=1,0,I$301*N(V_LC_Tasa)/12*J$9)</f>
        <v>0</v>
      </c>
      <c r="K296" s="34" t="n">
        <f aca="false">IF(K$8=1,0,J$301*N(V_LC_Tasa)/12*K$9)</f>
        <v>0</v>
      </c>
      <c r="L296" s="34" t="n">
        <f aca="false">IF(L$8=1,0,K$301*N(V_LC_Tasa)/12*L$9)</f>
        <v>0</v>
      </c>
      <c r="M296" s="34" t="n">
        <f aca="false">IF(M$8=1,0,L$301*N(V_LC_Tasa)/12*M$9)</f>
        <v>0</v>
      </c>
      <c r="N296" s="34" t="n">
        <f aca="false">IF(N$8=1,0,M$301*N(V_LC_Tasa)/12*N$9)</f>
        <v>0</v>
      </c>
      <c r="O296" s="34" t="n">
        <f aca="false">IF(O$8=1,0,N$301*N(V_LC_Tasa)/12*O$9)</f>
        <v>0</v>
      </c>
      <c r="P296" s="34" t="n">
        <f aca="false">IF(P$8=1,0,O$301*N(V_LC_Tasa)/12*P$9)</f>
        <v>0</v>
      </c>
      <c r="Q296" s="34" t="n">
        <f aca="false">IF(Q$8=1,0,P$301*N(V_LC_Tasa)/12*Q$9)</f>
        <v>0</v>
      </c>
      <c r="R296" s="34" t="n">
        <f aca="false">IF(R$8=1,0,Q$301*N(V_LC_Tasa)/12*R$9)</f>
        <v>0</v>
      </c>
      <c r="S296" s="34" t="n">
        <f aca="false">IF(S$8=1,0,R$301*N(V_LC_Tasa)/12*S$9)</f>
        <v>0</v>
      </c>
      <c r="T296" s="34" t="n">
        <f aca="false">IF(T$8=1,0,S$301*N(V_LC_Tasa)/12*T$9)</f>
        <v>0</v>
      </c>
      <c r="U296" s="34" t="n">
        <f aca="false">IF(U$8=1,0,T$301*N(V_LC_Tasa)/12*U$9)</f>
        <v>0</v>
      </c>
      <c r="V296" s="34" t="n">
        <f aca="false">IF(V$8=1,0,U$301*N(V_LC_Tasa)/12*V$9)</f>
        <v>0</v>
      </c>
      <c r="W296" s="34" t="n">
        <f aca="false">IF(W$8=1,0,V$301*N(V_LC_Tasa)/12*W$9)</f>
        <v>0</v>
      </c>
      <c r="X296" s="34" t="n">
        <f aca="false">IF(X$8=1,0,W$301*N(V_LC_Tasa)/12*X$9)</f>
        <v>0</v>
      </c>
      <c r="Y296" s="34" t="n">
        <f aca="false">IF(Y$8=1,0,X$301*N(V_LC_Tasa)/12*Y$9)</f>
        <v>0</v>
      </c>
      <c r="Z296" s="34" t="n">
        <f aca="false">IF(Z$8=1,0,Y$301*N(V_LC_Tasa)/12*Z$9)</f>
        <v>0</v>
      </c>
      <c r="AA296" s="34" t="n">
        <f aca="false">IF(AA$8=1,0,Z$301*N(V_LC_Tasa)/12*AA$9)</f>
        <v>0</v>
      </c>
      <c r="AB296" s="34" t="n">
        <f aca="false">IF(AB$8=1,0,AA$301*N(V_LC_Tasa)/12*AB$9)</f>
        <v>0</v>
      </c>
      <c r="AC296" s="34" t="n">
        <f aca="false">IF(AC$8=1,0,AB$301*N(V_LC_Tasa)/12*AC$9)</f>
        <v>0</v>
      </c>
      <c r="AD296" s="34" t="n">
        <f aca="false">IF(AD$8=1,0,AC$301*N(V_LC_Tasa)/12*AD$9)</f>
        <v>0</v>
      </c>
      <c r="AE296" s="34" t="n">
        <f aca="false">IF(AE$8=1,0,AD$301*N(V_LC_Tasa)/12*AE$9)</f>
        <v>0</v>
      </c>
      <c r="AF296" s="34" t="n">
        <f aca="false">IF(AF$8=1,0,AE$301*N(V_LC_Tasa)/12*AF$9)</f>
        <v>0</v>
      </c>
      <c r="AG296" s="34" t="n">
        <f aca="false">IF(AG$8=1,0,AF$301*N(V_LC_Tasa)/12*AG$9)</f>
        <v>0</v>
      </c>
      <c r="AH296" s="34" t="n">
        <f aca="false">IF(AH$8=1,0,AG$301*N(V_LC_Tasa)/12*AH$9)</f>
        <v>0</v>
      </c>
      <c r="AI296" s="34" t="n">
        <f aca="false">IF(AI$8=1,0,AH$301*N(V_LC_Tasa)/12*AI$9)</f>
        <v>0</v>
      </c>
      <c r="AJ296" s="34" t="n">
        <f aca="false">IF(AJ$8=1,0,AI$301*N(V_LC_Tasa)/12*AJ$9)</f>
        <v>0</v>
      </c>
      <c r="AK296" s="34" t="n">
        <f aca="false">IF(AK$8=1,0,AJ$301*N(V_LC_Tasa)/12*AK$9)</f>
        <v>0</v>
      </c>
      <c r="AL296" s="34" t="n">
        <f aca="false">IF(AL$8=1,0,AK$301*N(V_LC_Tasa)/12*AL$9)</f>
        <v>0</v>
      </c>
      <c r="AM296" s="34" t="n">
        <f aca="false">IF(AM$8=1,0,AL$301*N(V_LC_Tasa)/12*AM$9)</f>
        <v>0</v>
      </c>
      <c r="AN296" s="34" t="n">
        <f aca="false">IF(AN$8=1,0,AM$301*N(V_LC_Tasa)/12*AN$9)</f>
        <v>0</v>
      </c>
      <c r="AO296" s="34" t="n">
        <f aca="false">IF(AO$8=1,0,AN$301*N(V_LC_Tasa)/12*AO$9)</f>
        <v>0</v>
      </c>
      <c r="AP296" s="34" t="n">
        <f aca="false">IF(AP$8=1,0,AO$301*N(V_LC_Tasa)/12*AP$9)</f>
        <v>0</v>
      </c>
      <c r="AQ296" s="34" t="n">
        <f aca="false">IF(AQ$8=1,0,AP$301*N(V_LC_Tasa)/12*AQ$9)</f>
        <v>0</v>
      </c>
      <c r="AR296" s="34" t="n">
        <f aca="false">IF(AR$8=1,0,AQ$301*N(V_LC_Tasa)/12*AR$9)</f>
        <v>0</v>
      </c>
      <c r="AS296" s="34" t="n">
        <f aca="false">IF(AS$8=1,0,AR$301*N(V_LC_Tasa)/12*AS$9)</f>
        <v>0</v>
      </c>
      <c r="AT296" s="34" t="n">
        <f aca="false">IF(AT$8=1,0,AS$301*N(V_LC_Tasa)/12*AT$9)</f>
        <v>0</v>
      </c>
      <c r="AU296" s="34" t="n">
        <f aca="false">IF(AU$8=1,0,AT$301*N(V_LC_Tasa)/12*AU$9)</f>
        <v>0</v>
      </c>
      <c r="AV296" s="34" t="n">
        <f aca="false">IF(AV$8=1,0,AU$301*N(V_LC_Tasa)/12*AV$9)</f>
        <v>0</v>
      </c>
      <c r="AW296" s="34" t="n">
        <f aca="false">IF(AW$8=1,0,AV$301*N(V_LC_Tasa)/12*AW$9)</f>
        <v>0</v>
      </c>
      <c r="AX296" s="34" t="n">
        <f aca="false">IF(AX$8=1,0,AW$301*N(V_LC_Tasa)/12*AX$9)</f>
        <v>0</v>
      </c>
      <c r="AY296" s="34" t="n">
        <f aca="false">IF(AY$8=1,0,AX$301*N(V_LC_Tasa)/12*AY$9)</f>
        <v>0</v>
      </c>
      <c r="AZ296" s="34" t="n">
        <f aca="false">IF(AZ$8=1,0,AY$301*N(V_LC_Tasa)/12*AZ$9)</f>
        <v>0</v>
      </c>
      <c r="BA296" s="34" t="n">
        <f aca="false">IF(BA$8=1,0,AZ$301*N(V_LC_Tasa)/12*BA$9)</f>
        <v>0</v>
      </c>
      <c r="BB296" s="34" t="n">
        <f aca="false">IF(BB$8=1,0,BA$301*N(V_LC_Tasa)/12*BB$9)</f>
        <v>0</v>
      </c>
      <c r="BC296" s="34" t="n">
        <f aca="false">IF(BC$8=1,0,BB$301*N(V_LC_Tasa)/12*BC$9)</f>
        <v>0</v>
      </c>
      <c r="BD296" s="34" t="n">
        <f aca="false">IF(BD$8=1,0,BC$301*N(V_LC_Tasa)/12*BD$9)</f>
        <v>0</v>
      </c>
      <c r="BE296" s="34" t="n">
        <f aca="false">IF(BE$8=1,0,BD$301*N(V_LC_Tasa)/12*BE$9)</f>
        <v>0</v>
      </c>
      <c r="BF296" s="34" t="n">
        <f aca="false">IF(BF$8=1,0,BE$301*N(V_LC_Tasa)/12*BF$9)</f>
        <v>0</v>
      </c>
      <c r="BG296" s="34" t="n">
        <f aca="false">IF(BG$8=1,0,BF$301*N(V_LC_Tasa)/12*BG$9)</f>
        <v>0</v>
      </c>
      <c r="BH296" s="34" t="n">
        <f aca="false">IF(BH$8=1,0,BG$301*N(V_LC_Tasa)/12*BH$9)</f>
        <v>0</v>
      </c>
      <c r="BI296" s="34" t="n">
        <f aca="false">IF(BI$8=1,0,BH$301*N(V_LC_Tasa)/12*BI$9)</f>
        <v>0</v>
      </c>
      <c r="BJ296" s="34" t="n">
        <f aca="false">IF(BJ$8=1,0,BI$301*N(V_LC_Tasa)/12*BJ$9)</f>
        <v>0</v>
      </c>
      <c r="BK296" s="34" t="n">
        <f aca="false">IF(BK$8=1,0,BJ$301*N(V_LC_Tasa)/12*BK$9)</f>
        <v>0</v>
      </c>
      <c r="BL296" s="34" t="n">
        <f aca="false">IF(BL$8=1,0,BK$301*N(V_LC_Tasa)/12*BL$9)</f>
        <v>0</v>
      </c>
      <c r="BM296" s="34" t="n">
        <f aca="false">IF(BM$8=1,0,BL$301*N(V_LC_Tasa)/12*BM$9)</f>
        <v>0</v>
      </c>
      <c r="BN296" s="34" t="n">
        <f aca="false">IF(BN$8=1,0,BM$301*N(V_LC_Tasa)/12*BN$9)</f>
        <v>0</v>
      </c>
      <c r="BO296" s="34" t="n">
        <f aca="false">IF(BO$8=1,0,BN$301*N(V_LC_Tasa)/12*BO$9)</f>
        <v>0</v>
      </c>
      <c r="BP296" s="34" t="n">
        <f aca="false">IF(BP$8=1,0,BO$301*N(V_LC_Tasa)/12*BP$9)</f>
        <v>0</v>
      </c>
      <c r="BQ296" s="34" t="n">
        <f aca="false">IF(BQ$8=1,0,BP$301*N(V_LC_Tasa)/12*BQ$9)</f>
        <v>0</v>
      </c>
      <c r="BR296" s="34" t="n">
        <f aca="false">IF(BR$8=1,0,BQ$301*N(V_LC_Tasa)/12*BR$9)</f>
        <v>0</v>
      </c>
      <c r="BS296" s="34" t="n">
        <f aca="false">IF(BS$8=1,0,BR$301*N(V_LC_Tasa)/12*BS$9)</f>
        <v>0</v>
      </c>
      <c r="BT296" s="34" t="n">
        <f aca="false">IF(BT$8=1,0,BS$301*N(V_LC_Tasa)/12*BT$9)</f>
        <v>0</v>
      </c>
      <c r="BU296" s="34" t="n">
        <f aca="false">IF(BU$8=1,0,BT$301*N(V_LC_Tasa)/12*BU$9)</f>
        <v>0</v>
      </c>
      <c r="BV296" s="34" t="n">
        <f aca="false">IF(BV$8=1,0,BU$301*N(V_LC_Tasa)/12*BV$9)</f>
        <v>0</v>
      </c>
      <c r="BW296" s="34" t="n">
        <f aca="false">IF(BW$8=1,0,BV$301*N(V_LC_Tasa)/12*BW$9)</f>
        <v>0</v>
      </c>
      <c r="BX296" s="34" t="n">
        <f aca="false">IF(BX$8=1,0,BW$301*N(V_LC_Tasa)/12*BX$9)</f>
        <v>0</v>
      </c>
      <c r="BY296" s="34" t="n">
        <f aca="false">IF(BY$8=1,0,BX$301*N(V_LC_Tasa)/12*BY$9)</f>
        <v>0</v>
      </c>
      <c r="BZ296" s="34" t="n">
        <f aca="false">IF(BZ$8=1,0,BY$301*N(V_LC_Tasa)/12*BZ$9)</f>
        <v>0</v>
      </c>
      <c r="CA296" s="34" t="n">
        <f aca="false">IF(CA$8=1,0,BZ$301*N(V_LC_Tasa)/12*CA$9)</f>
        <v>0</v>
      </c>
      <c r="CB296" s="34" t="n">
        <f aca="false">IF(CB$8=1,0,CA$301*N(V_LC_Tasa)/12*CB$9)</f>
        <v>0</v>
      </c>
      <c r="CC296" s="34" t="n">
        <f aca="false">IF(CC$8=1,0,CB$301*N(V_LC_Tasa)/12*CC$9)</f>
        <v>0</v>
      </c>
      <c r="CD296" s="34" t="n">
        <f aca="false">IF(CD$8=1,0,CC$301*N(V_LC_Tasa)/12*CD$9)</f>
        <v>0</v>
      </c>
      <c r="CE296" s="34" t="n">
        <f aca="false">IF(CE$8=1,0,CD$301*N(V_LC_Tasa)/12*CE$9)</f>
        <v>0</v>
      </c>
      <c r="CF296" s="34" t="n">
        <f aca="false">IF(CF$8=1,0,CE$301*N(V_LC_Tasa)/12*CF$9)</f>
        <v>0</v>
      </c>
      <c r="CG296" s="34" t="n">
        <f aca="false">IF(CG$8=1,0,CF$301*N(V_LC_Tasa)/12*CG$9)</f>
        <v>0</v>
      </c>
      <c r="CH296" s="34" t="n">
        <f aca="false">IF(CH$8=1,0,CG$301*N(V_LC_Tasa)/12*CH$9)</f>
        <v>0</v>
      </c>
      <c r="CI296" s="34" t="n">
        <f aca="false">IF(CI$8=1,0,CH$301*N(V_LC_Tasa)/12*CI$9)</f>
        <v>0</v>
      </c>
      <c r="CJ296" s="34" t="n">
        <f aca="false">IF(CJ$8=1,0,CI$301*N(V_LC_Tasa)/12*CJ$9)</f>
        <v>0</v>
      </c>
      <c r="CK296" s="34" t="n">
        <f aca="false">IF(CK$8=1,0,CJ$301*N(V_LC_Tasa)/12*CK$9)</f>
        <v>0</v>
      </c>
      <c r="CL296" s="34" t="n">
        <f aca="false">IF(CL$8=1,0,CK$301*N(V_LC_Tasa)/12*CL$9)</f>
        <v>0</v>
      </c>
      <c r="CM296" s="34" t="n">
        <f aca="false">IF(CM$8=1,0,CL$301*N(V_LC_Tasa)/12*CM$9)</f>
        <v>0</v>
      </c>
      <c r="CN296" s="34" t="n">
        <f aca="false">IF(CN$8=1,0,CM$301*N(V_LC_Tasa)/12*CN$9)</f>
        <v>0</v>
      </c>
      <c r="CO296" s="34" t="n">
        <f aca="false">IF(CO$8=1,0,CN$301*N(V_LC_Tasa)/12*CO$9)</f>
        <v>0</v>
      </c>
      <c r="CP296" s="34" t="n">
        <f aca="false">IF(CP$8=1,0,CO$301*N(V_LC_Tasa)/12*CP$9)</f>
        <v>0</v>
      </c>
      <c r="CQ296" s="34" t="n">
        <f aca="false">IF(CQ$8=1,0,CP$301*N(V_LC_Tasa)/12*CQ$9)</f>
        <v>0</v>
      </c>
      <c r="CR296" s="34" t="n">
        <f aca="false">IF(CR$8=1,0,CQ$301*N(V_LC_Tasa)/12*CR$9)</f>
        <v>0</v>
      </c>
      <c r="CS296" s="34" t="n">
        <f aca="false">IF(CS$8=1,0,CR$301*N(V_LC_Tasa)/12*CS$9)</f>
        <v>0</v>
      </c>
      <c r="CT296" s="34" t="n">
        <f aca="false">IF(CT$8=1,0,CS$301*N(V_LC_Tasa)/12*CT$9)</f>
        <v>0</v>
      </c>
      <c r="CU296" s="34" t="n">
        <f aca="false">IF(CU$8=1,0,CT$301*N(V_LC_Tasa)/12*CU$9)</f>
        <v>0</v>
      </c>
      <c r="CV296" s="34" t="n">
        <f aca="false">IF(CV$8=1,0,CU$301*N(V_LC_Tasa)/12*CV$9)</f>
        <v>0</v>
      </c>
      <c r="CW296" s="34" t="n">
        <f aca="false">IF(CW$8=1,0,CV$301*N(V_LC_Tasa)/12*CW$9)</f>
        <v>0</v>
      </c>
      <c r="CX296" s="34" t="n">
        <f aca="false">IF(CX$8=1,0,CW$301*N(V_LC_Tasa)/12*CX$9)</f>
        <v>0</v>
      </c>
      <c r="CY296" s="34" t="n">
        <f aca="false">IF(CY$8=1,0,CX$301*N(V_LC_Tasa)/12*CY$9)</f>
        <v>0</v>
      </c>
      <c r="CZ296" s="34" t="n">
        <f aca="false">IF(CZ$8=1,0,CY$301*N(V_LC_Tasa)/12*CZ$9)</f>
        <v>0</v>
      </c>
      <c r="DA296" s="34" t="n">
        <f aca="false">IF(DA$8=1,0,CZ$301*N(V_LC_Tasa)/12*DA$9)</f>
        <v>0</v>
      </c>
      <c r="DB296" s="34" t="n">
        <f aca="false">IF(DB$8=1,0,DA$301*N(V_LC_Tasa)/12*DB$9)</f>
        <v>0</v>
      </c>
      <c r="DC296" s="34" t="n">
        <f aca="false">IF(DC$8=1,0,DB$301*N(V_LC_Tasa)/12*DC$9)</f>
        <v>0</v>
      </c>
      <c r="DD296" s="34" t="n">
        <f aca="false">IF(DD$8=1,0,DC$301*N(V_LC_Tasa)/12*DD$9)</f>
        <v>0</v>
      </c>
      <c r="DE296" s="34" t="n">
        <f aca="false">IF(DE$8=1,0,DD$301*N(V_LC_Tasa)/12*DE$9)</f>
        <v>0</v>
      </c>
      <c r="DF296" s="34" t="n">
        <f aca="false">IF(DF$8=1,0,DE$301*N(V_LC_Tasa)/12*DF$9)</f>
        <v>0</v>
      </c>
      <c r="DG296" s="34" t="n">
        <f aca="false">IF(DG$8=1,0,DF$301*N(V_LC_Tasa)/12*DG$9)</f>
        <v>0</v>
      </c>
      <c r="DH296" s="34" t="n">
        <f aca="false">IF(DH$8=1,0,DG$301*N(V_LC_Tasa)/12*DH$9)</f>
        <v>0</v>
      </c>
      <c r="DI296" s="34" t="n">
        <f aca="false">IF(DI$8=1,0,DH$301*N(V_LC_Tasa)/12*DI$9)</f>
        <v>0</v>
      </c>
      <c r="DJ296" s="34" t="n">
        <f aca="false">IF(DJ$8=1,0,DI$301*N(V_LC_Tasa)/12*DJ$9)</f>
        <v>0</v>
      </c>
      <c r="DK296" s="34" t="n">
        <f aca="false">IF(DK$8=1,0,DJ$301*N(V_LC_Tasa)/12*DK$9)</f>
        <v>0</v>
      </c>
      <c r="DL296" s="34" t="n">
        <f aca="false">IF(DL$8=1,0,DK$301*N(V_LC_Tasa)/12*DL$9)</f>
        <v>0</v>
      </c>
      <c r="DM296" s="34" t="n">
        <f aca="false">IF(DM$8=1,0,DL$301*N(V_LC_Tasa)/12*DM$9)</f>
        <v>0</v>
      </c>
      <c r="DN296" s="34" t="n">
        <f aca="false">IF(DN$8=1,0,DM$301*N(V_LC_Tasa)/12*DN$9)</f>
        <v>0</v>
      </c>
      <c r="DO296" s="34" t="n">
        <f aca="false">IF(DO$8=1,0,DN$301*N(V_LC_Tasa)/12*DO$9)</f>
        <v>0</v>
      </c>
      <c r="DP296" s="34" t="n">
        <f aca="false">IF(DP$8=1,0,DO$301*N(V_LC_Tasa)/12*DP$9)</f>
        <v>0</v>
      </c>
      <c r="DQ296" s="34" t="n">
        <f aca="false">IF(DQ$8=1,0,DP$301*N(V_LC_Tasa)/12*DQ$9)</f>
        <v>0</v>
      </c>
      <c r="DR296" s="34" t="n">
        <f aca="false">IF(DR$8=1,0,DQ$301*N(V_LC_Tasa)/12*DR$9)</f>
        <v>0</v>
      </c>
      <c r="DS296" s="34" t="n">
        <f aca="false">IF(DS$8=1,0,DR$301*N(V_LC_Tasa)/12*DS$9)</f>
        <v>0</v>
      </c>
      <c r="DT296" s="34" t="n">
        <f aca="false">IF(DT$8=1,0,DS$301*N(V_LC_Tasa)/12*DT$9)</f>
        <v>0</v>
      </c>
      <c r="DU296" s="34" t="n">
        <f aca="false">IF(DU$8=1,0,DT$301*N(V_LC_Tasa)/12*DU$9)</f>
        <v>0</v>
      </c>
      <c r="DV296" s="34" t="n">
        <f aca="false">IF(DV$8=1,0,DU$301*N(V_LC_Tasa)/12*DV$9)</f>
        <v>0</v>
      </c>
      <c r="DW296" s="34" t="n">
        <f aca="false">IF(DW$8=1,0,DV$301*N(V_LC_Tasa)/12*DW$9)</f>
        <v>0</v>
      </c>
      <c r="DX296" s="34" t="n">
        <f aca="false">IF(DX$8=1,0,DW$301*N(V_LC_Tasa)/12*DX$9)</f>
        <v>0</v>
      </c>
      <c r="DY296" s="34" t="n">
        <f aca="false">IF(DY$8=1,0,DX$301*N(V_LC_Tasa)/12*DY$9)</f>
        <v>0</v>
      </c>
      <c r="DZ296" s="34" t="n">
        <f aca="false">IF(DZ$8=1,0,DY$301*N(V_LC_Tasa)/12*DZ$9)</f>
        <v>0</v>
      </c>
      <c r="EA296" s="34" t="n">
        <f aca="false">IF(EA$8=1,0,DZ$301*N(V_LC_Tasa)/12*EA$9)</f>
        <v>0</v>
      </c>
      <c r="EB296" s="34" t="n">
        <f aca="false">IF(EB$8=1,0,EA$301*N(V_LC_Tasa)/12*EB$9)</f>
        <v>0</v>
      </c>
      <c r="EC296" s="34" t="n">
        <f aca="false">IF(EC$8=1,0,EB$301*N(V_LC_Tasa)/12*EC$9)</f>
        <v>0</v>
      </c>
      <c r="ED296" s="34" t="n">
        <f aca="false">IF(ED$8=1,0,EC$301*N(V_LC_Tasa)/12*ED$9)</f>
        <v>0</v>
      </c>
      <c r="EE296" s="34" t="n">
        <f aca="false">IF(EE$8=1,0,ED$301*N(V_LC_Tasa)/12*EE$9)</f>
        <v>0</v>
      </c>
      <c r="EF296" s="34" t="n">
        <f aca="false">IF(EF$8=1,0,EE$301*N(V_LC_Tasa)/12*EF$9)</f>
        <v>0</v>
      </c>
      <c r="EG296" s="34" t="n">
        <f aca="false">IF(EG$8=1,0,EF$301*N(V_LC_Tasa)/12*EG$9)</f>
        <v>0</v>
      </c>
      <c r="EH296" s="34" t="n">
        <f aca="false">IF(EH$8=1,0,EG$301*N(V_LC_Tasa)/12*EH$9)</f>
        <v>0</v>
      </c>
      <c r="EI296" s="34" t="n">
        <f aca="false">IF(EI$8=1,0,EH$301*N(V_LC_Tasa)/12*EI$9)</f>
        <v>0</v>
      </c>
      <c r="EJ296" s="34" t="n">
        <f aca="false">IF(EJ$8=1,0,EI$301*N(V_LC_Tasa)/12*EJ$9)</f>
        <v>0</v>
      </c>
      <c r="EK296" s="34" t="n">
        <f aca="false">IF(EK$8=1,0,EJ$301*N(V_LC_Tasa)/12*EK$9)</f>
        <v>0</v>
      </c>
      <c r="EL296" s="34" t="n">
        <f aca="false">IF(EL$8=1,0,EK$301*N(V_LC_Tasa)/12*EL$9)</f>
        <v>0</v>
      </c>
      <c r="EM296" s="34" t="n">
        <f aca="false">IF(EM$8=1,0,EL$301*N(V_LC_Tasa)/12*EM$9)</f>
        <v>0</v>
      </c>
      <c r="EN296" s="34" t="n">
        <f aca="false">IF(EN$8=1,0,EM$301*N(V_LC_Tasa)/12*EN$9)</f>
        <v>0</v>
      </c>
      <c r="EO296" s="34" t="n">
        <f aca="false">IF(EO$8=1,0,EN$301*N(V_LC_Tasa)/12*EO$9)</f>
        <v>0</v>
      </c>
      <c r="EP296" s="34" t="n">
        <f aca="false">IF(EP$8=1,0,EO$301*N(V_LC_Tasa)/12*EP$9)</f>
        <v>0</v>
      </c>
      <c r="EQ296" s="34" t="n">
        <f aca="false">IF(EQ$8=1,0,EP$301*N(V_LC_Tasa)/12*EQ$9)</f>
        <v>0</v>
      </c>
      <c r="ER296" s="34" t="n">
        <f aca="false">IF(ER$8=1,0,EQ$301*N(V_LC_Tasa)/12*ER$9)</f>
        <v>0</v>
      </c>
      <c r="ES296" s="34" t="n">
        <f aca="false">IF(ES$8=1,0,ER$301*N(V_LC_Tasa)/12*ES$9)</f>
        <v>0</v>
      </c>
    </row>
    <row r="297" customFormat="false" ht="15" hidden="false" customHeight="false" outlineLevel="0" collapsed="false">
      <c r="A297" s="2" t="s">
        <v>933</v>
      </c>
      <c r="B297" s="6" t="s">
        <v>765</v>
      </c>
      <c r="C297" s="6" t="s">
        <v>250</v>
      </c>
      <c r="E297" s="40" t="n">
        <f aca="false">MIN(F297:ES297)</f>
        <v>-311740.118672618</v>
      </c>
      <c r="F297" s="34" t="n">
        <f aca="false">0+F$272-F$273+F$292-F$293-F$261*F$9+F$294</f>
        <v>535727.93036656</v>
      </c>
      <c r="G297" s="34" t="n">
        <f aca="false">F$310+G$272-G$273+G$292-G$293-G$261*G$9+G$294</f>
        <v>555194.83809215</v>
      </c>
      <c r="H297" s="34" t="n">
        <f aca="false">G$310+H$272-H$273+H$292-H$293-H$261*H$9+H$294</f>
        <v>574661.745817739</v>
      </c>
      <c r="I297" s="34" t="n">
        <f aca="false">H$310+I$272-I$273+I$292-I$293-I$261*I$9+I$294</f>
        <v>594128.653543329</v>
      </c>
      <c r="J297" s="34" t="n">
        <f aca="false">I$310+J$272-J$273+J$292-J$293-J$261*J$9+J$294</f>
        <v>613595.561268919</v>
      </c>
      <c r="K297" s="34" t="n">
        <f aca="false">J$310+K$272-K$273+K$292-K$293-K$261*K$9+K$294</f>
        <v>633062.468994509</v>
      </c>
      <c r="L297" s="34" t="n">
        <f aca="false">K$310+L$272-L$273+L$292-L$293-L$261*L$9+L$294</f>
        <v>610406.072625411</v>
      </c>
      <c r="M297" s="34" t="n">
        <f aca="false">L$310+M$272-M$273+M$292-M$293-M$261*M$9+M$294</f>
        <v>587781.268734384</v>
      </c>
      <c r="N297" s="34" t="n">
        <f aca="false">M$310+N$272-N$273+N$292-N$293-N$261*N$9+N$294</f>
        <v>565188.294265013</v>
      </c>
      <c r="O297" s="34" t="n">
        <f aca="false">N$310+O$272-O$273+O$292-O$293-O$261*O$9+O$294</f>
        <v>542627.387937962</v>
      </c>
      <c r="P297" s="34" t="n">
        <f aca="false">O$310+P$272-P$273+P$292-P$293-P$261*P$9+P$294</f>
        <v>520098.790264297</v>
      </c>
      <c r="Q297" s="34" t="n">
        <f aca="false">P$310+Q$272-Q$273+Q$292-Q$293-Q$261*Q$9+Q$294</f>
        <v>497602.743558918</v>
      </c>
      <c r="R297" s="34" t="n">
        <f aca="false">Q$310+R$272-R$273+R$292-R$293-R$261*R$9+R$294</f>
        <v>129920.95007682</v>
      </c>
      <c r="S297" s="34" t="n">
        <f aca="false">R$310+S$272-S$273+S$292-S$293-S$261*S$9+S$294</f>
        <v>145489.642054168</v>
      </c>
      <c r="T297" s="34" t="n">
        <f aca="false">S$310+T$272-T$273+T$292-T$293-T$261*T$9+T$294</f>
        <v>161091.622903299</v>
      </c>
      <c r="U297" s="34" t="n">
        <f aca="false">T$310+U$272-U$273+U$292-U$293-U$261*U$9+U$294</f>
        <v>176727.142290749</v>
      </c>
      <c r="V297" s="34" t="n">
        <f aca="false">U$310+V$272-V$273+V$292-V$293-V$261*V$9+V$294</f>
        <v>192396.451755556</v>
      </c>
      <c r="W297" s="34" t="n">
        <f aca="false">V$310+W$272-W$273+W$292-W$293-W$261*W$9+W$294</f>
        <v>208099.804723301</v>
      </c>
      <c r="X297" s="34" t="n">
        <f aca="false">W$310+X$272-X$273+X$292-X$293-X$261*X$9+X$294</f>
        <v>223837.456520255</v>
      </c>
      <c r="Y297" s="34" t="n">
        <f aca="false">X$310+Y$272-Y$273+Y$292-Y$293-Y$261*Y$9+Y$294</f>
        <v>239609.664387639</v>
      </c>
      <c r="Z297" s="34" t="n">
        <f aca="false">Y$310+Z$272-Z$273+Z$292-Z$293-Z$261*Z$9+Z$294</f>
        <v>255416.687495978</v>
      </c>
      <c r="AA297" s="34" t="n">
        <f aca="false">Z$310+AA$272-AA$273+AA$292-AA$293-AA$261*AA$9+AA$294</f>
        <v>271258.786959582</v>
      </c>
      <c r="AB297" s="34" t="n">
        <f aca="false">AA$310+AB$272-AB$273+AB$292-AB$293-AB$261*AB$9+AB$294</f>
        <v>287136.225851114</v>
      </c>
      <c r="AC297" s="34" t="n">
        <f aca="false">AB$310+AC$272-AC$273+AC$292-AC$293-AC$261*AC$9+AC$294</f>
        <v>303049.269216285</v>
      </c>
      <c r="AD297" s="34" t="n">
        <f aca="false">AC$310+AD$272-AD$273+AD$292-AD$293-AD$261*AD$9+AD$294</f>
        <v>-311740.118672618</v>
      </c>
      <c r="AE297" s="34" t="n">
        <f aca="false">AD$310+AE$272-AE$273+AE$292-AE$293-AE$261*AE$9+AE$294</f>
        <v>-259166.435385603</v>
      </c>
      <c r="AF297" s="34" t="n">
        <f aca="false">AE$310+AF$272-AF$273+AF$292-AF$293-AF$261*AF$9+AF$294</f>
        <v>-206556.340501018</v>
      </c>
      <c r="AG297" s="34" t="n">
        <f aca="false">AF$310+AG$272-AG$273+AG$292-AG$293-AG$261*AG$9+AG$294</f>
        <v>-153909.560931882</v>
      </c>
      <c r="AH297" s="34" t="n">
        <f aca="false">AG$310+AH$272-AH$273+AH$292-AH$293-AH$261*AH$9+AH$294</f>
        <v>-101225.821543058</v>
      </c>
      <c r="AI297" s="34" t="n">
        <f aca="false">AH$310+AI$272-AI$273+AI$292-AI$293-AI$261*AI$9+AI$294</f>
        <v>-48504.8451359012</v>
      </c>
      <c r="AJ297" s="34" t="n">
        <f aca="false">AI$310+AJ$272-AJ$273+AJ$292-AJ$293-AJ$261*AJ$9+AJ$294</f>
        <v>4253.64756722731</v>
      </c>
      <c r="AK297" s="34" t="n">
        <f aca="false">AJ$310+AK$272-AK$273+AK$292-AK$293-AK$261*AK$9+AK$294</f>
        <v>57049.9379385471</v>
      </c>
      <c r="AL297" s="34" t="n">
        <f aca="false">AK$310+AL$272-AL$273+AL$292-AL$293-AL$261*AL$9+AL$294</f>
        <v>109884.309460569</v>
      </c>
      <c r="AM297" s="34" t="n">
        <f aca="false">AL$310+AM$272-AM$273+AM$292-AM$293-AM$261*AM$9+AM$294</f>
        <v>162757.047741925</v>
      </c>
      <c r="AN297" s="34" t="n">
        <f aca="false">AM$310+AN$272-AN$273+AN$292-AN$293-AN$261*AN$9+AN$294</f>
        <v>215668.440533308</v>
      </c>
      <c r="AO297" s="34" t="n">
        <f aca="false">AN$310+AO$272-AO$273+AO$292-AO$293-AO$261*AO$9+AO$294</f>
        <v>268618.777743544</v>
      </c>
      <c r="AP297" s="34" t="n">
        <f aca="false">AO$310+AP$272-AP$273+AP$292-AP$293-AP$261*AP$9+AP$294</f>
        <v>-204392.169462804</v>
      </c>
      <c r="AQ297" s="34" t="n">
        <f aca="false">AP$310+AQ$272-AQ$273+AQ$292-AQ$293-AQ$261*AQ$9+AQ$294</f>
        <v>-118554.51596008</v>
      </c>
      <c r="AR297" s="34" t="n">
        <f aca="false">AQ$310+AR$272-AR$273+AR$292-AR$293-AR$261*AR$9+AR$294</f>
        <v>-32677.0352007788</v>
      </c>
      <c r="AS297" s="34" t="n">
        <f aca="false">AR$310+AS$272-AS$273+AS$292-AS$293-AS$261*AS$9+AS$294</f>
        <v>53240.5715195248</v>
      </c>
      <c r="AT297" s="34" t="n">
        <f aca="false">AS$310+AT$272-AT$273+AT$292-AT$293-AT$261*AT$9+AT$294</f>
        <v>139198.605145538</v>
      </c>
      <c r="AU297" s="34" t="n">
        <f aca="false">AT$310+AU$272-AU$273+AU$292-AU$293-AU$261*AU$9+AU$294</f>
        <v>225197.368879053</v>
      </c>
      <c r="AV297" s="34" t="n">
        <f aca="false">AU$310+AV$272-AV$273+AV$292-AV$293-AV$261*AV$9+AV$294</f>
        <v>311237.168195877</v>
      </c>
      <c r="AW297" s="34" t="n">
        <f aca="false">AV$310+AW$272-AW$273+AW$292-AW$293-AW$261*AW$9+AW$294</f>
        <v>397318.310862885</v>
      </c>
      <c r="AX297" s="34" t="n">
        <f aca="false">AW$310+AX$272-AX$273+AX$292-AX$293-AX$261*AX$9+AX$294</f>
        <v>483441.106955202</v>
      </c>
      <c r="AY297" s="34" t="n">
        <f aca="false">AX$310+AY$272-AY$273+AY$292-AY$293-AY$261*AY$9+AY$294</f>
        <v>569605.868873519</v>
      </c>
      <c r="AZ297" s="34" t="n">
        <f aca="false">AY$310+AZ$272-AZ$273+AZ$292-AZ$293-AZ$261*AZ$9+AZ$294</f>
        <v>655812.91136153</v>
      </c>
      <c r="BA297" s="34" t="n">
        <f aca="false">AZ$310+BA$272-BA$273+BA$292-BA$293-BA$261*BA$9+BA$294</f>
        <v>742062.551523509</v>
      </c>
      <c r="BB297" s="34" t="n">
        <f aca="false">BA$310+BB$272-BB$273+BB$292-BB$293-BB$261*BB$9+BB$294</f>
        <v>791565.146132666</v>
      </c>
      <c r="BC297" s="34" t="n">
        <f aca="false">BB$310+BC$272-BC$273+BC$292-BC$293-BC$261*BC$9+BC$294</f>
        <v>879220.527482878</v>
      </c>
      <c r="BD297" s="34" t="n">
        <f aca="false">BC$310+BD$272-BD$273+BD$292-BD$293-BD$261*BD$9+BD$294</f>
        <v>966919.47216105</v>
      </c>
      <c r="BE297" s="34" t="n">
        <f aca="false">BD$310+BE$272-BE$273+BE$292-BE$293-BE$261*BE$9+BE$294</f>
        <v>1054662.30689214</v>
      </c>
      <c r="BF297" s="34" t="n">
        <f aca="false">BE$310+BF$272-BF$273+BF$292-BF$293-BF$261*BF$9+BF$294</f>
        <v>337495.982470628</v>
      </c>
      <c r="BG297" s="34" t="n">
        <f aca="false">BF$310+BG$272-BG$273+BG$292-BG$293-BG$261*BG$9+BG$294</f>
        <v>425327.587302565</v>
      </c>
      <c r="BH297" s="34" t="n">
        <f aca="false">BG$310+BH$272-BH$273+BH$292-BH$293-BH$261*BH$9+BH$294</f>
        <v>513204.077138576</v>
      </c>
      <c r="BI297" s="34" t="n">
        <f aca="false">BH$310+BI$272-BI$273+BI$292-BI$293-BI$261*BI$9+BI$294</f>
        <v>601125.788616189</v>
      </c>
      <c r="BJ297" s="34" t="n">
        <f aca="false">BI$310+BJ$272-BJ$273+BJ$292-BJ$293-BJ$261*BJ$9+BJ$294</f>
        <v>689093.060897719</v>
      </c>
      <c r="BK297" s="34" t="n">
        <f aca="false">BJ$310+BK$272-BK$273+BK$292-BK$293-BK$261*BK$9+BK$294</f>
        <v>777106.235689193</v>
      </c>
      <c r="BL297" s="34" t="n">
        <f aca="false">BK$310+BL$272-BL$273+BL$292-BL$293-BL$261*BL$9+BL$294</f>
        <v>865165.657259436</v>
      </c>
      <c r="BM297" s="34" t="n">
        <f aca="false">BL$310+BM$272-BM$273+BM$292-BM$293-BM$261*BM$9+BM$294</f>
        <v>953271.672459288</v>
      </c>
      <c r="BN297" s="34" t="n">
        <f aca="false">BM$310+BN$272-BN$273+BN$292-BN$293-BN$261*BN$9+BN$294</f>
        <v>1070847.25778852</v>
      </c>
      <c r="BO297" s="34" t="n">
        <f aca="false">BN$310+BO$272-BO$273+BO$292-BO$293-BO$261*BO$9+BO$294</f>
        <v>1226147.69958634</v>
      </c>
      <c r="BP297" s="34" t="n">
        <f aca="false">BO$310+BP$272-BP$273+BP$292-BP$293-BP$261*BP$9+BP$294</f>
        <v>1381448.14138417</v>
      </c>
      <c r="BQ297" s="34" t="n">
        <f aca="false">BP$310+BQ$272-BQ$273+BQ$292-BQ$293-BQ$261*BQ$9+BQ$294</f>
        <v>1536748.583182</v>
      </c>
      <c r="BR297" s="34" t="n">
        <f aca="false">BQ$310+BR$272-BR$273+BR$292-BR$293-BR$261*BR$9+BR$294</f>
        <v>228122.480611604</v>
      </c>
      <c r="BS297" s="34" t="n">
        <f aca="false">BR$310+BS$272-BS$273+BS$292-BS$293-BS$261*BS$9+BS$294</f>
        <v>383422.92240943</v>
      </c>
      <c r="BT297" s="34" t="n">
        <f aca="false">BS$310+BT$272-BT$273+BT$292-BT$293-BT$261*BT$9+BT$294</f>
        <v>538723.364207257</v>
      </c>
      <c r="BU297" s="34" t="n">
        <f aca="false">BT$310+BU$272-BU$273+BU$292-BU$293-BU$261*BU$9+BU$294</f>
        <v>694023.806005083</v>
      </c>
      <c r="BV297" s="34" t="n">
        <f aca="false">BU$310+BV$272-BV$273+BV$292-BV$293-BV$261*BV$9+BV$294</f>
        <v>849324.247802909</v>
      </c>
      <c r="BW297" s="34" t="n">
        <f aca="false">BV$310+BW$272-BW$273+BW$292-BW$293-BW$261*BW$9+BW$294</f>
        <v>1004624.68960073</v>
      </c>
      <c r="BX297" s="34" t="n">
        <f aca="false">BW$310+BX$272-BX$273+BX$292-BX$293-BX$261*BX$9+BX$294</f>
        <v>1159925.13139856</v>
      </c>
      <c r="BY297" s="34" t="n">
        <f aca="false">BX$310+BY$272-BY$273+BY$292-BY$293-BY$261*BY$9+BY$294</f>
        <v>1315225.57319639</v>
      </c>
      <c r="BZ297" s="34" t="n">
        <f aca="false">BY$310+BZ$272-BZ$273+BZ$292-BZ$293-BZ$261*BZ$9+BZ$294</f>
        <v>1436551.70246101</v>
      </c>
      <c r="CA297" s="34" t="n">
        <f aca="false">BZ$310+CA$272-CA$273+CA$292-CA$293-CA$261*CA$9+CA$294</f>
        <v>1595967.72495041</v>
      </c>
      <c r="CB297" s="34" t="n">
        <f aca="false">CA$310+CB$272-CB$273+CB$292-CB$293-CB$261*CB$9+CB$294</f>
        <v>1755383.74743981</v>
      </c>
      <c r="CC297" s="34" t="n">
        <f aca="false">CB$310+CC$272-CC$273+CC$292-CC$293-CC$261*CC$9+CC$294</f>
        <v>1914799.76992921</v>
      </c>
      <c r="CD297" s="34" t="n">
        <f aca="false">CC$310+CD$272-CD$273+CD$292-CD$293-CD$261*CD$9+CD$294</f>
        <v>280027.099844691</v>
      </c>
      <c r="CE297" s="34" t="n">
        <f aca="false">CD$310+CE$272-CE$273+CE$292-CE$293-CE$261*CE$9+CE$294</f>
        <v>439443.122334091</v>
      </c>
      <c r="CF297" s="34" t="n">
        <f aca="false">CE$310+CF$272-CF$273+CF$292-CF$293-CF$261*CF$9+CF$294</f>
        <v>598859.144823491</v>
      </c>
      <c r="CG297" s="34" t="n">
        <f aca="false">CF$310+CG$272-CG$273+CG$292-CG$293-CG$261*CG$9+CG$294</f>
        <v>758275.167312891</v>
      </c>
      <c r="CH297" s="34" t="n">
        <f aca="false">CG$310+CH$272-CH$273+CH$292-CH$293-CH$261*CH$9+CH$294</f>
        <v>917691.18980229</v>
      </c>
      <c r="CI297" s="34" t="n">
        <f aca="false">CH$310+CI$272-CI$273+CI$292-CI$293-CI$261*CI$9+CI$294</f>
        <v>1077107.21229169</v>
      </c>
      <c r="CJ297" s="34" t="n">
        <f aca="false">CI$310+CJ$272-CJ$273+CJ$292-CJ$293-CJ$261*CJ$9+CJ$294</f>
        <v>1236523.23478109</v>
      </c>
      <c r="CK297" s="34" t="n">
        <f aca="false">CJ$310+CK$272-CK$273+CK$292-CK$293-CK$261*CK$9+CK$294</f>
        <v>1395939.25727049</v>
      </c>
      <c r="CL297" s="34" t="n">
        <f aca="false">CK$310+CL$272-CL$273+CL$292-CL$293-CL$261*CL$9+CL$294</f>
        <v>1521040.85812226</v>
      </c>
      <c r="CM297" s="34" t="n">
        <f aca="false">CL$310+CM$272-CM$273+CM$292-CM$293-CM$261*CM$9+CM$294</f>
        <v>1684600.67666855</v>
      </c>
      <c r="CN297" s="34" t="n">
        <f aca="false">CM$310+CN$272-CN$273+CN$292-CN$293-CN$261*CN$9+CN$294</f>
        <v>1848160.49521483</v>
      </c>
      <c r="CO297" s="34" t="n">
        <f aca="false">CN$310+CO$272-CO$273+CO$292-CO$293-CO$261*CO$9+CO$294</f>
        <v>2011720.31376112</v>
      </c>
      <c r="CP297" s="34" t="n">
        <f aca="false">CO$310+CP$272-CP$273+CP$292-CP$293-CP$261*CP$9+CP$294</f>
        <v>331704.47143461</v>
      </c>
      <c r="CQ297" s="34" t="n">
        <f aca="false">CP$310+CQ$272-CQ$273+CQ$292-CQ$293-CQ$261*CQ$9+CQ$294</f>
        <v>495264.289980898</v>
      </c>
      <c r="CR297" s="34" t="n">
        <f aca="false">CQ$310+CR$272-CR$273+CR$292-CR$293-CR$261*CR$9+CR$294</f>
        <v>658824.108527185</v>
      </c>
      <c r="CS297" s="34" t="n">
        <f aca="false">CR$310+CS$272-CS$273+CS$292-CS$293-CS$261*CS$9+CS$294</f>
        <v>822383.927073473</v>
      </c>
      <c r="CT297" s="34" t="n">
        <f aca="false">CS$310+CT$272-CT$273+CT$292-CT$293-CT$261*CT$9+CT$294</f>
        <v>985943.74561976</v>
      </c>
      <c r="CU297" s="34" t="n">
        <f aca="false">CT$310+CU$272-CU$273+CU$292-CU$293-CU$261*CU$9+CU$294</f>
        <v>1149503.56416605</v>
      </c>
      <c r="CV297" s="34" t="n">
        <f aca="false">CU$310+CV$272-CV$273+CV$292-CV$293-CV$261*CV$9+CV$294</f>
        <v>1313063.38271234</v>
      </c>
      <c r="CW297" s="34" t="n">
        <f aca="false">CV$310+CW$272-CW$273+CW$292-CW$293-CW$261*CW$9+CW$294</f>
        <v>1476623.20125862</v>
      </c>
      <c r="CX297" s="34" t="n">
        <f aca="false">CW$310+CX$272-CX$273+CX$292-CX$293-CX$261*CX$9+CX$294</f>
        <v>1605525.07895819</v>
      </c>
      <c r="CY297" s="34" t="n">
        <f aca="false">CX$310+CY$272-CY$273+CY$292-CY$293-CY$261*CY$9+CY$294</f>
        <v>1773256.8086071</v>
      </c>
      <c r="CZ297" s="34" t="n">
        <f aca="false">CY$310+CZ$272-CZ$273+CZ$292-CZ$293-CZ$261*CZ$9+CZ$294</f>
        <v>1940988.53825601</v>
      </c>
      <c r="DA297" s="34" t="n">
        <f aca="false">CZ$310+DA$272-DA$273+DA$292-DA$293-DA$261*DA$9+DA$294</f>
        <v>2108720.26790492</v>
      </c>
      <c r="DB297" s="34" t="n">
        <f aca="false">DA$310+DB$272-DB$273+DB$292-DB$293-DB$261*DB$9+DB$294</f>
        <v>383150.783998375</v>
      </c>
      <c r="DC297" s="34" t="n">
        <f aca="false">DB$310+DC$272-DC$273+DC$292-DC$293-DC$261*DC$9+DC$294</f>
        <v>550882.513647283</v>
      </c>
      <c r="DD297" s="34" t="n">
        <f aca="false">DC$310+DD$272-DD$273+DD$292-DD$293-DD$261*DD$9+DD$294</f>
        <v>718614.24329619</v>
      </c>
      <c r="DE297" s="34" t="n">
        <f aca="false">DD$310+DE$272-DE$273+DE$292-DE$293-DE$261*DE$9+DE$294</f>
        <v>886345.972945098</v>
      </c>
      <c r="DF297" s="34" t="n">
        <f aca="false">DE$310+DF$272-DF$273+DF$292-DF$293-DF$261*DF$9+DF$294</f>
        <v>1054077.70259401</v>
      </c>
      <c r="DG297" s="34" t="n">
        <f aca="false">DF$310+DG$272-DG$273+DG$292-DG$293-DG$261*DG$9+DG$294</f>
        <v>1221809.43224291</v>
      </c>
      <c r="DH297" s="34" t="n">
        <f aca="false">DG$310+DH$272-DH$273+DH$292-DH$293-DH$261*DH$9+DH$294</f>
        <v>1389541.16189182</v>
      </c>
      <c r="DI297" s="34" t="n">
        <f aca="false">DH$310+DI$272-DI$273+DI$292-DI$293-DI$261*DI$9+DI$294</f>
        <v>1557272.89154073</v>
      </c>
      <c r="DJ297" s="34" t="n">
        <f aca="false">DI$310+DJ$272-DJ$273+DJ$292-DJ$293-DJ$261*DJ$9+DJ$294</f>
        <v>1689999.71669704</v>
      </c>
      <c r="DK297" s="34" t="n">
        <f aca="false">DJ$310+DK$272-DK$273+DK$292-DK$293-DK$261*DK$9+DK$294</f>
        <v>1861931.35981212</v>
      </c>
      <c r="DL297" s="34" t="n">
        <f aca="false">DK$310+DL$272-DL$273+DL$292-DL$293-DL$261*DL$9+DL$294</f>
        <v>2033863.00292721</v>
      </c>
      <c r="DM297" s="34" t="n">
        <f aca="false">DL$310+DM$272-DM$273+DM$292-DM$293-DM$261*DM$9+DM$294</f>
        <v>2205794.64604229</v>
      </c>
      <c r="DN297" s="34" t="n">
        <f aca="false">DM$310+DN$272-DN$273+DN$292-DN$293-DN$261*DN$9+DN$294</f>
        <v>434362.142370491</v>
      </c>
      <c r="DO297" s="34" t="n">
        <f aca="false">DN$310+DO$272-DO$273+DO$292-DO$293-DO$261*DO$9+DO$294</f>
        <v>606293.785485577</v>
      </c>
      <c r="DP297" s="34" t="n">
        <f aca="false">DO$310+DP$272-DP$273+DP$292-DP$293-DP$261*DP$9+DP$294</f>
        <v>778225.428600663</v>
      </c>
      <c r="DQ297" s="34" t="n">
        <f aca="false">DP$310+DQ$272-DQ$273+DQ$292-DQ$293-DQ$261*DQ$9+DQ$294</f>
        <v>950157.071715749</v>
      </c>
      <c r="DR297" s="34" t="n">
        <f aca="false">DQ$310+DR$272-DR$273+DR$292-DR$293-DR$261*DR$9+DR$294</f>
        <v>1122088.71483084</v>
      </c>
      <c r="DS297" s="34" t="n">
        <f aca="false">DR$310+DS$272-DS$273+DS$292-DS$293-DS$261*DS$9+DS$294</f>
        <v>1294020.35794592</v>
      </c>
      <c r="DT297" s="34" t="n">
        <f aca="false">DS$310+DT$272-DT$273+DT$292-DT$293-DT$261*DT$9+DT$294</f>
        <v>1465952.00106101</v>
      </c>
      <c r="DU297" s="34" t="n">
        <f aca="false">DT$310+DU$272-DU$273+DU$292-DU$293-DU$261*DU$9+DU$294</f>
        <v>1637883.64417609</v>
      </c>
      <c r="DV297" s="34" t="n">
        <f aca="false">DU$310+DV$272-DV$273+DV$292-DV$293-DV$261*DV$9+DV$294</f>
        <v>1637883.64417609</v>
      </c>
      <c r="DW297" s="34" t="n">
        <f aca="false">DV$310+DW$272-DW$273+DW$292-DW$293-DW$261*DW$9+DW$294</f>
        <v>1637883.64417609</v>
      </c>
      <c r="DX297" s="34" t="n">
        <f aca="false">DW$310+DX$272-DX$273+DX$292-DX$293-DX$261*DX$9+DX$294</f>
        <v>1637883.64417609</v>
      </c>
      <c r="DY297" s="34" t="n">
        <f aca="false">DX$310+DY$272-DY$273+DY$292-DY$293-DY$261*DY$9+DY$294</f>
        <v>1637883.64417609</v>
      </c>
      <c r="DZ297" s="34" t="n">
        <f aca="false">DY$310+DZ$272-DZ$273+DZ$292-DZ$293-DZ$261*DZ$9+DZ$294</f>
        <v>1637883.64417609</v>
      </c>
      <c r="EA297" s="34" t="n">
        <f aca="false">DZ$310+EA$272-EA$273+EA$292-EA$293-EA$261*EA$9+EA$294</f>
        <v>1637883.64417609</v>
      </c>
      <c r="EB297" s="34" t="n">
        <f aca="false">EA$310+EB$272-EB$273+EB$292-EB$293-EB$261*EB$9+EB$294</f>
        <v>1637883.64417609</v>
      </c>
      <c r="EC297" s="34" t="n">
        <f aca="false">EB$310+EC$272-EC$273+EC$292-EC$293-EC$261*EC$9+EC$294</f>
        <v>1637883.64417609</v>
      </c>
      <c r="ED297" s="34" t="n">
        <f aca="false">EC$310+ED$272-ED$273+ED$292-ED$293-ED$261*ED$9+ED$294</f>
        <v>1637883.64417609</v>
      </c>
      <c r="EE297" s="34" t="n">
        <f aca="false">ED$310+EE$272-EE$273+EE$292-EE$293-EE$261*EE$9+EE$294</f>
        <v>1637883.64417609</v>
      </c>
      <c r="EF297" s="34" t="n">
        <f aca="false">EE$310+EF$272-EF$273+EF$292-EF$293-EF$261*EF$9+EF$294</f>
        <v>1637883.64417609</v>
      </c>
      <c r="EG297" s="34" t="n">
        <f aca="false">EF$310+EG$272-EG$273+EG$292-EG$293-EG$261*EG$9+EG$294</f>
        <v>1637883.64417609</v>
      </c>
      <c r="EH297" s="34" t="n">
        <f aca="false">EG$310+EH$272-EH$273+EH$292-EH$293-EH$261*EH$9+EH$294</f>
        <v>1637883.64417609</v>
      </c>
      <c r="EI297" s="34" t="n">
        <f aca="false">EH$310+EI$272-EI$273+EI$292-EI$293-EI$261*EI$9+EI$294</f>
        <v>1637883.64417609</v>
      </c>
      <c r="EJ297" s="34" t="n">
        <f aca="false">EI$310+EJ$272-EJ$273+EJ$292-EJ$293-EJ$261*EJ$9+EJ$294</f>
        <v>1637883.64417609</v>
      </c>
      <c r="EK297" s="34" t="n">
        <f aca="false">EJ$310+EK$272-EK$273+EK$292-EK$293-EK$261*EK$9+EK$294</f>
        <v>1637883.64417609</v>
      </c>
      <c r="EL297" s="34" t="n">
        <f aca="false">EK$310+EL$272-EL$273+EL$292-EL$293-EL$261*EL$9+EL$294</f>
        <v>1637883.64417609</v>
      </c>
      <c r="EM297" s="34" t="n">
        <f aca="false">EL$310+EM$272-EM$273+EM$292-EM$293-EM$261*EM$9+EM$294</f>
        <v>1637883.64417609</v>
      </c>
      <c r="EN297" s="34" t="n">
        <f aca="false">EM$310+EN$272-EN$273+EN$292-EN$293-EN$261*EN$9+EN$294</f>
        <v>1637883.64417609</v>
      </c>
      <c r="EO297" s="34" t="n">
        <f aca="false">EN$310+EO$272-EO$273+EO$292-EO$293-EO$261*EO$9+EO$294</f>
        <v>1637883.64417609</v>
      </c>
      <c r="EP297" s="34" t="n">
        <f aca="false">EO$310+EP$272-EP$273+EP$292-EP$293-EP$261*EP$9+EP$294</f>
        <v>1637883.64417609</v>
      </c>
      <c r="EQ297" s="34" t="n">
        <f aca="false">EP$310+EQ$272-EQ$273+EQ$292-EQ$293-EQ$261*EQ$9+EQ$294</f>
        <v>1637883.64417609</v>
      </c>
      <c r="ER297" s="34" t="n">
        <f aca="false">EQ$310+ER$272-ER$273+ER$292-ER$293-ER$261*ER$9+ER$294</f>
        <v>1637883.64417609</v>
      </c>
      <c r="ES297" s="34" t="n">
        <f aca="false">ER$310+ES$272-ES$273+ES$292-ES$293-ES$261*ES$9+ES$294</f>
        <v>1637883.64417609</v>
      </c>
    </row>
    <row r="298" customFormat="false" ht="15" hidden="false" customHeight="false" outlineLevel="0" collapsed="false">
      <c r="A298" s="2" t="s">
        <v>934</v>
      </c>
      <c r="B298" s="6" t="s">
        <v>164</v>
      </c>
      <c r="C298" s="6" t="s">
        <v>250</v>
      </c>
      <c r="F298" s="34" t="n">
        <f aca="false">F$227*V_CajaMin/DiasMes*F$9</f>
        <v>39863.0136986301</v>
      </c>
      <c r="G298" s="34" t="n">
        <f aca="false">G$227*V_CajaMin/DiasMes*G$9</f>
        <v>39863.0136986301</v>
      </c>
      <c r="H298" s="34" t="n">
        <f aca="false">H$227*V_CajaMin/DiasMes*H$9</f>
        <v>39863.0136986301</v>
      </c>
      <c r="I298" s="34" t="n">
        <f aca="false">I$227*V_CajaMin/DiasMes*I$9</f>
        <v>39863.0136986301</v>
      </c>
      <c r="J298" s="34" t="n">
        <f aca="false">J$227*V_CajaMin/DiasMes*J$9</f>
        <v>39863.0136986301</v>
      </c>
      <c r="K298" s="34" t="n">
        <f aca="false">K$227*V_CajaMin/DiasMes*K$9</f>
        <v>39863.0136986301</v>
      </c>
      <c r="L298" s="34" t="n">
        <f aca="false">L$227*V_CajaMin/DiasMes*L$9</f>
        <v>39863.0136986301</v>
      </c>
      <c r="M298" s="34" t="n">
        <f aca="false">M$227*V_CajaMin/DiasMes*M$9</f>
        <v>39863.0136986301</v>
      </c>
      <c r="N298" s="34" t="n">
        <f aca="false">N$227*V_CajaMin/DiasMes*N$9</f>
        <v>39863.0136986301</v>
      </c>
      <c r="O298" s="34" t="n">
        <f aca="false">O$227*V_CajaMin/DiasMes*O$9</f>
        <v>39863.0136986301</v>
      </c>
      <c r="P298" s="34" t="n">
        <f aca="false">P$227*V_CajaMin/DiasMes*P$9</f>
        <v>39863.0136986301</v>
      </c>
      <c r="Q298" s="34" t="n">
        <f aca="false">Q$227*V_CajaMin/DiasMes*Q$9</f>
        <v>39863.0136986301</v>
      </c>
      <c r="R298" s="34" t="n">
        <f aca="false">R$227*V_CajaMin/DiasMes*R$9</f>
        <v>50804.3835616438</v>
      </c>
      <c r="S298" s="34" t="n">
        <f aca="false">S$227*V_CajaMin/DiasMes*S$9</f>
        <v>50804.3835616438</v>
      </c>
      <c r="T298" s="34" t="n">
        <f aca="false">T$227*V_CajaMin/DiasMes*T$9</f>
        <v>50804.3835616438</v>
      </c>
      <c r="U298" s="34" t="n">
        <f aca="false">U$227*V_CajaMin/DiasMes*U$9</f>
        <v>50804.3835616438</v>
      </c>
      <c r="V298" s="34" t="n">
        <f aca="false">V$227*V_CajaMin/DiasMes*V$9</f>
        <v>50804.3835616438</v>
      </c>
      <c r="W298" s="34" t="n">
        <f aca="false">W$227*V_CajaMin/DiasMes*W$9</f>
        <v>50804.3835616438</v>
      </c>
      <c r="X298" s="34" t="n">
        <f aca="false">X$227*V_CajaMin/DiasMes*X$9</f>
        <v>50804.3835616438</v>
      </c>
      <c r="Y298" s="34" t="n">
        <f aca="false">Y$227*V_CajaMin/DiasMes*Y$9</f>
        <v>50804.3835616438</v>
      </c>
      <c r="Z298" s="34" t="n">
        <f aca="false">Z$227*V_CajaMin/DiasMes*Z$9</f>
        <v>50804.3835616438</v>
      </c>
      <c r="AA298" s="34" t="n">
        <f aca="false">AA$227*V_CajaMin/DiasMes*AA$9</f>
        <v>50804.3835616438</v>
      </c>
      <c r="AB298" s="34" t="n">
        <f aca="false">AB$227*V_CajaMin/DiasMes*AB$9</f>
        <v>50804.3835616438</v>
      </c>
      <c r="AC298" s="34" t="n">
        <f aca="false">AC$227*V_CajaMin/DiasMes*AC$9</f>
        <v>50804.3835616438</v>
      </c>
      <c r="AD298" s="34" t="n">
        <f aca="false">AD$227*V_CajaMin/DiasMes*AD$9</f>
        <v>61960.5945205479</v>
      </c>
      <c r="AE298" s="34" t="n">
        <f aca="false">AE$227*V_CajaMin/DiasMes*AE$9</f>
        <v>61960.5945205479</v>
      </c>
      <c r="AF298" s="34" t="n">
        <f aca="false">AF$227*V_CajaMin/DiasMes*AF$9</f>
        <v>61960.5945205479</v>
      </c>
      <c r="AG298" s="34" t="n">
        <f aca="false">AG$227*V_CajaMin/DiasMes*AG$9</f>
        <v>61960.5945205479</v>
      </c>
      <c r="AH298" s="34" t="n">
        <f aca="false">AH$227*V_CajaMin/DiasMes*AH$9</f>
        <v>61960.5945205479</v>
      </c>
      <c r="AI298" s="34" t="n">
        <f aca="false">AI$227*V_CajaMin/DiasMes*AI$9</f>
        <v>61960.5945205479</v>
      </c>
      <c r="AJ298" s="34" t="n">
        <f aca="false">AJ$227*V_CajaMin/DiasMes*AJ$9</f>
        <v>61960.5945205479</v>
      </c>
      <c r="AK298" s="34" t="n">
        <f aca="false">AK$227*V_CajaMin/DiasMes*AK$9</f>
        <v>61960.5945205479</v>
      </c>
      <c r="AL298" s="34" t="n">
        <f aca="false">AL$227*V_CajaMin/DiasMes*AL$9</f>
        <v>61960.5945205479</v>
      </c>
      <c r="AM298" s="34" t="n">
        <f aca="false">AM$227*V_CajaMin/DiasMes*AM$9</f>
        <v>61960.5945205479</v>
      </c>
      <c r="AN298" s="34" t="n">
        <f aca="false">AN$227*V_CajaMin/DiasMes*AN$9</f>
        <v>61960.5945205479</v>
      </c>
      <c r="AO298" s="34" t="n">
        <f aca="false">AO$227*V_CajaMin/DiasMes*AO$9</f>
        <v>61960.5945205479</v>
      </c>
      <c r="AP298" s="34" t="n">
        <f aca="false">AP$227*V_CajaMin/DiasMes*AP$9</f>
        <v>71387.1569589041</v>
      </c>
      <c r="AQ298" s="34" t="n">
        <f aca="false">AQ$227*V_CajaMin/DiasMes*AQ$9</f>
        <v>71387.1569589041</v>
      </c>
      <c r="AR298" s="34" t="n">
        <f aca="false">AR$227*V_CajaMin/DiasMes*AR$9</f>
        <v>71387.1569589041</v>
      </c>
      <c r="AS298" s="34" t="n">
        <f aca="false">AS$227*V_CajaMin/DiasMes*AS$9</f>
        <v>71387.1569589041</v>
      </c>
      <c r="AT298" s="34" t="n">
        <f aca="false">AT$227*V_CajaMin/DiasMes*AT$9</f>
        <v>71387.1569589041</v>
      </c>
      <c r="AU298" s="34" t="n">
        <f aca="false">AU$227*V_CajaMin/DiasMes*AU$9</f>
        <v>71387.1569589041</v>
      </c>
      <c r="AV298" s="34" t="n">
        <f aca="false">AV$227*V_CajaMin/DiasMes*AV$9</f>
        <v>71387.1569589041</v>
      </c>
      <c r="AW298" s="34" t="n">
        <f aca="false">AW$227*V_CajaMin/DiasMes*AW$9</f>
        <v>71387.1569589041</v>
      </c>
      <c r="AX298" s="34" t="n">
        <f aca="false">AX$227*V_CajaMin/DiasMes*AX$9</f>
        <v>71387.1569589041</v>
      </c>
      <c r="AY298" s="34" t="n">
        <f aca="false">AY$227*V_CajaMin/DiasMes*AY$9</f>
        <v>71387.1569589041</v>
      </c>
      <c r="AZ298" s="34" t="n">
        <f aca="false">AZ$227*V_CajaMin/DiasMes*AZ$9</f>
        <v>71387.1569589041</v>
      </c>
      <c r="BA298" s="34" t="n">
        <f aca="false">BA$227*V_CajaMin/DiasMes*BA$9</f>
        <v>71387.1569589041</v>
      </c>
      <c r="BB298" s="34" t="n">
        <f aca="false">BB$227*V_CajaMin/DiasMes*BB$9</f>
        <v>72101.0285284932</v>
      </c>
      <c r="BC298" s="34" t="n">
        <f aca="false">BC$227*V_CajaMin/DiasMes*BC$9</f>
        <v>72101.0285284932</v>
      </c>
      <c r="BD298" s="34" t="n">
        <f aca="false">BD$227*V_CajaMin/DiasMes*BD$9</f>
        <v>72101.0285284932</v>
      </c>
      <c r="BE298" s="34" t="n">
        <f aca="false">BE$227*V_CajaMin/DiasMes*BE$9</f>
        <v>72101.0285284932</v>
      </c>
      <c r="BF298" s="34" t="n">
        <f aca="false">BF$227*V_CajaMin/DiasMes*BF$9</f>
        <v>72101.0285284932</v>
      </c>
      <c r="BG298" s="34" t="n">
        <f aca="false">BG$227*V_CajaMin/DiasMes*BG$9</f>
        <v>72101.0285284932</v>
      </c>
      <c r="BH298" s="34" t="n">
        <f aca="false">BH$227*V_CajaMin/DiasMes*BH$9</f>
        <v>72101.0285284932</v>
      </c>
      <c r="BI298" s="34" t="n">
        <f aca="false">BI$227*V_CajaMin/DiasMes*BI$9</f>
        <v>72101.0285284932</v>
      </c>
      <c r="BJ298" s="34" t="n">
        <f aca="false">BJ$227*V_CajaMin/DiasMes*BJ$9</f>
        <v>72101.0285284932</v>
      </c>
      <c r="BK298" s="34" t="n">
        <f aca="false">BK$227*V_CajaMin/DiasMes*BK$9</f>
        <v>72101.0285284932</v>
      </c>
      <c r="BL298" s="34" t="n">
        <f aca="false">BL$227*V_CajaMin/DiasMes*BL$9</f>
        <v>72101.0285284932</v>
      </c>
      <c r="BM298" s="34" t="n">
        <f aca="false">BM$227*V_CajaMin/DiasMes*BM$9</f>
        <v>72101.0285284932</v>
      </c>
      <c r="BN298" s="34" t="n">
        <f aca="false">BN$227*V_CajaMin/DiasMes*BN$9</f>
        <v>72822.0388137781</v>
      </c>
      <c r="BO298" s="34" t="n">
        <f aca="false">BO$227*V_CajaMin/DiasMes*BO$9</f>
        <v>72822.0388137781</v>
      </c>
      <c r="BP298" s="34" t="n">
        <f aca="false">BP$227*V_CajaMin/DiasMes*BP$9</f>
        <v>72822.0388137781</v>
      </c>
      <c r="BQ298" s="34" t="n">
        <f aca="false">BQ$227*V_CajaMin/DiasMes*BQ$9</f>
        <v>72822.0388137781</v>
      </c>
      <c r="BR298" s="34" t="n">
        <f aca="false">BR$227*V_CajaMin/DiasMes*BR$9</f>
        <v>72822.0388137781</v>
      </c>
      <c r="BS298" s="34" t="n">
        <f aca="false">BS$227*V_CajaMin/DiasMes*BS$9</f>
        <v>72822.0388137781</v>
      </c>
      <c r="BT298" s="34" t="n">
        <f aca="false">BT$227*V_CajaMin/DiasMes*BT$9</f>
        <v>72822.0388137781</v>
      </c>
      <c r="BU298" s="34" t="n">
        <f aca="false">BU$227*V_CajaMin/DiasMes*BU$9</f>
        <v>72822.0388137781</v>
      </c>
      <c r="BV298" s="34" t="n">
        <f aca="false">BV$227*V_CajaMin/DiasMes*BV$9</f>
        <v>72822.0388137781</v>
      </c>
      <c r="BW298" s="34" t="n">
        <f aca="false">BW$227*V_CajaMin/DiasMes*BW$9</f>
        <v>72822.0388137781</v>
      </c>
      <c r="BX298" s="34" t="n">
        <f aca="false">BX$227*V_CajaMin/DiasMes*BX$9</f>
        <v>72822.0388137781</v>
      </c>
      <c r="BY298" s="34" t="n">
        <f aca="false">BY$227*V_CajaMin/DiasMes*BY$9</f>
        <v>72822.0388137781</v>
      </c>
      <c r="BZ298" s="34" t="n">
        <f aca="false">BZ$227*V_CajaMin/DiasMes*BZ$9</f>
        <v>73550.2592019159</v>
      </c>
      <c r="CA298" s="34" t="n">
        <f aca="false">CA$227*V_CajaMin/DiasMes*CA$9</f>
        <v>73550.2592019159</v>
      </c>
      <c r="CB298" s="34" t="n">
        <f aca="false">CB$227*V_CajaMin/DiasMes*CB$9</f>
        <v>73550.2592019159</v>
      </c>
      <c r="CC298" s="34" t="n">
        <f aca="false">CC$227*V_CajaMin/DiasMes*CC$9</f>
        <v>73550.2592019159</v>
      </c>
      <c r="CD298" s="34" t="n">
        <f aca="false">CD$227*V_CajaMin/DiasMes*CD$9</f>
        <v>73550.2592019159</v>
      </c>
      <c r="CE298" s="34" t="n">
        <f aca="false">CE$227*V_CajaMin/DiasMes*CE$9</f>
        <v>73550.2592019159</v>
      </c>
      <c r="CF298" s="34" t="n">
        <f aca="false">CF$227*V_CajaMin/DiasMes*CF$9</f>
        <v>73550.2592019159</v>
      </c>
      <c r="CG298" s="34" t="n">
        <f aca="false">CG$227*V_CajaMin/DiasMes*CG$9</f>
        <v>73550.2592019159</v>
      </c>
      <c r="CH298" s="34" t="n">
        <f aca="false">CH$227*V_CajaMin/DiasMes*CH$9</f>
        <v>73550.2592019159</v>
      </c>
      <c r="CI298" s="34" t="n">
        <f aca="false">CI$227*V_CajaMin/DiasMes*CI$9</f>
        <v>73550.2592019159</v>
      </c>
      <c r="CJ298" s="34" t="n">
        <f aca="false">CJ$227*V_CajaMin/DiasMes*CJ$9</f>
        <v>73550.2592019159</v>
      </c>
      <c r="CK298" s="34" t="n">
        <f aca="false">CK$227*V_CajaMin/DiasMes*CK$9</f>
        <v>73550.2592019159</v>
      </c>
      <c r="CL298" s="34" t="n">
        <f aca="false">CL$227*V_CajaMin/DiasMes*CL$9</f>
        <v>74285.761793935</v>
      </c>
      <c r="CM298" s="34" t="n">
        <f aca="false">CM$227*V_CajaMin/DiasMes*CM$9</f>
        <v>74285.761793935</v>
      </c>
      <c r="CN298" s="34" t="n">
        <f aca="false">CN$227*V_CajaMin/DiasMes*CN$9</f>
        <v>74285.761793935</v>
      </c>
      <c r="CO298" s="34" t="n">
        <f aca="false">CO$227*V_CajaMin/DiasMes*CO$9</f>
        <v>74285.761793935</v>
      </c>
      <c r="CP298" s="34" t="n">
        <f aca="false">CP$227*V_CajaMin/DiasMes*CP$9</f>
        <v>74285.761793935</v>
      </c>
      <c r="CQ298" s="34" t="n">
        <f aca="false">CQ$227*V_CajaMin/DiasMes*CQ$9</f>
        <v>74285.761793935</v>
      </c>
      <c r="CR298" s="34" t="n">
        <f aca="false">CR$227*V_CajaMin/DiasMes*CR$9</f>
        <v>74285.761793935</v>
      </c>
      <c r="CS298" s="34" t="n">
        <f aca="false">CS$227*V_CajaMin/DiasMes*CS$9</f>
        <v>74285.761793935</v>
      </c>
      <c r="CT298" s="34" t="n">
        <f aca="false">CT$227*V_CajaMin/DiasMes*CT$9</f>
        <v>74285.761793935</v>
      </c>
      <c r="CU298" s="34" t="n">
        <f aca="false">CU$227*V_CajaMin/DiasMes*CU$9</f>
        <v>74285.761793935</v>
      </c>
      <c r="CV298" s="34" t="n">
        <f aca="false">CV$227*V_CajaMin/DiasMes*CV$9</f>
        <v>74285.761793935</v>
      </c>
      <c r="CW298" s="34" t="n">
        <f aca="false">CW$227*V_CajaMin/DiasMes*CW$9</f>
        <v>74285.761793935</v>
      </c>
      <c r="CX298" s="34" t="n">
        <f aca="false">CX$227*V_CajaMin/DiasMes*CX$9</f>
        <v>75028.6194118744</v>
      </c>
      <c r="CY298" s="34" t="n">
        <f aca="false">CY$227*V_CajaMin/DiasMes*CY$9</f>
        <v>75028.6194118744</v>
      </c>
      <c r="CZ298" s="34" t="n">
        <f aca="false">CZ$227*V_CajaMin/DiasMes*CZ$9</f>
        <v>75028.6194118744</v>
      </c>
      <c r="DA298" s="34" t="n">
        <f aca="false">DA$227*V_CajaMin/DiasMes*DA$9</f>
        <v>75028.6194118744</v>
      </c>
      <c r="DB298" s="34" t="n">
        <f aca="false">DB$227*V_CajaMin/DiasMes*DB$9</f>
        <v>75028.6194118744</v>
      </c>
      <c r="DC298" s="34" t="n">
        <f aca="false">DC$227*V_CajaMin/DiasMes*DC$9</f>
        <v>75028.6194118744</v>
      </c>
      <c r="DD298" s="34" t="n">
        <f aca="false">DD$227*V_CajaMin/DiasMes*DD$9</f>
        <v>75028.6194118744</v>
      </c>
      <c r="DE298" s="34" t="n">
        <f aca="false">DE$227*V_CajaMin/DiasMes*DE$9</f>
        <v>75028.6194118744</v>
      </c>
      <c r="DF298" s="34" t="n">
        <f aca="false">DF$227*V_CajaMin/DiasMes*DF$9</f>
        <v>75028.6194118744</v>
      </c>
      <c r="DG298" s="34" t="n">
        <f aca="false">DG$227*V_CajaMin/DiasMes*DG$9</f>
        <v>75028.6194118744</v>
      </c>
      <c r="DH298" s="34" t="n">
        <f aca="false">DH$227*V_CajaMin/DiasMes*DH$9</f>
        <v>75028.6194118744</v>
      </c>
      <c r="DI298" s="34" t="n">
        <f aca="false">DI$227*V_CajaMin/DiasMes*DI$9</f>
        <v>75028.6194118744</v>
      </c>
      <c r="DJ298" s="34" t="n">
        <f aca="false">DJ$227*V_CajaMin/DiasMes*DJ$9</f>
        <v>75778.9056059931</v>
      </c>
      <c r="DK298" s="34" t="n">
        <f aca="false">DK$227*V_CajaMin/DiasMes*DK$9</f>
        <v>75778.9056059931</v>
      </c>
      <c r="DL298" s="34" t="n">
        <f aca="false">DL$227*V_CajaMin/DiasMes*DL$9</f>
        <v>75778.9056059931</v>
      </c>
      <c r="DM298" s="34" t="n">
        <f aca="false">DM$227*V_CajaMin/DiasMes*DM$9</f>
        <v>75778.9056059931</v>
      </c>
      <c r="DN298" s="34" t="n">
        <f aca="false">DN$227*V_CajaMin/DiasMes*DN$9</f>
        <v>75778.9056059931</v>
      </c>
      <c r="DO298" s="34" t="n">
        <f aca="false">DO$227*V_CajaMin/DiasMes*DO$9</f>
        <v>75778.9056059931</v>
      </c>
      <c r="DP298" s="34" t="n">
        <f aca="false">DP$227*V_CajaMin/DiasMes*DP$9</f>
        <v>75778.9056059931</v>
      </c>
      <c r="DQ298" s="34" t="n">
        <f aca="false">DQ$227*V_CajaMin/DiasMes*DQ$9</f>
        <v>75778.9056059931</v>
      </c>
      <c r="DR298" s="34" t="n">
        <f aca="false">DR$227*V_CajaMin/DiasMes*DR$9</f>
        <v>75778.9056059931</v>
      </c>
      <c r="DS298" s="34" t="n">
        <f aca="false">DS$227*V_CajaMin/DiasMes*DS$9</f>
        <v>75778.9056059931</v>
      </c>
      <c r="DT298" s="34" t="n">
        <f aca="false">DT$227*V_CajaMin/DiasMes*DT$9</f>
        <v>75778.9056059931</v>
      </c>
      <c r="DU298" s="34" t="n">
        <f aca="false">DU$227*V_CajaMin/DiasMes*DU$9</f>
        <v>75778.9056059931</v>
      </c>
      <c r="DV298" s="34" t="n">
        <f aca="false">DV$227*V_CajaMin/DiasMes*DV$9</f>
        <v>0</v>
      </c>
      <c r="DW298" s="34" t="n">
        <f aca="false">DW$227*V_CajaMin/DiasMes*DW$9</f>
        <v>0</v>
      </c>
      <c r="DX298" s="34" t="n">
        <f aca="false">DX$227*V_CajaMin/DiasMes*DX$9</f>
        <v>0</v>
      </c>
      <c r="DY298" s="34" t="n">
        <f aca="false">DY$227*V_CajaMin/DiasMes*DY$9</f>
        <v>0</v>
      </c>
      <c r="DZ298" s="34" t="n">
        <f aca="false">DZ$227*V_CajaMin/DiasMes*DZ$9</f>
        <v>0</v>
      </c>
      <c r="EA298" s="34" t="n">
        <f aca="false">EA$227*V_CajaMin/DiasMes*EA$9</f>
        <v>0</v>
      </c>
      <c r="EB298" s="34" t="n">
        <f aca="false">EB$227*V_CajaMin/DiasMes*EB$9</f>
        <v>0</v>
      </c>
      <c r="EC298" s="34" t="n">
        <f aca="false">EC$227*V_CajaMin/DiasMes*EC$9</f>
        <v>0</v>
      </c>
      <c r="ED298" s="34" t="n">
        <f aca="false">ED$227*V_CajaMin/DiasMes*ED$9</f>
        <v>0</v>
      </c>
      <c r="EE298" s="34" t="n">
        <f aca="false">EE$227*V_CajaMin/DiasMes*EE$9</f>
        <v>0</v>
      </c>
      <c r="EF298" s="34" t="n">
        <f aca="false">EF$227*V_CajaMin/DiasMes*EF$9</f>
        <v>0</v>
      </c>
      <c r="EG298" s="34" t="n">
        <f aca="false">EG$227*V_CajaMin/DiasMes*EG$9</f>
        <v>0</v>
      </c>
      <c r="EH298" s="34" t="n">
        <f aca="false">EH$227*V_CajaMin/DiasMes*EH$9</f>
        <v>0</v>
      </c>
      <c r="EI298" s="34" t="n">
        <f aca="false">EI$227*V_CajaMin/DiasMes*EI$9</f>
        <v>0</v>
      </c>
      <c r="EJ298" s="34" t="n">
        <f aca="false">EJ$227*V_CajaMin/DiasMes*EJ$9</f>
        <v>0</v>
      </c>
      <c r="EK298" s="34" t="n">
        <f aca="false">EK$227*V_CajaMin/DiasMes*EK$9</f>
        <v>0</v>
      </c>
      <c r="EL298" s="34" t="n">
        <f aca="false">EL$227*V_CajaMin/DiasMes*EL$9</f>
        <v>0</v>
      </c>
      <c r="EM298" s="34" t="n">
        <f aca="false">EM$227*V_CajaMin/DiasMes*EM$9</f>
        <v>0</v>
      </c>
      <c r="EN298" s="34" t="n">
        <f aca="false">EN$227*V_CajaMin/DiasMes*EN$9</f>
        <v>0</v>
      </c>
      <c r="EO298" s="34" t="n">
        <f aca="false">EO$227*V_CajaMin/DiasMes*EO$9</f>
        <v>0</v>
      </c>
      <c r="EP298" s="34" t="n">
        <f aca="false">EP$227*V_CajaMin/DiasMes*EP$9</f>
        <v>0</v>
      </c>
      <c r="EQ298" s="34" t="n">
        <f aca="false">EQ$227*V_CajaMin/DiasMes*EQ$9</f>
        <v>0</v>
      </c>
      <c r="ER298" s="34" t="n">
        <f aca="false">ER$227*V_CajaMin/DiasMes*ER$9</f>
        <v>0</v>
      </c>
      <c r="ES298" s="34" t="n">
        <f aca="false">ES$227*V_CajaMin/DiasMes*ES$9</f>
        <v>0</v>
      </c>
    </row>
    <row r="299" customFormat="false" ht="15" hidden="false" customHeight="false" outlineLevel="0" collapsed="false">
      <c r="A299" s="2" t="s">
        <v>935</v>
      </c>
      <c r="B299" s="6" t="s">
        <v>768</v>
      </c>
      <c r="C299" s="6" t="s">
        <v>250</v>
      </c>
      <c r="E299" s="40" t="n">
        <f aca="false">SUM(F299:ES299)</f>
        <v>0</v>
      </c>
      <c r="F299" s="34" t="n">
        <f aca="false">IF(F$8=1,0,IF(F$295=1,MIN(MAX(0,N(V_LC_Lim)-0),MAX(0,F$298-F$297)),0)*F$9)</f>
        <v>0</v>
      </c>
      <c r="G299" s="34" t="n">
        <f aca="false">IF(G$8=1,0,IF(G$295=1,MIN(MAX(0,N(V_LC_Lim)-F$301),MAX(0,G$298-G$297)),0)*G$9)</f>
        <v>0</v>
      </c>
      <c r="H299" s="34" t="n">
        <f aca="false">IF(H$8=1,0,IF(H$295=1,MIN(MAX(0,N(V_LC_Lim)-G$301),MAX(0,H$298-H$297)),0)*H$9)</f>
        <v>0</v>
      </c>
      <c r="I299" s="34" t="n">
        <f aca="false">IF(I$8=1,0,IF(I$295=1,MIN(MAX(0,N(V_LC_Lim)-H$301),MAX(0,I$298-I$297)),0)*I$9)</f>
        <v>0</v>
      </c>
      <c r="J299" s="34" t="n">
        <f aca="false">IF(J$8=1,0,IF(J$295=1,MIN(MAX(0,N(V_LC_Lim)-I$301),MAX(0,J$298-J$297)),0)*J$9)</f>
        <v>0</v>
      </c>
      <c r="K299" s="34" t="n">
        <f aca="false">IF(K$8=1,0,IF(K$295=1,MIN(MAX(0,N(V_LC_Lim)-J$301),MAX(0,K$298-K$297)),0)*K$9)</f>
        <v>0</v>
      </c>
      <c r="L299" s="34" t="n">
        <f aca="false">IF(L$8=1,0,IF(L$295=1,MIN(MAX(0,N(V_LC_Lim)-K$301),MAX(0,L$298-L$297)),0)*L$9)</f>
        <v>0</v>
      </c>
      <c r="M299" s="34" t="n">
        <f aca="false">IF(M$8=1,0,IF(M$295=1,MIN(MAX(0,N(V_LC_Lim)-L$301),MAX(0,M$298-M$297)),0)*M$9)</f>
        <v>0</v>
      </c>
      <c r="N299" s="34" t="n">
        <f aca="false">IF(N$8=1,0,IF(N$295=1,MIN(MAX(0,N(V_LC_Lim)-M$301),MAX(0,N$298-N$297)),0)*N$9)</f>
        <v>0</v>
      </c>
      <c r="O299" s="34" t="n">
        <f aca="false">IF(O$8=1,0,IF(O$295=1,MIN(MAX(0,N(V_LC_Lim)-N$301),MAX(0,O$298-O$297)),0)*O$9)</f>
        <v>0</v>
      </c>
      <c r="P299" s="34" t="n">
        <f aca="false">IF(P$8=1,0,IF(P$295=1,MIN(MAX(0,N(V_LC_Lim)-O$301),MAX(0,P$298-P$297)),0)*P$9)</f>
        <v>0</v>
      </c>
      <c r="Q299" s="34" t="n">
        <f aca="false">IF(Q$8=1,0,IF(Q$295=1,MIN(MAX(0,N(V_LC_Lim)-P$301),MAX(0,Q$298-Q$297)),0)*Q$9)</f>
        <v>0</v>
      </c>
      <c r="R299" s="34" t="n">
        <f aca="false">IF(R$8=1,0,IF(R$295=1,MIN(MAX(0,N(V_LC_Lim)-Q$301),MAX(0,R$298-R$297)),0)*R$9)</f>
        <v>0</v>
      </c>
      <c r="S299" s="34" t="n">
        <f aca="false">IF(S$8=1,0,IF(S$295=1,MIN(MAX(0,N(V_LC_Lim)-R$301),MAX(0,S$298-S$297)),0)*S$9)</f>
        <v>0</v>
      </c>
      <c r="T299" s="34" t="n">
        <f aca="false">IF(T$8=1,0,IF(T$295=1,MIN(MAX(0,N(V_LC_Lim)-S$301),MAX(0,T$298-T$297)),0)*T$9)</f>
        <v>0</v>
      </c>
      <c r="U299" s="34" t="n">
        <f aca="false">IF(U$8=1,0,IF(U$295=1,MIN(MAX(0,N(V_LC_Lim)-T$301),MAX(0,U$298-U$297)),0)*U$9)</f>
        <v>0</v>
      </c>
      <c r="V299" s="34" t="n">
        <f aca="false">IF(V$8=1,0,IF(V$295=1,MIN(MAX(0,N(V_LC_Lim)-U$301),MAX(0,V$298-V$297)),0)*V$9)</f>
        <v>0</v>
      </c>
      <c r="W299" s="34" t="n">
        <f aca="false">IF(W$8=1,0,IF(W$295=1,MIN(MAX(0,N(V_LC_Lim)-V$301),MAX(0,W$298-W$297)),0)*W$9)</f>
        <v>0</v>
      </c>
      <c r="X299" s="34" t="n">
        <f aca="false">IF(X$8=1,0,IF(X$295=1,MIN(MAX(0,N(V_LC_Lim)-W$301),MAX(0,X$298-X$297)),0)*X$9)</f>
        <v>0</v>
      </c>
      <c r="Y299" s="34" t="n">
        <f aca="false">IF(Y$8=1,0,IF(Y$295=1,MIN(MAX(0,N(V_LC_Lim)-X$301),MAX(0,Y$298-Y$297)),0)*Y$9)</f>
        <v>0</v>
      </c>
      <c r="Z299" s="34" t="n">
        <f aca="false">IF(Z$8=1,0,IF(Z$295=1,MIN(MAX(0,N(V_LC_Lim)-Y$301),MAX(0,Z$298-Z$297)),0)*Z$9)</f>
        <v>0</v>
      </c>
      <c r="AA299" s="34" t="n">
        <f aca="false">IF(AA$8=1,0,IF(AA$295=1,MIN(MAX(0,N(V_LC_Lim)-Z$301),MAX(0,AA$298-AA$297)),0)*AA$9)</f>
        <v>0</v>
      </c>
      <c r="AB299" s="34" t="n">
        <f aca="false">IF(AB$8=1,0,IF(AB$295=1,MIN(MAX(0,N(V_LC_Lim)-AA$301),MAX(0,AB$298-AB$297)),0)*AB$9)</f>
        <v>0</v>
      </c>
      <c r="AC299" s="34" t="n">
        <f aca="false">IF(AC$8=1,0,IF(AC$295=1,MIN(MAX(0,N(V_LC_Lim)-AB$301),MAX(0,AC$298-AC$297)),0)*AC$9)</f>
        <v>0</v>
      </c>
      <c r="AD299" s="34" t="n">
        <f aca="false">IF(AD$8=1,0,IF(AD$295=1,MIN(MAX(0,N(V_LC_Lim)-AC$301),MAX(0,AD$298-AD$297)),0)*AD$9)</f>
        <v>0</v>
      </c>
      <c r="AE299" s="34" t="n">
        <f aca="false">IF(AE$8=1,0,IF(AE$295=1,MIN(MAX(0,N(V_LC_Lim)-AD$301),MAX(0,AE$298-AE$297)),0)*AE$9)</f>
        <v>0</v>
      </c>
      <c r="AF299" s="34" t="n">
        <f aca="false">IF(AF$8=1,0,IF(AF$295=1,MIN(MAX(0,N(V_LC_Lim)-AE$301),MAX(0,AF$298-AF$297)),0)*AF$9)</f>
        <v>0</v>
      </c>
      <c r="AG299" s="34" t="n">
        <f aca="false">IF(AG$8=1,0,IF(AG$295=1,MIN(MAX(0,N(V_LC_Lim)-AF$301),MAX(0,AG$298-AG$297)),0)*AG$9)</f>
        <v>0</v>
      </c>
      <c r="AH299" s="34" t="n">
        <f aca="false">IF(AH$8=1,0,IF(AH$295=1,MIN(MAX(0,N(V_LC_Lim)-AG$301),MAX(0,AH$298-AH$297)),0)*AH$9)</f>
        <v>0</v>
      </c>
      <c r="AI299" s="34" t="n">
        <f aca="false">IF(AI$8=1,0,IF(AI$295=1,MIN(MAX(0,N(V_LC_Lim)-AH$301),MAX(0,AI$298-AI$297)),0)*AI$9)</f>
        <v>0</v>
      </c>
      <c r="AJ299" s="34" t="n">
        <f aca="false">IF(AJ$8=1,0,IF(AJ$295=1,MIN(MAX(0,N(V_LC_Lim)-AI$301),MAX(0,AJ$298-AJ$297)),0)*AJ$9)</f>
        <v>0</v>
      </c>
      <c r="AK299" s="34" t="n">
        <f aca="false">IF(AK$8=1,0,IF(AK$295=1,MIN(MAX(0,N(V_LC_Lim)-AJ$301),MAX(0,AK$298-AK$297)),0)*AK$9)</f>
        <v>0</v>
      </c>
      <c r="AL299" s="34" t="n">
        <f aca="false">IF(AL$8=1,0,IF(AL$295=1,MIN(MAX(0,N(V_LC_Lim)-AK$301),MAX(0,AL$298-AL$297)),0)*AL$9)</f>
        <v>0</v>
      </c>
      <c r="AM299" s="34" t="n">
        <f aca="false">IF(AM$8=1,0,IF(AM$295=1,MIN(MAX(0,N(V_LC_Lim)-AL$301),MAX(0,AM$298-AM$297)),0)*AM$9)</f>
        <v>0</v>
      </c>
      <c r="AN299" s="34" t="n">
        <f aca="false">IF(AN$8=1,0,IF(AN$295=1,MIN(MAX(0,N(V_LC_Lim)-AM$301),MAX(0,AN$298-AN$297)),0)*AN$9)</f>
        <v>0</v>
      </c>
      <c r="AO299" s="34" t="n">
        <f aca="false">IF(AO$8=1,0,IF(AO$295=1,MIN(MAX(0,N(V_LC_Lim)-AN$301),MAX(0,AO$298-AO$297)),0)*AO$9)</f>
        <v>0</v>
      </c>
      <c r="AP299" s="34" t="n">
        <f aca="false">IF(AP$8=1,0,IF(AP$295=1,MIN(MAX(0,N(V_LC_Lim)-AO$301),MAX(0,AP$298-AP$297)),0)*AP$9)</f>
        <v>0</v>
      </c>
      <c r="AQ299" s="34" t="n">
        <f aca="false">IF(AQ$8=1,0,IF(AQ$295=1,MIN(MAX(0,N(V_LC_Lim)-AP$301),MAX(0,AQ$298-AQ$297)),0)*AQ$9)</f>
        <v>0</v>
      </c>
      <c r="AR299" s="34" t="n">
        <f aca="false">IF(AR$8=1,0,IF(AR$295=1,MIN(MAX(0,N(V_LC_Lim)-AQ$301),MAX(0,AR$298-AR$297)),0)*AR$9)</f>
        <v>0</v>
      </c>
      <c r="AS299" s="34" t="n">
        <f aca="false">IF(AS$8=1,0,IF(AS$295=1,MIN(MAX(0,N(V_LC_Lim)-AR$301),MAX(0,AS$298-AS$297)),0)*AS$9)</f>
        <v>0</v>
      </c>
      <c r="AT299" s="34" t="n">
        <f aca="false">IF(AT$8=1,0,IF(AT$295=1,MIN(MAX(0,N(V_LC_Lim)-AS$301),MAX(0,AT$298-AT$297)),0)*AT$9)</f>
        <v>0</v>
      </c>
      <c r="AU299" s="34" t="n">
        <f aca="false">IF(AU$8=1,0,IF(AU$295=1,MIN(MAX(0,N(V_LC_Lim)-AT$301),MAX(0,AU$298-AU$297)),0)*AU$9)</f>
        <v>0</v>
      </c>
      <c r="AV299" s="34" t="n">
        <f aca="false">IF(AV$8=1,0,IF(AV$295=1,MIN(MAX(0,N(V_LC_Lim)-AU$301),MAX(0,AV$298-AV$297)),0)*AV$9)</f>
        <v>0</v>
      </c>
      <c r="AW299" s="34" t="n">
        <f aca="false">IF(AW$8=1,0,IF(AW$295=1,MIN(MAX(0,N(V_LC_Lim)-AV$301),MAX(0,AW$298-AW$297)),0)*AW$9)</f>
        <v>0</v>
      </c>
      <c r="AX299" s="34" t="n">
        <f aca="false">IF(AX$8=1,0,IF(AX$295=1,MIN(MAX(0,N(V_LC_Lim)-AW$301),MAX(0,AX$298-AX$297)),0)*AX$9)</f>
        <v>0</v>
      </c>
      <c r="AY299" s="34" t="n">
        <f aca="false">IF(AY$8=1,0,IF(AY$295=1,MIN(MAX(0,N(V_LC_Lim)-AX$301),MAX(0,AY$298-AY$297)),0)*AY$9)</f>
        <v>0</v>
      </c>
      <c r="AZ299" s="34" t="n">
        <f aca="false">IF(AZ$8=1,0,IF(AZ$295=1,MIN(MAX(0,N(V_LC_Lim)-AY$301),MAX(0,AZ$298-AZ$297)),0)*AZ$9)</f>
        <v>0</v>
      </c>
      <c r="BA299" s="34" t="n">
        <f aca="false">IF(BA$8=1,0,IF(BA$295=1,MIN(MAX(0,N(V_LC_Lim)-AZ$301),MAX(0,BA$298-BA$297)),0)*BA$9)</f>
        <v>0</v>
      </c>
      <c r="BB299" s="34" t="n">
        <f aca="false">IF(BB$8=1,0,IF(BB$295=1,MIN(MAX(0,N(V_LC_Lim)-BA$301),MAX(0,BB$298-BB$297)),0)*BB$9)</f>
        <v>0</v>
      </c>
      <c r="BC299" s="34" t="n">
        <f aca="false">IF(BC$8=1,0,IF(BC$295=1,MIN(MAX(0,N(V_LC_Lim)-BB$301),MAX(0,BC$298-BC$297)),0)*BC$9)</f>
        <v>0</v>
      </c>
      <c r="BD299" s="34" t="n">
        <f aca="false">IF(BD$8=1,0,IF(BD$295=1,MIN(MAX(0,N(V_LC_Lim)-BC$301),MAX(0,BD$298-BD$297)),0)*BD$9)</f>
        <v>0</v>
      </c>
      <c r="BE299" s="34" t="n">
        <f aca="false">IF(BE$8=1,0,IF(BE$295=1,MIN(MAX(0,N(V_LC_Lim)-BD$301),MAX(0,BE$298-BE$297)),0)*BE$9)</f>
        <v>0</v>
      </c>
      <c r="BF299" s="34" t="n">
        <f aca="false">IF(BF$8=1,0,IF(BF$295=1,MIN(MAX(0,N(V_LC_Lim)-BE$301),MAX(0,BF$298-BF$297)),0)*BF$9)</f>
        <v>0</v>
      </c>
      <c r="BG299" s="34" t="n">
        <f aca="false">IF(BG$8=1,0,IF(BG$295=1,MIN(MAX(0,N(V_LC_Lim)-BF$301),MAX(0,BG$298-BG$297)),0)*BG$9)</f>
        <v>0</v>
      </c>
      <c r="BH299" s="34" t="n">
        <f aca="false">IF(BH$8=1,0,IF(BH$295=1,MIN(MAX(0,N(V_LC_Lim)-BG$301),MAX(0,BH$298-BH$297)),0)*BH$9)</f>
        <v>0</v>
      </c>
      <c r="BI299" s="34" t="n">
        <f aca="false">IF(BI$8=1,0,IF(BI$295=1,MIN(MAX(0,N(V_LC_Lim)-BH$301),MAX(0,BI$298-BI$297)),0)*BI$9)</f>
        <v>0</v>
      </c>
      <c r="BJ299" s="34" t="n">
        <f aca="false">IF(BJ$8=1,0,IF(BJ$295=1,MIN(MAX(0,N(V_LC_Lim)-BI$301),MAX(0,BJ$298-BJ$297)),0)*BJ$9)</f>
        <v>0</v>
      </c>
      <c r="BK299" s="34" t="n">
        <f aca="false">IF(BK$8=1,0,IF(BK$295=1,MIN(MAX(0,N(V_LC_Lim)-BJ$301),MAX(0,BK$298-BK$297)),0)*BK$9)</f>
        <v>0</v>
      </c>
      <c r="BL299" s="34" t="n">
        <f aca="false">IF(BL$8=1,0,IF(BL$295=1,MIN(MAX(0,N(V_LC_Lim)-BK$301),MAX(0,BL$298-BL$297)),0)*BL$9)</f>
        <v>0</v>
      </c>
      <c r="BM299" s="34" t="n">
        <f aca="false">IF(BM$8=1,0,IF(BM$295=1,MIN(MAX(0,N(V_LC_Lim)-BL$301),MAX(0,BM$298-BM$297)),0)*BM$9)</f>
        <v>0</v>
      </c>
      <c r="BN299" s="34" t="n">
        <f aca="false">IF(BN$8=1,0,IF(BN$295=1,MIN(MAX(0,N(V_LC_Lim)-BM$301),MAX(0,BN$298-BN$297)),0)*BN$9)</f>
        <v>0</v>
      </c>
      <c r="BO299" s="34" t="n">
        <f aca="false">IF(BO$8=1,0,IF(BO$295=1,MIN(MAX(0,N(V_LC_Lim)-BN$301),MAX(0,BO$298-BO$297)),0)*BO$9)</f>
        <v>0</v>
      </c>
      <c r="BP299" s="34" t="n">
        <f aca="false">IF(BP$8=1,0,IF(BP$295=1,MIN(MAX(0,N(V_LC_Lim)-BO$301),MAX(0,BP$298-BP$297)),0)*BP$9)</f>
        <v>0</v>
      </c>
      <c r="BQ299" s="34" t="n">
        <f aca="false">IF(BQ$8=1,0,IF(BQ$295=1,MIN(MAX(0,N(V_LC_Lim)-BP$301),MAX(0,BQ$298-BQ$297)),0)*BQ$9)</f>
        <v>0</v>
      </c>
      <c r="BR299" s="34" t="n">
        <f aca="false">IF(BR$8=1,0,IF(BR$295=1,MIN(MAX(0,N(V_LC_Lim)-BQ$301),MAX(0,BR$298-BR$297)),0)*BR$9)</f>
        <v>0</v>
      </c>
      <c r="BS299" s="34" t="n">
        <f aca="false">IF(BS$8=1,0,IF(BS$295=1,MIN(MAX(0,N(V_LC_Lim)-BR$301),MAX(0,BS$298-BS$297)),0)*BS$9)</f>
        <v>0</v>
      </c>
      <c r="BT299" s="34" t="n">
        <f aca="false">IF(BT$8=1,0,IF(BT$295=1,MIN(MAX(0,N(V_LC_Lim)-BS$301),MAX(0,BT$298-BT$297)),0)*BT$9)</f>
        <v>0</v>
      </c>
      <c r="BU299" s="34" t="n">
        <f aca="false">IF(BU$8=1,0,IF(BU$295=1,MIN(MAX(0,N(V_LC_Lim)-BT$301),MAX(0,BU$298-BU$297)),0)*BU$9)</f>
        <v>0</v>
      </c>
      <c r="BV299" s="34" t="n">
        <f aca="false">IF(BV$8=1,0,IF(BV$295=1,MIN(MAX(0,N(V_LC_Lim)-BU$301),MAX(0,BV$298-BV$297)),0)*BV$9)</f>
        <v>0</v>
      </c>
      <c r="BW299" s="34" t="n">
        <f aca="false">IF(BW$8=1,0,IF(BW$295=1,MIN(MAX(0,N(V_LC_Lim)-BV$301),MAX(0,BW$298-BW$297)),0)*BW$9)</f>
        <v>0</v>
      </c>
      <c r="BX299" s="34" t="n">
        <f aca="false">IF(BX$8=1,0,IF(BX$295=1,MIN(MAX(0,N(V_LC_Lim)-BW$301),MAX(0,BX$298-BX$297)),0)*BX$9)</f>
        <v>0</v>
      </c>
      <c r="BY299" s="34" t="n">
        <f aca="false">IF(BY$8=1,0,IF(BY$295=1,MIN(MAX(0,N(V_LC_Lim)-BX$301),MAX(0,BY$298-BY$297)),0)*BY$9)</f>
        <v>0</v>
      </c>
      <c r="BZ299" s="34" t="n">
        <f aca="false">IF(BZ$8=1,0,IF(BZ$295=1,MIN(MAX(0,N(V_LC_Lim)-BY$301),MAX(0,BZ$298-BZ$297)),0)*BZ$9)</f>
        <v>0</v>
      </c>
      <c r="CA299" s="34" t="n">
        <f aca="false">IF(CA$8=1,0,IF(CA$295=1,MIN(MAX(0,N(V_LC_Lim)-BZ$301),MAX(0,CA$298-CA$297)),0)*CA$9)</f>
        <v>0</v>
      </c>
      <c r="CB299" s="34" t="n">
        <f aca="false">IF(CB$8=1,0,IF(CB$295=1,MIN(MAX(0,N(V_LC_Lim)-CA$301),MAX(0,CB$298-CB$297)),0)*CB$9)</f>
        <v>0</v>
      </c>
      <c r="CC299" s="34" t="n">
        <f aca="false">IF(CC$8=1,0,IF(CC$295=1,MIN(MAX(0,N(V_LC_Lim)-CB$301),MAX(0,CC$298-CC$297)),0)*CC$9)</f>
        <v>0</v>
      </c>
      <c r="CD299" s="34" t="n">
        <f aca="false">IF(CD$8=1,0,IF(CD$295=1,MIN(MAX(0,N(V_LC_Lim)-CC$301),MAX(0,CD$298-CD$297)),0)*CD$9)</f>
        <v>0</v>
      </c>
      <c r="CE299" s="34" t="n">
        <f aca="false">IF(CE$8=1,0,IF(CE$295=1,MIN(MAX(0,N(V_LC_Lim)-CD$301),MAX(0,CE$298-CE$297)),0)*CE$9)</f>
        <v>0</v>
      </c>
      <c r="CF299" s="34" t="n">
        <f aca="false">IF(CF$8=1,0,IF(CF$295=1,MIN(MAX(0,N(V_LC_Lim)-CE$301),MAX(0,CF$298-CF$297)),0)*CF$9)</f>
        <v>0</v>
      </c>
      <c r="CG299" s="34" t="n">
        <f aca="false">IF(CG$8=1,0,IF(CG$295=1,MIN(MAX(0,N(V_LC_Lim)-CF$301),MAX(0,CG$298-CG$297)),0)*CG$9)</f>
        <v>0</v>
      </c>
      <c r="CH299" s="34" t="n">
        <f aca="false">IF(CH$8=1,0,IF(CH$295=1,MIN(MAX(0,N(V_LC_Lim)-CG$301),MAX(0,CH$298-CH$297)),0)*CH$9)</f>
        <v>0</v>
      </c>
      <c r="CI299" s="34" t="n">
        <f aca="false">IF(CI$8=1,0,IF(CI$295=1,MIN(MAX(0,N(V_LC_Lim)-CH$301),MAX(0,CI$298-CI$297)),0)*CI$9)</f>
        <v>0</v>
      </c>
      <c r="CJ299" s="34" t="n">
        <f aca="false">IF(CJ$8=1,0,IF(CJ$295=1,MIN(MAX(0,N(V_LC_Lim)-CI$301),MAX(0,CJ$298-CJ$297)),0)*CJ$9)</f>
        <v>0</v>
      </c>
      <c r="CK299" s="34" t="n">
        <f aca="false">IF(CK$8=1,0,IF(CK$295=1,MIN(MAX(0,N(V_LC_Lim)-CJ$301),MAX(0,CK$298-CK$297)),0)*CK$9)</f>
        <v>0</v>
      </c>
      <c r="CL299" s="34" t="n">
        <f aca="false">IF(CL$8=1,0,IF(CL$295=1,MIN(MAX(0,N(V_LC_Lim)-CK$301),MAX(0,CL$298-CL$297)),0)*CL$9)</f>
        <v>0</v>
      </c>
      <c r="CM299" s="34" t="n">
        <f aca="false">IF(CM$8=1,0,IF(CM$295=1,MIN(MAX(0,N(V_LC_Lim)-CL$301),MAX(0,CM$298-CM$297)),0)*CM$9)</f>
        <v>0</v>
      </c>
      <c r="CN299" s="34" t="n">
        <f aca="false">IF(CN$8=1,0,IF(CN$295=1,MIN(MAX(0,N(V_LC_Lim)-CM$301),MAX(0,CN$298-CN$297)),0)*CN$9)</f>
        <v>0</v>
      </c>
      <c r="CO299" s="34" t="n">
        <f aca="false">IF(CO$8=1,0,IF(CO$295=1,MIN(MAX(0,N(V_LC_Lim)-CN$301),MAX(0,CO$298-CO$297)),0)*CO$9)</f>
        <v>0</v>
      </c>
      <c r="CP299" s="34" t="n">
        <f aca="false">IF(CP$8=1,0,IF(CP$295=1,MIN(MAX(0,N(V_LC_Lim)-CO$301),MAX(0,CP$298-CP$297)),0)*CP$9)</f>
        <v>0</v>
      </c>
      <c r="CQ299" s="34" t="n">
        <f aca="false">IF(CQ$8=1,0,IF(CQ$295=1,MIN(MAX(0,N(V_LC_Lim)-CP$301),MAX(0,CQ$298-CQ$297)),0)*CQ$9)</f>
        <v>0</v>
      </c>
      <c r="CR299" s="34" t="n">
        <f aca="false">IF(CR$8=1,0,IF(CR$295=1,MIN(MAX(0,N(V_LC_Lim)-CQ$301),MAX(0,CR$298-CR$297)),0)*CR$9)</f>
        <v>0</v>
      </c>
      <c r="CS299" s="34" t="n">
        <f aca="false">IF(CS$8=1,0,IF(CS$295=1,MIN(MAX(0,N(V_LC_Lim)-CR$301),MAX(0,CS$298-CS$297)),0)*CS$9)</f>
        <v>0</v>
      </c>
      <c r="CT299" s="34" t="n">
        <f aca="false">IF(CT$8=1,0,IF(CT$295=1,MIN(MAX(0,N(V_LC_Lim)-CS$301),MAX(0,CT$298-CT$297)),0)*CT$9)</f>
        <v>0</v>
      </c>
      <c r="CU299" s="34" t="n">
        <f aca="false">IF(CU$8=1,0,IF(CU$295=1,MIN(MAX(0,N(V_LC_Lim)-CT$301),MAX(0,CU$298-CU$297)),0)*CU$9)</f>
        <v>0</v>
      </c>
      <c r="CV299" s="34" t="n">
        <f aca="false">IF(CV$8=1,0,IF(CV$295=1,MIN(MAX(0,N(V_LC_Lim)-CU$301),MAX(0,CV$298-CV$297)),0)*CV$9)</f>
        <v>0</v>
      </c>
      <c r="CW299" s="34" t="n">
        <f aca="false">IF(CW$8=1,0,IF(CW$295=1,MIN(MAX(0,N(V_LC_Lim)-CV$301),MAX(0,CW$298-CW$297)),0)*CW$9)</f>
        <v>0</v>
      </c>
      <c r="CX299" s="34" t="n">
        <f aca="false">IF(CX$8=1,0,IF(CX$295=1,MIN(MAX(0,N(V_LC_Lim)-CW$301),MAX(0,CX$298-CX$297)),0)*CX$9)</f>
        <v>0</v>
      </c>
      <c r="CY299" s="34" t="n">
        <f aca="false">IF(CY$8=1,0,IF(CY$295=1,MIN(MAX(0,N(V_LC_Lim)-CX$301),MAX(0,CY$298-CY$297)),0)*CY$9)</f>
        <v>0</v>
      </c>
      <c r="CZ299" s="34" t="n">
        <f aca="false">IF(CZ$8=1,0,IF(CZ$295=1,MIN(MAX(0,N(V_LC_Lim)-CY$301),MAX(0,CZ$298-CZ$297)),0)*CZ$9)</f>
        <v>0</v>
      </c>
      <c r="DA299" s="34" t="n">
        <f aca="false">IF(DA$8=1,0,IF(DA$295=1,MIN(MAX(0,N(V_LC_Lim)-CZ$301),MAX(0,DA$298-DA$297)),0)*DA$9)</f>
        <v>0</v>
      </c>
      <c r="DB299" s="34" t="n">
        <f aca="false">IF(DB$8=1,0,IF(DB$295=1,MIN(MAX(0,N(V_LC_Lim)-DA$301),MAX(0,DB$298-DB$297)),0)*DB$9)</f>
        <v>0</v>
      </c>
      <c r="DC299" s="34" t="n">
        <f aca="false">IF(DC$8=1,0,IF(DC$295=1,MIN(MAX(0,N(V_LC_Lim)-DB$301),MAX(0,DC$298-DC$297)),0)*DC$9)</f>
        <v>0</v>
      </c>
      <c r="DD299" s="34" t="n">
        <f aca="false">IF(DD$8=1,0,IF(DD$295=1,MIN(MAX(0,N(V_LC_Lim)-DC$301),MAX(0,DD$298-DD$297)),0)*DD$9)</f>
        <v>0</v>
      </c>
      <c r="DE299" s="34" t="n">
        <f aca="false">IF(DE$8=1,0,IF(DE$295=1,MIN(MAX(0,N(V_LC_Lim)-DD$301),MAX(0,DE$298-DE$297)),0)*DE$9)</f>
        <v>0</v>
      </c>
      <c r="DF299" s="34" t="n">
        <f aca="false">IF(DF$8=1,0,IF(DF$295=1,MIN(MAX(0,N(V_LC_Lim)-DE$301),MAX(0,DF$298-DF$297)),0)*DF$9)</f>
        <v>0</v>
      </c>
      <c r="DG299" s="34" t="n">
        <f aca="false">IF(DG$8=1,0,IF(DG$295=1,MIN(MAX(0,N(V_LC_Lim)-DF$301),MAX(0,DG$298-DG$297)),0)*DG$9)</f>
        <v>0</v>
      </c>
      <c r="DH299" s="34" t="n">
        <f aca="false">IF(DH$8=1,0,IF(DH$295=1,MIN(MAX(0,N(V_LC_Lim)-DG$301),MAX(0,DH$298-DH$297)),0)*DH$9)</f>
        <v>0</v>
      </c>
      <c r="DI299" s="34" t="n">
        <f aca="false">IF(DI$8=1,0,IF(DI$295=1,MIN(MAX(0,N(V_LC_Lim)-DH$301),MAX(0,DI$298-DI$297)),0)*DI$9)</f>
        <v>0</v>
      </c>
      <c r="DJ299" s="34" t="n">
        <f aca="false">IF(DJ$8=1,0,IF(DJ$295=1,MIN(MAX(0,N(V_LC_Lim)-DI$301),MAX(0,DJ$298-DJ$297)),0)*DJ$9)</f>
        <v>0</v>
      </c>
      <c r="DK299" s="34" t="n">
        <f aca="false">IF(DK$8=1,0,IF(DK$295=1,MIN(MAX(0,N(V_LC_Lim)-DJ$301),MAX(0,DK$298-DK$297)),0)*DK$9)</f>
        <v>0</v>
      </c>
      <c r="DL299" s="34" t="n">
        <f aca="false">IF(DL$8=1,0,IF(DL$295=1,MIN(MAX(0,N(V_LC_Lim)-DK$301),MAX(0,DL$298-DL$297)),0)*DL$9)</f>
        <v>0</v>
      </c>
      <c r="DM299" s="34" t="n">
        <f aca="false">IF(DM$8=1,0,IF(DM$295=1,MIN(MAX(0,N(V_LC_Lim)-DL$301),MAX(0,DM$298-DM$297)),0)*DM$9)</f>
        <v>0</v>
      </c>
      <c r="DN299" s="34" t="n">
        <f aca="false">IF(DN$8=1,0,IF(DN$295=1,MIN(MAX(0,N(V_LC_Lim)-DM$301),MAX(0,DN$298-DN$297)),0)*DN$9)</f>
        <v>0</v>
      </c>
      <c r="DO299" s="34" t="n">
        <f aca="false">IF(DO$8=1,0,IF(DO$295=1,MIN(MAX(0,N(V_LC_Lim)-DN$301),MAX(0,DO$298-DO$297)),0)*DO$9)</f>
        <v>0</v>
      </c>
      <c r="DP299" s="34" t="n">
        <f aca="false">IF(DP$8=1,0,IF(DP$295=1,MIN(MAX(0,N(V_LC_Lim)-DO$301),MAX(0,DP$298-DP$297)),0)*DP$9)</f>
        <v>0</v>
      </c>
      <c r="DQ299" s="34" t="n">
        <f aca="false">IF(DQ$8=1,0,IF(DQ$295=1,MIN(MAX(0,N(V_LC_Lim)-DP$301),MAX(0,DQ$298-DQ$297)),0)*DQ$9)</f>
        <v>0</v>
      </c>
      <c r="DR299" s="34" t="n">
        <f aca="false">IF(DR$8=1,0,IF(DR$295=1,MIN(MAX(0,N(V_LC_Lim)-DQ$301),MAX(0,DR$298-DR$297)),0)*DR$9)</f>
        <v>0</v>
      </c>
      <c r="DS299" s="34" t="n">
        <f aca="false">IF(DS$8=1,0,IF(DS$295=1,MIN(MAX(0,N(V_LC_Lim)-DR$301),MAX(0,DS$298-DS$297)),0)*DS$9)</f>
        <v>0</v>
      </c>
      <c r="DT299" s="34" t="n">
        <f aca="false">IF(DT$8=1,0,IF(DT$295=1,MIN(MAX(0,N(V_LC_Lim)-DS$301),MAX(0,DT$298-DT$297)),0)*DT$9)</f>
        <v>0</v>
      </c>
      <c r="DU299" s="34" t="n">
        <f aca="false">IF(DU$8=1,0,IF(DU$295=1,MIN(MAX(0,N(V_LC_Lim)-DT$301),MAX(0,DU$298-DU$297)),0)*DU$9)</f>
        <v>0</v>
      </c>
      <c r="DV299" s="34" t="n">
        <f aca="false">IF(DV$8=1,0,IF(DV$295=1,MIN(MAX(0,N(V_LC_Lim)-DU$301),MAX(0,DV$298-DV$297)),0)*DV$9)</f>
        <v>0</v>
      </c>
      <c r="DW299" s="34" t="n">
        <f aca="false">IF(DW$8=1,0,IF(DW$295=1,MIN(MAX(0,N(V_LC_Lim)-DV$301),MAX(0,DW$298-DW$297)),0)*DW$9)</f>
        <v>0</v>
      </c>
      <c r="DX299" s="34" t="n">
        <f aca="false">IF(DX$8=1,0,IF(DX$295=1,MIN(MAX(0,N(V_LC_Lim)-DW$301),MAX(0,DX$298-DX$297)),0)*DX$9)</f>
        <v>0</v>
      </c>
      <c r="DY299" s="34" t="n">
        <f aca="false">IF(DY$8=1,0,IF(DY$295=1,MIN(MAX(0,N(V_LC_Lim)-DX$301),MAX(0,DY$298-DY$297)),0)*DY$9)</f>
        <v>0</v>
      </c>
      <c r="DZ299" s="34" t="n">
        <f aca="false">IF(DZ$8=1,0,IF(DZ$295=1,MIN(MAX(0,N(V_LC_Lim)-DY$301),MAX(0,DZ$298-DZ$297)),0)*DZ$9)</f>
        <v>0</v>
      </c>
      <c r="EA299" s="34" t="n">
        <f aca="false">IF(EA$8=1,0,IF(EA$295=1,MIN(MAX(0,N(V_LC_Lim)-DZ$301),MAX(0,EA$298-EA$297)),0)*EA$9)</f>
        <v>0</v>
      </c>
      <c r="EB299" s="34" t="n">
        <f aca="false">IF(EB$8=1,0,IF(EB$295=1,MIN(MAX(0,N(V_LC_Lim)-EA$301),MAX(0,EB$298-EB$297)),0)*EB$9)</f>
        <v>0</v>
      </c>
      <c r="EC299" s="34" t="n">
        <f aca="false">IF(EC$8=1,0,IF(EC$295=1,MIN(MAX(0,N(V_LC_Lim)-EB$301),MAX(0,EC$298-EC$297)),0)*EC$9)</f>
        <v>0</v>
      </c>
      <c r="ED299" s="34" t="n">
        <f aca="false">IF(ED$8=1,0,IF(ED$295=1,MIN(MAX(0,N(V_LC_Lim)-EC$301),MAX(0,ED$298-ED$297)),0)*ED$9)</f>
        <v>0</v>
      </c>
      <c r="EE299" s="34" t="n">
        <f aca="false">IF(EE$8=1,0,IF(EE$295=1,MIN(MAX(0,N(V_LC_Lim)-ED$301),MAX(0,EE$298-EE$297)),0)*EE$9)</f>
        <v>0</v>
      </c>
      <c r="EF299" s="34" t="n">
        <f aca="false">IF(EF$8=1,0,IF(EF$295=1,MIN(MAX(0,N(V_LC_Lim)-EE$301),MAX(0,EF$298-EF$297)),0)*EF$9)</f>
        <v>0</v>
      </c>
      <c r="EG299" s="34" t="n">
        <f aca="false">IF(EG$8=1,0,IF(EG$295=1,MIN(MAX(0,N(V_LC_Lim)-EF$301),MAX(0,EG$298-EG$297)),0)*EG$9)</f>
        <v>0</v>
      </c>
      <c r="EH299" s="34" t="n">
        <f aca="false">IF(EH$8=1,0,IF(EH$295=1,MIN(MAX(0,N(V_LC_Lim)-EG$301),MAX(0,EH$298-EH$297)),0)*EH$9)</f>
        <v>0</v>
      </c>
      <c r="EI299" s="34" t="n">
        <f aca="false">IF(EI$8=1,0,IF(EI$295=1,MIN(MAX(0,N(V_LC_Lim)-EH$301),MAX(0,EI$298-EI$297)),0)*EI$9)</f>
        <v>0</v>
      </c>
      <c r="EJ299" s="34" t="n">
        <f aca="false">IF(EJ$8=1,0,IF(EJ$295=1,MIN(MAX(0,N(V_LC_Lim)-EI$301),MAX(0,EJ$298-EJ$297)),0)*EJ$9)</f>
        <v>0</v>
      </c>
      <c r="EK299" s="34" t="n">
        <f aca="false">IF(EK$8=1,0,IF(EK$295=1,MIN(MAX(0,N(V_LC_Lim)-EJ$301),MAX(0,EK$298-EK$297)),0)*EK$9)</f>
        <v>0</v>
      </c>
      <c r="EL299" s="34" t="n">
        <f aca="false">IF(EL$8=1,0,IF(EL$295=1,MIN(MAX(0,N(V_LC_Lim)-EK$301),MAX(0,EL$298-EL$297)),0)*EL$9)</f>
        <v>0</v>
      </c>
      <c r="EM299" s="34" t="n">
        <f aca="false">IF(EM$8=1,0,IF(EM$295=1,MIN(MAX(0,N(V_LC_Lim)-EL$301),MAX(0,EM$298-EM$297)),0)*EM$9)</f>
        <v>0</v>
      </c>
      <c r="EN299" s="34" t="n">
        <f aca="false">IF(EN$8=1,0,IF(EN$295=1,MIN(MAX(0,N(V_LC_Lim)-EM$301),MAX(0,EN$298-EN$297)),0)*EN$9)</f>
        <v>0</v>
      </c>
      <c r="EO299" s="34" t="n">
        <f aca="false">IF(EO$8=1,0,IF(EO$295=1,MIN(MAX(0,N(V_LC_Lim)-EN$301),MAX(0,EO$298-EO$297)),0)*EO$9)</f>
        <v>0</v>
      </c>
      <c r="EP299" s="34" t="n">
        <f aca="false">IF(EP$8=1,0,IF(EP$295=1,MIN(MAX(0,N(V_LC_Lim)-EO$301),MAX(0,EP$298-EP$297)),0)*EP$9)</f>
        <v>0</v>
      </c>
      <c r="EQ299" s="34" t="n">
        <f aca="false">IF(EQ$8=1,0,IF(EQ$295=1,MIN(MAX(0,N(V_LC_Lim)-EP$301),MAX(0,EQ$298-EQ$297)),0)*EQ$9)</f>
        <v>0</v>
      </c>
      <c r="ER299" s="34" t="n">
        <f aca="false">IF(ER$8=1,0,IF(ER$295=1,MIN(MAX(0,N(V_LC_Lim)-EQ$301),MAX(0,ER$298-ER$297)),0)*ER$9)</f>
        <v>0</v>
      </c>
      <c r="ES299" s="34" t="n">
        <f aca="false">IF(ES$8=1,0,IF(ES$295=1,MIN(MAX(0,N(V_LC_Lim)-ER$301),MAX(0,ES$298-ES$297)),0)*ES$9)</f>
        <v>0</v>
      </c>
    </row>
    <row r="300" customFormat="false" ht="15" hidden="false" customHeight="false" outlineLevel="0" collapsed="false">
      <c r="A300" s="2" t="s">
        <v>936</v>
      </c>
      <c r="B300" s="6" t="s">
        <v>770</v>
      </c>
      <c r="C300" s="6" t="s">
        <v>250</v>
      </c>
      <c r="E300" s="40" t="n">
        <f aca="false">SUM(F300:ES300)</f>
        <v>0</v>
      </c>
      <c r="F300" s="34" t="n">
        <f aca="false">IF(F$8=1,0,IF(F$295=1,MIN(0,MAX(0,F$297-F$298)),0)*F$9)</f>
        <v>0</v>
      </c>
      <c r="G300" s="34" t="n">
        <f aca="false">IF(G$8=1,0,IF(G$295=1,MIN(F$301,MAX(0,G$297-G$298)),F$301)*G$9)</f>
        <v>0</v>
      </c>
      <c r="H300" s="34" t="n">
        <f aca="false">IF(H$8=1,0,IF(H$295=1,MIN(G$301,MAX(0,H$297-H$298)),G$301)*H$9)</f>
        <v>0</v>
      </c>
      <c r="I300" s="34" t="n">
        <f aca="false">IF(I$8=1,0,IF(I$295=1,MIN(H$301,MAX(0,I$297-I$298)),H$301)*I$9)</f>
        <v>0</v>
      </c>
      <c r="J300" s="34" t="n">
        <f aca="false">IF(J$8=1,0,IF(J$295=1,MIN(I$301,MAX(0,J$297-J$298)),I$301)*J$9)</f>
        <v>0</v>
      </c>
      <c r="K300" s="34" t="n">
        <f aca="false">IF(K$8=1,0,IF(K$295=1,MIN(J$301,MAX(0,K$297-K$298)),J$301)*K$9)</f>
        <v>0</v>
      </c>
      <c r="L300" s="34" t="n">
        <f aca="false">IF(L$8=1,0,IF(L$295=1,MIN(K$301,MAX(0,L$297-L$298)),K$301)*L$9)</f>
        <v>0</v>
      </c>
      <c r="M300" s="34" t="n">
        <f aca="false">IF(M$8=1,0,IF(M$295=1,MIN(L$301,MAX(0,M$297-M$298)),L$301)*M$9)</f>
        <v>0</v>
      </c>
      <c r="N300" s="34" t="n">
        <f aca="false">IF(N$8=1,0,IF(N$295=1,MIN(M$301,MAX(0,N$297-N$298)),M$301)*N$9)</f>
        <v>0</v>
      </c>
      <c r="O300" s="34" t="n">
        <f aca="false">IF(O$8=1,0,IF(O$295=1,MIN(N$301,MAX(0,O$297-O$298)),N$301)*O$9)</f>
        <v>0</v>
      </c>
      <c r="P300" s="34" t="n">
        <f aca="false">IF(P$8=1,0,IF(P$295=1,MIN(O$301,MAX(0,P$297-P$298)),O$301)*P$9)</f>
        <v>0</v>
      </c>
      <c r="Q300" s="34" t="n">
        <f aca="false">IF(Q$8=1,0,IF(Q$295=1,MIN(P$301,MAX(0,Q$297-Q$298)),P$301)*Q$9)</f>
        <v>0</v>
      </c>
      <c r="R300" s="34" t="n">
        <f aca="false">IF(R$8=1,0,IF(R$295=1,MIN(Q$301,MAX(0,R$297-R$298)),Q$301)*R$9)</f>
        <v>0</v>
      </c>
      <c r="S300" s="34" t="n">
        <f aca="false">IF(S$8=1,0,IF(S$295=1,MIN(R$301,MAX(0,S$297-S$298)),R$301)*S$9)</f>
        <v>0</v>
      </c>
      <c r="T300" s="34" t="n">
        <f aca="false">IF(T$8=1,0,IF(T$295=1,MIN(S$301,MAX(0,T$297-T$298)),S$301)*T$9)</f>
        <v>0</v>
      </c>
      <c r="U300" s="34" t="n">
        <f aca="false">IF(U$8=1,0,IF(U$295=1,MIN(T$301,MAX(0,U$297-U$298)),T$301)*U$9)</f>
        <v>0</v>
      </c>
      <c r="V300" s="34" t="n">
        <f aca="false">IF(V$8=1,0,IF(V$295=1,MIN(U$301,MAX(0,V$297-V$298)),U$301)*V$9)</f>
        <v>0</v>
      </c>
      <c r="W300" s="34" t="n">
        <f aca="false">IF(W$8=1,0,IF(W$295=1,MIN(V$301,MAX(0,W$297-W$298)),V$301)*W$9)</f>
        <v>0</v>
      </c>
      <c r="X300" s="34" t="n">
        <f aca="false">IF(X$8=1,0,IF(X$295=1,MIN(W$301,MAX(0,X$297-X$298)),W$301)*X$9)</f>
        <v>0</v>
      </c>
      <c r="Y300" s="34" t="n">
        <f aca="false">IF(Y$8=1,0,IF(Y$295=1,MIN(X$301,MAX(0,Y$297-Y$298)),X$301)*Y$9)</f>
        <v>0</v>
      </c>
      <c r="Z300" s="34" t="n">
        <f aca="false">IF(Z$8=1,0,IF(Z$295=1,MIN(Y$301,MAX(0,Z$297-Z$298)),Y$301)*Z$9)</f>
        <v>0</v>
      </c>
      <c r="AA300" s="34" t="n">
        <f aca="false">IF(AA$8=1,0,IF(AA$295=1,MIN(Z$301,MAX(0,AA$297-AA$298)),Z$301)*AA$9)</f>
        <v>0</v>
      </c>
      <c r="AB300" s="34" t="n">
        <f aca="false">IF(AB$8=1,0,IF(AB$295=1,MIN(AA$301,MAX(0,AB$297-AB$298)),AA$301)*AB$9)</f>
        <v>0</v>
      </c>
      <c r="AC300" s="34" t="n">
        <f aca="false">IF(AC$8=1,0,IF(AC$295=1,MIN(AB$301,MAX(0,AC$297-AC$298)),AB$301)*AC$9)</f>
        <v>0</v>
      </c>
      <c r="AD300" s="34" t="n">
        <f aca="false">IF(AD$8=1,0,IF(AD$295=1,MIN(AC$301,MAX(0,AD$297-AD$298)),AC$301)*AD$9)</f>
        <v>0</v>
      </c>
      <c r="AE300" s="34" t="n">
        <f aca="false">IF(AE$8=1,0,IF(AE$295=1,MIN(AD$301,MAX(0,AE$297-AE$298)),AD$301)*AE$9)</f>
        <v>0</v>
      </c>
      <c r="AF300" s="34" t="n">
        <f aca="false">IF(AF$8=1,0,IF(AF$295=1,MIN(AE$301,MAX(0,AF$297-AF$298)),AE$301)*AF$9)</f>
        <v>0</v>
      </c>
      <c r="AG300" s="34" t="n">
        <f aca="false">IF(AG$8=1,0,IF(AG$295=1,MIN(AF$301,MAX(0,AG$297-AG$298)),AF$301)*AG$9)</f>
        <v>0</v>
      </c>
      <c r="AH300" s="34" t="n">
        <f aca="false">IF(AH$8=1,0,IF(AH$295=1,MIN(AG$301,MAX(0,AH$297-AH$298)),AG$301)*AH$9)</f>
        <v>0</v>
      </c>
      <c r="AI300" s="34" t="n">
        <f aca="false">IF(AI$8=1,0,IF(AI$295=1,MIN(AH$301,MAX(0,AI$297-AI$298)),AH$301)*AI$9)</f>
        <v>0</v>
      </c>
      <c r="AJ300" s="34" t="n">
        <f aca="false">IF(AJ$8=1,0,IF(AJ$295=1,MIN(AI$301,MAX(0,AJ$297-AJ$298)),AI$301)*AJ$9)</f>
        <v>0</v>
      </c>
      <c r="AK300" s="34" t="n">
        <f aca="false">IF(AK$8=1,0,IF(AK$295=1,MIN(AJ$301,MAX(0,AK$297-AK$298)),AJ$301)*AK$9)</f>
        <v>0</v>
      </c>
      <c r="AL300" s="34" t="n">
        <f aca="false">IF(AL$8=1,0,IF(AL$295=1,MIN(AK$301,MAX(0,AL$297-AL$298)),AK$301)*AL$9)</f>
        <v>0</v>
      </c>
      <c r="AM300" s="34" t="n">
        <f aca="false">IF(AM$8=1,0,IF(AM$295=1,MIN(AL$301,MAX(0,AM$297-AM$298)),AL$301)*AM$9)</f>
        <v>0</v>
      </c>
      <c r="AN300" s="34" t="n">
        <f aca="false">IF(AN$8=1,0,IF(AN$295=1,MIN(AM$301,MAX(0,AN$297-AN$298)),AM$301)*AN$9)</f>
        <v>0</v>
      </c>
      <c r="AO300" s="34" t="n">
        <f aca="false">IF(AO$8=1,0,IF(AO$295=1,MIN(AN$301,MAX(0,AO$297-AO$298)),AN$301)*AO$9)</f>
        <v>0</v>
      </c>
      <c r="AP300" s="34" t="n">
        <f aca="false">IF(AP$8=1,0,IF(AP$295=1,MIN(AO$301,MAX(0,AP$297-AP$298)),AO$301)*AP$9)</f>
        <v>0</v>
      </c>
      <c r="AQ300" s="34" t="n">
        <f aca="false">IF(AQ$8=1,0,IF(AQ$295=1,MIN(AP$301,MAX(0,AQ$297-AQ$298)),AP$301)*AQ$9)</f>
        <v>0</v>
      </c>
      <c r="AR300" s="34" t="n">
        <f aca="false">IF(AR$8=1,0,IF(AR$295=1,MIN(AQ$301,MAX(0,AR$297-AR$298)),AQ$301)*AR$9)</f>
        <v>0</v>
      </c>
      <c r="AS300" s="34" t="n">
        <f aca="false">IF(AS$8=1,0,IF(AS$295=1,MIN(AR$301,MAX(0,AS$297-AS$298)),AR$301)*AS$9)</f>
        <v>0</v>
      </c>
      <c r="AT300" s="34" t="n">
        <f aca="false">IF(AT$8=1,0,IF(AT$295=1,MIN(AS$301,MAX(0,AT$297-AT$298)),AS$301)*AT$9)</f>
        <v>0</v>
      </c>
      <c r="AU300" s="34" t="n">
        <f aca="false">IF(AU$8=1,0,IF(AU$295=1,MIN(AT$301,MAX(0,AU$297-AU$298)),AT$301)*AU$9)</f>
        <v>0</v>
      </c>
      <c r="AV300" s="34" t="n">
        <f aca="false">IF(AV$8=1,0,IF(AV$295=1,MIN(AU$301,MAX(0,AV$297-AV$298)),AU$301)*AV$9)</f>
        <v>0</v>
      </c>
      <c r="AW300" s="34" t="n">
        <f aca="false">IF(AW$8=1,0,IF(AW$295=1,MIN(AV$301,MAX(0,AW$297-AW$298)),AV$301)*AW$9)</f>
        <v>0</v>
      </c>
      <c r="AX300" s="34" t="n">
        <f aca="false">IF(AX$8=1,0,IF(AX$295=1,MIN(AW$301,MAX(0,AX$297-AX$298)),AW$301)*AX$9)</f>
        <v>0</v>
      </c>
      <c r="AY300" s="34" t="n">
        <f aca="false">IF(AY$8=1,0,IF(AY$295=1,MIN(AX$301,MAX(0,AY$297-AY$298)),AX$301)*AY$9)</f>
        <v>0</v>
      </c>
      <c r="AZ300" s="34" t="n">
        <f aca="false">IF(AZ$8=1,0,IF(AZ$295=1,MIN(AY$301,MAX(0,AZ$297-AZ$298)),AY$301)*AZ$9)</f>
        <v>0</v>
      </c>
      <c r="BA300" s="34" t="n">
        <f aca="false">IF(BA$8=1,0,IF(BA$295=1,MIN(AZ$301,MAX(0,BA$297-BA$298)),AZ$301)*BA$9)</f>
        <v>0</v>
      </c>
      <c r="BB300" s="34" t="n">
        <f aca="false">IF(BB$8=1,0,IF(BB$295=1,MIN(BA$301,MAX(0,BB$297-BB$298)),BA$301)*BB$9)</f>
        <v>0</v>
      </c>
      <c r="BC300" s="34" t="n">
        <f aca="false">IF(BC$8=1,0,IF(BC$295=1,MIN(BB$301,MAX(0,BC$297-BC$298)),BB$301)*BC$9)</f>
        <v>0</v>
      </c>
      <c r="BD300" s="34" t="n">
        <f aca="false">IF(BD$8=1,0,IF(BD$295=1,MIN(BC$301,MAX(0,BD$297-BD$298)),BC$301)*BD$9)</f>
        <v>0</v>
      </c>
      <c r="BE300" s="34" t="n">
        <f aca="false">IF(BE$8=1,0,IF(BE$295=1,MIN(BD$301,MAX(0,BE$297-BE$298)),BD$301)*BE$9)</f>
        <v>0</v>
      </c>
      <c r="BF300" s="34" t="n">
        <f aca="false">IF(BF$8=1,0,IF(BF$295=1,MIN(BE$301,MAX(0,BF$297-BF$298)),BE$301)*BF$9)</f>
        <v>0</v>
      </c>
      <c r="BG300" s="34" t="n">
        <f aca="false">IF(BG$8=1,0,IF(BG$295=1,MIN(BF$301,MAX(0,BG$297-BG$298)),BF$301)*BG$9)</f>
        <v>0</v>
      </c>
      <c r="BH300" s="34" t="n">
        <f aca="false">IF(BH$8=1,0,IF(BH$295=1,MIN(BG$301,MAX(0,BH$297-BH$298)),BG$301)*BH$9)</f>
        <v>0</v>
      </c>
      <c r="BI300" s="34" t="n">
        <f aca="false">IF(BI$8=1,0,IF(BI$295=1,MIN(BH$301,MAX(0,BI$297-BI$298)),BH$301)*BI$9)</f>
        <v>0</v>
      </c>
      <c r="BJ300" s="34" t="n">
        <f aca="false">IF(BJ$8=1,0,IF(BJ$295=1,MIN(BI$301,MAX(0,BJ$297-BJ$298)),BI$301)*BJ$9)</f>
        <v>0</v>
      </c>
      <c r="BK300" s="34" t="n">
        <f aca="false">IF(BK$8=1,0,IF(BK$295=1,MIN(BJ$301,MAX(0,BK$297-BK$298)),BJ$301)*BK$9)</f>
        <v>0</v>
      </c>
      <c r="BL300" s="34" t="n">
        <f aca="false">IF(BL$8=1,0,IF(BL$295=1,MIN(BK$301,MAX(0,BL$297-BL$298)),BK$301)*BL$9)</f>
        <v>0</v>
      </c>
      <c r="BM300" s="34" t="n">
        <f aca="false">IF(BM$8=1,0,IF(BM$295=1,MIN(BL$301,MAX(0,BM$297-BM$298)),BL$301)*BM$9)</f>
        <v>0</v>
      </c>
      <c r="BN300" s="34" t="n">
        <f aca="false">IF(BN$8=1,0,IF(BN$295=1,MIN(BM$301,MAX(0,BN$297-BN$298)),BM$301)*BN$9)</f>
        <v>0</v>
      </c>
      <c r="BO300" s="34" t="n">
        <f aca="false">IF(BO$8=1,0,IF(BO$295=1,MIN(BN$301,MAX(0,BO$297-BO$298)),BN$301)*BO$9)</f>
        <v>0</v>
      </c>
      <c r="BP300" s="34" t="n">
        <f aca="false">IF(BP$8=1,0,IF(BP$295=1,MIN(BO$301,MAX(0,BP$297-BP$298)),BO$301)*BP$9)</f>
        <v>0</v>
      </c>
      <c r="BQ300" s="34" t="n">
        <f aca="false">IF(BQ$8=1,0,IF(BQ$295=1,MIN(BP$301,MAX(0,BQ$297-BQ$298)),BP$301)*BQ$9)</f>
        <v>0</v>
      </c>
      <c r="BR300" s="34" t="n">
        <f aca="false">IF(BR$8=1,0,IF(BR$295=1,MIN(BQ$301,MAX(0,BR$297-BR$298)),BQ$301)*BR$9)</f>
        <v>0</v>
      </c>
      <c r="BS300" s="34" t="n">
        <f aca="false">IF(BS$8=1,0,IF(BS$295=1,MIN(BR$301,MAX(0,BS$297-BS$298)),BR$301)*BS$9)</f>
        <v>0</v>
      </c>
      <c r="BT300" s="34" t="n">
        <f aca="false">IF(BT$8=1,0,IF(BT$295=1,MIN(BS$301,MAX(0,BT$297-BT$298)),BS$301)*BT$9)</f>
        <v>0</v>
      </c>
      <c r="BU300" s="34" t="n">
        <f aca="false">IF(BU$8=1,0,IF(BU$295=1,MIN(BT$301,MAX(0,BU$297-BU$298)),BT$301)*BU$9)</f>
        <v>0</v>
      </c>
      <c r="BV300" s="34" t="n">
        <f aca="false">IF(BV$8=1,0,IF(BV$295=1,MIN(BU$301,MAX(0,BV$297-BV$298)),BU$301)*BV$9)</f>
        <v>0</v>
      </c>
      <c r="BW300" s="34" t="n">
        <f aca="false">IF(BW$8=1,0,IF(BW$295=1,MIN(BV$301,MAX(0,BW$297-BW$298)),BV$301)*BW$9)</f>
        <v>0</v>
      </c>
      <c r="BX300" s="34" t="n">
        <f aca="false">IF(BX$8=1,0,IF(BX$295=1,MIN(BW$301,MAX(0,BX$297-BX$298)),BW$301)*BX$9)</f>
        <v>0</v>
      </c>
      <c r="BY300" s="34" t="n">
        <f aca="false">IF(BY$8=1,0,IF(BY$295=1,MIN(BX$301,MAX(0,BY$297-BY$298)),BX$301)*BY$9)</f>
        <v>0</v>
      </c>
      <c r="BZ300" s="34" t="n">
        <f aca="false">IF(BZ$8=1,0,IF(BZ$295=1,MIN(BY$301,MAX(0,BZ$297-BZ$298)),BY$301)*BZ$9)</f>
        <v>0</v>
      </c>
      <c r="CA300" s="34" t="n">
        <f aca="false">IF(CA$8=1,0,IF(CA$295=1,MIN(BZ$301,MAX(0,CA$297-CA$298)),BZ$301)*CA$9)</f>
        <v>0</v>
      </c>
      <c r="CB300" s="34" t="n">
        <f aca="false">IF(CB$8=1,0,IF(CB$295=1,MIN(CA$301,MAX(0,CB$297-CB$298)),CA$301)*CB$9)</f>
        <v>0</v>
      </c>
      <c r="CC300" s="34" t="n">
        <f aca="false">IF(CC$8=1,0,IF(CC$295=1,MIN(CB$301,MAX(0,CC$297-CC$298)),CB$301)*CC$9)</f>
        <v>0</v>
      </c>
      <c r="CD300" s="34" t="n">
        <f aca="false">IF(CD$8=1,0,IF(CD$295=1,MIN(CC$301,MAX(0,CD$297-CD$298)),CC$301)*CD$9)</f>
        <v>0</v>
      </c>
      <c r="CE300" s="34" t="n">
        <f aca="false">IF(CE$8=1,0,IF(CE$295=1,MIN(CD$301,MAX(0,CE$297-CE$298)),CD$301)*CE$9)</f>
        <v>0</v>
      </c>
      <c r="CF300" s="34" t="n">
        <f aca="false">IF(CF$8=1,0,IF(CF$295=1,MIN(CE$301,MAX(0,CF$297-CF$298)),CE$301)*CF$9)</f>
        <v>0</v>
      </c>
      <c r="CG300" s="34" t="n">
        <f aca="false">IF(CG$8=1,0,IF(CG$295=1,MIN(CF$301,MAX(0,CG$297-CG$298)),CF$301)*CG$9)</f>
        <v>0</v>
      </c>
      <c r="CH300" s="34" t="n">
        <f aca="false">IF(CH$8=1,0,IF(CH$295=1,MIN(CG$301,MAX(0,CH$297-CH$298)),CG$301)*CH$9)</f>
        <v>0</v>
      </c>
      <c r="CI300" s="34" t="n">
        <f aca="false">IF(CI$8=1,0,IF(CI$295=1,MIN(CH$301,MAX(0,CI$297-CI$298)),CH$301)*CI$9)</f>
        <v>0</v>
      </c>
      <c r="CJ300" s="34" t="n">
        <f aca="false">IF(CJ$8=1,0,IF(CJ$295=1,MIN(CI$301,MAX(0,CJ$297-CJ$298)),CI$301)*CJ$9)</f>
        <v>0</v>
      </c>
      <c r="CK300" s="34" t="n">
        <f aca="false">IF(CK$8=1,0,IF(CK$295=1,MIN(CJ$301,MAX(0,CK$297-CK$298)),CJ$301)*CK$9)</f>
        <v>0</v>
      </c>
      <c r="CL300" s="34" t="n">
        <f aca="false">IF(CL$8=1,0,IF(CL$295=1,MIN(CK$301,MAX(0,CL$297-CL$298)),CK$301)*CL$9)</f>
        <v>0</v>
      </c>
      <c r="CM300" s="34" t="n">
        <f aca="false">IF(CM$8=1,0,IF(CM$295=1,MIN(CL$301,MAX(0,CM$297-CM$298)),CL$301)*CM$9)</f>
        <v>0</v>
      </c>
      <c r="CN300" s="34" t="n">
        <f aca="false">IF(CN$8=1,0,IF(CN$295=1,MIN(CM$301,MAX(0,CN$297-CN$298)),CM$301)*CN$9)</f>
        <v>0</v>
      </c>
      <c r="CO300" s="34" t="n">
        <f aca="false">IF(CO$8=1,0,IF(CO$295=1,MIN(CN$301,MAX(0,CO$297-CO$298)),CN$301)*CO$9)</f>
        <v>0</v>
      </c>
      <c r="CP300" s="34" t="n">
        <f aca="false">IF(CP$8=1,0,IF(CP$295=1,MIN(CO$301,MAX(0,CP$297-CP$298)),CO$301)*CP$9)</f>
        <v>0</v>
      </c>
      <c r="CQ300" s="34" t="n">
        <f aca="false">IF(CQ$8=1,0,IF(CQ$295=1,MIN(CP$301,MAX(0,CQ$297-CQ$298)),CP$301)*CQ$9)</f>
        <v>0</v>
      </c>
      <c r="CR300" s="34" t="n">
        <f aca="false">IF(CR$8=1,0,IF(CR$295=1,MIN(CQ$301,MAX(0,CR$297-CR$298)),CQ$301)*CR$9)</f>
        <v>0</v>
      </c>
      <c r="CS300" s="34" t="n">
        <f aca="false">IF(CS$8=1,0,IF(CS$295=1,MIN(CR$301,MAX(0,CS$297-CS$298)),CR$301)*CS$9)</f>
        <v>0</v>
      </c>
      <c r="CT300" s="34" t="n">
        <f aca="false">IF(CT$8=1,0,IF(CT$295=1,MIN(CS$301,MAX(0,CT$297-CT$298)),CS$301)*CT$9)</f>
        <v>0</v>
      </c>
      <c r="CU300" s="34" t="n">
        <f aca="false">IF(CU$8=1,0,IF(CU$295=1,MIN(CT$301,MAX(0,CU$297-CU$298)),CT$301)*CU$9)</f>
        <v>0</v>
      </c>
      <c r="CV300" s="34" t="n">
        <f aca="false">IF(CV$8=1,0,IF(CV$295=1,MIN(CU$301,MAX(0,CV$297-CV$298)),CU$301)*CV$9)</f>
        <v>0</v>
      </c>
      <c r="CW300" s="34" t="n">
        <f aca="false">IF(CW$8=1,0,IF(CW$295=1,MIN(CV$301,MAX(0,CW$297-CW$298)),CV$301)*CW$9)</f>
        <v>0</v>
      </c>
      <c r="CX300" s="34" t="n">
        <f aca="false">IF(CX$8=1,0,IF(CX$295=1,MIN(CW$301,MAX(0,CX$297-CX$298)),CW$301)*CX$9)</f>
        <v>0</v>
      </c>
      <c r="CY300" s="34" t="n">
        <f aca="false">IF(CY$8=1,0,IF(CY$295=1,MIN(CX$301,MAX(0,CY$297-CY$298)),CX$301)*CY$9)</f>
        <v>0</v>
      </c>
      <c r="CZ300" s="34" t="n">
        <f aca="false">IF(CZ$8=1,0,IF(CZ$295=1,MIN(CY$301,MAX(0,CZ$297-CZ$298)),CY$301)*CZ$9)</f>
        <v>0</v>
      </c>
      <c r="DA300" s="34" t="n">
        <f aca="false">IF(DA$8=1,0,IF(DA$295=1,MIN(CZ$301,MAX(0,DA$297-DA$298)),CZ$301)*DA$9)</f>
        <v>0</v>
      </c>
      <c r="DB300" s="34" t="n">
        <f aca="false">IF(DB$8=1,0,IF(DB$295=1,MIN(DA$301,MAX(0,DB$297-DB$298)),DA$301)*DB$9)</f>
        <v>0</v>
      </c>
      <c r="DC300" s="34" t="n">
        <f aca="false">IF(DC$8=1,0,IF(DC$295=1,MIN(DB$301,MAX(0,DC$297-DC$298)),DB$301)*DC$9)</f>
        <v>0</v>
      </c>
      <c r="DD300" s="34" t="n">
        <f aca="false">IF(DD$8=1,0,IF(DD$295=1,MIN(DC$301,MAX(0,DD$297-DD$298)),DC$301)*DD$9)</f>
        <v>0</v>
      </c>
      <c r="DE300" s="34" t="n">
        <f aca="false">IF(DE$8=1,0,IF(DE$295=1,MIN(DD$301,MAX(0,DE$297-DE$298)),DD$301)*DE$9)</f>
        <v>0</v>
      </c>
      <c r="DF300" s="34" t="n">
        <f aca="false">IF(DF$8=1,0,IF(DF$295=1,MIN(DE$301,MAX(0,DF$297-DF$298)),DE$301)*DF$9)</f>
        <v>0</v>
      </c>
      <c r="DG300" s="34" t="n">
        <f aca="false">IF(DG$8=1,0,IF(DG$295=1,MIN(DF$301,MAX(0,DG$297-DG$298)),DF$301)*DG$9)</f>
        <v>0</v>
      </c>
      <c r="DH300" s="34" t="n">
        <f aca="false">IF(DH$8=1,0,IF(DH$295=1,MIN(DG$301,MAX(0,DH$297-DH$298)),DG$301)*DH$9)</f>
        <v>0</v>
      </c>
      <c r="DI300" s="34" t="n">
        <f aca="false">IF(DI$8=1,0,IF(DI$295=1,MIN(DH$301,MAX(0,DI$297-DI$298)),DH$301)*DI$9)</f>
        <v>0</v>
      </c>
      <c r="DJ300" s="34" t="n">
        <f aca="false">IF(DJ$8=1,0,IF(DJ$295=1,MIN(DI$301,MAX(0,DJ$297-DJ$298)),DI$301)*DJ$9)</f>
        <v>0</v>
      </c>
      <c r="DK300" s="34" t="n">
        <f aca="false">IF(DK$8=1,0,IF(DK$295=1,MIN(DJ$301,MAX(0,DK$297-DK$298)),DJ$301)*DK$9)</f>
        <v>0</v>
      </c>
      <c r="DL300" s="34" t="n">
        <f aca="false">IF(DL$8=1,0,IF(DL$295=1,MIN(DK$301,MAX(0,DL$297-DL$298)),DK$301)*DL$9)</f>
        <v>0</v>
      </c>
      <c r="DM300" s="34" t="n">
        <f aca="false">IF(DM$8=1,0,IF(DM$295=1,MIN(DL$301,MAX(0,DM$297-DM$298)),DL$301)*DM$9)</f>
        <v>0</v>
      </c>
      <c r="DN300" s="34" t="n">
        <f aca="false">IF(DN$8=1,0,IF(DN$295=1,MIN(DM$301,MAX(0,DN$297-DN$298)),DM$301)*DN$9)</f>
        <v>0</v>
      </c>
      <c r="DO300" s="34" t="n">
        <f aca="false">IF(DO$8=1,0,IF(DO$295=1,MIN(DN$301,MAX(0,DO$297-DO$298)),DN$301)*DO$9)</f>
        <v>0</v>
      </c>
      <c r="DP300" s="34" t="n">
        <f aca="false">IF(DP$8=1,0,IF(DP$295=1,MIN(DO$301,MAX(0,DP$297-DP$298)),DO$301)*DP$9)</f>
        <v>0</v>
      </c>
      <c r="DQ300" s="34" t="n">
        <f aca="false">IF(DQ$8=1,0,IF(DQ$295=1,MIN(DP$301,MAX(0,DQ$297-DQ$298)),DP$301)*DQ$9)</f>
        <v>0</v>
      </c>
      <c r="DR300" s="34" t="n">
        <f aca="false">IF(DR$8=1,0,IF(DR$295=1,MIN(DQ$301,MAX(0,DR$297-DR$298)),DQ$301)*DR$9)</f>
        <v>0</v>
      </c>
      <c r="DS300" s="34" t="n">
        <f aca="false">IF(DS$8=1,0,IF(DS$295=1,MIN(DR$301,MAX(0,DS$297-DS$298)),DR$301)*DS$9)</f>
        <v>0</v>
      </c>
      <c r="DT300" s="34" t="n">
        <f aca="false">IF(DT$8=1,0,IF(DT$295=1,MIN(DS$301,MAX(0,DT$297-DT$298)),DS$301)*DT$9)</f>
        <v>0</v>
      </c>
      <c r="DU300" s="34" t="n">
        <f aca="false">IF(DU$8=1,0,IF(DU$295=1,MIN(DT$301,MAX(0,DU$297-DU$298)),DT$301)*DU$9)</f>
        <v>0</v>
      </c>
      <c r="DV300" s="34" t="n">
        <f aca="false">IF(DV$8=1,0,IF(DV$295=1,MIN(DU$301,MAX(0,DV$297-DV$298)),DU$301)*DV$9)</f>
        <v>0</v>
      </c>
      <c r="DW300" s="34" t="n">
        <f aca="false">IF(DW$8=1,0,IF(DW$295=1,MIN(DV$301,MAX(0,DW$297-DW$298)),DV$301)*DW$9)</f>
        <v>0</v>
      </c>
      <c r="DX300" s="34" t="n">
        <f aca="false">IF(DX$8=1,0,IF(DX$295=1,MIN(DW$301,MAX(0,DX$297-DX$298)),DW$301)*DX$9)</f>
        <v>0</v>
      </c>
      <c r="DY300" s="34" t="n">
        <f aca="false">IF(DY$8=1,0,IF(DY$295=1,MIN(DX$301,MAX(0,DY$297-DY$298)),DX$301)*DY$9)</f>
        <v>0</v>
      </c>
      <c r="DZ300" s="34" t="n">
        <f aca="false">IF(DZ$8=1,0,IF(DZ$295=1,MIN(DY$301,MAX(0,DZ$297-DZ$298)),DY$301)*DZ$9)</f>
        <v>0</v>
      </c>
      <c r="EA300" s="34" t="n">
        <f aca="false">IF(EA$8=1,0,IF(EA$295=1,MIN(DZ$301,MAX(0,EA$297-EA$298)),DZ$301)*EA$9)</f>
        <v>0</v>
      </c>
      <c r="EB300" s="34" t="n">
        <f aca="false">IF(EB$8=1,0,IF(EB$295=1,MIN(EA$301,MAX(0,EB$297-EB$298)),EA$301)*EB$9)</f>
        <v>0</v>
      </c>
      <c r="EC300" s="34" t="n">
        <f aca="false">IF(EC$8=1,0,IF(EC$295=1,MIN(EB$301,MAX(0,EC$297-EC$298)),EB$301)*EC$9)</f>
        <v>0</v>
      </c>
      <c r="ED300" s="34" t="n">
        <f aca="false">IF(ED$8=1,0,IF(ED$295=1,MIN(EC$301,MAX(0,ED$297-ED$298)),EC$301)*ED$9)</f>
        <v>0</v>
      </c>
      <c r="EE300" s="34" t="n">
        <f aca="false">IF(EE$8=1,0,IF(EE$295=1,MIN(ED$301,MAX(0,EE$297-EE$298)),ED$301)*EE$9)</f>
        <v>0</v>
      </c>
      <c r="EF300" s="34" t="n">
        <f aca="false">IF(EF$8=1,0,IF(EF$295=1,MIN(EE$301,MAX(0,EF$297-EF$298)),EE$301)*EF$9)</f>
        <v>0</v>
      </c>
      <c r="EG300" s="34" t="n">
        <f aca="false">IF(EG$8=1,0,IF(EG$295=1,MIN(EF$301,MAX(0,EG$297-EG$298)),EF$301)*EG$9)</f>
        <v>0</v>
      </c>
      <c r="EH300" s="34" t="n">
        <f aca="false">IF(EH$8=1,0,IF(EH$295=1,MIN(EG$301,MAX(0,EH$297-EH$298)),EG$301)*EH$9)</f>
        <v>0</v>
      </c>
      <c r="EI300" s="34" t="n">
        <f aca="false">IF(EI$8=1,0,IF(EI$295=1,MIN(EH$301,MAX(0,EI$297-EI$298)),EH$301)*EI$9)</f>
        <v>0</v>
      </c>
      <c r="EJ300" s="34" t="n">
        <f aca="false">IF(EJ$8=1,0,IF(EJ$295=1,MIN(EI$301,MAX(0,EJ$297-EJ$298)),EI$301)*EJ$9)</f>
        <v>0</v>
      </c>
      <c r="EK300" s="34" t="n">
        <f aca="false">IF(EK$8=1,0,IF(EK$295=1,MIN(EJ$301,MAX(0,EK$297-EK$298)),EJ$301)*EK$9)</f>
        <v>0</v>
      </c>
      <c r="EL300" s="34" t="n">
        <f aca="false">IF(EL$8=1,0,IF(EL$295=1,MIN(EK$301,MAX(0,EL$297-EL$298)),EK$301)*EL$9)</f>
        <v>0</v>
      </c>
      <c r="EM300" s="34" t="n">
        <f aca="false">IF(EM$8=1,0,IF(EM$295=1,MIN(EL$301,MAX(0,EM$297-EM$298)),EL$301)*EM$9)</f>
        <v>0</v>
      </c>
      <c r="EN300" s="34" t="n">
        <f aca="false">IF(EN$8=1,0,IF(EN$295=1,MIN(EM$301,MAX(0,EN$297-EN$298)),EM$301)*EN$9)</f>
        <v>0</v>
      </c>
      <c r="EO300" s="34" t="n">
        <f aca="false">IF(EO$8=1,0,IF(EO$295=1,MIN(EN$301,MAX(0,EO$297-EO$298)),EN$301)*EO$9)</f>
        <v>0</v>
      </c>
      <c r="EP300" s="34" t="n">
        <f aca="false">IF(EP$8=1,0,IF(EP$295=1,MIN(EO$301,MAX(0,EP$297-EP$298)),EO$301)*EP$9)</f>
        <v>0</v>
      </c>
      <c r="EQ300" s="34" t="n">
        <f aca="false">IF(EQ$8=1,0,IF(EQ$295=1,MIN(EP$301,MAX(0,EQ$297-EQ$298)),EP$301)*EQ$9)</f>
        <v>0</v>
      </c>
      <c r="ER300" s="34" t="n">
        <f aca="false">IF(ER$8=1,0,IF(ER$295=1,MIN(EQ$301,MAX(0,ER$297-ER$298)),EQ$301)*ER$9)</f>
        <v>0</v>
      </c>
      <c r="ES300" s="34" t="n">
        <f aca="false">IF(ES$8=1,0,IF(ES$295=1,MIN(ER$301,MAX(0,ES$297-ES$298)),ER$301)*ES$9)</f>
        <v>0</v>
      </c>
    </row>
    <row r="301" customFormat="false" ht="15" hidden="false" customHeight="false" outlineLevel="0" collapsed="false">
      <c r="A301" s="2" t="s">
        <v>937</v>
      </c>
      <c r="B301" s="6" t="s">
        <v>772</v>
      </c>
      <c r="C301" s="6" t="s">
        <v>250</v>
      </c>
      <c r="E301" s="40" t="n">
        <f aca="false">MAX(F301:ES301)</f>
        <v>0</v>
      </c>
      <c r="F301" s="34" t="n">
        <f aca="false">IF(F$8=1,IF(1=Corte,N(V_LC_Saldo0),0),0+F$299-F$300)</f>
        <v>0</v>
      </c>
      <c r="G301" s="34" t="n">
        <f aca="false">IF(G$8=1,IF(2=Corte,N(V_LC_Saldo0),0),F$301+G$299-G$300)</f>
        <v>0</v>
      </c>
      <c r="H301" s="34" t="n">
        <f aca="false">IF(H$8=1,IF(3=Corte,N(V_LC_Saldo0),0),G$301+H$299-H$300)</f>
        <v>0</v>
      </c>
      <c r="I301" s="34" t="n">
        <f aca="false">IF(I$8=1,IF(4=Corte,N(V_LC_Saldo0),0),H$301+I$299-I$300)</f>
        <v>0</v>
      </c>
      <c r="J301" s="34" t="n">
        <f aca="false">IF(J$8=1,IF(5=Corte,N(V_LC_Saldo0),0),I$301+J$299-J$300)</f>
        <v>0</v>
      </c>
      <c r="K301" s="34" t="n">
        <f aca="false">IF(K$8=1,IF(6=Corte,N(V_LC_Saldo0),0),J$301+K$299-K$300)</f>
        <v>0</v>
      </c>
      <c r="L301" s="34" t="n">
        <f aca="false">IF(L$8=1,IF(7=Corte,N(V_LC_Saldo0),0),K$301+L$299-L$300)</f>
        <v>0</v>
      </c>
      <c r="M301" s="34" t="n">
        <f aca="false">IF(M$8=1,IF(8=Corte,N(V_LC_Saldo0),0),L$301+M$299-M$300)</f>
        <v>0</v>
      </c>
      <c r="N301" s="34" t="n">
        <f aca="false">IF(N$8=1,IF(9=Corte,N(V_LC_Saldo0),0),M$301+N$299-N$300)</f>
        <v>0</v>
      </c>
      <c r="O301" s="34" t="n">
        <f aca="false">IF(O$8=1,IF(10=Corte,N(V_LC_Saldo0),0),N$301+O$299-O$300)</f>
        <v>0</v>
      </c>
      <c r="P301" s="34" t="n">
        <f aca="false">IF(P$8=1,IF(11=Corte,N(V_LC_Saldo0),0),O$301+P$299-P$300)</f>
        <v>0</v>
      </c>
      <c r="Q301" s="34" t="n">
        <f aca="false">IF(Q$8=1,IF(12=Corte,N(V_LC_Saldo0),0),P$301+Q$299-Q$300)</f>
        <v>0</v>
      </c>
      <c r="R301" s="34" t="n">
        <f aca="false">IF(R$8=1,IF(13=Corte,N(V_LC_Saldo0),0),Q$301+R$299-R$300)</f>
        <v>0</v>
      </c>
      <c r="S301" s="34" t="n">
        <f aca="false">IF(S$8=1,IF(14=Corte,N(V_LC_Saldo0),0),R$301+S$299-S$300)</f>
        <v>0</v>
      </c>
      <c r="T301" s="34" t="n">
        <f aca="false">IF(T$8=1,IF(15=Corte,N(V_LC_Saldo0),0),S$301+T$299-T$300)</f>
        <v>0</v>
      </c>
      <c r="U301" s="34" t="n">
        <f aca="false">IF(U$8=1,IF(16=Corte,N(V_LC_Saldo0),0),T$301+U$299-U$300)</f>
        <v>0</v>
      </c>
      <c r="V301" s="34" t="n">
        <f aca="false">IF(V$8=1,IF(17=Corte,N(V_LC_Saldo0),0),U$301+V$299-V$300)</f>
        <v>0</v>
      </c>
      <c r="W301" s="34" t="n">
        <f aca="false">IF(W$8=1,IF(18=Corte,N(V_LC_Saldo0),0),V$301+W$299-W$300)</f>
        <v>0</v>
      </c>
      <c r="X301" s="34" t="n">
        <f aca="false">IF(X$8=1,IF(19=Corte,N(V_LC_Saldo0),0),W$301+X$299-X$300)</f>
        <v>0</v>
      </c>
      <c r="Y301" s="34" t="n">
        <f aca="false">IF(Y$8=1,IF(20=Corte,N(V_LC_Saldo0),0),X$301+Y$299-Y$300)</f>
        <v>0</v>
      </c>
      <c r="Z301" s="34" t="n">
        <f aca="false">IF(Z$8=1,IF(21=Corte,N(V_LC_Saldo0),0),Y$301+Z$299-Z$300)</f>
        <v>0</v>
      </c>
      <c r="AA301" s="34" t="n">
        <f aca="false">IF(AA$8=1,IF(22=Corte,N(V_LC_Saldo0),0),Z$301+AA$299-AA$300)</f>
        <v>0</v>
      </c>
      <c r="AB301" s="34" t="n">
        <f aca="false">IF(AB$8=1,IF(23=Corte,N(V_LC_Saldo0),0),AA$301+AB$299-AB$300)</f>
        <v>0</v>
      </c>
      <c r="AC301" s="34" t="n">
        <f aca="false">IF(AC$8=1,IF(24=Corte,N(V_LC_Saldo0),0),AB$301+AC$299-AC$300)</f>
        <v>0</v>
      </c>
      <c r="AD301" s="34" t="n">
        <f aca="false">IF(AD$8=1,IF(25=Corte,N(V_LC_Saldo0),0),AC$301+AD$299-AD$300)</f>
        <v>0</v>
      </c>
      <c r="AE301" s="34" t="n">
        <f aca="false">IF(AE$8=1,IF(26=Corte,N(V_LC_Saldo0),0),AD$301+AE$299-AE$300)</f>
        <v>0</v>
      </c>
      <c r="AF301" s="34" t="n">
        <f aca="false">IF(AF$8=1,IF(27=Corte,N(V_LC_Saldo0),0),AE$301+AF$299-AF$300)</f>
        <v>0</v>
      </c>
      <c r="AG301" s="34" t="n">
        <f aca="false">IF(AG$8=1,IF(28=Corte,N(V_LC_Saldo0),0),AF$301+AG$299-AG$300)</f>
        <v>0</v>
      </c>
      <c r="AH301" s="34" t="n">
        <f aca="false">IF(AH$8=1,IF(29=Corte,N(V_LC_Saldo0),0),AG$301+AH$299-AH$300)</f>
        <v>0</v>
      </c>
      <c r="AI301" s="34" t="n">
        <f aca="false">IF(AI$8=1,IF(30=Corte,N(V_LC_Saldo0),0),AH$301+AI$299-AI$300)</f>
        <v>0</v>
      </c>
      <c r="AJ301" s="34" t="n">
        <f aca="false">IF(AJ$8=1,IF(31=Corte,N(V_LC_Saldo0),0),AI$301+AJ$299-AJ$300)</f>
        <v>0</v>
      </c>
      <c r="AK301" s="34" t="n">
        <f aca="false">IF(AK$8=1,IF(32=Corte,N(V_LC_Saldo0),0),AJ$301+AK$299-AK$300)</f>
        <v>0</v>
      </c>
      <c r="AL301" s="34" t="n">
        <f aca="false">IF(AL$8=1,IF(33=Corte,N(V_LC_Saldo0),0),AK$301+AL$299-AL$300)</f>
        <v>0</v>
      </c>
      <c r="AM301" s="34" t="n">
        <f aca="false">IF(AM$8=1,IF(34=Corte,N(V_LC_Saldo0),0),AL$301+AM$299-AM$300)</f>
        <v>0</v>
      </c>
      <c r="AN301" s="34" t="n">
        <f aca="false">IF(AN$8=1,IF(35=Corte,N(V_LC_Saldo0),0),AM$301+AN$299-AN$300)</f>
        <v>0</v>
      </c>
      <c r="AO301" s="34" t="n">
        <f aca="false">IF(AO$8=1,IF(36=Corte,N(V_LC_Saldo0),0),AN$301+AO$299-AO$300)</f>
        <v>0</v>
      </c>
      <c r="AP301" s="34" t="n">
        <f aca="false">IF(AP$8=1,IF(37=Corte,N(V_LC_Saldo0),0),AO$301+AP$299-AP$300)</f>
        <v>0</v>
      </c>
      <c r="AQ301" s="34" t="n">
        <f aca="false">IF(AQ$8=1,IF(38=Corte,N(V_LC_Saldo0),0),AP$301+AQ$299-AQ$300)</f>
        <v>0</v>
      </c>
      <c r="AR301" s="34" t="n">
        <f aca="false">IF(AR$8=1,IF(39=Corte,N(V_LC_Saldo0),0),AQ$301+AR$299-AR$300)</f>
        <v>0</v>
      </c>
      <c r="AS301" s="34" t="n">
        <f aca="false">IF(AS$8=1,IF(40=Corte,N(V_LC_Saldo0),0),AR$301+AS$299-AS$300)</f>
        <v>0</v>
      </c>
      <c r="AT301" s="34" t="n">
        <f aca="false">IF(AT$8=1,IF(41=Corte,N(V_LC_Saldo0),0),AS$301+AT$299-AT$300)</f>
        <v>0</v>
      </c>
      <c r="AU301" s="34" t="n">
        <f aca="false">IF(AU$8=1,IF(42=Corte,N(V_LC_Saldo0),0),AT$301+AU$299-AU$300)</f>
        <v>0</v>
      </c>
      <c r="AV301" s="34" t="n">
        <f aca="false">IF(AV$8=1,IF(43=Corte,N(V_LC_Saldo0),0),AU$301+AV$299-AV$300)</f>
        <v>0</v>
      </c>
      <c r="AW301" s="34" t="n">
        <f aca="false">IF(AW$8=1,IF(44=Corte,N(V_LC_Saldo0),0),AV$301+AW$299-AW$300)</f>
        <v>0</v>
      </c>
      <c r="AX301" s="34" t="n">
        <f aca="false">IF(AX$8=1,IF(45=Corte,N(V_LC_Saldo0),0),AW$301+AX$299-AX$300)</f>
        <v>0</v>
      </c>
      <c r="AY301" s="34" t="n">
        <f aca="false">IF(AY$8=1,IF(46=Corte,N(V_LC_Saldo0),0),AX$301+AY$299-AY$300)</f>
        <v>0</v>
      </c>
      <c r="AZ301" s="34" t="n">
        <f aca="false">IF(AZ$8=1,IF(47=Corte,N(V_LC_Saldo0),0),AY$301+AZ$299-AZ$300)</f>
        <v>0</v>
      </c>
      <c r="BA301" s="34" t="n">
        <f aca="false">IF(BA$8=1,IF(48=Corte,N(V_LC_Saldo0),0),AZ$301+BA$299-BA$300)</f>
        <v>0</v>
      </c>
      <c r="BB301" s="34" t="n">
        <f aca="false">IF(BB$8=1,IF(49=Corte,N(V_LC_Saldo0),0),BA$301+BB$299-BB$300)</f>
        <v>0</v>
      </c>
      <c r="BC301" s="34" t="n">
        <f aca="false">IF(BC$8=1,IF(50=Corte,N(V_LC_Saldo0),0),BB$301+BC$299-BC$300)</f>
        <v>0</v>
      </c>
      <c r="BD301" s="34" t="n">
        <f aca="false">IF(BD$8=1,IF(51=Corte,N(V_LC_Saldo0),0),BC$301+BD$299-BD$300)</f>
        <v>0</v>
      </c>
      <c r="BE301" s="34" t="n">
        <f aca="false">IF(BE$8=1,IF(52=Corte,N(V_LC_Saldo0),0),BD$301+BE$299-BE$300)</f>
        <v>0</v>
      </c>
      <c r="BF301" s="34" t="n">
        <f aca="false">IF(BF$8=1,IF(53=Corte,N(V_LC_Saldo0),0),BE$301+BF$299-BF$300)</f>
        <v>0</v>
      </c>
      <c r="BG301" s="34" t="n">
        <f aca="false">IF(BG$8=1,IF(54=Corte,N(V_LC_Saldo0),0),BF$301+BG$299-BG$300)</f>
        <v>0</v>
      </c>
      <c r="BH301" s="34" t="n">
        <f aca="false">IF(BH$8=1,IF(55=Corte,N(V_LC_Saldo0),0),BG$301+BH$299-BH$300)</f>
        <v>0</v>
      </c>
      <c r="BI301" s="34" t="n">
        <f aca="false">IF(BI$8=1,IF(56=Corte,N(V_LC_Saldo0),0),BH$301+BI$299-BI$300)</f>
        <v>0</v>
      </c>
      <c r="BJ301" s="34" t="n">
        <f aca="false">IF(BJ$8=1,IF(57=Corte,N(V_LC_Saldo0),0),BI$301+BJ$299-BJ$300)</f>
        <v>0</v>
      </c>
      <c r="BK301" s="34" t="n">
        <f aca="false">IF(BK$8=1,IF(58=Corte,N(V_LC_Saldo0),0),BJ$301+BK$299-BK$300)</f>
        <v>0</v>
      </c>
      <c r="BL301" s="34" t="n">
        <f aca="false">IF(BL$8=1,IF(59=Corte,N(V_LC_Saldo0),0),BK$301+BL$299-BL$300)</f>
        <v>0</v>
      </c>
      <c r="BM301" s="34" t="n">
        <f aca="false">IF(BM$8=1,IF(60=Corte,N(V_LC_Saldo0),0),BL$301+BM$299-BM$300)</f>
        <v>0</v>
      </c>
      <c r="BN301" s="34" t="n">
        <f aca="false">IF(BN$8=1,IF(61=Corte,N(V_LC_Saldo0),0),BM$301+BN$299-BN$300)</f>
        <v>0</v>
      </c>
      <c r="BO301" s="34" t="n">
        <f aca="false">IF(BO$8=1,IF(62=Corte,N(V_LC_Saldo0),0),BN$301+BO$299-BO$300)</f>
        <v>0</v>
      </c>
      <c r="BP301" s="34" t="n">
        <f aca="false">IF(BP$8=1,IF(63=Corte,N(V_LC_Saldo0),0),BO$301+BP$299-BP$300)</f>
        <v>0</v>
      </c>
      <c r="BQ301" s="34" t="n">
        <f aca="false">IF(BQ$8=1,IF(64=Corte,N(V_LC_Saldo0),0),BP$301+BQ$299-BQ$300)</f>
        <v>0</v>
      </c>
      <c r="BR301" s="34" t="n">
        <f aca="false">IF(BR$8=1,IF(65=Corte,N(V_LC_Saldo0),0),BQ$301+BR$299-BR$300)</f>
        <v>0</v>
      </c>
      <c r="BS301" s="34" t="n">
        <f aca="false">IF(BS$8=1,IF(66=Corte,N(V_LC_Saldo0),0),BR$301+BS$299-BS$300)</f>
        <v>0</v>
      </c>
      <c r="BT301" s="34" t="n">
        <f aca="false">IF(BT$8=1,IF(67=Corte,N(V_LC_Saldo0),0),BS$301+BT$299-BT$300)</f>
        <v>0</v>
      </c>
      <c r="BU301" s="34" t="n">
        <f aca="false">IF(BU$8=1,IF(68=Corte,N(V_LC_Saldo0),0),BT$301+BU$299-BU$300)</f>
        <v>0</v>
      </c>
      <c r="BV301" s="34" t="n">
        <f aca="false">IF(BV$8=1,IF(69=Corte,N(V_LC_Saldo0),0),BU$301+BV$299-BV$300)</f>
        <v>0</v>
      </c>
      <c r="BW301" s="34" t="n">
        <f aca="false">IF(BW$8=1,IF(70=Corte,N(V_LC_Saldo0),0),BV$301+BW$299-BW$300)</f>
        <v>0</v>
      </c>
      <c r="BX301" s="34" t="n">
        <f aca="false">IF(BX$8=1,IF(71=Corte,N(V_LC_Saldo0),0),BW$301+BX$299-BX$300)</f>
        <v>0</v>
      </c>
      <c r="BY301" s="34" t="n">
        <f aca="false">IF(BY$8=1,IF(72=Corte,N(V_LC_Saldo0),0),BX$301+BY$299-BY$300)</f>
        <v>0</v>
      </c>
      <c r="BZ301" s="34" t="n">
        <f aca="false">IF(BZ$8=1,IF(73=Corte,N(V_LC_Saldo0),0),BY$301+BZ$299-BZ$300)</f>
        <v>0</v>
      </c>
      <c r="CA301" s="34" t="n">
        <f aca="false">IF(CA$8=1,IF(74=Corte,N(V_LC_Saldo0),0),BZ$301+CA$299-CA$300)</f>
        <v>0</v>
      </c>
      <c r="CB301" s="34" t="n">
        <f aca="false">IF(CB$8=1,IF(75=Corte,N(V_LC_Saldo0),0),CA$301+CB$299-CB$300)</f>
        <v>0</v>
      </c>
      <c r="CC301" s="34" t="n">
        <f aca="false">IF(CC$8=1,IF(76=Corte,N(V_LC_Saldo0),0),CB$301+CC$299-CC$300)</f>
        <v>0</v>
      </c>
      <c r="CD301" s="34" t="n">
        <f aca="false">IF(CD$8=1,IF(77=Corte,N(V_LC_Saldo0),0),CC$301+CD$299-CD$300)</f>
        <v>0</v>
      </c>
      <c r="CE301" s="34" t="n">
        <f aca="false">IF(CE$8=1,IF(78=Corte,N(V_LC_Saldo0),0),CD$301+CE$299-CE$300)</f>
        <v>0</v>
      </c>
      <c r="CF301" s="34" t="n">
        <f aca="false">IF(CF$8=1,IF(79=Corte,N(V_LC_Saldo0),0),CE$301+CF$299-CF$300)</f>
        <v>0</v>
      </c>
      <c r="CG301" s="34" t="n">
        <f aca="false">IF(CG$8=1,IF(80=Corte,N(V_LC_Saldo0),0),CF$301+CG$299-CG$300)</f>
        <v>0</v>
      </c>
      <c r="CH301" s="34" t="n">
        <f aca="false">IF(CH$8=1,IF(81=Corte,N(V_LC_Saldo0),0),CG$301+CH$299-CH$300)</f>
        <v>0</v>
      </c>
      <c r="CI301" s="34" t="n">
        <f aca="false">IF(CI$8=1,IF(82=Corte,N(V_LC_Saldo0),0),CH$301+CI$299-CI$300)</f>
        <v>0</v>
      </c>
      <c r="CJ301" s="34" t="n">
        <f aca="false">IF(CJ$8=1,IF(83=Corte,N(V_LC_Saldo0),0),CI$301+CJ$299-CJ$300)</f>
        <v>0</v>
      </c>
      <c r="CK301" s="34" t="n">
        <f aca="false">IF(CK$8=1,IF(84=Corte,N(V_LC_Saldo0),0),CJ$301+CK$299-CK$300)</f>
        <v>0</v>
      </c>
      <c r="CL301" s="34" t="n">
        <f aca="false">IF(CL$8=1,IF(85=Corte,N(V_LC_Saldo0),0),CK$301+CL$299-CL$300)</f>
        <v>0</v>
      </c>
      <c r="CM301" s="34" t="n">
        <f aca="false">IF(CM$8=1,IF(86=Corte,N(V_LC_Saldo0),0),CL$301+CM$299-CM$300)</f>
        <v>0</v>
      </c>
      <c r="CN301" s="34" t="n">
        <f aca="false">IF(CN$8=1,IF(87=Corte,N(V_LC_Saldo0),0),CM$301+CN$299-CN$300)</f>
        <v>0</v>
      </c>
      <c r="CO301" s="34" t="n">
        <f aca="false">IF(CO$8=1,IF(88=Corte,N(V_LC_Saldo0),0),CN$301+CO$299-CO$300)</f>
        <v>0</v>
      </c>
      <c r="CP301" s="34" t="n">
        <f aca="false">IF(CP$8=1,IF(89=Corte,N(V_LC_Saldo0),0),CO$301+CP$299-CP$300)</f>
        <v>0</v>
      </c>
      <c r="CQ301" s="34" t="n">
        <f aca="false">IF(CQ$8=1,IF(90=Corte,N(V_LC_Saldo0),0),CP$301+CQ$299-CQ$300)</f>
        <v>0</v>
      </c>
      <c r="CR301" s="34" t="n">
        <f aca="false">IF(CR$8=1,IF(91=Corte,N(V_LC_Saldo0),0),CQ$301+CR$299-CR$300)</f>
        <v>0</v>
      </c>
      <c r="CS301" s="34" t="n">
        <f aca="false">IF(CS$8=1,IF(92=Corte,N(V_LC_Saldo0),0),CR$301+CS$299-CS$300)</f>
        <v>0</v>
      </c>
      <c r="CT301" s="34" t="n">
        <f aca="false">IF(CT$8=1,IF(93=Corte,N(V_LC_Saldo0),0),CS$301+CT$299-CT$300)</f>
        <v>0</v>
      </c>
      <c r="CU301" s="34" t="n">
        <f aca="false">IF(CU$8=1,IF(94=Corte,N(V_LC_Saldo0),0),CT$301+CU$299-CU$300)</f>
        <v>0</v>
      </c>
      <c r="CV301" s="34" t="n">
        <f aca="false">IF(CV$8=1,IF(95=Corte,N(V_LC_Saldo0),0),CU$301+CV$299-CV$300)</f>
        <v>0</v>
      </c>
      <c r="CW301" s="34" t="n">
        <f aca="false">IF(CW$8=1,IF(96=Corte,N(V_LC_Saldo0),0),CV$301+CW$299-CW$300)</f>
        <v>0</v>
      </c>
      <c r="CX301" s="34" t="n">
        <f aca="false">IF(CX$8=1,IF(97=Corte,N(V_LC_Saldo0),0),CW$301+CX$299-CX$300)</f>
        <v>0</v>
      </c>
      <c r="CY301" s="34" t="n">
        <f aca="false">IF(CY$8=1,IF(98=Corte,N(V_LC_Saldo0),0),CX$301+CY$299-CY$300)</f>
        <v>0</v>
      </c>
      <c r="CZ301" s="34" t="n">
        <f aca="false">IF(CZ$8=1,IF(99=Corte,N(V_LC_Saldo0),0),CY$301+CZ$299-CZ$300)</f>
        <v>0</v>
      </c>
      <c r="DA301" s="34" t="n">
        <f aca="false">IF(DA$8=1,IF(100=Corte,N(V_LC_Saldo0),0),CZ$301+DA$299-DA$300)</f>
        <v>0</v>
      </c>
      <c r="DB301" s="34" t="n">
        <f aca="false">IF(DB$8=1,IF(101=Corte,N(V_LC_Saldo0),0),DA$301+DB$299-DB$300)</f>
        <v>0</v>
      </c>
      <c r="DC301" s="34" t="n">
        <f aca="false">IF(DC$8=1,IF(102=Corte,N(V_LC_Saldo0),0),DB$301+DC$299-DC$300)</f>
        <v>0</v>
      </c>
      <c r="DD301" s="34" t="n">
        <f aca="false">IF(DD$8=1,IF(103=Corte,N(V_LC_Saldo0),0),DC$301+DD$299-DD$300)</f>
        <v>0</v>
      </c>
      <c r="DE301" s="34" t="n">
        <f aca="false">IF(DE$8=1,IF(104=Corte,N(V_LC_Saldo0),0),DD$301+DE$299-DE$300)</f>
        <v>0</v>
      </c>
      <c r="DF301" s="34" t="n">
        <f aca="false">IF(DF$8=1,IF(105=Corte,N(V_LC_Saldo0),0),DE$301+DF$299-DF$300)</f>
        <v>0</v>
      </c>
      <c r="DG301" s="34" t="n">
        <f aca="false">IF(DG$8=1,IF(106=Corte,N(V_LC_Saldo0),0),DF$301+DG$299-DG$300)</f>
        <v>0</v>
      </c>
      <c r="DH301" s="34" t="n">
        <f aca="false">IF(DH$8=1,IF(107=Corte,N(V_LC_Saldo0),0),DG$301+DH$299-DH$300)</f>
        <v>0</v>
      </c>
      <c r="DI301" s="34" t="n">
        <f aca="false">IF(DI$8=1,IF(108=Corte,N(V_LC_Saldo0),0),DH$301+DI$299-DI$300)</f>
        <v>0</v>
      </c>
      <c r="DJ301" s="34" t="n">
        <f aca="false">IF(DJ$8=1,IF(109=Corte,N(V_LC_Saldo0),0),DI$301+DJ$299-DJ$300)</f>
        <v>0</v>
      </c>
      <c r="DK301" s="34" t="n">
        <f aca="false">IF(DK$8=1,IF(110=Corte,N(V_LC_Saldo0),0),DJ$301+DK$299-DK$300)</f>
        <v>0</v>
      </c>
      <c r="DL301" s="34" t="n">
        <f aca="false">IF(DL$8=1,IF(111=Corte,N(V_LC_Saldo0),0),DK$301+DL$299-DL$300)</f>
        <v>0</v>
      </c>
      <c r="DM301" s="34" t="n">
        <f aca="false">IF(DM$8=1,IF(112=Corte,N(V_LC_Saldo0),0),DL$301+DM$299-DM$300)</f>
        <v>0</v>
      </c>
      <c r="DN301" s="34" t="n">
        <f aca="false">IF(DN$8=1,IF(113=Corte,N(V_LC_Saldo0),0),DM$301+DN$299-DN$300)</f>
        <v>0</v>
      </c>
      <c r="DO301" s="34" t="n">
        <f aca="false">IF(DO$8=1,IF(114=Corte,N(V_LC_Saldo0),0),DN$301+DO$299-DO$300)</f>
        <v>0</v>
      </c>
      <c r="DP301" s="34" t="n">
        <f aca="false">IF(DP$8=1,IF(115=Corte,N(V_LC_Saldo0),0),DO$301+DP$299-DP$300)</f>
        <v>0</v>
      </c>
      <c r="DQ301" s="34" t="n">
        <f aca="false">IF(DQ$8=1,IF(116=Corte,N(V_LC_Saldo0),0),DP$301+DQ$299-DQ$300)</f>
        <v>0</v>
      </c>
      <c r="DR301" s="34" t="n">
        <f aca="false">IF(DR$8=1,IF(117=Corte,N(V_LC_Saldo0),0),DQ$301+DR$299-DR$300)</f>
        <v>0</v>
      </c>
      <c r="DS301" s="34" t="n">
        <f aca="false">IF(DS$8=1,IF(118=Corte,N(V_LC_Saldo0),0),DR$301+DS$299-DS$300)</f>
        <v>0</v>
      </c>
      <c r="DT301" s="34" t="n">
        <f aca="false">IF(DT$8=1,IF(119=Corte,N(V_LC_Saldo0),0),DS$301+DT$299-DT$300)</f>
        <v>0</v>
      </c>
      <c r="DU301" s="34" t="n">
        <f aca="false">IF(DU$8=1,IF(120=Corte,N(V_LC_Saldo0),0),DT$301+DU$299-DU$300)</f>
        <v>0</v>
      </c>
      <c r="DV301" s="34" t="n">
        <f aca="false">IF(DV$8=1,IF(121=Corte,N(V_LC_Saldo0),0),DU$301+DV$299-DV$300)</f>
        <v>0</v>
      </c>
      <c r="DW301" s="34" t="n">
        <f aca="false">IF(DW$8=1,IF(122=Corte,N(V_LC_Saldo0),0),DV$301+DW$299-DW$300)</f>
        <v>0</v>
      </c>
      <c r="DX301" s="34" t="n">
        <f aca="false">IF(DX$8=1,IF(123=Corte,N(V_LC_Saldo0),0),DW$301+DX$299-DX$300)</f>
        <v>0</v>
      </c>
      <c r="DY301" s="34" t="n">
        <f aca="false">IF(DY$8=1,IF(124=Corte,N(V_LC_Saldo0),0),DX$301+DY$299-DY$300)</f>
        <v>0</v>
      </c>
      <c r="DZ301" s="34" t="n">
        <f aca="false">IF(DZ$8=1,IF(125=Corte,N(V_LC_Saldo0),0),DY$301+DZ$299-DZ$300)</f>
        <v>0</v>
      </c>
      <c r="EA301" s="34" t="n">
        <f aca="false">IF(EA$8=1,IF(126=Corte,N(V_LC_Saldo0),0),DZ$301+EA$299-EA$300)</f>
        <v>0</v>
      </c>
      <c r="EB301" s="34" t="n">
        <f aca="false">IF(EB$8=1,IF(127=Corte,N(V_LC_Saldo0),0),EA$301+EB$299-EB$300)</f>
        <v>0</v>
      </c>
      <c r="EC301" s="34" t="n">
        <f aca="false">IF(EC$8=1,IF(128=Corte,N(V_LC_Saldo0),0),EB$301+EC$299-EC$300)</f>
        <v>0</v>
      </c>
      <c r="ED301" s="34" t="n">
        <f aca="false">IF(ED$8=1,IF(129=Corte,N(V_LC_Saldo0),0),EC$301+ED$299-ED$300)</f>
        <v>0</v>
      </c>
      <c r="EE301" s="34" t="n">
        <f aca="false">IF(EE$8=1,IF(130=Corte,N(V_LC_Saldo0),0),ED$301+EE$299-EE$300)</f>
        <v>0</v>
      </c>
      <c r="EF301" s="34" t="n">
        <f aca="false">IF(EF$8=1,IF(131=Corte,N(V_LC_Saldo0),0),EE$301+EF$299-EF$300)</f>
        <v>0</v>
      </c>
      <c r="EG301" s="34" t="n">
        <f aca="false">IF(EG$8=1,IF(132=Corte,N(V_LC_Saldo0),0),EF$301+EG$299-EG$300)</f>
        <v>0</v>
      </c>
      <c r="EH301" s="34" t="n">
        <f aca="false">IF(EH$8=1,IF(133=Corte,N(V_LC_Saldo0),0),EG$301+EH$299-EH$300)</f>
        <v>0</v>
      </c>
      <c r="EI301" s="34" t="n">
        <f aca="false">IF(EI$8=1,IF(134=Corte,N(V_LC_Saldo0),0),EH$301+EI$299-EI$300)</f>
        <v>0</v>
      </c>
      <c r="EJ301" s="34" t="n">
        <f aca="false">IF(EJ$8=1,IF(135=Corte,N(V_LC_Saldo0),0),EI$301+EJ$299-EJ$300)</f>
        <v>0</v>
      </c>
      <c r="EK301" s="34" t="n">
        <f aca="false">IF(EK$8=1,IF(136=Corte,N(V_LC_Saldo0),0),EJ$301+EK$299-EK$300)</f>
        <v>0</v>
      </c>
      <c r="EL301" s="34" t="n">
        <f aca="false">IF(EL$8=1,IF(137=Corte,N(V_LC_Saldo0),0),EK$301+EL$299-EL$300)</f>
        <v>0</v>
      </c>
      <c r="EM301" s="34" t="n">
        <f aca="false">IF(EM$8=1,IF(138=Corte,N(V_LC_Saldo0),0),EL$301+EM$299-EM$300)</f>
        <v>0</v>
      </c>
      <c r="EN301" s="34" t="n">
        <f aca="false">IF(EN$8=1,IF(139=Corte,N(V_LC_Saldo0),0),EM$301+EN$299-EN$300)</f>
        <v>0</v>
      </c>
      <c r="EO301" s="34" t="n">
        <f aca="false">IF(EO$8=1,IF(140=Corte,N(V_LC_Saldo0),0),EN$301+EO$299-EO$300)</f>
        <v>0</v>
      </c>
      <c r="EP301" s="34" t="n">
        <f aca="false">IF(EP$8=1,IF(141=Corte,N(V_LC_Saldo0),0),EO$301+EP$299-EP$300)</f>
        <v>0</v>
      </c>
      <c r="EQ301" s="34" t="n">
        <f aca="false">IF(EQ$8=1,IF(142=Corte,N(V_LC_Saldo0),0),EP$301+EQ$299-EQ$300)</f>
        <v>0</v>
      </c>
      <c r="ER301" s="34" t="n">
        <f aca="false">IF(ER$8=1,IF(143=Corte,N(V_LC_Saldo0),0),EQ$301+ER$299-ER$300)</f>
        <v>0</v>
      </c>
      <c r="ES301" s="34" t="n">
        <f aca="false">IF(ES$8=1,IF(144=Corte,N(V_LC_Saldo0),0),ER$301+ES$299-ES$300)</f>
        <v>0</v>
      </c>
    </row>
    <row r="302" customFormat="false" ht="15" hidden="false" customHeight="false" outlineLevel="0" collapsed="false">
      <c r="A302" s="2" t="s">
        <v>938</v>
      </c>
      <c r="B302" s="6" t="s">
        <v>774</v>
      </c>
      <c r="C302" s="6" t="s">
        <v>250</v>
      </c>
      <c r="E302" s="40" t="n">
        <f aca="false">SUM(F302:ES302)</f>
        <v>2791587</v>
      </c>
      <c r="F302" s="34" t="n">
        <f aca="false">F$292+F$299</f>
        <v>2791587</v>
      </c>
      <c r="G302" s="34" t="n">
        <f aca="false">G$292+G$299</f>
        <v>0</v>
      </c>
      <c r="H302" s="34" t="n">
        <f aca="false">H$292+H$299</f>
        <v>0</v>
      </c>
      <c r="I302" s="34" t="n">
        <f aca="false">I$292+I$299</f>
        <v>0</v>
      </c>
      <c r="J302" s="34" t="n">
        <f aca="false">J$292+J$299</f>
        <v>0</v>
      </c>
      <c r="K302" s="34" t="n">
        <f aca="false">K$292+K$299</f>
        <v>0</v>
      </c>
      <c r="L302" s="34" t="n">
        <f aca="false">L$292+L$299</f>
        <v>0</v>
      </c>
      <c r="M302" s="34" t="n">
        <f aca="false">M$292+M$299</f>
        <v>0</v>
      </c>
      <c r="N302" s="34" t="n">
        <f aca="false">N$292+N$299</f>
        <v>0</v>
      </c>
      <c r="O302" s="34" t="n">
        <f aca="false">O$292+O$299</f>
        <v>0</v>
      </c>
      <c r="P302" s="34" t="n">
        <f aca="false">P$292+P$299</f>
        <v>0</v>
      </c>
      <c r="Q302" s="34" t="n">
        <f aca="false">Q$292+Q$299</f>
        <v>0</v>
      </c>
      <c r="R302" s="34" t="n">
        <f aca="false">R$292+R$299</f>
        <v>0</v>
      </c>
      <c r="S302" s="34" t="n">
        <f aca="false">S$292+S$299</f>
        <v>0</v>
      </c>
      <c r="T302" s="34" t="n">
        <f aca="false">T$292+T$299</f>
        <v>0</v>
      </c>
      <c r="U302" s="34" t="n">
        <f aca="false">U$292+U$299</f>
        <v>0</v>
      </c>
      <c r="V302" s="34" t="n">
        <f aca="false">V$292+V$299</f>
        <v>0</v>
      </c>
      <c r="W302" s="34" t="n">
        <f aca="false">W$292+W$299</f>
        <v>0</v>
      </c>
      <c r="X302" s="34" t="n">
        <f aca="false">X$292+X$299</f>
        <v>0</v>
      </c>
      <c r="Y302" s="34" t="n">
        <f aca="false">Y$292+Y$299</f>
        <v>0</v>
      </c>
      <c r="Z302" s="34" t="n">
        <f aca="false">Z$292+Z$299</f>
        <v>0</v>
      </c>
      <c r="AA302" s="34" t="n">
        <f aca="false">AA$292+AA$299</f>
        <v>0</v>
      </c>
      <c r="AB302" s="34" t="n">
        <f aca="false">AB$292+AB$299</f>
        <v>0</v>
      </c>
      <c r="AC302" s="34" t="n">
        <f aca="false">AC$292+AC$299</f>
        <v>0</v>
      </c>
      <c r="AD302" s="34" t="n">
        <f aca="false">AD$292+AD$299</f>
        <v>0</v>
      </c>
      <c r="AE302" s="34" t="n">
        <f aca="false">AE$292+AE$299</f>
        <v>0</v>
      </c>
      <c r="AF302" s="34" t="n">
        <f aca="false">AF$292+AF$299</f>
        <v>0</v>
      </c>
      <c r="AG302" s="34" t="n">
        <f aca="false">AG$292+AG$299</f>
        <v>0</v>
      </c>
      <c r="AH302" s="34" t="n">
        <f aca="false">AH$292+AH$299</f>
        <v>0</v>
      </c>
      <c r="AI302" s="34" t="n">
        <f aca="false">AI$292+AI$299</f>
        <v>0</v>
      </c>
      <c r="AJ302" s="34" t="n">
        <f aca="false">AJ$292+AJ$299</f>
        <v>0</v>
      </c>
      <c r="AK302" s="34" t="n">
        <f aca="false">AK$292+AK$299</f>
        <v>0</v>
      </c>
      <c r="AL302" s="34" t="n">
        <f aca="false">AL$292+AL$299</f>
        <v>0</v>
      </c>
      <c r="AM302" s="34" t="n">
        <f aca="false">AM$292+AM$299</f>
        <v>0</v>
      </c>
      <c r="AN302" s="34" t="n">
        <f aca="false">AN$292+AN$299</f>
        <v>0</v>
      </c>
      <c r="AO302" s="34" t="n">
        <f aca="false">AO$292+AO$299</f>
        <v>0</v>
      </c>
      <c r="AP302" s="34" t="n">
        <f aca="false">AP$292+AP$299</f>
        <v>0</v>
      </c>
      <c r="AQ302" s="34" t="n">
        <f aca="false">AQ$292+AQ$299</f>
        <v>0</v>
      </c>
      <c r="AR302" s="34" t="n">
        <f aca="false">AR$292+AR$299</f>
        <v>0</v>
      </c>
      <c r="AS302" s="34" t="n">
        <f aca="false">AS$292+AS$299</f>
        <v>0</v>
      </c>
      <c r="AT302" s="34" t="n">
        <f aca="false">AT$292+AT$299</f>
        <v>0</v>
      </c>
      <c r="AU302" s="34" t="n">
        <f aca="false">AU$292+AU$299</f>
        <v>0</v>
      </c>
      <c r="AV302" s="34" t="n">
        <f aca="false">AV$292+AV$299</f>
        <v>0</v>
      </c>
      <c r="AW302" s="34" t="n">
        <f aca="false">AW$292+AW$299</f>
        <v>0</v>
      </c>
      <c r="AX302" s="34" t="n">
        <f aca="false">AX$292+AX$299</f>
        <v>0</v>
      </c>
      <c r="AY302" s="34" t="n">
        <f aca="false">AY$292+AY$299</f>
        <v>0</v>
      </c>
      <c r="AZ302" s="34" t="n">
        <f aca="false">AZ$292+AZ$299</f>
        <v>0</v>
      </c>
      <c r="BA302" s="34" t="n">
        <f aca="false">BA$292+BA$299</f>
        <v>0</v>
      </c>
      <c r="BB302" s="34" t="n">
        <f aca="false">BB$292+BB$299</f>
        <v>0</v>
      </c>
      <c r="BC302" s="34" t="n">
        <f aca="false">BC$292+BC$299</f>
        <v>0</v>
      </c>
      <c r="BD302" s="34" t="n">
        <f aca="false">BD$292+BD$299</f>
        <v>0</v>
      </c>
      <c r="BE302" s="34" t="n">
        <f aca="false">BE$292+BE$299</f>
        <v>0</v>
      </c>
      <c r="BF302" s="34" t="n">
        <f aca="false">BF$292+BF$299</f>
        <v>0</v>
      </c>
      <c r="BG302" s="34" t="n">
        <f aca="false">BG$292+BG$299</f>
        <v>0</v>
      </c>
      <c r="BH302" s="34" t="n">
        <f aca="false">BH$292+BH$299</f>
        <v>0</v>
      </c>
      <c r="BI302" s="34" t="n">
        <f aca="false">BI$292+BI$299</f>
        <v>0</v>
      </c>
      <c r="BJ302" s="34" t="n">
        <f aca="false">BJ$292+BJ$299</f>
        <v>0</v>
      </c>
      <c r="BK302" s="34" t="n">
        <f aca="false">BK$292+BK$299</f>
        <v>0</v>
      </c>
      <c r="BL302" s="34" t="n">
        <f aca="false">BL$292+BL$299</f>
        <v>0</v>
      </c>
      <c r="BM302" s="34" t="n">
        <f aca="false">BM$292+BM$299</f>
        <v>0</v>
      </c>
      <c r="BN302" s="34" t="n">
        <f aca="false">BN$292+BN$299</f>
        <v>0</v>
      </c>
      <c r="BO302" s="34" t="n">
        <f aca="false">BO$292+BO$299</f>
        <v>0</v>
      </c>
      <c r="BP302" s="34" t="n">
        <f aca="false">BP$292+BP$299</f>
        <v>0</v>
      </c>
      <c r="BQ302" s="34" t="n">
        <f aca="false">BQ$292+BQ$299</f>
        <v>0</v>
      </c>
      <c r="BR302" s="34" t="n">
        <f aca="false">BR$292+BR$299</f>
        <v>0</v>
      </c>
      <c r="BS302" s="34" t="n">
        <f aca="false">BS$292+BS$299</f>
        <v>0</v>
      </c>
      <c r="BT302" s="34" t="n">
        <f aca="false">BT$292+BT$299</f>
        <v>0</v>
      </c>
      <c r="BU302" s="34" t="n">
        <f aca="false">BU$292+BU$299</f>
        <v>0</v>
      </c>
      <c r="BV302" s="34" t="n">
        <f aca="false">BV$292+BV$299</f>
        <v>0</v>
      </c>
      <c r="BW302" s="34" t="n">
        <f aca="false">BW$292+BW$299</f>
        <v>0</v>
      </c>
      <c r="BX302" s="34" t="n">
        <f aca="false">BX$292+BX$299</f>
        <v>0</v>
      </c>
      <c r="BY302" s="34" t="n">
        <f aca="false">BY$292+BY$299</f>
        <v>0</v>
      </c>
      <c r="BZ302" s="34" t="n">
        <f aca="false">BZ$292+BZ$299</f>
        <v>0</v>
      </c>
      <c r="CA302" s="34" t="n">
        <f aca="false">CA$292+CA$299</f>
        <v>0</v>
      </c>
      <c r="CB302" s="34" t="n">
        <f aca="false">CB$292+CB$299</f>
        <v>0</v>
      </c>
      <c r="CC302" s="34" t="n">
        <f aca="false">CC$292+CC$299</f>
        <v>0</v>
      </c>
      <c r="CD302" s="34" t="n">
        <f aca="false">CD$292+CD$299</f>
        <v>0</v>
      </c>
      <c r="CE302" s="34" t="n">
        <f aca="false">CE$292+CE$299</f>
        <v>0</v>
      </c>
      <c r="CF302" s="34" t="n">
        <f aca="false">CF$292+CF$299</f>
        <v>0</v>
      </c>
      <c r="CG302" s="34" t="n">
        <f aca="false">CG$292+CG$299</f>
        <v>0</v>
      </c>
      <c r="CH302" s="34" t="n">
        <f aca="false">CH$292+CH$299</f>
        <v>0</v>
      </c>
      <c r="CI302" s="34" t="n">
        <f aca="false">CI$292+CI$299</f>
        <v>0</v>
      </c>
      <c r="CJ302" s="34" t="n">
        <f aca="false">CJ$292+CJ$299</f>
        <v>0</v>
      </c>
      <c r="CK302" s="34" t="n">
        <f aca="false">CK$292+CK$299</f>
        <v>0</v>
      </c>
      <c r="CL302" s="34" t="n">
        <f aca="false">CL$292+CL$299</f>
        <v>0</v>
      </c>
      <c r="CM302" s="34" t="n">
        <f aca="false">CM$292+CM$299</f>
        <v>0</v>
      </c>
      <c r="CN302" s="34" t="n">
        <f aca="false">CN$292+CN$299</f>
        <v>0</v>
      </c>
      <c r="CO302" s="34" t="n">
        <f aca="false">CO$292+CO$299</f>
        <v>0</v>
      </c>
      <c r="CP302" s="34" t="n">
        <f aca="false">CP$292+CP$299</f>
        <v>0</v>
      </c>
      <c r="CQ302" s="34" t="n">
        <f aca="false">CQ$292+CQ$299</f>
        <v>0</v>
      </c>
      <c r="CR302" s="34" t="n">
        <f aca="false">CR$292+CR$299</f>
        <v>0</v>
      </c>
      <c r="CS302" s="34" t="n">
        <f aca="false">CS$292+CS$299</f>
        <v>0</v>
      </c>
      <c r="CT302" s="34" t="n">
        <f aca="false">CT$292+CT$299</f>
        <v>0</v>
      </c>
      <c r="CU302" s="34" t="n">
        <f aca="false">CU$292+CU$299</f>
        <v>0</v>
      </c>
      <c r="CV302" s="34" t="n">
        <f aca="false">CV$292+CV$299</f>
        <v>0</v>
      </c>
      <c r="CW302" s="34" t="n">
        <f aca="false">CW$292+CW$299</f>
        <v>0</v>
      </c>
      <c r="CX302" s="34" t="n">
        <f aca="false">CX$292+CX$299</f>
        <v>0</v>
      </c>
      <c r="CY302" s="34" t="n">
        <f aca="false">CY$292+CY$299</f>
        <v>0</v>
      </c>
      <c r="CZ302" s="34" t="n">
        <f aca="false">CZ$292+CZ$299</f>
        <v>0</v>
      </c>
      <c r="DA302" s="34" t="n">
        <f aca="false">DA$292+DA$299</f>
        <v>0</v>
      </c>
      <c r="DB302" s="34" t="n">
        <f aca="false">DB$292+DB$299</f>
        <v>0</v>
      </c>
      <c r="DC302" s="34" t="n">
        <f aca="false">DC$292+DC$299</f>
        <v>0</v>
      </c>
      <c r="DD302" s="34" t="n">
        <f aca="false">DD$292+DD$299</f>
        <v>0</v>
      </c>
      <c r="DE302" s="34" t="n">
        <f aca="false">DE$292+DE$299</f>
        <v>0</v>
      </c>
      <c r="DF302" s="34" t="n">
        <f aca="false">DF$292+DF$299</f>
        <v>0</v>
      </c>
      <c r="DG302" s="34" t="n">
        <f aca="false">DG$292+DG$299</f>
        <v>0</v>
      </c>
      <c r="DH302" s="34" t="n">
        <f aca="false">DH$292+DH$299</f>
        <v>0</v>
      </c>
      <c r="DI302" s="34" t="n">
        <f aca="false">DI$292+DI$299</f>
        <v>0</v>
      </c>
      <c r="DJ302" s="34" t="n">
        <f aca="false">DJ$292+DJ$299</f>
        <v>0</v>
      </c>
      <c r="DK302" s="34" t="n">
        <f aca="false">DK$292+DK$299</f>
        <v>0</v>
      </c>
      <c r="DL302" s="34" t="n">
        <f aca="false">DL$292+DL$299</f>
        <v>0</v>
      </c>
      <c r="DM302" s="34" t="n">
        <f aca="false">DM$292+DM$299</f>
        <v>0</v>
      </c>
      <c r="DN302" s="34" t="n">
        <f aca="false">DN$292+DN$299</f>
        <v>0</v>
      </c>
      <c r="DO302" s="34" t="n">
        <f aca="false">DO$292+DO$299</f>
        <v>0</v>
      </c>
      <c r="DP302" s="34" t="n">
        <f aca="false">DP$292+DP$299</f>
        <v>0</v>
      </c>
      <c r="DQ302" s="34" t="n">
        <f aca="false">DQ$292+DQ$299</f>
        <v>0</v>
      </c>
      <c r="DR302" s="34" t="n">
        <f aca="false">DR$292+DR$299</f>
        <v>0</v>
      </c>
      <c r="DS302" s="34" t="n">
        <f aca="false">DS$292+DS$299</f>
        <v>0</v>
      </c>
      <c r="DT302" s="34" t="n">
        <f aca="false">DT$292+DT$299</f>
        <v>0</v>
      </c>
      <c r="DU302" s="34" t="n">
        <f aca="false">DU$292+DU$299</f>
        <v>0</v>
      </c>
      <c r="DV302" s="34" t="n">
        <f aca="false">DV$292+DV$299</f>
        <v>0</v>
      </c>
      <c r="DW302" s="34" t="n">
        <f aca="false">DW$292+DW$299</f>
        <v>0</v>
      </c>
      <c r="DX302" s="34" t="n">
        <f aca="false">DX$292+DX$299</f>
        <v>0</v>
      </c>
      <c r="DY302" s="34" t="n">
        <f aca="false">DY$292+DY$299</f>
        <v>0</v>
      </c>
      <c r="DZ302" s="34" t="n">
        <f aca="false">DZ$292+DZ$299</f>
        <v>0</v>
      </c>
      <c r="EA302" s="34" t="n">
        <f aca="false">EA$292+EA$299</f>
        <v>0</v>
      </c>
      <c r="EB302" s="34" t="n">
        <f aca="false">EB$292+EB$299</f>
        <v>0</v>
      </c>
      <c r="EC302" s="34" t="n">
        <f aca="false">EC$292+EC$299</f>
        <v>0</v>
      </c>
      <c r="ED302" s="34" t="n">
        <f aca="false">ED$292+ED$299</f>
        <v>0</v>
      </c>
      <c r="EE302" s="34" t="n">
        <f aca="false">EE$292+EE$299</f>
        <v>0</v>
      </c>
      <c r="EF302" s="34" t="n">
        <f aca="false">EF$292+EF$299</f>
        <v>0</v>
      </c>
      <c r="EG302" s="34" t="n">
        <f aca="false">EG$292+EG$299</f>
        <v>0</v>
      </c>
      <c r="EH302" s="34" t="n">
        <f aca="false">EH$292+EH$299</f>
        <v>0</v>
      </c>
      <c r="EI302" s="34" t="n">
        <f aca="false">EI$292+EI$299</f>
        <v>0</v>
      </c>
      <c r="EJ302" s="34" t="n">
        <f aca="false">EJ$292+EJ$299</f>
        <v>0</v>
      </c>
      <c r="EK302" s="34" t="n">
        <f aca="false">EK$292+EK$299</f>
        <v>0</v>
      </c>
      <c r="EL302" s="34" t="n">
        <f aca="false">EL$292+EL$299</f>
        <v>0</v>
      </c>
      <c r="EM302" s="34" t="n">
        <f aca="false">EM$292+EM$299</f>
        <v>0</v>
      </c>
      <c r="EN302" s="34" t="n">
        <f aca="false">EN$292+EN$299</f>
        <v>0</v>
      </c>
      <c r="EO302" s="34" t="n">
        <f aca="false">EO$292+EO$299</f>
        <v>0</v>
      </c>
      <c r="EP302" s="34" t="n">
        <f aca="false">EP$292+EP$299</f>
        <v>0</v>
      </c>
      <c r="EQ302" s="34" t="n">
        <f aca="false">EQ$292+EQ$299</f>
        <v>0</v>
      </c>
      <c r="ER302" s="34" t="n">
        <f aca="false">ER$292+ER$299</f>
        <v>0</v>
      </c>
      <c r="ES302" s="34" t="n">
        <f aca="false">ES$292+ES$299</f>
        <v>0</v>
      </c>
    </row>
    <row r="303" customFormat="false" ht="15" hidden="false" customHeight="false" outlineLevel="0" collapsed="false">
      <c r="A303" s="2" t="s">
        <v>939</v>
      </c>
      <c r="B303" s="6" t="s">
        <v>776</v>
      </c>
      <c r="C303" s="6" t="s">
        <v>250</v>
      </c>
      <c r="E303" s="40" t="n">
        <f aca="false">SUM(F303:ES303)</f>
        <v>2791587</v>
      </c>
      <c r="F303" s="34" t="n">
        <f aca="false">F$293+F$300</f>
        <v>0</v>
      </c>
      <c r="G303" s="34" t="n">
        <f aca="false">G$293+G$300</f>
        <v>0</v>
      </c>
      <c r="H303" s="34" t="n">
        <f aca="false">H$293+H$300</f>
        <v>0</v>
      </c>
      <c r="I303" s="34" t="n">
        <f aca="false">I$293+I$300</f>
        <v>0</v>
      </c>
      <c r="J303" s="34" t="n">
        <f aca="false">J$293+J$300</f>
        <v>0</v>
      </c>
      <c r="K303" s="34" t="n">
        <f aca="false">K$293+K$300</f>
        <v>0</v>
      </c>
      <c r="L303" s="34" t="n">
        <f aca="false">L$293+L$300</f>
        <v>42123.3040946878</v>
      </c>
      <c r="M303" s="34" t="n">
        <f aca="false">M$293+M$300</f>
        <v>42439.2288753979</v>
      </c>
      <c r="N303" s="34" t="n">
        <f aca="false">N$293+N$300</f>
        <v>42757.5230919634</v>
      </c>
      <c r="O303" s="34" t="n">
        <f aca="false">O$293+O$300</f>
        <v>43078.2045151531</v>
      </c>
      <c r="P303" s="34" t="n">
        <f aca="false">P$293+P$300</f>
        <v>43401.2910490168</v>
      </c>
      <c r="Q303" s="34" t="n">
        <f aca="false">Q$293+Q$300</f>
        <v>43726.8007318844</v>
      </c>
      <c r="R303" s="34" t="n">
        <f aca="false">R$293+R$300</f>
        <v>44054.7517373735</v>
      </c>
      <c r="S303" s="34" t="n">
        <f aca="false">S$293+S$300</f>
        <v>44385.1623754038</v>
      </c>
      <c r="T303" s="34" t="n">
        <f aca="false">T$293+T$300</f>
        <v>44718.0510932194</v>
      </c>
      <c r="U303" s="34" t="n">
        <f aca="false">U$293+U$300</f>
        <v>45053.4364764185</v>
      </c>
      <c r="V303" s="34" t="n">
        <f aca="false">V$293+V$300</f>
        <v>45391.3372499916</v>
      </c>
      <c r="W303" s="34" t="n">
        <f aca="false">W$293+W$300</f>
        <v>45731.7722793666</v>
      </c>
      <c r="X303" s="34" t="n">
        <f aca="false">X$293+X$300</f>
        <v>46074.7605714618</v>
      </c>
      <c r="Y303" s="34" t="n">
        <f aca="false">Y$293+Y$300</f>
        <v>46420.3212757478</v>
      </c>
      <c r="Z303" s="34" t="n">
        <f aca="false">Z$293+Z$300</f>
        <v>46768.4736853159</v>
      </c>
      <c r="AA303" s="34" t="n">
        <f aca="false">AA$293+AA$300</f>
        <v>47119.2372379558</v>
      </c>
      <c r="AB303" s="34" t="n">
        <f aca="false">AB$293+AB$300</f>
        <v>47472.6315172404</v>
      </c>
      <c r="AC303" s="34" t="n">
        <f aca="false">AC$293+AC$300</f>
        <v>47828.6762536197</v>
      </c>
      <c r="AD303" s="34" t="n">
        <f aca="false">AD$293+AD$300</f>
        <v>48187.3913255219</v>
      </c>
      <c r="AE303" s="34" t="n">
        <f aca="false">AE$293+AE$300</f>
        <v>48548.7967604633</v>
      </c>
      <c r="AF303" s="34" t="n">
        <f aca="false">AF$293+AF$300</f>
        <v>48912.9127361668</v>
      </c>
      <c r="AG303" s="34" t="n">
        <f aca="false">AG$293+AG$300</f>
        <v>49279.759581688</v>
      </c>
      <c r="AH303" s="34" t="n">
        <f aca="false">AH$293+AH$300</f>
        <v>49649.3577785507</v>
      </c>
      <c r="AI303" s="34" t="n">
        <f aca="false">AI$293+AI$300</f>
        <v>50021.7279618898</v>
      </c>
      <c r="AJ303" s="34" t="n">
        <f aca="false">AJ$293+AJ$300</f>
        <v>50396.890921604</v>
      </c>
      <c r="AK303" s="34" t="n">
        <f aca="false">AK$293+AK$300</f>
        <v>50774.867603516</v>
      </c>
      <c r="AL303" s="34" t="n">
        <f aca="false">AL$293+AL$300</f>
        <v>51155.6791105424</v>
      </c>
      <c r="AM303" s="34" t="n">
        <f aca="false">AM$293+AM$300</f>
        <v>51539.3467038715</v>
      </c>
      <c r="AN303" s="34" t="n">
        <f aca="false">AN$293+AN$300</f>
        <v>51925.8918041505</v>
      </c>
      <c r="AO303" s="34" t="n">
        <f aca="false">AO$293+AO$300</f>
        <v>52315.3359926816</v>
      </c>
      <c r="AP303" s="34" t="n">
        <f aca="false">AP$293+AP$300</f>
        <v>52707.7010126267</v>
      </c>
      <c r="AQ303" s="34" t="n">
        <f aca="false">AQ$293+AQ$300</f>
        <v>53103.0087702214</v>
      </c>
      <c r="AR303" s="34" t="n">
        <f aca="false">AR$293+AR$300</f>
        <v>53501.2813359981</v>
      </c>
      <c r="AS303" s="34" t="n">
        <f aca="false">AS$293+AS$300</f>
        <v>53902.5409460181</v>
      </c>
      <c r="AT303" s="34" t="n">
        <f aca="false">AT$293+AT$300</f>
        <v>54306.8100031132</v>
      </c>
      <c r="AU303" s="34" t="n">
        <f aca="false">AU$293+AU$300</f>
        <v>54714.1110781366</v>
      </c>
      <c r="AV303" s="34" t="n">
        <f aca="false">AV$293+AV$300</f>
        <v>55124.4669112226</v>
      </c>
      <c r="AW303" s="34" t="n">
        <f aca="false">AW$293+AW$300</f>
        <v>55537.9004130568</v>
      </c>
      <c r="AX303" s="34" t="n">
        <f aca="false">AX$293+AX$300</f>
        <v>55954.4346661547</v>
      </c>
      <c r="AY303" s="34" t="n">
        <f aca="false">AY$293+AY$300</f>
        <v>56374.0929261509</v>
      </c>
      <c r="AZ303" s="34" t="n">
        <f aca="false">AZ$293+AZ$300</f>
        <v>56796.898623097</v>
      </c>
      <c r="BA303" s="34" t="n">
        <f aca="false">BA$293+BA$300</f>
        <v>57222.8753627702</v>
      </c>
      <c r="BB303" s="34" t="n">
        <f aca="false">BB$293+BB$300</f>
        <v>57652.046927991</v>
      </c>
      <c r="BC303" s="34" t="n">
        <f aca="false">BC$293+BC$300</f>
        <v>58084.4372799509</v>
      </c>
      <c r="BD303" s="34" t="n">
        <f aca="false">BD$293+BD$300</f>
        <v>58520.0705595506</v>
      </c>
      <c r="BE303" s="34" t="n">
        <f aca="false">BE$293+BE$300</f>
        <v>58958.9710887472</v>
      </c>
      <c r="BF303" s="34" t="n">
        <f aca="false">BF$293+BF$300</f>
        <v>59401.1633719128</v>
      </c>
      <c r="BG303" s="34" t="n">
        <f aca="false">BG$293+BG$300</f>
        <v>59846.6720972021</v>
      </c>
      <c r="BH303" s="34" t="n">
        <f aca="false">BH$293+BH$300</f>
        <v>60295.5221379312</v>
      </c>
      <c r="BI303" s="34" t="n">
        <f aca="false">BI$293+BI$300</f>
        <v>60747.7385539656</v>
      </c>
      <c r="BJ303" s="34" t="n">
        <f aca="false">BJ$293+BJ$300</f>
        <v>61203.3465931204</v>
      </c>
      <c r="BK303" s="34" t="n">
        <f aca="false">BK$293+BK$300</f>
        <v>61662.3716925688</v>
      </c>
      <c r="BL303" s="34" t="n">
        <f aca="false">BL$293+BL$300</f>
        <v>62124.839480263</v>
      </c>
      <c r="BM303" s="34" t="n">
        <f aca="false">BM$293+BM$300</f>
        <v>62590.7757763667</v>
      </c>
      <c r="BN303" s="34" t="n">
        <f aca="false">BN$293+BN$300</f>
        <v>0</v>
      </c>
      <c r="BO303" s="34" t="n">
        <f aca="false">BO$293+BO$300</f>
        <v>0</v>
      </c>
      <c r="BP303" s="34" t="n">
        <f aca="false">BP$293+BP$300</f>
        <v>0</v>
      </c>
      <c r="BQ303" s="34" t="n">
        <f aca="false">BQ$293+BQ$300</f>
        <v>0</v>
      </c>
      <c r="BR303" s="34" t="n">
        <f aca="false">BR$293+BR$300</f>
        <v>0</v>
      </c>
      <c r="BS303" s="34" t="n">
        <f aca="false">BS$293+BS$300</f>
        <v>0</v>
      </c>
      <c r="BT303" s="34" t="n">
        <f aca="false">BT$293+BT$300</f>
        <v>0</v>
      </c>
      <c r="BU303" s="34" t="n">
        <f aca="false">BU$293+BU$300</f>
        <v>0</v>
      </c>
      <c r="BV303" s="34" t="n">
        <f aca="false">BV$293+BV$300</f>
        <v>0</v>
      </c>
      <c r="BW303" s="34" t="n">
        <f aca="false">BW$293+BW$300</f>
        <v>0</v>
      </c>
      <c r="BX303" s="34" t="n">
        <f aca="false">BX$293+BX$300</f>
        <v>0</v>
      </c>
      <c r="BY303" s="34" t="n">
        <f aca="false">BY$293+BY$300</f>
        <v>0</v>
      </c>
      <c r="BZ303" s="34" t="n">
        <f aca="false">BZ$293+BZ$300</f>
        <v>0</v>
      </c>
      <c r="CA303" s="34" t="n">
        <f aca="false">CA$293+CA$300</f>
        <v>0</v>
      </c>
      <c r="CB303" s="34" t="n">
        <f aca="false">CB$293+CB$300</f>
        <v>0</v>
      </c>
      <c r="CC303" s="34" t="n">
        <f aca="false">CC$293+CC$300</f>
        <v>0</v>
      </c>
      <c r="CD303" s="34" t="n">
        <f aca="false">CD$293+CD$300</f>
        <v>0</v>
      </c>
      <c r="CE303" s="34" t="n">
        <f aca="false">CE$293+CE$300</f>
        <v>0</v>
      </c>
      <c r="CF303" s="34" t="n">
        <f aca="false">CF$293+CF$300</f>
        <v>0</v>
      </c>
      <c r="CG303" s="34" t="n">
        <f aca="false">CG$293+CG$300</f>
        <v>0</v>
      </c>
      <c r="CH303" s="34" t="n">
        <f aca="false">CH$293+CH$300</f>
        <v>0</v>
      </c>
      <c r="CI303" s="34" t="n">
        <f aca="false">CI$293+CI$300</f>
        <v>0</v>
      </c>
      <c r="CJ303" s="34" t="n">
        <f aca="false">CJ$293+CJ$300</f>
        <v>0</v>
      </c>
      <c r="CK303" s="34" t="n">
        <f aca="false">CK$293+CK$300</f>
        <v>0</v>
      </c>
      <c r="CL303" s="34" t="n">
        <f aca="false">CL$293+CL$300</f>
        <v>0</v>
      </c>
      <c r="CM303" s="34" t="n">
        <f aca="false">CM$293+CM$300</f>
        <v>0</v>
      </c>
      <c r="CN303" s="34" t="n">
        <f aca="false">CN$293+CN$300</f>
        <v>0</v>
      </c>
      <c r="CO303" s="34" t="n">
        <f aca="false">CO$293+CO$300</f>
        <v>0</v>
      </c>
      <c r="CP303" s="34" t="n">
        <f aca="false">CP$293+CP$300</f>
        <v>0</v>
      </c>
      <c r="CQ303" s="34" t="n">
        <f aca="false">CQ$293+CQ$300</f>
        <v>0</v>
      </c>
      <c r="CR303" s="34" t="n">
        <f aca="false">CR$293+CR$300</f>
        <v>0</v>
      </c>
      <c r="CS303" s="34" t="n">
        <f aca="false">CS$293+CS$300</f>
        <v>0</v>
      </c>
      <c r="CT303" s="34" t="n">
        <f aca="false">CT$293+CT$300</f>
        <v>0</v>
      </c>
      <c r="CU303" s="34" t="n">
        <f aca="false">CU$293+CU$300</f>
        <v>0</v>
      </c>
      <c r="CV303" s="34" t="n">
        <f aca="false">CV$293+CV$300</f>
        <v>0</v>
      </c>
      <c r="CW303" s="34" t="n">
        <f aca="false">CW$293+CW$300</f>
        <v>0</v>
      </c>
      <c r="CX303" s="34" t="n">
        <f aca="false">CX$293+CX$300</f>
        <v>0</v>
      </c>
      <c r="CY303" s="34" t="n">
        <f aca="false">CY$293+CY$300</f>
        <v>0</v>
      </c>
      <c r="CZ303" s="34" t="n">
        <f aca="false">CZ$293+CZ$300</f>
        <v>0</v>
      </c>
      <c r="DA303" s="34" t="n">
        <f aca="false">DA$293+DA$300</f>
        <v>0</v>
      </c>
      <c r="DB303" s="34" t="n">
        <f aca="false">DB$293+DB$300</f>
        <v>0</v>
      </c>
      <c r="DC303" s="34" t="n">
        <f aca="false">DC$293+DC$300</f>
        <v>0</v>
      </c>
      <c r="DD303" s="34" t="n">
        <f aca="false">DD$293+DD$300</f>
        <v>0</v>
      </c>
      <c r="DE303" s="34" t="n">
        <f aca="false">DE$293+DE$300</f>
        <v>0</v>
      </c>
      <c r="DF303" s="34" t="n">
        <f aca="false">DF$293+DF$300</f>
        <v>0</v>
      </c>
      <c r="DG303" s="34" t="n">
        <f aca="false">DG$293+DG$300</f>
        <v>0</v>
      </c>
      <c r="DH303" s="34" t="n">
        <f aca="false">DH$293+DH$300</f>
        <v>0</v>
      </c>
      <c r="DI303" s="34" t="n">
        <f aca="false">DI$293+DI$300</f>
        <v>0</v>
      </c>
      <c r="DJ303" s="34" t="n">
        <f aca="false">DJ$293+DJ$300</f>
        <v>0</v>
      </c>
      <c r="DK303" s="34" t="n">
        <f aca="false">DK$293+DK$300</f>
        <v>0</v>
      </c>
      <c r="DL303" s="34" t="n">
        <f aca="false">DL$293+DL$300</f>
        <v>0</v>
      </c>
      <c r="DM303" s="34" t="n">
        <f aca="false">DM$293+DM$300</f>
        <v>0</v>
      </c>
      <c r="DN303" s="34" t="n">
        <f aca="false">DN$293+DN$300</f>
        <v>0</v>
      </c>
      <c r="DO303" s="34" t="n">
        <f aca="false">DO$293+DO$300</f>
        <v>0</v>
      </c>
      <c r="DP303" s="34" t="n">
        <f aca="false">DP$293+DP$300</f>
        <v>0</v>
      </c>
      <c r="DQ303" s="34" t="n">
        <f aca="false">DQ$293+DQ$300</f>
        <v>0</v>
      </c>
      <c r="DR303" s="34" t="n">
        <f aca="false">DR$293+DR$300</f>
        <v>0</v>
      </c>
      <c r="DS303" s="34" t="n">
        <f aca="false">DS$293+DS$300</f>
        <v>0</v>
      </c>
      <c r="DT303" s="34" t="n">
        <f aca="false">DT$293+DT$300</f>
        <v>0</v>
      </c>
      <c r="DU303" s="34" t="n">
        <f aca="false">DU$293+DU$300</f>
        <v>0</v>
      </c>
      <c r="DV303" s="34" t="n">
        <f aca="false">DV$293+DV$300</f>
        <v>0</v>
      </c>
      <c r="DW303" s="34" t="n">
        <f aca="false">DW$293+DW$300</f>
        <v>0</v>
      </c>
      <c r="DX303" s="34" t="n">
        <f aca="false">DX$293+DX$300</f>
        <v>0</v>
      </c>
      <c r="DY303" s="34" t="n">
        <f aca="false">DY$293+DY$300</f>
        <v>0</v>
      </c>
      <c r="DZ303" s="34" t="n">
        <f aca="false">DZ$293+DZ$300</f>
        <v>0</v>
      </c>
      <c r="EA303" s="34" t="n">
        <f aca="false">EA$293+EA$300</f>
        <v>0</v>
      </c>
      <c r="EB303" s="34" t="n">
        <f aca="false">EB$293+EB$300</f>
        <v>0</v>
      </c>
      <c r="EC303" s="34" t="n">
        <f aca="false">EC$293+EC$300</f>
        <v>0</v>
      </c>
      <c r="ED303" s="34" t="n">
        <f aca="false">ED$293+ED$300</f>
        <v>0</v>
      </c>
      <c r="EE303" s="34" t="n">
        <f aca="false">EE$293+EE$300</f>
        <v>0</v>
      </c>
      <c r="EF303" s="34" t="n">
        <f aca="false">EF$293+EF$300</f>
        <v>0</v>
      </c>
      <c r="EG303" s="34" t="n">
        <f aca="false">EG$293+EG$300</f>
        <v>0</v>
      </c>
      <c r="EH303" s="34" t="n">
        <f aca="false">EH$293+EH$300</f>
        <v>0</v>
      </c>
      <c r="EI303" s="34" t="n">
        <f aca="false">EI$293+EI$300</f>
        <v>0</v>
      </c>
      <c r="EJ303" s="34" t="n">
        <f aca="false">EJ$293+EJ$300</f>
        <v>0</v>
      </c>
      <c r="EK303" s="34" t="n">
        <f aca="false">EK$293+EK$300</f>
        <v>0</v>
      </c>
      <c r="EL303" s="34" t="n">
        <f aca="false">EL$293+EL$300</f>
        <v>0</v>
      </c>
      <c r="EM303" s="34" t="n">
        <f aca="false">EM$293+EM$300</f>
        <v>0</v>
      </c>
      <c r="EN303" s="34" t="n">
        <f aca="false">EN$293+EN$300</f>
        <v>0</v>
      </c>
      <c r="EO303" s="34" t="n">
        <f aca="false">EO$293+EO$300</f>
        <v>0</v>
      </c>
      <c r="EP303" s="34" t="n">
        <f aca="false">EP$293+EP$300</f>
        <v>0</v>
      </c>
      <c r="EQ303" s="34" t="n">
        <f aca="false">EQ$293+EQ$300</f>
        <v>0</v>
      </c>
      <c r="ER303" s="34" t="n">
        <f aca="false">ER$293+ER$300</f>
        <v>0</v>
      </c>
      <c r="ES303" s="34" t="n">
        <f aca="false">ES$293+ES$300</f>
        <v>0</v>
      </c>
    </row>
    <row r="304" customFormat="false" ht="15" hidden="false" customHeight="false" outlineLevel="0" collapsed="false">
      <c r="A304" s="2" t="s">
        <v>940</v>
      </c>
      <c r="B304" s="52" t="s">
        <v>778</v>
      </c>
      <c r="C304" s="6" t="s">
        <v>250</v>
      </c>
      <c r="E304" s="40" t="n">
        <f aca="false">MAX(F304:ES304)</f>
        <v>2791587</v>
      </c>
      <c r="F304" s="10" t="n">
        <f aca="false">0+F$302-F$303</f>
        <v>2791587</v>
      </c>
      <c r="G304" s="10" t="n">
        <f aca="false">F$304+G$302-G$303</f>
        <v>2791587</v>
      </c>
      <c r="H304" s="10" t="n">
        <f aca="false">G$304+H$302-H$303</f>
        <v>2791587</v>
      </c>
      <c r="I304" s="10" t="n">
        <f aca="false">H$304+I$302-I$303</f>
        <v>2791587</v>
      </c>
      <c r="J304" s="10" t="n">
        <f aca="false">I$304+J$302-J$303</f>
        <v>2791587</v>
      </c>
      <c r="K304" s="10" t="n">
        <f aca="false">J$304+K$302-K$303</f>
        <v>2791587</v>
      </c>
      <c r="L304" s="10" t="n">
        <f aca="false">K$304+L$302-L$303</f>
        <v>2749463.69590531</v>
      </c>
      <c r="M304" s="10" t="n">
        <f aca="false">L$304+M$302-M$303</f>
        <v>2707024.46702991</v>
      </c>
      <c r="N304" s="10" t="n">
        <f aca="false">M$304+N$302-N$303</f>
        <v>2664266.94393795</v>
      </c>
      <c r="O304" s="10" t="n">
        <f aca="false">N$304+O$302-O$303</f>
        <v>2621188.7394228</v>
      </c>
      <c r="P304" s="10" t="n">
        <f aca="false">O$304+P$302-P$303</f>
        <v>2577787.44837378</v>
      </c>
      <c r="Q304" s="10" t="n">
        <f aca="false">P$304+Q$302-Q$303</f>
        <v>2534060.6476419</v>
      </c>
      <c r="R304" s="10" t="n">
        <f aca="false">Q$304+R$302-R$303</f>
        <v>2490005.89590452</v>
      </c>
      <c r="S304" s="10" t="n">
        <f aca="false">R$304+S$302-S$303</f>
        <v>2445620.73352912</v>
      </c>
      <c r="T304" s="10" t="n">
        <f aca="false">S$304+T$302-T$303</f>
        <v>2400902.6824359</v>
      </c>
      <c r="U304" s="10" t="n">
        <f aca="false">T$304+U$302-U$303</f>
        <v>2355849.24595948</v>
      </c>
      <c r="V304" s="10" t="n">
        <f aca="false">U$304+V$302-V$303</f>
        <v>2310457.90870949</v>
      </c>
      <c r="W304" s="10" t="n">
        <f aca="false">V$304+W$302-W$303</f>
        <v>2264726.13643012</v>
      </c>
      <c r="X304" s="10" t="n">
        <f aca="false">W$304+X$302-X$303</f>
        <v>2218651.37585866</v>
      </c>
      <c r="Y304" s="10" t="n">
        <f aca="false">X$304+Y$302-Y$303</f>
        <v>2172231.05458292</v>
      </c>
      <c r="Z304" s="10" t="n">
        <f aca="false">Y$304+Z$302-Z$303</f>
        <v>2125462.5808976</v>
      </c>
      <c r="AA304" s="10" t="n">
        <f aca="false">Z$304+AA$302-AA$303</f>
        <v>2078343.34365964</v>
      </c>
      <c r="AB304" s="10" t="n">
        <f aca="false">AA$304+AB$302-AB$303</f>
        <v>2030870.7121424</v>
      </c>
      <c r="AC304" s="10" t="n">
        <f aca="false">AB$304+AC$302-AC$303</f>
        <v>1983042.03588878</v>
      </c>
      <c r="AD304" s="10" t="n">
        <f aca="false">AC$304+AD$302-AD$303</f>
        <v>1934854.64456326</v>
      </c>
      <c r="AE304" s="10" t="n">
        <f aca="false">AD$304+AE$302-AE$303</f>
        <v>1886305.8478028</v>
      </c>
      <c r="AF304" s="10" t="n">
        <f aca="false">AE$304+AF$302-AF$303</f>
        <v>1837392.93506663</v>
      </c>
      <c r="AG304" s="10" t="n">
        <f aca="false">AF$304+AG$302-AG$303</f>
        <v>1788113.17548494</v>
      </c>
      <c r="AH304" s="10" t="n">
        <f aca="false">AG$304+AH$302-AH$303</f>
        <v>1738463.81770639</v>
      </c>
      <c r="AI304" s="10" t="n">
        <f aca="false">AH$304+AI$302-AI$303</f>
        <v>1688442.0897445</v>
      </c>
      <c r="AJ304" s="10" t="n">
        <f aca="false">AI$304+AJ$302-AJ$303</f>
        <v>1638045.1988229</v>
      </c>
      <c r="AK304" s="10" t="n">
        <f aca="false">AJ$304+AK$302-AK$303</f>
        <v>1587270.33121938</v>
      </c>
      <c r="AL304" s="10" t="n">
        <f aca="false">AK$304+AL$302-AL$303</f>
        <v>1536114.65210884</v>
      </c>
      <c r="AM304" s="10" t="n">
        <f aca="false">AL$304+AM$302-AM$303</f>
        <v>1484575.30540497</v>
      </c>
      <c r="AN304" s="10" t="n">
        <f aca="false">AM$304+AN$302-AN$303</f>
        <v>1432649.41360082</v>
      </c>
      <c r="AO304" s="10" t="n">
        <f aca="false">AN$304+AO$302-AO$303</f>
        <v>1380334.07760814</v>
      </c>
      <c r="AP304" s="10" t="n">
        <f aca="false">AO$304+AP$302-AP$303</f>
        <v>1327626.37659551</v>
      </c>
      <c r="AQ304" s="10" t="n">
        <f aca="false">AP$304+AQ$302-AQ$303</f>
        <v>1274523.36782529</v>
      </c>
      <c r="AR304" s="10" t="n">
        <f aca="false">AQ$304+AR$302-AR$303</f>
        <v>1221022.08648929</v>
      </c>
      <c r="AS304" s="10" t="n">
        <f aca="false">AR$304+AS$302-AS$303</f>
        <v>1167119.54554327</v>
      </c>
      <c r="AT304" s="10" t="n">
        <f aca="false">AS$304+AT$302-AT$303</f>
        <v>1112812.73554016</v>
      </c>
      <c r="AU304" s="10" t="n">
        <f aca="false">AT$304+AU$302-AU$303</f>
        <v>1058098.62446202</v>
      </c>
      <c r="AV304" s="10" t="n">
        <f aca="false">AU$304+AV$302-AV$303</f>
        <v>1002974.1575508</v>
      </c>
      <c r="AW304" s="10" t="n">
        <f aca="false">AV$304+AW$302-AW$303</f>
        <v>947436.257137743</v>
      </c>
      <c r="AX304" s="10" t="n">
        <f aca="false">AW$304+AX$302-AX$303</f>
        <v>891481.822471588</v>
      </c>
      <c r="AY304" s="10" t="n">
        <f aca="false">AX$304+AY$302-AY$303</f>
        <v>835107.729545437</v>
      </c>
      <c r="AZ304" s="10" t="n">
        <f aca="false">AY$304+AZ$302-AZ$303</f>
        <v>778310.83092234</v>
      </c>
      <c r="BA304" s="10" t="n">
        <f aca="false">AZ$304+BA$302-BA$303</f>
        <v>721087.95555957</v>
      </c>
      <c r="BB304" s="10" t="n">
        <f aca="false">BA$304+BB$302-BB$303</f>
        <v>663435.908631579</v>
      </c>
      <c r="BC304" s="10" t="n">
        <f aca="false">BB$304+BC$302-BC$303</f>
        <v>605351.471351628</v>
      </c>
      <c r="BD304" s="10" t="n">
        <f aca="false">BC$304+BD$302-BD$303</f>
        <v>546831.400792078</v>
      </c>
      <c r="BE304" s="10" t="n">
        <f aca="false">BD$304+BE$302-BE$303</f>
        <v>487872.429703331</v>
      </c>
      <c r="BF304" s="10" t="n">
        <f aca="false">BE$304+BF$302-BF$303</f>
        <v>428471.266331418</v>
      </c>
      <c r="BG304" s="10" t="n">
        <f aca="false">BF$304+BG$302-BG$303</f>
        <v>368624.594234216</v>
      </c>
      <c r="BH304" s="10" t="n">
        <f aca="false">BG$304+BH$302-BH$303</f>
        <v>308329.072096285</v>
      </c>
      <c r="BI304" s="10" t="n">
        <f aca="false">BH$304+BI$302-BI$303</f>
        <v>247581.333542319</v>
      </c>
      <c r="BJ304" s="10" t="n">
        <f aca="false">BI$304+BJ$302-BJ$303</f>
        <v>186377.986949199</v>
      </c>
      <c r="BK304" s="10" t="n">
        <f aca="false">BJ$304+BK$302-BK$303</f>
        <v>124715.61525663</v>
      </c>
      <c r="BL304" s="10" t="n">
        <f aca="false">BK$304+BL$302-BL$303</f>
        <v>62590.7757763667</v>
      </c>
      <c r="BM304" s="10" t="n">
        <f aca="false">BL$304+BM$302-BM$303</f>
        <v>0</v>
      </c>
      <c r="BN304" s="10" t="n">
        <f aca="false">BM$304+BN$302-BN$303</f>
        <v>0</v>
      </c>
      <c r="BO304" s="10" t="n">
        <f aca="false">BN$304+BO$302-BO$303</f>
        <v>0</v>
      </c>
      <c r="BP304" s="10" t="n">
        <f aca="false">BO$304+BP$302-BP$303</f>
        <v>0</v>
      </c>
      <c r="BQ304" s="10" t="n">
        <f aca="false">BP$304+BQ$302-BQ$303</f>
        <v>0</v>
      </c>
      <c r="BR304" s="10" t="n">
        <f aca="false">BQ$304+BR$302-BR$303</f>
        <v>0</v>
      </c>
      <c r="BS304" s="10" t="n">
        <f aca="false">BR$304+BS$302-BS$303</f>
        <v>0</v>
      </c>
      <c r="BT304" s="10" t="n">
        <f aca="false">BS$304+BT$302-BT$303</f>
        <v>0</v>
      </c>
      <c r="BU304" s="10" t="n">
        <f aca="false">BT$304+BU$302-BU$303</f>
        <v>0</v>
      </c>
      <c r="BV304" s="10" t="n">
        <f aca="false">BU$304+BV$302-BV$303</f>
        <v>0</v>
      </c>
      <c r="BW304" s="10" t="n">
        <f aca="false">BV$304+BW$302-BW$303</f>
        <v>0</v>
      </c>
      <c r="BX304" s="10" t="n">
        <f aca="false">BW$304+BX$302-BX$303</f>
        <v>0</v>
      </c>
      <c r="BY304" s="10" t="n">
        <f aca="false">BX$304+BY$302-BY$303</f>
        <v>0</v>
      </c>
      <c r="BZ304" s="10" t="n">
        <f aca="false">BY$304+BZ$302-BZ$303</f>
        <v>0</v>
      </c>
      <c r="CA304" s="10" t="n">
        <f aca="false">BZ$304+CA$302-CA$303</f>
        <v>0</v>
      </c>
      <c r="CB304" s="10" t="n">
        <f aca="false">CA$304+CB$302-CB$303</f>
        <v>0</v>
      </c>
      <c r="CC304" s="10" t="n">
        <f aca="false">CB$304+CC$302-CC$303</f>
        <v>0</v>
      </c>
      <c r="CD304" s="10" t="n">
        <f aca="false">CC$304+CD$302-CD$303</f>
        <v>0</v>
      </c>
      <c r="CE304" s="10" t="n">
        <f aca="false">CD$304+CE$302-CE$303</f>
        <v>0</v>
      </c>
      <c r="CF304" s="10" t="n">
        <f aca="false">CE$304+CF$302-CF$303</f>
        <v>0</v>
      </c>
      <c r="CG304" s="10" t="n">
        <f aca="false">CF$304+CG$302-CG$303</f>
        <v>0</v>
      </c>
      <c r="CH304" s="10" t="n">
        <f aca="false">CG$304+CH$302-CH$303</f>
        <v>0</v>
      </c>
      <c r="CI304" s="10" t="n">
        <f aca="false">CH$304+CI$302-CI$303</f>
        <v>0</v>
      </c>
      <c r="CJ304" s="10" t="n">
        <f aca="false">CI$304+CJ$302-CJ$303</f>
        <v>0</v>
      </c>
      <c r="CK304" s="10" t="n">
        <f aca="false">CJ$304+CK$302-CK$303</f>
        <v>0</v>
      </c>
      <c r="CL304" s="10" t="n">
        <f aca="false">CK$304+CL$302-CL$303</f>
        <v>0</v>
      </c>
      <c r="CM304" s="10" t="n">
        <f aca="false">CL$304+CM$302-CM$303</f>
        <v>0</v>
      </c>
      <c r="CN304" s="10" t="n">
        <f aca="false">CM$304+CN$302-CN$303</f>
        <v>0</v>
      </c>
      <c r="CO304" s="10" t="n">
        <f aca="false">CN$304+CO$302-CO$303</f>
        <v>0</v>
      </c>
      <c r="CP304" s="10" t="n">
        <f aca="false">CO$304+CP$302-CP$303</f>
        <v>0</v>
      </c>
      <c r="CQ304" s="10" t="n">
        <f aca="false">CP$304+CQ$302-CQ$303</f>
        <v>0</v>
      </c>
      <c r="CR304" s="10" t="n">
        <f aca="false">CQ$304+CR$302-CR$303</f>
        <v>0</v>
      </c>
      <c r="CS304" s="10" t="n">
        <f aca="false">CR$304+CS$302-CS$303</f>
        <v>0</v>
      </c>
      <c r="CT304" s="10" t="n">
        <f aca="false">CS$304+CT$302-CT$303</f>
        <v>0</v>
      </c>
      <c r="CU304" s="10" t="n">
        <f aca="false">CT$304+CU$302-CU$303</f>
        <v>0</v>
      </c>
      <c r="CV304" s="10" t="n">
        <f aca="false">CU$304+CV$302-CV$303</f>
        <v>0</v>
      </c>
      <c r="CW304" s="10" t="n">
        <f aca="false">CV$304+CW$302-CW$303</f>
        <v>0</v>
      </c>
      <c r="CX304" s="10" t="n">
        <f aca="false">CW$304+CX$302-CX$303</f>
        <v>0</v>
      </c>
      <c r="CY304" s="10" t="n">
        <f aca="false">CX$304+CY$302-CY$303</f>
        <v>0</v>
      </c>
      <c r="CZ304" s="10" t="n">
        <f aca="false">CY$304+CZ$302-CZ$303</f>
        <v>0</v>
      </c>
      <c r="DA304" s="10" t="n">
        <f aca="false">CZ$304+DA$302-DA$303</f>
        <v>0</v>
      </c>
      <c r="DB304" s="10" t="n">
        <f aca="false">DA$304+DB$302-DB$303</f>
        <v>0</v>
      </c>
      <c r="DC304" s="10" t="n">
        <f aca="false">DB$304+DC$302-DC$303</f>
        <v>0</v>
      </c>
      <c r="DD304" s="10" t="n">
        <f aca="false">DC$304+DD$302-DD$303</f>
        <v>0</v>
      </c>
      <c r="DE304" s="10" t="n">
        <f aca="false">DD$304+DE$302-DE$303</f>
        <v>0</v>
      </c>
      <c r="DF304" s="10" t="n">
        <f aca="false">DE$304+DF$302-DF$303</f>
        <v>0</v>
      </c>
      <c r="DG304" s="10" t="n">
        <f aca="false">DF$304+DG$302-DG$303</f>
        <v>0</v>
      </c>
      <c r="DH304" s="10" t="n">
        <f aca="false">DG$304+DH$302-DH$303</f>
        <v>0</v>
      </c>
      <c r="DI304" s="10" t="n">
        <f aca="false">DH$304+DI$302-DI$303</f>
        <v>0</v>
      </c>
      <c r="DJ304" s="10" t="n">
        <f aca="false">DI$304+DJ$302-DJ$303</f>
        <v>0</v>
      </c>
      <c r="DK304" s="10" t="n">
        <f aca="false">DJ$304+DK$302-DK$303</f>
        <v>0</v>
      </c>
      <c r="DL304" s="10" t="n">
        <f aca="false">DK$304+DL$302-DL$303</f>
        <v>0</v>
      </c>
      <c r="DM304" s="10" t="n">
        <f aca="false">DL$304+DM$302-DM$303</f>
        <v>0</v>
      </c>
      <c r="DN304" s="10" t="n">
        <f aca="false">DM$304+DN$302-DN$303</f>
        <v>0</v>
      </c>
      <c r="DO304" s="10" t="n">
        <f aca="false">DN$304+DO$302-DO$303</f>
        <v>0</v>
      </c>
      <c r="DP304" s="10" t="n">
        <f aca="false">DO$304+DP$302-DP$303</f>
        <v>0</v>
      </c>
      <c r="DQ304" s="10" t="n">
        <f aca="false">DP$304+DQ$302-DQ$303</f>
        <v>0</v>
      </c>
      <c r="DR304" s="10" t="n">
        <f aca="false">DQ$304+DR$302-DR$303</f>
        <v>0</v>
      </c>
      <c r="DS304" s="10" t="n">
        <f aca="false">DR$304+DS$302-DS$303</f>
        <v>0</v>
      </c>
      <c r="DT304" s="10" t="n">
        <f aca="false">DS$304+DT$302-DT$303</f>
        <v>0</v>
      </c>
      <c r="DU304" s="10" t="n">
        <f aca="false">DT$304+DU$302-DU$303</f>
        <v>0</v>
      </c>
      <c r="DV304" s="10" t="n">
        <f aca="false">DU$304+DV$302-DV$303</f>
        <v>0</v>
      </c>
      <c r="DW304" s="10" t="n">
        <f aca="false">DV$304+DW$302-DW$303</f>
        <v>0</v>
      </c>
      <c r="DX304" s="10" t="n">
        <f aca="false">DW$304+DX$302-DX$303</f>
        <v>0</v>
      </c>
      <c r="DY304" s="10" t="n">
        <f aca="false">DX$304+DY$302-DY$303</f>
        <v>0</v>
      </c>
      <c r="DZ304" s="10" t="n">
        <f aca="false">DY$304+DZ$302-DZ$303</f>
        <v>0</v>
      </c>
      <c r="EA304" s="10" t="n">
        <f aca="false">DZ$304+EA$302-EA$303</f>
        <v>0</v>
      </c>
      <c r="EB304" s="10" t="n">
        <f aca="false">EA$304+EB$302-EB$303</f>
        <v>0</v>
      </c>
      <c r="EC304" s="10" t="n">
        <f aca="false">EB$304+EC$302-EC$303</f>
        <v>0</v>
      </c>
      <c r="ED304" s="10" t="n">
        <f aca="false">EC$304+ED$302-ED$303</f>
        <v>0</v>
      </c>
      <c r="EE304" s="10" t="n">
        <f aca="false">ED$304+EE$302-EE$303</f>
        <v>0</v>
      </c>
      <c r="EF304" s="10" t="n">
        <f aca="false">EE$304+EF$302-EF$303</f>
        <v>0</v>
      </c>
      <c r="EG304" s="10" t="n">
        <f aca="false">EF$304+EG$302-EG$303</f>
        <v>0</v>
      </c>
      <c r="EH304" s="10" t="n">
        <f aca="false">EG$304+EH$302-EH$303</f>
        <v>0</v>
      </c>
      <c r="EI304" s="10" t="n">
        <f aca="false">EH$304+EI$302-EI$303</f>
        <v>0</v>
      </c>
      <c r="EJ304" s="10" t="n">
        <f aca="false">EI$304+EJ$302-EJ$303</f>
        <v>0</v>
      </c>
      <c r="EK304" s="10" t="n">
        <f aca="false">EJ$304+EK$302-EK$303</f>
        <v>0</v>
      </c>
      <c r="EL304" s="10" t="n">
        <f aca="false">EK$304+EL$302-EL$303</f>
        <v>0</v>
      </c>
      <c r="EM304" s="10" t="n">
        <f aca="false">EL$304+EM$302-EM$303</f>
        <v>0</v>
      </c>
      <c r="EN304" s="10" t="n">
        <f aca="false">EM$304+EN$302-EN$303</f>
        <v>0</v>
      </c>
      <c r="EO304" s="10" t="n">
        <f aca="false">EN$304+EO$302-EO$303</f>
        <v>0</v>
      </c>
      <c r="EP304" s="10" t="n">
        <f aca="false">EO$304+EP$302-EP$303</f>
        <v>0</v>
      </c>
      <c r="EQ304" s="10" t="n">
        <f aca="false">EP$304+EQ$302-EQ$303</f>
        <v>0</v>
      </c>
      <c r="ER304" s="10" t="n">
        <f aca="false">EQ$304+ER$302-ER$303</f>
        <v>0</v>
      </c>
      <c r="ES304" s="10" t="n">
        <f aca="false">ER$304+ES$302-ES$303</f>
        <v>0</v>
      </c>
    </row>
    <row r="305" customFormat="false" ht="15" hidden="false" customHeight="false" outlineLevel="0" collapsed="false">
      <c r="A305" s="2" t="s">
        <v>941</v>
      </c>
      <c r="B305" s="6" t="s">
        <v>780</v>
      </c>
      <c r="C305" s="6" t="s">
        <v>250</v>
      </c>
      <c r="E305" s="40" t="n">
        <f aca="false">MIN(F305:ES305)</f>
        <v>-311740.118672618</v>
      </c>
      <c r="F305" s="34" t="n">
        <f aca="false">F$297+F$299-F$300</f>
        <v>535727.93036656</v>
      </c>
      <c r="G305" s="34" t="n">
        <f aca="false">G$297+G$299-G$300</f>
        <v>555194.83809215</v>
      </c>
      <c r="H305" s="34" t="n">
        <f aca="false">H$297+H$299-H$300</f>
        <v>574661.745817739</v>
      </c>
      <c r="I305" s="34" t="n">
        <f aca="false">I$297+I$299-I$300</f>
        <v>594128.653543329</v>
      </c>
      <c r="J305" s="34" t="n">
        <f aca="false">J$297+J$299-J$300</f>
        <v>613595.561268919</v>
      </c>
      <c r="K305" s="34" t="n">
        <f aca="false">K$297+K$299-K$300</f>
        <v>633062.468994509</v>
      </c>
      <c r="L305" s="34" t="n">
        <f aca="false">L$297+L$299-L$300</f>
        <v>610406.072625411</v>
      </c>
      <c r="M305" s="34" t="n">
        <f aca="false">M$297+M$299-M$300</f>
        <v>587781.268734384</v>
      </c>
      <c r="N305" s="34" t="n">
        <f aca="false">N$297+N$299-N$300</f>
        <v>565188.294265013</v>
      </c>
      <c r="O305" s="34" t="n">
        <f aca="false">O$297+O$299-O$300</f>
        <v>542627.387937962</v>
      </c>
      <c r="P305" s="34" t="n">
        <f aca="false">P$297+P$299-P$300</f>
        <v>520098.790264297</v>
      </c>
      <c r="Q305" s="34" t="n">
        <f aca="false">Q$297+Q$299-Q$300</f>
        <v>497602.743558918</v>
      </c>
      <c r="R305" s="34" t="n">
        <f aca="false">R$297+R$299-R$300</f>
        <v>129920.95007682</v>
      </c>
      <c r="S305" s="34" t="n">
        <f aca="false">S$297+S$299-S$300</f>
        <v>145489.642054168</v>
      </c>
      <c r="T305" s="34" t="n">
        <f aca="false">T$297+T$299-T$300</f>
        <v>161091.622903299</v>
      </c>
      <c r="U305" s="34" t="n">
        <f aca="false">U$297+U$299-U$300</f>
        <v>176727.142290749</v>
      </c>
      <c r="V305" s="34" t="n">
        <f aca="false">V$297+V$299-V$300</f>
        <v>192396.451755556</v>
      </c>
      <c r="W305" s="34" t="n">
        <f aca="false">W$297+W$299-W$300</f>
        <v>208099.804723301</v>
      </c>
      <c r="X305" s="34" t="n">
        <f aca="false">X$297+X$299-X$300</f>
        <v>223837.456520255</v>
      </c>
      <c r="Y305" s="34" t="n">
        <f aca="false">Y$297+Y$299-Y$300</f>
        <v>239609.664387639</v>
      </c>
      <c r="Z305" s="34" t="n">
        <f aca="false">Z$297+Z$299-Z$300</f>
        <v>255416.687495978</v>
      </c>
      <c r="AA305" s="34" t="n">
        <f aca="false">AA$297+AA$299-AA$300</f>
        <v>271258.786959582</v>
      </c>
      <c r="AB305" s="34" t="n">
        <f aca="false">AB$297+AB$299-AB$300</f>
        <v>287136.225851114</v>
      </c>
      <c r="AC305" s="34" t="n">
        <f aca="false">AC$297+AC$299-AC$300</f>
        <v>303049.269216285</v>
      </c>
      <c r="AD305" s="34" t="n">
        <f aca="false">AD$297+AD$299-AD$300</f>
        <v>-311740.118672618</v>
      </c>
      <c r="AE305" s="34" t="n">
        <f aca="false">AE$297+AE$299-AE$300</f>
        <v>-259166.435385603</v>
      </c>
      <c r="AF305" s="34" t="n">
        <f aca="false">AF$297+AF$299-AF$300</f>
        <v>-206556.340501018</v>
      </c>
      <c r="AG305" s="34" t="n">
        <f aca="false">AG$297+AG$299-AG$300</f>
        <v>-153909.560931882</v>
      </c>
      <c r="AH305" s="34" t="n">
        <f aca="false">AH$297+AH$299-AH$300</f>
        <v>-101225.821543058</v>
      </c>
      <c r="AI305" s="34" t="n">
        <f aca="false">AI$297+AI$299-AI$300</f>
        <v>-48504.8451359012</v>
      </c>
      <c r="AJ305" s="34" t="n">
        <f aca="false">AJ$297+AJ$299-AJ$300</f>
        <v>4253.64756722731</v>
      </c>
      <c r="AK305" s="34" t="n">
        <f aca="false">AK$297+AK$299-AK$300</f>
        <v>57049.9379385471</v>
      </c>
      <c r="AL305" s="34" t="n">
        <f aca="false">AL$297+AL$299-AL$300</f>
        <v>109884.309460569</v>
      </c>
      <c r="AM305" s="34" t="n">
        <f aca="false">AM$297+AM$299-AM$300</f>
        <v>162757.047741925</v>
      </c>
      <c r="AN305" s="34" t="n">
        <f aca="false">AN$297+AN$299-AN$300</f>
        <v>215668.440533308</v>
      </c>
      <c r="AO305" s="34" t="n">
        <f aca="false">AO$297+AO$299-AO$300</f>
        <v>268618.777743544</v>
      </c>
      <c r="AP305" s="34" t="n">
        <f aca="false">AP$297+AP$299-AP$300</f>
        <v>-204392.169462804</v>
      </c>
      <c r="AQ305" s="34" t="n">
        <f aca="false">AQ$297+AQ$299-AQ$300</f>
        <v>-118554.51596008</v>
      </c>
      <c r="AR305" s="34" t="n">
        <f aca="false">AR$297+AR$299-AR$300</f>
        <v>-32677.0352007788</v>
      </c>
      <c r="AS305" s="34" t="n">
        <f aca="false">AS$297+AS$299-AS$300</f>
        <v>53240.5715195248</v>
      </c>
      <c r="AT305" s="34" t="n">
        <f aca="false">AT$297+AT$299-AT$300</f>
        <v>139198.605145538</v>
      </c>
      <c r="AU305" s="34" t="n">
        <f aca="false">AU$297+AU$299-AU$300</f>
        <v>225197.368879053</v>
      </c>
      <c r="AV305" s="34" t="n">
        <f aca="false">AV$297+AV$299-AV$300</f>
        <v>311237.168195877</v>
      </c>
      <c r="AW305" s="34" t="n">
        <f aca="false">AW$297+AW$299-AW$300</f>
        <v>397318.310862885</v>
      </c>
      <c r="AX305" s="34" t="n">
        <f aca="false">AX$297+AX$299-AX$300</f>
        <v>483441.106955202</v>
      </c>
      <c r="AY305" s="34" t="n">
        <f aca="false">AY$297+AY$299-AY$300</f>
        <v>569605.868873519</v>
      </c>
      <c r="AZ305" s="34" t="n">
        <f aca="false">AZ$297+AZ$299-AZ$300</f>
        <v>655812.91136153</v>
      </c>
      <c r="BA305" s="34" t="n">
        <f aca="false">BA$297+BA$299-BA$300</f>
        <v>742062.551523509</v>
      </c>
      <c r="BB305" s="34" t="n">
        <f aca="false">BB$297+BB$299-BB$300</f>
        <v>791565.146132666</v>
      </c>
      <c r="BC305" s="34" t="n">
        <f aca="false">BC$297+BC$299-BC$300</f>
        <v>879220.527482878</v>
      </c>
      <c r="BD305" s="34" t="n">
        <f aca="false">BD$297+BD$299-BD$300</f>
        <v>966919.47216105</v>
      </c>
      <c r="BE305" s="34" t="n">
        <f aca="false">BE$297+BE$299-BE$300</f>
        <v>1054662.30689214</v>
      </c>
      <c r="BF305" s="34" t="n">
        <f aca="false">BF$297+BF$299-BF$300</f>
        <v>337495.982470628</v>
      </c>
      <c r="BG305" s="34" t="n">
        <f aca="false">BG$297+BG$299-BG$300</f>
        <v>425327.587302565</v>
      </c>
      <c r="BH305" s="34" t="n">
        <f aca="false">BH$297+BH$299-BH$300</f>
        <v>513204.077138576</v>
      </c>
      <c r="BI305" s="34" t="n">
        <f aca="false">BI$297+BI$299-BI$300</f>
        <v>601125.788616189</v>
      </c>
      <c r="BJ305" s="34" t="n">
        <f aca="false">BJ$297+BJ$299-BJ$300</f>
        <v>689093.060897719</v>
      </c>
      <c r="BK305" s="34" t="n">
        <f aca="false">BK$297+BK$299-BK$300</f>
        <v>777106.235689193</v>
      </c>
      <c r="BL305" s="34" t="n">
        <f aca="false">BL$297+BL$299-BL$300</f>
        <v>865165.657259436</v>
      </c>
      <c r="BM305" s="34" t="n">
        <f aca="false">BM$297+BM$299-BM$300</f>
        <v>953271.672459288</v>
      </c>
      <c r="BN305" s="34" t="n">
        <f aca="false">BN$297+BN$299-BN$300</f>
        <v>1070847.25778852</v>
      </c>
      <c r="BO305" s="34" t="n">
        <f aca="false">BO$297+BO$299-BO$300</f>
        <v>1226147.69958634</v>
      </c>
      <c r="BP305" s="34" t="n">
        <f aca="false">BP$297+BP$299-BP$300</f>
        <v>1381448.14138417</v>
      </c>
      <c r="BQ305" s="34" t="n">
        <f aca="false">BQ$297+BQ$299-BQ$300</f>
        <v>1536748.583182</v>
      </c>
      <c r="BR305" s="34" t="n">
        <f aca="false">BR$297+BR$299-BR$300</f>
        <v>228122.480611604</v>
      </c>
      <c r="BS305" s="34" t="n">
        <f aca="false">BS$297+BS$299-BS$300</f>
        <v>383422.92240943</v>
      </c>
      <c r="BT305" s="34" t="n">
        <f aca="false">BT$297+BT$299-BT$300</f>
        <v>538723.364207257</v>
      </c>
      <c r="BU305" s="34" t="n">
        <f aca="false">BU$297+BU$299-BU$300</f>
        <v>694023.806005083</v>
      </c>
      <c r="BV305" s="34" t="n">
        <f aca="false">BV$297+BV$299-BV$300</f>
        <v>849324.247802909</v>
      </c>
      <c r="BW305" s="34" t="n">
        <f aca="false">BW$297+BW$299-BW$300</f>
        <v>1004624.68960073</v>
      </c>
      <c r="BX305" s="34" t="n">
        <f aca="false">BX$297+BX$299-BX$300</f>
        <v>1159925.13139856</v>
      </c>
      <c r="BY305" s="34" t="n">
        <f aca="false">BY$297+BY$299-BY$300</f>
        <v>1315225.57319639</v>
      </c>
      <c r="BZ305" s="34" t="n">
        <f aca="false">BZ$297+BZ$299-BZ$300</f>
        <v>1436551.70246101</v>
      </c>
      <c r="CA305" s="34" t="n">
        <f aca="false">CA$297+CA$299-CA$300</f>
        <v>1595967.72495041</v>
      </c>
      <c r="CB305" s="34" t="n">
        <f aca="false">CB$297+CB$299-CB$300</f>
        <v>1755383.74743981</v>
      </c>
      <c r="CC305" s="34" t="n">
        <f aca="false">CC$297+CC$299-CC$300</f>
        <v>1914799.76992921</v>
      </c>
      <c r="CD305" s="34" t="n">
        <f aca="false">CD$297+CD$299-CD$300</f>
        <v>280027.099844691</v>
      </c>
      <c r="CE305" s="34" t="n">
        <f aca="false">CE$297+CE$299-CE$300</f>
        <v>439443.122334091</v>
      </c>
      <c r="CF305" s="34" t="n">
        <f aca="false">CF$297+CF$299-CF$300</f>
        <v>598859.144823491</v>
      </c>
      <c r="CG305" s="34" t="n">
        <f aca="false">CG$297+CG$299-CG$300</f>
        <v>758275.167312891</v>
      </c>
      <c r="CH305" s="34" t="n">
        <f aca="false">CH$297+CH$299-CH$300</f>
        <v>917691.18980229</v>
      </c>
      <c r="CI305" s="34" t="n">
        <f aca="false">CI$297+CI$299-CI$300</f>
        <v>1077107.21229169</v>
      </c>
      <c r="CJ305" s="34" t="n">
        <f aca="false">CJ$297+CJ$299-CJ$300</f>
        <v>1236523.23478109</v>
      </c>
      <c r="CK305" s="34" t="n">
        <f aca="false">CK$297+CK$299-CK$300</f>
        <v>1395939.25727049</v>
      </c>
      <c r="CL305" s="34" t="n">
        <f aca="false">CL$297+CL$299-CL$300</f>
        <v>1521040.85812226</v>
      </c>
      <c r="CM305" s="34" t="n">
        <f aca="false">CM$297+CM$299-CM$300</f>
        <v>1684600.67666855</v>
      </c>
      <c r="CN305" s="34" t="n">
        <f aca="false">CN$297+CN$299-CN$300</f>
        <v>1848160.49521483</v>
      </c>
      <c r="CO305" s="34" t="n">
        <f aca="false">CO$297+CO$299-CO$300</f>
        <v>2011720.31376112</v>
      </c>
      <c r="CP305" s="34" t="n">
        <f aca="false">CP$297+CP$299-CP$300</f>
        <v>331704.47143461</v>
      </c>
      <c r="CQ305" s="34" t="n">
        <f aca="false">CQ$297+CQ$299-CQ$300</f>
        <v>495264.289980898</v>
      </c>
      <c r="CR305" s="34" t="n">
        <f aca="false">CR$297+CR$299-CR$300</f>
        <v>658824.108527185</v>
      </c>
      <c r="CS305" s="34" t="n">
        <f aca="false">CS$297+CS$299-CS$300</f>
        <v>822383.927073473</v>
      </c>
      <c r="CT305" s="34" t="n">
        <f aca="false">CT$297+CT$299-CT$300</f>
        <v>985943.74561976</v>
      </c>
      <c r="CU305" s="34" t="n">
        <f aca="false">CU$297+CU$299-CU$300</f>
        <v>1149503.56416605</v>
      </c>
      <c r="CV305" s="34" t="n">
        <f aca="false">CV$297+CV$299-CV$300</f>
        <v>1313063.38271234</v>
      </c>
      <c r="CW305" s="34" t="n">
        <f aca="false">CW$297+CW$299-CW$300</f>
        <v>1476623.20125862</v>
      </c>
      <c r="CX305" s="34" t="n">
        <f aca="false">CX$297+CX$299-CX$300</f>
        <v>1605525.07895819</v>
      </c>
      <c r="CY305" s="34" t="n">
        <f aca="false">CY$297+CY$299-CY$300</f>
        <v>1773256.8086071</v>
      </c>
      <c r="CZ305" s="34" t="n">
        <f aca="false">CZ$297+CZ$299-CZ$300</f>
        <v>1940988.53825601</v>
      </c>
      <c r="DA305" s="34" t="n">
        <f aca="false">DA$297+DA$299-DA$300</f>
        <v>2108720.26790492</v>
      </c>
      <c r="DB305" s="34" t="n">
        <f aca="false">DB$297+DB$299-DB$300</f>
        <v>383150.783998375</v>
      </c>
      <c r="DC305" s="34" t="n">
        <f aca="false">DC$297+DC$299-DC$300</f>
        <v>550882.513647283</v>
      </c>
      <c r="DD305" s="34" t="n">
        <f aca="false">DD$297+DD$299-DD$300</f>
        <v>718614.24329619</v>
      </c>
      <c r="DE305" s="34" t="n">
        <f aca="false">DE$297+DE$299-DE$300</f>
        <v>886345.972945098</v>
      </c>
      <c r="DF305" s="34" t="n">
        <f aca="false">DF$297+DF$299-DF$300</f>
        <v>1054077.70259401</v>
      </c>
      <c r="DG305" s="34" t="n">
        <f aca="false">DG$297+DG$299-DG$300</f>
        <v>1221809.43224291</v>
      </c>
      <c r="DH305" s="34" t="n">
        <f aca="false">DH$297+DH$299-DH$300</f>
        <v>1389541.16189182</v>
      </c>
      <c r="DI305" s="34" t="n">
        <f aca="false">DI$297+DI$299-DI$300</f>
        <v>1557272.89154073</v>
      </c>
      <c r="DJ305" s="34" t="n">
        <f aca="false">DJ$297+DJ$299-DJ$300</f>
        <v>1689999.71669704</v>
      </c>
      <c r="DK305" s="34" t="n">
        <f aca="false">DK$297+DK$299-DK$300</f>
        <v>1861931.35981212</v>
      </c>
      <c r="DL305" s="34" t="n">
        <f aca="false">DL$297+DL$299-DL$300</f>
        <v>2033863.00292721</v>
      </c>
      <c r="DM305" s="34" t="n">
        <f aca="false">DM$297+DM$299-DM$300</f>
        <v>2205794.64604229</v>
      </c>
      <c r="DN305" s="34" t="n">
        <f aca="false">DN$297+DN$299-DN$300</f>
        <v>434362.142370491</v>
      </c>
      <c r="DO305" s="34" t="n">
        <f aca="false">DO$297+DO$299-DO$300</f>
        <v>606293.785485577</v>
      </c>
      <c r="DP305" s="34" t="n">
        <f aca="false">DP$297+DP$299-DP$300</f>
        <v>778225.428600663</v>
      </c>
      <c r="DQ305" s="34" t="n">
        <f aca="false">DQ$297+DQ$299-DQ$300</f>
        <v>950157.071715749</v>
      </c>
      <c r="DR305" s="34" t="n">
        <f aca="false">DR$297+DR$299-DR$300</f>
        <v>1122088.71483084</v>
      </c>
      <c r="DS305" s="34" t="n">
        <f aca="false">DS$297+DS$299-DS$300</f>
        <v>1294020.35794592</v>
      </c>
      <c r="DT305" s="34" t="n">
        <f aca="false">DT$297+DT$299-DT$300</f>
        <v>1465952.00106101</v>
      </c>
      <c r="DU305" s="34" t="n">
        <f aca="false">DU$297+DU$299-DU$300</f>
        <v>1637883.64417609</v>
      </c>
      <c r="DV305" s="34" t="n">
        <f aca="false">DV$297+DV$299-DV$300</f>
        <v>1637883.64417609</v>
      </c>
      <c r="DW305" s="34" t="n">
        <f aca="false">DW$297+DW$299-DW$300</f>
        <v>1637883.64417609</v>
      </c>
      <c r="DX305" s="34" t="n">
        <f aca="false">DX$297+DX$299-DX$300</f>
        <v>1637883.64417609</v>
      </c>
      <c r="DY305" s="34" t="n">
        <f aca="false">DY$297+DY$299-DY$300</f>
        <v>1637883.64417609</v>
      </c>
      <c r="DZ305" s="34" t="n">
        <f aca="false">DZ$297+DZ$299-DZ$300</f>
        <v>1637883.64417609</v>
      </c>
      <c r="EA305" s="34" t="n">
        <f aca="false">EA$297+EA$299-EA$300</f>
        <v>1637883.64417609</v>
      </c>
      <c r="EB305" s="34" t="n">
        <f aca="false">EB$297+EB$299-EB$300</f>
        <v>1637883.64417609</v>
      </c>
      <c r="EC305" s="34" t="n">
        <f aca="false">EC$297+EC$299-EC$300</f>
        <v>1637883.64417609</v>
      </c>
      <c r="ED305" s="34" t="n">
        <f aca="false">ED$297+ED$299-ED$300</f>
        <v>1637883.64417609</v>
      </c>
      <c r="EE305" s="34" t="n">
        <f aca="false">EE$297+EE$299-EE$300</f>
        <v>1637883.64417609</v>
      </c>
      <c r="EF305" s="34" t="n">
        <f aca="false">EF$297+EF$299-EF$300</f>
        <v>1637883.64417609</v>
      </c>
      <c r="EG305" s="34" t="n">
        <f aca="false">EG$297+EG$299-EG$300</f>
        <v>1637883.64417609</v>
      </c>
      <c r="EH305" s="34" t="n">
        <f aca="false">EH$297+EH$299-EH$300</f>
        <v>1637883.64417609</v>
      </c>
      <c r="EI305" s="34" t="n">
        <f aca="false">EI$297+EI$299-EI$300</f>
        <v>1637883.64417609</v>
      </c>
      <c r="EJ305" s="34" t="n">
        <f aca="false">EJ$297+EJ$299-EJ$300</f>
        <v>1637883.64417609</v>
      </c>
      <c r="EK305" s="34" t="n">
        <f aca="false">EK$297+EK$299-EK$300</f>
        <v>1637883.64417609</v>
      </c>
      <c r="EL305" s="34" t="n">
        <f aca="false">EL$297+EL$299-EL$300</f>
        <v>1637883.64417609</v>
      </c>
      <c r="EM305" s="34" t="n">
        <f aca="false">EM$297+EM$299-EM$300</f>
        <v>1637883.64417609</v>
      </c>
      <c r="EN305" s="34" t="n">
        <f aca="false">EN$297+EN$299-EN$300</f>
        <v>1637883.64417609</v>
      </c>
      <c r="EO305" s="34" t="n">
        <f aca="false">EO$297+EO$299-EO$300</f>
        <v>1637883.64417609</v>
      </c>
      <c r="EP305" s="34" t="n">
        <f aca="false">EP$297+EP$299-EP$300</f>
        <v>1637883.64417609</v>
      </c>
      <c r="EQ305" s="34" t="n">
        <f aca="false">EQ$297+EQ$299-EQ$300</f>
        <v>1637883.64417609</v>
      </c>
      <c r="ER305" s="34" t="n">
        <f aca="false">ER$297+ER$299-ER$300</f>
        <v>1637883.64417609</v>
      </c>
      <c r="ES305" s="34" t="n">
        <f aca="false">ES$297+ES$299-ES$300</f>
        <v>1637883.64417609</v>
      </c>
    </row>
    <row r="306" customFormat="false" ht="15" hidden="false" customHeight="false" outlineLevel="0" collapsed="false">
      <c r="A306" s="2" t="s">
        <v>942</v>
      </c>
      <c r="B306" s="6" t="s">
        <v>782</v>
      </c>
      <c r="C306" s="6" t="s">
        <v>250</v>
      </c>
      <c r="F306" s="34" t="n">
        <f aca="false">IF(F$7=1,F$263,0+F$263)</f>
        <v>13500.8903089231</v>
      </c>
      <c r="G306" s="34" t="n">
        <f aca="false">IF(G$7=1,G$263,F$306+G$263)</f>
        <v>27001.7806178461</v>
      </c>
      <c r="H306" s="34" t="n">
        <f aca="false">IF(H$7=1,H$263,G$306+H$263)</f>
        <v>40502.6709267692</v>
      </c>
      <c r="I306" s="34" t="n">
        <f aca="false">IF(I$7=1,I$263,H$306+I$263)</f>
        <v>54003.5612356923</v>
      </c>
      <c r="J306" s="34" t="n">
        <f aca="false">IF(J$7=1,J$263,I$306+J$263)</f>
        <v>67504.4515446154</v>
      </c>
      <c r="K306" s="34" t="n">
        <f aca="false">IF(K$7=1,K$263,J$306+K$263)</f>
        <v>81005.3418535384</v>
      </c>
      <c r="L306" s="34" t="n">
        <f aca="false">IF(L$7=1,L$263,K$306+L$263)</f>
        <v>94506.2321624615</v>
      </c>
      <c r="M306" s="34" t="n">
        <f aca="false">IF(M$7=1,M$263,L$306+M$263)</f>
        <v>108354.639730166</v>
      </c>
      <c r="N306" s="34" t="n">
        <f aca="false">IF(N$7=1,N$263,M$306+N$263)</f>
        <v>122553.170936092</v>
      </c>
      <c r="O306" s="34" t="n">
        <f aca="false">IF(O$7=1,O$263,N$306+O$263)</f>
        <v>137104.451707527</v>
      </c>
      <c r="P306" s="34" t="n">
        <f aca="false">IF(P$7=1,P$263,O$306+P$263)</f>
        <v>152011.127666212</v>
      </c>
      <c r="Q306" s="34" t="n">
        <f aca="false">IF(Q$7=1,Q$263,P$306+Q$263)</f>
        <v>167275.864276051</v>
      </c>
      <c r="R306" s="34" t="n">
        <f aca="false">IF(R$7=1,R$263,Q$306+R$263)</f>
        <v>52791.0519009191</v>
      </c>
      <c r="S306" s="34" t="n">
        <f aca="false">IF(S$7=1,S$263,R$306+S$263)</f>
        <v>105945.555503672</v>
      </c>
      <c r="T306" s="34" t="n">
        <f aca="false">IF(T$7=1,T$263,S$306+T$263)</f>
        <v>159466.236696021</v>
      </c>
      <c r="U306" s="34" t="n">
        <f aca="false">IF(U$7=1,U$263,T$306+U$263)</f>
        <v>213355.84180989</v>
      </c>
      <c r="V306" s="34" t="n">
        <f aca="false">IF(V$7=1,V$263,U$306+V$263)</f>
        <v>267617.137774689</v>
      </c>
      <c r="W306" s="34" t="n">
        <f aca="false">IF(W$7=1,W$263,V$306+W$263)</f>
        <v>322252.9122718</v>
      </c>
      <c r="X306" s="34" t="n">
        <f aca="false">IF(X$7=1,X$263,W$306+X$263)</f>
        <v>377265.973890217</v>
      </c>
      <c r="Y306" s="34" t="n">
        <f aca="false">IF(Y$7=1,Y$263,X$306+Y$263)</f>
        <v>432659.152283347</v>
      </c>
      <c r="Z306" s="34" t="n">
        <f aca="false">IF(Z$7=1,Z$263,Y$306+Z$263)</f>
        <v>488435.298327003</v>
      </c>
      <c r="AA306" s="34" t="n">
        <f aca="false">IF(AA$7=1,AA$263,Z$306+AA$263)</f>
        <v>544597.284278563</v>
      </c>
      <c r="AB306" s="34" t="n">
        <f aca="false">IF(AB$7=1,AB$263,AA$306+AB$263)</f>
        <v>601148.003937336</v>
      </c>
      <c r="AC306" s="34" t="n">
        <f aca="false">IF(AC$7=1,AC$263,AB$306+AC$263)</f>
        <v>658090.372806125</v>
      </c>
      <c r="AD306" s="34" t="n">
        <f aca="false">IF(AD$7=1,AD$263,AC$306+AD$263)</f>
        <v>93925.5833190422</v>
      </c>
      <c r="AE306" s="34" t="n">
        <f aca="false">IF(AE$7=1,AE$263,AD$306+AE$263)</f>
        <v>188248.71261652</v>
      </c>
      <c r="AF306" s="34" t="n">
        <f aca="false">IF(AF$7=1,AF$263,AE$306+AF$263)</f>
        <v>282972.369487272</v>
      </c>
      <c r="AG306" s="34" t="n">
        <f aca="false">IF(AG$7=1,AG$263,AF$306+AG$263)</f>
        <v>378099.557888097</v>
      </c>
      <c r="AH306" s="34" t="n">
        <f aca="false">IF(AH$7=1,AH$263,AG$306+AH$263)</f>
        <v>473633.30430547</v>
      </c>
      <c r="AI306" s="34" t="n">
        <f aca="false">IF(AI$7=1,AI$263,AH$306+AI$263)</f>
        <v>569576.657924517</v>
      </c>
      <c r="AJ306" s="34" t="n">
        <f aca="false">IF(AJ$7=1,AJ$263,AI$306+AJ$263)</f>
        <v>665932.69079925</v>
      </c>
      <c r="AK306" s="34" t="n">
        <f aca="false">IF(AK$7=1,AK$263,AJ$306+AK$263)</f>
        <v>762704.498024086</v>
      </c>
      <c r="AL306" s="34" t="n">
        <f aca="false">IF(AL$7=1,AL$263,AK$306+AL$263)</f>
        <v>859895.19790665</v>
      </c>
      <c r="AM306" s="34" t="n">
        <f aca="false">IF(AM$7=1,AM$263,AL$306+AM$263)</f>
        <v>957507.932141877</v>
      </c>
      <c r="AN306" s="34" t="n">
        <f aca="false">IF(AN$7=1,AN$263,AM$306+AN$263)</f>
        <v>1055545.86598741</v>
      </c>
      <c r="AO306" s="34" t="n">
        <f aca="false">IF(AO$7=1,AO$263,AN$306+AO$263)</f>
        <v>1154012.18844033</v>
      </c>
      <c r="AP306" s="34" t="n">
        <f aca="false">IF(AP$7=1,AP$263,AO$306+AP$263)</f>
        <v>131706.472989591</v>
      </c>
      <c r="AQ306" s="34" t="n">
        <f aca="false">IF(AQ$7=1,AQ$263,AP$306+AQ$263)</f>
        <v>263847.784512537</v>
      </c>
      <c r="AR306" s="34" t="n">
        <f aca="false">IF(AR$7=1,AR$263,AQ$306+AR$263)</f>
        <v>396427.195857836</v>
      </c>
      <c r="AS306" s="34" t="n">
        <f aca="false">IF(AS$7=1,AS$263,AR$306+AS$263)</f>
        <v>529447.992774158</v>
      </c>
      <c r="AT306" s="34" t="n">
        <f aca="false">IF(AT$7=1,AT$263,AS$306+AT$263)</f>
        <v>662913.485653284</v>
      </c>
      <c r="AU306" s="34" t="n">
        <f aca="false">IF(AU$7=1,AU$263,AT$306+AU$263)</f>
        <v>796827.009714936</v>
      </c>
      <c r="AV306" s="34" t="n">
        <f aca="false">IF(AV$7=1,AV$263,AU$306+AV$263)</f>
        <v>931191.925192983</v>
      </c>
      <c r="AW306" s="34" t="n">
        <f aca="false">IF(AW$7=1,AW$263,AV$306+AW$263)</f>
        <v>1066011.61752305</v>
      </c>
      <c r="AX306" s="34" t="n">
        <f aca="false">IF(AX$7=1,AX$263,AW$306+AX$263)</f>
        <v>1201289.49753152</v>
      </c>
      <c r="AY306" s="34" t="n">
        <f aca="false">IF(AY$7=1,AY$263,AX$306+AY$263)</f>
        <v>1337029.00162599</v>
      </c>
      <c r="AZ306" s="34" t="n">
        <f aca="false">IF(AZ$7=1,AZ$263,AY$306+AZ$263)</f>
        <v>1473233.5919871</v>
      </c>
      <c r="BA306" s="34" t="n">
        <f aca="false">IF(BA$7=1,BA$263,AZ$306+BA$263)</f>
        <v>1609906.75676184</v>
      </c>
      <c r="BB306" s="34" t="n">
        <f aca="false">IF(BB$7=1,BB$263,BA$306+BB$263)</f>
        <v>138464.838493007</v>
      </c>
      <c r="BC306" s="34" t="n">
        <f aca="false">IF(BC$7=1,BC$263,BB$306+BC$263)</f>
        <v>277405.30637317</v>
      </c>
      <c r="BD306" s="34" t="n">
        <f aca="false">IF(BD$7=1,BD$263,BC$306+BD$263)</f>
        <v>416824.970860893</v>
      </c>
      <c r="BE306" s="34" t="n">
        <f aca="false">IF(BE$7=1,BE$263,BD$306+BE$263)</f>
        <v>556727.425930732</v>
      </c>
      <c r="BF306" s="34" t="n">
        <f aca="false">IF(BF$7=1,BF$263,BE$306+BF$263)</f>
        <v>697116.292512053</v>
      </c>
      <c r="BG306" s="34" t="n">
        <f aca="false">IF(BG$7=1,BG$263,BF$306+BG$263)</f>
        <v>837995.218691193</v>
      </c>
      <c r="BH306" s="34" t="n">
        <f aca="false">IF(BH$7=1,BH$263,BG$306+BH$263)</f>
        <v>979367.879915134</v>
      </c>
      <c r="BI306" s="34" t="n">
        <f aca="false">IF(BI$7=1,BI$263,BH$306+BI$263)</f>
        <v>1121237.97919671</v>
      </c>
      <c r="BJ306" s="34" t="n">
        <f aca="false">IF(BJ$7=1,BJ$263,BI$306+BJ$263)</f>
        <v>1263609.24732136</v>
      </c>
      <c r="BK306" s="34" t="n">
        <f aca="false">IF(BK$7=1,BK$263,BJ$306+BK$263)</f>
        <v>1406485.44305541</v>
      </c>
      <c r="BL306" s="34" t="n">
        <f aca="false">IF(BL$7=1,BL$263,BK$306+BL$263)</f>
        <v>1549870.35335591</v>
      </c>
      <c r="BM306" s="34" t="n">
        <f aca="false">IF(BM$7=1,BM$263,BL$306+BM$263)</f>
        <v>1693767.79358213</v>
      </c>
      <c r="BN306" s="34" t="n">
        <f aca="false">IF(BN$7=1,BN$263,BM$306+BN$263)</f>
        <v>149515.724381159</v>
      </c>
      <c r="BO306" s="34" t="n">
        <f aca="false">IF(BO$7=1,BO$263,BN$306+BO$263)</f>
        <v>299031.448762319</v>
      </c>
      <c r="BP306" s="34" t="n">
        <f aca="false">IF(BP$7=1,BP$263,BO$306+BP$263)</f>
        <v>448547.173143478</v>
      </c>
      <c r="BQ306" s="34" t="n">
        <f aca="false">IF(BQ$7=1,BQ$263,BP$306+BQ$263)</f>
        <v>598062.897524638</v>
      </c>
      <c r="BR306" s="34" t="n">
        <f aca="false">IF(BR$7=1,BR$263,BQ$306+BR$263)</f>
        <v>747578.621905797</v>
      </c>
      <c r="BS306" s="34" t="n">
        <f aca="false">IF(BS$7=1,BS$263,BR$306+BS$263)</f>
        <v>897094.346286957</v>
      </c>
      <c r="BT306" s="34" t="n">
        <f aca="false">IF(BT$7=1,BT$263,BS$306+BT$263)</f>
        <v>1046610.07066812</v>
      </c>
      <c r="BU306" s="34" t="n">
        <f aca="false">IF(BU$7=1,BU$263,BT$306+BU$263)</f>
        <v>1196125.79504928</v>
      </c>
      <c r="BV306" s="34" t="n">
        <f aca="false">IF(BV$7=1,BV$263,BU$306+BV$263)</f>
        <v>1345641.51943044</v>
      </c>
      <c r="BW306" s="34" t="n">
        <f aca="false">IF(BW$7=1,BW$263,BV$306+BW$263)</f>
        <v>1495157.2438116</v>
      </c>
      <c r="BX306" s="34" t="n">
        <f aca="false">IF(BX$7=1,BX$263,BW$306+BX$263)</f>
        <v>1644672.96819275</v>
      </c>
      <c r="BY306" s="34" t="n">
        <f aca="false">IF(BY$7=1,BY$263,BX$306+BY$263)</f>
        <v>1794188.69257391</v>
      </c>
      <c r="BZ306" s="34" t="n">
        <f aca="false">IF(BZ$7=1,BZ$263,BY$306+BZ$263)</f>
        <v>153631.305072733</v>
      </c>
      <c r="CA306" s="34" t="n">
        <f aca="false">IF(CA$7=1,CA$263,BZ$306+CA$263)</f>
        <v>307262.610145466</v>
      </c>
      <c r="CB306" s="34" t="n">
        <f aca="false">IF(CB$7=1,CB$263,CA$306+CB$263)</f>
        <v>460893.915218199</v>
      </c>
      <c r="CC306" s="34" t="n">
        <f aca="false">IF(CC$7=1,CC$263,CB$306+CC$263)</f>
        <v>614525.220290932</v>
      </c>
      <c r="CD306" s="34" t="n">
        <f aca="false">IF(CD$7=1,CD$263,CC$306+CD$263)</f>
        <v>768156.525363665</v>
      </c>
      <c r="CE306" s="34" t="n">
        <f aca="false">IF(CE$7=1,CE$263,CD$306+CE$263)</f>
        <v>921787.830436399</v>
      </c>
      <c r="CF306" s="34" t="n">
        <f aca="false">IF(CF$7=1,CF$263,CE$306+CF$263)</f>
        <v>1075419.13550913</v>
      </c>
      <c r="CG306" s="34" t="n">
        <f aca="false">IF(CG$7=1,CG$263,CF$306+CG$263)</f>
        <v>1229050.44058186</v>
      </c>
      <c r="CH306" s="34" t="n">
        <f aca="false">IF(CH$7=1,CH$263,CG$306+CH$263)</f>
        <v>1382681.7456546</v>
      </c>
      <c r="CI306" s="34" t="n">
        <f aca="false">IF(CI$7=1,CI$263,CH$306+CI$263)</f>
        <v>1536313.05072733</v>
      </c>
      <c r="CJ306" s="34" t="n">
        <f aca="false">IF(CJ$7=1,CJ$263,CI$306+CJ$263)</f>
        <v>1689944.35580006</v>
      </c>
      <c r="CK306" s="34" t="n">
        <f aca="false">IF(CK$7=1,CK$263,CJ$306+CK$263)</f>
        <v>1843575.6608728</v>
      </c>
      <c r="CL306" s="34" t="n">
        <f aca="false">IF(CL$7=1,CL$263,CK$306+CL$263)</f>
        <v>157775.101129621</v>
      </c>
      <c r="CM306" s="34" t="n">
        <f aca="false">IF(CM$7=1,CM$263,CL$306+CM$263)</f>
        <v>315550.202259242</v>
      </c>
      <c r="CN306" s="34" t="n">
        <f aca="false">IF(CN$7=1,CN$263,CM$306+CN$263)</f>
        <v>473325.303388863</v>
      </c>
      <c r="CO306" s="34" t="n">
        <f aca="false">IF(CO$7=1,CO$263,CN$306+CO$263)</f>
        <v>631100.404518483</v>
      </c>
      <c r="CP306" s="34" t="n">
        <f aca="false">IF(CP$7=1,CP$263,CO$306+CP$263)</f>
        <v>788875.505648104</v>
      </c>
      <c r="CQ306" s="34" t="n">
        <f aca="false">IF(CQ$7=1,CQ$263,CP$306+CQ$263)</f>
        <v>946650.606777725</v>
      </c>
      <c r="CR306" s="34" t="n">
        <f aca="false">IF(CR$7=1,CR$263,CQ$306+CR$263)</f>
        <v>1104425.70790735</v>
      </c>
      <c r="CS306" s="34" t="n">
        <f aca="false">IF(CS$7=1,CS$263,CR$306+CS$263)</f>
        <v>1262200.80903697</v>
      </c>
      <c r="CT306" s="34" t="n">
        <f aca="false">IF(CT$7=1,CT$263,CS$306+CT$263)</f>
        <v>1419975.91016659</v>
      </c>
      <c r="CU306" s="34" t="n">
        <f aca="false">IF(CU$7=1,CU$263,CT$306+CU$263)</f>
        <v>1577751.01129621</v>
      </c>
      <c r="CV306" s="34" t="n">
        <f aca="false">IF(CV$7=1,CV$263,CU$306+CV$263)</f>
        <v>1735526.11242583</v>
      </c>
      <c r="CW306" s="34" t="n">
        <f aca="false">IF(CW$7=1,CW$263,CV$306+CW$263)</f>
        <v>1893301.21355545</v>
      </c>
      <c r="CX306" s="34" t="n">
        <f aca="false">IF(CX$7=1,CX$263,CW$306+CX$263)</f>
        <v>161947.012232241</v>
      </c>
      <c r="CY306" s="34" t="n">
        <f aca="false">IF(CY$7=1,CY$263,CX$306+CY$263)</f>
        <v>323894.024464482</v>
      </c>
      <c r="CZ306" s="34" t="n">
        <f aca="false">IF(CZ$7=1,CZ$263,CY$306+CZ$263)</f>
        <v>485841.036696723</v>
      </c>
      <c r="DA306" s="34" t="n">
        <f aca="false">IF(DA$7=1,DA$263,CZ$306+DA$263)</f>
        <v>647788.048928964</v>
      </c>
      <c r="DB306" s="34" t="n">
        <f aca="false">IF(DB$7=1,DB$263,DA$306+DB$263)</f>
        <v>809735.061161204</v>
      </c>
      <c r="DC306" s="34" t="n">
        <f aca="false">IF(DC$7=1,DC$263,DB$306+DC$263)</f>
        <v>971682.073393445</v>
      </c>
      <c r="DD306" s="34" t="n">
        <f aca="false">IF(DD$7=1,DD$263,DC$306+DD$263)</f>
        <v>1133629.08562569</v>
      </c>
      <c r="DE306" s="34" t="n">
        <f aca="false">IF(DE$7=1,DE$263,DD$306+DE$263)</f>
        <v>1295576.09785793</v>
      </c>
      <c r="DF306" s="34" t="n">
        <f aca="false">IF(DF$7=1,DF$263,DE$306+DF$263)</f>
        <v>1457523.11009017</v>
      </c>
      <c r="DG306" s="34" t="n">
        <f aca="false">IF(DG$7=1,DG$263,DF$306+DG$263)</f>
        <v>1619470.12232241</v>
      </c>
      <c r="DH306" s="34" t="n">
        <f aca="false">IF(DH$7=1,DH$263,DG$306+DH$263)</f>
        <v>1781417.13455465</v>
      </c>
      <c r="DI306" s="34" t="n">
        <f aca="false">IF(DI$7=1,DI$263,DH$306+DI$263)</f>
        <v>1943364.14678689</v>
      </c>
      <c r="DJ306" s="34" t="n">
        <f aca="false">IF(DJ$7=1,DJ$263,DI$306+DJ$263)</f>
        <v>166146.925698419</v>
      </c>
      <c r="DK306" s="34" t="n">
        <f aca="false">IF(DK$7=1,DK$263,DJ$306+DK$263)</f>
        <v>332293.851396839</v>
      </c>
      <c r="DL306" s="34" t="n">
        <f aca="false">IF(DL$7=1,DL$263,DK$306+DL$263)</f>
        <v>498440.777095258</v>
      </c>
      <c r="DM306" s="34" t="n">
        <f aca="false">IF(DM$7=1,DM$263,DL$306+DM$263)</f>
        <v>664587.702793678</v>
      </c>
      <c r="DN306" s="34" t="n">
        <f aca="false">IF(DN$7=1,DN$263,DM$306+DN$263)</f>
        <v>830734.628492097</v>
      </c>
      <c r="DO306" s="34" t="n">
        <f aca="false">IF(DO$7=1,DO$263,DN$306+DO$263)</f>
        <v>996881.554190517</v>
      </c>
      <c r="DP306" s="34" t="n">
        <f aca="false">IF(DP$7=1,DP$263,DO$306+DP$263)</f>
        <v>1163028.47988894</v>
      </c>
      <c r="DQ306" s="34" t="n">
        <f aca="false">IF(DQ$7=1,DQ$263,DP$306+DQ$263)</f>
        <v>1329175.40558736</v>
      </c>
      <c r="DR306" s="34" t="n">
        <f aca="false">IF(DR$7=1,DR$263,DQ$306+DR$263)</f>
        <v>1495322.33128578</v>
      </c>
      <c r="DS306" s="34" t="n">
        <f aca="false">IF(DS$7=1,DS$263,DR$306+DS$263)</f>
        <v>1661469.25698419</v>
      </c>
      <c r="DT306" s="34" t="n">
        <f aca="false">IF(DT$7=1,DT$263,DS$306+DT$263)</f>
        <v>1827616.18268261</v>
      </c>
      <c r="DU306" s="34" t="n">
        <f aca="false">IF(DU$7=1,DU$263,DT$306+DU$263)</f>
        <v>1993763.10838103</v>
      </c>
      <c r="DV306" s="34" t="n">
        <f aca="false">IF(DV$7=1,DV$263,DU$306+DV$263)</f>
        <v>0</v>
      </c>
      <c r="DW306" s="34" t="n">
        <f aca="false">IF(DW$7=1,DW$263,DV$306+DW$263)</f>
        <v>0</v>
      </c>
      <c r="DX306" s="34" t="n">
        <f aca="false">IF(DX$7=1,DX$263,DW$306+DX$263)</f>
        <v>0</v>
      </c>
      <c r="DY306" s="34" t="n">
        <f aca="false">IF(DY$7=1,DY$263,DX$306+DY$263)</f>
        <v>0</v>
      </c>
      <c r="DZ306" s="34" t="n">
        <f aca="false">IF(DZ$7=1,DZ$263,DY$306+DZ$263)</f>
        <v>0</v>
      </c>
      <c r="EA306" s="34" t="n">
        <f aca="false">IF(EA$7=1,EA$263,DZ$306+EA$263)</f>
        <v>0</v>
      </c>
      <c r="EB306" s="34" t="n">
        <f aca="false">IF(EB$7=1,EB$263,EA$306+EB$263)</f>
        <v>0</v>
      </c>
      <c r="EC306" s="34" t="n">
        <f aca="false">IF(EC$7=1,EC$263,EB$306+EC$263)</f>
        <v>0</v>
      </c>
      <c r="ED306" s="34" t="n">
        <f aca="false">IF(ED$7=1,ED$263,EC$306+ED$263)</f>
        <v>0</v>
      </c>
      <c r="EE306" s="34" t="n">
        <f aca="false">IF(EE$7=1,EE$263,ED$306+EE$263)</f>
        <v>0</v>
      </c>
      <c r="EF306" s="34" t="n">
        <f aca="false">IF(EF$7=1,EF$263,EE$306+EF$263)</f>
        <v>0</v>
      </c>
      <c r="EG306" s="34" t="n">
        <f aca="false">IF(EG$7=1,EG$263,EF$306+EG$263)</f>
        <v>0</v>
      </c>
      <c r="EH306" s="34" t="n">
        <f aca="false">IF(EH$7=1,EH$263,EG$306+EH$263)</f>
        <v>0</v>
      </c>
      <c r="EI306" s="34" t="n">
        <f aca="false">IF(EI$7=1,EI$263,EH$306+EI$263)</f>
        <v>0</v>
      </c>
      <c r="EJ306" s="34" t="n">
        <f aca="false">IF(EJ$7=1,EJ$263,EI$306+EJ$263)</f>
        <v>0</v>
      </c>
      <c r="EK306" s="34" t="n">
        <f aca="false">IF(EK$7=1,EK$263,EJ$306+EK$263)</f>
        <v>0</v>
      </c>
      <c r="EL306" s="34" t="n">
        <f aca="false">IF(EL$7=1,EL$263,EK$306+EL$263)</f>
        <v>0</v>
      </c>
      <c r="EM306" s="34" t="n">
        <f aca="false">IF(EM$7=1,EM$263,EL$306+EM$263)</f>
        <v>0</v>
      </c>
      <c r="EN306" s="34" t="n">
        <f aca="false">IF(EN$7=1,EN$263,EM$306+EN$263)</f>
        <v>0</v>
      </c>
      <c r="EO306" s="34" t="n">
        <f aca="false">IF(EO$7=1,EO$263,EN$306+EO$263)</f>
        <v>0</v>
      </c>
      <c r="EP306" s="34" t="n">
        <f aca="false">IF(EP$7=1,EP$263,EO$306+EP$263)</f>
        <v>0</v>
      </c>
      <c r="EQ306" s="34" t="n">
        <f aca="false">IF(EQ$7=1,EQ$263,EP$306+EQ$263)</f>
        <v>0</v>
      </c>
      <c r="ER306" s="34" t="n">
        <f aca="false">IF(ER$7=1,ER$263,EQ$306+ER$263)</f>
        <v>0</v>
      </c>
      <c r="ES306" s="34" t="n">
        <f aca="false">IF(ES$7=1,ES$263,ER$306+ES$263)</f>
        <v>0</v>
      </c>
    </row>
    <row r="307" customFormat="false" ht="15" hidden="false" customHeight="false" outlineLevel="0" collapsed="false">
      <c r="A307" s="2" t="s">
        <v>943</v>
      </c>
      <c r="B307" s="6" t="s">
        <v>784</v>
      </c>
      <c r="C307" s="6" t="s">
        <v>250</v>
      </c>
      <c r="F307" s="34" t="n">
        <f aca="false">0</f>
        <v>0</v>
      </c>
      <c r="G307" s="34" t="n">
        <f aca="false">IF(G$7=1,F$306,F$307)</f>
        <v>0</v>
      </c>
      <c r="H307" s="34" t="n">
        <f aca="false">IF(H$7=1,G$306,G$307)</f>
        <v>0</v>
      </c>
      <c r="I307" s="34" t="n">
        <f aca="false">IF(I$7=1,H$306,H$307)</f>
        <v>0</v>
      </c>
      <c r="J307" s="34" t="n">
        <f aca="false">IF(J$7=1,I$306,I$307)</f>
        <v>0</v>
      </c>
      <c r="K307" s="34" t="n">
        <f aca="false">IF(K$7=1,J$306,J$307)</f>
        <v>0</v>
      </c>
      <c r="L307" s="34" t="n">
        <f aca="false">IF(L$7=1,K$306,K$307)</f>
        <v>0</v>
      </c>
      <c r="M307" s="34" t="n">
        <f aca="false">IF(M$7=1,L$306,L$307)</f>
        <v>0</v>
      </c>
      <c r="N307" s="34" t="n">
        <f aca="false">IF(N$7=1,M$306,M$307)</f>
        <v>0</v>
      </c>
      <c r="O307" s="34" t="n">
        <f aca="false">IF(O$7=1,N$306,N$307)</f>
        <v>0</v>
      </c>
      <c r="P307" s="34" t="n">
        <f aca="false">IF(P$7=1,O$306,O$307)</f>
        <v>0</v>
      </c>
      <c r="Q307" s="34" t="n">
        <f aca="false">IF(Q$7=1,P$306,P$307)</f>
        <v>0</v>
      </c>
      <c r="R307" s="34" t="n">
        <f aca="false">IF(R$7=1,Q$306,Q$307)</f>
        <v>167275.864276051</v>
      </c>
      <c r="S307" s="34" t="n">
        <f aca="false">IF(S$7=1,R$306,R$307)</f>
        <v>167275.864276051</v>
      </c>
      <c r="T307" s="34" t="n">
        <f aca="false">IF(T$7=1,S$306,S$307)</f>
        <v>167275.864276051</v>
      </c>
      <c r="U307" s="34" t="n">
        <f aca="false">IF(U$7=1,T$306,T$307)</f>
        <v>167275.864276051</v>
      </c>
      <c r="V307" s="34" t="n">
        <f aca="false">IF(V$7=1,U$306,U$307)</f>
        <v>167275.864276051</v>
      </c>
      <c r="W307" s="34" t="n">
        <f aca="false">IF(W$7=1,V$306,V$307)</f>
        <v>167275.864276051</v>
      </c>
      <c r="X307" s="34" t="n">
        <f aca="false">IF(X$7=1,W$306,W$307)</f>
        <v>167275.864276051</v>
      </c>
      <c r="Y307" s="34" t="n">
        <f aca="false">IF(Y$7=1,X$306,X$307)</f>
        <v>167275.864276051</v>
      </c>
      <c r="Z307" s="34" t="n">
        <f aca="false">IF(Z$7=1,Y$306,Y$307)</f>
        <v>167275.864276051</v>
      </c>
      <c r="AA307" s="34" t="n">
        <f aca="false">IF(AA$7=1,Z$306,Z$307)</f>
        <v>167275.864276051</v>
      </c>
      <c r="AB307" s="34" t="n">
        <f aca="false">IF(AB$7=1,AA$306,AA$307)</f>
        <v>167275.864276051</v>
      </c>
      <c r="AC307" s="34" t="n">
        <f aca="false">IF(AC$7=1,AB$306,AB$307)</f>
        <v>167275.864276051</v>
      </c>
      <c r="AD307" s="34" t="n">
        <f aca="false">IF(AD$7=1,AC$306,AC$307)</f>
        <v>658090.372806125</v>
      </c>
      <c r="AE307" s="34" t="n">
        <f aca="false">IF(AE$7=1,AD$306,AD$307)</f>
        <v>658090.372806125</v>
      </c>
      <c r="AF307" s="34" t="n">
        <f aca="false">IF(AF$7=1,AE$306,AE$307)</f>
        <v>658090.372806125</v>
      </c>
      <c r="AG307" s="34" t="n">
        <f aca="false">IF(AG$7=1,AF$306,AF$307)</f>
        <v>658090.372806125</v>
      </c>
      <c r="AH307" s="34" t="n">
        <f aca="false">IF(AH$7=1,AG$306,AG$307)</f>
        <v>658090.372806125</v>
      </c>
      <c r="AI307" s="34" t="n">
        <f aca="false">IF(AI$7=1,AH$306,AH$307)</f>
        <v>658090.372806125</v>
      </c>
      <c r="AJ307" s="34" t="n">
        <f aca="false">IF(AJ$7=1,AI$306,AI$307)</f>
        <v>658090.372806125</v>
      </c>
      <c r="AK307" s="34" t="n">
        <f aca="false">IF(AK$7=1,AJ$306,AJ$307)</f>
        <v>658090.372806125</v>
      </c>
      <c r="AL307" s="34" t="n">
        <f aca="false">IF(AL$7=1,AK$306,AK$307)</f>
        <v>658090.372806125</v>
      </c>
      <c r="AM307" s="34" t="n">
        <f aca="false">IF(AM$7=1,AL$306,AL$307)</f>
        <v>658090.372806125</v>
      </c>
      <c r="AN307" s="34" t="n">
        <f aca="false">IF(AN$7=1,AM$306,AM$307)</f>
        <v>658090.372806125</v>
      </c>
      <c r="AO307" s="34" t="n">
        <f aca="false">IF(AO$7=1,AN$306,AN$307)</f>
        <v>658090.372806125</v>
      </c>
      <c r="AP307" s="34" t="n">
        <f aca="false">IF(AP$7=1,AO$306,AO$307)</f>
        <v>1154012.18844033</v>
      </c>
      <c r="AQ307" s="34" t="n">
        <f aca="false">IF(AQ$7=1,AP$306,AP$307)</f>
        <v>1154012.18844033</v>
      </c>
      <c r="AR307" s="34" t="n">
        <f aca="false">IF(AR$7=1,AQ$306,AQ$307)</f>
        <v>1154012.18844033</v>
      </c>
      <c r="AS307" s="34" t="n">
        <f aca="false">IF(AS$7=1,AR$306,AR$307)</f>
        <v>1154012.18844033</v>
      </c>
      <c r="AT307" s="34" t="n">
        <f aca="false">IF(AT$7=1,AS$306,AS$307)</f>
        <v>1154012.18844033</v>
      </c>
      <c r="AU307" s="34" t="n">
        <f aca="false">IF(AU$7=1,AT$306,AT$307)</f>
        <v>1154012.18844033</v>
      </c>
      <c r="AV307" s="34" t="n">
        <f aca="false">IF(AV$7=1,AU$306,AU$307)</f>
        <v>1154012.18844033</v>
      </c>
      <c r="AW307" s="34" t="n">
        <f aca="false">IF(AW$7=1,AV$306,AV$307)</f>
        <v>1154012.18844033</v>
      </c>
      <c r="AX307" s="34" t="n">
        <f aca="false">IF(AX$7=1,AW$306,AW$307)</f>
        <v>1154012.18844033</v>
      </c>
      <c r="AY307" s="34" t="n">
        <f aca="false">IF(AY$7=1,AX$306,AX$307)</f>
        <v>1154012.18844033</v>
      </c>
      <c r="AZ307" s="34" t="n">
        <f aca="false">IF(AZ$7=1,AY$306,AY$307)</f>
        <v>1154012.18844033</v>
      </c>
      <c r="BA307" s="34" t="n">
        <f aca="false">IF(BA$7=1,AZ$306,AZ$307)</f>
        <v>1154012.18844033</v>
      </c>
      <c r="BB307" s="34" t="n">
        <f aca="false">IF(BB$7=1,BA$306,BA$307)</f>
        <v>1609906.75676184</v>
      </c>
      <c r="BC307" s="34" t="n">
        <f aca="false">IF(BC$7=1,BB$306,BB$307)</f>
        <v>1609906.75676184</v>
      </c>
      <c r="BD307" s="34" t="n">
        <f aca="false">IF(BD$7=1,BC$306,BC$307)</f>
        <v>1609906.75676184</v>
      </c>
      <c r="BE307" s="34" t="n">
        <f aca="false">IF(BE$7=1,BD$306,BD$307)</f>
        <v>1609906.75676184</v>
      </c>
      <c r="BF307" s="34" t="n">
        <f aca="false">IF(BF$7=1,BE$306,BE$307)</f>
        <v>1609906.75676184</v>
      </c>
      <c r="BG307" s="34" t="n">
        <f aca="false">IF(BG$7=1,BF$306,BF$307)</f>
        <v>1609906.75676184</v>
      </c>
      <c r="BH307" s="34" t="n">
        <f aca="false">IF(BH$7=1,BG$306,BG$307)</f>
        <v>1609906.75676184</v>
      </c>
      <c r="BI307" s="34" t="n">
        <f aca="false">IF(BI$7=1,BH$306,BH$307)</f>
        <v>1609906.75676184</v>
      </c>
      <c r="BJ307" s="34" t="n">
        <f aca="false">IF(BJ$7=1,BI$306,BI$307)</f>
        <v>1609906.75676184</v>
      </c>
      <c r="BK307" s="34" t="n">
        <f aca="false">IF(BK$7=1,BJ$306,BJ$307)</f>
        <v>1609906.75676184</v>
      </c>
      <c r="BL307" s="34" t="n">
        <f aca="false">IF(BL$7=1,BK$306,BK$307)</f>
        <v>1609906.75676184</v>
      </c>
      <c r="BM307" s="34" t="n">
        <f aca="false">IF(BM$7=1,BL$306,BL$307)</f>
        <v>1609906.75676184</v>
      </c>
      <c r="BN307" s="34" t="n">
        <f aca="false">IF(BN$7=1,BM$306,BM$307)</f>
        <v>1693767.79358213</v>
      </c>
      <c r="BO307" s="34" t="n">
        <f aca="false">IF(BO$7=1,BN$306,BN$307)</f>
        <v>1693767.79358213</v>
      </c>
      <c r="BP307" s="34" t="n">
        <f aca="false">IF(BP$7=1,BO$306,BO$307)</f>
        <v>1693767.79358213</v>
      </c>
      <c r="BQ307" s="34" t="n">
        <f aca="false">IF(BQ$7=1,BP$306,BP$307)</f>
        <v>1693767.79358213</v>
      </c>
      <c r="BR307" s="34" t="n">
        <f aca="false">IF(BR$7=1,BQ$306,BQ$307)</f>
        <v>1693767.79358213</v>
      </c>
      <c r="BS307" s="34" t="n">
        <f aca="false">IF(BS$7=1,BR$306,BR$307)</f>
        <v>1693767.79358213</v>
      </c>
      <c r="BT307" s="34" t="n">
        <f aca="false">IF(BT$7=1,BS$306,BS$307)</f>
        <v>1693767.79358213</v>
      </c>
      <c r="BU307" s="34" t="n">
        <f aca="false">IF(BU$7=1,BT$306,BT$307)</f>
        <v>1693767.79358213</v>
      </c>
      <c r="BV307" s="34" t="n">
        <f aca="false">IF(BV$7=1,BU$306,BU$307)</f>
        <v>1693767.79358213</v>
      </c>
      <c r="BW307" s="34" t="n">
        <f aca="false">IF(BW$7=1,BV$306,BV$307)</f>
        <v>1693767.79358213</v>
      </c>
      <c r="BX307" s="34" t="n">
        <f aca="false">IF(BX$7=1,BW$306,BW$307)</f>
        <v>1693767.79358213</v>
      </c>
      <c r="BY307" s="34" t="n">
        <f aca="false">IF(BY$7=1,BX$306,BX$307)</f>
        <v>1693767.79358213</v>
      </c>
      <c r="BZ307" s="34" t="n">
        <f aca="false">IF(BZ$7=1,BY$306,BY$307)</f>
        <v>1794188.69257391</v>
      </c>
      <c r="CA307" s="34" t="n">
        <f aca="false">IF(CA$7=1,BZ$306,BZ$307)</f>
        <v>1794188.69257391</v>
      </c>
      <c r="CB307" s="34" t="n">
        <f aca="false">IF(CB$7=1,CA$306,CA$307)</f>
        <v>1794188.69257391</v>
      </c>
      <c r="CC307" s="34" t="n">
        <f aca="false">IF(CC$7=1,CB$306,CB$307)</f>
        <v>1794188.69257391</v>
      </c>
      <c r="CD307" s="34" t="n">
        <f aca="false">IF(CD$7=1,CC$306,CC$307)</f>
        <v>1794188.69257391</v>
      </c>
      <c r="CE307" s="34" t="n">
        <f aca="false">IF(CE$7=1,CD$306,CD$307)</f>
        <v>1794188.69257391</v>
      </c>
      <c r="CF307" s="34" t="n">
        <f aca="false">IF(CF$7=1,CE$306,CE$307)</f>
        <v>1794188.69257391</v>
      </c>
      <c r="CG307" s="34" t="n">
        <f aca="false">IF(CG$7=1,CF$306,CF$307)</f>
        <v>1794188.69257391</v>
      </c>
      <c r="CH307" s="34" t="n">
        <f aca="false">IF(CH$7=1,CG$306,CG$307)</f>
        <v>1794188.69257391</v>
      </c>
      <c r="CI307" s="34" t="n">
        <f aca="false">IF(CI$7=1,CH$306,CH$307)</f>
        <v>1794188.69257391</v>
      </c>
      <c r="CJ307" s="34" t="n">
        <f aca="false">IF(CJ$7=1,CI$306,CI$307)</f>
        <v>1794188.69257391</v>
      </c>
      <c r="CK307" s="34" t="n">
        <f aca="false">IF(CK$7=1,CJ$306,CJ$307)</f>
        <v>1794188.69257391</v>
      </c>
      <c r="CL307" s="34" t="n">
        <f aca="false">IF(CL$7=1,CK$306,CK$307)</f>
        <v>1843575.6608728</v>
      </c>
      <c r="CM307" s="34" t="n">
        <f aca="false">IF(CM$7=1,CL$306,CL$307)</f>
        <v>1843575.6608728</v>
      </c>
      <c r="CN307" s="34" t="n">
        <f aca="false">IF(CN$7=1,CM$306,CM$307)</f>
        <v>1843575.6608728</v>
      </c>
      <c r="CO307" s="34" t="n">
        <f aca="false">IF(CO$7=1,CN$306,CN$307)</f>
        <v>1843575.6608728</v>
      </c>
      <c r="CP307" s="34" t="n">
        <f aca="false">IF(CP$7=1,CO$306,CO$307)</f>
        <v>1843575.6608728</v>
      </c>
      <c r="CQ307" s="34" t="n">
        <f aca="false">IF(CQ$7=1,CP$306,CP$307)</f>
        <v>1843575.6608728</v>
      </c>
      <c r="CR307" s="34" t="n">
        <f aca="false">IF(CR$7=1,CQ$306,CQ$307)</f>
        <v>1843575.6608728</v>
      </c>
      <c r="CS307" s="34" t="n">
        <f aca="false">IF(CS$7=1,CR$306,CR$307)</f>
        <v>1843575.6608728</v>
      </c>
      <c r="CT307" s="34" t="n">
        <f aca="false">IF(CT$7=1,CS$306,CS$307)</f>
        <v>1843575.6608728</v>
      </c>
      <c r="CU307" s="34" t="n">
        <f aca="false">IF(CU$7=1,CT$306,CT$307)</f>
        <v>1843575.6608728</v>
      </c>
      <c r="CV307" s="34" t="n">
        <f aca="false">IF(CV$7=1,CU$306,CU$307)</f>
        <v>1843575.6608728</v>
      </c>
      <c r="CW307" s="34" t="n">
        <f aca="false">IF(CW$7=1,CV$306,CV$307)</f>
        <v>1843575.6608728</v>
      </c>
      <c r="CX307" s="34" t="n">
        <f aca="false">IF(CX$7=1,CW$306,CW$307)</f>
        <v>1893301.21355545</v>
      </c>
      <c r="CY307" s="34" t="n">
        <f aca="false">IF(CY$7=1,CX$306,CX$307)</f>
        <v>1893301.21355545</v>
      </c>
      <c r="CZ307" s="34" t="n">
        <f aca="false">IF(CZ$7=1,CY$306,CY$307)</f>
        <v>1893301.21355545</v>
      </c>
      <c r="DA307" s="34" t="n">
        <f aca="false">IF(DA$7=1,CZ$306,CZ$307)</f>
        <v>1893301.21355545</v>
      </c>
      <c r="DB307" s="34" t="n">
        <f aca="false">IF(DB$7=1,DA$306,DA$307)</f>
        <v>1893301.21355545</v>
      </c>
      <c r="DC307" s="34" t="n">
        <f aca="false">IF(DC$7=1,DB$306,DB$307)</f>
        <v>1893301.21355545</v>
      </c>
      <c r="DD307" s="34" t="n">
        <f aca="false">IF(DD$7=1,DC$306,DC$307)</f>
        <v>1893301.21355545</v>
      </c>
      <c r="DE307" s="34" t="n">
        <f aca="false">IF(DE$7=1,DD$306,DD$307)</f>
        <v>1893301.21355545</v>
      </c>
      <c r="DF307" s="34" t="n">
        <f aca="false">IF(DF$7=1,DE$306,DE$307)</f>
        <v>1893301.21355545</v>
      </c>
      <c r="DG307" s="34" t="n">
        <f aca="false">IF(DG$7=1,DF$306,DF$307)</f>
        <v>1893301.21355545</v>
      </c>
      <c r="DH307" s="34" t="n">
        <f aca="false">IF(DH$7=1,DG$306,DG$307)</f>
        <v>1893301.21355545</v>
      </c>
      <c r="DI307" s="34" t="n">
        <f aca="false">IF(DI$7=1,DH$306,DH$307)</f>
        <v>1893301.21355545</v>
      </c>
      <c r="DJ307" s="34" t="n">
        <f aca="false">IF(DJ$7=1,DI$306,DI$307)</f>
        <v>1943364.14678689</v>
      </c>
      <c r="DK307" s="34" t="n">
        <f aca="false">IF(DK$7=1,DJ$306,DJ$307)</f>
        <v>1943364.14678689</v>
      </c>
      <c r="DL307" s="34" t="n">
        <f aca="false">IF(DL$7=1,DK$306,DK$307)</f>
        <v>1943364.14678689</v>
      </c>
      <c r="DM307" s="34" t="n">
        <f aca="false">IF(DM$7=1,DL$306,DL$307)</f>
        <v>1943364.14678689</v>
      </c>
      <c r="DN307" s="34" t="n">
        <f aca="false">IF(DN$7=1,DM$306,DM$307)</f>
        <v>1943364.14678689</v>
      </c>
      <c r="DO307" s="34" t="n">
        <f aca="false">IF(DO$7=1,DN$306,DN$307)</f>
        <v>1943364.14678689</v>
      </c>
      <c r="DP307" s="34" t="n">
        <f aca="false">IF(DP$7=1,DO$306,DO$307)</f>
        <v>1943364.14678689</v>
      </c>
      <c r="DQ307" s="34" t="n">
        <f aca="false">IF(DQ$7=1,DP$306,DP$307)</f>
        <v>1943364.14678689</v>
      </c>
      <c r="DR307" s="34" t="n">
        <f aca="false">IF(DR$7=1,DQ$306,DQ$307)</f>
        <v>1943364.14678689</v>
      </c>
      <c r="DS307" s="34" t="n">
        <f aca="false">IF(DS$7=1,DR$306,DR$307)</f>
        <v>1943364.14678689</v>
      </c>
      <c r="DT307" s="34" t="n">
        <f aca="false">IF(DT$7=1,DS$306,DS$307)</f>
        <v>1943364.14678689</v>
      </c>
      <c r="DU307" s="34" t="n">
        <f aca="false">IF(DU$7=1,DT$306,DT$307)</f>
        <v>1943364.14678689</v>
      </c>
      <c r="DV307" s="34" t="n">
        <f aca="false">IF(DV$7=1,DU$306,DU$307)</f>
        <v>1993763.10838103</v>
      </c>
      <c r="DW307" s="34" t="n">
        <f aca="false">IF(DW$7=1,DV$306,DV$307)</f>
        <v>1993763.10838103</v>
      </c>
      <c r="DX307" s="34" t="n">
        <f aca="false">IF(DX$7=1,DW$306,DW$307)</f>
        <v>1993763.10838103</v>
      </c>
      <c r="DY307" s="34" t="n">
        <f aca="false">IF(DY$7=1,DX$306,DX$307)</f>
        <v>1993763.10838103</v>
      </c>
      <c r="DZ307" s="34" t="n">
        <f aca="false">IF(DZ$7=1,DY$306,DY$307)</f>
        <v>1993763.10838103</v>
      </c>
      <c r="EA307" s="34" t="n">
        <f aca="false">IF(EA$7=1,DZ$306,DZ$307)</f>
        <v>1993763.10838103</v>
      </c>
      <c r="EB307" s="34" t="n">
        <f aca="false">IF(EB$7=1,EA$306,EA$307)</f>
        <v>1993763.10838103</v>
      </c>
      <c r="EC307" s="34" t="n">
        <f aca="false">IF(EC$7=1,EB$306,EB$307)</f>
        <v>1993763.10838103</v>
      </c>
      <c r="ED307" s="34" t="n">
        <f aca="false">IF(ED$7=1,EC$306,EC$307)</f>
        <v>1993763.10838103</v>
      </c>
      <c r="EE307" s="34" t="n">
        <f aca="false">IF(EE$7=1,ED$306,ED$307)</f>
        <v>1993763.10838103</v>
      </c>
      <c r="EF307" s="34" t="n">
        <f aca="false">IF(EF$7=1,EE$306,EE$307)</f>
        <v>1993763.10838103</v>
      </c>
      <c r="EG307" s="34" t="n">
        <f aca="false">IF(EG$7=1,EF$306,EF$307)</f>
        <v>1993763.10838103</v>
      </c>
      <c r="EH307" s="34" t="n">
        <f aca="false">IF(EH$7=1,EG$306,EG$307)</f>
        <v>0</v>
      </c>
      <c r="EI307" s="34" t="n">
        <f aca="false">IF(EI$7=1,EH$306,EH$307)</f>
        <v>0</v>
      </c>
      <c r="EJ307" s="34" t="n">
        <f aca="false">IF(EJ$7=1,EI$306,EI$307)</f>
        <v>0</v>
      </c>
      <c r="EK307" s="34" t="n">
        <f aca="false">IF(EK$7=1,EJ$306,EJ$307)</f>
        <v>0</v>
      </c>
      <c r="EL307" s="34" t="n">
        <f aca="false">IF(EL$7=1,EK$306,EK$307)</f>
        <v>0</v>
      </c>
      <c r="EM307" s="34" t="n">
        <f aca="false">IF(EM$7=1,EL$306,EL$307)</f>
        <v>0</v>
      </c>
      <c r="EN307" s="34" t="n">
        <f aca="false">IF(EN$7=1,EM$306,EM$307)</f>
        <v>0</v>
      </c>
      <c r="EO307" s="34" t="n">
        <f aca="false">IF(EO$7=1,EN$306,EN$307)</f>
        <v>0</v>
      </c>
      <c r="EP307" s="34" t="n">
        <f aca="false">IF(EP$7=1,EO$306,EO$307)</f>
        <v>0</v>
      </c>
      <c r="EQ307" s="34" t="n">
        <f aca="false">IF(EQ$7=1,EP$306,EP$307)</f>
        <v>0</v>
      </c>
      <c r="ER307" s="34" t="n">
        <f aca="false">IF(ER$7=1,EQ$306,EQ$307)</f>
        <v>0</v>
      </c>
      <c r="ES307" s="34" t="n">
        <f aca="false">IF(ES$7=1,ER$306,ER$307)</f>
        <v>0</v>
      </c>
    </row>
    <row r="308" customFormat="false" ht="15" hidden="false" customHeight="false" outlineLevel="0" collapsed="false">
      <c r="A308" s="2" t="s">
        <v>944</v>
      </c>
      <c r="B308" s="6" t="s">
        <v>786</v>
      </c>
      <c r="C308" s="6" t="s">
        <v>250</v>
      </c>
      <c r="E308" s="40" t="n">
        <f aca="false">SUM(F308:ES308)</f>
        <v>10319354.5422842</v>
      </c>
      <c r="F308" s="34" t="n">
        <f aca="false">IF(AND(F$7=MAX(1,V_MesDiv),F$6&gt;=2),INDEX(Payout_V,1,MIN(10,F$6-1))*MAX(0,F$307),0)*F$9</f>
        <v>0</v>
      </c>
      <c r="G308" s="34" t="n">
        <f aca="false">IF(AND(G$7=MAX(1,V_MesDiv),G$6&gt;=2),INDEX(Payout_V,1,MIN(10,G$6-1))*MAX(0,G$307),0)*G$9</f>
        <v>0</v>
      </c>
      <c r="H308" s="34" t="n">
        <f aca="false">IF(AND(H$7=MAX(1,V_MesDiv),H$6&gt;=2),INDEX(Payout_V,1,MIN(10,H$6-1))*MAX(0,H$307),0)*H$9</f>
        <v>0</v>
      </c>
      <c r="I308" s="34" t="n">
        <f aca="false">IF(AND(I$7=MAX(1,V_MesDiv),I$6&gt;=2),INDEX(Payout_V,1,MIN(10,I$6-1))*MAX(0,I$307),0)*I$9</f>
        <v>0</v>
      </c>
      <c r="J308" s="34" t="n">
        <f aca="false">IF(AND(J$7=MAX(1,V_MesDiv),J$6&gt;=2),INDEX(Payout_V,1,MIN(10,J$6-1))*MAX(0,J$307),0)*J$9</f>
        <v>0</v>
      </c>
      <c r="K308" s="34" t="n">
        <f aca="false">IF(AND(K$7=MAX(1,V_MesDiv),K$6&gt;=2),INDEX(Payout_V,1,MIN(10,K$6-1))*MAX(0,K$307),0)*K$9</f>
        <v>0</v>
      </c>
      <c r="L308" s="34" t="n">
        <f aca="false">IF(AND(L$7=MAX(1,V_MesDiv),L$6&gt;=2),INDEX(Payout_V,1,MIN(10,L$6-1))*MAX(0,L$307),0)*L$9</f>
        <v>0</v>
      </c>
      <c r="M308" s="34" t="n">
        <f aca="false">IF(AND(M$7=MAX(1,V_MesDiv),M$6&gt;=2),INDEX(Payout_V,1,MIN(10,M$6-1))*MAX(0,M$307),0)*M$9</f>
        <v>0</v>
      </c>
      <c r="N308" s="34" t="n">
        <f aca="false">IF(AND(N$7=MAX(1,V_MesDiv),N$6&gt;=2),INDEX(Payout_V,1,MIN(10,N$6-1))*MAX(0,N$307),0)*N$9</f>
        <v>0</v>
      </c>
      <c r="O308" s="34" t="n">
        <f aca="false">IF(AND(O$7=MAX(1,V_MesDiv),O$6&gt;=2),INDEX(Payout_V,1,MIN(10,O$6-1))*MAX(0,O$307),0)*O$9</f>
        <v>0</v>
      </c>
      <c r="P308" s="34" t="n">
        <f aca="false">IF(AND(P$7=MAX(1,V_MesDiv),P$6&gt;=2),INDEX(Payout_V,1,MIN(10,P$6-1))*MAX(0,P$307),0)*P$9</f>
        <v>0</v>
      </c>
      <c r="Q308" s="34" t="n">
        <f aca="false">IF(AND(Q$7=MAX(1,V_MesDiv),Q$6&gt;=2),INDEX(Payout_V,1,MIN(10,Q$6-1))*MAX(0,Q$307),0)*Q$9</f>
        <v>0</v>
      </c>
      <c r="R308" s="34" t="n">
        <f aca="false">IF(AND(R$7=MAX(1,V_MesDiv),R$6&gt;=2),INDEX(Payout_V,1,MIN(10,R$6-1))*MAX(0,R$307),0)*R$9</f>
        <v>0</v>
      </c>
      <c r="S308" s="34" t="n">
        <f aca="false">IF(AND(S$7=MAX(1,V_MesDiv),S$6&gt;=2),INDEX(Payout_V,1,MIN(10,S$6-1))*MAX(0,S$307),0)*S$9</f>
        <v>0</v>
      </c>
      <c r="T308" s="34" t="n">
        <f aca="false">IF(AND(T$7=MAX(1,V_MesDiv),T$6&gt;=2),INDEX(Payout_V,1,MIN(10,T$6-1))*MAX(0,T$307),0)*T$9</f>
        <v>0</v>
      </c>
      <c r="U308" s="34" t="n">
        <f aca="false">IF(AND(U$7=MAX(1,V_MesDiv),U$6&gt;=2),INDEX(Payout_V,1,MIN(10,U$6-1))*MAX(0,U$307),0)*U$9</f>
        <v>0</v>
      </c>
      <c r="V308" s="34" t="n">
        <f aca="false">IF(AND(V$7=MAX(1,V_MesDiv),V$6&gt;=2),INDEX(Payout_V,1,MIN(10,V$6-1))*MAX(0,V$307),0)*V$9</f>
        <v>0</v>
      </c>
      <c r="W308" s="34" t="n">
        <f aca="false">IF(AND(W$7=MAX(1,V_MesDiv),W$6&gt;=2),INDEX(Payout_V,1,MIN(10,W$6-1))*MAX(0,W$307),0)*W$9</f>
        <v>0</v>
      </c>
      <c r="X308" s="34" t="n">
        <f aca="false">IF(AND(X$7=MAX(1,V_MesDiv),X$6&gt;=2),INDEX(Payout_V,1,MIN(10,X$6-1))*MAX(0,X$307),0)*X$9</f>
        <v>0</v>
      </c>
      <c r="Y308" s="34" t="n">
        <f aca="false">IF(AND(Y$7=MAX(1,V_MesDiv),Y$6&gt;=2),INDEX(Payout_V,1,MIN(10,Y$6-1))*MAX(0,Y$307),0)*Y$9</f>
        <v>0</v>
      </c>
      <c r="Z308" s="34" t="n">
        <f aca="false">IF(AND(Z$7=MAX(1,V_MesDiv),Z$6&gt;=2),INDEX(Payout_V,1,MIN(10,Z$6-1))*MAX(0,Z$307),0)*Z$9</f>
        <v>0</v>
      </c>
      <c r="AA308" s="34" t="n">
        <f aca="false">IF(AND(AA$7=MAX(1,V_MesDiv),AA$6&gt;=2),INDEX(Payout_V,1,MIN(10,AA$6-1))*MAX(0,AA$307),0)*AA$9</f>
        <v>0</v>
      </c>
      <c r="AB308" s="34" t="n">
        <f aca="false">IF(AND(AB$7=MAX(1,V_MesDiv),AB$6&gt;=2),INDEX(Payout_V,1,MIN(10,AB$6-1))*MAX(0,AB$307),0)*AB$9</f>
        <v>0</v>
      </c>
      <c r="AC308" s="34" t="n">
        <f aca="false">IF(AND(AC$7=MAX(1,V_MesDiv),AC$6&gt;=2),INDEX(Payout_V,1,MIN(10,AC$6-1))*MAX(0,AC$307),0)*AC$9</f>
        <v>0</v>
      </c>
      <c r="AD308" s="34" t="n">
        <f aca="false">IF(AND(AD$7=MAX(1,V_MesDiv),AD$6&gt;=2),INDEX(Payout_V,1,MIN(10,AD$6-1))*MAX(0,AD$307),0)*AD$9</f>
        <v>0</v>
      </c>
      <c r="AE308" s="34" t="n">
        <f aca="false">IF(AND(AE$7=MAX(1,V_MesDiv),AE$6&gt;=2),INDEX(Payout_V,1,MIN(10,AE$6-1))*MAX(0,AE$307),0)*AE$9</f>
        <v>0</v>
      </c>
      <c r="AF308" s="34" t="n">
        <f aca="false">IF(AND(AF$7=MAX(1,V_MesDiv),AF$6&gt;=2),INDEX(Payout_V,1,MIN(10,AF$6-1))*MAX(0,AF$307),0)*AF$9</f>
        <v>0</v>
      </c>
      <c r="AG308" s="34" t="n">
        <f aca="false">IF(AND(AG$7=MAX(1,V_MesDiv),AG$6&gt;=2),INDEX(Payout_V,1,MIN(10,AG$6-1))*MAX(0,AG$307),0)*AG$9</f>
        <v>0</v>
      </c>
      <c r="AH308" s="34" t="n">
        <f aca="false">IF(AND(AH$7=MAX(1,V_MesDiv),AH$6&gt;=2),INDEX(Payout_V,1,MIN(10,AH$6-1))*MAX(0,AH$307),0)*AH$9</f>
        <v>0</v>
      </c>
      <c r="AI308" s="34" t="n">
        <f aca="false">IF(AND(AI$7=MAX(1,V_MesDiv),AI$6&gt;=2),INDEX(Payout_V,1,MIN(10,AI$6-1))*MAX(0,AI$307),0)*AI$9</f>
        <v>0</v>
      </c>
      <c r="AJ308" s="34" t="n">
        <f aca="false">IF(AND(AJ$7=MAX(1,V_MesDiv),AJ$6&gt;=2),INDEX(Payout_V,1,MIN(10,AJ$6-1))*MAX(0,AJ$307),0)*AJ$9</f>
        <v>0</v>
      </c>
      <c r="AK308" s="34" t="n">
        <f aca="false">IF(AND(AK$7=MAX(1,V_MesDiv),AK$6&gt;=2),INDEX(Payout_V,1,MIN(10,AK$6-1))*MAX(0,AK$307),0)*AK$9</f>
        <v>0</v>
      </c>
      <c r="AL308" s="34" t="n">
        <f aca="false">IF(AND(AL$7=MAX(1,V_MesDiv),AL$6&gt;=2),INDEX(Payout_V,1,MIN(10,AL$6-1))*MAX(0,AL$307),0)*AL$9</f>
        <v>0</v>
      </c>
      <c r="AM308" s="34" t="n">
        <f aca="false">IF(AND(AM$7=MAX(1,V_MesDiv),AM$6&gt;=2),INDEX(Payout_V,1,MIN(10,AM$6-1))*MAX(0,AM$307),0)*AM$9</f>
        <v>0</v>
      </c>
      <c r="AN308" s="34" t="n">
        <f aca="false">IF(AND(AN$7=MAX(1,V_MesDiv),AN$6&gt;=2),INDEX(Payout_V,1,MIN(10,AN$6-1))*MAX(0,AN$307),0)*AN$9</f>
        <v>0</v>
      </c>
      <c r="AO308" s="34" t="n">
        <f aca="false">IF(AND(AO$7=MAX(1,V_MesDiv),AO$6&gt;=2),INDEX(Payout_V,1,MIN(10,AO$6-1))*MAX(0,AO$307),0)*AO$9</f>
        <v>0</v>
      </c>
      <c r="AP308" s="34" t="n">
        <f aca="false">IF(AND(AP$7=MAX(1,V_MesDiv),AP$6&gt;=2),INDEX(Payout_V,1,MIN(10,AP$6-1))*MAX(0,AP$307),0)*AP$9</f>
        <v>0</v>
      </c>
      <c r="AQ308" s="34" t="n">
        <f aca="false">IF(AND(AQ$7=MAX(1,V_MesDiv),AQ$6&gt;=2),INDEX(Payout_V,1,MIN(10,AQ$6-1))*MAX(0,AQ$307),0)*AQ$9</f>
        <v>0</v>
      </c>
      <c r="AR308" s="34" t="n">
        <f aca="false">IF(AND(AR$7=MAX(1,V_MesDiv),AR$6&gt;=2),INDEX(Payout_V,1,MIN(10,AR$6-1))*MAX(0,AR$307),0)*AR$9</f>
        <v>0</v>
      </c>
      <c r="AS308" s="34" t="n">
        <f aca="false">IF(AND(AS$7=MAX(1,V_MesDiv),AS$6&gt;=2),INDEX(Payout_V,1,MIN(10,AS$6-1))*MAX(0,AS$307),0)*AS$9</f>
        <v>346203.656532099</v>
      </c>
      <c r="AT308" s="34" t="n">
        <f aca="false">IF(AND(AT$7=MAX(1,V_MesDiv),AT$6&gt;=2),INDEX(Payout_V,1,MIN(10,AT$6-1))*MAX(0,AT$307),0)*AT$9</f>
        <v>0</v>
      </c>
      <c r="AU308" s="34" t="n">
        <f aca="false">IF(AND(AU$7=MAX(1,V_MesDiv),AU$6&gt;=2),INDEX(Payout_V,1,MIN(10,AU$6-1))*MAX(0,AU$307),0)*AU$9</f>
        <v>0</v>
      </c>
      <c r="AV308" s="34" t="n">
        <f aca="false">IF(AND(AV$7=MAX(1,V_MesDiv),AV$6&gt;=2),INDEX(Payout_V,1,MIN(10,AV$6-1))*MAX(0,AV$307),0)*AV$9</f>
        <v>0</v>
      </c>
      <c r="AW308" s="34" t="n">
        <f aca="false">IF(AND(AW$7=MAX(1,V_MesDiv),AW$6&gt;=2),INDEX(Payout_V,1,MIN(10,AW$6-1))*MAX(0,AW$307),0)*AW$9</f>
        <v>0</v>
      </c>
      <c r="AX308" s="34" t="n">
        <f aca="false">IF(AND(AX$7=MAX(1,V_MesDiv),AX$6&gt;=2),INDEX(Payout_V,1,MIN(10,AX$6-1))*MAX(0,AX$307),0)*AX$9</f>
        <v>0</v>
      </c>
      <c r="AY308" s="34" t="n">
        <f aca="false">IF(AND(AY$7=MAX(1,V_MesDiv),AY$6&gt;=2),INDEX(Payout_V,1,MIN(10,AY$6-1))*MAX(0,AY$307),0)*AY$9</f>
        <v>0</v>
      </c>
      <c r="AZ308" s="34" t="n">
        <f aca="false">IF(AND(AZ$7=MAX(1,V_MesDiv),AZ$6&gt;=2),INDEX(Payout_V,1,MIN(10,AZ$6-1))*MAX(0,AZ$307),0)*AZ$9</f>
        <v>0</v>
      </c>
      <c r="BA308" s="34" t="n">
        <f aca="false">IF(AND(BA$7=MAX(1,V_MesDiv),BA$6&gt;=2),INDEX(Payout_V,1,MIN(10,BA$6-1))*MAX(0,BA$307),0)*BA$9</f>
        <v>0</v>
      </c>
      <c r="BB308" s="34" t="n">
        <f aca="false">IF(AND(BB$7=MAX(1,V_MesDiv),BB$6&gt;=2),INDEX(Payout_V,1,MIN(10,BB$6-1))*MAX(0,BB$307),0)*BB$9</f>
        <v>0</v>
      </c>
      <c r="BC308" s="34" t="n">
        <f aca="false">IF(AND(BC$7=MAX(1,V_MesDiv),BC$6&gt;=2),INDEX(Payout_V,1,MIN(10,BC$6-1))*MAX(0,BC$307),0)*BC$9</f>
        <v>0</v>
      </c>
      <c r="BD308" s="34" t="n">
        <f aca="false">IF(AND(BD$7=MAX(1,V_MesDiv),BD$6&gt;=2),INDEX(Payout_V,1,MIN(10,BD$6-1))*MAX(0,BD$307),0)*BD$9</f>
        <v>0</v>
      </c>
      <c r="BE308" s="34" t="n">
        <f aca="false">IF(AND(BE$7=MAX(1,V_MesDiv),BE$6&gt;=2),INDEX(Payout_V,1,MIN(10,BE$6-1))*MAX(0,BE$307),0)*BE$9</f>
        <v>804953.378380922</v>
      </c>
      <c r="BF308" s="34" t="n">
        <f aca="false">IF(AND(BF$7=MAX(1,V_MesDiv),BF$6&gt;=2),INDEX(Payout_V,1,MIN(10,BF$6-1))*MAX(0,BF$307),0)*BF$9</f>
        <v>0</v>
      </c>
      <c r="BG308" s="34" t="n">
        <f aca="false">IF(AND(BG$7=MAX(1,V_MesDiv),BG$6&gt;=2),INDEX(Payout_V,1,MIN(10,BG$6-1))*MAX(0,BG$307),0)*BG$9</f>
        <v>0</v>
      </c>
      <c r="BH308" s="34" t="n">
        <f aca="false">IF(AND(BH$7=MAX(1,V_MesDiv),BH$6&gt;=2),INDEX(Payout_V,1,MIN(10,BH$6-1))*MAX(0,BH$307),0)*BH$9</f>
        <v>0</v>
      </c>
      <c r="BI308" s="34" t="n">
        <f aca="false">IF(AND(BI$7=MAX(1,V_MesDiv),BI$6&gt;=2),INDEX(Payout_V,1,MIN(10,BI$6-1))*MAX(0,BI$307),0)*BI$9</f>
        <v>0</v>
      </c>
      <c r="BJ308" s="34" t="n">
        <f aca="false">IF(AND(BJ$7=MAX(1,V_MesDiv),BJ$6&gt;=2),INDEX(Payout_V,1,MIN(10,BJ$6-1))*MAX(0,BJ$307),0)*BJ$9</f>
        <v>0</v>
      </c>
      <c r="BK308" s="34" t="n">
        <f aca="false">IF(AND(BK$7=MAX(1,V_MesDiv),BK$6&gt;=2),INDEX(Payout_V,1,MIN(10,BK$6-1))*MAX(0,BK$307),0)*BK$9</f>
        <v>0</v>
      </c>
      <c r="BL308" s="34" t="n">
        <f aca="false">IF(AND(BL$7=MAX(1,V_MesDiv),BL$6&gt;=2),INDEX(Payout_V,1,MIN(10,BL$6-1))*MAX(0,BL$307),0)*BL$9</f>
        <v>0</v>
      </c>
      <c r="BM308" s="34" t="n">
        <f aca="false">IF(AND(BM$7=MAX(1,V_MesDiv),BM$6&gt;=2),INDEX(Payout_V,1,MIN(10,BM$6-1))*MAX(0,BM$307),0)*BM$9</f>
        <v>0</v>
      </c>
      <c r="BN308" s="34" t="n">
        <f aca="false">IF(AND(BN$7=MAX(1,V_MesDiv),BN$6&gt;=2),INDEX(Payout_V,1,MIN(10,BN$6-1))*MAX(0,BN$307),0)*BN$9</f>
        <v>0</v>
      </c>
      <c r="BO308" s="34" t="n">
        <f aca="false">IF(AND(BO$7=MAX(1,V_MesDiv),BO$6&gt;=2),INDEX(Payout_V,1,MIN(10,BO$6-1))*MAX(0,BO$307),0)*BO$9</f>
        <v>0</v>
      </c>
      <c r="BP308" s="34" t="n">
        <f aca="false">IF(AND(BP$7=MAX(1,V_MesDiv),BP$6&gt;=2),INDEX(Payout_V,1,MIN(10,BP$6-1))*MAX(0,BP$307),0)*BP$9</f>
        <v>0</v>
      </c>
      <c r="BQ308" s="34" t="n">
        <f aca="false">IF(AND(BQ$7=MAX(1,V_MesDiv),BQ$6&gt;=2),INDEX(Payout_V,1,MIN(10,BQ$6-1))*MAX(0,BQ$307),0)*BQ$9</f>
        <v>1693767.79358213</v>
      </c>
      <c r="BR308" s="34" t="n">
        <f aca="false">IF(AND(BR$7=MAX(1,V_MesDiv),BR$6&gt;=2),INDEX(Payout_V,1,MIN(10,BR$6-1))*MAX(0,BR$307),0)*BR$9</f>
        <v>0</v>
      </c>
      <c r="BS308" s="34" t="n">
        <f aca="false">IF(AND(BS$7=MAX(1,V_MesDiv),BS$6&gt;=2),INDEX(Payout_V,1,MIN(10,BS$6-1))*MAX(0,BS$307),0)*BS$9</f>
        <v>0</v>
      </c>
      <c r="BT308" s="34" t="n">
        <f aca="false">IF(AND(BT$7=MAX(1,V_MesDiv),BT$6&gt;=2),INDEX(Payout_V,1,MIN(10,BT$6-1))*MAX(0,BT$307),0)*BT$9</f>
        <v>0</v>
      </c>
      <c r="BU308" s="34" t="n">
        <f aca="false">IF(AND(BU$7=MAX(1,V_MesDiv),BU$6&gt;=2),INDEX(Payout_V,1,MIN(10,BU$6-1))*MAX(0,BU$307),0)*BU$9</f>
        <v>0</v>
      </c>
      <c r="BV308" s="34" t="n">
        <f aca="false">IF(AND(BV$7=MAX(1,V_MesDiv),BV$6&gt;=2),INDEX(Payout_V,1,MIN(10,BV$6-1))*MAX(0,BV$307),0)*BV$9</f>
        <v>0</v>
      </c>
      <c r="BW308" s="34" t="n">
        <f aca="false">IF(AND(BW$7=MAX(1,V_MesDiv),BW$6&gt;=2),INDEX(Payout_V,1,MIN(10,BW$6-1))*MAX(0,BW$307),0)*BW$9</f>
        <v>0</v>
      </c>
      <c r="BX308" s="34" t="n">
        <f aca="false">IF(AND(BX$7=MAX(1,V_MesDiv),BX$6&gt;=2),INDEX(Payout_V,1,MIN(10,BX$6-1))*MAX(0,BX$307),0)*BX$9</f>
        <v>0</v>
      </c>
      <c r="BY308" s="34" t="n">
        <f aca="false">IF(AND(BY$7=MAX(1,V_MesDiv),BY$6&gt;=2),INDEX(Payout_V,1,MIN(10,BY$6-1))*MAX(0,BY$307),0)*BY$9</f>
        <v>0</v>
      </c>
      <c r="BZ308" s="34" t="n">
        <f aca="false">IF(AND(BZ$7=MAX(1,V_MesDiv),BZ$6&gt;=2),INDEX(Payout_V,1,MIN(10,BZ$6-1))*MAX(0,BZ$307),0)*BZ$9</f>
        <v>0</v>
      </c>
      <c r="CA308" s="34" t="n">
        <f aca="false">IF(AND(CA$7=MAX(1,V_MesDiv),CA$6&gt;=2),INDEX(Payout_V,1,MIN(10,CA$6-1))*MAX(0,CA$307),0)*CA$9</f>
        <v>0</v>
      </c>
      <c r="CB308" s="34" t="n">
        <f aca="false">IF(AND(CB$7=MAX(1,V_MesDiv),CB$6&gt;=2),INDEX(Payout_V,1,MIN(10,CB$6-1))*MAX(0,CB$307),0)*CB$9</f>
        <v>0</v>
      </c>
      <c r="CC308" s="34" t="n">
        <f aca="false">IF(AND(CC$7=MAX(1,V_MesDiv),CC$6&gt;=2),INDEX(Payout_V,1,MIN(10,CC$6-1))*MAX(0,CC$307),0)*CC$9</f>
        <v>1794188.69257391</v>
      </c>
      <c r="CD308" s="34" t="n">
        <f aca="false">IF(AND(CD$7=MAX(1,V_MesDiv),CD$6&gt;=2),INDEX(Payout_V,1,MIN(10,CD$6-1))*MAX(0,CD$307),0)*CD$9</f>
        <v>0</v>
      </c>
      <c r="CE308" s="34" t="n">
        <f aca="false">IF(AND(CE$7=MAX(1,V_MesDiv),CE$6&gt;=2),INDEX(Payout_V,1,MIN(10,CE$6-1))*MAX(0,CE$307),0)*CE$9</f>
        <v>0</v>
      </c>
      <c r="CF308" s="34" t="n">
        <f aca="false">IF(AND(CF$7=MAX(1,V_MesDiv),CF$6&gt;=2),INDEX(Payout_V,1,MIN(10,CF$6-1))*MAX(0,CF$307),0)*CF$9</f>
        <v>0</v>
      </c>
      <c r="CG308" s="34" t="n">
        <f aca="false">IF(AND(CG$7=MAX(1,V_MesDiv),CG$6&gt;=2),INDEX(Payout_V,1,MIN(10,CG$6-1))*MAX(0,CG$307),0)*CG$9</f>
        <v>0</v>
      </c>
      <c r="CH308" s="34" t="n">
        <f aca="false">IF(AND(CH$7=MAX(1,V_MesDiv),CH$6&gt;=2),INDEX(Payout_V,1,MIN(10,CH$6-1))*MAX(0,CH$307),0)*CH$9</f>
        <v>0</v>
      </c>
      <c r="CI308" s="34" t="n">
        <f aca="false">IF(AND(CI$7=MAX(1,V_MesDiv),CI$6&gt;=2),INDEX(Payout_V,1,MIN(10,CI$6-1))*MAX(0,CI$307),0)*CI$9</f>
        <v>0</v>
      </c>
      <c r="CJ308" s="34" t="n">
        <f aca="false">IF(AND(CJ$7=MAX(1,V_MesDiv),CJ$6&gt;=2),INDEX(Payout_V,1,MIN(10,CJ$6-1))*MAX(0,CJ$307),0)*CJ$9</f>
        <v>0</v>
      </c>
      <c r="CK308" s="34" t="n">
        <f aca="false">IF(AND(CK$7=MAX(1,V_MesDiv),CK$6&gt;=2),INDEX(Payout_V,1,MIN(10,CK$6-1))*MAX(0,CK$307),0)*CK$9</f>
        <v>0</v>
      </c>
      <c r="CL308" s="34" t="n">
        <f aca="false">IF(AND(CL$7=MAX(1,V_MesDiv),CL$6&gt;=2),INDEX(Payout_V,1,MIN(10,CL$6-1))*MAX(0,CL$307),0)*CL$9</f>
        <v>0</v>
      </c>
      <c r="CM308" s="34" t="n">
        <f aca="false">IF(AND(CM$7=MAX(1,V_MesDiv),CM$6&gt;=2),INDEX(Payout_V,1,MIN(10,CM$6-1))*MAX(0,CM$307),0)*CM$9</f>
        <v>0</v>
      </c>
      <c r="CN308" s="34" t="n">
        <f aca="false">IF(AND(CN$7=MAX(1,V_MesDiv),CN$6&gt;=2),INDEX(Payout_V,1,MIN(10,CN$6-1))*MAX(0,CN$307),0)*CN$9</f>
        <v>0</v>
      </c>
      <c r="CO308" s="34" t="n">
        <f aca="false">IF(AND(CO$7=MAX(1,V_MesDiv),CO$6&gt;=2),INDEX(Payout_V,1,MIN(10,CO$6-1))*MAX(0,CO$307),0)*CO$9</f>
        <v>1843575.6608728</v>
      </c>
      <c r="CP308" s="34" t="n">
        <f aca="false">IF(AND(CP$7=MAX(1,V_MesDiv),CP$6&gt;=2),INDEX(Payout_V,1,MIN(10,CP$6-1))*MAX(0,CP$307),0)*CP$9</f>
        <v>0</v>
      </c>
      <c r="CQ308" s="34" t="n">
        <f aca="false">IF(AND(CQ$7=MAX(1,V_MesDiv),CQ$6&gt;=2),INDEX(Payout_V,1,MIN(10,CQ$6-1))*MAX(0,CQ$307),0)*CQ$9</f>
        <v>0</v>
      </c>
      <c r="CR308" s="34" t="n">
        <f aca="false">IF(AND(CR$7=MAX(1,V_MesDiv),CR$6&gt;=2),INDEX(Payout_V,1,MIN(10,CR$6-1))*MAX(0,CR$307),0)*CR$9</f>
        <v>0</v>
      </c>
      <c r="CS308" s="34" t="n">
        <f aca="false">IF(AND(CS$7=MAX(1,V_MesDiv),CS$6&gt;=2),INDEX(Payout_V,1,MIN(10,CS$6-1))*MAX(0,CS$307),0)*CS$9</f>
        <v>0</v>
      </c>
      <c r="CT308" s="34" t="n">
        <f aca="false">IF(AND(CT$7=MAX(1,V_MesDiv),CT$6&gt;=2),INDEX(Payout_V,1,MIN(10,CT$6-1))*MAX(0,CT$307),0)*CT$9</f>
        <v>0</v>
      </c>
      <c r="CU308" s="34" t="n">
        <f aca="false">IF(AND(CU$7=MAX(1,V_MesDiv),CU$6&gt;=2),INDEX(Payout_V,1,MIN(10,CU$6-1))*MAX(0,CU$307),0)*CU$9</f>
        <v>0</v>
      </c>
      <c r="CV308" s="34" t="n">
        <f aca="false">IF(AND(CV$7=MAX(1,V_MesDiv),CV$6&gt;=2),INDEX(Payout_V,1,MIN(10,CV$6-1))*MAX(0,CV$307),0)*CV$9</f>
        <v>0</v>
      </c>
      <c r="CW308" s="34" t="n">
        <f aca="false">IF(AND(CW$7=MAX(1,V_MesDiv),CW$6&gt;=2),INDEX(Payout_V,1,MIN(10,CW$6-1))*MAX(0,CW$307),0)*CW$9</f>
        <v>0</v>
      </c>
      <c r="CX308" s="34" t="n">
        <f aca="false">IF(AND(CX$7=MAX(1,V_MesDiv),CX$6&gt;=2),INDEX(Payout_V,1,MIN(10,CX$6-1))*MAX(0,CX$307),0)*CX$9</f>
        <v>0</v>
      </c>
      <c r="CY308" s="34" t="n">
        <f aca="false">IF(AND(CY$7=MAX(1,V_MesDiv),CY$6&gt;=2),INDEX(Payout_V,1,MIN(10,CY$6-1))*MAX(0,CY$307),0)*CY$9</f>
        <v>0</v>
      </c>
      <c r="CZ308" s="34" t="n">
        <f aca="false">IF(AND(CZ$7=MAX(1,V_MesDiv),CZ$6&gt;=2),INDEX(Payout_V,1,MIN(10,CZ$6-1))*MAX(0,CZ$307),0)*CZ$9</f>
        <v>0</v>
      </c>
      <c r="DA308" s="34" t="n">
        <f aca="false">IF(AND(DA$7=MAX(1,V_MesDiv),DA$6&gt;=2),INDEX(Payout_V,1,MIN(10,DA$6-1))*MAX(0,DA$307),0)*DA$9</f>
        <v>1893301.21355545</v>
      </c>
      <c r="DB308" s="34" t="n">
        <f aca="false">IF(AND(DB$7=MAX(1,V_MesDiv),DB$6&gt;=2),INDEX(Payout_V,1,MIN(10,DB$6-1))*MAX(0,DB$307),0)*DB$9</f>
        <v>0</v>
      </c>
      <c r="DC308" s="34" t="n">
        <f aca="false">IF(AND(DC$7=MAX(1,V_MesDiv),DC$6&gt;=2),INDEX(Payout_V,1,MIN(10,DC$6-1))*MAX(0,DC$307),0)*DC$9</f>
        <v>0</v>
      </c>
      <c r="DD308" s="34" t="n">
        <f aca="false">IF(AND(DD$7=MAX(1,V_MesDiv),DD$6&gt;=2),INDEX(Payout_V,1,MIN(10,DD$6-1))*MAX(0,DD$307),0)*DD$9</f>
        <v>0</v>
      </c>
      <c r="DE308" s="34" t="n">
        <f aca="false">IF(AND(DE$7=MAX(1,V_MesDiv),DE$6&gt;=2),INDEX(Payout_V,1,MIN(10,DE$6-1))*MAX(0,DE$307),0)*DE$9</f>
        <v>0</v>
      </c>
      <c r="DF308" s="34" t="n">
        <f aca="false">IF(AND(DF$7=MAX(1,V_MesDiv),DF$6&gt;=2),INDEX(Payout_V,1,MIN(10,DF$6-1))*MAX(0,DF$307),0)*DF$9</f>
        <v>0</v>
      </c>
      <c r="DG308" s="34" t="n">
        <f aca="false">IF(AND(DG$7=MAX(1,V_MesDiv),DG$6&gt;=2),INDEX(Payout_V,1,MIN(10,DG$6-1))*MAX(0,DG$307),0)*DG$9</f>
        <v>0</v>
      </c>
      <c r="DH308" s="34" t="n">
        <f aca="false">IF(AND(DH$7=MAX(1,V_MesDiv),DH$6&gt;=2),INDEX(Payout_V,1,MIN(10,DH$6-1))*MAX(0,DH$307),0)*DH$9</f>
        <v>0</v>
      </c>
      <c r="DI308" s="34" t="n">
        <f aca="false">IF(AND(DI$7=MAX(1,V_MesDiv),DI$6&gt;=2),INDEX(Payout_V,1,MIN(10,DI$6-1))*MAX(0,DI$307),0)*DI$9</f>
        <v>0</v>
      </c>
      <c r="DJ308" s="34" t="n">
        <f aca="false">IF(AND(DJ$7=MAX(1,V_MesDiv),DJ$6&gt;=2),INDEX(Payout_V,1,MIN(10,DJ$6-1))*MAX(0,DJ$307),0)*DJ$9</f>
        <v>0</v>
      </c>
      <c r="DK308" s="34" t="n">
        <f aca="false">IF(AND(DK$7=MAX(1,V_MesDiv),DK$6&gt;=2),INDEX(Payout_V,1,MIN(10,DK$6-1))*MAX(0,DK$307),0)*DK$9</f>
        <v>0</v>
      </c>
      <c r="DL308" s="34" t="n">
        <f aca="false">IF(AND(DL$7=MAX(1,V_MesDiv),DL$6&gt;=2),INDEX(Payout_V,1,MIN(10,DL$6-1))*MAX(0,DL$307),0)*DL$9</f>
        <v>0</v>
      </c>
      <c r="DM308" s="34" t="n">
        <f aca="false">IF(AND(DM$7=MAX(1,V_MesDiv),DM$6&gt;=2),INDEX(Payout_V,1,MIN(10,DM$6-1))*MAX(0,DM$307),0)*DM$9</f>
        <v>1943364.14678689</v>
      </c>
      <c r="DN308" s="34" t="n">
        <f aca="false">IF(AND(DN$7=MAX(1,V_MesDiv),DN$6&gt;=2),INDEX(Payout_V,1,MIN(10,DN$6-1))*MAX(0,DN$307),0)*DN$9</f>
        <v>0</v>
      </c>
      <c r="DO308" s="34" t="n">
        <f aca="false">IF(AND(DO$7=MAX(1,V_MesDiv),DO$6&gt;=2),INDEX(Payout_V,1,MIN(10,DO$6-1))*MAX(0,DO$307),0)*DO$9</f>
        <v>0</v>
      </c>
      <c r="DP308" s="34" t="n">
        <f aca="false">IF(AND(DP$7=MAX(1,V_MesDiv),DP$6&gt;=2),INDEX(Payout_V,1,MIN(10,DP$6-1))*MAX(0,DP$307),0)*DP$9</f>
        <v>0</v>
      </c>
      <c r="DQ308" s="34" t="n">
        <f aca="false">IF(AND(DQ$7=MAX(1,V_MesDiv),DQ$6&gt;=2),INDEX(Payout_V,1,MIN(10,DQ$6-1))*MAX(0,DQ$307),0)*DQ$9</f>
        <v>0</v>
      </c>
      <c r="DR308" s="34" t="n">
        <f aca="false">IF(AND(DR$7=MAX(1,V_MesDiv),DR$6&gt;=2),INDEX(Payout_V,1,MIN(10,DR$6-1))*MAX(0,DR$307),0)*DR$9</f>
        <v>0</v>
      </c>
      <c r="DS308" s="34" t="n">
        <f aca="false">IF(AND(DS$7=MAX(1,V_MesDiv),DS$6&gt;=2),INDEX(Payout_V,1,MIN(10,DS$6-1))*MAX(0,DS$307),0)*DS$9</f>
        <v>0</v>
      </c>
      <c r="DT308" s="34" t="n">
        <f aca="false">IF(AND(DT$7=MAX(1,V_MesDiv),DT$6&gt;=2),INDEX(Payout_V,1,MIN(10,DT$6-1))*MAX(0,DT$307),0)*DT$9</f>
        <v>0</v>
      </c>
      <c r="DU308" s="34" t="n">
        <f aca="false">IF(AND(DU$7=MAX(1,V_MesDiv),DU$6&gt;=2),INDEX(Payout_V,1,MIN(10,DU$6-1))*MAX(0,DU$307),0)*DU$9</f>
        <v>0</v>
      </c>
      <c r="DV308" s="34" t="n">
        <f aca="false">IF(AND(DV$7=MAX(1,V_MesDiv),DV$6&gt;=2),INDEX(Payout_V,1,MIN(10,DV$6-1))*MAX(0,DV$307),0)*DV$9</f>
        <v>0</v>
      </c>
      <c r="DW308" s="34" t="n">
        <f aca="false">IF(AND(DW$7=MAX(1,V_MesDiv),DW$6&gt;=2),INDEX(Payout_V,1,MIN(10,DW$6-1))*MAX(0,DW$307),0)*DW$9</f>
        <v>0</v>
      </c>
      <c r="DX308" s="34" t="n">
        <f aca="false">IF(AND(DX$7=MAX(1,V_MesDiv),DX$6&gt;=2),INDEX(Payout_V,1,MIN(10,DX$6-1))*MAX(0,DX$307),0)*DX$9</f>
        <v>0</v>
      </c>
      <c r="DY308" s="34" t="n">
        <f aca="false">IF(AND(DY$7=MAX(1,V_MesDiv),DY$6&gt;=2),INDEX(Payout_V,1,MIN(10,DY$6-1))*MAX(0,DY$307),0)*DY$9</f>
        <v>0</v>
      </c>
      <c r="DZ308" s="34" t="n">
        <f aca="false">IF(AND(DZ$7=MAX(1,V_MesDiv),DZ$6&gt;=2),INDEX(Payout_V,1,MIN(10,DZ$6-1))*MAX(0,DZ$307),0)*DZ$9</f>
        <v>0</v>
      </c>
      <c r="EA308" s="34" t="n">
        <f aca="false">IF(AND(EA$7=MAX(1,V_MesDiv),EA$6&gt;=2),INDEX(Payout_V,1,MIN(10,EA$6-1))*MAX(0,EA$307),0)*EA$9</f>
        <v>0</v>
      </c>
      <c r="EB308" s="34" t="n">
        <f aca="false">IF(AND(EB$7=MAX(1,V_MesDiv),EB$6&gt;=2),INDEX(Payout_V,1,MIN(10,EB$6-1))*MAX(0,EB$307),0)*EB$9</f>
        <v>0</v>
      </c>
      <c r="EC308" s="34" t="n">
        <f aca="false">IF(AND(EC$7=MAX(1,V_MesDiv),EC$6&gt;=2),INDEX(Payout_V,1,MIN(10,EC$6-1))*MAX(0,EC$307),0)*EC$9</f>
        <v>0</v>
      </c>
      <c r="ED308" s="34" t="n">
        <f aca="false">IF(AND(ED$7=MAX(1,V_MesDiv),ED$6&gt;=2),INDEX(Payout_V,1,MIN(10,ED$6-1))*MAX(0,ED$307),0)*ED$9</f>
        <v>0</v>
      </c>
      <c r="EE308" s="34" t="n">
        <f aca="false">IF(AND(EE$7=MAX(1,V_MesDiv),EE$6&gt;=2),INDEX(Payout_V,1,MIN(10,EE$6-1))*MAX(0,EE$307),0)*EE$9</f>
        <v>0</v>
      </c>
      <c r="EF308" s="34" t="n">
        <f aca="false">IF(AND(EF$7=MAX(1,V_MesDiv),EF$6&gt;=2),INDEX(Payout_V,1,MIN(10,EF$6-1))*MAX(0,EF$307),0)*EF$9</f>
        <v>0</v>
      </c>
      <c r="EG308" s="34" t="n">
        <f aca="false">IF(AND(EG$7=MAX(1,V_MesDiv),EG$6&gt;=2),INDEX(Payout_V,1,MIN(10,EG$6-1))*MAX(0,EG$307),0)*EG$9</f>
        <v>0</v>
      </c>
      <c r="EH308" s="34" t="n">
        <f aca="false">IF(AND(EH$7=MAX(1,V_MesDiv),EH$6&gt;=2),INDEX(Payout_V,1,MIN(10,EH$6-1))*MAX(0,EH$307),0)*EH$9</f>
        <v>0</v>
      </c>
      <c r="EI308" s="34" t="n">
        <f aca="false">IF(AND(EI$7=MAX(1,V_MesDiv),EI$6&gt;=2),INDEX(Payout_V,1,MIN(10,EI$6-1))*MAX(0,EI$307),0)*EI$9</f>
        <v>0</v>
      </c>
      <c r="EJ308" s="34" t="n">
        <f aca="false">IF(AND(EJ$7=MAX(1,V_MesDiv),EJ$6&gt;=2),INDEX(Payout_V,1,MIN(10,EJ$6-1))*MAX(0,EJ$307),0)*EJ$9</f>
        <v>0</v>
      </c>
      <c r="EK308" s="34" t="n">
        <f aca="false">IF(AND(EK$7=MAX(1,V_MesDiv),EK$6&gt;=2),INDEX(Payout_V,1,MIN(10,EK$6-1))*MAX(0,EK$307),0)*EK$9</f>
        <v>0</v>
      </c>
      <c r="EL308" s="34" t="n">
        <f aca="false">IF(AND(EL$7=MAX(1,V_MesDiv),EL$6&gt;=2),INDEX(Payout_V,1,MIN(10,EL$6-1))*MAX(0,EL$307),0)*EL$9</f>
        <v>0</v>
      </c>
      <c r="EM308" s="34" t="n">
        <f aca="false">IF(AND(EM$7=MAX(1,V_MesDiv),EM$6&gt;=2),INDEX(Payout_V,1,MIN(10,EM$6-1))*MAX(0,EM$307),0)*EM$9</f>
        <v>0</v>
      </c>
      <c r="EN308" s="34" t="n">
        <f aca="false">IF(AND(EN$7=MAX(1,V_MesDiv),EN$6&gt;=2),INDEX(Payout_V,1,MIN(10,EN$6-1))*MAX(0,EN$307),0)*EN$9</f>
        <v>0</v>
      </c>
      <c r="EO308" s="34" t="n">
        <f aca="false">IF(AND(EO$7=MAX(1,V_MesDiv),EO$6&gt;=2),INDEX(Payout_V,1,MIN(10,EO$6-1))*MAX(0,EO$307),0)*EO$9</f>
        <v>0</v>
      </c>
      <c r="EP308" s="34" t="n">
        <f aca="false">IF(AND(EP$7=MAX(1,V_MesDiv),EP$6&gt;=2),INDEX(Payout_V,1,MIN(10,EP$6-1))*MAX(0,EP$307),0)*EP$9</f>
        <v>0</v>
      </c>
      <c r="EQ308" s="34" t="n">
        <f aca="false">IF(AND(EQ$7=MAX(1,V_MesDiv),EQ$6&gt;=2),INDEX(Payout_V,1,MIN(10,EQ$6-1))*MAX(0,EQ$307),0)*EQ$9</f>
        <v>0</v>
      </c>
      <c r="ER308" s="34" t="n">
        <f aca="false">IF(AND(ER$7=MAX(1,V_MesDiv),ER$6&gt;=2),INDEX(Payout_V,1,MIN(10,ER$6-1))*MAX(0,ER$307),0)*ER$9</f>
        <v>0</v>
      </c>
      <c r="ES308" s="34" t="n">
        <f aca="false">IF(AND(ES$7=MAX(1,V_MesDiv),ES$6&gt;=2),INDEX(Payout_V,1,MIN(10,ES$6-1))*MAX(0,ES$307),0)*ES$9</f>
        <v>0</v>
      </c>
    </row>
    <row r="309" customFormat="false" ht="15" hidden="false" customHeight="false" outlineLevel="0" collapsed="false">
      <c r="A309" s="2" t="s">
        <v>945</v>
      </c>
      <c r="B309" s="6" t="s">
        <v>788</v>
      </c>
      <c r="C309" s="6" t="s">
        <v>250</v>
      </c>
      <c r="E309" s="40" t="n">
        <f aca="false">SUM(F309:ES309)</f>
        <v>9743309.63653819</v>
      </c>
      <c r="F309" s="34" t="n">
        <f aca="false">IF(F$8=1,IF(Reales!$C$77="PYG",IF(F$10&gt;0,N(Reales!F77)/F$10,0),N(Reales!F77)),MIN(F$308,MAX(0,F$305-F$298)))</f>
        <v>0</v>
      </c>
      <c r="G309" s="34" t="n">
        <f aca="false">IF(G$8=1,IF(Reales!$C$77="PYG",IF(G$10&gt;0,N(Reales!G77)/G$10,0),N(Reales!G77)),MIN(G$308,MAX(0,G$305-G$298)))</f>
        <v>0</v>
      </c>
      <c r="H309" s="34" t="n">
        <f aca="false">IF(H$8=1,IF(Reales!$C$77="PYG",IF(H$10&gt;0,N(Reales!H77)/H$10,0),N(Reales!H77)),MIN(H$308,MAX(0,H$305-H$298)))</f>
        <v>0</v>
      </c>
      <c r="I309" s="34" t="n">
        <f aca="false">IF(I$8=1,IF(Reales!$C$77="PYG",IF(I$10&gt;0,N(Reales!I77)/I$10,0),N(Reales!I77)),MIN(I$308,MAX(0,I$305-I$298)))</f>
        <v>0</v>
      </c>
      <c r="J309" s="34" t="n">
        <f aca="false">IF(J$8=1,IF(Reales!$C$77="PYG",IF(J$10&gt;0,N(Reales!J77)/J$10,0),N(Reales!J77)),MIN(J$308,MAX(0,J$305-J$298)))</f>
        <v>0</v>
      </c>
      <c r="K309" s="34" t="n">
        <f aca="false">IF(K$8=1,IF(Reales!$C$77="PYG",IF(K$10&gt;0,N(Reales!K77)/K$10,0),N(Reales!K77)),MIN(K$308,MAX(0,K$305-K$298)))</f>
        <v>0</v>
      </c>
      <c r="L309" s="34" t="n">
        <f aca="false">IF(L$8=1,IF(Reales!$C$77="PYG",IF(L$10&gt;0,N(Reales!L77)/L$10,0),N(Reales!L77)),MIN(L$308,MAX(0,L$305-L$298)))</f>
        <v>0</v>
      </c>
      <c r="M309" s="34" t="n">
        <f aca="false">IF(M$8=1,IF(Reales!$C$77="PYG",IF(M$10&gt;0,N(Reales!M77)/M$10,0),N(Reales!M77)),MIN(M$308,MAX(0,M$305-M$298)))</f>
        <v>0</v>
      </c>
      <c r="N309" s="34" t="n">
        <f aca="false">IF(N$8=1,IF(Reales!$C$77="PYG",IF(N$10&gt;0,N(Reales!N77)/N$10,0),N(Reales!N77)),MIN(N$308,MAX(0,N$305-N$298)))</f>
        <v>0</v>
      </c>
      <c r="O309" s="34" t="n">
        <f aca="false">IF(O$8=1,IF(Reales!$C$77="PYG",IF(O$10&gt;0,N(Reales!O77)/O$10,0),N(Reales!O77)),MIN(O$308,MAX(0,O$305-O$298)))</f>
        <v>0</v>
      </c>
      <c r="P309" s="34" t="n">
        <f aca="false">IF(P$8=1,IF(Reales!$C$77="PYG",IF(P$10&gt;0,N(Reales!P77)/P$10,0),N(Reales!P77)),MIN(P$308,MAX(0,P$305-P$298)))</f>
        <v>0</v>
      </c>
      <c r="Q309" s="34" t="n">
        <f aca="false">IF(Q$8=1,IF(Reales!$C$77="PYG",IF(Q$10&gt;0,N(Reales!Q77)/Q$10,0),N(Reales!Q77)),MIN(Q$308,MAX(0,Q$305-Q$298)))</f>
        <v>0</v>
      </c>
      <c r="R309" s="34" t="n">
        <f aca="false">IF(R$8=1,IF(Reales!$C$77="PYG",IF(R$10&gt;0,N(Reales!R77)/R$10,0),N(Reales!R77)),MIN(R$308,MAX(0,R$305-R$298)))</f>
        <v>0</v>
      </c>
      <c r="S309" s="34" t="n">
        <f aca="false">IF(S$8=1,IF(Reales!$C$77="PYG",IF(S$10&gt;0,N(Reales!S77)/S$10,0),N(Reales!S77)),MIN(S$308,MAX(0,S$305-S$298)))</f>
        <v>0</v>
      </c>
      <c r="T309" s="34" t="n">
        <f aca="false">IF(T$8=1,IF(Reales!$C$77="PYG",IF(T$10&gt;0,N(Reales!T77)/T$10,0),N(Reales!T77)),MIN(T$308,MAX(0,T$305-T$298)))</f>
        <v>0</v>
      </c>
      <c r="U309" s="34" t="n">
        <f aca="false">IF(U$8=1,IF(Reales!$C$77="PYG",IF(U$10&gt;0,N(Reales!U77)/U$10,0),N(Reales!U77)),MIN(U$308,MAX(0,U$305-U$298)))</f>
        <v>0</v>
      </c>
      <c r="V309" s="34" t="n">
        <f aca="false">IF(V$8=1,IF(Reales!$C$77="PYG",IF(V$10&gt;0,N(Reales!V77)/V$10,0),N(Reales!V77)),MIN(V$308,MAX(0,V$305-V$298)))</f>
        <v>0</v>
      </c>
      <c r="W309" s="34" t="n">
        <f aca="false">IF(W$8=1,IF(Reales!$C$77="PYG",IF(W$10&gt;0,N(Reales!W77)/W$10,0),N(Reales!W77)),MIN(W$308,MAX(0,W$305-W$298)))</f>
        <v>0</v>
      </c>
      <c r="X309" s="34" t="n">
        <f aca="false">IF(X$8=1,IF(Reales!$C$77="PYG",IF(X$10&gt;0,N(Reales!X77)/X$10,0),N(Reales!X77)),MIN(X$308,MAX(0,X$305-X$298)))</f>
        <v>0</v>
      </c>
      <c r="Y309" s="34" t="n">
        <f aca="false">IF(Y$8=1,IF(Reales!$C$77="PYG",IF(Y$10&gt;0,N(Reales!Y77)/Y$10,0),N(Reales!Y77)),MIN(Y$308,MAX(0,Y$305-Y$298)))</f>
        <v>0</v>
      </c>
      <c r="Z309" s="34" t="n">
        <f aca="false">IF(Z$8=1,IF(Reales!$C$77="PYG",IF(Z$10&gt;0,N(Reales!Z77)/Z$10,0),N(Reales!Z77)),MIN(Z$308,MAX(0,Z$305-Z$298)))</f>
        <v>0</v>
      </c>
      <c r="AA309" s="34" t="n">
        <f aca="false">IF(AA$8=1,IF(Reales!$C$77="PYG",IF(AA$10&gt;0,N(Reales!AA77)/AA$10,0),N(Reales!AA77)),MIN(AA$308,MAX(0,AA$305-AA$298)))</f>
        <v>0</v>
      </c>
      <c r="AB309" s="34" t="n">
        <f aca="false">IF(AB$8=1,IF(Reales!$C$77="PYG",IF(AB$10&gt;0,N(Reales!AB77)/AB$10,0),N(Reales!AB77)),MIN(AB$308,MAX(0,AB$305-AB$298)))</f>
        <v>0</v>
      </c>
      <c r="AC309" s="34" t="n">
        <f aca="false">IF(AC$8=1,IF(Reales!$C$77="PYG",IF(AC$10&gt;0,N(Reales!AC77)/AC$10,0),N(Reales!AC77)),MIN(AC$308,MAX(0,AC$305-AC$298)))</f>
        <v>0</v>
      </c>
      <c r="AD309" s="34" t="n">
        <f aca="false">IF(AD$8=1,IF(Reales!$C$77="PYG",IF(AD$10&gt;0,N(Reales!AD77)/AD$10,0),N(Reales!AD77)),MIN(AD$308,MAX(0,AD$305-AD$298)))</f>
        <v>0</v>
      </c>
      <c r="AE309" s="34" t="n">
        <f aca="false">IF(AE$8=1,IF(Reales!$C$77="PYG",IF(AE$10&gt;0,N(Reales!AE77)/AE$10,0),N(Reales!AE77)),MIN(AE$308,MAX(0,AE$305-AE$298)))</f>
        <v>0</v>
      </c>
      <c r="AF309" s="34" t="n">
        <f aca="false">IF(AF$8=1,IF(Reales!$C$77="PYG",IF(AF$10&gt;0,N(Reales!AF77)/AF$10,0),N(Reales!AF77)),MIN(AF$308,MAX(0,AF$305-AF$298)))</f>
        <v>0</v>
      </c>
      <c r="AG309" s="34" t="n">
        <f aca="false">IF(AG$8=1,IF(Reales!$C$77="PYG",IF(AG$10&gt;0,N(Reales!AG77)/AG$10,0),N(Reales!AG77)),MIN(AG$308,MAX(0,AG$305-AG$298)))</f>
        <v>0</v>
      </c>
      <c r="AH309" s="34" t="n">
        <f aca="false">IF(AH$8=1,IF(Reales!$C$77="PYG",IF(AH$10&gt;0,N(Reales!AH77)/AH$10,0),N(Reales!AH77)),MIN(AH$308,MAX(0,AH$305-AH$298)))</f>
        <v>0</v>
      </c>
      <c r="AI309" s="34" t="n">
        <f aca="false">IF(AI$8=1,IF(Reales!$C$77="PYG",IF(AI$10&gt;0,N(Reales!AI77)/AI$10,0),N(Reales!AI77)),MIN(AI$308,MAX(0,AI$305-AI$298)))</f>
        <v>0</v>
      </c>
      <c r="AJ309" s="34" t="n">
        <f aca="false">IF(AJ$8=1,IF(Reales!$C$77="PYG",IF(AJ$10&gt;0,N(Reales!AJ77)/AJ$10,0),N(Reales!AJ77)),MIN(AJ$308,MAX(0,AJ$305-AJ$298)))</f>
        <v>0</v>
      </c>
      <c r="AK309" s="34" t="n">
        <f aca="false">IF(AK$8=1,IF(Reales!$C$77="PYG",IF(AK$10&gt;0,N(Reales!AK77)/AK$10,0),N(Reales!AK77)),MIN(AK$308,MAX(0,AK$305-AK$298)))</f>
        <v>0</v>
      </c>
      <c r="AL309" s="34" t="n">
        <f aca="false">IF(AL$8=1,IF(Reales!$C$77="PYG",IF(AL$10&gt;0,N(Reales!AL77)/AL$10,0),N(Reales!AL77)),MIN(AL$308,MAX(0,AL$305-AL$298)))</f>
        <v>0</v>
      </c>
      <c r="AM309" s="34" t="n">
        <f aca="false">IF(AM$8=1,IF(Reales!$C$77="PYG",IF(AM$10&gt;0,N(Reales!AM77)/AM$10,0),N(Reales!AM77)),MIN(AM$308,MAX(0,AM$305-AM$298)))</f>
        <v>0</v>
      </c>
      <c r="AN309" s="34" t="n">
        <f aca="false">IF(AN$8=1,IF(Reales!$C$77="PYG",IF(AN$10&gt;0,N(Reales!AN77)/AN$10,0),N(Reales!AN77)),MIN(AN$308,MAX(0,AN$305-AN$298)))</f>
        <v>0</v>
      </c>
      <c r="AO309" s="34" t="n">
        <f aca="false">IF(AO$8=1,IF(Reales!$C$77="PYG",IF(AO$10&gt;0,N(Reales!AO77)/AO$10,0),N(Reales!AO77)),MIN(AO$308,MAX(0,AO$305-AO$298)))</f>
        <v>0</v>
      </c>
      <c r="AP309" s="34" t="n">
        <f aca="false">IF(AP$8=1,IF(Reales!$C$77="PYG",IF(AP$10&gt;0,N(Reales!AP77)/AP$10,0),N(Reales!AP77)),MIN(AP$308,MAX(0,AP$305-AP$298)))</f>
        <v>0</v>
      </c>
      <c r="AQ309" s="34" t="n">
        <f aca="false">IF(AQ$8=1,IF(Reales!$C$77="PYG",IF(AQ$10&gt;0,N(Reales!AQ77)/AQ$10,0),N(Reales!AQ77)),MIN(AQ$308,MAX(0,AQ$305-AQ$298)))</f>
        <v>0</v>
      </c>
      <c r="AR309" s="34" t="n">
        <f aca="false">IF(AR$8=1,IF(Reales!$C$77="PYG",IF(AR$10&gt;0,N(Reales!AR77)/AR$10,0),N(Reales!AR77)),MIN(AR$308,MAX(0,AR$305-AR$298)))</f>
        <v>0</v>
      </c>
      <c r="AS309" s="34" t="n">
        <f aca="false">IF(AS$8=1,IF(Reales!$C$77="PYG",IF(AS$10&gt;0,N(Reales!AS77)/AS$10,0),N(Reales!AS77)),MIN(AS$308,MAX(0,AS$305-AS$298)))</f>
        <v>0</v>
      </c>
      <c r="AT309" s="34" t="n">
        <f aca="false">IF(AT$8=1,IF(Reales!$C$77="PYG",IF(AT$10&gt;0,N(Reales!AT77)/AT$10,0),N(Reales!AT77)),MIN(AT$308,MAX(0,AT$305-AT$298)))</f>
        <v>0</v>
      </c>
      <c r="AU309" s="34" t="n">
        <f aca="false">IF(AU$8=1,IF(Reales!$C$77="PYG",IF(AU$10&gt;0,N(Reales!AU77)/AU$10,0),N(Reales!AU77)),MIN(AU$308,MAX(0,AU$305-AU$298)))</f>
        <v>0</v>
      </c>
      <c r="AV309" s="34" t="n">
        <f aca="false">IF(AV$8=1,IF(Reales!$C$77="PYG",IF(AV$10&gt;0,N(Reales!AV77)/AV$10,0),N(Reales!AV77)),MIN(AV$308,MAX(0,AV$305-AV$298)))</f>
        <v>0</v>
      </c>
      <c r="AW309" s="34" t="n">
        <f aca="false">IF(AW$8=1,IF(Reales!$C$77="PYG",IF(AW$10&gt;0,N(Reales!AW77)/AW$10,0),N(Reales!AW77)),MIN(AW$308,MAX(0,AW$305-AW$298)))</f>
        <v>0</v>
      </c>
      <c r="AX309" s="34" t="n">
        <f aca="false">IF(AX$8=1,IF(Reales!$C$77="PYG",IF(AX$10&gt;0,N(Reales!AX77)/AX$10,0),N(Reales!AX77)),MIN(AX$308,MAX(0,AX$305-AX$298)))</f>
        <v>0</v>
      </c>
      <c r="AY309" s="34" t="n">
        <f aca="false">IF(AY$8=1,IF(Reales!$C$77="PYG",IF(AY$10&gt;0,N(Reales!AY77)/AY$10,0),N(Reales!AY77)),MIN(AY$308,MAX(0,AY$305-AY$298)))</f>
        <v>0</v>
      </c>
      <c r="AZ309" s="34" t="n">
        <f aca="false">IF(AZ$8=1,IF(Reales!$C$77="PYG",IF(AZ$10&gt;0,N(Reales!AZ77)/AZ$10,0),N(Reales!AZ77)),MIN(AZ$308,MAX(0,AZ$305-AZ$298)))</f>
        <v>0</v>
      </c>
      <c r="BA309" s="34" t="n">
        <f aca="false">IF(BA$8=1,IF(Reales!$C$77="PYG",IF(BA$10&gt;0,N(Reales!BA77)/BA$10,0),N(Reales!BA77)),MIN(BA$308,MAX(0,BA$305-BA$298)))</f>
        <v>0</v>
      </c>
      <c r="BB309" s="34" t="n">
        <f aca="false">IF(BB$8=1,IF(Reales!$C$77="PYG",IF(BB$10&gt;0,N(Reales!BB77)/BB$10,0),N(Reales!BB77)),MIN(BB$308,MAX(0,BB$305-BB$298)))</f>
        <v>0</v>
      </c>
      <c r="BC309" s="34" t="n">
        <f aca="false">IF(BC$8=1,IF(Reales!$C$77="PYG",IF(BC$10&gt;0,N(Reales!BC77)/BC$10,0),N(Reales!BC77)),MIN(BC$308,MAX(0,BC$305-BC$298)))</f>
        <v>0</v>
      </c>
      <c r="BD309" s="34" t="n">
        <f aca="false">IF(BD$8=1,IF(Reales!$C$77="PYG",IF(BD$10&gt;0,N(Reales!BD77)/BD$10,0),N(Reales!BD77)),MIN(BD$308,MAX(0,BD$305-BD$298)))</f>
        <v>0</v>
      </c>
      <c r="BE309" s="34" t="n">
        <f aca="false">IF(BE$8=1,IF(Reales!$C$77="PYG",IF(BE$10&gt;0,N(Reales!BE77)/BE$10,0),N(Reales!BE77)),MIN(BE$308,MAX(0,BE$305-BE$298)))</f>
        <v>804953.378380922</v>
      </c>
      <c r="BF309" s="34" t="n">
        <f aca="false">IF(BF$8=1,IF(Reales!$C$77="PYG",IF(BF$10&gt;0,N(Reales!BF77)/BF$10,0),N(Reales!BF77)),MIN(BF$308,MAX(0,BF$305-BF$298)))</f>
        <v>0</v>
      </c>
      <c r="BG309" s="34" t="n">
        <f aca="false">IF(BG$8=1,IF(Reales!$C$77="PYG",IF(BG$10&gt;0,N(Reales!BG77)/BG$10,0),N(Reales!BG77)),MIN(BG$308,MAX(0,BG$305-BG$298)))</f>
        <v>0</v>
      </c>
      <c r="BH309" s="34" t="n">
        <f aca="false">IF(BH$8=1,IF(Reales!$C$77="PYG",IF(BH$10&gt;0,N(Reales!BH77)/BH$10,0),N(Reales!BH77)),MIN(BH$308,MAX(0,BH$305-BH$298)))</f>
        <v>0</v>
      </c>
      <c r="BI309" s="34" t="n">
        <f aca="false">IF(BI$8=1,IF(Reales!$C$77="PYG",IF(BI$10&gt;0,N(Reales!BI77)/BI$10,0),N(Reales!BI77)),MIN(BI$308,MAX(0,BI$305-BI$298)))</f>
        <v>0</v>
      </c>
      <c r="BJ309" s="34" t="n">
        <f aca="false">IF(BJ$8=1,IF(Reales!$C$77="PYG",IF(BJ$10&gt;0,N(Reales!BJ77)/BJ$10,0),N(Reales!BJ77)),MIN(BJ$308,MAX(0,BJ$305-BJ$298)))</f>
        <v>0</v>
      </c>
      <c r="BK309" s="34" t="n">
        <f aca="false">IF(BK$8=1,IF(Reales!$C$77="PYG",IF(BK$10&gt;0,N(Reales!BK77)/BK$10,0),N(Reales!BK77)),MIN(BK$308,MAX(0,BK$305-BK$298)))</f>
        <v>0</v>
      </c>
      <c r="BL309" s="34" t="n">
        <f aca="false">IF(BL$8=1,IF(Reales!$C$77="PYG",IF(BL$10&gt;0,N(Reales!BL77)/BL$10,0),N(Reales!BL77)),MIN(BL$308,MAX(0,BL$305-BL$298)))</f>
        <v>0</v>
      </c>
      <c r="BM309" s="34" t="n">
        <f aca="false">IF(BM$8=1,IF(Reales!$C$77="PYG",IF(BM$10&gt;0,N(Reales!BM77)/BM$10,0),N(Reales!BM77)),MIN(BM$308,MAX(0,BM$305-BM$298)))</f>
        <v>0</v>
      </c>
      <c r="BN309" s="34" t="n">
        <f aca="false">IF(BN$8=1,IF(Reales!$C$77="PYG",IF(BN$10&gt;0,N(Reales!BN77)/BN$10,0),N(Reales!BN77)),MIN(BN$308,MAX(0,BN$305-BN$298)))</f>
        <v>0</v>
      </c>
      <c r="BO309" s="34" t="n">
        <f aca="false">IF(BO$8=1,IF(Reales!$C$77="PYG",IF(BO$10&gt;0,N(Reales!BO77)/BO$10,0),N(Reales!BO77)),MIN(BO$308,MAX(0,BO$305-BO$298)))</f>
        <v>0</v>
      </c>
      <c r="BP309" s="34" t="n">
        <f aca="false">IF(BP$8=1,IF(Reales!$C$77="PYG",IF(BP$10&gt;0,N(Reales!BP77)/BP$10,0),N(Reales!BP77)),MIN(BP$308,MAX(0,BP$305-BP$298)))</f>
        <v>0</v>
      </c>
      <c r="BQ309" s="34" t="n">
        <f aca="false">IF(BQ$8=1,IF(Reales!$C$77="PYG",IF(BQ$10&gt;0,N(Reales!BQ77)/BQ$10,0),N(Reales!BQ77)),MIN(BQ$308,MAX(0,BQ$305-BQ$298)))</f>
        <v>1463926.54436822</v>
      </c>
      <c r="BR309" s="34" t="n">
        <f aca="false">IF(BR$8=1,IF(Reales!$C$77="PYG",IF(BR$10&gt;0,N(Reales!BR77)/BR$10,0),N(Reales!BR77)),MIN(BR$308,MAX(0,BR$305-BR$298)))</f>
        <v>0</v>
      </c>
      <c r="BS309" s="34" t="n">
        <f aca="false">IF(BS$8=1,IF(Reales!$C$77="PYG",IF(BS$10&gt;0,N(Reales!BS77)/BS$10,0),N(Reales!BS77)),MIN(BS$308,MAX(0,BS$305-BS$298)))</f>
        <v>0</v>
      </c>
      <c r="BT309" s="34" t="n">
        <f aca="false">IF(BT$8=1,IF(Reales!$C$77="PYG",IF(BT$10&gt;0,N(Reales!BT77)/BT$10,0),N(Reales!BT77)),MIN(BT$308,MAX(0,BT$305-BT$298)))</f>
        <v>0</v>
      </c>
      <c r="BU309" s="34" t="n">
        <f aca="false">IF(BU$8=1,IF(Reales!$C$77="PYG",IF(BU$10&gt;0,N(Reales!BU77)/BU$10,0),N(Reales!BU77)),MIN(BU$308,MAX(0,BU$305-BU$298)))</f>
        <v>0</v>
      </c>
      <c r="BV309" s="34" t="n">
        <f aca="false">IF(BV$8=1,IF(Reales!$C$77="PYG",IF(BV$10&gt;0,N(Reales!BV77)/BV$10,0),N(Reales!BV77)),MIN(BV$308,MAX(0,BV$305-BV$298)))</f>
        <v>0</v>
      </c>
      <c r="BW309" s="34" t="n">
        <f aca="false">IF(BW$8=1,IF(Reales!$C$77="PYG",IF(BW$10&gt;0,N(Reales!BW77)/BW$10,0),N(Reales!BW77)),MIN(BW$308,MAX(0,BW$305-BW$298)))</f>
        <v>0</v>
      </c>
      <c r="BX309" s="34" t="n">
        <f aca="false">IF(BX$8=1,IF(Reales!$C$77="PYG",IF(BX$10&gt;0,N(Reales!BX77)/BX$10,0),N(Reales!BX77)),MIN(BX$308,MAX(0,BX$305-BX$298)))</f>
        <v>0</v>
      </c>
      <c r="BY309" s="34" t="n">
        <f aca="false">IF(BY$8=1,IF(Reales!$C$77="PYG",IF(BY$10&gt;0,N(Reales!BY77)/BY$10,0),N(Reales!BY77)),MIN(BY$308,MAX(0,BY$305-BY$298)))</f>
        <v>0</v>
      </c>
      <c r="BZ309" s="34" t="n">
        <f aca="false">IF(BZ$8=1,IF(Reales!$C$77="PYG",IF(BZ$10&gt;0,N(Reales!BZ77)/BZ$10,0),N(Reales!BZ77)),MIN(BZ$308,MAX(0,BZ$305-BZ$298)))</f>
        <v>0</v>
      </c>
      <c r="CA309" s="34" t="n">
        <f aca="false">IF(CA$8=1,IF(Reales!$C$77="PYG",IF(CA$10&gt;0,N(Reales!CA77)/CA$10,0),N(Reales!CA77)),MIN(CA$308,MAX(0,CA$305-CA$298)))</f>
        <v>0</v>
      </c>
      <c r="CB309" s="34" t="n">
        <f aca="false">IF(CB$8=1,IF(Reales!$C$77="PYG",IF(CB$10&gt;0,N(Reales!CB77)/CB$10,0),N(Reales!CB77)),MIN(CB$308,MAX(0,CB$305-CB$298)))</f>
        <v>0</v>
      </c>
      <c r="CC309" s="34" t="n">
        <f aca="false">IF(CC$8=1,IF(Reales!$C$77="PYG",IF(CC$10&gt;0,N(Reales!CC77)/CC$10,0),N(Reales!CC77)),MIN(CC$308,MAX(0,CC$305-CC$298)))</f>
        <v>1794188.69257391</v>
      </c>
      <c r="CD309" s="34" t="n">
        <f aca="false">IF(CD$8=1,IF(Reales!$C$77="PYG",IF(CD$10&gt;0,N(Reales!CD77)/CD$10,0),N(Reales!CD77)),MIN(CD$308,MAX(0,CD$305-CD$298)))</f>
        <v>0</v>
      </c>
      <c r="CE309" s="34" t="n">
        <f aca="false">IF(CE$8=1,IF(Reales!$C$77="PYG",IF(CE$10&gt;0,N(Reales!CE77)/CE$10,0),N(Reales!CE77)),MIN(CE$308,MAX(0,CE$305-CE$298)))</f>
        <v>0</v>
      </c>
      <c r="CF309" s="34" t="n">
        <f aca="false">IF(CF$8=1,IF(Reales!$C$77="PYG",IF(CF$10&gt;0,N(Reales!CF77)/CF$10,0),N(Reales!CF77)),MIN(CF$308,MAX(0,CF$305-CF$298)))</f>
        <v>0</v>
      </c>
      <c r="CG309" s="34" t="n">
        <f aca="false">IF(CG$8=1,IF(Reales!$C$77="PYG",IF(CG$10&gt;0,N(Reales!CG77)/CG$10,0),N(Reales!CG77)),MIN(CG$308,MAX(0,CG$305-CG$298)))</f>
        <v>0</v>
      </c>
      <c r="CH309" s="34" t="n">
        <f aca="false">IF(CH$8=1,IF(Reales!$C$77="PYG",IF(CH$10&gt;0,N(Reales!CH77)/CH$10,0),N(Reales!CH77)),MIN(CH$308,MAX(0,CH$305-CH$298)))</f>
        <v>0</v>
      </c>
      <c r="CI309" s="34" t="n">
        <f aca="false">IF(CI$8=1,IF(Reales!$C$77="PYG",IF(CI$10&gt;0,N(Reales!CI77)/CI$10,0),N(Reales!CI77)),MIN(CI$308,MAX(0,CI$305-CI$298)))</f>
        <v>0</v>
      </c>
      <c r="CJ309" s="34" t="n">
        <f aca="false">IF(CJ$8=1,IF(Reales!$C$77="PYG",IF(CJ$10&gt;0,N(Reales!CJ77)/CJ$10,0),N(Reales!CJ77)),MIN(CJ$308,MAX(0,CJ$305-CJ$298)))</f>
        <v>0</v>
      </c>
      <c r="CK309" s="34" t="n">
        <f aca="false">IF(CK$8=1,IF(Reales!$C$77="PYG",IF(CK$10&gt;0,N(Reales!CK77)/CK$10,0),N(Reales!CK77)),MIN(CK$308,MAX(0,CK$305-CK$298)))</f>
        <v>0</v>
      </c>
      <c r="CL309" s="34" t="n">
        <f aca="false">IF(CL$8=1,IF(Reales!$C$77="PYG",IF(CL$10&gt;0,N(Reales!CL77)/CL$10,0),N(Reales!CL77)),MIN(CL$308,MAX(0,CL$305-CL$298)))</f>
        <v>0</v>
      </c>
      <c r="CM309" s="34" t="n">
        <f aca="false">IF(CM$8=1,IF(Reales!$C$77="PYG",IF(CM$10&gt;0,N(Reales!CM77)/CM$10,0),N(Reales!CM77)),MIN(CM$308,MAX(0,CM$305-CM$298)))</f>
        <v>0</v>
      </c>
      <c r="CN309" s="34" t="n">
        <f aca="false">IF(CN$8=1,IF(Reales!$C$77="PYG",IF(CN$10&gt;0,N(Reales!CN77)/CN$10,0),N(Reales!CN77)),MIN(CN$308,MAX(0,CN$305-CN$298)))</f>
        <v>0</v>
      </c>
      <c r="CO309" s="34" t="n">
        <f aca="false">IF(CO$8=1,IF(Reales!$C$77="PYG",IF(CO$10&gt;0,N(Reales!CO77)/CO$10,0),N(Reales!CO77)),MIN(CO$308,MAX(0,CO$305-CO$298)))</f>
        <v>1843575.6608728</v>
      </c>
      <c r="CP309" s="34" t="n">
        <f aca="false">IF(CP$8=1,IF(Reales!$C$77="PYG",IF(CP$10&gt;0,N(Reales!CP77)/CP$10,0),N(Reales!CP77)),MIN(CP$308,MAX(0,CP$305-CP$298)))</f>
        <v>0</v>
      </c>
      <c r="CQ309" s="34" t="n">
        <f aca="false">IF(CQ$8=1,IF(Reales!$C$77="PYG",IF(CQ$10&gt;0,N(Reales!CQ77)/CQ$10,0),N(Reales!CQ77)),MIN(CQ$308,MAX(0,CQ$305-CQ$298)))</f>
        <v>0</v>
      </c>
      <c r="CR309" s="34" t="n">
        <f aca="false">IF(CR$8=1,IF(Reales!$C$77="PYG",IF(CR$10&gt;0,N(Reales!CR77)/CR$10,0),N(Reales!CR77)),MIN(CR$308,MAX(0,CR$305-CR$298)))</f>
        <v>0</v>
      </c>
      <c r="CS309" s="34" t="n">
        <f aca="false">IF(CS$8=1,IF(Reales!$C$77="PYG",IF(CS$10&gt;0,N(Reales!CS77)/CS$10,0),N(Reales!CS77)),MIN(CS$308,MAX(0,CS$305-CS$298)))</f>
        <v>0</v>
      </c>
      <c r="CT309" s="34" t="n">
        <f aca="false">IF(CT$8=1,IF(Reales!$C$77="PYG",IF(CT$10&gt;0,N(Reales!CT77)/CT$10,0),N(Reales!CT77)),MIN(CT$308,MAX(0,CT$305-CT$298)))</f>
        <v>0</v>
      </c>
      <c r="CU309" s="34" t="n">
        <f aca="false">IF(CU$8=1,IF(Reales!$C$77="PYG",IF(CU$10&gt;0,N(Reales!CU77)/CU$10,0),N(Reales!CU77)),MIN(CU$308,MAX(0,CU$305-CU$298)))</f>
        <v>0</v>
      </c>
      <c r="CV309" s="34" t="n">
        <f aca="false">IF(CV$8=1,IF(Reales!$C$77="PYG",IF(CV$10&gt;0,N(Reales!CV77)/CV$10,0),N(Reales!CV77)),MIN(CV$308,MAX(0,CV$305-CV$298)))</f>
        <v>0</v>
      </c>
      <c r="CW309" s="34" t="n">
        <f aca="false">IF(CW$8=1,IF(Reales!$C$77="PYG",IF(CW$10&gt;0,N(Reales!CW77)/CW$10,0),N(Reales!CW77)),MIN(CW$308,MAX(0,CW$305-CW$298)))</f>
        <v>0</v>
      </c>
      <c r="CX309" s="34" t="n">
        <f aca="false">IF(CX$8=1,IF(Reales!$C$77="PYG",IF(CX$10&gt;0,N(Reales!CX77)/CX$10,0),N(Reales!CX77)),MIN(CX$308,MAX(0,CX$305-CX$298)))</f>
        <v>0</v>
      </c>
      <c r="CY309" s="34" t="n">
        <f aca="false">IF(CY$8=1,IF(Reales!$C$77="PYG",IF(CY$10&gt;0,N(Reales!CY77)/CY$10,0),N(Reales!CY77)),MIN(CY$308,MAX(0,CY$305-CY$298)))</f>
        <v>0</v>
      </c>
      <c r="CZ309" s="34" t="n">
        <f aca="false">IF(CZ$8=1,IF(Reales!$C$77="PYG",IF(CZ$10&gt;0,N(Reales!CZ77)/CZ$10,0),N(Reales!CZ77)),MIN(CZ$308,MAX(0,CZ$305-CZ$298)))</f>
        <v>0</v>
      </c>
      <c r="DA309" s="34" t="n">
        <f aca="false">IF(DA$8=1,IF(Reales!$C$77="PYG",IF(DA$10&gt;0,N(Reales!DA77)/DA$10,0),N(Reales!DA77)),MIN(DA$308,MAX(0,DA$305-DA$298)))</f>
        <v>1893301.21355545</v>
      </c>
      <c r="DB309" s="34" t="n">
        <f aca="false">IF(DB$8=1,IF(Reales!$C$77="PYG",IF(DB$10&gt;0,N(Reales!DB77)/DB$10,0),N(Reales!DB77)),MIN(DB$308,MAX(0,DB$305-DB$298)))</f>
        <v>0</v>
      </c>
      <c r="DC309" s="34" t="n">
        <f aca="false">IF(DC$8=1,IF(Reales!$C$77="PYG",IF(DC$10&gt;0,N(Reales!DC77)/DC$10,0),N(Reales!DC77)),MIN(DC$308,MAX(0,DC$305-DC$298)))</f>
        <v>0</v>
      </c>
      <c r="DD309" s="34" t="n">
        <f aca="false">IF(DD$8=1,IF(Reales!$C$77="PYG",IF(DD$10&gt;0,N(Reales!DD77)/DD$10,0),N(Reales!DD77)),MIN(DD$308,MAX(0,DD$305-DD$298)))</f>
        <v>0</v>
      </c>
      <c r="DE309" s="34" t="n">
        <f aca="false">IF(DE$8=1,IF(Reales!$C$77="PYG",IF(DE$10&gt;0,N(Reales!DE77)/DE$10,0),N(Reales!DE77)),MIN(DE$308,MAX(0,DE$305-DE$298)))</f>
        <v>0</v>
      </c>
      <c r="DF309" s="34" t="n">
        <f aca="false">IF(DF$8=1,IF(Reales!$C$77="PYG",IF(DF$10&gt;0,N(Reales!DF77)/DF$10,0),N(Reales!DF77)),MIN(DF$308,MAX(0,DF$305-DF$298)))</f>
        <v>0</v>
      </c>
      <c r="DG309" s="34" t="n">
        <f aca="false">IF(DG$8=1,IF(Reales!$C$77="PYG",IF(DG$10&gt;0,N(Reales!DG77)/DG$10,0),N(Reales!DG77)),MIN(DG$308,MAX(0,DG$305-DG$298)))</f>
        <v>0</v>
      </c>
      <c r="DH309" s="34" t="n">
        <f aca="false">IF(DH$8=1,IF(Reales!$C$77="PYG",IF(DH$10&gt;0,N(Reales!DH77)/DH$10,0),N(Reales!DH77)),MIN(DH$308,MAX(0,DH$305-DH$298)))</f>
        <v>0</v>
      </c>
      <c r="DI309" s="34" t="n">
        <f aca="false">IF(DI$8=1,IF(Reales!$C$77="PYG",IF(DI$10&gt;0,N(Reales!DI77)/DI$10,0),N(Reales!DI77)),MIN(DI$308,MAX(0,DI$305-DI$298)))</f>
        <v>0</v>
      </c>
      <c r="DJ309" s="34" t="n">
        <f aca="false">IF(DJ$8=1,IF(Reales!$C$77="PYG",IF(DJ$10&gt;0,N(Reales!DJ77)/DJ$10,0),N(Reales!DJ77)),MIN(DJ$308,MAX(0,DJ$305-DJ$298)))</f>
        <v>0</v>
      </c>
      <c r="DK309" s="34" t="n">
        <f aca="false">IF(DK$8=1,IF(Reales!$C$77="PYG",IF(DK$10&gt;0,N(Reales!DK77)/DK$10,0),N(Reales!DK77)),MIN(DK$308,MAX(0,DK$305-DK$298)))</f>
        <v>0</v>
      </c>
      <c r="DL309" s="34" t="n">
        <f aca="false">IF(DL$8=1,IF(Reales!$C$77="PYG",IF(DL$10&gt;0,N(Reales!DL77)/DL$10,0),N(Reales!DL77)),MIN(DL$308,MAX(0,DL$305-DL$298)))</f>
        <v>0</v>
      </c>
      <c r="DM309" s="34" t="n">
        <f aca="false">IF(DM$8=1,IF(Reales!$C$77="PYG",IF(DM$10&gt;0,N(Reales!DM77)/DM$10,0),N(Reales!DM77)),MIN(DM$308,MAX(0,DM$305-DM$298)))</f>
        <v>1943364.14678689</v>
      </c>
      <c r="DN309" s="34" t="n">
        <f aca="false">IF(DN$8=1,IF(Reales!$C$77="PYG",IF(DN$10&gt;0,N(Reales!DN77)/DN$10,0),N(Reales!DN77)),MIN(DN$308,MAX(0,DN$305-DN$298)))</f>
        <v>0</v>
      </c>
      <c r="DO309" s="34" t="n">
        <f aca="false">IF(DO$8=1,IF(Reales!$C$77="PYG",IF(DO$10&gt;0,N(Reales!DO77)/DO$10,0),N(Reales!DO77)),MIN(DO$308,MAX(0,DO$305-DO$298)))</f>
        <v>0</v>
      </c>
      <c r="DP309" s="34" t="n">
        <f aca="false">IF(DP$8=1,IF(Reales!$C$77="PYG",IF(DP$10&gt;0,N(Reales!DP77)/DP$10,0),N(Reales!DP77)),MIN(DP$308,MAX(0,DP$305-DP$298)))</f>
        <v>0</v>
      </c>
      <c r="DQ309" s="34" t="n">
        <f aca="false">IF(DQ$8=1,IF(Reales!$C$77="PYG",IF(DQ$10&gt;0,N(Reales!DQ77)/DQ$10,0),N(Reales!DQ77)),MIN(DQ$308,MAX(0,DQ$305-DQ$298)))</f>
        <v>0</v>
      </c>
      <c r="DR309" s="34" t="n">
        <f aca="false">IF(DR$8=1,IF(Reales!$C$77="PYG",IF(DR$10&gt;0,N(Reales!DR77)/DR$10,0),N(Reales!DR77)),MIN(DR$308,MAX(0,DR$305-DR$298)))</f>
        <v>0</v>
      </c>
      <c r="DS309" s="34" t="n">
        <f aca="false">IF(DS$8=1,IF(Reales!$C$77="PYG",IF(DS$10&gt;0,N(Reales!DS77)/DS$10,0),N(Reales!DS77)),MIN(DS$308,MAX(0,DS$305-DS$298)))</f>
        <v>0</v>
      </c>
      <c r="DT309" s="34" t="n">
        <f aca="false">IF(DT$8=1,IF(Reales!$C$77="PYG",IF(DT$10&gt;0,N(Reales!DT77)/DT$10,0),N(Reales!DT77)),MIN(DT$308,MAX(0,DT$305-DT$298)))</f>
        <v>0</v>
      </c>
      <c r="DU309" s="34" t="n">
        <f aca="false">IF(DU$8=1,IF(Reales!$C$77="PYG",IF(DU$10&gt;0,N(Reales!DU77)/DU$10,0),N(Reales!DU77)),MIN(DU$308,MAX(0,DU$305-DU$298)))</f>
        <v>0</v>
      </c>
      <c r="DV309" s="34" t="n">
        <f aca="false">IF(DV$8=1,IF(Reales!$C$77="PYG",IF(DV$10&gt;0,N(Reales!DV77)/DV$10,0),N(Reales!DV77)),MIN(DV$308,MAX(0,DV$305-DV$298)))</f>
        <v>0</v>
      </c>
      <c r="DW309" s="34" t="n">
        <f aca="false">IF(DW$8=1,IF(Reales!$C$77="PYG",IF(DW$10&gt;0,N(Reales!DW77)/DW$10,0),N(Reales!DW77)),MIN(DW$308,MAX(0,DW$305-DW$298)))</f>
        <v>0</v>
      </c>
      <c r="DX309" s="34" t="n">
        <f aca="false">IF(DX$8=1,IF(Reales!$C$77="PYG",IF(DX$10&gt;0,N(Reales!DX77)/DX$10,0),N(Reales!DX77)),MIN(DX$308,MAX(0,DX$305-DX$298)))</f>
        <v>0</v>
      </c>
      <c r="DY309" s="34" t="n">
        <f aca="false">IF(DY$8=1,IF(Reales!$C$77="PYG",IF(DY$10&gt;0,N(Reales!DY77)/DY$10,0),N(Reales!DY77)),MIN(DY$308,MAX(0,DY$305-DY$298)))</f>
        <v>0</v>
      </c>
      <c r="DZ309" s="34" t="n">
        <f aca="false">IF(DZ$8=1,IF(Reales!$C$77="PYG",IF(DZ$10&gt;0,N(Reales!DZ77)/DZ$10,0),N(Reales!DZ77)),MIN(DZ$308,MAX(0,DZ$305-DZ$298)))</f>
        <v>0</v>
      </c>
      <c r="EA309" s="34" t="n">
        <f aca="false">IF(EA$8=1,IF(Reales!$C$77="PYG",IF(EA$10&gt;0,N(Reales!EA77)/EA$10,0),N(Reales!EA77)),MIN(EA$308,MAX(0,EA$305-EA$298)))</f>
        <v>0</v>
      </c>
      <c r="EB309" s="34" t="n">
        <f aca="false">IF(EB$8=1,IF(Reales!$C$77="PYG",IF(EB$10&gt;0,N(Reales!EB77)/EB$10,0),N(Reales!EB77)),MIN(EB$308,MAX(0,EB$305-EB$298)))</f>
        <v>0</v>
      </c>
      <c r="EC309" s="34" t="n">
        <f aca="false">IF(EC$8=1,IF(Reales!$C$77="PYG",IF(EC$10&gt;0,N(Reales!EC77)/EC$10,0),N(Reales!EC77)),MIN(EC$308,MAX(0,EC$305-EC$298)))</f>
        <v>0</v>
      </c>
      <c r="ED309" s="34" t="n">
        <f aca="false">IF(ED$8=1,IF(Reales!$C$77="PYG",IF(ED$10&gt;0,N(Reales!ED77)/ED$10,0),N(Reales!ED77)),MIN(ED$308,MAX(0,ED$305-ED$298)))</f>
        <v>0</v>
      </c>
      <c r="EE309" s="34" t="n">
        <f aca="false">IF(EE$8=1,IF(Reales!$C$77="PYG",IF(EE$10&gt;0,N(Reales!EE77)/EE$10,0),N(Reales!EE77)),MIN(EE$308,MAX(0,EE$305-EE$298)))</f>
        <v>0</v>
      </c>
      <c r="EF309" s="34" t="n">
        <f aca="false">IF(EF$8=1,IF(Reales!$C$77="PYG",IF(EF$10&gt;0,N(Reales!EF77)/EF$10,0),N(Reales!EF77)),MIN(EF$308,MAX(0,EF$305-EF$298)))</f>
        <v>0</v>
      </c>
      <c r="EG309" s="34" t="n">
        <f aca="false">IF(EG$8=1,IF(Reales!$C$77="PYG",IF(EG$10&gt;0,N(Reales!EG77)/EG$10,0),N(Reales!EG77)),MIN(EG$308,MAX(0,EG$305-EG$298)))</f>
        <v>0</v>
      </c>
      <c r="EH309" s="34" t="n">
        <f aca="false">IF(EH$8=1,IF(Reales!$C$77="PYG",IF(EH$10&gt;0,N(Reales!EH77)/EH$10,0),N(Reales!EH77)),MIN(EH$308,MAX(0,EH$305-EH$298)))</f>
        <v>0</v>
      </c>
      <c r="EI309" s="34" t="n">
        <f aca="false">IF(EI$8=1,IF(Reales!$C$77="PYG",IF(EI$10&gt;0,N(Reales!EI77)/EI$10,0),N(Reales!EI77)),MIN(EI$308,MAX(0,EI$305-EI$298)))</f>
        <v>0</v>
      </c>
      <c r="EJ309" s="34" t="n">
        <f aca="false">IF(EJ$8=1,IF(Reales!$C$77="PYG",IF(EJ$10&gt;0,N(Reales!EJ77)/EJ$10,0),N(Reales!EJ77)),MIN(EJ$308,MAX(0,EJ$305-EJ$298)))</f>
        <v>0</v>
      </c>
      <c r="EK309" s="34" t="n">
        <f aca="false">IF(EK$8=1,IF(Reales!$C$77="PYG",IF(EK$10&gt;0,N(Reales!EK77)/EK$10,0),N(Reales!EK77)),MIN(EK$308,MAX(0,EK$305-EK$298)))</f>
        <v>0</v>
      </c>
      <c r="EL309" s="34" t="n">
        <f aca="false">IF(EL$8=1,IF(Reales!$C$77="PYG",IF(EL$10&gt;0,N(Reales!EL77)/EL$10,0),N(Reales!EL77)),MIN(EL$308,MAX(0,EL$305-EL$298)))</f>
        <v>0</v>
      </c>
      <c r="EM309" s="34" t="n">
        <f aca="false">IF(EM$8=1,IF(Reales!$C$77="PYG",IF(EM$10&gt;0,N(Reales!EM77)/EM$10,0),N(Reales!EM77)),MIN(EM$308,MAX(0,EM$305-EM$298)))</f>
        <v>0</v>
      </c>
      <c r="EN309" s="34" t="n">
        <f aca="false">IF(EN$8=1,IF(Reales!$C$77="PYG",IF(EN$10&gt;0,N(Reales!EN77)/EN$10,0),N(Reales!EN77)),MIN(EN$308,MAX(0,EN$305-EN$298)))</f>
        <v>0</v>
      </c>
      <c r="EO309" s="34" t="n">
        <f aca="false">IF(EO$8=1,IF(Reales!$C$77="PYG",IF(EO$10&gt;0,N(Reales!EO77)/EO$10,0),N(Reales!EO77)),MIN(EO$308,MAX(0,EO$305-EO$298)))</f>
        <v>0</v>
      </c>
      <c r="EP309" s="34" t="n">
        <f aca="false">IF(EP$8=1,IF(Reales!$C$77="PYG",IF(EP$10&gt;0,N(Reales!EP77)/EP$10,0),N(Reales!EP77)),MIN(EP$308,MAX(0,EP$305-EP$298)))</f>
        <v>0</v>
      </c>
      <c r="EQ309" s="34" t="n">
        <f aca="false">IF(EQ$8=1,IF(Reales!$C$77="PYG",IF(EQ$10&gt;0,N(Reales!EQ77)/EQ$10,0),N(Reales!EQ77)),MIN(EQ$308,MAX(0,EQ$305-EQ$298)))</f>
        <v>0</v>
      </c>
      <c r="ER309" s="34" t="n">
        <f aca="false">IF(ER$8=1,IF(Reales!$C$77="PYG",IF(ER$10&gt;0,N(Reales!ER77)/ER$10,0),N(Reales!ER77)),MIN(ER$308,MAX(0,ER$305-ER$298)))</f>
        <v>0</v>
      </c>
      <c r="ES309" s="34" t="n">
        <f aca="false">IF(ES$8=1,IF(Reales!$C$77="PYG",IF(ES$10&gt;0,N(Reales!ES77)/ES$10,0),N(Reales!ES77)),MIN(ES$308,MAX(0,ES$305-ES$298)))</f>
        <v>0</v>
      </c>
    </row>
    <row r="310" customFormat="false" ht="15" hidden="false" customHeight="false" outlineLevel="0" collapsed="false">
      <c r="A310" s="2" t="s">
        <v>946</v>
      </c>
      <c r="B310" s="52" t="s">
        <v>790</v>
      </c>
      <c r="C310" s="6" t="s">
        <v>250</v>
      </c>
      <c r="E310" s="40" t="n">
        <f aca="false">MIN(F310:ES310)</f>
        <v>-311740.118672618</v>
      </c>
      <c r="F310" s="10" t="n">
        <f aca="false">IF(AND(F$8=1,ISNUMBER(Reales!F79)),IF(Reales!$C$79="PYG",IF(F$10&gt;0,N(Reales!F79)/F$10,0),N(Reales!F79)),F$305-F$309)</f>
        <v>535727.93036656</v>
      </c>
      <c r="G310" s="10" t="n">
        <f aca="false">IF(AND(G$8=1,ISNUMBER(Reales!G79)),IF(Reales!$C$79="PYG",IF(G$10&gt;0,N(Reales!G79)/G$10,0),N(Reales!G79)),G$305-G$309)</f>
        <v>555194.83809215</v>
      </c>
      <c r="H310" s="10" t="n">
        <f aca="false">IF(AND(H$8=1,ISNUMBER(Reales!H79)),IF(Reales!$C$79="PYG",IF(H$10&gt;0,N(Reales!H79)/H$10,0),N(Reales!H79)),H$305-H$309)</f>
        <v>574661.745817739</v>
      </c>
      <c r="I310" s="10" t="n">
        <f aca="false">IF(AND(I$8=1,ISNUMBER(Reales!I79)),IF(Reales!$C$79="PYG",IF(I$10&gt;0,N(Reales!I79)/I$10,0),N(Reales!I79)),I$305-I$309)</f>
        <v>594128.653543329</v>
      </c>
      <c r="J310" s="10" t="n">
        <f aca="false">IF(AND(J$8=1,ISNUMBER(Reales!J79)),IF(Reales!$C$79="PYG",IF(J$10&gt;0,N(Reales!J79)/J$10,0),N(Reales!J79)),J$305-J$309)</f>
        <v>613595.561268919</v>
      </c>
      <c r="K310" s="10" t="n">
        <f aca="false">IF(AND(K$8=1,ISNUMBER(Reales!K79)),IF(Reales!$C$79="PYG",IF(K$10&gt;0,N(Reales!K79)/K$10,0),N(Reales!K79)),K$305-K$309)</f>
        <v>633062.468994509</v>
      </c>
      <c r="L310" s="10" t="n">
        <f aca="false">IF(AND(L$8=1,ISNUMBER(Reales!L79)),IF(Reales!$C$79="PYG",IF(L$10&gt;0,N(Reales!L79)/L$10,0),N(Reales!L79)),L$305-L$309)</f>
        <v>610406.072625411</v>
      </c>
      <c r="M310" s="10" t="n">
        <f aca="false">IF(AND(M$8=1,ISNUMBER(Reales!M79)),IF(Reales!$C$79="PYG",IF(M$10&gt;0,N(Reales!M79)/M$10,0),N(Reales!M79)),M$305-M$309)</f>
        <v>587781.268734384</v>
      </c>
      <c r="N310" s="10" t="n">
        <f aca="false">IF(AND(N$8=1,ISNUMBER(Reales!N79)),IF(Reales!$C$79="PYG",IF(N$10&gt;0,N(Reales!N79)/N$10,0),N(Reales!N79)),N$305-N$309)</f>
        <v>565188.294265013</v>
      </c>
      <c r="O310" s="10" t="n">
        <f aca="false">IF(AND(O$8=1,ISNUMBER(Reales!O79)),IF(Reales!$C$79="PYG",IF(O$10&gt;0,N(Reales!O79)/O$10,0),N(Reales!O79)),O$305-O$309)</f>
        <v>542627.387937962</v>
      </c>
      <c r="P310" s="10" t="n">
        <f aca="false">IF(AND(P$8=1,ISNUMBER(Reales!P79)),IF(Reales!$C$79="PYG",IF(P$10&gt;0,N(Reales!P79)/P$10,0),N(Reales!P79)),P$305-P$309)</f>
        <v>520098.790264297</v>
      </c>
      <c r="Q310" s="10" t="n">
        <f aca="false">IF(AND(Q$8=1,ISNUMBER(Reales!Q79)),IF(Reales!$C$79="PYG",IF(Q$10&gt;0,N(Reales!Q79)/Q$10,0),N(Reales!Q79)),Q$305-Q$309)</f>
        <v>497602.743558918</v>
      </c>
      <c r="R310" s="10" t="n">
        <f aca="false">IF(AND(R$8=1,ISNUMBER(Reales!R79)),IF(Reales!$C$79="PYG",IF(R$10&gt;0,N(Reales!R79)/R$10,0),N(Reales!R79)),R$305-R$309)</f>
        <v>129920.95007682</v>
      </c>
      <c r="S310" s="10" t="n">
        <f aca="false">IF(AND(S$8=1,ISNUMBER(Reales!S79)),IF(Reales!$C$79="PYG",IF(S$10&gt;0,N(Reales!S79)/S$10,0),N(Reales!S79)),S$305-S$309)</f>
        <v>145489.642054168</v>
      </c>
      <c r="T310" s="10" t="n">
        <f aca="false">IF(AND(T$8=1,ISNUMBER(Reales!T79)),IF(Reales!$C$79="PYG",IF(T$10&gt;0,N(Reales!T79)/T$10,0),N(Reales!T79)),T$305-T$309)</f>
        <v>161091.622903299</v>
      </c>
      <c r="U310" s="10" t="n">
        <f aca="false">IF(AND(U$8=1,ISNUMBER(Reales!U79)),IF(Reales!$C$79="PYG",IF(U$10&gt;0,N(Reales!U79)/U$10,0),N(Reales!U79)),U$305-U$309)</f>
        <v>176727.142290749</v>
      </c>
      <c r="V310" s="10" t="n">
        <f aca="false">IF(AND(V$8=1,ISNUMBER(Reales!V79)),IF(Reales!$C$79="PYG",IF(V$10&gt;0,N(Reales!V79)/V$10,0),N(Reales!V79)),V$305-V$309)</f>
        <v>192396.451755556</v>
      </c>
      <c r="W310" s="10" t="n">
        <f aca="false">IF(AND(W$8=1,ISNUMBER(Reales!W79)),IF(Reales!$C$79="PYG",IF(W$10&gt;0,N(Reales!W79)/W$10,0),N(Reales!W79)),W$305-W$309)</f>
        <v>208099.804723301</v>
      </c>
      <c r="X310" s="10" t="n">
        <f aca="false">IF(AND(X$8=1,ISNUMBER(Reales!X79)),IF(Reales!$C$79="PYG",IF(X$10&gt;0,N(Reales!X79)/X$10,0),N(Reales!X79)),X$305-X$309)</f>
        <v>223837.456520255</v>
      </c>
      <c r="Y310" s="10" t="n">
        <f aca="false">IF(AND(Y$8=1,ISNUMBER(Reales!Y79)),IF(Reales!$C$79="PYG",IF(Y$10&gt;0,N(Reales!Y79)/Y$10,0),N(Reales!Y79)),Y$305-Y$309)</f>
        <v>239609.664387639</v>
      </c>
      <c r="Z310" s="10" t="n">
        <f aca="false">IF(AND(Z$8=1,ISNUMBER(Reales!Z79)),IF(Reales!$C$79="PYG",IF(Z$10&gt;0,N(Reales!Z79)/Z$10,0),N(Reales!Z79)),Z$305-Z$309)</f>
        <v>255416.687495978</v>
      </c>
      <c r="AA310" s="10" t="n">
        <f aca="false">IF(AND(AA$8=1,ISNUMBER(Reales!AA79)),IF(Reales!$C$79="PYG",IF(AA$10&gt;0,N(Reales!AA79)/AA$10,0),N(Reales!AA79)),AA$305-AA$309)</f>
        <v>271258.786959582</v>
      </c>
      <c r="AB310" s="10" t="n">
        <f aca="false">IF(AND(AB$8=1,ISNUMBER(Reales!AB79)),IF(Reales!$C$79="PYG",IF(AB$10&gt;0,N(Reales!AB79)/AB$10,0),N(Reales!AB79)),AB$305-AB$309)</f>
        <v>287136.225851114</v>
      </c>
      <c r="AC310" s="10" t="n">
        <f aca="false">IF(AND(AC$8=1,ISNUMBER(Reales!AC79)),IF(Reales!$C$79="PYG",IF(AC$10&gt;0,N(Reales!AC79)/AC$10,0),N(Reales!AC79)),AC$305-AC$309)</f>
        <v>303049.269216285</v>
      </c>
      <c r="AD310" s="10" t="n">
        <f aca="false">IF(AND(AD$8=1,ISNUMBER(Reales!AD79)),IF(Reales!$C$79="PYG",IF(AD$10&gt;0,N(Reales!AD79)/AD$10,0),N(Reales!AD79)),AD$305-AD$309)</f>
        <v>-311740.118672618</v>
      </c>
      <c r="AE310" s="10" t="n">
        <f aca="false">IF(AND(AE$8=1,ISNUMBER(Reales!AE79)),IF(Reales!$C$79="PYG",IF(AE$10&gt;0,N(Reales!AE79)/AE$10,0),N(Reales!AE79)),AE$305-AE$309)</f>
        <v>-259166.435385603</v>
      </c>
      <c r="AF310" s="10" t="n">
        <f aca="false">IF(AND(AF$8=1,ISNUMBER(Reales!AF79)),IF(Reales!$C$79="PYG",IF(AF$10&gt;0,N(Reales!AF79)/AF$10,0),N(Reales!AF79)),AF$305-AF$309)</f>
        <v>-206556.340501018</v>
      </c>
      <c r="AG310" s="10" t="n">
        <f aca="false">IF(AND(AG$8=1,ISNUMBER(Reales!AG79)),IF(Reales!$C$79="PYG",IF(AG$10&gt;0,N(Reales!AG79)/AG$10,0),N(Reales!AG79)),AG$305-AG$309)</f>
        <v>-153909.560931882</v>
      </c>
      <c r="AH310" s="10" t="n">
        <f aca="false">IF(AND(AH$8=1,ISNUMBER(Reales!AH79)),IF(Reales!$C$79="PYG",IF(AH$10&gt;0,N(Reales!AH79)/AH$10,0),N(Reales!AH79)),AH$305-AH$309)</f>
        <v>-101225.821543058</v>
      </c>
      <c r="AI310" s="10" t="n">
        <f aca="false">IF(AND(AI$8=1,ISNUMBER(Reales!AI79)),IF(Reales!$C$79="PYG",IF(AI$10&gt;0,N(Reales!AI79)/AI$10,0),N(Reales!AI79)),AI$305-AI$309)</f>
        <v>-48504.8451359012</v>
      </c>
      <c r="AJ310" s="10" t="n">
        <f aca="false">IF(AND(AJ$8=1,ISNUMBER(Reales!AJ79)),IF(Reales!$C$79="PYG",IF(AJ$10&gt;0,N(Reales!AJ79)/AJ$10,0),N(Reales!AJ79)),AJ$305-AJ$309)</f>
        <v>4253.64756722731</v>
      </c>
      <c r="AK310" s="10" t="n">
        <f aca="false">IF(AND(AK$8=1,ISNUMBER(Reales!AK79)),IF(Reales!$C$79="PYG",IF(AK$10&gt;0,N(Reales!AK79)/AK$10,0),N(Reales!AK79)),AK$305-AK$309)</f>
        <v>57049.9379385471</v>
      </c>
      <c r="AL310" s="10" t="n">
        <f aca="false">IF(AND(AL$8=1,ISNUMBER(Reales!AL79)),IF(Reales!$C$79="PYG",IF(AL$10&gt;0,N(Reales!AL79)/AL$10,0),N(Reales!AL79)),AL$305-AL$309)</f>
        <v>109884.309460569</v>
      </c>
      <c r="AM310" s="10" t="n">
        <f aca="false">IF(AND(AM$8=1,ISNUMBER(Reales!AM79)),IF(Reales!$C$79="PYG",IF(AM$10&gt;0,N(Reales!AM79)/AM$10,0),N(Reales!AM79)),AM$305-AM$309)</f>
        <v>162757.047741925</v>
      </c>
      <c r="AN310" s="10" t="n">
        <f aca="false">IF(AND(AN$8=1,ISNUMBER(Reales!AN79)),IF(Reales!$C$79="PYG",IF(AN$10&gt;0,N(Reales!AN79)/AN$10,0),N(Reales!AN79)),AN$305-AN$309)</f>
        <v>215668.440533308</v>
      </c>
      <c r="AO310" s="10" t="n">
        <f aca="false">IF(AND(AO$8=1,ISNUMBER(Reales!AO79)),IF(Reales!$C$79="PYG",IF(AO$10&gt;0,N(Reales!AO79)/AO$10,0),N(Reales!AO79)),AO$305-AO$309)</f>
        <v>268618.777743544</v>
      </c>
      <c r="AP310" s="10" t="n">
        <f aca="false">IF(AND(AP$8=1,ISNUMBER(Reales!AP79)),IF(Reales!$C$79="PYG",IF(AP$10&gt;0,N(Reales!AP79)/AP$10,0),N(Reales!AP79)),AP$305-AP$309)</f>
        <v>-204392.169462804</v>
      </c>
      <c r="AQ310" s="10" t="n">
        <f aca="false">IF(AND(AQ$8=1,ISNUMBER(Reales!AQ79)),IF(Reales!$C$79="PYG",IF(AQ$10&gt;0,N(Reales!AQ79)/AQ$10,0),N(Reales!AQ79)),AQ$305-AQ$309)</f>
        <v>-118554.51596008</v>
      </c>
      <c r="AR310" s="10" t="n">
        <f aca="false">IF(AND(AR$8=1,ISNUMBER(Reales!AR79)),IF(Reales!$C$79="PYG",IF(AR$10&gt;0,N(Reales!AR79)/AR$10,0),N(Reales!AR79)),AR$305-AR$309)</f>
        <v>-32677.0352007788</v>
      </c>
      <c r="AS310" s="10" t="n">
        <f aca="false">IF(AND(AS$8=1,ISNUMBER(Reales!AS79)),IF(Reales!$C$79="PYG",IF(AS$10&gt;0,N(Reales!AS79)/AS$10,0),N(Reales!AS79)),AS$305-AS$309)</f>
        <v>53240.5715195248</v>
      </c>
      <c r="AT310" s="10" t="n">
        <f aca="false">IF(AND(AT$8=1,ISNUMBER(Reales!AT79)),IF(Reales!$C$79="PYG",IF(AT$10&gt;0,N(Reales!AT79)/AT$10,0),N(Reales!AT79)),AT$305-AT$309)</f>
        <v>139198.605145538</v>
      </c>
      <c r="AU310" s="10" t="n">
        <f aca="false">IF(AND(AU$8=1,ISNUMBER(Reales!AU79)),IF(Reales!$C$79="PYG",IF(AU$10&gt;0,N(Reales!AU79)/AU$10,0),N(Reales!AU79)),AU$305-AU$309)</f>
        <v>225197.368879053</v>
      </c>
      <c r="AV310" s="10" t="n">
        <f aca="false">IF(AND(AV$8=1,ISNUMBER(Reales!AV79)),IF(Reales!$C$79="PYG",IF(AV$10&gt;0,N(Reales!AV79)/AV$10,0),N(Reales!AV79)),AV$305-AV$309)</f>
        <v>311237.168195877</v>
      </c>
      <c r="AW310" s="10" t="n">
        <f aca="false">IF(AND(AW$8=1,ISNUMBER(Reales!AW79)),IF(Reales!$C$79="PYG",IF(AW$10&gt;0,N(Reales!AW79)/AW$10,0),N(Reales!AW79)),AW$305-AW$309)</f>
        <v>397318.310862885</v>
      </c>
      <c r="AX310" s="10" t="n">
        <f aca="false">IF(AND(AX$8=1,ISNUMBER(Reales!AX79)),IF(Reales!$C$79="PYG",IF(AX$10&gt;0,N(Reales!AX79)/AX$10,0),N(Reales!AX79)),AX$305-AX$309)</f>
        <v>483441.106955202</v>
      </c>
      <c r="AY310" s="10" t="n">
        <f aca="false">IF(AND(AY$8=1,ISNUMBER(Reales!AY79)),IF(Reales!$C$79="PYG",IF(AY$10&gt;0,N(Reales!AY79)/AY$10,0),N(Reales!AY79)),AY$305-AY$309)</f>
        <v>569605.868873519</v>
      </c>
      <c r="AZ310" s="10" t="n">
        <f aca="false">IF(AND(AZ$8=1,ISNUMBER(Reales!AZ79)),IF(Reales!$C$79="PYG",IF(AZ$10&gt;0,N(Reales!AZ79)/AZ$10,0),N(Reales!AZ79)),AZ$305-AZ$309)</f>
        <v>655812.91136153</v>
      </c>
      <c r="BA310" s="10" t="n">
        <f aca="false">IF(AND(BA$8=1,ISNUMBER(Reales!BA79)),IF(Reales!$C$79="PYG",IF(BA$10&gt;0,N(Reales!BA79)/BA$10,0),N(Reales!BA79)),BA$305-BA$309)</f>
        <v>742062.551523509</v>
      </c>
      <c r="BB310" s="10" t="n">
        <f aca="false">IF(AND(BB$8=1,ISNUMBER(Reales!BB79)),IF(Reales!$C$79="PYG",IF(BB$10&gt;0,N(Reales!BB79)/BB$10,0),N(Reales!BB79)),BB$305-BB$309)</f>
        <v>791565.146132666</v>
      </c>
      <c r="BC310" s="10" t="n">
        <f aca="false">IF(AND(BC$8=1,ISNUMBER(Reales!BC79)),IF(Reales!$C$79="PYG",IF(BC$10&gt;0,N(Reales!BC79)/BC$10,0),N(Reales!BC79)),BC$305-BC$309)</f>
        <v>879220.527482878</v>
      </c>
      <c r="BD310" s="10" t="n">
        <f aca="false">IF(AND(BD$8=1,ISNUMBER(Reales!BD79)),IF(Reales!$C$79="PYG",IF(BD$10&gt;0,N(Reales!BD79)/BD$10,0),N(Reales!BD79)),BD$305-BD$309)</f>
        <v>966919.47216105</v>
      </c>
      <c r="BE310" s="10" t="n">
        <f aca="false">IF(AND(BE$8=1,ISNUMBER(Reales!BE79)),IF(Reales!$C$79="PYG",IF(BE$10&gt;0,N(Reales!BE79)/BE$10,0),N(Reales!BE79)),BE$305-BE$309)</f>
        <v>249708.92851122</v>
      </c>
      <c r="BF310" s="10" t="n">
        <f aca="false">IF(AND(BF$8=1,ISNUMBER(Reales!BF79)),IF(Reales!$C$79="PYG",IF(BF$10&gt;0,N(Reales!BF79)/BF$10,0),N(Reales!BF79)),BF$305-BF$309)</f>
        <v>337495.982470628</v>
      </c>
      <c r="BG310" s="10" t="n">
        <f aca="false">IF(AND(BG$8=1,ISNUMBER(Reales!BG79)),IF(Reales!$C$79="PYG",IF(BG$10&gt;0,N(Reales!BG79)/BG$10,0),N(Reales!BG79)),BG$305-BG$309)</f>
        <v>425327.587302565</v>
      </c>
      <c r="BH310" s="10" t="n">
        <f aca="false">IF(AND(BH$8=1,ISNUMBER(Reales!BH79)),IF(Reales!$C$79="PYG",IF(BH$10&gt;0,N(Reales!BH79)/BH$10,0),N(Reales!BH79)),BH$305-BH$309)</f>
        <v>513204.077138576</v>
      </c>
      <c r="BI310" s="10" t="n">
        <f aca="false">IF(AND(BI$8=1,ISNUMBER(Reales!BI79)),IF(Reales!$C$79="PYG",IF(BI$10&gt;0,N(Reales!BI79)/BI$10,0),N(Reales!BI79)),BI$305-BI$309)</f>
        <v>601125.788616189</v>
      </c>
      <c r="BJ310" s="10" t="n">
        <f aca="false">IF(AND(BJ$8=1,ISNUMBER(Reales!BJ79)),IF(Reales!$C$79="PYG",IF(BJ$10&gt;0,N(Reales!BJ79)/BJ$10,0),N(Reales!BJ79)),BJ$305-BJ$309)</f>
        <v>689093.060897719</v>
      </c>
      <c r="BK310" s="10" t="n">
        <f aca="false">IF(AND(BK$8=1,ISNUMBER(Reales!BK79)),IF(Reales!$C$79="PYG",IF(BK$10&gt;0,N(Reales!BK79)/BK$10,0),N(Reales!BK79)),BK$305-BK$309)</f>
        <v>777106.235689193</v>
      </c>
      <c r="BL310" s="10" t="n">
        <f aca="false">IF(AND(BL$8=1,ISNUMBER(Reales!BL79)),IF(Reales!$C$79="PYG",IF(BL$10&gt;0,N(Reales!BL79)/BL$10,0),N(Reales!BL79)),BL$305-BL$309)</f>
        <v>865165.657259436</v>
      </c>
      <c r="BM310" s="10" t="n">
        <f aca="false">IF(AND(BM$8=1,ISNUMBER(Reales!BM79)),IF(Reales!$C$79="PYG",IF(BM$10&gt;0,N(Reales!BM79)/BM$10,0),N(Reales!BM79)),BM$305-BM$309)</f>
        <v>953271.672459288</v>
      </c>
      <c r="BN310" s="10" t="n">
        <f aca="false">IF(AND(BN$8=1,ISNUMBER(Reales!BN79)),IF(Reales!$C$79="PYG",IF(BN$10&gt;0,N(Reales!BN79)/BN$10,0),N(Reales!BN79)),BN$305-BN$309)</f>
        <v>1070847.25778852</v>
      </c>
      <c r="BO310" s="10" t="n">
        <f aca="false">IF(AND(BO$8=1,ISNUMBER(Reales!BO79)),IF(Reales!$C$79="PYG",IF(BO$10&gt;0,N(Reales!BO79)/BO$10,0),N(Reales!BO79)),BO$305-BO$309)</f>
        <v>1226147.69958634</v>
      </c>
      <c r="BP310" s="10" t="n">
        <f aca="false">IF(AND(BP$8=1,ISNUMBER(Reales!BP79)),IF(Reales!$C$79="PYG",IF(BP$10&gt;0,N(Reales!BP79)/BP$10,0),N(Reales!BP79)),BP$305-BP$309)</f>
        <v>1381448.14138417</v>
      </c>
      <c r="BQ310" s="10" t="n">
        <f aca="false">IF(AND(BQ$8=1,ISNUMBER(Reales!BQ79)),IF(Reales!$C$79="PYG",IF(BQ$10&gt;0,N(Reales!BQ79)/BQ$10,0),N(Reales!BQ79)),BQ$305-BQ$309)</f>
        <v>72822.0388137782</v>
      </c>
      <c r="BR310" s="10" t="n">
        <f aca="false">IF(AND(BR$8=1,ISNUMBER(Reales!BR79)),IF(Reales!$C$79="PYG",IF(BR$10&gt;0,N(Reales!BR79)/BR$10,0),N(Reales!BR79)),BR$305-BR$309)</f>
        <v>228122.480611604</v>
      </c>
      <c r="BS310" s="10" t="n">
        <f aca="false">IF(AND(BS$8=1,ISNUMBER(Reales!BS79)),IF(Reales!$C$79="PYG",IF(BS$10&gt;0,N(Reales!BS79)/BS$10,0),N(Reales!BS79)),BS$305-BS$309)</f>
        <v>383422.92240943</v>
      </c>
      <c r="BT310" s="10" t="n">
        <f aca="false">IF(AND(BT$8=1,ISNUMBER(Reales!BT79)),IF(Reales!$C$79="PYG",IF(BT$10&gt;0,N(Reales!BT79)/BT$10,0),N(Reales!BT79)),BT$305-BT$309)</f>
        <v>538723.364207257</v>
      </c>
      <c r="BU310" s="10" t="n">
        <f aca="false">IF(AND(BU$8=1,ISNUMBER(Reales!BU79)),IF(Reales!$C$79="PYG",IF(BU$10&gt;0,N(Reales!BU79)/BU$10,0),N(Reales!BU79)),BU$305-BU$309)</f>
        <v>694023.806005083</v>
      </c>
      <c r="BV310" s="10" t="n">
        <f aca="false">IF(AND(BV$8=1,ISNUMBER(Reales!BV79)),IF(Reales!$C$79="PYG",IF(BV$10&gt;0,N(Reales!BV79)/BV$10,0),N(Reales!BV79)),BV$305-BV$309)</f>
        <v>849324.247802909</v>
      </c>
      <c r="BW310" s="10" t="n">
        <f aca="false">IF(AND(BW$8=1,ISNUMBER(Reales!BW79)),IF(Reales!$C$79="PYG",IF(BW$10&gt;0,N(Reales!BW79)/BW$10,0),N(Reales!BW79)),BW$305-BW$309)</f>
        <v>1004624.68960073</v>
      </c>
      <c r="BX310" s="10" t="n">
        <f aca="false">IF(AND(BX$8=1,ISNUMBER(Reales!BX79)),IF(Reales!$C$79="PYG",IF(BX$10&gt;0,N(Reales!BX79)/BX$10,0),N(Reales!BX79)),BX$305-BX$309)</f>
        <v>1159925.13139856</v>
      </c>
      <c r="BY310" s="10" t="n">
        <f aca="false">IF(AND(BY$8=1,ISNUMBER(Reales!BY79)),IF(Reales!$C$79="PYG",IF(BY$10&gt;0,N(Reales!BY79)/BY$10,0),N(Reales!BY79)),BY$305-BY$309)</f>
        <v>1315225.57319639</v>
      </c>
      <c r="BZ310" s="10" t="n">
        <f aca="false">IF(AND(BZ$8=1,ISNUMBER(Reales!BZ79)),IF(Reales!$C$79="PYG",IF(BZ$10&gt;0,N(Reales!BZ79)/BZ$10,0),N(Reales!BZ79)),BZ$305-BZ$309)</f>
        <v>1436551.70246101</v>
      </c>
      <c r="CA310" s="10" t="n">
        <f aca="false">IF(AND(CA$8=1,ISNUMBER(Reales!CA79)),IF(Reales!$C$79="PYG",IF(CA$10&gt;0,N(Reales!CA79)/CA$10,0),N(Reales!CA79)),CA$305-CA$309)</f>
        <v>1595967.72495041</v>
      </c>
      <c r="CB310" s="10" t="n">
        <f aca="false">IF(AND(CB$8=1,ISNUMBER(Reales!CB79)),IF(Reales!$C$79="PYG",IF(CB$10&gt;0,N(Reales!CB79)/CB$10,0),N(Reales!CB79)),CB$305-CB$309)</f>
        <v>1755383.74743981</v>
      </c>
      <c r="CC310" s="10" t="n">
        <f aca="false">IF(AND(CC$8=1,ISNUMBER(Reales!CC79)),IF(Reales!$C$79="PYG",IF(CC$10&gt;0,N(Reales!CC79)/CC$10,0),N(Reales!CC79)),CC$305-CC$309)</f>
        <v>120611.077355291</v>
      </c>
      <c r="CD310" s="10" t="n">
        <f aca="false">IF(AND(CD$8=1,ISNUMBER(Reales!CD79)),IF(Reales!$C$79="PYG",IF(CD$10&gt;0,N(Reales!CD79)/CD$10,0),N(Reales!CD79)),CD$305-CD$309)</f>
        <v>280027.099844691</v>
      </c>
      <c r="CE310" s="10" t="n">
        <f aca="false">IF(AND(CE$8=1,ISNUMBER(Reales!CE79)),IF(Reales!$C$79="PYG",IF(CE$10&gt;0,N(Reales!CE79)/CE$10,0),N(Reales!CE79)),CE$305-CE$309)</f>
        <v>439443.122334091</v>
      </c>
      <c r="CF310" s="10" t="n">
        <f aca="false">IF(AND(CF$8=1,ISNUMBER(Reales!CF79)),IF(Reales!$C$79="PYG",IF(CF$10&gt;0,N(Reales!CF79)/CF$10,0),N(Reales!CF79)),CF$305-CF$309)</f>
        <v>598859.144823491</v>
      </c>
      <c r="CG310" s="10" t="n">
        <f aca="false">IF(AND(CG$8=1,ISNUMBER(Reales!CG79)),IF(Reales!$C$79="PYG",IF(CG$10&gt;0,N(Reales!CG79)/CG$10,0),N(Reales!CG79)),CG$305-CG$309)</f>
        <v>758275.167312891</v>
      </c>
      <c r="CH310" s="10" t="n">
        <f aca="false">IF(AND(CH$8=1,ISNUMBER(Reales!CH79)),IF(Reales!$C$79="PYG",IF(CH$10&gt;0,N(Reales!CH79)/CH$10,0),N(Reales!CH79)),CH$305-CH$309)</f>
        <v>917691.18980229</v>
      </c>
      <c r="CI310" s="10" t="n">
        <f aca="false">IF(AND(CI$8=1,ISNUMBER(Reales!CI79)),IF(Reales!$C$79="PYG",IF(CI$10&gt;0,N(Reales!CI79)/CI$10,0),N(Reales!CI79)),CI$305-CI$309)</f>
        <v>1077107.21229169</v>
      </c>
      <c r="CJ310" s="10" t="n">
        <f aca="false">IF(AND(CJ$8=1,ISNUMBER(Reales!CJ79)),IF(Reales!$C$79="PYG",IF(CJ$10&gt;0,N(Reales!CJ79)/CJ$10,0),N(Reales!CJ79)),CJ$305-CJ$309)</f>
        <v>1236523.23478109</v>
      </c>
      <c r="CK310" s="10" t="n">
        <f aca="false">IF(AND(CK$8=1,ISNUMBER(Reales!CK79)),IF(Reales!$C$79="PYG",IF(CK$10&gt;0,N(Reales!CK79)/CK$10,0),N(Reales!CK79)),CK$305-CK$309)</f>
        <v>1395939.25727049</v>
      </c>
      <c r="CL310" s="10" t="n">
        <f aca="false">IF(AND(CL$8=1,ISNUMBER(Reales!CL79)),IF(Reales!$C$79="PYG",IF(CL$10&gt;0,N(Reales!CL79)/CL$10,0),N(Reales!CL79)),CL$305-CL$309)</f>
        <v>1521040.85812226</v>
      </c>
      <c r="CM310" s="10" t="n">
        <f aca="false">IF(AND(CM$8=1,ISNUMBER(Reales!CM79)),IF(Reales!$C$79="PYG",IF(CM$10&gt;0,N(Reales!CM79)/CM$10,0),N(Reales!CM79)),CM$305-CM$309)</f>
        <v>1684600.67666855</v>
      </c>
      <c r="CN310" s="10" t="n">
        <f aca="false">IF(AND(CN$8=1,ISNUMBER(Reales!CN79)),IF(Reales!$C$79="PYG",IF(CN$10&gt;0,N(Reales!CN79)/CN$10,0),N(Reales!CN79)),CN$305-CN$309)</f>
        <v>1848160.49521483</v>
      </c>
      <c r="CO310" s="10" t="n">
        <f aca="false">IF(AND(CO$8=1,ISNUMBER(Reales!CO79)),IF(Reales!$C$79="PYG",IF(CO$10&gt;0,N(Reales!CO79)/CO$10,0),N(Reales!CO79)),CO$305-CO$309)</f>
        <v>168144.652888323</v>
      </c>
      <c r="CP310" s="10" t="n">
        <f aca="false">IF(AND(CP$8=1,ISNUMBER(Reales!CP79)),IF(Reales!$C$79="PYG",IF(CP$10&gt;0,N(Reales!CP79)/CP$10,0),N(Reales!CP79)),CP$305-CP$309)</f>
        <v>331704.47143461</v>
      </c>
      <c r="CQ310" s="10" t="n">
        <f aca="false">IF(AND(CQ$8=1,ISNUMBER(Reales!CQ79)),IF(Reales!$C$79="PYG",IF(CQ$10&gt;0,N(Reales!CQ79)/CQ$10,0),N(Reales!CQ79)),CQ$305-CQ$309)</f>
        <v>495264.289980898</v>
      </c>
      <c r="CR310" s="10" t="n">
        <f aca="false">IF(AND(CR$8=1,ISNUMBER(Reales!CR79)),IF(Reales!$C$79="PYG",IF(CR$10&gt;0,N(Reales!CR79)/CR$10,0),N(Reales!CR79)),CR$305-CR$309)</f>
        <v>658824.108527185</v>
      </c>
      <c r="CS310" s="10" t="n">
        <f aca="false">IF(AND(CS$8=1,ISNUMBER(Reales!CS79)),IF(Reales!$C$79="PYG",IF(CS$10&gt;0,N(Reales!CS79)/CS$10,0),N(Reales!CS79)),CS$305-CS$309)</f>
        <v>822383.927073473</v>
      </c>
      <c r="CT310" s="10" t="n">
        <f aca="false">IF(AND(CT$8=1,ISNUMBER(Reales!CT79)),IF(Reales!$C$79="PYG",IF(CT$10&gt;0,N(Reales!CT79)/CT$10,0),N(Reales!CT79)),CT$305-CT$309)</f>
        <v>985943.74561976</v>
      </c>
      <c r="CU310" s="10" t="n">
        <f aca="false">IF(AND(CU$8=1,ISNUMBER(Reales!CU79)),IF(Reales!$C$79="PYG",IF(CU$10&gt;0,N(Reales!CU79)/CU$10,0),N(Reales!CU79)),CU$305-CU$309)</f>
        <v>1149503.56416605</v>
      </c>
      <c r="CV310" s="10" t="n">
        <f aca="false">IF(AND(CV$8=1,ISNUMBER(Reales!CV79)),IF(Reales!$C$79="PYG",IF(CV$10&gt;0,N(Reales!CV79)/CV$10,0),N(Reales!CV79)),CV$305-CV$309)</f>
        <v>1313063.38271234</v>
      </c>
      <c r="CW310" s="10" t="n">
        <f aca="false">IF(AND(CW$8=1,ISNUMBER(Reales!CW79)),IF(Reales!$C$79="PYG",IF(CW$10&gt;0,N(Reales!CW79)/CW$10,0),N(Reales!CW79)),CW$305-CW$309)</f>
        <v>1476623.20125862</v>
      </c>
      <c r="CX310" s="10" t="n">
        <f aca="false">IF(AND(CX$8=1,ISNUMBER(Reales!CX79)),IF(Reales!$C$79="PYG",IF(CX$10&gt;0,N(Reales!CX79)/CX$10,0),N(Reales!CX79)),CX$305-CX$309)</f>
        <v>1605525.07895819</v>
      </c>
      <c r="CY310" s="10" t="n">
        <f aca="false">IF(AND(CY$8=1,ISNUMBER(Reales!CY79)),IF(Reales!$C$79="PYG",IF(CY$10&gt;0,N(Reales!CY79)/CY$10,0),N(Reales!CY79)),CY$305-CY$309)</f>
        <v>1773256.8086071</v>
      </c>
      <c r="CZ310" s="10" t="n">
        <f aca="false">IF(AND(CZ$8=1,ISNUMBER(Reales!CZ79)),IF(Reales!$C$79="PYG",IF(CZ$10&gt;0,N(Reales!CZ79)/CZ$10,0),N(Reales!CZ79)),CZ$305-CZ$309)</f>
        <v>1940988.53825601</v>
      </c>
      <c r="DA310" s="10" t="n">
        <f aca="false">IF(AND(DA$8=1,ISNUMBER(Reales!DA79)),IF(Reales!$C$79="PYG",IF(DA$10&gt;0,N(Reales!DA79)/DA$10,0),N(Reales!DA79)),DA$305-DA$309)</f>
        <v>215419.054349467</v>
      </c>
      <c r="DB310" s="10" t="n">
        <f aca="false">IF(AND(DB$8=1,ISNUMBER(Reales!DB79)),IF(Reales!$C$79="PYG",IF(DB$10&gt;0,N(Reales!DB79)/DB$10,0),N(Reales!DB79)),DB$305-DB$309)</f>
        <v>383150.783998375</v>
      </c>
      <c r="DC310" s="10" t="n">
        <f aca="false">IF(AND(DC$8=1,ISNUMBER(Reales!DC79)),IF(Reales!$C$79="PYG",IF(DC$10&gt;0,N(Reales!DC79)/DC$10,0),N(Reales!DC79)),DC$305-DC$309)</f>
        <v>550882.513647283</v>
      </c>
      <c r="DD310" s="10" t="n">
        <f aca="false">IF(AND(DD$8=1,ISNUMBER(Reales!DD79)),IF(Reales!$C$79="PYG",IF(DD$10&gt;0,N(Reales!DD79)/DD$10,0),N(Reales!DD79)),DD$305-DD$309)</f>
        <v>718614.24329619</v>
      </c>
      <c r="DE310" s="10" t="n">
        <f aca="false">IF(AND(DE$8=1,ISNUMBER(Reales!DE79)),IF(Reales!$C$79="PYG",IF(DE$10&gt;0,N(Reales!DE79)/DE$10,0),N(Reales!DE79)),DE$305-DE$309)</f>
        <v>886345.972945098</v>
      </c>
      <c r="DF310" s="10" t="n">
        <f aca="false">IF(AND(DF$8=1,ISNUMBER(Reales!DF79)),IF(Reales!$C$79="PYG",IF(DF$10&gt;0,N(Reales!DF79)/DF$10,0),N(Reales!DF79)),DF$305-DF$309)</f>
        <v>1054077.70259401</v>
      </c>
      <c r="DG310" s="10" t="n">
        <f aca="false">IF(AND(DG$8=1,ISNUMBER(Reales!DG79)),IF(Reales!$C$79="PYG",IF(DG$10&gt;0,N(Reales!DG79)/DG$10,0),N(Reales!DG79)),DG$305-DG$309)</f>
        <v>1221809.43224291</v>
      </c>
      <c r="DH310" s="10" t="n">
        <f aca="false">IF(AND(DH$8=1,ISNUMBER(Reales!DH79)),IF(Reales!$C$79="PYG",IF(DH$10&gt;0,N(Reales!DH79)/DH$10,0),N(Reales!DH79)),DH$305-DH$309)</f>
        <v>1389541.16189182</v>
      </c>
      <c r="DI310" s="10" t="n">
        <f aca="false">IF(AND(DI$8=1,ISNUMBER(Reales!DI79)),IF(Reales!$C$79="PYG",IF(DI$10&gt;0,N(Reales!DI79)/DI$10,0),N(Reales!DI79)),DI$305-DI$309)</f>
        <v>1557272.89154073</v>
      </c>
      <c r="DJ310" s="10" t="n">
        <f aca="false">IF(AND(DJ$8=1,ISNUMBER(Reales!DJ79)),IF(Reales!$C$79="PYG",IF(DJ$10&gt;0,N(Reales!DJ79)/DJ$10,0),N(Reales!DJ79)),DJ$305-DJ$309)</f>
        <v>1689999.71669704</v>
      </c>
      <c r="DK310" s="10" t="n">
        <f aca="false">IF(AND(DK$8=1,ISNUMBER(Reales!DK79)),IF(Reales!$C$79="PYG",IF(DK$10&gt;0,N(Reales!DK79)/DK$10,0),N(Reales!DK79)),DK$305-DK$309)</f>
        <v>1861931.35981212</v>
      </c>
      <c r="DL310" s="10" t="n">
        <f aca="false">IF(AND(DL$8=1,ISNUMBER(Reales!DL79)),IF(Reales!$C$79="PYG",IF(DL$10&gt;0,N(Reales!DL79)/DL$10,0),N(Reales!DL79)),DL$305-DL$309)</f>
        <v>2033863.00292721</v>
      </c>
      <c r="DM310" s="10" t="n">
        <f aca="false">IF(AND(DM$8=1,ISNUMBER(Reales!DM79)),IF(Reales!$C$79="PYG",IF(DM$10&gt;0,N(Reales!DM79)/DM$10,0),N(Reales!DM79)),DM$305-DM$309)</f>
        <v>262430.499255404</v>
      </c>
      <c r="DN310" s="10" t="n">
        <f aca="false">IF(AND(DN$8=1,ISNUMBER(Reales!DN79)),IF(Reales!$C$79="PYG",IF(DN$10&gt;0,N(Reales!DN79)/DN$10,0),N(Reales!DN79)),DN$305-DN$309)</f>
        <v>434362.142370491</v>
      </c>
      <c r="DO310" s="10" t="n">
        <f aca="false">IF(AND(DO$8=1,ISNUMBER(Reales!DO79)),IF(Reales!$C$79="PYG",IF(DO$10&gt;0,N(Reales!DO79)/DO$10,0),N(Reales!DO79)),DO$305-DO$309)</f>
        <v>606293.785485577</v>
      </c>
      <c r="DP310" s="10" t="n">
        <f aca="false">IF(AND(DP$8=1,ISNUMBER(Reales!DP79)),IF(Reales!$C$79="PYG",IF(DP$10&gt;0,N(Reales!DP79)/DP$10,0),N(Reales!DP79)),DP$305-DP$309)</f>
        <v>778225.428600663</v>
      </c>
      <c r="DQ310" s="10" t="n">
        <f aca="false">IF(AND(DQ$8=1,ISNUMBER(Reales!DQ79)),IF(Reales!$C$79="PYG",IF(DQ$10&gt;0,N(Reales!DQ79)/DQ$10,0),N(Reales!DQ79)),DQ$305-DQ$309)</f>
        <v>950157.071715749</v>
      </c>
      <c r="DR310" s="10" t="n">
        <f aca="false">IF(AND(DR$8=1,ISNUMBER(Reales!DR79)),IF(Reales!$C$79="PYG",IF(DR$10&gt;0,N(Reales!DR79)/DR$10,0),N(Reales!DR79)),DR$305-DR$309)</f>
        <v>1122088.71483084</v>
      </c>
      <c r="DS310" s="10" t="n">
        <f aca="false">IF(AND(DS$8=1,ISNUMBER(Reales!DS79)),IF(Reales!$C$79="PYG",IF(DS$10&gt;0,N(Reales!DS79)/DS$10,0),N(Reales!DS79)),DS$305-DS$309)</f>
        <v>1294020.35794592</v>
      </c>
      <c r="DT310" s="10" t="n">
        <f aca="false">IF(AND(DT$8=1,ISNUMBER(Reales!DT79)),IF(Reales!$C$79="PYG",IF(DT$10&gt;0,N(Reales!DT79)/DT$10,0),N(Reales!DT79)),DT$305-DT$309)</f>
        <v>1465952.00106101</v>
      </c>
      <c r="DU310" s="10" t="n">
        <f aca="false">IF(AND(DU$8=1,ISNUMBER(Reales!DU79)),IF(Reales!$C$79="PYG",IF(DU$10&gt;0,N(Reales!DU79)/DU$10,0),N(Reales!DU79)),DU$305-DU$309)</f>
        <v>1637883.64417609</v>
      </c>
      <c r="DV310" s="10" t="n">
        <f aca="false">IF(AND(DV$8=1,ISNUMBER(Reales!DV79)),IF(Reales!$C$79="PYG",IF(DV$10&gt;0,N(Reales!DV79)/DV$10,0),N(Reales!DV79)),DV$305-DV$309)</f>
        <v>1637883.64417609</v>
      </c>
      <c r="DW310" s="10" t="n">
        <f aca="false">IF(AND(DW$8=1,ISNUMBER(Reales!DW79)),IF(Reales!$C$79="PYG",IF(DW$10&gt;0,N(Reales!DW79)/DW$10,0),N(Reales!DW79)),DW$305-DW$309)</f>
        <v>1637883.64417609</v>
      </c>
      <c r="DX310" s="10" t="n">
        <f aca="false">IF(AND(DX$8=1,ISNUMBER(Reales!DX79)),IF(Reales!$C$79="PYG",IF(DX$10&gt;0,N(Reales!DX79)/DX$10,0),N(Reales!DX79)),DX$305-DX$309)</f>
        <v>1637883.64417609</v>
      </c>
      <c r="DY310" s="10" t="n">
        <f aca="false">IF(AND(DY$8=1,ISNUMBER(Reales!DY79)),IF(Reales!$C$79="PYG",IF(DY$10&gt;0,N(Reales!DY79)/DY$10,0),N(Reales!DY79)),DY$305-DY$309)</f>
        <v>1637883.64417609</v>
      </c>
      <c r="DZ310" s="10" t="n">
        <f aca="false">IF(AND(DZ$8=1,ISNUMBER(Reales!DZ79)),IF(Reales!$C$79="PYG",IF(DZ$10&gt;0,N(Reales!DZ79)/DZ$10,0),N(Reales!DZ79)),DZ$305-DZ$309)</f>
        <v>1637883.64417609</v>
      </c>
      <c r="EA310" s="10" t="n">
        <f aca="false">IF(AND(EA$8=1,ISNUMBER(Reales!EA79)),IF(Reales!$C$79="PYG",IF(EA$10&gt;0,N(Reales!EA79)/EA$10,0),N(Reales!EA79)),EA$305-EA$309)</f>
        <v>1637883.64417609</v>
      </c>
      <c r="EB310" s="10" t="n">
        <f aca="false">IF(AND(EB$8=1,ISNUMBER(Reales!EB79)),IF(Reales!$C$79="PYG",IF(EB$10&gt;0,N(Reales!EB79)/EB$10,0),N(Reales!EB79)),EB$305-EB$309)</f>
        <v>1637883.64417609</v>
      </c>
      <c r="EC310" s="10" t="n">
        <f aca="false">IF(AND(EC$8=1,ISNUMBER(Reales!EC79)),IF(Reales!$C$79="PYG",IF(EC$10&gt;0,N(Reales!EC79)/EC$10,0),N(Reales!EC79)),EC$305-EC$309)</f>
        <v>1637883.64417609</v>
      </c>
      <c r="ED310" s="10" t="n">
        <f aca="false">IF(AND(ED$8=1,ISNUMBER(Reales!ED79)),IF(Reales!$C$79="PYG",IF(ED$10&gt;0,N(Reales!ED79)/ED$10,0),N(Reales!ED79)),ED$305-ED$309)</f>
        <v>1637883.64417609</v>
      </c>
      <c r="EE310" s="10" t="n">
        <f aca="false">IF(AND(EE$8=1,ISNUMBER(Reales!EE79)),IF(Reales!$C$79="PYG",IF(EE$10&gt;0,N(Reales!EE79)/EE$10,0),N(Reales!EE79)),EE$305-EE$309)</f>
        <v>1637883.64417609</v>
      </c>
      <c r="EF310" s="10" t="n">
        <f aca="false">IF(AND(EF$8=1,ISNUMBER(Reales!EF79)),IF(Reales!$C$79="PYG",IF(EF$10&gt;0,N(Reales!EF79)/EF$10,0),N(Reales!EF79)),EF$305-EF$309)</f>
        <v>1637883.64417609</v>
      </c>
      <c r="EG310" s="10" t="n">
        <f aca="false">IF(AND(EG$8=1,ISNUMBER(Reales!EG79)),IF(Reales!$C$79="PYG",IF(EG$10&gt;0,N(Reales!EG79)/EG$10,0),N(Reales!EG79)),EG$305-EG$309)</f>
        <v>1637883.64417609</v>
      </c>
      <c r="EH310" s="10" t="n">
        <f aca="false">IF(AND(EH$8=1,ISNUMBER(Reales!EH79)),IF(Reales!$C$79="PYG",IF(EH$10&gt;0,N(Reales!EH79)/EH$10,0),N(Reales!EH79)),EH$305-EH$309)</f>
        <v>1637883.64417609</v>
      </c>
      <c r="EI310" s="10" t="n">
        <f aca="false">IF(AND(EI$8=1,ISNUMBER(Reales!EI79)),IF(Reales!$C$79="PYG",IF(EI$10&gt;0,N(Reales!EI79)/EI$10,0),N(Reales!EI79)),EI$305-EI$309)</f>
        <v>1637883.64417609</v>
      </c>
      <c r="EJ310" s="10" t="n">
        <f aca="false">IF(AND(EJ$8=1,ISNUMBER(Reales!EJ79)),IF(Reales!$C$79="PYG",IF(EJ$10&gt;0,N(Reales!EJ79)/EJ$10,0),N(Reales!EJ79)),EJ$305-EJ$309)</f>
        <v>1637883.64417609</v>
      </c>
      <c r="EK310" s="10" t="n">
        <f aca="false">IF(AND(EK$8=1,ISNUMBER(Reales!EK79)),IF(Reales!$C$79="PYG",IF(EK$10&gt;0,N(Reales!EK79)/EK$10,0),N(Reales!EK79)),EK$305-EK$309)</f>
        <v>1637883.64417609</v>
      </c>
      <c r="EL310" s="10" t="n">
        <f aca="false">IF(AND(EL$8=1,ISNUMBER(Reales!EL79)),IF(Reales!$C$79="PYG",IF(EL$10&gt;0,N(Reales!EL79)/EL$10,0),N(Reales!EL79)),EL$305-EL$309)</f>
        <v>1637883.64417609</v>
      </c>
      <c r="EM310" s="10" t="n">
        <f aca="false">IF(AND(EM$8=1,ISNUMBER(Reales!EM79)),IF(Reales!$C$79="PYG",IF(EM$10&gt;0,N(Reales!EM79)/EM$10,0),N(Reales!EM79)),EM$305-EM$309)</f>
        <v>1637883.64417609</v>
      </c>
      <c r="EN310" s="10" t="n">
        <f aca="false">IF(AND(EN$8=1,ISNUMBER(Reales!EN79)),IF(Reales!$C$79="PYG",IF(EN$10&gt;0,N(Reales!EN79)/EN$10,0),N(Reales!EN79)),EN$305-EN$309)</f>
        <v>1637883.64417609</v>
      </c>
      <c r="EO310" s="10" t="n">
        <f aca="false">IF(AND(EO$8=1,ISNUMBER(Reales!EO79)),IF(Reales!$C$79="PYG",IF(EO$10&gt;0,N(Reales!EO79)/EO$10,0),N(Reales!EO79)),EO$305-EO$309)</f>
        <v>1637883.64417609</v>
      </c>
      <c r="EP310" s="10" t="n">
        <f aca="false">IF(AND(EP$8=1,ISNUMBER(Reales!EP79)),IF(Reales!$C$79="PYG",IF(EP$10&gt;0,N(Reales!EP79)/EP$10,0),N(Reales!EP79)),EP$305-EP$309)</f>
        <v>1637883.64417609</v>
      </c>
      <c r="EQ310" s="10" t="n">
        <f aca="false">IF(AND(EQ$8=1,ISNUMBER(Reales!EQ79)),IF(Reales!$C$79="PYG",IF(EQ$10&gt;0,N(Reales!EQ79)/EQ$10,0),N(Reales!EQ79)),EQ$305-EQ$309)</f>
        <v>1637883.64417609</v>
      </c>
      <c r="ER310" s="10" t="n">
        <f aca="false">IF(AND(ER$8=1,ISNUMBER(Reales!ER79)),IF(Reales!$C$79="PYG",IF(ER$10&gt;0,N(Reales!ER79)/ER$10,0),N(Reales!ER79)),ER$305-ER$309)</f>
        <v>1637883.64417609</v>
      </c>
      <c r="ES310" s="10" t="n">
        <f aca="false">IF(AND(ES$8=1,ISNUMBER(Reales!ES79)),IF(Reales!$C$79="PYG",IF(ES$10&gt;0,N(Reales!ES79)/ES$10,0),N(Reales!ES79)),ES$305-ES$309)</f>
        <v>1637883.64417609</v>
      </c>
    </row>
    <row r="311" customFormat="false" ht="15" hidden="false" customHeight="false" outlineLevel="0" collapsed="false">
      <c r="A311" s="2" t="s">
        <v>947</v>
      </c>
      <c r="B311" s="6" t="s">
        <v>792</v>
      </c>
      <c r="C311" s="6" t="s">
        <v>250</v>
      </c>
      <c r="E311" s="40" t="n">
        <f aca="false">SUM(F311:ES311)</f>
        <v>0</v>
      </c>
      <c r="F311" s="34" t="n">
        <f aca="false">F$310-(F$305-F$309)</f>
        <v>0</v>
      </c>
      <c r="G311" s="34" t="n">
        <f aca="false">G$310-(G$305-G$309)</f>
        <v>0</v>
      </c>
      <c r="H311" s="34" t="n">
        <f aca="false">H$310-(H$305-H$309)</f>
        <v>0</v>
      </c>
      <c r="I311" s="34" t="n">
        <f aca="false">I$310-(I$305-I$309)</f>
        <v>0</v>
      </c>
      <c r="J311" s="34" t="n">
        <f aca="false">J$310-(J$305-J$309)</f>
        <v>0</v>
      </c>
      <c r="K311" s="34" t="n">
        <f aca="false">K$310-(K$305-K$309)</f>
        <v>0</v>
      </c>
      <c r="L311" s="34" t="n">
        <f aca="false">L$310-(L$305-L$309)</f>
        <v>0</v>
      </c>
      <c r="M311" s="34" t="n">
        <f aca="false">M$310-(M$305-M$309)</f>
        <v>0</v>
      </c>
      <c r="N311" s="34" t="n">
        <f aca="false">N$310-(N$305-N$309)</f>
        <v>0</v>
      </c>
      <c r="O311" s="34" t="n">
        <f aca="false">O$310-(O$305-O$309)</f>
        <v>0</v>
      </c>
      <c r="P311" s="34" t="n">
        <f aca="false">P$310-(P$305-P$309)</f>
        <v>0</v>
      </c>
      <c r="Q311" s="34" t="n">
        <f aca="false">Q$310-(Q$305-Q$309)</f>
        <v>0</v>
      </c>
      <c r="R311" s="34" t="n">
        <f aca="false">R$310-(R$305-R$309)</f>
        <v>0</v>
      </c>
      <c r="S311" s="34" t="n">
        <f aca="false">S$310-(S$305-S$309)</f>
        <v>0</v>
      </c>
      <c r="T311" s="34" t="n">
        <f aca="false">T$310-(T$305-T$309)</f>
        <v>0</v>
      </c>
      <c r="U311" s="34" t="n">
        <f aca="false">U$310-(U$305-U$309)</f>
        <v>0</v>
      </c>
      <c r="V311" s="34" t="n">
        <f aca="false">V$310-(V$305-V$309)</f>
        <v>0</v>
      </c>
      <c r="W311" s="34" t="n">
        <f aca="false">W$310-(W$305-W$309)</f>
        <v>0</v>
      </c>
      <c r="X311" s="34" t="n">
        <f aca="false">X$310-(X$305-X$309)</f>
        <v>0</v>
      </c>
      <c r="Y311" s="34" t="n">
        <f aca="false">Y$310-(Y$305-Y$309)</f>
        <v>0</v>
      </c>
      <c r="Z311" s="34" t="n">
        <f aca="false">Z$310-(Z$305-Z$309)</f>
        <v>0</v>
      </c>
      <c r="AA311" s="34" t="n">
        <f aca="false">AA$310-(AA$305-AA$309)</f>
        <v>0</v>
      </c>
      <c r="AB311" s="34" t="n">
        <f aca="false">AB$310-(AB$305-AB$309)</f>
        <v>0</v>
      </c>
      <c r="AC311" s="34" t="n">
        <f aca="false">AC$310-(AC$305-AC$309)</f>
        <v>0</v>
      </c>
      <c r="AD311" s="34" t="n">
        <f aca="false">AD$310-(AD$305-AD$309)</f>
        <v>0</v>
      </c>
      <c r="AE311" s="34" t="n">
        <f aca="false">AE$310-(AE$305-AE$309)</f>
        <v>0</v>
      </c>
      <c r="AF311" s="34" t="n">
        <f aca="false">AF$310-(AF$305-AF$309)</f>
        <v>0</v>
      </c>
      <c r="AG311" s="34" t="n">
        <f aca="false">AG$310-(AG$305-AG$309)</f>
        <v>0</v>
      </c>
      <c r="AH311" s="34" t="n">
        <f aca="false">AH$310-(AH$305-AH$309)</f>
        <v>0</v>
      </c>
      <c r="AI311" s="34" t="n">
        <f aca="false">AI$310-(AI$305-AI$309)</f>
        <v>0</v>
      </c>
      <c r="AJ311" s="34" t="n">
        <f aca="false">AJ$310-(AJ$305-AJ$309)</f>
        <v>0</v>
      </c>
      <c r="AK311" s="34" t="n">
        <f aca="false">AK$310-(AK$305-AK$309)</f>
        <v>0</v>
      </c>
      <c r="AL311" s="34" t="n">
        <f aca="false">AL$310-(AL$305-AL$309)</f>
        <v>0</v>
      </c>
      <c r="AM311" s="34" t="n">
        <f aca="false">AM$310-(AM$305-AM$309)</f>
        <v>0</v>
      </c>
      <c r="AN311" s="34" t="n">
        <f aca="false">AN$310-(AN$305-AN$309)</f>
        <v>0</v>
      </c>
      <c r="AO311" s="34" t="n">
        <f aca="false">AO$310-(AO$305-AO$309)</f>
        <v>0</v>
      </c>
      <c r="AP311" s="34" t="n">
        <f aca="false">AP$310-(AP$305-AP$309)</f>
        <v>0</v>
      </c>
      <c r="AQ311" s="34" t="n">
        <f aca="false">AQ$310-(AQ$305-AQ$309)</f>
        <v>0</v>
      </c>
      <c r="AR311" s="34" t="n">
        <f aca="false">AR$310-(AR$305-AR$309)</f>
        <v>0</v>
      </c>
      <c r="AS311" s="34" t="n">
        <f aca="false">AS$310-(AS$305-AS$309)</f>
        <v>0</v>
      </c>
      <c r="AT311" s="34" t="n">
        <f aca="false">AT$310-(AT$305-AT$309)</f>
        <v>0</v>
      </c>
      <c r="AU311" s="34" t="n">
        <f aca="false">AU$310-(AU$305-AU$309)</f>
        <v>0</v>
      </c>
      <c r="AV311" s="34" t="n">
        <f aca="false">AV$310-(AV$305-AV$309)</f>
        <v>0</v>
      </c>
      <c r="AW311" s="34" t="n">
        <f aca="false">AW$310-(AW$305-AW$309)</f>
        <v>0</v>
      </c>
      <c r="AX311" s="34" t="n">
        <f aca="false">AX$310-(AX$305-AX$309)</f>
        <v>0</v>
      </c>
      <c r="AY311" s="34" t="n">
        <f aca="false">AY$310-(AY$305-AY$309)</f>
        <v>0</v>
      </c>
      <c r="AZ311" s="34" t="n">
        <f aca="false">AZ$310-(AZ$305-AZ$309)</f>
        <v>0</v>
      </c>
      <c r="BA311" s="34" t="n">
        <f aca="false">BA$310-(BA$305-BA$309)</f>
        <v>0</v>
      </c>
      <c r="BB311" s="34" t="n">
        <f aca="false">BB$310-(BB$305-BB$309)</f>
        <v>0</v>
      </c>
      <c r="BC311" s="34" t="n">
        <f aca="false">BC$310-(BC$305-BC$309)</f>
        <v>0</v>
      </c>
      <c r="BD311" s="34" t="n">
        <f aca="false">BD$310-(BD$305-BD$309)</f>
        <v>0</v>
      </c>
      <c r="BE311" s="34" t="n">
        <f aca="false">BE$310-(BE$305-BE$309)</f>
        <v>0</v>
      </c>
      <c r="BF311" s="34" t="n">
        <f aca="false">BF$310-(BF$305-BF$309)</f>
        <v>0</v>
      </c>
      <c r="BG311" s="34" t="n">
        <f aca="false">BG$310-(BG$305-BG$309)</f>
        <v>0</v>
      </c>
      <c r="BH311" s="34" t="n">
        <f aca="false">BH$310-(BH$305-BH$309)</f>
        <v>0</v>
      </c>
      <c r="BI311" s="34" t="n">
        <f aca="false">BI$310-(BI$305-BI$309)</f>
        <v>0</v>
      </c>
      <c r="BJ311" s="34" t="n">
        <f aca="false">BJ$310-(BJ$305-BJ$309)</f>
        <v>0</v>
      </c>
      <c r="BK311" s="34" t="n">
        <f aca="false">BK$310-(BK$305-BK$309)</f>
        <v>0</v>
      </c>
      <c r="BL311" s="34" t="n">
        <f aca="false">BL$310-(BL$305-BL$309)</f>
        <v>0</v>
      </c>
      <c r="BM311" s="34" t="n">
        <f aca="false">BM$310-(BM$305-BM$309)</f>
        <v>0</v>
      </c>
      <c r="BN311" s="34" t="n">
        <f aca="false">BN$310-(BN$305-BN$309)</f>
        <v>0</v>
      </c>
      <c r="BO311" s="34" t="n">
        <f aca="false">BO$310-(BO$305-BO$309)</f>
        <v>0</v>
      </c>
      <c r="BP311" s="34" t="n">
        <f aca="false">BP$310-(BP$305-BP$309)</f>
        <v>0</v>
      </c>
      <c r="BQ311" s="34" t="n">
        <f aca="false">BQ$310-(BQ$305-BQ$309)</f>
        <v>0</v>
      </c>
      <c r="BR311" s="34" t="n">
        <f aca="false">BR$310-(BR$305-BR$309)</f>
        <v>0</v>
      </c>
      <c r="BS311" s="34" t="n">
        <f aca="false">BS$310-(BS$305-BS$309)</f>
        <v>0</v>
      </c>
      <c r="BT311" s="34" t="n">
        <f aca="false">BT$310-(BT$305-BT$309)</f>
        <v>0</v>
      </c>
      <c r="BU311" s="34" t="n">
        <f aca="false">BU$310-(BU$305-BU$309)</f>
        <v>0</v>
      </c>
      <c r="BV311" s="34" t="n">
        <f aca="false">BV$310-(BV$305-BV$309)</f>
        <v>0</v>
      </c>
      <c r="BW311" s="34" t="n">
        <f aca="false">BW$310-(BW$305-BW$309)</f>
        <v>0</v>
      </c>
      <c r="BX311" s="34" t="n">
        <f aca="false">BX$310-(BX$305-BX$309)</f>
        <v>0</v>
      </c>
      <c r="BY311" s="34" t="n">
        <f aca="false">BY$310-(BY$305-BY$309)</f>
        <v>0</v>
      </c>
      <c r="BZ311" s="34" t="n">
        <f aca="false">BZ$310-(BZ$305-BZ$309)</f>
        <v>0</v>
      </c>
      <c r="CA311" s="34" t="n">
        <f aca="false">CA$310-(CA$305-CA$309)</f>
        <v>0</v>
      </c>
      <c r="CB311" s="34" t="n">
        <f aca="false">CB$310-(CB$305-CB$309)</f>
        <v>0</v>
      </c>
      <c r="CC311" s="34" t="n">
        <f aca="false">CC$310-(CC$305-CC$309)</f>
        <v>0</v>
      </c>
      <c r="CD311" s="34" t="n">
        <f aca="false">CD$310-(CD$305-CD$309)</f>
        <v>0</v>
      </c>
      <c r="CE311" s="34" t="n">
        <f aca="false">CE$310-(CE$305-CE$309)</f>
        <v>0</v>
      </c>
      <c r="CF311" s="34" t="n">
        <f aca="false">CF$310-(CF$305-CF$309)</f>
        <v>0</v>
      </c>
      <c r="CG311" s="34" t="n">
        <f aca="false">CG$310-(CG$305-CG$309)</f>
        <v>0</v>
      </c>
      <c r="CH311" s="34" t="n">
        <f aca="false">CH$310-(CH$305-CH$309)</f>
        <v>0</v>
      </c>
      <c r="CI311" s="34" t="n">
        <f aca="false">CI$310-(CI$305-CI$309)</f>
        <v>0</v>
      </c>
      <c r="CJ311" s="34" t="n">
        <f aca="false">CJ$310-(CJ$305-CJ$309)</f>
        <v>0</v>
      </c>
      <c r="CK311" s="34" t="n">
        <f aca="false">CK$310-(CK$305-CK$309)</f>
        <v>0</v>
      </c>
      <c r="CL311" s="34" t="n">
        <f aca="false">CL$310-(CL$305-CL$309)</f>
        <v>0</v>
      </c>
      <c r="CM311" s="34" t="n">
        <f aca="false">CM$310-(CM$305-CM$309)</f>
        <v>0</v>
      </c>
      <c r="CN311" s="34" t="n">
        <f aca="false">CN$310-(CN$305-CN$309)</f>
        <v>0</v>
      </c>
      <c r="CO311" s="34" t="n">
        <f aca="false">CO$310-(CO$305-CO$309)</f>
        <v>0</v>
      </c>
      <c r="CP311" s="34" t="n">
        <f aca="false">CP$310-(CP$305-CP$309)</f>
        <v>0</v>
      </c>
      <c r="CQ311" s="34" t="n">
        <f aca="false">CQ$310-(CQ$305-CQ$309)</f>
        <v>0</v>
      </c>
      <c r="CR311" s="34" t="n">
        <f aca="false">CR$310-(CR$305-CR$309)</f>
        <v>0</v>
      </c>
      <c r="CS311" s="34" t="n">
        <f aca="false">CS$310-(CS$305-CS$309)</f>
        <v>0</v>
      </c>
      <c r="CT311" s="34" t="n">
        <f aca="false">CT$310-(CT$305-CT$309)</f>
        <v>0</v>
      </c>
      <c r="CU311" s="34" t="n">
        <f aca="false">CU$310-(CU$305-CU$309)</f>
        <v>0</v>
      </c>
      <c r="CV311" s="34" t="n">
        <f aca="false">CV$310-(CV$305-CV$309)</f>
        <v>0</v>
      </c>
      <c r="CW311" s="34" t="n">
        <f aca="false">CW$310-(CW$305-CW$309)</f>
        <v>0</v>
      </c>
      <c r="CX311" s="34" t="n">
        <f aca="false">CX$310-(CX$305-CX$309)</f>
        <v>0</v>
      </c>
      <c r="CY311" s="34" t="n">
        <f aca="false">CY$310-(CY$305-CY$309)</f>
        <v>0</v>
      </c>
      <c r="CZ311" s="34" t="n">
        <f aca="false">CZ$310-(CZ$305-CZ$309)</f>
        <v>0</v>
      </c>
      <c r="DA311" s="34" t="n">
        <f aca="false">DA$310-(DA$305-DA$309)</f>
        <v>0</v>
      </c>
      <c r="DB311" s="34" t="n">
        <f aca="false">DB$310-(DB$305-DB$309)</f>
        <v>0</v>
      </c>
      <c r="DC311" s="34" t="n">
        <f aca="false">DC$310-(DC$305-DC$309)</f>
        <v>0</v>
      </c>
      <c r="DD311" s="34" t="n">
        <f aca="false">DD$310-(DD$305-DD$309)</f>
        <v>0</v>
      </c>
      <c r="DE311" s="34" t="n">
        <f aca="false">DE$310-(DE$305-DE$309)</f>
        <v>0</v>
      </c>
      <c r="DF311" s="34" t="n">
        <f aca="false">DF$310-(DF$305-DF$309)</f>
        <v>0</v>
      </c>
      <c r="DG311" s="34" t="n">
        <f aca="false">DG$310-(DG$305-DG$309)</f>
        <v>0</v>
      </c>
      <c r="DH311" s="34" t="n">
        <f aca="false">DH$310-(DH$305-DH$309)</f>
        <v>0</v>
      </c>
      <c r="DI311" s="34" t="n">
        <f aca="false">DI$310-(DI$305-DI$309)</f>
        <v>0</v>
      </c>
      <c r="DJ311" s="34" t="n">
        <f aca="false">DJ$310-(DJ$305-DJ$309)</f>
        <v>0</v>
      </c>
      <c r="DK311" s="34" t="n">
        <f aca="false">DK$310-(DK$305-DK$309)</f>
        <v>0</v>
      </c>
      <c r="DL311" s="34" t="n">
        <f aca="false">DL$310-(DL$305-DL$309)</f>
        <v>0</v>
      </c>
      <c r="DM311" s="34" t="n">
        <f aca="false">DM$310-(DM$305-DM$309)</f>
        <v>0</v>
      </c>
      <c r="DN311" s="34" t="n">
        <f aca="false">DN$310-(DN$305-DN$309)</f>
        <v>0</v>
      </c>
      <c r="DO311" s="34" t="n">
        <f aca="false">DO$310-(DO$305-DO$309)</f>
        <v>0</v>
      </c>
      <c r="DP311" s="34" t="n">
        <f aca="false">DP$310-(DP$305-DP$309)</f>
        <v>0</v>
      </c>
      <c r="DQ311" s="34" t="n">
        <f aca="false">DQ$310-(DQ$305-DQ$309)</f>
        <v>0</v>
      </c>
      <c r="DR311" s="34" t="n">
        <f aca="false">DR$310-(DR$305-DR$309)</f>
        <v>0</v>
      </c>
      <c r="DS311" s="34" t="n">
        <f aca="false">DS$310-(DS$305-DS$309)</f>
        <v>0</v>
      </c>
      <c r="DT311" s="34" t="n">
        <f aca="false">DT$310-(DT$305-DT$309)</f>
        <v>0</v>
      </c>
      <c r="DU311" s="34" t="n">
        <f aca="false">DU$310-(DU$305-DU$309)</f>
        <v>0</v>
      </c>
      <c r="DV311" s="34" t="n">
        <f aca="false">DV$310-(DV$305-DV$309)</f>
        <v>0</v>
      </c>
      <c r="DW311" s="34" t="n">
        <f aca="false">DW$310-(DW$305-DW$309)</f>
        <v>0</v>
      </c>
      <c r="DX311" s="34" t="n">
        <f aca="false">DX$310-(DX$305-DX$309)</f>
        <v>0</v>
      </c>
      <c r="DY311" s="34" t="n">
        <f aca="false">DY$310-(DY$305-DY$309)</f>
        <v>0</v>
      </c>
      <c r="DZ311" s="34" t="n">
        <f aca="false">DZ$310-(DZ$305-DZ$309)</f>
        <v>0</v>
      </c>
      <c r="EA311" s="34" t="n">
        <f aca="false">EA$310-(EA$305-EA$309)</f>
        <v>0</v>
      </c>
      <c r="EB311" s="34" t="n">
        <f aca="false">EB$310-(EB$305-EB$309)</f>
        <v>0</v>
      </c>
      <c r="EC311" s="34" t="n">
        <f aca="false">EC$310-(EC$305-EC$309)</f>
        <v>0</v>
      </c>
      <c r="ED311" s="34" t="n">
        <f aca="false">ED$310-(ED$305-ED$309)</f>
        <v>0</v>
      </c>
      <c r="EE311" s="34" t="n">
        <f aca="false">EE$310-(EE$305-EE$309)</f>
        <v>0</v>
      </c>
      <c r="EF311" s="34" t="n">
        <f aca="false">EF$310-(EF$305-EF$309)</f>
        <v>0</v>
      </c>
      <c r="EG311" s="34" t="n">
        <f aca="false">EG$310-(EG$305-EG$309)</f>
        <v>0</v>
      </c>
      <c r="EH311" s="34" t="n">
        <f aca="false">EH$310-(EH$305-EH$309)</f>
        <v>0</v>
      </c>
      <c r="EI311" s="34" t="n">
        <f aca="false">EI$310-(EI$305-EI$309)</f>
        <v>0</v>
      </c>
      <c r="EJ311" s="34" t="n">
        <f aca="false">EJ$310-(EJ$305-EJ$309)</f>
        <v>0</v>
      </c>
      <c r="EK311" s="34" t="n">
        <f aca="false">EK$310-(EK$305-EK$309)</f>
        <v>0</v>
      </c>
      <c r="EL311" s="34" t="n">
        <f aca="false">EL$310-(EL$305-EL$309)</f>
        <v>0</v>
      </c>
      <c r="EM311" s="34" t="n">
        <f aca="false">EM$310-(EM$305-EM$309)</f>
        <v>0</v>
      </c>
      <c r="EN311" s="34" t="n">
        <f aca="false">EN$310-(EN$305-EN$309)</f>
        <v>0</v>
      </c>
      <c r="EO311" s="34" t="n">
        <f aca="false">EO$310-(EO$305-EO$309)</f>
        <v>0</v>
      </c>
      <c r="EP311" s="34" t="n">
        <f aca="false">EP$310-(EP$305-EP$309)</f>
        <v>0</v>
      </c>
      <c r="EQ311" s="34" t="n">
        <f aca="false">EQ$310-(EQ$305-EQ$309)</f>
        <v>0</v>
      </c>
      <c r="ER311" s="34" t="n">
        <f aca="false">ER$310-(ER$305-ER$309)</f>
        <v>0</v>
      </c>
      <c r="ES311" s="34" t="n">
        <f aca="false">ES$310-(ES$305-ES$309)</f>
        <v>0</v>
      </c>
    </row>
    <row r="312" customFormat="false" ht="15" hidden="false" customHeight="false" outlineLevel="0" collapsed="false">
      <c r="A312" s="2" t="s">
        <v>948</v>
      </c>
      <c r="B312" s="52" t="s">
        <v>794</v>
      </c>
      <c r="C312" s="6" t="s">
        <v>250</v>
      </c>
      <c r="E312" s="40" t="n">
        <f aca="false">MAX(F312:ES312)</f>
        <v>373700.713193166</v>
      </c>
      <c r="F312" s="10" t="n">
        <f aca="false">MAX(0,F$298-F$310)*F$9</f>
        <v>0</v>
      </c>
      <c r="G312" s="10" t="n">
        <f aca="false">MAX(0,G$298-G$310)*G$9</f>
        <v>0</v>
      </c>
      <c r="H312" s="10" t="n">
        <f aca="false">MAX(0,H$298-H$310)*H$9</f>
        <v>0</v>
      </c>
      <c r="I312" s="10" t="n">
        <f aca="false">MAX(0,I$298-I$310)*I$9</f>
        <v>0</v>
      </c>
      <c r="J312" s="10" t="n">
        <f aca="false">MAX(0,J$298-J$310)*J$9</f>
        <v>0</v>
      </c>
      <c r="K312" s="10" t="n">
        <f aca="false">MAX(0,K$298-K$310)*K$9</f>
        <v>0</v>
      </c>
      <c r="L312" s="10" t="n">
        <f aca="false">MAX(0,L$298-L$310)*L$9</f>
        <v>0</v>
      </c>
      <c r="M312" s="10" t="n">
        <f aca="false">MAX(0,M$298-M$310)*M$9</f>
        <v>0</v>
      </c>
      <c r="N312" s="10" t="n">
        <f aca="false">MAX(0,N$298-N$310)*N$9</f>
        <v>0</v>
      </c>
      <c r="O312" s="10" t="n">
        <f aca="false">MAX(0,O$298-O$310)*O$9</f>
        <v>0</v>
      </c>
      <c r="P312" s="10" t="n">
        <f aca="false">MAX(0,P$298-P$310)*P$9</f>
        <v>0</v>
      </c>
      <c r="Q312" s="10" t="n">
        <f aca="false">MAX(0,Q$298-Q$310)*Q$9</f>
        <v>0</v>
      </c>
      <c r="R312" s="10" t="n">
        <f aca="false">MAX(0,R$298-R$310)*R$9</f>
        <v>0</v>
      </c>
      <c r="S312" s="10" t="n">
        <f aca="false">MAX(0,S$298-S$310)*S$9</f>
        <v>0</v>
      </c>
      <c r="T312" s="10" t="n">
        <f aca="false">MAX(0,T$298-T$310)*T$9</f>
        <v>0</v>
      </c>
      <c r="U312" s="10" t="n">
        <f aca="false">MAX(0,U$298-U$310)*U$9</f>
        <v>0</v>
      </c>
      <c r="V312" s="10" t="n">
        <f aca="false">MAX(0,V$298-V$310)*V$9</f>
        <v>0</v>
      </c>
      <c r="W312" s="10" t="n">
        <f aca="false">MAX(0,W$298-W$310)*W$9</f>
        <v>0</v>
      </c>
      <c r="X312" s="10" t="n">
        <f aca="false">MAX(0,X$298-X$310)*X$9</f>
        <v>0</v>
      </c>
      <c r="Y312" s="10" t="n">
        <f aca="false">MAX(0,Y$298-Y$310)*Y$9</f>
        <v>0</v>
      </c>
      <c r="Z312" s="10" t="n">
        <f aca="false">MAX(0,Z$298-Z$310)*Z$9</f>
        <v>0</v>
      </c>
      <c r="AA312" s="10" t="n">
        <f aca="false">MAX(0,AA$298-AA$310)*AA$9</f>
        <v>0</v>
      </c>
      <c r="AB312" s="10" t="n">
        <f aca="false">MAX(0,AB$298-AB$310)*AB$9</f>
        <v>0</v>
      </c>
      <c r="AC312" s="10" t="n">
        <f aca="false">MAX(0,AC$298-AC$310)*AC$9</f>
        <v>0</v>
      </c>
      <c r="AD312" s="10" t="n">
        <f aca="false">MAX(0,AD$298-AD$310)*AD$9</f>
        <v>373700.713193166</v>
      </c>
      <c r="AE312" s="10" t="n">
        <f aca="false">MAX(0,AE$298-AE$310)*AE$9</f>
        <v>321127.029906151</v>
      </c>
      <c r="AF312" s="10" t="n">
        <f aca="false">MAX(0,AF$298-AF$310)*AF$9</f>
        <v>268516.935021566</v>
      </c>
      <c r="AG312" s="10" t="n">
        <f aca="false">MAX(0,AG$298-AG$310)*AG$9</f>
        <v>215870.15545243</v>
      </c>
      <c r="AH312" s="10" t="n">
        <f aca="false">MAX(0,AH$298-AH$310)*AH$9</f>
        <v>163186.416063606</v>
      </c>
      <c r="AI312" s="10" t="n">
        <f aca="false">MAX(0,AI$298-AI$310)*AI$9</f>
        <v>110465.439656449</v>
      </c>
      <c r="AJ312" s="10" t="n">
        <f aca="false">MAX(0,AJ$298-AJ$310)*AJ$9</f>
        <v>57706.9469533206</v>
      </c>
      <c r="AK312" s="10" t="n">
        <f aca="false">MAX(0,AK$298-AK$310)*AK$9</f>
        <v>4910.65658200088</v>
      </c>
      <c r="AL312" s="10" t="n">
        <f aca="false">MAX(0,AL$298-AL$310)*AL$9</f>
        <v>0</v>
      </c>
      <c r="AM312" s="10" t="n">
        <f aca="false">MAX(0,AM$298-AM$310)*AM$9</f>
        <v>0</v>
      </c>
      <c r="AN312" s="10" t="n">
        <f aca="false">MAX(0,AN$298-AN$310)*AN$9</f>
        <v>0</v>
      </c>
      <c r="AO312" s="10" t="n">
        <f aca="false">MAX(0,AO$298-AO$310)*AO$9</f>
        <v>0</v>
      </c>
      <c r="AP312" s="10" t="n">
        <f aca="false">MAX(0,AP$298-AP$310)*AP$9</f>
        <v>275779.326421708</v>
      </c>
      <c r="AQ312" s="10" t="n">
        <f aca="false">MAX(0,AQ$298-AQ$310)*AQ$9</f>
        <v>189941.672918985</v>
      </c>
      <c r="AR312" s="10" t="n">
        <f aca="false">MAX(0,AR$298-AR$310)*AR$9</f>
        <v>104064.192159683</v>
      </c>
      <c r="AS312" s="10" t="n">
        <f aca="false">MAX(0,AS$298-AS$310)*AS$9</f>
        <v>18146.5854393793</v>
      </c>
      <c r="AT312" s="10" t="n">
        <f aca="false">MAX(0,AT$298-AT$310)*AT$9</f>
        <v>0</v>
      </c>
      <c r="AU312" s="10" t="n">
        <f aca="false">MAX(0,AU$298-AU$310)*AU$9</f>
        <v>0</v>
      </c>
      <c r="AV312" s="10" t="n">
        <f aca="false">MAX(0,AV$298-AV$310)*AV$9</f>
        <v>0</v>
      </c>
      <c r="AW312" s="10" t="n">
        <f aca="false">MAX(0,AW$298-AW$310)*AW$9</f>
        <v>0</v>
      </c>
      <c r="AX312" s="10" t="n">
        <f aca="false">MAX(0,AX$298-AX$310)*AX$9</f>
        <v>0</v>
      </c>
      <c r="AY312" s="10" t="n">
        <f aca="false">MAX(0,AY$298-AY$310)*AY$9</f>
        <v>0</v>
      </c>
      <c r="AZ312" s="10" t="n">
        <f aca="false">MAX(0,AZ$298-AZ$310)*AZ$9</f>
        <v>0</v>
      </c>
      <c r="BA312" s="10" t="n">
        <f aca="false">MAX(0,BA$298-BA$310)*BA$9</f>
        <v>0</v>
      </c>
      <c r="BB312" s="10" t="n">
        <f aca="false">MAX(0,BB$298-BB$310)*BB$9</f>
        <v>0</v>
      </c>
      <c r="BC312" s="10" t="n">
        <f aca="false">MAX(0,BC$298-BC$310)*BC$9</f>
        <v>0</v>
      </c>
      <c r="BD312" s="10" t="n">
        <f aca="false">MAX(0,BD$298-BD$310)*BD$9</f>
        <v>0</v>
      </c>
      <c r="BE312" s="10" t="n">
        <f aca="false">MAX(0,BE$298-BE$310)*BE$9</f>
        <v>0</v>
      </c>
      <c r="BF312" s="10" t="n">
        <f aca="false">MAX(0,BF$298-BF$310)*BF$9</f>
        <v>0</v>
      </c>
      <c r="BG312" s="10" t="n">
        <f aca="false">MAX(0,BG$298-BG$310)*BG$9</f>
        <v>0</v>
      </c>
      <c r="BH312" s="10" t="n">
        <f aca="false">MAX(0,BH$298-BH$310)*BH$9</f>
        <v>0</v>
      </c>
      <c r="BI312" s="10" t="n">
        <f aca="false">MAX(0,BI$298-BI$310)*BI$9</f>
        <v>0</v>
      </c>
      <c r="BJ312" s="10" t="n">
        <f aca="false">MAX(0,BJ$298-BJ$310)*BJ$9</f>
        <v>0</v>
      </c>
      <c r="BK312" s="10" t="n">
        <f aca="false">MAX(0,BK$298-BK$310)*BK$9</f>
        <v>0</v>
      </c>
      <c r="BL312" s="10" t="n">
        <f aca="false">MAX(0,BL$298-BL$310)*BL$9</f>
        <v>0</v>
      </c>
      <c r="BM312" s="10" t="n">
        <f aca="false">MAX(0,BM$298-BM$310)*BM$9</f>
        <v>0</v>
      </c>
      <c r="BN312" s="10" t="n">
        <f aca="false">MAX(0,BN$298-BN$310)*BN$9</f>
        <v>0</v>
      </c>
      <c r="BO312" s="10" t="n">
        <f aca="false">MAX(0,BO$298-BO$310)*BO$9</f>
        <v>0</v>
      </c>
      <c r="BP312" s="10" t="n">
        <f aca="false">MAX(0,BP$298-BP$310)*BP$9</f>
        <v>0</v>
      </c>
      <c r="BQ312" s="10" t="n">
        <f aca="false">MAX(0,BQ$298-BQ$310)*BQ$9</f>
        <v>0</v>
      </c>
      <c r="BR312" s="10" t="n">
        <f aca="false">MAX(0,BR$298-BR$310)*BR$9</f>
        <v>0</v>
      </c>
      <c r="BS312" s="10" t="n">
        <f aca="false">MAX(0,BS$298-BS$310)*BS$9</f>
        <v>0</v>
      </c>
      <c r="BT312" s="10" t="n">
        <f aca="false">MAX(0,BT$298-BT$310)*BT$9</f>
        <v>0</v>
      </c>
      <c r="BU312" s="10" t="n">
        <f aca="false">MAX(0,BU$298-BU$310)*BU$9</f>
        <v>0</v>
      </c>
      <c r="BV312" s="10" t="n">
        <f aca="false">MAX(0,BV$298-BV$310)*BV$9</f>
        <v>0</v>
      </c>
      <c r="BW312" s="10" t="n">
        <f aca="false">MAX(0,BW$298-BW$310)*BW$9</f>
        <v>0</v>
      </c>
      <c r="BX312" s="10" t="n">
        <f aca="false">MAX(0,BX$298-BX$310)*BX$9</f>
        <v>0</v>
      </c>
      <c r="BY312" s="10" t="n">
        <f aca="false">MAX(0,BY$298-BY$310)*BY$9</f>
        <v>0</v>
      </c>
      <c r="BZ312" s="10" t="n">
        <f aca="false">MAX(0,BZ$298-BZ$310)*BZ$9</f>
        <v>0</v>
      </c>
      <c r="CA312" s="10" t="n">
        <f aca="false">MAX(0,CA$298-CA$310)*CA$9</f>
        <v>0</v>
      </c>
      <c r="CB312" s="10" t="n">
        <f aca="false">MAX(0,CB$298-CB$310)*CB$9</f>
        <v>0</v>
      </c>
      <c r="CC312" s="10" t="n">
        <f aca="false">MAX(0,CC$298-CC$310)*CC$9</f>
        <v>0</v>
      </c>
      <c r="CD312" s="10" t="n">
        <f aca="false">MAX(0,CD$298-CD$310)*CD$9</f>
        <v>0</v>
      </c>
      <c r="CE312" s="10" t="n">
        <f aca="false">MAX(0,CE$298-CE$310)*CE$9</f>
        <v>0</v>
      </c>
      <c r="CF312" s="10" t="n">
        <f aca="false">MAX(0,CF$298-CF$310)*CF$9</f>
        <v>0</v>
      </c>
      <c r="CG312" s="10" t="n">
        <f aca="false">MAX(0,CG$298-CG$310)*CG$9</f>
        <v>0</v>
      </c>
      <c r="CH312" s="10" t="n">
        <f aca="false">MAX(0,CH$298-CH$310)*CH$9</f>
        <v>0</v>
      </c>
      <c r="CI312" s="10" t="n">
        <f aca="false">MAX(0,CI$298-CI$310)*CI$9</f>
        <v>0</v>
      </c>
      <c r="CJ312" s="10" t="n">
        <f aca="false">MAX(0,CJ$298-CJ$310)*CJ$9</f>
        <v>0</v>
      </c>
      <c r="CK312" s="10" t="n">
        <f aca="false">MAX(0,CK$298-CK$310)*CK$9</f>
        <v>0</v>
      </c>
      <c r="CL312" s="10" t="n">
        <f aca="false">MAX(0,CL$298-CL$310)*CL$9</f>
        <v>0</v>
      </c>
      <c r="CM312" s="10" t="n">
        <f aca="false">MAX(0,CM$298-CM$310)*CM$9</f>
        <v>0</v>
      </c>
      <c r="CN312" s="10" t="n">
        <f aca="false">MAX(0,CN$298-CN$310)*CN$9</f>
        <v>0</v>
      </c>
      <c r="CO312" s="10" t="n">
        <f aca="false">MAX(0,CO$298-CO$310)*CO$9</f>
        <v>0</v>
      </c>
      <c r="CP312" s="10" t="n">
        <f aca="false">MAX(0,CP$298-CP$310)*CP$9</f>
        <v>0</v>
      </c>
      <c r="CQ312" s="10" t="n">
        <f aca="false">MAX(0,CQ$298-CQ$310)*CQ$9</f>
        <v>0</v>
      </c>
      <c r="CR312" s="10" t="n">
        <f aca="false">MAX(0,CR$298-CR$310)*CR$9</f>
        <v>0</v>
      </c>
      <c r="CS312" s="10" t="n">
        <f aca="false">MAX(0,CS$298-CS$310)*CS$9</f>
        <v>0</v>
      </c>
      <c r="CT312" s="10" t="n">
        <f aca="false">MAX(0,CT$298-CT$310)*CT$9</f>
        <v>0</v>
      </c>
      <c r="CU312" s="10" t="n">
        <f aca="false">MAX(0,CU$298-CU$310)*CU$9</f>
        <v>0</v>
      </c>
      <c r="CV312" s="10" t="n">
        <f aca="false">MAX(0,CV$298-CV$310)*CV$9</f>
        <v>0</v>
      </c>
      <c r="CW312" s="10" t="n">
        <f aca="false">MAX(0,CW$298-CW$310)*CW$9</f>
        <v>0</v>
      </c>
      <c r="CX312" s="10" t="n">
        <f aca="false">MAX(0,CX$298-CX$310)*CX$9</f>
        <v>0</v>
      </c>
      <c r="CY312" s="10" t="n">
        <f aca="false">MAX(0,CY$298-CY$310)*CY$9</f>
        <v>0</v>
      </c>
      <c r="CZ312" s="10" t="n">
        <f aca="false">MAX(0,CZ$298-CZ$310)*CZ$9</f>
        <v>0</v>
      </c>
      <c r="DA312" s="10" t="n">
        <f aca="false">MAX(0,DA$298-DA$310)*DA$9</f>
        <v>0</v>
      </c>
      <c r="DB312" s="10" t="n">
        <f aca="false">MAX(0,DB$298-DB$310)*DB$9</f>
        <v>0</v>
      </c>
      <c r="DC312" s="10" t="n">
        <f aca="false">MAX(0,DC$298-DC$310)*DC$9</f>
        <v>0</v>
      </c>
      <c r="DD312" s="10" t="n">
        <f aca="false">MAX(0,DD$298-DD$310)*DD$9</f>
        <v>0</v>
      </c>
      <c r="DE312" s="10" t="n">
        <f aca="false">MAX(0,DE$298-DE$310)*DE$9</f>
        <v>0</v>
      </c>
      <c r="DF312" s="10" t="n">
        <f aca="false">MAX(0,DF$298-DF$310)*DF$9</f>
        <v>0</v>
      </c>
      <c r="DG312" s="10" t="n">
        <f aca="false">MAX(0,DG$298-DG$310)*DG$9</f>
        <v>0</v>
      </c>
      <c r="DH312" s="10" t="n">
        <f aca="false">MAX(0,DH$298-DH$310)*DH$9</f>
        <v>0</v>
      </c>
      <c r="DI312" s="10" t="n">
        <f aca="false">MAX(0,DI$298-DI$310)*DI$9</f>
        <v>0</v>
      </c>
      <c r="DJ312" s="10" t="n">
        <f aca="false">MAX(0,DJ$298-DJ$310)*DJ$9</f>
        <v>0</v>
      </c>
      <c r="DK312" s="10" t="n">
        <f aca="false">MAX(0,DK$298-DK$310)*DK$9</f>
        <v>0</v>
      </c>
      <c r="DL312" s="10" t="n">
        <f aca="false">MAX(0,DL$298-DL$310)*DL$9</f>
        <v>0</v>
      </c>
      <c r="DM312" s="10" t="n">
        <f aca="false">MAX(0,DM$298-DM$310)*DM$9</f>
        <v>0</v>
      </c>
      <c r="DN312" s="10" t="n">
        <f aca="false">MAX(0,DN$298-DN$310)*DN$9</f>
        <v>0</v>
      </c>
      <c r="DO312" s="10" t="n">
        <f aca="false">MAX(0,DO$298-DO$310)*DO$9</f>
        <v>0</v>
      </c>
      <c r="DP312" s="10" t="n">
        <f aca="false">MAX(0,DP$298-DP$310)*DP$9</f>
        <v>0</v>
      </c>
      <c r="DQ312" s="10" t="n">
        <f aca="false">MAX(0,DQ$298-DQ$310)*DQ$9</f>
        <v>0</v>
      </c>
      <c r="DR312" s="10" t="n">
        <f aca="false">MAX(0,DR$298-DR$310)*DR$9</f>
        <v>0</v>
      </c>
      <c r="DS312" s="10" t="n">
        <f aca="false">MAX(0,DS$298-DS$310)*DS$9</f>
        <v>0</v>
      </c>
      <c r="DT312" s="10" t="n">
        <f aca="false">MAX(0,DT$298-DT$310)*DT$9</f>
        <v>0</v>
      </c>
      <c r="DU312" s="10" t="n">
        <f aca="false">MAX(0,DU$298-DU$310)*DU$9</f>
        <v>0</v>
      </c>
      <c r="DV312" s="10" t="n">
        <f aca="false">MAX(0,DV$298-DV$310)*DV$9</f>
        <v>0</v>
      </c>
      <c r="DW312" s="10" t="n">
        <f aca="false">MAX(0,DW$298-DW$310)*DW$9</f>
        <v>0</v>
      </c>
      <c r="DX312" s="10" t="n">
        <f aca="false">MAX(0,DX$298-DX$310)*DX$9</f>
        <v>0</v>
      </c>
      <c r="DY312" s="10" t="n">
        <f aca="false">MAX(0,DY$298-DY$310)*DY$9</f>
        <v>0</v>
      </c>
      <c r="DZ312" s="10" t="n">
        <f aca="false">MAX(0,DZ$298-DZ$310)*DZ$9</f>
        <v>0</v>
      </c>
      <c r="EA312" s="10" t="n">
        <f aca="false">MAX(0,EA$298-EA$310)*EA$9</f>
        <v>0</v>
      </c>
      <c r="EB312" s="10" t="n">
        <f aca="false">MAX(0,EB$298-EB$310)*EB$9</f>
        <v>0</v>
      </c>
      <c r="EC312" s="10" t="n">
        <f aca="false">MAX(0,EC$298-EC$310)*EC$9</f>
        <v>0</v>
      </c>
      <c r="ED312" s="10" t="n">
        <f aca="false">MAX(0,ED$298-ED$310)*ED$9</f>
        <v>0</v>
      </c>
      <c r="EE312" s="10" t="n">
        <f aca="false">MAX(0,EE$298-EE$310)*EE$9</f>
        <v>0</v>
      </c>
      <c r="EF312" s="10" t="n">
        <f aca="false">MAX(0,EF$298-EF$310)*EF$9</f>
        <v>0</v>
      </c>
      <c r="EG312" s="10" t="n">
        <f aca="false">MAX(0,EG$298-EG$310)*EG$9</f>
        <v>0</v>
      </c>
      <c r="EH312" s="10" t="n">
        <f aca="false">MAX(0,EH$298-EH$310)*EH$9</f>
        <v>0</v>
      </c>
      <c r="EI312" s="10" t="n">
        <f aca="false">MAX(0,EI$298-EI$310)*EI$9</f>
        <v>0</v>
      </c>
      <c r="EJ312" s="10" t="n">
        <f aca="false">MAX(0,EJ$298-EJ$310)*EJ$9</f>
        <v>0</v>
      </c>
      <c r="EK312" s="10" t="n">
        <f aca="false">MAX(0,EK$298-EK$310)*EK$9</f>
        <v>0</v>
      </c>
      <c r="EL312" s="10" t="n">
        <f aca="false">MAX(0,EL$298-EL$310)*EL$9</f>
        <v>0</v>
      </c>
      <c r="EM312" s="10" t="n">
        <f aca="false">MAX(0,EM$298-EM$310)*EM$9</f>
        <v>0</v>
      </c>
      <c r="EN312" s="10" t="n">
        <f aca="false">MAX(0,EN$298-EN$310)*EN$9</f>
        <v>0</v>
      </c>
      <c r="EO312" s="10" t="n">
        <f aca="false">MAX(0,EO$298-EO$310)*EO$9</f>
        <v>0</v>
      </c>
      <c r="EP312" s="10" t="n">
        <f aca="false">MAX(0,EP$298-EP$310)*EP$9</f>
        <v>0</v>
      </c>
      <c r="EQ312" s="10" t="n">
        <f aca="false">MAX(0,EQ$298-EQ$310)*EQ$9</f>
        <v>0</v>
      </c>
      <c r="ER312" s="10" t="n">
        <f aca="false">MAX(0,ER$298-ER$310)*ER$9</f>
        <v>0</v>
      </c>
      <c r="ES312" s="10" t="n">
        <f aca="false">MAX(0,ES$298-ES$310)*ES$9</f>
        <v>0</v>
      </c>
    </row>
    <row r="313" customFormat="false" ht="15" hidden="false" customHeight="false" outlineLevel="0" collapsed="false">
      <c r="A313" s="2" t="s">
        <v>949</v>
      </c>
      <c r="B313" s="6" t="s">
        <v>796</v>
      </c>
      <c r="C313" s="6" t="s">
        <v>250</v>
      </c>
      <c r="E313" s="40" t="n">
        <f aca="false">MAX(F313:ES313)</f>
        <v>311740.118672618</v>
      </c>
      <c r="F313" s="34" t="n">
        <f aca="false">MAX(0,-F$310)</f>
        <v>0</v>
      </c>
      <c r="G313" s="34" t="n">
        <f aca="false">MAX(0,-G$310)</f>
        <v>0</v>
      </c>
      <c r="H313" s="34" t="n">
        <f aca="false">MAX(0,-H$310)</f>
        <v>0</v>
      </c>
      <c r="I313" s="34" t="n">
        <f aca="false">MAX(0,-I$310)</f>
        <v>0</v>
      </c>
      <c r="J313" s="34" t="n">
        <f aca="false">MAX(0,-J$310)</f>
        <v>0</v>
      </c>
      <c r="K313" s="34" t="n">
        <f aca="false">MAX(0,-K$310)</f>
        <v>0</v>
      </c>
      <c r="L313" s="34" t="n">
        <f aca="false">MAX(0,-L$310)</f>
        <v>0</v>
      </c>
      <c r="M313" s="34" t="n">
        <f aca="false">MAX(0,-M$310)</f>
        <v>0</v>
      </c>
      <c r="N313" s="34" t="n">
        <f aca="false">MAX(0,-N$310)</f>
        <v>0</v>
      </c>
      <c r="O313" s="34" t="n">
        <f aca="false">MAX(0,-O$310)</f>
        <v>0</v>
      </c>
      <c r="P313" s="34" t="n">
        <f aca="false">MAX(0,-P$310)</f>
        <v>0</v>
      </c>
      <c r="Q313" s="34" t="n">
        <f aca="false">MAX(0,-Q$310)</f>
        <v>0</v>
      </c>
      <c r="R313" s="34" t="n">
        <f aca="false">MAX(0,-R$310)</f>
        <v>0</v>
      </c>
      <c r="S313" s="34" t="n">
        <f aca="false">MAX(0,-S$310)</f>
        <v>0</v>
      </c>
      <c r="T313" s="34" t="n">
        <f aca="false">MAX(0,-T$310)</f>
        <v>0</v>
      </c>
      <c r="U313" s="34" t="n">
        <f aca="false">MAX(0,-U$310)</f>
        <v>0</v>
      </c>
      <c r="V313" s="34" t="n">
        <f aca="false">MAX(0,-V$310)</f>
        <v>0</v>
      </c>
      <c r="W313" s="34" t="n">
        <f aca="false">MAX(0,-W$310)</f>
        <v>0</v>
      </c>
      <c r="X313" s="34" t="n">
        <f aca="false">MAX(0,-X$310)</f>
        <v>0</v>
      </c>
      <c r="Y313" s="34" t="n">
        <f aca="false">MAX(0,-Y$310)</f>
        <v>0</v>
      </c>
      <c r="Z313" s="34" t="n">
        <f aca="false">MAX(0,-Z$310)</f>
        <v>0</v>
      </c>
      <c r="AA313" s="34" t="n">
        <f aca="false">MAX(0,-AA$310)</f>
        <v>0</v>
      </c>
      <c r="AB313" s="34" t="n">
        <f aca="false">MAX(0,-AB$310)</f>
        <v>0</v>
      </c>
      <c r="AC313" s="34" t="n">
        <f aca="false">MAX(0,-AC$310)</f>
        <v>0</v>
      </c>
      <c r="AD313" s="34" t="n">
        <f aca="false">MAX(0,-AD$310)</f>
        <v>311740.118672618</v>
      </c>
      <c r="AE313" s="34" t="n">
        <f aca="false">MAX(0,-AE$310)</f>
        <v>259166.435385603</v>
      </c>
      <c r="AF313" s="34" t="n">
        <f aca="false">MAX(0,-AF$310)</f>
        <v>206556.340501018</v>
      </c>
      <c r="AG313" s="34" t="n">
        <f aca="false">MAX(0,-AG$310)</f>
        <v>153909.560931882</v>
      </c>
      <c r="AH313" s="34" t="n">
        <f aca="false">MAX(0,-AH$310)</f>
        <v>101225.821543058</v>
      </c>
      <c r="AI313" s="34" t="n">
        <f aca="false">MAX(0,-AI$310)</f>
        <v>48504.8451359012</v>
      </c>
      <c r="AJ313" s="34" t="n">
        <f aca="false">MAX(0,-AJ$310)</f>
        <v>0</v>
      </c>
      <c r="AK313" s="34" t="n">
        <f aca="false">MAX(0,-AK$310)</f>
        <v>0</v>
      </c>
      <c r="AL313" s="34" t="n">
        <f aca="false">MAX(0,-AL$310)</f>
        <v>0</v>
      </c>
      <c r="AM313" s="34" t="n">
        <f aca="false">MAX(0,-AM$310)</f>
        <v>0</v>
      </c>
      <c r="AN313" s="34" t="n">
        <f aca="false">MAX(0,-AN$310)</f>
        <v>0</v>
      </c>
      <c r="AO313" s="34" t="n">
        <f aca="false">MAX(0,-AO$310)</f>
        <v>0</v>
      </c>
      <c r="AP313" s="34" t="n">
        <f aca="false">MAX(0,-AP$310)</f>
        <v>204392.169462804</v>
      </c>
      <c r="AQ313" s="34" t="n">
        <f aca="false">MAX(0,-AQ$310)</f>
        <v>118554.51596008</v>
      </c>
      <c r="AR313" s="34" t="n">
        <f aca="false">MAX(0,-AR$310)</f>
        <v>32677.0352007788</v>
      </c>
      <c r="AS313" s="34" t="n">
        <f aca="false">MAX(0,-AS$310)</f>
        <v>0</v>
      </c>
      <c r="AT313" s="34" t="n">
        <f aca="false">MAX(0,-AT$310)</f>
        <v>0</v>
      </c>
      <c r="AU313" s="34" t="n">
        <f aca="false">MAX(0,-AU$310)</f>
        <v>0</v>
      </c>
      <c r="AV313" s="34" t="n">
        <f aca="false">MAX(0,-AV$310)</f>
        <v>0</v>
      </c>
      <c r="AW313" s="34" t="n">
        <f aca="false">MAX(0,-AW$310)</f>
        <v>0</v>
      </c>
      <c r="AX313" s="34" t="n">
        <f aca="false">MAX(0,-AX$310)</f>
        <v>0</v>
      </c>
      <c r="AY313" s="34" t="n">
        <f aca="false">MAX(0,-AY$310)</f>
        <v>0</v>
      </c>
      <c r="AZ313" s="34" t="n">
        <f aca="false">MAX(0,-AZ$310)</f>
        <v>0</v>
      </c>
      <c r="BA313" s="34" t="n">
        <f aca="false">MAX(0,-BA$310)</f>
        <v>0</v>
      </c>
      <c r="BB313" s="34" t="n">
        <f aca="false">MAX(0,-BB$310)</f>
        <v>0</v>
      </c>
      <c r="BC313" s="34" t="n">
        <f aca="false">MAX(0,-BC$310)</f>
        <v>0</v>
      </c>
      <c r="BD313" s="34" t="n">
        <f aca="false">MAX(0,-BD$310)</f>
        <v>0</v>
      </c>
      <c r="BE313" s="34" t="n">
        <f aca="false">MAX(0,-BE$310)</f>
        <v>0</v>
      </c>
      <c r="BF313" s="34" t="n">
        <f aca="false">MAX(0,-BF$310)</f>
        <v>0</v>
      </c>
      <c r="BG313" s="34" t="n">
        <f aca="false">MAX(0,-BG$310)</f>
        <v>0</v>
      </c>
      <c r="BH313" s="34" t="n">
        <f aca="false">MAX(0,-BH$310)</f>
        <v>0</v>
      </c>
      <c r="BI313" s="34" t="n">
        <f aca="false">MAX(0,-BI$310)</f>
        <v>0</v>
      </c>
      <c r="BJ313" s="34" t="n">
        <f aca="false">MAX(0,-BJ$310)</f>
        <v>0</v>
      </c>
      <c r="BK313" s="34" t="n">
        <f aca="false">MAX(0,-BK$310)</f>
        <v>0</v>
      </c>
      <c r="BL313" s="34" t="n">
        <f aca="false">MAX(0,-BL$310)</f>
        <v>0</v>
      </c>
      <c r="BM313" s="34" t="n">
        <f aca="false">MAX(0,-BM$310)</f>
        <v>0</v>
      </c>
      <c r="BN313" s="34" t="n">
        <f aca="false">MAX(0,-BN$310)</f>
        <v>0</v>
      </c>
      <c r="BO313" s="34" t="n">
        <f aca="false">MAX(0,-BO$310)</f>
        <v>0</v>
      </c>
      <c r="BP313" s="34" t="n">
        <f aca="false">MAX(0,-BP$310)</f>
        <v>0</v>
      </c>
      <c r="BQ313" s="34" t="n">
        <f aca="false">MAX(0,-BQ$310)</f>
        <v>0</v>
      </c>
      <c r="BR313" s="34" t="n">
        <f aca="false">MAX(0,-BR$310)</f>
        <v>0</v>
      </c>
      <c r="BS313" s="34" t="n">
        <f aca="false">MAX(0,-BS$310)</f>
        <v>0</v>
      </c>
      <c r="BT313" s="34" t="n">
        <f aca="false">MAX(0,-BT$310)</f>
        <v>0</v>
      </c>
      <c r="BU313" s="34" t="n">
        <f aca="false">MAX(0,-BU$310)</f>
        <v>0</v>
      </c>
      <c r="BV313" s="34" t="n">
        <f aca="false">MAX(0,-BV$310)</f>
        <v>0</v>
      </c>
      <c r="BW313" s="34" t="n">
        <f aca="false">MAX(0,-BW$310)</f>
        <v>0</v>
      </c>
      <c r="BX313" s="34" t="n">
        <f aca="false">MAX(0,-BX$310)</f>
        <v>0</v>
      </c>
      <c r="BY313" s="34" t="n">
        <f aca="false">MAX(0,-BY$310)</f>
        <v>0</v>
      </c>
      <c r="BZ313" s="34" t="n">
        <f aca="false">MAX(0,-BZ$310)</f>
        <v>0</v>
      </c>
      <c r="CA313" s="34" t="n">
        <f aca="false">MAX(0,-CA$310)</f>
        <v>0</v>
      </c>
      <c r="CB313" s="34" t="n">
        <f aca="false">MAX(0,-CB$310)</f>
        <v>0</v>
      </c>
      <c r="CC313" s="34" t="n">
        <f aca="false">MAX(0,-CC$310)</f>
        <v>0</v>
      </c>
      <c r="CD313" s="34" t="n">
        <f aca="false">MAX(0,-CD$310)</f>
        <v>0</v>
      </c>
      <c r="CE313" s="34" t="n">
        <f aca="false">MAX(0,-CE$310)</f>
        <v>0</v>
      </c>
      <c r="CF313" s="34" t="n">
        <f aca="false">MAX(0,-CF$310)</f>
        <v>0</v>
      </c>
      <c r="CG313" s="34" t="n">
        <f aca="false">MAX(0,-CG$310)</f>
        <v>0</v>
      </c>
      <c r="CH313" s="34" t="n">
        <f aca="false">MAX(0,-CH$310)</f>
        <v>0</v>
      </c>
      <c r="CI313" s="34" t="n">
        <f aca="false">MAX(0,-CI$310)</f>
        <v>0</v>
      </c>
      <c r="CJ313" s="34" t="n">
        <f aca="false">MAX(0,-CJ$310)</f>
        <v>0</v>
      </c>
      <c r="CK313" s="34" t="n">
        <f aca="false">MAX(0,-CK$310)</f>
        <v>0</v>
      </c>
      <c r="CL313" s="34" t="n">
        <f aca="false">MAX(0,-CL$310)</f>
        <v>0</v>
      </c>
      <c r="CM313" s="34" t="n">
        <f aca="false">MAX(0,-CM$310)</f>
        <v>0</v>
      </c>
      <c r="CN313" s="34" t="n">
        <f aca="false">MAX(0,-CN$310)</f>
        <v>0</v>
      </c>
      <c r="CO313" s="34" t="n">
        <f aca="false">MAX(0,-CO$310)</f>
        <v>0</v>
      </c>
      <c r="CP313" s="34" t="n">
        <f aca="false">MAX(0,-CP$310)</f>
        <v>0</v>
      </c>
      <c r="CQ313" s="34" t="n">
        <f aca="false">MAX(0,-CQ$310)</f>
        <v>0</v>
      </c>
      <c r="CR313" s="34" t="n">
        <f aca="false">MAX(0,-CR$310)</f>
        <v>0</v>
      </c>
      <c r="CS313" s="34" t="n">
        <f aca="false">MAX(0,-CS$310)</f>
        <v>0</v>
      </c>
      <c r="CT313" s="34" t="n">
        <f aca="false">MAX(0,-CT$310)</f>
        <v>0</v>
      </c>
      <c r="CU313" s="34" t="n">
        <f aca="false">MAX(0,-CU$310)</f>
        <v>0</v>
      </c>
      <c r="CV313" s="34" t="n">
        <f aca="false">MAX(0,-CV$310)</f>
        <v>0</v>
      </c>
      <c r="CW313" s="34" t="n">
        <f aca="false">MAX(0,-CW$310)</f>
        <v>0</v>
      </c>
      <c r="CX313" s="34" t="n">
        <f aca="false">MAX(0,-CX$310)</f>
        <v>0</v>
      </c>
      <c r="CY313" s="34" t="n">
        <f aca="false">MAX(0,-CY$310)</f>
        <v>0</v>
      </c>
      <c r="CZ313" s="34" t="n">
        <f aca="false">MAX(0,-CZ$310)</f>
        <v>0</v>
      </c>
      <c r="DA313" s="34" t="n">
        <f aca="false">MAX(0,-DA$310)</f>
        <v>0</v>
      </c>
      <c r="DB313" s="34" t="n">
        <f aca="false">MAX(0,-DB$310)</f>
        <v>0</v>
      </c>
      <c r="DC313" s="34" t="n">
        <f aca="false">MAX(0,-DC$310)</f>
        <v>0</v>
      </c>
      <c r="DD313" s="34" t="n">
        <f aca="false">MAX(0,-DD$310)</f>
        <v>0</v>
      </c>
      <c r="DE313" s="34" t="n">
        <f aca="false">MAX(0,-DE$310)</f>
        <v>0</v>
      </c>
      <c r="DF313" s="34" t="n">
        <f aca="false">MAX(0,-DF$310)</f>
        <v>0</v>
      </c>
      <c r="DG313" s="34" t="n">
        <f aca="false">MAX(0,-DG$310)</f>
        <v>0</v>
      </c>
      <c r="DH313" s="34" t="n">
        <f aca="false">MAX(0,-DH$310)</f>
        <v>0</v>
      </c>
      <c r="DI313" s="34" t="n">
        <f aca="false">MAX(0,-DI$310)</f>
        <v>0</v>
      </c>
      <c r="DJ313" s="34" t="n">
        <f aca="false">MAX(0,-DJ$310)</f>
        <v>0</v>
      </c>
      <c r="DK313" s="34" t="n">
        <f aca="false">MAX(0,-DK$310)</f>
        <v>0</v>
      </c>
      <c r="DL313" s="34" t="n">
        <f aca="false">MAX(0,-DL$310)</f>
        <v>0</v>
      </c>
      <c r="DM313" s="34" t="n">
        <f aca="false">MAX(0,-DM$310)</f>
        <v>0</v>
      </c>
      <c r="DN313" s="34" t="n">
        <f aca="false">MAX(0,-DN$310)</f>
        <v>0</v>
      </c>
      <c r="DO313" s="34" t="n">
        <f aca="false">MAX(0,-DO$310)</f>
        <v>0</v>
      </c>
      <c r="DP313" s="34" t="n">
        <f aca="false">MAX(0,-DP$310)</f>
        <v>0</v>
      </c>
      <c r="DQ313" s="34" t="n">
        <f aca="false">MAX(0,-DQ$310)</f>
        <v>0</v>
      </c>
      <c r="DR313" s="34" t="n">
        <f aca="false">MAX(0,-DR$310)</f>
        <v>0</v>
      </c>
      <c r="DS313" s="34" t="n">
        <f aca="false">MAX(0,-DS$310)</f>
        <v>0</v>
      </c>
      <c r="DT313" s="34" t="n">
        <f aca="false">MAX(0,-DT$310)</f>
        <v>0</v>
      </c>
      <c r="DU313" s="34" t="n">
        <f aca="false">MAX(0,-DU$310)</f>
        <v>0</v>
      </c>
      <c r="DV313" s="34" t="n">
        <f aca="false">MAX(0,-DV$310)</f>
        <v>0</v>
      </c>
      <c r="DW313" s="34" t="n">
        <f aca="false">MAX(0,-DW$310)</f>
        <v>0</v>
      </c>
      <c r="DX313" s="34" t="n">
        <f aca="false">MAX(0,-DX$310)</f>
        <v>0</v>
      </c>
      <c r="DY313" s="34" t="n">
        <f aca="false">MAX(0,-DY$310)</f>
        <v>0</v>
      </c>
      <c r="DZ313" s="34" t="n">
        <f aca="false">MAX(0,-DZ$310)</f>
        <v>0</v>
      </c>
      <c r="EA313" s="34" t="n">
        <f aca="false">MAX(0,-EA$310)</f>
        <v>0</v>
      </c>
      <c r="EB313" s="34" t="n">
        <f aca="false">MAX(0,-EB$310)</f>
        <v>0</v>
      </c>
      <c r="EC313" s="34" t="n">
        <f aca="false">MAX(0,-EC$310)</f>
        <v>0</v>
      </c>
      <c r="ED313" s="34" t="n">
        <f aca="false">MAX(0,-ED$310)</f>
        <v>0</v>
      </c>
      <c r="EE313" s="34" t="n">
        <f aca="false">MAX(0,-EE$310)</f>
        <v>0</v>
      </c>
      <c r="EF313" s="34" t="n">
        <f aca="false">MAX(0,-EF$310)</f>
        <v>0</v>
      </c>
      <c r="EG313" s="34" t="n">
        <f aca="false">MAX(0,-EG$310)</f>
        <v>0</v>
      </c>
      <c r="EH313" s="34" t="n">
        <f aca="false">MAX(0,-EH$310)</f>
        <v>0</v>
      </c>
      <c r="EI313" s="34" t="n">
        <f aca="false">MAX(0,-EI$310)</f>
        <v>0</v>
      </c>
      <c r="EJ313" s="34" t="n">
        <f aca="false">MAX(0,-EJ$310)</f>
        <v>0</v>
      </c>
      <c r="EK313" s="34" t="n">
        <f aca="false">MAX(0,-EK$310)</f>
        <v>0</v>
      </c>
      <c r="EL313" s="34" t="n">
        <f aca="false">MAX(0,-EL$310)</f>
        <v>0</v>
      </c>
      <c r="EM313" s="34" t="n">
        <f aca="false">MAX(0,-EM$310)</f>
        <v>0</v>
      </c>
      <c r="EN313" s="34" t="n">
        <f aca="false">MAX(0,-EN$310)</f>
        <v>0</v>
      </c>
      <c r="EO313" s="34" t="n">
        <f aca="false">MAX(0,-EO$310)</f>
        <v>0</v>
      </c>
      <c r="EP313" s="34" t="n">
        <f aca="false">MAX(0,-EP$310)</f>
        <v>0</v>
      </c>
      <c r="EQ313" s="34" t="n">
        <f aca="false">MAX(0,-EQ$310)</f>
        <v>0</v>
      </c>
      <c r="ER313" s="34" t="n">
        <f aca="false">MAX(0,-ER$310)</f>
        <v>0</v>
      </c>
      <c r="ES313" s="34" t="n">
        <f aca="false">MAX(0,-ES$310)</f>
        <v>0</v>
      </c>
    </row>
    <row r="314" customFormat="false" ht="15" hidden="false" customHeight="false" outlineLevel="0" collapsed="false">
      <c r="A314" s="4"/>
      <c r="B314" s="3" t="s">
        <v>797</v>
      </c>
      <c r="C314" s="4"/>
      <c r="D314" s="4"/>
      <c r="E314" s="4"/>
    </row>
    <row r="315" customFormat="false" ht="15" hidden="false" customHeight="false" outlineLevel="0" collapsed="false">
      <c r="A315" s="2" t="s">
        <v>950</v>
      </c>
      <c r="B315" s="6" t="s">
        <v>799</v>
      </c>
      <c r="C315" s="6"/>
      <c r="F315" s="27" t="n">
        <f aca="false">1/(1+V_WACC)^((1-1)/12)</f>
        <v>1</v>
      </c>
      <c r="G315" s="27" t="n">
        <f aca="false">1/(1+V_WACC)^((2-1)/12)</f>
        <v>0.99247369216101</v>
      </c>
      <c r="H315" s="27" t="n">
        <f aca="false">1/(1+V_WACC)^((3-1)/12)</f>
        <v>0.985004029631707</v>
      </c>
      <c r="I315" s="27" t="n">
        <f aca="false">1/(1+V_WACC)^((4-1)/12)</f>
        <v>0.977590586082053</v>
      </c>
      <c r="J315" s="27" t="n">
        <f aca="false">1/(1+V_WACC)^((5-1)/12)</f>
        <v>0.970232938390701</v>
      </c>
      <c r="K315" s="27" t="n">
        <f aca="false">1/(1+V_WACC)^((6-1)/12)</f>
        <v>0.962930666620845</v>
      </c>
      <c r="L315" s="27" t="n">
        <f aca="false">1/(1+V_WACC)^((7-1)/12)</f>
        <v>0.955683353996252</v>
      </c>
      <c r="M315" s="27" t="n">
        <f aca="false">1/(1+V_WACC)^((8-1)/12)</f>
        <v>0.948490586877478</v>
      </c>
      <c r="N315" s="27" t="n">
        <f aca="false">1/(1+V_WACC)^((9-1)/12)</f>
        <v>0.941351954738254</v>
      </c>
      <c r="O315" s="27" t="n">
        <f aca="false">1/(1+V_WACC)^((10-1)/12)</f>
        <v>0.934267050142059</v>
      </c>
      <c r="P315" s="27" t="n">
        <f aca="false">1/(1+V_WACC)^((11-1)/12)</f>
        <v>0.927235468718864</v>
      </c>
      <c r="Q315" s="27" t="n">
        <f aca="false">1/(1+V_WACC)^((12-1)/12)</f>
        <v>0.920256809142056</v>
      </c>
      <c r="R315" s="27" t="n">
        <f aca="false">1/(1+V_WACC)^((13-1)/12)</f>
        <v>0.913330673105526</v>
      </c>
      <c r="S315" s="27" t="n">
        <f aca="false">1/(1+V_WACC)^((14-1)/12)</f>
        <v>0.906456665300942</v>
      </c>
      <c r="T315" s="27" t="n">
        <f aca="false">1/(1+V_WACC)^((15-1)/12)</f>
        <v>0.899634393395183</v>
      </c>
      <c r="U315" s="27" t="n">
        <f aca="false">1/(1+V_WACC)^((16-1)/12)</f>
        <v>0.892863468007947</v>
      </c>
      <c r="V315" s="27" t="n">
        <f aca="false">1/(1+V_WACC)^((17-1)/12)</f>
        <v>0.886143502689531</v>
      </c>
      <c r="W315" s="27" t="n">
        <f aca="false">1/(1+V_WACC)^((18-1)/12)</f>
        <v>0.879474113898769</v>
      </c>
      <c r="X315" s="27" t="n">
        <f aca="false">1/(1+V_WACC)^((19-1)/12)</f>
        <v>0.872854920981144</v>
      </c>
      <c r="Y315" s="27" t="n">
        <f aca="false">1/(1+V_WACC)^((20-1)/12)</f>
        <v>0.866285546147062</v>
      </c>
      <c r="Z315" s="27" t="n">
        <f aca="false">1/(1+V_WACC)^((21-1)/12)</f>
        <v>0.859765614450292</v>
      </c>
      <c r="AA315" s="27" t="n">
        <f aca="false">1/(1+V_WACC)^((22-1)/12)</f>
        <v>0.853294753766561</v>
      </c>
      <c r="AB315" s="27" t="n">
        <f aca="false">1/(1+V_WACC)^((23-1)/12)</f>
        <v>0.846872594772318</v>
      </c>
      <c r="AC315" s="27" t="n">
        <f aca="false">1/(1+V_WACC)^((24-1)/12)</f>
        <v>0.840498770923658</v>
      </c>
      <c r="AD315" s="27" t="n">
        <f aca="false">1/(1+V_WACC)^((25-1)/12)</f>
        <v>0.834172918435393</v>
      </c>
      <c r="AE315" s="27" t="n">
        <f aca="false">1/(1+V_WACC)^((26-1)/12)</f>
        <v>0.8278946762603</v>
      </c>
      <c r="AF315" s="27" t="n">
        <f aca="false">1/(1+V_WACC)^((27-1)/12)</f>
        <v>0.821663686068504</v>
      </c>
      <c r="AG315" s="27" t="n">
        <f aca="false">1/(1+V_WACC)^((28-1)/12)</f>
        <v>0.815479592227033</v>
      </c>
      <c r="AH315" s="27" t="n">
        <f aca="false">1/(1+V_WACC)^((29-1)/12)</f>
        <v>0.809342041779518</v>
      </c>
      <c r="AI315" s="27" t="n">
        <f aca="false">1/(1+V_WACC)^((30-1)/12)</f>
        <v>0.803250684426049</v>
      </c>
      <c r="AJ315" s="27" t="n">
        <f aca="false">1/(1+V_WACC)^((31-1)/12)</f>
        <v>0.797205172503179</v>
      </c>
      <c r="AK315" s="27" t="n">
        <f aca="false">1/(1+V_WACC)^((32-1)/12)</f>
        <v>0.791205160964085</v>
      </c>
      <c r="AL315" s="27" t="n">
        <f aca="false">1/(1+V_WACC)^((33-1)/12)</f>
        <v>0.785250307358871</v>
      </c>
      <c r="AM315" s="27" t="n">
        <f aca="false">1/(1+V_WACC)^((34-1)/12)</f>
        <v>0.779340271815027</v>
      </c>
      <c r="AN315" s="27" t="n">
        <f aca="false">1/(1+V_WACC)^((35-1)/12)</f>
        <v>0.773474717018025</v>
      </c>
      <c r="AO315" s="27" t="n">
        <f aca="false">1/(1+V_WACC)^((36-1)/12)</f>
        <v>0.767653308192072</v>
      </c>
      <c r="AP315" s="27" t="n">
        <f aca="false">1/(1+V_WACC)^((37-1)/12)</f>
        <v>0.761875713080999</v>
      </c>
      <c r="AQ315" s="27" t="n">
        <f aca="false">1/(1+V_WACC)^((38-1)/12)</f>
        <v>0.756141601929301</v>
      </c>
      <c r="AR315" s="27" t="n">
        <f aca="false">1/(1+V_WACC)^((39-1)/12)</f>
        <v>0.750450647463314</v>
      </c>
      <c r="AS315" s="27" t="n">
        <f aca="false">1/(1+V_WACC)^((40-1)/12)</f>
        <v>0.744802524872536</v>
      </c>
      <c r="AT315" s="27" t="n">
        <f aca="false">1/(1+V_WACC)^((41-1)/12)</f>
        <v>0.739196911791088</v>
      </c>
      <c r="AU315" s="27" t="n">
        <f aca="false">1/(1+V_WACC)^((42-1)/12)</f>
        <v>0.733633488279318</v>
      </c>
      <c r="AV315" s="27" t="n">
        <f aca="false">1/(1+V_WACC)^((43-1)/12)</f>
        <v>0.728111936805535</v>
      </c>
      <c r="AW315" s="27" t="n">
        <f aca="false">1/(1+V_WACC)^((44-1)/12)</f>
        <v>0.722631942227894</v>
      </c>
      <c r="AX315" s="27" t="n">
        <f aca="false">1/(1+V_WACC)^((45-1)/12)</f>
        <v>0.717193191776399</v>
      </c>
      <c r="AY315" s="27" t="n">
        <f aca="false">1/(1+V_WACC)^((46-1)/12)</f>
        <v>0.711795375035062</v>
      </c>
      <c r="AZ315" s="27" t="n">
        <f aca="false">1/(1+V_WACC)^((47-1)/12)</f>
        <v>0.706438183924179</v>
      </c>
      <c r="BA315" s="27" t="n">
        <f aca="false">1/(1+V_WACC)^((48-1)/12)</f>
        <v>0.701121312682749</v>
      </c>
      <c r="BB315" s="27" t="n">
        <f aca="false">1/(1+V_WACC)^((49-1)/12)</f>
        <v>0.695844457851021</v>
      </c>
      <c r="BC315" s="27" t="n">
        <f aca="false">1/(1+V_WACC)^((50-1)/12)</f>
        <v>0.690607318253179</v>
      </c>
      <c r="BD315" s="27" t="n">
        <f aca="false">1/(1+V_WACC)^((51-1)/12)</f>
        <v>0.685409594980147</v>
      </c>
      <c r="BE315" s="27" t="n">
        <f aca="false">1/(1+V_WACC)^((52-1)/12)</f>
        <v>0.680250991372529</v>
      </c>
      <c r="BF315" s="27" t="n">
        <f aca="false">1/(1+V_WACC)^((53-1)/12)</f>
        <v>0.675131213003681</v>
      </c>
      <c r="BG315" s="27" t="n">
        <f aca="false">1/(1+V_WACC)^((54-1)/12)</f>
        <v>0.670049967662904</v>
      </c>
      <c r="BH315" s="27" t="n">
        <f aca="false">1/(1+V_WACC)^((55-1)/12)</f>
        <v>0.665006965338768</v>
      </c>
      <c r="BI315" s="27" t="n">
        <f aca="false">1/(1+V_WACC)^((56-1)/12)</f>
        <v>0.660001918202556</v>
      </c>
      <c r="BJ315" s="27" t="n">
        <f aca="false">1/(1+V_WACC)^((57-1)/12)</f>
        <v>0.655034540591839</v>
      </c>
      <c r="BK315" s="27" t="n">
        <f aca="false">1/(1+V_WACC)^((58-1)/12)</f>
        <v>0.650104548994174</v>
      </c>
      <c r="BL315" s="27" t="n">
        <f aca="false">1/(1+V_WACC)^((59-1)/12)</f>
        <v>0.645211662030916</v>
      </c>
      <c r="BM315" s="27" t="n">
        <f aca="false">1/(1+V_WACC)^((60-1)/12)</f>
        <v>0.640355600441165</v>
      </c>
      <c r="BN315" s="27" t="n">
        <f aca="false">1/(1+V_WACC)^((61-1)/12)</f>
        <v>0.635536087065823</v>
      </c>
      <c r="BO315" s="27" t="n">
        <f aca="false">1/(1+V_WACC)^((62-1)/12)</f>
        <v>0.630752846831779</v>
      </c>
      <c r="BP315" s="27" t="n">
        <f aca="false">1/(1+V_WACC)^((63-1)/12)</f>
        <v>0.626005606736203</v>
      </c>
      <c r="BQ315" s="27" t="n">
        <f aca="false">1/(1+V_WACC)^((64-1)/12)</f>
        <v>0.621294095830973</v>
      </c>
      <c r="BR315" s="27" t="n">
        <f aca="false">1/(1+V_WACC)^((65-1)/12)</f>
        <v>0.616618045207202</v>
      </c>
      <c r="BS315" s="27" t="n">
        <f aca="false">1/(1+V_WACC)^((66-1)/12)</f>
        <v>0.611977187979896</v>
      </c>
      <c r="BT315" s="27" t="n">
        <f aca="false">1/(1+V_WACC)^((67-1)/12)</f>
        <v>0.60737125927272</v>
      </c>
      <c r="BU315" s="27" t="n">
        <f aca="false">1/(1+V_WACC)^((68-1)/12)</f>
        <v>0.602799996202879</v>
      </c>
      <c r="BV315" s="27" t="n">
        <f aca="false">1/(1+V_WACC)^((69-1)/12)</f>
        <v>0.598263137866114</v>
      </c>
      <c r="BW315" s="27" t="n">
        <f aca="false">1/(1+V_WACC)^((70-1)/12)</f>
        <v>0.593760425321813</v>
      </c>
      <c r="BX315" s="27" t="n">
        <f aca="false">1/(1+V_WACC)^((71-1)/12)</f>
        <v>0.589291601578232</v>
      </c>
      <c r="BY315" s="27" t="n">
        <f aca="false">1/(1+V_WACC)^((72-1)/12)</f>
        <v>0.584856411577822</v>
      </c>
      <c r="BZ315" s="27" t="n">
        <f aca="false">1/(1+V_WACC)^((73-1)/12)</f>
        <v>0.580454602182681</v>
      </c>
      <c r="CA315" s="27" t="n">
        <f aca="false">1/(1+V_WACC)^((74-1)/12)</f>
        <v>0.576085922160095</v>
      </c>
      <c r="CB315" s="27" t="n">
        <f aca="false">1/(1+V_WACC)^((75-1)/12)</f>
        <v>0.57175012216821</v>
      </c>
      <c r="CC315" s="27" t="n">
        <f aca="false">1/(1+V_WACC)^((76-1)/12)</f>
        <v>0.567446954741792</v>
      </c>
      <c r="CD315" s="27" t="n">
        <f aca="false">1/(1+V_WACC)^((77-1)/12)</f>
        <v>0.563176174278108</v>
      </c>
      <c r="CE315" s="27" t="n">
        <f aca="false">1/(1+V_WACC)^((78-1)/12)</f>
        <v>0.558937537022906</v>
      </c>
      <c r="CF315" s="27" t="n">
        <f aca="false">1/(1+V_WACC)^((79-1)/12)</f>
        <v>0.554730801056504</v>
      </c>
      <c r="CG315" s="27" t="n">
        <f aca="false">1/(1+V_WACC)^((80-1)/12)</f>
        <v>0.550555726279984</v>
      </c>
      <c r="CH315" s="27" t="n">
        <f aca="false">1/(1+V_WACC)^((81-1)/12)</f>
        <v>0.546412074401482</v>
      </c>
      <c r="CI315" s="27" t="n">
        <f aca="false">1/(1+V_WACC)^((82-1)/12)</f>
        <v>0.542299608922595</v>
      </c>
      <c r="CJ315" s="27" t="n">
        <f aca="false">1/(1+V_WACC)^((83-1)/12)</f>
        <v>0.53821809512488</v>
      </c>
      <c r="CK315" s="27" t="n">
        <f aca="false">1/(1+V_WACC)^((84-1)/12)</f>
        <v>0.534167300056455</v>
      </c>
      <c r="CL315" s="27" t="n">
        <f aca="false">1/(1+V_WACC)^((85-1)/12)</f>
        <v>0.530146992518708</v>
      </c>
      <c r="CM315" s="27" t="n">
        <f aca="false">1/(1+V_WACC)^((86-1)/12)</f>
        <v>0.526156943053098</v>
      </c>
      <c r="CN315" s="27" t="n">
        <f aca="false">1/(1+V_WACC)^((87-1)/12)</f>
        <v>0.522196923928058</v>
      </c>
      <c r="CO315" s="27" t="n">
        <f aca="false">1/(1+V_WACC)^((88-1)/12)</f>
        <v>0.518266709126002</v>
      </c>
      <c r="CP315" s="27" t="n">
        <f aca="false">1/(1+V_WACC)^((89-1)/12)</f>
        <v>0.514366074330419</v>
      </c>
      <c r="CQ315" s="27" t="n">
        <f aca="false">1/(1+V_WACC)^((90-1)/12)</f>
        <v>0.510494796913075</v>
      </c>
      <c r="CR315" s="27" t="n">
        <f aca="false">1/(1+V_WACC)^((91-1)/12)</f>
        <v>0.506652655921305</v>
      </c>
      <c r="CS315" s="27" t="n">
        <f aca="false">1/(1+V_WACC)^((92-1)/12)</f>
        <v>0.502839432065399</v>
      </c>
      <c r="CT315" s="27" t="n">
        <f aca="false">1/(1+V_WACC)^((93-1)/12)</f>
        <v>0.499054907706092</v>
      </c>
      <c r="CU315" s="27" t="n">
        <f aca="false">1/(1+V_WACC)^((94-1)/12)</f>
        <v>0.495298866842137</v>
      </c>
      <c r="CV315" s="27" t="n">
        <f aca="false">1/(1+V_WACC)^((95-1)/12)</f>
        <v>0.49157109509798</v>
      </c>
      <c r="CW315" s="27" t="n">
        <f aca="false">1/(1+V_WACC)^((96-1)/12)</f>
        <v>0.487871379711524</v>
      </c>
      <c r="CX315" s="27" t="n">
        <f aca="false">1/(1+V_WACC)^((97-1)/12)</f>
        <v>0.484199509521982</v>
      </c>
      <c r="CY315" s="27" t="n">
        <f aca="false">1/(1+V_WACC)^((98-1)/12)</f>
        <v>0.480555274957831</v>
      </c>
      <c r="CZ315" s="27" t="n">
        <f aca="false">1/(1+V_WACC)^((99-1)/12)</f>
        <v>0.476938468024848</v>
      </c>
      <c r="DA315" s="27" t="n">
        <f aca="false">1/(1+V_WACC)^((100-1)/12)</f>
        <v>0.473348882294237</v>
      </c>
      <c r="DB315" s="27" t="n">
        <f aca="false">1/(1+V_WACC)^((101-1)/12)</f>
        <v>0.469786312890849</v>
      </c>
      <c r="DC315" s="27" t="n">
        <f aca="false">1/(1+V_WACC)^((102-1)/12)</f>
        <v>0.466250556481488</v>
      </c>
      <c r="DD315" s="27" t="n">
        <f aca="false">1/(1+V_WACC)^((103-1)/12)</f>
        <v>0.462741411263308</v>
      </c>
      <c r="DE315" s="27" t="n">
        <f aca="false">1/(1+V_WACC)^((104-1)/12)</f>
        <v>0.459258676952292</v>
      </c>
      <c r="DF315" s="27" t="n">
        <f aca="false">1/(1+V_WACC)^((105-1)/12)</f>
        <v>0.455802154771821</v>
      </c>
      <c r="DG315" s="27" t="n">
        <f aca="false">1/(1+V_WACC)^((106-1)/12)</f>
        <v>0.452371647441334</v>
      </c>
      <c r="DH315" s="27" t="n">
        <f aca="false">1/(1+V_WACC)^((107-1)/12)</f>
        <v>0.448966959165059</v>
      </c>
      <c r="DI315" s="27" t="n">
        <f aca="false">1/(1+V_WACC)^((108-1)/12)</f>
        <v>0.445587895620848</v>
      </c>
      <c r="DJ315" s="27" t="n">
        <f aca="false">1/(1+V_WACC)^((109-1)/12)</f>
        <v>0.442234263949077</v>
      </c>
      <c r="DK315" s="27" t="n">
        <f aca="false">1/(1+V_WACC)^((110-1)/12)</f>
        <v>0.438905872741647</v>
      </c>
      <c r="DL315" s="27" t="n">
        <f aca="false">1/(1+V_WACC)^((111-1)/12)</f>
        <v>0.435602532031053</v>
      </c>
      <c r="DM315" s="27" t="n">
        <f aca="false">1/(1+V_WACC)^((112-1)/12)</f>
        <v>0.432324053279544</v>
      </c>
      <c r="DN315" s="27" t="n">
        <f aca="false">1/(1+V_WACC)^((113-1)/12)</f>
        <v>0.429070249368362</v>
      </c>
      <c r="DO315" s="27" t="n">
        <f aca="false">1/(1+V_WACC)^((114-1)/12)</f>
        <v>0.425840934587064</v>
      </c>
      <c r="DP315" s="27" t="n">
        <f aca="false">1/(1+V_WACC)^((115-1)/12)</f>
        <v>0.422635924622918</v>
      </c>
      <c r="DQ315" s="27" t="n">
        <f aca="false">1/(1+V_WACC)^((116-1)/12)</f>
        <v>0.41945503655039</v>
      </c>
      <c r="DR315" s="27" t="n">
        <f aca="false">1/(1+V_WACC)^((117-1)/12)</f>
        <v>0.416298088820697</v>
      </c>
      <c r="DS315" s="27" t="n">
        <f aca="false">1/(1+V_WACC)^((118-1)/12)</f>
        <v>0.413164901251449</v>
      </c>
      <c r="DT315" s="27" t="n">
        <f aca="false">1/(1+V_WACC)^((119-1)/12)</f>
        <v>0.410055295016365</v>
      </c>
      <c r="DU315" s="27" t="n">
        <f aca="false">1/(1+V_WACC)^((120-1)/12)</f>
        <v>0.406969092635064</v>
      </c>
      <c r="DV315" s="27" t="n">
        <f aca="false">1/(1+V_WACC)^((121-1)/12)</f>
        <v>0.403906117962938</v>
      </c>
      <c r="DW315" s="27" t="n">
        <f aca="false">1/(1+V_WACC)^((122-1)/12)</f>
        <v>0.400866196181097</v>
      </c>
      <c r="DX315" s="27" t="n">
        <f aca="false">1/(1+V_WACC)^((123-1)/12)</f>
        <v>0.397849153786393</v>
      </c>
      <c r="DY315" s="27" t="n">
        <f aca="false">1/(1+V_WACC)^((124-1)/12)</f>
        <v>0.394854818581515</v>
      </c>
      <c r="DZ315" s="27" t="n">
        <f aca="false">1/(1+V_WACC)^((125-1)/12)</f>
        <v>0.391883019665162</v>
      </c>
      <c r="EA315" s="27" t="n">
        <f aca="false">1/(1+V_WACC)^((126-1)/12)</f>
        <v>0.388933587422289</v>
      </c>
      <c r="EB315" s="27" t="n">
        <f aca="false">1/(1+V_WACC)^((127-1)/12)</f>
        <v>0.386006353514426</v>
      </c>
      <c r="EC315" s="27" t="n">
        <f aca="false">1/(1+V_WACC)^((128-1)/12)</f>
        <v>0.383101150870071</v>
      </c>
      <c r="ED315" s="27" t="n">
        <f aca="false">1/(1+V_WACC)^((129-1)/12)</f>
        <v>0.380217813675151</v>
      </c>
      <c r="EE315" s="27" t="n">
        <f aca="false">1/(1+V_WACC)^((130-1)/12)</f>
        <v>0.377356177363564</v>
      </c>
      <c r="EF315" s="27" t="n">
        <f aca="false">1/(1+V_WACC)^((131-1)/12)</f>
        <v>0.374516078607781</v>
      </c>
      <c r="EG315" s="27" t="n">
        <f aca="false">1/(1+V_WACC)^((132-1)/12)</f>
        <v>0.371697355309528</v>
      </c>
      <c r="EH315" s="27" t="n">
        <f aca="false">1/(1+V_WACC)^((133-1)/12)</f>
        <v>0.36889984659053</v>
      </c>
      <c r="EI315" s="27" t="n">
        <f aca="false">1/(1+V_WACC)^((134-1)/12)</f>
        <v>0.366123392783333</v>
      </c>
      <c r="EJ315" s="27" t="n">
        <f aca="false">1/(1+V_WACC)^((135-1)/12)</f>
        <v>0.36336783542219</v>
      </c>
      <c r="EK315" s="27" t="n">
        <f aca="false">1/(1+V_WACC)^((136-1)/12)</f>
        <v>0.360633017234016</v>
      </c>
      <c r="EL315" s="27" t="n">
        <f aca="false">1/(1+V_WACC)^((137-1)/12)</f>
        <v>0.357918782129409</v>
      </c>
      <c r="EM315" s="27" t="n">
        <f aca="false">1/(1+V_WACC)^((138-1)/12)</f>
        <v>0.355224975193746</v>
      </c>
      <c r="EN315" s="27" t="n">
        <f aca="false">1/(1+V_WACC)^((139-1)/12)</f>
        <v>0.352551442678341</v>
      </c>
      <c r="EO315" s="27" t="n">
        <f aca="false">1/(1+V_WACC)^((140-1)/12)</f>
        <v>0.349898031991663</v>
      </c>
      <c r="EP315" s="27" t="n">
        <f aca="false">1/(1+V_WACC)^((141-1)/12)</f>
        <v>0.347264591690637</v>
      </c>
      <c r="EQ315" s="27" t="n">
        <f aca="false">1/(1+V_WACC)^((142-1)/12)</f>
        <v>0.344650971471992</v>
      </c>
      <c r="ER315" s="27" t="n">
        <f aca="false">1/(1+V_WACC)^((143-1)/12)</f>
        <v>0.342057022163687</v>
      </c>
      <c r="ES315" s="27" t="n">
        <f aca="false">1/(1+V_WACC)^((144-1)/12)</f>
        <v>0.339482595716395</v>
      </c>
    </row>
    <row r="316" customFormat="false" ht="15" hidden="false" customHeight="false" outlineLevel="0" collapsed="false">
      <c r="A316" s="2" t="s">
        <v>951</v>
      </c>
      <c r="B316" s="6" t="s">
        <v>801</v>
      </c>
      <c r="C316" s="6"/>
      <c r="F316" s="27" t="n">
        <f aca="false">1/(1+V_Ke)^((1-1)/12)</f>
        <v>1</v>
      </c>
      <c r="G316" s="27" t="n">
        <f aca="false">1/(1+V_Ke)^((2-1)/12)</f>
        <v>0.987481119072306</v>
      </c>
      <c r="H316" s="27" t="n">
        <f aca="false">1/(1+V_Ke)^((3-1)/12)</f>
        <v>0.975118960524295</v>
      </c>
      <c r="I316" s="27" t="n">
        <f aca="false">1/(1+V_Ke)^((4-1)/12)</f>
        <v>0.962911562367155</v>
      </c>
      <c r="J316" s="27" t="n">
        <f aca="false">1/(1+V_Ke)^((5-1)/12)</f>
        <v>0.950856987173981</v>
      </c>
      <c r="K316" s="27" t="n">
        <f aca="false">1/(1+V_Ke)^((6-1)/12)</f>
        <v>0.938953321772285</v>
      </c>
      <c r="L316" s="27" t="n">
        <f aca="false">1/(1+V_Ke)^((7-1)/12)</f>
        <v>0.927198676940355</v>
      </c>
      <c r="M316" s="27" t="n">
        <f aca="false">1/(1+V_Ke)^((8-1)/12)</f>
        <v>0.915591187107424</v>
      </c>
      <c r="N316" s="27" t="n">
        <f aca="false">1/(1+V_Ke)^((9-1)/12)</f>
        <v>0.90412901005758</v>
      </c>
      <c r="O316" s="27" t="n">
        <f aca="false">1/(1+V_Ke)^((10-1)/12)</f>
        <v>0.892810326637396</v>
      </c>
      <c r="P316" s="27" t="n">
        <f aca="false">1/(1+V_Ke)^((11-1)/12)</f>
        <v>0.881633340467207</v>
      </c>
      <c r="Q316" s="27" t="n">
        <f aca="false">1/(1+V_Ke)^((12-1)/12)</f>
        <v>0.870596277656014</v>
      </c>
      <c r="R316" s="27" t="n">
        <f aca="false">1/(1+V_Ke)^((13-1)/12)</f>
        <v>0.859697386519945</v>
      </c>
      <c r="S316" s="27" t="n">
        <f aca="false">1/(1+V_Ke)^((14-1)/12)</f>
        <v>0.848934937304252</v>
      </c>
      <c r="T316" s="27" t="n">
        <f aca="false">1/(1+V_Ke)^((15-1)/12)</f>
        <v>0.838307221908782</v>
      </c>
      <c r="U316" s="27" t="n">
        <f aca="false">1/(1+V_Ke)^((16-1)/12)</f>
        <v>0.82781255361688</v>
      </c>
      <c r="V316" s="27" t="n">
        <f aca="false">1/(1+V_Ke)^((17-1)/12)</f>
        <v>0.8174492668277</v>
      </c>
      <c r="W316" s="27" t="n">
        <f aca="false">1/(1+V_Ke)^((18-1)/12)</f>
        <v>0.807215716791854</v>
      </c>
      <c r="X316" s="27" t="n">
        <f aca="false">1/(1+V_Ke)^((19-1)/12)</f>
        <v>0.797110279350374</v>
      </c>
      <c r="Y316" s="27" t="n">
        <f aca="false">1/(1+V_Ke)^((20-1)/12)</f>
        <v>0.787131350676946</v>
      </c>
      <c r="Z316" s="27" t="n">
        <f aca="false">1/(1+V_Ke)^((21-1)/12)</f>
        <v>0.777277347023367</v>
      </c>
      <c r="AA316" s="27" t="n">
        <f aca="false">1/(1+V_Ke)^((22-1)/12)</f>
        <v>0.767546704468188</v>
      </c>
      <c r="AB316" s="27" t="n">
        <f aca="false">1/(1+V_Ke)^((23-1)/12)</f>
        <v>0.757937878668507</v>
      </c>
      <c r="AC316" s="27" t="n">
        <f aca="false">1/(1+V_Ke)^((24-1)/12)</f>
        <v>0.748449344614867</v>
      </c>
      <c r="AD316" s="27" t="n">
        <f aca="false">1/(1+V_Ke)^((25-1)/12)</f>
        <v>0.739079596389224</v>
      </c>
      <c r="AE316" s="27" t="n">
        <f aca="false">1/(1+V_Ke)^((26-1)/12)</f>
        <v>0.729827146925939</v>
      </c>
      <c r="AF316" s="27" t="n">
        <f aca="false">1/(1+V_Ke)^((27-1)/12)</f>
        <v>0.720690527775775</v>
      </c>
      <c r="AG316" s="27" t="n">
        <f aca="false">1/(1+V_Ke)^((28-1)/12)</f>
        <v>0.711668288872834</v>
      </c>
      <c r="AH316" s="27" t="n">
        <f aca="false">1/(1+V_Ke)^((29-1)/12)</f>
        <v>0.702758998304419</v>
      </c>
      <c r="AI316" s="27" t="n">
        <f aca="false">1/(1+V_Ke)^((30-1)/12)</f>
        <v>0.693961242083781</v>
      </c>
      <c r="AJ316" s="27" t="n">
        <f aca="false">1/(1+V_Ke)^((31-1)/12)</f>
        <v>0.6852736239257</v>
      </c>
      <c r="AK316" s="27" t="n">
        <f aca="false">1/(1+V_Ke)^((32-1)/12)</f>
        <v>0.676694765024885</v>
      </c>
      <c r="AL316" s="27" t="n">
        <f aca="false">1/(1+V_Ke)^((33-1)/12)</f>
        <v>0.668223303837145</v>
      </c>
      <c r="AM316" s="27" t="n">
        <f aca="false">1/(1+V_Ke)^((34-1)/12)</f>
        <v>0.659857895863298</v>
      </c>
      <c r="AN316" s="27" t="n">
        <f aca="false">1/(1+V_Ke)^((35-1)/12)</f>
        <v>0.651597213435787</v>
      </c>
      <c r="AO316" s="27" t="n">
        <f aca="false">1/(1+V_Ke)^((36-1)/12)</f>
        <v>0.643439945507967</v>
      </c>
      <c r="AP316" s="27" t="n">
        <f aca="false">1/(1+V_Ke)^((37-1)/12)</f>
        <v>0.635384797446031</v>
      </c>
      <c r="AQ316" s="27" t="n">
        <f aca="false">1/(1+V_Ke)^((38-1)/12)</f>
        <v>0.627430490823538</v>
      </c>
      <c r="AR316" s="27" t="n">
        <f aca="false">1/(1+V_Ke)^((39-1)/12)</f>
        <v>0.619575763218514</v>
      </c>
      <c r="AS316" s="27" t="n">
        <f aca="false">1/(1+V_Ke)^((40-1)/12)</f>
        <v>0.611819368013096</v>
      </c>
      <c r="AT316" s="27" t="n">
        <f aca="false">1/(1+V_Ke)^((41-1)/12)</f>
        <v>0.604160074195684</v>
      </c>
      <c r="AU316" s="27" t="n">
        <f aca="false">1/(1+V_Ke)^((42-1)/12)</f>
        <v>0.596596666165561</v>
      </c>
      <c r="AV316" s="27" t="n">
        <f aca="false">1/(1+V_Ke)^((43-1)/12)</f>
        <v>0.589127943539976</v>
      </c>
      <c r="AW316" s="27" t="n">
        <f aca="false">1/(1+V_Ke)^((44-1)/12)</f>
        <v>0.581752720963622</v>
      </c>
      <c r="AX316" s="27" t="n">
        <f aca="false">1/(1+V_Ke)^((45-1)/12)</f>
        <v>0.574469827920517</v>
      </c>
      <c r="AY316" s="27" t="n">
        <f aca="false">1/(1+V_Ke)^((46-1)/12)</f>
        <v>0.567278108548227</v>
      </c>
      <c r="AZ316" s="27" t="n">
        <f aca="false">1/(1+V_Ke)^((47-1)/12)</f>
        <v>0.560176421454425</v>
      </c>
      <c r="BA316" s="27" t="n">
        <f aca="false">1/(1+V_Ke)^((48-1)/12)</f>
        <v>0.553163639535735</v>
      </c>
      <c r="BB316" s="27" t="n">
        <f aca="false">1/(1+V_Ke)^((49-1)/12)</f>
        <v>0.546238649798858</v>
      </c>
      <c r="BC316" s="27" t="n">
        <f aca="false">1/(1+V_Ke)^((50-1)/12)</f>
        <v>0.539400353183922</v>
      </c>
      <c r="BD316" s="27" t="n">
        <f aca="false">1/(1+V_Ke)^((51-1)/12)</f>
        <v>0.532647664390056</v>
      </c>
      <c r="BE316" s="27" t="n">
        <f aca="false">1/(1+V_Ke)^((52-1)/12)</f>
        <v>0.525979511703143</v>
      </c>
      <c r="BF316" s="27" t="n">
        <f aca="false">1/(1+V_Ke)^((53-1)/12)</f>
        <v>0.519394836825725</v>
      </c>
      <c r="BG316" s="27" t="n">
        <f aca="false">1/(1+V_Ke)^((54-1)/12)</f>
        <v>0.512892594709045</v>
      </c>
      <c r="BH316" s="27" t="n">
        <f aca="false">1/(1+V_Ke)^((55-1)/12)</f>
        <v>0.506471753387187</v>
      </c>
      <c r="BI316" s="27" t="n">
        <f aca="false">1/(1+V_Ke)^((56-1)/12)</f>
        <v>0.500131293813293</v>
      </c>
      <c r="BJ316" s="27" t="n">
        <f aca="false">1/(1+V_Ke)^((57-1)/12)</f>
        <v>0.493870209697831</v>
      </c>
      <c r="BK316" s="27" t="n">
        <f aca="false">1/(1+V_Ke)^((58-1)/12)</f>
        <v>0.487687507348888</v>
      </c>
      <c r="BL316" s="27" t="n">
        <f aca="false">1/(1+V_Ke)^((59-1)/12)</f>
        <v>0.481582205514464</v>
      </c>
      <c r="BM316" s="27" t="n">
        <f aca="false">1/(1+V_Ke)^((60-1)/12)</f>
        <v>0.475553335226732</v>
      </c>
      <c r="BN316" s="27" t="n">
        <f aca="false">1/(1+V_Ke)^((61-1)/12)</f>
        <v>0.469599939648261</v>
      </c>
      <c r="BO316" s="27" t="n">
        <f aca="false">1/(1+V_Ke)^((62-1)/12)</f>
        <v>0.463721073920153</v>
      </c>
      <c r="BP316" s="27" t="n">
        <f aca="false">1/(1+V_Ke)^((63-1)/12)</f>
        <v>0.457915805012084</v>
      </c>
      <c r="BQ316" s="27" t="n">
        <f aca="false">1/(1+V_Ke)^((64-1)/12)</f>
        <v>0.452183211574229</v>
      </c>
      <c r="BR316" s="27" t="n">
        <f aca="false">1/(1+V_Ke)^((65-1)/12)</f>
        <v>0.446522383791029</v>
      </c>
      <c r="BS316" s="27" t="n">
        <f aca="false">1/(1+V_Ke)^((66-1)/12)</f>
        <v>0.4409324232368</v>
      </c>
      <c r="BT316" s="27" t="n">
        <f aca="false">1/(1+V_Ke)^((67-1)/12)</f>
        <v>0.435412442733139</v>
      </c>
      <c r="BU316" s="27" t="n">
        <f aca="false">1/(1+V_Ke)^((68-1)/12)</f>
        <v>0.429961566208126</v>
      </c>
      <c r="BV316" s="27" t="n">
        <f aca="false">1/(1+V_Ke)^((69-1)/12)</f>
        <v>0.424578928557282</v>
      </c>
      <c r="BW316" s="27" t="n">
        <f aca="false">1/(1+V_Ke)^((70-1)/12)</f>
        <v>0.419263675506266</v>
      </c>
      <c r="BX316" s="27" t="n">
        <f aca="false">1/(1+V_Ke)^((71-1)/12)</f>
        <v>0.414014963475296</v>
      </c>
      <c r="BY316" s="27" t="n">
        <f aca="false">1/(1+V_Ke)^((72-1)/12)</f>
        <v>0.408831959445265</v>
      </c>
      <c r="BZ316" s="27" t="n">
        <f aca="false">1/(1+V_Ke)^((73-1)/12)</f>
        <v>0.403713840825534</v>
      </c>
      <c r="CA316" s="27" t="n">
        <f aca="false">1/(1+V_Ke)^((74-1)/12)</f>
        <v>0.398659795323378</v>
      </c>
      <c r="CB316" s="27" t="n">
        <f aca="false">1/(1+V_Ke)^((75-1)/12)</f>
        <v>0.393669020815066</v>
      </c>
      <c r="CC316" s="27" t="n">
        <f aca="false">1/(1+V_Ke)^((76-1)/12)</f>
        <v>0.38874072521856</v>
      </c>
      <c r="CD316" s="27" t="n">
        <f aca="false">1/(1+V_Ke)^((77-1)/12)</f>
        <v>0.383874126367804</v>
      </c>
      <c r="CE316" s="27" t="n">
        <f aca="false">1/(1+V_Ke)^((78-1)/12)</f>
        <v>0.379068451888583</v>
      </c>
      <c r="CF316" s="27" t="n">
        <f aca="false">1/(1+V_Ke)^((79-1)/12)</f>
        <v>0.374322939075945</v>
      </c>
      <c r="CG316" s="27" t="n">
        <f aca="false">1/(1+V_Ke)^((80-1)/12)</f>
        <v>0.369636834773149</v>
      </c>
      <c r="CH316" s="27" t="n">
        <f aca="false">1/(1+V_Ke)^((81-1)/12)</f>
        <v>0.365009395252134</v>
      </c>
      <c r="CI316" s="27" t="n">
        <f aca="false">1/(1+V_Ke)^((82-1)/12)</f>
        <v>0.360439886095483</v>
      </c>
      <c r="CJ316" s="27" t="n">
        <f aca="false">1/(1+V_Ke)^((83-1)/12)</f>
        <v>0.355927582079862</v>
      </c>
      <c r="CK316" s="27" t="n">
        <f aca="false">1/(1+V_Ke)^((84-1)/12)</f>
        <v>0.351471767060923</v>
      </c>
      <c r="CL316" s="27" t="n">
        <f aca="false">1/(1+V_Ke)^((85-1)/12)</f>
        <v>0.347071733859641</v>
      </c>
      <c r="CM316" s="27" t="n">
        <f aca="false">1/(1+V_Ke)^((86-1)/12)</f>
        <v>0.342726784150084</v>
      </c>
      <c r="CN316" s="27" t="n">
        <f aca="false">1/(1+V_Ke)^((87-1)/12)</f>
        <v>0.338436228348578</v>
      </c>
      <c r="CO316" s="27" t="n">
        <f aca="false">1/(1+V_Ke)^((88-1)/12)</f>
        <v>0.334199385504264</v>
      </c>
      <c r="CP316" s="27" t="n">
        <f aca="false">1/(1+V_Ke)^((89-1)/12)</f>
        <v>0.330015583191028</v>
      </c>
      <c r="CQ316" s="27" t="n">
        <f aca="false">1/(1+V_Ke)^((90-1)/12)</f>
        <v>0.325884157400776</v>
      </c>
      <c r="CR316" s="27" t="n">
        <f aca="false">1/(1+V_Ke)^((91-1)/12)</f>
        <v>0.321804452438054</v>
      </c>
      <c r="CS316" s="27" t="n">
        <f aca="false">1/(1+V_Ke)^((92-1)/12)</f>
        <v>0.31777582081598</v>
      </c>
      <c r="CT316" s="27" t="n">
        <f aca="false">1/(1+V_Ke)^((93-1)/12)</f>
        <v>0.313797623153485</v>
      </c>
      <c r="CU316" s="27" t="n">
        <f aca="false">1/(1+V_Ke)^((94-1)/12)</f>
        <v>0.309869228073833</v>
      </c>
      <c r="CV316" s="27" t="n">
        <f aca="false">1/(1+V_Ke)^((95-1)/12)</f>
        <v>0.305990012104421</v>
      </c>
      <c r="CW316" s="27" t="n">
        <f aca="false">1/(1+V_Ke)^((96-1)/12)</f>
        <v>0.302159359577822</v>
      </c>
      <c r="CX316" s="27" t="n">
        <f aca="false">1/(1+V_Ke)^((97-1)/12)</f>
        <v>0.298376662534079</v>
      </c>
      <c r="CY316" s="27" t="n">
        <f aca="false">1/(1+V_Ke)^((98-1)/12)</f>
        <v>0.294641320624212</v>
      </c>
      <c r="CZ316" s="27" t="n">
        <f aca="false">1/(1+V_Ke)^((99-1)/12)</f>
        <v>0.29095274101494</v>
      </c>
      <c r="DA316" s="27" t="n">
        <f aca="false">1/(1+V_Ke)^((100-1)/12)</f>
        <v>0.287310338294587</v>
      </c>
      <c r="DB316" s="27" t="n">
        <f aca="false">1/(1+V_Ke)^((101-1)/12)</f>
        <v>0.283713534380182</v>
      </c>
      <c r="DC316" s="27" t="n">
        <f aca="false">1/(1+V_Ke)^((102-1)/12)</f>
        <v>0.280161758425702</v>
      </c>
      <c r="DD316" s="27" t="n">
        <f aca="false">1/(1+V_Ke)^((103-1)/12)</f>
        <v>0.276654446731477</v>
      </c>
      <c r="DE316" s="27" t="n">
        <f aca="false">1/(1+V_Ke)^((104-1)/12)</f>
        <v>0.273191042654729</v>
      </c>
      <c r="DF316" s="27" t="n">
        <f aca="false">1/(1+V_Ke)^((105-1)/12)</f>
        <v>0.269770996521222</v>
      </c>
      <c r="DG316" s="27" t="n">
        <f aca="false">1/(1+V_Ke)^((106-1)/12)</f>
        <v>0.266393765538027</v>
      </c>
      <c r="DH316" s="27" t="n">
        <f aca="false">1/(1+V_Ke)^((107-1)/12)</f>
        <v>0.263058813707377</v>
      </c>
      <c r="DI316" s="27" t="n">
        <f aca="false">1/(1+V_Ke)^((108-1)/12)</f>
        <v>0.259765611741594</v>
      </c>
      <c r="DJ316" s="27" t="n">
        <f aca="false">1/(1+V_Ke)^((109-1)/12)</f>
        <v>0.256513636979091</v>
      </c>
      <c r="DK316" s="27" t="n">
        <f aca="false">1/(1+V_Ke)^((110-1)/12)</f>
        <v>0.253302373301421</v>
      </c>
      <c r="DL316" s="27" t="n">
        <f aca="false">1/(1+V_Ke)^((111-1)/12)</f>
        <v>0.250131311051358</v>
      </c>
      <c r="DM316" s="27" t="n">
        <f aca="false">1/(1+V_Ke)^((112-1)/12)</f>
        <v>0.246999946952018</v>
      </c>
      <c r="DN316" s="27" t="n">
        <f aca="false">1/(1+V_Ke)^((113-1)/12)</f>
        <v>0.243907784026979</v>
      </c>
      <c r="DO316" s="27" t="n">
        <f aca="false">1/(1+V_Ke)^((114-1)/12)</f>
        <v>0.240854331521408</v>
      </c>
      <c r="DP316" s="27" t="n">
        <f aca="false">1/(1+V_Ke)^((115-1)/12)</f>
        <v>0.237839104824172</v>
      </c>
      <c r="DQ316" s="27" t="n">
        <f aca="false">1/(1+V_Ke)^((116-1)/12)</f>
        <v>0.234861625390929</v>
      </c>
      <c r="DR316" s="27" t="n">
        <f aca="false">1/(1+V_Ke)^((117-1)/12)</f>
        <v>0.231921420668176</v>
      </c>
      <c r="DS316" s="27" t="n">
        <f aca="false">1/(1+V_Ke)^((118-1)/12)</f>
        <v>0.229018024018249</v>
      </c>
      <c r="DT316" s="27" t="n">
        <f aca="false">1/(1+V_Ke)^((119-1)/12)</f>
        <v>0.226150974645269</v>
      </c>
      <c r="DU316" s="27" t="n">
        <f aca="false">1/(1+V_Ke)^((120-1)/12)</f>
        <v>0.223319817522003</v>
      </c>
      <c r="DV316" s="27" t="n">
        <f aca="false">1/(1+V_Ke)^((121-1)/12)</f>
        <v>0.220524103317651</v>
      </c>
      <c r="DW316" s="27" t="n">
        <f aca="false">1/(1+V_Ke)^((122-1)/12)</f>
        <v>0.217763388326531</v>
      </c>
      <c r="DX316" s="27" t="n">
        <f aca="false">1/(1+V_Ke)^((123-1)/12)</f>
        <v>0.21503723439766</v>
      </c>
      <c r="DY316" s="27" t="n">
        <f aca="false">1/(1+V_Ke)^((124-1)/12)</f>
        <v>0.212345208865215</v>
      </c>
      <c r="DZ316" s="27" t="n">
        <f aca="false">1/(1+V_Ke)^((125-1)/12)</f>
        <v>0.209686884479865</v>
      </c>
      <c r="EA316" s="27" t="n">
        <f aca="false">1/(1+V_Ke)^((126-1)/12)</f>
        <v>0.207061839340963</v>
      </c>
      <c r="EB316" s="27" t="n">
        <f aca="false">1/(1+V_Ke)^((127-1)/12)</f>
        <v>0.204469656829584</v>
      </c>
      <c r="EC316" s="27" t="n">
        <f aca="false">1/(1+V_Ke)^((128-1)/12)</f>
        <v>0.201909925542408</v>
      </c>
      <c r="ED316" s="27" t="n">
        <f aca="false">1/(1+V_Ke)^((129-1)/12)</f>
        <v>0.199382239226423</v>
      </c>
      <c r="EE316" s="27" t="n">
        <f aca="false">1/(1+V_Ke)^((130-1)/12)</f>
        <v>0.196886196714451</v>
      </c>
      <c r="EF316" s="27" t="n">
        <f aca="false">1/(1+V_Ke)^((131-1)/12)</f>
        <v>0.194421401861476</v>
      </c>
      <c r="EG316" s="27" t="n">
        <f aca="false">1/(1+V_Ke)^((132-1)/12)</f>
        <v>0.191987463481777</v>
      </c>
      <c r="EH316" s="27" t="n">
        <f aca="false">1/(1+V_Ke)^((133-1)/12)</f>
        <v>0.189583995286839</v>
      </c>
      <c r="EI316" s="27" t="n">
        <f aca="false">1/(1+V_Ke)^((134-1)/12)</f>
        <v>0.187210615824046</v>
      </c>
      <c r="EJ316" s="27" t="n">
        <f aca="false">1/(1+V_Ke)^((135-1)/12)</f>
        <v>0.184866948416145</v>
      </c>
      <c r="EK316" s="27" t="n">
        <f aca="false">1/(1+V_Ke)^((136-1)/12)</f>
        <v>0.182552621101457</v>
      </c>
      <c r="EL316" s="27" t="n">
        <f aca="false">1/(1+V_Ke)^((137-1)/12)</f>
        <v>0.18026726657485</v>
      </c>
      <c r="EM316" s="27" t="n">
        <f aca="false">1/(1+V_Ke)^((138-1)/12)</f>
        <v>0.178010522129438</v>
      </c>
      <c r="EN316" s="27" t="n">
        <f aca="false">1/(1+V_Ke)^((139-1)/12)</f>
        <v>0.175782029599023</v>
      </c>
      <c r="EO316" s="27" t="n">
        <f aca="false">1/(1+V_Ke)^((140-1)/12)</f>
        <v>0.173581435301245</v>
      </c>
      <c r="EP316" s="27" t="n">
        <f aca="false">1/(1+V_Ke)^((141-1)/12)</f>
        <v>0.171408389981451</v>
      </c>
      <c r="EQ316" s="27" t="n">
        <f aca="false">1/(1+V_Ke)^((142-1)/12)</f>
        <v>0.169262548757265</v>
      </c>
      <c r="ER316" s="27" t="n">
        <f aca="false">1/(1+V_Ke)^((143-1)/12)</f>
        <v>0.167143571063855</v>
      </c>
      <c r="ES316" s="27" t="n">
        <f aca="false">1/(1+V_Ke)^((144-1)/12)</f>
        <v>0.165051120599877</v>
      </c>
    </row>
    <row r="317" customFormat="false" ht="15" hidden="false" customHeight="false" outlineLevel="0" collapsed="false">
      <c r="A317" s="2" t="s">
        <v>952</v>
      </c>
      <c r="B317" s="6" t="s">
        <v>803</v>
      </c>
      <c r="C317" s="6" t="s">
        <v>250</v>
      </c>
      <c r="E317" s="40" t="n">
        <f aca="false">SUM(F317:ES317)</f>
        <v>14751245.7980366</v>
      </c>
      <c r="F317" s="34" t="n">
        <f aca="false">-F$294-(F$313-0)+F$309+IF(1=Fin,F$310+F$313+F$275-F$304,0)</f>
        <v>-767782</v>
      </c>
      <c r="G317" s="34" t="n">
        <f aca="false">-G$294-(G$313-F$313)+G$309+IF(2=Fin,G$310+G$313+G$275-G$304,0)</f>
        <v>0</v>
      </c>
      <c r="H317" s="34" t="n">
        <f aca="false">-H$294-(H$313-G$313)+H$309+IF(3=Fin,H$310+H$313+H$275-H$304,0)</f>
        <v>0</v>
      </c>
      <c r="I317" s="34" t="n">
        <f aca="false">-I$294-(I$313-H$313)+I$309+IF(4=Fin,I$310+I$313+I$275-I$304,0)</f>
        <v>0</v>
      </c>
      <c r="J317" s="34" t="n">
        <f aca="false">-J$294-(J$313-I$313)+J$309+IF(5=Fin,J$310+J$313+J$275-J$304,0)</f>
        <v>0</v>
      </c>
      <c r="K317" s="34" t="n">
        <f aca="false">-K$294-(K$313-J$313)+K$309+IF(6=Fin,K$310+K$313+K$275-K$304,0)</f>
        <v>0</v>
      </c>
      <c r="L317" s="34" t="n">
        <f aca="false">-L$294-(L$313-K$313)+L$309+IF(7=Fin,L$310+L$313+L$275-L$304,0)</f>
        <v>0</v>
      </c>
      <c r="M317" s="34" t="n">
        <f aca="false">-M$294-(M$313-L$313)+M$309+IF(8=Fin,M$310+M$313+M$275-M$304,0)</f>
        <v>0</v>
      </c>
      <c r="N317" s="34" t="n">
        <f aca="false">-N$294-(N$313-M$313)+N$309+IF(9=Fin,N$310+N$313+N$275-N$304,0)</f>
        <v>0</v>
      </c>
      <c r="O317" s="34" t="n">
        <f aca="false">-O$294-(O$313-N$313)+O$309+IF(10=Fin,O$310+O$313+O$275-O$304,0)</f>
        <v>0</v>
      </c>
      <c r="P317" s="34" t="n">
        <f aca="false">-P$294-(P$313-O$313)+P$309+IF(11=Fin,P$310+P$313+P$275-P$304,0)</f>
        <v>0</v>
      </c>
      <c r="Q317" s="34" t="n">
        <f aca="false">-Q$294-(Q$313-P$313)+Q$309+IF(12=Fin,Q$310+Q$313+Q$275-Q$304,0)</f>
        <v>0</v>
      </c>
      <c r="R317" s="34" t="n">
        <f aca="false">-R$294-(R$313-Q$313)+R$309+IF(13=Fin,R$310+R$313+R$275-R$304,0)</f>
        <v>-371928</v>
      </c>
      <c r="S317" s="34" t="n">
        <f aca="false">-S$294-(S$313-R$313)+S$309+IF(14=Fin,S$310+S$313+S$275-S$304,0)</f>
        <v>0</v>
      </c>
      <c r="T317" s="34" t="n">
        <f aca="false">-T$294-(T$313-S$313)+T$309+IF(15=Fin,T$310+T$313+T$275-T$304,0)</f>
        <v>0</v>
      </c>
      <c r="U317" s="34" t="n">
        <f aca="false">-U$294-(U$313-T$313)+U$309+IF(16=Fin,U$310+U$313+U$275-U$304,0)</f>
        <v>0</v>
      </c>
      <c r="V317" s="34" t="n">
        <f aca="false">-V$294-(V$313-U$313)+V$309+IF(17=Fin,V$310+V$313+V$275-V$304,0)</f>
        <v>0</v>
      </c>
      <c r="W317" s="34" t="n">
        <f aca="false">-W$294-(W$313-V$313)+W$309+IF(18=Fin,W$310+W$313+W$275-W$304,0)</f>
        <v>0</v>
      </c>
      <c r="X317" s="34" t="n">
        <f aca="false">-X$294-(X$313-W$313)+X$309+IF(19=Fin,X$310+X$313+X$275-X$304,0)</f>
        <v>0</v>
      </c>
      <c r="Y317" s="34" t="n">
        <f aca="false">-Y$294-(Y$313-X$313)+Y$309+IF(20=Fin,Y$310+Y$313+Y$275-Y$304,0)</f>
        <v>0</v>
      </c>
      <c r="Z317" s="34" t="n">
        <f aca="false">-Z$294-(Z$313-Y$313)+Z$309+IF(21=Fin,Z$310+Z$313+Z$275-Z$304,0)</f>
        <v>0</v>
      </c>
      <c r="AA317" s="34" t="n">
        <f aca="false">-AA$294-(AA$313-Z$313)+AA$309+IF(22=Fin,AA$310+AA$313+AA$275-AA$304,0)</f>
        <v>0</v>
      </c>
      <c r="AB317" s="34" t="n">
        <f aca="false">-AB$294-(AB$313-AA$313)+AB$309+IF(23=Fin,AB$310+AB$313+AB$275-AB$304,0)</f>
        <v>0</v>
      </c>
      <c r="AC317" s="34" t="n">
        <f aca="false">-AC$294-(AC$313-AB$313)+AC$309+IF(24=Fin,AC$310+AC$313+AC$275-AC$304,0)</f>
        <v>0</v>
      </c>
      <c r="AD317" s="34" t="n">
        <f aca="false">-AD$294-(AD$313-AC$313)+AD$309+IF(25=Fin,AD$310+AD$313+AD$275-AD$304,0)</f>
        <v>-311740.118672618</v>
      </c>
      <c r="AE317" s="34" t="n">
        <f aca="false">-AE$294-(AE$313-AD$313)+AE$309+IF(26=Fin,AE$310+AE$313+AE$275-AE$304,0)</f>
        <v>52573.6832870145</v>
      </c>
      <c r="AF317" s="34" t="n">
        <f aca="false">-AF$294-(AF$313-AE$313)+AF$309+IF(27=Fin,AF$310+AF$313+AF$275-AF$304,0)</f>
        <v>52610.0948845848</v>
      </c>
      <c r="AG317" s="34" t="n">
        <f aca="false">-AG$294-(AG$313-AF$313)+AG$309+IF(28=Fin,AG$310+AG$313+AG$275-AG$304,0)</f>
        <v>52646.7795691369</v>
      </c>
      <c r="AH317" s="34" t="n">
        <f aca="false">-AH$294-(AH$313-AG$313)+AH$309+IF(29=Fin,AH$310+AH$313+AH$275-AH$304,0)</f>
        <v>52683.7393888232</v>
      </c>
      <c r="AI317" s="34" t="n">
        <f aca="false">-AI$294-(AI$313-AH$313)+AI$309+IF(30=Fin,AI$310+AI$313+AI$275-AI$304,0)</f>
        <v>52720.9764071571</v>
      </c>
      <c r="AJ317" s="34" t="n">
        <f aca="false">-AJ$294-(AJ$313-AI$313)+AJ$309+IF(31=Fin,AJ$310+AJ$313+AJ$275-AJ$304,0)</f>
        <v>48504.8451359012</v>
      </c>
      <c r="AK317" s="34" t="n">
        <f aca="false">-AK$294-(AK$313-AJ$313)+AK$309+IF(32=Fin,AK$310+AK$313+AK$275-AK$304,0)</f>
        <v>0</v>
      </c>
      <c r="AL317" s="34" t="n">
        <f aca="false">-AL$294-(AL$313-AK$313)+AL$309+IF(33=Fin,AL$310+AL$313+AL$275-AL$304,0)</f>
        <v>0</v>
      </c>
      <c r="AM317" s="34" t="n">
        <f aca="false">-AM$294-(AM$313-AL$313)+AM$309+IF(34=Fin,AM$310+AM$313+AM$275-AM$304,0)</f>
        <v>0</v>
      </c>
      <c r="AN317" s="34" t="n">
        <f aca="false">-AN$294-(AN$313-AM$313)+AN$309+IF(35=Fin,AN$310+AN$313+AN$275-AN$304,0)</f>
        <v>0</v>
      </c>
      <c r="AO317" s="34" t="n">
        <f aca="false">-AO$294-(AO$313-AN$313)+AO$309+IF(36=Fin,AO$310+AO$313+AO$275-AO$304,0)</f>
        <v>0</v>
      </c>
      <c r="AP317" s="34" t="n">
        <f aca="false">-AP$294-(AP$313-AO$313)+AP$309+IF(37=Fin,AP$310+AP$313+AP$275-AP$304,0)</f>
        <v>-204392.169462804</v>
      </c>
      <c r="AQ317" s="34" t="n">
        <f aca="false">-AQ$294-(AQ$313-AP$313)+AQ$309+IF(38=Fin,AQ$310+AQ$313+AQ$275-AQ$304,0)</f>
        <v>85837.6535027239</v>
      </c>
      <c r="AR317" s="34" t="n">
        <f aca="false">-AR$294-(AR$313-AQ$313)+AR$309+IF(39=Fin,AR$310+AR$313+AR$275-AR$304,0)</f>
        <v>85877.4807593016</v>
      </c>
      <c r="AS317" s="34" t="n">
        <f aca="false">-AS$294-(AS$313-AR$313)+AS$309+IF(40=Fin,AS$310+AS$313+AS$275-AS$304,0)</f>
        <v>32677.0352007788</v>
      </c>
      <c r="AT317" s="34" t="n">
        <f aca="false">-AT$294-(AT$313-AS$313)+AT$309+IF(41=Fin,AT$310+AT$313+AT$275-AT$304,0)</f>
        <v>0</v>
      </c>
      <c r="AU317" s="34" t="n">
        <f aca="false">-AU$294-(AU$313-AT$313)+AU$309+IF(42=Fin,AU$310+AU$313+AU$275-AU$304,0)</f>
        <v>0</v>
      </c>
      <c r="AV317" s="34" t="n">
        <f aca="false">-AV$294-(AV$313-AU$313)+AV$309+IF(43=Fin,AV$310+AV$313+AV$275-AV$304,0)</f>
        <v>0</v>
      </c>
      <c r="AW317" s="34" t="n">
        <f aca="false">-AW$294-(AW$313-AV$313)+AW$309+IF(44=Fin,AW$310+AW$313+AW$275-AW$304,0)</f>
        <v>0</v>
      </c>
      <c r="AX317" s="34" t="n">
        <f aca="false">-AX$294-(AX$313-AW$313)+AX$309+IF(45=Fin,AX$310+AX$313+AX$275-AX$304,0)</f>
        <v>0</v>
      </c>
      <c r="AY317" s="34" t="n">
        <f aca="false">-AY$294-(AY$313-AX$313)+AY$309+IF(46=Fin,AY$310+AY$313+AY$275-AY$304,0)</f>
        <v>0</v>
      </c>
      <c r="AZ317" s="34" t="n">
        <f aca="false">-AZ$294-(AZ$313-AY$313)+AZ$309+IF(47=Fin,AZ$310+AZ$313+AZ$275-AZ$304,0)</f>
        <v>0</v>
      </c>
      <c r="BA317" s="34" t="n">
        <f aca="false">-BA$294-(BA$313-AZ$313)+BA$309+IF(48=Fin,BA$310+BA$313+BA$275-BA$304,0)</f>
        <v>0</v>
      </c>
      <c r="BB317" s="34" t="n">
        <f aca="false">-BB$294-(BB$313-BA$313)+BB$309+IF(49=Fin,BB$310+BB$313+BB$275-BB$304,0)</f>
        <v>0</v>
      </c>
      <c r="BC317" s="34" t="n">
        <f aca="false">-BC$294-(BC$313-BB$313)+BC$309+IF(50=Fin,BC$310+BC$313+BC$275-BC$304,0)</f>
        <v>0</v>
      </c>
      <c r="BD317" s="34" t="n">
        <f aca="false">-BD$294-(BD$313-BC$313)+BD$309+IF(51=Fin,BD$310+BD$313+BD$275-BD$304,0)</f>
        <v>0</v>
      </c>
      <c r="BE317" s="34" t="n">
        <f aca="false">-BE$294-(BE$313-BD$313)+BE$309+IF(52=Fin,BE$310+BE$313+BE$275-BE$304,0)</f>
        <v>804953.378380922</v>
      </c>
      <c r="BF317" s="34" t="n">
        <f aca="false">-BF$294-(BF$313-BE$313)+BF$309+IF(53=Fin,BF$310+BF$313+BF$275-BF$304,0)</f>
        <v>0</v>
      </c>
      <c r="BG317" s="34" t="n">
        <f aca="false">-BG$294-(BG$313-BF$313)+BG$309+IF(54=Fin,BG$310+BG$313+BG$275-BG$304,0)</f>
        <v>0</v>
      </c>
      <c r="BH317" s="34" t="n">
        <f aca="false">-BH$294-(BH$313-BG$313)+BH$309+IF(55=Fin,BH$310+BH$313+BH$275-BH$304,0)</f>
        <v>0</v>
      </c>
      <c r="BI317" s="34" t="n">
        <f aca="false">-BI$294-(BI$313-BH$313)+BI$309+IF(56=Fin,BI$310+BI$313+BI$275-BI$304,0)</f>
        <v>0</v>
      </c>
      <c r="BJ317" s="34" t="n">
        <f aca="false">-BJ$294-(BJ$313-BI$313)+BJ$309+IF(57=Fin,BJ$310+BJ$313+BJ$275-BJ$304,0)</f>
        <v>0</v>
      </c>
      <c r="BK317" s="34" t="n">
        <f aca="false">-BK$294-(BK$313-BJ$313)+BK$309+IF(58=Fin,BK$310+BK$313+BK$275-BK$304,0)</f>
        <v>0</v>
      </c>
      <c r="BL317" s="34" t="n">
        <f aca="false">-BL$294-(BL$313-BK$313)+BL$309+IF(59=Fin,BL$310+BL$313+BL$275-BL$304,0)</f>
        <v>0</v>
      </c>
      <c r="BM317" s="34" t="n">
        <f aca="false">-BM$294-(BM$313-BL$313)+BM$309+IF(60=Fin,BM$310+BM$313+BM$275-BM$304,0)</f>
        <v>0</v>
      </c>
      <c r="BN317" s="34" t="n">
        <f aca="false">-BN$294-(BN$313-BM$313)+BN$309+IF(61=Fin,BN$310+BN$313+BN$275-BN$304,0)</f>
        <v>0</v>
      </c>
      <c r="BO317" s="34" t="n">
        <f aca="false">-BO$294-(BO$313-BN$313)+BO$309+IF(62=Fin,BO$310+BO$313+BO$275-BO$304,0)</f>
        <v>0</v>
      </c>
      <c r="BP317" s="34" t="n">
        <f aca="false">-BP$294-(BP$313-BO$313)+BP$309+IF(63=Fin,BP$310+BP$313+BP$275-BP$304,0)</f>
        <v>0</v>
      </c>
      <c r="BQ317" s="34" t="n">
        <f aca="false">-BQ$294-(BQ$313-BP$313)+BQ$309+IF(64=Fin,BQ$310+BQ$313+BQ$275-BQ$304,0)</f>
        <v>1463926.54436822</v>
      </c>
      <c r="BR317" s="34" t="n">
        <f aca="false">-BR$294-(BR$313-BQ$313)+BR$309+IF(65=Fin,BR$310+BR$313+BR$275-BR$304,0)</f>
        <v>0</v>
      </c>
      <c r="BS317" s="34" t="n">
        <f aca="false">-BS$294-(BS$313-BR$313)+BS$309+IF(66=Fin,BS$310+BS$313+BS$275-BS$304,0)</f>
        <v>0</v>
      </c>
      <c r="BT317" s="34" t="n">
        <f aca="false">-BT$294-(BT$313-BS$313)+BT$309+IF(67=Fin,BT$310+BT$313+BT$275-BT$304,0)</f>
        <v>0</v>
      </c>
      <c r="BU317" s="34" t="n">
        <f aca="false">-BU$294-(BU$313-BT$313)+BU$309+IF(68=Fin,BU$310+BU$313+BU$275-BU$304,0)</f>
        <v>0</v>
      </c>
      <c r="BV317" s="34" t="n">
        <f aca="false">-BV$294-(BV$313-BU$313)+BV$309+IF(69=Fin,BV$310+BV$313+BV$275-BV$304,0)</f>
        <v>0</v>
      </c>
      <c r="BW317" s="34" t="n">
        <f aca="false">-BW$294-(BW$313-BV$313)+BW$309+IF(70=Fin,BW$310+BW$313+BW$275-BW$304,0)</f>
        <v>0</v>
      </c>
      <c r="BX317" s="34" t="n">
        <f aca="false">-BX$294-(BX$313-BW$313)+BX$309+IF(71=Fin,BX$310+BX$313+BX$275-BX$304,0)</f>
        <v>0</v>
      </c>
      <c r="BY317" s="34" t="n">
        <f aca="false">-BY$294-(BY$313-BX$313)+BY$309+IF(72=Fin,BY$310+BY$313+BY$275-BY$304,0)</f>
        <v>0</v>
      </c>
      <c r="BZ317" s="34" t="n">
        <f aca="false">-BZ$294-(BZ$313-BY$313)+BZ$309+IF(73=Fin,BZ$310+BZ$313+BZ$275-BZ$304,0)</f>
        <v>0</v>
      </c>
      <c r="CA317" s="34" t="n">
        <f aca="false">-CA$294-(CA$313-BZ$313)+CA$309+IF(74=Fin,CA$310+CA$313+CA$275-CA$304,0)</f>
        <v>0</v>
      </c>
      <c r="CB317" s="34" t="n">
        <f aca="false">-CB$294-(CB$313-CA$313)+CB$309+IF(75=Fin,CB$310+CB$313+CB$275-CB$304,0)</f>
        <v>0</v>
      </c>
      <c r="CC317" s="34" t="n">
        <f aca="false">-CC$294-(CC$313-CB$313)+CC$309+IF(76=Fin,CC$310+CC$313+CC$275-CC$304,0)</f>
        <v>1794188.69257391</v>
      </c>
      <c r="CD317" s="34" t="n">
        <f aca="false">-CD$294-(CD$313-CC$313)+CD$309+IF(77=Fin,CD$310+CD$313+CD$275-CD$304,0)</f>
        <v>0</v>
      </c>
      <c r="CE317" s="34" t="n">
        <f aca="false">-CE$294-(CE$313-CD$313)+CE$309+IF(78=Fin,CE$310+CE$313+CE$275-CE$304,0)</f>
        <v>0</v>
      </c>
      <c r="CF317" s="34" t="n">
        <f aca="false">-CF$294-(CF$313-CE$313)+CF$309+IF(79=Fin,CF$310+CF$313+CF$275-CF$304,0)</f>
        <v>0</v>
      </c>
      <c r="CG317" s="34" t="n">
        <f aca="false">-CG$294-(CG$313-CF$313)+CG$309+IF(80=Fin,CG$310+CG$313+CG$275-CG$304,0)</f>
        <v>0</v>
      </c>
      <c r="CH317" s="34" t="n">
        <f aca="false">-CH$294-(CH$313-CG$313)+CH$309+IF(81=Fin,CH$310+CH$313+CH$275-CH$304,0)</f>
        <v>0</v>
      </c>
      <c r="CI317" s="34" t="n">
        <f aca="false">-CI$294-(CI$313-CH$313)+CI$309+IF(82=Fin,CI$310+CI$313+CI$275-CI$304,0)</f>
        <v>0</v>
      </c>
      <c r="CJ317" s="34" t="n">
        <f aca="false">-CJ$294-(CJ$313-CI$313)+CJ$309+IF(83=Fin,CJ$310+CJ$313+CJ$275-CJ$304,0)</f>
        <v>0</v>
      </c>
      <c r="CK317" s="34" t="n">
        <f aca="false">-CK$294-(CK$313-CJ$313)+CK$309+IF(84=Fin,CK$310+CK$313+CK$275-CK$304,0)</f>
        <v>0</v>
      </c>
      <c r="CL317" s="34" t="n">
        <f aca="false">-CL$294-(CL$313-CK$313)+CL$309+IF(85=Fin,CL$310+CL$313+CL$275-CL$304,0)</f>
        <v>0</v>
      </c>
      <c r="CM317" s="34" t="n">
        <f aca="false">-CM$294-(CM$313-CL$313)+CM$309+IF(86=Fin,CM$310+CM$313+CM$275-CM$304,0)</f>
        <v>0</v>
      </c>
      <c r="CN317" s="34" t="n">
        <f aca="false">-CN$294-(CN$313-CM$313)+CN$309+IF(87=Fin,CN$310+CN$313+CN$275-CN$304,0)</f>
        <v>0</v>
      </c>
      <c r="CO317" s="34" t="n">
        <f aca="false">-CO$294-(CO$313-CN$313)+CO$309+IF(88=Fin,CO$310+CO$313+CO$275-CO$304,0)</f>
        <v>1843575.6608728</v>
      </c>
      <c r="CP317" s="34" t="n">
        <f aca="false">-CP$294-(CP$313-CO$313)+CP$309+IF(89=Fin,CP$310+CP$313+CP$275-CP$304,0)</f>
        <v>0</v>
      </c>
      <c r="CQ317" s="34" t="n">
        <f aca="false">-CQ$294-(CQ$313-CP$313)+CQ$309+IF(90=Fin,CQ$310+CQ$313+CQ$275-CQ$304,0)</f>
        <v>0</v>
      </c>
      <c r="CR317" s="34" t="n">
        <f aca="false">-CR$294-(CR$313-CQ$313)+CR$309+IF(91=Fin,CR$310+CR$313+CR$275-CR$304,0)</f>
        <v>0</v>
      </c>
      <c r="CS317" s="34" t="n">
        <f aca="false">-CS$294-(CS$313-CR$313)+CS$309+IF(92=Fin,CS$310+CS$313+CS$275-CS$304,0)</f>
        <v>0</v>
      </c>
      <c r="CT317" s="34" t="n">
        <f aca="false">-CT$294-(CT$313-CS$313)+CT$309+IF(93=Fin,CT$310+CT$313+CT$275-CT$304,0)</f>
        <v>0</v>
      </c>
      <c r="CU317" s="34" t="n">
        <f aca="false">-CU$294-(CU$313-CT$313)+CU$309+IF(94=Fin,CU$310+CU$313+CU$275-CU$304,0)</f>
        <v>0</v>
      </c>
      <c r="CV317" s="34" t="n">
        <f aca="false">-CV$294-(CV$313-CU$313)+CV$309+IF(95=Fin,CV$310+CV$313+CV$275-CV$304,0)</f>
        <v>0</v>
      </c>
      <c r="CW317" s="34" t="n">
        <f aca="false">-CW$294-(CW$313-CV$313)+CW$309+IF(96=Fin,CW$310+CW$313+CW$275-CW$304,0)</f>
        <v>0</v>
      </c>
      <c r="CX317" s="34" t="n">
        <f aca="false">-CX$294-(CX$313-CW$313)+CX$309+IF(97=Fin,CX$310+CX$313+CX$275-CX$304,0)</f>
        <v>0</v>
      </c>
      <c r="CY317" s="34" t="n">
        <f aca="false">-CY$294-(CY$313-CX$313)+CY$309+IF(98=Fin,CY$310+CY$313+CY$275-CY$304,0)</f>
        <v>0</v>
      </c>
      <c r="CZ317" s="34" t="n">
        <f aca="false">-CZ$294-(CZ$313-CY$313)+CZ$309+IF(99=Fin,CZ$310+CZ$313+CZ$275-CZ$304,0)</f>
        <v>0</v>
      </c>
      <c r="DA317" s="34" t="n">
        <f aca="false">-DA$294-(DA$313-CZ$313)+DA$309+IF(100=Fin,DA$310+DA$313+DA$275-DA$304,0)</f>
        <v>1893301.21355545</v>
      </c>
      <c r="DB317" s="34" t="n">
        <f aca="false">-DB$294-(DB$313-DA$313)+DB$309+IF(101=Fin,DB$310+DB$313+DB$275-DB$304,0)</f>
        <v>0</v>
      </c>
      <c r="DC317" s="34" t="n">
        <f aca="false">-DC$294-(DC$313-DB$313)+DC$309+IF(102=Fin,DC$310+DC$313+DC$275-DC$304,0)</f>
        <v>0</v>
      </c>
      <c r="DD317" s="34" t="n">
        <f aca="false">-DD$294-(DD$313-DC$313)+DD$309+IF(103=Fin,DD$310+DD$313+DD$275-DD$304,0)</f>
        <v>0</v>
      </c>
      <c r="DE317" s="34" t="n">
        <f aca="false">-DE$294-(DE$313-DD$313)+DE$309+IF(104=Fin,DE$310+DE$313+DE$275-DE$304,0)</f>
        <v>0</v>
      </c>
      <c r="DF317" s="34" t="n">
        <f aca="false">-DF$294-(DF$313-DE$313)+DF$309+IF(105=Fin,DF$310+DF$313+DF$275-DF$304,0)</f>
        <v>0</v>
      </c>
      <c r="DG317" s="34" t="n">
        <f aca="false">-DG$294-(DG$313-DF$313)+DG$309+IF(106=Fin,DG$310+DG$313+DG$275-DG$304,0)</f>
        <v>0</v>
      </c>
      <c r="DH317" s="34" t="n">
        <f aca="false">-DH$294-(DH$313-DG$313)+DH$309+IF(107=Fin,DH$310+DH$313+DH$275-DH$304,0)</f>
        <v>0</v>
      </c>
      <c r="DI317" s="34" t="n">
        <f aca="false">-DI$294-(DI$313-DH$313)+DI$309+IF(108=Fin,DI$310+DI$313+DI$275-DI$304,0)</f>
        <v>0</v>
      </c>
      <c r="DJ317" s="34" t="n">
        <f aca="false">-DJ$294-(DJ$313-DI$313)+DJ$309+IF(109=Fin,DJ$310+DJ$313+DJ$275-DJ$304,0)</f>
        <v>0</v>
      </c>
      <c r="DK317" s="34" t="n">
        <f aca="false">-DK$294-(DK$313-DJ$313)+DK$309+IF(110=Fin,DK$310+DK$313+DK$275-DK$304,0)</f>
        <v>0</v>
      </c>
      <c r="DL317" s="34" t="n">
        <f aca="false">-DL$294-(DL$313-DK$313)+DL$309+IF(111=Fin,DL$310+DL$313+DL$275-DL$304,0)</f>
        <v>0</v>
      </c>
      <c r="DM317" s="34" t="n">
        <f aca="false">-DM$294-(DM$313-DL$313)+DM$309+IF(112=Fin,DM$310+DM$313+DM$275-DM$304,0)</f>
        <v>1943364.14678689</v>
      </c>
      <c r="DN317" s="34" t="n">
        <f aca="false">-DN$294-(DN$313-DM$313)+DN$309+IF(113=Fin,DN$310+DN$313+DN$275-DN$304,0)</f>
        <v>0</v>
      </c>
      <c r="DO317" s="34" t="n">
        <f aca="false">-DO$294-(DO$313-DN$313)+DO$309+IF(114=Fin,DO$310+DO$313+DO$275-DO$304,0)</f>
        <v>0</v>
      </c>
      <c r="DP317" s="34" t="n">
        <f aca="false">-DP$294-(DP$313-DO$313)+DP$309+IF(115=Fin,DP$310+DP$313+DP$275-DP$304,0)</f>
        <v>0</v>
      </c>
      <c r="DQ317" s="34" t="n">
        <f aca="false">-DQ$294-(DQ$313-DP$313)+DQ$309+IF(116=Fin,DQ$310+DQ$313+DQ$275-DQ$304,0)</f>
        <v>0</v>
      </c>
      <c r="DR317" s="34" t="n">
        <f aca="false">-DR$294-(DR$313-DQ$313)+DR$309+IF(117=Fin,DR$310+DR$313+DR$275-DR$304,0)</f>
        <v>0</v>
      </c>
      <c r="DS317" s="34" t="n">
        <f aca="false">-DS$294-(DS$313-DR$313)+DS$309+IF(118=Fin,DS$310+DS$313+DS$275-DS$304,0)</f>
        <v>0</v>
      </c>
      <c r="DT317" s="34" t="n">
        <f aca="false">-DT$294-(DT$313-DS$313)+DT$309+IF(119=Fin,DT$310+DT$313+DT$275-DT$304,0)</f>
        <v>0</v>
      </c>
      <c r="DU317" s="34" t="n">
        <f aca="false">-DU$294-(DU$313-DT$313)+DU$309+IF(120=Fin,DU$310+DU$313+DU$275-DU$304,0)</f>
        <v>6147646.16149837</v>
      </c>
      <c r="DV317" s="34" t="n">
        <f aca="false">-DV$294-(DV$313-DU$313)+DV$309+IF(121=Fin,DV$310+DV$313+DV$275-DV$304,0)</f>
        <v>0</v>
      </c>
      <c r="DW317" s="34" t="n">
        <f aca="false">-DW$294-(DW$313-DV$313)+DW$309+IF(122=Fin,DW$310+DW$313+DW$275-DW$304,0)</f>
        <v>0</v>
      </c>
      <c r="DX317" s="34" t="n">
        <f aca="false">-DX$294-(DX$313-DW$313)+DX$309+IF(123=Fin,DX$310+DX$313+DX$275-DX$304,0)</f>
        <v>0</v>
      </c>
      <c r="DY317" s="34" t="n">
        <f aca="false">-DY$294-(DY$313-DX$313)+DY$309+IF(124=Fin,DY$310+DY$313+DY$275-DY$304,0)</f>
        <v>0</v>
      </c>
      <c r="DZ317" s="34" t="n">
        <f aca="false">-DZ$294-(DZ$313-DY$313)+DZ$309+IF(125=Fin,DZ$310+DZ$313+DZ$275-DZ$304,0)</f>
        <v>0</v>
      </c>
      <c r="EA317" s="34" t="n">
        <f aca="false">-EA$294-(EA$313-DZ$313)+EA$309+IF(126=Fin,EA$310+EA$313+EA$275-EA$304,0)</f>
        <v>0</v>
      </c>
      <c r="EB317" s="34" t="n">
        <f aca="false">-EB$294-(EB$313-EA$313)+EB$309+IF(127=Fin,EB$310+EB$313+EB$275-EB$304,0)</f>
        <v>0</v>
      </c>
      <c r="EC317" s="34" t="n">
        <f aca="false">-EC$294-(EC$313-EB$313)+EC$309+IF(128=Fin,EC$310+EC$313+EC$275-EC$304,0)</f>
        <v>0</v>
      </c>
      <c r="ED317" s="34" t="n">
        <f aca="false">-ED$294-(ED$313-EC$313)+ED$309+IF(129=Fin,ED$310+ED$313+ED$275-ED$304,0)</f>
        <v>0</v>
      </c>
      <c r="EE317" s="34" t="n">
        <f aca="false">-EE$294-(EE$313-ED$313)+EE$309+IF(130=Fin,EE$310+EE$313+EE$275-EE$304,0)</f>
        <v>0</v>
      </c>
      <c r="EF317" s="34" t="n">
        <f aca="false">-EF$294-(EF$313-EE$313)+EF$309+IF(131=Fin,EF$310+EF$313+EF$275-EF$304,0)</f>
        <v>0</v>
      </c>
      <c r="EG317" s="34" t="n">
        <f aca="false">-EG$294-(EG$313-EF$313)+EG$309+IF(132=Fin,EG$310+EG$313+EG$275-EG$304,0)</f>
        <v>0</v>
      </c>
      <c r="EH317" s="34" t="n">
        <f aca="false">-EH$294-(EH$313-EG$313)+EH$309+IF(133=Fin,EH$310+EH$313+EH$275-EH$304,0)</f>
        <v>0</v>
      </c>
      <c r="EI317" s="34" t="n">
        <f aca="false">-EI$294-(EI$313-EH$313)+EI$309+IF(134=Fin,EI$310+EI$313+EI$275-EI$304,0)</f>
        <v>0</v>
      </c>
      <c r="EJ317" s="34" t="n">
        <f aca="false">-EJ$294-(EJ$313-EI$313)+EJ$309+IF(135=Fin,EJ$310+EJ$313+EJ$275-EJ$304,0)</f>
        <v>0</v>
      </c>
      <c r="EK317" s="34" t="n">
        <f aca="false">-EK$294-(EK$313-EJ$313)+EK$309+IF(136=Fin,EK$310+EK$313+EK$275-EK$304,0)</f>
        <v>0</v>
      </c>
      <c r="EL317" s="34" t="n">
        <f aca="false">-EL$294-(EL$313-EK$313)+EL$309+IF(137=Fin,EL$310+EL$313+EL$275-EL$304,0)</f>
        <v>0</v>
      </c>
      <c r="EM317" s="34" t="n">
        <f aca="false">-EM$294-(EM$313-EL$313)+EM$309+IF(138=Fin,EM$310+EM$313+EM$275-EM$304,0)</f>
        <v>0</v>
      </c>
      <c r="EN317" s="34" t="n">
        <f aca="false">-EN$294-(EN$313-EM$313)+EN$309+IF(139=Fin,EN$310+EN$313+EN$275-EN$304,0)</f>
        <v>0</v>
      </c>
      <c r="EO317" s="34" t="n">
        <f aca="false">-EO$294-(EO$313-EN$313)+EO$309+IF(140=Fin,EO$310+EO$313+EO$275-EO$304,0)</f>
        <v>0</v>
      </c>
      <c r="EP317" s="34" t="n">
        <f aca="false">-EP$294-(EP$313-EO$313)+EP$309+IF(141=Fin,EP$310+EP$313+EP$275-EP$304,0)</f>
        <v>0</v>
      </c>
      <c r="EQ317" s="34" t="n">
        <f aca="false">-EQ$294-(EQ$313-EP$313)+EQ$309+IF(142=Fin,EQ$310+EQ$313+EQ$275-EQ$304,0)</f>
        <v>0</v>
      </c>
      <c r="ER317" s="34" t="n">
        <f aca="false">-ER$294-(ER$313-EQ$313)+ER$309+IF(143=Fin,ER$310+ER$313+ER$275-ER$304,0)</f>
        <v>0</v>
      </c>
      <c r="ES317" s="34" t="n">
        <f aca="false">-ES$294-(ES$313-ER$313)+ES$309+IF(144=Fin,ES$310+ES$313+ES$275-ES$304,0)</f>
        <v>0</v>
      </c>
    </row>
    <row r="318" customFormat="false" ht="15" hidden="false" customHeight="false" outlineLevel="0" collapsed="false">
      <c r="A318" s="2" t="s">
        <v>953</v>
      </c>
      <c r="B318" s="6" t="s">
        <v>805</v>
      </c>
      <c r="C318" s="6" t="s">
        <v>250</v>
      </c>
      <c r="E318" s="40" t="n">
        <f aca="false">INDEX(F318:ES318,1,MIN(144,Fin))</f>
        <v>15564459.926261</v>
      </c>
      <c r="F318" s="34" t="n">
        <f aca="false">0+F$276</f>
        <v>-3000610.47688344</v>
      </c>
      <c r="G318" s="34" t="n">
        <f aca="false">F$318+G$276</f>
        <v>-2958112.97640785</v>
      </c>
      <c r="H318" s="34" t="n">
        <f aca="false">G$318+H$276</f>
        <v>-2915615.47593226</v>
      </c>
      <c r="I318" s="34" t="n">
        <f aca="false">H$318+I$276</f>
        <v>-2873117.97545667</v>
      </c>
      <c r="J318" s="34" t="n">
        <f aca="false">I$318+J$276</f>
        <v>-2830620.47498108</v>
      </c>
      <c r="K318" s="34" t="n">
        <f aca="false">J$318+K$276</f>
        <v>-2788122.97450549</v>
      </c>
      <c r="L318" s="34" t="n">
        <f aca="false">K$318+L$276</f>
        <v>-2745625.4740299</v>
      </c>
      <c r="M318" s="34" t="n">
        <f aca="false">L$318+M$276</f>
        <v>-2703127.97355431</v>
      </c>
      <c r="N318" s="34" t="n">
        <f aca="false">M$318+N$276</f>
        <v>-2660630.47307872</v>
      </c>
      <c r="O318" s="34" t="n">
        <f aca="false">N$318+O$276</f>
        <v>-2618132.97260313</v>
      </c>
      <c r="P318" s="34" t="n">
        <f aca="false">O$318+P$276</f>
        <v>-2575635.47212754</v>
      </c>
      <c r="Q318" s="34" t="n">
        <f aca="false">P$318+Q$276</f>
        <v>-2533137.97165195</v>
      </c>
      <c r="R318" s="34" t="n">
        <f aca="false">Q$318+R$276</f>
        <v>-3207787.01305363</v>
      </c>
      <c r="S318" s="34" t="n">
        <f aca="false">R$318+S$276</f>
        <v>-3127290.61005967</v>
      </c>
      <c r="T318" s="34" t="n">
        <f aca="false">S$318+T$276</f>
        <v>-3046794.2070657</v>
      </c>
      <c r="U318" s="34" t="n">
        <f aca="false">T$318+U$276</f>
        <v>-2966297.80407174</v>
      </c>
      <c r="V318" s="34" t="n">
        <f aca="false">U$318+V$276</f>
        <v>-2885801.40107777</v>
      </c>
      <c r="W318" s="34" t="n">
        <f aca="false">V$318+W$276</f>
        <v>-2805304.99808381</v>
      </c>
      <c r="X318" s="34" t="n">
        <f aca="false">W$318+X$276</f>
        <v>-2724808.59508984</v>
      </c>
      <c r="Y318" s="34" t="n">
        <f aca="false">X$318+Y$276</f>
        <v>-2644312.19209588</v>
      </c>
      <c r="Z318" s="34" t="n">
        <f aca="false">Y$318+Z$276</f>
        <v>-2563815.78910191</v>
      </c>
      <c r="AA318" s="34" t="n">
        <f aca="false">Z$318+AA$276</f>
        <v>-2483319.38610795</v>
      </c>
      <c r="AB318" s="34" t="n">
        <f aca="false">AA$318+AB$276</f>
        <v>-2402822.98311398</v>
      </c>
      <c r="AC318" s="34" t="n">
        <f aca="false">AB$318+AC$276</f>
        <v>-2322326.58012002</v>
      </c>
      <c r="AD318" s="34" t="n">
        <f aca="false">AC$318+AD$276</f>
        <v>-2872568.47988732</v>
      </c>
      <c r="AE318" s="34" t="n">
        <f aca="false">AD$318+AE$276</f>
        <v>-2755483.44902219</v>
      </c>
      <c r="AF318" s="34" t="n">
        <f aca="false">AE$318+AF$276</f>
        <v>-2638398.41815707</v>
      </c>
      <c r="AG318" s="34" t="n">
        <f aca="false">AF$318+AG$276</f>
        <v>-2521313.38729194</v>
      </c>
      <c r="AH318" s="34" t="n">
        <f aca="false">AG$318+AH$276</f>
        <v>-2404228.35642682</v>
      </c>
      <c r="AI318" s="34" t="n">
        <f aca="false">AH$318+AI$276</f>
        <v>-2287143.32556169</v>
      </c>
      <c r="AJ318" s="34" t="n">
        <f aca="false">AI$318+AJ$276</f>
        <v>-2170058.29469657</v>
      </c>
      <c r="AK318" s="34" t="n">
        <f aca="false">AJ$318+AK$276</f>
        <v>-2052973.26383144</v>
      </c>
      <c r="AL318" s="34" t="n">
        <f aca="false">AK$318+AL$276</f>
        <v>-1935888.23296632</v>
      </c>
      <c r="AM318" s="34" t="n">
        <f aca="false">AL$318+AM$276</f>
        <v>-1818803.20210119</v>
      </c>
      <c r="AN318" s="34" t="n">
        <f aca="false">AM$318+AN$276</f>
        <v>-1701718.17123607</v>
      </c>
      <c r="AO318" s="34" t="n">
        <f aca="false">AN$318+AO$276</f>
        <v>-1584633.14037094</v>
      </c>
      <c r="AP318" s="34" t="n">
        <f aca="false">AO$318+AP$276</f>
        <v>-1993548.6304244</v>
      </c>
      <c r="AQ318" s="34" t="n">
        <f aca="false">AP$318+AQ$276</f>
        <v>-1843655.05054454</v>
      </c>
      <c r="AR318" s="34" t="n">
        <f aca="false">AQ$318+AR$276</f>
        <v>-1693761.47066468</v>
      </c>
      <c r="AS318" s="34" t="n">
        <f aca="false">AR$318+AS$276</f>
        <v>-1543867.89078482</v>
      </c>
      <c r="AT318" s="34" t="n">
        <f aca="false">AS$318+AT$276</f>
        <v>-1393974.31090497</v>
      </c>
      <c r="AU318" s="34" t="n">
        <f aca="false">AT$318+AU$276</f>
        <v>-1244080.73102511</v>
      </c>
      <c r="AV318" s="34" t="n">
        <f aca="false">AU$318+AV$276</f>
        <v>-1094187.15114525</v>
      </c>
      <c r="AW318" s="34" t="n">
        <f aca="false">AV$318+AW$276</f>
        <v>-944293.571265391</v>
      </c>
      <c r="AX318" s="34" t="n">
        <f aca="false">AW$318+AX$276</f>
        <v>-794399.991385533</v>
      </c>
      <c r="AY318" s="34" t="n">
        <f aca="false">AX$318+AY$276</f>
        <v>-644506.411505674</v>
      </c>
      <c r="AZ318" s="34" t="n">
        <f aca="false">AY$318+AZ$276</f>
        <v>-494612.831625816</v>
      </c>
      <c r="BA318" s="34" t="n">
        <f aca="false">AZ$318+BA$276</f>
        <v>-344719.251745958</v>
      </c>
      <c r="BB318" s="34" t="n">
        <f aca="false">BA$318+BB$276</f>
        <v>-231615.634575444</v>
      </c>
      <c r="BC318" s="34" t="n">
        <f aca="false">BB$318+BC$276</f>
        <v>-80402.4696990702</v>
      </c>
      <c r="BD318" s="34" t="n">
        <f aca="false">BC$318+BD$276</f>
        <v>70810.6951773035</v>
      </c>
      <c r="BE318" s="34" t="n">
        <f aca="false">BD$318+BE$276</f>
        <v>222023.860053677</v>
      </c>
      <c r="BF318" s="34" t="n">
        <f aca="false">BE$318+BF$276</f>
        <v>373237.024930051</v>
      </c>
      <c r="BG318" s="34" t="n">
        <f aca="false">BF$318+BG$276</f>
        <v>524450.189806425</v>
      </c>
      <c r="BH318" s="34" t="n">
        <f aca="false">BG$318+BH$276</f>
        <v>675663.354682798</v>
      </c>
      <c r="BI318" s="34" t="n">
        <f aca="false">BH$318+BI$276</f>
        <v>826876.519559172</v>
      </c>
      <c r="BJ318" s="34" t="n">
        <f aca="false">BI$318+BJ$276</f>
        <v>978089.684435546</v>
      </c>
      <c r="BK318" s="34" t="n">
        <f aca="false">BJ$318+BK$276</f>
        <v>1129302.84931192</v>
      </c>
      <c r="BL318" s="34" t="n">
        <f aca="false">BK$318+BL$276</f>
        <v>1280516.01418829</v>
      </c>
      <c r="BM318" s="34" t="n">
        <f aca="false">BL$318+BM$276</f>
        <v>1431729.17906467</v>
      </c>
      <c r="BN318" s="34" t="n">
        <f aca="false">BM$318+BN$276</f>
        <v>1549304.7643939</v>
      </c>
      <c r="BO318" s="34" t="n">
        <f aca="false">BN$318+BO$276</f>
        <v>1704605.20619172</v>
      </c>
      <c r="BP318" s="34" t="n">
        <f aca="false">BO$318+BP$276</f>
        <v>1859905.64798955</v>
      </c>
      <c r="BQ318" s="34" t="n">
        <f aca="false">BP$318+BQ$276</f>
        <v>2015206.08978738</v>
      </c>
      <c r="BR318" s="34" t="n">
        <f aca="false">BQ$318+BR$276</f>
        <v>2170506.5315852</v>
      </c>
      <c r="BS318" s="34" t="n">
        <f aca="false">BR$318+BS$276</f>
        <v>2325806.97338303</v>
      </c>
      <c r="BT318" s="34" t="n">
        <f aca="false">BS$318+BT$276</f>
        <v>2481107.41518085</v>
      </c>
      <c r="BU318" s="34" t="n">
        <f aca="false">BT$318+BU$276</f>
        <v>2636407.85697868</v>
      </c>
      <c r="BV318" s="34" t="n">
        <f aca="false">BU$318+BV$276</f>
        <v>2791708.29877651</v>
      </c>
      <c r="BW318" s="34" t="n">
        <f aca="false">BV$318+BW$276</f>
        <v>2947008.74057433</v>
      </c>
      <c r="BX318" s="34" t="n">
        <f aca="false">BW$318+BX$276</f>
        <v>3102309.18237216</v>
      </c>
      <c r="BY318" s="34" t="n">
        <f aca="false">BX$318+BY$276</f>
        <v>3257609.62416998</v>
      </c>
      <c r="BZ318" s="34" t="n">
        <f aca="false">BY$318+BZ$276</f>
        <v>3378935.7534346</v>
      </c>
      <c r="CA318" s="34" t="n">
        <f aca="false">BZ$318+CA$276</f>
        <v>3538351.775924</v>
      </c>
      <c r="CB318" s="34" t="n">
        <f aca="false">CA$318+CB$276</f>
        <v>3697767.7984134</v>
      </c>
      <c r="CC318" s="34" t="n">
        <f aca="false">CB$318+CC$276</f>
        <v>3857183.8209028</v>
      </c>
      <c r="CD318" s="34" t="n">
        <f aca="false">CC$318+CD$276</f>
        <v>4016599.8433922</v>
      </c>
      <c r="CE318" s="34" t="n">
        <f aca="false">CD$318+CE$276</f>
        <v>4176015.8658816</v>
      </c>
      <c r="CF318" s="34" t="n">
        <f aca="false">CE$318+CF$276</f>
        <v>4335431.888371</v>
      </c>
      <c r="CG318" s="34" t="n">
        <f aca="false">CF$318+CG$276</f>
        <v>4494847.9108604</v>
      </c>
      <c r="CH318" s="34" t="n">
        <f aca="false">CG$318+CH$276</f>
        <v>4654263.9333498</v>
      </c>
      <c r="CI318" s="34" t="n">
        <f aca="false">CH$318+CI$276</f>
        <v>4813679.9558392</v>
      </c>
      <c r="CJ318" s="34" t="n">
        <f aca="false">CI$318+CJ$276</f>
        <v>4973095.9783286</v>
      </c>
      <c r="CK318" s="34" t="n">
        <f aca="false">CJ$318+CK$276</f>
        <v>5132512.000818</v>
      </c>
      <c r="CL318" s="34" t="n">
        <f aca="false">CK$318+CL$276</f>
        <v>5257613.60166977</v>
      </c>
      <c r="CM318" s="34" t="n">
        <f aca="false">CL$318+CM$276</f>
        <v>5421173.42021606</v>
      </c>
      <c r="CN318" s="34" t="n">
        <f aca="false">CM$318+CN$276</f>
        <v>5584733.23876234</v>
      </c>
      <c r="CO318" s="34" t="n">
        <f aca="false">CN$318+CO$276</f>
        <v>5748293.05730863</v>
      </c>
      <c r="CP318" s="34" t="n">
        <f aca="false">CO$318+CP$276</f>
        <v>5911852.87585492</v>
      </c>
      <c r="CQ318" s="34" t="n">
        <f aca="false">CP$318+CQ$276</f>
        <v>6075412.69440121</v>
      </c>
      <c r="CR318" s="34" t="n">
        <f aca="false">CQ$318+CR$276</f>
        <v>6238972.51294749</v>
      </c>
      <c r="CS318" s="34" t="n">
        <f aca="false">CR$318+CS$276</f>
        <v>6402532.33149378</v>
      </c>
      <c r="CT318" s="34" t="n">
        <f aca="false">CS$318+CT$276</f>
        <v>6566092.15004007</v>
      </c>
      <c r="CU318" s="34" t="n">
        <f aca="false">CT$318+CU$276</f>
        <v>6729651.96858636</v>
      </c>
      <c r="CV318" s="34" t="n">
        <f aca="false">CU$318+CV$276</f>
        <v>6893211.78713264</v>
      </c>
      <c r="CW318" s="34" t="n">
        <f aca="false">CV$318+CW$276</f>
        <v>7056771.60567893</v>
      </c>
      <c r="CX318" s="34" t="n">
        <f aca="false">CW$318+CX$276</f>
        <v>7185673.4833785</v>
      </c>
      <c r="CY318" s="34" t="n">
        <f aca="false">CX$318+CY$276</f>
        <v>7353405.21302741</v>
      </c>
      <c r="CZ318" s="34" t="n">
        <f aca="false">CY$318+CZ$276</f>
        <v>7521136.94267632</v>
      </c>
      <c r="DA318" s="34" t="n">
        <f aca="false">CZ$318+DA$276</f>
        <v>7688868.67232523</v>
      </c>
      <c r="DB318" s="34" t="n">
        <f aca="false">DA$318+DB$276</f>
        <v>7856600.40197413</v>
      </c>
      <c r="DC318" s="34" t="n">
        <f aca="false">DB$318+DC$276</f>
        <v>8024332.13162304</v>
      </c>
      <c r="DD318" s="34" t="n">
        <f aca="false">DC$318+DD$276</f>
        <v>8192063.86127195</v>
      </c>
      <c r="DE318" s="34" t="n">
        <f aca="false">DD$318+DE$276</f>
        <v>8359795.59092086</v>
      </c>
      <c r="DF318" s="34" t="n">
        <f aca="false">DE$318+DF$276</f>
        <v>8527527.32056977</v>
      </c>
      <c r="DG318" s="34" t="n">
        <f aca="false">DF$318+DG$276</f>
        <v>8695259.05021867</v>
      </c>
      <c r="DH318" s="34" t="n">
        <f aca="false">DG$318+DH$276</f>
        <v>8862990.77986758</v>
      </c>
      <c r="DI318" s="34" t="n">
        <f aca="false">DH$318+DI$276</f>
        <v>9030722.50951649</v>
      </c>
      <c r="DJ318" s="34" t="n">
        <f aca="false">DI$318+DJ$276</f>
        <v>9163449.33467279</v>
      </c>
      <c r="DK318" s="34" t="n">
        <f aca="false">DJ$318+DK$276</f>
        <v>9335380.97778788</v>
      </c>
      <c r="DL318" s="34" t="n">
        <f aca="false">DK$318+DL$276</f>
        <v>9507312.62090297</v>
      </c>
      <c r="DM318" s="34" t="n">
        <f aca="false">DL$318+DM$276</f>
        <v>9679244.26401805</v>
      </c>
      <c r="DN318" s="34" t="n">
        <f aca="false">DM$318+DN$276</f>
        <v>9851175.90713314</v>
      </c>
      <c r="DO318" s="34" t="n">
        <f aca="false">DN$318+DO$276</f>
        <v>10023107.5502482</v>
      </c>
      <c r="DP318" s="34" t="n">
        <f aca="false">DO$318+DP$276</f>
        <v>10195039.1933633</v>
      </c>
      <c r="DQ318" s="34" t="n">
        <f aca="false">DP$318+DQ$276</f>
        <v>10366970.8364784</v>
      </c>
      <c r="DR318" s="34" t="n">
        <f aca="false">DQ$318+DR$276</f>
        <v>10538902.4795935</v>
      </c>
      <c r="DS318" s="34" t="n">
        <f aca="false">DR$318+DS$276</f>
        <v>10710834.1227086</v>
      </c>
      <c r="DT318" s="34" t="n">
        <f aca="false">DS$318+DT$276</f>
        <v>10882765.7658237</v>
      </c>
      <c r="DU318" s="34" t="n">
        <f aca="false">DT$318+DU$276</f>
        <v>15564459.926261</v>
      </c>
      <c r="DV318" s="34" t="n">
        <f aca="false">DU$318+DV$276</f>
        <v>15564459.926261</v>
      </c>
      <c r="DW318" s="34" t="n">
        <f aca="false">DV$318+DW$276</f>
        <v>15564459.926261</v>
      </c>
      <c r="DX318" s="34" t="n">
        <f aca="false">DW$318+DX$276</f>
        <v>15564459.926261</v>
      </c>
      <c r="DY318" s="34" t="n">
        <f aca="false">DX$318+DY$276</f>
        <v>15564459.926261</v>
      </c>
      <c r="DZ318" s="34" t="n">
        <f aca="false">DY$318+DZ$276</f>
        <v>15564459.926261</v>
      </c>
      <c r="EA318" s="34" t="n">
        <f aca="false">DZ$318+EA$276</f>
        <v>15564459.926261</v>
      </c>
      <c r="EB318" s="34" t="n">
        <f aca="false">EA$318+EB$276</f>
        <v>15564459.926261</v>
      </c>
      <c r="EC318" s="34" t="n">
        <f aca="false">EB$318+EC$276</f>
        <v>15564459.926261</v>
      </c>
      <c r="ED318" s="34" t="n">
        <f aca="false">EC$318+ED$276</f>
        <v>15564459.926261</v>
      </c>
      <c r="EE318" s="34" t="n">
        <f aca="false">ED$318+EE$276</f>
        <v>15564459.926261</v>
      </c>
      <c r="EF318" s="34" t="n">
        <f aca="false">EE$318+EF$276</f>
        <v>15564459.926261</v>
      </c>
      <c r="EG318" s="34" t="n">
        <f aca="false">EF$318+EG$276</f>
        <v>15564459.926261</v>
      </c>
      <c r="EH318" s="34" t="n">
        <f aca="false">EG$318+EH$276</f>
        <v>15564459.926261</v>
      </c>
      <c r="EI318" s="34" t="n">
        <f aca="false">EH$318+EI$276</f>
        <v>15564459.926261</v>
      </c>
      <c r="EJ318" s="34" t="n">
        <f aca="false">EI$318+EJ$276</f>
        <v>15564459.926261</v>
      </c>
      <c r="EK318" s="34" t="n">
        <f aca="false">EJ$318+EK$276</f>
        <v>15564459.926261</v>
      </c>
      <c r="EL318" s="34" t="n">
        <f aca="false">EK$318+EL$276</f>
        <v>15564459.926261</v>
      </c>
      <c r="EM318" s="34" t="n">
        <f aca="false">EL$318+EM$276</f>
        <v>15564459.926261</v>
      </c>
      <c r="EN318" s="34" t="n">
        <f aca="false">EM$318+EN$276</f>
        <v>15564459.926261</v>
      </c>
      <c r="EO318" s="34" t="n">
        <f aca="false">EN$318+EO$276</f>
        <v>15564459.926261</v>
      </c>
      <c r="EP318" s="34" t="n">
        <f aca="false">EO$318+EP$276</f>
        <v>15564459.926261</v>
      </c>
      <c r="EQ318" s="34" t="n">
        <f aca="false">EP$318+EQ$276</f>
        <v>15564459.926261</v>
      </c>
      <c r="ER318" s="34" t="n">
        <f aca="false">EQ$318+ER$276</f>
        <v>15564459.926261</v>
      </c>
      <c r="ES318" s="34" t="n">
        <f aca="false">ER$318+ES$276</f>
        <v>15564459.926261</v>
      </c>
    </row>
    <row r="319" customFormat="false" ht="15" hidden="false" customHeight="false" outlineLevel="0" collapsed="false">
      <c r="A319" s="2" t="s">
        <v>954</v>
      </c>
      <c r="B319" s="6" t="s">
        <v>807</v>
      </c>
      <c r="C319" s="6" t="s">
        <v>101</v>
      </c>
      <c r="E319" s="53" t="n">
        <f aca="false">MAX(F319:ES319)</f>
        <v>49.5317160695949</v>
      </c>
      <c r="F319" s="36" t="n">
        <f aca="false">0</f>
        <v>0</v>
      </c>
      <c r="G319" s="36" t="n">
        <f aca="false">IF(AND(F$318&lt;0,G$318&gt;=0),0+(-F$318)/G$276,0)</f>
        <v>0</v>
      </c>
      <c r="H319" s="36" t="n">
        <f aca="false">IF(AND(G$318&lt;0,H$318&gt;=0),1+(-G$318)/H$276,0)</f>
        <v>0</v>
      </c>
      <c r="I319" s="36" t="n">
        <f aca="false">IF(AND(H$318&lt;0,I$318&gt;=0),2+(-H$318)/I$276,0)</f>
        <v>0</v>
      </c>
      <c r="J319" s="36" t="n">
        <f aca="false">IF(AND(I$318&lt;0,J$318&gt;=0),3+(-I$318)/J$276,0)</f>
        <v>0</v>
      </c>
      <c r="K319" s="36" t="n">
        <f aca="false">IF(AND(J$318&lt;0,K$318&gt;=0),4+(-J$318)/K$276,0)</f>
        <v>0</v>
      </c>
      <c r="L319" s="36" t="n">
        <f aca="false">IF(AND(K$318&lt;0,L$318&gt;=0),5+(-K$318)/L$276,0)</f>
        <v>0</v>
      </c>
      <c r="M319" s="36" t="n">
        <f aca="false">IF(AND(L$318&lt;0,M$318&gt;=0),6+(-L$318)/M$276,0)</f>
        <v>0</v>
      </c>
      <c r="N319" s="36" t="n">
        <f aca="false">IF(AND(M$318&lt;0,N$318&gt;=0),7+(-M$318)/N$276,0)</f>
        <v>0</v>
      </c>
      <c r="O319" s="36" t="n">
        <f aca="false">IF(AND(N$318&lt;0,O$318&gt;=0),8+(-N$318)/O$276,0)</f>
        <v>0</v>
      </c>
      <c r="P319" s="36" t="n">
        <f aca="false">IF(AND(O$318&lt;0,P$318&gt;=0),9+(-O$318)/P$276,0)</f>
        <v>0</v>
      </c>
      <c r="Q319" s="36" t="n">
        <f aca="false">IF(AND(P$318&lt;0,Q$318&gt;=0),10+(-P$318)/Q$276,0)</f>
        <v>0</v>
      </c>
      <c r="R319" s="36" t="n">
        <f aca="false">IF(AND(Q$318&lt;0,R$318&gt;=0),11+(-Q$318)/R$276,0)</f>
        <v>0</v>
      </c>
      <c r="S319" s="36" t="n">
        <f aca="false">IF(AND(R$318&lt;0,S$318&gt;=0),12+(-R$318)/S$276,0)</f>
        <v>0</v>
      </c>
      <c r="T319" s="36" t="n">
        <f aca="false">IF(AND(S$318&lt;0,T$318&gt;=0),13+(-S$318)/T$276,0)</f>
        <v>0</v>
      </c>
      <c r="U319" s="36" t="n">
        <f aca="false">IF(AND(T$318&lt;0,U$318&gt;=0),14+(-T$318)/U$276,0)</f>
        <v>0</v>
      </c>
      <c r="V319" s="36" t="n">
        <f aca="false">IF(AND(U$318&lt;0,V$318&gt;=0),15+(-U$318)/V$276,0)</f>
        <v>0</v>
      </c>
      <c r="W319" s="36" t="n">
        <f aca="false">IF(AND(V$318&lt;0,W$318&gt;=0),16+(-V$318)/W$276,0)</f>
        <v>0</v>
      </c>
      <c r="X319" s="36" t="n">
        <f aca="false">IF(AND(W$318&lt;0,X$318&gt;=0),17+(-W$318)/X$276,0)</f>
        <v>0</v>
      </c>
      <c r="Y319" s="36" t="n">
        <f aca="false">IF(AND(X$318&lt;0,Y$318&gt;=0),18+(-X$318)/Y$276,0)</f>
        <v>0</v>
      </c>
      <c r="Z319" s="36" t="n">
        <f aca="false">IF(AND(Y$318&lt;0,Z$318&gt;=0),19+(-Y$318)/Z$276,0)</f>
        <v>0</v>
      </c>
      <c r="AA319" s="36" t="n">
        <f aca="false">IF(AND(Z$318&lt;0,AA$318&gt;=0),20+(-Z$318)/AA$276,0)</f>
        <v>0</v>
      </c>
      <c r="AB319" s="36" t="n">
        <f aca="false">IF(AND(AA$318&lt;0,AB$318&gt;=0),21+(-AA$318)/AB$276,0)</f>
        <v>0</v>
      </c>
      <c r="AC319" s="36" t="n">
        <f aca="false">IF(AND(AB$318&lt;0,AC$318&gt;=0),22+(-AB$318)/AC$276,0)</f>
        <v>0</v>
      </c>
      <c r="AD319" s="36" t="n">
        <f aca="false">IF(AND(AC$318&lt;0,AD$318&gt;=0),23+(-AC$318)/AD$276,0)</f>
        <v>0</v>
      </c>
      <c r="AE319" s="36" t="n">
        <f aca="false">IF(AND(AD$318&lt;0,AE$318&gt;=0),24+(-AD$318)/AE$276,0)</f>
        <v>0</v>
      </c>
      <c r="AF319" s="36" t="n">
        <f aca="false">IF(AND(AE$318&lt;0,AF$318&gt;=0),25+(-AE$318)/AF$276,0)</f>
        <v>0</v>
      </c>
      <c r="AG319" s="36" t="n">
        <f aca="false">IF(AND(AF$318&lt;0,AG$318&gt;=0),26+(-AF$318)/AG$276,0)</f>
        <v>0</v>
      </c>
      <c r="AH319" s="36" t="n">
        <f aca="false">IF(AND(AG$318&lt;0,AH$318&gt;=0),27+(-AG$318)/AH$276,0)</f>
        <v>0</v>
      </c>
      <c r="AI319" s="36" t="n">
        <f aca="false">IF(AND(AH$318&lt;0,AI$318&gt;=0),28+(-AH$318)/AI$276,0)</f>
        <v>0</v>
      </c>
      <c r="AJ319" s="36" t="n">
        <f aca="false">IF(AND(AI$318&lt;0,AJ$318&gt;=0),29+(-AI$318)/AJ$276,0)</f>
        <v>0</v>
      </c>
      <c r="AK319" s="36" t="n">
        <f aca="false">IF(AND(AJ$318&lt;0,AK$318&gt;=0),30+(-AJ$318)/AK$276,0)</f>
        <v>0</v>
      </c>
      <c r="AL319" s="36" t="n">
        <f aca="false">IF(AND(AK$318&lt;0,AL$318&gt;=0),31+(-AK$318)/AL$276,0)</f>
        <v>0</v>
      </c>
      <c r="AM319" s="36" t="n">
        <f aca="false">IF(AND(AL$318&lt;0,AM$318&gt;=0),32+(-AL$318)/AM$276,0)</f>
        <v>0</v>
      </c>
      <c r="AN319" s="36" t="n">
        <f aca="false">IF(AND(AM$318&lt;0,AN$318&gt;=0),33+(-AM$318)/AN$276,0)</f>
        <v>0</v>
      </c>
      <c r="AO319" s="36" t="n">
        <f aca="false">IF(AND(AN$318&lt;0,AO$318&gt;=0),34+(-AN$318)/AO$276,0)</f>
        <v>0</v>
      </c>
      <c r="AP319" s="36" t="n">
        <f aca="false">IF(AND(AO$318&lt;0,AP$318&gt;=0),35+(-AO$318)/AP$276,0)</f>
        <v>0</v>
      </c>
      <c r="AQ319" s="36" t="n">
        <f aca="false">IF(AND(AP$318&lt;0,AQ$318&gt;=0),36+(-AP$318)/AQ$276,0)</f>
        <v>0</v>
      </c>
      <c r="AR319" s="36" t="n">
        <f aca="false">IF(AND(AQ$318&lt;0,AR$318&gt;=0),37+(-AQ$318)/AR$276,0)</f>
        <v>0</v>
      </c>
      <c r="AS319" s="36" t="n">
        <f aca="false">IF(AND(AR$318&lt;0,AS$318&gt;=0),38+(-AR$318)/AS$276,0)</f>
        <v>0</v>
      </c>
      <c r="AT319" s="36" t="n">
        <f aca="false">IF(AND(AS$318&lt;0,AT$318&gt;=0),39+(-AS$318)/AT$276,0)</f>
        <v>0</v>
      </c>
      <c r="AU319" s="36" t="n">
        <f aca="false">IF(AND(AT$318&lt;0,AU$318&gt;=0),40+(-AT$318)/AU$276,0)</f>
        <v>0</v>
      </c>
      <c r="AV319" s="36" t="n">
        <f aca="false">IF(AND(AU$318&lt;0,AV$318&gt;=0),41+(-AU$318)/AV$276,0)</f>
        <v>0</v>
      </c>
      <c r="AW319" s="36" t="n">
        <f aca="false">IF(AND(AV$318&lt;0,AW$318&gt;=0),42+(-AV$318)/AW$276,0)</f>
        <v>0</v>
      </c>
      <c r="AX319" s="36" t="n">
        <f aca="false">IF(AND(AW$318&lt;0,AX$318&gt;=0),43+(-AW$318)/AX$276,0)</f>
        <v>0</v>
      </c>
      <c r="AY319" s="36" t="n">
        <f aca="false">IF(AND(AX$318&lt;0,AY$318&gt;=0),44+(-AX$318)/AY$276,0)</f>
        <v>0</v>
      </c>
      <c r="AZ319" s="36" t="n">
        <f aca="false">IF(AND(AY$318&lt;0,AZ$318&gt;=0),45+(-AY$318)/AZ$276,0)</f>
        <v>0</v>
      </c>
      <c r="BA319" s="36" t="n">
        <f aca="false">IF(AND(AZ$318&lt;0,BA$318&gt;=0),46+(-AZ$318)/BA$276,0)</f>
        <v>0</v>
      </c>
      <c r="BB319" s="36" t="n">
        <f aca="false">IF(AND(BA$318&lt;0,BB$318&gt;=0),47+(-BA$318)/BB$276,0)</f>
        <v>0</v>
      </c>
      <c r="BC319" s="36" t="n">
        <f aca="false">IF(AND(BB$318&lt;0,BC$318&gt;=0),48+(-BB$318)/BC$276,0)</f>
        <v>0</v>
      </c>
      <c r="BD319" s="36" t="n">
        <f aca="false">IF(AND(BC$318&lt;0,BD$318&gt;=0),49+(-BC$318)/BD$276,0)</f>
        <v>49.5317160695949</v>
      </c>
      <c r="BE319" s="36" t="n">
        <f aca="false">IF(AND(BD$318&lt;0,BE$318&gt;=0),50+(-BD$318)/BE$276,0)</f>
        <v>0</v>
      </c>
      <c r="BF319" s="36" t="n">
        <f aca="false">IF(AND(BE$318&lt;0,BF$318&gt;=0),51+(-BE$318)/BF$276,0)</f>
        <v>0</v>
      </c>
      <c r="BG319" s="36" t="n">
        <f aca="false">IF(AND(BF$318&lt;0,BG$318&gt;=0),52+(-BF$318)/BG$276,0)</f>
        <v>0</v>
      </c>
      <c r="BH319" s="36" t="n">
        <f aca="false">IF(AND(BG$318&lt;0,BH$318&gt;=0),53+(-BG$318)/BH$276,0)</f>
        <v>0</v>
      </c>
      <c r="BI319" s="36" t="n">
        <f aca="false">IF(AND(BH$318&lt;0,BI$318&gt;=0),54+(-BH$318)/BI$276,0)</f>
        <v>0</v>
      </c>
      <c r="BJ319" s="36" t="n">
        <f aca="false">IF(AND(BI$318&lt;0,BJ$318&gt;=0),55+(-BI$318)/BJ$276,0)</f>
        <v>0</v>
      </c>
      <c r="BK319" s="36" t="n">
        <f aca="false">IF(AND(BJ$318&lt;0,BK$318&gt;=0),56+(-BJ$318)/BK$276,0)</f>
        <v>0</v>
      </c>
      <c r="BL319" s="36" t="n">
        <f aca="false">IF(AND(BK$318&lt;0,BL$318&gt;=0),57+(-BK$318)/BL$276,0)</f>
        <v>0</v>
      </c>
      <c r="BM319" s="36" t="n">
        <f aca="false">IF(AND(BL$318&lt;0,BM$318&gt;=0),58+(-BL$318)/BM$276,0)</f>
        <v>0</v>
      </c>
      <c r="BN319" s="36" t="n">
        <f aca="false">IF(AND(BM$318&lt;0,BN$318&gt;=0),59+(-BM$318)/BN$276,0)</f>
        <v>0</v>
      </c>
      <c r="BO319" s="36" t="n">
        <f aca="false">IF(AND(BN$318&lt;0,BO$318&gt;=0),60+(-BN$318)/BO$276,0)</f>
        <v>0</v>
      </c>
      <c r="BP319" s="36" t="n">
        <f aca="false">IF(AND(BO$318&lt;0,BP$318&gt;=0),61+(-BO$318)/BP$276,0)</f>
        <v>0</v>
      </c>
      <c r="BQ319" s="36" t="n">
        <f aca="false">IF(AND(BP$318&lt;0,BQ$318&gt;=0),62+(-BP$318)/BQ$276,0)</f>
        <v>0</v>
      </c>
      <c r="BR319" s="36" t="n">
        <f aca="false">IF(AND(BQ$318&lt;0,BR$318&gt;=0),63+(-BQ$318)/BR$276,0)</f>
        <v>0</v>
      </c>
      <c r="BS319" s="36" t="n">
        <f aca="false">IF(AND(BR$318&lt;0,BS$318&gt;=0),64+(-BR$318)/BS$276,0)</f>
        <v>0</v>
      </c>
      <c r="BT319" s="36" t="n">
        <f aca="false">IF(AND(BS$318&lt;0,BT$318&gt;=0),65+(-BS$318)/BT$276,0)</f>
        <v>0</v>
      </c>
      <c r="BU319" s="36" t="n">
        <f aca="false">IF(AND(BT$318&lt;0,BU$318&gt;=0),66+(-BT$318)/BU$276,0)</f>
        <v>0</v>
      </c>
      <c r="BV319" s="36" t="n">
        <f aca="false">IF(AND(BU$318&lt;0,BV$318&gt;=0),67+(-BU$318)/BV$276,0)</f>
        <v>0</v>
      </c>
      <c r="BW319" s="36" t="n">
        <f aca="false">IF(AND(BV$318&lt;0,BW$318&gt;=0),68+(-BV$318)/BW$276,0)</f>
        <v>0</v>
      </c>
      <c r="BX319" s="36" t="n">
        <f aca="false">IF(AND(BW$318&lt;0,BX$318&gt;=0),69+(-BW$318)/BX$276,0)</f>
        <v>0</v>
      </c>
      <c r="BY319" s="36" t="n">
        <f aca="false">IF(AND(BX$318&lt;0,BY$318&gt;=0),70+(-BX$318)/BY$276,0)</f>
        <v>0</v>
      </c>
      <c r="BZ319" s="36" t="n">
        <f aca="false">IF(AND(BY$318&lt;0,BZ$318&gt;=0),71+(-BY$318)/BZ$276,0)</f>
        <v>0</v>
      </c>
      <c r="CA319" s="36" t="n">
        <f aca="false">IF(AND(BZ$318&lt;0,CA$318&gt;=0),72+(-BZ$318)/CA$276,0)</f>
        <v>0</v>
      </c>
      <c r="CB319" s="36" t="n">
        <f aca="false">IF(AND(CA$318&lt;0,CB$318&gt;=0),73+(-CA$318)/CB$276,0)</f>
        <v>0</v>
      </c>
      <c r="CC319" s="36" t="n">
        <f aca="false">IF(AND(CB$318&lt;0,CC$318&gt;=0),74+(-CB$318)/CC$276,0)</f>
        <v>0</v>
      </c>
      <c r="CD319" s="36" t="n">
        <f aca="false">IF(AND(CC$318&lt;0,CD$318&gt;=0),75+(-CC$318)/CD$276,0)</f>
        <v>0</v>
      </c>
      <c r="CE319" s="36" t="n">
        <f aca="false">IF(AND(CD$318&lt;0,CE$318&gt;=0),76+(-CD$318)/CE$276,0)</f>
        <v>0</v>
      </c>
      <c r="CF319" s="36" t="n">
        <f aca="false">IF(AND(CE$318&lt;0,CF$318&gt;=0),77+(-CE$318)/CF$276,0)</f>
        <v>0</v>
      </c>
      <c r="CG319" s="36" t="n">
        <f aca="false">IF(AND(CF$318&lt;0,CG$318&gt;=0),78+(-CF$318)/CG$276,0)</f>
        <v>0</v>
      </c>
      <c r="CH319" s="36" t="n">
        <f aca="false">IF(AND(CG$318&lt;0,CH$318&gt;=0),79+(-CG$318)/CH$276,0)</f>
        <v>0</v>
      </c>
      <c r="CI319" s="36" t="n">
        <f aca="false">IF(AND(CH$318&lt;0,CI$318&gt;=0),80+(-CH$318)/CI$276,0)</f>
        <v>0</v>
      </c>
      <c r="CJ319" s="36" t="n">
        <f aca="false">IF(AND(CI$318&lt;0,CJ$318&gt;=0),81+(-CI$318)/CJ$276,0)</f>
        <v>0</v>
      </c>
      <c r="CK319" s="36" t="n">
        <f aca="false">IF(AND(CJ$318&lt;0,CK$318&gt;=0),82+(-CJ$318)/CK$276,0)</f>
        <v>0</v>
      </c>
      <c r="CL319" s="36" t="n">
        <f aca="false">IF(AND(CK$318&lt;0,CL$318&gt;=0),83+(-CK$318)/CL$276,0)</f>
        <v>0</v>
      </c>
      <c r="CM319" s="36" t="n">
        <f aca="false">IF(AND(CL$318&lt;0,CM$318&gt;=0),84+(-CL$318)/CM$276,0)</f>
        <v>0</v>
      </c>
      <c r="CN319" s="36" t="n">
        <f aca="false">IF(AND(CM$318&lt;0,CN$318&gt;=0),85+(-CM$318)/CN$276,0)</f>
        <v>0</v>
      </c>
      <c r="CO319" s="36" t="n">
        <f aca="false">IF(AND(CN$318&lt;0,CO$318&gt;=0),86+(-CN$318)/CO$276,0)</f>
        <v>0</v>
      </c>
      <c r="CP319" s="36" t="n">
        <f aca="false">IF(AND(CO$318&lt;0,CP$318&gt;=0),87+(-CO$318)/CP$276,0)</f>
        <v>0</v>
      </c>
      <c r="CQ319" s="36" t="n">
        <f aca="false">IF(AND(CP$318&lt;0,CQ$318&gt;=0),88+(-CP$318)/CQ$276,0)</f>
        <v>0</v>
      </c>
      <c r="CR319" s="36" t="n">
        <f aca="false">IF(AND(CQ$318&lt;0,CR$318&gt;=0),89+(-CQ$318)/CR$276,0)</f>
        <v>0</v>
      </c>
      <c r="CS319" s="36" t="n">
        <f aca="false">IF(AND(CR$318&lt;0,CS$318&gt;=0),90+(-CR$318)/CS$276,0)</f>
        <v>0</v>
      </c>
      <c r="CT319" s="36" t="n">
        <f aca="false">IF(AND(CS$318&lt;0,CT$318&gt;=0),91+(-CS$318)/CT$276,0)</f>
        <v>0</v>
      </c>
      <c r="CU319" s="36" t="n">
        <f aca="false">IF(AND(CT$318&lt;0,CU$318&gt;=0),92+(-CT$318)/CU$276,0)</f>
        <v>0</v>
      </c>
      <c r="CV319" s="36" t="n">
        <f aca="false">IF(AND(CU$318&lt;0,CV$318&gt;=0),93+(-CU$318)/CV$276,0)</f>
        <v>0</v>
      </c>
      <c r="CW319" s="36" t="n">
        <f aca="false">IF(AND(CV$318&lt;0,CW$318&gt;=0),94+(-CV$318)/CW$276,0)</f>
        <v>0</v>
      </c>
      <c r="CX319" s="36" t="n">
        <f aca="false">IF(AND(CW$318&lt;0,CX$318&gt;=0),95+(-CW$318)/CX$276,0)</f>
        <v>0</v>
      </c>
      <c r="CY319" s="36" t="n">
        <f aca="false">IF(AND(CX$318&lt;0,CY$318&gt;=0),96+(-CX$318)/CY$276,0)</f>
        <v>0</v>
      </c>
      <c r="CZ319" s="36" t="n">
        <f aca="false">IF(AND(CY$318&lt;0,CZ$318&gt;=0),97+(-CY$318)/CZ$276,0)</f>
        <v>0</v>
      </c>
      <c r="DA319" s="36" t="n">
        <f aca="false">IF(AND(CZ$318&lt;0,DA$318&gt;=0),98+(-CZ$318)/DA$276,0)</f>
        <v>0</v>
      </c>
      <c r="DB319" s="36" t="n">
        <f aca="false">IF(AND(DA$318&lt;0,DB$318&gt;=0),99+(-DA$318)/DB$276,0)</f>
        <v>0</v>
      </c>
      <c r="DC319" s="36" t="n">
        <f aca="false">IF(AND(DB$318&lt;0,DC$318&gt;=0),100+(-DB$318)/DC$276,0)</f>
        <v>0</v>
      </c>
      <c r="DD319" s="36" t="n">
        <f aca="false">IF(AND(DC$318&lt;0,DD$318&gt;=0),101+(-DC$318)/DD$276,0)</f>
        <v>0</v>
      </c>
      <c r="DE319" s="36" t="n">
        <f aca="false">IF(AND(DD$318&lt;0,DE$318&gt;=0),102+(-DD$318)/DE$276,0)</f>
        <v>0</v>
      </c>
      <c r="DF319" s="36" t="n">
        <f aca="false">IF(AND(DE$318&lt;0,DF$318&gt;=0),103+(-DE$318)/DF$276,0)</f>
        <v>0</v>
      </c>
      <c r="DG319" s="36" t="n">
        <f aca="false">IF(AND(DF$318&lt;0,DG$318&gt;=0),104+(-DF$318)/DG$276,0)</f>
        <v>0</v>
      </c>
      <c r="DH319" s="36" t="n">
        <f aca="false">IF(AND(DG$318&lt;0,DH$318&gt;=0),105+(-DG$318)/DH$276,0)</f>
        <v>0</v>
      </c>
      <c r="DI319" s="36" t="n">
        <f aca="false">IF(AND(DH$318&lt;0,DI$318&gt;=0),106+(-DH$318)/DI$276,0)</f>
        <v>0</v>
      </c>
      <c r="DJ319" s="36" t="n">
        <f aca="false">IF(AND(DI$318&lt;0,DJ$318&gt;=0),107+(-DI$318)/DJ$276,0)</f>
        <v>0</v>
      </c>
      <c r="DK319" s="36" t="n">
        <f aca="false">IF(AND(DJ$318&lt;0,DK$318&gt;=0),108+(-DJ$318)/DK$276,0)</f>
        <v>0</v>
      </c>
      <c r="DL319" s="36" t="n">
        <f aca="false">IF(AND(DK$318&lt;0,DL$318&gt;=0),109+(-DK$318)/DL$276,0)</f>
        <v>0</v>
      </c>
      <c r="DM319" s="36" t="n">
        <f aca="false">IF(AND(DL$318&lt;0,DM$318&gt;=0),110+(-DL$318)/DM$276,0)</f>
        <v>0</v>
      </c>
      <c r="DN319" s="36" t="n">
        <f aca="false">IF(AND(DM$318&lt;0,DN$318&gt;=0),111+(-DM$318)/DN$276,0)</f>
        <v>0</v>
      </c>
      <c r="DO319" s="36" t="n">
        <f aca="false">IF(AND(DN$318&lt;0,DO$318&gt;=0),112+(-DN$318)/DO$276,0)</f>
        <v>0</v>
      </c>
      <c r="DP319" s="36" t="n">
        <f aca="false">IF(AND(DO$318&lt;0,DP$318&gt;=0),113+(-DO$318)/DP$276,0)</f>
        <v>0</v>
      </c>
      <c r="DQ319" s="36" t="n">
        <f aca="false">IF(AND(DP$318&lt;0,DQ$318&gt;=0),114+(-DP$318)/DQ$276,0)</f>
        <v>0</v>
      </c>
      <c r="DR319" s="36" t="n">
        <f aca="false">IF(AND(DQ$318&lt;0,DR$318&gt;=0),115+(-DQ$318)/DR$276,0)</f>
        <v>0</v>
      </c>
      <c r="DS319" s="36" t="n">
        <f aca="false">IF(AND(DR$318&lt;0,DS$318&gt;=0),116+(-DR$318)/DS$276,0)</f>
        <v>0</v>
      </c>
      <c r="DT319" s="36" t="n">
        <f aca="false">IF(AND(DS$318&lt;0,DT$318&gt;=0),117+(-DS$318)/DT$276,0)</f>
        <v>0</v>
      </c>
      <c r="DU319" s="36" t="n">
        <f aca="false">IF(AND(DT$318&lt;0,DU$318&gt;=0),118+(-DT$318)/DU$276,0)</f>
        <v>0</v>
      </c>
      <c r="DV319" s="36" t="n">
        <f aca="false">IF(AND(DU$318&lt;0,DV$318&gt;=0),119+(-DU$318)/DV$276,0)</f>
        <v>0</v>
      </c>
      <c r="DW319" s="36" t="n">
        <f aca="false">IF(AND(DV$318&lt;0,DW$318&gt;=0),120+(-DV$318)/DW$276,0)</f>
        <v>0</v>
      </c>
      <c r="DX319" s="36" t="n">
        <f aca="false">IF(AND(DW$318&lt;0,DX$318&gt;=0),121+(-DW$318)/DX$276,0)</f>
        <v>0</v>
      </c>
      <c r="DY319" s="36" t="n">
        <f aca="false">IF(AND(DX$318&lt;0,DY$318&gt;=0),122+(-DX$318)/DY$276,0)</f>
        <v>0</v>
      </c>
      <c r="DZ319" s="36" t="n">
        <f aca="false">IF(AND(DY$318&lt;0,DZ$318&gt;=0),123+(-DY$318)/DZ$276,0)</f>
        <v>0</v>
      </c>
      <c r="EA319" s="36" t="n">
        <f aca="false">IF(AND(DZ$318&lt;0,EA$318&gt;=0),124+(-DZ$318)/EA$276,0)</f>
        <v>0</v>
      </c>
      <c r="EB319" s="36" t="n">
        <f aca="false">IF(AND(EA$318&lt;0,EB$318&gt;=0),125+(-EA$318)/EB$276,0)</f>
        <v>0</v>
      </c>
      <c r="EC319" s="36" t="n">
        <f aca="false">IF(AND(EB$318&lt;0,EC$318&gt;=0),126+(-EB$318)/EC$276,0)</f>
        <v>0</v>
      </c>
      <c r="ED319" s="36" t="n">
        <f aca="false">IF(AND(EC$318&lt;0,ED$318&gt;=0),127+(-EC$318)/ED$276,0)</f>
        <v>0</v>
      </c>
      <c r="EE319" s="36" t="n">
        <f aca="false">IF(AND(ED$318&lt;0,EE$318&gt;=0),128+(-ED$318)/EE$276,0)</f>
        <v>0</v>
      </c>
      <c r="EF319" s="36" t="n">
        <f aca="false">IF(AND(EE$318&lt;0,EF$318&gt;=0),129+(-EE$318)/EF$276,0)</f>
        <v>0</v>
      </c>
      <c r="EG319" s="36" t="n">
        <f aca="false">IF(AND(EF$318&lt;0,EG$318&gt;=0),130+(-EF$318)/EG$276,0)</f>
        <v>0</v>
      </c>
      <c r="EH319" s="36" t="n">
        <f aca="false">IF(AND(EG$318&lt;0,EH$318&gt;=0),131+(-EG$318)/EH$276,0)</f>
        <v>0</v>
      </c>
      <c r="EI319" s="36" t="n">
        <f aca="false">IF(AND(EH$318&lt;0,EI$318&gt;=0),132+(-EH$318)/EI$276,0)</f>
        <v>0</v>
      </c>
      <c r="EJ319" s="36" t="n">
        <f aca="false">IF(AND(EI$318&lt;0,EJ$318&gt;=0),133+(-EI$318)/EJ$276,0)</f>
        <v>0</v>
      </c>
      <c r="EK319" s="36" t="n">
        <f aca="false">IF(AND(EJ$318&lt;0,EK$318&gt;=0),134+(-EJ$318)/EK$276,0)</f>
        <v>0</v>
      </c>
      <c r="EL319" s="36" t="n">
        <f aca="false">IF(AND(EK$318&lt;0,EL$318&gt;=0),135+(-EK$318)/EL$276,0)</f>
        <v>0</v>
      </c>
      <c r="EM319" s="36" t="n">
        <f aca="false">IF(AND(EL$318&lt;0,EM$318&gt;=0),136+(-EL$318)/EM$276,0)</f>
        <v>0</v>
      </c>
      <c r="EN319" s="36" t="n">
        <f aca="false">IF(AND(EM$318&lt;0,EN$318&gt;=0),137+(-EM$318)/EN$276,0)</f>
        <v>0</v>
      </c>
      <c r="EO319" s="36" t="n">
        <f aca="false">IF(AND(EN$318&lt;0,EO$318&gt;=0),138+(-EN$318)/EO$276,0)</f>
        <v>0</v>
      </c>
      <c r="EP319" s="36" t="n">
        <f aca="false">IF(AND(EO$318&lt;0,EP$318&gt;=0),139+(-EO$318)/EP$276,0)</f>
        <v>0</v>
      </c>
      <c r="EQ319" s="36" t="n">
        <f aca="false">IF(AND(EP$318&lt;0,EQ$318&gt;=0),140+(-EP$318)/EQ$276,0)</f>
        <v>0</v>
      </c>
      <c r="ER319" s="36" t="n">
        <f aca="false">IF(AND(EQ$318&lt;0,ER$318&gt;=0),141+(-EQ$318)/ER$276,0)</f>
        <v>0</v>
      </c>
      <c r="ES319" s="36" t="n">
        <f aca="false">IF(AND(ER$318&lt;0,ES$318&gt;=0),142+(-ER$318)/ES$276,0)</f>
        <v>0</v>
      </c>
    </row>
    <row r="320" customFormat="false" ht="15" hidden="false" customHeight="false" outlineLevel="0" collapsed="false">
      <c r="A320" s="2" t="s">
        <v>955</v>
      </c>
      <c r="B320" s="6" t="s">
        <v>809</v>
      </c>
      <c r="C320" s="6" t="s">
        <v>250</v>
      </c>
      <c r="E320" s="40" t="n">
        <f aca="false">INDEX(F320:ES320,1,MIN(144,Fin))</f>
        <v>6147646.16149838</v>
      </c>
      <c r="F320" s="34" t="n">
        <f aca="false">0+F$294+F$263-F$309+F$311</f>
        <v>781282.890308923</v>
      </c>
      <c r="G320" s="34" t="n">
        <f aca="false">F$320+G$294+G$263-G$309+G$311</f>
        <v>794783.780617846</v>
      </c>
      <c r="H320" s="34" t="n">
        <f aca="false">G$320+H$294+H$263-H$309+H$311</f>
        <v>808284.670926769</v>
      </c>
      <c r="I320" s="34" t="n">
        <f aca="false">H$320+I$294+I$263-I$309+I$311</f>
        <v>821785.561235692</v>
      </c>
      <c r="J320" s="34" t="n">
        <f aca="false">I$320+J$294+J$263-J$309+J$311</f>
        <v>835286.451544615</v>
      </c>
      <c r="K320" s="34" t="n">
        <f aca="false">J$320+K$294+K$263-K$309+K$311</f>
        <v>848787.341853539</v>
      </c>
      <c r="L320" s="34" t="n">
        <f aca="false">K$320+L$294+L$263-L$309+L$311</f>
        <v>862288.232162462</v>
      </c>
      <c r="M320" s="34" t="n">
        <f aca="false">L$320+M$294+M$263-M$309+M$311</f>
        <v>876136.639730166</v>
      </c>
      <c r="N320" s="34" t="n">
        <f aca="false">M$320+N$294+N$263-N$309+N$311</f>
        <v>890335.170936092</v>
      </c>
      <c r="O320" s="34" t="n">
        <f aca="false">N$320+O$294+O$263-O$309+O$311</f>
        <v>904886.451707527</v>
      </c>
      <c r="P320" s="34" t="n">
        <f aca="false">O$320+P$294+P$263-P$309+P$311</f>
        <v>919793.127666212</v>
      </c>
      <c r="Q320" s="34" t="n">
        <f aca="false">P$320+Q$294+Q$263-Q$309+Q$311</f>
        <v>935057.864276052</v>
      </c>
      <c r="R320" s="34" t="n">
        <f aca="false">Q$320+R$294+R$263-R$309+R$311</f>
        <v>1359776.91617697</v>
      </c>
      <c r="S320" s="34" t="n">
        <f aca="false">R$320+S$294+S$263-S$309+S$311</f>
        <v>1412931.41977972</v>
      </c>
      <c r="T320" s="34" t="n">
        <f aca="false">S$320+T$294+T$263-T$309+T$311</f>
        <v>1466452.10097207</v>
      </c>
      <c r="U320" s="34" t="n">
        <f aca="false">T$320+U$294+U$263-U$309+U$311</f>
        <v>1520341.70608594</v>
      </c>
      <c r="V320" s="34" t="n">
        <f aca="false">U$320+V$294+V$263-V$309+V$311</f>
        <v>1574603.00205074</v>
      </c>
      <c r="W320" s="34" t="n">
        <f aca="false">V$320+W$294+W$263-W$309+W$311</f>
        <v>1629238.77654785</v>
      </c>
      <c r="X320" s="34" t="n">
        <f aca="false">W$320+X$294+X$263-X$309+X$311</f>
        <v>1684251.83816627</v>
      </c>
      <c r="Y320" s="34" t="n">
        <f aca="false">X$320+Y$294+Y$263-Y$309+Y$311</f>
        <v>1739645.0165594</v>
      </c>
      <c r="Z320" s="34" t="n">
        <f aca="false">Y$320+Z$294+Z$263-Z$309+Z$311</f>
        <v>1795421.16260306</v>
      </c>
      <c r="AA320" s="34" t="n">
        <f aca="false">Z$320+AA$294+AA$263-AA$309+AA$311</f>
        <v>1851583.14855461</v>
      </c>
      <c r="AB320" s="34" t="n">
        <f aca="false">AA$320+AB$294+AB$263-AB$309+AB$311</f>
        <v>1908133.86821339</v>
      </c>
      <c r="AC320" s="34" t="n">
        <f aca="false">AB$320+AC$294+AC$263-AC$309+AC$311</f>
        <v>1965076.23708218</v>
      </c>
      <c r="AD320" s="34" t="n">
        <f aca="false">AC$320+AD$294+AD$263-AD$309+AD$311</f>
        <v>2059001.82040122</v>
      </c>
      <c r="AE320" s="34" t="n">
        <f aca="false">AD$320+AE$294+AE$263-AE$309+AE$311</f>
        <v>2153324.9496987</v>
      </c>
      <c r="AF320" s="34" t="n">
        <f aca="false">AE$320+AF$294+AF$263-AF$309+AF$311</f>
        <v>2248048.60656945</v>
      </c>
      <c r="AG320" s="34" t="n">
        <f aca="false">AF$320+AG$294+AG$263-AG$309+AG$311</f>
        <v>2343175.79497027</v>
      </c>
      <c r="AH320" s="34" t="n">
        <f aca="false">AG$320+AH$294+AH$263-AH$309+AH$311</f>
        <v>2438709.54138765</v>
      </c>
      <c r="AI320" s="34" t="n">
        <f aca="false">AH$320+AI$294+AI$263-AI$309+AI$311</f>
        <v>2534652.89500669</v>
      </c>
      <c r="AJ320" s="34" t="n">
        <f aca="false">AI$320+AJ$294+AJ$263-AJ$309+AJ$311</f>
        <v>2631008.92788143</v>
      </c>
      <c r="AK320" s="34" t="n">
        <f aca="false">AJ$320+AK$294+AK$263-AK$309+AK$311</f>
        <v>2727780.73510626</v>
      </c>
      <c r="AL320" s="34" t="n">
        <f aca="false">AK$320+AL$294+AL$263-AL$309+AL$311</f>
        <v>2824971.43498883</v>
      </c>
      <c r="AM320" s="34" t="n">
        <f aca="false">AL$320+AM$294+AM$263-AM$309+AM$311</f>
        <v>2922584.16922405</v>
      </c>
      <c r="AN320" s="34" t="n">
        <f aca="false">AM$320+AN$294+AN$263-AN$309+AN$311</f>
        <v>3020622.10306959</v>
      </c>
      <c r="AO320" s="34" t="n">
        <f aca="false">AN$320+AO$294+AO$263-AO$309+AO$311</f>
        <v>3119088.42552251</v>
      </c>
      <c r="AP320" s="34" t="n">
        <f aca="false">AO$320+AP$294+AP$263-AP$309+AP$311</f>
        <v>3250794.8985121</v>
      </c>
      <c r="AQ320" s="34" t="n">
        <f aca="false">AP$320+AQ$294+AQ$263-AQ$309+AQ$311</f>
        <v>3382936.21003504</v>
      </c>
      <c r="AR320" s="34" t="n">
        <f aca="false">AQ$320+AR$294+AR$263-AR$309+AR$311</f>
        <v>3515515.62138034</v>
      </c>
      <c r="AS320" s="34" t="n">
        <f aca="false">AR$320+AS$294+AS$263-AS$309+AS$311</f>
        <v>3648536.41829666</v>
      </c>
      <c r="AT320" s="34" t="n">
        <f aca="false">AS$320+AT$294+AT$263-AT$309+AT$311</f>
        <v>3782001.91117579</v>
      </c>
      <c r="AU320" s="34" t="n">
        <f aca="false">AT$320+AU$294+AU$263-AU$309+AU$311</f>
        <v>3915915.43523744</v>
      </c>
      <c r="AV320" s="34" t="n">
        <f aca="false">AU$320+AV$294+AV$263-AV$309+AV$311</f>
        <v>4050280.35071549</v>
      </c>
      <c r="AW320" s="34" t="n">
        <f aca="false">AV$320+AW$294+AW$263-AW$309+AW$311</f>
        <v>4185100.04304555</v>
      </c>
      <c r="AX320" s="34" t="n">
        <f aca="false">AW$320+AX$294+AX$263-AX$309+AX$311</f>
        <v>4320377.92305403</v>
      </c>
      <c r="AY320" s="34" t="n">
        <f aca="false">AX$320+AY$294+AY$263-AY$309+AY$311</f>
        <v>4456117.42714849</v>
      </c>
      <c r="AZ320" s="34" t="n">
        <f aca="false">AY$320+AZ$294+AZ$263-AZ$309+AZ$311</f>
        <v>4592322.0175096</v>
      </c>
      <c r="BA320" s="34" t="n">
        <f aca="false">AZ$320+BA$294+BA$263-BA$309+BA$311</f>
        <v>4728995.18228435</v>
      </c>
      <c r="BB320" s="34" t="n">
        <f aca="false">BA$320+BB$294+BB$263-BB$309+BB$311</f>
        <v>4867460.02077736</v>
      </c>
      <c r="BC320" s="34" t="n">
        <f aca="false">BB$320+BC$294+BC$263-BC$309+BC$311</f>
        <v>5006400.48865752</v>
      </c>
      <c r="BD320" s="34" t="n">
        <f aca="false">BC$320+BD$294+BD$263-BD$309+BD$311</f>
        <v>5145820.15314524</v>
      </c>
      <c r="BE320" s="34" t="n">
        <f aca="false">BD$320+BE$294+BE$263-BE$309+BE$311</f>
        <v>4480769.22983416</v>
      </c>
      <c r="BF320" s="34" t="n">
        <f aca="false">BE$320+BF$294+BF$263-BF$309+BF$311</f>
        <v>4621158.09641548</v>
      </c>
      <c r="BG320" s="34" t="n">
        <f aca="false">BF$320+BG$294+BG$263-BG$309+BG$311</f>
        <v>4762037.02259462</v>
      </c>
      <c r="BH320" s="34" t="n">
        <f aca="false">BG$320+BH$294+BH$263-BH$309+BH$311</f>
        <v>4903409.68381856</v>
      </c>
      <c r="BI320" s="34" t="n">
        <f aca="false">BH$320+BI$294+BI$263-BI$309+BI$311</f>
        <v>5045279.78310014</v>
      </c>
      <c r="BJ320" s="34" t="n">
        <f aca="false">BI$320+BJ$294+BJ$263-BJ$309+BJ$311</f>
        <v>5187651.05122479</v>
      </c>
      <c r="BK320" s="34" t="n">
        <f aca="false">BJ$320+BK$294+BK$263-BK$309+BK$311</f>
        <v>5330527.24695883</v>
      </c>
      <c r="BL320" s="34" t="n">
        <f aca="false">BK$320+BL$294+BL$263-BL$309+BL$311</f>
        <v>5473912.15725934</v>
      </c>
      <c r="BM320" s="34" t="n">
        <f aca="false">BL$320+BM$294+BM$263-BM$309+BM$311</f>
        <v>5617809.59748556</v>
      </c>
      <c r="BN320" s="34" t="n">
        <f aca="false">BM$320+BN$294+BN$263-BN$309+BN$311</f>
        <v>5767325.32186672</v>
      </c>
      <c r="BO320" s="34" t="n">
        <f aca="false">BN$320+BO$294+BO$263-BO$309+BO$311</f>
        <v>5916841.04624788</v>
      </c>
      <c r="BP320" s="34" t="n">
        <f aca="false">BO$320+BP$294+BP$263-BP$309+BP$311</f>
        <v>6066356.77062904</v>
      </c>
      <c r="BQ320" s="34" t="n">
        <f aca="false">BP$320+BQ$294+BQ$263-BQ$309+BQ$311</f>
        <v>4751945.95064198</v>
      </c>
      <c r="BR320" s="34" t="n">
        <f aca="false">BQ$320+BR$294+BR$263-BR$309+BR$311</f>
        <v>4901461.67502314</v>
      </c>
      <c r="BS320" s="34" t="n">
        <f aca="false">BR$320+BS$294+BS$263-BS$309+BS$311</f>
        <v>5050977.3994043</v>
      </c>
      <c r="BT320" s="34" t="n">
        <f aca="false">BS$320+BT$294+BT$263-BT$309+BT$311</f>
        <v>5200493.12378545</v>
      </c>
      <c r="BU320" s="34" t="n">
        <f aca="false">BT$320+BU$294+BU$263-BU$309+BU$311</f>
        <v>5350008.84816661</v>
      </c>
      <c r="BV320" s="34" t="n">
        <f aca="false">BU$320+BV$294+BV$263-BV$309+BV$311</f>
        <v>5499524.57254777</v>
      </c>
      <c r="BW320" s="34" t="n">
        <f aca="false">BV$320+BW$294+BW$263-BW$309+BW$311</f>
        <v>5649040.29692893</v>
      </c>
      <c r="BX320" s="34" t="n">
        <f aca="false">BW$320+BX$294+BX$263-BX$309+BX$311</f>
        <v>5798556.02131009</v>
      </c>
      <c r="BY320" s="34" t="n">
        <f aca="false">BX$320+BY$294+BY$263-BY$309+BY$311</f>
        <v>5948071.74569125</v>
      </c>
      <c r="BZ320" s="34" t="n">
        <f aca="false">BY$320+BZ$294+BZ$263-BZ$309+BZ$311</f>
        <v>6101703.05076398</v>
      </c>
      <c r="CA320" s="34" t="n">
        <f aca="false">BZ$320+CA$294+CA$263-CA$309+CA$311</f>
        <v>6255334.35583672</v>
      </c>
      <c r="CB320" s="34" t="n">
        <f aca="false">CA$320+CB$294+CB$263-CB$309+CB$311</f>
        <v>6408965.66090945</v>
      </c>
      <c r="CC320" s="34" t="n">
        <f aca="false">CB$320+CC$294+CC$263-CC$309+CC$311</f>
        <v>4768408.27340827</v>
      </c>
      <c r="CD320" s="34" t="n">
        <f aca="false">CC$320+CD$294+CD$263-CD$309+CD$311</f>
        <v>4922039.578481</v>
      </c>
      <c r="CE320" s="34" t="n">
        <f aca="false">CD$320+CE$294+CE$263-CE$309+CE$311</f>
        <v>5075670.88355373</v>
      </c>
      <c r="CF320" s="34" t="n">
        <f aca="false">CE$320+CF$294+CF$263-CF$309+CF$311</f>
        <v>5229302.18862647</v>
      </c>
      <c r="CG320" s="34" t="n">
        <f aca="false">CF$320+CG$294+CG$263-CG$309+CG$311</f>
        <v>5382933.4936992</v>
      </c>
      <c r="CH320" s="34" t="n">
        <f aca="false">CG$320+CH$294+CH$263-CH$309+CH$311</f>
        <v>5536564.79877193</v>
      </c>
      <c r="CI320" s="34" t="n">
        <f aca="false">CH$320+CI$294+CI$263-CI$309+CI$311</f>
        <v>5690196.10384467</v>
      </c>
      <c r="CJ320" s="34" t="n">
        <f aca="false">CI$320+CJ$294+CJ$263-CJ$309+CJ$311</f>
        <v>5843827.4089174</v>
      </c>
      <c r="CK320" s="34" t="n">
        <f aca="false">CJ$320+CK$294+CK$263-CK$309+CK$311</f>
        <v>5997458.71399013</v>
      </c>
      <c r="CL320" s="34" t="n">
        <f aca="false">CK$320+CL$294+CL$263-CL$309+CL$311</f>
        <v>6155233.81511975</v>
      </c>
      <c r="CM320" s="34" t="n">
        <f aca="false">CL$320+CM$294+CM$263-CM$309+CM$311</f>
        <v>6313008.91624938</v>
      </c>
      <c r="CN320" s="34" t="n">
        <f aca="false">CM$320+CN$294+CN$263-CN$309+CN$311</f>
        <v>6470784.017379</v>
      </c>
      <c r="CO320" s="34" t="n">
        <f aca="false">CN$320+CO$294+CO$263-CO$309+CO$311</f>
        <v>4784983.45763582</v>
      </c>
      <c r="CP320" s="34" t="n">
        <f aca="false">CO$320+CP$294+CP$263-CP$309+CP$311</f>
        <v>4942758.55876544</v>
      </c>
      <c r="CQ320" s="34" t="n">
        <f aca="false">CP$320+CQ$294+CQ$263-CQ$309+CQ$311</f>
        <v>5100533.65989506</v>
      </c>
      <c r="CR320" s="34" t="n">
        <f aca="false">CQ$320+CR$294+CR$263-CR$309+CR$311</f>
        <v>5258308.76102469</v>
      </c>
      <c r="CS320" s="34" t="n">
        <f aca="false">CR$320+CS$294+CS$263-CS$309+CS$311</f>
        <v>5416083.86215431</v>
      </c>
      <c r="CT320" s="34" t="n">
        <f aca="false">CS$320+CT$294+CT$263-CT$309+CT$311</f>
        <v>5573858.96328393</v>
      </c>
      <c r="CU320" s="34" t="n">
        <f aca="false">CT$320+CU$294+CU$263-CU$309+CU$311</f>
        <v>5731634.06441355</v>
      </c>
      <c r="CV320" s="34" t="n">
        <f aca="false">CU$320+CV$294+CV$263-CV$309+CV$311</f>
        <v>5889409.16554317</v>
      </c>
      <c r="CW320" s="34" t="n">
        <f aca="false">CV$320+CW$294+CW$263-CW$309+CW$311</f>
        <v>6047184.26667279</v>
      </c>
      <c r="CX320" s="34" t="n">
        <f aca="false">CW$320+CX$294+CX$263-CX$309+CX$311</f>
        <v>6209131.27890503</v>
      </c>
      <c r="CY320" s="34" t="n">
        <f aca="false">CX$320+CY$294+CY$263-CY$309+CY$311</f>
        <v>6371078.29113727</v>
      </c>
      <c r="CZ320" s="34" t="n">
        <f aca="false">CY$320+CZ$294+CZ$263-CZ$309+CZ$311</f>
        <v>6533025.30336952</v>
      </c>
      <c r="DA320" s="34" t="n">
        <f aca="false">CZ$320+DA$294+DA$263-DA$309+DA$311</f>
        <v>4801671.10204631</v>
      </c>
      <c r="DB320" s="34" t="n">
        <f aca="false">DA$320+DB$294+DB$263-DB$309+DB$311</f>
        <v>4963618.11427855</v>
      </c>
      <c r="DC320" s="34" t="n">
        <f aca="false">DB$320+DC$294+DC$263-DC$309+DC$311</f>
        <v>5125565.12651079</v>
      </c>
      <c r="DD320" s="34" t="n">
        <f aca="false">DC$320+DD$294+DD$263-DD$309+DD$311</f>
        <v>5287512.13874303</v>
      </c>
      <c r="DE320" s="34" t="n">
        <f aca="false">DD$320+DE$294+DE$263-DE$309+DE$311</f>
        <v>5449459.15097527</v>
      </c>
      <c r="DF320" s="34" t="n">
        <f aca="false">DE$320+DF$294+DF$263-DF$309+DF$311</f>
        <v>5611406.16320751</v>
      </c>
      <c r="DG320" s="34" t="n">
        <f aca="false">DF$320+DG$294+DG$263-DG$309+DG$311</f>
        <v>5773353.17543975</v>
      </c>
      <c r="DH320" s="34" t="n">
        <f aca="false">DG$320+DH$294+DH$263-DH$309+DH$311</f>
        <v>5935300.187672</v>
      </c>
      <c r="DI320" s="34" t="n">
        <f aca="false">DH$320+DI$294+DI$263-DI$309+DI$311</f>
        <v>6097247.19990424</v>
      </c>
      <c r="DJ320" s="34" t="n">
        <f aca="false">DI$320+DJ$294+DJ$263-DJ$309+DJ$311</f>
        <v>6263394.12560266</v>
      </c>
      <c r="DK320" s="34" t="n">
        <f aca="false">DJ$320+DK$294+DK$263-DK$309+DK$311</f>
        <v>6429541.05130107</v>
      </c>
      <c r="DL320" s="34" t="n">
        <f aca="false">DK$320+DL$294+DL$263-DL$309+DL$311</f>
        <v>6595687.97699949</v>
      </c>
      <c r="DM320" s="34" t="n">
        <f aca="false">DL$320+DM$294+DM$263-DM$309+DM$311</f>
        <v>4818470.75591102</v>
      </c>
      <c r="DN320" s="34" t="n">
        <f aca="false">DM$320+DN$294+DN$263-DN$309+DN$311</f>
        <v>4984617.68160944</v>
      </c>
      <c r="DO320" s="34" t="n">
        <f aca="false">DN$320+DO$294+DO$263-DO$309+DO$311</f>
        <v>5150764.60730786</v>
      </c>
      <c r="DP320" s="34" t="n">
        <f aca="false">DO$320+DP$294+DP$263-DP$309+DP$311</f>
        <v>5316911.53300628</v>
      </c>
      <c r="DQ320" s="34" t="n">
        <f aca="false">DP$320+DQ$294+DQ$263-DQ$309+DQ$311</f>
        <v>5483058.4587047</v>
      </c>
      <c r="DR320" s="34" t="n">
        <f aca="false">DQ$320+DR$294+DR$263-DR$309+DR$311</f>
        <v>5649205.38440312</v>
      </c>
      <c r="DS320" s="34" t="n">
        <f aca="false">DR$320+DS$294+DS$263-DS$309+DS$311</f>
        <v>5815352.31010154</v>
      </c>
      <c r="DT320" s="34" t="n">
        <f aca="false">DS$320+DT$294+DT$263-DT$309+DT$311</f>
        <v>5981499.23579996</v>
      </c>
      <c r="DU320" s="34" t="n">
        <f aca="false">DT$320+DU$294+DU$263-DU$309+DU$311</f>
        <v>6147646.16149838</v>
      </c>
      <c r="DV320" s="34" t="n">
        <f aca="false">DU$320+DV$294+DV$263-DV$309+DV$311</f>
        <v>6147646.16149838</v>
      </c>
      <c r="DW320" s="34" t="n">
        <f aca="false">DV$320+DW$294+DW$263-DW$309+DW$311</f>
        <v>6147646.16149838</v>
      </c>
      <c r="DX320" s="34" t="n">
        <f aca="false">DW$320+DX$294+DX$263-DX$309+DX$311</f>
        <v>6147646.16149838</v>
      </c>
      <c r="DY320" s="34" t="n">
        <f aca="false">DX$320+DY$294+DY$263-DY$309+DY$311</f>
        <v>6147646.16149838</v>
      </c>
      <c r="DZ320" s="34" t="n">
        <f aca="false">DY$320+DZ$294+DZ$263-DZ$309+DZ$311</f>
        <v>6147646.16149838</v>
      </c>
      <c r="EA320" s="34" t="n">
        <f aca="false">DZ$320+EA$294+EA$263-EA$309+EA$311</f>
        <v>6147646.16149838</v>
      </c>
      <c r="EB320" s="34" t="n">
        <f aca="false">EA$320+EB$294+EB$263-EB$309+EB$311</f>
        <v>6147646.16149838</v>
      </c>
      <c r="EC320" s="34" t="n">
        <f aca="false">EB$320+EC$294+EC$263-EC$309+EC$311</f>
        <v>6147646.16149838</v>
      </c>
      <c r="ED320" s="34" t="n">
        <f aca="false">EC$320+ED$294+ED$263-ED$309+ED$311</f>
        <v>6147646.16149838</v>
      </c>
      <c r="EE320" s="34" t="n">
        <f aca="false">ED$320+EE$294+EE$263-EE$309+EE$311</f>
        <v>6147646.16149838</v>
      </c>
      <c r="EF320" s="34" t="n">
        <f aca="false">EE$320+EF$294+EF$263-EF$309+EF$311</f>
        <v>6147646.16149838</v>
      </c>
      <c r="EG320" s="34" t="n">
        <f aca="false">EF$320+EG$294+EG$263-EG$309+EG$311</f>
        <v>6147646.16149838</v>
      </c>
      <c r="EH320" s="34" t="n">
        <f aca="false">EG$320+EH$294+EH$263-EH$309+EH$311</f>
        <v>6147646.16149838</v>
      </c>
      <c r="EI320" s="34" t="n">
        <f aca="false">EH$320+EI$294+EI$263-EI$309+EI$311</f>
        <v>6147646.16149838</v>
      </c>
      <c r="EJ320" s="34" t="n">
        <f aca="false">EI$320+EJ$294+EJ$263-EJ$309+EJ$311</f>
        <v>6147646.16149838</v>
      </c>
      <c r="EK320" s="34" t="n">
        <f aca="false">EJ$320+EK$294+EK$263-EK$309+EK$311</f>
        <v>6147646.16149838</v>
      </c>
      <c r="EL320" s="34" t="n">
        <f aca="false">EK$320+EL$294+EL$263-EL$309+EL$311</f>
        <v>6147646.16149838</v>
      </c>
      <c r="EM320" s="34" t="n">
        <f aca="false">EL$320+EM$294+EM$263-EM$309+EM$311</f>
        <v>6147646.16149838</v>
      </c>
      <c r="EN320" s="34" t="n">
        <f aca="false">EM$320+EN$294+EN$263-EN$309+EN$311</f>
        <v>6147646.16149838</v>
      </c>
      <c r="EO320" s="34" t="n">
        <f aca="false">EN$320+EO$294+EO$263-EO$309+EO$311</f>
        <v>6147646.16149838</v>
      </c>
      <c r="EP320" s="34" t="n">
        <f aca="false">EO$320+EP$294+EP$263-EP$309+EP$311</f>
        <v>6147646.16149838</v>
      </c>
      <c r="EQ320" s="34" t="n">
        <f aca="false">EP$320+EQ$294+EQ$263-EQ$309+EQ$311</f>
        <v>6147646.16149838</v>
      </c>
      <c r="ER320" s="34" t="n">
        <f aca="false">EQ$320+ER$294+ER$263-ER$309+ER$311</f>
        <v>6147646.16149838</v>
      </c>
      <c r="ES320" s="34" t="n">
        <f aca="false">ER$320+ES$294+ES$263-ES$309+ES$311</f>
        <v>6147646.16149838</v>
      </c>
    </row>
    <row r="321" customFormat="false" ht="15" hidden="false" customHeight="false" outlineLevel="0" collapsed="false">
      <c r="A321" s="2" t="s">
        <v>956</v>
      </c>
      <c r="B321" s="52" t="s">
        <v>811</v>
      </c>
      <c r="C321" s="6" t="s">
        <v>250</v>
      </c>
      <c r="E321" s="53" t="n">
        <f aca="false">MAX(ABS(MAX(F321:ES321)),ABS(MIN(F321:ES321)))</f>
        <v>0</v>
      </c>
      <c r="F321" s="54" t="n">
        <f aca="false">ROUND(F$310+F$265+F$266+F$267+F$274-F$268-F$304-F$320,2)</f>
        <v>0</v>
      </c>
      <c r="G321" s="54" t="n">
        <f aca="false">ROUND(G$310+G$265+G$266+G$267+G$274-G$268-G$304-G$320,2)</f>
        <v>0</v>
      </c>
      <c r="H321" s="54" t="n">
        <f aca="false">ROUND(H$310+H$265+H$266+H$267+H$274-H$268-H$304-H$320,2)</f>
        <v>0</v>
      </c>
      <c r="I321" s="54" t="n">
        <f aca="false">ROUND(I$310+I$265+I$266+I$267+I$274-I$268-I$304-I$320,2)</f>
        <v>0</v>
      </c>
      <c r="J321" s="54" t="n">
        <f aca="false">ROUND(J$310+J$265+J$266+J$267+J$274-J$268-J$304-J$320,2)</f>
        <v>0</v>
      </c>
      <c r="K321" s="54" t="n">
        <f aca="false">ROUND(K$310+K$265+K$266+K$267+K$274-K$268-K$304-K$320,2)</f>
        <v>0</v>
      </c>
      <c r="L321" s="54" t="n">
        <f aca="false">ROUND(L$310+L$265+L$266+L$267+L$274-L$268-L$304-L$320,2)</f>
        <v>0</v>
      </c>
      <c r="M321" s="54" t="n">
        <f aca="false">ROUND(M$310+M$265+M$266+M$267+M$274-M$268-M$304-M$320,2)</f>
        <v>0</v>
      </c>
      <c r="N321" s="54" t="n">
        <f aca="false">ROUND(N$310+N$265+N$266+N$267+N$274-N$268-N$304-N$320,2)</f>
        <v>0</v>
      </c>
      <c r="O321" s="54" t="n">
        <f aca="false">ROUND(O$310+O$265+O$266+O$267+O$274-O$268-O$304-O$320,2)</f>
        <v>0</v>
      </c>
      <c r="P321" s="54" t="n">
        <f aca="false">ROUND(P$310+P$265+P$266+P$267+P$274-P$268-P$304-P$320,2)</f>
        <v>0</v>
      </c>
      <c r="Q321" s="54" t="n">
        <f aca="false">ROUND(Q$310+Q$265+Q$266+Q$267+Q$274-Q$268-Q$304-Q$320,2)</f>
        <v>0</v>
      </c>
      <c r="R321" s="54" t="n">
        <f aca="false">ROUND(R$310+R$265+R$266+R$267+R$274-R$268-R$304-R$320,2)</f>
        <v>0</v>
      </c>
      <c r="S321" s="54" t="n">
        <f aca="false">ROUND(S$310+S$265+S$266+S$267+S$274-S$268-S$304-S$320,2)</f>
        <v>0</v>
      </c>
      <c r="T321" s="54" t="n">
        <f aca="false">ROUND(T$310+T$265+T$266+T$267+T$274-T$268-T$304-T$320,2)</f>
        <v>0</v>
      </c>
      <c r="U321" s="54" t="n">
        <f aca="false">ROUND(U$310+U$265+U$266+U$267+U$274-U$268-U$304-U$320,2)</f>
        <v>0</v>
      </c>
      <c r="V321" s="54" t="n">
        <f aca="false">ROUND(V$310+V$265+V$266+V$267+V$274-V$268-V$304-V$320,2)</f>
        <v>0</v>
      </c>
      <c r="W321" s="54" t="n">
        <f aca="false">ROUND(W$310+W$265+W$266+W$267+W$274-W$268-W$304-W$320,2)</f>
        <v>0</v>
      </c>
      <c r="X321" s="54" t="n">
        <f aca="false">ROUND(X$310+X$265+X$266+X$267+X$274-X$268-X$304-X$320,2)</f>
        <v>0</v>
      </c>
      <c r="Y321" s="54" t="n">
        <f aca="false">ROUND(Y$310+Y$265+Y$266+Y$267+Y$274-Y$268-Y$304-Y$320,2)</f>
        <v>0</v>
      </c>
      <c r="Z321" s="54" t="n">
        <f aca="false">ROUND(Z$310+Z$265+Z$266+Z$267+Z$274-Z$268-Z$304-Z$320,2)</f>
        <v>0</v>
      </c>
      <c r="AA321" s="54" t="n">
        <f aca="false">ROUND(AA$310+AA$265+AA$266+AA$267+AA$274-AA$268-AA$304-AA$320,2)</f>
        <v>0</v>
      </c>
      <c r="AB321" s="54" t="n">
        <f aca="false">ROUND(AB$310+AB$265+AB$266+AB$267+AB$274-AB$268-AB$304-AB$320,2)</f>
        <v>0</v>
      </c>
      <c r="AC321" s="54" t="n">
        <f aca="false">ROUND(AC$310+AC$265+AC$266+AC$267+AC$274-AC$268-AC$304-AC$320,2)</f>
        <v>0</v>
      </c>
      <c r="AD321" s="54" t="n">
        <f aca="false">ROUND(AD$310+AD$265+AD$266+AD$267+AD$274-AD$268-AD$304-AD$320,2)</f>
        <v>0</v>
      </c>
      <c r="AE321" s="54" t="n">
        <f aca="false">ROUND(AE$310+AE$265+AE$266+AE$267+AE$274-AE$268-AE$304-AE$320,2)</f>
        <v>0</v>
      </c>
      <c r="AF321" s="54" t="n">
        <f aca="false">ROUND(AF$310+AF$265+AF$266+AF$267+AF$274-AF$268-AF$304-AF$320,2)</f>
        <v>0</v>
      </c>
      <c r="AG321" s="54" t="n">
        <f aca="false">ROUND(AG$310+AG$265+AG$266+AG$267+AG$274-AG$268-AG$304-AG$320,2)</f>
        <v>0</v>
      </c>
      <c r="AH321" s="54" t="n">
        <f aca="false">ROUND(AH$310+AH$265+AH$266+AH$267+AH$274-AH$268-AH$304-AH$320,2)</f>
        <v>0</v>
      </c>
      <c r="AI321" s="54" t="n">
        <f aca="false">ROUND(AI$310+AI$265+AI$266+AI$267+AI$274-AI$268-AI$304-AI$320,2)</f>
        <v>0</v>
      </c>
      <c r="AJ321" s="54" t="n">
        <f aca="false">ROUND(AJ$310+AJ$265+AJ$266+AJ$267+AJ$274-AJ$268-AJ$304-AJ$320,2)</f>
        <v>0</v>
      </c>
      <c r="AK321" s="54" t="n">
        <f aca="false">ROUND(AK$310+AK$265+AK$266+AK$267+AK$274-AK$268-AK$304-AK$320,2)</f>
        <v>0</v>
      </c>
      <c r="AL321" s="54" t="n">
        <f aca="false">ROUND(AL$310+AL$265+AL$266+AL$267+AL$274-AL$268-AL$304-AL$320,2)</f>
        <v>0</v>
      </c>
      <c r="AM321" s="54" t="n">
        <f aca="false">ROUND(AM$310+AM$265+AM$266+AM$267+AM$274-AM$268-AM$304-AM$320,2)</f>
        <v>0</v>
      </c>
      <c r="AN321" s="54" t="n">
        <f aca="false">ROUND(AN$310+AN$265+AN$266+AN$267+AN$274-AN$268-AN$304-AN$320,2)</f>
        <v>0</v>
      </c>
      <c r="AO321" s="54" t="n">
        <f aca="false">ROUND(AO$310+AO$265+AO$266+AO$267+AO$274-AO$268-AO$304-AO$320,2)</f>
        <v>0</v>
      </c>
      <c r="AP321" s="54" t="n">
        <f aca="false">ROUND(AP$310+AP$265+AP$266+AP$267+AP$274-AP$268-AP$304-AP$320,2)</f>
        <v>0</v>
      </c>
      <c r="AQ321" s="54" t="n">
        <f aca="false">ROUND(AQ$310+AQ$265+AQ$266+AQ$267+AQ$274-AQ$268-AQ$304-AQ$320,2)</f>
        <v>0</v>
      </c>
      <c r="AR321" s="54" t="n">
        <f aca="false">ROUND(AR$310+AR$265+AR$266+AR$267+AR$274-AR$268-AR$304-AR$320,2)</f>
        <v>0</v>
      </c>
      <c r="AS321" s="54" t="n">
        <f aca="false">ROUND(AS$310+AS$265+AS$266+AS$267+AS$274-AS$268-AS$304-AS$320,2)</f>
        <v>0</v>
      </c>
      <c r="AT321" s="54" t="n">
        <f aca="false">ROUND(AT$310+AT$265+AT$266+AT$267+AT$274-AT$268-AT$304-AT$320,2)</f>
        <v>0</v>
      </c>
      <c r="AU321" s="54" t="n">
        <f aca="false">ROUND(AU$310+AU$265+AU$266+AU$267+AU$274-AU$268-AU$304-AU$320,2)</f>
        <v>0</v>
      </c>
      <c r="AV321" s="54" t="n">
        <f aca="false">ROUND(AV$310+AV$265+AV$266+AV$267+AV$274-AV$268-AV$304-AV$320,2)</f>
        <v>0</v>
      </c>
      <c r="AW321" s="54" t="n">
        <f aca="false">ROUND(AW$310+AW$265+AW$266+AW$267+AW$274-AW$268-AW$304-AW$320,2)</f>
        <v>0</v>
      </c>
      <c r="AX321" s="54" t="n">
        <f aca="false">ROUND(AX$310+AX$265+AX$266+AX$267+AX$274-AX$268-AX$304-AX$320,2)</f>
        <v>0</v>
      </c>
      <c r="AY321" s="54" t="n">
        <f aca="false">ROUND(AY$310+AY$265+AY$266+AY$267+AY$274-AY$268-AY$304-AY$320,2)</f>
        <v>0</v>
      </c>
      <c r="AZ321" s="54" t="n">
        <f aca="false">ROUND(AZ$310+AZ$265+AZ$266+AZ$267+AZ$274-AZ$268-AZ$304-AZ$320,2)</f>
        <v>0</v>
      </c>
      <c r="BA321" s="54" t="n">
        <f aca="false">ROUND(BA$310+BA$265+BA$266+BA$267+BA$274-BA$268-BA$304-BA$320,2)</f>
        <v>0</v>
      </c>
      <c r="BB321" s="54" t="n">
        <f aca="false">ROUND(BB$310+BB$265+BB$266+BB$267+BB$274-BB$268-BB$304-BB$320,2)</f>
        <v>0</v>
      </c>
      <c r="BC321" s="54" t="n">
        <f aca="false">ROUND(BC$310+BC$265+BC$266+BC$267+BC$274-BC$268-BC$304-BC$320,2)</f>
        <v>0</v>
      </c>
      <c r="BD321" s="54" t="n">
        <f aca="false">ROUND(BD$310+BD$265+BD$266+BD$267+BD$274-BD$268-BD$304-BD$320,2)</f>
        <v>0</v>
      </c>
      <c r="BE321" s="54" t="n">
        <f aca="false">ROUND(BE$310+BE$265+BE$266+BE$267+BE$274-BE$268-BE$304-BE$320,2)</f>
        <v>0</v>
      </c>
      <c r="BF321" s="54" t="n">
        <f aca="false">ROUND(BF$310+BF$265+BF$266+BF$267+BF$274-BF$268-BF$304-BF$320,2)</f>
        <v>0</v>
      </c>
      <c r="BG321" s="54" t="n">
        <f aca="false">ROUND(BG$310+BG$265+BG$266+BG$267+BG$274-BG$268-BG$304-BG$320,2)</f>
        <v>0</v>
      </c>
      <c r="BH321" s="54" t="n">
        <f aca="false">ROUND(BH$310+BH$265+BH$266+BH$267+BH$274-BH$268-BH$304-BH$320,2)</f>
        <v>0</v>
      </c>
      <c r="BI321" s="54" t="n">
        <f aca="false">ROUND(BI$310+BI$265+BI$266+BI$267+BI$274-BI$268-BI$304-BI$320,2)</f>
        <v>0</v>
      </c>
      <c r="BJ321" s="54" t="n">
        <f aca="false">ROUND(BJ$310+BJ$265+BJ$266+BJ$267+BJ$274-BJ$268-BJ$304-BJ$320,2)</f>
        <v>0</v>
      </c>
      <c r="BK321" s="54" t="n">
        <f aca="false">ROUND(BK$310+BK$265+BK$266+BK$267+BK$274-BK$268-BK$304-BK$320,2)</f>
        <v>0</v>
      </c>
      <c r="BL321" s="54" t="n">
        <f aca="false">ROUND(BL$310+BL$265+BL$266+BL$267+BL$274-BL$268-BL$304-BL$320,2)</f>
        <v>0</v>
      </c>
      <c r="BM321" s="54" t="n">
        <f aca="false">ROUND(BM$310+BM$265+BM$266+BM$267+BM$274-BM$268-BM$304-BM$320,2)</f>
        <v>0</v>
      </c>
      <c r="BN321" s="54" t="n">
        <f aca="false">ROUND(BN$310+BN$265+BN$266+BN$267+BN$274-BN$268-BN$304-BN$320,2)</f>
        <v>0</v>
      </c>
      <c r="BO321" s="54" t="n">
        <f aca="false">ROUND(BO$310+BO$265+BO$266+BO$267+BO$274-BO$268-BO$304-BO$320,2)</f>
        <v>0</v>
      </c>
      <c r="BP321" s="54" t="n">
        <f aca="false">ROUND(BP$310+BP$265+BP$266+BP$267+BP$274-BP$268-BP$304-BP$320,2)</f>
        <v>0</v>
      </c>
      <c r="BQ321" s="54" t="n">
        <f aca="false">ROUND(BQ$310+BQ$265+BQ$266+BQ$267+BQ$274-BQ$268-BQ$304-BQ$320,2)</f>
        <v>0</v>
      </c>
      <c r="BR321" s="54" t="n">
        <f aca="false">ROUND(BR$310+BR$265+BR$266+BR$267+BR$274-BR$268-BR$304-BR$320,2)</f>
        <v>0</v>
      </c>
      <c r="BS321" s="54" t="n">
        <f aca="false">ROUND(BS$310+BS$265+BS$266+BS$267+BS$274-BS$268-BS$304-BS$320,2)</f>
        <v>0</v>
      </c>
      <c r="BT321" s="54" t="n">
        <f aca="false">ROUND(BT$310+BT$265+BT$266+BT$267+BT$274-BT$268-BT$304-BT$320,2)</f>
        <v>0</v>
      </c>
      <c r="BU321" s="54" t="n">
        <f aca="false">ROUND(BU$310+BU$265+BU$266+BU$267+BU$274-BU$268-BU$304-BU$320,2)</f>
        <v>0</v>
      </c>
      <c r="BV321" s="54" t="n">
        <f aca="false">ROUND(BV$310+BV$265+BV$266+BV$267+BV$274-BV$268-BV$304-BV$320,2)</f>
        <v>0</v>
      </c>
      <c r="BW321" s="54" t="n">
        <f aca="false">ROUND(BW$310+BW$265+BW$266+BW$267+BW$274-BW$268-BW$304-BW$320,2)</f>
        <v>0</v>
      </c>
      <c r="BX321" s="54" t="n">
        <f aca="false">ROUND(BX$310+BX$265+BX$266+BX$267+BX$274-BX$268-BX$304-BX$320,2)</f>
        <v>0</v>
      </c>
      <c r="BY321" s="54" t="n">
        <f aca="false">ROUND(BY$310+BY$265+BY$266+BY$267+BY$274-BY$268-BY$304-BY$320,2)</f>
        <v>0</v>
      </c>
      <c r="BZ321" s="54" t="n">
        <f aca="false">ROUND(BZ$310+BZ$265+BZ$266+BZ$267+BZ$274-BZ$268-BZ$304-BZ$320,2)</f>
        <v>0</v>
      </c>
      <c r="CA321" s="54" t="n">
        <f aca="false">ROUND(CA$310+CA$265+CA$266+CA$267+CA$274-CA$268-CA$304-CA$320,2)</f>
        <v>0</v>
      </c>
      <c r="CB321" s="54" t="n">
        <f aca="false">ROUND(CB$310+CB$265+CB$266+CB$267+CB$274-CB$268-CB$304-CB$320,2)</f>
        <v>0</v>
      </c>
      <c r="CC321" s="54" t="n">
        <f aca="false">ROUND(CC$310+CC$265+CC$266+CC$267+CC$274-CC$268-CC$304-CC$320,2)</f>
        <v>0</v>
      </c>
      <c r="CD321" s="54" t="n">
        <f aca="false">ROUND(CD$310+CD$265+CD$266+CD$267+CD$274-CD$268-CD$304-CD$320,2)</f>
        <v>0</v>
      </c>
      <c r="CE321" s="54" t="n">
        <f aca="false">ROUND(CE$310+CE$265+CE$266+CE$267+CE$274-CE$268-CE$304-CE$320,2)</f>
        <v>0</v>
      </c>
      <c r="CF321" s="54" t="n">
        <f aca="false">ROUND(CF$310+CF$265+CF$266+CF$267+CF$274-CF$268-CF$304-CF$320,2)</f>
        <v>0</v>
      </c>
      <c r="CG321" s="54" t="n">
        <f aca="false">ROUND(CG$310+CG$265+CG$266+CG$267+CG$274-CG$268-CG$304-CG$320,2)</f>
        <v>0</v>
      </c>
      <c r="CH321" s="54" t="n">
        <f aca="false">ROUND(CH$310+CH$265+CH$266+CH$267+CH$274-CH$268-CH$304-CH$320,2)</f>
        <v>0</v>
      </c>
      <c r="CI321" s="54" t="n">
        <f aca="false">ROUND(CI$310+CI$265+CI$266+CI$267+CI$274-CI$268-CI$304-CI$320,2)</f>
        <v>0</v>
      </c>
      <c r="CJ321" s="54" t="n">
        <f aca="false">ROUND(CJ$310+CJ$265+CJ$266+CJ$267+CJ$274-CJ$268-CJ$304-CJ$320,2)</f>
        <v>0</v>
      </c>
      <c r="CK321" s="54" t="n">
        <f aca="false">ROUND(CK$310+CK$265+CK$266+CK$267+CK$274-CK$268-CK$304-CK$320,2)</f>
        <v>0</v>
      </c>
      <c r="CL321" s="54" t="n">
        <f aca="false">ROUND(CL$310+CL$265+CL$266+CL$267+CL$274-CL$268-CL$304-CL$320,2)</f>
        <v>0</v>
      </c>
      <c r="CM321" s="54" t="n">
        <f aca="false">ROUND(CM$310+CM$265+CM$266+CM$267+CM$274-CM$268-CM$304-CM$320,2)</f>
        <v>0</v>
      </c>
      <c r="CN321" s="54" t="n">
        <f aca="false">ROUND(CN$310+CN$265+CN$266+CN$267+CN$274-CN$268-CN$304-CN$320,2)</f>
        <v>0</v>
      </c>
      <c r="CO321" s="54" t="n">
        <f aca="false">ROUND(CO$310+CO$265+CO$266+CO$267+CO$274-CO$268-CO$304-CO$320,2)</f>
        <v>0</v>
      </c>
      <c r="CP321" s="54" t="n">
        <f aca="false">ROUND(CP$310+CP$265+CP$266+CP$267+CP$274-CP$268-CP$304-CP$320,2)</f>
        <v>0</v>
      </c>
      <c r="CQ321" s="54" t="n">
        <f aca="false">ROUND(CQ$310+CQ$265+CQ$266+CQ$267+CQ$274-CQ$268-CQ$304-CQ$320,2)</f>
        <v>0</v>
      </c>
      <c r="CR321" s="54" t="n">
        <f aca="false">ROUND(CR$310+CR$265+CR$266+CR$267+CR$274-CR$268-CR$304-CR$320,2)</f>
        <v>0</v>
      </c>
      <c r="CS321" s="54" t="n">
        <f aca="false">ROUND(CS$310+CS$265+CS$266+CS$267+CS$274-CS$268-CS$304-CS$320,2)</f>
        <v>0</v>
      </c>
      <c r="CT321" s="54" t="n">
        <f aca="false">ROUND(CT$310+CT$265+CT$266+CT$267+CT$274-CT$268-CT$304-CT$320,2)</f>
        <v>0</v>
      </c>
      <c r="CU321" s="54" t="n">
        <f aca="false">ROUND(CU$310+CU$265+CU$266+CU$267+CU$274-CU$268-CU$304-CU$320,2)</f>
        <v>0</v>
      </c>
      <c r="CV321" s="54" t="n">
        <f aca="false">ROUND(CV$310+CV$265+CV$266+CV$267+CV$274-CV$268-CV$304-CV$320,2)</f>
        <v>0</v>
      </c>
      <c r="CW321" s="54" t="n">
        <f aca="false">ROUND(CW$310+CW$265+CW$266+CW$267+CW$274-CW$268-CW$304-CW$320,2)</f>
        <v>0</v>
      </c>
      <c r="CX321" s="54" t="n">
        <f aca="false">ROUND(CX$310+CX$265+CX$266+CX$267+CX$274-CX$268-CX$304-CX$320,2)</f>
        <v>0</v>
      </c>
      <c r="CY321" s="54" t="n">
        <f aca="false">ROUND(CY$310+CY$265+CY$266+CY$267+CY$274-CY$268-CY$304-CY$320,2)</f>
        <v>0</v>
      </c>
      <c r="CZ321" s="54" t="n">
        <f aca="false">ROUND(CZ$310+CZ$265+CZ$266+CZ$267+CZ$274-CZ$268-CZ$304-CZ$320,2)</f>
        <v>0</v>
      </c>
      <c r="DA321" s="54" t="n">
        <f aca="false">ROUND(DA$310+DA$265+DA$266+DA$267+DA$274-DA$268-DA$304-DA$320,2)</f>
        <v>0</v>
      </c>
      <c r="DB321" s="54" t="n">
        <f aca="false">ROUND(DB$310+DB$265+DB$266+DB$267+DB$274-DB$268-DB$304-DB$320,2)</f>
        <v>0</v>
      </c>
      <c r="DC321" s="54" t="n">
        <f aca="false">ROUND(DC$310+DC$265+DC$266+DC$267+DC$274-DC$268-DC$304-DC$320,2)</f>
        <v>0</v>
      </c>
      <c r="DD321" s="54" t="n">
        <f aca="false">ROUND(DD$310+DD$265+DD$266+DD$267+DD$274-DD$268-DD$304-DD$320,2)</f>
        <v>0</v>
      </c>
      <c r="DE321" s="54" t="n">
        <f aca="false">ROUND(DE$310+DE$265+DE$266+DE$267+DE$274-DE$268-DE$304-DE$320,2)</f>
        <v>0</v>
      </c>
      <c r="DF321" s="54" t="n">
        <f aca="false">ROUND(DF$310+DF$265+DF$266+DF$267+DF$274-DF$268-DF$304-DF$320,2)</f>
        <v>0</v>
      </c>
      <c r="DG321" s="54" t="n">
        <f aca="false">ROUND(DG$310+DG$265+DG$266+DG$267+DG$274-DG$268-DG$304-DG$320,2)</f>
        <v>0</v>
      </c>
      <c r="DH321" s="54" t="n">
        <f aca="false">ROUND(DH$310+DH$265+DH$266+DH$267+DH$274-DH$268-DH$304-DH$320,2)</f>
        <v>0</v>
      </c>
      <c r="DI321" s="54" t="n">
        <f aca="false">ROUND(DI$310+DI$265+DI$266+DI$267+DI$274-DI$268-DI$304-DI$320,2)</f>
        <v>0</v>
      </c>
      <c r="DJ321" s="54" t="n">
        <f aca="false">ROUND(DJ$310+DJ$265+DJ$266+DJ$267+DJ$274-DJ$268-DJ$304-DJ$320,2)</f>
        <v>0</v>
      </c>
      <c r="DK321" s="54" t="n">
        <f aca="false">ROUND(DK$310+DK$265+DK$266+DK$267+DK$274-DK$268-DK$304-DK$320,2)</f>
        <v>0</v>
      </c>
      <c r="DL321" s="54" t="n">
        <f aca="false">ROUND(DL$310+DL$265+DL$266+DL$267+DL$274-DL$268-DL$304-DL$320,2)</f>
        <v>0</v>
      </c>
      <c r="DM321" s="54" t="n">
        <f aca="false">ROUND(DM$310+DM$265+DM$266+DM$267+DM$274-DM$268-DM$304-DM$320,2)</f>
        <v>0</v>
      </c>
      <c r="DN321" s="54" t="n">
        <f aca="false">ROUND(DN$310+DN$265+DN$266+DN$267+DN$274-DN$268-DN$304-DN$320,2)</f>
        <v>0</v>
      </c>
      <c r="DO321" s="54" t="n">
        <f aca="false">ROUND(DO$310+DO$265+DO$266+DO$267+DO$274-DO$268-DO$304-DO$320,2)</f>
        <v>0</v>
      </c>
      <c r="DP321" s="54" t="n">
        <f aca="false">ROUND(DP$310+DP$265+DP$266+DP$267+DP$274-DP$268-DP$304-DP$320,2)</f>
        <v>0</v>
      </c>
      <c r="DQ321" s="54" t="n">
        <f aca="false">ROUND(DQ$310+DQ$265+DQ$266+DQ$267+DQ$274-DQ$268-DQ$304-DQ$320,2)</f>
        <v>0</v>
      </c>
      <c r="DR321" s="54" t="n">
        <f aca="false">ROUND(DR$310+DR$265+DR$266+DR$267+DR$274-DR$268-DR$304-DR$320,2)</f>
        <v>0</v>
      </c>
      <c r="DS321" s="54" t="n">
        <f aca="false">ROUND(DS$310+DS$265+DS$266+DS$267+DS$274-DS$268-DS$304-DS$320,2)</f>
        <v>0</v>
      </c>
      <c r="DT321" s="54" t="n">
        <f aca="false">ROUND(DT$310+DT$265+DT$266+DT$267+DT$274-DT$268-DT$304-DT$320,2)</f>
        <v>0</v>
      </c>
      <c r="DU321" s="54" t="n">
        <f aca="false">ROUND(DU$310+DU$265+DU$266+DU$267+DU$274-DU$268-DU$304-DU$320,2)</f>
        <v>0</v>
      </c>
      <c r="DV321" s="54" t="n">
        <f aca="false">ROUND(DV$310+DV$265+DV$266+DV$267+DV$274-DV$268-DV$304-DV$320,2)</f>
        <v>0</v>
      </c>
      <c r="DW321" s="54" t="n">
        <f aca="false">ROUND(DW$310+DW$265+DW$266+DW$267+DW$274-DW$268-DW$304-DW$320,2)</f>
        <v>0</v>
      </c>
      <c r="DX321" s="54" t="n">
        <f aca="false">ROUND(DX$310+DX$265+DX$266+DX$267+DX$274-DX$268-DX$304-DX$320,2)</f>
        <v>0</v>
      </c>
      <c r="DY321" s="54" t="n">
        <f aca="false">ROUND(DY$310+DY$265+DY$266+DY$267+DY$274-DY$268-DY$304-DY$320,2)</f>
        <v>0</v>
      </c>
      <c r="DZ321" s="54" t="n">
        <f aca="false">ROUND(DZ$310+DZ$265+DZ$266+DZ$267+DZ$274-DZ$268-DZ$304-DZ$320,2)</f>
        <v>0</v>
      </c>
      <c r="EA321" s="54" t="n">
        <f aca="false">ROUND(EA$310+EA$265+EA$266+EA$267+EA$274-EA$268-EA$304-EA$320,2)</f>
        <v>0</v>
      </c>
      <c r="EB321" s="54" t="n">
        <f aca="false">ROUND(EB$310+EB$265+EB$266+EB$267+EB$274-EB$268-EB$304-EB$320,2)</f>
        <v>0</v>
      </c>
      <c r="EC321" s="54" t="n">
        <f aca="false">ROUND(EC$310+EC$265+EC$266+EC$267+EC$274-EC$268-EC$304-EC$320,2)</f>
        <v>0</v>
      </c>
      <c r="ED321" s="54" t="n">
        <f aca="false">ROUND(ED$310+ED$265+ED$266+ED$267+ED$274-ED$268-ED$304-ED$320,2)</f>
        <v>0</v>
      </c>
      <c r="EE321" s="54" t="n">
        <f aca="false">ROUND(EE$310+EE$265+EE$266+EE$267+EE$274-EE$268-EE$304-EE$320,2)</f>
        <v>0</v>
      </c>
      <c r="EF321" s="54" t="n">
        <f aca="false">ROUND(EF$310+EF$265+EF$266+EF$267+EF$274-EF$268-EF$304-EF$320,2)</f>
        <v>0</v>
      </c>
      <c r="EG321" s="54" t="n">
        <f aca="false">ROUND(EG$310+EG$265+EG$266+EG$267+EG$274-EG$268-EG$304-EG$320,2)</f>
        <v>0</v>
      </c>
      <c r="EH321" s="54" t="n">
        <f aca="false">ROUND(EH$310+EH$265+EH$266+EH$267+EH$274-EH$268-EH$304-EH$320,2)</f>
        <v>0</v>
      </c>
      <c r="EI321" s="54" t="n">
        <f aca="false">ROUND(EI$310+EI$265+EI$266+EI$267+EI$274-EI$268-EI$304-EI$320,2)</f>
        <v>0</v>
      </c>
      <c r="EJ321" s="54" t="n">
        <f aca="false">ROUND(EJ$310+EJ$265+EJ$266+EJ$267+EJ$274-EJ$268-EJ$304-EJ$320,2)</f>
        <v>0</v>
      </c>
      <c r="EK321" s="54" t="n">
        <f aca="false">ROUND(EK$310+EK$265+EK$266+EK$267+EK$274-EK$268-EK$304-EK$320,2)</f>
        <v>0</v>
      </c>
      <c r="EL321" s="54" t="n">
        <f aca="false">ROUND(EL$310+EL$265+EL$266+EL$267+EL$274-EL$268-EL$304-EL$320,2)</f>
        <v>0</v>
      </c>
      <c r="EM321" s="54" t="n">
        <f aca="false">ROUND(EM$310+EM$265+EM$266+EM$267+EM$274-EM$268-EM$304-EM$320,2)</f>
        <v>0</v>
      </c>
      <c r="EN321" s="54" t="n">
        <f aca="false">ROUND(EN$310+EN$265+EN$266+EN$267+EN$274-EN$268-EN$304-EN$320,2)</f>
        <v>0</v>
      </c>
      <c r="EO321" s="54" t="n">
        <f aca="false">ROUND(EO$310+EO$265+EO$266+EO$267+EO$274-EO$268-EO$304-EO$320,2)</f>
        <v>0</v>
      </c>
      <c r="EP321" s="54" t="n">
        <f aca="false">ROUND(EP$310+EP$265+EP$266+EP$267+EP$274-EP$268-EP$304-EP$320,2)</f>
        <v>0</v>
      </c>
      <c r="EQ321" s="54" t="n">
        <f aca="false">ROUND(EQ$310+EQ$265+EQ$266+EQ$267+EQ$274-EQ$268-EQ$304-EQ$320,2)</f>
        <v>0</v>
      </c>
      <c r="ER321" s="54" t="n">
        <f aca="false">ROUND(ER$310+ER$265+ER$266+ER$267+ER$274-ER$268-ER$304-ER$320,2)</f>
        <v>0</v>
      </c>
      <c r="ES321" s="54" t="n">
        <f aca="false">ROUND(ES$310+ES$265+ES$266+ES$267+ES$274-ES$268-ES$304-ES$320,2)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O16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56"/>
    <col collapsed="false" customWidth="true" hidden="false" outlineLevel="0" max="3" min="3" style="0" width="16"/>
    <col collapsed="false" customWidth="true" hidden="false" outlineLevel="0" max="15" min="4" style="0" width="13"/>
  </cols>
  <sheetData>
    <row r="1" customFormat="false" ht="16.15" hidden="false" customHeight="false" outlineLevel="0" collapsed="false">
      <c r="A1" s="1" t="s">
        <v>957</v>
      </c>
    </row>
    <row r="2" customFormat="false" ht="15" hidden="false" customHeight="false" outlineLevel="0" collapsed="false">
      <c r="A2" s="57" t="str">
        <f aca="false">"Escenario de proyección: "&amp;n_Escenario&amp;"   |   Último mes cerrado: "&amp;IF(Corte=0,"sin datos reales","mes "&amp;Corte)</f>
        <v>Escenario de proyección: Vigente   |   Último mes cerrado: sin datos reales</v>
      </c>
    </row>
    <row r="4" customFormat="false" ht="15" hidden="false" customHeight="false" outlineLevel="0" collapsed="false">
      <c r="A4" s="3" t="s">
        <v>958</v>
      </c>
      <c r="B4" s="4"/>
      <c r="C4" s="4"/>
      <c r="D4" s="4"/>
      <c r="E4" s="4"/>
      <c r="F4" s="4"/>
      <c r="G4" s="4"/>
      <c r="H4" s="4"/>
      <c r="I4" s="4"/>
      <c r="J4" s="4"/>
      <c r="K4" s="4"/>
      <c r="L4" s="4"/>
      <c r="M4" s="4"/>
      <c r="N4" s="4"/>
      <c r="O4" s="4"/>
    </row>
    <row r="5" customFormat="false" ht="30" hidden="false" customHeight="true" outlineLevel="0" collapsed="false">
      <c r="A5" s="5"/>
      <c r="B5" s="5" t="s">
        <v>959</v>
      </c>
      <c r="C5" s="5" t="s">
        <v>36</v>
      </c>
      <c r="D5" s="5" t="s">
        <v>960</v>
      </c>
      <c r="E5" s="5" t="s">
        <v>961</v>
      </c>
      <c r="F5" s="5" t="s">
        <v>46</v>
      </c>
    </row>
    <row r="6" customFormat="false" ht="15" hidden="false" customHeight="false" outlineLevel="0" collapsed="false">
      <c r="B6" s="6" t="s">
        <v>962</v>
      </c>
      <c r="C6" s="58" t="n">
        <f aca="false">SUMIFS(Calculo!$F$71:$ES$71,Calculo!$F$6:$ES$6,1)</f>
        <v>4850000</v>
      </c>
      <c r="D6" s="59" t="n">
        <f aca="false">SUMIFS(Calculo!$F$227:$ES$227,Calculo!$F$6:$ES$6,1)</f>
        <v>4850000</v>
      </c>
      <c r="E6" s="34" t="n">
        <f aca="false">IF(AND(ISNUMBER(C6),ISNUMBER(D6)),D6-C6,"")</f>
        <v>0</v>
      </c>
      <c r="F6" s="2"/>
    </row>
    <row r="7" customFormat="false" ht="15" hidden="false" customHeight="false" outlineLevel="0" collapsed="false">
      <c r="B7" s="6" t="s">
        <v>963</v>
      </c>
      <c r="C7" s="58" t="n">
        <f aca="false">Calculo!$E$71</f>
        <v>81222447.7216454</v>
      </c>
      <c r="D7" s="59" t="n">
        <f aca="false">Calculo!$E$227</f>
        <v>81222447.7216454</v>
      </c>
      <c r="E7" s="34" t="n">
        <f aca="false">IF(AND(ISNUMBER(C7),ISNUMBER(D7)),D7-C7,"")</f>
        <v>0</v>
      </c>
      <c r="F7" s="2"/>
    </row>
    <row r="8" customFormat="false" ht="15" hidden="false" customHeight="false" outlineLevel="0" collapsed="false">
      <c r="B8" s="6" t="s">
        <v>964</v>
      </c>
      <c r="C8" s="58" t="n">
        <f aca="false">SUMIFS(Calculo!$F$102:$ES$102,Calculo!$F$6:$ES$6,1)</f>
        <v>509970.005707077</v>
      </c>
      <c r="D8" s="59" t="n">
        <f aca="false">SUMIFS(Calculo!$F$258:$ES$258,Calculo!$F$6:$ES$6,1)</f>
        <v>509970.005707077</v>
      </c>
      <c r="E8" s="34" t="n">
        <f aca="false">IF(AND(ISNUMBER(C8),ISNUMBER(D8)),D8-C8,"")</f>
        <v>0</v>
      </c>
      <c r="F8" s="2"/>
    </row>
    <row r="9" customFormat="false" ht="15" hidden="false" customHeight="false" outlineLevel="0" collapsed="false">
      <c r="B9" s="6" t="s">
        <v>965</v>
      </c>
      <c r="C9" s="58" t="n">
        <f aca="false">Calculo!$E$102</f>
        <v>16309504.016261</v>
      </c>
      <c r="D9" s="59" t="n">
        <f aca="false">Calculo!$E$258</f>
        <v>16309504.016261</v>
      </c>
      <c r="E9" s="34" t="n">
        <f aca="false">IF(AND(ISNUMBER(C9),ISNUMBER(D9)),D9-C9,"")</f>
        <v>0</v>
      </c>
      <c r="F9" s="2"/>
    </row>
    <row r="10" customFormat="false" ht="15" hidden="false" customHeight="false" outlineLevel="0" collapsed="false">
      <c r="B10" s="6" t="s">
        <v>966</v>
      </c>
      <c r="C10" s="60" t="n">
        <f aca="false">IF(Calculo!$E$71=0,"",Calculo!$E$102/Calculo!$E$71)</f>
        <v>0.200800449552502</v>
      </c>
      <c r="D10" s="61" t="n">
        <f aca="false">IF(Calculo!$E$227=0,"",Calculo!$E$258/Calculo!$E$227)</f>
        <v>0.200800449552502</v>
      </c>
      <c r="E10" s="35" t="n">
        <f aca="false">IF(AND(ISNUMBER(C10),ISNUMBER(D10)),D10-C10,"")</f>
        <v>0</v>
      </c>
      <c r="F10" s="2"/>
    </row>
    <row r="11" customFormat="false" ht="15" hidden="false" customHeight="false" outlineLevel="0" collapsed="false">
      <c r="B11" s="6" t="s">
        <v>967</v>
      </c>
      <c r="C11" s="58" t="n">
        <f aca="false">Calculo!$E$107</f>
        <v>14751245.7980366</v>
      </c>
      <c r="D11" s="59" t="n">
        <f aca="false">Calculo!$E$263</f>
        <v>14751245.7980366</v>
      </c>
      <c r="E11" s="34" t="n">
        <f aca="false">IF(AND(ISNUMBER(C11),ISNUMBER(D11)),D11-C11,"")</f>
        <v>0</v>
      </c>
      <c r="F11" s="2"/>
    </row>
    <row r="12" customFormat="false" ht="15" hidden="false" customHeight="false" outlineLevel="0" collapsed="false">
      <c r="B12" s="6" t="s">
        <v>968</v>
      </c>
      <c r="C12" s="58" t="n">
        <f aca="false">Calculo!$E$117</f>
        <v>755044.09</v>
      </c>
      <c r="D12" s="59" t="n">
        <f aca="false">Calculo!$E$273</f>
        <v>755044.09</v>
      </c>
      <c r="E12" s="34" t="n">
        <f aca="false">IF(AND(ISNUMBER(C12),ISNUMBER(D12)),D12-C12,"")</f>
        <v>0</v>
      </c>
      <c r="F12" s="2" t="s">
        <v>969</v>
      </c>
    </row>
    <row r="13" customFormat="false" ht="15" hidden="false" customHeight="false" outlineLevel="0" collapsed="false">
      <c r="B13" s="6" t="s">
        <v>970</v>
      </c>
      <c r="C13" s="58" t="n">
        <f aca="false">MAX(0,-MIN(Calculo!$F$121:$ES$121))</f>
        <v>3207787.01305363</v>
      </c>
      <c r="D13" s="59" t="n">
        <f aca="false">MAX(0,-MIN(Calculo!$F$277:$ES$277))</f>
        <v>3207787.01305363</v>
      </c>
      <c r="E13" s="34" t="n">
        <f aca="false">IF(AND(ISNUMBER(C13),ISNUMBER(D13)),D13-C13,"")</f>
        <v>0</v>
      </c>
      <c r="F13" s="2" t="s">
        <v>971</v>
      </c>
    </row>
    <row r="14" customFormat="false" ht="15" hidden="false" customHeight="false" outlineLevel="0" collapsed="false">
      <c r="B14" s="6" t="s">
        <v>972</v>
      </c>
      <c r="C14" s="62" t="n">
        <f aca="false">IF(MIN(Calculo!$F$121:$ES$121)&gt;=0,"",MATCH(MIN(Calculo!$F$121:$ES$121),Calculo!$F$121:$ES$121,0))</f>
        <v>13</v>
      </c>
      <c r="D14" s="63" t="n">
        <f aca="false">IF(MIN(Calculo!$F$277:$ES$277)&gt;=0,"",MATCH(MIN(Calculo!$F$277:$ES$277),Calculo!$F$277:$ES$277,0))</f>
        <v>13</v>
      </c>
      <c r="E14" s="19" t="n">
        <f aca="false">IF(AND(ISNUMBER(C14),ISNUMBER(D14)),D14-C14,"")</f>
        <v>0</v>
      </c>
      <c r="F14" s="2"/>
    </row>
    <row r="15" customFormat="false" ht="15" hidden="false" customHeight="false" outlineLevel="0" collapsed="false">
      <c r="B15" s="6" t="s">
        <v>759</v>
      </c>
      <c r="C15" s="58" t="n">
        <f aca="false">Calculo!$E$138</f>
        <v>1139710</v>
      </c>
      <c r="D15" s="59" t="n">
        <f aca="false">Calculo!$E$294</f>
        <v>1139710</v>
      </c>
      <c r="E15" s="34" t="n">
        <f aca="false">IF(AND(ISNUMBER(C15),ISNUMBER(D15)),D15-C15,"")</f>
        <v>0</v>
      </c>
      <c r="F15" s="2"/>
    </row>
    <row r="16" customFormat="false" ht="15" hidden="false" customHeight="false" outlineLevel="0" collapsed="false">
      <c r="B16" s="6" t="s">
        <v>973</v>
      </c>
      <c r="C16" s="58" t="n">
        <f aca="false">Calculo!$E$157</f>
        <v>311740.118672618</v>
      </c>
      <c r="D16" s="59" t="n">
        <f aca="false">Calculo!$E$313</f>
        <v>311740.118672618</v>
      </c>
      <c r="E16" s="34" t="n">
        <f aca="false">IF(AND(ISNUMBER(C16),ISNUMBER(D16)),D16-C16,"")</f>
        <v>0</v>
      </c>
      <c r="F16" s="2" t="s">
        <v>974</v>
      </c>
    </row>
    <row r="17" customFormat="false" ht="15" hidden="false" customHeight="false" outlineLevel="0" collapsed="false">
      <c r="B17" s="6" t="s">
        <v>975</v>
      </c>
      <c r="C17" s="58" t="n">
        <f aca="false">Calculo!$E$148</f>
        <v>2791587</v>
      </c>
      <c r="D17" s="59" t="n">
        <f aca="false">Calculo!$E$304</f>
        <v>2791587</v>
      </c>
      <c r="E17" s="34" t="n">
        <f aca="false">IF(AND(ISNUMBER(C17),ISNUMBER(D17)),D17-C17,"")</f>
        <v>0</v>
      </c>
      <c r="F17" s="2" t="s">
        <v>976</v>
      </c>
    </row>
    <row r="18" customFormat="false" ht="15" hidden="false" customHeight="false" outlineLevel="0" collapsed="false">
      <c r="B18" s="6" t="s">
        <v>977</v>
      </c>
      <c r="C18" s="58" t="n">
        <f aca="false">Calculo!$E$145</f>
        <v>0</v>
      </c>
      <c r="D18" s="59" t="n">
        <f aca="false">Calculo!$E$301</f>
        <v>0</v>
      </c>
      <c r="E18" s="34" t="n">
        <f aca="false">IF(AND(ISNUMBER(C18),ISNUMBER(D18)),D18-C18,"")</f>
        <v>0</v>
      </c>
      <c r="F18" s="2" t="s">
        <v>978</v>
      </c>
    </row>
    <row r="19" customFormat="false" ht="15" hidden="false" customHeight="false" outlineLevel="0" collapsed="false">
      <c r="B19" s="6" t="s">
        <v>979</v>
      </c>
      <c r="C19" s="58" t="n">
        <f aca="false">Calculo!$E$105</f>
        <v>813214.128224454</v>
      </c>
      <c r="D19" s="59" t="n">
        <f aca="false">Calculo!$E$261</f>
        <v>813214.128224454</v>
      </c>
      <c r="E19" s="34" t="n">
        <f aca="false">IF(AND(ISNUMBER(C19),ISNUMBER(D19)),D19-C19,"")</f>
        <v>0</v>
      </c>
      <c r="F19" s="2"/>
    </row>
    <row r="20" customFormat="false" ht="15" hidden="false" customHeight="false" outlineLevel="0" collapsed="false">
      <c r="B20" s="6" t="s">
        <v>980</v>
      </c>
      <c r="C20" s="64" t="n">
        <f aca="false">IF(MAX(Calculo!$F$148:$ES$148)&lt;1,"Sin deuda",IF(INDEX(Calculo!$F$148:$ES$148,1,MIN(144,Fin))&gt;1,"No cancela en el horizonte",(_xlfn.MAXIFS(Calculo!$F$4:$ES$4,Calculo!$F$148:$ES$148,"&gt;1")+1)/12))</f>
        <v>5</v>
      </c>
      <c r="D20" s="65" t="n">
        <f aca="false">IF(MAX(Calculo!$F$304:$ES$304)&lt;1,"Sin deuda",IF(INDEX(Calculo!$F$304:$ES$304,1,MIN(144,Fin))&gt;1,"No cancela en el horizonte",(_xlfn.MAXIFS(Calculo!$F$4:$ES$4,Calculo!$F$304:$ES$304,"&gt;1")+1)/12))</f>
        <v>5</v>
      </c>
      <c r="E20" s="36" t="n">
        <f aca="false">IF(AND(ISNUMBER(C20),ISNUMBER(D20)),D20-C20,"")</f>
        <v>0</v>
      </c>
      <c r="F20" s="2" t="s">
        <v>981</v>
      </c>
    </row>
    <row r="21" customFormat="false" ht="15" hidden="false" customHeight="false" outlineLevel="0" collapsed="false">
      <c r="B21" s="6" t="s">
        <v>982</v>
      </c>
      <c r="C21" s="58" t="n">
        <f aca="false">MIN(Calculo!$F$154:$ES$154)</f>
        <v>-311740.118672618</v>
      </c>
      <c r="D21" s="59" t="n">
        <f aca="false">MIN(Calculo!$F$310:$ES$310)</f>
        <v>-311740.118672618</v>
      </c>
      <c r="E21" s="34" t="n">
        <f aca="false">IF(AND(ISNUMBER(C21),ISNUMBER(D21)),D21-C21,"")</f>
        <v>0</v>
      </c>
      <c r="F21" s="2" t="s">
        <v>983</v>
      </c>
    </row>
    <row r="22" customFormat="false" ht="15" hidden="false" customHeight="false" outlineLevel="0" collapsed="false">
      <c r="B22" s="6" t="s">
        <v>984</v>
      </c>
      <c r="C22" s="58" t="n">
        <f aca="false">Calculo!$E$156</f>
        <v>373700.713193166</v>
      </c>
      <c r="D22" s="59" t="n">
        <f aca="false">Calculo!$E$312</f>
        <v>373700.713193166</v>
      </c>
      <c r="E22" s="34" t="n">
        <f aca="false">IF(AND(ISNUMBER(C22),ISNUMBER(D22)),D22-C22,"")</f>
        <v>0</v>
      </c>
      <c r="F22" s="2" t="s">
        <v>985</v>
      </c>
    </row>
    <row r="23" customFormat="false" ht="15" hidden="false" customHeight="false" outlineLevel="0" collapsed="false">
      <c r="B23" s="6" t="s">
        <v>986</v>
      </c>
      <c r="C23" s="62" t="n">
        <f aca="false">SUMPRODUCT(--(Calculo!$F$156:$ES$156&gt;0.5))</f>
        <v>12</v>
      </c>
      <c r="D23" s="63" t="n">
        <f aca="false">SUMPRODUCT(--(Calculo!$F$312:$ES$312&gt;0.5))</f>
        <v>12</v>
      </c>
      <c r="E23" s="19" t="n">
        <f aca="false">IF(AND(ISNUMBER(C23),ISNUMBER(D23)),D23-C23,"")</f>
        <v>0</v>
      </c>
      <c r="F23" s="2"/>
    </row>
    <row r="24" customFormat="false" ht="15" hidden="false" customHeight="false" outlineLevel="0" collapsed="false">
      <c r="B24" s="6" t="s">
        <v>987</v>
      </c>
      <c r="C24" s="66" t="n">
        <f aca="false">IF(COUNTIFS(D114:O114,"&gt;1",D69:O69,"&gt;="&amp;(ROUNDUP(P_Inicio/12,0)+1))=0,"Sin deuda",_xlfn.MINIFS(D115:O115,D114:O114,"&gt;1",D69:O69,"&gt;="&amp;(ROUNDUP(P_Inicio/12,0)+1)))</f>
        <v>0.399863944695061</v>
      </c>
      <c r="D24" s="67" t="n">
        <f aca="false">IF(COUNTIFS(D67:O67,"&gt;1",D69:O69,"&gt;="&amp;(ROUNDUP(V_Inicio/12,0)+1))=0,"Sin deuda",_xlfn.MINIFS(D68:O68,D67:O67,"&gt;1",D69:O69,"&gt;="&amp;(ROUNDUP(V_Inicio/12,0)+1)))</f>
        <v>0.399863944695061</v>
      </c>
      <c r="E24" s="68" t="n">
        <f aca="false">IF(AND(ISNUMBER(C24),ISNUMBER(D24)),D24-C24,"")</f>
        <v>0</v>
      </c>
      <c r="F24" s="2" t="s">
        <v>988</v>
      </c>
    </row>
    <row r="25" customFormat="false" ht="15" hidden="false" customHeight="false" outlineLevel="0" collapsed="false">
      <c r="B25" s="6" t="s">
        <v>989</v>
      </c>
      <c r="C25" s="58" t="n">
        <f aca="false">SUMPRODUCT(Calculo!$F$120:$ES$120,Calculo!$F$159:$ES$159)</f>
        <v>6989921.75871111</v>
      </c>
      <c r="D25" s="59" t="n">
        <f aca="false">SUMPRODUCT(Calculo!$F$276:$ES$276,Calculo!$F$315:$ES$315)</f>
        <v>6989921.75871111</v>
      </c>
      <c r="E25" s="34" t="n">
        <f aca="false">IF(AND(ISNUMBER(C25),ISNUMBER(D25)),D25-C25,"")</f>
        <v>0</v>
      </c>
      <c r="F25" s="2" t="s">
        <v>990</v>
      </c>
    </row>
    <row r="26" customFormat="false" ht="15" hidden="false" customHeight="false" outlineLevel="0" collapsed="false">
      <c r="B26" s="6" t="s">
        <v>991</v>
      </c>
      <c r="C26" s="69" t="n">
        <f aca="false">IF(COUNTIF(Calculo!$F$120:$ES$120,"&lt;0")=0,"No existe",IF(COUNTIF(Calculo!$F$120:$ES$120,"&gt;0")=0,"No existe",IFERROR((1+IRR(Calculo!$F$120:$ES$120,0.01))^12-1,IFERROR((1+IRR(Calculo!$F$120:$ES$120,-0.01))^12-1,"No converge"))))</f>
        <v>0.349257269740243</v>
      </c>
      <c r="D26" s="70" t="n">
        <f aca="false">IF(COUNTIF(Calculo!$F$276:$ES$276,"&lt;0")=0,"No existe",IF(COUNTIF(Calculo!$F$276:$ES$276,"&gt;0")=0,"No existe",IFERROR((1+IRR(Calculo!$F$276:$ES$276,0.01))^12-1,IFERROR((1+IRR(Calculo!$F$276:$ES$276,-0.01))^12-1,"No converge"))))</f>
        <v>0.349257269740243</v>
      </c>
      <c r="E26" s="33" t="n">
        <f aca="false">IF(AND(ISNUMBER(C26),ISNUMBER(D26)),D26-C26,"")</f>
        <v>0</v>
      </c>
      <c r="F26" s="2"/>
    </row>
    <row r="27" customFormat="false" ht="15" hidden="false" customHeight="false" outlineLevel="0" collapsed="false">
      <c r="B27" s="6" t="s">
        <v>992</v>
      </c>
      <c r="C27" s="58" t="n">
        <f aca="false">SUMPRODUCT(Calculo!$F$161:$ES$161,Calculo!$F$160:$ES$160)</f>
        <v>3695678.09104638</v>
      </c>
      <c r="D27" s="59" t="n">
        <f aca="false">SUMPRODUCT(Calculo!$F$317:$ES$317,Calculo!$F$316:$ES$316)</f>
        <v>3695678.09104638</v>
      </c>
      <c r="E27" s="34" t="n">
        <f aca="false">IF(AND(ISNUMBER(C27),ISNUMBER(D27)),D27-C27,"")</f>
        <v>0</v>
      </c>
      <c r="F27" s="2" t="s">
        <v>993</v>
      </c>
    </row>
    <row r="28" customFormat="false" ht="15" hidden="false" customHeight="false" outlineLevel="0" collapsed="false">
      <c r="B28" s="6" t="s">
        <v>994</v>
      </c>
      <c r="C28" s="69" t="n">
        <f aca="false">IF(COUNTIF(Calculo!$F$161:$ES$161,"&lt;0")=0,"No existe",IF(COUNTIF(Calculo!$F$161:$ES$161,"&gt;0")=0,"No existe",IFERROR((1+IRR(Calculo!$F$161:$ES$161,0.01))^12-1,IFERROR((1+IRR(Calculo!$F$161:$ES$161,-0.01))^12-1,"No converge"))))</f>
        <v>0.436297177538501</v>
      </c>
      <c r="D28" s="70" t="n">
        <f aca="false">IF(COUNTIF(Calculo!$F$317:$ES$317,"&lt;0")=0,"No existe",IF(COUNTIF(Calculo!$F$317:$ES$317,"&gt;0")=0,"No existe",IFERROR((1+IRR(Calculo!$F$317:$ES$317,0.01))^12-1,IFERROR((1+IRR(Calculo!$F$317:$ES$317,-0.01))^12-1,"No converge"))))</f>
        <v>0.436297177538501</v>
      </c>
      <c r="E28" s="33" t="n">
        <f aca="false">IF(AND(ISNUMBER(C28),ISNUMBER(D28)),D28-C28,"")</f>
        <v>0</v>
      </c>
      <c r="F28" s="2"/>
    </row>
    <row r="29" customFormat="false" ht="15" hidden="false" customHeight="false" outlineLevel="0" collapsed="false">
      <c r="B29" s="6" t="s">
        <v>995</v>
      </c>
      <c r="C29" s="64" t="n">
        <f aca="false">IF(MAX(Calculo!$F$163:$ES$163)=0,"No recupera",MAX(Calculo!$F$163:$ES$163)/12)</f>
        <v>4.12764300579957</v>
      </c>
      <c r="D29" s="65" t="n">
        <f aca="false">IF(MAX(Calculo!$F$319:$ES$319)=0,"No recupera",MAX(Calculo!$F$319:$ES$319)/12)</f>
        <v>4.12764300579957</v>
      </c>
      <c r="E29" s="36" t="n">
        <f aca="false">IF(AND(ISNUMBER(C29),ISNUMBER(D29)),D29-C29,"")</f>
        <v>0</v>
      </c>
      <c r="F29" s="2"/>
    </row>
    <row r="30" customFormat="false" ht="15" hidden="false" customHeight="false" outlineLevel="0" collapsed="false">
      <c r="B30" s="6" t="s">
        <v>996</v>
      </c>
      <c r="C30" s="64" t="n">
        <f aca="false">Calculo!$E$165</f>
        <v>0</v>
      </c>
      <c r="D30" s="65" t="n">
        <f aca="false">Calculo!$E$321</f>
        <v>0</v>
      </c>
      <c r="E30" s="36" t="n">
        <f aca="false">IF(AND(ISNUMBER(C30),ISNUMBER(D30)),D30-C30,"")</f>
        <v>0</v>
      </c>
      <c r="F30" s="2"/>
    </row>
    <row r="32" customFormat="false" ht="15" hidden="false" customHeight="false" outlineLevel="0" collapsed="false">
      <c r="B32" s="2" t="s">
        <v>997</v>
      </c>
      <c r="C32" s="34" t="n">
        <f aca="false">IF(pub_VAN="","",pub_VAN)</f>
        <v>4588736</v>
      </c>
      <c r="D32" s="33" t="n">
        <f aca="false">IF(pub_TIR="","",pub_TIR)</f>
        <v>0.2261</v>
      </c>
      <c r="F32" s="2" t="s">
        <v>998</v>
      </c>
    </row>
    <row r="34" customFormat="false" ht="15" hidden="false" customHeight="false" outlineLevel="0" collapsed="false">
      <c r="A34" s="3" t="s">
        <v>999</v>
      </c>
      <c r="B34" s="4"/>
      <c r="C34" s="4"/>
      <c r="D34" s="4"/>
      <c r="E34" s="4"/>
      <c r="F34" s="4"/>
      <c r="G34" s="4"/>
      <c r="H34" s="4"/>
      <c r="I34" s="4"/>
      <c r="J34" s="4"/>
      <c r="K34" s="4"/>
      <c r="L34" s="4"/>
      <c r="M34" s="4"/>
      <c r="N34" s="4"/>
      <c r="O34" s="4"/>
    </row>
    <row r="35" customFormat="false" ht="15" hidden="false" customHeight="false" outlineLevel="0" collapsed="false">
      <c r="A35" s="5"/>
      <c r="B35" s="5" t="s">
        <v>1000</v>
      </c>
      <c r="C35" s="5" t="s">
        <v>291</v>
      </c>
      <c r="D35" s="5" t="s">
        <v>194</v>
      </c>
      <c r="E35" s="5" t="s">
        <v>195</v>
      </c>
      <c r="F35" s="5" t="s">
        <v>196</v>
      </c>
      <c r="G35" s="5" t="s">
        <v>197</v>
      </c>
      <c r="H35" s="5" t="s">
        <v>198</v>
      </c>
      <c r="I35" s="5" t="s">
        <v>199</v>
      </c>
      <c r="J35" s="5" t="s">
        <v>200</v>
      </c>
      <c r="K35" s="5" t="s">
        <v>201</v>
      </c>
      <c r="L35" s="5" t="s">
        <v>202</v>
      </c>
      <c r="M35" s="5" t="s">
        <v>203</v>
      </c>
      <c r="N35" s="5" t="s">
        <v>1001</v>
      </c>
      <c r="O35" s="5" t="s">
        <v>1002</v>
      </c>
    </row>
    <row r="36" customFormat="false" ht="15" hidden="false" customHeight="false" outlineLevel="0" collapsed="false">
      <c r="B36" s="2" t="s">
        <v>1003</v>
      </c>
      <c r="D36" s="71" t="str">
        <f aca="false">IF(Corte&gt;=12,"Real",IF(Corte&gt;0,"Real+Proy.","Proyección"))</f>
        <v>Proyección</v>
      </c>
      <c r="E36" s="71" t="str">
        <f aca="false">IF(Corte&gt;=24,"Real",IF(Corte&gt;12,"Real+Proy.","Proyección"))</f>
        <v>Proyección</v>
      </c>
      <c r="F36" s="71" t="str">
        <f aca="false">IF(Corte&gt;=36,"Real",IF(Corte&gt;24,"Real+Proy.","Proyección"))</f>
        <v>Proyección</v>
      </c>
      <c r="G36" s="71" t="str">
        <f aca="false">IF(Corte&gt;=48,"Real",IF(Corte&gt;36,"Real+Proy.","Proyección"))</f>
        <v>Proyección</v>
      </c>
      <c r="H36" s="71" t="str">
        <f aca="false">IF(Corte&gt;=60,"Real",IF(Corte&gt;48,"Real+Proy.","Proyección"))</f>
        <v>Proyección</v>
      </c>
      <c r="I36" s="71" t="str">
        <f aca="false">IF(Corte&gt;=72,"Real",IF(Corte&gt;60,"Real+Proy.","Proyección"))</f>
        <v>Proyección</v>
      </c>
      <c r="J36" s="71" t="str">
        <f aca="false">IF(Corte&gt;=84,"Real",IF(Corte&gt;72,"Real+Proy.","Proyección"))</f>
        <v>Proyección</v>
      </c>
      <c r="K36" s="71" t="str">
        <f aca="false">IF(Corte&gt;=96,"Real",IF(Corte&gt;84,"Real+Proy.","Proyección"))</f>
        <v>Proyección</v>
      </c>
      <c r="L36" s="71" t="str">
        <f aca="false">IF(Corte&gt;=108,"Real",IF(Corte&gt;96,"Real+Proy.","Proyección"))</f>
        <v>Proyección</v>
      </c>
      <c r="M36" s="71" t="str">
        <f aca="false">IF(Corte&gt;=120,"Real",IF(Corte&gt;108,"Real+Proy.","Proyección"))</f>
        <v>Proyección</v>
      </c>
      <c r="N36" s="71" t="str">
        <f aca="false">IF(Corte&gt;=132,"Real",IF(Corte&gt;120,"Real+Proy.","Proyección"))</f>
        <v>Proyección</v>
      </c>
      <c r="O36" s="71" t="str">
        <f aca="false">IF(Corte&gt;=144,"Real",IF(Corte&gt;132,"Real+Proy.","Proyección"))</f>
        <v>Proyección</v>
      </c>
    </row>
    <row r="37" customFormat="false" ht="15" hidden="false" customHeight="false" outlineLevel="0" collapsed="false">
      <c r="B37" s="2" t="s">
        <v>1004</v>
      </c>
      <c r="D37" s="72" t="str">
        <f aca="false">IF(n_Fecha1="","",YEAR(EOMONTH(n_Fecha1,0)))</f>
        <v/>
      </c>
      <c r="E37" s="72" t="str">
        <f aca="false">IF(n_Fecha1="","",YEAR(EOMONTH(n_Fecha1,12)))</f>
        <v/>
      </c>
      <c r="F37" s="72" t="str">
        <f aca="false">IF(n_Fecha1="","",YEAR(EOMONTH(n_Fecha1,24)))</f>
        <v/>
      </c>
      <c r="G37" s="72" t="str">
        <f aca="false">IF(n_Fecha1="","",YEAR(EOMONTH(n_Fecha1,36)))</f>
        <v/>
      </c>
      <c r="H37" s="72" t="str">
        <f aca="false">IF(n_Fecha1="","",YEAR(EOMONTH(n_Fecha1,48)))</f>
        <v/>
      </c>
      <c r="I37" s="72" t="str">
        <f aca="false">IF(n_Fecha1="","",YEAR(EOMONTH(n_Fecha1,60)))</f>
        <v/>
      </c>
      <c r="J37" s="72" t="str">
        <f aca="false">IF(n_Fecha1="","",YEAR(EOMONTH(n_Fecha1,72)))</f>
        <v/>
      </c>
      <c r="K37" s="72" t="str">
        <f aca="false">IF(n_Fecha1="","",YEAR(EOMONTH(n_Fecha1,84)))</f>
        <v/>
      </c>
      <c r="L37" s="72" t="str">
        <f aca="false">IF(n_Fecha1="","",YEAR(EOMONTH(n_Fecha1,96)))</f>
        <v/>
      </c>
      <c r="M37" s="72" t="str">
        <f aca="false">IF(n_Fecha1="","",YEAR(EOMONTH(n_Fecha1,108)))</f>
        <v/>
      </c>
      <c r="N37" s="72" t="str">
        <f aca="false">IF(n_Fecha1="","",YEAR(EOMONTH(n_Fecha1,120)))</f>
        <v/>
      </c>
      <c r="O37" s="72" t="str">
        <f aca="false">IF(n_Fecha1="","",YEAR(EOMONTH(n_Fecha1,132)))</f>
        <v/>
      </c>
    </row>
    <row r="38" customFormat="false" ht="15" hidden="false" customHeight="false" outlineLevel="0" collapsed="false">
      <c r="A38" s="2" t="s">
        <v>1005</v>
      </c>
      <c r="B38" s="52" t="s">
        <v>248</v>
      </c>
      <c r="C38" s="40" t="n">
        <f aca="false">SUM(D38:O38)</f>
        <v>81222447.7216454</v>
      </c>
      <c r="D38" s="10" t="n">
        <f aca="false">SUMIFS(Calculo!$F$227:$ES$227,Calculo!$F$6:$ES$6,1)</f>
        <v>4850000</v>
      </c>
      <c r="E38" s="10" t="n">
        <f aca="false">SUMIFS(Calculo!$F$227:$ES$227,Calculo!$F$6:$ES$6,2)</f>
        <v>6181200</v>
      </c>
      <c r="F38" s="10" t="n">
        <f aca="false">SUMIFS(Calculo!$F$227:$ES$227,Calculo!$F$6:$ES$6,3)</f>
        <v>7538539</v>
      </c>
      <c r="G38" s="10" t="n">
        <f aca="false">SUMIFS(Calculo!$F$227:$ES$227,Calculo!$F$6:$ES$6,4)</f>
        <v>8685437.43</v>
      </c>
      <c r="H38" s="10" t="n">
        <f aca="false">SUMIFS(Calculo!$F$227:$ES$227,Calculo!$F$6:$ES$6,5)</f>
        <v>8772291.8043</v>
      </c>
      <c r="I38" s="10" t="n">
        <f aca="false">SUMIFS(Calculo!$F$227:$ES$227,Calculo!$F$6:$ES$6,6)</f>
        <v>8860014.722343</v>
      </c>
      <c r="J38" s="10" t="n">
        <f aca="false">SUMIFS(Calculo!$F$227:$ES$227,Calculo!$F$6:$ES$6,7)</f>
        <v>8948614.86956643</v>
      </c>
      <c r="K38" s="10" t="n">
        <f aca="false">SUMIFS(Calculo!$F$227:$ES$227,Calculo!$F$6:$ES$6,8)</f>
        <v>9038101.01826209</v>
      </c>
      <c r="L38" s="10" t="n">
        <f aca="false">SUMIFS(Calculo!$F$227:$ES$227,Calculo!$F$6:$ES$6,9)</f>
        <v>9128482.02844472</v>
      </c>
      <c r="M38" s="10" t="n">
        <f aca="false">SUMIFS(Calculo!$F$227:$ES$227,Calculo!$F$6:$ES$6,10)</f>
        <v>9219766.84872916</v>
      </c>
      <c r="N38" s="10" t="n">
        <f aca="false">SUMIFS(Calculo!$F$227:$ES$227,Calculo!$F$6:$ES$6,11)</f>
        <v>0</v>
      </c>
      <c r="O38" s="10" t="n">
        <f aca="false">SUMIFS(Calculo!$F$227:$ES$227,Calculo!$F$6:$ES$6,12)</f>
        <v>0</v>
      </c>
    </row>
    <row r="39" customFormat="false" ht="15" hidden="false" customHeight="false" outlineLevel="0" collapsed="false">
      <c r="A39" s="2" t="s">
        <v>1006</v>
      </c>
      <c r="B39" s="6" t="s">
        <v>677</v>
      </c>
      <c r="C39" s="40" t="n">
        <f aca="false">SUM(D39:O39)</f>
        <v>39318093.38356</v>
      </c>
      <c r="D39" s="34" t="n">
        <f aca="false">SUMIFS(Calculo!$F$249:$ES$249,Calculo!$F$6:$ES$6,1)</f>
        <v>2390070</v>
      </c>
      <c r="E39" s="34" t="n">
        <f aca="false">SUMIFS(Calculo!$F$249:$ES$249,Calculo!$F$6:$ES$6,2)</f>
        <v>3037306.5</v>
      </c>
      <c r="F39" s="34" t="n">
        <f aca="false">SUMIFS(Calculo!$F$249:$ES$249,Calculo!$F$6:$ES$6,3)</f>
        <v>3692696.28</v>
      </c>
      <c r="G39" s="34" t="n">
        <f aca="false">SUMIFS(Calculo!$F$249:$ES$249,Calculo!$F$6:$ES$6,4)</f>
        <v>4231505.57985</v>
      </c>
      <c r="H39" s="34" t="n">
        <f aca="false">SUMIFS(Calculo!$F$249:$ES$249,Calculo!$F$6:$ES$6,5)</f>
        <v>4258549.4356485</v>
      </c>
      <c r="I39" s="34" t="n">
        <f aca="false">SUMIFS(Calculo!$F$249:$ES$249,Calculo!$F$6:$ES$6,6)</f>
        <v>4285863.73000499</v>
      </c>
      <c r="J39" s="34" t="n">
        <f aca="false">SUMIFS(Calculo!$F$249:$ES$249,Calculo!$F$6:$ES$6,7)</f>
        <v>4313451.16730504</v>
      </c>
      <c r="K39" s="34" t="n">
        <f aca="false">SUMIFS(Calculo!$F$249:$ES$249,Calculo!$F$6:$ES$6,8)</f>
        <v>4341314.47897808</v>
      </c>
      <c r="L39" s="34" t="n">
        <f aca="false">SUMIFS(Calculo!$F$249:$ES$249,Calculo!$F$6:$ES$6,9)</f>
        <v>4369456.42376787</v>
      </c>
      <c r="M39" s="34" t="n">
        <f aca="false">SUMIFS(Calculo!$F$249:$ES$249,Calculo!$F$6:$ES$6,10)</f>
        <v>4397879.78800555</v>
      </c>
      <c r="N39" s="34" t="n">
        <f aca="false">SUMIFS(Calculo!$F$249:$ES$249,Calculo!$F$6:$ES$6,11)</f>
        <v>0</v>
      </c>
      <c r="O39" s="34" t="n">
        <f aca="false">SUMIFS(Calculo!$F$249:$ES$249,Calculo!$F$6:$ES$6,12)</f>
        <v>0</v>
      </c>
    </row>
    <row r="40" customFormat="false" ht="15" hidden="false" customHeight="false" outlineLevel="0" collapsed="false">
      <c r="A40" s="2" t="s">
        <v>1007</v>
      </c>
      <c r="B40" s="6" t="s">
        <v>679</v>
      </c>
      <c r="C40" s="40" t="n">
        <f aca="false">SUM(D40:O40)</f>
        <v>10172052.5275746</v>
      </c>
      <c r="D40" s="34" t="n">
        <f aca="false">SUMIFS(Calculo!$F$250:$ES$250,Calculo!$F$6:$ES$6,1)</f>
        <v>635639.583055655</v>
      </c>
      <c r="E40" s="34" t="n">
        <f aca="false">SUMIFS(Calculo!$F$250:$ES$250,Calculo!$F$6:$ES$6,2)</f>
        <v>802571.522045655</v>
      </c>
      <c r="F40" s="34" t="n">
        <f aca="false">SUMIFS(Calculo!$F$250:$ES$250,Calculo!$F$6:$ES$6,3)</f>
        <v>970173.181376907</v>
      </c>
      <c r="G40" s="34" t="n">
        <f aca="false">SUMIFS(Calculo!$F$250:$ES$250,Calculo!$F$6:$ES$6,4)</f>
        <v>1105264.93508943</v>
      </c>
      <c r="H40" s="34" t="n">
        <f aca="false">SUMIFS(Calculo!$F$250:$ES$250,Calculo!$F$6:$ES$6,5)</f>
        <v>1106743.50819138</v>
      </c>
      <c r="I40" s="34" t="n">
        <f aca="false">SUMIFS(Calculo!$F$250:$ES$250,Calculo!$F$6:$ES$6,6)</f>
        <v>1107923.80288369</v>
      </c>
      <c r="J40" s="34" t="n">
        <f aca="false">SUMIFS(Calculo!$F$250:$ES$250,Calculo!$F$6:$ES$6,7)</f>
        <v>1109115.90052291</v>
      </c>
      <c r="K40" s="34" t="n">
        <f aca="false">SUMIFS(Calculo!$F$250:$ES$250,Calculo!$F$6:$ES$6,8)</f>
        <v>1110319.91913853</v>
      </c>
      <c r="L40" s="34" t="n">
        <f aca="false">SUMIFS(Calculo!$F$250:$ES$250,Calculo!$F$6:$ES$6,9)</f>
        <v>1111535.9779403</v>
      </c>
      <c r="M40" s="34" t="n">
        <f aca="false">SUMIFS(Calculo!$F$250:$ES$250,Calculo!$F$6:$ES$6,10)</f>
        <v>1112764.19733009</v>
      </c>
      <c r="N40" s="34" t="n">
        <f aca="false">SUMIFS(Calculo!$F$250:$ES$250,Calculo!$F$6:$ES$6,11)</f>
        <v>0</v>
      </c>
      <c r="O40" s="34" t="n">
        <f aca="false">SUMIFS(Calculo!$F$250:$ES$250,Calculo!$F$6:$ES$6,12)</f>
        <v>0</v>
      </c>
    </row>
    <row r="41" customFormat="false" ht="15" hidden="false" customHeight="false" outlineLevel="0" collapsed="false">
      <c r="A41" s="2" t="s">
        <v>1008</v>
      </c>
      <c r="B41" s="6" t="s">
        <v>681</v>
      </c>
      <c r="C41" s="40" t="n">
        <f aca="false">SUM(D41:O41)</f>
        <v>6984448.30293321</v>
      </c>
      <c r="D41" s="34" t="n">
        <f aca="false">SUMIFS(Calculo!$F$251:$ES$251,Calculo!$F$6:$ES$6,1)</f>
        <v>636656.648353644</v>
      </c>
      <c r="E41" s="34" t="n">
        <f aca="false">SUMIFS(Calculo!$F$251:$ES$251,Calculo!$F$6:$ES$6,2)</f>
        <v>636656.648353644</v>
      </c>
      <c r="F41" s="34" t="n">
        <f aca="false">SUMIFS(Calculo!$F$251:$ES$251,Calculo!$F$6:$ES$6,3)</f>
        <v>668401.662478849</v>
      </c>
      <c r="G41" s="34" t="n">
        <f aca="false">SUMIFS(Calculo!$F$251:$ES$251,Calculo!$F$6:$ES$6,4)</f>
        <v>693822.092331617</v>
      </c>
      <c r="H41" s="34" t="n">
        <f aca="false">SUMIFS(Calculo!$F$251:$ES$251,Calculo!$F$6:$ES$6,5)</f>
        <v>724818.541902575</v>
      </c>
      <c r="I41" s="34" t="n">
        <f aca="false">SUMIFS(Calculo!$F$251:$ES$251,Calculo!$F$6:$ES$6,6)</f>
        <v>724818.541902575</v>
      </c>
      <c r="J41" s="34" t="n">
        <f aca="false">SUMIFS(Calculo!$F$251:$ES$251,Calculo!$F$6:$ES$6,7)</f>
        <v>724818.541902575</v>
      </c>
      <c r="K41" s="34" t="n">
        <f aca="false">SUMIFS(Calculo!$F$251:$ES$251,Calculo!$F$6:$ES$6,8)</f>
        <v>724818.541902575</v>
      </c>
      <c r="L41" s="34" t="n">
        <f aca="false">SUMIFS(Calculo!$F$251:$ES$251,Calculo!$F$6:$ES$6,9)</f>
        <v>724818.541902575</v>
      </c>
      <c r="M41" s="34" t="n">
        <f aca="false">SUMIFS(Calculo!$F$251:$ES$251,Calculo!$F$6:$ES$6,10)</f>
        <v>724818.541902575</v>
      </c>
      <c r="N41" s="34" t="n">
        <f aca="false">SUMIFS(Calculo!$F$251:$ES$251,Calculo!$F$6:$ES$6,11)</f>
        <v>0</v>
      </c>
      <c r="O41" s="34" t="n">
        <f aca="false">SUMIFS(Calculo!$F$251:$ES$251,Calculo!$F$6:$ES$6,12)</f>
        <v>0</v>
      </c>
    </row>
    <row r="42" customFormat="false" ht="15" hidden="false" customHeight="false" outlineLevel="0" collapsed="false">
      <c r="A42" s="2" t="s">
        <v>1009</v>
      </c>
      <c r="B42" s="6" t="s">
        <v>683</v>
      </c>
      <c r="C42" s="40" t="n">
        <f aca="false">SUM(D42:O42)</f>
        <v>3406933.03324133</v>
      </c>
      <c r="D42" s="34" t="n">
        <f aca="false">SUMIFS(Calculo!$F$252:$ES$252,Calculo!$F$6:$ES$6,1)</f>
        <v>238476.137132109</v>
      </c>
      <c r="E42" s="34" t="n">
        <f aca="false">SUMIFS(Calculo!$F$252:$ES$252,Calculo!$F$6:$ES$6,2)</f>
        <v>279808.427921609</v>
      </c>
      <c r="F42" s="34" t="n">
        <f aca="false">SUMIFS(Calculo!$F$252:$ES$252,Calculo!$F$6:$ES$6,3)</f>
        <v>323181.596811232</v>
      </c>
      <c r="G42" s="34" t="n">
        <f aca="false">SUMIFS(Calculo!$F$252:$ES$252,Calculo!$F$6:$ES$6,4)</f>
        <v>358796.744123132</v>
      </c>
      <c r="H42" s="34" t="n">
        <f aca="false">SUMIFS(Calculo!$F$252:$ES$252,Calculo!$F$6:$ES$6,5)</f>
        <v>362434.742650662</v>
      </c>
      <c r="I42" s="34" t="n">
        <f aca="false">SUMIFS(Calculo!$F$252:$ES$252,Calculo!$F$6:$ES$6,6)</f>
        <v>364534.767799139</v>
      </c>
      <c r="J42" s="34" t="n">
        <f aca="false">SUMIFS(Calculo!$F$252:$ES$252,Calculo!$F$6:$ES$6,7)</f>
        <v>366662.546156061</v>
      </c>
      <c r="K42" s="34" t="n">
        <f aca="false">SUMIFS(Calculo!$F$252:$ES$252,Calculo!$F$6:$ES$6,8)</f>
        <v>368818.490312652</v>
      </c>
      <c r="L42" s="34" t="n">
        <f aca="false">SUMIFS(Calculo!$F$252:$ES$252,Calculo!$F$6:$ES$6,9)</f>
        <v>371003.019687231</v>
      </c>
      <c r="M42" s="34" t="n">
        <f aca="false">SUMIFS(Calculo!$F$252:$ES$252,Calculo!$F$6:$ES$6,10)</f>
        <v>373216.560647506</v>
      </c>
      <c r="N42" s="34" t="n">
        <f aca="false">SUMIFS(Calculo!$F$252:$ES$252,Calculo!$F$6:$ES$6,11)</f>
        <v>0</v>
      </c>
      <c r="O42" s="34" t="n">
        <f aca="false">SUMIFS(Calculo!$F$252:$ES$252,Calculo!$F$6:$ES$6,12)</f>
        <v>0</v>
      </c>
    </row>
    <row r="43" customFormat="false" ht="15" hidden="false" customHeight="false" outlineLevel="0" collapsed="false">
      <c r="A43" s="2" t="s">
        <v>1010</v>
      </c>
      <c r="B43" s="52" t="s">
        <v>1011</v>
      </c>
      <c r="C43" s="40" t="n">
        <f aca="false">SUM(D43:O43)</f>
        <v>21340920.4743363</v>
      </c>
      <c r="D43" s="10" t="n">
        <f aca="false">SUMIFS(Calculo!$F$253:$ES$253,Calculo!$F$6:$ES$6,1)</f>
        <v>949157.631458592</v>
      </c>
      <c r="E43" s="10" t="n">
        <f aca="false">SUMIFS(Calculo!$F$253:$ES$253,Calculo!$F$6:$ES$6,2)</f>
        <v>1424856.90167909</v>
      </c>
      <c r="F43" s="10" t="n">
        <f aca="false">SUMIFS(Calculo!$F$253:$ES$253,Calculo!$F$6:$ES$6,3)</f>
        <v>1884086.27933301</v>
      </c>
      <c r="G43" s="10" t="n">
        <f aca="false">SUMIFS(Calculo!$F$253:$ES$253,Calculo!$F$6:$ES$6,4)</f>
        <v>2296048.07860582</v>
      </c>
      <c r="H43" s="10" t="n">
        <f aca="false">SUMIFS(Calculo!$F$253:$ES$253,Calculo!$F$6:$ES$6,5)</f>
        <v>2319745.57590688</v>
      </c>
      <c r="I43" s="10" t="n">
        <f aca="false">SUMIFS(Calculo!$F$253:$ES$253,Calculo!$F$6:$ES$6,6)</f>
        <v>2376873.87975261</v>
      </c>
      <c r="J43" s="10" t="n">
        <f aca="false">SUMIFS(Calculo!$F$253:$ES$253,Calculo!$F$6:$ES$6,7)</f>
        <v>2434566.71367985</v>
      </c>
      <c r="K43" s="10" t="n">
        <f aca="false">SUMIFS(Calculo!$F$253:$ES$253,Calculo!$F$6:$ES$6,8)</f>
        <v>2492829.58793025</v>
      </c>
      <c r="L43" s="10" t="n">
        <f aca="false">SUMIFS(Calculo!$F$253:$ES$253,Calculo!$F$6:$ES$6,9)</f>
        <v>2551668.06514674</v>
      </c>
      <c r="M43" s="10" t="n">
        <f aca="false">SUMIFS(Calculo!$F$253:$ES$253,Calculo!$F$6:$ES$6,10)</f>
        <v>2611087.76084344</v>
      </c>
      <c r="N43" s="10" t="n">
        <f aca="false">SUMIFS(Calculo!$F$253:$ES$253,Calculo!$F$6:$ES$6,11)</f>
        <v>0</v>
      </c>
      <c r="O43" s="10" t="n">
        <f aca="false">SUMIFS(Calculo!$F$253:$ES$253,Calculo!$F$6:$ES$6,12)</f>
        <v>0</v>
      </c>
    </row>
    <row r="44" customFormat="false" ht="15" hidden="false" customHeight="false" outlineLevel="0" collapsed="false">
      <c r="A44" s="2" t="s">
        <v>1012</v>
      </c>
      <c r="B44" s="6" t="s">
        <v>687</v>
      </c>
      <c r="C44" s="40" t="n">
        <f aca="false">SUM(D44:O44)</f>
        <v>1075198.52627014</v>
      </c>
      <c r="D44" s="34" t="n">
        <f aca="false">SUMIFS(Calculo!$F$254:$ES$254,Calculo!$F$6:$ES$6,1)</f>
        <v>107519.852627014</v>
      </c>
      <c r="E44" s="34" t="n">
        <f aca="false">SUMIFS(Calculo!$F$254:$ES$254,Calculo!$F$6:$ES$6,2)</f>
        <v>107519.852627014</v>
      </c>
      <c r="F44" s="34" t="n">
        <f aca="false">SUMIFS(Calculo!$F$254:$ES$254,Calculo!$F$6:$ES$6,3)</f>
        <v>107519.852627014</v>
      </c>
      <c r="G44" s="34" t="n">
        <f aca="false">SUMIFS(Calculo!$F$254:$ES$254,Calculo!$F$6:$ES$6,4)</f>
        <v>107519.852627014</v>
      </c>
      <c r="H44" s="34" t="n">
        <f aca="false">SUMIFS(Calculo!$F$254:$ES$254,Calculo!$F$6:$ES$6,5)</f>
        <v>107519.852627014</v>
      </c>
      <c r="I44" s="34" t="n">
        <f aca="false">SUMIFS(Calculo!$F$254:$ES$254,Calculo!$F$6:$ES$6,6)</f>
        <v>107519.852627014</v>
      </c>
      <c r="J44" s="34" t="n">
        <f aca="false">SUMIFS(Calculo!$F$254:$ES$254,Calculo!$F$6:$ES$6,7)</f>
        <v>107519.852627014</v>
      </c>
      <c r="K44" s="34" t="n">
        <f aca="false">SUMIFS(Calculo!$F$254:$ES$254,Calculo!$F$6:$ES$6,8)</f>
        <v>107519.852627014</v>
      </c>
      <c r="L44" s="34" t="n">
        <f aca="false">SUMIFS(Calculo!$F$254:$ES$254,Calculo!$F$6:$ES$6,9)</f>
        <v>107519.852627014</v>
      </c>
      <c r="M44" s="34" t="n">
        <f aca="false">SUMIFS(Calculo!$F$254:$ES$254,Calculo!$F$6:$ES$6,10)</f>
        <v>107519.852627014</v>
      </c>
      <c r="N44" s="34" t="n">
        <f aca="false">SUMIFS(Calculo!$F$254:$ES$254,Calculo!$F$6:$ES$6,11)</f>
        <v>0</v>
      </c>
      <c r="O44" s="34" t="n">
        <f aca="false">SUMIFS(Calculo!$F$254:$ES$254,Calculo!$F$6:$ES$6,12)</f>
        <v>0</v>
      </c>
    </row>
    <row r="45" customFormat="false" ht="15" hidden="false" customHeight="false" outlineLevel="0" collapsed="false">
      <c r="A45" s="2" t="s">
        <v>1013</v>
      </c>
      <c r="B45" s="6" t="s">
        <v>1014</v>
      </c>
      <c r="C45" s="40" t="n">
        <f aca="false">SUM(D45:O45)</f>
        <v>3143993.45458867</v>
      </c>
      <c r="D45" s="34" t="n">
        <f aca="false">SUMIFS(Calculo!$F$255:$ES$255,Calculo!$F$6:$ES$6,1)</f>
        <v>283167.773124501</v>
      </c>
      <c r="E45" s="34" t="n">
        <f aca="false">SUMIFS(Calculo!$F$255:$ES$255,Calculo!$F$6:$ES$6,2)</f>
        <v>289568.213124501</v>
      </c>
      <c r="F45" s="34" t="n">
        <f aca="false">SUMIFS(Calculo!$F$255:$ES$255,Calculo!$F$6:$ES$6,3)</f>
        <v>296160.666324501</v>
      </c>
      <c r="G45" s="34" t="n">
        <f aca="false">SUMIFS(Calculo!$F$255:$ES$255,Calculo!$F$6:$ES$6,4)</f>
        <v>302950.893120501</v>
      </c>
      <c r="H45" s="34" t="n">
        <f aca="false">SUMIFS(Calculo!$F$255:$ES$255,Calculo!$F$6:$ES$6,5)</f>
        <v>309944.826720381</v>
      </c>
      <c r="I45" s="34" t="n">
        <f aca="false">SUMIFS(Calculo!$F$255:$ES$255,Calculo!$F$6:$ES$6,6)</f>
        <v>317148.578328258</v>
      </c>
      <c r="J45" s="34" t="n">
        <f aca="false">SUMIFS(Calculo!$F$255:$ES$255,Calculo!$F$6:$ES$6,7)</f>
        <v>324568.44248437</v>
      </c>
      <c r="K45" s="34" t="n">
        <f aca="false">SUMIFS(Calculo!$F$255:$ES$255,Calculo!$F$6:$ES$6,8)</f>
        <v>332210.902565167</v>
      </c>
      <c r="L45" s="34" t="n">
        <f aca="false">SUMIFS(Calculo!$F$255:$ES$255,Calculo!$F$6:$ES$6,9)</f>
        <v>340082.636448387</v>
      </c>
      <c r="M45" s="34" t="n">
        <f aca="false">SUMIFS(Calculo!$F$255:$ES$255,Calculo!$F$6:$ES$6,10)</f>
        <v>348190.522348103</v>
      </c>
      <c r="N45" s="34" t="n">
        <f aca="false">SUMIFS(Calculo!$F$255:$ES$255,Calculo!$F$6:$ES$6,11)</f>
        <v>0</v>
      </c>
      <c r="O45" s="34" t="n">
        <f aca="false">SUMIFS(Calculo!$F$255:$ES$255,Calculo!$F$6:$ES$6,12)</f>
        <v>0</v>
      </c>
    </row>
    <row r="46" customFormat="false" ht="15" hidden="false" customHeight="false" outlineLevel="0" collapsed="false">
      <c r="A46" s="2" t="s">
        <v>1015</v>
      </c>
      <c r="B46" s="6" t="s">
        <v>529</v>
      </c>
      <c r="C46" s="40" t="n">
        <f aca="false">SUM(D46:O46)</f>
        <v>812224.477216454</v>
      </c>
      <c r="D46" s="34" t="n">
        <f aca="false">SUMIFS(Calculo!$F$256:$ES$256,Calculo!$F$6:$ES$6,1)</f>
        <v>48500</v>
      </c>
      <c r="E46" s="34" t="n">
        <f aca="false">SUMIFS(Calculo!$F$256:$ES$256,Calculo!$F$6:$ES$6,2)</f>
        <v>61812</v>
      </c>
      <c r="F46" s="34" t="n">
        <f aca="false">SUMIFS(Calculo!$F$256:$ES$256,Calculo!$F$6:$ES$6,3)</f>
        <v>75385.39</v>
      </c>
      <c r="G46" s="34" t="n">
        <f aca="false">SUMIFS(Calculo!$F$256:$ES$256,Calculo!$F$6:$ES$6,4)</f>
        <v>86854.3743</v>
      </c>
      <c r="H46" s="34" t="n">
        <f aca="false">SUMIFS(Calculo!$F$256:$ES$256,Calculo!$F$6:$ES$6,5)</f>
        <v>87722.918043</v>
      </c>
      <c r="I46" s="34" t="n">
        <f aca="false">SUMIFS(Calculo!$F$256:$ES$256,Calculo!$F$6:$ES$6,6)</f>
        <v>88600.14722343</v>
      </c>
      <c r="J46" s="34" t="n">
        <f aca="false">SUMIFS(Calculo!$F$256:$ES$256,Calculo!$F$6:$ES$6,7)</f>
        <v>89486.1486956643</v>
      </c>
      <c r="K46" s="34" t="n">
        <f aca="false">SUMIFS(Calculo!$F$256:$ES$256,Calculo!$F$6:$ES$6,8)</f>
        <v>90381.0101826209</v>
      </c>
      <c r="L46" s="34" t="n">
        <f aca="false">SUMIFS(Calculo!$F$256:$ES$256,Calculo!$F$6:$ES$6,9)</f>
        <v>91284.8202844471</v>
      </c>
      <c r="M46" s="34" t="n">
        <f aca="false">SUMIFS(Calculo!$F$256:$ES$256,Calculo!$F$6:$ES$6,10)</f>
        <v>92197.6684872916</v>
      </c>
      <c r="N46" s="34" t="n">
        <f aca="false">SUMIFS(Calculo!$F$256:$ES$256,Calculo!$F$6:$ES$6,11)</f>
        <v>0</v>
      </c>
      <c r="O46" s="34" t="n">
        <f aca="false">SUMIFS(Calculo!$F$256:$ES$256,Calculo!$F$6:$ES$6,12)</f>
        <v>0</v>
      </c>
    </row>
    <row r="47" customFormat="false" ht="15" hidden="false" customHeight="false" outlineLevel="0" collapsed="false">
      <c r="A47" s="2" t="s">
        <v>1016</v>
      </c>
      <c r="B47" s="6" t="s">
        <v>1017</v>
      </c>
      <c r="C47" s="40" t="n">
        <f aca="false">SUM(D47:O47)</f>
        <v>0</v>
      </c>
      <c r="D47" s="34" t="n">
        <f aca="false">SUMIFS(Calculo!$F$257:$ES$257,Calculo!$F$6:$ES$6,1)</f>
        <v>0</v>
      </c>
      <c r="E47" s="34" t="n">
        <f aca="false">SUMIFS(Calculo!$F$257:$ES$257,Calculo!$F$6:$ES$6,2)</f>
        <v>0</v>
      </c>
      <c r="F47" s="34" t="n">
        <f aca="false">SUMIFS(Calculo!$F$257:$ES$257,Calculo!$F$6:$ES$6,3)</f>
        <v>0</v>
      </c>
      <c r="G47" s="34" t="n">
        <f aca="false">SUMIFS(Calculo!$F$257:$ES$257,Calculo!$F$6:$ES$6,4)</f>
        <v>0</v>
      </c>
      <c r="H47" s="34" t="n">
        <f aca="false">SUMIFS(Calculo!$F$257:$ES$257,Calculo!$F$6:$ES$6,5)</f>
        <v>0</v>
      </c>
      <c r="I47" s="34" t="n">
        <f aca="false">SUMIFS(Calculo!$F$257:$ES$257,Calculo!$F$6:$ES$6,6)</f>
        <v>0</v>
      </c>
      <c r="J47" s="34" t="n">
        <f aca="false">SUMIFS(Calculo!$F$257:$ES$257,Calculo!$F$6:$ES$6,7)</f>
        <v>0</v>
      </c>
      <c r="K47" s="34" t="n">
        <f aca="false">SUMIFS(Calculo!$F$257:$ES$257,Calculo!$F$6:$ES$6,8)</f>
        <v>0</v>
      </c>
      <c r="L47" s="34" t="n">
        <f aca="false">SUMIFS(Calculo!$F$257:$ES$257,Calculo!$F$6:$ES$6,9)</f>
        <v>0</v>
      </c>
      <c r="M47" s="34" t="n">
        <f aca="false">SUMIFS(Calculo!$F$257:$ES$257,Calculo!$F$6:$ES$6,10)</f>
        <v>0</v>
      </c>
      <c r="N47" s="34" t="n">
        <f aca="false">SUMIFS(Calculo!$F$257:$ES$257,Calculo!$F$6:$ES$6,11)</f>
        <v>0</v>
      </c>
      <c r="O47" s="34" t="n">
        <f aca="false">SUMIFS(Calculo!$F$257:$ES$257,Calculo!$F$6:$ES$6,12)</f>
        <v>0</v>
      </c>
    </row>
    <row r="48" customFormat="false" ht="15" hidden="false" customHeight="false" outlineLevel="0" collapsed="false">
      <c r="A48" s="2" t="s">
        <v>1018</v>
      </c>
      <c r="B48" s="52" t="s">
        <v>251</v>
      </c>
      <c r="C48" s="40" t="n">
        <f aca="false">SUM(D48:O48)</f>
        <v>16309504.016261</v>
      </c>
      <c r="D48" s="10" t="n">
        <f aca="false">SUMIFS(Calculo!$F$258:$ES$258,Calculo!$F$6:$ES$6,1)</f>
        <v>509970.005707077</v>
      </c>
      <c r="E48" s="10" t="n">
        <f aca="false">SUMIFS(Calculo!$F$258:$ES$258,Calculo!$F$6:$ES$6,2)</f>
        <v>965956.835927578</v>
      </c>
      <c r="F48" s="10" t="n">
        <f aca="false">SUMIFS(Calculo!$F$258:$ES$258,Calculo!$F$6:$ES$6,3)</f>
        <v>1405020.3703815</v>
      </c>
      <c r="G48" s="10" t="n">
        <f aca="false">SUMIFS(Calculo!$F$258:$ES$258,Calculo!$F$6:$ES$6,4)</f>
        <v>1798722.9585583</v>
      </c>
      <c r="H48" s="10" t="n">
        <f aca="false">SUMIFS(Calculo!$F$258:$ES$258,Calculo!$F$6:$ES$6,5)</f>
        <v>1814557.97851648</v>
      </c>
      <c r="I48" s="10" t="n">
        <f aca="false">SUMIFS(Calculo!$F$258:$ES$258,Calculo!$F$6:$ES$6,6)</f>
        <v>1863605.30157391</v>
      </c>
      <c r="J48" s="10" t="n">
        <f aca="false">SUMIFS(Calculo!$F$258:$ES$258,Calculo!$F$6:$ES$6,7)</f>
        <v>1912992.2698728</v>
      </c>
      <c r="K48" s="10" t="n">
        <f aca="false">SUMIFS(Calculo!$F$258:$ES$258,Calculo!$F$6:$ES$6,8)</f>
        <v>1962717.82255545</v>
      </c>
      <c r="L48" s="10" t="n">
        <f aca="false">SUMIFS(Calculo!$F$258:$ES$258,Calculo!$F$6:$ES$6,9)</f>
        <v>2012780.75578689</v>
      </c>
      <c r="M48" s="10" t="n">
        <f aca="false">SUMIFS(Calculo!$F$258:$ES$258,Calculo!$F$6:$ES$6,10)</f>
        <v>2063179.71738103</v>
      </c>
      <c r="N48" s="10" t="n">
        <f aca="false">SUMIFS(Calculo!$F$258:$ES$258,Calculo!$F$6:$ES$6,11)</f>
        <v>0</v>
      </c>
      <c r="O48" s="10" t="n">
        <f aca="false">SUMIFS(Calculo!$F$258:$ES$258,Calculo!$F$6:$ES$6,12)</f>
        <v>0</v>
      </c>
    </row>
    <row r="49" customFormat="false" ht="15" hidden="false" customHeight="false" outlineLevel="0" collapsed="false">
      <c r="A49" s="2" t="s">
        <v>1019</v>
      </c>
      <c r="B49" s="6" t="s">
        <v>1020</v>
      </c>
      <c r="C49" s="40" t="n">
        <f aca="false">SUM(D49:O49)</f>
        <v>745044.09</v>
      </c>
      <c r="D49" s="34" t="n">
        <f aca="false">SUMIFS(Calculo!$F$259:$ES$259,Calculo!$F$6:$ES$6,1)</f>
        <v>71592.209</v>
      </c>
      <c r="E49" s="34" t="n">
        <f aca="false">SUMIFS(Calculo!$F$259:$ES$259,Calculo!$F$6:$ES$6,2)</f>
        <v>81592.209</v>
      </c>
      <c r="F49" s="34" t="n">
        <f aca="false">SUMIFS(Calculo!$F$259:$ES$259,Calculo!$F$6:$ES$6,3)</f>
        <v>81592.209</v>
      </c>
      <c r="G49" s="34" t="n">
        <f aca="false">SUMIFS(Calculo!$F$259:$ES$259,Calculo!$F$6:$ES$6,4)</f>
        <v>81592.209</v>
      </c>
      <c r="H49" s="34" t="n">
        <f aca="false">SUMIFS(Calculo!$F$259:$ES$259,Calculo!$F$6:$ES$6,5)</f>
        <v>81592.209</v>
      </c>
      <c r="I49" s="34" t="n">
        <f aca="false">SUMIFS(Calculo!$F$259:$ES$259,Calculo!$F$6:$ES$6,6)</f>
        <v>69416.609</v>
      </c>
      <c r="J49" s="34" t="n">
        <f aca="false">SUMIFS(Calculo!$F$259:$ES$259,Calculo!$F$6:$ES$6,7)</f>
        <v>69416.609</v>
      </c>
      <c r="K49" s="34" t="n">
        <f aca="false">SUMIFS(Calculo!$F$259:$ES$259,Calculo!$F$6:$ES$6,8)</f>
        <v>69416.609</v>
      </c>
      <c r="L49" s="34" t="n">
        <f aca="false">SUMIFS(Calculo!$F$259:$ES$259,Calculo!$F$6:$ES$6,9)</f>
        <v>69416.609</v>
      </c>
      <c r="M49" s="34" t="n">
        <f aca="false">SUMIFS(Calculo!$F$259:$ES$259,Calculo!$F$6:$ES$6,10)</f>
        <v>69416.609</v>
      </c>
      <c r="N49" s="34" t="n">
        <f aca="false">SUMIFS(Calculo!$F$259:$ES$259,Calculo!$F$6:$ES$6,11)</f>
        <v>0</v>
      </c>
      <c r="O49" s="34" t="n">
        <f aca="false">SUMIFS(Calculo!$F$259:$ES$259,Calculo!$F$6:$ES$6,12)</f>
        <v>0</v>
      </c>
    </row>
    <row r="50" customFormat="false" ht="15" hidden="false" customHeight="false" outlineLevel="0" collapsed="false">
      <c r="A50" s="2" t="s">
        <v>1021</v>
      </c>
      <c r="B50" s="6" t="s">
        <v>699</v>
      </c>
      <c r="C50" s="40" t="n">
        <f aca="false">SUM(D50:O50)</f>
        <v>813214.128224454</v>
      </c>
      <c r="D50" s="34" t="n">
        <f aca="false">SUMIFS(Calculo!$F$261:$ES$261,Calculo!$F$6:$ES$6,1)</f>
        <v>271101.932431026</v>
      </c>
      <c r="E50" s="34" t="n">
        <f aca="false">SUMIFS(Calculo!$F$261:$ES$261,Calculo!$F$6:$ES$6,2)</f>
        <v>226274.254121452</v>
      </c>
      <c r="F50" s="34" t="n">
        <f aca="false">SUMIFS(Calculo!$F$261:$ES$261,Calculo!$F$6:$ES$6,3)</f>
        <v>169415.972941167</v>
      </c>
      <c r="G50" s="34" t="n">
        <f aca="false">SUMIFS(Calculo!$F$261:$ES$261,Calculo!$F$6:$ES$6,4)</f>
        <v>107223.992796456</v>
      </c>
      <c r="H50" s="34" t="n">
        <f aca="false">SUMIFS(Calculo!$F$261:$ES$261,Calculo!$F$6:$ES$6,5)</f>
        <v>39197.9759343531</v>
      </c>
      <c r="I50" s="34" t="n">
        <f aca="false">SUMIFS(Calculo!$F$261:$ES$261,Calculo!$F$6:$ES$6,6)</f>
        <v>0</v>
      </c>
      <c r="J50" s="34" t="n">
        <f aca="false">SUMIFS(Calculo!$F$261:$ES$261,Calculo!$F$6:$ES$6,7)</f>
        <v>0</v>
      </c>
      <c r="K50" s="34" t="n">
        <f aca="false">SUMIFS(Calculo!$F$261:$ES$261,Calculo!$F$6:$ES$6,8)</f>
        <v>0</v>
      </c>
      <c r="L50" s="34" t="n">
        <f aca="false">SUMIFS(Calculo!$F$261:$ES$261,Calculo!$F$6:$ES$6,9)</f>
        <v>0</v>
      </c>
      <c r="M50" s="34" t="n">
        <f aca="false">SUMIFS(Calculo!$F$261:$ES$261,Calculo!$F$6:$ES$6,10)</f>
        <v>0</v>
      </c>
      <c r="N50" s="34" t="n">
        <f aca="false">SUMIFS(Calculo!$F$261:$ES$261,Calculo!$F$6:$ES$6,11)</f>
        <v>0</v>
      </c>
      <c r="O50" s="34" t="n">
        <f aca="false">SUMIFS(Calculo!$F$261:$ES$261,Calculo!$F$6:$ES$6,12)</f>
        <v>0</v>
      </c>
    </row>
    <row r="51" customFormat="false" ht="15" hidden="false" customHeight="false" outlineLevel="0" collapsed="false">
      <c r="A51" s="2" t="s">
        <v>1022</v>
      </c>
      <c r="B51" s="6" t="s">
        <v>701</v>
      </c>
      <c r="C51" s="40" t="n">
        <f aca="false">SUM(D51:O51)</f>
        <v>0</v>
      </c>
      <c r="D51" s="34" t="n">
        <f aca="false">SUMIFS(Calculo!$F$262:$ES$262,Calculo!$F$6:$ES$6,1)</f>
        <v>0</v>
      </c>
      <c r="E51" s="34" t="n">
        <f aca="false">SUMIFS(Calculo!$F$262:$ES$262,Calculo!$F$6:$ES$6,2)</f>
        <v>0</v>
      </c>
      <c r="F51" s="34" t="n">
        <f aca="false">SUMIFS(Calculo!$F$262:$ES$262,Calculo!$F$6:$ES$6,3)</f>
        <v>0</v>
      </c>
      <c r="G51" s="34" t="n">
        <f aca="false">SUMIFS(Calculo!$F$262:$ES$262,Calculo!$F$6:$ES$6,4)</f>
        <v>0</v>
      </c>
      <c r="H51" s="34" t="n">
        <f aca="false">SUMIFS(Calculo!$F$262:$ES$262,Calculo!$F$6:$ES$6,5)</f>
        <v>0</v>
      </c>
      <c r="I51" s="34" t="n">
        <f aca="false">SUMIFS(Calculo!$F$262:$ES$262,Calculo!$F$6:$ES$6,6)</f>
        <v>0</v>
      </c>
      <c r="J51" s="34" t="n">
        <f aca="false">SUMIFS(Calculo!$F$262:$ES$262,Calculo!$F$6:$ES$6,7)</f>
        <v>0</v>
      </c>
      <c r="K51" s="34" t="n">
        <f aca="false">SUMIFS(Calculo!$F$262:$ES$262,Calculo!$F$6:$ES$6,8)</f>
        <v>0</v>
      </c>
      <c r="L51" s="34" t="n">
        <f aca="false">SUMIFS(Calculo!$F$262:$ES$262,Calculo!$F$6:$ES$6,9)</f>
        <v>0</v>
      </c>
      <c r="M51" s="34" t="n">
        <f aca="false">SUMIFS(Calculo!$F$262:$ES$262,Calculo!$F$6:$ES$6,10)</f>
        <v>0</v>
      </c>
      <c r="N51" s="34" t="n">
        <f aca="false">SUMIFS(Calculo!$F$262:$ES$262,Calculo!$F$6:$ES$6,11)</f>
        <v>0</v>
      </c>
      <c r="O51" s="34" t="n">
        <f aca="false">SUMIFS(Calculo!$F$262:$ES$262,Calculo!$F$6:$ES$6,12)</f>
        <v>0</v>
      </c>
    </row>
    <row r="52" customFormat="false" ht="15" hidden="false" customHeight="false" outlineLevel="0" collapsed="false">
      <c r="A52" s="2" t="s">
        <v>1023</v>
      </c>
      <c r="B52" s="52" t="s">
        <v>1024</v>
      </c>
      <c r="C52" s="40" t="n">
        <f aca="false">SUM(D52:O52)</f>
        <v>14751245.7980366</v>
      </c>
      <c r="D52" s="10" t="n">
        <f aca="false">SUMIFS(Calculo!$F$263:$ES$263,Calculo!$F$6:$ES$6,1)</f>
        <v>167275.864276051</v>
      </c>
      <c r="E52" s="10" t="n">
        <f aca="false">SUMIFS(Calculo!$F$263:$ES$263,Calculo!$F$6:$ES$6,2)</f>
        <v>658090.372806125</v>
      </c>
      <c r="F52" s="10" t="n">
        <f aca="false">SUMIFS(Calculo!$F$263:$ES$263,Calculo!$F$6:$ES$6,3)</f>
        <v>1154012.18844033</v>
      </c>
      <c r="G52" s="10" t="n">
        <f aca="false">SUMIFS(Calculo!$F$263:$ES$263,Calculo!$F$6:$ES$6,4)</f>
        <v>1609906.75676184</v>
      </c>
      <c r="H52" s="10" t="n">
        <f aca="false">SUMIFS(Calculo!$F$263:$ES$263,Calculo!$F$6:$ES$6,5)</f>
        <v>1693767.79358213</v>
      </c>
      <c r="I52" s="10" t="n">
        <f aca="false">SUMIFS(Calculo!$F$263:$ES$263,Calculo!$F$6:$ES$6,6)</f>
        <v>1794188.69257391</v>
      </c>
      <c r="J52" s="10" t="n">
        <f aca="false">SUMIFS(Calculo!$F$263:$ES$263,Calculo!$F$6:$ES$6,7)</f>
        <v>1843575.6608728</v>
      </c>
      <c r="K52" s="10" t="n">
        <f aca="false">SUMIFS(Calculo!$F$263:$ES$263,Calculo!$F$6:$ES$6,8)</f>
        <v>1893301.21355545</v>
      </c>
      <c r="L52" s="10" t="n">
        <f aca="false">SUMIFS(Calculo!$F$263:$ES$263,Calculo!$F$6:$ES$6,9)</f>
        <v>1943364.14678689</v>
      </c>
      <c r="M52" s="10" t="n">
        <f aca="false">SUMIFS(Calculo!$F$263:$ES$263,Calculo!$F$6:$ES$6,10)</f>
        <v>1993763.10838103</v>
      </c>
      <c r="N52" s="10" t="n">
        <f aca="false">SUMIFS(Calculo!$F$263:$ES$263,Calculo!$F$6:$ES$6,11)</f>
        <v>0</v>
      </c>
      <c r="O52" s="10" t="n">
        <f aca="false">SUMIFS(Calculo!$F$263:$ES$263,Calculo!$F$6:$ES$6,12)</f>
        <v>0</v>
      </c>
    </row>
    <row r="53" customFormat="false" ht="15" hidden="false" customHeight="false" outlineLevel="0" collapsed="false">
      <c r="A53" s="2" t="s">
        <v>1025</v>
      </c>
      <c r="B53" s="52" t="s">
        <v>1026</v>
      </c>
      <c r="C53" s="40" t="n">
        <f aca="false">SUM(D53:O53)</f>
        <v>11809741.4989387</v>
      </c>
      <c r="D53" s="10" t="n">
        <f aca="false">SUMIFS(Calculo!$F$272:$ES$272,Calculo!$F$6:$ES$6,1)</f>
        <v>-1878093.88165195</v>
      </c>
      <c r="E53" s="10" t="n">
        <f aca="false">SUMIFS(Calculo!$F$272:$ES$272,Calculo!$F$6:$ES$6,2)</f>
        <v>310811.391531933</v>
      </c>
      <c r="F53" s="10" t="n">
        <f aca="false">SUMIFS(Calculo!$F$272:$ES$272,Calculo!$F$6:$ES$6,3)</f>
        <v>737693.439749073</v>
      </c>
      <c r="G53" s="10" t="n">
        <f aca="false">SUMIFS(Calculo!$F$272:$ES$272,Calculo!$F$6:$ES$6,4)</f>
        <v>1239913.88862499</v>
      </c>
      <c r="H53" s="10" t="n">
        <f aca="false">SUMIFS(Calculo!$F$272:$ES$272,Calculo!$F$6:$ES$6,5)</f>
        <v>1776448.43081062</v>
      </c>
      <c r="I53" s="10" t="n">
        <f aca="false">SUMIFS(Calculo!$F$272:$ES$272,Calculo!$F$6:$ES$6,6)</f>
        <v>1825880.44510532</v>
      </c>
      <c r="J53" s="10" t="n">
        <f aca="false">SUMIFS(Calculo!$F$272:$ES$272,Calculo!$F$6:$ES$6,7)</f>
        <v>1874902.37664802</v>
      </c>
      <c r="K53" s="10" t="n">
        <f aca="false">SUMIFS(Calculo!$F$272:$ES$272,Calculo!$F$6:$ES$6,8)</f>
        <v>1924259.60486093</v>
      </c>
      <c r="L53" s="10" t="n">
        <f aca="false">SUMIFS(Calculo!$F$272:$ES$272,Calculo!$F$6:$ES$6,9)</f>
        <v>1973950.90383755</v>
      </c>
      <c r="M53" s="10" t="n">
        <f aca="false">SUMIFS(Calculo!$F$272:$ES$272,Calculo!$F$6:$ES$6,10)</f>
        <v>2023974.89942226</v>
      </c>
      <c r="N53" s="10" t="n">
        <f aca="false">SUMIFS(Calculo!$F$272:$ES$272,Calculo!$F$6:$ES$6,11)</f>
        <v>0</v>
      </c>
      <c r="O53" s="10" t="n">
        <f aca="false">SUMIFS(Calculo!$F$272:$ES$272,Calculo!$F$6:$ES$6,12)</f>
        <v>0</v>
      </c>
    </row>
    <row r="54" customFormat="false" ht="15" hidden="false" customHeight="false" outlineLevel="0" collapsed="false">
      <c r="A54" s="2" t="s">
        <v>1027</v>
      </c>
      <c r="B54" s="6" t="s">
        <v>532</v>
      </c>
      <c r="C54" s="40" t="n">
        <f aca="false">SUM(D54:O54)</f>
        <v>755044.09</v>
      </c>
      <c r="D54" s="34" t="n">
        <f aca="false">SUMIFS(Calculo!$F$273:$ES$273,Calculo!$F$6:$ES$6,1)</f>
        <v>655044.09</v>
      </c>
      <c r="E54" s="34" t="n">
        <f aca="false">SUMIFS(Calculo!$F$273:$ES$273,Calculo!$F$6:$ES$6,2)</f>
        <v>100000</v>
      </c>
      <c r="F54" s="34" t="n">
        <f aca="false">SUMIFS(Calculo!$F$273:$ES$273,Calculo!$F$6:$ES$6,3)</f>
        <v>0</v>
      </c>
      <c r="G54" s="34" t="n">
        <f aca="false">SUMIFS(Calculo!$F$273:$ES$273,Calculo!$F$6:$ES$6,4)</f>
        <v>0</v>
      </c>
      <c r="H54" s="34" t="n">
        <f aca="false">SUMIFS(Calculo!$F$273:$ES$273,Calculo!$F$6:$ES$6,5)</f>
        <v>0</v>
      </c>
      <c r="I54" s="34" t="n">
        <f aca="false">SUMIFS(Calculo!$F$273:$ES$273,Calculo!$F$6:$ES$6,6)</f>
        <v>0</v>
      </c>
      <c r="J54" s="34" t="n">
        <f aca="false">SUMIFS(Calculo!$F$273:$ES$273,Calculo!$F$6:$ES$6,7)</f>
        <v>0</v>
      </c>
      <c r="K54" s="34" t="n">
        <f aca="false">SUMIFS(Calculo!$F$273:$ES$273,Calculo!$F$6:$ES$6,8)</f>
        <v>0</v>
      </c>
      <c r="L54" s="34" t="n">
        <f aca="false">SUMIFS(Calculo!$F$273:$ES$273,Calculo!$F$6:$ES$6,9)</f>
        <v>0</v>
      </c>
      <c r="M54" s="34" t="n">
        <f aca="false">SUMIFS(Calculo!$F$273:$ES$273,Calculo!$F$6:$ES$6,10)</f>
        <v>0</v>
      </c>
      <c r="N54" s="34" t="n">
        <f aca="false">SUMIFS(Calculo!$F$273:$ES$273,Calculo!$F$6:$ES$6,11)</f>
        <v>0</v>
      </c>
      <c r="O54" s="34" t="n">
        <f aca="false">SUMIFS(Calculo!$F$273:$ES$273,Calculo!$F$6:$ES$6,12)</f>
        <v>0</v>
      </c>
    </row>
    <row r="55" customFormat="false" ht="15" hidden="false" customHeight="false" outlineLevel="0" collapsed="false">
      <c r="A55" s="2" t="s">
        <v>1028</v>
      </c>
      <c r="B55" s="52" t="s">
        <v>1029</v>
      </c>
      <c r="C55" s="40" t="n">
        <f aca="false">SUM(D55:O55)</f>
        <v>15564459.926261</v>
      </c>
      <c r="D55" s="10" t="n">
        <f aca="false">SUMIFS(Calculo!$F$276:$ES$276,Calculo!$F$6:$ES$6,1)</f>
        <v>-2533137.97165195</v>
      </c>
      <c r="E55" s="10" t="n">
        <f aca="false">SUMIFS(Calculo!$F$276:$ES$276,Calculo!$F$6:$ES$6,2)</f>
        <v>210811.391531933</v>
      </c>
      <c r="F55" s="10" t="n">
        <f aca="false">SUMIFS(Calculo!$F$276:$ES$276,Calculo!$F$6:$ES$6,3)</f>
        <v>737693.439749073</v>
      </c>
      <c r="G55" s="10" t="n">
        <f aca="false">SUMIFS(Calculo!$F$276:$ES$276,Calculo!$F$6:$ES$6,4)</f>
        <v>1239913.88862499</v>
      </c>
      <c r="H55" s="10" t="n">
        <f aca="false">SUMIFS(Calculo!$F$276:$ES$276,Calculo!$F$6:$ES$6,5)</f>
        <v>1776448.43081062</v>
      </c>
      <c r="I55" s="10" t="n">
        <f aca="false">SUMIFS(Calculo!$F$276:$ES$276,Calculo!$F$6:$ES$6,6)</f>
        <v>1825880.44510532</v>
      </c>
      <c r="J55" s="10" t="n">
        <f aca="false">SUMIFS(Calculo!$F$276:$ES$276,Calculo!$F$6:$ES$6,7)</f>
        <v>1874902.37664802</v>
      </c>
      <c r="K55" s="10" t="n">
        <f aca="false">SUMIFS(Calculo!$F$276:$ES$276,Calculo!$F$6:$ES$6,8)</f>
        <v>1924259.60486093</v>
      </c>
      <c r="L55" s="10" t="n">
        <f aca="false">SUMIFS(Calculo!$F$276:$ES$276,Calculo!$F$6:$ES$6,9)</f>
        <v>1973950.90383755</v>
      </c>
      <c r="M55" s="10" t="n">
        <f aca="false">SUMIFS(Calculo!$F$276:$ES$276,Calculo!$F$6:$ES$6,10)</f>
        <v>6533737.41674454</v>
      </c>
      <c r="N55" s="10" t="n">
        <f aca="false">SUMIFS(Calculo!$F$276:$ES$276,Calculo!$F$6:$ES$6,11)</f>
        <v>0</v>
      </c>
      <c r="O55" s="10" t="n">
        <f aca="false">SUMIFS(Calculo!$F$276:$ES$276,Calculo!$F$6:$ES$6,12)</f>
        <v>0</v>
      </c>
    </row>
    <row r="56" customFormat="false" ht="15" hidden="false" customHeight="false" outlineLevel="0" collapsed="false">
      <c r="A56" s="2" t="s">
        <v>1030</v>
      </c>
      <c r="B56" s="6" t="s">
        <v>759</v>
      </c>
      <c r="C56" s="40" t="n">
        <f aca="false">SUM(D56:O56)</f>
        <v>1139710</v>
      </c>
      <c r="D56" s="34" t="n">
        <f aca="false">SUMIFS(Calculo!$F$294:$ES$294,Calculo!$F$6:$ES$6,1)</f>
        <v>767782</v>
      </c>
      <c r="E56" s="34" t="n">
        <f aca="false">SUMIFS(Calculo!$F$294:$ES$294,Calculo!$F$6:$ES$6,2)</f>
        <v>371928</v>
      </c>
      <c r="F56" s="34" t="n">
        <f aca="false">SUMIFS(Calculo!$F$294:$ES$294,Calculo!$F$6:$ES$6,3)</f>
        <v>0</v>
      </c>
      <c r="G56" s="34" t="n">
        <f aca="false">SUMIFS(Calculo!$F$294:$ES$294,Calculo!$F$6:$ES$6,4)</f>
        <v>0</v>
      </c>
      <c r="H56" s="34" t="n">
        <f aca="false">SUMIFS(Calculo!$F$294:$ES$294,Calculo!$F$6:$ES$6,5)</f>
        <v>0</v>
      </c>
      <c r="I56" s="34" t="n">
        <f aca="false">SUMIFS(Calculo!$F$294:$ES$294,Calculo!$F$6:$ES$6,6)</f>
        <v>0</v>
      </c>
      <c r="J56" s="34" t="n">
        <f aca="false">SUMIFS(Calculo!$F$294:$ES$294,Calculo!$F$6:$ES$6,7)</f>
        <v>0</v>
      </c>
      <c r="K56" s="34" t="n">
        <f aca="false">SUMIFS(Calculo!$F$294:$ES$294,Calculo!$F$6:$ES$6,8)</f>
        <v>0</v>
      </c>
      <c r="L56" s="34" t="n">
        <f aca="false">SUMIFS(Calculo!$F$294:$ES$294,Calculo!$F$6:$ES$6,9)</f>
        <v>0</v>
      </c>
      <c r="M56" s="34" t="n">
        <f aca="false">SUMIFS(Calculo!$F$294:$ES$294,Calculo!$F$6:$ES$6,10)</f>
        <v>0</v>
      </c>
      <c r="N56" s="34" t="n">
        <f aca="false">SUMIFS(Calculo!$F$294:$ES$294,Calculo!$F$6:$ES$6,11)</f>
        <v>0</v>
      </c>
      <c r="O56" s="34" t="n">
        <f aca="false">SUMIFS(Calculo!$F$294:$ES$294,Calculo!$F$6:$ES$6,12)</f>
        <v>0</v>
      </c>
    </row>
    <row r="57" customFormat="false" ht="15" hidden="false" customHeight="false" outlineLevel="0" collapsed="false">
      <c r="A57" s="2" t="s">
        <v>1031</v>
      </c>
      <c r="B57" s="6" t="s">
        <v>755</v>
      </c>
      <c r="C57" s="40" t="n">
        <f aca="false">SUM(D57:O57)</f>
        <v>2791587</v>
      </c>
      <c r="D57" s="34" t="n">
        <f aca="false">SUMIFS(Calculo!$F$302:$ES$302,Calculo!$F$6:$ES$6,1)</f>
        <v>2791587</v>
      </c>
      <c r="E57" s="34" t="n">
        <f aca="false">SUMIFS(Calculo!$F$302:$ES$302,Calculo!$F$6:$ES$6,2)</f>
        <v>0</v>
      </c>
      <c r="F57" s="34" t="n">
        <f aca="false">SUMIFS(Calculo!$F$302:$ES$302,Calculo!$F$6:$ES$6,3)</f>
        <v>0</v>
      </c>
      <c r="G57" s="34" t="n">
        <f aca="false">SUMIFS(Calculo!$F$302:$ES$302,Calculo!$F$6:$ES$6,4)</f>
        <v>0</v>
      </c>
      <c r="H57" s="34" t="n">
        <f aca="false">SUMIFS(Calculo!$F$302:$ES$302,Calculo!$F$6:$ES$6,5)</f>
        <v>0</v>
      </c>
      <c r="I57" s="34" t="n">
        <f aca="false">SUMIFS(Calculo!$F$302:$ES$302,Calculo!$F$6:$ES$6,6)</f>
        <v>0</v>
      </c>
      <c r="J57" s="34" t="n">
        <f aca="false">SUMIFS(Calculo!$F$302:$ES$302,Calculo!$F$6:$ES$6,7)</f>
        <v>0</v>
      </c>
      <c r="K57" s="34" t="n">
        <f aca="false">SUMIFS(Calculo!$F$302:$ES$302,Calculo!$F$6:$ES$6,8)</f>
        <v>0</v>
      </c>
      <c r="L57" s="34" t="n">
        <f aca="false">SUMIFS(Calculo!$F$302:$ES$302,Calculo!$F$6:$ES$6,9)</f>
        <v>0</v>
      </c>
      <c r="M57" s="34" t="n">
        <f aca="false">SUMIFS(Calculo!$F$302:$ES$302,Calculo!$F$6:$ES$6,10)</f>
        <v>0</v>
      </c>
      <c r="N57" s="34" t="n">
        <f aca="false">SUMIFS(Calculo!$F$302:$ES$302,Calculo!$F$6:$ES$6,11)</f>
        <v>0</v>
      </c>
      <c r="O57" s="34" t="n">
        <f aca="false">SUMIFS(Calculo!$F$302:$ES$302,Calculo!$F$6:$ES$6,12)</f>
        <v>0</v>
      </c>
    </row>
    <row r="58" customFormat="false" ht="15" hidden="false" customHeight="false" outlineLevel="0" collapsed="false">
      <c r="A58" s="2" t="s">
        <v>1032</v>
      </c>
      <c r="B58" s="6" t="s">
        <v>1033</v>
      </c>
      <c r="C58" s="40" t="n">
        <f aca="false">SUM(D58:O58)</f>
        <v>2791587</v>
      </c>
      <c r="D58" s="34" t="n">
        <f aca="false">SUMIFS(Calculo!$F$303:$ES$303,Calculo!$F$6:$ES$6,1)</f>
        <v>257526.352358103</v>
      </c>
      <c r="E58" s="34" t="n">
        <f aca="false">SUMIFS(Calculo!$F$303:$ES$303,Calculo!$F$6:$ES$6,2)</f>
        <v>551018.611753115</v>
      </c>
      <c r="F58" s="34" t="n">
        <f aca="false">SUMIFS(Calculo!$F$303:$ES$303,Calculo!$F$6:$ES$6,3)</f>
        <v>602707.958280647</v>
      </c>
      <c r="G58" s="34" t="n">
        <f aca="false">SUMIFS(Calculo!$F$303:$ES$303,Calculo!$F$6:$ES$6,4)</f>
        <v>659246.122048566</v>
      </c>
      <c r="H58" s="34" t="n">
        <f aca="false">SUMIFS(Calculo!$F$303:$ES$303,Calculo!$F$6:$ES$6,5)</f>
        <v>721087.95555957</v>
      </c>
      <c r="I58" s="34" t="n">
        <f aca="false">SUMIFS(Calculo!$F$303:$ES$303,Calculo!$F$6:$ES$6,6)</f>
        <v>0</v>
      </c>
      <c r="J58" s="34" t="n">
        <f aca="false">SUMIFS(Calculo!$F$303:$ES$303,Calculo!$F$6:$ES$6,7)</f>
        <v>0</v>
      </c>
      <c r="K58" s="34" t="n">
        <f aca="false">SUMIFS(Calculo!$F$303:$ES$303,Calculo!$F$6:$ES$6,8)</f>
        <v>0</v>
      </c>
      <c r="L58" s="34" t="n">
        <f aca="false">SUMIFS(Calculo!$F$303:$ES$303,Calculo!$F$6:$ES$6,9)</f>
        <v>0</v>
      </c>
      <c r="M58" s="34" t="n">
        <f aca="false">SUMIFS(Calculo!$F$303:$ES$303,Calculo!$F$6:$ES$6,10)</f>
        <v>0</v>
      </c>
      <c r="N58" s="34" t="n">
        <f aca="false">SUMIFS(Calculo!$F$303:$ES$303,Calculo!$F$6:$ES$6,11)</f>
        <v>0</v>
      </c>
      <c r="O58" s="34" t="n">
        <f aca="false">SUMIFS(Calculo!$F$303:$ES$303,Calculo!$F$6:$ES$6,12)</f>
        <v>0</v>
      </c>
    </row>
    <row r="59" customFormat="false" ht="15" hidden="false" customHeight="false" outlineLevel="0" collapsed="false">
      <c r="A59" s="2" t="s">
        <v>1034</v>
      </c>
      <c r="B59" s="6" t="s">
        <v>1035</v>
      </c>
      <c r="C59" s="40" t="n">
        <f aca="false">SUM(D59:O59)</f>
        <v>2791587</v>
      </c>
      <c r="D59" s="34" t="n">
        <f aca="false">SUMIFS(Calculo!$F$293:$ES$293,Calculo!$F$6:$ES$6,1)</f>
        <v>257526.352358103</v>
      </c>
      <c r="E59" s="34" t="n">
        <f aca="false">SUMIFS(Calculo!$F$293:$ES$293,Calculo!$F$6:$ES$6,2)</f>
        <v>551018.611753115</v>
      </c>
      <c r="F59" s="34" t="n">
        <f aca="false">SUMIFS(Calculo!$F$293:$ES$293,Calculo!$F$6:$ES$6,3)</f>
        <v>602707.958280647</v>
      </c>
      <c r="G59" s="34" t="n">
        <f aca="false">SUMIFS(Calculo!$F$293:$ES$293,Calculo!$F$6:$ES$6,4)</f>
        <v>659246.122048566</v>
      </c>
      <c r="H59" s="34" t="n">
        <f aca="false">SUMIFS(Calculo!$F$293:$ES$293,Calculo!$F$6:$ES$6,5)</f>
        <v>721087.95555957</v>
      </c>
      <c r="I59" s="34" t="n">
        <f aca="false">SUMIFS(Calculo!$F$293:$ES$293,Calculo!$F$6:$ES$6,6)</f>
        <v>0</v>
      </c>
      <c r="J59" s="34" t="n">
        <f aca="false">SUMIFS(Calculo!$F$293:$ES$293,Calculo!$F$6:$ES$6,7)</f>
        <v>0</v>
      </c>
      <c r="K59" s="34" t="n">
        <f aca="false">SUMIFS(Calculo!$F$293:$ES$293,Calculo!$F$6:$ES$6,8)</f>
        <v>0</v>
      </c>
      <c r="L59" s="34" t="n">
        <f aca="false">SUMIFS(Calculo!$F$293:$ES$293,Calculo!$F$6:$ES$6,9)</f>
        <v>0</v>
      </c>
      <c r="M59" s="34" t="n">
        <f aca="false">SUMIFS(Calculo!$F$293:$ES$293,Calculo!$F$6:$ES$6,10)</f>
        <v>0</v>
      </c>
      <c r="N59" s="34" t="n">
        <f aca="false">SUMIFS(Calculo!$F$293:$ES$293,Calculo!$F$6:$ES$6,11)</f>
        <v>0</v>
      </c>
      <c r="O59" s="34" t="n">
        <f aca="false">SUMIFS(Calculo!$F$293:$ES$293,Calculo!$F$6:$ES$6,12)</f>
        <v>0</v>
      </c>
    </row>
    <row r="60" customFormat="false" ht="15" hidden="false" customHeight="false" outlineLevel="0" collapsed="false">
      <c r="A60" s="2" t="s">
        <v>1036</v>
      </c>
      <c r="B60" s="6" t="s">
        <v>542</v>
      </c>
      <c r="C60" s="40" t="n">
        <f aca="false">SUM(D60:O60)</f>
        <v>9743309.63653819</v>
      </c>
      <c r="D60" s="34" t="n">
        <f aca="false">SUMIFS(Calculo!$F$309:$ES$309,Calculo!$F$6:$ES$6,1)</f>
        <v>0</v>
      </c>
      <c r="E60" s="34" t="n">
        <f aca="false">SUMIFS(Calculo!$F$309:$ES$309,Calculo!$F$6:$ES$6,2)</f>
        <v>0</v>
      </c>
      <c r="F60" s="34" t="n">
        <f aca="false">SUMIFS(Calculo!$F$309:$ES$309,Calculo!$F$6:$ES$6,3)</f>
        <v>0</v>
      </c>
      <c r="G60" s="34" t="n">
        <f aca="false">SUMIFS(Calculo!$F$309:$ES$309,Calculo!$F$6:$ES$6,4)</f>
        <v>0</v>
      </c>
      <c r="H60" s="34" t="n">
        <f aca="false">SUMIFS(Calculo!$F$309:$ES$309,Calculo!$F$6:$ES$6,5)</f>
        <v>804953.378380922</v>
      </c>
      <c r="I60" s="34" t="n">
        <f aca="false">SUMIFS(Calculo!$F$309:$ES$309,Calculo!$F$6:$ES$6,6)</f>
        <v>1463926.54436822</v>
      </c>
      <c r="J60" s="34" t="n">
        <f aca="false">SUMIFS(Calculo!$F$309:$ES$309,Calculo!$F$6:$ES$6,7)</f>
        <v>1794188.69257391</v>
      </c>
      <c r="K60" s="34" t="n">
        <f aca="false">SUMIFS(Calculo!$F$309:$ES$309,Calculo!$F$6:$ES$6,8)</f>
        <v>1843575.6608728</v>
      </c>
      <c r="L60" s="34" t="n">
        <f aca="false">SUMIFS(Calculo!$F$309:$ES$309,Calculo!$F$6:$ES$6,9)</f>
        <v>1893301.21355545</v>
      </c>
      <c r="M60" s="34" t="n">
        <f aca="false">SUMIFS(Calculo!$F$309:$ES$309,Calculo!$F$6:$ES$6,10)</f>
        <v>1943364.14678689</v>
      </c>
      <c r="N60" s="34" t="n">
        <f aca="false">SUMIFS(Calculo!$F$309:$ES$309,Calculo!$F$6:$ES$6,11)</f>
        <v>0</v>
      </c>
      <c r="O60" s="34" t="n">
        <f aca="false">SUMIFS(Calculo!$F$309:$ES$309,Calculo!$F$6:$ES$6,12)</f>
        <v>0</v>
      </c>
    </row>
    <row r="61" customFormat="false" ht="15" hidden="false" customHeight="false" outlineLevel="0" collapsed="false">
      <c r="A61" s="2" t="s">
        <v>1037</v>
      </c>
      <c r="B61" s="52" t="s">
        <v>1038</v>
      </c>
      <c r="C61" s="40" t="n">
        <f aca="false">INDEX(Calculo!$F$310:$ES$310,1,MIN(144,Fin))</f>
        <v>1637883.64417609</v>
      </c>
      <c r="D61" s="10" t="n">
        <f aca="false">INDEX(Calculo!$F$310:$ES$310,1,MIN(144,12))</f>
        <v>497602.743558918</v>
      </c>
      <c r="E61" s="10" t="n">
        <f aca="false">INDEX(Calculo!$F$310:$ES$310,1,MIN(144,24))</f>
        <v>303049.269216285</v>
      </c>
      <c r="F61" s="10" t="n">
        <f aca="false">INDEX(Calculo!$F$310:$ES$310,1,MIN(144,36))</f>
        <v>268618.777743544</v>
      </c>
      <c r="G61" s="10" t="n">
        <f aca="false">INDEX(Calculo!$F$310:$ES$310,1,MIN(144,48))</f>
        <v>742062.551523509</v>
      </c>
      <c r="H61" s="10" t="n">
        <f aca="false">INDEX(Calculo!$F$310:$ES$310,1,MIN(144,60))</f>
        <v>953271.672459288</v>
      </c>
      <c r="I61" s="10" t="n">
        <f aca="false">INDEX(Calculo!$F$310:$ES$310,1,MIN(144,72))</f>
        <v>1315225.57319639</v>
      </c>
      <c r="J61" s="10" t="n">
        <f aca="false">INDEX(Calculo!$F$310:$ES$310,1,MIN(144,84))</f>
        <v>1395939.25727049</v>
      </c>
      <c r="K61" s="10" t="n">
        <f aca="false">INDEX(Calculo!$F$310:$ES$310,1,MIN(144,96))</f>
        <v>1476623.20125862</v>
      </c>
      <c r="L61" s="10" t="n">
        <f aca="false">INDEX(Calculo!$F$310:$ES$310,1,MIN(144,108))</f>
        <v>1557272.89154073</v>
      </c>
      <c r="M61" s="10" t="n">
        <f aca="false">INDEX(Calculo!$F$310:$ES$310,1,MIN(144,120))</f>
        <v>1637883.64417609</v>
      </c>
      <c r="N61" s="10" t="n">
        <f aca="false">INDEX(Calculo!$F$310:$ES$310,1,MIN(144,132))</f>
        <v>1637883.64417609</v>
      </c>
      <c r="O61" s="10" t="n">
        <f aca="false">INDEX(Calculo!$F$310:$ES$310,1,MIN(144,144))</f>
        <v>1637883.64417609</v>
      </c>
    </row>
    <row r="62" customFormat="false" ht="15" hidden="false" customHeight="false" outlineLevel="0" collapsed="false">
      <c r="A62" s="2" t="s">
        <v>1039</v>
      </c>
      <c r="B62" s="6" t="s">
        <v>1040</v>
      </c>
      <c r="C62" s="40" t="n">
        <f aca="false">INDEX(Calculo!$F$304:$ES$304,1,MIN(144,Fin))</f>
        <v>0</v>
      </c>
      <c r="D62" s="34" t="n">
        <f aca="false">INDEX(Calculo!$F$304:$ES$304,1,MIN(144,12))</f>
        <v>2534060.6476419</v>
      </c>
      <c r="E62" s="34" t="n">
        <f aca="false">INDEX(Calculo!$F$304:$ES$304,1,MIN(144,24))</f>
        <v>1983042.03588878</v>
      </c>
      <c r="F62" s="34" t="n">
        <f aca="false">INDEX(Calculo!$F$304:$ES$304,1,MIN(144,36))</f>
        <v>1380334.07760814</v>
      </c>
      <c r="G62" s="34" t="n">
        <f aca="false">INDEX(Calculo!$F$304:$ES$304,1,MIN(144,48))</f>
        <v>721087.95555957</v>
      </c>
      <c r="H62" s="34" t="n">
        <f aca="false">INDEX(Calculo!$F$304:$ES$304,1,MIN(144,60))</f>
        <v>0</v>
      </c>
      <c r="I62" s="34" t="n">
        <f aca="false">INDEX(Calculo!$F$304:$ES$304,1,MIN(144,72))</f>
        <v>0</v>
      </c>
      <c r="J62" s="34" t="n">
        <f aca="false">INDEX(Calculo!$F$304:$ES$304,1,MIN(144,84))</f>
        <v>0</v>
      </c>
      <c r="K62" s="34" t="n">
        <f aca="false">INDEX(Calculo!$F$304:$ES$304,1,MIN(144,96))</f>
        <v>0</v>
      </c>
      <c r="L62" s="34" t="n">
        <f aca="false">INDEX(Calculo!$F$304:$ES$304,1,MIN(144,108))</f>
        <v>0</v>
      </c>
      <c r="M62" s="34" t="n">
        <f aca="false">INDEX(Calculo!$F$304:$ES$304,1,MIN(144,120))</f>
        <v>0</v>
      </c>
      <c r="N62" s="34" t="n">
        <f aca="false">INDEX(Calculo!$F$304:$ES$304,1,MIN(144,132))</f>
        <v>0</v>
      </c>
      <c r="O62" s="34" t="n">
        <f aca="false">INDEX(Calculo!$F$304:$ES$304,1,MIN(144,144))</f>
        <v>0</v>
      </c>
    </row>
    <row r="63" customFormat="false" ht="15" hidden="false" customHeight="false" outlineLevel="0" collapsed="false">
      <c r="A63" s="2" t="s">
        <v>1041</v>
      </c>
      <c r="B63" s="6" t="s">
        <v>1042</v>
      </c>
      <c r="C63" s="40" t="n">
        <f aca="false">INDEX(Calculo!$F$301:$ES$301,1,MIN(144,Fin))</f>
        <v>0</v>
      </c>
      <c r="D63" s="34" t="n">
        <f aca="false">INDEX(Calculo!$F$301:$ES$301,1,MIN(144,12))</f>
        <v>0</v>
      </c>
      <c r="E63" s="34" t="n">
        <f aca="false">INDEX(Calculo!$F$301:$ES$301,1,MIN(144,24))</f>
        <v>0</v>
      </c>
      <c r="F63" s="34" t="n">
        <f aca="false">INDEX(Calculo!$F$301:$ES$301,1,MIN(144,36))</f>
        <v>0</v>
      </c>
      <c r="G63" s="34" t="n">
        <f aca="false">INDEX(Calculo!$F$301:$ES$301,1,MIN(144,48))</f>
        <v>0</v>
      </c>
      <c r="H63" s="34" t="n">
        <f aca="false">INDEX(Calculo!$F$301:$ES$301,1,MIN(144,60))</f>
        <v>0</v>
      </c>
      <c r="I63" s="34" t="n">
        <f aca="false">INDEX(Calculo!$F$301:$ES$301,1,MIN(144,72))</f>
        <v>0</v>
      </c>
      <c r="J63" s="34" t="n">
        <f aca="false">INDEX(Calculo!$F$301:$ES$301,1,MIN(144,84))</f>
        <v>0</v>
      </c>
      <c r="K63" s="34" t="n">
        <f aca="false">INDEX(Calculo!$F$301:$ES$301,1,MIN(144,96))</f>
        <v>0</v>
      </c>
      <c r="L63" s="34" t="n">
        <f aca="false">INDEX(Calculo!$F$301:$ES$301,1,MIN(144,108))</f>
        <v>0</v>
      </c>
      <c r="M63" s="34" t="n">
        <f aca="false">INDEX(Calculo!$F$301:$ES$301,1,MIN(144,120))</f>
        <v>0</v>
      </c>
      <c r="N63" s="34" t="n">
        <f aca="false">INDEX(Calculo!$F$301:$ES$301,1,MIN(144,132))</f>
        <v>0</v>
      </c>
      <c r="O63" s="34" t="n">
        <f aca="false">INDEX(Calculo!$F$301:$ES$301,1,MIN(144,144))</f>
        <v>0</v>
      </c>
    </row>
    <row r="64" customFormat="false" ht="15" hidden="false" customHeight="false" outlineLevel="0" collapsed="false">
      <c r="A64" s="2" t="s">
        <v>1043</v>
      </c>
      <c r="B64" s="6" t="s">
        <v>1044</v>
      </c>
      <c r="C64" s="40" t="n">
        <f aca="false">INDEX(Calculo!$F$269:$ES$269,1,MIN(144,Fin))</f>
        <v>4499762.51732228</v>
      </c>
      <c r="D64" s="34" t="n">
        <f aca="false">INDEX(Calculo!$F$269:$ES$269,1,MIN(144,12))</f>
        <v>2388063.88735903</v>
      </c>
      <c r="E64" s="34" t="n">
        <f aca="false">INDEX(Calculo!$F$269:$ES$269,1,MIN(144,24))</f>
        <v>3043209.33175467</v>
      </c>
      <c r="F64" s="34" t="n">
        <f aca="false">INDEX(Calculo!$F$269:$ES$269,1,MIN(144,36))</f>
        <v>3710536.2623871</v>
      </c>
      <c r="G64" s="34" t="n">
        <f aca="false">INDEX(Calculo!$F$269:$ES$269,1,MIN(144,48))</f>
        <v>4269345.33232041</v>
      </c>
      <c r="H64" s="34" t="n">
        <f aca="false">INDEX(Calculo!$F$269:$ES$269,1,MIN(144,60))</f>
        <v>4307454.88002627</v>
      </c>
      <c r="I64" s="34" t="n">
        <f aca="false">INDEX(Calculo!$F$269:$ES$269,1,MIN(144,72))</f>
        <v>4345179.73649487</v>
      </c>
      <c r="J64" s="34" t="n">
        <f aca="false">INDEX(Calculo!$F$269:$ES$269,1,MIN(144,84))</f>
        <v>4383269.62971965</v>
      </c>
      <c r="K64" s="34" t="n">
        <f aca="false">INDEX(Calculo!$F$269:$ES$269,1,MIN(144,96))</f>
        <v>4421727.84741417</v>
      </c>
      <c r="L64" s="34" t="n">
        <f aca="false">INDEX(Calculo!$F$269:$ES$269,1,MIN(144,108))</f>
        <v>4460557.6993635</v>
      </c>
      <c r="M64" s="34" t="n">
        <f aca="false">INDEX(Calculo!$F$269:$ES$269,1,MIN(144,120))</f>
        <v>4499762.51732228</v>
      </c>
      <c r="N64" s="34" t="n">
        <f aca="false">INDEX(Calculo!$F$269:$ES$269,1,MIN(144,132))</f>
        <v>4499762.51732228</v>
      </c>
      <c r="O64" s="34" t="n">
        <f aca="false">INDEX(Calculo!$F$269:$ES$269,1,MIN(144,144))</f>
        <v>4499762.51732228</v>
      </c>
    </row>
    <row r="65" customFormat="false" ht="15" hidden="false" customHeight="false" outlineLevel="0" collapsed="false">
      <c r="A65" s="2" t="s">
        <v>1045</v>
      </c>
      <c r="B65" s="6" t="s">
        <v>1046</v>
      </c>
      <c r="C65" s="40" t="n">
        <f aca="false">MAX(D65:O65)</f>
        <v>373700.713193166</v>
      </c>
      <c r="D65" s="34" t="n">
        <f aca="false">_xlfn.MAXIFS(Calculo!$F$312:$ES$312,Calculo!$F$6:$ES$6,1)</f>
        <v>0</v>
      </c>
      <c r="E65" s="34" t="n">
        <f aca="false">_xlfn.MAXIFS(Calculo!$F$312:$ES$312,Calculo!$F$6:$ES$6,2)</f>
        <v>0</v>
      </c>
      <c r="F65" s="34" t="n">
        <f aca="false">_xlfn.MAXIFS(Calculo!$F$312:$ES$312,Calculo!$F$6:$ES$6,3)</f>
        <v>373700.713193166</v>
      </c>
      <c r="G65" s="34" t="n">
        <f aca="false">_xlfn.MAXIFS(Calculo!$F$312:$ES$312,Calculo!$F$6:$ES$6,4)</f>
        <v>275779.326421708</v>
      </c>
      <c r="H65" s="34" t="n">
        <f aca="false">_xlfn.MAXIFS(Calculo!$F$312:$ES$312,Calculo!$F$6:$ES$6,5)</f>
        <v>0</v>
      </c>
      <c r="I65" s="34" t="n">
        <f aca="false">_xlfn.MAXIFS(Calculo!$F$312:$ES$312,Calculo!$F$6:$ES$6,6)</f>
        <v>0</v>
      </c>
      <c r="J65" s="34" t="n">
        <f aca="false">_xlfn.MAXIFS(Calculo!$F$312:$ES$312,Calculo!$F$6:$ES$6,7)</f>
        <v>0</v>
      </c>
      <c r="K65" s="34" t="n">
        <f aca="false">_xlfn.MAXIFS(Calculo!$F$312:$ES$312,Calculo!$F$6:$ES$6,8)</f>
        <v>0</v>
      </c>
      <c r="L65" s="34" t="n">
        <f aca="false">_xlfn.MAXIFS(Calculo!$F$312:$ES$312,Calculo!$F$6:$ES$6,9)</f>
        <v>0</v>
      </c>
      <c r="M65" s="34" t="n">
        <f aca="false">_xlfn.MAXIFS(Calculo!$F$312:$ES$312,Calculo!$F$6:$ES$6,10)</f>
        <v>0</v>
      </c>
      <c r="N65" s="34" t="n">
        <f aca="false">_xlfn.MAXIFS(Calculo!$F$312:$ES$312,Calculo!$F$6:$ES$6,11)</f>
        <v>0</v>
      </c>
      <c r="O65" s="34" t="n">
        <f aca="false">_xlfn.MAXIFS(Calculo!$F$312:$ES$312,Calculo!$F$6:$ES$6,12)</f>
        <v>0</v>
      </c>
    </row>
    <row r="66" customFormat="false" ht="15" hidden="false" customHeight="false" outlineLevel="0" collapsed="false">
      <c r="A66" s="2" t="s">
        <v>1047</v>
      </c>
      <c r="B66" s="6" t="s">
        <v>1048</v>
      </c>
      <c r="D66" s="35" t="n">
        <f aca="false">IF(D38=0,"",D48/D38)</f>
        <v>0.105148454784964</v>
      </c>
      <c r="E66" s="35" t="n">
        <f aca="false">IF(E38=0,"",E48/E38)</f>
        <v>0.156273350793952</v>
      </c>
      <c r="F66" s="35" t="n">
        <f aca="false">IF(F38=0,"",F48/F38)</f>
        <v>0.186378338081357</v>
      </c>
      <c r="G66" s="35" t="n">
        <f aca="false">IF(G38=0,"",G48/G38)</f>
        <v>0.20709641547188</v>
      </c>
      <c r="H66" s="35" t="n">
        <f aca="false">IF(H38=0,"",H48/H38)</f>
        <v>0.206851073698554</v>
      </c>
      <c r="I66" s="35" t="n">
        <f aca="false">IF(I38=0,"",I48/I38)</f>
        <v>0.210338849310748</v>
      </c>
      <c r="J66" s="35" t="n">
        <f aca="false">IF(J38=0,"",J48/J38)</f>
        <v>0.213775237593333</v>
      </c>
      <c r="K66" s="35" t="n">
        <f aca="false">IF(K38=0,"",K48/K38)</f>
        <v>0.217160421043054</v>
      </c>
      <c r="L66" s="35" t="n">
        <f aca="false">IF(L38=0,"",L48/L38)</f>
        <v>0.22049457396257</v>
      </c>
      <c r="M66" s="35" t="n">
        <f aca="false">IF(M38=0,"",M48/M38)</f>
        <v>0.22377786241584</v>
      </c>
      <c r="N66" s="35" t="str">
        <f aca="false">IF(N38=0,"",N48/N38)</f>
        <v/>
      </c>
      <c r="O66" s="35" t="str">
        <f aca="false">IF(O38=0,"",O48/O38)</f>
        <v/>
      </c>
    </row>
    <row r="67" customFormat="false" ht="15" hidden="false" customHeight="false" outlineLevel="0" collapsed="false">
      <c r="A67" s="2" t="s">
        <v>1049</v>
      </c>
      <c r="B67" s="6" t="s">
        <v>1050</v>
      </c>
      <c r="D67" s="34" t="n">
        <f aca="false">D50+D59</f>
        <v>528628.284789129</v>
      </c>
      <c r="E67" s="34" t="n">
        <f aca="false">E50+E59</f>
        <v>777292.865874567</v>
      </c>
      <c r="F67" s="34" t="n">
        <f aca="false">F50+F59</f>
        <v>772123.931221814</v>
      </c>
      <c r="G67" s="34" t="n">
        <f aca="false">G50+G59</f>
        <v>766470.114845022</v>
      </c>
      <c r="H67" s="34" t="n">
        <f aca="false">H50+H59</f>
        <v>760285.931493923</v>
      </c>
      <c r="I67" s="34" t="n">
        <f aca="false">I50+I59</f>
        <v>0</v>
      </c>
      <c r="J67" s="34" t="n">
        <f aca="false">J50+J59</f>
        <v>0</v>
      </c>
      <c r="K67" s="34" t="n">
        <f aca="false">K50+K59</f>
        <v>0</v>
      </c>
      <c r="L67" s="34" t="n">
        <f aca="false">L50+L59</f>
        <v>0</v>
      </c>
      <c r="M67" s="34" t="n">
        <f aca="false">M50+M59</f>
        <v>0</v>
      </c>
      <c r="N67" s="34" t="n">
        <f aca="false">N50+N59</f>
        <v>0</v>
      </c>
      <c r="O67" s="34" t="n">
        <f aca="false">O50+O59</f>
        <v>0</v>
      </c>
    </row>
    <row r="68" customFormat="false" ht="15" hidden="false" customHeight="false" outlineLevel="0" collapsed="false">
      <c r="A68" s="2" t="s">
        <v>1051</v>
      </c>
      <c r="B68" s="6" t="s">
        <v>1052</v>
      </c>
      <c r="D68" s="68" t="n">
        <f aca="false">IF(D67&gt;1,D53/D67,"")</f>
        <v>-3.5527684304693</v>
      </c>
      <c r="E68" s="68" t="n">
        <f aca="false">IF(E67&gt;1,E53/E67,"")</f>
        <v>0.399863944695061</v>
      </c>
      <c r="F68" s="68" t="n">
        <f aca="false">IF(F67&gt;1,F53/F67,"")</f>
        <v>0.955408076242039</v>
      </c>
      <c r="G68" s="68" t="n">
        <f aca="false">IF(G67&gt;1,G53/G67,"")</f>
        <v>1.6176937164415</v>
      </c>
      <c r="H68" s="68" t="n">
        <f aca="false">IF(H67&gt;1,H53/H67,"")</f>
        <v>2.33655307460444</v>
      </c>
      <c r="I68" s="68" t="str">
        <f aca="false">IF(I67&gt;1,I53/I67,"")</f>
        <v/>
      </c>
      <c r="J68" s="68" t="str">
        <f aca="false">IF(J67&gt;1,J53/J67,"")</f>
        <v/>
      </c>
      <c r="K68" s="68" t="str">
        <f aca="false">IF(K67&gt;1,K53/K67,"")</f>
        <v/>
      </c>
      <c r="L68" s="68" t="str">
        <f aca="false">IF(L67&gt;1,L53/L67,"")</f>
        <v/>
      </c>
      <c r="M68" s="68" t="str">
        <f aca="false">IF(M67&gt;1,M53/M67,"")</f>
        <v/>
      </c>
      <c r="N68" s="68" t="str">
        <f aca="false">IF(N67&gt;1,N53/N67,"")</f>
        <v/>
      </c>
      <c r="O68" s="68" t="str">
        <f aca="false">IF(O67&gt;1,O53/O67,"")</f>
        <v/>
      </c>
    </row>
    <row r="69" customFormat="false" ht="15" hidden="false" customHeight="false" outlineLevel="0" collapsed="false">
      <c r="A69" s="2" t="s">
        <v>1053</v>
      </c>
      <c r="B69" s="6" t="s">
        <v>1054</v>
      </c>
      <c r="D69" s="19" t="n">
        <f aca="false">1</f>
        <v>1</v>
      </c>
      <c r="E69" s="19" t="n">
        <f aca="false">2</f>
        <v>2</v>
      </c>
      <c r="F69" s="19" t="n">
        <f aca="false">3</f>
        <v>3</v>
      </c>
      <c r="G69" s="19" t="n">
        <f aca="false">4</f>
        <v>4</v>
      </c>
      <c r="H69" s="19" t="n">
        <f aca="false">5</f>
        <v>5</v>
      </c>
      <c r="I69" s="19" t="n">
        <f aca="false">6</f>
        <v>6</v>
      </c>
      <c r="J69" s="19" t="n">
        <f aca="false">7</f>
        <v>7</v>
      </c>
      <c r="K69" s="19" t="n">
        <f aca="false">8</f>
        <v>8</v>
      </c>
      <c r="L69" s="19" t="n">
        <f aca="false">9</f>
        <v>9</v>
      </c>
      <c r="M69" s="19" t="n">
        <f aca="false">10</f>
        <v>10</v>
      </c>
      <c r="N69" s="19" t="n">
        <f aca="false">11</f>
        <v>11</v>
      </c>
      <c r="O69" s="19" t="n">
        <f aca="false">12</f>
        <v>12</v>
      </c>
    </row>
    <row r="70" customFormat="false" ht="15" hidden="false" customHeight="false" outlineLevel="0" collapsed="false">
      <c r="B70" s="11" t="s">
        <v>463</v>
      </c>
    </row>
    <row r="71" customFormat="false" ht="15" hidden="false" customHeight="false" outlineLevel="0" collapsed="false">
      <c r="A71" s="2" t="s">
        <v>1055</v>
      </c>
      <c r="B71" s="6" t="str">
        <f aca="false">IF(INDEX(Prod_Nombre,1)="","Producto 1",INDEX(Prod_Nombre,1))</f>
        <v>Gabinetes metálicos 153 kg</v>
      </c>
      <c r="C71" s="40" t="n">
        <f aca="false">SUM(D71:O71)</f>
        <v>192000</v>
      </c>
      <c r="D71" s="34" t="n">
        <f aca="false">SUMIFS(Calculo!$F$177:$ES$177,Calculo!$F$6:$ES$6,1)</f>
        <v>12000</v>
      </c>
      <c r="E71" s="34" t="n">
        <f aca="false">SUMIFS(Calculo!$F$177:$ES$177,Calculo!$F$6:$ES$6,2)</f>
        <v>15000</v>
      </c>
      <c r="F71" s="34" t="n">
        <f aca="false">SUMIFS(Calculo!$F$177:$ES$177,Calculo!$F$6:$ES$6,3)</f>
        <v>18000</v>
      </c>
      <c r="G71" s="34" t="n">
        <f aca="false">SUMIFS(Calculo!$F$177:$ES$177,Calculo!$F$6:$ES$6,4)</f>
        <v>21000</v>
      </c>
      <c r="H71" s="34" t="n">
        <f aca="false">SUMIFS(Calculo!$F$177:$ES$177,Calculo!$F$6:$ES$6,5)</f>
        <v>21000</v>
      </c>
      <c r="I71" s="34" t="n">
        <f aca="false">SUMIFS(Calculo!$F$177:$ES$177,Calculo!$F$6:$ES$6,6)</f>
        <v>21000</v>
      </c>
      <c r="J71" s="34" t="n">
        <f aca="false">SUMIFS(Calculo!$F$177:$ES$177,Calculo!$F$6:$ES$6,7)</f>
        <v>21000</v>
      </c>
      <c r="K71" s="34" t="n">
        <f aca="false">SUMIFS(Calculo!$F$177:$ES$177,Calculo!$F$6:$ES$6,8)</f>
        <v>21000</v>
      </c>
      <c r="L71" s="34" t="n">
        <f aca="false">SUMIFS(Calculo!$F$177:$ES$177,Calculo!$F$6:$ES$6,9)</f>
        <v>21000</v>
      </c>
      <c r="M71" s="34" t="n">
        <f aca="false">SUMIFS(Calculo!$F$177:$ES$177,Calculo!$F$6:$ES$6,10)</f>
        <v>21000</v>
      </c>
      <c r="N71" s="34" t="n">
        <f aca="false">SUMIFS(Calculo!$F$177:$ES$177,Calculo!$F$6:$ES$6,11)</f>
        <v>0</v>
      </c>
      <c r="O71" s="34" t="n">
        <f aca="false">SUMIFS(Calculo!$F$177:$ES$177,Calculo!$F$6:$ES$6,12)</f>
        <v>0</v>
      </c>
    </row>
    <row r="72" customFormat="false" ht="15" hidden="false" customHeight="false" outlineLevel="0" collapsed="false">
      <c r="A72" s="2" t="s">
        <v>1056</v>
      </c>
      <c r="B72" s="6" t="str">
        <f aca="false">IF(INDEX(Prod_Nombre,2)="","Producto 2",INDEX(Prod_Nombre,2))</f>
        <v>Cajas metálicas 13 kg</v>
      </c>
      <c r="C72" s="40" t="n">
        <f aca="false">SUM(D72:O72)</f>
        <v>1110000</v>
      </c>
      <c r="D72" s="34" t="n">
        <f aca="false">SUMIFS(Calculo!$F$178:$ES$178,Calculo!$F$6:$ES$6,1)</f>
        <v>70000</v>
      </c>
      <c r="E72" s="34" t="n">
        <f aca="false">SUMIFS(Calculo!$F$178:$ES$178,Calculo!$F$6:$ES$6,2)</f>
        <v>90000</v>
      </c>
      <c r="F72" s="34" t="n">
        <f aca="false">SUMIFS(Calculo!$F$178:$ES$178,Calculo!$F$6:$ES$6,3)</f>
        <v>110000</v>
      </c>
      <c r="G72" s="34" t="n">
        <f aca="false">SUMIFS(Calculo!$F$178:$ES$178,Calculo!$F$6:$ES$6,4)</f>
        <v>120000</v>
      </c>
      <c r="H72" s="34" t="n">
        <f aca="false">SUMIFS(Calculo!$F$178:$ES$178,Calculo!$F$6:$ES$6,5)</f>
        <v>120000</v>
      </c>
      <c r="I72" s="34" t="n">
        <f aca="false">SUMIFS(Calculo!$F$178:$ES$178,Calculo!$F$6:$ES$6,6)</f>
        <v>120000</v>
      </c>
      <c r="J72" s="34" t="n">
        <f aca="false">SUMIFS(Calculo!$F$178:$ES$178,Calculo!$F$6:$ES$6,7)</f>
        <v>120000</v>
      </c>
      <c r="K72" s="34" t="n">
        <f aca="false">SUMIFS(Calculo!$F$178:$ES$178,Calculo!$F$6:$ES$6,8)</f>
        <v>120000</v>
      </c>
      <c r="L72" s="34" t="n">
        <f aca="false">SUMIFS(Calculo!$F$178:$ES$178,Calculo!$F$6:$ES$6,9)</f>
        <v>120000</v>
      </c>
      <c r="M72" s="34" t="n">
        <f aca="false">SUMIFS(Calculo!$F$178:$ES$178,Calculo!$F$6:$ES$6,10)</f>
        <v>120000</v>
      </c>
      <c r="N72" s="34" t="n">
        <f aca="false">SUMIFS(Calculo!$F$178:$ES$178,Calculo!$F$6:$ES$6,11)</f>
        <v>0</v>
      </c>
      <c r="O72" s="34" t="n">
        <f aca="false">SUMIFS(Calculo!$F$178:$ES$178,Calculo!$F$6:$ES$6,12)</f>
        <v>0</v>
      </c>
    </row>
    <row r="73" customFormat="false" ht="15" hidden="false" customHeight="false" outlineLevel="0" collapsed="false">
      <c r="A73" s="2" t="s">
        <v>1057</v>
      </c>
      <c r="B73" s="6" t="str">
        <f aca="false">IF(INDEX(Prod_Nombre,3)="","Producto 3",INDEX(Prod_Nombre,3))</f>
        <v>Producto 3</v>
      </c>
      <c r="C73" s="40" t="n">
        <f aca="false">SUM(D73:O73)</f>
        <v>0</v>
      </c>
      <c r="D73" s="34" t="n">
        <f aca="false">SUMIFS(Calculo!$F$179:$ES$179,Calculo!$F$6:$ES$6,1)</f>
        <v>0</v>
      </c>
      <c r="E73" s="34" t="n">
        <f aca="false">SUMIFS(Calculo!$F$179:$ES$179,Calculo!$F$6:$ES$6,2)</f>
        <v>0</v>
      </c>
      <c r="F73" s="34" t="n">
        <f aca="false">SUMIFS(Calculo!$F$179:$ES$179,Calculo!$F$6:$ES$6,3)</f>
        <v>0</v>
      </c>
      <c r="G73" s="34" t="n">
        <f aca="false">SUMIFS(Calculo!$F$179:$ES$179,Calculo!$F$6:$ES$6,4)</f>
        <v>0</v>
      </c>
      <c r="H73" s="34" t="n">
        <f aca="false">SUMIFS(Calculo!$F$179:$ES$179,Calculo!$F$6:$ES$6,5)</f>
        <v>0</v>
      </c>
      <c r="I73" s="34" t="n">
        <f aca="false">SUMIFS(Calculo!$F$179:$ES$179,Calculo!$F$6:$ES$6,6)</f>
        <v>0</v>
      </c>
      <c r="J73" s="34" t="n">
        <f aca="false">SUMIFS(Calculo!$F$179:$ES$179,Calculo!$F$6:$ES$6,7)</f>
        <v>0</v>
      </c>
      <c r="K73" s="34" t="n">
        <f aca="false">SUMIFS(Calculo!$F$179:$ES$179,Calculo!$F$6:$ES$6,8)</f>
        <v>0</v>
      </c>
      <c r="L73" s="34" t="n">
        <f aca="false">SUMIFS(Calculo!$F$179:$ES$179,Calculo!$F$6:$ES$6,9)</f>
        <v>0</v>
      </c>
      <c r="M73" s="34" t="n">
        <f aca="false">SUMIFS(Calculo!$F$179:$ES$179,Calculo!$F$6:$ES$6,10)</f>
        <v>0</v>
      </c>
      <c r="N73" s="34" t="n">
        <f aca="false">SUMIFS(Calculo!$F$179:$ES$179,Calculo!$F$6:$ES$6,11)</f>
        <v>0</v>
      </c>
      <c r="O73" s="34" t="n">
        <f aca="false">SUMIFS(Calculo!$F$179:$ES$179,Calculo!$F$6:$ES$6,12)</f>
        <v>0</v>
      </c>
    </row>
    <row r="74" customFormat="false" ht="15" hidden="false" customHeight="false" outlineLevel="0" collapsed="false">
      <c r="A74" s="2" t="s">
        <v>1058</v>
      </c>
      <c r="B74" s="6" t="str">
        <f aca="false">IF(INDEX(Prod_Nombre,4)="","Producto 4",INDEX(Prod_Nombre,4))</f>
        <v>Producto 4</v>
      </c>
      <c r="C74" s="40" t="n">
        <f aca="false">SUM(D74:O74)</f>
        <v>0</v>
      </c>
      <c r="D74" s="34" t="n">
        <f aca="false">SUMIFS(Calculo!$F$180:$ES$180,Calculo!$F$6:$ES$6,1)</f>
        <v>0</v>
      </c>
      <c r="E74" s="34" t="n">
        <f aca="false">SUMIFS(Calculo!$F$180:$ES$180,Calculo!$F$6:$ES$6,2)</f>
        <v>0</v>
      </c>
      <c r="F74" s="34" t="n">
        <f aca="false">SUMIFS(Calculo!$F$180:$ES$180,Calculo!$F$6:$ES$6,3)</f>
        <v>0</v>
      </c>
      <c r="G74" s="34" t="n">
        <f aca="false">SUMIFS(Calculo!$F$180:$ES$180,Calculo!$F$6:$ES$6,4)</f>
        <v>0</v>
      </c>
      <c r="H74" s="34" t="n">
        <f aca="false">SUMIFS(Calculo!$F$180:$ES$180,Calculo!$F$6:$ES$6,5)</f>
        <v>0</v>
      </c>
      <c r="I74" s="34" t="n">
        <f aca="false">SUMIFS(Calculo!$F$180:$ES$180,Calculo!$F$6:$ES$6,6)</f>
        <v>0</v>
      </c>
      <c r="J74" s="34" t="n">
        <f aca="false">SUMIFS(Calculo!$F$180:$ES$180,Calculo!$F$6:$ES$6,7)</f>
        <v>0</v>
      </c>
      <c r="K74" s="34" t="n">
        <f aca="false">SUMIFS(Calculo!$F$180:$ES$180,Calculo!$F$6:$ES$6,8)</f>
        <v>0</v>
      </c>
      <c r="L74" s="34" t="n">
        <f aca="false">SUMIFS(Calculo!$F$180:$ES$180,Calculo!$F$6:$ES$6,9)</f>
        <v>0</v>
      </c>
      <c r="M74" s="34" t="n">
        <f aca="false">SUMIFS(Calculo!$F$180:$ES$180,Calculo!$F$6:$ES$6,10)</f>
        <v>0</v>
      </c>
      <c r="N74" s="34" t="n">
        <f aca="false">SUMIFS(Calculo!$F$180:$ES$180,Calculo!$F$6:$ES$6,11)</f>
        <v>0</v>
      </c>
      <c r="O74" s="34" t="n">
        <f aca="false">SUMIFS(Calculo!$F$180:$ES$180,Calculo!$F$6:$ES$6,12)</f>
        <v>0</v>
      </c>
    </row>
    <row r="75" customFormat="false" ht="15" hidden="false" customHeight="false" outlineLevel="0" collapsed="false">
      <c r="A75" s="2" t="s">
        <v>1059</v>
      </c>
      <c r="B75" s="6" t="str">
        <f aca="false">IF(INDEX(Prod_Nombre,5)="","Producto 5",INDEX(Prod_Nombre,5))</f>
        <v>Producto 5</v>
      </c>
      <c r="C75" s="40" t="n">
        <f aca="false">SUM(D75:O75)</f>
        <v>0</v>
      </c>
      <c r="D75" s="34" t="n">
        <f aca="false">SUMIFS(Calculo!$F$181:$ES$181,Calculo!$F$6:$ES$6,1)</f>
        <v>0</v>
      </c>
      <c r="E75" s="34" t="n">
        <f aca="false">SUMIFS(Calculo!$F$181:$ES$181,Calculo!$F$6:$ES$6,2)</f>
        <v>0</v>
      </c>
      <c r="F75" s="34" t="n">
        <f aca="false">SUMIFS(Calculo!$F$181:$ES$181,Calculo!$F$6:$ES$6,3)</f>
        <v>0</v>
      </c>
      <c r="G75" s="34" t="n">
        <f aca="false">SUMIFS(Calculo!$F$181:$ES$181,Calculo!$F$6:$ES$6,4)</f>
        <v>0</v>
      </c>
      <c r="H75" s="34" t="n">
        <f aca="false">SUMIFS(Calculo!$F$181:$ES$181,Calculo!$F$6:$ES$6,5)</f>
        <v>0</v>
      </c>
      <c r="I75" s="34" t="n">
        <f aca="false">SUMIFS(Calculo!$F$181:$ES$181,Calculo!$F$6:$ES$6,6)</f>
        <v>0</v>
      </c>
      <c r="J75" s="34" t="n">
        <f aca="false">SUMIFS(Calculo!$F$181:$ES$181,Calculo!$F$6:$ES$6,7)</f>
        <v>0</v>
      </c>
      <c r="K75" s="34" t="n">
        <f aca="false">SUMIFS(Calculo!$F$181:$ES$181,Calculo!$F$6:$ES$6,8)</f>
        <v>0</v>
      </c>
      <c r="L75" s="34" t="n">
        <f aca="false">SUMIFS(Calculo!$F$181:$ES$181,Calculo!$F$6:$ES$6,9)</f>
        <v>0</v>
      </c>
      <c r="M75" s="34" t="n">
        <f aca="false">SUMIFS(Calculo!$F$181:$ES$181,Calculo!$F$6:$ES$6,10)</f>
        <v>0</v>
      </c>
      <c r="N75" s="34" t="n">
        <f aca="false">SUMIFS(Calculo!$F$181:$ES$181,Calculo!$F$6:$ES$6,11)</f>
        <v>0</v>
      </c>
      <c r="O75" s="34" t="n">
        <f aca="false">SUMIFS(Calculo!$F$181:$ES$181,Calculo!$F$6:$ES$6,12)</f>
        <v>0</v>
      </c>
    </row>
    <row r="76" customFormat="false" ht="15" hidden="false" customHeight="false" outlineLevel="0" collapsed="false">
      <c r="A76" s="2" t="s">
        <v>1060</v>
      </c>
      <c r="B76" s="6" t="str">
        <f aca="false">IF(INDEX(Prod_Nombre,6)="","Producto 6",INDEX(Prod_Nombre,6))</f>
        <v>Producto 6</v>
      </c>
      <c r="C76" s="40" t="n">
        <f aca="false">SUM(D76:O76)</f>
        <v>0</v>
      </c>
      <c r="D76" s="34" t="n">
        <f aca="false">SUMIFS(Calculo!$F$182:$ES$182,Calculo!$F$6:$ES$6,1)</f>
        <v>0</v>
      </c>
      <c r="E76" s="34" t="n">
        <f aca="false">SUMIFS(Calculo!$F$182:$ES$182,Calculo!$F$6:$ES$6,2)</f>
        <v>0</v>
      </c>
      <c r="F76" s="34" t="n">
        <f aca="false">SUMIFS(Calculo!$F$182:$ES$182,Calculo!$F$6:$ES$6,3)</f>
        <v>0</v>
      </c>
      <c r="G76" s="34" t="n">
        <f aca="false">SUMIFS(Calculo!$F$182:$ES$182,Calculo!$F$6:$ES$6,4)</f>
        <v>0</v>
      </c>
      <c r="H76" s="34" t="n">
        <f aca="false">SUMIFS(Calculo!$F$182:$ES$182,Calculo!$F$6:$ES$6,5)</f>
        <v>0</v>
      </c>
      <c r="I76" s="34" t="n">
        <f aca="false">SUMIFS(Calculo!$F$182:$ES$182,Calculo!$F$6:$ES$6,6)</f>
        <v>0</v>
      </c>
      <c r="J76" s="34" t="n">
        <f aca="false">SUMIFS(Calculo!$F$182:$ES$182,Calculo!$F$6:$ES$6,7)</f>
        <v>0</v>
      </c>
      <c r="K76" s="34" t="n">
        <f aca="false">SUMIFS(Calculo!$F$182:$ES$182,Calculo!$F$6:$ES$6,8)</f>
        <v>0</v>
      </c>
      <c r="L76" s="34" t="n">
        <f aca="false">SUMIFS(Calculo!$F$182:$ES$182,Calculo!$F$6:$ES$6,9)</f>
        <v>0</v>
      </c>
      <c r="M76" s="34" t="n">
        <f aca="false">SUMIFS(Calculo!$F$182:$ES$182,Calculo!$F$6:$ES$6,10)</f>
        <v>0</v>
      </c>
      <c r="N76" s="34" t="n">
        <f aca="false">SUMIFS(Calculo!$F$182:$ES$182,Calculo!$F$6:$ES$6,11)</f>
        <v>0</v>
      </c>
      <c r="O76" s="34" t="n">
        <f aca="false">SUMIFS(Calculo!$F$182:$ES$182,Calculo!$F$6:$ES$6,12)</f>
        <v>0</v>
      </c>
    </row>
    <row r="77" customFormat="false" ht="15" hidden="false" customHeight="false" outlineLevel="0" collapsed="false">
      <c r="A77" s="2" t="s">
        <v>1061</v>
      </c>
      <c r="B77" s="6" t="str">
        <f aca="false">IF(INDEX(Prod_Nombre,7)="","Producto 7",INDEX(Prod_Nombre,7))</f>
        <v>Producto 7</v>
      </c>
      <c r="C77" s="40" t="n">
        <f aca="false">SUM(D77:O77)</f>
        <v>0</v>
      </c>
      <c r="D77" s="34" t="n">
        <f aca="false">SUMIFS(Calculo!$F$183:$ES$183,Calculo!$F$6:$ES$6,1)</f>
        <v>0</v>
      </c>
      <c r="E77" s="34" t="n">
        <f aca="false">SUMIFS(Calculo!$F$183:$ES$183,Calculo!$F$6:$ES$6,2)</f>
        <v>0</v>
      </c>
      <c r="F77" s="34" t="n">
        <f aca="false">SUMIFS(Calculo!$F$183:$ES$183,Calculo!$F$6:$ES$6,3)</f>
        <v>0</v>
      </c>
      <c r="G77" s="34" t="n">
        <f aca="false">SUMIFS(Calculo!$F$183:$ES$183,Calculo!$F$6:$ES$6,4)</f>
        <v>0</v>
      </c>
      <c r="H77" s="34" t="n">
        <f aca="false">SUMIFS(Calculo!$F$183:$ES$183,Calculo!$F$6:$ES$6,5)</f>
        <v>0</v>
      </c>
      <c r="I77" s="34" t="n">
        <f aca="false">SUMIFS(Calculo!$F$183:$ES$183,Calculo!$F$6:$ES$6,6)</f>
        <v>0</v>
      </c>
      <c r="J77" s="34" t="n">
        <f aca="false">SUMIFS(Calculo!$F$183:$ES$183,Calculo!$F$6:$ES$6,7)</f>
        <v>0</v>
      </c>
      <c r="K77" s="34" t="n">
        <f aca="false">SUMIFS(Calculo!$F$183:$ES$183,Calculo!$F$6:$ES$6,8)</f>
        <v>0</v>
      </c>
      <c r="L77" s="34" t="n">
        <f aca="false">SUMIFS(Calculo!$F$183:$ES$183,Calculo!$F$6:$ES$6,9)</f>
        <v>0</v>
      </c>
      <c r="M77" s="34" t="n">
        <f aca="false">SUMIFS(Calculo!$F$183:$ES$183,Calculo!$F$6:$ES$6,10)</f>
        <v>0</v>
      </c>
      <c r="N77" s="34" t="n">
        <f aca="false">SUMIFS(Calculo!$F$183:$ES$183,Calculo!$F$6:$ES$6,11)</f>
        <v>0</v>
      </c>
      <c r="O77" s="34" t="n">
        <f aca="false">SUMIFS(Calculo!$F$183:$ES$183,Calculo!$F$6:$ES$6,12)</f>
        <v>0</v>
      </c>
    </row>
    <row r="78" customFormat="false" ht="15" hidden="false" customHeight="false" outlineLevel="0" collapsed="false">
      <c r="A78" s="2" t="s">
        <v>1062</v>
      </c>
      <c r="B78" s="6" t="str">
        <f aca="false">IF(INDEX(Prod_Nombre,8)="","Producto 8",INDEX(Prod_Nombre,8))</f>
        <v>Producto 8</v>
      </c>
      <c r="C78" s="40" t="n">
        <f aca="false">SUM(D78:O78)</f>
        <v>0</v>
      </c>
      <c r="D78" s="34" t="n">
        <f aca="false">SUMIFS(Calculo!$F$184:$ES$184,Calculo!$F$6:$ES$6,1)</f>
        <v>0</v>
      </c>
      <c r="E78" s="34" t="n">
        <f aca="false">SUMIFS(Calculo!$F$184:$ES$184,Calculo!$F$6:$ES$6,2)</f>
        <v>0</v>
      </c>
      <c r="F78" s="34" t="n">
        <f aca="false">SUMIFS(Calculo!$F$184:$ES$184,Calculo!$F$6:$ES$6,3)</f>
        <v>0</v>
      </c>
      <c r="G78" s="34" t="n">
        <f aca="false">SUMIFS(Calculo!$F$184:$ES$184,Calculo!$F$6:$ES$6,4)</f>
        <v>0</v>
      </c>
      <c r="H78" s="34" t="n">
        <f aca="false">SUMIFS(Calculo!$F$184:$ES$184,Calculo!$F$6:$ES$6,5)</f>
        <v>0</v>
      </c>
      <c r="I78" s="34" t="n">
        <f aca="false">SUMIFS(Calculo!$F$184:$ES$184,Calculo!$F$6:$ES$6,6)</f>
        <v>0</v>
      </c>
      <c r="J78" s="34" t="n">
        <f aca="false">SUMIFS(Calculo!$F$184:$ES$184,Calculo!$F$6:$ES$6,7)</f>
        <v>0</v>
      </c>
      <c r="K78" s="34" t="n">
        <f aca="false">SUMIFS(Calculo!$F$184:$ES$184,Calculo!$F$6:$ES$6,8)</f>
        <v>0</v>
      </c>
      <c r="L78" s="34" t="n">
        <f aca="false">SUMIFS(Calculo!$F$184:$ES$184,Calculo!$F$6:$ES$6,9)</f>
        <v>0</v>
      </c>
      <c r="M78" s="34" t="n">
        <f aca="false">SUMIFS(Calculo!$F$184:$ES$184,Calculo!$F$6:$ES$6,10)</f>
        <v>0</v>
      </c>
      <c r="N78" s="34" t="n">
        <f aca="false">SUMIFS(Calculo!$F$184:$ES$184,Calculo!$F$6:$ES$6,11)</f>
        <v>0</v>
      </c>
      <c r="O78" s="34" t="n">
        <f aca="false">SUMIFS(Calculo!$F$184:$ES$184,Calculo!$F$6:$ES$6,12)</f>
        <v>0</v>
      </c>
    </row>
    <row r="79" customFormat="false" ht="15" hidden="false" customHeight="false" outlineLevel="0" collapsed="false">
      <c r="A79" s="2" t="s">
        <v>1063</v>
      </c>
      <c r="B79" s="6" t="str">
        <f aca="false">IF(INDEX(Prod_Nombre,9)="","Producto 9",INDEX(Prod_Nombre,9))</f>
        <v>Producto 9</v>
      </c>
      <c r="C79" s="40" t="n">
        <f aca="false">SUM(D79:O79)</f>
        <v>0</v>
      </c>
      <c r="D79" s="34" t="n">
        <f aca="false">SUMIFS(Calculo!$F$185:$ES$185,Calculo!$F$6:$ES$6,1)</f>
        <v>0</v>
      </c>
      <c r="E79" s="34" t="n">
        <f aca="false">SUMIFS(Calculo!$F$185:$ES$185,Calculo!$F$6:$ES$6,2)</f>
        <v>0</v>
      </c>
      <c r="F79" s="34" t="n">
        <f aca="false">SUMIFS(Calculo!$F$185:$ES$185,Calculo!$F$6:$ES$6,3)</f>
        <v>0</v>
      </c>
      <c r="G79" s="34" t="n">
        <f aca="false">SUMIFS(Calculo!$F$185:$ES$185,Calculo!$F$6:$ES$6,4)</f>
        <v>0</v>
      </c>
      <c r="H79" s="34" t="n">
        <f aca="false">SUMIFS(Calculo!$F$185:$ES$185,Calculo!$F$6:$ES$6,5)</f>
        <v>0</v>
      </c>
      <c r="I79" s="34" t="n">
        <f aca="false">SUMIFS(Calculo!$F$185:$ES$185,Calculo!$F$6:$ES$6,6)</f>
        <v>0</v>
      </c>
      <c r="J79" s="34" t="n">
        <f aca="false">SUMIFS(Calculo!$F$185:$ES$185,Calculo!$F$6:$ES$6,7)</f>
        <v>0</v>
      </c>
      <c r="K79" s="34" t="n">
        <f aca="false">SUMIFS(Calculo!$F$185:$ES$185,Calculo!$F$6:$ES$6,8)</f>
        <v>0</v>
      </c>
      <c r="L79" s="34" t="n">
        <f aca="false">SUMIFS(Calculo!$F$185:$ES$185,Calculo!$F$6:$ES$6,9)</f>
        <v>0</v>
      </c>
      <c r="M79" s="34" t="n">
        <f aca="false">SUMIFS(Calculo!$F$185:$ES$185,Calculo!$F$6:$ES$6,10)</f>
        <v>0</v>
      </c>
      <c r="N79" s="34" t="n">
        <f aca="false">SUMIFS(Calculo!$F$185:$ES$185,Calculo!$F$6:$ES$6,11)</f>
        <v>0</v>
      </c>
      <c r="O79" s="34" t="n">
        <f aca="false">SUMIFS(Calculo!$F$185:$ES$185,Calculo!$F$6:$ES$6,12)</f>
        <v>0</v>
      </c>
    </row>
    <row r="80" customFormat="false" ht="15" hidden="false" customHeight="false" outlineLevel="0" collapsed="false">
      <c r="A80" s="2" t="s">
        <v>1064</v>
      </c>
      <c r="B80" s="6" t="str">
        <f aca="false">IF(INDEX(Prod_Nombre,10)="","Producto 10",INDEX(Prod_Nombre,10))</f>
        <v>Producto 10</v>
      </c>
      <c r="C80" s="40" t="n">
        <f aca="false">SUM(D80:O80)</f>
        <v>0</v>
      </c>
      <c r="D80" s="34" t="n">
        <f aca="false">SUMIFS(Calculo!$F$186:$ES$186,Calculo!$F$6:$ES$6,1)</f>
        <v>0</v>
      </c>
      <c r="E80" s="34" t="n">
        <f aca="false">SUMIFS(Calculo!$F$186:$ES$186,Calculo!$F$6:$ES$6,2)</f>
        <v>0</v>
      </c>
      <c r="F80" s="34" t="n">
        <f aca="false">SUMIFS(Calculo!$F$186:$ES$186,Calculo!$F$6:$ES$6,3)</f>
        <v>0</v>
      </c>
      <c r="G80" s="34" t="n">
        <f aca="false">SUMIFS(Calculo!$F$186:$ES$186,Calculo!$F$6:$ES$6,4)</f>
        <v>0</v>
      </c>
      <c r="H80" s="34" t="n">
        <f aca="false">SUMIFS(Calculo!$F$186:$ES$186,Calculo!$F$6:$ES$6,5)</f>
        <v>0</v>
      </c>
      <c r="I80" s="34" t="n">
        <f aca="false">SUMIFS(Calculo!$F$186:$ES$186,Calculo!$F$6:$ES$6,6)</f>
        <v>0</v>
      </c>
      <c r="J80" s="34" t="n">
        <f aca="false">SUMIFS(Calculo!$F$186:$ES$186,Calculo!$F$6:$ES$6,7)</f>
        <v>0</v>
      </c>
      <c r="K80" s="34" t="n">
        <f aca="false">SUMIFS(Calculo!$F$186:$ES$186,Calculo!$F$6:$ES$6,8)</f>
        <v>0</v>
      </c>
      <c r="L80" s="34" t="n">
        <f aca="false">SUMIFS(Calculo!$F$186:$ES$186,Calculo!$F$6:$ES$6,9)</f>
        <v>0</v>
      </c>
      <c r="M80" s="34" t="n">
        <f aca="false">SUMIFS(Calculo!$F$186:$ES$186,Calculo!$F$6:$ES$6,10)</f>
        <v>0</v>
      </c>
      <c r="N80" s="34" t="n">
        <f aca="false">SUMIFS(Calculo!$F$186:$ES$186,Calculo!$F$6:$ES$6,11)</f>
        <v>0</v>
      </c>
      <c r="O80" s="34" t="n">
        <f aca="false">SUMIFS(Calculo!$F$186:$ES$186,Calculo!$F$6:$ES$6,12)</f>
        <v>0</v>
      </c>
    </row>
    <row r="81" customFormat="false" ht="15" hidden="false" customHeight="false" outlineLevel="0" collapsed="false">
      <c r="A81" s="2" t="s">
        <v>1065</v>
      </c>
      <c r="B81" s="6" t="str">
        <f aca="false">IF(INDEX(Prod_Nombre,11)="","Producto 11",INDEX(Prod_Nombre,11))</f>
        <v>Producto 11</v>
      </c>
      <c r="C81" s="40" t="n">
        <f aca="false">SUM(D81:O81)</f>
        <v>0</v>
      </c>
      <c r="D81" s="34" t="n">
        <f aca="false">SUMIFS(Calculo!$F$187:$ES$187,Calculo!$F$6:$ES$6,1)</f>
        <v>0</v>
      </c>
      <c r="E81" s="34" t="n">
        <f aca="false">SUMIFS(Calculo!$F$187:$ES$187,Calculo!$F$6:$ES$6,2)</f>
        <v>0</v>
      </c>
      <c r="F81" s="34" t="n">
        <f aca="false">SUMIFS(Calculo!$F$187:$ES$187,Calculo!$F$6:$ES$6,3)</f>
        <v>0</v>
      </c>
      <c r="G81" s="34" t="n">
        <f aca="false">SUMIFS(Calculo!$F$187:$ES$187,Calculo!$F$6:$ES$6,4)</f>
        <v>0</v>
      </c>
      <c r="H81" s="34" t="n">
        <f aca="false">SUMIFS(Calculo!$F$187:$ES$187,Calculo!$F$6:$ES$6,5)</f>
        <v>0</v>
      </c>
      <c r="I81" s="34" t="n">
        <f aca="false">SUMIFS(Calculo!$F$187:$ES$187,Calculo!$F$6:$ES$6,6)</f>
        <v>0</v>
      </c>
      <c r="J81" s="34" t="n">
        <f aca="false">SUMIFS(Calculo!$F$187:$ES$187,Calculo!$F$6:$ES$6,7)</f>
        <v>0</v>
      </c>
      <c r="K81" s="34" t="n">
        <f aca="false">SUMIFS(Calculo!$F$187:$ES$187,Calculo!$F$6:$ES$6,8)</f>
        <v>0</v>
      </c>
      <c r="L81" s="34" t="n">
        <f aca="false">SUMIFS(Calculo!$F$187:$ES$187,Calculo!$F$6:$ES$6,9)</f>
        <v>0</v>
      </c>
      <c r="M81" s="34" t="n">
        <f aca="false">SUMIFS(Calculo!$F$187:$ES$187,Calculo!$F$6:$ES$6,10)</f>
        <v>0</v>
      </c>
      <c r="N81" s="34" t="n">
        <f aca="false">SUMIFS(Calculo!$F$187:$ES$187,Calculo!$F$6:$ES$6,11)</f>
        <v>0</v>
      </c>
      <c r="O81" s="34" t="n">
        <f aca="false">SUMIFS(Calculo!$F$187:$ES$187,Calculo!$F$6:$ES$6,12)</f>
        <v>0</v>
      </c>
    </row>
    <row r="82" customFormat="false" ht="15" hidden="false" customHeight="false" outlineLevel="0" collapsed="false">
      <c r="A82" s="2" t="s">
        <v>1066</v>
      </c>
      <c r="B82" s="6" t="str">
        <f aca="false">IF(INDEX(Prod_Nombre,12)="","Producto 12",INDEX(Prod_Nombre,12))</f>
        <v>Producto 12</v>
      </c>
      <c r="C82" s="40" t="n">
        <f aca="false">SUM(D82:O82)</f>
        <v>0</v>
      </c>
      <c r="D82" s="34" t="n">
        <f aca="false">SUMIFS(Calculo!$F$188:$ES$188,Calculo!$F$6:$ES$6,1)</f>
        <v>0</v>
      </c>
      <c r="E82" s="34" t="n">
        <f aca="false">SUMIFS(Calculo!$F$188:$ES$188,Calculo!$F$6:$ES$6,2)</f>
        <v>0</v>
      </c>
      <c r="F82" s="34" t="n">
        <f aca="false">SUMIFS(Calculo!$F$188:$ES$188,Calculo!$F$6:$ES$6,3)</f>
        <v>0</v>
      </c>
      <c r="G82" s="34" t="n">
        <f aca="false">SUMIFS(Calculo!$F$188:$ES$188,Calculo!$F$6:$ES$6,4)</f>
        <v>0</v>
      </c>
      <c r="H82" s="34" t="n">
        <f aca="false">SUMIFS(Calculo!$F$188:$ES$188,Calculo!$F$6:$ES$6,5)</f>
        <v>0</v>
      </c>
      <c r="I82" s="34" t="n">
        <f aca="false">SUMIFS(Calculo!$F$188:$ES$188,Calculo!$F$6:$ES$6,6)</f>
        <v>0</v>
      </c>
      <c r="J82" s="34" t="n">
        <f aca="false">SUMIFS(Calculo!$F$188:$ES$188,Calculo!$F$6:$ES$6,7)</f>
        <v>0</v>
      </c>
      <c r="K82" s="34" t="n">
        <f aca="false">SUMIFS(Calculo!$F$188:$ES$188,Calculo!$F$6:$ES$6,8)</f>
        <v>0</v>
      </c>
      <c r="L82" s="34" t="n">
        <f aca="false">SUMIFS(Calculo!$F$188:$ES$188,Calculo!$F$6:$ES$6,9)</f>
        <v>0</v>
      </c>
      <c r="M82" s="34" t="n">
        <f aca="false">SUMIFS(Calculo!$F$188:$ES$188,Calculo!$F$6:$ES$6,10)</f>
        <v>0</v>
      </c>
      <c r="N82" s="34" t="n">
        <f aca="false">SUMIFS(Calculo!$F$188:$ES$188,Calculo!$F$6:$ES$6,11)</f>
        <v>0</v>
      </c>
      <c r="O82" s="34" t="n">
        <f aca="false">SUMIFS(Calculo!$F$188:$ES$188,Calculo!$F$6:$ES$6,12)</f>
        <v>0</v>
      </c>
    </row>
    <row r="83" customFormat="false" ht="15" hidden="false" customHeight="false" outlineLevel="0" collapsed="false">
      <c r="A83" s="2" t="s">
        <v>1067</v>
      </c>
      <c r="B83" s="6" t="str">
        <f aca="false">IF(INDEX(Prod_Nombre,13)="","Producto 13",INDEX(Prod_Nombre,13))</f>
        <v>Producto 13</v>
      </c>
      <c r="C83" s="40" t="n">
        <f aca="false">SUM(D83:O83)</f>
        <v>0</v>
      </c>
      <c r="D83" s="34" t="n">
        <f aca="false">SUMIFS(Calculo!$F$189:$ES$189,Calculo!$F$6:$ES$6,1)</f>
        <v>0</v>
      </c>
      <c r="E83" s="34" t="n">
        <f aca="false">SUMIFS(Calculo!$F$189:$ES$189,Calculo!$F$6:$ES$6,2)</f>
        <v>0</v>
      </c>
      <c r="F83" s="34" t="n">
        <f aca="false">SUMIFS(Calculo!$F$189:$ES$189,Calculo!$F$6:$ES$6,3)</f>
        <v>0</v>
      </c>
      <c r="G83" s="34" t="n">
        <f aca="false">SUMIFS(Calculo!$F$189:$ES$189,Calculo!$F$6:$ES$6,4)</f>
        <v>0</v>
      </c>
      <c r="H83" s="34" t="n">
        <f aca="false">SUMIFS(Calculo!$F$189:$ES$189,Calculo!$F$6:$ES$6,5)</f>
        <v>0</v>
      </c>
      <c r="I83" s="34" t="n">
        <f aca="false">SUMIFS(Calculo!$F$189:$ES$189,Calculo!$F$6:$ES$6,6)</f>
        <v>0</v>
      </c>
      <c r="J83" s="34" t="n">
        <f aca="false">SUMIFS(Calculo!$F$189:$ES$189,Calculo!$F$6:$ES$6,7)</f>
        <v>0</v>
      </c>
      <c r="K83" s="34" t="n">
        <f aca="false">SUMIFS(Calculo!$F$189:$ES$189,Calculo!$F$6:$ES$6,8)</f>
        <v>0</v>
      </c>
      <c r="L83" s="34" t="n">
        <f aca="false">SUMIFS(Calculo!$F$189:$ES$189,Calculo!$F$6:$ES$6,9)</f>
        <v>0</v>
      </c>
      <c r="M83" s="34" t="n">
        <f aca="false">SUMIFS(Calculo!$F$189:$ES$189,Calculo!$F$6:$ES$6,10)</f>
        <v>0</v>
      </c>
      <c r="N83" s="34" t="n">
        <f aca="false">SUMIFS(Calculo!$F$189:$ES$189,Calculo!$F$6:$ES$6,11)</f>
        <v>0</v>
      </c>
      <c r="O83" s="34" t="n">
        <f aca="false">SUMIFS(Calculo!$F$189:$ES$189,Calculo!$F$6:$ES$6,12)</f>
        <v>0</v>
      </c>
    </row>
    <row r="84" customFormat="false" ht="15" hidden="false" customHeight="false" outlineLevel="0" collapsed="false">
      <c r="A84" s="2" t="s">
        <v>1068</v>
      </c>
      <c r="B84" s="6" t="str">
        <f aca="false">IF(INDEX(Prod_Nombre,14)="","Producto 14",INDEX(Prod_Nombre,14))</f>
        <v>Producto 14</v>
      </c>
      <c r="C84" s="40" t="n">
        <f aca="false">SUM(D84:O84)</f>
        <v>0</v>
      </c>
      <c r="D84" s="34" t="n">
        <f aca="false">SUMIFS(Calculo!$F$190:$ES$190,Calculo!$F$6:$ES$6,1)</f>
        <v>0</v>
      </c>
      <c r="E84" s="34" t="n">
        <f aca="false">SUMIFS(Calculo!$F$190:$ES$190,Calculo!$F$6:$ES$6,2)</f>
        <v>0</v>
      </c>
      <c r="F84" s="34" t="n">
        <f aca="false">SUMIFS(Calculo!$F$190:$ES$190,Calculo!$F$6:$ES$6,3)</f>
        <v>0</v>
      </c>
      <c r="G84" s="34" t="n">
        <f aca="false">SUMIFS(Calculo!$F$190:$ES$190,Calculo!$F$6:$ES$6,4)</f>
        <v>0</v>
      </c>
      <c r="H84" s="34" t="n">
        <f aca="false">SUMIFS(Calculo!$F$190:$ES$190,Calculo!$F$6:$ES$6,5)</f>
        <v>0</v>
      </c>
      <c r="I84" s="34" t="n">
        <f aca="false">SUMIFS(Calculo!$F$190:$ES$190,Calculo!$F$6:$ES$6,6)</f>
        <v>0</v>
      </c>
      <c r="J84" s="34" t="n">
        <f aca="false">SUMIFS(Calculo!$F$190:$ES$190,Calculo!$F$6:$ES$6,7)</f>
        <v>0</v>
      </c>
      <c r="K84" s="34" t="n">
        <f aca="false">SUMIFS(Calculo!$F$190:$ES$190,Calculo!$F$6:$ES$6,8)</f>
        <v>0</v>
      </c>
      <c r="L84" s="34" t="n">
        <f aca="false">SUMIFS(Calculo!$F$190:$ES$190,Calculo!$F$6:$ES$6,9)</f>
        <v>0</v>
      </c>
      <c r="M84" s="34" t="n">
        <f aca="false">SUMIFS(Calculo!$F$190:$ES$190,Calculo!$F$6:$ES$6,10)</f>
        <v>0</v>
      </c>
      <c r="N84" s="34" t="n">
        <f aca="false">SUMIFS(Calculo!$F$190:$ES$190,Calculo!$F$6:$ES$6,11)</f>
        <v>0</v>
      </c>
      <c r="O84" s="34" t="n">
        <f aca="false">SUMIFS(Calculo!$F$190:$ES$190,Calculo!$F$6:$ES$6,12)</f>
        <v>0</v>
      </c>
    </row>
    <row r="85" customFormat="false" ht="15" hidden="false" customHeight="false" outlineLevel="0" collapsed="false">
      <c r="A85" s="2" t="s">
        <v>1069</v>
      </c>
      <c r="B85" s="6" t="str">
        <f aca="false">IF(INDEX(Prod_Nombre,15)="","Producto 15",INDEX(Prod_Nombre,15))</f>
        <v>Producto 15</v>
      </c>
      <c r="C85" s="40" t="n">
        <f aca="false">SUM(D85:O85)</f>
        <v>0</v>
      </c>
      <c r="D85" s="34" t="n">
        <f aca="false">SUMIFS(Calculo!$F$191:$ES$191,Calculo!$F$6:$ES$6,1)</f>
        <v>0</v>
      </c>
      <c r="E85" s="34" t="n">
        <f aca="false">SUMIFS(Calculo!$F$191:$ES$191,Calculo!$F$6:$ES$6,2)</f>
        <v>0</v>
      </c>
      <c r="F85" s="34" t="n">
        <f aca="false">SUMIFS(Calculo!$F$191:$ES$191,Calculo!$F$6:$ES$6,3)</f>
        <v>0</v>
      </c>
      <c r="G85" s="34" t="n">
        <f aca="false">SUMIFS(Calculo!$F$191:$ES$191,Calculo!$F$6:$ES$6,4)</f>
        <v>0</v>
      </c>
      <c r="H85" s="34" t="n">
        <f aca="false">SUMIFS(Calculo!$F$191:$ES$191,Calculo!$F$6:$ES$6,5)</f>
        <v>0</v>
      </c>
      <c r="I85" s="34" t="n">
        <f aca="false">SUMIFS(Calculo!$F$191:$ES$191,Calculo!$F$6:$ES$6,6)</f>
        <v>0</v>
      </c>
      <c r="J85" s="34" t="n">
        <f aca="false">SUMIFS(Calculo!$F$191:$ES$191,Calculo!$F$6:$ES$6,7)</f>
        <v>0</v>
      </c>
      <c r="K85" s="34" t="n">
        <f aca="false">SUMIFS(Calculo!$F$191:$ES$191,Calculo!$F$6:$ES$6,8)</f>
        <v>0</v>
      </c>
      <c r="L85" s="34" t="n">
        <f aca="false">SUMIFS(Calculo!$F$191:$ES$191,Calculo!$F$6:$ES$6,9)</f>
        <v>0</v>
      </c>
      <c r="M85" s="34" t="n">
        <f aca="false">SUMIFS(Calculo!$F$191:$ES$191,Calculo!$F$6:$ES$6,10)</f>
        <v>0</v>
      </c>
      <c r="N85" s="34" t="n">
        <f aca="false">SUMIFS(Calculo!$F$191:$ES$191,Calculo!$F$6:$ES$6,11)</f>
        <v>0</v>
      </c>
      <c r="O85" s="34" t="n">
        <f aca="false">SUMIFS(Calculo!$F$191:$ES$191,Calculo!$F$6:$ES$6,12)</f>
        <v>0</v>
      </c>
    </row>
    <row r="86" customFormat="false" ht="15" hidden="false" customHeight="false" outlineLevel="0" collapsed="false">
      <c r="A86" s="2" t="s">
        <v>1070</v>
      </c>
      <c r="B86" s="6" t="str">
        <f aca="false">IF(INDEX(Prod_Nombre,16)="","Producto 16",INDEX(Prod_Nombre,16))</f>
        <v>Producto 16</v>
      </c>
      <c r="C86" s="40" t="n">
        <f aca="false">SUM(D86:O86)</f>
        <v>0</v>
      </c>
      <c r="D86" s="34" t="n">
        <f aca="false">SUMIFS(Calculo!$F$192:$ES$192,Calculo!$F$6:$ES$6,1)</f>
        <v>0</v>
      </c>
      <c r="E86" s="34" t="n">
        <f aca="false">SUMIFS(Calculo!$F$192:$ES$192,Calculo!$F$6:$ES$6,2)</f>
        <v>0</v>
      </c>
      <c r="F86" s="34" t="n">
        <f aca="false">SUMIFS(Calculo!$F$192:$ES$192,Calculo!$F$6:$ES$6,3)</f>
        <v>0</v>
      </c>
      <c r="G86" s="34" t="n">
        <f aca="false">SUMIFS(Calculo!$F$192:$ES$192,Calculo!$F$6:$ES$6,4)</f>
        <v>0</v>
      </c>
      <c r="H86" s="34" t="n">
        <f aca="false">SUMIFS(Calculo!$F$192:$ES$192,Calculo!$F$6:$ES$6,5)</f>
        <v>0</v>
      </c>
      <c r="I86" s="34" t="n">
        <f aca="false">SUMIFS(Calculo!$F$192:$ES$192,Calculo!$F$6:$ES$6,6)</f>
        <v>0</v>
      </c>
      <c r="J86" s="34" t="n">
        <f aca="false">SUMIFS(Calculo!$F$192:$ES$192,Calculo!$F$6:$ES$6,7)</f>
        <v>0</v>
      </c>
      <c r="K86" s="34" t="n">
        <f aca="false">SUMIFS(Calculo!$F$192:$ES$192,Calculo!$F$6:$ES$6,8)</f>
        <v>0</v>
      </c>
      <c r="L86" s="34" t="n">
        <f aca="false">SUMIFS(Calculo!$F$192:$ES$192,Calculo!$F$6:$ES$6,9)</f>
        <v>0</v>
      </c>
      <c r="M86" s="34" t="n">
        <f aca="false">SUMIFS(Calculo!$F$192:$ES$192,Calculo!$F$6:$ES$6,10)</f>
        <v>0</v>
      </c>
      <c r="N86" s="34" t="n">
        <f aca="false">SUMIFS(Calculo!$F$192:$ES$192,Calculo!$F$6:$ES$6,11)</f>
        <v>0</v>
      </c>
      <c r="O86" s="34" t="n">
        <f aca="false">SUMIFS(Calculo!$F$192:$ES$192,Calculo!$F$6:$ES$6,12)</f>
        <v>0</v>
      </c>
    </row>
    <row r="87" customFormat="false" ht="15" hidden="false" customHeight="false" outlineLevel="0" collapsed="false">
      <c r="A87" s="2" t="s">
        <v>1071</v>
      </c>
      <c r="B87" s="6" t="str">
        <f aca="false">IF(INDEX(Prod_Nombre,17)="","Producto 17",INDEX(Prod_Nombre,17))</f>
        <v>Producto 17</v>
      </c>
      <c r="C87" s="40" t="n">
        <f aca="false">SUM(D87:O87)</f>
        <v>0</v>
      </c>
      <c r="D87" s="34" t="n">
        <f aca="false">SUMIFS(Calculo!$F$193:$ES$193,Calculo!$F$6:$ES$6,1)</f>
        <v>0</v>
      </c>
      <c r="E87" s="34" t="n">
        <f aca="false">SUMIFS(Calculo!$F$193:$ES$193,Calculo!$F$6:$ES$6,2)</f>
        <v>0</v>
      </c>
      <c r="F87" s="34" t="n">
        <f aca="false">SUMIFS(Calculo!$F$193:$ES$193,Calculo!$F$6:$ES$6,3)</f>
        <v>0</v>
      </c>
      <c r="G87" s="34" t="n">
        <f aca="false">SUMIFS(Calculo!$F$193:$ES$193,Calculo!$F$6:$ES$6,4)</f>
        <v>0</v>
      </c>
      <c r="H87" s="34" t="n">
        <f aca="false">SUMIFS(Calculo!$F$193:$ES$193,Calculo!$F$6:$ES$6,5)</f>
        <v>0</v>
      </c>
      <c r="I87" s="34" t="n">
        <f aca="false">SUMIFS(Calculo!$F$193:$ES$193,Calculo!$F$6:$ES$6,6)</f>
        <v>0</v>
      </c>
      <c r="J87" s="34" t="n">
        <f aca="false">SUMIFS(Calculo!$F$193:$ES$193,Calculo!$F$6:$ES$6,7)</f>
        <v>0</v>
      </c>
      <c r="K87" s="34" t="n">
        <f aca="false">SUMIFS(Calculo!$F$193:$ES$193,Calculo!$F$6:$ES$6,8)</f>
        <v>0</v>
      </c>
      <c r="L87" s="34" t="n">
        <f aca="false">SUMIFS(Calculo!$F$193:$ES$193,Calculo!$F$6:$ES$6,9)</f>
        <v>0</v>
      </c>
      <c r="M87" s="34" t="n">
        <f aca="false">SUMIFS(Calculo!$F$193:$ES$193,Calculo!$F$6:$ES$6,10)</f>
        <v>0</v>
      </c>
      <c r="N87" s="34" t="n">
        <f aca="false">SUMIFS(Calculo!$F$193:$ES$193,Calculo!$F$6:$ES$6,11)</f>
        <v>0</v>
      </c>
      <c r="O87" s="34" t="n">
        <f aca="false">SUMIFS(Calculo!$F$193:$ES$193,Calculo!$F$6:$ES$6,12)</f>
        <v>0</v>
      </c>
    </row>
    <row r="88" customFormat="false" ht="15" hidden="false" customHeight="false" outlineLevel="0" collapsed="false">
      <c r="A88" s="2" t="s">
        <v>1072</v>
      </c>
      <c r="B88" s="6" t="str">
        <f aca="false">IF(INDEX(Prod_Nombre,18)="","Producto 18",INDEX(Prod_Nombre,18))</f>
        <v>Producto 18</v>
      </c>
      <c r="C88" s="40" t="n">
        <f aca="false">SUM(D88:O88)</f>
        <v>0</v>
      </c>
      <c r="D88" s="34" t="n">
        <f aca="false">SUMIFS(Calculo!$F$194:$ES$194,Calculo!$F$6:$ES$6,1)</f>
        <v>0</v>
      </c>
      <c r="E88" s="34" t="n">
        <f aca="false">SUMIFS(Calculo!$F$194:$ES$194,Calculo!$F$6:$ES$6,2)</f>
        <v>0</v>
      </c>
      <c r="F88" s="34" t="n">
        <f aca="false">SUMIFS(Calculo!$F$194:$ES$194,Calculo!$F$6:$ES$6,3)</f>
        <v>0</v>
      </c>
      <c r="G88" s="34" t="n">
        <f aca="false">SUMIFS(Calculo!$F$194:$ES$194,Calculo!$F$6:$ES$6,4)</f>
        <v>0</v>
      </c>
      <c r="H88" s="34" t="n">
        <f aca="false">SUMIFS(Calculo!$F$194:$ES$194,Calculo!$F$6:$ES$6,5)</f>
        <v>0</v>
      </c>
      <c r="I88" s="34" t="n">
        <f aca="false">SUMIFS(Calculo!$F$194:$ES$194,Calculo!$F$6:$ES$6,6)</f>
        <v>0</v>
      </c>
      <c r="J88" s="34" t="n">
        <f aca="false">SUMIFS(Calculo!$F$194:$ES$194,Calculo!$F$6:$ES$6,7)</f>
        <v>0</v>
      </c>
      <c r="K88" s="34" t="n">
        <f aca="false">SUMIFS(Calculo!$F$194:$ES$194,Calculo!$F$6:$ES$6,8)</f>
        <v>0</v>
      </c>
      <c r="L88" s="34" t="n">
        <f aca="false">SUMIFS(Calculo!$F$194:$ES$194,Calculo!$F$6:$ES$6,9)</f>
        <v>0</v>
      </c>
      <c r="M88" s="34" t="n">
        <f aca="false">SUMIFS(Calculo!$F$194:$ES$194,Calculo!$F$6:$ES$6,10)</f>
        <v>0</v>
      </c>
      <c r="N88" s="34" t="n">
        <f aca="false">SUMIFS(Calculo!$F$194:$ES$194,Calculo!$F$6:$ES$6,11)</f>
        <v>0</v>
      </c>
      <c r="O88" s="34" t="n">
        <f aca="false">SUMIFS(Calculo!$F$194:$ES$194,Calculo!$F$6:$ES$6,12)</f>
        <v>0</v>
      </c>
    </row>
    <row r="89" customFormat="false" ht="15" hidden="false" customHeight="false" outlineLevel="0" collapsed="false">
      <c r="A89" s="2" t="s">
        <v>1073</v>
      </c>
      <c r="B89" s="6" t="str">
        <f aca="false">IF(INDEX(Prod_Nombre,19)="","Producto 19",INDEX(Prod_Nombre,19))</f>
        <v>Producto 19</v>
      </c>
      <c r="C89" s="40" t="n">
        <f aca="false">SUM(D89:O89)</f>
        <v>0</v>
      </c>
      <c r="D89" s="34" t="n">
        <f aca="false">SUMIFS(Calculo!$F$195:$ES$195,Calculo!$F$6:$ES$6,1)</f>
        <v>0</v>
      </c>
      <c r="E89" s="34" t="n">
        <f aca="false">SUMIFS(Calculo!$F$195:$ES$195,Calculo!$F$6:$ES$6,2)</f>
        <v>0</v>
      </c>
      <c r="F89" s="34" t="n">
        <f aca="false">SUMIFS(Calculo!$F$195:$ES$195,Calculo!$F$6:$ES$6,3)</f>
        <v>0</v>
      </c>
      <c r="G89" s="34" t="n">
        <f aca="false">SUMIFS(Calculo!$F$195:$ES$195,Calculo!$F$6:$ES$6,4)</f>
        <v>0</v>
      </c>
      <c r="H89" s="34" t="n">
        <f aca="false">SUMIFS(Calculo!$F$195:$ES$195,Calculo!$F$6:$ES$6,5)</f>
        <v>0</v>
      </c>
      <c r="I89" s="34" t="n">
        <f aca="false">SUMIFS(Calculo!$F$195:$ES$195,Calculo!$F$6:$ES$6,6)</f>
        <v>0</v>
      </c>
      <c r="J89" s="34" t="n">
        <f aca="false">SUMIFS(Calculo!$F$195:$ES$195,Calculo!$F$6:$ES$6,7)</f>
        <v>0</v>
      </c>
      <c r="K89" s="34" t="n">
        <f aca="false">SUMIFS(Calculo!$F$195:$ES$195,Calculo!$F$6:$ES$6,8)</f>
        <v>0</v>
      </c>
      <c r="L89" s="34" t="n">
        <f aca="false">SUMIFS(Calculo!$F$195:$ES$195,Calculo!$F$6:$ES$6,9)</f>
        <v>0</v>
      </c>
      <c r="M89" s="34" t="n">
        <f aca="false">SUMIFS(Calculo!$F$195:$ES$195,Calculo!$F$6:$ES$6,10)</f>
        <v>0</v>
      </c>
      <c r="N89" s="34" t="n">
        <f aca="false">SUMIFS(Calculo!$F$195:$ES$195,Calculo!$F$6:$ES$6,11)</f>
        <v>0</v>
      </c>
      <c r="O89" s="34" t="n">
        <f aca="false">SUMIFS(Calculo!$F$195:$ES$195,Calculo!$F$6:$ES$6,12)</f>
        <v>0</v>
      </c>
    </row>
    <row r="90" customFormat="false" ht="15" hidden="false" customHeight="false" outlineLevel="0" collapsed="false">
      <c r="A90" s="2" t="s">
        <v>1074</v>
      </c>
      <c r="B90" s="6" t="str">
        <f aca="false">IF(INDEX(Prod_Nombre,20)="","Producto 20",INDEX(Prod_Nombre,20))</f>
        <v>Producto 20</v>
      </c>
      <c r="C90" s="40" t="n">
        <f aca="false">SUM(D90:O90)</f>
        <v>0</v>
      </c>
      <c r="D90" s="34" t="n">
        <f aca="false">SUMIFS(Calculo!$F$196:$ES$196,Calculo!$F$6:$ES$6,1)</f>
        <v>0</v>
      </c>
      <c r="E90" s="34" t="n">
        <f aca="false">SUMIFS(Calculo!$F$196:$ES$196,Calculo!$F$6:$ES$6,2)</f>
        <v>0</v>
      </c>
      <c r="F90" s="34" t="n">
        <f aca="false">SUMIFS(Calculo!$F$196:$ES$196,Calculo!$F$6:$ES$6,3)</f>
        <v>0</v>
      </c>
      <c r="G90" s="34" t="n">
        <f aca="false">SUMIFS(Calculo!$F$196:$ES$196,Calculo!$F$6:$ES$6,4)</f>
        <v>0</v>
      </c>
      <c r="H90" s="34" t="n">
        <f aca="false">SUMIFS(Calculo!$F$196:$ES$196,Calculo!$F$6:$ES$6,5)</f>
        <v>0</v>
      </c>
      <c r="I90" s="34" t="n">
        <f aca="false">SUMIFS(Calculo!$F$196:$ES$196,Calculo!$F$6:$ES$6,6)</f>
        <v>0</v>
      </c>
      <c r="J90" s="34" t="n">
        <f aca="false">SUMIFS(Calculo!$F$196:$ES$196,Calculo!$F$6:$ES$6,7)</f>
        <v>0</v>
      </c>
      <c r="K90" s="34" t="n">
        <f aca="false">SUMIFS(Calculo!$F$196:$ES$196,Calculo!$F$6:$ES$6,8)</f>
        <v>0</v>
      </c>
      <c r="L90" s="34" t="n">
        <f aca="false">SUMIFS(Calculo!$F$196:$ES$196,Calculo!$F$6:$ES$6,9)</f>
        <v>0</v>
      </c>
      <c r="M90" s="34" t="n">
        <f aca="false">SUMIFS(Calculo!$F$196:$ES$196,Calculo!$F$6:$ES$6,10)</f>
        <v>0</v>
      </c>
      <c r="N90" s="34" t="n">
        <f aca="false">SUMIFS(Calculo!$F$196:$ES$196,Calculo!$F$6:$ES$6,11)</f>
        <v>0</v>
      </c>
      <c r="O90" s="34" t="n">
        <f aca="false">SUMIFS(Calculo!$F$196:$ES$196,Calculo!$F$6:$ES$6,12)</f>
        <v>0</v>
      </c>
    </row>
    <row r="91" customFormat="false" ht="15" hidden="false" customHeight="false" outlineLevel="0" collapsed="false">
      <c r="A91" s="2" t="s">
        <v>1075</v>
      </c>
      <c r="B91" s="6" t="str">
        <f aca="false">IF(INDEX(Prod_Nombre,21)="","Producto 21",INDEX(Prod_Nombre,21))</f>
        <v>Producto 21</v>
      </c>
      <c r="C91" s="40" t="n">
        <f aca="false">SUM(D91:O91)</f>
        <v>0</v>
      </c>
      <c r="D91" s="34" t="n">
        <f aca="false">SUMIFS(Calculo!$F$197:$ES$197,Calculo!$F$6:$ES$6,1)</f>
        <v>0</v>
      </c>
      <c r="E91" s="34" t="n">
        <f aca="false">SUMIFS(Calculo!$F$197:$ES$197,Calculo!$F$6:$ES$6,2)</f>
        <v>0</v>
      </c>
      <c r="F91" s="34" t="n">
        <f aca="false">SUMIFS(Calculo!$F$197:$ES$197,Calculo!$F$6:$ES$6,3)</f>
        <v>0</v>
      </c>
      <c r="G91" s="34" t="n">
        <f aca="false">SUMIFS(Calculo!$F$197:$ES$197,Calculo!$F$6:$ES$6,4)</f>
        <v>0</v>
      </c>
      <c r="H91" s="34" t="n">
        <f aca="false">SUMIFS(Calculo!$F$197:$ES$197,Calculo!$F$6:$ES$6,5)</f>
        <v>0</v>
      </c>
      <c r="I91" s="34" t="n">
        <f aca="false">SUMIFS(Calculo!$F$197:$ES$197,Calculo!$F$6:$ES$6,6)</f>
        <v>0</v>
      </c>
      <c r="J91" s="34" t="n">
        <f aca="false">SUMIFS(Calculo!$F$197:$ES$197,Calculo!$F$6:$ES$6,7)</f>
        <v>0</v>
      </c>
      <c r="K91" s="34" t="n">
        <f aca="false">SUMIFS(Calculo!$F$197:$ES$197,Calculo!$F$6:$ES$6,8)</f>
        <v>0</v>
      </c>
      <c r="L91" s="34" t="n">
        <f aca="false">SUMIFS(Calculo!$F$197:$ES$197,Calculo!$F$6:$ES$6,9)</f>
        <v>0</v>
      </c>
      <c r="M91" s="34" t="n">
        <f aca="false">SUMIFS(Calculo!$F$197:$ES$197,Calculo!$F$6:$ES$6,10)</f>
        <v>0</v>
      </c>
      <c r="N91" s="34" t="n">
        <f aca="false">SUMIFS(Calculo!$F$197:$ES$197,Calculo!$F$6:$ES$6,11)</f>
        <v>0</v>
      </c>
      <c r="O91" s="34" t="n">
        <f aca="false">SUMIFS(Calculo!$F$197:$ES$197,Calculo!$F$6:$ES$6,12)</f>
        <v>0</v>
      </c>
    </row>
    <row r="92" customFormat="false" ht="15" hidden="false" customHeight="false" outlineLevel="0" collapsed="false">
      <c r="A92" s="2" t="s">
        <v>1076</v>
      </c>
      <c r="B92" s="6" t="str">
        <f aca="false">IF(INDEX(Prod_Nombre,22)="","Producto 22",INDEX(Prod_Nombre,22))</f>
        <v>Producto 22</v>
      </c>
      <c r="C92" s="40" t="n">
        <f aca="false">SUM(D92:O92)</f>
        <v>0</v>
      </c>
      <c r="D92" s="34" t="n">
        <f aca="false">SUMIFS(Calculo!$F$198:$ES$198,Calculo!$F$6:$ES$6,1)</f>
        <v>0</v>
      </c>
      <c r="E92" s="34" t="n">
        <f aca="false">SUMIFS(Calculo!$F$198:$ES$198,Calculo!$F$6:$ES$6,2)</f>
        <v>0</v>
      </c>
      <c r="F92" s="34" t="n">
        <f aca="false">SUMIFS(Calculo!$F$198:$ES$198,Calculo!$F$6:$ES$6,3)</f>
        <v>0</v>
      </c>
      <c r="G92" s="34" t="n">
        <f aca="false">SUMIFS(Calculo!$F$198:$ES$198,Calculo!$F$6:$ES$6,4)</f>
        <v>0</v>
      </c>
      <c r="H92" s="34" t="n">
        <f aca="false">SUMIFS(Calculo!$F$198:$ES$198,Calculo!$F$6:$ES$6,5)</f>
        <v>0</v>
      </c>
      <c r="I92" s="34" t="n">
        <f aca="false">SUMIFS(Calculo!$F$198:$ES$198,Calculo!$F$6:$ES$6,6)</f>
        <v>0</v>
      </c>
      <c r="J92" s="34" t="n">
        <f aca="false">SUMIFS(Calculo!$F$198:$ES$198,Calculo!$F$6:$ES$6,7)</f>
        <v>0</v>
      </c>
      <c r="K92" s="34" t="n">
        <f aca="false">SUMIFS(Calculo!$F$198:$ES$198,Calculo!$F$6:$ES$6,8)</f>
        <v>0</v>
      </c>
      <c r="L92" s="34" t="n">
        <f aca="false">SUMIFS(Calculo!$F$198:$ES$198,Calculo!$F$6:$ES$6,9)</f>
        <v>0</v>
      </c>
      <c r="M92" s="34" t="n">
        <f aca="false">SUMIFS(Calculo!$F$198:$ES$198,Calculo!$F$6:$ES$6,10)</f>
        <v>0</v>
      </c>
      <c r="N92" s="34" t="n">
        <f aca="false">SUMIFS(Calculo!$F$198:$ES$198,Calculo!$F$6:$ES$6,11)</f>
        <v>0</v>
      </c>
      <c r="O92" s="34" t="n">
        <f aca="false">SUMIFS(Calculo!$F$198:$ES$198,Calculo!$F$6:$ES$6,12)</f>
        <v>0</v>
      </c>
    </row>
    <row r="93" customFormat="false" ht="15" hidden="false" customHeight="false" outlineLevel="0" collapsed="false">
      <c r="A93" s="2" t="s">
        <v>1077</v>
      </c>
      <c r="B93" s="6" t="str">
        <f aca="false">IF(INDEX(Prod_Nombre,23)="","Producto 23",INDEX(Prod_Nombre,23))</f>
        <v>Producto 23</v>
      </c>
      <c r="C93" s="40" t="n">
        <f aca="false">SUM(D93:O93)</f>
        <v>0</v>
      </c>
      <c r="D93" s="34" t="n">
        <f aca="false">SUMIFS(Calculo!$F$199:$ES$199,Calculo!$F$6:$ES$6,1)</f>
        <v>0</v>
      </c>
      <c r="E93" s="34" t="n">
        <f aca="false">SUMIFS(Calculo!$F$199:$ES$199,Calculo!$F$6:$ES$6,2)</f>
        <v>0</v>
      </c>
      <c r="F93" s="34" t="n">
        <f aca="false">SUMIFS(Calculo!$F$199:$ES$199,Calculo!$F$6:$ES$6,3)</f>
        <v>0</v>
      </c>
      <c r="G93" s="34" t="n">
        <f aca="false">SUMIFS(Calculo!$F$199:$ES$199,Calculo!$F$6:$ES$6,4)</f>
        <v>0</v>
      </c>
      <c r="H93" s="34" t="n">
        <f aca="false">SUMIFS(Calculo!$F$199:$ES$199,Calculo!$F$6:$ES$6,5)</f>
        <v>0</v>
      </c>
      <c r="I93" s="34" t="n">
        <f aca="false">SUMIFS(Calculo!$F$199:$ES$199,Calculo!$F$6:$ES$6,6)</f>
        <v>0</v>
      </c>
      <c r="J93" s="34" t="n">
        <f aca="false">SUMIFS(Calculo!$F$199:$ES$199,Calculo!$F$6:$ES$6,7)</f>
        <v>0</v>
      </c>
      <c r="K93" s="34" t="n">
        <f aca="false">SUMIFS(Calculo!$F$199:$ES$199,Calculo!$F$6:$ES$6,8)</f>
        <v>0</v>
      </c>
      <c r="L93" s="34" t="n">
        <f aca="false">SUMIFS(Calculo!$F$199:$ES$199,Calculo!$F$6:$ES$6,9)</f>
        <v>0</v>
      </c>
      <c r="M93" s="34" t="n">
        <f aca="false">SUMIFS(Calculo!$F$199:$ES$199,Calculo!$F$6:$ES$6,10)</f>
        <v>0</v>
      </c>
      <c r="N93" s="34" t="n">
        <f aca="false">SUMIFS(Calculo!$F$199:$ES$199,Calculo!$F$6:$ES$6,11)</f>
        <v>0</v>
      </c>
      <c r="O93" s="34" t="n">
        <f aca="false">SUMIFS(Calculo!$F$199:$ES$199,Calculo!$F$6:$ES$6,12)</f>
        <v>0</v>
      </c>
    </row>
    <row r="94" customFormat="false" ht="15" hidden="false" customHeight="false" outlineLevel="0" collapsed="false">
      <c r="A94" s="2" t="s">
        <v>1078</v>
      </c>
      <c r="B94" s="6" t="str">
        <f aca="false">IF(INDEX(Prod_Nombre,24)="","Producto 24",INDEX(Prod_Nombre,24))</f>
        <v>Producto 24</v>
      </c>
      <c r="C94" s="40" t="n">
        <f aca="false">SUM(D94:O94)</f>
        <v>0</v>
      </c>
      <c r="D94" s="34" t="n">
        <f aca="false">SUMIFS(Calculo!$F$200:$ES$200,Calculo!$F$6:$ES$6,1)</f>
        <v>0</v>
      </c>
      <c r="E94" s="34" t="n">
        <f aca="false">SUMIFS(Calculo!$F$200:$ES$200,Calculo!$F$6:$ES$6,2)</f>
        <v>0</v>
      </c>
      <c r="F94" s="34" t="n">
        <f aca="false">SUMIFS(Calculo!$F$200:$ES$200,Calculo!$F$6:$ES$6,3)</f>
        <v>0</v>
      </c>
      <c r="G94" s="34" t="n">
        <f aca="false">SUMIFS(Calculo!$F$200:$ES$200,Calculo!$F$6:$ES$6,4)</f>
        <v>0</v>
      </c>
      <c r="H94" s="34" t="n">
        <f aca="false">SUMIFS(Calculo!$F$200:$ES$200,Calculo!$F$6:$ES$6,5)</f>
        <v>0</v>
      </c>
      <c r="I94" s="34" t="n">
        <f aca="false">SUMIFS(Calculo!$F$200:$ES$200,Calculo!$F$6:$ES$6,6)</f>
        <v>0</v>
      </c>
      <c r="J94" s="34" t="n">
        <f aca="false">SUMIFS(Calculo!$F$200:$ES$200,Calculo!$F$6:$ES$6,7)</f>
        <v>0</v>
      </c>
      <c r="K94" s="34" t="n">
        <f aca="false">SUMIFS(Calculo!$F$200:$ES$200,Calculo!$F$6:$ES$6,8)</f>
        <v>0</v>
      </c>
      <c r="L94" s="34" t="n">
        <f aca="false">SUMIFS(Calculo!$F$200:$ES$200,Calculo!$F$6:$ES$6,9)</f>
        <v>0</v>
      </c>
      <c r="M94" s="34" t="n">
        <f aca="false">SUMIFS(Calculo!$F$200:$ES$200,Calculo!$F$6:$ES$6,10)</f>
        <v>0</v>
      </c>
      <c r="N94" s="34" t="n">
        <f aca="false">SUMIFS(Calculo!$F$200:$ES$200,Calculo!$F$6:$ES$6,11)</f>
        <v>0</v>
      </c>
      <c r="O94" s="34" t="n">
        <f aca="false">SUMIFS(Calculo!$F$200:$ES$200,Calculo!$F$6:$ES$6,12)</f>
        <v>0</v>
      </c>
    </row>
    <row r="95" customFormat="false" ht="15" hidden="false" customHeight="false" outlineLevel="0" collapsed="false">
      <c r="A95" s="2" t="s">
        <v>1079</v>
      </c>
      <c r="B95" s="6" t="str">
        <f aca="false">IF(INDEX(Prod_Nombre,25)="","Producto 25",INDEX(Prod_Nombre,25))</f>
        <v>Producto 25</v>
      </c>
      <c r="C95" s="40" t="n">
        <f aca="false">SUM(D95:O95)</f>
        <v>0</v>
      </c>
      <c r="D95" s="34" t="n">
        <f aca="false">SUMIFS(Calculo!$F$201:$ES$201,Calculo!$F$6:$ES$6,1)</f>
        <v>0</v>
      </c>
      <c r="E95" s="34" t="n">
        <f aca="false">SUMIFS(Calculo!$F$201:$ES$201,Calculo!$F$6:$ES$6,2)</f>
        <v>0</v>
      </c>
      <c r="F95" s="34" t="n">
        <f aca="false">SUMIFS(Calculo!$F$201:$ES$201,Calculo!$F$6:$ES$6,3)</f>
        <v>0</v>
      </c>
      <c r="G95" s="34" t="n">
        <f aca="false">SUMIFS(Calculo!$F$201:$ES$201,Calculo!$F$6:$ES$6,4)</f>
        <v>0</v>
      </c>
      <c r="H95" s="34" t="n">
        <f aca="false">SUMIFS(Calculo!$F$201:$ES$201,Calculo!$F$6:$ES$6,5)</f>
        <v>0</v>
      </c>
      <c r="I95" s="34" t="n">
        <f aca="false">SUMIFS(Calculo!$F$201:$ES$201,Calculo!$F$6:$ES$6,6)</f>
        <v>0</v>
      </c>
      <c r="J95" s="34" t="n">
        <f aca="false">SUMIFS(Calculo!$F$201:$ES$201,Calculo!$F$6:$ES$6,7)</f>
        <v>0</v>
      </c>
      <c r="K95" s="34" t="n">
        <f aca="false">SUMIFS(Calculo!$F$201:$ES$201,Calculo!$F$6:$ES$6,8)</f>
        <v>0</v>
      </c>
      <c r="L95" s="34" t="n">
        <f aca="false">SUMIFS(Calculo!$F$201:$ES$201,Calculo!$F$6:$ES$6,9)</f>
        <v>0</v>
      </c>
      <c r="M95" s="34" t="n">
        <f aca="false">SUMIFS(Calculo!$F$201:$ES$201,Calculo!$F$6:$ES$6,10)</f>
        <v>0</v>
      </c>
      <c r="N95" s="34" t="n">
        <f aca="false">SUMIFS(Calculo!$F$201:$ES$201,Calculo!$F$6:$ES$6,11)</f>
        <v>0</v>
      </c>
      <c r="O95" s="34" t="n">
        <f aca="false">SUMIFS(Calculo!$F$201:$ES$201,Calculo!$F$6:$ES$6,12)</f>
        <v>0</v>
      </c>
    </row>
    <row r="97" customFormat="false" ht="15" hidden="false" customHeight="false" outlineLevel="0" collapsed="false">
      <c r="A97" s="3" t="s">
        <v>1080</v>
      </c>
      <c r="B97" s="4"/>
      <c r="C97" s="4"/>
      <c r="D97" s="4"/>
      <c r="E97" s="4"/>
      <c r="F97" s="4"/>
      <c r="G97" s="4"/>
      <c r="H97" s="4"/>
      <c r="I97" s="4"/>
      <c r="J97" s="4"/>
      <c r="K97" s="4"/>
      <c r="L97" s="4"/>
      <c r="M97" s="4"/>
      <c r="N97" s="4"/>
      <c r="O97" s="4"/>
    </row>
    <row r="98" customFormat="false" ht="15" hidden="false" customHeight="false" outlineLevel="0" collapsed="false">
      <c r="A98" s="5"/>
      <c r="B98" s="5" t="s">
        <v>1000</v>
      </c>
      <c r="C98" s="5" t="s">
        <v>291</v>
      </c>
      <c r="D98" s="5" t="s">
        <v>194</v>
      </c>
      <c r="E98" s="5" t="s">
        <v>195</v>
      </c>
      <c r="F98" s="5" t="s">
        <v>196</v>
      </c>
      <c r="G98" s="5" t="s">
        <v>197</v>
      </c>
      <c r="H98" s="5" t="s">
        <v>198</v>
      </c>
      <c r="I98" s="5" t="s">
        <v>199</v>
      </c>
      <c r="J98" s="5" t="s">
        <v>200</v>
      </c>
      <c r="K98" s="5" t="s">
        <v>201</v>
      </c>
      <c r="L98" s="5" t="s">
        <v>202</v>
      </c>
      <c r="M98" s="5" t="s">
        <v>203</v>
      </c>
      <c r="N98" s="5" t="s">
        <v>1001</v>
      </c>
      <c r="O98" s="5" t="s">
        <v>1002</v>
      </c>
    </row>
    <row r="99" customFormat="false" ht="15" hidden="false" customHeight="false" outlineLevel="0" collapsed="false">
      <c r="B99" s="2" t="s">
        <v>1003</v>
      </c>
      <c r="D99" s="71" t="str">
        <f aca="false">IF(Corte&gt;=12,"Real",IF(Corte&gt;0,"Real+Proy.","Proyección"))</f>
        <v>Proyección</v>
      </c>
      <c r="E99" s="71" t="str">
        <f aca="false">IF(Corte&gt;=24,"Real",IF(Corte&gt;12,"Real+Proy.","Proyección"))</f>
        <v>Proyección</v>
      </c>
      <c r="F99" s="71" t="str">
        <f aca="false">IF(Corte&gt;=36,"Real",IF(Corte&gt;24,"Real+Proy.","Proyección"))</f>
        <v>Proyección</v>
      </c>
      <c r="G99" s="71" t="str">
        <f aca="false">IF(Corte&gt;=48,"Real",IF(Corte&gt;36,"Real+Proy.","Proyección"))</f>
        <v>Proyección</v>
      </c>
      <c r="H99" s="71" t="str">
        <f aca="false">IF(Corte&gt;=60,"Real",IF(Corte&gt;48,"Real+Proy.","Proyección"))</f>
        <v>Proyección</v>
      </c>
      <c r="I99" s="71" t="str">
        <f aca="false">IF(Corte&gt;=72,"Real",IF(Corte&gt;60,"Real+Proy.","Proyección"))</f>
        <v>Proyección</v>
      </c>
      <c r="J99" s="71" t="str">
        <f aca="false">IF(Corte&gt;=84,"Real",IF(Corte&gt;72,"Real+Proy.","Proyección"))</f>
        <v>Proyección</v>
      </c>
      <c r="K99" s="71" t="str">
        <f aca="false">IF(Corte&gt;=96,"Real",IF(Corte&gt;84,"Real+Proy.","Proyección"))</f>
        <v>Proyección</v>
      </c>
      <c r="L99" s="71" t="str">
        <f aca="false">IF(Corte&gt;=108,"Real",IF(Corte&gt;96,"Real+Proy.","Proyección"))</f>
        <v>Proyección</v>
      </c>
      <c r="M99" s="71" t="str">
        <f aca="false">IF(Corte&gt;=120,"Real",IF(Corte&gt;108,"Real+Proy.","Proyección"))</f>
        <v>Proyección</v>
      </c>
      <c r="N99" s="71" t="str">
        <f aca="false">IF(Corte&gt;=132,"Real",IF(Corte&gt;120,"Real+Proy.","Proyección"))</f>
        <v>Proyección</v>
      </c>
      <c r="O99" s="71" t="str">
        <f aca="false">IF(Corte&gt;=144,"Real",IF(Corte&gt;132,"Real+Proy.","Proyección"))</f>
        <v>Proyección</v>
      </c>
    </row>
    <row r="100" customFormat="false" ht="15" hidden="false" customHeight="false" outlineLevel="0" collapsed="false">
      <c r="B100" s="2" t="s">
        <v>1004</v>
      </c>
      <c r="D100" s="72" t="str">
        <f aca="false">IF(n_Fecha1="","",YEAR(EOMONTH(n_Fecha1,0)))</f>
        <v/>
      </c>
      <c r="E100" s="72" t="str">
        <f aca="false">IF(n_Fecha1="","",YEAR(EOMONTH(n_Fecha1,12)))</f>
        <v/>
      </c>
      <c r="F100" s="72" t="str">
        <f aca="false">IF(n_Fecha1="","",YEAR(EOMONTH(n_Fecha1,24)))</f>
        <v/>
      </c>
      <c r="G100" s="72" t="str">
        <f aca="false">IF(n_Fecha1="","",YEAR(EOMONTH(n_Fecha1,36)))</f>
        <v/>
      </c>
      <c r="H100" s="72" t="str">
        <f aca="false">IF(n_Fecha1="","",YEAR(EOMONTH(n_Fecha1,48)))</f>
        <v/>
      </c>
      <c r="I100" s="72" t="str">
        <f aca="false">IF(n_Fecha1="","",YEAR(EOMONTH(n_Fecha1,60)))</f>
        <v/>
      </c>
      <c r="J100" s="72" t="str">
        <f aca="false">IF(n_Fecha1="","",YEAR(EOMONTH(n_Fecha1,72)))</f>
        <v/>
      </c>
      <c r="K100" s="72" t="str">
        <f aca="false">IF(n_Fecha1="","",YEAR(EOMONTH(n_Fecha1,84)))</f>
        <v/>
      </c>
      <c r="L100" s="72" t="str">
        <f aca="false">IF(n_Fecha1="","",YEAR(EOMONTH(n_Fecha1,96)))</f>
        <v/>
      </c>
      <c r="M100" s="72" t="str">
        <f aca="false">IF(n_Fecha1="","",YEAR(EOMONTH(n_Fecha1,108)))</f>
        <v/>
      </c>
      <c r="N100" s="72" t="str">
        <f aca="false">IF(n_Fecha1="","",YEAR(EOMONTH(n_Fecha1,120)))</f>
        <v/>
      </c>
      <c r="O100" s="72" t="str">
        <f aca="false">IF(n_Fecha1="","",YEAR(EOMONTH(n_Fecha1,132)))</f>
        <v/>
      </c>
    </row>
    <row r="101" customFormat="false" ht="15" hidden="false" customHeight="false" outlineLevel="0" collapsed="false">
      <c r="A101" s="2" t="s">
        <v>1081</v>
      </c>
      <c r="B101" s="52" t="s">
        <v>248</v>
      </c>
      <c r="C101" s="40" t="n">
        <f aca="false">SUM(D101:O101)</f>
        <v>81222447.7216454</v>
      </c>
      <c r="D101" s="10" t="n">
        <f aca="false">SUMIFS(Calculo!$F$71:$ES$71,Calculo!$F$6:$ES$6,1)</f>
        <v>4850000</v>
      </c>
      <c r="E101" s="10" t="n">
        <f aca="false">SUMIFS(Calculo!$F$71:$ES$71,Calculo!$F$6:$ES$6,2)</f>
        <v>6181200</v>
      </c>
      <c r="F101" s="10" t="n">
        <f aca="false">SUMIFS(Calculo!$F$71:$ES$71,Calculo!$F$6:$ES$6,3)</f>
        <v>7538539</v>
      </c>
      <c r="G101" s="10" t="n">
        <f aca="false">SUMIFS(Calculo!$F$71:$ES$71,Calculo!$F$6:$ES$6,4)</f>
        <v>8685437.43</v>
      </c>
      <c r="H101" s="10" t="n">
        <f aca="false">SUMIFS(Calculo!$F$71:$ES$71,Calculo!$F$6:$ES$6,5)</f>
        <v>8772291.8043</v>
      </c>
      <c r="I101" s="10" t="n">
        <f aca="false">SUMIFS(Calculo!$F$71:$ES$71,Calculo!$F$6:$ES$6,6)</f>
        <v>8860014.722343</v>
      </c>
      <c r="J101" s="10" t="n">
        <f aca="false">SUMIFS(Calculo!$F$71:$ES$71,Calculo!$F$6:$ES$6,7)</f>
        <v>8948614.86956643</v>
      </c>
      <c r="K101" s="10" t="n">
        <f aca="false">SUMIFS(Calculo!$F$71:$ES$71,Calculo!$F$6:$ES$6,8)</f>
        <v>9038101.01826209</v>
      </c>
      <c r="L101" s="10" t="n">
        <f aca="false">SUMIFS(Calculo!$F$71:$ES$71,Calculo!$F$6:$ES$6,9)</f>
        <v>9128482.02844472</v>
      </c>
      <c r="M101" s="10" t="n">
        <f aca="false">SUMIFS(Calculo!$F$71:$ES$71,Calculo!$F$6:$ES$6,10)</f>
        <v>9219766.84872916</v>
      </c>
      <c r="N101" s="10" t="n">
        <f aca="false">SUMIFS(Calculo!$F$71:$ES$71,Calculo!$F$6:$ES$6,11)</f>
        <v>0</v>
      </c>
      <c r="O101" s="10" t="n">
        <f aca="false">SUMIFS(Calculo!$F$71:$ES$71,Calculo!$F$6:$ES$6,12)</f>
        <v>0</v>
      </c>
    </row>
    <row r="102" customFormat="false" ht="15" hidden="false" customHeight="false" outlineLevel="0" collapsed="false">
      <c r="A102" s="2" t="s">
        <v>1082</v>
      </c>
      <c r="B102" s="52" t="s">
        <v>251</v>
      </c>
      <c r="C102" s="40" t="n">
        <f aca="false">SUM(D102:O102)</f>
        <v>16309504.016261</v>
      </c>
      <c r="D102" s="10" t="n">
        <f aca="false">SUMIFS(Calculo!$F$102:$ES$102,Calculo!$F$6:$ES$6,1)</f>
        <v>509970.005707077</v>
      </c>
      <c r="E102" s="10" t="n">
        <f aca="false">SUMIFS(Calculo!$F$102:$ES$102,Calculo!$F$6:$ES$6,2)</f>
        <v>965956.835927578</v>
      </c>
      <c r="F102" s="10" t="n">
        <f aca="false">SUMIFS(Calculo!$F$102:$ES$102,Calculo!$F$6:$ES$6,3)</f>
        <v>1405020.3703815</v>
      </c>
      <c r="G102" s="10" t="n">
        <f aca="false">SUMIFS(Calculo!$F$102:$ES$102,Calculo!$F$6:$ES$6,4)</f>
        <v>1798722.9585583</v>
      </c>
      <c r="H102" s="10" t="n">
        <f aca="false">SUMIFS(Calculo!$F$102:$ES$102,Calculo!$F$6:$ES$6,5)</f>
        <v>1814557.97851648</v>
      </c>
      <c r="I102" s="10" t="n">
        <f aca="false">SUMIFS(Calculo!$F$102:$ES$102,Calculo!$F$6:$ES$6,6)</f>
        <v>1863605.30157391</v>
      </c>
      <c r="J102" s="10" t="n">
        <f aca="false">SUMIFS(Calculo!$F$102:$ES$102,Calculo!$F$6:$ES$6,7)</f>
        <v>1912992.2698728</v>
      </c>
      <c r="K102" s="10" t="n">
        <f aca="false">SUMIFS(Calculo!$F$102:$ES$102,Calculo!$F$6:$ES$6,8)</f>
        <v>1962717.82255545</v>
      </c>
      <c r="L102" s="10" t="n">
        <f aca="false">SUMIFS(Calculo!$F$102:$ES$102,Calculo!$F$6:$ES$6,9)</f>
        <v>2012780.75578689</v>
      </c>
      <c r="M102" s="10" t="n">
        <f aca="false">SUMIFS(Calculo!$F$102:$ES$102,Calculo!$F$6:$ES$6,10)</f>
        <v>2063179.71738103</v>
      </c>
      <c r="N102" s="10" t="n">
        <f aca="false">SUMIFS(Calculo!$F$102:$ES$102,Calculo!$F$6:$ES$6,11)</f>
        <v>0</v>
      </c>
      <c r="O102" s="10" t="n">
        <f aca="false">SUMIFS(Calculo!$F$102:$ES$102,Calculo!$F$6:$ES$6,12)</f>
        <v>0</v>
      </c>
    </row>
    <row r="103" customFormat="false" ht="15" hidden="false" customHeight="false" outlineLevel="0" collapsed="false">
      <c r="A103" s="2" t="s">
        <v>1083</v>
      </c>
      <c r="B103" s="52" t="s">
        <v>1024</v>
      </c>
      <c r="C103" s="40" t="n">
        <f aca="false">SUM(D103:O103)</f>
        <v>14751245.7980366</v>
      </c>
      <c r="D103" s="10" t="n">
        <f aca="false">SUMIFS(Calculo!$F$107:$ES$107,Calculo!$F$6:$ES$6,1)</f>
        <v>167275.864276051</v>
      </c>
      <c r="E103" s="10" t="n">
        <f aca="false">SUMIFS(Calculo!$F$107:$ES$107,Calculo!$F$6:$ES$6,2)</f>
        <v>658090.372806125</v>
      </c>
      <c r="F103" s="10" t="n">
        <f aca="false">SUMIFS(Calculo!$F$107:$ES$107,Calculo!$F$6:$ES$6,3)</f>
        <v>1154012.18844033</v>
      </c>
      <c r="G103" s="10" t="n">
        <f aca="false">SUMIFS(Calculo!$F$107:$ES$107,Calculo!$F$6:$ES$6,4)</f>
        <v>1609906.75676184</v>
      </c>
      <c r="H103" s="10" t="n">
        <f aca="false">SUMIFS(Calculo!$F$107:$ES$107,Calculo!$F$6:$ES$6,5)</f>
        <v>1693767.79358213</v>
      </c>
      <c r="I103" s="10" t="n">
        <f aca="false">SUMIFS(Calculo!$F$107:$ES$107,Calculo!$F$6:$ES$6,6)</f>
        <v>1794188.69257391</v>
      </c>
      <c r="J103" s="10" t="n">
        <f aca="false">SUMIFS(Calculo!$F$107:$ES$107,Calculo!$F$6:$ES$6,7)</f>
        <v>1843575.6608728</v>
      </c>
      <c r="K103" s="10" t="n">
        <f aca="false">SUMIFS(Calculo!$F$107:$ES$107,Calculo!$F$6:$ES$6,8)</f>
        <v>1893301.21355545</v>
      </c>
      <c r="L103" s="10" t="n">
        <f aca="false">SUMIFS(Calculo!$F$107:$ES$107,Calculo!$F$6:$ES$6,9)</f>
        <v>1943364.14678689</v>
      </c>
      <c r="M103" s="10" t="n">
        <f aca="false">SUMIFS(Calculo!$F$107:$ES$107,Calculo!$F$6:$ES$6,10)</f>
        <v>1993763.10838103</v>
      </c>
      <c r="N103" s="10" t="n">
        <f aca="false">SUMIFS(Calculo!$F$107:$ES$107,Calculo!$F$6:$ES$6,11)</f>
        <v>0</v>
      </c>
      <c r="O103" s="10" t="n">
        <f aca="false">SUMIFS(Calculo!$F$107:$ES$107,Calculo!$F$6:$ES$6,12)</f>
        <v>0</v>
      </c>
    </row>
    <row r="104" customFormat="false" ht="15" hidden="false" customHeight="false" outlineLevel="0" collapsed="false">
      <c r="A104" s="2" t="s">
        <v>1084</v>
      </c>
      <c r="B104" s="6" t="s">
        <v>1026</v>
      </c>
      <c r="C104" s="40" t="n">
        <f aca="false">SUM(D104:O104)</f>
        <v>11809741.4989387</v>
      </c>
      <c r="D104" s="34" t="n">
        <f aca="false">SUMIFS(Calculo!$F$116:$ES$116,Calculo!$F$6:$ES$6,1)</f>
        <v>-1878093.88165195</v>
      </c>
      <c r="E104" s="34" t="n">
        <f aca="false">SUMIFS(Calculo!$F$116:$ES$116,Calculo!$F$6:$ES$6,2)</f>
        <v>310811.391531933</v>
      </c>
      <c r="F104" s="34" t="n">
        <f aca="false">SUMIFS(Calculo!$F$116:$ES$116,Calculo!$F$6:$ES$6,3)</f>
        <v>737693.439749073</v>
      </c>
      <c r="G104" s="34" t="n">
        <f aca="false">SUMIFS(Calculo!$F$116:$ES$116,Calculo!$F$6:$ES$6,4)</f>
        <v>1239913.88862499</v>
      </c>
      <c r="H104" s="34" t="n">
        <f aca="false">SUMIFS(Calculo!$F$116:$ES$116,Calculo!$F$6:$ES$6,5)</f>
        <v>1776448.43081062</v>
      </c>
      <c r="I104" s="34" t="n">
        <f aca="false">SUMIFS(Calculo!$F$116:$ES$116,Calculo!$F$6:$ES$6,6)</f>
        <v>1825880.44510532</v>
      </c>
      <c r="J104" s="34" t="n">
        <f aca="false">SUMIFS(Calculo!$F$116:$ES$116,Calculo!$F$6:$ES$6,7)</f>
        <v>1874902.37664802</v>
      </c>
      <c r="K104" s="34" t="n">
        <f aca="false">SUMIFS(Calculo!$F$116:$ES$116,Calculo!$F$6:$ES$6,8)</f>
        <v>1924259.60486093</v>
      </c>
      <c r="L104" s="34" t="n">
        <f aca="false">SUMIFS(Calculo!$F$116:$ES$116,Calculo!$F$6:$ES$6,9)</f>
        <v>1973950.90383755</v>
      </c>
      <c r="M104" s="34" t="n">
        <f aca="false">SUMIFS(Calculo!$F$116:$ES$116,Calculo!$F$6:$ES$6,10)</f>
        <v>2023974.89942226</v>
      </c>
      <c r="N104" s="34" t="n">
        <f aca="false">SUMIFS(Calculo!$F$116:$ES$116,Calculo!$F$6:$ES$6,11)</f>
        <v>0</v>
      </c>
      <c r="O104" s="34" t="n">
        <f aca="false">SUMIFS(Calculo!$F$116:$ES$116,Calculo!$F$6:$ES$6,12)</f>
        <v>0</v>
      </c>
    </row>
    <row r="105" customFormat="false" ht="15" hidden="false" customHeight="false" outlineLevel="0" collapsed="false">
      <c r="A105" s="2" t="s">
        <v>1085</v>
      </c>
      <c r="B105" s="6" t="s">
        <v>531</v>
      </c>
      <c r="C105" s="40" t="n">
        <f aca="false">SUM(D105:O105)</f>
        <v>755044.09</v>
      </c>
      <c r="D105" s="34" t="n">
        <f aca="false">SUMIFS(Calculo!$F$117:$ES$117,Calculo!$F$6:$ES$6,1)</f>
        <v>655044.09</v>
      </c>
      <c r="E105" s="34" t="n">
        <f aca="false">SUMIFS(Calculo!$F$117:$ES$117,Calculo!$F$6:$ES$6,2)</f>
        <v>100000</v>
      </c>
      <c r="F105" s="34" t="n">
        <f aca="false">SUMIFS(Calculo!$F$117:$ES$117,Calculo!$F$6:$ES$6,3)</f>
        <v>0</v>
      </c>
      <c r="G105" s="34" t="n">
        <f aca="false">SUMIFS(Calculo!$F$117:$ES$117,Calculo!$F$6:$ES$6,4)</f>
        <v>0</v>
      </c>
      <c r="H105" s="34" t="n">
        <f aca="false">SUMIFS(Calculo!$F$117:$ES$117,Calculo!$F$6:$ES$6,5)</f>
        <v>0</v>
      </c>
      <c r="I105" s="34" t="n">
        <f aca="false">SUMIFS(Calculo!$F$117:$ES$117,Calculo!$F$6:$ES$6,6)</f>
        <v>0</v>
      </c>
      <c r="J105" s="34" t="n">
        <f aca="false">SUMIFS(Calculo!$F$117:$ES$117,Calculo!$F$6:$ES$6,7)</f>
        <v>0</v>
      </c>
      <c r="K105" s="34" t="n">
        <f aca="false">SUMIFS(Calculo!$F$117:$ES$117,Calculo!$F$6:$ES$6,8)</f>
        <v>0</v>
      </c>
      <c r="L105" s="34" t="n">
        <f aca="false">SUMIFS(Calculo!$F$117:$ES$117,Calculo!$F$6:$ES$6,9)</f>
        <v>0</v>
      </c>
      <c r="M105" s="34" t="n">
        <f aca="false">SUMIFS(Calculo!$F$117:$ES$117,Calculo!$F$6:$ES$6,10)</f>
        <v>0</v>
      </c>
      <c r="N105" s="34" t="n">
        <f aca="false">SUMIFS(Calculo!$F$117:$ES$117,Calculo!$F$6:$ES$6,11)</f>
        <v>0</v>
      </c>
      <c r="O105" s="34" t="n">
        <f aca="false">SUMIFS(Calculo!$F$117:$ES$117,Calculo!$F$6:$ES$6,12)</f>
        <v>0</v>
      </c>
    </row>
    <row r="106" customFormat="false" ht="15" hidden="false" customHeight="false" outlineLevel="0" collapsed="false">
      <c r="A106" s="2" t="s">
        <v>1086</v>
      </c>
      <c r="B106" s="52" t="s">
        <v>1029</v>
      </c>
      <c r="C106" s="40" t="n">
        <f aca="false">SUM(D106:O106)</f>
        <v>15564459.926261</v>
      </c>
      <c r="D106" s="10" t="n">
        <f aca="false">SUMIFS(Calculo!$F$120:$ES$120,Calculo!$F$6:$ES$6,1)</f>
        <v>-2533137.97165195</v>
      </c>
      <c r="E106" s="10" t="n">
        <f aca="false">SUMIFS(Calculo!$F$120:$ES$120,Calculo!$F$6:$ES$6,2)</f>
        <v>210811.391531933</v>
      </c>
      <c r="F106" s="10" t="n">
        <f aca="false">SUMIFS(Calculo!$F$120:$ES$120,Calculo!$F$6:$ES$6,3)</f>
        <v>737693.439749073</v>
      </c>
      <c r="G106" s="10" t="n">
        <f aca="false">SUMIFS(Calculo!$F$120:$ES$120,Calculo!$F$6:$ES$6,4)</f>
        <v>1239913.88862499</v>
      </c>
      <c r="H106" s="10" t="n">
        <f aca="false">SUMIFS(Calculo!$F$120:$ES$120,Calculo!$F$6:$ES$6,5)</f>
        <v>1776448.43081062</v>
      </c>
      <c r="I106" s="10" t="n">
        <f aca="false">SUMIFS(Calculo!$F$120:$ES$120,Calculo!$F$6:$ES$6,6)</f>
        <v>1825880.44510532</v>
      </c>
      <c r="J106" s="10" t="n">
        <f aca="false">SUMIFS(Calculo!$F$120:$ES$120,Calculo!$F$6:$ES$6,7)</f>
        <v>1874902.37664802</v>
      </c>
      <c r="K106" s="10" t="n">
        <f aca="false">SUMIFS(Calculo!$F$120:$ES$120,Calculo!$F$6:$ES$6,8)</f>
        <v>1924259.60486093</v>
      </c>
      <c r="L106" s="10" t="n">
        <f aca="false">SUMIFS(Calculo!$F$120:$ES$120,Calculo!$F$6:$ES$6,9)</f>
        <v>1973950.90383755</v>
      </c>
      <c r="M106" s="10" t="n">
        <f aca="false">SUMIFS(Calculo!$F$120:$ES$120,Calculo!$F$6:$ES$6,10)</f>
        <v>6533737.41674454</v>
      </c>
      <c r="N106" s="10" t="n">
        <f aca="false">SUMIFS(Calculo!$F$120:$ES$120,Calculo!$F$6:$ES$6,11)</f>
        <v>0</v>
      </c>
      <c r="O106" s="10" t="n">
        <f aca="false">SUMIFS(Calculo!$F$120:$ES$120,Calculo!$F$6:$ES$6,12)</f>
        <v>0</v>
      </c>
    </row>
    <row r="107" customFormat="false" ht="15" hidden="false" customHeight="false" outlineLevel="0" collapsed="false">
      <c r="A107" s="2" t="s">
        <v>1087</v>
      </c>
      <c r="B107" s="6" t="s">
        <v>759</v>
      </c>
      <c r="C107" s="40" t="n">
        <f aca="false">SUM(D107:O107)</f>
        <v>1139710</v>
      </c>
      <c r="D107" s="34" t="n">
        <f aca="false">SUMIFS(Calculo!$F$138:$ES$138,Calculo!$F$6:$ES$6,1)</f>
        <v>767782</v>
      </c>
      <c r="E107" s="34" t="n">
        <f aca="false">SUMIFS(Calculo!$F$138:$ES$138,Calculo!$F$6:$ES$6,2)</f>
        <v>371928</v>
      </c>
      <c r="F107" s="34" t="n">
        <f aca="false">SUMIFS(Calculo!$F$138:$ES$138,Calculo!$F$6:$ES$6,3)</f>
        <v>0</v>
      </c>
      <c r="G107" s="34" t="n">
        <f aca="false">SUMIFS(Calculo!$F$138:$ES$138,Calculo!$F$6:$ES$6,4)</f>
        <v>0</v>
      </c>
      <c r="H107" s="34" t="n">
        <f aca="false">SUMIFS(Calculo!$F$138:$ES$138,Calculo!$F$6:$ES$6,5)</f>
        <v>0</v>
      </c>
      <c r="I107" s="34" t="n">
        <f aca="false">SUMIFS(Calculo!$F$138:$ES$138,Calculo!$F$6:$ES$6,6)</f>
        <v>0</v>
      </c>
      <c r="J107" s="34" t="n">
        <f aca="false">SUMIFS(Calculo!$F$138:$ES$138,Calculo!$F$6:$ES$6,7)</f>
        <v>0</v>
      </c>
      <c r="K107" s="34" t="n">
        <f aca="false">SUMIFS(Calculo!$F$138:$ES$138,Calculo!$F$6:$ES$6,8)</f>
        <v>0</v>
      </c>
      <c r="L107" s="34" t="n">
        <f aca="false">SUMIFS(Calculo!$F$138:$ES$138,Calculo!$F$6:$ES$6,9)</f>
        <v>0</v>
      </c>
      <c r="M107" s="34" t="n">
        <f aca="false">SUMIFS(Calculo!$F$138:$ES$138,Calculo!$F$6:$ES$6,10)</f>
        <v>0</v>
      </c>
      <c r="N107" s="34" t="n">
        <f aca="false">SUMIFS(Calculo!$F$138:$ES$138,Calculo!$F$6:$ES$6,11)</f>
        <v>0</v>
      </c>
      <c r="O107" s="34" t="n">
        <f aca="false">SUMIFS(Calculo!$F$138:$ES$138,Calculo!$F$6:$ES$6,12)</f>
        <v>0</v>
      </c>
    </row>
    <row r="108" customFormat="false" ht="15" hidden="false" customHeight="false" outlineLevel="0" collapsed="false">
      <c r="A108" s="2" t="s">
        <v>1088</v>
      </c>
      <c r="B108" s="6" t="s">
        <v>699</v>
      </c>
      <c r="C108" s="40" t="n">
        <f aca="false">SUM(D108:O108)</f>
        <v>813214.128224454</v>
      </c>
      <c r="D108" s="34" t="n">
        <f aca="false">SUMIFS(Calculo!$F$105:$ES$105,Calculo!$F$6:$ES$6,1)</f>
        <v>271101.932431026</v>
      </c>
      <c r="E108" s="34" t="n">
        <f aca="false">SUMIFS(Calculo!$F$105:$ES$105,Calculo!$F$6:$ES$6,2)</f>
        <v>226274.254121452</v>
      </c>
      <c r="F108" s="34" t="n">
        <f aca="false">SUMIFS(Calculo!$F$105:$ES$105,Calculo!$F$6:$ES$6,3)</f>
        <v>169415.972941167</v>
      </c>
      <c r="G108" s="34" t="n">
        <f aca="false">SUMIFS(Calculo!$F$105:$ES$105,Calculo!$F$6:$ES$6,4)</f>
        <v>107223.992796456</v>
      </c>
      <c r="H108" s="34" t="n">
        <f aca="false">SUMIFS(Calculo!$F$105:$ES$105,Calculo!$F$6:$ES$6,5)</f>
        <v>39197.9759343531</v>
      </c>
      <c r="I108" s="34" t="n">
        <f aca="false">SUMIFS(Calculo!$F$105:$ES$105,Calculo!$F$6:$ES$6,6)</f>
        <v>0</v>
      </c>
      <c r="J108" s="34" t="n">
        <f aca="false">SUMIFS(Calculo!$F$105:$ES$105,Calculo!$F$6:$ES$6,7)</f>
        <v>0</v>
      </c>
      <c r="K108" s="34" t="n">
        <f aca="false">SUMIFS(Calculo!$F$105:$ES$105,Calculo!$F$6:$ES$6,8)</f>
        <v>0</v>
      </c>
      <c r="L108" s="34" t="n">
        <f aca="false">SUMIFS(Calculo!$F$105:$ES$105,Calculo!$F$6:$ES$6,9)</f>
        <v>0</v>
      </c>
      <c r="M108" s="34" t="n">
        <f aca="false">SUMIFS(Calculo!$F$105:$ES$105,Calculo!$F$6:$ES$6,10)</f>
        <v>0</v>
      </c>
      <c r="N108" s="34" t="n">
        <f aca="false">SUMIFS(Calculo!$F$105:$ES$105,Calculo!$F$6:$ES$6,11)</f>
        <v>0</v>
      </c>
      <c r="O108" s="34" t="n">
        <f aca="false">SUMIFS(Calculo!$F$105:$ES$105,Calculo!$F$6:$ES$6,12)</f>
        <v>0</v>
      </c>
    </row>
    <row r="109" customFormat="false" ht="15" hidden="false" customHeight="false" outlineLevel="0" collapsed="false">
      <c r="A109" s="2" t="s">
        <v>1089</v>
      </c>
      <c r="B109" s="6" t="s">
        <v>1033</v>
      </c>
      <c r="C109" s="40" t="n">
        <f aca="false">SUM(D109:O109)</f>
        <v>2791587</v>
      </c>
      <c r="D109" s="34" t="n">
        <f aca="false">SUMIFS(Calculo!$F$147:$ES$147,Calculo!$F$6:$ES$6,1)</f>
        <v>257526.352358103</v>
      </c>
      <c r="E109" s="34" t="n">
        <f aca="false">SUMIFS(Calculo!$F$147:$ES$147,Calculo!$F$6:$ES$6,2)</f>
        <v>551018.611753115</v>
      </c>
      <c r="F109" s="34" t="n">
        <f aca="false">SUMIFS(Calculo!$F$147:$ES$147,Calculo!$F$6:$ES$6,3)</f>
        <v>602707.958280647</v>
      </c>
      <c r="G109" s="34" t="n">
        <f aca="false">SUMIFS(Calculo!$F$147:$ES$147,Calculo!$F$6:$ES$6,4)</f>
        <v>659246.122048566</v>
      </c>
      <c r="H109" s="34" t="n">
        <f aca="false">SUMIFS(Calculo!$F$147:$ES$147,Calculo!$F$6:$ES$6,5)</f>
        <v>721087.95555957</v>
      </c>
      <c r="I109" s="34" t="n">
        <f aca="false">SUMIFS(Calculo!$F$147:$ES$147,Calculo!$F$6:$ES$6,6)</f>
        <v>0</v>
      </c>
      <c r="J109" s="34" t="n">
        <f aca="false">SUMIFS(Calculo!$F$147:$ES$147,Calculo!$F$6:$ES$6,7)</f>
        <v>0</v>
      </c>
      <c r="K109" s="34" t="n">
        <f aca="false">SUMIFS(Calculo!$F$147:$ES$147,Calculo!$F$6:$ES$6,8)</f>
        <v>0</v>
      </c>
      <c r="L109" s="34" t="n">
        <f aca="false">SUMIFS(Calculo!$F$147:$ES$147,Calculo!$F$6:$ES$6,9)</f>
        <v>0</v>
      </c>
      <c r="M109" s="34" t="n">
        <f aca="false">SUMIFS(Calculo!$F$147:$ES$147,Calculo!$F$6:$ES$6,10)</f>
        <v>0</v>
      </c>
      <c r="N109" s="34" t="n">
        <f aca="false">SUMIFS(Calculo!$F$147:$ES$147,Calculo!$F$6:$ES$6,11)</f>
        <v>0</v>
      </c>
      <c r="O109" s="34" t="n">
        <f aca="false">SUMIFS(Calculo!$F$147:$ES$147,Calculo!$F$6:$ES$6,12)</f>
        <v>0</v>
      </c>
    </row>
    <row r="110" customFormat="false" ht="15" hidden="false" customHeight="false" outlineLevel="0" collapsed="false">
      <c r="A110" s="2" t="s">
        <v>1090</v>
      </c>
      <c r="B110" s="6" t="s">
        <v>1035</v>
      </c>
      <c r="C110" s="40" t="n">
        <f aca="false">SUM(D110:O110)</f>
        <v>2791587</v>
      </c>
      <c r="D110" s="34" t="n">
        <f aca="false">SUMIFS(Calculo!$F$137:$ES$137,Calculo!$F$6:$ES$6,1)</f>
        <v>257526.352358103</v>
      </c>
      <c r="E110" s="34" t="n">
        <f aca="false">SUMIFS(Calculo!$F$137:$ES$137,Calculo!$F$6:$ES$6,2)</f>
        <v>551018.611753115</v>
      </c>
      <c r="F110" s="34" t="n">
        <f aca="false">SUMIFS(Calculo!$F$137:$ES$137,Calculo!$F$6:$ES$6,3)</f>
        <v>602707.958280647</v>
      </c>
      <c r="G110" s="34" t="n">
        <f aca="false">SUMIFS(Calculo!$F$137:$ES$137,Calculo!$F$6:$ES$6,4)</f>
        <v>659246.122048566</v>
      </c>
      <c r="H110" s="34" t="n">
        <f aca="false">SUMIFS(Calculo!$F$137:$ES$137,Calculo!$F$6:$ES$6,5)</f>
        <v>721087.95555957</v>
      </c>
      <c r="I110" s="34" t="n">
        <f aca="false">SUMIFS(Calculo!$F$137:$ES$137,Calculo!$F$6:$ES$6,6)</f>
        <v>0</v>
      </c>
      <c r="J110" s="34" t="n">
        <f aca="false">SUMIFS(Calculo!$F$137:$ES$137,Calculo!$F$6:$ES$6,7)</f>
        <v>0</v>
      </c>
      <c r="K110" s="34" t="n">
        <f aca="false">SUMIFS(Calculo!$F$137:$ES$137,Calculo!$F$6:$ES$6,8)</f>
        <v>0</v>
      </c>
      <c r="L110" s="34" t="n">
        <f aca="false">SUMIFS(Calculo!$F$137:$ES$137,Calculo!$F$6:$ES$6,9)</f>
        <v>0</v>
      </c>
      <c r="M110" s="34" t="n">
        <f aca="false">SUMIFS(Calculo!$F$137:$ES$137,Calculo!$F$6:$ES$6,10)</f>
        <v>0</v>
      </c>
      <c r="N110" s="34" t="n">
        <f aca="false">SUMIFS(Calculo!$F$137:$ES$137,Calculo!$F$6:$ES$6,11)</f>
        <v>0</v>
      </c>
      <c r="O110" s="34" t="n">
        <f aca="false">SUMIFS(Calculo!$F$137:$ES$137,Calculo!$F$6:$ES$6,12)</f>
        <v>0</v>
      </c>
    </row>
    <row r="111" customFormat="false" ht="15" hidden="false" customHeight="false" outlineLevel="0" collapsed="false">
      <c r="A111" s="2" t="s">
        <v>1091</v>
      </c>
      <c r="B111" s="52" t="s">
        <v>1038</v>
      </c>
      <c r="C111" s="40" t="n">
        <f aca="false">INDEX(Calculo!$F$154:$ES$154,1,MIN(144,Fin))</f>
        <v>1637883.64417609</v>
      </c>
      <c r="D111" s="10" t="n">
        <f aca="false">INDEX(Calculo!$F$154:$ES$154,1,MIN(144,12))</f>
        <v>497602.743558918</v>
      </c>
      <c r="E111" s="10" t="n">
        <f aca="false">INDEX(Calculo!$F$154:$ES$154,1,MIN(144,24))</f>
        <v>303049.269216285</v>
      </c>
      <c r="F111" s="10" t="n">
        <f aca="false">INDEX(Calculo!$F$154:$ES$154,1,MIN(144,36))</f>
        <v>268618.777743544</v>
      </c>
      <c r="G111" s="10" t="n">
        <f aca="false">INDEX(Calculo!$F$154:$ES$154,1,MIN(144,48))</f>
        <v>742062.551523509</v>
      </c>
      <c r="H111" s="10" t="n">
        <f aca="false">INDEX(Calculo!$F$154:$ES$154,1,MIN(144,60))</f>
        <v>953271.672459288</v>
      </c>
      <c r="I111" s="10" t="n">
        <f aca="false">INDEX(Calculo!$F$154:$ES$154,1,MIN(144,72))</f>
        <v>1315225.57319639</v>
      </c>
      <c r="J111" s="10" t="n">
        <f aca="false">INDEX(Calculo!$F$154:$ES$154,1,MIN(144,84))</f>
        <v>1395939.25727049</v>
      </c>
      <c r="K111" s="10" t="n">
        <f aca="false">INDEX(Calculo!$F$154:$ES$154,1,MIN(144,96))</f>
        <v>1476623.20125862</v>
      </c>
      <c r="L111" s="10" t="n">
        <f aca="false">INDEX(Calculo!$F$154:$ES$154,1,MIN(144,108))</f>
        <v>1557272.89154073</v>
      </c>
      <c r="M111" s="10" t="n">
        <f aca="false">INDEX(Calculo!$F$154:$ES$154,1,MIN(144,120))</f>
        <v>1637883.64417609</v>
      </c>
      <c r="N111" s="10" t="n">
        <f aca="false">INDEX(Calculo!$F$154:$ES$154,1,MIN(144,132))</f>
        <v>1637883.64417609</v>
      </c>
      <c r="O111" s="10" t="n">
        <f aca="false">INDEX(Calculo!$F$154:$ES$154,1,MIN(144,144))</f>
        <v>1637883.64417609</v>
      </c>
    </row>
    <row r="112" customFormat="false" ht="15" hidden="false" customHeight="false" outlineLevel="0" collapsed="false">
      <c r="A112" s="2" t="s">
        <v>1092</v>
      </c>
      <c r="B112" s="6" t="s">
        <v>1040</v>
      </c>
      <c r="C112" s="40" t="n">
        <f aca="false">INDEX(Calculo!$F$148:$ES$148,1,MIN(144,Fin))</f>
        <v>0</v>
      </c>
      <c r="D112" s="34" t="n">
        <f aca="false">INDEX(Calculo!$F$148:$ES$148,1,MIN(144,12))</f>
        <v>2534060.6476419</v>
      </c>
      <c r="E112" s="34" t="n">
        <f aca="false">INDEX(Calculo!$F$148:$ES$148,1,MIN(144,24))</f>
        <v>1983042.03588878</v>
      </c>
      <c r="F112" s="34" t="n">
        <f aca="false">INDEX(Calculo!$F$148:$ES$148,1,MIN(144,36))</f>
        <v>1380334.07760814</v>
      </c>
      <c r="G112" s="34" t="n">
        <f aca="false">INDEX(Calculo!$F$148:$ES$148,1,MIN(144,48))</f>
        <v>721087.95555957</v>
      </c>
      <c r="H112" s="34" t="n">
        <f aca="false">INDEX(Calculo!$F$148:$ES$148,1,MIN(144,60))</f>
        <v>0</v>
      </c>
      <c r="I112" s="34" t="n">
        <f aca="false">INDEX(Calculo!$F$148:$ES$148,1,MIN(144,72))</f>
        <v>0</v>
      </c>
      <c r="J112" s="34" t="n">
        <f aca="false">INDEX(Calculo!$F$148:$ES$148,1,MIN(144,84))</f>
        <v>0</v>
      </c>
      <c r="K112" s="34" t="n">
        <f aca="false">INDEX(Calculo!$F$148:$ES$148,1,MIN(144,96))</f>
        <v>0</v>
      </c>
      <c r="L112" s="34" t="n">
        <f aca="false">INDEX(Calculo!$F$148:$ES$148,1,MIN(144,108))</f>
        <v>0</v>
      </c>
      <c r="M112" s="34" t="n">
        <f aca="false">INDEX(Calculo!$F$148:$ES$148,1,MIN(144,120))</f>
        <v>0</v>
      </c>
      <c r="N112" s="34" t="n">
        <f aca="false">INDEX(Calculo!$F$148:$ES$148,1,MIN(144,132))</f>
        <v>0</v>
      </c>
      <c r="O112" s="34" t="n">
        <f aca="false">INDEX(Calculo!$F$148:$ES$148,1,MIN(144,144))</f>
        <v>0</v>
      </c>
    </row>
    <row r="113" customFormat="false" ht="15" hidden="false" customHeight="false" outlineLevel="0" collapsed="false">
      <c r="A113" s="2" t="s">
        <v>1093</v>
      </c>
      <c r="B113" s="6" t="s">
        <v>1044</v>
      </c>
      <c r="C113" s="40" t="n">
        <f aca="false">INDEX(Calculo!$F$113:$ES$113,1,MIN(144,Fin))</f>
        <v>4499762.51732228</v>
      </c>
      <c r="D113" s="34" t="n">
        <f aca="false">INDEX(Calculo!$F$113:$ES$113,1,MIN(144,12))</f>
        <v>2388063.88735903</v>
      </c>
      <c r="E113" s="34" t="n">
        <f aca="false">INDEX(Calculo!$F$113:$ES$113,1,MIN(144,24))</f>
        <v>3043209.33175467</v>
      </c>
      <c r="F113" s="34" t="n">
        <f aca="false">INDEX(Calculo!$F$113:$ES$113,1,MIN(144,36))</f>
        <v>3710536.2623871</v>
      </c>
      <c r="G113" s="34" t="n">
        <f aca="false">INDEX(Calculo!$F$113:$ES$113,1,MIN(144,48))</f>
        <v>4269345.33232041</v>
      </c>
      <c r="H113" s="34" t="n">
        <f aca="false">INDEX(Calculo!$F$113:$ES$113,1,MIN(144,60))</f>
        <v>4307454.88002627</v>
      </c>
      <c r="I113" s="34" t="n">
        <f aca="false">INDEX(Calculo!$F$113:$ES$113,1,MIN(144,72))</f>
        <v>4345179.73649487</v>
      </c>
      <c r="J113" s="34" t="n">
        <f aca="false">INDEX(Calculo!$F$113:$ES$113,1,MIN(144,84))</f>
        <v>4383269.62971965</v>
      </c>
      <c r="K113" s="34" t="n">
        <f aca="false">INDEX(Calculo!$F$113:$ES$113,1,MIN(144,96))</f>
        <v>4421727.84741417</v>
      </c>
      <c r="L113" s="34" t="n">
        <f aca="false">INDEX(Calculo!$F$113:$ES$113,1,MIN(144,108))</f>
        <v>4460557.6993635</v>
      </c>
      <c r="M113" s="34" t="n">
        <f aca="false">INDEX(Calculo!$F$113:$ES$113,1,MIN(144,120))</f>
        <v>4499762.51732228</v>
      </c>
      <c r="N113" s="34" t="n">
        <f aca="false">INDEX(Calculo!$F$113:$ES$113,1,MIN(144,132))</f>
        <v>4499762.51732228</v>
      </c>
      <c r="O113" s="34" t="n">
        <f aca="false">INDEX(Calculo!$F$113:$ES$113,1,MIN(144,144))</f>
        <v>4499762.51732228</v>
      </c>
    </row>
    <row r="114" customFormat="false" ht="15" hidden="false" customHeight="false" outlineLevel="0" collapsed="false">
      <c r="A114" s="2" t="s">
        <v>1094</v>
      </c>
      <c r="B114" s="6" t="s">
        <v>1095</v>
      </c>
      <c r="D114" s="34" t="n">
        <f aca="false">D108+D110</f>
        <v>528628.284789129</v>
      </c>
      <c r="E114" s="34" t="n">
        <f aca="false">E108+E110</f>
        <v>777292.865874567</v>
      </c>
      <c r="F114" s="34" t="n">
        <f aca="false">F108+F110</f>
        <v>772123.931221814</v>
      </c>
      <c r="G114" s="34" t="n">
        <f aca="false">G108+G110</f>
        <v>766470.114845022</v>
      </c>
      <c r="H114" s="34" t="n">
        <f aca="false">H108+H110</f>
        <v>760285.931493923</v>
      </c>
      <c r="I114" s="34" t="n">
        <f aca="false">I108+I110</f>
        <v>0</v>
      </c>
      <c r="J114" s="34" t="n">
        <f aca="false">J108+J110</f>
        <v>0</v>
      </c>
      <c r="K114" s="34" t="n">
        <f aca="false">K108+K110</f>
        <v>0</v>
      </c>
      <c r="L114" s="34" t="n">
        <f aca="false">L108+L110</f>
        <v>0</v>
      </c>
      <c r="M114" s="34" t="n">
        <f aca="false">M108+M110</f>
        <v>0</v>
      </c>
      <c r="N114" s="34" t="n">
        <f aca="false">N108+N110</f>
        <v>0</v>
      </c>
      <c r="O114" s="34" t="n">
        <f aca="false">O108+O110</f>
        <v>0</v>
      </c>
    </row>
    <row r="115" customFormat="false" ht="15" hidden="false" customHeight="false" outlineLevel="0" collapsed="false">
      <c r="A115" s="2" t="s">
        <v>1096</v>
      </c>
      <c r="B115" s="6" t="s">
        <v>1097</v>
      </c>
      <c r="D115" s="68" t="n">
        <f aca="false">IF(D114&gt;1,D104/D114,"")</f>
        <v>-3.5527684304693</v>
      </c>
      <c r="E115" s="68" t="n">
        <f aca="false">IF(E114&gt;1,E104/E114,"")</f>
        <v>0.399863944695061</v>
      </c>
      <c r="F115" s="68" t="n">
        <f aca="false">IF(F114&gt;1,F104/F114,"")</f>
        <v>0.955408076242039</v>
      </c>
      <c r="G115" s="68" t="n">
        <f aca="false">IF(G114&gt;1,G104/G114,"")</f>
        <v>1.6176937164415</v>
      </c>
      <c r="H115" s="68" t="n">
        <f aca="false">IF(H114&gt;1,H104/H114,"")</f>
        <v>2.33655307460444</v>
      </c>
      <c r="I115" s="68" t="str">
        <f aca="false">IF(I114&gt;1,I104/I114,"")</f>
        <v/>
      </c>
      <c r="J115" s="68" t="str">
        <f aca="false">IF(J114&gt;1,J104/J114,"")</f>
        <v/>
      </c>
      <c r="K115" s="68" t="str">
        <f aca="false">IF(K114&gt;1,K104/K114,"")</f>
        <v/>
      </c>
      <c r="L115" s="68" t="str">
        <f aca="false">IF(L114&gt;1,L104/L114,"")</f>
        <v/>
      </c>
      <c r="M115" s="68" t="str">
        <f aca="false">IF(M114&gt;1,M104/M114,"")</f>
        <v/>
      </c>
      <c r="N115" s="68" t="str">
        <f aca="false">IF(N114&gt;1,N104/N114,"")</f>
        <v/>
      </c>
      <c r="O115" s="68" t="str">
        <f aca="false">IF(O114&gt;1,O104/O114,"")</f>
        <v/>
      </c>
    </row>
    <row r="116" customFormat="false" ht="15" hidden="false" customHeight="false" outlineLevel="0" collapsed="false">
      <c r="B116" s="11" t="s">
        <v>463</v>
      </c>
    </row>
    <row r="117" customFormat="false" ht="15" hidden="false" customHeight="false" outlineLevel="0" collapsed="false">
      <c r="A117" s="2" t="s">
        <v>1098</v>
      </c>
      <c r="B117" s="6" t="str">
        <f aca="false">IF(INDEX(Prod_Nombre,1)="","Producto 1",INDEX(Prod_Nombre,1))</f>
        <v>Gabinetes metálicos 153 kg</v>
      </c>
      <c r="C117" s="40" t="n">
        <f aca="false">SUM(D117:O117)</f>
        <v>192000</v>
      </c>
      <c r="D117" s="34" t="n">
        <f aca="false">SUMIFS(Calculo!$F$21:$ES$21,Calculo!$F$6:$ES$6,1)</f>
        <v>12000</v>
      </c>
      <c r="E117" s="34" t="n">
        <f aca="false">SUMIFS(Calculo!$F$21:$ES$21,Calculo!$F$6:$ES$6,2)</f>
        <v>15000</v>
      </c>
      <c r="F117" s="34" t="n">
        <f aca="false">SUMIFS(Calculo!$F$21:$ES$21,Calculo!$F$6:$ES$6,3)</f>
        <v>18000</v>
      </c>
      <c r="G117" s="34" t="n">
        <f aca="false">SUMIFS(Calculo!$F$21:$ES$21,Calculo!$F$6:$ES$6,4)</f>
        <v>21000</v>
      </c>
      <c r="H117" s="34" t="n">
        <f aca="false">SUMIFS(Calculo!$F$21:$ES$21,Calculo!$F$6:$ES$6,5)</f>
        <v>21000</v>
      </c>
      <c r="I117" s="34" t="n">
        <f aca="false">SUMIFS(Calculo!$F$21:$ES$21,Calculo!$F$6:$ES$6,6)</f>
        <v>21000</v>
      </c>
      <c r="J117" s="34" t="n">
        <f aca="false">SUMIFS(Calculo!$F$21:$ES$21,Calculo!$F$6:$ES$6,7)</f>
        <v>21000</v>
      </c>
      <c r="K117" s="34" t="n">
        <f aca="false">SUMIFS(Calculo!$F$21:$ES$21,Calculo!$F$6:$ES$6,8)</f>
        <v>21000</v>
      </c>
      <c r="L117" s="34" t="n">
        <f aca="false">SUMIFS(Calculo!$F$21:$ES$21,Calculo!$F$6:$ES$6,9)</f>
        <v>21000</v>
      </c>
      <c r="M117" s="34" t="n">
        <f aca="false">SUMIFS(Calculo!$F$21:$ES$21,Calculo!$F$6:$ES$6,10)</f>
        <v>21000</v>
      </c>
      <c r="N117" s="34" t="n">
        <f aca="false">SUMIFS(Calculo!$F$21:$ES$21,Calculo!$F$6:$ES$6,11)</f>
        <v>0</v>
      </c>
      <c r="O117" s="34" t="n">
        <f aca="false">SUMIFS(Calculo!$F$21:$ES$21,Calculo!$F$6:$ES$6,12)</f>
        <v>0</v>
      </c>
    </row>
    <row r="118" customFormat="false" ht="15" hidden="false" customHeight="false" outlineLevel="0" collapsed="false">
      <c r="A118" s="2" t="s">
        <v>1099</v>
      </c>
      <c r="B118" s="6" t="str">
        <f aca="false">IF(INDEX(Prod_Nombre,2)="","Producto 2",INDEX(Prod_Nombre,2))</f>
        <v>Cajas metálicas 13 kg</v>
      </c>
      <c r="C118" s="40" t="n">
        <f aca="false">SUM(D118:O118)</f>
        <v>1110000</v>
      </c>
      <c r="D118" s="34" t="n">
        <f aca="false">SUMIFS(Calculo!$F$22:$ES$22,Calculo!$F$6:$ES$6,1)</f>
        <v>70000</v>
      </c>
      <c r="E118" s="34" t="n">
        <f aca="false">SUMIFS(Calculo!$F$22:$ES$22,Calculo!$F$6:$ES$6,2)</f>
        <v>90000</v>
      </c>
      <c r="F118" s="34" t="n">
        <f aca="false">SUMIFS(Calculo!$F$22:$ES$22,Calculo!$F$6:$ES$6,3)</f>
        <v>110000</v>
      </c>
      <c r="G118" s="34" t="n">
        <f aca="false">SUMIFS(Calculo!$F$22:$ES$22,Calculo!$F$6:$ES$6,4)</f>
        <v>120000</v>
      </c>
      <c r="H118" s="34" t="n">
        <f aca="false">SUMIFS(Calculo!$F$22:$ES$22,Calculo!$F$6:$ES$6,5)</f>
        <v>120000</v>
      </c>
      <c r="I118" s="34" t="n">
        <f aca="false">SUMIFS(Calculo!$F$22:$ES$22,Calculo!$F$6:$ES$6,6)</f>
        <v>120000</v>
      </c>
      <c r="J118" s="34" t="n">
        <f aca="false">SUMIFS(Calculo!$F$22:$ES$22,Calculo!$F$6:$ES$6,7)</f>
        <v>120000</v>
      </c>
      <c r="K118" s="34" t="n">
        <f aca="false">SUMIFS(Calculo!$F$22:$ES$22,Calculo!$F$6:$ES$6,8)</f>
        <v>120000</v>
      </c>
      <c r="L118" s="34" t="n">
        <f aca="false">SUMIFS(Calculo!$F$22:$ES$22,Calculo!$F$6:$ES$6,9)</f>
        <v>120000</v>
      </c>
      <c r="M118" s="34" t="n">
        <f aca="false">SUMIFS(Calculo!$F$22:$ES$22,Calculo!$F$6:$ES$6,10)</f>
        <v>120000</v>
      </c>
      <c r="N118" s="34" t="n">
        <f aca="false">SUMIFS(Calculo!$F$22:$ES$22,Calculo!$F$6:$ES$6,11)</f>
        <v>0</v>
      </c>
      <c r="O118" s="34" t="n">
        <f aca="false">SUMIFS(Calculo!$F$22:$ES$22,Calculo!$F$6:$ES$6,12)</f>
        <v>0</v>
      </c>
    </row>
    <row r="119" customFormat="false" ht="15" hidden="false" customHeight="false" outlineLevel="0" collapsed="false">
      <c r="A119" s="2" t="s">
        <v>1100</v>
      </c>
      <c r="B119" s="6" t="str">
        <f aca="false">IF(INDEX(Prod_Nombre,3)="","Producto 3",INDEX(Prod_Nombre,3))</f>
        <v>Producto 3</v>
      </c>
      <c r="C119" s="40" t="n">
        <f aca="false">SUM(D119:O119)</f>
        <v>0</v>
      </c>
      <c r="D119" s="34" t="n">
        <f aca="false">SUMIFS(Calculo!$F$23:$ES$23,Calculo!$F$6:$ES$6,1)</f>
        <v>0</v>
      </c>
      <c r="E119" s="34" t="n">
        <f aca="false">SUMIFS(Calculo!$F$23:$ES$23,Calculo!$F$6:$ES$6,2)</f>
        <v>0</v>
      </c>
      <c r="F119" s="34" t="n">
        <f aca="false">SUMIFS(Calculo!$F$23:$ES$23,Calculo!$F$6:$ES$6,3)</f>
        <v>0</v>
      </c>
      <c r="G119" s="34" t="n">
        <f aca="false">SUMIFS(Calculo!$F$23:$ES$23,Calculo!$F$6:$ES$6,4)</f>
        <v>0</v>
      </c>
      <c r="H119" s="34" t="n">
        <f aca="false">SUMIFS(Calculo!$F$23:$ES$23,Calculo!$F$6:$ES$6,5)</f>
        <v>0</v>
      </c>
      <c r="I119" s="34" t="n">
        <f aca="false">SUMIFS(Calculo!$F$23:$ES$23,Calculo!$F$6:$ES$6,6)</f>
        <v>0</v>
      </c>
      <c r="J119" s="34" t="n">
        <f aca="false">SUMIFS(Calculo!$F$23:$ES$23,Calculo!$F$6:$ES$6,7)</f>
        <v>0</v>
      </c>
      <c r="K119" s="34" t="n">
        <f aca="false">SUMIFS(Calculo!$F$23:$ES$23,Calculo!$F$6:$ES$6,8)</f>
        <v>0</v>
      </c>
      <c r="L119" s="34" t="n">
        <f aca="false">SUMIFS(Calculo!$F$23:$ES$23,Calculo!$F$6:$ES$6,9)</f>
        <v>0</v>
      </c>
      <c r="M119" s="34" t="n">
        <f aca="false">SUMIFS(Calculo!$F$23:$ES$23,Calculo!$F$6:$ES$6,10)</f>
        <v>0</v>
      </c>
      <c r="N119" s="34" t="n">
        <f aca="false">SUMIFS(Calculo!$F$23:$ES$23,Calculo!$F$6:$ES$6,11)</f>
        <v>0</v>
      </c>
      <c r="O119" s="34" t="n">
        <f aca="false">SUMIFS(Calculo!$F$23:$ES$23,Calculo!$F$6:$ES$6,12)</f>
        <v>0</v>
      </c>
    </row>
    <row r="120" customFormat="false" ht="15" hidden="false" customHeight="false" outlineLevel="0" collapsed="false">
      <c r="A120" s="2" t="s">
        <v>1101</v>
      </c>
      <c r="B120" s="6" t="str">
        <f aca="false">IF(INDEX(Prod_Nombre,4)="","Producto 4",INDEX(Prod_Nombre,4))</f>
        <v>Producto 4</v>
      </c>
      <c r="C120" s="40" t="n">
        <f aca="false">SUM(D120:O120)</f>
        <v>0</v>
      </c>
      <c r="D120" s="34" t="n">
        <f aca="false">SUMIFS(Calculo!$F$24:$ES$24,Calculo!$F$6:$ES$6,1)</f>
        <v>0</v>
      </c>
      <c r="E120" s="34" t="n">
        <f aca="false">SUMIFS(Calculo!$F$24:$ES$24,Calculo!$F$6:$ES$6,2)</f>
        <v>0</v>
      </c>
      <c r="F120" s="34" t="n">
        <f aca="false">SUMIFS(Calculo!$F$24:$ES$24,Calculo!$F$6:$ES$6,3)</f>
        <v>0</v>
      </c>
      <c r="G120" s="34" t="n">
        <f aca="false">SUMIFS(Calculo!$F$24:$ES$24,Calculo!$F$6:$ES$6,4)</f>
        <v>0</v>
      </c>
      <c r="H120" s="34" t="n">
        <f aca="false">SUMIFS(Calculo!$F$24:$ES$24,Calculo!$F$6:$ES$6,5)</f>
        <v>0</v>
      </c>
      <c r="I120" s="34" t="n">
        <f aca="false">SUMIFS(Calculo!$F$24:$ES$24,Calculo!$F$6:$ES$6,6)</f>
        <v>0</v>
      </c>
      <c r="J120" s="34" t="n">
        <f aca="false">SUMIFS(Calculo!$F$24:$ES$24,Calculo!$F$6:$ES$6,7)</f>
        <v>0</v>
      </c>
      <c r="K120" s="34" t="n">
        <f aca="false">SUMIFS(Calculo!$F$24:$ES$24,Calculo!$F$6:$ES$6,8)</f>
        <v>0</v>
      </c>
      <c r="L120" s="34" t="n">
        <f aca="false">SUMIFS(Calculo!$F$24:$ES$24,Calculo!$F$6:$ES$6,9)</f>
        <v>0</v>
      </c>
      <c r="M120" s="34" t="n">
        <f aca="false">SUMIFS(Calculo!$F$24:$ES$24,Calculo!$F$6:$ES$6,10)</f>
        <v>0</v>
      </c>
      <c r="N120" s="34" t="n">
        <f aca="false">SUMIFS(Calculo!$F$24:$ES$24,Calculo!$F$6:$ES$6,11)</f>
        <v>0</v>
      </c>
      <c r="O120" s="34" t="n">
        <f aca="false">SUMIFS(Calculo!$F$24:$ES$24,Calculo!$F$6:$ES$6,12)</f>
        <v>0</v>
      </c>
    </row>
    <row r="121" customFormat="false" ht="15" hidden="false" customHeight="false" outlineLevel="0" collapsed="false">
      <c r="A121" s="2" t="s">
        <v>1102</v>
      </c>
      <c r="B121" s="6" t="str">
        <f aca="false">IF(INDEX(Prod_Nombre,5)="","Producto 5",INDEX(Prod_Nombre,5))</f>
        <v>Producto 5</v>
      </c>
      <c r="C121" s="40" t="n">
        <f aca="false">SUM(D121:O121)</f>
        <v>0</v>
      </c>
      <c r="D121" s="34" t="n">
        <f aca="false">SUMIFS(Calculo!$F$25:$ES$25,Calculo!$F$6:$ES$6,1)</f>
        <v>0</v>
      </c>
      <c r="E121" s="34" t="n">
        <f aca="false">SUMIFS(Calculo!$F$25:$ES$25,Calculo!$F$6:$ES$6,2)</f>
        <v>0</v>
      </c>
      <c r="F121" s="34" t="n">
        <f aca="false">SUMIFS(Calculo!$F$25:$ES$25,Calculo!$F$6:$ES$6,3)</f>
        <v>0</v>
      </c>
      <c r="G121" s="34" t="n">
        <f aca="false">SUMIFS(Calculo!$F$25:$ES$25,Calculo!$F$6:$ES$6,4)</f>
        <v>0</v>
      </c>
      <c r="H121" s="34" t="n">
        <f aca="false">SUMIFS(Calculo!$F$25:$ES$25,Calculo!$F$6:$ES$6,5)</f>
        <v>0</v>
      </c>
      <c r="I121" s="34" t="n">
        <f aca="false">SUMIFS(Calculo!$F$25:$ES$25,Calculo!$F$6:$ES$6,6)</f>
        <v>0</v>
      </c>
      <c r="J121" s="34" t="n">
        <f aca="false">SUMIFS(Calculo!$F$25:$ES$25,Calculo!$F$6:$ES$6,7)</f>
        <v>0</v>
      </c>
      <c r="K121" s="34" t="n">
        <f aca="false">SUMIFS(Calculo!$F$25:$ES$25,Calculo!$F$6:$ES$6,8)</f>
        <v>0</v>
      </c>
      <c r="L121" s="34" t="n">
        <f aca="false">SUMIFS(Calculo!$F$25:$ES$25,Calculo!$F$6:$ES$6,9)</f>
        <v>0</v>
      </c>
      <c r="M121" s="34" t="n">
        <f aca="false">SUMIFS(Calculo!$F$25:$ES$25,Calculo!$F$6:$ES$6,10)</f>
        <v>0</v>
      </c>
      <c r="N121" s="34" t="n">
        <f aca="false">SUMIFS(Calculo!$F$25:$ES$25,Calculo!$F$6:$ES$6,11)</f>
        <v>0</v>
      </c>
      <c r="O121" s="34" t="n">
        <f aca="false">SUMIFS(Calculo!$F$25:$ES$25,Calculo!$F$6:$ES$6,12)</f>
        <v>0</v>
      </c>
    </row>
    <row r="122" customFormat="false" ht="15" hidden="false" customHeight="false" outlineLevel="0" collapsed="false">
      <c r="A122" s="2" t="s">
        <v>1103</v>
      </c>
      <c r="B122" s="6" t="str">
        <f aca="false">IF(INDEX(Prod_Nombre,6)="","Producto 6",INDEX(Prod_Nombre,6))</f>
        <v>Producto 6</v>
      </c>
      <c r="C122" s="40" t="n">
        <f aca="false">SUM(D122:O122)</f>
        <v>0</v>
      </c>
      <c r="D122" s="34" t="n">
        <f aca="false">SUMIFS(Calculo!$F$26:$ES$26,Calculo!$F$6:$ES$6,1)</f>
        <v>0</v>
      </c>
      <c r="E122" s="34" t="n">
        <f aca="false">SUMIFS(Calculo!$F$26:$ES$26,Calculo!$F$6:$ES$6,2)</f>
        <v>0</v>
      </c>
      <c r="F122" s="34" t="n">
        <f aca="false">SUMIFS(Calculo!$F$26:$ES$26,Calculo!$F$6:$ES$6,3)</f>
        <v>0</v>
      </c>
      <c r="G122" s="34" t="n">
        <f aca="false">SUMIFS(Calculo!$F$26:$ES$26,Calculo!$F$6:$ES$6,4)</f>
        <v>0</v>
      </c>
      <c r="H122" s="34" t="n">
        <f aca="false">SUMIFS(Calculo!$F$26:$ES$26,Calculo!$F$6:$ES$6,5)</f>
        <v>0</v>
      </c>
      <c r="I122" s="34" t="n">
        <f aca="false">SUMIFS(Calculo!$F$26:$ES$26,Calculo!$F$6:$ES$6,6)</f>
        <v>0</v>
      </c>
      <c r="J122" s="34" t="n">
        <f aca="false">SUMIFS(Calculo!$F$26:$ES$26,Calculo!$F$6:$ES$6,7)</f>
        <v>0</v>
      </c>
      <c r="K122" s="34" t="n">
        <f aca="false">SUMIFS(Calculo!$F$26:$ES$26,Calculo!$F$6:$ES$6,8)</f>
        <v>0</v>
      </c>
      <c r="L122" s="34" t="n">
        <f aca="false">SUMIFS(Calculo!$F$26:$ES$26,Calculo!$F$6:$ES$6,9)</f>
        <v>0</v>
      </c>
      <c r="M122" s="34" t="n">
        <f aca="false">SUMIFS(Calculo!$F$26:$ES$26,Calculo!$F$6:$ES$6,10)</f>
        <v>0</v>
      </c>
      <c r="N122" s="34" t="n">
        <f aca="false">SUMIFS(Calculo!$F$26:$ES$26,Calculo!$F$6:$ES$6,11)</f>
        <v>0</v>
      </c>
      <c r="O122" s="34" t="n">
        <f aca="false">SUMIFS(Calculo!$F$26:$ES$26,Calculo!$F$6:$ES$6,12)</f>
        <v>0</v>
      </c>
    </row>
    <row r="123" customFormat="false" ht="15" hidden="false" customHeight="false" outlineLevel="0" collapsed="false">
      <c r="A123" s="2" t="s">
        <v>1104</v>
      </c>
      <c r="B123" s="6" t="str">
        <f aca="false">IF(INDEX(Prod_Nombre,7)="","Producto 7",INDEX(Prod_Nombre,7))</f>
        <v>Producto 7</v>
      </c>
      <c r="C123" s="40" t="n">
        <f aca="false">SUM(D123:O123)</f>
        <v>0</v>
      </c>
      <c r="D123" s="34" t="n">
        <f aca="false">SUMIFS(Calculo!$F$27:$ES$27,Calculo!$F$6:$ES$6,1)</f>
        <v>0</v>
      </c>
      <c r="E123" s="34" t="n">
        <f aca="false">SUMIFS(Calculo!$F$27:$ES$27,Calculo!$F$6:$ES$6,2)</f>
        <v>0</v>
      </c>
      <c r="F123" s="34" t="n">
        <f aca="false">SUMIFS(Calculo!$F$27:$ES$27,Calculo!$F$6:$ES$6,3)</f>
        <v>0</v>
      </c>
      <c r="G123" s="34" t="n">
        <f aca="false">SUMIFS(Calculo!$F$27:$ES$27,Calculo!$F$6:$ES$6,4)</f>
        <v>0</v>
      </c>
      <c r="H123" s="34" t="n">
        <f aca="false">SUMIFS(Calculo!$F$27:$ES$27,Calculo!$F$6:$ES$6,5)</f>
        <v>0</v>
      </c>
      <c r="I123" s="34" t="n">
        <f aca="false">SUMIFS(Calculo!$F$27:$ES$27,Calculo!$F$6:$ES$6,6)</f>
        <v>0</v>
      </c>
      <c r="J123" s="34" t="n">
        <f aca="false">SUMIFS(Calculo!$F$27:$ES$27,Calculo!$F$6:$ES$6,7)</f>
        <v>0</v>
      </c>
      <c r="K123" s="34" t="n">
        <f aca="false">SUMIFS(Calculo!$F$27:$ES$27,Calculo!$F$6:$ES$6,8)</f>
        <v>0</v>
      </c>
      <c r="L123" s="34" t="n">
        <f aca="false">SUMIFS(Calculo!$F$27:$ES$27,Calculo!$F$6:$ES$6,9)</f>
        <v>0</v>
      </c>
      <c r="M123" s="34" t="n">
        <f aca="false">SUMIFS(Calculo!$F$27:$ES$27,Calculo!$F$6:$ES$6,10)</f>
        <v>0</v>
      </c>
      <c r="N123" s="34" t="n">
        <f aca="false">SUMIFS(Calculo!$F$27:$ES$27,Calculo!$F$6:$ES$6,11)</f>
        <v>0</v>
      </c>
      <c r="O123" s="34" t="n">
        <f aca="false">SUMIFS(Calculo!$F$27:$ES$27,Calculo!$F$6:$ES$6,12)</f>
        <v>0</v>
      </c>
    </row>
    <row r="124" customFormat="false" ht="15" hidden="false" customHeight="false" outlineLevel="0" collapsed="false">
      <c r="A124" s="2" t="s">
        <v>1105</v>
      </c>
      <c r="B124" s="6" t="str">
        <f aca="false">IF(INDEX(Prod_Nombre,8)="","Producto 8",INDEX(Prod_Nombre,8))</f>
        <v>Producto 8</v>
      </c>
      <c r="C124" s="40" t="n">
        <f aca="false">SUM(D124:O124)</f>
        <v>0</v>
      </c>
      <c r="D124" s="34" t="n">
        <f aca="false">SUMIFS(Calculo!$F$28:$ES$28,Calculo!$F$6:$ES$6,1)</f>
        <v>0</v>
      </c>
      <c r="E124" s="34" t="n">
        <f aca="false">SUMIFS(Calculo!$F$28:$ES$28,Calculo!$F$6:$ES$6,2)</f>
        <v>0</v>
      </c>
      <c r="F124" s="34" t="n">
        <f aca="false">SUMIFS(Calculo!$F$28:$ES$28,Calculo!$F$6:$ES$6,3)</f>
        <v>0</v>
      </c>
      <c r="G124" s="34" t="n">
        <f aca="false">SUMIFS(Calculo!$F$28:$ES$28,Calculo!$F$6:$ES$6,4)</f>
        <v>0</v>
      </c>
      <c r="H124" s="34" t="n">
        <f aca="false">SUMIFS(Calculo!$F$28:$ES$28,Calculo!$F$6:$ES$6,5)</f>
        <v>0</v>
      </c>
      <c r="I124" s="34" t="n">
        <f aca="false">SUMIFS(Calculo!$F$28:$ES$28,Calculo!$F$6:$ES$6,6)</f>
        <v>0</v>
      </c>
      <c r="J124" s="34" t="n">
        <f aca="false">SUMIFS(Calculo!$F$28:$ES$28,Calculo!$F$6:$ES$6,7)</f>
        <v>0</v>
      </c>
      <c r="K124" s="34" t="n">
        <f aca="false">SUMIFS(Calculo!$F$28:$ES$28,Calculo!$F$6:$ES$6,8)</f>
        <v>0</v>
      </c>
      <c r="L124" s="34" t="n">
        <f aca="false">SUMIFS(Calculo!$F$28:$ES$28,Calculo!$F$6:$ES$6,9)</f>
        <v>0</v>
      </c>
      <c r="M124" s="34" t="n">
        <f aca="false">SUMIFS(Calculo!$F$28:$ES$28,Calculo!$F$6:$ES$6,10)</f>
        <v>0</v>
      </c>
      <c r="N124" s="34" t="n">
        <f aca="false">SUMIFS(Calculo!$F$28:$ES$28,Calculo!$F$6:$ES$6,11)</f>
        <v>0</v>
      </c>
      <c r="O124" s="34" t="n">
        <f aca="false">SUMIFS(Calculo!$F$28:$ES$28,Calculo!$F$6:$ES$6,12)</f>
        <v>0</v>
      </c>
    </row>
    <row r="125" customFormat="false" ht="15" hidden="false" customHeight="false" outlineLevel="0" collapsed="false">
      <c r="A125" s="2" t="s">
        <v>1106</v>
      </c>
      <c r="B125" s="6" t="str">
        <f aca="false">IF(INDEX(Prod_Nombre,9)="","Producto 9",INDEX(Prod_Nombre,9))</f>
        <v>Producto 9</v>
      </c>
      <c r="C125" s="40" t="n">
        <f aca="false">SUM(D125:O125)</f>
        <v>0</v>
      </c>
      <c r="D125" s="34" t="n">
        <f aca="false">SUMIFS(Calculo!$F$29:$ES$29,Calculo!$F$6:$ES$6,1)</f>
        <v>0</v>
      </c>
      <c r="E125" s="34" t="n">
        <f aca="false">SUMIFS(Calculo!$F$29:$ES$29,Calculo!$F$6:$ES$6,2)</f>
        <v>0</v>
      </c>
      <c r="F125" s="34" t="n">
        <f aca="false">SUMIFS(Calculo!$F$29:$ES$29,Calculo!$F$6:$ES$6,3)</f>
        <v>0</v>
      </c>
      <c r="G125" s="34" t="n">
        <f aca="false">SUMIFS(Calculo!$F$29:$ES$29,Calculo!$F$6:$ES$6,4)</f>
        <v>0</v>
      </c>
      <c r="H125" s="34" t="n">
        <f aca="false">SUMIFS(Calculo!$F$29:$ES$29,Calculo!$F$6:$ES$6,5)</f>
        <v>0</v>
      </c>
      <c r="I125" s="34" t="n">
        <f aca="false">SUMIFS(Calculo!$F$29:$ES$29,Calculo!$F$6:$ES$6,6)</f>
        <v>0</v>
      </c>
      <c r="J125" s="34" t="n">
        <f aca="false">SUMIFS(Calculo!$F$29:$ES$29,Calculo!$F$6:$ES$6,7)</f>
        <v>0</v>
      </c>
      <c r="K125" s="34" t="n">
        <f aca="false">SUMIFS(Calculo!$F$29:$ES$29,Calculo!$F$6:$ES$6,8)</f>
        <v>0</v>
      </c>
      <c r="L125" s="34" t="n">
        <f aca="false">SUMIFS(Calculo!$F$29:$ES$29,Calculo!$F$6:$ES$6,9)</f>
        <v>0</v>
      </c>
      <c r="M125" s="34" t="n">
        <f aca="false">SUMIFS(Calculo!$F$29:$ES$29,Calculo!$F$6:$ES$6,10)</f>
        <v>0</v>
      </c>
      <c r="N125" s="34" t="n">
        <f aca="false">SUMIFS(Calculo!$F$29:$ES$29,Calculo!$F$6:$ES$6,11)</f>
        <v>0</v>
      </c>
      <c r="O125" s="34" t="n">
        <f aca="false">SUMIFS(Calculo!$F$29:$ES$29,Calculo!$F$6:$ES$6,12)</f>
        <v>0</v>
      </c>
    </row>
    <row r="126" customFormat="false" ht="15" hidden="false" customHeight="false" outlineLevel="0" collapsed="false">
      <c r="A126" s="2" t="s">
        <v>1107</v>
      </c>
      <c r="B126" s="6" t="str">
        <f aca="false">IF(INDEX(Prod_Nombre,10)="","Producto 10",INDEX(Prod_Nombre,10))</f>
        <v>Producto 10</v>
      </c>
      <c r="C126" s="40" t="n">
        <f aca="false">SUM(D126:O126)</f>
        <v>0</v>
      </c>
      <c r="D126" s="34" t="n">
        <f aca="false">SUMIFS(Calculo!$F$30:$ES$30,Calculo!$F$6:$ES$6,1)</f>
        <v>0</v>
      </c>
      <c r="E126" s="34" t="n">
        <f aca="false">SUMIFS(Calculo!$F$30:$ES$30,Calculo!$F$6:$ES$6,2)</f>
        <v>0</v>
      </c>
      <c r="F126" s="34" t="n">
        <f aca="false">SUMIFS(Calculo!$F$30:$ES$30,Calculo!$F$6:$ES$6,3)</f>
        <v>0</v>
      </c>
      <c r="G126" s="34" t="n">
        <f aca="false">SUMIFS(Calculo!$F$30:$ES$30,Calculo!$F$6:$ES$6,4)</f>
        <v>0</v>
      </c>
      <c r="H126" s="34" t="n">
        <f aca="false">SUMIFS(Calculo!$F$30:$ES$30,Calculo!$F$6:$ES$6,5)</f>
        <v>0</v>
      </c>
      <c r="I126" s="34" t="n">
        <f aca="false">SUMIFS(Calculo!$F$30:$ES$30,Calculo!$F$6:$ES$6,6)</f>
        <v>0</v>
      </c>
      <c r="J126" s="34" t="n">
        <f aca="false">SUMIFS(Calculo!$F$30:$ES$30,Calculo!$F$6:$ES$6,7)</f>
        <v>0</v>
      </c>
      <c r="K126" s="34" t="n">
        <f aca="false">SUMIFS(Calculo!$F$30:$ES$30,Calculo!$F$6:$ES$6,8)</f>
        <v>0</v>
      </c>
      <c r="L126" s="34" t="n">
        <f aca="false">SUMIFS(Calculo!$F$30:$ES$30,Calculo!$F$6:$ES$6,9)</f>
        <v>0</v>
      </c>
      <c r="M126" s="34" t="n">
        <f aca="false">SUMIFS(Calculo!$F$30:$ES$30,Calculo!$F$6:$ES$6,10)</f>
        <v>0</v>
      </c>
      <c r="N126" s="34" t="n">
        <f aca="false">SUMIFS(Calculo!$F$30:$ES$30,Calculo!$F$6:$ES$6,11)</f>
        <v>0</v>
      </c>
      <c r="O126" s="34" t="n">
        <f aca="false">SUMIFS(Calculo!$F$30:$ES$30,Calculo!$F$6:$ES$6,12)</f>
        <v>0</v>
      </c>
    </row>
    <row r="127" customFormat="false" ht="15" hidden="false" customHeight="false" outlineLevel="0" collapsed="false">
      <c r="A127" s="2" t="s">
        <v>1108</v>
      </c>
      <c r="B127" s="6" t="str">
        <f aca="false">IF(INDEX(Prod_Nombre,11)="","Producto 11",INDEX(Prod_Nombre,11))</f>
        <v>Producto 11</v>
      </c>
      <c r="C127" s="40" t="n">
        <f aca="false">SUM(D127:O127)</f>
        <v>0</v>
      </c>
      <c r="D127" s="34" t="n">
        <f aca="false">SUMIFS(Calculo!$F$31:$ES$31,Calculo!$F$6:$ES$6,1)</f>
        <v>0</v>
      </c>
      <c r="E127" s="34" t="n">
        <f aca="false">SUMIFS(Calculo!$F$31:$ES$31,Calculo!$F$6:$ES$6,2)</f>
        <v>0</v>
      </c>
      <c r="F127" s="34" t="n">
        <f aca="false">SUMIFS(Calculo!$F$31:$ES$31,Calculo!$F$6:$ES$6,3)</f>
        <v>0</v>
      </c>
      <c r="G127" s="34" t="n">
        <f aca="false">SUMIFS(Calculo!$F$31:$ES$31,Calculo!$F$6:$ES$6,4)</f>
        <v>0</v>
      </c>
      <c r="H127" s="34" t="n">
        <f aca="false">SUMIFS(Calculo!$F$31:$ES$31,Calculo!$F$6:$ES$6,5)</f>
        <v>0</v>
      </c>
      <c r="I127" s="34" t="n">
        <f aca="false">SUMIFS(Calculo!$F$31:$ES$31,Calculo!$F$6:$ES$6,6)</f>
        <v>0</v>
      </c>
      <c r="J127" s="34" t="n">
        <f aca="false">SUMIFS(Calculo!$F$31:$ES$31,Calculo!$F$6:$ES$6,7)</f>
        <v>0</v>
      </c>
      <c r="K127" s="34" t="n">
        <f aca="false">SUMIFS(Calculo!$F$31:$ES$31,Calculo!$F$6:$ES$6,8)</f>
        <v>0</v>
      </c>
      <c r="L127" s="34" t="n">
        <f aca="false">SUMIFS(Calculo!$F$31:$ES$31,Calculo!$F$6:$ES$6,9)</f>
        <v>0</v>
      </c>
      <c r="M127" s="34" t="n">
        <f aca="false">SUMIFS(Calculo!$F$31:$ES$31,Calculo!$F$6:$ES$6,10)</f>
        <v>0</v>
      </c>
      <c r="N127" s="34" t="n">
        <f aca="false">SUMIFS(Calculo!$F$31:$ES$31,Calculo!$F$6:$ES$6,11)</f>
        <v>0</v>
      </c>
      <c r="O127" s="34" t="n">
        <f aca="false">SUMIFS(Calculo!$F$31:$ES$31,Calculo!$F$6:$ES$6,12)</f>
        <v>0</v>
      </c>
    </row>
    <row r="128" customFormat="false" ht="15" hidden="false" customHeight="false" outlineLevel="0" collapsed="false">
      <c r="A128" s="2" t="s">
        <v>1109</v>
      </c>
      <c r="B128" s="6" t="str">
        <f aca="false">IF(INDEX(Prod_Nombre,12)="","Producto 12",INDEX(Prod_Nombre,12))</f>
        <v>Producto 12</v>
      </c>
      <c r="C128" s="40" t="n">
        <f aca="false">SUM(D128:O128)</f>
        <v>0</v>
      </c>
      <c r="D128" s="34" t="n">
        <f aca="false">SUMIFS(Calculo!$F$32:$ES$32,Calculo!$F$6:$ES$6,1)</f>
        <v>0</v>
      </c>
      <c r="E128" s="34" t="n">
        <f aca="false">SUMIFS(Calculo!$F$32:$ES$32,Calculo!$F$6:$ES$6,2)</f>
        <v>0</v>
      </c>
      <c r="F128" s="34" t="n">
        <f aca="false">SUMIFS(Calculo!$F$32:$ES$32,Calculo!$F$6:$ES$6,3)</f>
        <v>0</v>
      </c>
      <c r="G128" s="34" t="n">
        <f aca="false">SUMIFS(Calculo!$F$32:$ES$32,Calculo!$F$6:$ES$6,4)</f>
        <v>0</v>
      </c>
      <c r="H128" s="34" t="n">
        <f aca="false">SUMIFS(Calculo!$F$32:$ES$32,Calculo!$F$6:$ES$6,5)</f>
        <v>0</v>
      </c>
      <c r="I128" s="34" t="n">
        <f aca="false">SUMIFS(Calculo!$F$32:$ES$32,Calculo!$F$6:$ES$6,6)</f>
        <v>0</v>
      </c>
      <c r="J128" s="34" t="n">
        <f aca="false">SUMIFS(Calculo!$F$32:$ES$32,Calculo!$F$6:$ES$6,7)</f>
        <v>0</v>
      </c>
      <c r="K128" s="34" t="n">
        <f aca="false">SUMIFS(Calculo!$F$32:$ES$32,Calculo!$F$6:$ES$6,8)</f>
        <v>0</v>
      </c>
      <c r="L128" s="34" t="n">
        <f aca="false">SUMIFS(Calculo!$F$32:$ES$32,Calculo!$F$6:$ES$6,9)</f>
        <v>0</v>
      </c>
      <c r="M128" s="34" t="n">
        <f aca="false">SUMIFS(Calculo!$F$32:$ES$32,Calculo!$F$6:$ES$6,10)</f>
        <v>0</v>
      </c>
      <c r="N128" s="34" t="n">
        <f aca="false">SUMIFS(Calculo!$F$32:$ES$32,Calculo!$F$6:$ES$6,11)</f>
        <v>0</v>
      </c>
      <c r="O128" s="34" t="n">
        <f aca="false">SUMIFS(Calculo!$F$32:$ES$32,Calculo!$F$6:$ES$6,12)</f>
        <v>0</v>
      </c>
    </row>
    <row r="129" customFormat="false" ht="15" hidden="false" customHeight="false" outlineLevel="0" collapsed="false">
      <c r="A129" s="2" t="s">
        <v>1110</v>
      </c>
      <c r="B129" s="6" t="str">
        <f aca="false">IF(INDEX(Prod_Nombre,13)="","Producto 13",INDEX(Prod_Nombre,13))</f>
        <v>Producto 13</v>
      </c>
      <c r="C129" s="40" t="n">
        <f aca="false">SUM(D129:O129)</f>
        <v>0</v>
      </c>
      <c r="D129" s="34" t="n">
        <f aca="false">SUMIFS(Calculo!$F$33:$ES$33,Calculo!$F$6:$ES$6,1)</f>
        <v>0</v>
      </c>
      <c r="E129" s="34" t="n">
        <f aca="false">SUMIFS(Calculo!$F$33:$ES$33,Calculo!$F$6:$ES$6,2)</f>
        <v>0</v>
      </c>
      <c r="F129" s="34" t="n">
        <f aca="false">SUMIFS(Calculo!$F$33:$ES$33,Calculo!$F$6:$ES$6,3)</f>
        <v>0</v>
      </c>
      <c r="G129" s="34" t="n">
        <f aca="false">SUMIFS(Calculo!$F$33:$ES$33,Calculo!$F$6:$ES$6,4)</f>
        <v>0</v>
      </c>
      <c r="H129" s="34" t="n">
        <f aca="false">SUMIFS(Calculo!$F$33:$ES$33,Calculo!$F$6:$ES$6,5)</f>
        <v>0</v>
      </c>
      <c r="I129" s="34" t="n">
        <f aca="false">SUMIFS(Calculo!$F$33:$ES$33,Calculo!$F$6:$ES$6,6)</f>
        <v>0</v>
      </c>
      <c r="J129" s="34" t="n">
        <f aca="false">SUMIFS(Calculo!$F$33:$ES$33,Calculo!$F$6:$ES$6,7)</f>
        <v>0</v>
      </c>
      <c r="K129" s="34" t="n">
        <f aca="false">SUMIFS(Calculo!$F$33:$ES$33,Calculo!$F$6:$ES$6,8)</f>
        <v>0</v>
      </c>
      <c r="L129" s="34" t="n">
        <f aca="false">SUMIFS(Calculo!$F$33:$ES$33,Calculo!$F$6:$ES$6,9)</f>
        <v>0</v>
      </c>
      <c r="M129" s="34" t="n">
        <f aca="false">SUMIFS(Calculo!$F$33:$ES$33,Calculo!$F$6:$ES$6,10)</f>
        <v>0</v>
      </c>
      <c r="N129" s="34" t="n">
        <f aca="false">SUMIFS(Calculo!$F$33:$ES$33,Calculo!$F$6:$ES$6,11)</f>
        <v>0</v>
      </c>
      <c r="O129" s="34" t="n">
        <f aca="false">SUMIFS(Calculo!$F$33:$ES$33,Calculo!$F$6:$ES$6,12)</f>
        <v>0</v>
      </c>
    </row>
    <row r="130" customFormat="false" ht="15" hidden="false" customHeight="false" outlineLevel="0" collapsed="false">
      <c r="A130" s="2" t="s">
        <v>1111</v>
      </c>
      <c r="B130" s="6" t="str">
        <f aca="false">IF(INDEX(Prod_Nombre,14)="","Producto 14",INDEX(Prod_Nombre,14))</f>
        <v>Producto 14</v>
      </c>
      <c r="C130" s="40" t="n">
        <f aca="false">SUM(D130:O130)</f>
        <v>0</v>
      </c>
      <c r="D130" s="34" t="n">
        <f aca="false">SUMIFS(Calculo!$F$34:$ES$34,Calculo!$F$6:$ES$6,1)</f>
        <v>0</v>
      </c>
      <c r="E130" s="34" t="n">
        <f aca="false">SUMIFS(Calculo!$F$34:$ES$34,Calculo!$F$6:$ES$6,2)</f>
        <v>0</v>
      </c>
      <c r="F130" s="34" t="n">
        <f aca="false">SUMIFS(Calculo!$F$34:$ES$34,Calculo!$F$6:$ES$6,3)</f>
        <v>0</v>
      </c>
      <c r="G130" s="34" t="n">
        <f aca="false">SUMIFS(Calculo!$F$34:$ES$34,Calculo!$F$6:$ES$6,4)</f>
        <v>0</v>
      </c>
      <c r="H130" s="34" t="n">
        <f aca="false">SUMIFS(Calculo!$F$34:$ES$34,Calculo!$F$6:$ES$6,5)</f>
        <v>0</v>
      </c>
      <c r="I130" s="34" t="n">
        <f aca="false">SUMIFS(Calculo!$F$34:$ES$34,Calculo!$F$6:$ES$6,6)</f>
        <v>0</v>
      </c>
      <c r="J130" s="34" t="n">
        <f aca="false">SUMIFS(Calculo!$F$34:$ES$34,Calculo!$F$6:$ES$6,7)</f>
        <v>0</v>
      </c>
      <c r="K130" s="34" t="n">
        <f aca="false">SUMIFS(Calculo!$F$34:$ES$34,Calculo!$F$6:$ES$6,8)</f>
        <v>0</v>
      </c>
      <c r="L130" s="34" t="n">
        <f aca="false">SUMIFS(Calculo!$F$34:$ES$34,Calculo!$F$6:$ES$6,9)</f>
        <v>0</v>
      </c>
      <c r="M130" s="34" t="n">
        <f aca="false">SUMIFS(Calculo!$F$34:$ES$34,Calculo!$F$6:$ES$6,10)</f>
        <v>0</v>
      </c>
      <c r="N130" s="34" t="n">
        <f aca="false">SUMIFS(Calculo!$F$34:$ES$34,Calculo!$F$6:$ES$6,11)</f>
        <v>0</v>
      </c>
      <c r="O130" s="34" t="n">
        <f aca="false">SUMIFS(Calculo!$F$34:$ES$34,Calculo!$F$6:$ES$6,12)</f>
        <v>0</v>
      </c>
    </row>
    <row r="131" customFormat="false" ht="15" hidden="false" customHeight="false" outlineLevel="0" collapsed="false">
      <c r="A131" s="2" t="s">
        <v>1112</v>
      </c>
      <c r="B131" s="6" t="str">
        <f aca="false">IF(INDEX(Prod_Nombre,15)="","Producto 15",INDEX(Prod_Nombre,15))</f>
        <v>Producto 15</v>
      </c>
      <c r="C131" s="40" t="n">
        <f aca="false">SUM(D131:O131)</f>
        <v>0</v>
      </c>
      <c r="D131" s="34" t="n">
        <f aca="false">SUMIFS(Calculo!$F$35:$ES$35,Calculo!$F$6:$ES$6,1)</f>
        <v>0</v>
      </c>
      <c r="E131" s="34" t="n">
        <f aca="false">SUMIFS(Calculo!$F$35:$ES$35,Calculo!$F$6:$ES$6,2)</f>
        <v>0</v>
      </c>
      <c r="F131" s="34" t="n">
        <f aca="false">SUMIFS(Calculo!$F$35:$ES$35,Calculo!$F$6:$ES$6,3)</f>
        <v>0</v>
      </c>
      <c r="G131" s="34" t="n">
        <f aca="false">SUMIFS(Calculo!$F$35:$ES$35,Calculo!$F$6:$ES$6,4)</f>
        <v>0</v>
      </c>
      <c r="H131" s="34" t="n">
        <f aca="false">SUMIFS(Calculo!$F$35:$ES$35,Calculo!$F$6:$ES$6,5)</f>
        <v>0</v>
      </c>
      <c r="I131" s="34" t="n">
        <f aca="false">SUMIFS(Calculo!$F$35:$ES$35,Calculo!$F$6:$ES$6,6)</f>
        <v>0</v>
      </c>
      <c r="J131" s="34" t="n">
        <f aca="false">SUMIFS(Calculo!$F$35:$ES$35,Calculo!$F$6:$ES$6,7)</f>
        <v>0</v>
      </c>
      <c r="K131" s="34" t="n">
        <f aca="false">SUMIFS(Calculo!$F$35:$ES$35,Calculo!$F$6:$ES$6,8)</f>
        <v>0</v>
      </c>
      <c r="L131" s="34" t="n">
        <f aca="false">SUMIFS(Calculo!$F$35:$ES$35,Calculo!$F$6:$ES$6,9)</f>
        <v>0</v>
      </c>
      <c r="M131" s="34" t="n">
        <f aca="false">SUMIFS(Calculo!$F$35:$ES$35,Calculo!$F$6:$ES$6,10)</f>
        <v>0</v>
      </c>
      <c r="N131" s="34" t="n">
        <f aca="false">SUMIFS(Calculo!$F$35:$ES$35,Calculo!$F$6:$ES$6,11)</f>
        <v>0</v>
      </c>
      <c r="O131" s="34" t="n">
        <f aca="false">SUMIFS(Calculo!$F$35:$ES$35,Calculo!$F$6:$ES$6,12)</f>
        <v>0</v>
      </c>
    </row>
    <row r="132" customFormat="false" ht="15" hidden="false" customHeight="false" outlineLevel="0" collapsed="false">
      <c r="A132" s="2" t="s">
        <v>1113</v>
      </c>
      <c r="B132" s="6" t="str">
        <f aca="false">IF(INDEX(Prod_Nombre,16)="","Producto 16",INDEX(Prod_Nombre,16))</f>
        <v>Producto 16</v>
      </c>
      <c r="C132" s="40" t="n">
        <f aca="false">SUM(D132:O132)</f>
        <v>0</v>
      </c>
      <c r="D132" s="34" t="n">
        <f aca="false">SUMIFS(Calculo!$F$36:$ES$36,Calculo!$F$6:$ES$6,1)</f>
        <v>0</v>
      </c>
      <c r="E132" s="34" t="n">
        <f aca="false">SUMIFS(Calculo!$F$36:$ES$36,Calculo!$F$6:$ES$6,2)</f>
        <v>0</v>
      </c>
      <c r="F132" s="34" t="n">
        <f aca="false">SUMIFS(Calculo!$F$36:$ES$36,Calculo!$F$6:$ES$6,3)</f>
        <v>0</v>
      </c>
      <c r="G132" s="34" t="n">
        <f aca="false">SUMIFS(Calculo!$F$36:$ES$36,Calculo!$F$6:$ES$6,4)</f>
        <v>0</v>
      </c>
      <c r="H132" s="34" t="n">
        <f aca="false">SUMIFS(Calculo!$F$36:$ES$36,Calculo!$F$6:$ES$6,5)</f>
        <v>0</v>
      </c>
      <c r="I132" s="34" t="n">
        <f aca="false">SUMIFS(Calculo!$F$36:$ES$36,Calculo!$F$6:$ES$6,6)</f>
        <v>0</v>
      </c>
      <c r="J132" s="34" t="n">
        <f aca="false">SUMIFS(Calculo!$F$36:$ES$36,Calculo!$F$6:$ES$6,7)</f>
        <v>0</v>
      </c>
      <c r="K132" s="34" t="n">
        <f aca="false">SUMIFS(Calculo!$F$36:$ES$36,Calculo!$F$6:$ES$6,8)</f>
        <v>0</v>
      </c>
      <c r="L132" s="34" t="n">
        <f aca="false">SUMIFS(Calculo!$F$36:$ES$36,Calculo!$F$6:$ES$6,9)</f>
        <v>0</v>
      </c>
      <c r="M132" s="34" t="n">
        <f aca="false">SUMIFS(Calculo!$F$36:$ES$36,Calculo!$F$6:$ES$6,10)</f>
        <v>0</v>
      </c>
      <c r="N132" s="34" t="n">
        <f aca="false">SUMIFS(Calculo!$F$36:$ES$36,Calculo!$F$6:$ES$6,11)</f>
        <v>0</v>
      </c>
      <c r="O132" s="34" t="n">
        <f aca="false">SUMIFS(Calculo!$F$36:$ES$36,Calculo!$F$6:$ES$6,12)</f>
        <v>0</v>
      </c>
    </row>
    <row r="133" customFormat="false" ht="15" hidden="false" customHeight="false" outlineLevel="0" collapsed="false">
      <c r="A133" s="2" t="s">
        <v>1114</v>
      </c>
      <c r="B133" s="6" t="str">
        <f aca="false">IF(INDEX(Prod_Nombre,17)="","Producto 17",INDEX(Prod_Nombre,17))</f>
        <v>Producto 17</v>
      </c>
      <c r="C133" s="40" t="n">
        <f aca="false">SUM(D133:O133)</f>
        <v>0</v>
      </c>
      <c r="D133" s="34" t="n">
        <f aca="false">SUMIFS(Calculo!$F$37:$ES$37,Calculo!$F$6:$ES$6,1)</f>
        <v>0</v>
      </c>
      <c r="E133" s="34" t="n">
        <f aca="false">SUMIFS(Calculo!$F$37:$ES$37,Calculo!$F$6:$ES$6,2)</f>
        <v>0</v>
      </c>
      <c r="F133" s="34" t="n">
        <f aca="false">SUMIFS(Calculo!$F$37:$ES$37,Calculo!$F$6:$ES$6,3)</f>
        <v>0</v>
      </c>
      <c r="G133" s="34" t="n">
        <f aca="false">SUMIFS(Calculo!$F$37:$ES$37,Calculo!$F$6:$ES$6,4)</f>
        <v>0</v>
      </c>
      <c r="H133" s="34" t="n">
        <f aca="false">SUMIFS(Calculo!$F$37:$ES$37,Calculo!$F$6:$ES$6,5)</f>
        <v>0</v>
      </c>
      <c r="I133" s="34" t="n">
        <f aca="false">SUMIFS(Calculo!$F$37:$ES$37,Calculo!$F$6:$ES$6,6)</f>
        <v>0</v>
      </c>
      <c r="J133" s="34" t="n">
        <f aca="false">SUMIFS(Calculo!$F$37:$ES$37,Calculo!$F$6:$ES$6,7)</f>
        <v>0</v>
      </c>
      <c r="K133" s="34" t="n">
        <f aca="false">SUMIFS(Calculo!$F$37:$ES$37,Calculo!$F$6:$ES$6,8)</f>
        <v>0</v>
      </c>
      <c r="L133" s="34" t="n">
        <f aca="false">SUMIFS(Calculo!$F$37:$ES$37,Calculo!$F$6:$ES$6,9)</f>
        <v>0</v>
      </c>
      <c r="M133" s="34" t="n">
        <f aca="false">SUMIFS(Calculo!$F$37:$ES$37,Calculo!$F$6:$ES$6,10)</f>
        <v>0</v>
      </c>
      <c r="N133" s="34" t="n">
        <f aca="false">SUMIFS(Calculo!$F$37:$ES$37,Calculo!$F$6:$ES$6,11)</f>
        <v>0</v>
      </c>
      <c r="O133" s="34" t="n">
        <f aca="false">SUMIFS(Calculo!$F$37:$ES$37,Calculo!$F$6:$ES$6,12)</f>
        <v>0</v>
      </c>
    </row>
    <row r="134" customFormat="false" ht="15" hidden="false" customHeight="false" outlineLevel="0" collapsed="false">
      <c r="A134" s="2" t="s">
        <v>1115</v>
      </c>
      <c r="B134" s="6" t="str">
        <f aca="false">IF(INDEX(Prod_Nombre,18)="","Producto 18",INDEX(Prod_Nombre,18))</f>
        <v>Producto 18</v>
      </c>
      <c r="C134" s="40" t="n">
        <f aca="false">SUM(D134:O134)</f>
        <v>0</v>
      </c>
      <c r="D134" s="34" t="n">
        <f aca="false">SUMIFS(Calculo!$F$38:$ES$38,Calculo!$F$6:$ES$6,1)</f>
        <v>0</v>
      </c>
      <c r="E134" s="34" t="n">
        <f aca="false">SUMIFS(Calculo!$F$38:$ES$38,Calculo!$F$6:$ES$6,2)</f>
        <v>0</v>
      </c>
      <c r="F134" s="34" t="n">
        <f aca="false">SUMIFS(Calculo!$F$38:$ES$38,Calculo!$F$6:$ES$6,3)</f>
        <v>0</v>
      </c>
      <c r="G134" s="34" t="n">
        <f aca="false">SUMIFS(Calculo!$F$38:$ES$38,Calculo!$F$6:$ES$6,4)</f>
        <v>0</v>
      </c>
      <c r="H134" s="34" t="n">
        <f aca="false">SUMIFS(Calculo!$F$38:$ES$38,Calculo!$F$6:$ES$6,5)</f>
        <v>0</v>
      </c>
      <c r="I134" s="34" t="n">
        <f aca="false">SUMIFS(Calculo!$F$38:$ES$38,Calculo!$F$6:$ES$6,6)</f>
        <v>0</v>
      </c>
      <c r="J134" s="34" t="n">
        <f aca="false">SUMIFS(Calculo!$F$38:$ES$38,Calculo!$F$6:$ES$6,7)</f>
        <v>0</v>
      </c>
      <c r="K134" s="34" t="n">
        <f aca="false">SUMIFS(Calculo!$F$38:$ES$38,Calculo!$F$6:$ES$6,8)</f>
        <v>0</v>
      </c>
      <c r="L134" s="34" t="n">
        <f aca="false">SUMIFS(Calculo!$F$38:$ES$38,Calculo!$F$6:$ES$6,9)</f>
        <v>0</v>
      </c>
      <c r="M134" s="34" t="n">
        <f aca="false">SUMIFS(Calculo!$F$38:$ES$38,Calculo!$F$6:$ES$6,10)</f>
        <v>0</v>
      </c>
      <c r="N134" s="34" t="n">
        <f aca="false">SUMIFS(Calculo!$F$38:$ES$38,Calculo!$F$6:$ES$6,11)</f>
        <v>0</v>
      </c>
      <c r="O134" s="34" t="n">
        <f aca="false">SUMIFS(Calculo!$F$38:$ES$38,Calculo!$F$6:$ES$6,12)</f>
        <v>0</v>
      </c>
    </row>
    <row r="135" customFormat="false" ht="15" hidden="false" customHeight="false" outlineLevel="0" collapsed="false">
      <c r="A135" s="2" t="s">
        <v>1116</v>
      </c>
      <c r="B135" s="6" t="str">
        <f aca="false">IF(INDEX(Prod_Nombre,19)="","Producto 19",INDEX(Prod_Nombre,19))</f>
        <v>Producto 19</v>
      </c>
      <c r="C135" s="40" t="n">
        <f aca="false">SUM(D135:O135)</f>
        <v>0</v>
      </c>
      <c r="D135" s="34" t="n">
        <f aca="false">SUMIFS(Calculo!$F$39:$ES$39,Calculo!$F$6:$ES$6,1)</f>
        <v>0</v>
      </c>
      <c r="E135" s="34" t="n">
        <f aca="false">SUMIFS(Calculo!$F$39:$ES$39,Calculo!$F$6:$ES$6,2)</f>
        <v>0</v>
      </c>
      <c r="F135" s="34" t="n">
        <f aca="false">SUMIFS(Calculo!$F$39:$ES$39,Calculo!$F$6:$ES$6,3)</f>
        <v>0</v>
      </c>
      <c r="G135" s="34" t="n">
        <f aca="false">SUMIFS(Calculo!$F$39:$ES$39,Calculo!$F$6:$ES$6,4)</f>
        <v>0</v>
      </c>
      <c r="H135" s="34" t="n">
        <f aca="false">SUMIFS(Calculo!$F$39:$ES$39,Calculo!$F$6:$ES$6,5)</f>
        <v>0</v>
      </c>
      <c r="I135" s="34" t="n">
        <f aca="false">SUMIFS(Calculo!$F$39:$ES$39,Calculo!$F$6:$ES$6,6)</f>
        <v>0</v>
      </c>
      <c r="J135" s="34" t="n">
        <f aca="false">SUMIFS(Calculo!$F$39:$ES$39,Calculo!$F$6:$ES$6,7)</f>
        <v>0</v>
      </c>
      <c r="K135" s="34" t="n">
        <f aca="false">SUMIFS(Calculo!$F$39:$ES$39,Calculo!$F$6:$ES$6,8)</f>
        <v>0</v>
      </c>
      <c r="L135" s="34" t="n">
        <f aca="false">SUMIFS(Calculo!$F$39:$ES$39,Calculo!$F$6:$ES$6,9)</f>
        <v>0</v>
      </c>
      <c r="M135" s="34" t="n">
        <f aca="false">SUMIFS(Calculo!$F$39:$ES$39,Calculo!$F$6:$ES$6,10)</f>
        <v>0</v>
      </c>
      <c r="N135" s="34" t="n">
        <f aca="false">SUMIFS(Calculo!$F$39:$ES$39,Calculo!$F$6:$ES$6,11)</f>
        <v>0</v>
      </c>
      <c r="O135" s="34" t="n">
        <f aca="false">SUMIFS(Calculo!$F$39:$ES$39,Calculo!$F$6:$ES$6,12)</f>
        <v>0</v>
      </c>
    </row>
    <row r="136" customFormat="false" ht="15" hidden="false" customHeight="false" outlineLevel="0" collapsed="false">
      <c r="A136" s="2" t="s">
        <v>1117</v>
      </c>
      <c r="B136" s="6" t="str">
        <f aca="false">IF(INDEX(Prod_Nombre,20)="","Producto 20",INDEX(Prod_Nombre,20))</f>
        <v>Producto 20</v>
      </c>
      <c r="C136" s="40" t="n">
        <f aca="false">SUM(D136:O136)</f>
        <v>0</v>
      </c>
      <c r="D136" s="34" t="n">
        <f aca="false">SUMIFS(Calculo!$F$40:$ES$40,Calculo!$F$6:$ES$6,1)</f>
        <v>0</v>
      </c>
      <c r="E136" s="34" t="n">
        <f aca="false">SUMIFS(Calculo!$F$40:$ES$40,Calculo!$F$6:$ES$6,2)</f>
        <v>0</v>
      </c>
      <c r="F136" s="34" t="n">
        <f aca="false">SUMIFS(Calculo!$F$40:$ES$40,Calculo!$F$6:$ES$6,3)</f>
        <v>0</v>
      </c>
      <c r="G136" s="34" t="n">
        <f aca="false">SUMIFS(Calculo!$F$40:$ES$40,Calculo!$F$6:$ES$6,4)</f>
        <v>0</v>
      </c>
      <c r="H136" s="34" t="n">
        <f aca="false">SUMIFS(Calculo!$F$40:$ES$40,Calculo!$F$6:$ES$6,5)</f>
        <v>0</v>
      </c>
      <c r="I136" s="34" t="n">
        <f aca="false">SUMIFS(Calculo!$F$40:$ES$40,Calculo!$F$6:$ES$6,6)</f>
        <v>0</v>
      </c>
      <c r="J136" s="34" t="n">
        <f aca="false">SUMIFS(Calculo!$F$40:$ES$40,Calculo!$F$6:$ES$6,7)</f>
        <v>0</v>
      </c>
      <c r="K136" s="34" t="n">
        <f aca="false">SUMIFS(Calculo!$F$40:$ES$40,Calculo!$F$6:$ES$6,8)</f>
        <v>0</v>
      </c>
      <c r="L136" s="34" t="n">
        <f aca="false">SUMIFS(Calculo!$F$40:$ES$40,Calculo!$F$6:$ES$6,9)</f>
        <v>0</v>
      </c>
      <c r="M136" s="34" t="n">
        <f aca="false">SUMIFS(Calculo!$F$40:$ES$40,Calculo!$F$6:$ES$6,10)</f>
        <v>0</v>
      </c>
      <c r="N136" s="34" t="n">
        <f aca="false">SUMIFS(Calculo!$F$40:$ES$40,Calculo!$F$6:$ES$6,11)</f>
        <v>0</v>
      </c>
      <c r="O136" s="34" t="n">
        <f aca="false">SUMIFS(Calculo!$F$40:$ES$40,Calculo!$F$6:$ES$6,12)</f>
        <v>0</v>
      </c>
    </row>
    <row r="137" customFormat="false" ht="15" hidden="false" customHeight="false" outlineLevel="0" collapsed="false">
      <c r="A137" s="2" t="s">
        <v>1118</v>
      </c>
      <c r="B137" s="6" t="str">
        <f aca="false">IF(INDEX(Prod_Nombre,21)="","Producto 21",INDEX(Prod_Nombre,21))</f>
        <v>Producto 21</v>
      </c>
      <c r="C137" s="40" t="n">
        <f aca="false">SUM(D137:O137)</f>
        <v>0</v>
      </c>
      <c r="D137" s="34" t="n">
        <f aca="false">SUMIFS(Calculo!$F$41:$ES$41,Calculo!$F$6:$ES$6,1)</f>
        <v>0</v>
      </c>
      <c r="E137" s="34" t="n">
        <f aca="false">SUMIFS(Calculo!$F$41:$ES$41,Calculo!$F$6:$ES$6,2)</f>
        <v>0</v>
      </c>
      <c r="F137" s="34" t="n">
        <f aca="false">SUMIFS(Calculo!$F$41:$ES$41,Calculo!$F$6:$ES$6,3)</f>
        <v>0</v>
      </c>
      <c r="G137" s="34" t="n">
        <f aca="false">SUMIFS(Calculo!$F$41:$ES$41,Calculo!$F$6:$ES$6,4)</f>
        <v>0</v>
      </c>
      <c r="H137" s="34" t="n">
        <f aca="false">SUMIFS(Calculo!$F$41:$ES$41,Calculo!$F$6:$ES$6,5)</f>
        <v>0</v>
      </c>
      <c r="I137" s="34" t="n">
        <f aca="false">SUMIFS(Calculo!$F$41:$ES$41,Calculo!$F$6:$ES$6,6)</f>
        <v>0</v>
      </c>
      <c r="J137" s="34" t="n">
        <f aca="false">SUMIFS(Calculo!$F$41:$ES$41,Calculo!$F$6:$ES$6,7)</f>
        <v>0</v>
      </c>
      <c r="K137" s="34" t="n">
        <f aca="false">SUMIFS(Calculo!$F$41:$ES$41,Calculo!$F$6:$ES$6,8)</f>
        <v>0</v>
      </c>
      <c r="L137" s="34" t="n">
        <f aca="false">SUMIFS(Calculo!$F$41:$ES$41,Calculo!$F$6:$ES$6,9)</f>
        <v>0</v>
      </c>
      <c r="M137" s="34" t="n">
        <f aca="false">SUMIFS(Calculo!$F$41:$ES$41,Calculo!$F$6:$ES$6,10)</f>
        <v>0</v>
      </c>
      <c r="N137" s="34" t="n">
        <f aca="false">SUMIFS(Calculo!$F$41:$ES$41,Calculo!$F$6:$ES$6,11)</f>
        <v>0</v>
      </c>
      <c r="O137" s="34" t="n">
        <f aca="false">SUMIFS(Calculo!$F$41:$ES$41,Calculo!$F$6:$ES$6,12)</f>
        <v>0</v>
      </c>
    </row>
    <row r="138" customFormat="false" ht="15" hidden="false" customHeight="false" outlineLevel="0" collapsed="false">
      <c r="A138" s="2" t="s">
        <v>1119</v>
      </c>
      <c r="B138" s="6" t="str">
        <f aca="false">IF(INDEX(Prod_Nombre,22)="","Producto 22",INDEX(Prod_Nombre,22))</f>
        <v>Producto 22</v>
      </c>
      <c r="C138" s="40" t="n">
        <f aca="false">SUM(D138:O138)</f>
        <v>0</v>
      </c>
      <c r="D138" s="34" t="n">
        <f aca="false">SUMIFS(Calculo!$F$42:$ES$42,Calculo!$F$6:$ES$6,1)</f>
        <v>0</v>
      </c>
      <c r="E138" s="34" t="n">
        <f aca="false">SUMIFS(Calculo!$F$42:$ES$42,Calculo!$F$6:$ES$6,2)</f>
        <v>0</v>
      </c>
      <c r="F138" s="34" t="n">
        <f aca="false">SUMIFS(Calculo!$F$42:$ES$42,Calculo!$F$6:$ES$6,3)</f>
        <v>0</v>
      </c>
      <c r="G138" s="34" t="n">
        <f aca="false">SUMIFS(Calculo!$F$42:$ES$42,Calculo!$F$6:$ES$6,4)</f>
        <v>0</v>
      </c>
      <c r="H138" s="34" t="n">
        <f aca="false">SUMIFS(Calculo!$F$42:$ES$42,Calculo!$F$6:$ES$6,5)</f>
        <v>0</v>
      </c>
      <c r="I138" s="34" t="n">
        <f aca="false">SUMIFS(Calculo!$F$42:$ES$42,Calculo!$F$6:$ES$6,6)</f>
        <v>0</v>
      </c>
      <c r="J138" s="34" t="n">
        <f aca="false">SUMIFS(Calculo!$F$42:$ES$42,Calculo!$F$6:$ES$6,7)</f>
        <v>0</v>
      </c>
      <c r="K138" s="34" t="n">
        <f aca="false">SUMIFS(Calculo!$F$42:$ES$42,Calculo!$F$6:$ES$6,8)</f>
        <v>0</v>
      </c>
      <c r="L138" s="34" t="n">
        <f aca="false">SUMIFS(Calculo!$F$42:$ES$42,Calculo!$F$6:$ES$6,9)</f>
        <v>0</v>
      </c>
      <c r="M138" s="34" t="n">
        <f aca="false">SUMIFS(Calculo!$F$42:$ES$42,Calculo!$F$6:$ES$6,10)</f>
        <v>0</v>
      </c>
      <c r="N138" s="34" t="n">
        <f aca="false">SUMIFS(Calculo!$F$42:$ES$42,Calculo!$F$6:$ES$6,11)</f>
        <v>0</v>
      </c>
      <c r="O138" s="34" t="n">
        <f aca="false">SUMIFS(Calculo!$F$42:$ES$42,Calculo!$F$6:$ES$6,12)</f>
        <v>0</v>
      </c>
    </row>
    <row r="139" customFormat="false" ht="15" hidden="false" customHeight="false" outlineLevel="0" collapsed="false">
      <c r="A139" s="2" t="s">
        <v>1120</v>
      </c>
      <c r="B139" s="6" t="str">
        <f aca="false">IF(INDEX(Prod_Nombre,23)="","Producto 23",INDEX(Prod_Nombre,23))</f>
        <v>Producto 23</v>
      </c>
      <c r="C139" s="40" t="n">
        <f aca="false">SUM(D139:O139)</f>
        <v>0</v>
      </c>
      <c r="D139" s="34" t="n">
        <f aca="false">SUMIFS(Calculo!$F$43:$ES$43,Calculo!$F$6:$ES$6,1)</f>
        <v>0</v>
      </c>
      <c r="E139" s="34" t="n">
        <f aca="false">SUMIFS(Calculo!$F$43:$ES$43,Calculo!$F$6:$ES$6,2)</f>
        <v>0</v>
      </c>
      <c r="F139" s="34" t="n">
        <f aca="false">SUMIFS(Calculo!$F$43:$ES$43,Calculo!$F$6:$ES$6,3)</f>
        <v>0</v>
      </c>
      <c r="G139" s="34" t="n">
        <f aca="false">SUMIFS(Calculo!$F$43:$ES$43,Calculo!$F$6:$ES$6,4)</f>
        <v>0</v>
      </c>
      <c r="H139" s="34" t="n">
        <f aca="false">SUMIFS(Calculo!$F$43:$ES$43,Calculo!$F$6:$ES$6,5)</f>
        <v>0</v>
      </c>
      <c r="I139" s="34" t="n">
        <f aca="false">SUMIFS(Calculo!$F$43:$ES$43,Calculo!$F$6:$ES$6,6)</f>
        <v>0</v>
      </c>
      <c r="J139" s="34" t="n">
        <f aca="false">SUMIFS(Calculo!$F$43:$ES$43,Calculo!$F$6:$ES$6,7)</f>
        <v>0</v>
      </c>
      <c r="K139" s="34" t="n">
        <f aca="false">SUMIFS(Calculo!$F$43:$ES$43,Calculo!$F$6:$ES$6,8)</f>
        <v>0</v>
      </c>
      <c r="L139" s="34" t="n">
        <f aca="false">SUMIFS(Calculo!$F$43:$ES$43,Calculo!$F$6:$ES$6,9)</f>
        <v>0</v>
      </c>
      <c r="M139" s="34" t="n">
        <f aca="false">SUMIFS(Calculo!$F$43:$ES$43,Calculo!$F$6:$ES$6,10)</f>
        <v>0</v>
      </c>
      <c r="N139" s="34" t="n">
        <f aca="false">SUMIFS(Calculo!$F$43:$ES$43,Calculo!$F$6:$ES$6,11)</f>
        <v>0</v>
      </c>
      <c r="O139" s="34" t="n">
        <f aca="false">SUMIFS(Calculo!$F$43:$ES$43,Calculo!$F$6:$ES$6,12)</f>
        <v>0</v>
      </c>
    </row>
    <row r="140" customFormat="false" ht="15" hidden="false" customHeight="false" outlineLevel="0" collapsed="false">
      <c r="A140" s="2" t="s">
        <v>1121</v>
      </c>
      <c r="B140" s="6" t="str">
        <f aca="false">IF(INDEX(Prod_Nombre,24)="","Producto 24",INDEX(Prod_Nombre,24))</f>
        <v>Producto 24</v>
      </c>
      <c r="C140" s="40" t="n">
        <f aca="false">SUM(D140:O140)</f>
        <v>0</v>
      </c>
      <c r="D140" s="34" t="n">
        <f aca="false">SUMIFS(Calculo!$F$44:$ES$44,Calculo!$F$6:$ES$6,1)</f>
        <v>0</v>
      </c>
      <c r="E140" s="34" t="n">
        <f aca="false">SUMIFS(Calculo!$F$44:$ES$44,Calculo!$F$6:$ES$6,2)</f>
        <v>0</v>
      </c>
      <c r="F140" s="34" t="n">
        <f aca="false">SUMIFS(Calculo!$F$44:$ES$44,Calculo!$F$6:$ES$6,3)</f>
        <v>0</v>
      </c>
      <c r="G140" s="34" t="n">
        <f aca="false">SUMIFS(Calculo!$F$44:$ES$44,Calculo!$F$6:$ES$6,4)</f>
        <v>0</v>
      </c>
      <c r="H140" s="34" t="n">
        <f aca="false">SUMIFS(Calculo!$F$44:$ES$44,Calculo!$F$6:$ES$6,5)</f>
        <v>0</v>
      </c>
      <c r="I140" s="34" t="n">
        <f aca="false">SUMIFS(Calculo!$F$44:$ES$44,Calculo!$F$6:$ES$6,6)</f>
        <v>0</v>
      </c>
      <c r="J140" s="34" t="n">
        <f aca="false">SUMIFS(Calculo!$F$44:$ES$44,Calculo!$F$6:$ES$6,7)</f>
        <v>0</v>
      </c>
      <c r="K140" s="34" t="n">
        <f aca="false">SUMIFS(Calculo!$F$44:$ES$44,Calculo!$F$6:$ES$6,8)</f>
        <v>0</v>
      </c>
      <c r="L140" s="34" t="n">
        <f aca="false">SUMIFS(Calculo!$F$44:$ES$44,Calculo!$F$6:$ES$6,9)</f>
        <v>0</v>
      </c>
      <c r="M140" s="34" t="n">
        <f aca="false">SUMIFS(Calculo!$F$44:$ES$44,Calculo!$F$6:$ES$6,10)</f>
        <v>0</v>
      </c>
      <c r="N140" s="34" t="n">
        <f aca="false">SUMIFS(Calculo!$F$44:$ES$44,Calculo!$F$6:$ES$6,11)</f>
        <v>0</v>
      </c>
      <c r="O140" s="34" t="n">
        <f aca="false">SUMIFS(Calculo!$F$44:$ES$44,Calculo!$F$6:$ES$6,12)</f>
        <v>0</v>
      </c>
    </row>
    <row r="141" customFormat="false" ht="15" hidden="false" customHeight="false" outlineLevel="0" collapsed="false">
      <c r="A141" s="2" t="s">
        <v>1122</v>
      </c>
      <c r="B141" s="6" t="str">
        <f aca="false">IF(INDEX(Prod_Nombre,25)="","Producto 25",INDEX(Prod_Nombre,25))</f>
        <v>Producto 25</v>
      </c>
      <c r="C141" s="40" t="n">
        <f aca="false">SUM(D141:O141)</f>
        <v>0</v>
      </c>
      <c r="D141" s="34" t="n">
        <f aca="false">SUMIFS(Calculo!$F$45:$ES$45,Calculo!$F$6:$ES$6,1)</f>
        <v>0</v>
      </c>
      <c r="E141" s="34" t="n">
        <f aca="false">SUMIFS(Calculo!$F$45:$ES$45,Calculo!$F$6:$ES$6,2)</f>
        <v>0</v>
      </c>
      <c r="F141" s="34" t="n">
        <f aca="false">SUMIFS(Calculo!$F$45:$ES$45,Calculo!$F$6:$ES$6,3)</f>
        <v>0</v>
      </c>
      <c r="G141" s="34" t="n">
        <f aca="false">SUMIFS(Calculo!$F$45:$ES$45,Calculo!$F$6:$ES$6,4)</f>
        <v>0</v>
      </c>
      <c r="H141" s="34" t="n">
        <f aca="false">SUMIFS(Calculo!$F$45:$ES$45,Calculo!$F$6:$ES$6,5)</f>
        <v>0</v>
      </c>
      <c r="I141" s="34" t="n">
        <f aca="false">SUMIFS(Calculo!$F$45:$ES$45,Calculo!$F$6:$ES$6,6)</f>
        <v>0</v>
      </c>
      <c r="J141" s="34" t="n">
        <f aca="false">SUMIFS(Calculo!$F$45:$ES$45,Calculo!$F$6:$ES$6,7)</f>
        <v>0</v>
      </c>
      <c r="K141" s="34" t="n">
        <f aca="false">SUMIFS(Calculo!$F$45:$ES$45,Calculo!$F$6:$ES$6,8)</f>
        <v>0</v>
      </c>
      <c r="L141" s="34" t="n">
        <f aca="false">SUMIFS(Calculo!$F$45:$ES$45,Calculo!$F$6:$ES$6,9)</f>
        <v>0</v>
      </c>
      <c r="M141" s="34" t="n">
        <f aca="false">SUMIFS(Calculo!$F$45:$ES$45,Calculo!$F$6:$ES$6,10)</f>
        <v>0</v>
      </c>
      <c r="N141" s="34" t="n">
        <f aca="false">SUMIFS(Calculo!$F$45:$ES$45,Calculo!$F$6:$ES$6,11)</f>
        <v>0</v>
      </c>
      <c r="O141" s="34" t="n">
        <f aca="false">SUMIFS(Calculo!$F$45:$ES$45,Calculo!$F$6:$ES$6,12)</f>
        <v>0</v>
      </c>
    </row>
    <row r="143" customFormat="false" ht="15" hidden="false" customHeight="false" outlineLevel="0" collapsed="false">
      <c r="A143" s="3" t="s">
        <v>1123</v>
      </c>
      <c r="B143" s="4"/>
      <c r="C143" s="4"/>
      <c r="D143" s="4"/>
      <c r="E143" s="4"/>
      <c r="F143" s="4"/>
      <c r="G143" s="4"/>
      <c r="H143" s="4"/>
      <c r="I143" s="4"/>
      <c r="J143" s="4"/>
      <c r="K143" s="4"/>
      <c r="L143" s="4"/>
      <c r="M143" s="4"/>
      <c r="N143" s="4"/>
      <c r="O143" s="4"/>
    </row>
    <row r="144" customFormat="false" ht="15" hidden="false" customHeight="false" outlineLevel="0" collapsed="false">
      <c r="A144" s="5"/>
      <c r="B144" s="5" t="s">
        <v>1000</v>
      </c>
      <c r="C144" s="5" t="s">
        <v>291</v>
      </c>
      <c r="D144" s="5" t="s">
        <v>194</v>
      </c>
      <c r="E144" s="5" t="s">
        <v>195</v>
      </c>
      <c r="F144" s="5" t="s">
        <v>196</v>
      </c>
      <c r="G144" s="5" t="s">
        <v>197</v>
      </c>
      <c r="H144" s="5" t="s">
        <v>198</v>
      </c>
      <c r="I144" s="5" t="s">
        <v>199</v>
      </c>
      <c r="J144" s="5" t="s">
        <v>200</v>
      </c>
      <c r="K144" s="5" t="s">
        <v>201</v>
      </c>
      <c r="L144" s="5" t="s">
        <v>202</v>
      </c>
      <c r="M144" s="5" t="s">
        <v>203</v>
      </c>
      <c r="N144" s="5" t="s">
        <v>1001</v>
      </c>
      <c r="O144" s="5" t="s">
        <v>1002</v>
      </c>
    </row>
    <row r="145" customFormat="false" ht="15" hidden="false" customHeight="false" outlineLevel="0" collapsed="false">
      <c r="B145" s="2" t="s">
        <v>1003</v>
      </c>
      <c r="D145" s="71" t="str">
        <f aca="false">IF(Corte&gt;=12,"Real",IF(Corte&gt;0,"Real+Proy.","Proyección"))</f>
        <v>Proyección</v>
      </c>
      <c r="E145" s="71" t="str">
        <f aca="false">IF(Corte&gt;=24,"Real",IF(Corte&gt;12,"Real+Proy.","Proyección"))</f>
        <v>Proyección</v>
      </c>
      <c r="F145" s="71" t="str">
        <f aca="false">IF(Corte&gt;=36,"Real",IF(Corte&gt;24,"Real+Proy.","Proyección"))</f>
        <v>Proyección</v>
      </c>
      <c r="G145" s="71" t="str">
        <f aca="false">IF(Corte&gt;=48,"Real",IF(Corte&gt;36,"Real+Proy.","Proyección"))</f>
        <v>Proyección</v>
      </c>
      <c r="H145" s="71" t="str">
        <f aca="false">IF(Corte&gt;=60,"Real",IF(Corte&gt;48,"Real+Proy.","Proyección"))</f>
        <v>Proyección</v>
      </c>
      <c r="I145" s="71" t="str">
        <f aca="false">IF(Corte&gt;=72,"Real",IF(Corte&gt;60,"Real+Proy.","Proyección"))</f>
        <v>Proyección</v>
      </c>
      <c r="J145" s="71" t="str">
        <f aca="false">IF(Corte&gt;=84,"Real",IF(Corte&gt;72,"Real+Proy.","Proyección"))</f>
        <v>Proyección</v>
      </c>
      <c r="K145" s="71" t="str">
        <f aca="false">IF(Corte&gt;=96,"Real",IF(Corte&gt;84,"Real+Proy.","Proyección"))</f>
        <v>Proyección</v>
      </c>
      <c r="L145" s="71" t="str">
        <f aca="false">IF(Corte&gt;=108,"Real",IF(Corte&gt;96,"Real+Proy.","Proyección"))</f>
        <v>Proyección</v>
      </c>
      <c r="M145" s="71" t="str">
        <f aca="false">IF(Corte&gt;=120,"Real",IF(Corte&gt;108,"Real+Proy.","Proyección"))</f>
        <v>Proyección</v>
      </c>
      <c r="N145" s="71" t="str">
        <f aca="false">IF(Corte&gt;=132,"Real",IF(Corte&gt;120,"Real+Proy.","Proyección"))</f>
        <v>Proyección</v>
      </c>
      <c r="O145" s="71" t="str">
        <f aca="false">IF(Corte&gt;=144,"Real",IF(Corte&gt;132,"Real+Proy.","Proyección"))</f>
        <v>Proyección</v>
      </c>
    </row>
    <row r="146" customFormat="false" ht="15" hidden="false" customHeight="false" outlineLevel="0" collapsed="false">
      <c r="B146" s="2" t="s">
        <v>1004</v>
      </c>
      <c r="D146" s="72" t="str">
        <f aca="false">IF(n_Fecha1="","",YEAR(EOMONTH(n_Fecha1,0)))</f>
        <v/>
      </c>
      <c r="E146" s="72" t="str">
        <f aca="false">IF(n_Fecha1="","",YEAR(EOMONTH(n_Fecha1,12)))</f>
        <v/>
      </c>
      <c r="F146" s="72" t="str">
        <f aca="false">IF(n_Fecha1="","",YEAR(EOMONTH(n_Fecha1,24)))</f>
        <v/>
      </c>
      <c r="G146" s="72" t="str">
        <f aca="false">IF(n_Fecha1="","",YEAR(EOMONTH(n_Fecha1,36)))</f>
        <v/>
      </c>
      <c r="H146" s="72" t="str">
        <f aca="false">IF(n_Fecha1="","",YEAR(EOMONTH(n_Fecha1,48)))</f>
        <v/>
      </c>
      <c r="I146" s="72" t="str">
        <f aca="false">IF(n_Fecha1="","",YEAR(EOMONTH(n_Fecha1,60)))</f>
        <v/>
      </c>
      <c r="J146" s="72" t="str">
        <f aca="false">IF(n_Fecha1="","",YEAR(EOMONTH(n_Fecha1,72)))</f>
        <v/>
      </c>
      <c r="K146" s="72" t="str">
        <f aca="false">IF(n_Fecha1="","",YEAR(EOMONTH(n_Fecha1,84)))</f>
        <v/>
      </c>
      <c r="L146" s="72" t="str">
        <f aca="false">IF(n_Fecha1="","",YEAR(EOMONTH(n_Fecha1,96)))</f>
        <v/>
      </c>
      <c r="M146" s="72" t="str">
        <f aca="false">IF(n_Fecha1="","",YEAR(EOMONTH(n_Fecha1,108)))</f>
        <v/>
      </c>
      <c r="N146" s="72" t="str">
        <f aca="false">IF(n_Fecha1="","",YEAR(EOMONTH(n_Fecha1,120)))</f>
        <v/>
      </c>
      <c r="O146" s="72" t="str">
        <f aca="false">IF(n_Fecha1="","",YEAR(EOMONTH(n_Fecha1,132)))</f>
        <v/>
      </c>
    </row>
    <row r="147" customFormat="false" ht="15" hidden="false" customHeight="false" outlineLevel="0" collapsed="false">
      <c r="B147" s="6" t="s">
        <v>248</v>
      </c>
      <c r="C147" s="34" t="n">
        <f aca="false">C38-C101</f>
        <v>0</v>
      </c>
      <c r="D147" s="34" t="n">
        <f aca="false">D38-D101</f>
        <v>0</v>
      </c>
      <c r="E147" s="34" t="n">
        <f aca="false">E38-E101</f>
        <v>0</v>
      </c>
      <c r="F147" s="34" t="n">
        <f aca="false">F38-F101</f>
        <v>0</v>
      </c>
      <c r="G147" s="34" t="n">
        <f aca="false">G38-G101</f>
        <v>0</v>
      </c>
      <c r="H147" s="34" t="n">
        <f aca="false">H38-H101</f>
        <v>0</v>
      </c>
      <c r="I147" s="34" t="n">
        <f aca="false">I38-I101</f>
        <v>0</v>
      </c>
      <c r="J147" s="34" t="n">
        <f aca="false">J38-J101</f>
        <v>0</v>
      </c>
      <c r="K147" s="34" t="n">
        <f aca="false">K38-K101</f>
        <v>0</v>
      </c>
      <c r="L147" s="34" t="n">
        <f aca="false">L38-L101</f>
        <v>0</v>
      </c>
      <c r="M147" s="34" t="n">
        <f aca="false">M38-M101</f>
        <v>0</v>
      </c>
      <c r="N147" s="34" t="n">
        <f aca="false">N38-N101</f>
        <v>0</v>
      </c>
      <c r="O147" s="34" t="n">
        <f aca="false">O38-O101</f>
        <v>0</v>
      </c>
    </row>
    <row r="148" customFormat="false" ht="15" hidden="false" customHeight="false" outlineLevel="0" collapsed="false">
      <c r="B148" s="6" t="s">
        <v>251</v>
      </c>
      <c r="C148" s="34" t="n">
        <f aca="false">C48-C102</f>
        <v>0</v>
      </c>
      <c r="D148" s="34" t="n">
        <f aca="false">D48-D102</f>
        <v>0</v>
      </c>
      <c r="E148" s="34" t="n">
        <f aca="false">E48-E102</f>
        <v>0</v>
      </c>
      <c r="F148" s="34" t="n">
        <f aca="false">F48-F102</f>
        <v>0</v>
      </c>
      <c r="G148" s="34" t="n">
        <f aca="false">G48-G102</f>
        <v>0</v>
      </c>
      <c r="H148" s="34" t="n">
        <f aca="false">H48-H102</f>
        <v>0</v>
      </c>
      <c r="I148" s="34" t="n">
        <f aca="false">I48-I102</f>
        <v>0</v>
      </c>
      <c r="J148" s="34" t="n">
        <f aca="false">J48-J102</f>
        <v>0</v>
      </c>
      <c r="K148" s="34" t="n">
        <f aca="false">K48-K102</f>
        <v>0</v>
      </c>
      <c r="L148" s="34" t="n">
        <f aca="false">L48-L102</f>
        <v>0</v>
      </c>
      <c r="M148" s="34" t="n">
        <f aca="false">M48-M102</f>
        <v>0</v>
      </c>
      <c r="N148" s="34" t="n">
        <f aca="false">N48-N102</f>
        <v>0</v>
      </c>
      <c r="O148" s="34" t="n">
        <f aca="false">O48-O102</f>
        <v>0</v>
      </c>
    </row>
    <row r="149" customFormat="false" ht="15" hidden="false" customHeight="false" outlineLevel="0" collapsed="false">
      <c r="B149" s="6" t="s">
        <v>1024</v>
      </c>
      <c r="C149" s="34" t="n">
        <f aca="false">C52-C103</f>
        <v>0</v>
      </c>
      <c r="D149" s="34" t="n">
        <f aca="false">D52-D103</f>
        <v>0</v>
      </c>
      <c r="E149" s="34" t="n">
        <f aca="false">E52-E103</f>
        <v>0</v>
      </c>
      <c r="F149" s="34" t="n">
        <f aca="false">F52-F103</f>
        <v>0</v>
      </c>
      <c r="G149" s="34" t="n">
        <f aca="false">G52-G103</f>
        <v>0</v>
      </c>
      <c r="H149" s="34" t="n">
        <f aca="false">H52-H103</f>
        <v>0</v>
      </c>
      <c r="I149" s="34" t="n">
        <f aca="false">I52-I103</f>
        <v>0</v>
      </c>
      <c r="J149" s="34" t="n">
        <f aca="false">J52-J103</f>
        <v>0</v>
      </c>
      <c r="K149" s="34" t="n">
        <f aca="false">K52-K103</f>
        <v>0</v>
      </c>
      <c r="L149" s="34" t="n">
        <f aca="false">L52-L103</f>
        <v>0</v>
      </c>
      <c r="M149" s="34" t="n">
        <f aca="false">M52-M103</f>
        <v>0</v>
      </c>
      <c r="N149" s="34" t="n">
        <f aca="false">N52-N103</f>
        <v>0</v>
      </c>
      <c r="O149" s="34" t="n">
        <f aca="false">O52-O103</f>
        <v>0</v>
      </c>
    </row>
    <row r="150" customFormat="false" ht="15" hidden="false" customHeight="false" outlineLevel="0" collapsed="false">
      <c r="B150" s="6" t="s">
        <v>531</v>
      </c>
      <c r="C150" s="34" t="n">
        <f aca="false">C54-C105</f>
        <v>0</v>
      </c>
      <c r="D150" s="34" t="n">
        <f aca="false">D54-D105</f>
        <v>0</v>
      </c>
      <c r="E150" s="34" t="n">
        <f aca="false">E54-E105</f>
        <v>0</v>
      </c>
      <c r="F150" s="34" t="n">
        <f aca="false">F54-F105</f>
        <v>0</v>
      </c>
      <c r="G150" s="34" t="n">
        <f aca="false">G54-G105</f>
        <v>0</v>
      </c>
      <c r="H150" s="34" t="n">
        <f aca="false">H54-H105</f>
        <v>0</v>
      </c>
      <c r="I150" s="34" t="n">
        <f aca="false">I54-I105</f>
        <v>0</v>
      </c>
      <c r="J150" s="34" t="n">
        <f aca="false">J54-J105</f>
        <v>0</v>
      </c>
      <c r="K150" s="34" t="n">
        <f aca="false">K54-K105</f>
        <v>0</v>
      </c>
      <c r="L150" s="34" t="n">
        <f aca="false">L54-L105</f>
        <v>0</v>
      </c>
      <c r="M150" s="34" t="n">
        <f aca="false">M54-M105</f>
        <v>0</v>
      </c>
      <c r="N150" s="34" t="n">
        <f aca="false">N54-N105</f>
        <v>0</v>
      </c>
      <c r="O150" s="34" t="n">
        <f aca="false">O54-O105</f>
        <v>0</v>
      </c>
    </row>
    <row r="151" customFormat="false" ht="15" hidden="false" customHeight="false" outlineLevel="0" collapsed="false">
      <c r="B151" s="6" t="s">
        <v>1124</v>
      </c>
      <c r="C151" s="34" t="n">
        <f aca="false">C55-C106</f>
        <v>0</v>
      </c>
      <c r="D151" s="34" t="n">
        <f aca="false">D55-D106</f>
        <v>0</v>
      </c>
      <c r="E151" s="34" t="n">
        <f aca="false">E55-E106</f>
        <v>0</v>
      </c>
      <c r="F151" s="34" t="n">
        <f aca="false">F55-F106</f>
        <v>0</v>
      </c>
      <c r="G151" s="34" t="n">
        <f aca="false">G55-G106</f>
        <v>0</v>
      </c>
      <c r="H151" s="34" t="n">
        <f aca="false">H55-H106</f>
        <v>0</v>
      </c>
      <c r="I151" s="34" t="n">
        <f aca="false">I55-I106</f>
        <v>0</v>
      </c>
      <c r="J151" s="34" t="n">
        <f aca="false">J55-J106</f>
        <v>0</v>
      </c>
      <c r="K151" s="34" t="n">
        <f aca="false">K55-K106</f>
        <v>0</v>
      </c>
      <c r="L151" s="34" t="n">
        <f aca="false">L55-L106</f>
        <v>0</v>
      </c>
      <c r="M151" s="34" t="n">
        <f aca="false">M55-M106</f>
        <v>0</v>
      </c>
      <c r="N151" s="34" t="n">
        <f aca="false">N55-N106</f>
        <v>0</v>
      </c>
      <c r="O151" s="34" t="n">
        <f aca="false">O55-O106</f>
        <v>0</v>
      </c>
    </row>
    <row r="152" customFormat="false" ht="15" hidden="false" customHeight="false" outlineLevel="0" collapsed="false">
      <c r="B152" s="6" t="s">
        <v>1038</v>
      </c>
      <c r="C152" s="34" t="n">
        <f aca="false">C61-C111</f>
        <v>0</v>
      </c>
      <c r="D152" s="34" t="n">
        <f aca="false">D61-D111</f>
        <v>0</v>
      </c>
      <c r="E152" s="34" t="n">
        <f aca="false">E61-E111</f>
        <v>0</v>
      </c>
      <c r="F152" s="34" t="n">
        <f aca="false">F61-F111</f>
        <v>0</v>
      </c>
      <c r="G152" s="34" t="n">
        <f aca="false">G61-G111</f>
        <v>0</v>
      </c>
      <c r="H152" s="34" t="n">
        <f aca="false">H61-H111</f>
        <v>0</v>
      </c>
      <c r="I152" s="34" t="n">
        <f aca="false">I61-I111</f>
        <v>0</v>
      </c>
      <c r="J152" s="34" t="n">
        <f aca="false">J61-J111</f>
        <v>0</v>
      </c>
      <c r="K152" s="34" t="n">
        <f aca="false">K61-K111</f>
        <v>0</v>
      </c>
      <c r="L152" s="34" t="n">
        <f aca="false">L61-L111</f>
        <v>0</v>
      </c>
      <c r="M152" s="34" t="n">
        <f aca="false">M61-M111</f>
        <v>0</v>
      </c>
      <c r="N152" s="34" t="n">
        <f aca="false">N61-N111</f>
        <v>0</v>
      </c>
      <c r="O152" s="34" t="n">
        <f aca="false">O61-O111</f>
        <v>0</v>
      </c>
    </row>
    <row r="153" customFormat="false" ht="15" hidden="false" customHeight="false" outlineLevel="0" collapsed="false">
      <c r="B153" s="6" t="s">
        <v>1125</v>
      </c>
      <c r="C153" s="34" t="n">
        <f aca="false">SUM(C71:C95)-SUM(C117:C141)</f>
        <v>0</v>
      </c>
      <c r="D153" s="34" t="n">
        <f aca="false">SUM(D71:D95)-SUM(D117:D141)</f>
        <v>0</v>
      </c>
      <c r="E153" s="34" t="n">
        <f aca="false">SUM(E71:E95)-SUM(E117:E141)</f>
        <v>0</v>
      </c>
      <c r="F153" s="34" t="n">
        <f aca="false">SUM(F71:F95)-SUM(F117:F141)</f>
        <v>0</v>
      </c>
      <c r="G153" s="34" t="n">
        <f aca="false">SUM(G71:G95)-SUM(G117:G141)</f>
        <v>0</v>
      </c>
      <c r="H153" s="34" t="n">
        <f aca="false">SUM(H71:H95)-SUM(H117:H141)</f>
        <v>0</v>
      </c>
      <c r="I153" s="34" t="n">
        <f aca="false">SUM(I71:I95)-SUM(I117:I141)</f>
        <v>0</v>
      </c>
      <c r="J153" s="34" t="n">
        <f aca="false">SUM(J71:J95)-SUM(J117:J141)</f>
        <v>0</v>
      </c>
      <c r="K153" s="34" t="n">
        <f aca="false">SUM(K71:K95)-SUM(K117:K141)</f>
        <v>0</v>
      </c>
      <c r="L153" s="34" t="n">
        <f aca="false">SUM(L71:L95)-SUM(L117:L141)</f>
        <v>0</v>
      </c>
      <c r="M153" s="34" t="n">
        <f aca="false">SUM(M71:M95)-SUM(M117:M141)</f>
        <v>0</v>
      </c>
      <c r="N153" s="34" t="n">
        <f aca="false">SUM(N71:N95)-SUM(N117:N141)</f>
        <v>0</v>
      </c>
      <c r="O153" s="34" t="n">
        <f aca="false">SUM(O71:O95)-SUM(O117:O141)</f>
        <v>0</v>
      </c>
    </row>
    <row r="154" customFormat="false" ht="15" hidden="false" customHeight="false" outlineLevel="0" collapsed="false">
      <c r="B154" s="6" t="s">
        <v>1126</v>
      </c>
      <c r="C154" s="35" t="n">
        <f aca="false">IF(C101=0,"",C147/C101)</f>
        <v>0</v>
      </c>
      <c r="D154" s="35" t="n">
        <f aca="false">IF(D101=0,"",D147/D101)</f>
        <v>0</v>
      </c>
      <c r="E154" s="35" t="n">
        <f aca="false">IF(E101=0,"",E147/E101)</f>
        <v>0</v>
      </c>
      <c r="F154" s="35" t="n">
        <f aca="false">IF(F101=0,"",F147/F101)</f>
        <v>0</v>
      </c>
      <c r="G154" s="35" t="n">
        <f aca="false">IF(G101=0,"",G147/G101)</f>
        <v>0</v>
      </c>
      <c r="H154" s="35" t="n">
        <f aca="false">IF(H101=0,"",H147/H101)</f>
        <v>0</v>
      </c>
      <c r="I154" s="35" t="n">
        <f aca="false">IF(I101=0,"",I147/I101)</f>
        <v>0</v>
      </c>
      <c r="J154" s="35" t="n">
        <f aca="false">IF(J101=0,"",J147/J101)</f>
        <v>0</v>
      </c>
      <c r="K154" s="35" t="n">
        <f aca="false">IF(K101=0,"",K147/K101)</f>
        <v>0</v>
      </c>
      <c r="L154" s="35" t="n">
        <f aca="false">IF(L101=0,"",L147/L101)</f>
        <v>0</v>
      </c>
      <c r="M154" s="35" t="n">
        <f aca="false">IF(M101=0,"",M147/M101)</f>
        <v>0</v>
      </c>
      <c r="N154" s="35" t="str">
        <f aca="false">IF(N101=0,"",N147/N101)</f>
        <v/>
      </c>
      <c r="O154" s="35" t="str">
        <f aca="false">IF(O101=0,"",O147/O101)</f>
        <v/>
      </c>
    </row>
    <row r="156" customFormat="false" ht="15" hidden="false" customHeight="false" outlineLevel="0" collapsed="false">
      <c r="A156" s="3" t="s">
        <v>1127</v>
      </c>
      <c r="B156" s="4"/>
      <c r="C156" s="4"/>
      <c r="D156" s="4"/>
      <c r="E156" s="4"/>
      <c r="F156" s="4"/>
      <c r="G156" s="4"/>
      <c r="H156" s="4"/>
      <c r="I156" s="4"/>
      <c r="J156" s="4"/>
      <c r="K156" s="4"/>
      <c r="L156" s="4"/>
      <c r="M156" s="4"/>
      <c r="N156" s="4"/>
      <c r="O156" s="4"/>
    </row>
    <row r="157" customFormat="false" ht="15" hidden="false" customHeight="false" outlineLevel="0" collapsed="false">
      <c r="A157" s="5"/>
      <c r="B157" s="5" t="s">
        <v>1000</v>
      </c>
      <c r="C157" s="5" t="s">
        <v>291</v>
      </c>
      <c r="D157" s="5" t="s">
        <v>194</v>
      </c>
      <c r="E157" s="5" t="s">
        <v>195</v>
      </c>
      <c r="F157" s="5" t="s">
        <v>196</v>
      </c>
      <c r="G157" s="5" t="s">
        <v>197</v>
      </c>
      <c r="H157" s="5" t="s">
        <v>198</v>
      </c>
      <c r="I157" s="5" t="s">
        <v>199</v>
      </c>
      <c r="J157" s="5" t="s">
        <v>200</v>
      </c>
      <c r="K157" s="5" t="s">
        <v>201</v>
      </c>
      <c r="L157" s="5" t="s">
        <v>202</v>
      </c>
      <c r="M157" s="5" t="s">
        <v>203</v>
      </c>
      <c r="N157" s="5" t="s">
        <v>1001</v>
      </c>
      <c r="O157" s="5" t="s">
        <v>1002</v>
      </c>
    </row>
    <row r="158" customFormat="false" ht="15" hidden="false" customHeight="false" outlineLevel="0" collapsed="false">
      <c r="B158" s="2" t="s">
        <v>1003</v>
      </c>
      <c r="D158" s="71" t="str">
        <f aca="false">IF(Corte&gt;=12,"Real",IF(Corte&gt;0,"Real+Proy.","Proyección"))</f>
        <v>Proyección</v>
      </c>
      <c r="E158" s="71" t="str">
        <f aca="false">IF(Corte&gt;=24,"Real",IF(Corte&gt;12,"Real+Proy.","Proyección"))</f>
        <v>Proyección</v>
      </c>
      <c r="F158" s="71" t="str">
        <f aca="false">IF(Corte&gt;=36,"Real",IF(Corte&gt;24,"Real+Proy.","Proyección"))</f>
        <v>Proyección</v>
      </c>
      <c r="G158" s="71" t="str">
        <f aca="false">IF(Corte&gt;=48,"Real",IF(Corte&gt;36,"Real+Proy.","Proyección"))</f>
        <v>Proyección</v>
      </c>
      <c r="H158" s="71" t="str">
        <f aca="false">IF(Corte&gt;=60,"Real",IF(Corte&gt;48,"Real+Proy.","Proyección"))</f>
        <v>Proyección</v>
      </c>
      <c r="I158" s="71" t="str">
        <f aca="false">IF(Corte&gt;=72,"Real",IF(Corte&gt;60,"Real+Proy.","Proyección"))</f>
        <v>Proyección</v>
      </c>
      <c r="J158" s="71" t="str">
        <f aca="false">IF(Corte&gt;=84,"Real",IF(Corte&gt;72,"Real+Proy.","Proyección"))</f>
        <v>Proyección</v>
      </c>
      <c r="K158" s="71" t="str">
        <f aca="false">IF(Corte&gt;=96,"Real",IF(Corte&gt;84,"Real+Proy.","Proyección"))</f>
        <v>Proyección</v>
      </c>
      <c r="L158" s="71" t="str">
        <f aca="false">IF(Corte&gt;=108,"Real",IF(Corte&gt;96,"Real+Proy.","Proyección"))</f>
        <v>Proyección</v>
      </c>
      <c r="M158" s="71" t="str">
        <f aca="false">IF(Corte&gt;=120,"Real",IF(Corte&gt;108,"Real+Proy.","Proyección"))</f>
        <v>Proyección</v>
      </c>
      <c r="N158" s="71" t="str">
        <f aca="false">IF(Corte&gt;=132,"Real",IF(Corte&gt;120,"Real+Proy.","Proyección"))</f>
        <v>Proyección</v>
      </c>
      <c r="O158" s="71" t="str">
        <f aca="false">IF(Corte&gt;=144,"Real",IF(Corte&gt;132,"Real+Proy.","Proyección"))</f>
        <v>Proyección</v>
      </c>
    </row>
    <row r="159" customFormat="false" ht="15" hidden="false" customHeight="false" outlineLevel="0" collapsed="false">
      <c r="B159" s="2" t="s">
        <v>1004</v>
      </c>
      <c r="D159" s="72" t="str">
        <f aca="false">IF(n_Fecha1="","",YEAR(EOMONTH(n_Fecha1,0)))</f>
        <v/>
      </c>
      <c r="E159" s="72" t="str">
        <f aca="false">IF(n_Fecha1="","",YEAR(EOMONTH(n_Fecha1,12)))</f>
        <v/>
      </c>
      <c r="F159" s="72" t="str">
        <f aca="false">IF(n_Fecha1="","",YEAR(EOMONTH(n_Fecha1,24)))</f>
        <v/>
      </c>
      <c r="G159" s="72" t="str">
        <f aca="false">IF(n_Fecha1="","",YEAR(EOMONTH(n_Fecha1,36)))</f>
        <v/>
      </c>
      <c r="H159" s="72" t="str">
        <f aca="false">IF(n_Fecha1="","",YEAR(EOMONTH(n_Fecha1,48)))</f>
        <v/>
      </c>
      <c r="I159" s="72" t="str">
        <f aca="false">IF(n_Fecha1="","",YEAR(EOMONTH(n_Fecha1,60)))</f>
        <v/>
      </c>
      <c r="J159" s="72" t="str">
        <f aca="false">IF(n_Fecha1="","",YEAR(EOMONTH(n_Fecha1,72)))</f>
        <v/>
      </c>
      <c r="K159" s="72" t="str">
        <f aca="false">IF(n_Fecha1="","",YEAR(EOMONTH(n_Fecha1,84)))</f>
        <v/>
      </c>
      <c r="L159" s="72" t="str">
        <f aca="false">IF(n_Fecha1="","",YEAR(EOMONTH(n_Fecha1,96)))</f>
        <v/>
      </c>
      <c r="M159" s="72" t="str">
        <f aca="false">IF(n_Fecha1="","",YEAR(EOMONTH(n_Fecha1,108)))</f>
        <v/>
      </c>
      <c r="N159" s="72" t="str">
        <f aca="false">IF(n_Fecha1="","",YEAR(EOMONTH(n_Fecha1,120)))</f>
        <v/>
      </c>
      <c r="O159" s="72" t="str">
        <f aca="false">IF(n_Fecha1="","",YEAR(EOMONTH(n_Fecha1,132)))</f>
        <v/>
      </c>
    </row>
    <row r="160" customFormat="false" ht="15" hidden="false" customHeight="false" outlineLevel="0" collapsed="false">
      <c r="B160" s="6" t="s">
        <v>249</v>
      </c>
      <c r="C160" s="40" t="n">
        <f aca="false">SUM(D160:M160)</f>
        <v>81222448</v>
      </c>
      <c r="D160" s="73" t="n">
        <f aca="false">IF(INDEX(pub_Ventas,1,1)="","",INDEX(pub_Ventas,1,1))</f>
        <v>4850000</v>
      </c>
      <c r="E160" s="73" t="n">
        <f aca="false">IF(INDEX(pub_Ventas,1,2)="","",INDEX(pub_Ventas,1,2))</f>
        <v>6181200</v>
      </c>
      <c r="F160" s="73" t="n">
        <f aca="false">IF(INDEX(pub_Ventas,1,3)="","",INDEX(pub_Ventas,1,3))</f>
        <v>7538539</v>
      </c>
      <c r="G160" s="73" t="n">
        <f aca="false">IF(INDEX(pub_Ventas,1,4)="","",INDEX(pub_Ventas,1,4))</f>
        <v>8685437</v>
      </c>
      <c r="H160" s="73" t="n">
        <f aca="false">IF(INDEX(pub_Ventas,1,5)="","",INDEX(pub_Ventas,1,5))</f>
        <v>8772292</v>
      </c>
      <c r="I160" s="73" t="n">
        <f aca="false">IF(INDEX(pub_Ventas,1,6)="","",INDEX(pub_Ventas,1,6))</f>
        <v>8860015</v>
      </c>
      <c r="J160" s="73" t="n">
        <f aca="false">IF(INDEX(pub_Ventas,1,7)="","",INDEX(pub_Ventas,1,7))</f>
        <v>8948615</v>
      </c>
      <c r="K160" s="73" t="n">
        <f aca="false">IF(INDEX(pub_Ventas,1,8)="","",INDEX(pub_Ventas,1,8))</f>
        <v>9038101</v>
      </c>
      <c r="L160" s="73" t="n">
        <f aca="false">IF(INDEX(pub_Ventas,1,9)="","",INDEX(pub_Ventas,1,9))</f>
        <v>9128482</v>
      </c>
      <c r="M160" s="73" t="n">
        <f aca="false">IF(INDEX(pub_Ventas,1,10)="","",INDEX(pub_Ventas,1,10))</f>
        <v>9219767</v>
      </c>
    </row>
    <row r="161" customFormat="false" ht="15" hidden="false" customHeight="false" outlineLevel="0" collapsed="false">
      <c r="B161" s="6" t="s">
        <v>1128</v>
      </c>
      <c r="D161" s="34" t="n">
        <f aca="false">IF(D160="","",D101-D160)</f>
        <v>0</v>
      </c>
      <c r="E161" s="34" t="n">
        <f aca="false">IF(E160="","",E101-E160)</f>
        <v>0</v>
      </c>
      <c r="F161" s="34" t="n">
        <f aca="false">IF(F160="","",F101-F160)</f>
        <v>0</v>
      </c>
      <c r="G161" s="34" t="n">
        <f aca="false">IF(G160="","",G101-G160)</f>
        <v>0.429999999701977</v>
      </c>
      <c r="H161" s="34" t="n">
        <f aca="false">IF(H160="","",H101-H160)</f>
        <v>-0.195700000971556</v>
      </c>
      <c r="I161" s="34" t="n">
        <f aca="false">IF(I160="","",I101-I160)</f>
        <v>-0.277657000347972</v>
      </c>
      <c r="J161" s="34" t="n">
        <f aca="false">IF(J160="","",J101-J160)</f>
        <v>-0.130433570593596</v>
      </c>
      <c r="K161" s="34" t="n">
        <f aca="false">IF(K160="","",K101-K160)</f>
        <v>0.0182620920240879</v>
      </c>
      <c r="L161" s="34" t="n">
        <f aca="false">IF(L160="","",L101-L160)</f>
        <v>0.0284447148442268</v>
      </c>
      <c r="M161" s="34" t="n">
        <f aca="false">IF(M160="","",M101-M160)</f>
        <v>-0.151270836591721</v>
      </c>
    </row>
    <row r="162" customFormat="false" ht="15" hidden="false" customHeight="false" outlineLevel="0" collapsed="false">
      <c r="B162" s="6" t="s">
        <v>252</v>
      </c>
      <c r="C162" s="40" t="n">
        <f aca="false">SUM(D162:M162)</f>
        <v>17354010</v>
      </c>
      <c r="D162" s="73" t="n">
        <f aca="false">IF(INDEX(pub_EBITDA,1,1)="","",INDEX(pub_EBITDA,1,1))</f>
        <v>573024</v>
      </c>
      <c r="E162" s="73" t="n">
        <f aca="false">IF(INDEX(pub_EBITDA,1,2)="","",INDEX(pub_EBITDA,1,2))</f>
        <v>1029011</v>
      </c>
      <c r="F162" s="73" t="n">
        <f aca="false">IF(INDEX(pub_EBITDA,1,3)="","",INDEX(pub_EBITDA,1,3))</f>
        <v>1479759</v>
      </c>
      <c r="G162" s="73" t="n">
        <f aca="false">IF(INDEX(pub_EBITDA,1,4)="","",INDEX(pub_EBITDA,1,4))</f>
        <v>1886306</v>
      </c>
      <c r="H162" s="73" t="n">
        <f aca="false">IF(INDEX(pub_EBITDA,1,5)="","",INDEX(pub_EBITDA,1,5))</f>
        <v>1914796</v>
      </c>
      <c r="I162" s="73" t="n">
        <f aca="false">IF(INDEX(pub_EBITDA,1,6)="","",INDEX(pub_EBITDA,1,6))</f>
        <v>1973999</v>
      </c>
      <c r="J162" s="73" t="n">
        <f aca="false">IF(INDEX(pub_EBITDA,1,7)="","",INDEX(pub_EBITDA,1,7))</f>
        <v>2033657</v>
      </c>
      <c r="K162" s="73" t="n">
        <f aca="false">IF(INDEX(pub_EBITDA,1,8)="","",INDEX(pub_EBITDA,1,8))</f>
        <v>2093768</v>
      </c>
      <c r="L162" s="73" t="n">
        <f aca="false">IF(INDEX(pub_EBITDA,1,9)="","",INDEX(pub_EBITDA,1,9))</f>
        <v>2154335</v>
      </c>
      <c r="M162" s="73" t="n">
        <f aca="false">IF(INDEX(pub_EBITDA,1,10)="","",INDEX(pub_EBITDA,1,10))</f>
        <v>2215355</v>
      </c>
    </row>
    <row r="163" customFormat="false" ht="15" hidden="false" customHeight="false" outlineLevel="0" collapsed="false">
      <c r="B163" s="6" t="s">
        <v>1128</v>
      </c>
      <c r="D163" s="34" t="n">
        <f aca="false">IF(D162="","",D102-D162)</f>
        <v>-63053.994292923</v>
      </c>
      <c r="E163" s="34" t="n">
        <f aca="false">IF(E162="","",E102-E162)</f>
        <v>-63054.1640724225</v>
      </c>
      <c r="F163" s="34" t="n">
        <f aca="false">IF(F162="","",F102-F162)</f>
        <v>-74738.6296185039</v>
      </c>
      <c r="G163" s="34" t="n">
        <f aca="false">IF(G162="","",G102-G162)</f>
        <v>-87583.0414417</v>
      </c>
      <c r="H163" s="34" t="n">
        <f aca="false">IF(H162="","",H102-H162)</f>
        <v>-100238.021483516</v>
      </c>
      <c r="I163" s="34" t="n">
        <f aca="false">IF(I162="","",I102-I162)</f>
        <v>-110393.698426086</v>
      </c>
      <c r="J163" s="34" t="n">
        <f aca="false">IF(J162="","",J102-J162)</f>
        <v>-120664.730127203</v>
      </c>
      <c r="K163" s="34" t="n">
        <f aca="false">IF(K162="","",K102-K162)</f>
        <v>-131050.17744455</v>
      </c>
      <c r="L163" s="34" t="n">
        <f aca="false">IF(L162="","",L102-L162)</f>
        <v>-141554.244213109</v>
      </c>
      <c r="M163" s="34" t="n">
        <f aca="false">IF(M162="","",M102-M162)</f>
        <v>-152175.282618967</v>
      </c>
    </row>
    <row r="164" customFormat="false" ht="15" hidden="false" customHeight="false" outlineLevel="0" collapsed="false">
      <c r="B164" s="6" t="s">
        <v>254</v>
      </c>
      <c r="C164" s="40" t="n">
        <f aca="false">SUM(D164:M164)</f>
        <v>15945168</v>
      </c>
      <c r="D164" s="73" t="n">
        <f aca="false">IF(INDEX(pub_Utilidad,1,1)="","",INDEX(pub_Utilidad,1,1))</f>
        <v>301922</v>
      </c>
      <c r="E164" s="73" t="n">
        <f aca="false">IF(INDEX(pub_Utilidad,1,2)="","",INDEX(pub_Utilidad,1,2))</f>
        <v>731144</v>
      </c>
      <c r="F164" s="73" t="n">
        <f aca="false">IF(INDEX(pub_Utilidad,1,3)="","",INDEX(pub_Utilidad,1,3))</f>
        <v>1238751</v>
      </c>
      <c r="G164" s="73" t="n">
        <f aca="false">IF(INDEX(pub_Utilidad,1,4)="","",INDEX(pub_Utilidad,1,4))</f>
        <v>1707489</v>
      </c>
      <c r="H164" s="73" t="n">
        <f aca="false">IF(INDEX(pub_Utilidad,1,5)="","",INDEX(pub_Utilidad,1,5))</f>
        <v>1804006</v>
      </c>
      <c r="I164" s="73" t="n">
        <f aca="false">IF(INDEX(pub_Utilidad,1,6)="","",INDEX(pub_Utilidad,1,6))</f>
        <v>1902407</v>
      </c>
      <c r="J164" s="73" t="n">
        <f aca="false">IF(INDEX(pub_Utilidad,1,7)="","",INDEX(pub_Utilidad,1,7))</f>
        <v>1974240</v>
      </c>
      <c r="K164" s="73" t="n">
        <f aca="false">IF(INDEX(pub_Utilidad,1,8)="","",INDEX(pub_Utilidad,1,8))</f>
        <v>2034352</v>
      </c>
      <c r="L164" s="73" t="n">
        <f aca="false">IF(INDEX(pub_Utilidad,1,9)="","",INDEX(pub_Utilidad,1,9))</f>
        <v>2094918</v>
      </c>
      <c r="M164" s="73" t="n">
        <f aca="false">IF(INDEX(pub_Utilidad,1,10)="","",INDEX(pub_Utilidad,1,10))</f>
        <v>2155939</v>
      </c>
    </row>
    <row r="165" customFormat="false" ht="15" hidden="false" customHeight="false" outlineLevel="0" collapsed="false">
      <c r="B165" s="6" t="s">
        <v>1128</v>
      </c>
      <c r="D165" s="34" t="n">
        <f aca="false">IF(D164="","",D103-D164)</f>
        <v>-134646.135723949</v>
      </c>
      <c r="E165" s="34" t="n">
        <f aca="false">IF(E164="","",E103-E164)</f>
        <v>-73053.6271938746</v>
      </c>
      <c r="F165" s="34" t="n">
        <f aca="false">IF(F164="","",F103-F164)</f>
        <v>-84738.8115596711</v>
      </c>
      <c r="G165" s="34" t="n">
        <f aca="false">IF(G164="","",G103-G164)</f>
        <v>-97582.2432381557</v>
      </c>
      <c r="H165" s="34" t="n">
        <f aca="false">IF(H164="","",H103-H164)</f>
        <v>-110238.206417869</v>
      </c>
      <c r="I165" s="34" t="n">
        <f aca="false">IF(I164="","",I103-I164)</f>
        <v>-108218.307426086</v>
      </c>
      <c r="J165" s="34" t="n">
        <f aca="false">IF(J164="","",J103-J164)</f>
        <v>-130664.339127203</v>
      </c>
      <c r="K165" s="34" t="n">
        <f aca="false">IF(K164="","",K103-K164)</f>
        <v>-141050.78644455</v>
      </c>
      <c r="L165" s="34" t="n">
        <f aca="false">IF(L164="","",L103-L164)</f>
        <v>-151553.85321311</v>
      </c>
      <c r="M165" s="34" t="n">
        <f aca="false">IF(M164="","",M103-M164)</f>
        <v>-162175.891618967</v>
      </c>
    </row>
    <row r="168" customFormat="false" ht="15" hidden="false" customHeight="false" outlineLevel="0" collapsed="false">
      <c r="B168" s="2" t="s">
        <v>1129</v>
      </c>
      <c r="D168" s="74" t="s">
        <v>194</v>
      </c>
      <c r="E168" s="74" t="s">
        <v>195</v>
      </c>
      <c r="F168" s="74" t="s">
        <v>196</v>
      </c>
      <c r="G168" s="74" t="s">
        <v>197</v>
      </c>
      <c r="H168" s="74" t="s">
        <v>198</v>
      </c>
      <c r="I168" s="74" t="s">
        <v>199</v>
      </c>
      <c r="J168" s="74" t="s">
        <v>200</v>
      </c>
      <c r="K168" s="74" t="s">
        <v>201</v>
      </c>
      <c r="L168" s="74" t="s">
        <v>202</v>
      </c>
      <c r="M168" s="74" t="s">
        <v>203</v>
      </c>
      <c r="N168" s="74" t="s">
        <v>1001</v>
      </c>
      <c r="O168" s="74" t="s">
        <v>1002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F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70"/>
    <col collapsed="false" customWidth="true" hidden="false" outlineLevel="0" max="3" min="3" style="0" width="16"/>
    <col collapsed="false" customWidth="true" hidden="false" outlineLevel="0" max="4" min="4" style="0" width="14"/>
    <col collapsed="false" customWidth="true" hidden="false" outlineLevel="0" max="5" min="5" style="0" width="12"/>
    <col collapsed="false" customWidth="true" hidden="false" outlineLevel="0" max="6" min="6" style="0" width="80"/>
  </cols>
  <sheetData>
    <row r="1" customFormat="false" ht="16.15" hidden="false" customHeight="false" outlineLevel="0" collapsed="false">
      <c r="A1" s="1" t="s">
        <v>1130</v>
      </c>
    </row>
    <row r="2" customFormat="false" ht="15" hidden="false" customHeight="false" outlineLevel="0" collapsed="false">
      <c r="A2" s="2" t="s">
        <v>1131</v>
      </c>
    </row>
    <row r="4" customFormat="false" ht="15" hidden="false" customHeight="false" outlineLevel="0" collapsed="false">
      <c r="A4" s="5" t="s">
        <v>95</v>
      </c>
      <c r="B4" s="5" t="s">
        <v>71</v>
      </c>
      <c r="C4" s="5" t="s">
        <v>3</v>
      </c>
      <c r="D4" s="5" t="s">
        <v>1132</v>
      </c>
      <c r="E4" s="5" t="s">
        <v>460</v>
      </c>
      <c r="F4" s="5" t="s">
        <v>1133</v>
      </c>
    </row>
    <row r="5" customFormat="false" ht="15" hidden="false" customHeight="false" outlineLevel="0" collapsed="false">
      <c r="A5" s="6" t="s">
        <v>1134</v>
      </c>
      <c r="B5" s="6" t="s">
        <v>1135</v>
      </c>
      <c r="C5" s="36" t="n">
        <f aca="false">r_ChkP</f>
        <v>0</v>
      </c>
      <c r="D5" s="75" t="n">
        <f aca="false">0</f>
        <v>0</v>
      </c>
      <c r="E5" s="76" t="str">
        <f aca="false">IF(ABS(C5)&lt;0.01,"OK","REVISAR")</f>
        <v>OK</v>
      </c>
      <c r="F5" s="2" t="s">
        <v>1136</v>
      </c>
    </row>
    <row r="6" customFormat="false" ht="15" hidden="false" customHeight="false" outlineLevel="0" collapsed="false">
      <c r="A6" s="6" t="s">
        <v>1137</v>
      </c>
      <c r="B6" s="6" t="s">
        <v>1138</v>
      </c>
      <c r="C6" s="36" t="n">
        <f aca="false">r_ChkV</f>
        <v>0</v>
      </c>
      <c r="D6" s="75" t="n">
        <f aca="false">0</f>
        <v>0</v>
      </c>
      <c r="E6" s="76" t="str">
        <f aca="false">IF(ABS(C6)&lt;0.01,"OK","REVISAR")</f>
        <v>OK</v>
      </c>
      <c r="F6" s="2" t="s">
        <v>1139</v>
      </c>
    </row>
    <row r="7" customFormat="false" ht="15" hidden="false" customHeight="false" outlineLevel="0" collapsed="false">
      <c r="A7" s="6" t="s">
        <v>1140</v>
      </c>
      <c r="B7" s="6" t="s">
        <v>1141</v>
      </c>
      <c r="C7" s="36" t="n">
        <f aca="false">SUMPRODUCT((Calculo!$F$8:$ES$8=1)*(Calculo!$F$227:$ES$227=0))</f>
        <v>0</v>
      </c>
      <c r="D7" s="75" t="n">
        <f aca="false">0</f>
        <v>0</v>
      </c>
      <c r="E7" s="76" t="str">
        <f aca="false">IF(C7=0,"OK","REVISAR")</f>
        <v>OK</v>
      </c>
      <c r="F7" s="2" t="s">
        <v>1142</v>
      </c>
    </row>
    <row r="8" customFormat="false" ht="15" hidden="false" customHeight="false" outlineLevel="0" collapsed="false">
      <c r="A8" s="6" t="s">
        <v>1143</v>
      </c>
      <c r="B8" s="6" t="s">
        <v>1144</v>
      </c>
      <c r="C8" s="36" t="n">
        <f aca="false">SUMPRODUCT((Calculo!$F$8:$ES$8=1)*(Calculo!$F$249:$ES$249+Calculo!$F$251:$ES$251+Calculo!$F$254:$ES$254=0))</f>
        <v>0</v>
      </c>
      <c r="D8" s="75" t="n">
        <f aca="false">0</f>
        <v>0</v>
      </c>
      <c r="E8" s="76" t="str">
        <f aca="false">IF(C8=0,"OK","REVISAR")</f>
        <v>OK</v>
      </c>
      <c r="F8" s="2" t="s">
        <v>1145</v>
      </c>
    </row>
    <row r="9" customFormat="false" ht="15" hidden="false" customHeight="false" outlineLevel="0" collapsed="false">
      <c r="A9" s="6" t="s">
        <v>1146</v>
      </c>
      <c r="B9" s="6" t="s">
        <v>1147</v>
      </c>
      <c r="C9" s="36" t="n">
        <f aca="false">IF(Corte=0,1,IF(ISNUMBER(INDEX(Reales!$F$79:$ES$79,1,Corte)),1,0))</f>
        <v>1</v>
      </c>
      <c r="D9" s="75" t="n">
        <f aca="false">1</f>
        <v>1</v>
      </c>
      <c r="E9" s="76" t="str">
        <f aca="false">IF(C9=1,"OK","REVISAR")</f>
        <v>OK</v>
      </c>
      <c r="F9" s="2" t="s">
        <v>1148</v>
      </c>
    </row>
    <row r="10" customFormat="false" ht="15" hidden="false" customHeight="false" outlineLevel="0" collapsed="false">
      <c r="A10" s="6" t="s">
        <v>1149</v>
      </c>
      <c r="B10" s="6" t="s">
        <v>1150</v>
      </c>
      <c r="C10" s="36" t="n">
        <f aca="false">IF(Corte=0,1,IF(AND(ISNUMBER(INDEX(Reales!$F$80:$ES$80,1,Corte)),ISNUMBER(INDEX(Reales!$F$81:$ES$81,1,Corte)),ISNUMBER(INDEX(Reales!$F$83:$ES$83,1,Corte))),1,0))</f>
        <v>1</v>
      </c>
      <c r="D10" s="75" t="n">
        <f aca="false">1</f>
        <v>1</v>
      </c>
      <c r="E10" s="76" t="str">
        <f aca="false">IF(C10=1,"OK","REVISAR")</f>
        <v>OK</v>
      </c>
      <c r="F10" s="2" t="s">
        <v>1151</v>
      </c>
    </row>
    <row r="11" customFormat="false" ht="15" hidden="false" customHeight="false" outlineLevel="0" collapsed="false">
      <c r="A11" s="6" t="s">
        <v>1152</v>
      </c>
      <c r="B11" s="6" t="s">
        <v>1153</v>
      </c>
      <c r="C11" s="36" t="n">
        <f aca="false">IF(Corte=0,0,IF(ISNUMBER(INDEX(Reales!$F$84:$ES$84,1,Corte)),INDEX(Reales!$F$84:$ES$84,1,Corte)-INDEX(Calculo!$F$304:$ES$304,1,Corte),0))</f>
        <v>0</v>
      </c>
      <c r="D11" s="75" t="n">
        <f aca="false">0</f>
        <v>0</v>
      </c>
      <c r="E11" s="76" t="str">
        <f aca="false">IF(ABS(C11)&lt;1,"OK","REVISAR")</f>
        <v>OK</v>
      </c>
      <c r="F11" s="2" t="s">
        <v>1154</v>
      </c>
    </row>
    <row r="12" customFormat="false" ht="15" hidden="false" customHeight="false" outlineLevel="0" collapsed="false">
      <c r="A12" s="6" t="s">
        <v>1155</v>
      </c>
      <c r="B12" s="6" t="s">
        <v>1156</v>
      </c>
      <c r="C12" s="36" t="n">
        <f aca="false">i_Pagado-SUM(Reales!$F$72:$ES$72)</f>
        <v>0</v>
      </c>
      <c r="D12" s="75" t="n">
        <f aca="false">0</f>
        <v>0</v>
      </c>
      <c r="E12" s="76" t="str">
        <f aca="false">IF(ABS(C12)&lt;1,"OK","REVISAR")</f>
        <v>OK</v>
      </c>
      <c r="F12" s="2" t="s">
        <v>1157</v>
      </c>
    </row>
    <row r="13" customFormat="false" ht="15" hidden="false" customHeight="false" outlineLevel="0" collapsed="false">
      <c r="A13" s="6" t="s">
        <v>1158</v>
      </c>
      <c r="B13" s="6" t="s">
        <v>1159</v>
      </c>
      <c r="C13" s="36" t="n">
        <f aca="false">COUNTIF(TC_O,"&gt;0")+COUNTIF(TC_V,"&gt;0")</f>
        <v>20</v>
      </c>
      <c r="D13" s="75" t="n">
        <f aca="false">20</f>
        <v>20</v>
      </c>
      <c r="E13" s="76" t="str">
        <f aca="false">IF(C13=20,"OK","REVISAR")</f>
        <v>OK</v>
      </c>
      <c r="F13" s="2" t="s">
        <v>1160</v>
      </c>
    </row>
    <row r="14" customFormat="false" ht="15" hidden="false" customHeight="false" outlineLevel="0" collapsed="false">
      <c r="A14" s="6" t="s">
        <v>1161</v>
      </c>
      <c r="B14" s="6" t="s">
        <v>1162</v>
      </c>
      <c r="C14" s="36" t="n">
        <f aca="false">SUM(c_CapExceso)</f>
        <v>0</v>
      </c>
      <c r="D14" s="75" t="n">
        <f aca="false">0</f>
        <v>0</v>
      </c>
      <c r="E14" s="76" t="str">
        <f aca="false">IF(C14=0,"OK","REVISAR")</f>
        <v>OK</v>
      </c>
      <c r="F14" s="2" t="s">
        <v>1163</v>
      </c>
    </row>
    <row r="15" customFormat="false" ht="15" hidden="false" customHeight="false" outlineLevel="0" collapsed="false">
      <c r="A15" s="6" t="s">
        <v>1164</v>
      </c>
      <c r="B15" s="6" t="s">
        <v>1165</v>
      </c>
      <c r="C15" s="36" t="n">
        <f aca="false">SUMPRODUCT((Precio_V=0)*(VolTot_V&gt;0))</f>
        <v>0</v>
      </c>
      <c r="D15" s="75" t="n">
        <f aca="false">0</f>
        <v>0</v>
      </c>
      <c r="E15" s="76" t="str">
        <f aca="false">IF(C15=0,"OK","REVISAR")</f>
        <v>OK</v>
      </c>
      <c r="F15" s="2" t="s">
        <v>1166</v>
      </c>
    </row>
    <row r="16" customFormat="false" ht="15" hidden="false" customHeight="false" outlineLevel="0" collapsed="false">
      <c r="A16" s="6" t="s">
        <v>1167</v>
      </c>
      <c r="B16" s="6" t="s">
        <v>1168</v>
      </c>
      <c r="C16" s="36" t="n">
        <f aca="false">r_DeudaFinP</f>
        <v>0</v>
      </c>
      <c r="D16" s="75" t="n">
        <f aca="false">0</f>
        <v>0</v>
      </c>
      <c r="E16" s="76" t="str">
        <f aca="false">IF(ABS(C16)&lt;1,"OK","REVISAR")</f>
        <v>OK</v>
      </c>
      <c r="F16" s="2" t="s">
        <v>1169</v>
      </c>
    </row>
    <row r="17" customFormat="false" ht="15" hidden="false" customHeight="false" outlineLevel="0" collapsed="false">
      <c r="A17" s="6" t="s">
        <v>1170</v>
      </c>
      <c r="B17" s="6" t="s">
        <v>1171</v>
      </c>
      <c r="C17" s="36" t="n">
        <f aca="false">SUMPRODUCT(--(Calculo!$F$312:$ES$312&gt;0.5))</f>
        <v>12</v>
      </c>
      <c r="D17" s="75" t="n">
        <f aca="false">0</f>
        <v>0</v>
      </c>
      <c r="E17" s="76" t="str">
        <f aca="false">IF(C17=0,"OK","REVISAR")</f>
        <v>REVISAR</v>
      </c>
      <c r="F17" s="2" t="s">
        <v>1172</v>
      </c>
    </row>
    <row r="18" customFormat="false" ht="15" hidden="false" customHeight="false" outlineLevel="0" collapsed="false">
      <c r="A18" s="6" t="s">
        <v>1173</v>
      </c>
      <c r="B18" s="6" t="s">
        <v>1174</v>
      </c>
      <c r="C18" s="36" t="n">
        <f aca="false">IF(n_Etapa="Operación",IF(AND(ISNUMBER(n_InicioReal),Corte&gt;0),1,0),1)</f>
        <v>0</v>
      </c>
      <c r="D18" s="75" t="n">
        <f aca="false">1</f>
        <v>1</v>
      </c>
      <c r="E18" s="76" t="str">
        <f aca="false">IF(C18=1,"OK","REVISAR")</f>
        <v>REVISAR</v>
      </c>
      <c r="F18" s="2" t="s">
        <v>1175</v>
      </c>
    </row>
    <row r="19" customFormat="false" ht="15" hidden="false" customHeight="false" outlineLevel="0" collapsed="false">
      <c r="A19" s="6" t="s">
        <v>1176</v>
      </c>
      <c r="B19" s="6" t="s">
        <v>1177</v>
      </c>
      <c r="C19" s="36" t="n">
        <f aca="false">IF(MAX(Fin,V_Inicio)&lt;=144,1,0)</f>
        <v>1</v>
      </c>
      <c r="D19" s="75" t="n">
        <f aca="false">1</f>
        <v>1</v>
      </c>
      <c r="E19" s="76" t="str">
        <f aca="false">IF(C19=1,"OK","REVISAR")</f>
        <v>OK</v>
      </c>
      <c r="F19" s="2" t="s">
        <v>1178</v>
      </c>
    </row>
    <row r="20" customFormat="false" ht="15" hidden="false" customHeight="false" outlineLevel="0" collapsed="false">
      <c r="A20" s="6" t="s">
        <v>1179</v>
      </c>
      <c r="B20" s="6" t="s">
        <v>1180</v>
      </c>
      <c r="C20" s="36" t="n">
        <f aca="false">c_Modificados</f>
        <v>0</v>
      </c>
      <c r="D20" s="75" t="s">
        <v>1181</v>
      </c>
      <c r="E20" s="76" t="str">
        <f aca="false">IF(TRUE(),"OK","REVISAR")</f>
        <v>OK</v>
      </c>
      <c r="F20" s="2" t="s">
        <v>1182</v>
      </c>
    </row>
    <row r="22" customFormat="false" ht="15" hidden="false" customHeight="false" outlineLevel="0" collapsed="false">
      <c r="B22" s="11" t="s">
        <v>1183</v>
      </c>
      <c r="C22" s="32" t="n">
        <f aca="false">COUNTIF(E5:E20,"REVISAR")</f>
        <v>2</v>
      </c>
    </row>
    <row r="23" customFormat="false" ht="15" hidden="false" customHeight="false" outlineLevel="0" collapsed="false">
      <c r="B23" s="6" t="s">
        <v>1184</v>
      </c>
      <c r="C23" s="32" t="n">
        <f aca="false">SUMPRODUCT(--(Supuestos!$E$6:$E$34&lt;&gt;Supuestos!$D$6:$D$34))+SUMPRODUCT(--(Precio_V&lt;&gt;Precio_O))+SUMPRODUCT(--(MP_V&lt;&gt;MP_O))+SUMPRODUCT(--(INS_V&lt;&gt;INS_O))+SUMPRODUCT(--(OV_V&lt;&gt;OV_O))+SUMPRODUCT(--(Vol_V&lt;&gt;Vol_O))+SUMPRODUCT(--(Sal_V&lt;&gt;Sal_O))+SUMPRODUCT(--(Dot_V&lt;&gt;Dot_O))+SUMPRODUCT(--(FC_V&lt;&gt;FC_O))+SUMPRODUCT(--(TC_V&lt;&gt;TC_O))+SUMPRODUCT(--(dPrecio_V&lt;&gt;dPrecio_O))+SUMPRODUCT(--(dMP_V&lt;&gt;dMP_O))+SUMPRODUCT(--(dOV_V&lt;&gt;dOV_O))+SUMPRODUCT(--(dSal_V&lt;&gt;dSal_O))+SUMPRODUCT(--(Payout_V&lt;&gt;Payout_O))+SUMPRODUCT(--(Ap_MesV&lt;&gt;Ap_MesO))+SUMPRODUCT(--(Ap_MontoV&lt;&gt;Ap_MontoO))</f>
        <v>0</v>
      </c>
    </row>
    <row r="24" customFormat="false" ht="15" hidden="false" customHeight="false" outlineLevel="0" collapsed="false">
      <c r="B24" s="6" t="s">
        <v>1185</v>
      </c>
      <c r="C24" s="34" t="n">
        <f aca="false">INDEX(Calculo!$F$148:$ES$148,1,MIN(144,Fin))</f>
        <v>0</v>
      </c>
    </row>
  </sheetData>
  <conditionalFormatting sqref="E5:E20">
    <cfRule type="cellIs" priority="2" operator="equal" aboveAverage="0" equalAverage="0" bottom="0" percent="0" rank="0" text="" dxfId="2">
      <formula>"OK"</formula>
    </cfRule>
    <cfRule type="cellIs" priority="3" operator="equal" aboveAverage="0" equalAverage="0" bottom="0" percent="0" rank="0" text="" dxfId="3">
      <formula>"REVISAR"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2026-10-02T20:13:31Z</dcterms:created>
  <dc:creator>openpyxl</dc:creator>
  <dc:description/>
  <dc:language>en-US</dc:language>
  <cp:lastModifiedBy/>
  <dcterms:modified xsi:type="dcterms:W3CDTF">2026-10-02T20:13:41Z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